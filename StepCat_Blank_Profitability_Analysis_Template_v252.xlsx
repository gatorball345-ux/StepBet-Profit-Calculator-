
<file path=[Content_Types].xml><?xml version="1.0" encoding="utf-8"?>
<ns0:Types xmlns:ns0="http://schemas.openxmlformats.org/package/2006/content-types">
  <ns0:Default Extension="xml" ContentType="application/xml"/>
  <ns0:Default Extension="rels" ContentType="application/vnd.openxmlformats-package.relationships+xml"/>
  <ns0:Override PartName="/xl/styles.xml" ContentType="application/vnd.openxmlformats-officedocument.spreadsheetml.styles+xml"/>
  <ns0:Override PartName="/xl/theme/theme1.xml" ContentType="application/vnd.openxmlformats-officedocument.theme+xml"/>
  <ns0:Override PartName="/xl/sharedStrings.xml" ContentType="application/vnd.openxmlformats-officedocument.spreadsheetml.sharedString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tables/table1.xml" ContentType="application/vnd.openxmlformats-officedocument.spreadsheetml.table+xml"/>
  <ns0:Override PartName="/xl/workbook.xml" ContentType="application/vnd.openxmlformats-officedocument.spreadsheetml.sheet.main+xml"/>
  <ns0:Override PartName="/xl/drawings/drawing1.xml" ContentType="application/vnd.openxmlformats-officedocument.drawing+xml"/>
  <ns0:Override PartName="/xl/drawings/charts/chart1.xml" ContentType="application/vnd.openxmlformats-officedocument.drawingml.chart+xml"/>
</ns0:Types>
</file>

<file path=_rels/.rels><?xml version="1.0" encoding="utf-8"?><Relationships xmlns="http://schemas.openxmlformats.org/package/2006/relationships"><Relationship Type="http://schemas.openxmlformats.org/officeDocument/2006/relationships/officeDocument" Target="/xl/workbook.xml" Id="Re1b3d477db8d4a73" /></Relationships>
</file>

<file path=xl/workbook.xml><?xml version="1.0" encoding="utf-8"?>
<ns0:workbook xmlns:ns0="http://schemas.openxmlformats.org/spreadsheetml/2006/main" xmlns:r="http://schemas.openxmlformats.org/officeDocument/2006/relationships">
  <ns0:sheets>
    <ns0:sheet name="Instructions" sheetId="1" r:id="R3182b9b9652a4b0f"/>
    <ns0:sheet name="Game Records" sheetId="2" r:id="R7c1fb6ae00154350"/>
    <ns0:sheet name="Record Review" sheetId="3" r:id="Rcd45e256a16a420a"/>
    <ns0:sheet name="Summary" sheetId="4" r:id="R9fec62ff31d641db"/>
    <ns0:sheet name="Game Comparisons" sheetId="5" r:id="Ra37a1ea70d9c49db"/>
    <ns0:sheet name="Best Results" sheetId="6" r:id="R27adad88702f4b35"/>
  </ns0:sheets>
  <ns0:calcPr calcMode="auto" fullCalcOnLoad="1" forceFullCalc="1" calcId="0"/>
</ns0:workbook>
</file>

<file path=xl/sharedStrings.xml><?xml version="1.0" encoding="utf-8"?>
<x:sst xmlns:x="http://schemas.openxmlformats.org/spreadsheetml/2006/main"/>
</file>

<file path=xl/styles.xml><?xml version="1.0" encoding="utf-8"?>
<styleSheet xmlns="http://schemas.openxmlformats.org/spreadsheetml/2006/main">
  <numFmts count="11">
    <numFmt numFmtId="200" formatCode="mm-dd-yyyy"/>
    <numFmt numFmtId="201" formatCode="$#,##0.00"/>
    <numFmt numFmtId="202" formatCode="0.0%"/>
    <numFmt numFmtId="203" formatCode="0"/>
    <numFmt numFmtId="204" formatCode="m/d/yyyy"/>
    <numFmt numFmtId="205" formatCode="@"/>
    <numFmt numFmtId="206" formatCode="mm/dd/yyyy"/>
    <numFmt numFmtId="207" formatCode="$0.00;[Red]-$0.00"/>
    <numFmt numFmtId="208" formatCode="#,##0"/>
    <numFmt numFmtId="209" formatCode="#,##0.00 &quot;chips&quot;"/>
    <numFmt numFmtId="210" formatCode="#,##0.00"/>
  </numFmts>
  <fonts count="28">
    <font>
      <sz val="11"/>
      <name val="Carlito"/>
    </font>
    <font>
      <b/>
      <sz val="16"/>
      <color rgb="FFFFFFFF"/>
      <name val="Carlito"/>
    </font>
    <font>
      <b/>
      <sz val="11"/>
      <color rgb="FF020C1B"/>
      <name val="Carlito"/>
    </font>
    <font>
      <sz val="11"/>
      <color rgb="FF020C1B"/>
      <name val="Carlito"/>
    </font>
    <font>
      <b/>
      <sz val="11"/>
      <color rgb="FF000000"/>
      <name val="Carlito"/>
    </font>
    <font>
      <sz val="11"/>
      <color rgb="FF000000"/>
      <name val="Carlito"/>
    </font>
    <font>
      <b/>
      <sz val="12"/>
      <color rgb="FFFFFFFF"/>
      <name val="Carlito"/>
    </font>
    <font>
      <sz val="11"/>
      <color rgb="FFFFFFFF"/>
      <name val="Carlito"/>
    </font>
    <font>
      <b/>
      <sz val="15"/>
      <color rgb="FFFFFFFF"/>
      <name val="Carlito"/>
    </font>
    <font>
      <b/>
      <sz val="11"/>
      <color rgb="FFFFFFFF"/>
      <name val="Carlito"/>
    </font>
    <font>
      <b/>
      <sz val="14"/>
      <color rgb="FFFFFFFF"/>
      <name val="Carlito"/>
    </font>
    <font>
      <b/>
      <sz val="11"/>
      <name val="Carlito"/>
    </font>
    <font>
      <sz val="11"/>
      <color rgb="FFD7D9DC"/>
      <name val="Carlito"/>
    </font>
    <font>
      <b/>
      <sz val="16"/>
      <color rgb="FF020C1B"/>
      <name val="Carlito"/>
    </font>
    <font>
      <b/>
      <sz val="10"/>
      <color rgb="FF020C1B"/>
      <name val="Carlito"/>
    </font>
    <font>
      <sz val="10"/>
      <color rgb="FFFFFFFF"/>
      <name val="Carlito"/>
    </font>
    <font>
      <sz val="10"/>
      <color rgb="FF020C1B"/>
      <name val="Carlito"/>
    </font>
    <font>
      <b/>
      <sz val="18"/>
      <color rgb="FFFF9D3C"/>
      <name val="Carlito"/>
    </font>
    <font>
      <i/>
      <sz val="10"/>
      <color rgb="FFFFFFFF"/>
      <name val="Carlito"/>
    </font>
    <font>
      <b/>
      <sz val="12"/>
      <color rgb="FF020C1B"/>
      <name val="Carlito"/>
    </font>
    <font>
      <sz val="10"/>
      <color rgb="FF020C1B"/>
      <name val="Carlito"/>
    </font>
    <font>
      <i/>
      <sz val="10"/>
      <color rgb="FF020C1B"/>
      <name val="Carlito"/>
    </font>
    <font>
      <b/>
      <sz val="18"/>
      <color rgb="FF020C1B"/>
      <name val="Carlito"/>
    </font>
    <font>
      <b/>
      <sz val="9"/>
      <color rgb="FF020C1B"/>
      <name val="Carlito"/>
    </font>
    <font>
      <b/>
      <sz val="12"/>
      <color rgb="FF1C0B04"/>
      <name val="Carlito"/>
    </font>
    <font>
      <b/>
      <sz val="10"/>
      <color rgb="FF1C0B04"/>
      <name val="Carlito"/>
    </font>
    <font>
      <sz val="10"/>
      <color rgb="FF020C1B"/>
      <name val="Carlito"/>
    </font>
    <font>
      <b/>
      <sz val="10"/>
      <color rgb="FF5B1712"/>
      <name val="Carlito"/>
    </font>
  </fonts>
  <fills count="98">
    <fill>
      <patternFill patternType="none"/>
    </fill>
    <fill>
      <patternFill patternType="gray125"/>
    </fill>
    <fill>
      <patternFill patternType="solid">
        <fgColor rgb="FF020C1B"/>
      </patternFill>
    </fill>
    <fill>
      <patternFill patternType="solid">
        <fgColor rgb="FFE8D8B8"/>
      </patternFill>
    </fill>
    <fill>
      <patternFill patternType="solid">
        <fgColor rgb="FFF5F7FA"/>
      </patternFill>
    </fill>
    <fill>
      <patternFill patternType="solid">
        <fgColor rgb="FFD9EAD3"/>
      </patternFill>
    </fill>
    <fill>
      <patternFill patternType="solid">
        <fgColor rgb="FFE7E6E6"/>
      </patternFill>
    </fill>
    <fill>
      <patternFill patternType="solid">
        <fgColor rgb="FFFFF2CC"/>
      </patternFill>
    </fill>
    <fill>
      <patternFill patternType="solid">
        <fgColor rgb="FFD9EAF7"/>
      </patternFill>
    </fill>
    <fill>
      <patternFill patternType="solid">
        <fgColor rgb="FFF4CCCC"/>
      </patternFill>
    </fill>
    <fill>
      <patternFill patternType="solid">
        <fgColor rgb="FF0C1F3A"/>
      </patternFill>
    </fill>
    <fill>
      <patternFill patternType="solid">
        <fgColor rgb="FFFFAA00"/>
      </patternFill>
    </fill>
    <fill>
      <patternFill patternType="solid">
        <fgColor rgb="FFE8D8B8"/>
      </patternFill>
    </fill>
    <fill>
      <patternFill patternType="solid">
        <fgColor rgb="FFFFAA00"/>
      </patternFill>
    </fill>
    <fill>
      <patternFill patternType="solid">
        <fgColor rgb="FF020C1B"/>
      </patternFill>
    </fill>
    <fill>
      <patternFill patternType="solid">
        <fgColor rgb="FF0C1F3A"/>
      </patternFill>
    </fill>
    <fill>
      <patternFill patternType="solid">
        <fgColor rgb="FFE8D8B8"/>
      </patternFill>
    </fill>
    <fill>
      <patternFill patternType="solid">
        <fgColor rgb="FFFFAA00"/>
      </patternFill>
    </fill>
    <fill>
      <patternFill patternType="solid">
        <fgColor rgb="FFFF9D3C"/>
      </patternFill>
    </fill>
    <fill>
      <patternFill patternType="solid">
        <fgColor rgb="FFE8D8B8"/>
      </patternFill>
    </fill>
    <fill>
      <patternFill patternType="solid">
        <fgColor rgb="FFFFF2A8"/>
      </patternFill>
    </fill>
    <fill>
      <patternFill patternType="solid">
        <fgColor rgb="FFFFF8E1"/>
      </patternFill>
    </fill>
    <fill>
      <patternFill patternType="solid">
        <fgColor rgb="FF7A1A1A"/>
      </patternFill>
    </fill>
    <fill>
      <patternFill patternType="solid">
        <fgColor rgb="FF0C1F3A"/>
      </patternFill>
    </fill>
    <fill>
      <patternFill patternType="solid">
        <fgColor rgb="FFFF9D3C"/>
      </patternFill>
    </fill>
    <fill>
      <patternFill patternType="solid">
        <fgColor rgb="FFFFF2A8"/>
      </patternFill>
    </fill>
    <fill>
      <patternFill patternType="solid">
        <fgColor rgb="FF5A5F66"/>
      </patternFill>
    </fill>
    <fill>
      <patternFill patternType="solid">
        <fgColor rgb="FFFF9D3C"/>
      </patternFill>
    </fill>
    <fill>
      <patternFill patternType="solid">
        <fgColor rgb="FFE8D8B8"/>
      </patternFill>
    </fill>
    <fill>
      <patternFill patternType="solid">
        <fgColor rgb="FFFFF2A8"/>
      </patternFill>
    </fill>
    <fill>
      <patternFill patternType="solid">
        <fgColor rgb="FFFF9D3C"/>
      </patternFill>
    </fill>
    <fill>
      <patternFill patternType="solid">
        <fgColor rgb="FFE8D8B8"/>
      </patternFill>
    </fill>
    <fill>
      <patternFill patternType="solid">
        <fgColor rgb="FFFFF2A8"/>
      </patternFill>
    </fill>
    <fill>
      <patternFill patternType="solid">
        <fgColor rgb="FFD9E5F5"/>
      </patternFill>
    </fill>
    <fill>
      <patternFill patternType="solid">
        <fgColor rgb="FFFFF2A8"/>
      </patternFill>
    </fill>
    <fill>
      <patternFill patternType="solid">
        <fgColor rgb="FFFF9D3C"/>
      </patternFill>
    </fill>
    <fill>
      <patternFill patternType="solid">
        <fgColor rgb="FFFFF2A8"/>
      </patternFill>
    </fill>
    <fill>
      <patternFill patternType="solid">
        <fgColor rgb="FFFFE699"/>
      </patternFill>
    </fill>
    <fill>
      <patternFill patternType="solid">
        <fgColor rgb="FFFF9D3C"/>
      </patternFill>
    </fill>
    <fill>
      <patternFill patternType="solid">
        <fgColor rgb="FF0C1F3A"/>
      </patternFill>
    </fill>
    <fill>
      <patternFill patternType="solid">
        <fgColor rgb="FFFFF2A8"/>
      </patternFill>
    </fill>
    <fill>
      <patternFill patternType="solid">
        <fgColor rgb="FFFFF2A8"/>
      </patternFill>
    </fill>
    <fill>
      <patternFill patternType="solid">
        <fgColor rgb="FFFFF2A8"/>
      </patternFill>
    </fill>
    <fill>
      <patternFill patternType="solid">
        <fgColor rgb="FFFFF2A8"/>
      </patternFill>
    </fill>
    <fill>
      <patternFill patternType="solid">
        <fgColor rgb="FF020C1B"/>
      </patternFill>
    </fill>
    <fill>
      <patternFill patternType="solid">
        <fgColor rgb="FF0C1F3A"/>
      </patternFill>
    </fill>
    <fill>
      <patternFill patternType="solid">
        <fgColor rgb="FFE7D7B2"/>
      </patternFill>
    </fill>
    <fill>
      <patternFill patternType="solid">
        <fgColor rgb="FFFFFDF7"/>
      </patternFill>
    </fill>
    <fill>
      <patternFill patternType="solid">
        <fgColor rgb="FFFF9D3C"/>
      </patternFill>
    </fill>
    <fill>
      <patternFill patternType="solid">
        <fgColor rgb="FFFFF2A8"/>
      </patternFill>
    </fill>
    <fill>
      <patternFill patternType="solid">
        <fgColor rgb="FFD9EAD3"/>
      </patternFill>
    </fill>
    <fill>
      <patternFill patternType="solid">
        <fgColor rgb="FFE7E6E6"/>
      </patternFill>
    </fill>
    <fill>
      <patternFill patternType="solid">
        <fgColor rgb="FFFFF2CC"/>
      </patternFill>
    </fill>
    <fill>
      <patternFill patternType="solid">
        <fgColor rgb="FFCFE2F3"/>
      </patternFill>
    </fill>
    <fill>
      <patternFill patternType="solid">
        <fgColor rgb="FFF4CCCC"/>
      </patternFill>
    </fill>
    <fill>
      <patternFill patternType="solid">
        <fgColor rgb="FFE7D7B2"/>
      </patternFill>
    </fill>
    <fill>
      <patternFill patternType="solid">
        <fgColor rgb="FFFFFDF7"/>
      </patternFill>
    </fill>
    <fill>
      <patternFill patternType="solid">
        <fgColor rgb="FFFF9D3C"/>
      </patternFill>
    </fill>
    <fill>
      <patternFill patternType="solid">
        <fgColor rgb="FFE7D7B2"/>
      </patternFill>
    </fill>
    <fill>
      <patternFill patternType="solid">
        <fgColor rgb="FFFFFDF7"/>
      </patternFill>
    </fill>
    <fill>
      <patternFill patternType="solid">
        <fgColor rgb="FFFF9D3C"/>
      </patternFill>
    </fill>
    <fill>
      <patternFill patternType="solid">
        <fgColor rgb="FFE7D7B2"/>
      </patternFill>
    </fill>
    <fill>
      <patternFill patternType="solid">
        <fgColor rgb="FFFFF2A8"/>
      </patternFill>
    </fill>
    <fill>
      <patternFill patternType="solid">
        <fgColor rgb="FFFFFDF7"/>
      </patternFill>
    </fill>
    <fill>
      <patternFill patternType="solid">
        <fgColor rgb="FFFF9D3C"/>
      </patternFill>
    </fill>
    <fill>
      <patternFill patternType="solid">
        <fgColor rgb="FFE7D7B2"/>
      </patternFill>
    </fill>
    <fill>
      <patternFill patternType="solid">
        <fgColor rgb="FFFFFDF7"/>
      </patternFill>
    </fill>
    <fill>
      <patternFill patternType="solid">
        <fgColor rgb="FFFFF2A8"/>
      </patternFill>
    </fill>
    <fill>
      <patternFill patternType="solid">
        <fgColor rgb="FFFFFFFF"/>
      </patternFill>
    </fill>
    <fill>
      <patternFill patternType="solid">
        <fgColor rgb="FFFF9D3C"/>
      </patternFill>
    </fill>
    <fill>
      <patternFill patternType="solid">
        <fgColor rgb="FF0C1F3A"/>
      </patternFill>
    </fill>
    <fill>
      <patternFill patternType="solid">
        <fgColor rgb="FFE7D7B2"/>
      </patternFill>
    </fill>
    <fill>
      <patternFill patternType="solid">
        <fgColor rgb="FFFFFDF7"/>
      </patternFill>
    </fill>
    <fill>
      <patternFill patternType="solid">
        <fgColor rgb="FFD9EAD3"/>
      </patternFill>
    </fill>
    <fill>
      <patternFill patternType="solid">
        <fgColor rgb="FFE7E6E6"/>
      </patternFill>
    </fill>
    <fill>
      <patternFill patternType="solid">
        <fgColor rgb="FFFFF2CC"/>
      </patternFill>
    </fill>
    <fill>
      <patternFill patternType="solid">
        <fgColor rgb="FFCFE2F3"/>
      </patternFill>
    </fill>
    <fill>
      <patternFill patternType="solid">
        <fgColor rgb="FFF4CCCC"/>
      </patternFill>
    </fill>
    <fill>
      <patternFill patternType="solid">
        <fgColor rgb="FFFFF2A8"/>
      </patternFill>
    </fill>
    <fill>
      <patternFill patternType="solid">
        <fgColor rgb="FFFFAA00"/>
      </patternFill>
    </fill>
    <fill>
      <patternFill patternType="solid">
        <fgColor rgb="FFE7D7B2"/>
      </patternFill>
    </fill>
    <fill>
      <patternFill patternType="solid">
        <fgColor rgb="FFFF9D3C"/>
      </patternFill>
    </fill>
    <fill>
      <patternFill patternType="solid">
        <fgColor rgb="FF0C1F3A"/>
      </patternFill>
    </fill>
    <fill>
      <patternFill patternType="solid">
        <fgColor rgb="FFFF9D3C"/>
      </patternFill>
    </fill>
    <fill>
      <patternFill patternType="solid">
        <fgColor rgb="FFFFF4D6"/>
      </patternFill>
    </fill>
    <fill>
      <patternFill patternType="solid">
        <fgColor rgb="FFF5F7FA"/>
      </patternFill>
    </fill>
    <fill>
      <patternFill patternType="solid">
        <fgColor rgb="FFFF9D3C"/>
      </patternFill>
    </fill>
    <fill>
      <patternFill patternType="solid">
        <fgColor rgb="FF0C1F3A"/>
      </patternFill>
    </fill>
    <fill>
      <patternFill patternType="solid">
        <fgColor rgb="FFF5F7FA"/>
      </patternFill>
    </fill>
    <fill>
      <patternFill patternType="solid">
        <fgColor rgb="FFF5F7FA"/>
      </patternFill>
    </fill>
    <fill>
      <patternFill patternType="solid">
        <fgColor rgb="FFF8E7DE"/>
      </patternFill>
    </fill>
    <fill>
      <patternFill patternType="solid">
        <fgColor rgb="FFF3A13C"/>
      </patternFill>
    </fill>
    <fill>
      <patternFill patternType="solid">
        <fgColor rgb="FFE7D7B2"/>
      </patternFill>
    </fill>
    <fill>
      <patternFill patternType="solid">
        <fgColor rgb="FFFFFDF7"/>
      </patternFill>
    </fill>
    <fill>
      <patternFill patternType="solid">
        <fgColor rgb="FFFF9D3C"/>
      </patternFill>
    </fill>
    <fill>
      <patternFill patternType="solid">
        <fgColor rgb="FFFFF4DE"/>
      </patternFill>
    </fill>
    <fill>
      <patternFill patternType="solid">
        <fgColor rgb="FFF3C4BE"/>
      </patternFill>
    </fill>
    <fill>
      <patternFill patternType="solid">
        <fgColor rgb="FFFBE9E6"/>
      </patternFill>
    </fill>
  </fills>
  <borders count="54">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991">
    <xf numFmtId="0" fontId="0" fillId="0" borderId="0" xfId="0"/>
    <xf numFmtId="0" fontId="0" fillId="0" borderId="1" xfId="0" applyNumberFormat="1" applyFont="1" applyFill="1" applyBorder="1"/>
    <xf numFmtId="0" fontId="0" fillId="2" borderId="0" xfId="0" applyNumberFormat="1" applyFont="1" applyFill="1" applyBorder="1"/>
    <xf numFmtId="0" fontId="1" fillId="2" borderId="0" xfId="0" applyNumberFormat="1" applyFont="1" applyFill="1" applyBorder="1"/>
    <xf numFmtId="0" fontId="1" fillId="2" borderId="0" xfId="0" applyNumberFormat="1" applyFont="1" applyFill="1" applyBorder="1" applyAlignment="1">
      <alignment horizontal="center"/>
    </xf>
    <xf numFmtId="0" fontId="1" fillId="2" borderId="0" xfId="0" applyNumberFormat="1" applyFont="1" applyFill="1" applyBorder="1" applyAlignment="1">
      <alignment horizontal="center" vertical="center"/>
    </xf>
    <xf numFmtId="0" fontId="0" fillId="2" borderId="1" xfId="0" applyNumberFormat="1" applyFont="1" applyFill="1" applyBorder="1"/>
    <xf numFmtId="0" fontId="1" fillId="2" borderId="1" xfId="0" applyNumberFormat="1" applyFont="1" applyFill="1" applyBorder="1"/>
    <xf numFmtId="0" fontId="1" fillId="2" borderId="1" xfId="0" applyNumberFormat="1" applyFont="1" applyFill="1" applyBorder="1" applyAlignment="1">
      <alignment horizontal="center"/>
    </xf>
    <xf numFmtId="0" fontId="1" fillId="2" borderId="1" xfId="0" applyNumberFormat="1" applyFont="1" applyFill="1" applyBorder="1" applyAlignment="1">
      <alignment horizontal="center" vertical="center"/>
    </xf>
    <xf numFmtId="0" fontId="0" fillId="3" borderId="0" xfId="0" applyNumberFormat="1" applyFont="1" applyFill="1" applyBorder="1"/>
    <xf numFmtId="0" fontId="2" fillId="3" borderId="0" xfId="0" applyNumberFormat="1" applyFont="1" applyFill="1" applyBorder="1"/>
    <xf numFmtId="0" fontId="2" fillId="3" borderId="0" xfId="0" applyNumberFormat="1" applyFont="1" applyFill="1" applyBorder="1" applyAlignment="1">
      <alignment wrapText="1"/>
    </xf>
    <xf numFmtId="0" fontId="2" fillId="3" borderId="0" xfId="0" applyNumberFormat="1" applyFont="1" applyFill="1" applyBorder="1" applyAlignment="1">
      <alignment vertical="top" wrapText="1"/>
    </xf>
    <xf numFmtId="0" fontId="0" fillId="3" borderId="1" xfId="0" applyNumberFormat="1" applyFont="1" applyFill="1" applyBorder="1"/>
    <xf numFmtId="0" fontId="2" fillId="3" borderId="1" xfId="0" applyNumberFormat="1" applyFont="1" applyFill="1" applyBorder="1"/>
    <xf numFmtId="0" fontId="2" fillId="3" borderId="1" xfId="0" applyNumberFormat="1" applyFont="1" applyFill="1" applyBorder="1" applyAlignment="1">
      <alignment wrapText="1"/>
    </xf>
    <xf numFmtId="0" fontId="2" fillId="3" borderId="1" xfId="0" applyNumberFormat="1" applyFont="1" applyFill="1" applyBorder="1" applyAlignment="1">
      <alignment vertical="top" wrapText="1"/>
    </xf>
    <xf numFmtId="0" fontId="0" fillId="4" borderId="0" xfId="0" applyNumberFormat="1" applyFont="1" applyFill="1" applyBorder="1"/>
    <xf numFmtId="0" fontId="3" fillId="4" borderId="0" xfId="0" applyNumberFormat="1" applyFont="1" applyFill="1" applyBorder="1"/>
    <xf numFmtId="0" fontId="3" fillId="4" borderId="0" xfId="0" applyNumberFormat="1" applyFont="1" applyFill="1" applyBorder="1" applyAlignment="1">
      <alignment wrapText="1"/>
    </xf>
    <xf numFmtId="0" fontId="3" fillId="4" borderId="0" xfId="0" applyNumberFormat="1" applyFont="1" applyFill="1" applyBorder="1" applyAlignment="1">
      <alignment vertical="top" wrapText="1"/>
    </xf>
    <xf numFmtId="0" fontId="0" fillId="4" borderId="1" xfId="0" applyNumberFormat="1" applyFont="1" applyFill="1" applyBorder="1"/>
    <xf numFmtId="0" fontId="3" fillId="4" borderId="1" xfId="0" applyNumberFormat="1" applyFont="1" applyFill="1" applyBorder="1"/>
    <xf numFmtId="0" fontId="3" fillId="4" borderId="1" xfId="0" applyNumberFormat="1" applyFont="1" applyFill="1" applyBorder="1" applyAlignment="1">
      <alignment wrapText="1"/>
    </xf>
    <xf numFmtId="0" fontId="3" fillId="4" borderId="1" xfId="0" applyNumberFormat="1" applyFont="1" applyFill="1" applyBorder="1" applyAlignment="1">
      <alignment vertical="top" wrapText="1"/>
    </xf>
    <xf numFmtId="0" fontId="2" fillId="5" borderId="0" xfId="0" applyNumberFormat="1" applyFont="1" applyFill="1" applyBorder="1" applyAlignment="1">
      <alignment vertical="top" wrapText="1"/>
    </xf>
    <xf numFmtId="0" fontId="3" fillId="5" borderId="0" xfId="0" applyNumberFormat="1" applyFont="1" applyFill="1" applyBorder="1" applyAlignment="1">
      <alignment vertical="top" wrapText="1"/>
    </xf>
    <xf numFmtId="0" fontId="2" fillId="5" borderId="1" xfId="0" applyNumberFormat="1" applyFont="1" applyFill="1" applyBorder="1" applyAlignment="1">
      <alignment vertical="top" wrapText="1"/>
    </xf>
    <xf numFmtId="0" fontId="3" fillId="5" borderId="1" xfId="0" applyNumberFormat="1" applyFont="1" applyFill="1" applyBorder="1" applyAlignment="1">
      <alignment vertical="top" wrapText="1"/>
    </xf>
    <xf numFmtId="0" fontId="4" fillId="5" borderId="0" xfId="0" applyNumberFormat="1" applyFont="1" applyFill="1" applyBorder="1" applyAlignment="1">
      <alignment vertical="top" wrapText="1"/>
    </xf>
    <xf numFmtId="0" fontId="5" fillId="5" borderId="0" xfId="0" applyNumberFormat="1" applyFont="1" applyFill="1" applyBorder="1" applyAlignment="1">
      <alignment vertical="top" wrapText="1"/>
    </xf>
    <xf numFmtId="0" fontId="4" fillId="5" borderId="1" xfId="0" applyNumberFormat="1" applyFont="1" applyFill="1" applyBorder="1" applyAlignment="1">
      <alignment vertical="top" wrapText="1"/>
    </xf>
    <xf numFmtId="0" fontId="5" fillId="5" borderId="1" xfId="0" applyNumberFormat="1" applyFont="1" applyFill="1" applyBorder="1" applyAlignment="1">
      <alignment vertical="top" wrapText="1"/>
    </xf>
    <xf numFmtId="0" fontId="2" fillId="6" borderId="0" xfId="0" applyNumberFormat="1" applyFont="1" applyFill="1" applyBorder="1" applyAlignment="1">
      <alignment vertical="top" wrapText="1"/>
    </xf>
    <xf numFmtId="0" fontId="3" fillId="6" borderId="0" xfId="0" applyNumberFormat="1" applyFont="1" applyFill="1" applyBorder="1" applyAlignment="1">
      <alignment vertical="top" wrapText="1"/>
    </xf>
    <xf numFmtId="0" fontId="2" fillId="6" borderId="1" xfId="0" applyNumberFormat="1" applyFont="1" applyFill="1" applyBorder="1" applyAlignment="1">
      <alignment vertical="top" wrapText="1"/>
    </xf>
    <xf numFmtId="0" fontId="3" fillId="6" borderId="1" xfId="0" applyNumberFormat="1" applyFont="1" applyFill="1" applyBorder="1" applyAlignment="1">
      <alignment vertical="top" wrapText="1"/>
    </xf>
    <xf numFmtId="0" fontId="4" fillId="6" borderId="0" xfId="0" applyNumberFormat="1" applyFont="1" applyFill="1" applyBorder="1" applyAlignment="1">
      <alignment vertical="top" wrapText="1"/>
    </xf>
    <xf numFmtId="0" fontId="5" fillId="6" borderId="0" xfId="0" applyNumberFormat="1" applyFont="1" applyFill="1" applyBorder="1" applyAlignment="1">
      <alignment vertical="top" wrapText="1"/>
    </xf>
    <xf numFmtId="0" fontId="4" fillId="6" borderId="1" xfId="0" applyNumberFormat="1" applyFont="1" applyFill="1" applyBorder="1" applyAlignment="1">
      <alignment vertical="top" wrapText="1"/>
    </xf>
    <xf numFmtId="0" fontId="5" fillId="6" borderId="1" xfId="0" applyNumberFormat="1" applyFont="1" applyFill="1" applyBorder="1" applyAlignment="1">
      <alignment vertical="top" wrapText="1"/>
    </xf>
    <xf numFmtId="0" fontId="2" fillId="7" borderId="0" xfId="0" applyNumberFormat="1" applyFont="1" applyFill="1" applyBorder="1" applyAlignment="1">
      <alignment vertical="top" wrapText="1"/>
    </xf>
    <xf numFmtId="0" fontId="3" fillId="7" borderId="0" xfId="0" applyNumberFormat="1" applyFont="1" applyFill="1" applyBorder="1" applyAlignment="1">
      <alignment vertical="top" wrapText="1"/>
    </xf>
    <xf numFmtId="0" fontId="2" fillId="7" borderId="1" xfId="0" applyNumberFormat="1" applyFont="1" applyFill="1" applyBorder="1" applyAlignment="1">
      <alignment vertical="top" wrapText="1"/>
    </xf>
    <xf numFmtId="0" fontId="3" fillId="7" borderId="1" xfId="0" applyNumberFormat="1" applyFont="1" applyFill="1" applyBorder="1" applyAlignment="1">
      <alignment vertical="top" wrapText="1"/>
    </xf>
    <xf numFmtId="0" fontId="4" fillId="7" borderId="0" xfId="0" applyNumberFormat="1" applyFont="1" applyFill="1" applyBorder="1" applyAlignment="1">
      <alignment vertical="top" wrapText="1"/>
    </xf>
    <xf numFmtId="0" fontId="5" fillId="7" borderId="0" xfId="0" applyNumberFormat="1" applyFont="1" applyFill="1" applyBorder="1" applyAlignment="1">
      <alignment vertical="top" wrapText="1"/>
    </xf>
    <xf numFmtId="0" fontId="4" fillId="7" borderId="1" xfId="0" applyNumberFormat="1" applyFont="1" applyFill="1" applyBorder="1" applyAlignment="1">
      <alignment vertical="top" wrapText="1"/>
    </xf>
    <xf numFmtId="0" fontId="5" fillId="7" borderId="1" xfId="0" applyNumberFormat="1" applyFont="1" applyFill="1" applyBorder="1" applyAlignment="1">
      <alignment vertical="top" wrapText="1"/>
    </xf>
    <xf numFmtId="0" fontId="2" fillId="8" borderId="0" xfId="0" applyNumberFormat="1" applyFont="1" applyFill="1" applyBorder="1" applyAlignment="1">
      <alignment vertical="top" wrapText="1"/>
    </xf>
    <xf numFmtId="0" fontId="3" fillId="8" borderId="0" xfId="0" applyNumberFormat="1" applyFont="1" applyFill="1" applyBorder="1" applyAlignment="1">
      <alignment vertical="top" wrapText="1"/>
    </xf>
    <xf numFmtId="0" fontId="2" fillId="8" borderId="1" xfId="0" applyNumberFormat="1" applyFont="1" applyFill="1" applyBorder="1" applyAlignment="1">
      <alignment vertical="top" wrapText="1"/>
    </xf>
    <xf numFmtId="0" fontId="3" fillId="8" borderId="1" xfId="0" applyNumberFormat="1" applyFont="1" applyFill="1" applyBorder="1" applyAlignment="1">
      <alignment vertical="top" wrapText="1"/>
    </xf>
    <xf numFmtId="0" fontId="4" fillId="8" borderId="0" xfId="0" applyNumberFormat="1" applyFont="1" applyFill="1" applyBorder="1" applyAlignment="1">
      <alignment vertical="top" wrapText="1"/>
    </xf>
    <xf numFmtId="0" fontId="5" fillId="8" borderId="0" xfId="0" applyNumberFormat="1" applyFont="1" applyFill="1" applyBorder="1" applyAlignment="1">
      <alignment vertical="top" wrapText="1"/>
    </xf>
    <xf numFmtId="0" fontId="4" fillId="8" borderId="1" xfId="0" applyNumberFormat="1" applyFont="1" applyFill="1" applyBorder="1" applyAlignment="1">
      <alignment vertical="top" wrapText="1"/>
    </xf>
    <xf numFmtId="0" fontId="5" fillId="8" borderId="1" xfId="0" applyNumberFormat="1" applyFont="1" applyFill="1" applyBorder="1" applyAlignment="1">
      <alignment vertical="top" wrapText="1"/>
    </xf>
    <xf numFmtId="0" fontId="2" fillId="9" borderId="0" xfId="0" applyNumberFormat="1" applyFont="1" applyFill="1" applyBorder="1" applyAlignment="1">
      <alignment vertical="top" wrapText="1"/>
    </xf>
    <xf numFmtId="0" fontId="3" fillId="9" borderId="0" xfId="0" applyNumberFormat="1" applyFont="1" applyFill="1" applyBorder="1" applyAlignment="1">
      <alignment vertical="top" wrapText="1"/>
    </xf>
    <xf numFmtId="0" fontId="2" fillId="9" borderId="1" xfId="0" applyNumberFormat="1" applyFont="1" applyFill="1" applyBorder="1" applyAlignment="1">
      <alignment vertical="top" wrapText="1"/>
    </xf>
    <xf numFmtId="0" fontId="3" fillId="9" borderId="1" xfId="0" applyNumberFormat="1" applyFont="1" applyFill="1" applyBorder="1" applyAlignment="1">
      <alignment vertical="top" wrapText="1"/>
    </xf>
    <xf numFmtId="0" fontId="4" fillId="9" borderId="0" xfId="0" applyNumberFormat="1" applyFont="1" applyFill="1" applyBorder="1" applyAlignment="1">
      <alignment vertical="top" wrapText="1"/>
    </xf>
    <xf numFmtId="0" fontId="5" fillId="9" borderId="0" xfId="0" applyNumberFormat="1" applyFont="1" applyFill="1" applyBorder="1" applyAlignment="1">
      <alignment vertical="top" wrapText="1"/>
    </xf>
    <xf numFmtId="0" fontId="4" fillId="9" borderId="1" xfId="0" applyNumberFormat="1" applyFont="1" applyFill="1" applyBorder="1" applyAlignment="1">
      <alignment vertical="top" wrapText="1"/>
    </xf>
    <xf numFmtId="0" fontId="5" fillId="9" borderId="1" xfId="0" applyNumberFormat="1" applyFont="1" applyFill="1" applyBorder="1" applyAlignment="1">
      <alignment vertical="top" wrapText="1"/>
    </xf>
    <xf numFmtId="0" fontId="6" fillId="2" borderId="0" xfId="0" applyNumberFormat="1" applyFont="1" applyFill="1" applyBorder="1"/>
    <xf numFmtId="0" fontId="6" fillId="2" borderId="0" xfId="0" applyNumberFormat="1" applyFont="1" applyFill="1" applyBorder="1" applyAlignment="1">
      <alignment horizontal="center"/>
    </xf>
    <xf numFmtId="0" fontId="6" fillId="2" borderId="0" xfId="0" applyNumberFormat="1" applyFont="1" applyFill="1" applyBorder="1" applyAlignment="1">
      <alignment horizontal="center" vertical="center"/>
    </xf>
    <xf numFmtId="0" fontId="6" fillId="2" borderId="1" xfId="0" applyNumberFormat="1" applyFont="1" applyFill="1" applyBorder="1"/>
    <xf numFmtId="0" fontId="6" fillId="2" borderId="1" xfId="0" applyNumberFormat="1" applyFont="1" applyFill="1" applyBorder="1" applyAlignment="1">
      <alignment horizontal="center"/>
    </xf>
    <xf numFmtId="0" fontId="6" fillId="2" borderId="1" xfId="0" applyNumberFormat="1" applyFont="1" applyFill="1" applyBorder="1" applyAlignment="1">
      <alignment horizontal="center" vertical="center"/>
    </xf>
    <xf numFmtId="0" fontId="0" fillId="10" borderId="0" xfId="0" applyNumberFormat="1" applyFont="1" applyFill="1" applyBorder="1"/>
    <xf numFmtId="0" fontId="7" fillId="10" borderId="0" xfId="0" applyNumberFormat="1" applyFont="1" applyFill="1" applyBorder="1"/>
    <xf numFmtId="0" fontId="7" fillId="10" borderId="0" xfId="0" applyNumberFormat="1" applyFont="1" applyFill="1" applyBorder="1" applyAlignment="1">
      <alignment wrapText="1"/>
    </xf>
    <xf numFmtId="0" fontId="7" fillId="10" borderId="0" xfId="0" applyNumberFormat="1" applyFont="1" applyFill="1" applyBorder="1" applyAlignment="1">
      <alignment horizontal="center" wrapText="1"/>
    </xf>
    <xf numFmtId="0" fontId="7" fillId="10" borderId="0" xfId="0" applyNumberFormat="1" applyFont="1" applyFill="1" applyBorder="1" applyAlignment="1">
      <alignment horizontal="center" vertical="center" wrapText="1"/>
    </xf>
    <xf numFmtId="0" fontId="0" fillId="10" borderId="1" xfId="0" applyNumberFormat="1" applyFont="1" applyFill="1" applyBorder="1"/>
    <xf numFmtId="0" fontId="7" fillId="10" borderId="1" xfId="0" applyNumberFormat="1" applyFont="1" applyFill="1" applyBorder="1"/>
    <xf numFmtId="0" fontId="7" fillId="10" borderId="1" xfId="0" applyNumberFormat="1" applyFont="1" applyFill="1" applyBorder="1" applyAlignment="1">
      <alignment wrapText="1"/>
    </xf>
    <xf numFmtId="0" fontId="7" fillId="10" borderId="1" xfId="0" applyNumberFormat="1" applyFont="1" applyFill="1" applyBorder="1" applyAlignment="1">
      <alignment horizontal="center" wrapText="1"/>
    </xf>
    <xf numFmtId="0" fontId="7" fillId="10" borderId="1" xfId="0" applyNumberFormat="1" applyFont="1" applyFill="1" applyBorder="1" applyAlignment="1">
      <alignment horizontal="center" vertical="center" wrapText="1"/>
    </xf>
    <xf numFmtId="0" fontId="2" fillId="3" borderId="0" xfId="0" applyNumberFormat="1" applyFont="1" applyFill="1" applyBorder="1" applyAlignment="1">
      <alignment horizontal="center"/>
    </xf>
    <xf numFmtId="0" fontId="2" fillId="3" borderId="0" xfId="0" applyNumberFormat="1" applyFont="1" applyFill="1" applyBorder="1" applyAlignment="1">
      <alignment horizontal="center" vertical="center"/>
    </xf>
    <xf numFmtId="0" fontId="2" fillId="3" borderId="1" xfId="0" applyNumberFormat="1" applyFont="1" applyFill="1" applyBorder="1" applyAlignment="1">
      <alignment horizontal="center"/>
    </xf>
    <xf numFmtId="0" fontId="2" fillId="3" borderId="1" xfId="0" applyNumberFormat="1" applyFont="1" applyFill="1" applyBorder="1" applyAlignment="1">
      <alignment horizontal="center" vertical="center"/>
    </xf>
    <xf numFmtId="0" fontId="0" fillId="11" borderId="0" xfId="0" applyNumberFormat="1" applyFont="1" applyFill="1" applyBorder="1"/>
    <xf numFmtId="0" fontId="2" fillId="11" borderId="0" xfId="0" applyNumberFormat="1" applyFont="1" applyFill="1" applyBorder="1"/>
    <xf numFmtId="0" fontId="2" fillId="11" borderId="0" xfId="0" applyNumberFormat="1" applyFont="1" applyFill="1" applyBorder="1" applyAlignment="1">
      <alignment horizontal="center"/>
    </xf>
    <xf numFmtId="0" fontId="2" fillId="11" borderId="0" xfId="0" applyNumberFormat="1" applyFont="1" applyFill="1" applyBorder="1" applyAlignment="1">
      <alignment horizontal="center" vertical="center"/>
    </xf>
    <xf numFmtId="0" fontId="0" fillId="11" borderId="1" xfId="0" applyNumberFormat="1" applyFont="1" applyFill="1" applyBorder="1"/>
    <xf numFmtId="0" fontId="2" fillId="11" borderId="1" xfId="0" applyNumberFormat="1" applyFont="1" applyFill="1" applyBorder="1"/>
    <xf numFmtId="0" fontId="2" fillId="11" borderId="1" xfId="0" applyNumberFormat="1" applyFont="1" applyFill="1" applyBorder="1" applyAlignment="1">
      <alignment horizontal="center"/>
    </xf>
    <xf numFmtId="0" fontId="2" fillId="11" borderId="1" xfId="0" applyNumberFormat="1" applyFont="1" applyFill="1" applyBorder="1" applyAlignment="1">
      <alignment horizontal="center" vertical="center"/>
    </xf>
    <xf numFmtId="0" fontId="2" fillId="3" borderId="0" xfId="0" applyNumberFormat="1" applyFont="1" applyFill="1" applyBorder="1" applyAlignment="1">
      <alignment horizontal="center" wrapText="1"/>
    </xf>
    <xf numFmtId="0" fontId="2" fillId="3" borderId="0" xfId="0" applyNumberFormat="1" applyFont="1" applyFill="1" applyBorder="1" applyAlignment="1">
      <alignment horizontal="center" vertical="center" wrapText="1"/>
    </xf>
    <xf numFmtId="0" fontId="2" fillId="3" borderId="1" xfId="0" applyNumberFormat="1" applyFont="1" applyFill="1" applyBorder="1" applyAlignment="1">
      <alignment horizontal="center" wrapText="1"/>
    </xf>
    <xf numFmtId="0" fontId="2" fillId="3" borderId="1" xfId="0" applyNumberFormat="1" applyFont="1" applyFill="1" applyBorder="1" applyAlignment="1">
      <alignment horizontal="center" vertical="center" wrapText="1"/>
    </xf>
    <xf numFmtId="0" fontId="2" fillId="11" borderId="0" xfId="0" applyNumberFormat="1" applyFont="1" applyFill="1" applyBorder="1" applyAlignment="1">
      <alignment wrapText="1"/>
    </xf>
    <xf numFmtId="0" fontId="2" fillId="11" borderId="0" xfId="0" applyNumberFormat="1" applyFont="1" applyFill="1" applyBorder="1" applyAlignment="1">
      <alignment horizontal="center" wrapText="1"/>
    </xf>
    <xf numFmtId="0" fontId="2" fillId="11" borderId="0" xfId="0" applyNumberFormat="1" applyFont="1" applyFill="1" applyBorder="1" applyAlignment="1">
      <alignment horizontal="center" vertical="center" wrapText="1"/>
    </xf>
    <xf numFmtId="0" fontId="2" fillId="11" borderId="1" xfId="0" applyNumberFormat="1" applyFont="1" applyFill="1" applyBorder="1" applyAlignment="1">
      <alignment wrapText="1"/>
    </xf>
    <xf numFmtId="0" fontId="2" fillId="11" borderId="1" xfId="0" applyNumberFormat="1" applyFont="1" applyFill="1" applyBorder="1" applyAlignment="1">
      <alignment horizontal="center" wrapText="1"/>
    </xf>
    <xf numFmtId="0" fontId="2" fillId="11" borderId="1"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1" xfId="0" applyNumberFormat="1" applyFont="1" applyFill="1" applyBorder="1" applyAlignment="1">
      <alignment wrapText="1"/>
    </xf>
    <xf numFmtId="0" fontId="0" fillId="0" borderId="0" xfId="0" applyNumberFormat="1" applyFont="1" applyFill="1" applyBorder="1" applyAlignment="1">
      <alignment vertical="top" wrapText="1"/>
    </xf>
    <xf numFmtId="0" fontId="0" fillId="0" borderId="0" xfId="0" applyNumberFormat="1" applyFont="1" applyFill="1" applyBorder="1" applyAlignment="1">
      <alignment vertical="top"/>
    </xf>
    <xf numFmtId="0" fontId="0" fillId="0" borderId="1" xfId="0" applyNumberFormat="1" applyFont="1" applyFill="1" applyBorder="1" applyAlignment="1">
      <alignment vertical="top" wrapText="1"/>
    </xf>
    <xf numFmtId="0" fontId="0" fillId="0" borderId="1" xfId="0" applyNumberFormat="1" applyFont="1" applyFill="1" applyBorder="1" applyAlignment="1">
      <alignment vertical="top"/>
    </xf>
    <xf numFmtId="200" fontId="0" fillId="0" borderId="0" xfId="0" applyNumberFormat="1" applyFont="1" applyFill="1" applyBorder="1" applyAlignment="1">
      <alignment vertical="top"/>
    </xf>
    <xf numFmtId="200" fontId="0" fillId="0" borderId="1" xfId="0" applyNumberFormat="1" applyFont="1" applyFill="1" applyBorder="1" applyAlignment="1">
      <alignment vertical="top"/>
    </xf>
    <xf numFmtId="201" fontId="0" fillId="0" borderId="0" xfId="0" applyNumberFormat="1" applyFont="1" applyFill="1" applyBorder="1" applyAlignment="1">
      <alignment vertical="top"/>
    </xf>
    <xf numFmtId="201" fontId="0" fillId="0" borderId="1" xfId="0" applyNumberFormat="1" applyFont="1" applyFill="1" applyBorder="1" applyAlignment="1">
      <alignment vertical="top"/>
    </xf>
    <xf numFmtId="201" fontId="0" fillId="0" borderId="0" xfId="0" applyNumberFormat="1" applyFont="1" applyFill="1" applyBorder="1" applyAlignment="1">
      <alignment vertical="top" wrapText="1"/>
    </xf>
    <xf numFmtId="201" fontId="0" fillId="0" borderId="1" xfId="0" applyNumberFormat="1" applyFont="1" applyFill="1" applyBorder="1" applyAlignment="1">
      <alignment vertical="top" wrapText="1"/>
    </xf>
    <xf numFmtId="202" fontId="0" fillId="0" borderId="0" xfId="0" applyNumberFormat="1" applyFont="1" applyFill="1" applyBorder="1" applyAlignment="1">
      <alignment vertical="top"/>
    </xf>
    <xf numFmtId="202" fontId="0" fillId="0" borderId="1" xfId="0" applyNumberFormat="1" applyFont="1" applyFill="1" applyBorder="1" applyAlignment="1">
      <alignment vertical="top"/>
    </xf>
    <xf numFmtId="201" fontId="5" fillId="0" borderId="0" xfId="0" applyNumberFormat="1" applyFont="1" applyFill="1" applyBorder="1" applyAlignment="1">
      <alignment vertical="top"/>
    </xf>
    <xf numFmtId="201" fontId="5" fillId="0" borderId="1" xfId="0" applyNumberFormat="1" applyFont="1" applyFill="1" applyBorder="1" applyAlignment="1">
      <alignment vertical="top"/>
    </xf>
    <xf numFmtId="0" fontId="8" fillId="2" borderId="0" xfId="0" applyNumberFormat="1" applyFont="1" applyFill="1" applyBorder="1"/>
    <xf numFmtId="0" fontId="8" fillId="2" borderId="0" xfId="0" applyNumberFormat="1" applyFont="1" applyFill="1" applyBorder="1" applyAlignment="1">
      <alignment horizontal="center"/>
    </xf>
    <xf numFmtId="0" fontId="8" fillId="2" borderId="0" xfId="0" applyNumberFormat="1" applyFont="1" applyFill="1" applyBorder="1" applyAlignment="1">
      <alignment horizontal="center" vertical="center"/>
    </xf>
    <xf numFmtId="0" fontId="8" fillId="2" borderId="1" xfId="0" applyNumberFormat="1" applyFont="1" applyFill="1" applyBorder="1"/>
    <xf numFmtId="0" fontId="8" fillId="2" borderId="1" xfId="0" applyNumberFormat="1" applyFont="1" applyFill="1" applyBorder="1" applyAlignment="1">
      <alignment horizontal="center"/>
    </xf>
    <xf numFmtId="0" fontId="8" fillId="2" borderId="1" xfId="0" applyNumberFormat="1" applyFont="1" applyFill="1" applyBorder="1" applyAlignment="1">
      <alignment horizontal="center" vertical="center"/>
    </xf>
    <xf numFmtId="0" fontId="3" fillId="4" borderId="0" xfId="0" applyNumberFormat="1" applyFont="1" applyFill="1" applyBorder="1" applyAlignment="1">
      <alignment vertical="center" wrapText="1"/>
    </xf>
    <xf numFmtId="0" fontId="3" fillId="4" borderId="1" xfId="0" applyNumberFormat="1" applyFont="1" applyFill="1" applyBorder="1" applyAlignment="1">
      <alignment vertical="center" wrapText="1"/>
    </xf>
    <xf numFmtId="202" fontId="3" fillId="4" borderId="0" xfId="0" applyNumberFormat="1" applyFont="1" applyFill="1" applyBorder="1" applyAlignment="1">
      <alignment vertical="center" wrapText="1"/>
    </xf>
    <xf numFmtId="202" fontId="3" fillId="4" borderId="1" xfId="0" applyNumberFormat="1" applyFont="1" applyFill="1" applyBorder="1" applyAlignment="1">
      <alignment vertical="center" wrapText="1"/>
    </xf>
    <xf numFmtId="201" fontId="3" fillId="4" borderId="0" xfId="0" applyNumberFormat="1" applyFont="1" applyFill="1" applyBorder="1" applyAlignment="1">
      <alignment vertical="center" wrapText="1"/>
    </xf>
    <xf numFmtId="201" fontId="3" fillId="4" borderId="1" xfId="0" applyNumberFormat="1" applyFont="1" applyFill="1" applyBorder="1" applyAlignment="1">
      <alignment vertical="center" wrapText="1"/>
    </xf>
    <xf numFmtId="203" fontId="3" fillId="4" borderId="0" xfId="0" applyNumberFormat="1" applyFont="1" applyFill="1" applyBorder="1" applyAlignment="1">
      <alignment vertical="center" wrapText="1"/>
    </xf>
    <xf numFmtId="0" fontId="0" fillId="0" borderId="0" xfId="0" applyNumberFormat="1" applyFont="1" applyFill="1" applyBorder="1"/>
    <xf numFmtId="0" fontId="2" fillId="12" borderId="0" xfId="0" applyNumberFormat="1" applyFont="1" applyFill="1" applyBorder="1" applyAlignment="1">
      <alignment horizontal="center" vertical="center"/>
    </xf>
    <xf numFmtId="0" fontId="2" fillId="12" borderId="0" xfId="0" applyNumberFormat="1" applyFont="1" applyFill="1" applyBorder="1" applyAlignment="1">
      <alignment horizontal="center" vertical="center" wrapText="1"/>
    </xf>
    <xf numFmtId="0" fontId="2" fillId="13" borderId="0" xfId="0" applyNumberFormat="1" applyFont="1" applyFill="1" applyBorder="1" applyAlignment="1">
      <alignment horizontal="center" vertical="center"/>
    </xf>
    <xf numFmtId="0" fontId="2" fillId="13" borderId="0" xfId="0" applyNumberFormat="1" applyFont="1" applyFill="1" applyBorder="1" applyAlignment="1">
      <alignment horizontal="center" vertical="center" wrapText="1"/>
    </xf>
    <xf numFmtId="0" fontId="6" fillId="14" borderId="0" xfId="0" applyNumberFormat="1" applyFont="1" applyFill="1" applyBorder="1" applyAlignment="1">
      <alignment horizontal="center" vertical="center"/>
    </xf>
    <xf numFmtId="0" fontId="6" fillId="14" borderId="0" xfId="0" applyNumberFormat="1" applyFont="1" applyFill="1" applyBorder="1" applyAlignment="1">
      <alignment horizontal="center" vertical="center" wrapText="1"/>
    </xf>
    <xf numFmtId="0" fontId="7" fillId="15" borderId="0" xfId="0" applyNumberFormat="1" applyFont="1" applyFill="1" applyBorder="1" applyAlignment="1">
      <alignment horizontal="center" vertical="center" wrapText="1"/>
    </xf>
    <xf numFmtId="0" fontId="2" fillId="16" borderId="0" xfId="0" applyNumberFormat="1" applyFont="1" applyFill="1" applyBorder="1" applyAlignment="1">
      <alignment horizontal="center" vertical="center" wrapText="1"/>
    </xf>
    <xf numFmtId="0" fontId="2" fillId="17" borderId="0" xfId="0" applyNumberFormat="1" applyFont="1" applyFill="1" applyBorder="1" applyAlignment="1">
      <alignment horizontal="center" vertical="center" wrapText="1"/>
    </xf>
    <xf numFmtId="0" fontId="6" fillId="2" borderId="0" xfId="0" applyNumberFormat="1" applyFont="1" applyFill="1" applyBorder="1" applyAlignment="1">
      <alignment horizontal="center" vertical="center" wrapText="1"/>
    </xf>
    <xf numFmtId="203" fontId="0" fillId="0" borderId="0" xfId="0" applyNumberFormat="1" applyFont="1" applyFill="1" applyBorder="1" applyAlignment="1">
      <alignment vertical="top"/>
    </xf>
    <xf numFmtId="0" fontId="0" fillId="18" borderId="0" xfId="0" applyNumberFormat="1" applyFont="1" applyFill="1" applyBorder="1"/>
    <xf numFmtId="0" fontId="2" fillId="18" borderId="0" xfId="0" applyNumberFormat="1" applyFont="1" applyFill="1" applyBorder="1"/>
    <xf numFmtId="0" fontId="2" fillId="18" borderId="0" xfId="0" applyNumberFormat="1" applyFont="1" applyFill="1" applyBorder="1" applyAlignment="1">
      <alignment horizontal="center"/>
    </xf>
    <xf numFmtId="0" fontId="2" fillId="18" borderId="0" xfId="0" applyNumberFormat="1" applyFont="1" applyFill="1" applyBorder="1" applyAlignment="1">
      <alignment horizontal="center" vertical="center"/>
    </xf>
    <xf numFmtId="0" fontId="0" fillId="19" borderId="0" xfId="0" applyNumberFormat="1" applyFont="1" applyFill="1" applyBorder="1"/>
    <xf numFmtId="0" fontId="2" fillId="19" borderId="0" xfId="0" applyNumberFormat="1" applyFont="1" applyFill="1" applyBorder="1"/>
    <xf numFmtId="0" fontId="2" fillId="19" borderId="0" xfId="0" applyNumberFormat="1" applyFont="1" applyFill="1" applyBorder="1" applyAlignment="1">
      <alignment wrapText="1"/>
    </xf>
    <xf numFmtId="0" fontId="2" fillId="19" borderId="0" xfId="0" applyNumberFormat="1" applyFont="1" applyFill="1" applyBorder="1" applyAlignment="1">
      <alignment vertical="center" wrapText="1"/>
    </xf>
    <xf numFmtId="0" fontId="0" fillId="20" borderId="0" xfId="0" applyNumberFormat="1" applyFont="1" applyFill="1" applyBorder="1"/>
    <xf numFmtId="0" fontId="3" fillId="20" borderId="0" xfId="0" applyNumberFormat="1" applyFont="1" applyFill="1" applyBorder="1"/>
    <xf numFmtId="0" fontId="3" fillId="20" xfId="0" applyNumberFormat="1" applyFont="1" applyFill="1" applyBorder="0"/>
    <xf numFmtId="0" fontId="3" fillId="20" xfId="0" applyNumberFormat="1" applyFont="1" applyFill="1" applyBorder="0" applyAlignment="1">
      <alignment horizontal="center"/>
    </xf>
    <xf numFmtId="0" fontId="3" fillId="20" xfId="0" applyNumberFormat="1" applyFont="1" applyFill="1" applyBorder="0" applyAlignment="1">
      <alignment horizontal="center" vertical="center"/>
    </xf>
    <xf numFmtId="201" fontId="3" fillId="20" xfId="0" applyNumberFormat="1" applyFont="1" applyFill="1" applyBorder="0" applyAlignment="1">
      <alignment horizontal="center" vertical="center"/>
    </xf>
    <xf numFmtId="203" fontId="3" fillId="20" xfId="0" applyNumberFormat="1" applyFont="1" applyFill="1" applyBorder="0" applyAlignment="1">
      <alignment horizontal="center" vertical="center"/>
    </xf>
    <xf numFmtId="0" fontId="0" fillId="21" borderId="0" xfId="0" applyNumberFormat="1" applyFont="1" applyFill="1" applyBorder="1"/>
    <xf numFmtId="0" fontId="3" fillId="21" borderId="0" xfId="0" applyNumberFormat="1" applyFont="1" applyFill="1" applyBorder="1"/>
    <xf numFmtId="0" fontId="3" fillId="21" borderId="0" xfId="0" applyNumberFormat="1" applyFont="1" applyFill="1" applyBorder="1" applyAlignment="1">
      <alignment wrapText="1"/>
    </xf>
    <xf numFmtId="0" fontId="3" fillId="21" borderId="0" xfId="0" applyNumberFormat="1" applyFont="1" applyFill="1" applyBorder="1" applyAlignment="1">
      <alignment vertical="center" wrapText="1"/>
    </xf>
    <xf numFmtId="0" fontId="0" fillId="20" borderId="0" xfId="0" applyNumberFormat="1" applyFont="1" applyFill="1" applyBorder="1" applyAlignment="1">
      <alignment vertical="top" wrapText="1"/>
    </xf>
    <xf numFmtId="200" fontId="0" fillId="20" borderId="0" xfId="0" applyNumberFormat="1" applyFont="1" applyFill="1" applyBorder="1" applyAlignment="1">
      <alignment vertical="top"/>
    </xf>
    <xf numFmtId="0" fontId="0" fillId="20" borderId="0" xfId="0" applyNumberFormat="1" applyFont="1" applyFill="1" applyBorder="1" applyAlignment="1">
      <alignment vertical="top"/>
    </xf>
    <xf numFmtId="201" fontId="0" fillId="20" borderId="0" xfId="0" applyNumberFormat="1" applyFont="1" applyFill="1" applyBorder="1" applyAlignment="1">
      <alignment vertical="top"/>
    </xf>
    <xf numFmtId="203" fontId="0" fillId="20" borderId="0" xfId="0" applyNumberFormat="1" applyFont="1" applyFill="1" applyBorder="1" applyAlignment="1">
      <alignment vertical="top"/>
    </xf>
    <xf numFmtId="201" fontId="0" fillId="20" borderId="0" xfId="0" applyNumberFormat="1" applyFont="1" applyFill="1" applyBorder="1" applyAlignment="1">
      <alignment vertical="top" wrapText="1"/>
    </xf>
    <xf numFmtId="0" fontId="0" fillId="20" xfId="0" applyNumberFormat="1" applyFont="1" applyFill="1" applyBorder="0" applyAlignment="1">
      <alignment vertical="top" wrapText="1"/>
    </xf>
    <xf numFmtId="200" fontId="0" fillId="20" xfId="0" applyNumberFormat="1" applyFont="1" applyFill="1" applyBorder="0" applyAlignment="1">
      <alignment vertical="top"/>
    </xf>
    <xf numFmtId="0" fontId="0" fillId="20" xfId="0" applyNumberFormat="1" applyFont="1" applyFill="1" applyBorder="0" applyAlignment="1">
      <alignment vertical="top"/>
    </xf>
    <xf numFmtId="201" fontId="0" fillId="20" xfId="0" applyNumberFormat="1" applyFont="1" applyFill="1" applyBorder="0" applyAlignment="1">
      <alignment vertical="top"/>
    </xf>
    <xf numFmtId="203" fontId="0" fillId="20" xfId="0" applyNumberFormat="1" applyFont="1" applyFill="1" applyBorder="0" applyAlignment="1">
      <alignment vertical="top"/>
    </xf>
    <xf numFmtId="201" fontId="0" fillId="20" xfId="0" applyNumberFormat="1" applyFont="1" applyFill="1" applyBorder="0" applyAlignment="1">
      <alignment vertical="top" wrapText="1"/>
    </xf>
    <xf numFmtId="0" fontId="0" fillId="20" xfId="0" applyNumberFormat="1" applyFont="1" applyFill="1" applyBorder="0"/>
    <xf numFmtId="0" fontId="3" fillId="20" xfId="0" applyNumberFormat="1" applyFont="1" applyFill="1" applyBorder="0" applyAlignment="1">
      <alignment vertical="top" wrapText="1"/>
    </xf>
    <xf numFmtId="200" fontId="3" fillId="20" xfId="0" applyNumberFormat="1" applyFont="1" applyFill="1" applyBorder="0" applyAlignment="1">
      <alignment vertical="top"/>
    </xf>
    <xf numFmtId="0" fontId="3" fillId="20" xfId="0" applyNumberFormat="1" applyFont="1" applyFill="1" applyBorder="0" applyAlignment="1">
      <alignment vertical="top"/>
    </xf>
    <xf numFmtId="201" fontId="3" fillId="20" xfId="0" applyNumberFormat="1" applyFont="1" applyFill="1" applyBorder="0" applyAlignment="1">
      <alignment vertical="top"/>
    </xf>
    <xf numFmtId="203" fontId="3" fillId="20" xfId="0" applyNumberFormat="1" applyFont="1" applyFill="1" applyBorder="0" applyAlignment="1">
      <alignment vertical="top"/>
    </xf>
    <xf numFmtId="201" fontId="3" fillId="20" xfId="0" applyNumberFormat="1" applyFont="1" applyFill="1" applyBorder="0" applyAlignment="1">
      <alignment vertical="top" wrapText="1"/>
    </xf>
    <xf numFmtId="0" fontId="3" fillId="20" xfId="0" applyNumberFormat="1" applyFont="1" applyFill="1" applyBorder="0" applyAlignment="1">
      <alignment vertical="center" wrapText="1"/>
    </xf>
    <xf numFmtId="200" fontId="3" fillId="20" xfId="0" applyNumberFormat="1" applyFont="1" applyFill="1" applyBorder="0" applyAlignment="1">
      <alignment vertical="center"/>
    </xf>
    <xf numFmtId="0" fontId="3" fillId="20" xfId="0" applyNumberFormat="1" applyFont="1" applyFill="1" applyBorder="0" applyAlignment="1">
      <alignment vertical="center"/>
    </xf>
    <xf numFmtId="201" fontId="3" fillId="20" xfId="0" applyNumberFormat="1" applyFont="1" applyFill="1" applyBorder="0" applyAlignment="1">
      <alignment vertical="center"/>
    </xf>
    <xf numFmtId="203" fontId="3" fillId="20" xfId="0" applyNumberFormat="1" applyFont="1" applyFill="1" applyBorder="0" applyAlignment="1">
      <alignment vertical="center"/>
    </xf>
    <xf numFmtId="201" fontId="3" fillId="20" xfId="0" applyNumberFormat="1" applyFont="1" applyFill="1" applyBorder="0" applyAlignment="1">
      <alignment vertical="center" wrapText="1"/>
    </xf>
    <xf numFmtId="200" fontId="3" fillId="20" xfId="0" applyNumberFormat="1" applyFont="1" applyFill="1" applyBorder="0" applyAlignment="1">
      <alignment vertical="center" wrapText="1"/>
    </xf>
    <xf numFmtId="203" fontId="3" fillId="20" xfId="0" applyNumberFormat="1" applyFont="1" applyFill="1" applyBorder="0" applyAlignment="1">
      <alignment vertical="center" wrapText="1"/>
    </xf>
    <xf numFmtId="204" fontId="3" fillId="20" xfId="0" applyNumberFormat="1" applyFont="1" applyFill="1" applyBorder="0" applyAlignment="1">
      <alignment vertical="center" wrapText="1"/>
    </xf>
    <xf numFmtId="205" fontId="3" fillId="20" xfId="0" applyNumberFormat="1" applyFont="1" applyFill="1" applyBorder="0" applyAlignment="1">
      <alignment vertical="center" wrapText="1"/>
    </xf>
    <xf numFmtId="0" fontId="0" fillId="22" borderId="0" xfId="0" applyNumberFormat="1" applyFont="1" applyFill="1" applyBorder="1"/>
    <xf numFmtId="0" fontId="9" fillId="22" borderId="0" xfId="0" applyNumberFormat="1" applyFont="1" applyFill="1" applyBorder="1"/>
    <xf numFmtId="0" fontId="9" fillId="22" xfId="0" applyNumberFormat="1" applyFont="1" applyFill="1" applyBorder="0"/>
    <xf numFmtId="0" fontId="9" fillId="22" xfId="0" applyNumberFormat="1" applyFont="1" applyFill="1" applyBorder="0" applyAlignment="1">
      <alignment wrapText="1"/>
    </xf>
    <xf numFmtId="0" fontId="9" fillId="22" xfId="0" applyNumberFormat="1" applyFont="1" applyFill="1" applyBorder="0" applyAlignment="1">
      <alignment horizontal="center" wrapText="1"/>
    </xf>
    <xf numFmtId="0" fontId="9" fillId="22" xfId="0" applyNumberFormat="1" applyFont="1" applyFill="1" applyBorder="0" applyAlignment="1">
      <alignment horizontal="center" vertical="center" wrapText="1"/>
    </xf>
    <xf numFmtId="0" fontId="2" fillId="3" borderId="0" xfId="0" applyNumberFormat="1" applyFont="1" applyFill="1" applyBorder="1" applyAlignment="1">
      <alignment vertical="center" wrapText="1"/>
    </xf>
    <xf numFmtId="0" fontId="1" fillId="2" borderId="0" xfId="0" applyNumberFormat="1" applyFont="1" applyFill="1" applyBorder="1" applyAlignment="1">
      <alignment horizontal="center" vertical="center" wrapText="0"/>
    </xf>
    <xf numFmtId="0" fontId="0" fillId="0" borderId="0" xfId="0" applyNumberFormat="1" applyFont="1" applyFill="1" applyBorder="1" applyAlignment="1">
      <alignment wrapText="0"/>
    </xf>
    <xf numFmtId="0" fontId="2" fillId="3" borderId="0" xfId="0" applyNumberFormat="1" applyFont="1" applyFill="1" applyBorder="1" applyAlignment="1">
      <alignment vertical="top" wrapText="0"/>
    </xf>
    <xf numFmtId="0" fontId="3" fillId="4" borderId="0" xfId="0" applyNumberFormat="1" applyFont="1" applyFill="1" applyBorder="1" applyAlignment="1">
      <alignment vertical="top" wrapText="0"/>
    </xf>
    <xf numFmtId="0" fontId="4" fillId="5" borderId="0" xfId="0" applyNumberFormat="1" applyFont="1" applyFill="1" applyBorder="1" applyAlignment="1">
      <alignment vertical="top" wrapText="0"/>
    </xf>
    <xf numFmtId="0" fontId="5" fillId="5" borderId="0" xfId="0" applyNumberFormat="1" applyFont="1" applyFill="1" applyBorder="1" applyAlignment="1">
      <alignment vertical="top" wrapText="0"/>
    </xf>
    <xf numFmtId="0" fontId="4" fillId="6" borderId="0" xfId="0" applyNumberFormat="1" applyFont="1" applyFill="1" applyBorder="1" applyAlignment="1">
      <alignment vertical="top" wrapText="0"/>
    </xf>
    <xf numFmtId="0" fontId="5" fillId="6" borderId="0" xfId="0" applyNumberFormat="1" applyFont="1" applyFill="1" applyBorder="1" applyAlignment="1">
      <alignment vertical="top" wrapText="0"/>
    </xf>
    <xf numFmtId="0" fontId="4" fillId="7" borderId="0" xfId="0" applyNumberFormat="1" applyFont="1" applyFill="1" applyBorder="1" applyAlignment="1">
      <alignment vertical="top" wrapText="0"/>
    </xf>
    <xf numFmtId="0" fontId="5" fillId="7" borderId="0" xfId="0" applyNumberFormat="1" applyFont="1" applyFill="1" applyBorder="1" applyAlignment="1">
      <alignment vertical="top" wrapText="0"/>
    </xf>
    <xf numFmtId="0" fontId="4" fillId="8" borderId="0" xfId="0" applyNumberFormat="1" applyFont="1" applyFill="1" applyBorder="1" applyAlignment="1">
      <alignment vertical="top" wrapText="0"/>
    </xf>
    <xf numFmtId="0" fontId="5" fillId="8" borderId="0" xfId="0" applyNumberFormat="1" applyFont="1" applyFill="1" applyBorder="1" applyAlignment="1">
      <alignment vertical="top" wrapText="0"/>
    </xf>
    <xf numFmtId="0" fontId="4" fillId="9" borderId="0" xfId="0" applyNumberFormat="1" applyFont="1" applyFill="1" applyBorder="1" applyAlignment="1">
      <alignment vertical="top" wrapText="0"/>
    </xf>
    <xf numFmtId="0" fontId="5" fillId="9" borderId="0" xfId="0" applyNumberFormat="1" applyFont="1" applyFill="1" applyBorder="1" applyAlignment="1">
      <alignment vertical="top" wrapText="0"/>
    </xf>
    <xf numFmtId="0" fontId="2" fillId="18" borderId="0" xfId="0" applyNumberFormat="1" applyFont="1" applyFill="1" applyBorder="1" applyAlignment="1">
      <alignment horizontal="center" vertical="center" wrapText="0"/>
    </xf>
    <xf numFmtId="0" fontId="2" fillId="3" borderId="0" xfId="0" applyNumberFormat="1" applyFont="1" applyFill="1" applyBorder="1" applyAlignment="1">
      <alignment vertical="center" wrapText="0"/>
    </xf>
    <xf numFmtId="201" fontId="3" fillId="20" xfId="0" applyNumberFormat="1" applyFont="1" applyFill="1" applyBorder="0" applyAlignment="1">
      <alignment horizontal="center" vertical="center" wrapText="0"/>
    </xf>
    <xf numFmtId="203" fontId="3" fillId="20" xfId="0" applyNumberFormat="1" applyFont="1" applyFill="1" applyBorder="0" applyAlignment="1">
      <alignment horizontal="center" vertical="center" wrapText="0"/>
    </xf>
    <xf numFmtId="0" fontId="3" fillId="21" borderId="0" xfId="0" applyNumberFormat="1" applyFont="1" applyFill="1" applyBorder="1" applyAlignment="1">
      <alignment vertical="center" wrapText="0"/>
    </xf>
    <xf numFmtId="0" fontId="0" fillId="0" borderId="0" xfId="0" applyNumberFormat="1" applyFont="1" applyFill="1" applyBorder="1" applyAlignment="1">
      <alignment vertical="center" wrapText="0"/>
    </xf>
    <xf numFmtId="0" fontId="3" fillId="4" borderId="0" xfId="0" applyNumberFormat="1" applyFont="1" applyFill="1" applyBorder="1" applyAlignment="1">
      <alignment vertical="center" wrapText="0"/>
    </xf>
    <xf numFmtId="0" fontId="4" fillId="5" borderId="0" xfId="0" applyNumberFormat="1" applyFont="1" applyFill="1" applyBorder="1" applyAlignment="1">
      <alignment vertical="center" wrapText="0"/>
    </xf>
    <xf numFmtId="0" fontId="5" fillId="5" borderId="0" xfId="0" applyNumberFormat="1" applyFont="1" applyFill="1" applyBorder="1" applyAlignment="1">
      <alignment vertical="center" wrapText="0"/>
    </xf>
    <xf numFmtId="0" fontId="4" fillId="6" borderId="0" xfId="0" applyNumberFormat="1" applyFont="1" applyFill="1" applyBorder="1" applyAlignment="1">
      <alignment vertical="center" wrapText="0"/>
    </xf>
    <xf numFmtId="0" fontId="5" fillId="6" borderId="0" xfId="0" applyNumberFormat="1" applyFont="1" applyFill="1" applyBorder="1" applyAlignment="1">
      <alignment vertical="center" wrapText="0"/>
    </xf>
    <xf numFmtId="0" fontId="4" fillId="7" borderId="0" xfId="0" applyNumberFormat="1" applyFont="1" applyFill="1" applyBorder="1" applyAlignment="1">
      <alignment vertical="center" wrapText="0"/>
    </xf>
    <xf numFmtId="0" fontId="5" fillId="7" borderId="0" xfId="0" applyNumberFormat="1" applyFont="1" applyFill="1" applyBorder="1" applyAlignment="1">
      <alignment vertical="center" wrapText="0"/>
    </xf>
    <xf numFmtId="0" fontId="4" fillId="8" borderId="0" xfId="0" applyNumberFormat="1" applyFont="1" applyFill="1" applyBorder="1" applyAlignment="1">
      <alignment vertical="center" wrapText="0"/>
    </xf>
    <xf numFmtId="0" fontId="5" fillId="8" borderId="0" xfId="0" applyNumberFormat="1" applyFont="1" applyFill="1" applyBorder="1" applyAlignment="1">
      <alignment vertical="center" wrapText="0"/>
    </xf>
    <xf numFmtId="0" fontId="4" fillId="9" borderId="0" xfId="0" applyNumberFormat="1" applyFont="1" applyFill="1" applyBorder="1" applyAlignment="1">
      <alignment vertical="center" wrapText="0"/>
    </xf>
    <xf numFmtId="0" fontId="5" fillId="9" borderId="0" xfId="0" applyNumberFormat="1" applyFont="1" applyFill="1" applyBorder="1" applyAlignment="1">
      <alignment vertical="center" wrapText="0"/>
    </xf>
    <xf numFmtId="0" fontId="1" fillId="23" borderId="0" xfId="0" applyNumberFormat="1" applyFont="1" applyFill="1" applyBorder="1" applyAlignment="1">
      <alignment horizontal="center" vertical="center" wrapText="0"/>
    </xf>
    <xf numFmtId="0" fontId="0" fillId="23" borderId="0" xfId="0" applyNumberFormat="1" applyFont="1" applyFill="1" applyBorder="1" applyAlignment="1">
      <alignment vertical="center" wrapText="0"/>
    </xf>
    <xf numFmtId="0" fontId="10" fillId="23" borderId="0" xfId="0" applyNumberFormat="1" applyFont="1" applyFill="1" applyBorder="1" applyAlignment="1">
      <alignment horizontal="center" vertical="center" wrapText="0"/>
    </xf>
    <xf numFmtId="0" fontId="10" fillId="23" borderId="0" xfId="0" applyNumberFormat="1" applyFont="1" applyFill="1" applyBorder="1" applyAlignment="1">
      <alignment vertical="center" wrapText="0"/>
    </xf>
    <xf numFmtId="0" fontId="0" fillId="24" borderId="0" xfId="0" applyNumberFormat="1" applyFont="1" applyFill="1" applyBorder="1" applyAlignment="1">
      <alignment vertical="center" wrapText="0"/>
    </xf>
    <xf numFmtId="0" fontId="2" fillId="24" borderId="0" xfId="0" applyNumberFormat="1" applyFont="1" applyFill="1" applyBorder="1" applyAlignment="1">
      <alignment vertical="center" wrapText="0"/>
    </xf>
    <xf numFmtId="0" fontId="2" fillId="24" borderId="0" xfId="0" applyNumberFormat="1" applyFont="1" applyFill="1" applyBorder="1" applyAlignment="1">
      <alignment horizontal="center" vertical="center" wrapText="0"/>
    </xf>
    <xf numFmtId="0" fontId="11" fillId="0" borderId="0" xfId="0" applyNumberFormat="1" applyFont="1" applyFill="1" applyBorder="1" applyAlignment="1">
      <alignment vertical="center" wrapText="0"/>
    </xf>
    <xf numFmtId="205" fontId="3" fillId="25" xfId="0" applyNumberFormat="1" applyFont="1" applyFill="1" applyBorder="0" applyAlignment="1">
      <alignment vertical="center" wrapText="1"/>
    </xf>
    <xf numFmtId="204" fontId="3" fillId="25" xfId="0" applyNumberFormat="1" applyFont="1" applyFill="1" applyBorder="0" applyAlignment="1">
      <alignment vertical="center" wrapText="1"/>
    </xf>
    <xf numFmtId="201" fontId="3" fillId="25" xfId="0" applyNumberFormat="1" applyFont="1" applyFill="1" applyBorder="0" applyAlignment="1">
      <alignment vertical="center" wrapText="1"/>
    </xf>
    <xf numFmtId="203" fontId="3" fillId="25" xfId="0" applyNumberFormat="1" applyFont="1" applyFill="1" applyBorder="0" applyAlignment="1">
      <alignment vertical="center" wrapText="1"/>
    </xf>
    <xf numFmtId="0" fontId="0" fillId="26" borderId="0" xfId="0" applyNumberFormat="1" applyFont="1" applyFill="1" applyBorder="1"/>
    <xf numFmtId="0" fontId="12" fillId="26" borderId="0" xfId="0" applyNumberFormat="1" applyFont="1" applyFill="1" applyBorder="1"/>
    <xf numFmtId="0" fontId="12" fillId="26" xfId="0" applyNumberFormat="1" applyFont="1" applyFill="1" applyBorder="0"/>
    <xf numFmtId="0" fontId="1" fillId="10" borderId="0" xfId="0" applyNumberFormat="1" applyFont="1" applyFill="1" applyBorder="1" applyAlignment="1">
      <alignment horizontal="center" vertical="center" wrapText="0"/>
    </xf>
    <xf numFmtId="0" fontId="0" fillId="10" borderId="0" xfId="0" applyNumberFormat="1" applyFont="1" applyFill="1" applyBorder="1" applyAlignment="1">
      <alignment vertical="center" wrapText="0"/>
    </xf>
    <xf numFmtId="0" fontId="10" fillId="10" borderId="0" xfId="0" applyNumberFormat="1" applyFont="1" applyFill="1" applyBorder="1" applyAlignment="1">
      <alignment horizontal="center" vertical="center" wrapText="0"/>
    </xf>
    <xf numFmtId="0" fontId="10" fillId="10" borderId="0" xfId="0" applyNumberFormat="1" applyFont="1" applyFill="1" applyBorder="1" applyAlignment="1">
      <alignment vertical="center" wrapText="0"/>
    </xf>
    <xf numFmtId="0" fontId="0" fillId="18" borderId="0" xfId="0" applyNumberFormat="1" applyFont="1" applyFill="1" applyBorder="1" applyAlignment="1">
      <alignment vertical="center" wrapText="0"/>
    </xf>
    <xf numFmtId="0" fontId="2" fillId="18" borderId="0" xfId="0" applyNumberFormat="1" applyFont="1" applyFill="1" applyBorder="1" applyAlignment="1">
      <alignment vertical="center" wrapText="0"/>
    </xf>
    <xf numFmtId="0" fontId="2" fillId="27" borderId="0" xfId="0" applyNumberFormat="1" applyFont="1" applyFill="1" applyBorder="1" applyAlignment="1">
      <alignment horizontal="center" vertical="center" wrapText="0"/>
    </xf>
    <xf numFmtId="0" fontId="0" fillId="27" borderId="0" xfId="0" applyNumberFormat="1" applyFont="1" applyFill="1" applyBorder="1" applyAlignment="1">
      <alignment vertical="center" wrapText="0"/>
    </xf>
    <xf numFmtId="0" fontId="2" fillId="27" borderId="0" xfId="0" applyNumberFormat="1" applyFont="1" applyFill="1" applyBorder="1" applyAlignment="1">
      <alignment vertical="center" wrapText="0"/>
    </xf>
    <xf numFmtId="0" fontId="2" fillId="28" borderId="0" xfId="0" applyNumberFormat="1" applyFont="1" applyFill="1" applyBorder="1" applyAlignment="1">
      <alignment vertical="center" wrapText="0"/>
    </xf>
    <xf numFmtId="0" fontId="3" fillId="28" borderId="0" xfId="0" applyNumberFormat="1" applyFont="1" applyFill="1" applyBorder="1" applyAlignment="1">
      <alignment vertical="center" wrapText="0"/>
    </xf>
    <xf numFmtId="201" fontId="3" fillId="29" xfId="0" applyNumberFormat="1" applyFont="1" applyFill="1" applyBorder="0" applyAlignment="1">
      <alignment horizontal="center" vertical="center" wrapText="0"/>
    </xf>
    <xf numFmtId="203" fontId="3" fillId="29" xfId="0" applyNumberFormat="1" applyFont="1" applyFill="1" applyBorder="0" applyAlignment="1">
      <alignment horizontal="center" vertical="center" wrapText="0"/>
    </xf>
    <xf numFmtId="205" fontId="3" fillId="20" xfId="0" applyNumberFormat="1" applyFont="1" applyFill="1" applyBorder="0" applyAlignment="1">
      <alignment vertical="center" wrapText="0"/>
    </xf>
    <xf numFmtId="205" fontId="3" fillId="29" xfId="0" applyNumberFormat="1" applyFont="1" applyFill="1" applyBorder="0" applyAlignment="1">
      <alignment vertical="center" wrapText="1"/>
    </xf>
    <xf numFmtId="204" fontId="3" fillId="29" xfId="0" applyNumberFormat="1" applyFont="1" applyFill="1" applyBorder="0" applyAlignment="1">
      <alignment vertical="center" wrapText="1"/>
    </xf>
    <xf numFmtId="205" fontId="3" fillId="29" xfId="0" applyNumberFormat="1" applyFont="1" applyFill="1" applyBorder="0" applyAlignment="1">
      <alignment vertical="center" wrapText="0"/>
    </xf>
    <xf numFmtId="201" fontId="3" fillId="29" xfId="0" applyNumberFormat="1" applyFont="1" applyFill="1" applyBorder="0" applyAlignment="1">
      <alignment vertical="center" wrapText="1"/>
    </xf>
    <xf numFmtId="203" fontId="3" fillId="29" xfId="0" applyNumberFormat="1" applyFont="1" applyFill="1" applyBorder="0" applyAlignment="1">
      <alignment vertical="center" wrapText="1"/>
    </xf>
    <xf numFmtId="0" fontId="3" fillId="3" borderId="0" xfId="0" applyNumberFormat="1" applyFont="1" applyFill="1" applyBorder="1" applyAlignment="1">
      <alignment vertical="center" wrapText="0"/>
    </xf>
    <xf numFmtId="0" fontId="10" fillId="30" borderId="0" xfId="0" applyNumberFormat="1" applyFont="1" applyFill="1" applyBorder="1" applyAlignment="1">
      <alignment horizontal="center" vertical="center" wrapText="0"/>
    </xf>
    <xf numFmtId="0" fontId="0" fillId="30" borderId="0" xfId="0" applyNumberFormat="1" applyFont="1" applyFill="1" applyBorder="1"/>
    <xf numFmtId="0" fontId="13" fillId="30" borderId="0" xfId="0" applyNumberFormat="1" applyFont="1" applyFill="1" applyBorder="1" applyAlignment="1">
      <alignment horizontal="center" vertical="center" wrapText="0"/>
    </xf>
    <xf numFmtId="0" fontId="13" fillId="30" borderId="0" xfId="0" applyNumberFormat="1" applyFont="1" applyFill="1" applyBorder="1"/>
    <xf numFmtId="0" fontId="13" fillId="30" borderId="0" xfId="0" applyNumberFormat="1" applyFont="1" applyFill="1" applyBorder="1" applyAlignment="1">
      <alignment wrapText="0"/>
    </xf>
    <xf numFmtId="0" fontId="13" fillId="30" borderId="0" xfId="0" applyNumberFormat="1" applyFont="1" applyFill="1" applyBorder="1" applyAlignment="1">
      <alignment horizontal="center" wrapText="0"/>
    </xf>
    <xf numFmtId="0" fontId="2" fillId="30" borderId="0" xfId="0" applyNumberFormat="1" applyFont="1" applyFill="1" applyBorder="1" applyAlignment="1">
      <alignment horizontal="center" vertical="center" wrapText="0"/>
    </xf>
    <xf numFmtId="0" fontId="2" fillId="30" borderId="0" xfId="0" applyNumberFormat="1" applyFont="1" applyFill="1" applyBorder="1"/>
    <xf numFmtId="0" fontId="2" fillId="30" borderId="0" xfId="0" applyNumberFormat="1" applyFont="1" applyFill="1" applyBorder="1" applyAlignment="1">
      <alignment wrapText="0"/>
    </xf>
    <xf numFmtId="0" fontId="2" fillId="30" borderId="0" xfId="0" applyNumberFormat="1" applyFont="1" applyFill="1" applyBorder="1" applyAlignment="1">
      <alignment horizontal="center" wrapText="0"/>
    </xf>
    <xf numFmtId="0" fontId="2" fillId="31" borderId="0" xfId="0" applyNumberFormat="1" applyFont="1" applyFill="1" applyBorder="1" applyAlignment="1">
      <alignment vertical="center" wrapText="0"/>
    </xf>
    <xf numFmtId="201" fontId="3" fillId="32" xfId="0" applyNumberFormat="1" applyFont="1" applyFill="1" applyBorder="0" applyAlignment="1">
      <alignment horizontal="center" vertical="center" wrapText="0"/>
    </xf>
    <xf numFmtId="203" fontId="3" fillId="32" xfId="0" applyNumberFormat="1" applyFont="1" applyFill="1" applyBorder="0" applyAlignment="1">
      <alignment horizontal="center" vertical="center" wrapText="0"/>
    </xf>
    <xf numFmtId="0" fontId="3" fillId="21" borderId="0" xfId="0" applyNumberFormat="1" applyFont="1" applyFill="1" applyBorder="1" applyAlignment="1">
      <alignment vertical="top" wrapText="1"/>
    </xf>
    <xf numFmtId="205" fontId="3" fillId="32" xfId="0" applyNumberFormat="1" applyFont="1" applyFill="1" applyBorder="0" applyAlignment="1">
      <alignment vertical="center" wrapText="1"/>
    </xf>
    <xf numFmtId="204" fontId="3" fillId="32" xfId="0" applyNumberFormat="1" applyFont="1" applyFill="1" applyBorder="0" applyAlignment="1">
      <alignment vertical="center" wrapText="1"/>
    </xf>
    <xf numFmtId="205" fontId="3" fillId="32" xfId="0" applyNumberFormat="1" applyFont="1" applyFill="1" applyBorder="0" applyAlignment="1">
      <alignment vertical="center" wrapText="0"/>
    </xf>
    <xf numFmtId="201" fontId="3" fillId="32" xfId="0" applyNumberFormat="1" applyFont="1" applyFill="1" applyBorder="0" applyAlignment="1">
      <alignment vertical="center" wrapText="1"/>
    </xf>
    <xf numFmtId="203" fontId="3" fillId="32" xfId="0" applyNumberFormat="1" applyFont="1" applyFill="1" applyBorder="0" applyAlignment="1">
      <alignment vertical="center" wrapText="1"/>
    </xf>
    <xf numFmtId="204" fontId="3" fillId="32" xfId="0" applyNumberFormat="1" applyFont="1" applyFill="1" applyBorder="0" applyAlignment="1">
      <alignment vertical="center" wrapText="0"/>
    </xf>
    <xf numFmtId="201" fontId="3" fillId="32" xfId="0" applyNumberFormat="1" applyFont="1" applyFill="1" applyBorder="0" applyAlignment="1">
      <alignment vertical="center" wrapText="0"/>
    </xf>
    <xf numFmtId="203" fontId="3" fillId="32" xfId="0" applyNumberFormat="1" applyFont="1" applyFill="1" applyBorder="0" applyAlignment="1">
      <alignment vertical="center" wrapText="0"/>
    </xf>
    <xf numFmtId="201" fontId="0" fillId="0" borderId="0" xfId="0" applyNumberFormat="1" applyFont="1" applyFill="1" applyBorder="1"/>
    <xf numFmtId="202" fontId="0" fillId="0" borderId="0" xfId="0" applyNumberFormat="1" applyFont="1" applyFill="1" applyBorder="1"/>
    <xf numFmtId="205" fontId="0" fillId="0" borderId="0" xfId="0" applyNumberFormat="1" applyFont="1" applyFill="1" applyBorder="1" applyAlignment="1">
      <alignment vertical="top"/>
    </xf>
    <xf numFmtId="205" fontId="0" fillId="0" borderId="0" xfId="0" applyNumberFormat="1" applyFont="1" applyFill="1" applyBorder="1"/>
    <xf numFmtId="203" fontId="0" fillId="0" borderId="0" xfId="0" applyNumberFormat="1" applyFont="1" applyFill="1" applyBorder="1"/>
    <xf numFmtId="0" fontId="2" fillId="33" borderId="0" xfId="0" applyNumberFormat="1" applyFont="1" applyFill="1" applyBorder="1" applyAlignment="1">
      <alignment horizontal="center" vertical="center" wrapText="1"/>
    </xf>
    <xf numFmtId="0" fontId="14" fillId="33" borderId="0" xfId="0" applyNumberFormat="1" applyFont="1" applyFill="1" applyBorder="1" applyAlignment="1">
      <alignment horizontal="center" vertical="center" wrapText="1"/>
    </xf>
    <xf numFmtId="0" fontId="10" fillId="18" borderId="0" xfId="0" applyNumberFormat="1" applyFont="1" applyFill="1" applyBorder="1" applyAlignment="1">
      <alignment horizontal="center" vertical="center" wrapText="0"/>
    </xf>
    <xf numFmtId="0" fontId="13" fillId="18" borderId="0" xfId="0" applyNumberFormat="1" applyFont="1" applyFill="1" applyBorder="1" applyAlignment="1">
      <alignment horizontal="center" vertical="center" wrapText="0"/>
    </xf>
    <xf numFmtId="0" fontId="13" fillId="18" borderId="0" xfId="0" applyNumberFormat="1" applyFont="1" applyFill="1" applyBorder="1"/>
    <xf numFmtId="0" fontId="13" fillId="18" borderId="0" xfId="0" applyNumberFormat="1" applyFont="1" applyFill="1" applyBorder="1" applyAlignment="1">
      <alignment wrapText="0"/>
    </xf>
    <xf numFmtId="0" fontId="13" fillId="18" borderId="0" xfId="0" applyNumberFormat="1" applyFont="1" applyFill="1" applyBorder="1" applyAlignment="1">
      <alignment horizontal="center" wrapText="0"/>
    </xf>
    <xf numFmtId="0" fontId="2" fillId="18" borderId="0" xfId="0" applyNumberFormat="1" applyFont="1" applyFill="1" applyBorder="1" applyAlignment="1">
      <alignment wrapText="0"/>
    </xf>
    <xf numFmtId="0" fontId="2" fillId="18" borderId="0" xfId="0" applyNumberFormat="1" applyFont="1" applyFill="1" applyBorder="1" applyAlignment="1">
      <alignment horizontal="center" wrapText="0"/>
    </xf>
    <xf numFmtId="204" fontId="3" fillId="20" xfId="0" applyNumberFormat="1" applyFont="1" applyFill="1" applyBorder="0" applyAlignment="1">
      <alignment vertical="center" wrapText="0"/>
    </xf>
    <xf numFmtId="201" fontId="3" fillId="20" xfId="0" applyNumberFormat="1" applyFont="1" applyFill="1" applyBorder="0" applyAlignment="1">
      <alignment vertical="center" wrapText="0"/>
    </xf>
    <xf numFmtId="203" fontId="3" fillId="20" xfId="0" applyNumberFormat="1" applyFont="1" applyFill="1" applyBorder="0" applyAlignment="1">
      <alignment vertical="center" wrapText="0"/>
    </xf>
    <xf numFmtId="205" fontId="3" fillId="34" xfId="0" applyNumberFormat="1" applyFont="1" applyFill="1" applyBorder="0" applyAlignment="1">
      <alignment vertical="center" wrapText="0"/>
    </xf>
    <xf numFmtId="204" fontId="3" fillId="34" xfId="0" applyNumberFormat="1" applyFont="1" applyFill="1" applyBorder="0" applyAlignment="1">
      <alignment vertical="center" wrapText="0"/>
    </xf>
    <xf numFmtId="201" fontId="3" fillId="34" xfId="0" applyNumberFormat="1" applyFont="1" applyFill="1" applyBorder="0" applyAlignment="1">
      <alignment vertical="center" wrapText="0"/>
    </xf>
    <xf numFmtId="203" fontId="3" fillId="34" xfId="0" applyNumberFormat="1" applyFont="1" applyFill="1" applyBorder="0" applyAlignment="1">
      <alignment vertical="center" wrapText="0"/>
    </xf>
    <xf numFmtId="0" fontId="2" fillId="35" borderId="0" xfId="0" applyNumberFormat="1" applyFont="1" applyFill="1" applyBorder="1" applyAlignment="1">
      <alignment horizontal="center" vertical="center" wrapText="1"/>
    </xf>
    <xf numFmtId="0" fontId="2" fillId="18" borderId="0" xfId="0" applyNumberFormat="1" applyFont="1" applyFill="1" applyBorder="1" applyAlignment="1">
      <alignment horizontal="center" vertical="center" wrapText="1"/>
    </xf>
    <xf numFmtId="205" fontId="3" fillId="36" xfId="0" applyNumberFormat="1" applyFont="1" applyFill="1" applyBorder="0" applyAlignment="1">
      <alignment vertical="center" wrapText="0"/>
    </xf>
    <xf numFmtId="204" fontId="3" fillId="36" xfId="0" applyNumberFormat="1" applyFont="1" applyFill="1" applyBorder="0" applyAlignment="1">
      <alignment vertical="center" wrapText="0"/>
    </xf>
    <xf numFmtId="201" fontId="3" fillId="36" xfId="0" applyNumberFormat="1" applyFont="1" applyFill="1" applyBorder="0" applyAlignment="1">
      <alignment vertical="center" wrapText="0"/>
    </xf>
    <xf numFmtId="203" fontId="3" fillId="36" xfId="0" applyNumberFormat="1" applyFont="1" applyFill="1" applyBorder="0" applyAlignment="1">
      <alignment vertical="center" wrapText="0"/>
    </xf>
    <xf numFmtId="205" fontId="3" fillId="37" xfId="0" applyNumberFormat="1" applyFont="1" applyFill="1" applyBorder="0" applyAlignment="1">
      <alignment vertical="center" wrapText="0"/>
    </xf>
    <xf numFmtId="204" fontId="3" fillId="37" xfId="0" applyNumberFormat="1" applyFont="1" applyFill="1" applyBorder="0" applyAlignment="1">
      <alignment vertical="center" wrapText="0"/>
    </xf>
    <xf numFmtId="201" fontId="3" fillId="37" xfId="0" applyNumberFormat="1" applyFont="1" applyFill="1" applyBorder="0" applyAlignment="1">
      <alignment vertical="center" wrapText="0"/>
    </xf>
    <xf numFmtId="203" fontId="3" fillId="37" xfId="0" applyNumberFormat="1" applyFont="1" applyFill="1" applyBorder="0" applyAlignment="1">
      <alignment vertical="center" wrapText="0"/>
    </xf>
    <xf numFmtId="205" fontId="3" fillId="37" xfId="0" applyNumberFormat="1" applyFont="1" applyFill="1" applyBorder="0" applyAlignment="1">
      <alignment horizontal="general" vertical="center" wrapText="0"/>
    </xf>
    <xf numFmtId="204" fontId="3" fillId="37" xfId="0" applyNumberFormat="1" applyFont="1" applyFill="1" applyBorder="0" applyAlignment="1">
      <alignment horizontal="general" vertical="center" wrapText="0"/>
    </xf>
    <xf numFmtId="201" fontId="3" fillId="37" xfId="0" applyNumberFormat="1" applyFont="1" applyFill="1" applyBorder="0" applyAlignment="1">
      <alignment horizontal="general" vertical="center" wrapText="0"/>
    </xf>
    <xf numFmtId="203" fontId="3" fillId="37" xfId="0" applyNumberFormat="1" applyFont="1" applyFill="1" applyBorder="0" applyAlignment="1">
      <alignment horizontal="general" vertical="center" wrapText="0"/>
    </xf>
    <xf numFmtId="0" fontId="2" fillId="38" borderId="0" xfId="0" applyNumberFormat="1" applyFont="1" applyFill="1" applyBorder="1" applyAlignment="1">
      <alignment horizontal="center" vertical="center" wrapText="1"/>
    </xf>
    <xf numFmtId="0" fontId="0" fillId="38" borderId="0" xfId="0" applyNumberFormat="1" applyFont="1" applyFill="1" applyBorder="1"/>
    <xf numFmtId="0" fontId="2" fillId="38" borderId="0" xfId="0" applyNumberFormat="1" applyFont="1" applyFill="1" applyBorder="1"/>
    <xf numFmtId="0" fontId="2" fillId="38" borderId="0" xfId="0" applyNumberFormat="1" applyFont="1" applyFill="1" applyBorder="1" applyAlignment="1">
      <alignment wrapText="1"/>
    </xf>
    <xf numFmtId="0" fontId="2" fillId="38" borderId="0" xfId="0" applyNumberFormat="1" applyFont="1" applyFill="1" applyBorder="1" applyAlignment="1">
      <alignment horizontal="center" wrapText="1"/>
    </xf>
    <xf numFmtId="0" fontId="15" fillId="0" borderId="0" xfId="0" applyNumberFormat="1" applyFont="1" applyFill="1" applyBorder="1" applyAlignment="1">
      <alignment vertical="top" wrapText="1"/>
    </xf>
    <xf numFmtId="0" fontId="15" fillId="0" borderId="0" xfId="0" applyNumberFormat="1" applyFont="1" applyFill="1" applyBorder="1"/>
    <xf numFmtId="0" fontId="15" fillId="0" borderId="0" xfId="0" applyNumberFormat="1" applyFont="1" applyFill="1" applyBorder="1" applyAlignment="1">
      <alignment wrapText="1"/>
    </xf>
    <xf numFmtId="0" fontId="15" fillId="0" borderId="0" xfId="0" applyNumberFormat="1" applyFont="1" applyFill="1" applyBorder="1" applyAlignment="1">
      <alignment vertical="center" wrapText="1"/>
    </xf>
    <xf numFmtId="0" fontId="15" fillId="0" borderId="0" xfId="0" applyNumberFormat="1" applyFont="1" applyFill="1" applyBorder="1" applyAlignment="1">
      <alignment horizontal="center" vertical="center" wrapText="1"/>
    </xf>
    <xf numFmtId="0" fontId="2" fillId="38" borderId="0" xfId="0" applyNumberFormat="1" applyFont="1" applyFill="1" applyBorder="1" applyAlignment="1">
      <alignment horizontal="center"/>
    </xf>
    <xf numFmtId="0" fontId="0" fillId="39" borderId="0" xfId="0" applyNumberFormat="1" applyFont="1" applyFill="1" applyBorder="1"/>
    <xf numFmtId="0" fontId="9" fillId="39" borderId="0" xfId="0" applyNumberFormat="1" applyFont="1" applyFill="1" applyBorder="1"/>
    <xf numFmtId="0" fontId="0" fillId="40" borderId="0" xfId="0" applyNumberFormat="1" applyFont="1" applyFill="1" applyBorder="1"/>
    <xf numFmtId="0" fontId="2" fillId="40" borderId="0" xfId="0" applyNumberFormat="1" applyFont="1" applyFill="1" applyBorder="1"/>
    <xf numFmtId="203" fontId="2" fillId="40" borderId="0" xfId="0" applyNumberFormat="1" applyFont="1" applyFill="1" applyBorder="1"/>
    <xf numFmtId="203" fontId="2" fillId="40" borderId="0" xfId="0" applyNumberFormat="1" applyFont="1" applyFill="1" applyBorder="1" applyAlignment="1">
      <alignment horizontal="center"/>
    </xf>
    <xf numFmtId="0" fontId="2" fillId="18" borderId="0" xfId="0" applyNumberFormat="1" applyFont="1" applyFill="1" applyBorder="1" applyAlignment="1">
      <alignment wrapText="1"/>
    </xf>
    <xf numFmtId="0" fontId="2" fillId="18" borderId="0" xfId="0" applyNumberFormat="1" applyFont="1" applyFill="1" applyBorder="1" applyAlignment="1">
      <alignment horizontal="center" wrapText="1"/>
    </xf>
    <xf numFmtId="0" fontId="9" fillId="10" borderId="0" xfId="0" applyNumberFormat="1" applyFont="1" applyFill="1" applyBorder="1"/>
    <xf numFmtId="0" fontId="2" fillId="20" borderId="0" xfId="0" applyNumberFormat="1" applyFont="1" applyFill="1" applyBorder="1"/>
    <xf numFmtId="203" fontId="2" fillId="20" borderId="0" xfId="0" applyNumberFormat="1" applyFont="1" applyFill="1" applyBorder="1"/>
    <xf numFmtId="203" fontId="2" fillId="20" borderId="0" xfId="0" applyNumberFormat="1" applyFont="1" applyFill="1" applyBorder="1" applyAlignment="1">
      <alignment horizontal="center"/>
    </xf>
    <xf numFmtId="205" fontId="3" fillId="41" xfId="0" applyNumberFormat="1" applyFont="1" applyFill="1" applyBorder="0" applyAlignment="1">
      <alignment horizontal="general" vertical="center" wrapText="0"/>
    </xf>
    <xf numFmtId="204" fontId="3" fillId="41" xfId="0" applyNumberFormat="1" applyFont="1" applyFill="1" applyBorder="0" applyAlignment="1">
      <alignment horizontal="general" vertical="center" wrapText="0"/>
    </xf>
    <xf numFmtId="201" fontId="3" fillId="41" xfId="0" applyNumberFormat="1" applyFont="1" applyFill="1" applyBorder="0" applyAlignment="1">
      <alignment horizontal="general" vertical="center" wrapText="0"/>
    </xf>
    <xf numFmtId="203" fontId="3" fillId="41" xfId="0" applyNumberFormat="1" applyFont="1" applyFill="1" applyBorder="0" applyAlignment="1">
      <alignment horizontal="general" vertical="center" wrapText="0"/>
    </xf>
    <xf numFmtId="205" fontId="16" fillId="41" xfId="0" applyNumberFormat="1" applyFont="1" applyFill="1" applyBorder="0" applyAlignment="1">
      <alignment horizontal="general" vertical="center" wrapText="0"/>
    </xf>
    <xf numFmtId="204" fontId="16" fillId="41" xfId="0" applyNumberFormat="1" applyFont="1" applyFill="1" applyBorder="0" applyAlignment="1">
      <alignment horizontal="general" vertical="center" wrapText="0"/>
    </xf>
    <xf numFmtId="201" fontId="16" fillId="41" xfId="0" applyNumberFormat="1" applyFont="1" applyFill="1" applyBorder="0" applyAlignment="1">
      <alignment horizontal="general" vertical="center" wrapText="0"/>
    </xf>
    <xf numFmtId="203" fontId="16" fillId="41" xfId="0" applyNumberFormat="1" applyFont="1" applyFill="1" applyBorder="0" applyAlignment="1">
      <alignment horizontal="general" vertical="center" wrapText="0"/>
    </xf>
    <xf numFmtId="205" fontId="16" fillId="41" borderId="2" xfId="0" applyNumberFormat="1" applyFont="1" applyFill="1" applyBorder="1" applyAlignment="1">
      <alignment horizontal="general" vertical="center" wrapText="0"/>
    </xf>
    <xf numFmtId="204" fontId="16" fillId="41" borderId="3" xfId="0" applyNumberFormat="1" applyFont="1" applyFill="1" applyBorder="1" applyAlignment="1">
      <alignment horizontal="general" vertical="center" wrapText="0"/>
    </xf>
    <xf numFmtId="205" fontId="16" fillId="41" borderId="3" xfId="0" applyNumberFormat="1" applyFont="1" applyFill="1" applyBorder="1" applyAlignment="1">
      <alignment horizontal="general" vertical="center" wrapText="0"/>
    </xf>
    <xf numFmtId="201" fontId="16" fillId="41" borderId="3" xfId="0" applyNumberFormat="1" applyFont="1" applyFill="1" applyBorder="1" applyAlignment="1">
      <alignment horizontal="general" vertical="center" wrapText="0"/>
    </xf>
    <xf numFmtId="203" fontId="16" fillId="41" borderId="3" xfId="0" applyNumberFormat="1" applyFont="1" applyFill="1" applyBorder="1" applyAlignment="1">
      <alignment horizontal="general" vertical="center" wrapText="0"/>
    </xf>
    <xf numFmtId="205" fontId="16" fillId="41" borderId="4" xfId="0" applyNumberFormat="1" applyFont="1" applyFill="1" applyBorder="1" applyAlignment="1">
      <alignment horizontal="general" vertical="center" wrapText="0"/>
    </xf>
    <xf numFmtId="205" fontId="16" fillId="41" borderId="5" xfId="0" applyNumberFormat="1" applyFont="1" applyFill="1" applyBorder="1" applyAlignment="1">
      <alignment horizontal="general" vertical="center" wrapText="0"/>
    </xf>
    <xf numFmtId="205" fontId="16" fillId="41" borderId="6" xfId="0" applyNumberFormat="1" applyFont="1" applyFill="1" applyBorder="1" applyAlignment="1">
      <alignment horizontal="general" vertical="center" wrapText="0"/>
    </xf>
    <xf numFmtId="205" fontId="16" fillId="41" borderId="7" xfId="0" applyNumberFormat="1" applyFont="1" applyFill="1" applyBorder="1" applyAlignment="1">
      <alignment horizontal="general" vertical="center" wrapText="0"/>
    </xf>
    <xf numFmtId="204" fontId="16" fillId="41" borderId="8" xfId="0" applyNumberFormat="1" applyFont="1" applyFill="1" applyBorder="1" applyAlignment="1">
      <alignment horizontal="general" vertical="center" wrapText="0"/>
    </xf>
    <xf numFmtId="205" fontId="16" fillId="41" borderId="8" xfId="0" applyNumberFormat="1" applyFont="1" applyFill="1" applyBorder="1" applyAlignment="1">
      <alignment horizontal="general" vertical="center" wrapText="0"/>
    </xf>
    <xf numFmtId="201" fontId="16" fillId="41" borderId="8" xfId="0" applyNumberFormat="1" applyFont="1" applyFill="1" applyBorder="1" applyAlignment="1">
      <alignment horizontal="general" vertical="center" wrapText="0"/>
    </xf>
    <xf numFmtId="203" fontId="16" fillId="41" borderId="8" xfId="0" applyNumberFormat="1" applyFont="1" applyFill="1" applyBorder="1" applyAlignment="1">
      <alignment horizontal="general" vertical="center" wrapText="0"/>
    </xf>
    <xf numFmtId="205" fontId="16" fillId="41" borderId="9" xfId="0" applyNumberFormat="1" applyFont="1" applyFill="1" applyBorder="1" applyAlignment="1">
      <alignment horizontal="general" vertical="center" wrapText="0"/>
    </xf>
    <xf numFmtId="205" fontId="16" fillId="41" borderId="2" xfId="0" applyNumberFormat="1" applyFont="1" applyFill="1" applyBorder="1" applyAlignment="1">
      <alignment horizontal="general" vertical="center" wrapText="1"/>
    </xf>
    <xf numFmtId="204" fontId="16" fillId="41" borderId="3" xfId="0" applyNumberFormat="1" applyFont="1" applyFill="1" applyBorder="1" applyAlignment="1">
      <alignment horizontal="general" vertical="center" wrapText="1"/>
    </xf>
    <xf numFmtId="205" fontId="16" fillId="41" borderId="3" xfId="0" applyNumberFormat="1" applyFont="1" applyFill="1" applyBorder="1" applyAlignment="1">
      <alignment horizontal="general" vertical="center" wrapText="1"/>
    </xf>
    <xf numFmtId="201" fontId="16" fillId="41" borderId="3" xfId="0" applyNumberFormat="1" applyFont="1" applyFill="1" applyBorder="1" applyAlignment="1">
      <alignment horizontal="general" vertical="center" wrapText="1"/>
    </xf>
    <xf numFmtId="203" fontId="16" fillId="41" borderId="3" xfId="0" applyNumberFormat="1" applyFont="1" applyFill="1" applyBorder="1" applyAlignment="1">
      <alignment horizontal="general" vertical="center" wrapText="1"/>
    </xf>
    <xf numFmtId="205" fontId="16" fillId="41" borderId="4" xfId="0" applyNumberFormat="1" applyFont="1" applyFill="1" applyBorder="1" applyAlignment="1">
      <alignment horizontal="general" vertical="center" wrapText="1"/>
    </xf>
    <xf numFmtId="205" fontId="16" fillId="41" borderId="5" xfId="0" applyNumberFormat="1" applyFont="1" applyFill="1" applyBorder="1" applyAlignment="1">
      <alignment horizontal="general" vertical="center" wrapText="1"/>
    </xf>
    <xf numFmtId="204" fontId="16" fillId="41" xfId="0" applyNumberFormat="1" applyFont="1" applyFill="1" applyBorder="0" applyAlignment="1">
      <alignment horizontal="general" vertical="center" wrapText="1"/>
    </xf>
    <xf numFmtId="205" fontId="16" fillId="41" xfId="0" applyNumberFormat="1" applyFont="1" applyFill="1" applyBorder="0" applyAlignment="1">
      <alignment horizontal="general" vertical="center" wrapText="1"/>
    </xf>
    <xf numFmtId="201" fontId="16" fillId="41" xfId="0" applyNumberFormat="1" applyFont="1" applyFill="1" applyBorder="0" applyAlignment="1">
      <alignment horizontal="general" vertical="center" wrapText="1"/>
    </xf>
    <xf numFmtId="203" fontId="16" fillId="41" xfId="0" applyNumberFormat="1" applyFont="1" applyFill="1" applyBorder="0" applyAlignment="1">
      <alignment horizontal="general" vertical="center" wrapText="1"/>
    </xf>
    <xf numFmtId="205" fontId="16" fillId="41" borderId="6" xfId="0" applyNumberFormat="1" applyFont="1" applyFill="1" applyBorder="1" applyAlignment="1">
      <alignment horizontal="general" vertical="center" wrapText="1"/>
    </xf>
    <xf numFmtId="205" fontId="16" fillId="41" borderId="7" xfId="0" applyNumberFormat="1" applyFont="1" applyFill="1" applyBorder="1" applyAlignment="1">
      <alignment horizontal="general" vertical="center" wrapText="1"/>
    </xf>
    <xf numFmtId="204" fontId="16" fillId="41" borderId="8" xfId="0" applyNumberFormat="1" applyFont="1" applyFill="1" applyBorder="1" applyAlignment="1">
      <alignment horizontal="general" vertical="center" wrapText="1"/>
    </xf>
    <xf numFmtId="205" fontId="16" fillId="41" borderId="8" xfId="0" applyNumberFormat="1" applyFont="1" applyFill="1" applyBorder="1" applyAlignment="1">
      <alignment horizontal="general" vertical="center" wrapText="1"/>
    </xf>
    <xf numFmtId="201" fontId="16" fillId="41" borderId="8" xfId="0" applyNumberFormat="1" applyFont="1" applyFill="1" applyBorder="1" applyAlignment="1">
      <alignment horizontal="general" vertical="center" wrapText="1"/>
    </xf>
    <xf numFmtId="203" fontId="16" fillId="41" borderId="8" xfId="0" applyNumberFormat="1" applyFont="1" applyFill="1" applyBorder="1" applyAlignment="1">
      <alignment horizontal="general" vertical="center" wrapText="1"/>
    </xf>
    <xf numFmtId="205" fontId="16" fillId="41" borderId="9" xfId="0" applyNumberFormat="1" applyFont="1" applyFill="1" applyBorder="1" applyAlignment="1">
      <alignment horizontal="general" vertical="center" wrapText="1"/>
    </xf>
    <xf numFmtId="205" fontId="16" fillId="41" borderId="2" xfId="0" applyNumberFormat="1" applyFont="1" applyFill="1" applyBorder="1" applyAlignment="1">
      <alignment horizontal="left" vertical="center" wrapText="1"/>
    </xf>
    <xf numFmtId="204" fontId="16" fillId="41" borderId="3" xfId="0" applyNumberFormat="1" applyFont="1" applyFill="1" applyBorder="1" applyAlignment="1">
      <alignment horizontal="left" vertical="center" wrapText="1"/>
    </xf>
    <xf numFmtId="205" fontId="16" fillId="41" borderId="3" xfId="0" applyNumberFormat="1" applyFont="1" applyFill="1" applyBorder="1" applyAlignment="1">
      <alignment horizontal="left" vertical="center" wrapText="1"/>
    </xf>
    <xf numFmtId="201" fontId="16" fillId="41" borderId="3" xfId="0" applyNumberFormat="1" applyFont="1" applyFill="1" applyBorder="1" applyAlignment="1">
      <alignment horizontal="left" vertical="center" wrapText="1"/>
    </xf>
    <xf numFmtId="203" fontId="16" fillId="41" borderId="3" xfId="0" applyNumberFormat="1" applyFont="1" applyFill="1" applyBorder="1" applyAlignment="1">
      <alignment horizontal="left" vertical="center" wrapText="1"/>
    </xf>
    <xf numFmtId="205" fontId="16" fillId="41" borderId="4" xfId="0" applyNumberFormat="1" applyFont="1" applyFill="1" applyBorder="1" applyAlignment="1">
      <alignment horizontal="left" vertical="center" wrapText="1"/>
    </xf>
    <xf numFmtId="205" fontId="16" fillId="41" borderId="5" xfId="0" applyNumberFormat="1" applyFont="1" applyFill="1" applyBorder="1" applyAlignment="1">
      <alignment horizontal="left" vertical="center" wrapText="1"/>
    </xf>
    <xf numFmtId="204" fontId="16" fillId="41" xfId="0" applyNumberFormat="1" applyFont="1" applyFill="1" applyBorder="0" applyAlignment="1">
      <alignment horizontal="left" vertical="center" wrapText="1"/>
    </xf>
    <xf numFmtId="205" fontId="16" fillId="41" xfId="0" applyNumberFormat="1" applyFont="1" applyFill="1" applyBorder="0" applyAlignment="1">
      <alignment horizontal="left" vertical="center" wrapText="1"/>
    </xf>
    <xf numFmtId="201" fontId="16" fillId="41" xfId="0" applyNumberFormat="1" applyFont="1" applyFill="1" applyBorder="0" applyAlignment="1">
      <alignment horizontal="left" vertical="center" wrapText="1"/>
    </xf>
    <xf numFmtId="203" fontId="16" fillId="41" xfId="0" applyNumberFormat="1" applyFont="1" applyFill="1" applyBorder="0" applyAlignment="1">
      <alignment horizontal="left" vertical="center" wrapText="1"/>
    </xf>
    <xf numFmtId="205" fontId="16" fillId="41" borderId="6" xfId="0" applyNumberFormat="1" applyFont="1" applyFill="1" applyBorder="1" applyAlignment="1">
      <alignment horizontal="left" vertical="center" wrapText="1"/>
    </xf>
    <xf numFmtId="205" fontId="16" fillId="41" borderId="7" xfId="0" applyNumberFormat="1" applyFont="1" applyFill="1" applyBorder="1" applyAlignment="1">
      <alignment horizontal="left" vertical="center" wrapText="1"/>
    </xf>
    <xf numFmtId="204" fontId="16" fillId="41" borderId="8" xfId="0" applyNumberFormat="1" applyFont="1" applyFill="1" applyBorder="1" applyAlignment="1">
      <alignment horizontal="left" vertical="center" wrapText="1"/>
    </xf>
    <xf numFmtId="205" fontId="16" fillId="41" borderId="8" xfId="0" applyNumberFormat="1" applyFont="1" applyFill="1" applyBorder="1" applyAlignment="1">
      <alignment horizontal="left" vertical="center" wrapText="1"/>
    </xf>
    <xf numFmtId="201" fontId="16" fillId="41" borderId="8" xfId="0" applyNumberFormat="1" applyFont="1" applyFill="1" applyBorder="1" applyAlignment="1">
      <alignment horizontal="left" vertical="center" wrapText="1"/>
    </xf>
    <xf numFmtId="203" fontId="16" fillId="41" borderId="8" xfId="0" applyNumberFormat="1" applyFont="1" applyFill="1" applyBorder="1" applyAlignment="1">
      <alignment horizontal="left" vertical="center" wrapText="1"/>
    </xf>
    <xf numFmtId="205" fontId="16" fillId="41" borderId="9" xfId="0" applyNumberFormat="1" applyFont="1" applyFill="1" applyBorder="1" applyAlignment="1">
      <alignment horizontal="left" vertical="center" wrapText="1"/>
    </xf>
    <xf numFmtId="206" fontId="16" fillId="41" borderId="3" xfId="0" applyNumberFormat="1" applyFont="1" applyFill="1" applyBorder="1" applyAlignment="1">
      <alignment horizontal="left" vertical="center" wrapText="1"/>
    </xf>
    <xf numFmtId="206" fontId="16" fillId="41" xfId="0" applyNumberFormat="1" applyFont="1" applyFill="1" applyBorder="0" applyAlignment="1">
      <alignment horizontal="left" vertical="center" wrapText="1"/>
    </xf>
    <xf numFmtId="206" fontId="16" fillId="41" borderId="8" xfId="0" applyNumberFormat="1" applyFont="1" applyFill="1" applyBorder="1" applyAlignment="1">
      <alignment horizontal="left" vertical="center" wrapText="1"/>
    </xf>
    <xf numFmtId="206" fontId="16" fillId="41" borderId="3" xfId="0" applyNumberFormat="1" applyFont="1" applyFill="1" applyBorder="1" applyAlignment="1">
      <alignment horizontal="center" vertical="center" wrapText="1"/>
    </xf>
    <xf numFmtId="205" fontId="16" fillId="41" borderId="3" xfId="0" applyNumberFormat="1" applyFont="1" applyFill="1" applyBorder="1" applyAlignment="1">
      <alignment horizontal="center" vertical="center" wrapText="1"/>
    </xf>
    <xf numFmtId="201" fontId="16" fillId="41" borderId="3" xfId="0" applyNumberFormat="1" applyFont="1" applyFill="1" applyBorder="1" applyAlignment="1">
      <alignment horizontal="center" vertical="center" wrapText="1"/>
    </xf>
    <xf numFmtId="203" fontId="16" fillId="41" borderId="3" xfId="0" applyNumberFormat="1" applyFont="1" applyFill="1" applyBorder="1" applyAlignment="1">
      <alignment horizontal="center" vertical="center" wrapText="1"/>
    </xf>
    <xf numFmtId="206" fontId="16" fillId="41" xfId="0" applyNumberFormat="1" applyFont="1" applyFill="1" applyBorder="0" applyAlignment="1">
      <alignment horizontal="center" vertical="center" wrapText="1"/>
    </xf>
    <xf numFmtId="205" fontId="16" fillId="41" xfId="0" applyNumberFormat="1" applyFont="1" applyFill="1" applyBorder="0" applyAlignment="1">
      <alignment horizontal="center" vertical="center" wrapText="1"/>
    </xf>
    <xf numFmtId="201" fontId="16" fillId="41" xfId="0" applyNumberFormat="1" applyFont="1" applyFill="1" applyBorder="0" applyAlignment="1">
      <alignment horizontal="center" vertical="center" wrapText="1"/>
    </xf>
    <xf numFmtId="203" fontId="16" fillId="41" xfId="0" applyNumberFormat="1" applyFont="1" applyFill="1" applyBorder="0" applyAlignment="1">
      <alignment horizontal="center" vertical="center" wrapText="1"/>
    </xf>
    <xf numFmtId="206" fontId="16" fillId="41" borderId="8" xfId="0" applyNumberFormat="1" applyFont="1" applyFill="1" applyBorder="1" applyAlignment="1">
      <alignment horizontal="center" vertical="center" wrapText="1"/>
    </xf>
    <xf numFmtId="205" fontId="16" fillId="41" borderId="8" xfId="0" applyNumberFormat="1" applyFont="1" applyFill="1" applyBorder="1" applyAlignment="1">
      <alignment horizontal="center" vertical="center" wrapText="1"/>
    </xf>
    <xf numFmtId="201" fontId="16" fillId="41" borderId="8" xfId="0" applyNumberFormat="1" applyFont="1" applyFill="1" applyBorder="1" applyAlignment="1">
      <alignment horizontal="center" vertical="center" wrapText="1"/>
    </xf>
    <xf numFmtId="203" fontId="16" fillId="41" borderId="8" xfId="0" applyNumberFormat="1" applyFont="1" applyFill="1" applyBorder="1" applyAlignment="1">
      <alignment horizontal="center" vertical="center" wrapText="1"/>
    </xf>
    <xf numFmtId="205" fontId="3" fillId="20" xfId="0" applyNumberFormat="1" applyFont="1" applyFill="1" applyBorder="0" applyAlignment="1">
      <alignment horizontal="general" vertical="center" wrapText="0"/>
    </xf>
    <xf numFmtId="204" fontId="3" fillId="20" xfId="0" applyNumberFormat="1" applyFont="1" applyFill="1" applyBorder="0" applyAlignment="1">
      <alignment horizontal="general" vertical="center" wrapText="0"/>
    </xf>
    <xf numFmtId="201" fontId="3" fillId="20" xfId="0" applyNumberFormat="1" applyFont="1" applyFill="1" applyBorder="0" applyAlignment="1">
      <alignment horizontal="general" vertical="center" wrapText="0"/>
    </xf>
    <xf numFmtId="203" fontId="3" fillId="20" xfId="0" applyNumberFormat="1" applyFont="1" applyFill="1" applyBorder="0" applyAlignment="1">
      <alignment horizontal="general" vertical="center" wrapText="0"/>
    </xf>
    <xf numFmtId="205" fontId="16" fillId="20" xfId="0" applyNumberFormat="1" applyFont="1" applyFill="1" applyBorder="0" applyAlignment="1">
      <alignment horizontal="general" vertical="center" wrapText="0"/>
    </xf>
    <xf numFmtId="204" fontId="16" fillId="20" xfId="0" applyNumberFormat="1" applyFont="1" applyFill="1" applyBorder="0" applyAlignment="1">
      <alignment horizontal="general" vertical="center" wrapText="0"/>
    </xf>
    <xf numFmtId="201" fontId="16" fillId="20" xfId="0" applyNumberFormat="1" applyFont="1" applyFill="1" applyBorder="0" applyAlignment="1">
      <alignment horizontal="general" vertical="center" wrapText="0"/>
    </xf>
    <xf numFmtId="203" fontId="16" fillId="20" xfId="0" applyNumberFormat="1" applyFont="1" applyFill="1" applyBorder="0" applyAlignment="1">
      <alignment horizontal="general" vertical="center" wrapText="0"/>
    </xf>
    <xf numFmtId="205" fontId="16" fillId="20" borderId="0" xfId="0" applyNumberFormat="1" applyFont="1" applyFill="1" applyBorder="1" applyAlignment="1">
      <alignment horizontal="general" vertical="center" wrapText="0"/>
    </xf>
    <xf numFmtId="204" fontId="16" fillId="20" borderId="0" xfId="0" applyNumberFormat="1" applyFont="1" applyFill="1" applyBorder="1" applyAlignment="1">
      <alignment horizontal="general" vertical="center" wrapText="0"/>
    </xf>
    <xf numFmtId="201" fontId="16" fillId="20" borderId="0" xfId="0" applyNumberFormat="1" applyFont="1" applyFill="1" applyBorder="1" applyAlignment="1">
      <alignment horizontal="general" vertical="center" wrapText="0"/>
    </xf>
    <xf numFmtId="203" fontId="16" fillId="20" borderId="0" xfId="0" applyNumberFormat="1" applyFont="1" applyFill="1" applyBorder="1" applyAlignment="1">
      <alignment horizontal="general" vertical="center" wrapText="0"/>
    </xf>
    <xf numFmtId="205" fontId="16" fillId="20" borderId="0" xfId="0" applyNumberFormat="1" applyFont="1" applyFill="1" applyBorder="1" applyAlignment="1">
      <alignment horizontal="general" vertical="center" wrapText="1"/>
    </xf>
    <xf numFmtId="204" fontId="16" fillId="20" borderId="0" xfId="0" applyNumberFormat="1" applyFont="1" applyFill="1" applyBorder="1" applyAlignment="1">
      <alignment horizontal="general" vertical="center" wrapText="1"/>
    </xf>
    <xf numFmtId="201" fontId="16" fillId="20" borderId="0" xfId="0" applyNumberFormat="1" applyFont="1" applyFill="1" applyBorder="1" applyAlignment="1">
      <alignment horizontal="general" vertical="center" wrapText="1"/>
    </xf>
    <xf numFmtId="203" fontId="16" fillId="20" borderId="0" xfId="0" applyNumberFormat="1" applyFont="1" applyFill="1" applyBorder="1" applyAlignment="1">
      <alignment horizontal="general" vertical="center" wrapText="1"/>
    </xf>
    <xf numFmtId="204" fontId="16" fillId="20" xfId="0" applyNumberFormat="1" applyFont="1" applyFill="1" applyBorder="0" applyAlignment="1">
      <alignment horizontal="general" vertical="center" wrapText="1"/>
    </xf>
    <xf numFmtId="205" fontId="16" fillId="20" xfId="0" applyNumberFormat="1" applyFont="1" applyFill="1" applyBorder="0" applyAlignment="1">
      <alignment horizontal="general" vertical="center" wrapText="1"/>
    </xf>
    <xf numFmtId="201" fontId="16" fillId="20" xfId="0" applyNumberFormat="1" applyFont="1" applyFill="1" applyBorder="0" applyAlignment="1">
      <alignment horizontal="general" vertical="center" wrapText="1"/>
    </xf>
    <xf numFmtId="203" fontId="16" fillId="20" xfId="0" applyNumberFormat="1" applyFont="1" applyFill="1" applyBorder="0" applyAlignment="1">
      <alignment horizontal="general" vertical="center" wrapText="1"/>
    </xf>
    <xf numFmtId="205" fontId="16" fillId="20" borderId="0" xfId="0" applyNumberFormat="1" applyFont="1" applyFill="1" applyBorder="1" applyAlignment="1">
      <alignment horizontal="left" vertical="center" wrapText="1"/>
    </xf>
    <xf numFmtId="204" fontId="16" fillId="20" borderId="0" xfId="0" applyNumberFormat="1" applyFont="1" applyFill="1" applyBorder="1" applyAlignment="1">
      <alignment horizontal="left" vertical="center" wrapText="1"/>
    </xf>
    <xf numFmtId="201" fontId="16" fillId="20" borderId="0" xfId="0" applyNumberFormat="1" applyFont="1" applyFill="1" applyBorder="1" applyAlignment="1">
      <alignment horizontal="left" vertical="center" wrapText="1"/>
    </xf>
    <xf numFmtId="203" fontId="16" fillId="20" borderId="0" xfId="0" applyNumberFormat="1" applyFont="1" applyFill="1" applyBorder="1" applyAlignment="1">
      <alignment horizontal="left" vertical="center" wrapText="1"/>
    </xf>
    <xf numFmtId="204" fontId="16" fillId="20" xfId="0" applyNumberFormat="1" applyFont="1" applyFill="1" applyBorder="0" applyAlignment="1">
      <alignment horizontal="left" vertical="center" wrapText="1"/>
    </xf>
    <xf numFmtId="205" fontId="16" fillId="20" xfId="0" applyNumberFormat="1" applyFont="1" applyFill="1" applyBorder="0" applyAlignment="1">
      <alignment horizontal="left" vertical="center" wrapText="1"/>
    </xf>
    <xf numFmtId="201" fontId="16" fillId="20" xfId="0" applyNumberFormat="1" applyFont="1" applyFill="1" applyBorder="0" applyAlignment="1">
      <alignment horizontal="left" vertical="center" wrapText="1"/>
    </xf>
    <xf numFmtId="203" fontId="16" fillId="20" xfId="0" applyNumberFormat="1" applyFont="1" applyFill="1" applyBorder="0" applyAlignment="1">
      <alignment horizontal="left" vertical="center" wrapText="1"/>
    </xf>
    <xf numFmtId="206" fontId="16" fillId="20" borderId="0" xfId="0" applyNumberFormat="1" applyFont="1" applyFill="1" applyBorder="1" applyAlignment="1">
      <alignment horizontal="left" vertical="center" wrapText="1"/>
    </xf>
    <xf numFmtId="206" fontId="16" fillId="20" xfId="0" applyNumberFormat="1" applyFont="1" applyFill="1" applyBorder="0" applyAlignment="1">
      <alignment horizontal="left" vertical="center" wrapText="1"/>
    </xf>
    <xf numFmtId="206" fontId="16" fillId="20" borderId="0" xfId="0" applyNumberFormat="1" applyFont="1" applyFill="1" applyBorder="1" applyAlignment="1">
      <alignment horizontal="center" vertical="center" wrapText="1"/>
    </xf>
    <xf numFmtId="205" fontId="16" fillId="20" borderId="0" xfId="0" applyNumberFormat="1" applyFont="1" applyFill="1" applyBorder="1" applyAlignment="1">
      <alignment horizontal="center" vertical="center" wrapText="1"/>
    </xf>
    <xf numFmtId="201" fontId="16" fillId="20" borderId="0" xfId="0" applyNumberFormat="1" applyFont="1" applyFill="1" applyBorder="1" applyAlignment="1">
      <alignment horizontal="center" vertical="center" wrapText="1"/>
    </xf>
    <xf numFmtId="203" fontId="16" fillId="20" borderId="0" xfId="0" applyNumberFormat="1" applyFont="1" applyFill="1" applyBorder="1" applyAlignment="1">
      <alignment horizontal="center" vertical="center" wrapText="1"/>
    </xf>
    <xf numFmtId="206" fontId="16" fillId="20" xfId="0" applyNumberFormat="1" applyFont="1" applyFill="1" applyBorder="0" applyAlignment="1">
      <alignment horizontal="center" vertical="center" wrapText="1"/>
    </xf>
    <xf numFmtId="205" fontId="16" fillId="20" xfId="0" applyNumberFormat="1" applyFont="1" applyFill="1" applyBorder="0" applyAlignment="1">
      <alignment horizontal="center" vertical="center" wrapText="1"/>
    </xf>
    <xf numFmtId="201" fontId="16" fillId="20" xfId="0" applyNumberFormat="1" applyFont="1" applyFill="1" applyBorder="0" applyAlignment="1">
      <alignment horizontal="center" vertical="center" wrapText="1"/>
    </xf>
    <xf numFmtId="203" fontId="16" fillId="20" xfId="0" applyNumberFormat="1" applyFont="1" applyFill="1" applyBorder="0" applyAlignment="1">
      <alignment horizontal="center" vertical="center" wrapText="1"/>
    </xf>
    <xf numFmtId="205" fontId="16" fillId="42" borderId="2" xfId="0" applyNumberFormat="1" applyFont="1" applyFill="1" applyBorder="1" applyAlignment="1">
      <alignment horizontal="left" vertical="center" wrapText="1"/>
    </xf>
    <xf numFmtId="206" fontId="16" fillId="42" borderId="3" xfId="0" applyNumberFormat="1" applyFont="1" applyFill="1" applyBorder="1" applyAlignment="1">
      <alignment horizontal="center" vertical="center" wrapText="1"/>
    </xf>
    <xf numFmtId="205" fontId="16" fillId="42" borderId="3" xfId="0" applyNumberFormat="1" applyFont="1" applyFill="1" applyBorder="1" applyAlignment="1">
      <alignment horizontal="center" vertical="center" wrapText="1"/>
    </xf>
    <xf numFmtId="201" fontId="16" fillId="42" borderId="3" xfId="0" applyNumberFormat="1" applyFont="1" applyFill="1" applyBorder="1" applyAlignment="1">
      <alignment horizontal="center" vertical="center" wrapText="1"/>
    </xf>
    <xf numFmtId="203" fontId="16" fillId="42" borderId="3" xfId="0" applyNumberFormat="1" applyFont="1" applyFill="1" applyBorder="1" applyAlignment="1">
      <alignment horizontal="center" vertical="center" wrapText="1"/>
    </xf>
    <xf numFmtId="205" fontId="16" fillId="42" borderId="4" xfId="0" applyNumberFormat="1" applyFont="1" applyFill="1" applyBorder="1" applyAlignment="1">
      <alignment horizontal="left" vertical="center" wrapText="1"/>
    </xf>
    <xf numFmtId="205" fontId="16" fillId="42" borderId="5" xfId="0" applyNumberFormat="1" applyFont="1" applyFill="1" applyBorder="1" applyAlignment="1">
      <alignment horizontal="left" vertical="center" wrapText="1"/>
    </xf>
    <xf numFmtId="206" fontId="16" fillId="42" xfId="0" applyNumberFormat="1" applyFont="1" applyFill="1" applyBorder="0" applyAlignment="1">
      <alignment horizontal="center" vertical="center" wrapText="1"/>
    </xf>
    <xf numFmtId="205" fontId="16" fillId="42" xfId="0" applyNumberFormat="1" applyFont="1" applyFill="1" applyBorder="0" applyAlignment="1">
      <alignment horizontal="center" vertical="center" wrapText="1"/>
    </xf>
    <xf numFmtId="201" fontId="16" fillId="42" xfId="0" applyNumberFormat="1" applyFont="1" applyFill="1" applyBorder="0" applyAlignment="1">
      <alignment horizontal="center" vertical="center" wrapText="1"/>
    </xf>
    <xf numFmtId="203" fontId="16" fillId="42" xfId="0" applyNumberFormat="1" applyFont="1" applyFill="1" applyBorder="0" applyAlignment="1">
      <alignment horizontal="center" vertical="center" wrapText="1"/>
    </xf>
    <xf numFmtId="205" fontId="16" fillId="42" borderId="6" xfId="0" applyNumberFormat="1" applyFont="1" applyFill="1" applyBorder="1" applyAlignment="1">
      <alignment horizontal="left" vertical="center" wrapText="1"/>
    </xf>
    <xf numFmtId="205" fontId="16" fillId="42" borderId="7" xfId="0" applyNumberFormat="1" applyFont="1" applyFill="1" applyBorder="1" applyAlignment="1">
      <alignment horizontal="left" vertical="center" wrapText="1"/>
    </xf>
    <xf numFmtId="206" fontId="16" fillId="42" borderId="8" xfId="0" applyNumberFormat="1" applyFont="1" applyFill="1" applyBorder="1" applyAlignment="1">
      <alignment horizontal="center" vertical="center" wrapText="1"/>
    </xf>
    <xf numFmtId="205" fontId="16" fillId="42" borderId="8" xfId="0" applyNumberFormat="1" applyFont="1" applyFill="1" applyBorder="1" applyAlignment="1">
      <alignment horizontal="center" vertical="center" wrapText="1"/>
    </xf>
    <xf numFmtId="201" fontId="16" fillId="42" borderId="8" xfId="0" applyNumberFormat="1" applyFont="1" applyFill="1" applyBorder="1" applyAlignment="1">
      <alignment horizontal="center" vertical="center" wrapText="1"/>
    </xf>
    <xf numFmtId="203" fontId="16" fillId="42" borderId="8" xfId="0" applyNumberFormat="1" applyFont="1" applyFill="1" applyBorder="1" applyAlignment="1">
      <alignment horizontal="center" vertical="center" wrapText="1"/>
    </xf>
    <xf numFmtId="205" fontId="16" fillId="42" borderId="9" xfId="0" applyNumberFormat="1" applyFont="1" applyFill="1" applyBorder="1" applyAlignment="1">
      <alignment horizontal="left" vertical="center" wrapText="1"/>
    </xf>
    <xf numFmtId="0" fontId="11" fillId="0" borderId="0" xfId="0" applyNumberFormat="1" applyFont="1" applyFill="1" applyBorder="1" applyAlignment="1">
      <alignment vertical="center" wrapText="1"/>
    </xf>
    <xf numFmtId="0" fontId="0" fillId="0" borderId="0" xfId="0" applyNumberFormat="1" applyFont="1" applyFill="1" applyBorder="1" applyAlignment="1">
      <alignment vertical="center" wrapText="1"/>
    </xf>
    <xf numFmtId="205" fontId="16" fillId="43" borderId="0" xfId="0" applyNumberFormat="1" applyFont="1" applyFill="1" applyBorder="1" applyAlignment="1">
      <alignment horizontal="left" vertical="center" wrapText="1"/>
    </xf>
    <xf numFmtId="206" fontId="16" fillId="43" borderId="0" xfId="0" applyNumberFormat="1" applyFont="1" applyFill="1" applyBorder="1" applyAlignment="1">
      <alignment horizontal="center" vertical="center" wrapText="1"/>
    </xf>
    <xf numFmtId="205" fontId="16" fillId="43" borderId="0" xfId="0" applyNumberFormat="1" applyFont="1" applyFill="1" applyBorder="1" applyAlignment="1">
      <alignment horizontal="center" vertical="center" wrapText="1"/>
    </xf>
    <xf numFmtId="201" fontId="16" fillId="43" borderId="0" xfId="0" applyNumberFormat="1" applyFont="1" applyFill="1" applyBorder="1" applyAlignment="1">
      <alignment horizontal="center" vertical="center" wrapText="1"/>
    </xf>
    <xf numFmtId="203" fontId="16" fillId="43" borderId="0" xfId="0" applyNumberFormat="1" applyFont="1" applyFill="1" applyBorder="1" applyAlignment="1">
      <alignment horizontal="center" vertical="center" wrapText="1"/>
    </xf>
    <xf numFmtId="206" fontId="16" fillId="43" xfId="0" applyNumberFormat="1" applyFont="1" applyFill="1" applyBorder="0" applyAlignment="1">
      <alignment horizontal="center" vertical="center" wrapText="1"/>
    </xf>
    <xf numFmtId="205" fontId="16" fillId="43" xfId="0" applyNumberFormat="1" applyFont="1" applyFill="1" applyBorder="0" applyAlignment="1">
      <alignment horizontal="center" vertical="center" wrapText="1"/>
    </xf>
    <xf numFmtId="201" fontId="16" fillId="43" xfId="0" applyNumberFormat="1" applyFont="1" applyFill="1" applyBorder="0" applyAlignment="1">
      <alignment horizontal="center" vertical="center" wrapText="1"/>
    </xf>
    <xf numFmtId="203" fontId="16" fillId="43" xfId="0" applyNumberFormat="1" applyFont="1" applyFill="1" applyBorder="0" applyAlignment="1">
      <alignment horizontal="center" vertical="center" wrapText="1"/>
    </xf>
    <xf numFmtId="0" fontId="13" fillId="18" borderId="0" xfId="0" applyNumberFormat="1" applyFont="1" applyFill="1" applyBorder="1" applyAlignment="1">
      <alignment horizontal="center" vertical="center" wrapText="1"/>
    </xf>
    <xf numFmtId="0" fontId="4" fillId="5" borderId="0" xfId="0" applyNumberFormat="1" applyFont="1" applyFill="1" applyBorder="1" applyAlignment="1">
      <alignment vertical="center" wrapText="1"/>
    </xf>
    <xf numFmtId="0" fontId="5" fillId="5" borderId="0" xfId="0" applyNumberFormat="1" applyFont="1" applyFill="1" applyBorder="1" applyAlignment="1">
      <alignment vertical="center" wrapText="1"/>
    </xf>
    <xf numFmtId="0" fontId="4" fillId="6" borderId="0" xfId="0" applyNumberFormat="1" applyFont="1" applyFill="1" applyBorder="1" applyAlignment="1">
      <alignment vertical="center" wrapText="1"/>
    </xf>
    <xf numFmtId="0" fontId="5" fillId="6" borderId="0" xfId="0" applyNumberFormat="1" applyFont="1" applyFill="1" applyBorder="1" applyAlignment="1">
      <alignment vertical="center" wrapText="1"/>
    </xf>
    <xf numFmtId="0" fontId="4" fillId="7" borderId="0" xfId="0" applyNumberFormat="1" applyFont="1" applyFill="1" applyBorder="1" applyAlignment="1">
      <alignment vertical="center" wrapText="1"/>
    </xf>
    <xf numFmtId="0" fontId="5" fillId="7" borderId="0" xfId="0" applyNumberFormat="1" applyFont="1" applyFill="1" applyBorder="1" applyAlignment="1">
      <alignment vertical="center" wrapText="1"/>
    </xf>
    <xf numFmtId="0" fontId="4" fillId="8" borderId="0" xfId="0" applyNumberFormat="1" applyFont="1" applyFill="1" applyBorder="1" applyAlignment="1">
      <alignment vertical="center" wrapText="1"/>
    </xf>
    <xf numFmtId="0" fontId="5" fillId="8" borderId="0" xfId="0" applyNumberFormat="1" applyFont="1" applyFill="1" applyBorder="1" applyAlignment="1">
      <alignment vertical="center" wrapText="1"/>
    </xf>
    <xf numFmtId="0" fontId="4" fillId="9" borderId="0" xfId="0" applyNumberFormat="1" applyFont="1" applyFill="1" applyBorder="1" applyAlignment="1">
      <alignment vertical="center" wrapText="1"/>
    </xf>
    <xf numFmtId="0" fontId="5" fillId="9" borderId="0" xfId="0" applyNumberFormat="1" applyFont="1" applyFill="1" applyBorder="1" applyAlignment="1">
      <alignment vertical="center" wrapText="1"/>
    </xf>
    <xf numFmtId="201" fontId="3" fillId="20" xfId="0" applyNumberFormat="1" applyFont="1" applyFill="1" applyBorder="0" applyAlignment="1">
      <alignment horizontal="center" vertical="center" wrapText="1"/>
    </xf>
    <xf numFmtId="203" fontId="3" fillId="20" xfId="0" applyNumberFormat="1" applyFont="1" applyFill="1" applyBorder="0" applyAlignment="1">
      <alignment horizontal="center" vertical="center" wrapText="1"/>
    </xf>
    <xf numFmtId="0" fontId="13" fillId="18" borderId="0" xfId="0" applyNumberFormat="1" applyFont="1" applyFill="1" applyBorder="1" applyAlignment="1">
      <alignment horizontal="left" vertical="center" wrapText="1"/>
    </xf>
    <xf numFmtId="0" fontId="0" fillId="0" borderId="0" xfId="0" applyNumberFormat="1" applyFont="1" applyFill="1" applyBorder="1" applyAlignment="1">
      <alignment horizontal="left" vertical="center" wrapText="1"/>
    </xf>
    <xf numFmtId="0" fontId="2" fillId="3" borderId="0" xfId="0" applyNumberFormat="1" applyFont="1" applyFill="1" applyBorder="1" applyAlignment="1">
      <alignment horizontal="left" vertical="center" wrapText="1"/>
    </xf>
    <xf numFmtId="0" fontId="4" fillId="5" borderId="0" xfId="0" applyNumberFormat="1" applyFont="1" applyFill="1" applyBorder="1" applyAlignment="1">
      <alignment horizontal="left" vertical="center" wrapText="1"/>
    </xf>
    <xf numFmtId="0" fontId="4" fillId="6" borderId="0" xfId="0" applyNumberFormat="1" applyFont="1" applyFill="1" applyBorder="1" applyAlignment="1">
      <alignment horizontal="left" vertical="center" wrapText="1"/>
    </xf>
    <xf numFmtId="0" fontId="4" fillId="7" borderId="0" xfId="0" applyNumberFormat="1" applyFont="1" applyFill="1" applyBorder="1" applyAlignment="1">
      <alignment horizontal="left" vertical="center" wrapText="1"/>
    </xf>
    <xf numFmtId="0" fontId="4" fillId="8" borderId="0" xfId="0" applyNumberFormat="1" applyFont="1" applyFill="1" applyBorder="1" applyAlignment="1">
      <alignment horizontal="left" vertical="center" wrapText="1"/>
    </xf>
    <xf numFmtId="0" fontId="4" fillId="9" borderId="0" xfId="0" applyNumberFormat="1" applyFont="1" applyFill="1" applyBorder="1" applyAlignment="1">
      <alignment horizontal="left" vertical="center" wrapText="1"/>
    </xf>
    <xf numFmtId="0" fontId="2" fillId="18" borderId="0" xfId="0" applyNumberFormat="1" applyFont="1" applyFill="1" applyBorder="1" applyAlignment="1">
      <alignment horizontal="left" vertical="center" wrapText="1"/>
    </xf>
    <xf numFmtId="0" fontId="11" fillId="0" borderId="0" xfId="0" applyNumberFormat="1" applyFont="1" applyFill="1" applyBorder="1" applyAlignment="1">
      <alignment horizontal="left" vertical="center" wrapText="1"/>
    </xf>
    <xf numFmtId="0" fontId="3" fillId="4" borderId="0" xfId="0" applyNumberFormat="1" applyFont="1" applyFill="1" applyBorder="1" applyAlignment="1">
      <alignment horizontal="left" vertical="center" wrapText="1"/>
    </xf>
    <xf numFmtId="0" fontId="5" fillId="5" borderId="0" xfId="0" applyNumberFormat="1" applyFont="1" applyFill="1" applyBorder="1" applyAlignment="1">
      <alignment horizontal="left" vertical="center" wrapText="1"/>
    </xf>
    <xf numFmtId="0" fontId="5" fillId="6" borderId="0" xfId="0" applyNumberFormat="1" applyFont="1" applyFill="1" applyBorder="1" applyAlignment="1">
      <alignment horizontal="left" vertical="center" wrapText="1"/>
    </xf>
    <xf numFmtId="0" fontId="5" fillId="7" borderId="0" xfId="0" applyNumberFormat="1" applyFont="1" applyFill="1" applyBorder="1" applyAlignment="1">
      <alignment horizontal="left" vertical="center" wrapText="1"/>
    </xf>
    <xf numFmtId="0" fontId="5" fillId="8" borderId="0" xfId="0" applyNumberFormat="1" applyFont="1" applyFill="1" applyBorder="1" applyAlignment="1">
      <alignment horizontal="left" vertical="center" wrapText="1"/>
    </xf>
    <xf numFmtId="0" fontId="5" fillId="9" borderId="0" xfId="0" applyNumberFormat="1" applyFont="1" applyFill="1" applyBorder="1" applyAlignment="1">
      <alignment horizontal="left" vertical="center" wrapText="1"/>
    </xf>
    <xf numFmtId="201" fontId="3" fillId="20" xfId="0" applyNumberFormat="1" applyFont="1" applyFill="1" applyBorder="0" applyAlignment="1">
      <alignment horizontal="left" vertical="center" wrapText="1"/>
    </xf>
    <xf numFmtId="203" fontId="3" fillId="20" xfId="0" applyNumberFormat="1" applyFont="1" applyFill="1" applyBorder="0" applyAlignment="1">
      <alignment horizontal="left" vertical="center" wrapText="1"/>
    </xf>
    <xf numFmtId="0" fontId="3" fillId="21" borderId="0" xfId="0" applyNumberFormat="1" applyFont="1" applyFill="1" applyBorder="1" applyAlignment="1">
      <alignment horizontal="left" vertical="center" wrapText="1"/>
    </xf>
    <xf numFmtId="0" fontId="13" fillId="44" borderId="0" xfId="0" applyNumberFormat="1" applyFont="1" applyFill="1" applyBorder="1" applyAlignment="1">
      <alignment horizontal="left" vertical="center" wrapText="1"/>
    </xf>
    <xf numFmtId="0" fontId="13" fillId="44" borderId="0" xfId="0" applyNumberFormat="1" applyFont="1" applyFill="1" applyBorder="1" applyAlignment="1">
      <alignment horizontal="center" vertical="center" wrapText="1"/>
    </xf>
    <xf numFmtId="0" fontId="17" fillId="44" borderId="0" xfId="0" applyNumberFormat="1" applyFont="1" applyFill="1" applyBorder="1" applyAlignment="1">
      <alignment horizontal="left" vertical="center" wrapText="1"/>
    </xf>
    <xf numFmtId="0" fontId="17" fillId="44" borderId="0" xfId="0" applyNumberFormat="1" applyFont="1" applyFill="1" applyBorder="1" applyAlignment="1">
      <alignment horizontal="center" vertical="center" wrapText="1"/>
    </xf>
    <xf numFmtId="0" fontId="0" fillId="45" borderId="0" xfId="0" applyNumberFormat="1" applyFont="1" applyFill="1" applyBorder="1" applyAlignment="1">
      <alignment horizontal="left" vertical="center" wrapText="1"/>
    </xf>
    <xf numFmtId="0" fontId="0" fillId="45" borderId="0" xfId="0" applyNumberFormat="1" applyFont="1" applyFill="1" applyBorder="1" applyAlignment="1">
      <alignment vertical="center" wrapText="1"/>
    </xf>
    <xf numFmtId="0" fontId="18" fillId="45" borderId="0" xfId="0" applyNumberFormat="1" applyFont="1" applyFill="1" applyBorder="1" applyAlignment="1">
      <alignment horizontal="left" vertical="center" wrapText="1"/>
    </xf>
    <xf numFmtId="0" fontId="18" fillId="45" borderId="0" xfId="0" applyNumberFormat="1" applyFont="1" applyFill="1" applyBorder="1" applyAlignment="1">
      <alignment vertical="center" wrapText="1"/>
    </xf>
    <xf numFmtId="0" fontId="18" fillId="45" borderId="0" xfId="0" applyNumberFormat="1" applyFont="1" applyFill="1" applyBorder="1" applyAlignment="1">
      <alignment horizontal="center" vertical="center" wrapText="1"/>
    </xf>
    <xf numFmtId="0" fontId="2" fillId="46" borderId="0" xfId="0" applyNumberFormat="1" applyFont="1" applyFill="1" applyBorder="1" applyAlignment="1">
      <alignment horizontal="left" vertical="center" wrapText="1"/>
    </xf>
    <xf numFmtId="0" fontId="14" fillId="46" borderId="0" xfId="0" applyNumberFormat="1" applyFont="1" applyFill="1" applyBorder="1" applyAlignment="1">
      <alignment horizontal="left" vertical="center" wrapText="1"/>
    </xf>
    <xf numFmtId="0" fontId="0" fillId="46" borderId="0" xfId="0" applyNumberFormat="1" applyFont="1" applyFill="1" applyBorder="1" applyAlignment="1">
      <alignment horizontal="left" vertical="center" wrapText="1"/>
    </xf>
    <xf numFmtId="0" fontId="11" fillId="46" borderId="0" xfId="0" applyNumberFormat="1" applyFont="1" applyFill="1" applyBorder="1" applyAlignment="1">
      <alignment horizontal="left" vertical="center" wrapText="1"/>
    </xf>
    <xf numFmtId="0" fontId="3" fillId="47" borderId="0" xfId="0" applyNumberFormat="1" applyFont="1" applyFill="1" applyBorder="1" applyAlignment="1">
      <alignment horizontal="left" vertical="center" wrapText="1"/>
    </xf>
    <xf numFmtId="0" fontId="16" fillId="47" borderId="0" xfId="0" applyNumberFormat="1" applyFont="1" applyFill="1" applyBorder="1" applyAlignment="1">
      <alignment horizontal="left" vertical="center" wrapText="1"/>
    </xf>
    <xf numFmtId="0" fontId="0" fillId="47" borderId="0" xfId="0" applyNumberFormat="1" applyFont="1" applyFill="1" applyBorder="1" applyAlignment="1">
      <alignment horizontal="left" vertical="center" wrapText="1"/>
    </xf>
    <xf numFmtId="0" fontId="2" fillId="48" borderId="0" xfId="0" applyNumberFormat="1" applyFont="1" applyFill="1" applyBorder="1" applyAlignment="1">
      <alignment horizontal="left" vertical="center" wrapText="1"/>
    </xf>
    <xf numFmtId="0" fontId="19" fillId="48" borderId="0" xfId="0" applyNumberFormat="1" applyFont="1" applyFill="1" applyBorder="1" applyAlignment="1">
      <alignment horizontal="left" vertical="center" wrapText="1"/>
    </xf>
    <xf numFmtId="0" fontId="19" fillId="48" borderId="0" xfId="0" applyNumberFormat="1" applyFont="1" applyFill="1" applyBorder="1" applyAlignment="1">
      <alignment horizontal="center" vertical="center" wrapText="1"/>
    </xf>
    <xf numFmtId="201" fontId="3" fillId="49" xfId="0" applyNumberFormat="1" applyFont="1" applyFill="1" applyBorder="0" applyAlignment="1">
      <alignment horizontal="left" vertical="center" wrapText="1"/>
    </xf>
    <xf numFmtId="203" fontId="3" fillId="49" xfId="0" applyNumberFormat="1" applyFont="1" applyFill="1" applyBorder="0" applyAlignment="1">
      <alignment horizontal="left" vertical="center" wrapText="1"/>
    </xf>
    <xf numFmtId="201" fontId="14" fillId="49" xfId="0" applyNumberFormat="1" applyFont="1" applyFill="1" applyBorder="0" applyAlignment="1">
      <alignment horizontal="left" vertical="center" wrapText="1"/>
    </xf>
    <xf numFmtId="203" fontId="14" fillId="49" xfId="0" applyNumberFormat="1" applyFont="1" applyFill="1" applyBorder="0" applyAlignment="1">
      <alignment horizontal="left" vertical="center" wrapText="1"/>
    </xf>
    <xf numFmtId="201" fontId="14" fillId="49" xfId="0" applyNumberFormat="1" applyFont="1" applyFill="1" applyBorder="0" applyAlignment="1">
      <alignment horizontal="center" vertical="center" wrapText="1"/>
    </xf>
    <xf numFmtId="203" fontId="14" fillId="49" xfId="0" applyNumberFormat="1" applyFont="1" applyFill="1" applyBorder="0" applyAlignment="1">
      <alignment horizontal="center" vertical="center" wrapText="1"/>
    </xf>
    <xf numFmtId="0" fontId="4" fillId="50" borderId="0" xfId="0" applyNumberFormat="1" applyFont="1" applyFill="1" applyBorder="1" applyAlignment="1">
      <alignment horizontal="left" vertical="center" wrapText="1"/>
    </xf>
    <xf numFmtId="0" fontId="5" fillId="50" borderId="0" xfId="0" applyNumberFormat="1" applyFont="1" applyFill="1" applyBorder="1" applyAlignment="1">
      <alignment horizontal="left" vertical="center" wrapText="1"/>
    </xf>
    <xf numFmtId="0" fontId="14" fillId="50" borderId="0" xfId="0" applyNumberFormat="1" applyFont="1" applyFill="1" applyBorder="1" applyAlignment="1">
      <alignment horizontal="left" vertical="center" wrapText="1"/>
    </xf>
    <xf numFmtId="0" fontId="4" fillId="51" borderId="0" xfId="0" applyNumberFormat="1" applyFont="1" applyFill="1" applyBorder="1" applyAlignment="1">
      <alignment horizontal="left" vertical="center" wrapText="1"/>
    </xf>
    <xf numFmtId="0" fontId="5" fillId="51" borderId="0" xfId="0" applyNumberFormat="1" applyFont="1" applyFill="1" applyBorder="1" applyAlignment="1">
      <alignment horizontal="left" vertical="center" wrapText="1"/>
    </xf>
    <xf numFmtId="0" fontId="14" fillId="51" borderId="0" xfId="0" applyNumberFormat="1" applyFont="1" applyFill="1" applyBorder="1" applyAlignment="1">
      <alignment horizontal="left" vertical="center" wrapText="1"/>
    </xf>
    <xf numFmtId="0" fontId="4" fillId="52" borderId="0" xfId="0" applyNumberFormat="1" applyFont="1" applyFill="1" applyBorder="1" applyAlignment="1">
      <alignment horizontal="left" vertical="center" wrapText="1"/>
    </xf>
    <xf numFmtId="0" fontId="5" fillId="52" borderId="0" xfId="0" applyNumberFormat="1" applyFont="1" applyFill="1" applyBorder="1" applyAlignment="1">
      <alignment horizontal="left" vertical="center" wrapText="1"/>
    </xf>
    <xf numFmtId="0" fontId="14" fillId="52" borderId="0" xfId="0" applyNumberFormat="1" applyFont="1" applyFill="1" applyBorder="1" applyAlignment="1">
      <alignment horizontal="left" vertical="center" wrapText="1"/>
    </xf>
    <xf numFmtId="0" fontId="4" fillId="53" borderId="0" xfId="0" applyNumberFormat="1" applyFont="1" applyFill="1" applyBorder="1" applyAlignment="1">
      <alignment horizontal="left" vertical="center" wrapText="1"/>
    </xf>
    <xf numFmtId="0" fontId="5" fillId="53" borderId="0" xfId="0" applyNumberFormat="1" applyFont="1" applyFill="1" applyBorder="1" applyAlignment="1">
      <alignment horizontal="left" vertical="center" wrapText="1"/>
    </xf>
    <xf numFmtId="0" fontId="14" fillId="53" borderId="0" xfId="0" applyNumberFormat="1" applyFont="1" applyFill="1" applyBorder="1" applyAlignment="1">
      <alignment horizontal="left" vertical="center" wrapText="1"/>
    </xf>
    <xf numFmtId="0" fontId="4" fillId="54" borderId="0" xfId="0" applyNumberFormat="1" applyFont="1" applyFill="1" applyBorder="1" applyAlignment="1">
      <alignment horizontal="left" vertical="center" wrapText="1"/>
    </xf>
    <xf numFmtId="0" fontId="5" fillId="54" borderId="0" xfId="0" applyNumberFormat="1" applyFont="1" applyFill="1" applyBorder="1" applyAlignment="1">
      <alignment horizontal="left" vertical="center" wrapText="1"/>
    </xf>
    <xf numFmtId="0" fontId="14" fillId="54" borderId="0" xfId="0" applyNumberFormat="1" applyFont="1" applyFill="1" applyBorder="1" applyAlignment="1">
      <alignment horizontal="left" vertical="center" wrapText="1"/>
    </xf>
    <xf numFmtId="0" fontId="14" fillId="46" borderId="10" xfId="0" applyNumberFormat="1" applyFont="1" applyFill="1" applyBorder="1" applyAlignment="1">
      <alignment horizontal="left" vertical="center" wrapText="1"/>
    </xf>
    <xf numFmtId="0" fontId="16" fillId="47" borderId="11" xfId="0" applyNumberFormat="1" applyFont="1" applyFill="1" applyBorder="1" applyAlignment="1">
      <alignment horizontal="left" vertical="center" wrapText="1"/>
    </xf>
    <xf numFmtId="0" fontId="14" fillId="46" borderId="12" xfId="0" applyNumberFormat="1" applyFont="1" applyFill="1" applyBorder="1" applyAlignment="1">
      <alignment horizontal="left" vertical="center" wrapText="1"/>
    </xf>
    <xf numFmtId="0" fontId="16" fillId="47" borderId="13" xfId="0" applyNumberFormat="1" applyFont="1" applyFill="1" applyBorder="1" applyAlignment="1">
      <alignment horizontal="left" vertical="center" wrapText="1"/>
    </xf>
    <xf numFmtId="0" fontId="14" fillId="50" borderId="12" xfId="0" applyNumberFormat="1" applyFont="1" applyFill="1" applyBorder="1" applyAlignment="1">
      <alignment horizontal="left" vertical="center" wrapText="1"/>
    </xf>
    <xf numFmtId="0" fontId="14" fillId="50" borderId="13" xfId="0" applyNumberFormat="1" applyFont="1" applyFill="1" applyBorder="1" applyAlignment="1">
      <alignment horizontal="left" vertical="center" wrapText="1"/>
    </xf>
    <xf numFmtId="0" fontId="14" fillId="51" borderId="12" xfId="0" applyNumberFormat="1" applyFont="1" applyFill="1" applyBorder="1" applyAlignment="1">
      <alignment horizontal="left" vertical="center" wrapText="1"/>
    </xf>
    <xf numFmtId="0" fontId="14" fillId="51" borderId="13" xfId="0" applyNumberFormat="1" applyFont="1" applyFill="1" applyBorder="1" applyAlignment="1">
      <alignment horizontal="left" vertical="center" wrapText="1"/>
    </xf>
    <xf numFmtId="0" fontId="14" fillId="52" borderId="12" xfId="0" applyNumberFormat="1" applyFont="1" applyFill="1" applyBorder="1" applyAlignment="1">
      <alignment horizontal="left" vertical="center" wrapText="1"/>
    </xf>
    <xf numFmtId="0" fontId="14" fillId="52" borderId="13" xfId="0" applyNumberFormat="1" applyFont="1" applyFill="1" applyBorder="1" applyAlignment="1">
      <alignment horizontal="left" vertical="center" wrapText="1"/>
    </xf>
    <xf numFmtId="0" fontId="14" fillId="53" borderId="12" xfId="0" applyNumberFormat="1" applyFont="1" applyFill="1" applyBorder="1" applyAlignment="1">
      <alignment horizontal="left" vertical="center" wrapText="1"/>
    </xf>
    <xf numFmtId="0" fontId="14" fillId="53" borderId="13" xfId="0" applyNumberFormat="1" applyFont="1" applyFill="1" applyBorder="1" applyAlignment="1">
      <alignment horizontal="left" vertical="center" wrapText="1"/>
    </xf>
    <xf numFmtId="0" fontId="14" fillId="54" borderId="12" xfId="0" applyNumberFormat="1" applyFont="1" applyFill="1" applyBorder="1" applyAlignment="1">
      <alignment horizontal="left" vertical="center" wrapText="1"/>
    </xf>
    <xf numFmtId="0" fontId="14" fillId="54" borderId="13" xfId="0" applyNumberFormat="1" applyFont="1" applyFill="1" applyBorder="1" applyAlignment="1">
      <alignment horizontal="left" vertical="center" wrapText="1"/>
    </xf>
    <xf numFmtId="0" fontId="14" fillId="46" borderId="14" xfId="0" applyNumberFormat="1" applyFont="1" applyFill="1" applyBorder="1" applyAlignment="1">
      <alignment horizontal="left" vertical="center" wrapText="1"/>
    </xf>
    <xf numFmtId="0" fontId="16" fillId="47" borderId="15" xfId="0" applyNumberFormat="1" applyFont="1" applyFill="1" applyBorder="1" applyAlignment="1">
      <alignment horizontal="left" vertical="center" wrapText="1"/>
    </xf>
    <xf numFmtId="201" fontId="14" fillId="49" borderId="11" xfId="0" applyNumberFormat="1" applyFont="1" applyFill="1" applyBorder="1" applyAlignment="1">
      <alignment horizontal="center" vertical="center" wrapText="1"/>
    </xf>
    <xf numFmtId="201" fontId="14" fillId="49" borderId="13" xfId="0" applyNumberFormat="1" applyFont="1" applyFill="1" applyBorder="1" applyAlignment="1">
      <alignment horizontal="center" vertical="center" wrapText="1"/>
    </xf>
    <xf numFmtId="203" fontId="14" fillId="49" borderId="13" xfId="0" applyNumberFormat="1" applyFont="1" applyFill="1" applyBorder="1" applyAlignment="1">
      <alignment horizontal="center" vertical="center" wrapText="1"/>
    </xf>
    <xf numFmtId="0" fontId="14" fillId="46" borderId="16" xfId="0" applyNumberFormat="1" applyFont="1" applyFill="1" applyBorder="1" applyAlignment="1">
      <alignment horizontal="left" vertical="center" wrapText="1"/>
    </xf>
    <xf numFmtId="0" fontId="16" fillId="47" borderId="17" xfId="0" applyNumberFormat="1" applyFont="1" applyFill="1" applyBorder="1" applyAlignment="1">
      <alignment horizontal="left" vertical="center" wrapText="1"/>
    </xf>
    <xf numFmtId="0" fontId="14" fillId="46" borderId="18" xfId="0" applyNumberFormat="1" applyFont="1" applyFill="1" applyBorder="1" applyAlignment="1">
      <alignment horizontal="left" vertical="center" wrapText="1"/>
    </xf>
    <xf numFmtId="0" fontId="16" fillId="47" borderId="19" xfId="0" applyNumberFormat="1" applyFont="1" applyFill="1" applyBorder="1" applyAlignment="1">
      <alignment horizontal="left" vertical="center" wrapText="1"/>
    </xf>
    <xf numFmtId="0" fontId="14" fillId="46" borderId="20" xfId="0" applyNumberFormat="1" applyFont="1" applyFill="1" applyBorder="1" applyAlignment="1">
      <alignment horizontal="left" vertical="center" wrapText="1"/>
    </xf>
    <xf numFmtId="0" fontId="16" fillId="47" borderId="21" xfId="0" applyNumberFormat="1" applyFont="1" applyFill="1" applyBorder="1" applyAlignment="1">
      <alignment horizontal="left" vertical="center" wrapText="1"/>
    </xf>
    <xf numFmtId="0" fontId="13" fillId="2" borderId="0" xfId="0" applyNumberFormat="1" applyFont="1" applyFill="1" applyBorder="1" applyAlignment="1">
      <alignment horizontal="left" vertical="center" wrapText="1"/>
    </xf>
    <xf numFmtId="0" fontId="13" fillId="2" borderId="0" xfId="0" applyNumberFormat="1" applyFont="1" applyFill="1" applyBorder="1" applyAlignment="1">
      <alignment horizontal="center" vertical="center" wrapText="1"/>
    </xf>
    <xf numFmtId="0" fontId="17" fillId="2" borderId="0" xfId="0" applyNumberFormat="1" applyFont="1" applyFill="1" applyBorder="1" applyAlignment="1">
      <alignment horizontal="left" vertical="center" wrapText="1"/>
    </xf>
    <xf numFmtId="0" fontId="17" fillId="2" borderId="0" xfId="0" applyNumberFormat="1" applyFont="1" applyFill="1" applyBorder="1" applyAlignment="1">
      <alignment horizontal="center" vertical="center" wrapText="1"/>
    </xf>
    <xf numFmtId="0" fontId="0" fillId="10" borderId="0" xfId="0" applyNumberFormat="1" applyFont="1" applyFill="1" applyBorder="1" applyAlignment="1">
      <alignment horizontal="left" vertical="center" wrapText="1"/>
    </xf>
    <xf numFmtId="0" fontId="0" fillId="10" borderId="0" xfId="0" applyNumberFormat="1" applyFont="1" applyFill="1" applyBorder="1" applyAlignment="1">
      <alignment vertical="center" wrapText="1"/>
    </xf>
    <xf numFmtId="0" fontId="18" fillId="10" borderId="0" xfId="0" applyNumberFormat="1" applyFont="1" applyFill="1" applyBorder="1" applyAlignment="1">
      <alignment horizontal="left" vertical="center" wrapText="1"/>
    </xf>
    <xf numFmtId="0" fontId="18" fillId="10" borderId="0" xfId="0" applyNumberFormat="1" applyFont="1" applyFill="1" applyBorder="1" applyAlignment="1">
      <alignment vertical="center" wrapText="1"/>
    </xf>
    <xf numFmtId="0" fontId="18" fillId="10" borderId="0" xfId="0" applyNumberFormat="1" applyFont="1" applyFill="1" applyBorder="1" applyAlignment="1">
      <alignment horizontal="center" vertical="center" wrapText="1"/>
    </xf>
    <xf numFmtId="0" fontId="19" fillId="18" borderId="0" xfId="0" applyNumberFormat="1" applyFont="1" applyFill="1" applyBorder="1" applyAlignment="1">
      <alignment horizontal="left" vertical="center" wrapText="1"/>
    </xf>
    <xf numFmtId="0" fontId="19" fillId="18" borderId="0" xfId="0" applyNumberFormat="1" applyFont="1" applyFill="1" applyBorder="1" applyAlignment="1">
      <alignment horizontal="center" vertical="center" wrapText="1"/>
    </xf>
    <xf numFmtId="201" fontId="14" fillId="20" xfId="0" applyNumberFormat="1" applyFont="1" applyFill="1" applyBorder="0" applyAlignment="1">
      <alignment horizontal="left" vertical="center" wrapText="1"/>
    </xf>
    <xf numFmtId="203" fontId="14" fillId="20" xfId="0" applyNumberFormat="1" applyFont="1" applyFill="1" applyBorder="0" applyAlignment="1">
      <alignment horizontal="left" vertical="center" wrapText="1"/>
    </xf>
    <xf numFmtId="201" fontId="14" fillId="20" xfId="0" applyNumberFormat="1" applyFont="1" applyFill="1" applyBorder="0" applyAlignment="1">
      <alignment horizontal="center" vertical="center" wrapText="1"/>
    </xf>
    <xf numFmtId="203" fontId="14" fillId="20" xfId="0" applyNumberFormat="1" applyFont="1" applyFill="1" applyBorder="0" applyAlignment="1">
      <alignment horizontal="center" vertical="center" wrapText="1"/>
    </xf>
    <xf numFmtId="0" fontId="14" fillId="5" borderId="0" xfId="0" applyNumberFormat="1" applyFont="1" applyFill="1" applyBorder="1" applyAlignment="1">
      <alignment horizontal="left" vertical="center" wrapText="1"/>
    </xf>
    <xf numFmtId="0" fontId="14" fillId="6" borderId="0" xfId="0" applyNumberFormat="1" applyFont="1" applyFill="1" applyBorder="1" applyAlignment="1">
      <alignment horizontal="left" vertical="center" wrapText="1"/>
    </xf>
    <xf numFmtId="0" fontId="14" fillId="7" borderId="0" xfId="0" applyNumberFormat="1" applyFont="1" applyFill="1" applyBorder="1" applyAlignment="1">
      <alignment horizontal="left" vertical="center" wrapText="1"/>
    </xf>
    <xf numFmtId="0" fontId="14" fillId="9" borderId="0" xfId="0" applyNumberFormat="1" applyFont="1" applyFill="1" applyBorder="1" applyAlignment="1">
      <alignment horizontal="left" vertical="center" wrapText="1"/>
    </xf>
    <xf numFmtId="201" fontId="14" fillId="20" borderId="0" xfId="0" applyNumberFormat="1" applyFont="1" applyFill="1" applyBorder="1" applyAlignment="1">
      <alignment horizontal="center" vertical="center" wrapText="1"/>
    </xf>
    <xf numFmtId="203" fontId="14" fillId="20" borderId="0" xfId="0" applyNumberFormat="1" applyFont="1" applyFill="1" applyBorder="1" applyAlignment="1">
      <alignment horizontal="center" vertical="center" wrapText="1"/>
    </xf>
    <xf numFmtId="0" fontId="11" fillId="55" borderId="0" xfId="0" applyNumberFormat="1" applyFont="1" applyFill="1" applyBorder="1" applyAlignment="1">
      <alignment vertical="center" wrapText="0"/>
    </xf>
    <xf numFmtId="0" fontId="0" fillId="55" borderId="0" xfId="0" applyNumberFormat="1" applyFont="1" applyFill="1" applyBorder="1"/>
    <xf numFmtId="0" fontId="14" fillId="55" borderId="0" xfId="0" applyNumberFormat="1" applyFont="1" applyFill="1" applyBorder="1" applyAlignment="1">
      <alignment vertical="center" wrapText="0"/>
    </xf>
    <xf numFmtId="0" fontId="14" fillId="55" borderId="0" xfId="0" applyNumberFormat="1" applyFont="1" applyFill="1" applyBorder="1"/>
    <xf numFmtId="0" fontId="14" fillId="55" borderId="22" xfId="0" applyNumberFormat="1" applyFont="1" applyFill="1" applyBorder="1" applyAlignment="1">
      <alignment vertical="center" wrapText="0"/>
    </xf>
    <xf numFmtId="0" fontId="14" fillId="55" borderId="23" xfId="0" applyNumberFormat="1" applyFont="1" applyFill="1" applyBorder="1"/>
    <xf numFmtId="0" fontId="14" fillId="55" borderId="24" xfId="0" applyNumberFormat="1" applyFont="1" applyFill="1" applyBorder="1"/>
    <xf numFmtId="0" fontId="14" fillId="55" borderId="22" xfId="0" applyNumberFormat="1" applyFont="1" applyFill="1" applyBorder="1" applyAlignment="1">
      <alignment vertical="center" wrapText="1"/>
    </xf>
    <xf numFmtId="0" fontId="14" fillId="55" borderId="23" xfId="0" applyNumberFormat="1" applyFont="1" applyFill="1" applyBorder="1" applyAlignment="1">
      <alignment wrapText="1"/>
    </xf>
    <xf numFmtId="0" fontId="14" fillId="55" borderId="24" xfId="0" applyNumberFormat="1" applyFont="1" applyFill="1" applyBorder="1" applyAlignment="1">
      <alignment wrapText="1"/>
    </xf>
    <xf numFmtId="0" fontId="14" fillId="55" borderId="22" xfId="0" applyNumberFormat="1" applyFont="1" applyFill="1" applyBorder="1" applyAlignment="1">
      <alignment horizontal="left" vertical="center" wrapText="1"/>
    </xf>
    <xf numFmtId="0" fontId="14" fillId="55" borderId="23" xfId="0" applyNumberFormat="1" applyFont="1" applyFill="1" applyBorder="1" applyAlignment="1">
      <alignment horizontal="left" wrapText="1"/>
    </xf>
    <xf numFmtId="0" fontId="14" fillId="55" borderId="24" xfId="0" applyNumberFormat="1" applyFont="1" applyFill="1" applyBorder="1" applyAlignment="1">
      <alignment horizontal="left" wrapText="1"/>
    </xf>
    <xf numFmtId="0" fontId="14" fillId="55" borderId="23" xfId="0" applyNumberFormat="1" applyFont="1" applyFill="1" applyBorder="1" applyAlignment="1">
      <alignment horizontal="left" vertical="center" wrapText="1"/>
    </xf>
    <xf numFmtId="0" fontId="14" fillId="55" borderId="24" xfId="0" applyNumberFormat="1" applyFont="1" applyFill="1" applyBorder="1" applyAlignment="1">
      <alignment horizontal="left" vertical="center" wrapText="1"/>
    </xf>
    <xf numFmtId="0" fontId="0" fillId="56" borderId="0" xfId="0" applyNumberFormat="1" applyFont="1" applyFill="1" applyBorder="1" applyAlignment="1">
      <alignment vertical="center" wrapText="0"/>
    </xf>
    <xf numFmtId="0" fontId="0" fillId="56" borderId="0" xfId="0" applyNumberFormat="1" applyFont="1" applyFill="1" applyBorder="1"/>
    <xf numFmtId="0" fontId="16" fillId="56" borderId="0" xfId="0" applyNumberFormat="1" applyFont="1" applyFill="1" applyBorder="1" applyAlignment="1">
      <alignment vertical="center" wrapText="0"/>
    </xf>
    <xf numFmtId="0" fontId="16" fillId="56" borderId="0" xfId="0" applyNumberFormat="1" applyFont="1" applyFill="1" applyBorder="1"/>
    <xf numFmtId="0" fontId="16" fillId="56" borderId="22" xfId="0" applyNumberFormat="1" applyFont="1" applyFill="1" applyBorder="1" applyAlignment="1">
      <alignment vertical="center" wrapText="0"/>
    </xf>
    <xf numFmtId="0" fontId="16" fillId="56" borderId="23" xfId="0" applyNumberFormat="1" applyFont="1" applyFill="1" applyBorder="1"/>
    <xf numFmtId="0" fontId="16" fillId="56" borderId="24" xfId="0" applyNumberFormat="1" applyFont="1" applyFill="1" applyBorder="1"/>
    <xf numFmtId="0" fontId="16" fillId="56" borderId="22" xfId="0" applyNumberFormat="1" applyFont="1" applyFill="1" applyBorder="1" applyAlignment="1">
      <alignment vertical="center" wrapText="1"/>
    </xf>
    <xf numFmtId="0" fontId="16" fillId="56" borderId="23" xfId="0" applyNumberFormat="1" applyFont="1" applyFill="1" applyBorder="1" applyAlignment="1">
      <alignment wrapText="1"/>
    </xf>
    <xf numFmtId="0" fontId="16" fillId="56" borderId="24" xfId="0" applyNumberFormat="1" applyFont="1" applyFill="1" applyBorder="1" applyAlignment="1">
      <alignment wrapText="1"/>
    </xf>
    <xf numFmtId="0" fontId="16" fillId="56" borderId="22" xfId="0" applyNumberFormat="1" applyFont="1" applyFill="1" applyBorder="1" applyAlignment="1">
      <alignment horizontal="left" vertical="center" wrapText="1"/>
    </xf>
    <xf numFmtId="0" fontId="16" fillId="56" borderId="23" xfId="0" applyNumberFormat="1" applyFont="1" applyFill="1" applyBorder="1" applyAlignment="1">
      <alignment horizontal="left" wrapText="1"/>
    </xf>
    <xf numFmtId="0" fontId="16" fillId="56" borderId="24" xfId="0" applyNumberFormat="1" applyFont="1" applyFill="1" applyBorder="1" applyAlignment="1">
      <alignment horizontal="left" wrapText="1"/>
    </xf>
    <xf numFmtId="0" fontId="16" fillId="56" borderId="23" xfId="0" applyNumberFormat="1" applyFont="1" applyFill="1" applyBorder="1" applyAlignment="1">
      <alignment horizontal="left" vertical="center" wrapText="1"/>
    </xf>
    <xf numFmtId="0" fontId="16" fillId="56" borderId="24" xfId="0" applyNumberFormat="1" applyFont="1" applyFill="1" applyBorder="1" applyAlignment="1">
      <alignment horizontal="left" vertical="center" wrapText="1"/>
    </xf>
    <xf numFmtId="0" fontId="11" fillId="46" borderId="0" xfId="0" applyNumberFormat="1" applyFont="1" applyFill="1" applyBorder="1" applyAlignment="1">
      <alignment vertical="center" wrapText="0"/>
    </xf>
    <xf numFmtId="0" fontId="0" fillId="46" borderId="0" xfId="0" applyNumberFormat="1" applyFont="1" applyFill="1" applyBorder="1"/>
    <xf numFmtId="0" fontId="14" fillId="46" borderId="0" xfId="0" applyNumberFormat="1" applyFont="1" applyFill="1" applyBorder="1" applyAlignment="1">
      <alignment vertical="center" wrapText="0"/>
    </xf>
    <xf numFmtId="0" fontId="14" fillId="46" borderId="0" xfId="0" applyNumberFormat="1" applyFont="1" applyFill="1" applyBorder="1"/>
    <xf numFmtId="0" fontId="14" fillId="46" borderId="0" xfId="0" applyNumberFormat="1" applyFont="1" applyFill="1" applyBorder="1" applyAlignment="1">
      <alignment vertical="center" wrapText="1"/>
    </xf>
    <xf numFmtId="0" fontId="14" fillId="46" borderId="0" xfId="0" applyNumberFormat="1" applyFont="1" applyFill="1" applyBorder="1" applyAlignment="1">
      <alignment wrapText="1"/>
    </xf>
    <xf numFmtId="0" fontId="14" fillId="46" borderId="0" xfId="0" applyNumberFormat="1" applyFont="1" applyFill="1" applyBorder="1" applyAlignment="1">
      <alignment horizontal="left" wrapText="1"/>
    </xf>
    <xf numFmtId="0" fontId="0" fillId="47" borderId="0" xfId="0" applyNumberFormat="1" applyFont="1" applyFill="1" applyBorder="1" applyAlignment="1">
      <alignment vertical="center" wrapText="0"/>
    </xf>
    <xf numFmtId="0" fontId="0" fillId="47" borderId="0" xfId="0" applyNumberFormat="1" applyFont="1" applyFill="1" applyBorder="1"/>
    <xf numFmtId="0" fontId="16" fillId="47" borderId="0" xfId="0" applyNumberFormat="1" applyFont="1" applyFill="1" applyBorder="1" applyAlignment="1">
      <alignment vertical="center" wrapText="0"/>
    </xf>
    <xf numFmtId="0" fontId="16" fillId="47" borderId="0" xfId="0" applyNumberFormat="1" applyFont="1" applyFill="1" applyBorder="1"/>
    <xf numFmtId="0" fontId="16" fillId="47" borderId="0" xfId="0" applyNumberFormat="1" applyFont="1" applyFill="1" applyBorder="1" applyAlignment="1">
      <alignment vertical="center" wrapText="1"/>
    </xf>
    <xf numFmtId="0" fontId="16" fillId="47" borderId="0" xfId="0" applyNumberFormat="1" applyFont="1" applyFill="1" applyBorder="1" applyAlignment="1">
      <alignment wrapText="1"/>
    </xf>
    <xf numFmtId="0" fontId="16" fillId="47" borderId="0" xfId="0" applyNumberFormat="1" applyFont="1" applyFill="1" applyBorder="1" applyAlignment="1">
      <alignment horizontal="left" wrapText="1"/>
    </xf>
    <xf numFmtId="0" fontId="14" fillId="57" borderId="22" xfId="0" applyNumberFormat="1" applyFont="1" applyFill="1" applyBorder="1" applyAlignment="1">
      <alignment horizontal="left" vertical="center" wrapText="1"/>
    </xf>
    <xf numFmtId="0" fontId="16" fillId="57" borderId="22" xfId="0" applyNumberFormat="1" applyFont="1" applyFill="1" applyBorder="1" applyAlignment="1">
      <alignment horizontal="left" vertical="center" wrapText="1"/>
    </xf>
    <xf numFmtId="0" fontId="19" fillId="57" borderId="22" xfId="0" applyNumberFormat="1" applyFont="1" applyFill="1" applyBorder="1" applyAlignment="1">
      <alignment horizontal="left" vertical="center" wrapText="1"/>
    </xf>
    <xf numFmtId="0" fontId="19" fillId="57" borderId="25" xfId="0" applyNumberFormat="1" applyFont="1" applyFill="1" applyBorder="1" applyAlignment="1">
      <alignment horizontal="left" vertical="center" wrapText="1"/>
    </xf>
    <xf numFmtId="0" fontId="19" fillId="57" borderId="26" xfId="0" applyNumberFormat="1" applyFont="1" applyFill="1" applyBorder="1" applyAlignment="1">
      <alignment horizontal="left" vertical="center" wrapText="1"/>
    </xf>
    <xf numFmtId="0" fontId="19" fillId="57" borderId="25" xfId="0" applyNumberFormat="1" applyFont="1" applyFill="1" applyBorder="1" applyAlignment="1">
      <alignment horizontal="center" vertical="center" wrapText="1"/>
    </xf>
    <xf numFmtId="0" fontId="19" fillId="57" borderId="26" xfId="0" applyNumberFormat="1" applyFont="1" applyFill="1" applyBorder="1" applyAlignment="1">
      <alignment horizontal="center" vertical="center" wrapText="1"/>
    </xf>
    <xf numFmtId="0" fontId="14" fillId="57" borderId="0" xfId="0" applyNumberFormat="1" applyFont="1" applyFill="1" applyBorder="1" applyAlignment="1">
      <alignment horizontal="left" vertical="center" wrapText="1"/>
    </xf>
    <xf numFmtId="0" fontId="16" fillId="57" borderId="0" xfId="0" applyNumberFormat="1" applyFont="1" applyFill="1" applyBorder="1" applyAlignment="1">
      <alignment horizontal="left" vertical="center" wrapText="1"/>
    </xf>
    <xf numFmtId="0" fontId="19" fillId="57" borderId="0" xfId="0" applyNumberFormat="1" applyFont="1" applyFill="1" applyBorder="1" applyAlignment="1">
      <alignment horizontal="left" vertical="center" wrapText="1"/>
    </xf>
    <xf numFmtId="0" fontId="19" fillId="57" borderId="27" xfId="0" applyNumberFormat="1" applyFont="1" applyFill="1" applyBorder="1" applyAlignment="1">
      <alignment horizontal="left" vertical="center" wrapText="1"/>
    </xf>
    <xf numFmtId="0" fontId="19" fillId="57" borderId="28" xfId="0" applyNumberFormat="1" applyFont="1" applyFill="1" applyBorder="1" applyAlignment="1">
      <alignment horizontal="left" vertical="center" wrapText="1"/>
    </xf>
    <xf numFmtId="0" fontId="19" fillId="57" borderId="27" xfId="0" applyNumberFormat="1" applyFont="1" applyFill="1" applyBorder="1" applyAlignment="1">
      <alignment horizontal="center" vertical="center" wrapText="1"/>
    </xf>
    <xf numFmtId="0" fontId="19" fillId="57" borderId="28" xfId="0" applyNumberFormat="1" applyFont="1" applyFill="1" applyBorder="1" applyAlignment="1">
      <alignment horizontal="center" vertical="center" wrapText="1"/>
    </xf>
    <xf numFmtId="0" fontId="14" fillId="58" borderId="23" xfId="0" applyNumberFormat="1" applyFont="1" applyFill="1" applyBorder="1" applyAlignment="1">
      <alignment horizontal="left" vertical="center" wrapText="1"/>
    </xf>
    <xf numFmtId="0" fontId="14" fillId="58" borderId="24" xfId="0" applyNumberFormat="1" applyFont="1" applyFill="1" applyBorder="1" applyAlignment="1">
      <alignment horizontal="left" vertical="center" wrapText="1"/>
    </xf>
    <xf numFmtId="0" fontId="0" fillId="58" borderId="0" xfId="0" applyNumberFormat="1" applyFont="1" applyFill="1" applyBorder="1"/>
    <xf numFmtId="0" fontId="14" fillId="58" borderId="0" xfId="0" applyNumberFormat="1" applyFont="1" applyFill="1" applyBorder="1"/>
    <xf numFmtId="0" fontId="14" fillId="58" borderId="29" xfId="0" applyNumberFormat="1" applyFont="1" applyFill="1" applyBorder="1" applyAlignment="1">
      <alignment horizontal="left" vertical="center" wrapText="1"/>
    </xf>
    <xf numFmtId="0" fontId="14" fillId="58" borderId="30" xfId="0" applyNumberFormat="1" applyFont="1" applyFill="1" applyBorder="1" applyAlignment="1">
      <alignment horizontal="left" vertical="center" wrapText="1"/>
    </xf>
    <xf numFmtId="0" fontId="14" fillId="58" borderId="31" xfId="0" applyNumberFormat="1" applyFont="1" applyFill="1" applyBorder="1" applyAlignment="1">
      <alignment horizontal="left" vertical="center" wrapText="1"/>
    </xf>
    <xf numFmtId="0" fontId="14" fillId="58" borderId="32" xfId="0" applyNumberFormat="1" applyFont="1" applyFill="1" applyBorder="1"/>
    <xf numFmtId="0" fontId="14" fillId="58" borderId="32" xfId="0" applyNumberFormat="1" applyFont="1" applyFill="1" applyBorder="1" applyAlignment="1">
      <alignment wrapText="1"/>
    </xf>
    <xf numFmtId="0" fontId="14" fillId="58" borderId="32" xfId="0" applyNumberFormat="1" applyFont="1" applyFill="1" applyBorder="1" applyAlignment="1">
      <alignment horizontal="left" wrapText="1"/>
    </xf>
    <xf numFmtId="0" fontId="14" fillId="58" borderId="32" xfId="0" applyNumberFormat="1" applyFont="1" applyFill="1" applyBorder="1" applyAlignment="1">
      <alignment horizontal="left" vertical="center" wrapText="1"/>
    </xf>
    <xf numFmtId="0" fontId="14" fillId="58" borderId="0" xfId="0" applyNumberFormat="1" applyFont="1" applyFill="1" applyBorder="1" applyAlignment="1">
      <alignment horizontal="left" vertical="center" wrapText="1"/>
    </xf>
    <xf numFmtId="0" fontId="16" fillId="59" borderId="23" xfId="0" applyNumberFormat="1" applyFont="1" applyFill="1" applyBorder="1" applyAlignment="1">
      <alignment horizontal="left" vertical="center" wrapText="1"/>
    </xf>
    <xf numFmtId="0" fontId="16" fillId="59" borderId="24" xfId="0" applyNumberFormat="1" applyFont="1" applyFill="1" applyBorder="1" applyAlignment="1">
      <alignment horizontal="left" vertical="center" wrapText="1"/>
    </xf>
    <xf numFmtId="0" fontId="0" fillId="59" borderId="0" xfId="0" applyNumberFormat="1" applyFont="1" applyFill="1" applyBorder="1"/>
    <xf numFmtId="0" fontId="16" fillId="59" borderId="0" xfId="0" applyNumberFormat="1" applyFont="1" applyFill="1" applyBorder="1"/>
    <xf numFmtId="0" fontId="16" fillId="59" borderId="29" xfId="0" applyNumberFormat="1" applyFont="1" applyFill="1" applyBorder="1" applyAlignment="1">
      <alignment horizontal="left" vertical="center" wrapText="1"/>
    </xf>
    <xf numFmtId="0" fontId="16" fillId="59" borderId="30" xfId="0" applyNumberFormat="1" applyFont="1" applyFill="1" applyBorder="1" applyAlignment="1">
      <alignment horizontal="left" vertical="center" wrapText="1"/>
    </xf>
    <xf numFmtId="0" fontId="16" fillId="59" borderId="31" xfId="0" applyNumberFormat="1" applyFont="1" applyFill="1" applyBorder="1" applyAlignment="1">
      <alignment horizontal="left" vertical="center" wrapText="1"/>
    </xf>
    <xf numFmtId="0" fontId="16" fillId="59" borderId="32" xfId="0" applyNumberFormat="1" applyFont="1" applyFill="1" applyBorder="1"/>
    <xf numFmtId="0" fontId="16" fillId="59" borderId="32" xfId="0" applyNumberFormat="1" applyFont="1" applyFill="1" applyBorder="1" applyAlignment="1">
      <alignment wrapText="1"/>
    </xf>
    <xf numFmtId="0" fontId="16" fillId="59" borderId="32" xfId="0" applyNumberFormat="1" applyFont="1" applyFill="1" applyBorder="1" applyAlignment="1">
      <alignment horizontal="left" wrapText="1"/>
    </xf>
    <xf numFmtId="0" fontId="16" fillId="59" borderId="32" xfId="0" applyNumberFormat="1" applyFont="1" applyFill="1" applyBorder="1" applyAlignment="1">
      <alignment horizontal="left" vertical="center" wrapText="1"/>
    </xf>
    <xf numFmtId="0" fontId="14" fillId="18" borderId="0" xfId="0" applyNumberFormat="1" applyFont="1" applyFill="1" applyBorder="1" applyAlignment="1">
      <alignment horizontal="left" vertical="center" wrapText="1"/>
    </xf>
    <xf numFmtId="0" fontId="16" fillId="18" borderId="0" xfId="0" applyNumberFormat="1" applyFont="1" applyFill="1" applyBorder="1" applyAlignment="1">
      <alignment horizontal="left" vertical="center" wrapText="1"/>
    </xf>
    <xf numFmtId="0" fontId="19" fillId="18" borderId="25" xfId="0" applyNumberFormat="1" applyFont="1" applyFill="1" applyBorder="1" applyAlignment="1">
      <alignment horizontal="center" vertical="center" wrapText="1"/>
    </xf>
    <xf numFmtId="0" fontId="19" fillId="18" borderId="26" xfId="0" applyNumberFormat="1" applyFont="1" applyFill="1" applyBorder="1" applyAlignment="1">
      <alignment horizontal="center" vertical="center" wrapText="1"/>
    </xf>
    <xf numFmtId="0" fontId="14" fillId="46" borderId="29" xfId="0" applyNumberFormat="1" applyFont="1" applyFill="1" applyBorder="1" applyAlignment="1">
      <alignment horizontal="left" vertical="center" wrapText="1"/>
    </xf>
    <xf numFmtId="0" fontId="16" fillId="47" borderId="29" xfId="0" applyNumberFormat="1" applyFont="1" applyFill="1" applyBorder="1" applyAlignment="1">
      <alignment horizontal="left" vertical="center" wrapText="1"/>
    </xf>
    <xf numFmtId="0" fontId="19" fillId="18" borderId="25" xfId="0" applyNumberFormat="1" applyFont="1" applyFill="1" applyBorder="1" applyAlignment="1">
      <alignment horizontal="left" vertical="center" wrapText="1"/>
    </xf>
    <xf numFmtId="201" fontId="14" fillId="20" borderId="0" xfId="0" applyNumberFormat="1" applyFont="1" applyFill="1" applyBorder="1" applyAlignment="1">
      <alignment horizontal="left" vertical="center" wrapText="1"/>
    </xf>
    <xf numFmtId="203" fontId="14" fillId="20" borderId="0" xfId="0" applyNumberFormat="1" applyFont="1" applyFill="1" applyBorder="1" applyAlignment="1">
      <alignment horizontal="left" vertical="center" wrapText="1"/>
    </xf>
    <xf numFmtId="0" fontId="19" fillId="18" borderId="26" xfId="0" applyNumberFormat="1" applyFont="1" applyFill="1" applyBorder="1" applyAlignment="1">
      <alignment horizontal="left" vertical="center" wrapText="1"/>
    </xf>
    <xf numFmtId="0" fontId="19" fillId="60" borderId="0" xfId="0" applyNumberFormat="1" applyFont="1" applyFill="1" applyBorder="1" applyAlignment="1">
      <alignment horizontal="left" vertical="center" wrapText="1"/>
    </xf>
    <xf numFmtId="0" fontId="19" fillId="60" borderId="33" xfId="0" applyNumberFormat="1" applyFont="1" applyFill="1" applyBorder="1" applyAlignment="1">
      <alignment horizontal="left" vertical="center" wrapText="1"/>
    </xf>
    <xf numFmtId="0" fontId="19" fillId="60" borderId="34" xfId="0" applyNumberFormat="1" applyFont="1" applyFill="1" applyBorder="1" applyAlignment="1">
      <alignment horizontal="left" vertical="center" wrapText="1"/>
    </xf>
    <xf numFmtId="0" fontId="19" fillId="60" borderId="33" xfId="0" applyNumberFormat="1" applyFont="1" applyFill="1" applyBorder="1" applyAlignment="1">
      <alignment horizontal="center" vertical="center" wrapText="1"/>
    </xf>
    <xf numFmtId="0" fontId="19" fillId="60" borderId="34" xfId="0" applyNumberFormat="1" applyFont="1" applyFill="1" applyBorder="1" applyAlignment="1">
      <alignment horizontal="center" vertical="center" wrapText="1"/>
    </xf>
    <xf numFmtId="0" fontId="14" fillId="60" borderId="0" xfId="0" applyNumberFormat="1" applyFont="1" applyFill="1" applyBorder="1" applyAlignment="1">
      <alignment horizontal="left" vertical="center" wrapText="1"/>
    </xf>
    <xf numFmtId="0" fontId="16" fillId="60" borderId="0" xfId="0" applyNumberFormat="1" applyFont="1" applyFill="1" applyBorder="1" applyAlignment="1">
      <alignment horizontal="left" vertical="center" wrapText="1"/>
    </xf>
    <xf numFmtId="0" fontId="14" fillId="61" borderId="0" xfId="0" applyNumberFormat="1" applyFont="1" applyFill="1" applyBorder="1" applyAlignment="1">
      <alignment horizontal="left" vertical="center" wrapText="1"/>
    </xf>
    <xf numFmtId="0" fontId="14" fillId="61" borderId="35" xfId="0" applyNumberFormat="1" applyFont="1" applyFill="1" applyBorder="1" applyAlignment="1">
      <alignment horizontal="left" vertical="center" wrapText="1"/>
    </xf>
    <xf numFmtId="0" fontId="14" fillId="61" borderId="36" xfId="0" applyNumberFormat="1" applyFont="1" applyFill="1" applyBorder="1" applyAlignment="1">
      <alignment horizontal="left" vertical="center" wrapText="1"/>
    </xf>
    <xf numFmtId="0" fontId="14" fillId="61" borderId="37" xfId="0" applyNumberFormat="1" applyFont="1" applyFill="1" applyBorder="1" applyAlignment="1">
      <alignment horizontal="left" vertical="center" wrapText="1"/>
    </xf>
    <xf numFmtId="201" fontId="14" fillId="62" borderId="0" xfId="0" applyNumberFormat="1" applyFont="1" applyFill="1" applyBorder="1" applyAlignment="1">
      <alignment horizontal="left" vertical="center" wrapText="1"/>
    </xf>
    <xf numFmtId="203" fontId="14" fillId="62" borderId="0" xfId="0" applyNumberFormat="1" applyFont="1" applyFill="1" applyBorder="1" applyAlignment="1">
      <alignment horizontal="left" vertical="center" wrapText="1"/>
    </xf>
    <xf numFmtId="201" fontId="14" fillId="62" borderId="35" xfId="0" applyNumberFormat="1" applyFont="1" applyFill="1" applyBorder="1" applyAlignment="1">
      <alignment horizontal="left" vertical="center" wrapText="1"/>
    </xf>
    <xf numFmtId="201" fontId="14" fillId="62" borderId="36" xfId="0" applyNumberFormat="1" applyFont="1" applyFill="1" applyBorder="1" applyAlignment="1">
      <alignment horizontal="left" vertical="center" wrapText="1"/>
    </xf>
    <xf numFmtId="203" fontId="14" fillId="62" borderId="37" xfId="0" applyNumberFormat="1" applyFont="1" applyFill="1" applyBorder="1" applyAlignment="1">
      <alignment horizontal="left" vertical="center" wrapText="1"/>
    </xf>
    <xf numFmtId="201" fontId="14" fillId="62" borderId="35" xfId="0" applyNumberFormat="1" applyFont="1" applyFill="1" applyBorder="1" applyAlignment="1">
      <alignment horizontal="center" vertical="center" wrapText="1"/>
    </xf>
    <xf numFmtId="201" fontId="14" fillId="62" borderId="36" xfId="0" applyNumberFormat="1" applyFont="1" applyFill="1" applyBorder="1" applyAlignment="1">
      <alignment horizontal="center" vertical="center" wrapText="1"/>
    </xf>
    <xf numFmtId="203" fontId="14" fillId="62" borderId="37" xfId="0" applyNumberFormat="1" applyFont="1" applyFill="1" applyBorder="1" applyAlignment="1">
      <alignment horizontal="center" vertical="center" wrapText="1"/>
    </xf>
    <xf numFmtId="0" fontId="19" fillId="61" borderId="0" xfId="0" applyNumberFormat="1" applyFont="1" applyFill="1" applyBorder="1" applyAlignment="1">
      <alignment horizontal="left" vertical="center" wrapText="1"/>
    </xf>
    <xf numFmtId="0" fontId="16" fillId="63" borderId="0" xfId="0" applyNumberFormat="1" applyFont="1" applyFill="1" applyBorder="1" applyAlignment="1">
      <alignment horizontal="left" vertical="center" wrapText="1"/>
    </xf>
    <xf numFmtId="0" fontId="19" fillId="63" borderId="0" xfId="0" applyNumberFormat="1" applyFont="1" applyFill="1" applyBorder="1" applyAlignment="1">
      <alignment horizontal="left" vertical="center" wrapText="1"/>
    </xf>
    <xf numFmtId="0" fontId="14" fillId="63" borderId="0" xfId="0" applyNumberFormat="1" applyFont="1" applyFill="1" applyBorder="1" applyAlignment="1">
      <alignment horizontal="left" vertical="center" wrapText="1"/>
    </xf>
    <xf numFmtId="0" fontId="16" fillId="63" borderId="38" xfId="0" applyNumberFormat="1" applyFont="1" applyFill="1" applyBorder="1" applyAlignment="1">
      <alignment horizontal="left" vertical="center" wrapText="1"/>
    </xf>
    <xf numFmtId="0" fontId="16" fillId="63" borderId="39" xfId="0" applyNumberFormat="1" applyFont="1" applyFill="1" applyBorder="1" applyAlignment="1">
      <alignment horizontal="left" vertical="center" wrapText="1"/>
    </xf>
    <xf numFmtId="0" fontId="14" fillId="63" borderId="39" xfId="0" applyNumberFormat="1" applyFont="1" applyFill="1" applyBorder="1" applyAlignment="1">
      <alignment horizontal="left" vertical="center" wrapText="1"/>
    </xf>
    <xf numFmtId="0" fontId="16" fillId="63" borderId="40" xfId="0" applyNumberFormat="1" applyFont="1" applyFill="1" applyBorder="1" applyAlignment="1">
      <alignment horizontal="left" vertical="center" wrapText="1"/>
    </xf>
    <xf numFmtId="0" fontId="19" fillId="61" borderId="25" xfId="0" applyNumberFormat="1" applyFont="1" applyFill="1" applyBorder="1" applyAlignment="1">
      <alignment horizontal="left" vertical="center" wrapText="1"/>
    </xf>
    <xf numFmtId="0" fontId="14" fillId="61" borderId="29" xfId="0" applyNumberFormat="1" applyFont="1" applyFill="1" applyBorder="1" applyAlignment="1">
      <alignment horizontal="left" vertical="center" wrapText="1"/>
    </xf>
    <xf numFmtId="0" fontId="14" fillId="61" borderId="25" xfId="0" applyNumberFormat="1" applyFont="1" applyFill="1" applyBorder="1" applyAlignment="1">
      <alignment horizontal="left" vertical="center" wrapText="1"/>
    </xf>
    <xf numFmtId="0" fontId="14" fillId="61" borderId="41" xfId="0" applyNumberFormat="1" applyFont="1" applyFill="1" applyBorder="1" applyAlignment="1">
      <alignment horizontal="left" vertical="center" wrapText="1"/>
    </xf>
    <xf numFmtId="0" fontId="14" fillId="61" borderId="42" xfId="0" applyNumberFormat="1" applyFont="1" applyFill="1" applyBorder="1" applyAlignment="1">
      <alignment horizontal="left" vertical="center" wrapText="1"/>
    </xf>
    <xf numFmtId="0" fontId="19" fillId="63" borderId="26" xfId="0" applyNumberFormat="1" applyFont="1" applyFill="1" applyBorder="1" applyAlignment="1">
      <alignment horizontal="left" vertical="center" wrapText="1"/>
    </xf>
    <xf numFmtId="0" fontId="16" fillId="63" borderId="29" xfId="0" applyNumberFormat="1" applyFont="1" applyFill="1" applyBorder="1" applyAlignment="1">
      <alignment horizontal="left" vertical="center" wrapText="1"/>
    </xf>
    <xf numFmtId="0" fontId="14" fillId="63" borderId="26" xfId="0" applyNumberFormat="1" applyFont="1" applyFill="1" applyBorder="1" applyAlignment="1">
      <alignment horizontal="left" vertical="center" wrapText="1"/>
    </xf>
    <xf numFmtId="0" fontId="14" fillId="63" borderId="43" xfId="0" applyNumberFormat="1" applyFont="1" applyFill="1" applyBorder="1" applyAlignment="1">
      <alignment horizontal="left" vertical="center" wrapText="1"/>
    </xf>
    <xf numFmtId="0" fontId="16" fillId="63" borderId="44" xfId="0" applyNumberFormat="1" applyFont="1" applyFill="1" applyBorder="1" applyAlignment="1">
      <alignment horizontal="left" vertical="center" wrapText="1"/>
    </xf>
    <xf numFmtId="0" fontId="19" fillId="46" borderId="0" xfId="0" applyNumberFormat="1" applyFont="1" applyFill="1" applyBorder="1" applyAlignment="1">
      <alignment horizontal="left" vertical="center" wrapText="1"/>
    </xf>
    <xf numFmtId="0" fontId="19" fillId="47" borderId="0" xfId="0" applyNumberFormat="1" applyFont="1" applyFill="1" applyBorder="1" applyAlignment="1">
      <alignment horizontal="left" vertical="center" wrapText="1"/>
    </xf>
    <xf numFmtId="0" fontId="14" fillId="47" borderId="0" xfId="0" applyNumberFormat="1" applyFont="1" applyFill="1" applyBorder="1" applyAlignment="1">
      <alignment horizontal="left" vertical="center" wrapText="1"/>
    </xf>
    <xf numFmtId="0" fontId="19" fillId="18" borderId="33" xfId="0" applyNumberFormat="1" applyFont="1" applyFill="1" applyBorder="1" applyAlignment="1">
      <alignment horizontal="center" vertical="center" wrapText="1"/>
    </xf>
    <xf numFmtId="0" fontId="19" fillId="18" borderId="34" xfId="0" applyNumberFormat="1" applyFont="1" applyFill="1" applyBorder="1" applyAlignment="1">
      <alignment horizontal="center" vertical="center" wrapText="1"/>
    </xf>
    <xf numFmtId="0" fontId="14" fillId="46" borderId="35" xfId="0" applyNumberFormat="1" applyFont="1" applyFill="1" applyBorder="1" applyAlignment="1">
      <alignment horizontal="left" vertical="center" wrapText="1"/>
    </xf>
    <xf numFmtId="201" fontId="14" fillId="20" borderId="35" xfId="0" applyNumberFormat="1" applyFont="1" applyFill="1" applyBorder="1" applyAlignment="1">
      <alignment horizontal="center" vertical="center" wrapText="1"/>
    </xf>
    <xf numFmtId="0" fontId="14" fillId="46" borderId="36" xfId="0" applyNumberFormat="1" applyFont="1" applyFill="1" applyBorder="1" applyAlignment="1">
      <alignment horizontal="left" vertical="center" wrapText="1"/>
    </xf>
    <xf numFmtId="201" fontId="14" fillId="20" borderId="36" xfId="0" applyNumberFormat="1" applyFont="1" applyFill="1" applyBorder="1" applyAlignment="1">
      <alignment horizontal="center" vertical="center" wrapText="1"/>
    </xf>
    <xf numFmtId="0" fontId="14" fillId="46" borderId="37" xfId="0" applyNumberFormat="1" applyFont="1" applyFill="1" applyBorder="1" applyAlignment="1">
      <alignment horizontal="left" vertical="center" wrapText="1"/>
    </xf>
    <xf numFmtId="203" fontId="14" fillId="20" borderId="37" xfId="0" applyNumberFormat="1" applyFont="1" applyFill="1" applyBorder="1" applyAlignment="1">
      <alignment horizontal="center" vertical="center" wrapText="1"/>
    </xf>
    <xf numFmtId="0" fontId="16" fillId="47" borderId="35" xfId="0" applyNumberFormat="1" applyFont="1" applyFill="1" applyBorder="1" applyAlignment="1">
      <alignment horizontal="left" vertical="center" wrapText="1"/>
    </xf>
    <xf numFmtId="0" fontId="16" fillId="47" borderId="36" xfId="0" applyNumberFormat="1" applyFont="1" applyFill="1" applyBorder="1" applyAlignment="1">
      <alignment horizontal="left" vertical="center" wrapText="1"/>
    </xf>
    <xf numFmtId="0" fontId="14" fillId="47" borderId="36" xfId="0" applyNumberFormat="1" applyFont="1" applyFill="1" applyBorder="1" applyAlignment="1">
      <alignment horizontal="left" vertical="center" wrapText="1"/>
    </xf>
    <xf numFmtId="0" fontId="16" fillId="47" borderId="37" xfId="0" applyNumberFormat="1" applyFont="1" applyFill="1" applyBorder="1" applyAlignment="1">
      <alignment horizontal="left" vertical="center" wrapText="1"/>
    </xf>
    <xf numFmtId="0" fontId="19" fillId="18" borderId="33" xfId="0" applyNumberFormat="1" applyFont="1" applyFill="1" applyBorder="1" applyAlignment="1">
      <alignment horizontal="left" vertical="center" wrapText="1"/>
    </xf>
    <xf numFmtId="0" fontId="19" fillId="18" borderId="34" xfId="0" applyNumberFormat="1" applyFont="1" applyFill="1" applyBorder="1" applyAlignment="1">
      <alignment horizontal="left" vertical="center" wrapText="1"/>
    </xf>
    <xf numFmtId="201" fontId="14" fillId="20" borderId="35" xfId="0" applyNumberFormat="1" applyFont="1" applyFill="1" applyBorder="1" applyAlignment="1">
      <alignment horizontal="left" vertical="center" wrapText="1"/>
    </xf>
    <xf numFmtId="201" fontId="14" fillId="20" borderId="36" xfId="0" applyNumberFormat="1" applyFont="1" applyFill="1" applyBorder="1" applyAlignment="1">
      <alignment horizontal="left" vertical="center" wrapText="1"/>
    </xf>
    <xf numFmtId="203" fontId="14" fillId="20" borderId="37" xfId="0" applyNumberFormat="1" applyFont="1" applyFill="1" applyBorder="1" applyAlignment="1">
      <alignment horizontal="left" vertical="center" wrapText="1"/>
    </xf>
    <xf numFmtId="0" fontId="19" fillId="64" borderId="33" xfId="0" applyNumberFormat="1" applyFont="1" applyFill="1" applyBorder="1" applyAlignment="1">
      <alignment horizontal="left" vertical="center" wrapText="1"/>
    </xf>
    <xf numFmtId="0" fontId="19" fillId="64" borderId="45" xfId="0" applyNumberFormat="1" applyFont="1" applyFill="1" applyBorder="1" applyAlignment="1">
      <alignment horizontal="left" vertical="center" wrapText="1"/>
    </xf>
    <xf numFmtId="0" fontId="19" fillId="64" borderId="45" xfId="0" applyNumberFormat="1" applyFont="1" applyFill="1" applyBorder="1" applyAlignment="1">
      <alignment horizontal="center" vertical="center" wrapText="1"/>
    </xf>
    <xf numFmtId="0" fontId="19" fillId="64" borderId="0" xfId="0" applyNumberFormat="1" applyFont="1" applyFill="1" applyBorder="1" applyAlignment="1">
      <alignment horizontal="left" vertical="center" wrapText="1"/>
    </xf>
    <xf numFmtId="0" fontId="19" fillId="65" borderId="34" xfId="0" applyNumberFormat="1" applyFont="1" applyFill="1" applyBorder="1" applyAlignment="1">
      <alignment horizontal="left" vertical="center" wrapText="1"/>
    </xf>
    <xf numFmtId="0" fontId="14" fillId="65" borderId="34" xfId="0" applyNumberFormat="1" applyFont="1" applyFill="1" applyBorder="1" applyAlignment="1">
      <alignment horizontal="left" vertical="center" wrapText="1"/>
    </xf>
    <xf numFmtId="0" fontId="14" fillId="65" borderId="46" xfId="0" applyNumberFormat="1" applyFont="1" applyFill="1" applyBorder="1" applyAlignment="1">
      <alignment horizontal="left" vertical="center" wrapText="1"/>
    </xf>
    <xf numFmtId="0" fontId="19" fillId="65" borderId="0" xfId="0" applyNumberFormat="1" applyFont="1" applyFill="1" applyBorder="1" applyAlignment="1">
      <alignment horizontal="left" vertical="center" wrapText="1"/>
    </xf>
    <xf numFmtId="0" fontId="14" fillId="65" borderId="0" xfId="0" applyNumberFormat="1" applyFont="1" applyFill="1" applyBorder="1" applyAlignment="1">
      <alignment horizontal="left" vertical="center" wrapText="1"/>
    </xf>
    <xf numFmtId="0" fontId="14" fillId="65" borderId="35" xfId="0" applyNumberFormat="1" applyFont="1" applyFill="1" applyBorder="1" applyAlignment="1">
      <alignment horizontal="left" vertical="center" wrapText="1"/>
    </xf>
    <xf numFmtId="0" fontId="14" fillId="65" borderId="36" xfId="0" applyNumberFormat="1" applyFont="1" applyFill="1" applyBorder="1" applyAlignment="1">
      <alignment horizontal="left" vertical="center" wrapText="1"/>
    </xf>
    <xf numFmtId="0" fontId="14" fillId="65" borderId="37" xfId="0" applyNumberFormat="1" applyFont="1" applyFill="1" applyBorder="1" applyAlignment="1">
      <alignment horizontal="left" vertical="center" wrapText="1"/>
    </xf>
    <xf numFmtId="0" fontId="19" fillId="65" borderId="33" xfId="0" applyNumberFormat="1" applyFont="1" applyFill="1" applyBorder="1" applyAlignment="1">
      <alignment horizontal="left" vertical="center" wrapText="1"/>
    </xf>
    <xf numFmtId="0" fontId="14" fillId="65" borderId="33" xfId="0" applyNumberFormat="1" applyFont="1" applyFill="1" applyBorder="1" applyAlignment="1">
      <alignment horizontal="left" vertical="center" wrapText="1"/>
    </xf>
    <xf numFmtId="0" fontId="14" fillId="65" borderId="47" xfId="0" applyNumberFormat="1" applyFont="1" applyFill="1" applyBorder="1" applyAlignment="1">
      <alignment horizontal="left" vertical="center" wrapText="1"/>
    </xf>
    <xf numFmtId="0" fontId="14" fillId="65" borderId="48" xfId="0" applyNumberFormat="1" applyFont="1" applyFill="1" applyBorder="1" applyAlignment="1">
      <alignment horizontal="left" vertical="center" wrapText="1"/>
    </xf>
    <xf numFmtId="0" fontId="14" fillId="65" borderId="49" xfId="0" applyNumberFormat="1" applyFont="1" applyFill="1" applyBorder="1" applyAlignment="1">
      <alignment horizontal="left" vertical="center" wrapText="1"/>
    </xf>
    <xf numFmtId="0" fontId="14" fillId="65" borderId="50" xfId="0" applyNumberFormat="1" applyFont="1" applyFill="1" applyBorder="1" applyAlignment="1">
      <alignment horizontal="left" vertical="center" wrapText="1"/>
    </xf>
    <xf numFmtId="0" fontId="14" fillId="65" borderId="51" xfId="0" applyNumberFormat="1" applyFont="1" applyFill="1" applyBorder="1" applyAlignment="1">
      <alignment horizontal="left" vertical="center" wrapText="1"/>
    </xf>
    <xf numFmtId="0" fontId="14" fillId="65" borderId="52" xfId="0" applyNumberFormat="1" applyFont="1" applyFill="1" applyBorder="1" applyAlignment="1">
      <alignment horizontal="left" vertical="center" wrapText="1"/>
    </xf>
    <xf numFmtId="0" fontId="19" fillId="66" borderId="34" xfId="0" applyNumberFormat="1" applyFont="1" applyFill="1" applyBorder="1" applyAlignment="1">
      <alignment horizontal="left" vertical="center" wrapText="1"/>
    </xf>
    <xf numFmtId="0" fontId="16" fillId="66" borderId="35" xfId="0" applyNumberFormat="1" applyFont="1" applyFill="1" applyBorder="1" applyAlignment="1">
      <alignment horizontal="left" vertical="center" wrapText="1"/>
    </xf>
    <xf numFmtId="0" fontId="16" fillId="66" borderId="36" xfId="0" applyNumberFormat="1" applyFont="1" applyFill="1" applyBorder="1" applyAlignment="1">
      <alignment horizontal="left" vertical="center" wrapText="1"/>
    </xf>
    <xf numFmtId="0" fontId="14" fillId="66" borderId="36" xfId="0" applyNumberFormat="1" applyFont="1" applyFill="1" applyBorder="1" applyAlignment="1">
      <alignment horizontal="left" vertical="center" wrapText="1"/>
    </xf>
    <xf numFmtId="0" fontId="20" fillId="66" borderId="34" xfId="0" applyNumberFormat="1" applyFont="1" applyFill="1" applyBorder="1" applyAlignment="1">
      <alignment horizontal="left" vertical="center" wrapText="1"/>
    </xf>
    <xf numFmtId="0" fontId="20" fillId="66" borderId="35" xfId="0" applyNumberFormat="1" applyFont="1" applyFill="1" applyBorder="1" applyAlignment="1">
      <alignment horizontal="left" vertical="center" wrapText="1"/>
    </xf>
    <xf numFmtId="0" fontId="20" fillId="66" borderId="36" xfId="0" applyNumberFormat="1" applyFont="1" applyFill="1" applyBorder="1" applyAlignment="1">
      <alignment horizontal="left" vertical="center" wrapText="1"/>
    </xf>
    <xf numFmtId="0" fontId="20" fillId="66" borderId="53" xfId="0" applyNumberFormat="1" applyFont="1" applyFill="1" applyBorder="1" applyAlignment="1">
      <alignment horizontal="left" vertical="center" wrapText="1"/>
    </xf>
    <xf numFmtId="0" fontId="20" fillId="66" borderId="51" xfId="0" applyNumberFormat="1" applyFont="1" applyFill="1" applyBorder="1" applyAlignment="1">
      <alignment horizontal="left" vertical="center" wrapText="1"/>
    </xf>
    <xf numFmtId="0" fontId="20" fillId="66" borderId="48" xfId="0" applyNumberFormat="1" applyFont="1" applyFill="1" applyBorder="1" applyAlignment="1">
      <alignment horizontal="left" vertical="center" wrapText="1"/>
    </xf>
    <xf numFmtId="0" fontId="20" fillId="66" borderId="52" xfId="0" applyNumberFormat="1" applyFont="1" applyFill="1" applyBorder="1" applyAlignment="1">
      <alignment horizontal="left" vertical="center" wrapText="1"/>
    </xf>
    <xf numFmtId="0" fontId="19" fillId="66" borderId="0" xfId="0" applyNumberFormat="1" applyFont="1" applyFill="1" applyBorder="1" applyAlignment="1">
      <alignment horizontal="left" vertical="center" wrapText="1"/>
    </xf>
    <xf numFmtId="0" fontId="16" fillId="66" borderId="0" xfId="0" applyNumberFormat="1" applyFont="1" applyFill="1" applyBorder="1" applyAlignment="1">
      <alignment horizontal="left" vertical="center" wrapText="1"/>
    </xf>
    <xf numFmtId="0" fontId="14" fillId="66" borderId="0" xfId="0" applyNumberFormat="1" applyFont="1" applyFill="1" applyBorder="1" applyAlignment="1">
      <alignment horizontal="left" vertical="center" wrapText="1"/>
    </xf>
    <xf numFmtId="0" fontId="20" fillId="66" borderId="0" xfId="0" applyNumberFormat="1" applyFont="1" applyFill="1" applyBorder="1" applyAlignment="1">
      <alignment horizontal="left" vertical="center" wrapText="1"/>
    </xf>
    <xf numFmtId="0" fontId="20" fillId="66" borderId="47" xfId="0" applyNumberFormat="1" applyFont="1" applyFill="1" applyBorder="1" applyAlignment="1">
      <alignment horizontal="left" vertical="center" wrapText="1"/>
    </xf>
    <xf numFmtId="0" fontId="16" fillId="66" borderId="37" xfId="0" applyNumberFormat="1" applyFont="1" applyFill="1" applyBorder="1" applyAlignment="1">
      <alignment horizontal="left" vertical="center" wrapText="1"/>
    </xf>
    <xf numFmtId="0" fontId="20" fillId="66" borderId="37" xfId="0" applyNumberFormat="1" applyFont="1" applyFill="1" applyBorder="1" applyAlignment="1">
      <alignment horizontal="left" vertical="center" wrapText="1"/>
    </xf>
    <xf numFmtId="201" fontId="14" fillId="67" borderId="35" xfId="0" applyNumberFormat="1" applyFont="1" applyFill="1" applyBorder="1" applyAlignment="1">
      <alignment horizontal="left" vertical="center" wrapText="1"/>
    </xf>
    <xf numFmtId="201" fontId="14" fillId="67" borderId="36" xfId="0" applyNumberFormat="1" applyFont="1" applyFill="1" applyBorder="1" applyAlignment="1">
      <alignment horizontal="left" vertical="center" wrapText="1"/>
    </xf>
    <xf numFmtId="203" fontId="14" fillId="67" borderId="37" xfId="0" applyNumberFormat="1" applyFont="1" applyFill="1" applyBorder="1" applyAlignment="1">
      <alignment horizontal="left" vertical="center" wrapText="1"/>
    </xf>
    <xf numFmtId="201" fontId="14" fillId="67" borderId="47" xfId="0" applyNumberFormat="1" applyFont="1" applyFill="1" applyBorder="1" applyAlignment="1">
      <alignment horizontal="left" vertical="center" wrapText="1"/>
    </xf>
    <xf numFmtId="201" fontId="14" fillId="67" borderId="48" xfId="0" applyNumberFormat="1" applyFont="1" applyFill="1" applyBorder="1" applyAlignment="1">
      <alignment horizontal="left" vertical="center" wrapText="1"/>
    </xf>
    <xf numFmtId="203" fontId="14" fillId="67" borderId="52" xfId="0" applyNumberFormat="1" applyFont="1" applyFill="1" applyBorder="1" applyAlignment="1">
      <alignment horizontal="left" vertical="center" wrapText="1"/>
    </xf>
    <xf numFmtId="201" fontId="14" fillId="67" borderId="47" xfId="0" applyNumberFormat="1" applyFont="1" applyFill="1" applyBorder="1" applyAlignment="1">
      <alignment horizontal="center" vertical="center" wrapText="1"/>
    </xf>
    <xf numFmtId="201" fontId="14" fillId="67" borderId="48" xfId="0" applyNumberFormat="1" applyFont="1" applyFill="1" applyBorder="1" applyAlignment="1">
      <alignment horizontal="center" vertical="center" wrapText="1"/>
    </xf>
    <xf numFmtId="203" fontId="14" fillId="67" borderId="52" xfId="0" applyNumberFormat="1" applyFont="1" applyFill="1" applyBorder="1" applyAlignment="1">
      <alignment horizontal="center" vertical="center" wrapText="1"/>
    </xf>
    <xf numFmtId="201" fontId="14" fillId="67" borderId="0" xfId="0" applyNumberFormat="1" applyFont="1" applyFill="1" applyBorder="1" applyAlignment="1">
      <alignment horizontal="left" vertical="center" wrapText="1"/>
    </xf>
    <xf numFmtId="203" fontId="14" fillId="67" borderId="0" xfId="0" applyNumberFormat="1" applyFont="1" applyFill="1" applyBorder="1" applyAlignment="1">
      <alignment horizontal="left" vertical="center" wrapText="1"/>
    </xf>
    <xf numFmtId="0" fontId="17" fillId="68" borderId="0" xfId="0" applyNumberFormat="1" applyFont="1" applyFill="1" applyBorder="1" applyAlignment="1">
      <alignment horizontal="left" vertical="center" wrapText="1"/>
    </xf>
    <xf numFmtId="0" fontId="17" fillId="68" borderId="0" xfId="0" applyNumberFormat="1" applyFont="1" applyFill="1" applyBorder="1" applyAlignment="1">
      <alignment horizontal="center" vertical="center" wrapText="1"/>
    </xf>
    <xf numFmtId="0" fontId="13" fillId="68" borderId="0" xfId="0" applyNumberFormat="1" applyFont="1" applyFill="1" applyBorder="1" applyAlignment="1">
      <alignment horizontal="center" vertical="center" wrapText="0"/>
    </xf>
    <xf numFmtId="0" fontId="18" fillId="68" borderId="0" xfId="0" applyNumberFormat="1" applyFont="1" applyFill="1" applyBorder="1" applyAlignment="1">
      <alignment horizontal="left" vertical="center" wrapText="1"/>
    </xf>
    <xf numFmtId="0" fontId="18" fillId="68" borderId="0" xfId="0" applyNumberFormat="1" applyFont="1" applyFill="1" applyBorder="1" applyAlignment="1">
      <alignment horizontal="center" vertical="center" wrapText="1"/>
    </xf>
    <xf numFmtId="0" fontId="0" fillId="68" borderId="0" xfId="0" applyNumberFormat="1" applyFont="1" applyFill="1" applyBorder="1" applyAlignment="1">
      <alignment vertical="center" wrapText="0"/>
    </xf>
    <xf numFmtId="0" fontId="0" fillId="68" borderId="0" xfId="0" applyNumberFormat="1" applyFont="1" applyFill="1" applyBorder="1"/>
    <xf numFmtId="0" fontId="14" fillId="68" borderId="0" xfId="0" applyNumberFormat="1" applyFont="1" applyFill="1" applyBorder="1" applyAlignment="1">
      <alignment horizontal="left" vertical="center" wrapText="1"/>
    </xf>
    <xf numFmtId="0" fontId="16" fillId="68" borderId="0" xfId="0" applyNumberFormat="1" applyFont="1" applyFill="1" applyBorder="1" applyAlignment="1">
      <alignment horizontal="left" vertical="center" wrapText="1"/>
    </xf>
    <xf numFmtId="0" fontId="0" fillId="68" borderId="0" xfId="0" applyNumberFormat="1" applyFont="1" applyFill="1" applyBorder="1" applyAlignment="1">
      <alignment horizontal="left" vertical="center" wrapText="1"/>
    </xf>
    <xf numFmtId="0" fontId="19" fillId="68" borderId="45" xfId="0" applyNumberFormat="1" applyFont="1" applyFill="1" applyBorder="1" applyAlignment="1">
      <alignment horizontal="center" vertical="center" wrapText="1"/>
    </xf>
    <xf numFmtId="0" fontId="14" fillId="68" borderId="45" xfId="0" applyNumberFormat="1" applyFont="1" applyFill="1" applyBorder="1" applyAlignment="1">
      <alignment horizontal="left" vertical="center" wrapText="1"/>
    </xf>
    <xf numFmtId="0" fontId="2" fillId="68" borderId="0" xfId="0" applyNumberFormat="1" applyFont="1" applyFill="1" applyBorder="1" applyAlignment="1">
      <alignment horizontal="center" vertical="center" wrapText="0"/>
    </xf>
    <xf numFmtId="0" fontId="14" fillId="68" borderId="47" xfId="0" applyNumberFormat="1" applyFont="1" applyFill="1" applyBorder="1" applyAlignment="1">
      <alignment horizontal="left" vertical="center" wrapText="1"/>
    </xf>
    <xf numFmtId="201" fontId="14" fillId="68" borderId="47" xfId="0" applyNumberFormat="1" applyFont="1" applyFill="1" applyBorder="1" applyAlignment="1">
      <alignment horizontal="center" vertical="center" wrapText="1"/>
    </xf>
    <xf numFmtId="0" fontId="14" fillId="68" borderId="48" xfId="0" applyNumberFormat="1" applyFont="1" applyFill="1" applyBorder="1" applyAlignment="1">
      <alignment horizontal="left" vertical="center" wrapText="1"/>
    </xf>
    <xf numFmtId="201" fontId="14" fillId="68" borderId="48" xfId="0" applyNumberFormat="1" applyFont="1" applyFill="1" applyBorder="1" applyAlignment="1">
      <alignment horizontal="center" vertical="center" wrapText="1"/>
    </xf>
    <xf numFmtId="203" fontId="14" fillId="68" borderId="52" xfId="0" applyNumberFormat="1" applyFont="1" applyFill="1" applyBorder="1" applyAlignment="1">
      <alignment horizontal="center" vertical="center" wrapText="1"/>
    </xf>
    <xf numFmtId="0" fontId="16" fillId="68" borderId="47" xfId="0" applyNumberFormat="1" applyFont="1" applyFill="1" applyBorder="1" applyAlignment="1">
      <alignment horizontal="left" vertical="center" wrapText="1"/>
    </xf>
    <xf numFmtId="0" fontId="16" fillId="68" borderId="48" xfId="0" applyNumberFormat="1" applyFont="1" applyFill="1" applyBorder="1" applyAlignment="1">
      <alignment horizontal="left" vertical="center" wrapText="1"/>
    </xf>
    <xf numFmtId="0" fontId="14" fillId="68" borderId="52" xfId="0" applyNumberFormat="1" applyFont="1" applyFill="1" applyBorder="1" applyAlignment="1">
      <alignment horizontal="left" vertical="center" wrapText="1"/>
    </xf>
    <xf numFmtId="0" fontId="16" fillId="68" borderId="52" xfId="0" applyNumberFormat="1" applyFont="1" applyFill="1" applyBorder="1" applyAlignment="1">
      <alignment horizontal="left" vertical="center" wrapText="1"/>
    </xf>
    <xf numFmtId="0" fontId="19" fillId="68" borderId="0" xfId="0" applyNumberFormat="1" applyFont="1" applyFill="1" applyBorder="1" applyAlignment="1">
      <alignment horizontal="center" vertical="center" wrapText="1"/>
    </xf>
    <xf numFmtId="201" fontId="14" fillId="68" borderId="0" xfId="0" applyNumberFormat="1" applyFont="1" applyFill="1" applyBorder="1" applyAlignment="1">
      <alignment horizontal="center" vertical="center" wrapText="1"/>
    </xf>
    <xf numFmtId="203" fontId="14" fillId="68" borderId="0" xfId="0" applyNumberFormat="1" applyFont="1" applyFill="1" applyBorder="1" applyAlignment="1">
      <alignment horizontal="center" vertical="center" wrapText="1"/>
    </xf>
    <xf numFmtId="0" fontId="14" fillId="68" borderId="0" xfId="0" applyNumberFormat="1" applyFont="1" applyFill="1" applyBorder="1" applyAlignment="1">
      <alignment horizontal="center" vertical="center" wrapText="1"/>
    </xf>
    <xf numFmtId="0" fontId="14" fillId="68" borderId="0" xfId="0" applyNumberFormat="1" applyFont="1" applyFill="1" applyBorder="1" applyAlignment="1">
      <alignment horizontal="center" vertical="center" wrapText="0"/>
    </xf>
    <xf numFmtId="0" fontId="21" fillId="68" borderId="0" xfId="0" applyNumberFormat="1" applyFont="1" applyFill="1" applyBorder="1" applyAlignment="1">
      <alignment horizontal="left" vertical="center" wrapText="1"/>
    </xf>
    <xf numFmtId="0" fontId="21" fillId="68" borderId="0" xfId="0" applyNumberFormat="1" applyFont="1" applyFill="1" applyBorder="1" applyAlignment="1">
      <alignment horizontal="center" vertical="center" wrapText="1"/>
    </xf>
    <xf numFmtId="0" fontId="16" fillId="68" borderId="0" xfId="0" applyNumberFormat="1" applyFont="1" applyFill="1" applyBorder="1" applyAlignment="1">
      <alignment vertical="center" wrapText="0"/>
    </xf>
    <xf numFmtId="0" fontId="16" fillId="68" borderId="0" xfId="0" applyNumberFormat="1" applyFont="1" applyFill="1" applyBorder="1"/>
    <xf numFmtId="0" fontId="14" fillId="68" borderId="45" xfId="0" applyNumberFormat="1" applyFont="1" applyFill="1" applyBorder="1" applyAlignment="1">
      <alignment horizontal="center" vertical="center" wrapText="1"/>
    </xf>
    <xf numFmtId="0" fontId="16" fillId="68" borderId="0" xfId="0" applyNumberFormat="1" applyFont="1" applyFill="1" applyBorder="1" applyAlignment="1">
      <alignment vertical="center" wrapText="1"/>
    </xf>
    <xf numFmtId="0" fontId="16" fillId="68" borderId="0" xfId="0" applyNumberFormat="1" applyFont="1" applyFill="1" applyBorder="1" applyAlignment="1">
      <alignment wrapText="1"/>
    </xf>
    <xf numFmtId="0" fontId="14" fillId="69" borderId="0" xfId="0" applyNumberFormat="1" applyFont="1" applyFill="1" applyBorder="1" applyAlignment="1">
      <alignment horizontal="left" vertical="center" wrapText="1"/>
    </xf>
    <xf numFmtId="0" fontId="14" fillId="69" borderId="0" xfId="0" applyNumberFormat="1" applyFont="1" applyFill="1" applyBorder="1" applyAlignment="1">
      <alignment horizontal="center" vertical="center" wrapText="1"/>
    </xf>
    <xf numFmtId="0" fontId="22" fillId="69" borderId="0" xfId="0" applyNumberFormat="1" applyFont="1" applyFill="1" applyBorder="1" applyAlignment="1">
      <alignment horizontal="left" vertical="center" wrapText="1"/>
    </xf>
    <xf numFmtId="0" fontId="22" fillId="69" borderId="0" xfId="0" applyNumberFormat="1" applyFont="1" applyFill="1" applyBorder="1" applyAlignment="1">
      <alignment horizontal="center" vertical="center" wrapText="1"/>
    </xf>
    <xf numFmtId="0" fontId="21" fillId="70" borderId="0" xfId="0" applyNumberFormat="1" applyFont="1" applyFill="1" applyBorder="1" applyAlignment="1">
      <alignment horizontal="left" vertical="center" wrapText="1"/>
    </xf>
    <xf numFmtId="0" fontId="21" fillId="70" borderId="0" xfId="0" applyNumberFormat="1" applyFont="1" applyFill="1" applyBorder="1" applyAlignment="1">
      <alignment horizontal="center" vertical="center" wrapText="1"/>
    </xf>
    <xf numFmtId="0" fontId="18" fillId="70" borderId="0" xfId="0" applyNumberFormat="1" applyFont="1" applyFill="1" applyBorder="1" applyAlignment="1">
      <alignment horizontal="left" vertical="center" wrapText="1"/>
    </xf>
    <xf numFmtId="0" fontId="18" fillId="70" borderId="0" xfId="0" applyNumberFormat="1" applyFont="1" applyFill="1" applyBorder="1" applyAlignment="1">
      <alignment horizontal="center" vertical="center" wrapText="1"/>
    </xf>
    <xf numFmtId="0" fontId="14" fillId="71" borderId="0" xfId="0" applyNumberFormat="1" applyFont="1" applyFill="1" applyBorder="1" applyAlignment="1">
      <alignment horizontal="left" vertical="center" wrapText="1"/>
    </xf>
    <xf numFmtId="0" fontId="14" fillId="71" borderId="47" xfId="0" applyNumberFormat="1" applyFont="1" applyFill="1" applyBorder="1" applyAlignment="1">
      <alignment horizontal="left" vertical="center" wrapText="1"/>
    </xf>
    <xf numFmtId="0" fontId="14" fillId="71" borderId="48" xfId="0" applyNumberFormat="1" applyFont="1" applyFill="1" applyBorder="1" applyAlignment="1">
      <alignment horizontal="left" vertical="center" wrapText="1"/>
    </xf>
    <xf numFmtId="0" fontId="14" fillId="71" borderId="52" xfId="0" applyNumberFormat="1" applyFont="1" applyFill="1" applyBorder="1" applyAlignment="1">
      <alignment horizontal="left" vertical="center" wrapText="1"/>
    </xf>
    <xf numFmtId="0" fontId="16" fillId="72" borderId="0" xfId="0" applyNumberFormat="1" applyFont="1" applyFill="1" applyBorder="1" applyAlignment="1">
      <alignment horizontal="left" vertical="center" wrapText="1"/>
    </xf>
    <xf numFmtId="0" fontId="16" fillId="72" borderId="47" xfId="0" applyNumberFormat="1" applyFont="1" applyFill="1" applyBorder="1" applyAlignment="1">
      <alignment horizontal="left" vertical="center" wrapText="1"/>
    </xf>
    <xf numFmtId="0" fontId="16" fillId="72" borderId="48" xfId="0" applyNumberFormat="1" applyFont="1" applyFill="1" applyBorder="1" applyAlignment="1">
      <alignment horizontal="left" vertical="center" wrapText="1"/>
    </xf>
    <xf numFmtId="0" fontId="16" fillId="72" borderId="52" xfId="0" applyNumberFormat="1" applyFont="1" applyFill="1" applyBorder="1" applyAlignment="1">
      <alignment horizontal="left" vertical="center" wrapText="1"/>
    </xf>
    <xf numFmtId="0" fontId="14" fillId="73" borderId="0" xfId="0" applyNumberFormat="1" applyFont="1" applyFill="1" applyBorder="1" applyAlignment="1">
      <alignment horizontal="left" vertical="center" wrapText="1"/>
    </xf>
    <xf numFmtId="0" fontId="14" fillId="74" borderId="0" xfId="0" applyNumberFormat="1" applyFont="1" applyFill="1" applyBorder="1" applyAlignment="1">
      <alignment horizontal="left" vertical="center" wrapText="1"/>
    </xf>
    <xf numFmtId="0" fontId="14" fillId="75" borderId="0" xfId="0" applyNumberFormat="1" applyFont="1" applyFill="1" applyBorder="1" applyAlignment="1">
      <alignment horizontal="left" vertical="center" wrapText="1"/>
    </xf>
    <xf numFmtId="0" fontId="14" fillId="76" borderId="0" xfId="0" applyNumberFormat="1" applyFont="1" applyFill="1" applyBorder="1" applyAlignment="1">
      <alignment horizontal="left" vertical="center" wrapText="1"/>
    </xf>
    <xf numFmtId="0" fontId="14" fillId="77" borderId="0" xfId="0" applyNumberFormat="1" applyFont="1" applyFill="1" applyBorder="1" applyAlignment="1">
      <alignment horizontal="left" vertical="center" wrapText="1"/>
    </xf>
    <xf numFmtId="0" fontId="14" fillId="69" borderId="45" xfId="0" applyNumberFormat="1" applyFont="1" applyFill="1" applyBorder="1" applyAlignment="1">
      <alignment horizontal="center" vertical="center" wrapText="1"/>
    </xf>
    <xf numFmtId="0" fontId="14" fillId="69" borderId="45" xfId="0" applyNumberFormat="1" applyFont="1" applyFill="1" applyBorder="1" applyAlignment="1">
      <alignment horizontal="left" vertical="center" wrapText="1"/>
    </xf>
    <xf numFmtId="0" fontId="19" fillId="69" borderId="45" xfId="0" applyNumberFormat="1" applyFont="1" applyFill="1" applyBorder="1" applyAlignment="1">
      <alignment horizontal="left" vertical="center" wrapText="1"/>
    </xf>
    <xf numFmtId="0" fontId="19" fillId="69" borderId="0" xfId="0" applyNumberFormat="1" applyFont="1" applyFill="1" applyBorder="1" applyAlignment="1">
      <alignment horizontal="left" vertical="center" wrapText="1"/>
    </xf>
    <xf numFmtId="0" fontId="19" fillId="69" borderId="45" xfId="0" applyNumberFormat="1" applyFont="1" applyFill="1" applyBorder="1" applyAlignment="1">
      <alignment horizontal="center" vertical="center" wrapText="1"/>
    </xf>
    <xf numFmtId="0" fontId="19" fillId="69" borderId="0" xfId="0" applyNumberFormat="1" applyFont="1" applyFill="1" applyBorder="1" applyAlignment="1">
      <alignment horizontal="center" vertical="center" wrapText="1"/>
    </xf>
    <xf numFmtId="0" fontId="16" fillId="69" borderId="0" xfId="0" applyNumberFormat="1" applyFont="1" applyFill="1" applyBorder="1" applyAlignment="1">
      <alignment vertical="center" wrapText="1"/>
    </xf>
    <xf numFmtId="0" fontId="14" fillId="69" borderId="0" xfId="0" applyNumberFormat="1" applyFont="1" applyFill="1" applyBorder="1" applyAlignment="1">
      <alignment vertical="center" wrapText="1"/>
    </xf>
    <xf numFmtId="201" fontId="14" fillId="78" borderId="47" xfId="0" applyNumberFormat="1" applyFont="1" applyFill="1" applyBorder="1" applyAlignment="1">
      <alignment horizontal="center" vertical="center" wrapText="1"/>
    </xf>
    <xf numFmtId="201" fontId="14" fillId="78" borderId="48" xfId="0" applyNumberFormat="1" applyFont="1" applyFill="1" applyBorder="1" applyAlignment="1">
      <alignment horizontal="center" vertical="center" wrapText="1"/>
    </xf>
    <xf numFmtId="203" fontId="14" fillId="78" borderId="52" xfId="0" applyNumberFormat="1" applyFont="1" applyFill="1" applyBorder="1" applyAlignment="1">
      <alignment horizontal="center" vertical="center" wrapText="1"/>
    </xf>
    <xf numFmtId="201" fontId="14" fillId="78" borderId="0" xfId="0" applyNumberFormat="1" applyFont="1" applyFill="1" applyBorder="1" applyAlignment="1">
      <alignment horizontal="center" vertical="center" wrapText="1"/>
    </xf>
    <xf numFmtId="203" fontId="14" fillId="78" borderId="0" xfId="0" applyNumberFormat="1" applyFont="1" applyFill="1" applyBorder="1" applyAlignment="1">
      <alignment horizontal="center" vertical="center" wrapText="1"/>
    </xf>
    <xf numFmtId="0" fontId="14" fillId="18" borderId="0" xfId="0" applyNumberFormat="1" applyFont="1" applyFill="1" applyBorder="1" applyAlignment="1">
      <alignment horizontal="center" vertical="center" wrapText="1"/>
    </xf>
    <xf numFmtId="0" fontId="22" fillId="18" borderId="0" xfId="0" applyNumberFormat="1" applyFont="1" applyFill="1" applyBorder="1" applyAlignment="1">
      <alignment horizontal="left" vertical="center" wrapText="1"/>
    </xf>
    <xf numFmtId="0" fontId="22" fillId="18" borderId="0" xfId="0" applyNumberFormat="1" applyFont="1" applyFill="1" applyBorder="1" applyAlignment="1">
      <alignment horizontal="center" vertical="center" wrapText="1"/>
    </xf>
    <xf numFmtId="0" fontId="21" fillId="10" borderId="0" xfId="0" applyNumberFormat="1" applyFont="1" applyFill="1" applyBorder="1" applyAlignment="1">
      <alignment horizontal="left" vertical="center" wrapText="1"/>
    </xf>
    <xf numFmtId="0" fontId="21" fillId="10" borderId="0" xfId="0" applyNumberFormat="1" applyFont="1" applyFill="1" applyBorder="1" applyAlignment="1">
      <alignment horizontal="center" vertical="center" wrapText="1"/>
    </xf>
    <xf numFmtId="0" fontId="16" fillId="18" borderId="0" xfId="0" applyNumberFormat="1" applyFont="1" applyFill="1" applyBorder="1" applyAlignment="1">
      <alignment vertical="center" wrapText="1"/>
    </xf>
    <xf numFmtId="0" fontId="14" fillId="18" borderId="0" xfId="0" applyNumberFormat="1" applyFont="1" applyFill="1" applyBorder="1" applyAlignment="1">
      <alignment vertical="center" wrapText="1"/>
    </xf>
    <xf numFmtId="0" fontId="2" fillId="79" borderId="0" xfId="0" applyNumberFormat="1" applyFont="1" applyFill="1" applyBorder="1" applyAlignment="1">
      <alignment horizontal="center" vertical="center" wrapText="1"/>
    </xf>
    <xf numFmtId="0" fontId="14" fillId="80" borderId="0" xfId="0" applyNumberFormat="1" applyFont="1" applyFill="1" applyBorder="1" applyAlignment="1">
      <alignment horizontal="left" vertical="center" wrapText="1"/>
    </xf>
    <xf numFmtId="0" fontId="14" fillId="33" borderId="0" xfId="0" applyNumberFormat="1" applyFont="1" applyFill="1" applyBorder="1" applyAlignment="1">
      <alignment horizontal="center" vertical="center" wrapText="0"/>
    </xf>
    <xf numFmtId="0" fontId="23" fillId="33" borderId="0" xfId="0" applyNumberFormat="1" applyFont="1" applyFill="1" applyBorder="1" applyAlignment="1">
      <alignment horizontal="center" vertical="center" wrapText="0"/>
    </xf>
    <xf numFmtId="0" fontId="1" fillId="81" borderId="0" xfId="0" applyNumberFormat="1" applyFont="1" applyFill="1" applyBorder="1" applyAlignment="1">
      <alignment horizontal="center" vertical="center"/>
    </xf>
    <xf numFmtId="0" fontId="13" fillId="81" borderId="0" xfId="0" applyNumberFormat="1" applyFont="1" applyFill="1" applyBorder="1" applyAlignment="1">
      <alignment horizontal="center" vertical="center"/>
    </xf>
    <xf numFmtId="0" fontId="13" fillId="81" borderId="0" xfId="0" applyNumberFormat="1" applyFont="1" applyFill="1" applyBorder="1" applyAlignment="1">
      <alignment horizontal="center" vertical="center" wrapText="1"/>
    </xf>
    <xf numFmtId="0" fontId="0" fillId="82" borderId="0" xfId="0" applyNumberFormat="1" applyFont="1" applyFill="1" applyBorder="1"/>
    <xf numFmtId="0" fontId="18" fillId="82" borderId="0" xfId="0" applyNumberFormat="1" applyFont="1" applyFill="1" applyBorder="1"/>
    <xf numFmtId="0" fontId="18" fillId="82" borderId="0" xfId="0" applyNumberFormat="1" applyFont="1" applyFill="1" applyBorder="1" applyAlignment="1">
      <alignment wrapText="1"/>
    </xf>
    <xf numFmtId="0" fontId="18" fillId="82" borderId="0" xfId="0" applyNumberFormat="1" applyFont="1" applyFill="1" applyBorder="1" applyAlignment="1">
      <alignment horizontal="center" wrapText="1"/>
    </xf>
    <xf numFmtId="0" fontId="18" fillId="82" borderId="0" xfId="0" applyNumberFormat="1" applyFont="1" applyFill="1" applyBorder="1" applyAlignment="1">
      <alignment horizontal="center" vertical="center" wrapText="1"/>
    </xf>
    <xf numFmtId="0" fontId="2" fillId="81" borderId="0" xfId="0" applyNumberFormat="1" applyFont="1" applyFill="1" applyBorder="1" applyAlignment="1">
      <alignment horizontal="center" vertical="center" wrapText="1"/>
    </xf>
    <xf numFmtId="0" fontId="13" fillId="81" borderId="0" xfId="0" applyNumberFormat="1" applyFont="1" applyFill="1" applyBorder="1" applyAlignment="1">
      <alignment horizontal="center" vertical="center" wrapText="0"/>
    </xf>
    <xf numFmtId="0" fontId="1" fillId="18" borderId="0" xfId="0" applyNumberFormat="1" applyFont="1" applyFill="1" applyBorder="1" applyAlignment="1">
      <alignment horizontal="center" vertical="center"/>
    </xf>
    <xf numFmtId="0" fontId="13" fillId="18" borderId="0" xfId="0" applyNumberFormat="1" applyFont="1" applyFill="1" applyBorder="1" applyAlignment="1">
      <alignment horizontal="center" vertical="center"/>
    </xf>
    <xf numFmtId="0" fontId="18" fillId="10" borderId="0" xfId="0" applyNumberFormat="1" applyFont="1" applyFill="1" applyBorder="1"/>
    <xf numFmtId="0" fontId="18" fillId="10" borderId="0" xfId="0" applyNumberFormat="1" applyFont="1" applyFill="1" applyBorder="1" applyAlignment="1">
      <alignment wrapText="1"/>
    </xf>
    <xf numFmtId="0" fontId="18" fillId="10" borderId="0" xfId="0" applyNumberFormat="1" applyFont="1" applyFill="1" applyBorder="1" applyAlignment="1">
      <alignment horizontal="center" wrapText="1"/>
    </xf>
    <xf numFmtId="0" fontId="2" fillId="83" borderId="0" xfId="0" applyNumberFormat="1" applyFont="1" applyFill="1" applyBorder="1" applyAlignment="1">
      <alignment horizontal="center" vertical="center" wrapText="1"/>
    </xf>
    <xf numFmtId="0" fontId="1" fillId="2" borderId="0" xfId="0" applyNumberFormat="1" applyFont="1" applyFill="1" applyBorder="1" applyAlignment="1">
      <alignment horizontal="center" vertical="center" wrapText="1"/>
    </xf>
    <xf numFmtId="0" fontId="0" fillId="84" borderId="0" xfId="0" applyNumberFormat="1" applyFont="1" applyFill="1" applyBorder="1" applyAlignment="1">
      <alignment wrapText="1"/>
    </xf>
    <xf numFmtId="0" fontId="3" fillId="84" borderId="0" xfId="0" applyNumberFormat="1" applyFont="1" applyFill="1" applyBorder="1" applyAlignment="1">
      <alignment wrapText="1"/>
    </xf>
    <xf numFmtId="0" fontId="3" fillId="84" borderId="0" xfId="0" applyNumberFormat="1" applyFont="1" applyFill="1" applyBorder="1" applyAlignment="1">
      <alignment vertical="center" wrapText="1"/>
    </xf>
    <xf numFmtId="203" fontId="3" fillId="84" borderId="0" xfId="0" applyNumberFormat="1" applyFont="1" applyFill="1" applyBorder="1" applyAlignment="1">
      <alignment vertical="center" wrapText="1"/>
    </xf>
    <xf numFmtId="201" fontId="3" fillId="84" borderId="0" xfId="0" applyNumberFormat="1" applyFont="1" applyFill="1" applyBorder="1" applyAlignment="1">
      <alignment vertical="center" wrapText="1"/>
    </xf>
    <xf numFmtId="203" fontId="3" fillId="84" borderId="0" xfId="0" applyNumberFormat="1" applyFont="1" applyFill="1" applyBorder="1" applyAlignment="1">
      <alignment horizontal="center" vertical="center" wrapText="1"/>
    </xf>
    <xf numFmtId="0" fontId="3" fillId="84" borderId="0" xfId="0" applyNumberFormat="1" applyFont="1" applyFill="1" applyBorder="1" applyAlignment="1">
      <alignment horizontal="center" vertical="center" wrapText="1"/>
    </xf>
    <xf numFmtId="202" fontId="3" fillId="84" borderId="0" xfId="0" applyNumberFormat="1" applyFont="1" applyFill="1" applyBorder="1" applyAlignment="1">
      <alignment vertical="center" wrapText="1"/>
    </xf>
    <xf numFmtId="202" fontId="3" fillId="84" borderId="0" xfId="0" applyNumberFormat="1" applyFont="1" applyFill="1" applyBorder="1" applyAlignment="1">
      <alignment horizontal="center" vertical="center" wrapText="1"/>
    </xf>
    <xf numFmtId="0" fontId="0" fillId="85" borderId="0" xfId="0" applyNumberFormat="1" applyFont="1" applyFill="1" applyBorder="1"/>
    <xf numFmtId="0" fontId="3" fillId="85" borderId="0" xfId="0" applyNumberFormat="1" applyFont="1" applyFill="1" applyBorder="1"/>
    <xf numFmtId="0" fontId="3" fillId="85" borderId="0" xfId="0" applyNumberFormat="1" applyFont="1" applyFill="1" applyBorder="1" applyAlignment="1">
      <alignment wrapText="1"/>
    </xf>
    <xf numFmtId="0" fontId="3" fillId="85" borderId="0" xfId="0" applyNumberFormat="1" applyFont="1" applyFill="1" applyBorder="1" applyAlignment="1">
      <alignment vertical="center" wrapText="1"/>
    </xf>
    <xf numFmtId="0" fontId="3" fillId="85" borderId="0" xfId="0" applyNumberFormat="1" applyFont="1" applyFill="1" applyBorder="1" applyAlignment="1">
      <alignment horizontal="center" vertical="center" wrapText="1"/>
    </xf>
    <xf numFmtId="203" fontId="3" fillId="85" borderId="0" xfId="0" applyNumberFormat="1" applyFont="1" applyFill="1" applyBorder="1" applyAlignment="1">
      <alignment horizontal="center" vertical="center" wrapText="1"/>
    </xf>
    <xf numFmtId="202" fontId="3" fillId="85" borderId="0" xfId="0" applyNumberFormat="1" applyFont="1" applyFill="1" applyBorder="1" applyAlignment="1">
      <alignment horizontal="center" vertical="center" wrapText="1"/>
    </xf>
    <xf numFmtId="0" fontId="3" fillId="4" borderId="0" xfId="0" applyNumberFormat="1" applyFont="1" applyFill="1" applyBorder="1" applyAlignment="1">
      <alignment horizontal="center" vertical="center" wrapText="1"/>
    </xf>
    <xf numFmtId="203" fontId="3" fillId="4" borderId="0" xfId="0" applyNumberFormat="1" applyFont="1" applyFill="1" applyBorder="1" applyAlignment="1">
      <alignment horizontal="center" vertical="center" wrapText="1"/>
    </xf>
    <xf numFmtId="202" fontId="3" fillId="4" borderId="0" xfId="0" applyNumberFormat="1" applyFont="1" applyFill="1" applyBorder="1" applyAlignment="1">
      <alignment horizontal="center" vertical="center" wrapText="1"/>
    </xf>
    <xf numFmtId="205" fontId="0" fillId="0" borderId="0" xfId="0" applyNumberFormat="1" applyFont="1" applyFill="1" applyBorder="1" applyAlignment="1">
      <alignment vertical="top" wrapText="1"/>
    </xf>
    <xf numFmtId="205" fontId="0" fillId="0" borderId="0" xfId="0" applyNumberFormat="1" applyFont="1" applyFill="1" applyBorder="1" applyAlignment="1">
      <alignment wrapText="1"/>
    </xf>
    <xf numFmtId="205" fontId="0" fillId="0" borderId="0" xfId="0" applyNumberFormat="1" applyFont="1" applyFill="1" applyBorder="1" applyAlignment="1">
      <alignment horizontal="center" vertical="top" wrapText="1"/>
    </xf>
    <xf numFmtId="205" fontId="0" fillId="0" borderId="0" xfId="0" applyNumberFormat="1" applyFont="1" applyFill="1" applyBorder="1" applyAlignment="1">
      <alignment horizontal="center" wrapText="1"/>
    </xf>
    <xf numFmtId="205" fontId="0" fillId="0" borderId="0" xfId="0" applyNumberFormat="1" applyFont="1" applyFill="1" applyBorder="1" applyAlignment="1">
      <alignment horizontal="center" vertical="center" wrapText="1"/>
    </xf>
    <xf numFmtId="0" fontId="0" fillId="86" borderId="0" xfId="0" applyNumberFormat="1" applyFont="1" applyFill="1" applyBorder="1"/>
    <xf numFmtId="0" fontId="13" fillId="86" borderId="0" xfId="0" applyNumberFormat="1" applyFont="1" applyFill="1" applyBorder="1"/>
    <xf numFmtId="0" fontId="13" fillId="86" borderId="0" xfId="0" applyNumberFormat="1" applyFont="1" applyFill="1" applyBorder="1" applyAlignment="1">
      <alignment wrapText="1"/>
    </xf>
    <xf numFmtId="0" fontId="13" fillId="86" borderId="0" xfId="0" applyNumberFormat="1" applyFont="1" applyFill="1" applyBorder="1" applyAlignment="1">
      <alignment horizontal="center" wrapText="1"/>
    </xf>
    <xf numFmtId="0" fontId="13" fillId="86" borderId="0" xfId="0" applyNumberFormat="1" applyFont="1" applyFill="1" applyBorder="1" applyAlignment="1">
      <alignment horizontal="center" vertical="center" wrapText="1"/>
    </xf>
    <xf numFmtId="0" fontId="0" fillId="87" borderId="0" xfId="0" applyNumberFormat="1" applyFont="1" applyFill="1" applyBorder="1"/>
    <xf numFmtId="0" fontId="18" fillId="87" borderId="0" xfId="0" applyNumberFormat="1" applyFont="1" applyFill="1" applyBorder="1"/>
    <xf numFmtId="0" fontId="18" fillId="87" borderId="0" xfId="0" applyNumberFormat="1" applyFont="1" applyFill="1" applyBorder="1" applyAlignment="1">
      <alignment wrapText="1"/>
    </xf>
    <xf numFmtId="0" fontId="18" fillId="87" borderId="0" xfId="0" applyNumberFormat="1" applyFont="1" applyFill="1" applyBorder="1" applyAlignment="1">
      <alignment horizontal="center" wrapText="1"/>
    </xf>
    <xf numFmtId="0" fontId="18" fillId="87" borderId="0" xfId="0" applyNumberFormat="1" applyFont="1" applyFill="1" applyBorder="1" applyAlignment="1">
      <alignment horizontal="center" vertical="center" wrapText="1"/>
    </xf>
    <xf numFmtId="0" fontId="2" fillId="86" borderId="0" xfId="0" applyNumberFormat="1" applyFont="1" applyFill="1" applyBorder="1"/>
    <xf numFmtId="0" fontId="2" fillId="86" borderId="0" xfId="0" applyNumberFormat="1" applyFont="1" applyFill="1" applyBorder="1" applyAlignment="1">
      <alignment wrapText="1"/>
    </xf>
    <xf numFmtId="0" fontId="2" fillId="86" borderId="0" xfId="0" applyNumberFormat="1" applyFont="1" applyFill="1" applyBorder="1" applyAlignment="1">
      <alignment horizontal="center" wrapText="1"/>
    </xf>
    <xf numFmtId="0" fontId="2" fillId="86" borderId="0" xfId="0" applyNumberFormat="1" applyFont="1" applyFill="1" applyBorder="1" applyAlignment="1">
      <alignment horizontal="center" vertical="center" wrapText="1"/>
    </xf>
    <xf numFmtId="0" fontId="0" fillId="88" borderId="0" xfId="0" applyNumberFormat="1" applyFont="1" applyFill="1" applyBorder="1"/>
    <xf numFmtId="0" fontId="3" fillId="88" borderId="0" xfId="0" applyNumberFormat="1" applyFont="1" applyFill="1" applyBorder="1"/>
    <xf numFmtId="0" fontId="3" fillId="88" borderId="0" xfId="0" applyNumberFormat="1" applyFont="1" applyFill="1" applyBorder="1" applyAlignment="1">
      <alignment wrapText="1"/>
    </xf>
    <xf numFmtId="0" fontId="3" fillId="88" borderId="0" xfId="0" applyNumberFormat="1" applyFont="1" applyFill="1" applyBorder="1" applyAlignment="1">
      <alignment vertical="center" wrapText="1"/>
    </xf>
    <xf numFmtId="0" fontId="3" fillId="88" borderId="0" xfId="0" applyNumberFormat="1" applyFont="1" applyFill="1" applyBorder="1" applyAlignment="1">
      <alignment horizontal="left" vertical="center" wrapText="1"/>
    </xf>
    <xf numFmtId="0" fontId="3" fillId="88" borderId="0" xfId="0" applyNumberFormat="1" applyFont="1" applyFill="1" applyBorder="1" applyAlignment="1">
      <alignment horizontal="center" vertical="center" wrapText="1"/>
    </xf>
    <xf numFmtId="202" fontId="3" fillId="88" borderId="0" xfId="0" applyNumberFormat="1" applyFont="1" applyFill="1" applyBorder="1" applyAlignment="1">
      <alignment horizontal="center" vertical="center" wrapText="1"/>
    </xf>
    <xf numFmtId="207" fontId="3" fillId="88" borderId="0" xfId="0" applyNumberFormat="1" applyFont="1" applyFill="1" applyBorder="1" applyAlignment="1">
      <alignment horizontal="center" vertical="center" wrapText="1"/>
    </xf>
    <xf numFmtId="208" fontId="3" fillId="88" borderId="0" xfId="0" applyNumberFormat="1" applyFont="1" applyFill="1" applyBorder="1" applyAlignment="1">
      <alignment horizontal="center" vertical="center" wrapText="1"/>
    </xf>
    <xf numFmtId="203" fontId="3" fillId="88" borderId="0" xfId="0" applyNumberFormat="1" applyFont="1" applyFill="1" applyBorder="1" applyAlignment="1">
      <alignment horizontal="center" vertical="center" wrapText="1"/>
    </xf>
    <xf numFmtId="0" fontId="13" fillId="18" borderId="0" xfId="0" applyNumberFormat="1" applyFont="1" applyFill="1" applyBorder="1" applyAlignment="1">
      <alignment wrapText="1"/>
    </xf>
    <xf numFmtId="0" fontId="13" fillId="18" borderId="0" xfId="0" applyNumberFormat="1" applyFont="1" applyFill="1" applyBorder="1" applyAlignment="1">
      <alignment horizontal="center" wrapText="1"/>
    </xf>
    <xf numFmtId="207" fontId="3" fillId="4" borderId="0" xfId="0" applyNumberFormat="1" applyFont="1" applyFill="1" applyBorder="1" applyAlignment="1">
      <alignment horizontal="center" vertical="center" wrapText="1"/>
    </xf>
    <xf numFmtId="208" fontId="3" fillId="4" borderId="0" xfId="0" applyNumberFormat="1" applyFont="1" applyFill="1" applyBorder="1" applyAlignment="1">
      <alignment horizontal="center" vertical="center" wrapText="1"/>
    </xf>
    <xf numFmtId="0" fontId="3" fillId="89" borderId="0" xfId="0" applyNumberFormat="1" applyFont="1" applyFill="1" applyBorder="1" applyAlignment="1">
      <alignment vertical="center" wrapText="1"/>
    </xf>
    <xf numFmtId="203" fontId="3" fillId="89" borderId="0" xfId="0" applyNumberFormat="1" applyFont="1" applyFill="1" applyBorder="1" applyAlignment="1">
      <alignment horizontal="center" vertical="center" wrapText="1"/>
    </xf>
    <xf numFmtId="0" fontId="3" fillId="89" borderId="0" xfId="0" applyNumberFormat="1" applyFont="1" applyFill="1" applyBorder="1" applyAlignment="1">
      <alignment horizontal="center" vertical="center" wrapText="1"/>
    </xf>
    <xf numFmtId="201" fontId="3" fillId="89" borderId="0" xfId="0" applyNumberFormat="1" applyFont="1" applyFill="1" applyBorder="1" applyAlignment="1">
      <alignment vertical="center" wrapText="1"/>
    </xf>
    <xf numFmtId="202" fontId="3" fillId="89" borderId="0" xfId="0" applyNumberFormat="1" applyFont="1" applyFill="1" applyBorder="1" applyAlignment="1">
      <alignment horizontal="center" vertical="center" wrapText="1"/>
    </xf>
    <xf numFmtId="0" fontId="23" fillId="33" borderId="0" xfId="0" applyNumberFormat="1" applyFont="1" applyFill="1" applyBorder="1" applyAlignment="1">
      <alignment horizontal="center" vertical="center" wrapText="1"/>
    </xf>
    <xf numFmtId="202" fontId="0" fillId="0" borderId="0" xfId="0" applyNumberFormat="1" applyFont="1" applyFill="1" applyBorder="1" applyAlignment="1">
      <alignment vertical="top" wrapText="1"/>
    </xf>
    <xf numFmtId="203" fontId="0" fillId="0" borderId="0" xfId="0" applyNumberFormat="1" applyFont="1" applyFill="1" applyBorder="1" applyAlignment="1">
      <alignment vertical="top" wrapText="1"/>
    </xf>
    <xf numFmtId="201" fontId="5" fillId="0" borderId="0" xfId="0" applyNumberFormat="1" applyFont="1" applyFill="1" applyBorder="1" applyAlignment="1">
      <alignment vertical="top" wrapText="1"/>
    </xf>
    <xf numFmtId="201" fontId="0" fillId="0" borderId="0" xfId="0" applyNumberFormat="1" applyFont="1" applyFill="1" applyBorder="1" applyAlignment="1">
      <alignment wrapText="1"/>
    </xf>
    <xf numFmtId="202" fontId="0" fillId="0" borderId="0" xfId="0" applyNumberFormat="1" applyFont="1" applyFill="1" applyBorder="1" applyAlignment="1">
      <alignment wrapText="1"/>
    </xf>
    <xf numFmtId="203" fontId="0" fillId="0" borderId="0" xfId="0" applyNumberFormat="1" applyFont="1" applyFill="1" applyBorder="1" applyAlignment="1">
      <alignment wrapText="1"/>
    </xf>
    <xf numFmtId="0" fontId="8" fillId="2" borderId="0" xfId="0" applyNumberFormat="1" applyFont="1" applyFill="1" applyBorder="1" applyAlignment="1">
      <alignment horizontal="center" vertical="center" wrapText="1"/>
    </xf>
    <xf numFmtId="0" fontId="9" fillId="10" borderId="0" xfId="0" applyNumberFormat="1" applyFont="1" applyFill="1" applyBorder="1" applyAlignment="1">
      <alignment wrapText="1"/>
    </xf>
    <xf numFmtId="203" fontId="2" fillId="20" borderId="0" xfId="0" applyNumberFormat="1" applyFont="1" applyFill="1" applyBorder="1" applyAlignment="1">
      <alignment horizontal="center" wrapText="1"/>
    </xf>
    <xf numFmtId="0" fontId="14" fillId="90" borderId="0" xfId="0" applyNumberFormat="1" applyFont="1" applyFill="1" applyBorder="1" applyAlignment="1">
      <alignment horizontal="left" vertical="center" wrapText="1"/>
    </xf>
    <xf numFmtId="0" fontId="16" fillId="90" borderId="0" xfId="0" applyNumberFormat="1" applyFont="1" applyFill="1" applyBorder="1" applyAlignment="1">
      <alignment horizontal="left" vertical="center" wrapText="1"/>
    </xf>
    <xf numFmtId="0" fontId="19" fillId="91" borderId="0" xfId="0" applyNumberFormat="1" applyFont="1" applyFill="1" applyBorder="1" applyAlignment="1">
      <alignment horizontal="center" vertical="center" wrapText="1"/>
    </xf>
    <xf numFmtId="0" fontId="14" fillId="91" borderId="0" xfId="0" applyNumberFormat="1" applyFont="1" applyFill="1" applyBorder="1" applyAlignment="1">
      <alignment horizontal="left" vertical="center" wrapText="1"/>
    </xf>
    <xf numFmtId="0" fontId="24" fillId="91" borderId="0" xfId="0" applyNumberFormat="1" applyFont="1" applyFill="1" applyBorder="1" applyAlignment="1">
      <alignment horizontal="center" vertical="center" wrapText="1"/>
    </xf>
    <xf numFmtId="0" fontId="25" fillId="91" borderId="0" xfId="0" applyNumberFormat="1" applyFont="1" applyFill="1" applyBorder="1" applyAlignment="1">
      <alignment horizontal="left" vertical="center" wrapText="1"/>
    </xf>
    <xf numFmtId="0" fontId="14" fillId="92" borderId="0" xfId="0" applyNumberFormat="1" applyFont="1" applyFill="1" applyBorder="1" applyAlignment="1">
      <alignment horizontal="left" vertical="center" wrapText="1"/>
    </xf>
    <xf numFmtId="0" fontId="16" fillId="93" borderId="0" xfId="0" applyNumberFormat="1" applyFont="1" applyFill="1" applyBorder="1" applyAlignment="1">
      <alignment horizontal="left" vertical="center" wrapText="1"/>
    </xf>
    <xf numFmtId="0" fontId="26" fillId="93" borderId="0" xfId="0" applyNumberFormat="1" applyFont="1" applyFill="1" applyBorder="1" applyAlignment="1">
      <alignment horizontal="left" vertical="center" wrapText="1"/>
    </xf>
    <xf numFmtId="0" fontId="14" fillId="94" borderId="0" xfId="0" applyNumberFormat="1" applyFont="1" applyFill="1" applyBorder="1" applyAlignment="1">
      <alignment horizontal="left" vertical="center" wrapText="1"/>
    </xf>
    <xf numFmtId="0" fontId="16" fillId="95" borderId="0" xfId="0" applyNumberFormat="1" applyFont="1" applyFill="1" applyBorder="1" applyAlignment="1">
      <alignment horizontal="left" vertical="center" wrapText="1"/>
    </xf>
    <xf numFmtId="0" fontId="14" fillId="95" borderId="0" xfId="0" applyNumberFormat="1" applyFont="1" applyFill="1" applyBorder="1" applyAlignment="1">
      <alignment horizontal="left" vertical="center" wrapText="1"/>
    </xf>
    <xf numFmtId="0" fontId="14" fillId="96" borderId="0" xfId="0" applyNumberFormat="1" applyFont="1" applyFill="1" applyBorder="1" applyAlignment="1">
      <alignment horizontal="left" vertical="center" wrapText="1"/>
    </xf>
    <xf numFmtId="0" fontId="27" fillId="96" borderId="0" xfId="0" applyNumberFormat="1" applyFont="1" applyFill="1" applyBorder="1" applyAlignment="1">
      <alignment horizontal="left" vertical="center" wrapText="1"/>
    </xf>
    <xf numFmtId="0" fontId="16" fillId="97" borderId="0" xfId="0" applyNumberFormat="1" applyFont="1" applyFill="1" applyBorder="1" applyAlignment="1">
      <alignment horizontal="left" vertical="center" wrapText="1"/>
    </xf>
    <xf numFmtId="0" fontId="27" fillId="97" borderId="0" xfId="0" applyNumberFormat="1" applyFont="1" applyFill="1" applyBorder="1" applyAlignment="1">
      <alignment horizontal="left" vertical="center" wrapText="1"/>
    </xf>
    <xf numFmtId="0" fontId="9" fillId="10" borderId="0" xfId="0" applyNumberFormat="1" applyFont="1" applyFill="1" applyBorder="1" applyAlignment="1">
      <alignment vertical="center" wrapText="1"/>
    </xf>
    <xf numFmtId="203" fontId="2" fillId="20" borderId="0" xfId="0" applyNumberFormat="1" applyFont="1" applyFill="1" applyBorder="1" applyAlignment="1">
      <alignment horizontal="center" vertical="center" wrapText="1"/>
    </xf>
    <xf numFmtId="0" fontId="0" fillId="0" borderId="0" xfId="0" applyNumberFormat="1" applyFont="1" applyFill="1" applyBorder="1" applyAlignment="1">
      <alignment horizontal="center" vertical="center" wrapText="1"/>
    </xf>
    <xf numFmtId="209" fontId="3" fillId="4" borderId="0" xfId="0" applyNumberFormat="1" applyFont="1" applyFill="1" applyBorder="1" applyAlignment="1">
      <alignment vertical="center" wrapText="1"/>
    </xf>
    <xf numFmtId="209" fontId="3" fillId="4" borderId="0" xfId="0" applyNumberFormat="1" applyFont="1" applyFill="1" applyBorder="1" applyAlignment="1">
      <alignment horizontal="center" vertical="center" wrapText="1"/>
    </xf>
    <xf numFmtId="210" fontId="16" fillId="20" borderId="0" xfId="0" applyNumberFormat="1" applyFont="1" applyFill="1" applyBorder="1" applyAlignment="1">
      <alignment horizontal="center" vertical="center" wrapText="1"/>
    </xf>
    <xf numFmtId="210" fontId="16" fillId="20" xfId="0" applyNumberFormat="1" applyFont="1" applyFill="1" applyBorder="0" applyAlignment="1">
      <alignment horizontal="center" vertical="center" wrapText="1"/>
    </xf>
    <xf numFmtId="210" fontId="0" fillId="0" borderId="0" xfId="0" applyNumberFormat="1" applyFont="1" applyFill="1" applyBorder="1" applyAlignment="1">
      <alignment vertical="top" wrapText="1"/>
    </xf>
    <xf numFmtId="210" fontId="0" fillId="0" borderId="0" xfId="0" applyNumberFormat="1" applyFont="1" applyFill="1" applyBorder="1" applyAlignment="1">
      <alignment wrapText="1"/>
    </xf>
    <xf numFmtId="0" fontId="16" fillId="5" borderId="0" xfId="0" applyNumberFormat="1" applyFont="1" applyFill="1" applyBorder="1" applyAlignment="1">
      <alignment horizontal="left" vertical="center" wrapText="1"/>
    </xf>
    <xf numFmtId="0" fontId="16" fillId="53" borderId="0" xfId="0" applyNumberFormat="1" applyFont="1" applyFill="1" applyBorder="1" applyAlignment="1">
      <alignment horizontal="left" vertical="center" wrapText="1"/>
    </xf>
  </cellXfs>
  <cellStyles count="1">
    <cellStyle name="Normal" xfId="0"/>
  </cellStyles>
  <dxfs count="40">
    <dxf>
      <font>
        <color rgb="FF000000"/>
      </font>
      <fill>
        <patternFill>
          <bgColor rgb="FFD9EAD3"/>
        </patternFill>
      </fill>
    </dxf>
    <dxf>
      <font>
        <color rgb="FF000000"/>
      </font>
      <fill>
        <patternFill>
          <bgColor rgb="FFE7E6E6"/>
        </patternFill>
      </fill>
    </dxf>
    <dxf>
      <font>
        <color rgb="FF000000"/>
      </font>
      <fill>
        <patternFill>
          <bgColor rgb="FFFFF2CC"/>
        </patternFill>
      </fill>
    </dxf>
    <dxf>
      <font>
        <color rgb="FF000000"/>
      </font>
      <fill>
        <patternFill>
          <bgColor rgb="FFD9EAF7"/>
        </patternFill>
      </fill>
    </dxf>
    <dxf>
      <font>
        <color rgb="FF000000"/>
      </font>
      <fill>
        <patternFill>
          <bgColor rgb="FFF4CCCC"/>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b/>
        <color rgb="FF7A4E00"/>
      </font>
      <fill>
        <patternFill>
          <bgColor rgb="FFFFF8E1"/>
        </patternFill>
      </fill>
    </dxf>
    <dxf>
      <font>
        <color rgb="FF020C1B"/>
      </font>
      <fill>
        <patternFill>
          <bgColor rgb="FFF5F7FA"/>
        </patternFill>
      </fill>
    </dxf>
    <dxf>
      <font>
        <color rgb="FF020C1B"/>
      </font>
      <fill>
        <patternFill>
          <bgColor rgb="FFFFF2A8"/>
        </patternFill>
      </fill>
    </dxf>
    <dxf>
      <font>
        <color rgb="FF020C1B"/>
      </font>
      <fill>
        <patternFill>
          <bgColor rgb="FFFFE699"/>
        </patternFill>
      </fill>
    </dxf>
    <dxf>
      <fill>
        <patternFill>
          <bgColor rgb="FF0C1F3A"/>
        </patternFill>
      </fill>
    </dxf>
    <dxf>
      <fill>
        <patternFill>
          <bgColor rgb="FF132A49"/>
        </patternFill>
      </fill>
    </dxf>
    <dxf>
      <font>
        <b/>
        <color rgb="FF1F5D2A"/>
      </font>
      <fill>
        <patternFill>
          <bgColor rgb="FFE2F0D9"/>
        </patternFill>
      </fill>
    </dxf>
    <dxf>
      <font>
        <b/>
        <color rgb="FF244A66"/>
      </font>
      <fill>
        <patternFill>
          <bgColor rgb="FFDDEBF7"/>
        </patternFill>
      </fill>
    </dxf>
    <dxf>
      <font>
        <b/>
        <color rgb="FF8A2F2A"/>
      </font>
      <fill>
        <patternFill>
          <bgColor rgb="FFFCE4D6"/>
        </patternFill>
      </fill>
    </dxf>
    <dxf>
      <font>
        <b/>
        <color rgb="FF6B4A12"/>
      </font>
      <fill>
        <patternFill>
          <bgColor rgb="FFFFF4D6"/>
        </patternFill>
      </fill>
    </dxf>
    <dxf>
      <font>
        <b/>
        <color rgb="FF1F5D2A"/>
      </font>
      <fill>
        <patternFill>
          <bgColor rgb="FFE2F0D9"/>
        </patternFill>
      </fill>
    </dxf>
    <dxf>
      <font>
        <b/>
        <color rgb="FF244A66"/>
      </font>
      <fill>
        <patternFill>
          <bgColor rgb="FFDDEBF7"/>
        </patternFill>
      </fill>
    </dxf>
    <dxf>
      <font>
        <b/>
        <color rgb="FF8A2F2A"/>
      </font>
      <fill>
        <patternFill>
          <bgColor rgb="FFFCE4D6"/>
        </patternFill>
      </fill>
    </dxf>
    <dxf>
      <font>
        <b/>
        <color rgb="FF6B4A12"/>
      </font>
      <fill>
        <patternFill>
          <bgColor rgb="FFFFF4D6"/>
        </patternFill>
      </fill>
    </dxf>
    <dxf>
      <numFmt numFmtId="209" formatCode="#,##0.00 &quot;chips&quot;"/>
    </dxf>
    <dxf>
      <numFmt numFmtId="209" formatCode="#,##0.00 &quot;chips&quot;"/>
    </dxf>
    <dxf>
      <numFmt numFmtId="209" formatCode="#,##0.00 &quot;chips&quot;"/>
    </dxf>
    <dxf>
      <numFmt numFmtId="209" formatCode="#,##0.00 &quot;chips&quot;"/>
    </dxf>
    <dxf>
      <numFmt numFmtId="209" formatCode="#,##0.00 &quot;chips&quot;"/>
    </dxf>
    <dxf>
      <font>
        <color rgb="FF000000"/>
      </font>
      <fill>
        <patternFill>
          <bgColor rgb="FFD9EAD3"/>
        </patternFill>
      </fill>
    </dxf>
    <dxf>
      <font>
        <color rgb="FF000000"/>
      </font>
      <fill>
        <patternFill>
          <bgColor rgb="FFE7E6E6"/>
        </patternFill>
      </fill>
    </dxf>
    <dxf>
      <font>
        <color rgb="FF000000"/>
      </font>
      <fill>
        <patternFill>
          <bgColor rgb="FFFFF2CC"/>
        </patternFill>
      </fill>
    </dxf>
    <dxf>
      <font>
        <color rgb="FF000000"/>
      </font>
      <fill>
        <patternFill>
          <bgColor rgb="FFD9EAF7"/>
        </patternFill>
      </fill>
    </dxf>
    <dxf>
      <font>
        <color rgb="FF000000"/>
      </font>
      <fill>
        <patternFill>
          <bgColor rgb="FFF4CCCC"/>
        </patternFill>
      </fill>
    </dxf>
  </dxfs>
</styleSheet>
</file>

<file path=xl/_rels/workbook.xml.rels><?xml version="1.0" encoding="utf-8"?><Relationships xmlns="http://schemas.openxmlformats.org/package/2006/relationships"><Relationship Type="http://schemas.openxmlformats.org/officeDocument/2006/relationships/styles" Target="/xl/styles.xml" Id="R17e320cc035d4e12" /><Relationship Type="http://schemas.openxmlformats.org/officeDocument/2006/relationships/theme" Target="/xl/theme/theme1.xml" Id="Rebb5cb105ed94b12" /><Relationship Type="http://schemas.openxmlformats.org/officeDocument/2006/relationships/sharedStrings" Target="/xl/sharedStrings.xml" Id="R87c1255f40594c70" /><Relationship Type="http://schemas.openxmlformats.org/officeDocument/2006/relationships/worksheet" Target="/xl/worksheets/sheet1.xml" Id="R3182b9b9652a4b0f" /><Relationship Type="http://schemas.openxmlformats.org/officeDocument/2006/relationships/worksheet" Target="/xl/worksheets/sheet2.xml" Id="R7c1fb6ae00154350" /><Relationship Type="http://schemas.openxmlformats.org/officeDocument/2006/relationships/worksheet" Target="/xl/worksheets/sheet3.xml" Id="Rcd45e256a16a420a" /><Relationship Type="http://schemas.openxmlformats.org/officeDocument/2006/relationships/worksheet" Target="/xl/worksheets/sheet4.xml" Id="R9fec62ff31d641db" /><Relationship Type="http://schemas.openxmlformats.org/officeDocument/2006/relationships/worksheet" Target="/xl/worksheets/sheet5.xml" Id="Ra37a1ea70d9c49db" /><Relationship Type="http://schemas.openxmlformats.org/officeDocument/2006/relationships/worksheet" Target="/xl/worksheets/sheet6.xml" Id="R27adad88702f4b35" /></Relationships>
</file>

<file path=xl/drawings/_rels/drawing1.xml.rels>&#65279;<?xml version="1.0" encoding="utf-8"?><Relationships xmlns="http://schemas.openxmlformats.org/package/2006/relationships"><Relationship Type="http://schemas.openxmlformats.org/officeDocument/2006/relationships/chart" Target="/xl/drawings/charts/chart1.xml" Id="R439c5daf944c428a" /></Relationships>
</file>

<file path=xl/drawings/charts/chart1.xml><?xml version="1.0" encoding="utf-8"?>
<ns0:chartSpace xmlns:ns0="http://schemas.openxmlformats.org/drawingml/2006/chart" xmlns:ns1="http://schemas.openxmlformats.org/drawingml/2006/main">
  <ns0:lang val="en-US"/>
  <ns0:roundedCorners val="0"/>
  <ns0:chart>
    <ns0:title>
      <ns0:tx>
        <ns0:rich>
          <ns1:bodyPr/>
          <ns1:lstStyle/>
          <ns1:p>
            <ns1:r>
              <ns1:rPr/>
              <ns1:t>Games by Result — Exact Counts</ns1:t>
            </ns1:r>
          </ns1:p>
        </ns0:rich>
      </ns0:tx>
      <ns0:overlay val="0"/>
    </ns0:title>
    <ns0:autoTitleDeleted val="0"/>
    <ns0:plotArea>
      <ns0:layout/>
      <ns0:barChart>
        <ns0:barDir val="col"/>
        <ns0:grouping val="clustered"/>
        <ns0:varyColors val="0"/>
        <ns0:ser>
          <ns0:idx val="0"/>
          <ns0:order val="0"/>
          <ns0:tx>
            <ns0:v>Exact Count</ns0:v>
          </ns0:tx>
          <ns0:cat>
            <ns0:strRef>
              <ns0:f>'Summary'!$A$32:$A$34</ns0:f>
              <ns0:strCache>
                <ns0:ptCount val="0"/>
              </ns0:strCache>
            </ns0:strRef>
          </ns0:cat>
          <ns0:val>
            <ns0:numRef>
              <ns0:f>'Summary'!$B$32:$B$34</ns0:f>
              <ns0:numCache>
                <ns0:formatCode>General</ns0:formatCode>
                <ns0:ptCount val="0"/>
              </ns0:numCache>
            </ns0:numRef>
          </ns0:val>
        </ns0:ser>
        <ns0:dLbls>
          <ns0:showLegendKey val="0"/>
          <ns0:showVal val="1"/>
          <ns0:showCatName val="0"/>
          <ns0:showSerName val="0"/>
          <ns0:showPercent val="0"/>
          <ns0:showBubbleSize val="0"/>
          <ns0:showLeaderLines val="0"/>
        </ns0:dLbls>
        <ns0:axId val="48650112"/>
        <ns0:axId val="48672768"/>
      </ns0:barChart>
      <ns0:catAx>
        <ns0:axId val="48650112"/>
        <ns0:scaling>
          <ns0:orientation val="minMax"/>
        </ns0:scaling>
        <ns0:delete val="0"/>
        <ns0:axPos val="b"/>
        <ns0:majorGridlines>
          <ns0:spPr>
            <ns1:ln w="9525">
              <ns1:solidFill>
                <ns1:srgbClr val="CCCCCC"/>
              </ns1:solidFill>
              <ns1:prstDash val="dash"/>
            </ns1:ln>
          </ns0:spPr>
        </ns0:majorGridlines>
        <ns0:numFmt formatCode="General"/>
        <ns0:majorTickMark val="none"/>
        <ns0:minorTickMark val="none"/>
        <ns0:tickLblPos val="nextTo"/>
        <ns0:crossAx val="48672768"/>
        <ns0:crosses val="autoZero"/>
        <ns0:lblAlgn val="ctr"/>
        <ns0:lblOffset val="100"/>
        <ns0:noMultiLvlLbl val="0"/>
      </ns0:catAx>
      <ns0:valAx>
        <ns0:axId val="48672768"/>
        <ns0:scaling>
          <ns0:orientation val="minMax"/>
        </ns0:scaling>
        <ns0:delete val="0"/>
        <ns0:axPos val="l"/>
        <ns0:majorGridlines>
          <ns0:spPr>
            <ns1:ln w="9525">
              <ns1:solidFill>
                <ns1:srgbClr val="CCCCCC"/>
              </ns1:solidFill>
              <ns1:prstDash val="dash"/>
            </ns1:ln>
          </ns0:spPr>
        </ns0:majorGridlines>
        <ns0:numFmt formatCode="General"/>
        <ns0:majorTickMark val="none"/>
        <ns0:minorTickMark val="none"/>
        <ns0:crossAx val="48650112"/>
        <ns0:crosses val="autoZero"/>
        <ns0:crossBetween val="between"/>
      </ns0:valAx>
    </ns0:plotArea>
    <ns0:plotVisOnly val="1"/>
  </ns0:chart>
  <ns0:spPr>
    <ns1:ln w="9525">
      <ns1:solidFill>
        <ns1:srgbClr val="D9D9D9"/>
      </ns1:solidFill>
      <ns1:prstDash val="solid"/>
    </ns1:ln>
  </ns0:spPr>
</ns0:chartSpace>
</file>

<file path=xl/drawings/drawing1.xml><?xml version="1.0" encoding="utf-8"?>
<xdr:wsDr xmlns:xdr="http://schemas.openxmlformats.org/drawingml/2006/spreadsheetDrawing">
  <xdr:twoCellAnchor>
    <xdr:from>
      <xdr:col>7</xdr:col>
      <xdr:colOff>0</xdr:colOff>
      <xdr:row>2</xdr:row>
      <xdr:rowOff>0</xdr:rowOff>
    </xdr:from>
    <xdr:to>
      <xdr:col>12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39c5daf944c428a"/>
        </a:graphicData>
      </a:graphic>
    </xdr:graphicFrame>
    <xdr:clientData/>
  </xdr:twoCellAnchor>
</xdr:wsDr>
</file>

<file path=xl/tables/table1.xml><?xml version="1.0" encoding="utf-8"?>
<table xmlns="http://schemas.openxmlformats.org/spreadsheetml/2006/main" id="1" name="GameRecordsTable" displayName="GameRecordsTable" ref="A4:Z504" headerRowCount="1" totalsRowShown="0" insertRow="1" insertRowShift="0">
  <tableColumns count="26">
    <tableColumn id="1" name="Game Name"/>
    <tableColumn id="2" name="Start Date"/>
    <tableColumn id="3" name="End Date"/>
    <tableColumn id="4" name="Entry Mode"/>
    <tableColumn id="5" name="Game Type"/>
    <tableColumn id="6" name="Payment / Record Type"/>
    <tableColumn id="7" name="Gross Pot / Chips"/>
    <tableColumn id="8" name="Entry Fee"/>
    <tableColumn id="9" name="Eligible Players"/>
    <tableColumn id="10" name="Total Players"/>
    <tableColumn id="11" name="Final Earned / Chips"/>
    <tableColumn id="12" name="Disqualified / Lost Entry Fee"/>
    <tableColumn id="13" name="Notes"/>
    <tableColumn id="14" name="Adjusted Pot / Chips">
      <calculatedColumnFormula>IF(COUNTA([@[Game Name]:[Notes]])=0,"",IF(OR(LEFT(LOWER(TRIM([@[Payment / Record Type]]&amp;"")),12)="subscription",LOWER(TRIM([@[Payment / Record Type]]&amp;""))="membership"),"",IF(OR(AND([@[Entry Fee]]&lt;&gt;"",[@[Entry Fee]]=0),LEFT(LOWER(TRIM([@[Payment / Record Type]]&amp;"")),9)="free game",LOWER(TRIM([@[Payment / Record Type]]&amp;""))="free",LOWER(TRIM([@[Payment / Record Type]]&amp;""))="free entry"),IF(ISNUMBER([@[Gross Pot / Chips]]),IF(ISNUMBER(SEARCH("non",LOWER([@[Game Type]]&amp;""))),[@[Gross Pot / Chips]]*0.85,[@[Gross Pot / Chips]]),"N/A"),IF([@[Gross Pot / Chips]]="","",IFERROR(IF(ISNUMBER(SEARCH("non",LOWER([@[Game Type]]&amp;""))),[@[Gross Pot / Chips]]*0.85,[@[Gross Pot / Chips]]),"")))))</calculatedColumnFormula>
    </tableColumn>
    <tableColumn id="15" name="Estimated Earned / Chips">
      <calculatedColumnFormula>IF(COUNTA([@[Game Name]:[Notes]])=0,"",IF(OR(LEFT(LOWER(TRIM([@[Payment / Record Type]]&amp;"")),12)="subscription",LOWER(TRIM([@[Payment / Record Type]]&amp;""))="membership"),"",IF(OR(AND([@[Entry Fee]]&lt;&gt;"",[@[Entry Fee]]=0),LEFT(LOWER(TRIM([@[Payment / Record Type]]&amp;"")),9)="free game",LOWER(TRIM([@[Payment / Record Type]]&amp;""))="free",LOWER(TRIM([@[Payment / Record Type]]&amp;""))="free entry"),IF(OR(NOT(ISNUMBER([@[Adjusted Pot / Chips]])),NOT(ISNUMBER([@[Eligible Players]])),[@[Eligible Players]]=0),"N/A",IFERROR([@[Adjusted Pot / Chips]]/[@[Eligible Players]],"N/A")),IF(OR([@[Adjusted Pot / Chips]]="",[@[Eligible Players]]="",[@[Eligible Players]]=0),"",IFERROR([@[Adjusted Pot / Chips]]/[@[Eligible Players]],"")))))</calculatedColumnFormula>
    </tableColumn>
    <tableColumn id="16" name="Result Earned / Chips">
      <calculatedColumnFormula>IF(COUNTA([@[Game Name]:[Notes]])=0,"",IF(OR(LEFT(LOWER(TRIM([@[Payment / Record Type]]&amp;"")),12)="subscription",LOWER(TRIM([@[Payment / Record Type]]&amp;""))="membership"),"",IF(LOWER(TRIM([@[Entry Mode]]&amp;""))="estimate","N/A",IF(LOWER([@[Disqualified / Lost Entry Fee]]&amp;"")="yes",0,IF(OR(AND([@[Entry Fee]]&lt;&gt;"",[@[Entry Fee]]=0),LEFT(LOWER(TRIM([@[Payment / Record Type]]&amp;"")),9)="free game",LOWER(TRIM([@[Payment / Record Type]]&amp;""))="free",LOWER(TRIM([@[Payment / Record Type]]&amp;""))="free entry"),IF(ISNUMBER([@[Final Earned / Chips]]),[@[Final Earned / Chips]],""),IF([@[Final Earned / Chips]]&lt;&gt;"",[@[Final Earned / Chips]],""))))))</calculatedColumnFormula>
    </tableColumn>
    <tableColumn id="17" name="Profit">
      <calculatedColumnFormula>IF(COUNTA([@[Game Name]:[Notes]])=0,"",IF(OR([@Result]="Subscription",[@Result]=""),"",IF([@Result]="Estimate","N/A",IF([@Result]="Profit",ROUND(IFERROR([@[Result Earned / Chips]],0)-IFERROR([@[Entry Fee]],0),2),0))))</calculatedColumnFormula>
    </tableColumn>
    <tableColumn id="18" name="Draw">
      <calculatedColumnFormula>IF(COUNTA([@[Game Name]:[Notes]])=0,"",IF(OR([@Result]="Subscription",[@Result]=""),"",IF([@Result]="Estimate","N/A",IF([@Result]="Draw",[@[Entry Fee]],0))))</calculatedColumnFormula>
    </tableColumn>
    <tableColumn id="19" name="Lost">
      <calculatedColumnFormula>IF(COUNTA([@[Game Name]:[Notes]])=0,"",IF(OR([@Result]="Subscription",[@Result]=""),"",IF([@Result]="Estimate","N/A",IF([@Result]="Disqualified",[@[Entry Fee]],0))))</calculatedColumnFormula>
    </tableColumn>
    <tableColumn id="20" name="ROI">
      <calculatedColumnFormula>IF(COUNTA([@[Game Name]:[Notes]])=0,"",IF(OR([@Result]="Subscription",[@Result]=""),"",IF([@Result]="Estimate","N/A",IF(OR([@Result]="Free Game",[@Result]="Disqualified — Free Game",[@[Entry Fee]]=0),"N/A",IF([@Result]="Profit",[@Profit]/[@[Entry Fee]],IF([@Result]="Disqualified",-[@Lost]/[@[Entry Fee]],0))))))</calculatedColumnFormula>
    </tableColumn>
    <tableColumn id="21" name="Result">
      <calculatedColumnFormula>IF(COUNTA([@[Game Name]:[Notes]])=0,"",IF(OR(LEFT(LOWER(TRIM([@[Payment / Record Type]]&amp;"")),12)="subscription",LOWER(TRIM([@[Payment / Record Type]]&amp;""))="membership"),"Subscription",IF(LOWER(TRIM([@[Entry Mode]]&amp;""))="estimate","Estimate",IF(OR(AND([@[Entry Fee]]&lt;&gt;"",[@[Entry Fee]]=0),LEFT(LOWER(TRIM([@[Payment / Record Type]]&amp;"")),9)="free game",LOWER(TRIM([@[Payment / Record Type]]&amp;""))="free",LOWER(TRIM([@[Payment / Record Type]]&amp;""))="free entry"),IF(LOWER([@[Disqualified / Lost Entry Fee]]&amp;"")="yes","Disqualified — Free Game","Free Game"),IF(LOWER([@[Disqualified / Lost Entry Fee]]&amp;"")="yes","Disqualified",IF([@[Result Earned / Chips]]="","",IF(ROUND(IFERROR(VALUE([@[Result Earned / Chips]]),0)-IFERROR(VALUE([@[Entry Fee]]),0),2)&gt;0,"Profit","Draw")))))))</calculatedColumnFormula>
    </tableColumn>
    <tableColumn id="22" name="Challenge Length (Weeks)">
      <calculatedColumnFormula>IF(COUNTA([@[Game Name]:[Notes]])=0,"",IF(OR([@[Start Date]]="",[@[End Date]]="",[@[Result]]="Subscription"),"",IFERROR(ROUNDUP(([@[End Date]]-[@[Start Date]])/7,0),"")))</calculatedColumnFormula>
    </tableColumn>
    <tableColumn id="23" name="Net Profit">
      <calculatedColumnFormula>IF(COUNTA([@[Game Name]:[Notes]])=0,"",IF(OR([@Result]="Subscription",[@Result]=""),"",IF([@Result]="Estimate","N/A",IF(OR([@Result]="Free Game",[@Result]="Disqualified — Free Game"),0,ROUND(IFERROR([@Profit],0)-IFERROR([@Lost],0),2)))))</calculatedColumnFormula>
    </tableColumn>
    <tableColumn id="24" name="Eliminated Players">
      <calculatedColumnFormula>IF(COUNTA([@[Game Name]:[Notes]])=0,"",IF(OR([@[Result]]="Subscription",NOT(ISNUMBER([@[Total Players]])),NOT(ISNUMBER([@[Eligible Players]])),[@[Total Players]]=0,[@[Eligible Players]]=0,[@[Eligible Players]]&gt;[@[Total Players]]),"",[@[Total Players]]-[@[Eligible Players]]))</calculatedColumnFormula>
    </tableColumn>
    <tableColumn id="25" name="Elimination Rate">
      <calculatedColumnFormula>IF(COUNTA([@[Game Name]:[Notes]])=0,"",IF(OR([@[Result]]="Subscription",NOT(ISNUMBER([@[Total Players]])),[@[Total Players]]=0,[@[Eliminated Players]]=""),"",[@[Eliminated Players]]/[@[Total Players]]))</calculatedColumnFormula>
    </tableColumn>
    <tableColumn id="26" name="Running Net Profit">
      <calculatedColumnFormula>IF(COUNTA([@[Game Name]:[Notes]])=0,"",Instructions!$B$29+SUM(INDEX([Net Profit],1):[@[Net Profit]]))</calculatedColumnFormula>
    </tableColumn>
  </tableColumns>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StepCatChart" Type="http://schemas.openxmlformats.org/officeDocument/2006/relationships/drawing" Target="/xl/drawings/drawing1.xml" /></Relationships>
</file>

<file path=xl/worksheets/sheet1.xml><?xml version="1.0" encoding="utf-8"?>
<ns0:worksheet xmlns:ns0="http://schemas.openxmlformats.org/spreadsheetml/2006/main">
  <ns0:sheetViews>
    <ns0:sheetView workbookViewId="0">
      <ns0:pane ySplit="2" topLeftCell="A3" activePane="bottomLeft" state="frozen"/>
      <ns0:selection pane="bottomLeft" activeCell="A3" sqref="A3"/>
    </ns0:sheetView>
  </ns0:sheetViews>
  <ns0:sheetFormatPr defaultRowHeight="15"/>
  <ns0:cols>
    <ns0:col min="1" max="1" width="25" hidden="0" customWidth="1"/>
    <ns0:col min="2" max="2" width="82" hidden="0" customWidth="1"/>
    <ns0:col min="3" max="3" width="12" hidden="0" customWidth="1"/>
    <ns0:col min="4" max="4" width="12" hidden="0" customWidth="1"/>
    <ns0:col min="5" max="5" width="12" hidden="0" customWidth="1"/>
    <ns0:col min="6" max="6" width="12" hidden="0" customWidth="1"/>
    <ns0:col min="7" max="7" width="12" hidden="0" customWidth="1"/>
    <ns0:col min="8" max="8" width="12" hidden="0" customWidth="1"/>
    <ns0:col min="9" max="9" width="12" hidden="0" customWidth="1"/>
    <ns0:col min="10" max="10" width="12" hidden="0" customWidth="1"/>
  </ns0:cols>
  <ns0:sheetData>
    <ns0:row r="1" ht="22" customHeight="1">
      <ns0:c r="A1" s="870" t="inlineStr">
        <ns0:is>
          <ns0:t>StepCat Workbook Instructions — v252</ns0:t>
        </ns0:is>
      </ns0:c>
      <ns0:c r="B1" s="870"/>
      <ns0:c r="C1" s="837"/>
      <ns0:c r="D1" s="837"/>
      <ns0:c r="E1" s="837"/>
      <ns0:c r="F1" s="837"/>
      <ns0:c r="G1" s="837"/>
      <ns0:c r="H1" s="837"/>
      <ns0:c r="I1" s="837"/>
      <ns0:c r="J1" s="837"/>
    </ns0:row>
    <ns0:row r="2" ht="20" customHeight="1">
      <ns0:c r="A2" s="589" t="str">
        <ns0:v>Use this sheet as the reference for entering records, carrying totals forward, and understanding calculations.</ns0:v>
      </ns0:c>
      <ns0:c r="B2" s="589"/>
      <ns0:c r="C2" s="589"/>
      <ns0:c r="D2" s="589"/>
      <ns0:c r="E2" s="589"/>
      <ns0:c r="F2" s="589"/>
      <ns0:c r="G2" s="589"/>
      <ns0:c r="H2" s="589"/>
      <ns0:c r="I2" s="589"/>
      <ns0:c r="J2" s="589"/>
    </ns0:row>
    <ns0:row r="3" ht="72" hidden="0" customHeight="1">
      <ns0:c r="A3" s="528" t="str">
        <ns0:v>Start here</ns0:v>
      </ns0:c>
      <ns0:c r="B3" s="532" t="str">
        <ns0:v>Enter or paste each new record in a prepared Game Records row beginning with A5. In Microsoft Excel, a forgotten game may also be added directly above or below an existing game by choosing Insert Table Rows Above/Below inside the Game Records table. Paste while the column-A cell is selected, not while a text cursor is editing inside the cell.</ns0:v>
      </ns0:c>
      <ns0:c r="C3" s="833"/>
      <ns0:c r="D3" s="833"/>
      <ns0:c r="E3" s="833"/>
      <ns0:c r="F3" s="833"/>
      <ns0:c r="G3" s="833"/>
      <ns0:c r="H3" s="833"/>
      <ns0:c r="I3" s="833"/>
      <ns0:c r="J3" s="833"/>
    </ns0:row>
    <ns0:row r="4" ht="52" hidden="0" customHeight="1">
      <ns0:c r="A4" s="970" t="str">
        <ns0:v>Editable columns</ns0:v>
      </ns0:c>
      <ns0:c r="B4" s="972" t="str">
        <ns0:v>Use columns A–M for record information. Columns N–Z contain formulas and update automatically in prepared rows and in Excel table rows inserted inside Game Records.</ns0:v>
      </ns0:c>
      <ns0:c r="C4" s="833"/>
      <ns0:c r="D4" s="833"/>
      <ns0:c r="E4" s="833"/>
      <ns0:c r="F4" s="833"/>
      <ns0:c r="G4" s="833"/>
      <ns0:c r="H4" s="833"/>
      <ns0:c r="I4" s="833"/>
      <ns0:c r="J4" s="833"/>
    </ns0:row>
    <ns0:row r="5" ht="44" hidden="0" customHeight="1">
      <ns0:c r="A5" s="528" t="str">
        <ns0:v>Calculation fields</ns0:v>
      </ns0:c>
      <ns0:c r="B5" s="532" t="inlineStr">
        <ns0:is>
          <ns0:t>Use the fields that apply to the selected Estimate or Finalized mode. Estimate records are projections only; their accounting columns remain N/A and cash totals do not change until the same row is Finalized. Other fields may remain blank when they do not apply.</ns0:t>
        </ns0:is>
      </ns0:c>
      <ns0:c r="C5" s="833"/>
      <ns0:c r="D5" s="833"/>
      <ns0:c r="E5" s="833"/>
      <ns0:c r="F5" s="833"/>
      <ns0:c r="G5" s="833"/>
      <ns0:c r="H5" s="833"/>
      <ns0:c r="I5" s="833"/>
      <ns0:c r="J5" s="833"/>
    </ns0:row>
    <ns0:row r="6" ht="44" hidden="0" customHeight="1">
      <ns0:c r="A6" s="528" t="str">
        <ns0:v>Yellow input cells</ns0:v>
      </ns0:c>
      <ns0:c r="B6" s="532" t="str">
        <ns0:v>All A:M input cells are yellow because they are editable. They remain yellow whether blank or filled.</ns0:v>
      </ns0:c>
      <ns0:c r="C6" s="833"/>
      <ns0:c r="D6" s="833"/>
      <ns0:c r="E6" s="833"/>
      <ns0:c r="F6" s="833"/>
      <ns0:c r="G6" s="833"/>
      <ns0:c r="H6" s="833"/>
      <ns0:c r="I6" s="833"/>
      <ns0:c r="J6" s="833"/>
    </ns0:row>
    <ns0:row r="7" ht="78" hidden="0" customHeight="1">
      <ns0:c r="A7" s="528" t="str">
        <ns0:v>Record Review</ns0:v>
      </ns0:c>
      <ns0:c r="B7" s="532" t="str">
        <ns0:v>Record Review is formula-driven and should not be edited directly. Enter or revise records only in Game Records A–M. It assigns each non-subscription game a Game # and Game Records ID, shows the calculated result, review flags, and Notes. Prepared rows may remain blank until a matching game exists. Selecting a cell may show its formula in the formula bar; this is normal. Formula text should not appear as the displayed cell value.</ns0:v>
      </ns0:c>
      <ns0:c r="C7" s="833"/>
      <ns0:c r="D7" s="833"/>
      <ns0:c r="E7" s="833"/>
      <ns0:c r="F7" s="833"/>
      <ns0:c r="G7" s="833"/>
      <ns0:c r="H7" s="833"/>
      <ns0:c r="I7" s="833"/>
      <ns0:c r="J7" s="833"/>
    </ns0:row>
    <ns0:row r="8" ht="28" hidden="0" customHeight="1">
      <ns0:c r="A8" s="528" t="str">
        <ns0:v>Profit rule</ns0:v>
      </ns0:c>
      <ns0:c r="B8" s="532" t="str">
        <ns0:v>Profit means Result Earned is above Entry Fee.</ns0:v>
      </ns0:c>
      <ns0:c r="C8" s="833"/>
      <ns0:c r="D8" s="833"/>
      <ns0:c r="E8" s="833"/>
      <ns0:c r="F8" s="833"/>
      <ns0:c r="G8" s="833"/>
      <ns0:c r="H8" s="833"/>
      <ns0:c r="I8" s="833"/>
      <ns0:c r="J8" s="833"/>
    </ns0:row>
    <ns0:row r="9" ht="61" hidden="0" customHeight="1">
      <ns0:c r="A9" s="528" t="str">
        <ns0:v>Draw rule</ns0:v>
      </ns0:c>
      <ns0:c r="B9" s="532" t="inlineStr">
        <ns0:is>
          <ns0:t>A finalized paid game earning the Entry Fee or less is treated as a Draw with $0.00 net profit. Estimate rows preserve the exact projection but do not post Profit, Draw, Lost, ROI, or Net Profit accounting until finalized.</ns0:t>
        </ns0:is>
      </ns0:c>
      <ns0:c r="C9" s="833"/>
      <ns0:c r="D9" s="833"/>
      <ns0:c r="E9" s="833"/>
      <ns0:c r="F9" s="833"/>
      <ns0:c r="G9" s="833"/>
      <ns0:c r="H9" s="833"/>
      <ns0:c r="I9" s="833"/>
      <ns0:c r="J9" s="833"/>
    </ns0:row>
    <ns0:row r="10" ht="44" hidden="0" customHeight="1">
      <ns0:c r="A10" s="528" t="str">
        <ns0:v>Loss rule</ns0:v>
      </ns0:c>
      <ns0:c r="B10" s="532" t="str">
        <ns0:v>A monetary loss occurs only when Disqualified / Lost Entry Fee is Yes on a paid entry; the full Entry Fee is counted as lost.</ns0:v>
      </ns0:c>
      <ns0:c r="C10" s="833"/>
      <ns0:c r="D10" s="833"/>
      <ns0:c r="E10" s="833"/>
      <ns0:c r="F10" s="833"/>
      <ns0:c r="G10" s="833"/>
      <ns0:c r="H10" s="833"/>
      <ns0:c r="I10" s="833"/>
      <ns0:c r="J10" s="833"/>
    </ns0:row>
    <ns0:row r="11" ht="61" hidden="0" customHeight="1">
      <ns0:c r="A11" s="528" t="str">
        <ns0:v>Subscriptions</ns0:v>
      </ns0:c>
      <ns0:c r="B11" s="532" t="str">
        <ns0:v>For the annual platform membership, select “Subscription — membership charge only” and enter the annual cost in Entry Fee. This is a non-game expense and must not be used for a free-entry challenge.</ns0:v>
      </ns0:c>
      <ns0:c r="C11" s="833"/>
      <ns0:c r="D11" s="833"/>
      <ns0:c r="E11" s="833"/>
      <ns0:c r="F11" s="833"/>
      <ns0:c r="G11" s="833"/>
      <ns0:c r="H11" s="833"/>
      <ns0:c r="I11" s="833"/>
      <ns0:c r="J11" s="833"/>
    </ns0:row>
    <ns0:row r="12" ht="52" hidden="0" customHeight="1">
      <ns0:c r="A12" s="528" t="str">
        <ns0:v>Free games</ns0:v>
      </ns0:c>
      <ns0:c r="B12" s="532" t="str">
        <ns0:v>Select “Free Game — completed challenge/chips” for a completed free-entry challenge or a record that awards chips/game credit. Enter chips in Final Earned / Chips when known. When the estimate inputs are unavailable, Adjusted Pot / Chips and Estimated Earned / Chips display N/A instead of an error or misleading zero.</ns0:v>
      </ns0:c>
      <ns0:c r="C12" s="833"/>
      <ns0:c r="D12" s="833"/>
      <ns0:c r="E12" s="833"/>
      <ns0:c r="F12" s="833"/>
      <ns0:c r="G12" s="833"/>
      <ns0:c r="H12" s="833"/>
      <ns0:c r="I12" s="833"/>
      <ns0:c r="J12" s="833"/>
    </ns0:row>
    <ns0:row r="13" ht="61" hidden="0" customHeight="1">
      <ns0:c r="A13" s="528" t="str">
        <ns0:v>Summary</ns0:v>
      </ns0:c>
      <ns0:c r="B13" s="532" t="str">
        <ns0:v>Summary uses exact counts and cash totals. Free Games are shown separately from paid-game Profit, Draw, and Disqualified counts, and their chips are reported in a separate non-cash total.</ns0:v>
      </ns0:c>
      <ns0:c r="C13" s="833"/>
      <ns0:c r="D13" s="833"/>
      <ns0:c r="E13" s="833"/>
      <ns0:c r="F13" s="833"/>
      <ns0:c r="G13" s="833"/>
      <ns0:c r="H13" s="833"/>
      <ns0:c r="I13" s="833"/>
      <ns0:c r="J13" s="833"/>
    </ns0:row>
    <ns0:row r="14" ht="78" hidden="0" customHeight="1">
      <ns0:c r="A14" s="528" t="str">
        <ns0:v>Game Comparisons</ns0:v>
      </ns0:c>
      <ns0:c r="B14" s="532" t="str">
        <ns0:v>The paid table compares Member, Non-Member, Unclassified, and All Paid Games. A separate Free Game Chip Performance section shows completed, disqualified, chips-earned, eliminated-player, and elimination-rate statistics. Subscription rows are excluded.</ns0:v>
      </ns0:c>
      <ns0:c r="C14" s="833"/>
      <ns0:c r="D14" s="833"/>
      <ns0:c r="E14" s="833"/>
      <ns0:c r="F14" s="833"/>
      <ns0:c r="G14" s="833"/>
      <ns0:c r="H14" s="833"/>
      <ns0:c r="I14" s="833"/>
      <ns0:c r="J14" s="833"/>
    </ns0:row>
    <ns0:row r="15" ht="44" hidden="0" customHeight="1">
      <ns0:c r="A15" s="528" t="str">
        <ns0:v>Gross Profit Earned</ns0:v>
      </ns0:c>
      <ns0:c r="B15" s="532" t="str">
        <ns0:v>The sum of positive paid-game cash profit before subtracting lost entry fees or membership fees. Free Game chips are excluded.</ns0:v>
      </ns0:c>
      <ns0:c r="C15" s="833"/>
      <ns0:c r="D15" s="833"/>
      <ns0:c r="E15" s="833"/>
      <ns0:c r="F15" s="833"/>
      <ns0:c r="G15" s="833"/>
      <ns0:c r="H15" s="833"/>
      <ns0:c r="I15" s="833"/>
      <ns0:c r="J15" s="833"/>
    </ns0:row>
    <ns0:row r="16" ht="44" hidden="0" customHeight="1">
      <ns0:c r="A16" s="528" t="str">
        <ns0:v>Net Game Profit</ns0:v>
      </ns0:c>
      <ns0:c r="B16" s="532" t="str">
        <ns0:v>Gross paid-game cash profit minus total lost entry fees. Free Game chips are excluded from cash net profit.</ns0:v>
      </ns0:c>
      <ns0:c r="C16" s="833"/>
      <ns0:c r="D16" s="833"/>
      <ns0:c r="E16" s="833"/>
      <ns0:c r="F16" s="833"/>
      <ns0:c r="G16" s="833"/>
      <ns0:c r="H16" s="833"/>
      <ns0:c r="I16" s="833"/>
      <ns0:c r="J16" s="833"/>
    </ns0:row>
    <ns0:row r="17" ht="68" hidden="0" customHeight="1">
      <ns0:c r="A17" s="528" t="str">
        <ns0:v>Actual Running Net Profit</ns0:v>
      </ns0:c>
      <ns0:c r="B17" s="532" t="inlineStr">
        <ns0:is>
          <ns0:t>Running Net Game Profit minus current and carryover annual subscription or membership costs. Estimate rows and Free Game chips do not change cash totals.</ns0:t>
        </ns0:is>
      </ns0:c>
      <ns0:c r="C17" s="833"/>
      <ns0:c r="D17" s="833"/>
      <ns0:c r="E17" s="833"/>
      <ns0:c r="F17" s="833"/>
      <ns0:c r="G17" s="833"/>
      <ns0:c r="H17" s="833"/>
      <ns0:c r="I17" s="833"/>
      <ns0:c r="J17" s="833"/>
    </ns0:row>
    <ns0:row r="18" ht="96" hidden="0" customHeight="1">
      <ns0:c r="A18" s="528" t="str">
        <ns0:v>Column Z colors</ns0:v>
      </ns0:c>
      <ns0:c r="B18" s="532" t="inlineStr">
        <ns0:is>
          <ns0:t>Column Z shows cumulative net game profit. Estimate rows carry forward the preceding total unchanged. Its color describes the current finalized result or record type, not whether the cumulative total is positive or negative.</ns0:t>
        </ns0:is>
      </ns0:c>
      <ns0:c r="C18" s="833"/>
      <ns0:c r="D18" s="833"/>
      <ns0:c r="E18" s="833"/>
      <ns0:c r="F18" s="833"/>
      <ns0:c r="G18" s="833"/>
      <ns0:c r="H18" s="833"/>
      <ns0:c r="I18" s="833"/>
      <ns0:c r="J18" s="833"/>
    </ns0:row>
    <ns0:row r="19" ht="28" hidden="0" customHeight="1">
      <ns0:c r="A19" s="528" t="str">
        <ns0:v>Light green</ns0:v>
      </ns0:c>
      <ns0:c r="B19" s="598" t="str">
        <ns0:v>Profit</ns0:v>
      </ns0:c>
      <ns0:c r="C19" s="833"/>
      <ns0:c r="D19" s="833"/>
      <ns0:c r="E19" s="833"/>
      <ns0:c r="F19" s="833"/>
      <ns0:c r="G19" s="833"/>
      <ns0:c r="H19" s="833"/>
      <ns0:c r="I19" s="833"/>
      <ns0:c r="J19" s="833"/>
    </ns0:row>
    <ns0:row r="20" ht="28" hidden="0" customHeight="1">
      <ns0:c r="A20" s="528" t="str">
        <ns0:v>Light gray</ns0:v>
      </ns0:c>
      <ns0:c r="B20" s="599" t="str">
        <ns0:v>Draw</ns0:v>
      </ns0:c>
      <ns0:c r="C20" s="833"/>
      <ns0:c r="D20" s="833"/>
      <ns0:c r="E20" s="833"/>
      <ns0:c r="F20" s="833"/>
      <ns0:c r="G20" s="833"/>
      <ns0:c r="H20" s="833"/>
      <ns0:c r="I20" s="833"/>
      <ns0:c r="J20" s="833"/>
    </ns0:row>
    <ns0:row r="21" ht="28" hidden="0" customHeight="1">
      <ns0:c r="A21" s="528" t="str">
        <ns0:v>Pale yellow / cream</ns0:v>
      </ns0:c>
      <ns0:c r="B21" s="600" t="str">
        <ns0:v>Free Game / chips</ns0:v>
      </ns0:c>
      <ns0:c r="C21" s="833"/>
      <ns0:c r="D21" s="833"/>
      <ns0:c r="E21" s="833"/>
      <ns0:c r="F21" s="833"/>
      <ns0:c r="G21" s="833"/>
      <ns0:c r="H21" s="833"/>
      <ns0:c r="I21" s="833"/>
      <ns0:c r="J21" s="833"/>
    </ns0:row>
    <ns0:row r="22" ht="28" hidden="0" customHeight="1">
      <ns0:c r="A22" s="528" t="str">
        <ns0:v>Light blue</ns0:v>
      </ns0:c>
      <ns0:c r="B22" s="554" t="str">
        <ns0:v>Subscription</ns0:v>
      </ns0:c>
      <ns0:c r="C22" s="833"/>
      <ns0:c r="D22" s="833"/>
      <ns0:c r="E22" s="833"/>
      <ns0:c r="F22" s="833"/>
      <ns0:c r="G22" s="833"/>
      <ns0:c r="H22" s="833"/>
      <ns0:c r="I22" s="833"/>
      <ns0:c r="J22" s="833"/>
    </ns0:row>
    <ns0:row r="23" ht="28" hidden="0" customHeight="1">
      <ns0:c r="A23" s="528" t="str">
        <ns0:v>Light red</ns0:v>
      </ns0:c>
      <ns0:c r="B23" s="601" t="str">
        <ns0:v>Disqualified / Lost Entry Fee</ns0:v>
      </ns0:c>
      <ns0:c r="C23" s="833"/>
      <ns0:c r="D23" s="833"/>
      <ns0:c r="E23" s="833"/>
      <ns0:c r="F23" s="833"/>
      <ns0:c r="G23" s="833"/>
      <ns0:c r="H23" s="833"/>
      <ns0:c r="I23" s="833"/>
      <ns0:c r="J23" s="833"/>
    </ns0:row>
    <ns0:row r="24" ht="44" hidden="0" customHeight="1">
      <ns0:c r="A24" s="528" t="str">
        <ns0:v>Workbook Capacity</ns0:v>
      </ns0:c>
      <ns0:c r="B24" s="532" t="str">
        <ns0:v>Rows 5–504 provide exactly 500 record rows. Row 505 marks the archive boundary; rows beneath it are inactive.</ns0:v>
      </ns0:c>
      <ns0:c r="C24" s="833"/>
      <ns0:c r="D24" s="833"/>
      <ns0:c r="E24" s="833"/>
      <ns0:c r="F24" s="833"/>
      <ns0:c r="G24" s="833"/>
      <ns0:c r="H24" s="833"/>
      <ns0:c r="I24" s="833"/>
      <ns0:c r="J24" s="833"/>
    </ns0:row>
    <ns0:row r="25" ht="44" hidden="0" customHeight="1">
      <ns0:c r="A25" s="528" t="str">
        <ns0:v>Starting Midyear</ns0:v>
      </ns0:c>
      <ns0:c r="B25" s="532" t="str">
        <ns0:v>Enter prior net game profit, prior subscription costs, and prior completed-game count in Carryover Setup.</ns0:v>
      </ns0:c>
      <ns0:c r="C25" s="833"/>
      <ns0:c r="D25" s="833"/>
      <ns0:c r="E25" s="833"/>
      <ns0:c r="F25" s="833"/>
      <ns0:c r="G25" s="833"/>
      <ns0:c r="H25" s="833"/>
      <ns0:c r="I25" s="833"/>
      <ns0:c r="J25" s="833"/>
    </ns0:row>
    <ns0:row r="26" ht="52" hidden="0" customHeight="1">
      <ns0:c r="A26" s="528" t="str">
        <ns0:v>Manual Entry</ns0:v>
      </ns0:c>
      <ns0:c r="B26" s="532" t="str">
        <ns0:v>All A:M input cells remain yellow to identify editable cells. Categorical fields provide dropdown choices, and all record information may be entered manually or copied from StepCat. Changes made later in A:M recalculate the row when its N:Z formulas are present.</ns0:v>
      </ns0:c>
      <ns0:c r="C26" s="833"/>
      <ns0:c r="D26" s="833"/>
      <ns0:c r="E26" s="833"/>
      <ns0:c r="F26" s="833"/>
      <ns0:c r="G26" s="833"/>
      <ns0:c r="H26" s="833"/>
      <ns0:c r="I26" s="833"/>
      <ns0:c r="J26" s="833"/>
    </ns0:row>
    <ns0:row r="27" ht="12" hidden="0" customHeight="1">
      <ns0:c r="A27" s="809"/>
      <ns0:c r="B27" s="809"/>
      <ns0:c r="C27" s="833"/>
      <ns0:c r="D27" s="833"/>
      <ns0:c r="E27" s="833"/>
      <ns0:c r="F27" s="833"/>
      <ns0:c r="G27" s="833"/>
      <ns0:c r="H27" s="833"/>
      <ns0:c r="I27" s="833"/>
      <ns0:c r="J27" s="833"/>
    </ns0:row>
    <ns0:row r="28" ht="30" hidden="0" customHeight="1">
      <ns0:c r="A28" s="968" t="str">
        <ns0:v>Carryover</ns0:v>
      </ns0:c>
      <ns0:c r="B28" s="969" t="str">
        <ns0:v>Enter prior totals once, then continue with only new records.</ns0:v>
      </ns0:c>
      <ns0:c r="C28" s="835"/>
      <ns0:c r="D28" s="835"/>
      <ns0:c r="E28" s="835"/>
      <ns0:c r="F28" s="835"/>
      <ns0:c r="G28" s="835"/>
      <ns0:c r="H28" s="835"/>
      <ns0:c r="I28" s="835"/>
      <ns0:c r="J28" s="835"/>
    </ns0:row>
    <ns0:row r="29" ht="26" hidden="0" customHeight="1">
      <ns0:c r="A29" s="528" t="str">
        <ns0:v>Prior Net Game Profit</ns0:v>
      </ns0:c>
      <ns0:c r="B29" s="602" t="n">
        <ns0:v>0</ns0:v>
      </ns0:c>
      <ns0:c r="C29" s="833"/>
      <ns0:c r="D29" s="833"/>
      <ns0:c r="E29" s="833"/>
      <ns0:c r="F29" s="833"/>
      <ns0:c r="G29" s="833"/>
      <ns0:c r="H29" s="833"/>
      <ns0:c r="I29" s="833"/>
      <ns0:c r="J29" s="833"/>
    </ns0:row>
    <ns0:row r="30" ht="26" hidden="0" customHeight="1">
      <ns0:c r="A30" s="528" t="str">
        <ns0:v>Prior Subscription Costs</ns0:v>
      </ns0:c>
      <ns0:c r="B30" s="602" t="n">
        <ns0:v>0</ns0:v>
      </ns0:c>
      <ns0:c r="C30" s="833"/>
      <ns0:c r="D30" s="833"/>
      <ns0:c r="E30" s="833"/>
      <ns0:c r="F30" s="833"/>
      <ns0:c r="G30" s="833"/>
      <ns0:c r="H30" s="833"/>
      <ns0:c r="I30" s="833"/>
      <ns0:c r="J30" s="833"/>
    </ns0:row>
    <ns0:row r="31" ht="26" hidden="0" customHeight="1">
      <ns0:c r="A31" s="528" t="str">
        <ns0:v>Prior Game Count</ns0:v>
      </ns0:c>
      <ns0:c r="B31" s="603" t="n">
        <ns0:v>0</ns0:v>
      </ns0:c>
      <ns0:c r="C31" s="833"/>
      <ns0:c r="D31" s="833"/>
      <ns0:c r="E31" s="833"/>
      <ns0:c r="F31" s="833"/>
      <ns0:c r="G31" s="833"/>
      <ns0:c r="H31" s="833"/>
      <ns0:c r="I31" s="833"/>
      <ns0:c r="J31" s="833"/>
    </ns0:row>
    <ns0:row r="32" ht="44" hidden="0" customHeight="1">
      <ns0:c r="A32" s="528" t="str">
        <ns0:v>Step 1 — Note prior totals</ns0:v>
      </ns0:c>
      <ns0:c r="B32" s="532" t="str">
        <ns0:v>Open the completed or archived workbook and note its ending Net Game Profit, subscription costs already paid, and completed-game count.</ns0:v>
      </ns0:c>
      <ns0:c r="C32" s="833"/>
      <ns0:c r="D32" s="833"/>
      <ns0:c r="E32" s="833"/>
      <ns0:c r="F32" s="833"/>
      <ns0:c r="G32" s="833"/>
      <ns0:c r="H32" s="833"/>
      <ns0:c r="I32" s="833"/>
      <ns0:c r="J32" s="833"/>
    </ns0:row>
    <ns0:row r="33" ht="44" hidden="0" customHeight="1">
      <ns0:c r="A33" s="528" t="str">
        <ns0:v>Step 2 — Enter once</ns0:v>
      </ns0:c>
      <ns0:c r="B33" s="532" t="str">
        <ns0:v>Enter those three figures once in B29:B31. Do not create Game Records rows for the carryover values.</ns0:v>
      </ns0:c>
      <ns0:c r="C33" s="833"/>
      <ns0:c r="D33" s="833"/>
      <ns0:c r="E33" s="833"/>
      <ns0:c r="F33" s="833"/>
      <ns0:c r="G33" s="833"/>
      <ns0:c r="H33" s="833"/>
      <ns0:c r="I33" s="833"/>
      <ns0:c r="J33" s="833"/>
    </ns0:row>
    <ns0:row r="34" ht="44" hidden="0" customHeight="1">
      <ns0:c r="A34" s="528" t="str">
        <ns0:v>Step 3 — Continue records</ns0:v>
      </ns0:c>
      <ns0:c r="B34" s="532" t="str">
        <ns0:v>Begin new records on Game Records row 5. Enter only activity that occurred after the previous workbook ended.</ns0:v>
      </ns0:c>
      <ns0:c r="C34" s="833"/>
      <ns0:c r="D34" s="833"/>
      <ns0:c r="E34" s="833"/>
      <ns0:c r="F34" s="833"/>
      <ns0:c r="G34" s="833"/>
      <ns0:c r="H34" s="833"/>
      <ns0:c r="I34" s="833"/>
      <ns0:c r="J34" s="833"/>
    </ns0:row>
    <ns0:row r="35" ht="44" hidden="0" customHeight="1">
      <ns0:c r="A35" s="528" t="str">
        <ns0:v>Step 4 — Check totals</ns0:v>
      </ns0:c>
      <ns0:c r="B35" s="532" t="str">
        <ns0:v>Running totals and Summary should begin with the carryover figures and then add the new workbook's records.</ns0:v>
      </ns0:c>
      <ns0:c r="C35" s="826"/>
      <ns0:c r="D35" s="826"/>
      <ns0:c r="E35" s="826"/>
      <ns0:c r="F35" s="826"/>
      <ns0:c r="G35" s="826"/>
      <ns0:c r="H35" s="826"/>
      <ns0:c r="I35" s="833"/>
      <ns0:c r="J35" s="833"/>
    </ns0:row>
    <ns0:row r="36" ht="78" hidden="0" customHeight="1">
      <ns0:c r="A36" s="964" t="str">
        <ns0:v>Important</ns0:v>
      </ns0:c>
      <ns0:c r="B36" s="965" t="inlineStr">
        <ns0:is>
          <ns0:t>Use Carryover only when continuing from another workbook or starting partway through a year. Prior Game Count includes finalized completed games only; exclude Subscription rows and Estimate rows. Do not re-enter prior games or prior subscription payments.</ns0:t>
        </ns0:is>
      </ns0:c>
      <ns0:c r="C36" s="833"/>
      <ns0:c r="D36" s="833"/>
      <ns0:c r="E36" s="833"/>
      <ns0:c r="F36" s="833"/>
      <ns0:c r="G36" s="833"/>
      <ns0:c r="H36" s="833"/>
      <ns0:c r="I36" s="833"/>
      <ns0:c r="J36" s="833"/>
    </ns0:row>
    <ns0:row r="37" ht="12" hidden="0" customHeight="1">
      <ns0:c r="A37" s="808"/>
      <ns0:c r="B37" s="809"/>
      <ns0:c r="C37" s="833"/>
      <ns0:c r="D37" s="833"/>
      <ns0:c r="E37" s="833"/>
      <ns0:c r="F37" s="833"/>
      <ns0:c r="G37" s="833"/>
      <ns0:c r="H37" s="833"/>
      <ns0:c r="I37" s="833"/>
      <ns0:c r="J37" s="833"/>
    </ns0:row>
    <ns0:row r="38" ht="30" hidden="0" customHeight="1">
      <ns0:c r="A38" s="968" t="str">
        <ns0:v>Calculations</ns0:v>
      </ns0:c>
      <ns0:c r="B38" s="969" t="str">
        <ns0:v>Reference for how the workbook determines results and totals.</ns0:v>
      </ns0:c>
      <ns0:c r="C38" s="835"/>
      <ns0:c r="D38" s="835"/>
      <ns0:c r="E38" s="835"/>
      <ns0:c r="F38" s="835"/>
      <ns0:c r="G38" s="835"/>
      <ns0:c r="H38" s="835"/>
      <ns0:c r="I38" s="835"/>
      <ns0:c r="J38" s="835"/>
    </ns0:row>
    <ns0:row r="39" ht="28" hidden="0" customHeight="1">
      <ns0:c r="A39" s="528" t="str">
        <ns0:v>Member games</ns0:v>
      </ns0:c>
      <ns0:c r="B39" s="532" t="str">
        <ns0:v>Adjusted Pot uses 100% of Gross Pot.</ns0:v>
      </ns0:c>
      <ns0:c r="C39" s="833"/>
      <ns0:c r="D39" s="833"/>
      <ns0:c r="E39" s="833"/>
      <ns0:c r="F39" s="833"/>
      <ns0:c r="G39" s="833"/>
      <ns0:c r="H39" s="833"/>
      <ns0:c r="I39" s="833"/>
      <ns0:c r="J39" s="833"/>
    </ns0:row>
    <ns0:row r="40" ht="28" hidden="0" customHeight="1">
      <ns0:c r="A40" s="528" t="str">
        <ns0:v>Non-Member games</ns0:v>
      </ns0:c>
      <ns0:c r="B40" s="532" t="str">
        <ns0:v>Adjusted Pot uses 85% of Gross Pot.</ns0:v>
      </ns0:c>
      <ns0:c r="C40" s="833"/>
      <ns0:c r="D40" s="833"/>
      <ns0:c r="E40" s="833"/>
      <ns0:c r="F40" s="833"/>
      <ns0:c r="G40" s="833"/>
      <ns0:c r="H40" s="833"/>
      <ns0:c r="I40" s="833"/>
      <ns0:c r="J40" s="833"/>
    </ns0:row>
    <ns0:row r="41" ht="61" hidden="0" customHeight="1">
      <ns0:c r="A41" s="528" t="str">
        <ns0:v>Estimated Earned</ns0:v>
      </ns0:c>
      <ns0:c r="B41" s="532" t="inlineStr">
        <ns0:is>
          <ns0:t>Adjusted Pot divided by Eligible Players. This is a projection only. On Estimate rows, Result Earned / Chips, Profit, Draw, Lost Entry Fee, ROI, and Net Profit show N/A; Result shows Estimate; Running Net Profit remains unchanged. When the game ends, replace the same row’s A–M values with the Finalized record—do not add a second row for that game.</ns0:t>
        </ns0:is>
      </ns0:c>
      <ns0:c r="C41" s="833"/>
      <ns0:c r="D41" s="833"/>
      <ns0:c r="E41" s="833"/>
      <ns0:c r="F41" s="833"/>
      <ns0:c r="G41" s="833"/>
      <ns0:c r="H41" s="833"/>
      <ns0:c r="I41" s="833"/>
      <ns0:c r="J41" s="833"/>
    </ns0:row>
    <ns0:row r="42" ht="61" hidden="0" customHeight="1">
      <ns0:c r="A42" s="528" t="str">
        <ns0:v>Profit</ns0:v>
      </ns0:c>
      <ns0:c r="B42" s="532" t="inlineStr">
        <ns0:is>
          <ns0:t>On Finalized rows, Result Earned above Entry Fee is Profit; Net Profit is Result Earned minus Entry Fee. Estimate rows remain outside accounting until finalized.</ns0:t>
        </ns0:is>
      </ns0:c>
      <ns0:c r="C42" s="833"/>
      <ns0:c r="D42" s="833"/>
      <ns0:c r="E42" s="833"/>
      <ns0:c r="F42" s="833"/>
      <ns0:c r="G42" s="833"/>
      <ns0:c r="H42" s="833"/>
      <ns0:c r="I42" s="833"/>
      <ns0:c r="J42" s="833"/>
    </ns0:row>
    <ns0:row r="43" ht="12" hidden="0" customHeight="1"/>
    <ns0:row r="44" ht="61" hidden="0" customHeight="1">
      <ns0:c r="A44" s="528" t="str">
        <ns0:v>Draw</ns0:v>
      </ns0:c>
      <ns0:c r="B44" s="532" t="str">
        <ns0:v>A normal completed paid game earning the Entry Fee or less records $0.00 Net Profit while preserving the exact Estimated Earned or Final Earned amount.</ns0:v>
      </ns0:c>
      <ns0:c r="C44" s="833"/>
      <ns0:c r="D44" s="833"/>
      <ns0:c r="E44" s="833"/>
      <ns0:c r="F44" s="833"/>
      <ns0:c r="G44" s="833"/>
      <ns0:c r="H44" s="833"/>
      <ns0:c r="I44" s="833"/>
      <ns0:c r="J44" s="833"/>
    </ns0:row>
    <ns0:row r="45" ht="52" hidden="0" customHeight="1">
      <ns0:c r="A45" s="528" t="str">
        <ns0:v>Disqualified</ns0:v>
      </ns0:c>
      <ns0:c r="B45" s="532" t="str">
        <ns0:v>Paid entry: Final Earned / Chips and Result Earned / Chips should show $0.00, and the full Entry Fee is recorded as lost. Free Game: the disqualification status is preserved, 0.00 chips are earned, and no monetary Entry Fee loss is recorded.</ns0:v>
      </ns0:c>
      <ns0:c r="C45" s="833"/>
      <ns0:c r="D45" s="833"/>
      <ns0:c r="E45" s="833"/>
      <ns0:c r="F45" s="833"/>
      <ns0:c r="G45" s="833"/>
      <ns0:c r="H45" s="833"/>
      <ns0:c r="I45" s="833"/>
      <ns0:c r="J45" s="833"/>
    </ns0:row>
    <ns0:row r="46" ht="44" hidden="0" customHeight="1">
      <ns0:c r="A46" s="528" t="str">
        <ns0:v>ROI</ns0:v>
      </ns0:c>
      <ns0:c r="B46" s="532" t="str">
        <ns0:v>Net Profit divided by Entry Fee. When Entry Fee is $0, ROI displays N/A because division by zero is undefined.</ns0:v>
      </ns0:c>
      <ns0:c r="C46" s="833"/>
      <ns0:c r="D46" s="833"/>
      <ns0:c r="E46" s="833"/>
      <ns0:c r="F46" s="833"/>
      <ns0:c r="G46" s="833"/>
      <ns0:c r="H46" s="833"/>
      <ns0:c r="I46" s="833"/>
      <ns0:c r="J46" s="833"/>
    </ns0:row>
    <ns0:row r="47" ht="61" hidden="0" customHeight="1">
      <ns0:c r="A47" s="528" t="str">
        <ns0:v>Running Net Profit</ns0:v>
      </ns0:c>
      <ns0:c r="B47" s="532" t="str">
        <ns0:v>Prior Net Game Profit plus current-workbook cash Net Profit, accumulated row by row. Free Game chips do not change the total; Draw and Subscription rows may repeat the preceding total.</ns0:v>
      </ns0:c>
      <ns0:c r="C47" s="833"/>
      <ns0:c r="D47" s="833"/>
      <ns0:c r="E47" s="833"/>
      <ns0:c r="F47" s="833"/>
      <ns0:c r="G47" s="833"/>
      <ns0:c r="H47" s="833"/>
      <ns0:c r="I47" s="833"/>
      <ns0:c r="J47" s="833"/>
    </ns0:row>
    <ns0:row r="48" ht="44" hidden="0" customHeight="1">
      <ns0:c r="A48" s="528" t="str">
        <ns0:v>Subscription effect</ns0:v>
      </ns0:c>
      <ns0:c r="B48" s="532" t="str">
        <ns0:v>A Subscription row is excluded from game counts and game results. Its cost is subtracted only in Actual Net Profit.</ns0:v>
      </ns0:c>
      <ns0:c r="C48" s="833"/>
      <ns0:c r="D48" s="833"/>
      <ns0:c r="E48" s="833"/>
      <ns0:c r="F48" s="833"/>
      <ns0:c r="G48" s="833"/>
      <ns0:c r="H48" s="833"/>
      <ns0:c r="I48" s="833"/>
      <ns0:c r="J48" s="833"/>
    </ns0:row>
    <ns0:row r="49" ht="88" customHeight="1">
      <ns0:c r="A49" s="973" t="inlineStr">
        <ns0:is>
          <ns0:t>What changed in v252</ns0:t>
        </ns0:is>
      </ns0:c>
      <ns0:c r="B49" s="975" t="inlineStr">
        <ns0:is>
          <ns0:t>v252 separates projections from finalized accounting. Estimate rows now show Result = Estimate, display N/A in Result Earned / Chips, Profit, Draw, Lost Entry Fee, ROI, and Net Profit, and leave all cash totals unchanged until the same row is Finalized. The frozen instruction band is taller and shorter so its text remains readable, while all v250.3 validation, membership, restore, and row-copy behavior is preserved.</ns0:t>
        </ns0:is>
      </ns0:c>
      <ns0:c r="C49" s="833"/>
      <ns0:c r="D49" s="833"/>
      <ns0:c r="E49" s="833"/>
      <ns0:c r="F49" s="833"/>
      <ns0:c r="G49" s="833"/>
      <ns0:c r="H49" s="833"/>
      <ns0:c r="I49" s="833"/>
      <ns0:c r="J49" s="833"/>
    </ns0:row>
    <ns0:row r="50" ht="72" customHeight="1">
      <ns0:c r="A50" s="598" t="str">
        <ns0:v>Adding a forgotten game in Excel</ns0:v>
      </ns0:c>
      <ns0:c r="B50" s="989" t="str">
        <ns0:v>Click a cell inside Game Records, insert a Table Row Above or Table Row Below at the correct location, and enter or paste A:M. The table is designed to extend formulas, dropdowns, and formatting into the inserted row. Confirm that Record Review does not show “Formula columns missing.”</ns0:v>
      </ns0:c>
      <ns0:c r="C50" s="833"/>
      <ns0:c r="D50" s="833"/>
      <ns0:c r="E50" s="833"/>
      <ns0:c r="F50" s="833"/>
      <ns0:c r="G50" s="833"/>
      <ns0:c r="H50" s="833"/>
      <ns0:c r="I50" s="833"/>
      <ns0:c r="J50" s="833"/>
    </ns0:row>
    <ns0:row r="51" ht="72" customHeight="1">
      <ns0:c r="A51" s="977" t="str">
        <ns0:v>Google Sheets or manual fallback</ns0:v>
      </ns0:c>
      <ns0:c r="B51" s="979" t="str">
        <ns0:v>Some spreadsheet programs may not preserve Excel calculated-table behavior. Use the next prepared blank row, enter or paste A:M, then sort the complete A:Z record area by Start Date. If an inserted row ever lacks formulas, copy N:Z from the adjacent working row before entering data.</ns0:v>
      </ns0:c>
      <ns0:c r="C51" s="833"/>
      <ns0:c r="D51" s="833"/>
      <ns0:c r="E51" s="833"/>
      <ns0:c r="F51" s="833"/>
      <ns0:c r="G51" s="833"/>
      <ns0:c r="H51" s="833"/>
      <ns0:c r="I51" s="833"/>
      <ns0:c r="J51" s="833"/>
    </ns0:row>
    <ns0:row r="52" ht="78" customHeight="1">
      <ns0:c r="A52" s="554" t="inlineStr">
        <ns0:is>
          <ns0:t>Migrating to v252</ns0:t>
        </ns0:is>
      </ns0:c>
      <ns0:c r="B52" s="990" t="inlineStr">
        <ns0:is>
          <ns0:t>New users should begin with v252. Existing users should copy only populated Game Records A5:M cells into the v252 workbook, preferably as values only. Do not replace formula columns N–Z or copy entire sheets. Keep the older workbook as a backup until records, Record Review, and totals are verified.</ns0:t>
        </ns0:is>
      </ns0:c>
      <ns0:c r="C52" s="833"/>
      <ns0:c r="D52" s="833"/>
      <ns0:c r="E52" s="833"/>
      <ns0:c r="F52" s="833"/>
      <ns0:c r="G52" s="833"/>
      <ns0:c r="H52" s="833"/>
      <ns0:c r="I52" s="833"/>
      <ns0:c r="J52" s="833"/>
    </ns0:row>
    <ns0:row r="53" ht="64" customHeight="1">
      <ns0:c r="A53" s="973" t="inlineStr">
        <ns0:is>
          <ns0:t>Workflow updates in v252</ns0:t>
        </ns0:is>
      </ns0:c>
      <ns0:c r="B53" s="975" t="inlineStr">
        <ns0:is>
          <ns0:t>The app now begins with Entry Mode, provides Start New Entry, shortens the form, and uses tap-accessible information controls instead of permanently expanded helper text.</ns0:t>
        </ns0:is>
      </ns0:c>
      <ns0:c r="C53" s="833"/>
      <ns0:c r="D53" s="833"/>
      <ns0:c r="E53" s="833"/>
      <ns0:c r="F53" s="833"/>
      <ns0:c r="G53" s="833"/>
      <ns0:c r="H53" s="833"/>
      <ns0:c r="I53" s="833"/>
      <ns0:c r="J53" s="833"/>
    </ns0:row>
    <ns0:row r="54" ht="72" hidden="0" customHeight="1">
      <ns0:c r="A54" s="528" t="inlineStr">
        <ns0:is>
          <ns0:t>Finalize This Estimate</ns0:t>
        </ns0:is>
      </ns0:c>
      <ns0:c r="B54" s="532" t="inlineStr">
        <ns0:is>
          <ns0:t>Use the visible action on an Estimate card. StepCat asks only for completed information and updates the existing Saved History record rather than creating a duplicate.</ns0:t>
        </ns0:is>
      </ns0:c>
      <ns0:c r="C54" s="833"/>
      <ns0:c r="D54" s="833"/>
      <ns0:c r="E54" s="833"/>
      <ns0:c r="F54" s="833"/>
      <ns0:c r="G54" s="833"/>
      <ns0:c r="H54" s="833"/>
      <ns0:c r="I54" s="833"/>
      <ns0:c r="J54" s="833"/>
    </ns0:row>
    <ns0:row r="55" ht="76" hidden="0" customHeight="1">
      <ns0:c r="A55" s="528" t="inlineStr">
        <ns0:is>
          <ns0:t>Disqualification control</ns0:t>
        </ns0:is>
      </ns0:c>
      <ns0:c r="B55" s="532" t="inlineStr">
        <ns0:is>
          <ns0:t>The status control appears immediately before Final Earned / Chips. It is dimmed in Estimate mode, neutral when off, red when on, and automatically locks Final Earned at 0.00.</ns0:t>
        </ns0:is>
      </ns0:c>
      <ns0:c r="C55" s="833"/>
      <ns0:c r="D55" s="833"/>
      <ns0:c r="E55" s="833"/>
      <ns0:c r="F55" s="833"/>
      <ns0:c r="G55" s="833"/>
      <ns0:c r="H55" s="833"/>
      <ns0:c r="I55" s="833"/>
      <ns0:c r="J55" s="833"/>
    </ns0:row>
    <ns0:row r="56" ht="70" hidden="0" customHeight="1">
      <ns0:c r="A56" s="528" t="inlineStr">
        <ns0:is>
          <ns0:t>Remembered choices</ns0:t>
        </ns0:is>
      </ns0:c>
      <ns0:c r="B56" s="532" t="inlineStr">
        <ns0:is>
          <ns0:t>Entry Mode, Membership Type, and Payment / Record Type can be remembered when enabled. Missing required values still block saving, and Disqualified always resets for a new entry.</ns0:t>
        </ns0:is>
      </ns0:c>
      <ns0:c r="C56" s="833"/>
      <ns0:c r="D56" s="833"/>
      <ns0:c r="E56" s="833"/>
      <ns0:c r="F56" s="833"/>
      <ns0:c r="G56" s="833"/>
      <ns0:c r="H56" s="833"/>
      <ns0:c r="I56" s="833"/>
      <ns0:c r="J56" s="833"/>
    </ns0:row>
    <ns0:row r="57" ht="70" hidden="0" customHeight="1">
      <ns0:c r="A57" s="528" t="inlineStr">
        <ns0:is>
          <ns0:t>Validation display</ns0:t>
        </ns0:is>
      </ns0:c>
      <ns0:c r="B57" s="532" t="inlineStr">
        <ns0:is>
          <ns0:t>Blocking errors appear beside the affected field, in a short summary near Calculate &amp; Save, and in one brief toast after a save attempt. The app scrolls to the first error.</ns0:t>
        </ns0:is>
      </ns0:c>
      <ns0:c r="C57" s="833"/>
      <ns0:c r="D57" s="833"/>
      <ns0:c r="E57" s="833"/>
      <ns0:c r="F57" s="833"/>
      <ns0:c r="G57" s="833"/>
      <ns0:c r="H57" s="833"/>
      <ns0:c r="I57" s="833"/>
      <ns0:c r="J57" s="833"/>
    </ns0:row>
    <ns0:row r="58" ht="64" customHeight="1">
      <ns0:c r="A58" s="973" t="inlineStr">
        <ns0:is>
          <ns0:t>Workbook appearance in v252</ns0:t>
        </ns0:is>
      </ns0:c>
      <ns0:c r="B58" s="975" t="inlineStr">
        <ns0:is>
          <ns0:t>The workbook keeps the StepCat brown, amber, orange, cream, and gold structure. Pale gold marks editable A–M cells; blue-gray marks formulas; result colors remain semantic.</ns0:t>
        </ns0:is>
      </ns0:c>
      <ns0:c r="C58" s="833"/>
      <ns0:c r="D58" s="833"/>
      <ns0:c r="E58" s="833"/>
      <ns0:c r="F58" s="833"/>
      <ns0:c r="G58" s="833"/>
      <ns0:c r="H58" s="833"/>
      <ns0:c r="I58" s="833"/>
      <ns0:c r="J58" s="833"/>
    </ns0:row>
    <ns0:row r="59" ht="70" hidden="0" customHeight="1">
      <ns0:c r="A59" s="528" t="inlineStr">
        <ns0:is>
          <ns0:t>Games by Result</ns0:t>
        </ns0:is>
      </ns0:c>
      <ns0:c r="B59" s="532" t="inlineStr">
        <ns0:is>
          <ns0:t>The Summary chart and tally show exact Profit, Draw, and Disqualified counts. Subscription / Membership Fee rows remain separate non-game costs, and Free Games remain separate credit.</ns0:t>
        </ns0:is>
      </ns0:c>
      <ns0:c r="C59" s="833"/>
      <ns0:c r="D59" s="833"/>
      <ns0:c r="E59" s="833"/>
      <ns0:c r="F59" s="833"/>
      <ns0:c r="G59" s="833"/>
      <ns0:c r="H59" s="833"/>
      <ns0:c r="I59" s="833"/>
      <ns0:c r="J59" s="833"/>
    </ns0:row>
    <ns0:row r="60" ht="52" hidden="0" customHeight="1">
      <ns0:c r="A60" s="528" t="inlineStr">
        <ns0:is>
          <ns0:t>Blank report states</ns0:t>
        </ns0:is>
      </ns0:c>
      <ns0:c r="B60" s="532" t="inlineStr">
        <ns0:is>
          <ns0:t>Reports use clear no-data messages instead of presenting a category named None when no qualifying finalized records exist.</ns0:t>
        </ns0:is>
      </ns0:c>
      <ns0:c r="C60" s="833"/>
      <ns0:c r="D60" s="833"/>
      <ns0:c r="E60" s="833"/>
      <ns0:c r="F60" s="833"/>
      <ns0:c r="G60" s="833"/>
      <ns0:c r="H60" s="833"/>
      <ns0:c r="I60" s="833"/>
      <ns0:c r="J60" s="833"/>
    </ns0:row>
    <ns0:row r="61" ht="46" hidden="0" customHeight="1">
      <ns0:c r="A61" s="528" t="inlineStr">
        <ns0:is>
          <ns0:t>Header readability</ns0:t>
        </ns0:is>
      </ns0:c>
      <ns0:c r="B61" s="532" t="inlineStr">
        <ns0:is>
          <ns0:t>Game Records row 4 is taller and wrapped so the frozen header remains readable without clipping.</ns0:t>
        </ns0:is>
      </ns0:c>
      <ns0:c r="C61" s="833"/>
      <ns0:c r="D61" s="833"/>
      <ns0:c r="E61" s="833"/>
      <ns0:c r="F61" s="833"/>
      <ns0:c r="G61" s="833"/>
      <ns0:c r="H61" s="833"/>
      <ns0:c r="I61" s="833"/>
      <ns0:c r="J61" s="833"/>
    </ns0:row>
    <ns0:row r="62" ht="58" hidden="0" customHeight="1">
      <ns0:c r="A62" s="528" t="inlineStr">
        <ns0:is>
          <ns0:t>Spreadsheet Copy Help</ns0:t>
        </ns0:is>
      </ns0:c>
      <ns0:c r="B62" s="532" t="inlineStr">
        <ns0:is>
          <ns0:t>Users may hide the extra copying guidance after learning the workflow. Copy This Sheet Row and Copy All Sheet Rows remain available and automatic.</ns0:t>
        </ns0:is>
      </ns0:c>
      <ns0:c r="C62" s="833"/>
      <ns0:c r="D62" s="833"/>
      <ns0:c r="E62" s="833"/>
      <ns0:c r="F62" s="833"/>
      <ns0:c r="G62" s="833"/>
      <ns0:c r="H62" s="833"/>
      <ns0:c r="I62" s="833"/>
      <ns0:c r="J62" s="833"/>
    </ns0:row>
    <ns0:row r="63" ht="58" customHeight="1">
      <ns0:c r="A63" s="598" t="inlineStr">
        <ns0:is>
          <ns0:t>Release safety</ns0:t>
        </ns0:is>
      </ns0:c>
      <ns0:c r="B63" s="989" t="inlineStr">
        <ns0:is>
          <ns0:t>The version currently published on GitHub remains live until v252 is deliberately uploaded. Keep the older workbook as a backup while migrating records.</ns0:t>
        </ns0:is>
      </ns0:c>
      <ns0:c r="C63" s="833"/>
      <ns0:c r="D63" s="833"/>
      <ns0:c r="E63" s="833"/>
      <ns0:c r="F63" s="833"/>
      <ns0:c r="G63" s="833"/>
      <ns0:c r="H63" s="833"/>
      <ns0:c r="I63" s="833"/>
      <ns0:c r="J63" s="833"/>
    </ns0:row>
    <ns0:row r="64" ht="12" hidden="0" customHeight="1"/>
    <ns0:row r="65" ht="74" hidden="0" customHeight="1">
      <ns0:c r="A65" s="528" t="inlineStr">
        <ns0:is>
          <ns0:t>v252 release checklist</ns0:t>
        </ns0:is>
      </ns0:c>
      <ns0:c r="B65" s="532" t="inlineStr">
        <ns0:is>
          <ns0:t>Regression-test Start New Entry, Finalize This Estimate, remembered choices, changed validation, a complete A–M row paste, Estimate-to-Finalized row replacement, and hosted installation/update behavior.</ns0:t>
        </ns0:is>
      </ns0:c>
      <ns0:c r="C65" s="833"/>
      <ns0:c r="D65" s="833"/>
      <ns0:c r="E65" s="833"/>
      <ns0:c r="F65" s="833"/>
      <ns0:c r="G65" s="833"/>
      <ns0:c r="H65" s="833"/>
      <ns0:c r="I65" s="833"/>
      <ns0:c r="J65" s="833"/>
    </ns0:row>
  </ns0:sheetData>
  <ns0:mergeCells>
    <ns0:mergeCell ref="A1:B1"/>
    <ns0:mergeCell ref="A2:B2"/>
  </ns0:mergeCells>
  <ns0:pageMargins left="0.7" right="0.7" top="0.75" bottom="0.75" header="0.3" footer="0.3"/>
</ns0:worksheet>
</file>

<file path=xl/worksheets/sheet2.xml><?xml version="1.0" encoding="utf-8"?>
<ns0:worksheet xmlns:ns0="http://schemas.openxmlformats.org/spreadsheetml/2006/main" xmlns:r="http://schemas.openxmlformats.org/officeDocument/2006/relationships">
  <ns0:sheetViews>
    <ns0:sheetView workbookViewId="0">
      <ns0:pane ySplit="4" topLeftCell="A5" activePane="bottomLeft" state="frozen"/>
      <ns0:selection pane="bottomLeft" activeCell="A5" sqref="A5"/>
    </ns0:sheetView>
  </ns0:sheetViews>
  <ns0:sheetFormatPr defaultRowHeight="15"/>
  <ns0:cols>
    <ns0:col min="1" max="1" width="27" hidden="0" customWidth="1"/>
    <ns0:col min="2" max="2" width="12" hidden="0" customWidth="1"/>
    <ns0:col min="3" max="3" width="12" hidden="0" customWidth="1"/>
    <ns0:col min="4" max="4" width="15" hidden="0" customWidth="1"/>
    <ns0:col min="5" max="5" width="15" hidden="0" customWidth="1"/>
    <ns0:col min="6" max="6" width="18" hidden="0" customWidth="1"/>
    <ns0:col min="7" max="7" width="13" hidden="0" customWidth="1"/>
    <ns0:col min="8" max="8" width="13" hidden="0" customWidth="1"/>
    <ns0:col min="9" max="9" width="14" hidden="0" customWidth="1"/>
    <ns0:col min="10" max="10" width="14" hidden="0" customWidth="1"/>
    <ns0:col min="11" max="11" width="17" hidden="0" customWidth="1"/>
    <ns0:col min="12" max="12" width="18" hidden="0" customWidth="1"/>
    <ns0:col min="13" max="13" width="34" hidden="0" customWidth="1"/>
    <ns0:col min="14" max="14" width="14" hidden="0" customWidth="1"/>
    <ns0:col min="15" max="15" width="14" hidden="0" customWidth="1"/>
    <ns0:col min="16" max="16" width="14" hidden="0" customWidth="1"/>
    <ns0:col min="17" max="17" width="12" hidden="0" customWidth="1"/>
    <ns0:col min="18" max="18" width="12" hidden="0" customWidth="1"/>
    <ns0:col min="19" max="19" width="14" hidden="0" customWidth="1"/>
    <ns0:col min="20" max="20" width="10" hidden="0" customWidth="1"/>
    <ns0:col min="21" max="21" width="28" hidden="0" customWidth="1"/>
    <ns0:col min="22" max="22" width="21" hidden="0" customWidth="1"/>
    <ns0:col min="23" max="23" width="12" hidden="0" customWidth="1"/>
    <ns0:col min="24" max="24" width="12" hidden="0" customWidth="1"/>
    <ns0:col min="25" max="25" width="12" hidden="0" customWidth="1"/>
    <ns0:col min="26" max="26" width="16" hidden="0" customWidth="1"/>
  </ns0:cols>
  <ns0:sheetData>
    <ns0:row r="1" ht="18" customHeight="1">
      <ns0:c r="A1" s="143">
        <ns0:f>"Running Net Game Profit: "&amp;TEXT(Instructions!$B$29+SUM($W$5:$W$504),"$#,##0.00")&amp;"  |  Gross Profit Earned: "&amp;TEXT(SUM($Q$5:$Q$504),"$#,##0.00")&amp;"  |  Total Lost Entry Fees: "&amp;TEXT(SUM($S$5:$S$504),"$#,##0.00")&amp;"  |  StepCat v252"</ns0:f>
      </ns0:c>
      <ns0:c r="B1" s="143"/>
      <ns0:c r="C1" s="143"/>
      <ns0:c r="D1" s="143"/>
      <ns0:c r="E1" s="143"/>
      <ns0:c r="F1" s="143"/>
      <ns0:c r="G1" s="143"/>
      <ns0:c r="H1" s="143"/>
      <ns0:c r="I1" s="143"/>
      <ns0:c r="J1" s="143"/>
      <ns0:c r="K1" s="143"/>
      <ns0:c r="L1" s="143"/>
      <ns0:c r="M1" s="143"/>
      <ns0:c r="N1" s="143"/>
      <ns0:c r="O1" s="143"/>
      <ns0:c r="P1" s="143"/>
      <ns0:c r="Q1" s="143"/>
      <ns0:c r="R1" s="143"/>
      <ns0:c r="S1" s="143"/>
      <ns0:c r="T1" s="143"/>
      <ns0:c r="U1" s="143"/>
      <ns0:c r="V1" s="143"/>
      <ns0:c r="W1" s="143"/>
      <ns0:c r="X1" s="143"/>
      <ns0:c r="Y1" s="143"/>
      <ns0:c r="Z1" s="143"/>
    </ns0:row>
    <ns0:row r="2" ht="42" customHeight="1">
      <ns0:c r="A2" s="76" t="inlineStr">
        <ns0:is>
          <ns0:t>Rows 5–504 are prepared. Enter or paste only in A:M; N:Z calculate automatically. Estimate rows remain projections: accounting columns show N/A and cash totals do not change until the same row is Finalized. Archive at row 505.</ns0:t>
        </ns0:is>
      </ns0:c>
      <ns0:c r="B2" s="76"/>
      <ns0:c r="C2" s="76"/>
      <ns0:c r="D2" s="76"/>
      <ns0:c r="E2" s="76"/>
      <ns0:c r="F2" s="76"/>
      <ns0:c r="G2" s="76"/>
      <ns0:c r="H2" s="76"/>
      <ns0:c r="I2" s="76"/>
      <ns0:c r="J2" s="76"/>
      <ns0:c r="K2" s="76"/>
      <ns0:c r="L2" s="76"/>
      <ns0:c r="M2" s="76"/>
      <ns0:c r="N2" s="76"/>
      <ns0:c r="O2" s="76"/>
      <ns0:c r="P2" s="76"/>
      <ns0:c r="Q2" s="76"/>
      <ns0:c r="R2" s="76"/>
      <ns0:c r="S2" s="76"/>
      <ns0:c r="T2" s="76"/>
      <ns0:c r="U2" s="76"/>
      <ns0:c r="V2" s="76"/>
      <ns0:c r="W2" s="76"/>
      <ns0:c r="X2" s="76"/>
      <ns0:c r="Y2" s="76"/>
      <ns0:c r="Z2" s="76"/>
    </ns0:row>
    <ns0:row r="3" ht="12" customHeight="1">
      <ns0:c r="A3" s="100" t="str">
        <ns0:v>A:M — Inputs only</ns0:v>
      </ns0:c>
      <ns0:c r="B3" s="100"/>
      <ns0:c r="C3" s="100"/>
      <ns0:c r="D3" s="100"/>
      <ns0:c r="E3" s="100"/>
      <ns0:c r="F3" s="100"/>
      <ns0:c r="G3" s="100"/>
      <ns0:c r="H3" s="100"/>
      <ns0:c r="I3" s="100"/>
      <ns0:c r="J3" s="100"/>
      <ns0:c r="K3" s="100"/>
      <ns0:c r="L3" s="100"/>
      <ns0:c r="M3" s="100"/>
      <ns0:c r="N3" s="100" t="str">
        <ns0:v>N:Z — Formula columns — do not edit</ns0:v>
      </ns0:c>
      <ns0:c r="O3" s="100"/>
      <ns0:c r="P3" s="100"/>
      <ns0:c r="Q3" s="100"/>
      <ns0:c r="R3" s="100"/>
      <ns0:c r="S3" s="100"/>
      <ns0:c r="T3" s="100"/>
      <ns0:c r="U3" s="100"/>
      <ns0:c r="V3" s="100"/>
      <ns0:c r="W3" s="100"/>
      <ns0:c r="X3" s="100"/>
      <ns0:c r="Y3" s="100"/>
      <ns0:c r="Z3" s="100"/>
    </ns0:row>
    <ns0:row r="4" ht="52" customHeight="1">
      <ns0:c r="A4" s="95" t="str">
        <ns0:v>Game Name</ns0:v>
      </ns0:c>
      <ns0:c r="B4" s="95" t="str">
        <ns0:v>Start Date</ns0:v>
      </ns0:c>
      <ns0:c r="C4" s="95" t="str">
        <ns0:v>End Date</ns0:v>
      </ns0:c>
      <ns0:c r="D4" s="95" t="str">
        <ns0:v>Entry Mode</ns0:v>
      </ns0:c>
      <ns0:c r="E4" s="95" t="str">
        <ns0:v>Game Type</ns0:v>
      </ns0:c>
      <ns0:c r="F4" s="95" t="str">
        <ns0:v>Payment / Record Type</ns0:v>
      </ns0:c>
      <ns0:c r="G4" s="95" t="str">
        <ns0:v>Gross Pot / Chips</ns0:v>
      </ns0:c>
      <ns0:c r="H4" s="95" t="str">
        <ns0:v>Entry Fee</ns0:v>
      </ns0:c>
      <ns0:c r="I4" s="95" t="str">
        <ns0:v>Eligible Players</ns0:v>
      </ns0:c>
      <ns0:c r="J4" s="95" t="str">
        <ns0:v>Total Players</ns0:v>
      </ns0:c>
      <ns0:c r="K4" s="95" t="str">
        <ns0:v>Final Earned / Chips</ns0:v>
      </ns0:c>
      <ns0:c r="L4" s="95" t="str">
        <ns0:v>Disqualified / Lost Entry Fee</ns0:v>
      </ns0:c>
      <ns0:c r="M4" s="95" t="str">
        <ns0:v>Notes</ns0:v>
      </ns0:c>
      <ns0:c r="N4" s="294" t="str">
        <ns0:v>Adjusted Pot / Chips</ns0:v>
      </ns0:c>
      <ns0:c r="O4" s="294" t="str">
        <ns0:v>Estimated Earned / Chips</ns0:v>
      </ns0:c>
      <ns0:c r="P4" s="294" t="str">
        <ns0:v>Result Earned / Chips</ns0:v>
      </ns0:c>
      <ns0:c r="Q4" s="294" t="str">
        <ns0:v>Profit</ns0:v>
      </ns0:c>
      <ns0:c r="R4" s="294" t="str">
        <ns0:v>Draw</ns0:v>
      </ns0:c>
      <ns0:c r="S4" s="294" t="str">
        <ns0:v>Lost</ns0:v>
      </ns0:c>
      <ns0:c r="T4" s="294" t="str">
        <ns0:v>ROI</ns0:v>
      </ns0:c>
      <ns0:c r="U4" s="294" t="str">
        <ns0:v>Result</ns0:v>
      </ns0:c>
      <ns0:c r="V4" s="954" t="str">
        <ns0:v>Challenge Length (Weeks)</ns0:v>
      </ns0:c>
      <ns0:c r="W4" s="294" t="str">
        <ns0:v>Net Profit</ns0:v>
      </ns0:c>
      <ns0:c r="X4" s="294" t="str">
        <ns0:v>Eliminated Players</ns0:v>
      </ns0:c>
      <ns0:c r="Y4" s="294" t="str">
        <ns0:v>Elimination Rate</ns0:v>
      </ns0:c>
      <ns0:c r="Z4" s="294" t="str">
        <ns0:v>Running Net Profit</ns0:v>
      </ns0:c>
    </ns0:row>
    <ns0:row r="5" ht="36" customHeight="1">
      <ns0:c r="A5" s="439"/>
      <ns0:c r="B5" s="449"/>
      <ns0:c r="C5" s="449"/>
      <ns0:c r="D5" s="450"/>
      <ns0:c r="E5" s="450"/>
      <ns0:c r="F5" s="450"/>
      <ns0:c r="G5" s="985"/>
      <ns0:c r="H5" s="451"/>
      <ns0:c r="I5" s="452"/>
      <ns0:c r="J5" s="452"/>
      <ns0:c r="K5" s="985"/>
      <ns0:c r="L5" s="450"/>
      <ns0:c r="M5" s="439"/>
      <ns0:c r="N5" s="987" t="str">
        <ns0:f>IF(COUNTA($A5:$M5)=0,"",IF(OR(LEFT(LOWER(TRIM($F5&amp;"")),12)="subscription",LOWER(TRIM($F5&amp;""))="membership"),"",IF(OR(AND($H5&lt;&gt;"",$H5=0),LEFT(LOWER(TRIM($F5&amp;"")),9)="free game",LOWER(TRIM($F5&amp;""))="free",LOWER(TRIM($F5&amp;""))="free entry"),IF(ISNUMBER($G5),IF(ISNUMBER(SEARCH("non",LOWER($E5&amp;""))),$G5*0.85,$G5),"N/A"),IF($G5="","",IFERROR(IF(ISNUMBER(SEARCH("non",LOWER($E5&amp;""))),$G5*0.85,$G5),"")))))</ns0:f>
        <ns0:v/>
      </ns0:c>
      <ns0:c r="O5" s="987" t="str">
        <ns0:f>IF(COUNTA($A5:$M5)=0,"",IF(OR(LEFT(LOWER(TRIM($F5&amp;"")),12)="subscription",LOWER(TRIM($F5&amp;""))="membership"),"",IF(OR(AND($H5&lt;&gt;"",$H5=0),LEFT(LOWER(TRIM($F5&amp;"")),9)="free game",LOWER(TRIM($F5&amp;""))="free",LOWER(TRIM($F5&amp;""))="free entry"),IF(OR(NOT(ISNUMBER($N5)),NOT(ISNUMBER($I5)),$I5=0),"N/A",IFERROR($N5/$I5,"N/A")),IF(OR($N5="",$I5="",$I5=0),"",IFERROR($N5/$I5,"")))))</ns0:f>
        <ns0:v/>
      </ns0:c>
      <ns0:c r="P5" s="987">
        <ns0:f>IF(COUNTA($A5:$M5)=0,"",IF(OR(LEFT(LOWER(TRIM($F5&amp;"")),12)="subscription",LOWER(TRIM($F5&amp;""))="membership"),"",IF(LOWER(TRIM($D5&amp;""))="estimate","N/A",IF(LOWER($L5&amp;"")="yes",0,IF(OR(AND($H5&lt;&gt;"",$H5=0),LEFT(LOWER(TRIM($F5&amp;"")),9)="free game",LOWER(TRIM($F5&amp;""))="free",LOWER(TRIM($F5&amp;""))="free entry"),IF(ISNUMBER($K5),$K5,""),IF($K5&lt;&gt;"",$K5,""))))))</ns0:f>
      </ns0:c>
      <ns0:c r="Q5" s="114">
        <ns0:f>IF(COUNTA($A5:$M5)=0,"",IF(OR($U5="Subscription",$U5=""),"",IF($U5="Estimate","N/A",IF($U5="Profit",ROUND(IFERROR($P5,0)-IFERROR($H5,0),2),0))))</ns0:f>
      </ns0:c>
      <ns0:c r="R5" s="114">
        <ns0:f>IF(COUNTA($A5:$M5)=0,"",IF(OR($U5="Subscription",$U5=""),"",IF($U5="Estimate","N/A",IF($U5="Draw",$H5,0))))</ns0:f>
      </ns0:c>
      <ns0:c r="S5" s="114">
        <ns0:f>IF(COUNTA($A5:$M5)=0,"",IF(OR($U5="Subscription",$U5=""),"",IF($U5="Estimate","N/A",IF($U5="Disqualified",$H5,0))))</ns0:f>
      </ns0:c>
      <ns0:c r="T5" s="955">
        <ns0:f>IF(COUNTA($A5:$M5)=0,"",IF(OR($U5="Subscription",$U5=""),"",IF($U5="Estimate","N/A",IF(OR($U5="Free Game",$U5="Disqualified — Free Game",$H5=0),"N/A",IF($U5="Profit",$Q5/$H5,IF($U5="Disqualified",-$S5/$H5,0))))))</ns0:f>
      </ns0:c>
      <ns0:c r="U5" s="920">
        <ns0:f>IF(COUNTA($A5:$M5)=0,"",IF(OR(LEFT(LOWER(TRIM($F5&amp;"")),12)="subscription",LOWER(TRIM($F5&amp;""))="membership"),"Subscription",IF(LOWER(TRIM($D5&amp;""))="estimate","Estimate",IF(OR(AND($H5&lt;&gt;"",$H5=0),LEFT(LOWER(TRIM($F5&amp;"")),9)="free game",LOWER(TRIM($F5&amp;""))="free",LOWER(TRIM($F5&amp;""))="free entry"),IF(LOWER($L5&amp;"")="yes","Disqualified — Free Game","Free Game"),IF(LOWER($L5&amp;"")="yes","Disqualified",IF($P5="","",IF(ROUND(IFERROR(VALUE($P5),0)-IFERROR(VALUE($H5),0),2)&gt;0,"Profit","Draw")))))))</ns0:f>
      </ns0:c>
      <ns0:c r="V5" s="956" t="str">
        <ns0:f>IF(COUNTA($A5:$M5)=0,"",IF(OR($B5="",$C5="",$U5="Subscription"),"",IFERROR(ROUNDUP(($C5-$B5)/7,0),"")))</ns0:f>
      </ns0:c>
      <ns0:c r="W5" s="114">
        <ns0:f>IF(COUNTA($A5:$M5)=0,"",IF(OR($U5="Subscription",$U5=""),"",IF($U5="Estimate","N/A",IF(OR($U5="Free Game",$U5="Disqualified — Free Game"),0,ROUND(IFERROR($Q5,0)-IFERROR($S5,0),2)))))</ns0:f>
      </ns0:c>
      <ns0:c r="X5" s="956" t="str">
        <ns0:f>IF(COUNTA($A5:$M5)=0,"",IF(OR($U5="Subscription",NOT(ISNUMBER($J5)),NOT(ISNUMBER($I5)),$J5=0,$I5=0,$I5&gt;$J5),"",$J5-$I5))</ns0:f>
      </ns0:c>
      <ns0:c r="Y5" s="955" t="str">
        <ns0:f>IF(COUNTA($A5:$M5)=0,"",IF(OR($U5="Subscription",NOT(ISNUMBER($J5)),$J5=0,$X5=""),"",$X5/$J5))</ns0:f>
      </ns0:c>
      <ns0:c r="Z5" s="957" t="str">
        <ns0:f>IF(COUNTA($A5:$M5)=0,"",Instructions!$B$29+SUM($W$5:W5))</ns0:f>
      </ns0:c>
    </ns0:row>
    <ns0:row r="6" ht="36" customHeight="1">
      <ns0:c r="A6" s="439"/>
      <ns0:c r="B6" s="453"/>
      <ns0:c r="C6" s="453"/>
      <ns0:c r="D6" s="454"/>
      <ns0:c r="E6" s="454"/>
      <ns0:c r="F6" s="454"/>
      <ns0:c r="G6" s="986"/>
      <ns0:c r="H6" s="455"/>
      <ns0:c r="I6" s="456"/>
      <ns0:c r="J6" s="456"/>
      <ns0:c r="K6" s="986"/>
      <ns0:c r="L6" s="454"/>
      <ns0:c r="M6" s="439"/>
      <ns0:c r="N6" s="987" t="str">
        <ns0:f>IF(COUNTA($A6:$M6)=0,"",IF(OR(LEFT(LOWER(TRIM($F6&amp;"")),12)="subscription",LOWER(TRIM($F6&amp;""))="membership"),"",IF(OR(AND($H6&lt;&gt;"",$H6=0),LEFT(LOWER(TRIM($F6&amp;"")),9)="free game",LOWER(TRIM($F6&amp;""))="free",LOWER(TRIM($F6&amp;""))="free entry"),IF(ISNUMBER($G6),IF(ISNUMBER(SEARCH("non",LOWER($E6&amp;""))),$G6*0.85,$G6),"N/A"),IF($G6="","",IFERROR(IF(ISNUMBER(SEARCH("non",LOWER($E6&amp;""))),$G6*0.85,$G6),"")))))</ns0:f>
        <ns0:v/>
      </ns0:c>
      <ns0:c r="O6" s="987" t="str">
        <ns0:f>IF(COUNTA($A6:$M6)=0,"",IF(OR(LEFT(LOWER(TRIM($F6&amp;"")),12)="subscription",LOWER(TRIM($F6&amp;""))="membership"),"",IF(OR(AND($H6&lt;&gt;"",$H6=0),LEFT(LOWER(TRIM($F6&amp;"")),9)="free game",LOWER(TRIM($F6&amp;""))="free",LOWER(TRIM($F6&amp;""))="free entry"),IF(OR(NOT(ISNUMBER($N6)),NOT(ISNUMBER($I6)),$I6=0),"N/A",IFERROR($N6/$I6,"N/A")),IF(OR($N6="",$I6="",$I6=0),"",IFERROR($N6/$I6,"")))))</ns0:f>
        <ns0:v/>
      </ns0:c>
      <ns0:c r="P6" s="987">
        <ns0:f>IF(COUNTA($A6:$M6)=0,"",IF(OR(LEFT(LOWER(TRIM($F6&amp;"")),12)="subscription",LOWER(TRIM($F6&amp;""))="membership"),"",IF(LOWER(TRIM($D6&amp;""))="estimate","N/A",IF(LOWER($L6&amp;"")="yes",0,IF(OR(AND($H6&lt;&gt;"",$H6=0),LEFT(LOWER(TRIM($F6&amp;"")),9)="free game",LOWER(TRIM($F6&amp;""))="free",LOWER(TRIM($F6&amp;""))="free entry"),IF(ISNUMBER($K6),$K6,""),IF($K6&lt;&gt;"",$K6,""))))))</ns0:f>
      </ns0:c>
      <ns0:c r="Q6" s="114">
        <ns0:f>IF(COUNTA($A6:$M6)=0,"",IF(OR($U6="Subscription",$U6=""),"",IF($U6="Estimate","N/A",IF($U6="Profit",ROUND(IFERROR($P6,0)-IFERROR($H6,0),2),0))))</ns0:f>
      </ns0:c>
      <ns0:c r="R6" s="114">
        <ns0:f>IF(COUNTA($A6:$M6)=0,"",IF(OR($U6="Subscription",$U6=""),"",IF($U6="Estimate","N/A",IF($U6="Draw",$H6,0))))</ns0:f>
      </ns0:c>
      <ns0:c r="S6" s="114">
        <ns0:f>IF(COUNTA($A6:$M6)=0,"",IF(OR($U6="Subscription",$U6=""),"",IF($U6="Estimate","N/A",IF($U6="Disqualified",$H6,0))))</ns0:f>
      </ns0:c>
      <ns0:c r="T6" s="955">
        <ns0:f>IF(COUNTA($A6:$M6)=0,"",IF(OR($U6="Subscription",$U6=""),"",IF($U6="Estimate","N/A",IF(OR($U6="Free Game",$U6="Disqualified — Free Game",$H6=0),"N/A",IF($U6="Profit",$Q6/$H6,IF($U6="Disqualified",-$S6/$H6,0))))))</ns0:f>
      </ns0:c>
      <ns0:c r="U6" s="920">
        <ns0:f>IF(COUNTA($A6:$M6)=0,"",IF(OR(LEFT(LOWER(TRIM($F6&amp;"")),12)="subscription",LOWER(TRIM($F6&amp;""))="membership"),"Subscription",IF(LOWER(TRIM($D6&amp;""))="estimate","Estimate",IF(OR(AND($H6&lt;&gt;"",$H6=0),LEFT(LOWER(TRIM($F6&amp;"")),9)="free game",LOWER(TRIM($F6&amp;""))="free",LOWER(TRIM($F6&amp;""))="free entry"),IF(LOWER($L6&amp;"")="yes","Disqualified — Free Game","Free Game"),IF(LOWER($L6&amp;"")="yes","Disqualified",IF($P6="","",IF(ROUND(IFERROR(VALUE($P6),0)-IFERROR(VALUE($H6),0),2)&gt;0,"Profit","Draw")))))))</ns0:f>
      </ns0:c>
      <ns0:c r="V6" s="956" t="str">
        <ns0:f>IF(COUNTA($A6:$M6)=0,"",IF(OR($B6="",$C6="",$U6="Subscription"),"",IFERROR(ROUNDUP(($C6-$B6)/7,0),"")))</ns0:f>
      </ns0:c>
      <ns0:c r="W6" s="114">
        <ns0:f>IF(COUNTA($A6:$M6)=0,"",IF(OR($U6="Subscription",$U6=""),"",IF($U6="Estimate","N/A",IF(OR($U6="Free Game",$U6="Disqualified — Free Game"),0,ROUND(IFERROR($Q6,0)-IFERROR($S6,0),2)))))</ns0:f>
      </ns0:c>
      <ns0:c r="X6" s="956" t="str">
        <ns0:f>IF(COUNTA($A6:$M6)=0,"",IF(OR($U6="Subscription",NOT(ISNUMBER($J6)),NOT(ISNUMBER($I6)),$J6=0,$I6=0,$I6&gt;$J6),"",$J6-$I6))</ns0:f>
      </ns0:c>
      <ns0:c r="Y6" s="955" t="str">
        <ns0:f>IF(COUNTA($A6:$M6)=0,"",IF(OR($U6="Subscription",NOT(ISNUMBER($J6)),$J6=0,$X6=""),"",$X6/$J6))</ns0:f>
      </ns0:c>
      <ns0:c r="Z6" s="957" t="str">
        <ns0:f>IF(COUNTA($A6:$M6)=0,"",Instructions!$B$29+SUM($W$5:W6))</ns0:f>
      </ns0:c>
    </ns0:row>
    <ns0:row r="7" ht="36" customHeight="1">
      <ns0:c r="A7" s="439"/>
      <ns0:c r="B7" s="453"/>
      <ns0:c r="C7" s="453"/>
      <ns0:c r="D7" s="454"/>
      <ns0:c r="E7" s="454"/>
      <ns0:c r="F7" s="454"/>
      <ns0:c r="G7" s="986"/>
      <ns0:c r="H7" s="455"/>
      <ns0:c r="I7" s="456"/>
      <ns0:c r="J7" s="456"/>
      <ns0:c r="K7" s="986"/>
      <ns0:c r="L7" s="454"/>
      <ns0:c r="M7" s="439"/>
      <ns0:c r="N7" s="987" t="str">
        <ns0:f>IF(COUNTA($A7:$M7)=0,"",IF(OR(LEFT(LOWER(TRIM($F7&amp;"")),12)="subscription",LOWER(TRIM($F7&amp;""))="membership"),"",IF(OR(AND($H7&lt;&gt;"",$H7=0),LEFT(LOWER(TRIM($F7&amp;"")),9)="free game",LOWER(TRIM($F7&amp;""))="free",LOWER(TRIM($F7&amp;""))="free entry"),IF(ISNUMBER($G7),IF(ISNUMBER(SEARCH("non",LOWER($E7&amp;""))),$G7*0.85,$G7),"N/A"),IF($G7="","",IFERROR(IF(ISNUMBER(SEARCH("non",LOWER($E7&amp;""))),$G7*0.85,$G7),"")))))</ns0:f>
        <ns0:v/>
      </ns0:c>
      <ns0:c r="O7" s="987" t="str">
        <ns0:f>IF(COUNTA($A7:$M7)=0,"",IF(OR(LEFT(LOWER(TRIM($F7&amp;"")),12)="subscription",LOWER(TRIM($F7&amp;""))="membership"),"",IF(OR(AND($H7&lt;&gt;"",$H7=0),LEFT(LOWER(TRIM($F7&amp;"")),9)="free game",LOWER(TRIM($F7&amp;""))="free",LOWER(TRIM($F7&amp;""))="free entry"),IF(OR(NOT(ISNUMBER($N7)),NOT(ISNUMBER($I7)),$I7=0),"N/A",IFERROR($N7/$I7,"N/A")),IF(OR($N7="",$I7="",$I7=0),"",IFERROR($N7/$I7,"")))))</ns0:f>
        <ns0:v/>
      </ns0:c>
      <ns0:c r="P7" s="987">
        <ns0:f>IF(COUNTA($A7:$M7)=0,"",IF(OR(LEFT(LOWER(TRIM($F7&amp;"")),12)="subscription",LOWER(TRIM($F7&amp;""))="membership"),"",IF(LOWER(TRIM($D7&amp;""))="estimate","N/A",IF(LOWER($L7&amp;"")="yes",0,IF(OR(AND($H7&lt;&gt;"",$H7=0),LEFT(LOWER(TRIM($F7&amp;"")),9)="free game",LOWER(TRIM($F7&amp;""))="free",LOWER(TRIM($F7&amp;""))="free entry"),IF(ISNUMBER($K7),$K7,""),IF($K7&lt;&gt;"",$K7,""))))))</ns0:f>
      </ns0:c>
      <ns0:c r="Q7" s="114">
        <ns0:f>IF(COUNTA($A7:$M7)=0,"",IF(OR($U7="Subscription",$U7=""),"",IF($U7="Estimate","N/A",IF($U7="Profit",ROUND(IFERROR($P7,0)-IFERROR($H7,0),2),0))))</ns0:f>
      </ns0:c>
      <ns0:c r="R7" s="114">
        <ns0:f>IF(COUNTA($A7:$M7)=0,"",IF(OR($U7="Subscription",$U7=""),"",IF($U7="Estimate","N/A",IF($U7="Draw",$H7,0))))</ns0:f>
      </ns0:c>
      <ns0:c r="S7" s="114">
        <ns0:f>IF(COUNTA($A7:$M7)=0,"",IF(OR($U7="Subscription",$U7=""),"",IF($U7="Estimate","N/A",IF($U7="Disqualified",$H7,0))))</ns0:f>
      </ns0:c>
      <ns0:c r="T7" s="955">
        <ns0:f>IF(COUNTA($A7:$M7)=0,"",IF(OR($U7="Subscription",$U7=""),"",IF($U7="Estimate","N/A",IF(OR($U7="Free Game",$U7="Disqualified — Free Game",$H7=0),"N/A",IF($U7="Profit",$Q7/$H7,IF($U7="Disqualified",-$S7/$H7,0))))))</ns0:f>
      </ns0:c>
      <ns0:c r="U7" s="920">
        <ns0:f>IF(COUNTA($A7:$M7)=0,"",IF(OR(LEFT(LOWER(TRIM($F7&amp;"")),12)="subscription",LOWER(TRIM($F7&amp;""))="membership"),"Subscription",IF(LOWER(TRIM($D7&amp;""))="estimate","Estimate",IF(OR(AND($H7&lt;&gt;"",$H7=0),LEFT(LOWER(TRIM($F7&amp;"")),9)="free game",LOWER(TRIM($F7&amp;""))="free",LOWER(TRIM($F7&amp;""))="free entry"),IF(LOWER($L7&amp;"")="yes","Disqualified — Free Game","Free Game"),IF(LOWER($L7&amp;"")="yes","Disqualified",IF($P7="","",IF(ROUND(IFERROR(VALUE($P7),0)-IFERROR(VALUE($H7),0),2)&gt;0,"Profit","Draw")))))))</ns0:f>
      </ns0:c>
      <ns0:c r="V7" s="956" t="str">
        <ns0:f>IF(COUNTA($A7:$M7)=0,"",IF(OR($B7="",$C7="",$U7="Subscription"),"",IFERROR(ROUNDUP(($C7-$B7)/7,0),"")))</ns0:f>
      </ns0:c>
      <ns0:c r="W7" s="114">
        <ns0:f>IF(COUNTA($A7:$M7)=0,"",IF(OR($U7="Subscription",$U7=""),"",IF($U7="Estimate","N/A",IF(OR($U7="Free Game",$U7="Disqualified — Free Game"),0,ROUND(IFERROR($Q7,0)-IFERROR($S7,0),2)))))</ns0:f>
      </ns0:c>
      <ns0:c r="X7" s="956" t="str">
        <ns0:f>IF(COUNTA($A7:$M7)=0,"",IF(OR($U7="Subscription",NOT(ISNUMBER($J7)),NOT(ISNUMBER($I7)),$J7=0,$I7=0,$I7&gt;$J7),"",$J7-$I7))</ns0:f>
      </ns0:c>
      <ns0:c r="Y7" s="955" t="str">
        <ns0:f>IF(COUNTA($A7:$M7)=0,"",IF(OR($U7="Subscription",NOT(ISNUMBER($J7)),$J7=0,$X7=""),"",$X7/$J7))</ns0:f>
      </ns0:c>
      <ns0:c r="Z7" s="957" t="str">
        <ns0:f>IF(COUNTA($A7:$M7)=0,"",Instructions!$B$29+SUM($W$5:W7))</ns0:f>
      </ns0:c>
    </ns0:row>
    <ns0:row r="8" ht="36" customHeight="1">
      <ns0:c r="A8" s="439"/>
      <ns0:c r="B8" s="453"/>
      <ns0:c r="C8" s="453"/>
      <ns0:c r="D8" s="454"/>
      <ns0:c r="E8" s="454"/>
      <ns0:c r="F8" s="454"/>
      <ns0:c r="G8" s="986"/>
      <ns0:c r="H8" s="455"/>
      <ns0:c r="I8" s="456"/>
      <ns0:c r="J8" s="456"/>
      <ns0:c r="K8" s="986"/>
      <ns0:c r="L8" s="454"/>
      <ns0:c r="M8" s="439"/>
      <ns0:c r="N8" s="987" t="str">
        <ns0:f>IF(COUNTA($A8:$M8)=0,"",IF(OR(LEFT(LOWER(TRIM($F8&amp;"")),12)="subscription",LOWER(TRIM($F8&amp;""))="membership"),"",IF(OR(AND($H8&lt;&gt;"",$H8=0),LEFT(LOWER(TRIM($F8&amp;"")),9)="free game",LOWER(TRIM($F8&amp;""))="free",LOWER(TRIM($F8&amp;""))="free entry"),IF(ISNUMBER($G8),IF(ISNUMBER(SEARCH("non",LOWER($E8&amp;""))),$G8*0.85,$G8),"N/A"),IF($G8="","",IFERROR(IF(ISNUMBER(SEARCH("non",LOWER($E8&amp;""))),$G8*0.85,$G8),"")))))</ns0:f>
        <ns0:v/>
      </ns0:c>
      <ns0:c r="O8" s="987" t="str">
        <ns0:f>IF(COUNTA($A8:$M8)=0,"",IF(OR(LEFT(LOWER(TRIM($F8&amp;"")),12)="subscription",LOWER(TRIM($F8&amp;""))="membership"),"",IF(OR(AND($H8&lt;&gt;"",$H8=0),LEFT(LOWER(TRIM($F8&amp;"")),9)="free game",LOWER(TRIM($F8&amp;""))="free",LOWER(TRIM($F8&amp;""))="free entry"),IF(OR(NOT(ISNUMBER($N8)),NOT(ISNUMBER($I8)),$I8=0),"N/A",IFERROR($N8/$I8,"N/A")),IF(OR($N8="",$I8="",$I8=0),"",IFERROR($N8/$I8,"")))))</ns0:f>
        <ns0:v/>
      </ns0:c>
      <ns0:c r="P8" s="987">
        <ns0:f>IF(COUNTA($A8:$M8)=0,"",IF(OR(LEFT(LOWER(TRIM($F8&amp;"")),12)="subscription",LOWER(TRIM($F8&amp;""))="membership"),"",IF(LOWER(TRIM($D8&amp;""))="estimate","N/A",IF(LOWER($L8&amp;"")="yes",0,IF(OR(AND($H8&lt;&gt;"",$H8=0),LEFT(LOWER(TRIM($F8&amp;"")),9)="free game",LOWER(TRIM($F8&amp;""))="free",LOWER(TRIM($F8&amp;""))="free entry"),IF(ISNUMBER($K8),$K8,""),IF($K8&lt;&gt;"",$K8,""))))))</ns0:f>
      </ns0:c>
      <ns0:c r="Q8" s="114">
        <ns0:f>IF(COUNTA($A8:$M8)=0,"",IF(OR($U8="Subscription",$U8=""),"",IF($U8="Estimate","N/A",IF($U8="Profit",ROUND(IFERROR($P8,0)-IFERROR($H8,0),2),0))))</ns0:f>
      </ns0:c>
      <ns0:c r="R8" s="114">
        <ns0:f>IF(COUNTA($A8:$M8)=0,"",IF(OR($U8="Subscription",$U8=""),"",IF($U8="Estimate","N/A",IF($U8="Draw",$H8,0))))</ns0:f>
      </ns0:c>
      <ns0:c r="S8" s="114">
        <ns0:f>IF(COUNTA($A8:$M8)=0,"",IF(OR($U8="Subscription",$U8=""),"",IF($U8="Estimate","N/A",IF($U8="Disqualified",$H8,0))))</ns0:f>
      </ns0:c>
      <ns0:c r="T8" s="955">
        <ns0:f>IF(COUNTA($A8:$M8)=0,"",IF(OR($U8="Subscription",$U8=""),"",IF($U8="Estimate","N/A",IF(OR($U8="Free Game",$U8="Disqualified — Free Game",$H8=0),"N/A",IF($U8="Profit",$Q8/$H8,IF($U8="Disqualified",-$S8/$H8,0))))))</ns0:f>
      </ns0:c>
      <ns0:c r="U8" s="920">
        <ns0:f>IF(COUNTA($A8:$M8)=0,"",IF(OR(LEFT(LOWER(TRIM($F8&amp;"")),12)="subscription",LOWER(TRIM($F8&amp;""))="membership"),"Subscription",IF(LOWER(TRIM($D8&amp;""))="estimate","Estimate",IF(OR(AND($H8&lt;&gt;"",$H8=0),LEFT(LOWER(TRIM($F8&amp;"")),9)="free game",LOWER(TRIM($F8&amp;""))="free",LOWER(TRIM($F8&amp;""))="free entry"),IF(LOWER($L8&amp;"")="yes","Disqualified — Free Game","Free Game"),IF(LOWER($L8&amp;"")="yes","Disqualified",IF($P8="","",IF(ROUND(IFERROR(VALUE($P8),0)-IFERROR(VALUE($H8),0),2)&gt;0,"Profit","Draw")))))))</ns0:f>
      </ns0:c>
      <ns0:c r="V8" s="956" t="str">
        <ns0:f>IF(COUNTA($A8:$M8)=0,"",IF(OR($B8="",$C8="",$U8="Subscription"),"",IFERROR(ROUNDUP(($C8-$B8)/7,0),"")))</ns0:f>
      </ns0:c>
      <ns0:c r="W8" s="114">
        <ns0:f>IF(COUNTA($A8:$M8)=0,"",IF(OR($U8="Subscription",$U8=""),"",IF($U8="Estimate","N/A",IF(OR($U8="Free Game",$U8="Disqualified — Free Game"),0,ROUND(IFERROR($Q8,0)-IFERROR($S8,0),2)))))</ns0:f>
      </ns0:c>
      <ns0:c r="X8" s="956" t="str">
        <ns0:f>IF(COUNTA($A8:$M8)=0,"",IF(OR($U8="Subscription",NOT(ISNUMBER($J8)),NOT(ISNUMBER($I8)),$J8=0,$I8=0,$I8&gt;$J8),"",$J8-$I8))</ns0:f>
      </ns0:c>
      <ns0:c r="Y8" s="955" t="str">
        <ns0:f>IF(COUNTA($A8:$M8)=0,"",IF(OR($U8="Subscription",NOT(ISNUMBER($J8)),$J8=0,$X8=""),"",$X8/$J8))</ns0:f>
      </ns0:c>
      <ns0:c r="Z8" s="957" t="str">
        <ns0:f>IF(COUNTA($A8:$M8)=0,"",Instructions!$B$29+SUM($W$5:W8))</ns0:f>
      </ns0:c>
    </ns0:row>
    <ns0:row r="9" ht="36" customHeight="1">
      <ns0:c r="A9" s="439"/>
      <ns0:c r="B9" s="453"/>
      <ns0:c r="C9" s="453"/>
      <ns0:c r="D9" s="454"/>
      <ns0:c r="E9" s="454"/>
      <ns0:c r="F9" s="454"/>
      <ns0:c r="G9" s="986"/>
      <ns0:c r="H9" s="455"/>
      <ns0:c r="I9" s="456"/>
      <ns0:c r="J9" s="456"/>
      <ns0:c r="K9" s="986"/>
      <ns0:c r="L9" s="454"/>
      <ns0:c r="M9" s="439"/>
      <ns0:c r="N9" s="987" t="str">
        <ns0:f>IF(COUNTA($A9:$M9)=0,"",IF(OR(LEFT(LOWER(TRIM($F9&amp;"")),12)="subscription",LOWER(TRIM($F9&amp;""))="membership"),"",IF(OR(AND($H9&lt;&gt;"",$H9=0),LEFT(LOWER(TRIM($F9&amp;"")),9)="free game",LOWER(TRIM($F9&amp;""))="free",LOWER(TRIM($F9&amp;""))="free entry"),IF(ISNUMBER($G9),IF(ISNUMBER(SEARCH("non",LOWER($E9&amp;""))),$G9*0.85,$G9),"N/A"),IF($G9="","",IFERROR(IF(ISNUMBER(SEARCH("non",LOWER($E9&amp;""))),$G9*0.85,$G9),"")))))</ns0:f>
        <ns0:v/>
      </ns0:c>
      <ns0:c r="O9" s="987" t="str">
        <ns0:f>IF(COUNTA($A9:$M9)=0,"",IF(OR(LEFT(LOWER(TRIM($F9&amp;"")),12)="subscription",LOWER(TRIM($F9&amp;""))="membership"),"",IF(OR(AND($H9&lt;&gt;"",$H9=0),LEFT(LOWER(TRIM($F9&amp;"")),9)="free game",LOWER(TRIM($F9&amp;""))="free",LOWER(TRIM($F9&amp;""))="free entry"),IF(OR(NOT(ISNUMBER($N9)),NOT(ISNUMBER($I9)),$I9=0),"N/A",IFERROR($N9/$I9,"N/A")),IF(OR($N9="",$I9="",$I9=0),"",IFERROR($N9/$I9,"")))))</ns0:f>
        <ns0:v/>
      </ns0:c>
      <ns0:c r="P9" s="987">
        <ns0:f>IF(COUNTA($A9:$M9)=0,"",IF(OR(LEFT(LOWER(TRIM($F9&amp;"")),12)="subscription",LOWER(TRIM($F9&amp;""))="membership"),"",IF(LOWER(TRIM($D9&amp;""))="estimate","N/A",IF(LOWER($L9&amp;"")="yes",0,IF(OR(AND($H9&lt;&gt;"",$H9=0),LEFT(LOWER(TRIM($F9&amp;"")),9)="free game",LOWER(TRIM($F9&amp;""))="free",LOWER(TRIM($F9&amp;""))="free entry"),IF(ISNUMBER($K9),$K9,""),IF($K9&lt;&gt;"",$K9,""))))))</ns0:f>
      </ns0:c>
      <ns0:c r="Q9" s="114">
        <ns0:f>IF(COUNTA($A9:$M9)=0,"",IF(OR($U9="Subscription",$U9=""),"",IF($U9="Estimate","N/A",IF($U9="Profit",ROUND(IFERROR($P9,0)-IFERROR($H9,0),2),0))))</ns0:f>
      </ns0:c>
      <ns0:c r="R9" s="114">
        <ns0:f>IF(COUNTA($A9:$M9)=0,"",IF(OR($U9="Subscription",$U9=""),"",IF($U9="Estimate","N/A",IF($U9="Draw",$H9,0))))</ns0:f>
      </ns0:c>
      <ns0:c r="S9" s="114">
        <ns0:f>IF(COUNTA($A9:$M9)=0,"",IF(OR($U9="Subscription",$U9=""),"",IF($U9="Estimate","N/A",IF($U9="Disqualified",$H9,0))))</ns0:f>
      </ns0:c>
      <ns0:c r="T9" s="955">
        <ns0:f>IF(COUNTA($A9:$M9)=0,"",IF(OR($U9="Subscription",$U9=""),"",IF($U9="Estimate","N/A",IF(OR($U9="Free Game",$U9="Disqualified — Free Game",$H9=0),"N/A",IF($U9="Profit",$Q9/$H9,IF($U9="Disqualified",-$S9/$H9,0))))))</ns0:f>
      </ns0:c>
      <ns0:c r="U9" s="920">
        <ns0:f>IF(COUNTA($A9:$M9)=0,"",IF(OR(LEFT(LOWER(TRIM($F9&amp;"")),12)="subscription",LOWER(TRIM($F9&amp;""))="membership"),"Subscription",IF(LOWER(TRIM($D9&amp;""))="estimate","Estimate",IF(OR(AND($H9&lt;&gt;"",$H9=0),LEFT(LOWER(TRIM($F9&amp;"")),9)="free game",LOWER(TRIM($F9&amp;""))="free",LOWER(TRIM($F9&amp;""))="free entry"),IF(LOWER($L9&amp;"")="yes","Disqualified — Free Game","Free Game"),IF(LOWER($L9&amp;"")="yes","Disqualified",IF($P9="","",IF(ROUND(IFERROR(VALUE($P9),0)-IFERROR(VALUE($H9),0),2)&gt;0,"Profit","Draw")))))))</ns0:f>
      </ns0:c>
      <ns0:c r="V9" s="956" t="str">
        <ns0:f>IF(COUNTA($A9:$M9)=0,"",IF(OR($B9="",$C9="",$U9="Subscription"),"",IFERROR(ROUNDUP(($C9-$B9)/7,0),"")))</ns0:f>
      </ns0:c>
      <ns0:c r="W9" s="114">
        <ns0:f>IF(COUNTA($A9:$M9)=0,"",IF(OR($U9="Subscription",$U9=""),"",IF($U9="Estimate","N/A",IF(OR($U9="Free Game",$U9="Disqualified — Free Game"),0,ROUND(IFERROR($Q9,0)-IFERROR($S9,0),2)))))</ns0:f>
      </ns0:c>
      <ns0:c r="X9" s="956" t="str">
        <ns0:f>IF(COUNTA($A9:$M9)=0,"",IF(OR($U9="Subscription",NOT(ISNUMBER($J9)),NOT(ISNUMBER($I9)),$J9=0,$I9=0,$I9&gt;$J9),"",$J9-$I9))</ns0:f>
      </ns0:c>
      <ns0:c r="Y9" s="955" t="str">
        <ns0:f>IF(COUNTA($A9:$M9)=0,"",IF(OR($U9="Subscription",NOT(ISNUMBER($J9)),$J9=0,$X9=""),"",$X9/$J9))</ns0:f>
      </ns0:c>
      <ns0:c r="Z9" s="957" t="str">
        <ns0:f>IF(COUNTA($A9:$M9)=0,"",Instructions!$B$29+SUM($W$5:W9))</ns0:f>
      </ns0:c>
    </ns0:row>
    <ns0:row r="10" ht="36" customHeight="1">
      <ns0:c r="A10" s="439"/>
      <ns0:c r="B10" s="453"/>
      <ns0:c r="C10" s="453"/>
      <ns0:c r="D10" s="454"/>
      <ns0:c r="E10" s="454"/>
      <ns0:c r="F10" s="454"/>
      <ns0:c r="G10" s="986"/>
      <ns0:c r="H10" s="455"/>
      <ns0:c r="I10" s="456"/>
      <ns0:c r="J10" s="456"/>
      <ns0:c r="K10" s="986"/>
      <ns0:c r="L10" s="454"/>
      <ns0:c r="M10" s="439"/>
      <ns0:c r="N10" s="987" t="str">
        <ns0:f>IF(COUNTA($A10:$M10)=0,"",IF(OR(LEFT(LOWER(TRIM($F10&amp;"")),12)="subscription",LOWER(TRIM($F10&amp;""))="membership"),"",IF(OR(AND($H10&lt;&gt;"",$H10=0),LEFT(LOWER(TRIM($F10&amp;"")),9)="free game",LOWER(TRIM($F10&amp;""))="free",LOWER(TRIM($F10&amp;""))="free entry"),IF(ISNUMBER($G10),IF(ISNUMBER(SEARCH("non",LOWER($E10&amp;""))),$G10*0.85,$G10),"N/A"),IF($G10="","",IFERROR(IF(ISNUMBER(SEARCH("non",LOWER($E10&amp;""))),$G10*0.85,$G10),"")))))</ns0:f>
        <ns0:v/>
      </ns0:c>
      <ns0:c r="O10" s="987" t="str">
        <ns0:f>IF(COUNTA($A10:$M10)=0,"",IF(OR(LEFT(LOWER(TRIM($F10&amp;"")),12)="subscription",LOWER(TRIM($F10&amp;""))="membership"),"",IF(OR(AND($H10&lt;&gt;"",$H10=0),LEFT(LOWER(TRIM($F10&amp;"")),9)="free game",LOWER(TRIM($F10&amp;""))="free",LOWER(TRIM($F10&amp;""))="free entry"),IF(OR(NOT(ISNUMBER($N10)),NOT(ISNUMBER($I10)),$I10=0),"N/A",IFERROR($N10/$I10,"N/A")),IF(OR($N10="",$I10="",$I10=0),"",IFERROR($N10/$I10,"")))))</ns0:f>
        <ns0:v/>
      </ns0:c>
      <ns0:c r="P10" s="987">
        <ns0:f>IF(COUNTA($A10:$M10)=0,"",IF(OR(LEFT(LOWER(TRIM($F10&amp;"")),12)="subscription",LOWER(TRIM($F10&amp;""))="membership"),"",IF(LOWER(TRIM($D10&amp;""))="estimate","N/A",IF(LOWER($L10&amp;"")="yes",0,IF(OR(AND($H10&lt;&gt;"",$H10=0),LEFT(LOWER(TRIM($F10&amp;"")),9)="free game",LOWER(TRIM($F10&amp;""))="free",LOWER(TRIM($F10&amp;""))="free entry"),IF(ISNUMBER($K10),$K10,""),IF($K10&lt;&gt;"",$K10,""))))))</ns0:f>
      </ns0:c>
      <ns0:c r="Q10" s="114">
        <ns0:f>IF(COUNTA($A10:$M10)=0,"",IF(OR($U10="Subscription",$U10=""),"",IF($U10="Estimate","N/A",IF($U10="Profit",ROUND(IFERROR($P10,0)-IFERROR($H10,0),2),0))))</ns0:f>
      </ns0:c>
      <ns0:c r="R10" s="114">
        <ns0:f>IF(COUNTA($A10:$M10)=0,"",IF(OR($U10="Subscription",$U10=""),"",IF($U10="Estimate","N/A",IF($U10="Draw",$H10,0))))</ns0:f>
      </ns0:c>
      <ns0:c r="S10" s="114">
        <ns0:f>IF(COUNTA($A10:$M10)=0,"",IF(OR($U10="Subscription",$U10=""),"",IF($U10="Estimate","N/A",IF($U10="Disqualified",$H10,0))))</ns0:f>
      </ns0:c>
      <ns0:c r="T10" s="955">
        <ns0:f>IF(COUNTA($A10:$M10)=0,"",IF(OR($U10="Subscription",$U10=""),"",IF($U10="Estimate","N/A",IF(OR($U10="Free Game",$U10="Disqualified — Free Game",$H10=0),"N/A",IF($U10="Profit",$Q10/$H10,IF($U10="Disqualified",-$S10/$H10,0))))))</ns0:f>
      </ns0:c>
      <ns0:c r="U10" s="920">
        <ns0:f>IF(COUNTA($A10:$M10)=0,"",IF(OR(LEFT(LOWER(TRIM($F10&amp;"")),12)="subscription",LOWER(TRIM($F10&amp;""))="membership"),"Subscription",IF(LOWER(TRIM($D10&amp;""))="estimate","Estimate",IF(OR(AND($H10&lt;&gt;"",$H10=0),LEFT(LOWER(TRIM($F10&amp;"")),9)="free game",LOWER(TRIM($F10&amp;""))="free",LOWER(TRIM($F10&amp;""))="free entry"),IF(LOWER($L10&amp;"")="yes","Disqualified — Free Game","Free Game"),IF(LOWER($L10&amp;"")="yes","Disqualified",IF($P10="","",IF(ROUND(IFERROR(VALUE($P10),0)-IFERROR(VALUE($H10),0),2)&gt;0,"Profit","Draw")))))))</ns0:f>
      </ns0:c>
      <ns0:c r="V10" s="956" t="str">
        <ns0:f>IF(COUNTA($A10:$M10)=0,"",IF(OR($B10="",$C10="",$U10="Subscription"),"",IFERROR(ROUNDUP(($C10-$B10)/7,0),"")))</ns0:f>
      </ns0:c>
      <ns0:c r="W10" s="114">
        <ns0:f>IF(COUNTA($A10:$M10)=0,"",IF(OR($U10="Subscription",$U10=""),"",IF($U10="Estimate","N/A",IF(OR($U10="Free Game",$U10="Disqualified — Free Game"),0,ROUND(IFERROR($Q10,0)-IFERROR($S10,0),2)))))</ns0:f>
      </ns0:c>
      <ns0:c r="X10" s="956" t="str">
        <ns0:f>IF(COUNTA($A10:$M10)=0,"",IF(OR($U10="Subscription",NOT(ISNUMBER($J10)),NOT(ISNUMBER($I10)),$J10=0,$I10=0,$I10&gt;$J10),"",$J10-$I10))</ns0:f>
      </ns0:c>
      <ns0:c r="Y10" s="955" t="str">
        <ns0:f>IF(COUNTA($A10:$M10)=0,"",IF(OR($U10="Subscription",NOT(ISNUMBER($J10)),$J10=0,$X10=""),"",$X10/$J10))</ns0:f>
      </ns0:c>
      <ns0:c r="Z10" s="957" t="str">
        <ns0:f>IF(COUNTA($A10:$M10)=0,"",Instructions!$B$29+SUM($W$5:W10))</ns0:f>
      </ns0:c>
    </ns0:row>
    <ns0:row r="11" ht="36" customHeight="1">
      <ns0:c r="A11" s="439"/>
      <ns0:c r="B11" s="453"/>
      <ns0:c r="C11" s="453"/>
      <ns0:c r="D11" s="454"/>
      <ns0:c r="E11" s="454"/>
      <ns0:c r="F11" s="454"/>
      <ns0:c r="G11" s="986"/>
      <ns0:c r="H11" s="455"/>
      <ns0:c r="I11" s="456"/>
      <ns0:c r="J11" s="456"/>
      <ns0:c r="K11" s="986"/>
      <ns0:c r="L11" s="454"/>
      <ns0:c r="M11" s="439"/>
      <ns0:c r="N11" s="987" t="str">
        <ns0:f>IF(COUNTA($A11:$M11)=0,"",IF(OR(LEFT(LOWER(TRIM($F11&amp;"")),12)="subscription",LOWER(TRIM($F11&amp;""))="membership"),"",IF(OR(AND($H11&lt;&gt;"",$H11=0),LEFT(LOWER(TRIM($F11&amp;"")),9)="free game",LOWER(TRIM($F11&amp;""))="free",LOWER(TRIM($F11&amp;""))="free entry"),IF(ISNUMBER($G11),IF(ISNUMBER(SEARCH("non",LOWER($E11&amp;""))),$G11*0.85,$G11),"N/A"),IF($G11="","",IFERROR(IF(ISNUMBER(SEARCH("non",LOWER($E11&amp;""))),$G11*0.85,$G11),"")))))</ns0:f>
        <ns0:v/>
      </ns0:c>
      <ns0:c r="O11" s="987" t="str">
        <ns0:f>IF(COUNTA($A11:$M11)=0,"",IF(OR(LEFT(LOWER(TRIM($F11&amp;"")),12)="subscription",LOWER(TRIM($F11&amp;""))="membership"),"",IF(OR(AND($H11&lt;&gt;"",$H11=0),LEFT(LOWER(TRIM($F11&amp;"")),9)="free game",LOWER(TRIM($F11&amp;""))="free",LOWER(TRIM($F11&amp;""))="free entry"),IF(OR(NOT(ISNUMBER($N11)),NOT(ISNUMBER($I11)),$I11=0),"N/A",IFERROR($N11/$I11,"N/A")),IF(OR($N11="",$I11="",$I11=0),"",IFERROR($N11/$I11,"")))))</ns0:f>
        <ns0:v/>
      </ns0:c>
      <ns0:c r="P11" s="987">
        <ns0:f>IF(COUNTA($A11:$M11)=0,"",IF(OR(LEFT(LOWER(TRIM($F11&amp;"")),12)="subscription",LOWER(TRIM($F11&amp;""))="membership"),"",IF(LOWER(TRIM($D11&amp;""))="estimate","N/A",IF(LOWER($L11&amp;"")="yes",0,IF(OR(AND($H11&lt;&gt;"",$H11=0),LEFT(LOWER(TRIM($F11&amp;"")),9)="free game",LOWER(TRIM($F11&amp;""))="free",LOWER(TRIM($F11&amp;""))="free entry"),IF(ISNUMBER($K11),$K11,""),IF($K11&lt;&gt;"",$K11,""))))))</ns0:f>
      </ns0:c>
      <ns0:c r="Q11" s="114">
        <ns0:f>IF(COUNTA($A11:$M11)=0,"",IF(OR($U11="Subscription",$U11=""),"",IF($U11="Estimate","N/A",IF($U11="Profit",ROUND(IFERROR($P11,0)-IFERROR($H11,0),2),0))))</ns0:f>
      </ns0:c>
      <ns0:c r="R11" s="114">
        <ns0:f>IF(COUNTA($A11:$M11)=0,"",IF(OR($U11="Subscription",$U11=""),"",IF($U11="Estimate","N/A",IF($U11="Draw",$H11,0))))</ns0:f>
      </ns0:c>
      <ns0:c r="S11" s="114">
        <ns0:f>IF(COUNTA($A11:$M11)=0,"",IF(OR($U11="Subscription",$U11=""),"",IF($U11="Estimate","N/A",IF($U11="Disqualified",$H11,0))))</ns0:f>
      </ns0:c>
      <ns0:c r="T11" s="955">
        <ns0:f>IF(COUNTA($A11:$M11)=0,"",IF(OR($U11="Subscription",$U11=""),"",IF($U11="Estimate","N/A",IF(OR($U11="Free Game",$U11="Disqualified — Free Game",$H11=0),"N/A",IF($U11="Profit",$Q11/$H11,IF($U11="Disqualified",-$S11/$H11,0))))))</ns0:f>
      </ns0:c>
      <ns0:c r="U11" s="920">
        <ns0:f>IF(COUNTA($A11:$M11)=0,"",IF(OR(LEFT(LOWER(TRIM($F11&amp;"")),12)="subscription",LOWER(TRIM($F11&amp;""))="membership"),"Subscription",IF(LOWER(TRIM($D11&amp;""))="estimate","Estimate",IF(OR(AND($H11&lt;&gt;"",$H11=0),LEFT(LOWER(TRIM($F11&amp;"")),9)="free game",LOWER(TRIM($F11&amp;""))="free",LOWER(TRIM($F11&amp;""))="free entry"),IF(LOWER($L11&amp;"")="yes","Disqualified — Free Game","Free Game"),IF(LOWER($L11&amp;"")="yes","Disqualified",IF($P11="","",IF(ROUND(IFERROR(VALUE($P11),0)-IFERROR(VALUE($H11),0),2)&gt;0,"Profit","Draw")))))))</ns0:f>
      </ns0:c>
      <ns0:c r="V11" s="956" t="str">
        <ns0:f>IF(COUNTA($A11:$M11)=0,"",IF(OR($B11="",$C11="",$U11="Subscription"),"",IFERROR(ROUNDUP(($C11-$B11)/7,0),"")))</ns0:f>
      </ns0:c>
      <ns0:c r="W11" s="114">
        <ns0:f>IF(COUNTA($A11:$M11)=0,"",IF(OR($U11="Subscription",$U11=""),"",IF($U11="Estimate","N/A",IF(OR($U11="Free Game",$U11="Disqualified — Free Game"),0,ROUND(IFERROR($Q11,0)-IFERROR($S11,0),2)))))</ns0:f>
      </ns0:c>
      <ns0:c r="X11" s="956" t="str">
        <ns0:f>IF(COUNTA($A11:$M11)=0,"",IF(OR($U11="Subscription",NOT(ISNUMBER($J11)),NOT(ISNUMBER($I11)),$J11=0,$I11=0,$I11&gt;$J11),"",$J11-$I11))</ns0:f>
      </ns0:c>
      <ns0:c r="Y11" s="955" t="str">
        <ns0:f>IF(COUNTA($A11:$M11)=0,"",IF(OR($U11="Subscription",NOT(ISNUMBER($J11)),$J11=0,$X11=""),"",$X11/$J11))</ns0:f>
      </ns0:c>
      <ns0:c r="Z11" s="957" t="str">
        <ns0:f>IF(COUNTA($A11:$M11)=0,"",Instructions!$B$29+SUM($W$5:W11))</ns0:f>
      </ns0:c>
    </ns0:row>
    <ns0:row r="12" ht="36" customHeight="1">
      <ns0:c r="A12" s="439"/>
      <ns0:c r="B12" s="453"/>
      <ns0:c r="C12" s="453"/>
      <ns0:c r="D12" s="454"/>
      <ns0:c r="E12" s="454"/>
      <ns0:c r="F12" s="454"/>
      <ns0:c r="G12" s="986"/>
      <ns0:c r="H12" s="455"/>
      <ns0:c r="I12" s="456"/>
      <ns0:c r="J12" s="456"/>
      <ns0:c r="K12" s="986"/>
      <ns0:c r="L12" s="454"/>
      <ns0:c r="M12" s="439"/>
      <ns0:c r="N12" s="987" t="str">
        <ns0:f>IF(COUNTA($A12:$M12)=0,"",IF(OR(LEFT(LOWER(TRIM($F12&amp;"")),12)="subscription",LOWER(TRIM($F12&amp;""))="membership"),"",IF(OR(AND($H12&lt;&gt;"",$H12=0),LEFT(LOWER(TRIM($F12&amp;"")),9)="free game",LOWER(TRIM($F12&amp;""))="free",LOWER(TRIM($F12&amp;""))="free entry"),IF(ISNUMBER($G12),IF(ISNUMBER(SEARCH("non",LOWER($E12&amp;""))),$G12*0.85,$G12),"N/A"),IF($G12="","",IFERROR(IF(ISNUMBER(SEARCH("non",LOWER($E12&amp;""))),$G12*0.85,$G12),"")))))</ns0:f>
        <ns0:v/>
      </ns0:c>
      <ns0:c r="O12" s="987" t="str">
        <ns0:f>IF(COUNTA($A12:$M12)=0,"",IF(OR(LEFT(LOWER(TRIM($F12&amp;"")),12)="subscription",LOWER(TRIM($F12&amp;""))="membership"),"",IF(OR(AND($H12&lt;&gt;"",$H12=0),LEFT(LOWER(TRIM($F12&amp;"")),9)="free game",LOWER(TRIM($F12&amp;""))="free",LOWER(TRIM($F12&amp;""))="free entry"),IF(OR(NOT(ISNUMBER($N12)),NOT(ISNUMBER($I12)),$I12=0),"N/A",IFERROR($N12/$I12,"N/A")),IF(OR($N12="",$I12="",$I12=0),"",IFERROR($N12/$I12,"")))))</ns0:f>
        <ns0:v/>
      </ns0:c>
      <ns0:c r="P12" s="987">
        <ns0:f>IF(COUNTA($A12:$M12)=0,"",IF(OR(LEFT(LOWER(TRIM($F12&amp;"")),12)="subscription",LOWER(TRIM($F12&amp;""))="membership"),"",IF(LOWER(TRIM($D12&amp;""))="estimate","N/A",IF(LOWER($L12&amp;"")="yes",0,IF(OR(AND($H12&lt;&gt;"",$H12=0),LEFT(LOWER(TRIM($F12&amp;"")),9)="free game",LOWER(TRIM($F12&amp;""))="free",LOWER(TRIM($F12&amp;""))="free entry"),IF(ISNUMBER($K12),$K12,""),IF($K12&lt;&gt;"",$K12,""))))))</ns0:f>
      </ns0:c>
      <ns0:c r="Q12" s="114">
        <ns0:f>IF(COUNTA($A12:$M12)=0,"",IF(OR($U12="Subscription",$U12=""),"",IF($U12="Estimate","N/A",IF($U12="Profit",ROUND(IFERROR($P12,0)-IFERROR($H12,0),2),0))))</ns0:f>
      </ns0:c>
      <ns0:c r="R12" s="114">
        <ns0:f>IF(COUNTA($A12:$M12)=0,"",IF(OR($U12="Subscription",$U12=""),"",IF($U12="Estimate","N/A",IF($U12="Draw",$H12,0))))</ns0:f>
      </ns0:c>
      <ns0:c r="S12" s="114">
        <ns0:f>IF(COUNTA($A12:$M12)=0,"",IF(OR($U12="Subscription",$U12=""),"",IF($U12="Estimate","N/A",IF($U12="Disqualified",$H12,0))))</ns0:f>
      </ns0:c>
      <ns0:c r="T12" s="955">
        <ns0:f>IF(COUNTA($A12:$M12)=0,"",IF(OR($U12="Subscription",$U12=""),"",IF($U12="Estimate","N/A",IF(OR($U12="Free Game",$U12="Disqualified — Free Game",$H12=0),"N/A",IF($U12="Profit",$Q12/$H12,IF($U12="Disqualified",-$S12/$H12,0))))))</ns0:f>
      </ns0:c>
      <ns0:c r="U12" s="920">
        <ns0:f>IF(COUNTA($A12:$M12)=0,"",IF(OR(LEFT(LOWER(TRIM($F12&amp;"")),12)="subscription",LOWER(TRIM($F12&amp;""))="membership"),"Subscription",IF(LOWER(TRIM($D12&amp;""))="estimate","Estimate",IF(OR(AND($H12&lt;&gt;"",$H12=0),LEFT(LOWER(TRIM($F12&amp;"")),9)="free game",LOWER(TRIM($F12&amp;""))="free",LOWER(TRIM($F12&amp;""))="free entry"),IF(LOWER($L12&amp;"")="yes","Disqualified — Free Game","Free Game"),IF(LOWER($L12&amp;"")="yes","Disqualified",IF($P12="","",IF(ROUND(IFERROR(VALUE($P12),0)-IFERROR(VALUE($H12),0),2)&gt;0,"Profit","Draw")))))))</ns0:f>
      </ns0:c>
      <ns0:c r="V12" s="956" t="str">
        <ns0:f>IF(COUNTA($A12:$M12)=0,"",IF(OR($B12="",$C12="",$U12="Subscription"),"",IFERROR(ROUNDUP(($C12-$B12)/7,0),"")))</ns0:f>
      </ns0:c>
      <ns0:c r="W12" s="114">
        <ns0:f>IF(COUNTA($A12:$M12)=0,"",IF(OR($U12="Subscription",$U12=""),"",IF($U12="Estimate","N/A",IF(OR($U12="Free Game",$U12="Disqualified — Free Game"),0,ROUND(IFERROR($Q12,0)-IFERROR($S12,0),2)))))</ns0:f>
      </ns0:c>
      <ns0:c r="X12" s="956" t="str">
        <ns0:f>IF(COUNTA($A12:$M12)=0,"",IF(OR($U12="Subscription",NOT(ISNUMBER($J12)),NOT(ISNUMBER($I12)),$J12=0,$I12=0,$I12&gt;$J12),"",$J12-$I12))</ns0:f>
      </ns0:c>
      <ns0:c r="Y12" s="955" t="str">
        <ns0:f>IF(COUNTA($A12:$M12)=0,"",IF(OR($U12="Subscription",NOT(ISNUMBER($J12)),$J12=0,$X12=""),"",$X12/$J12))</ns0:f>
      </ns0:c>
      <ns0:c r="Z12" s="957" t="str">
        <ns0:f>IF(COUNTA($A12:$M12)=0,"",Instructions!$B$29+SUM($W$5:W12))</ns0:f>
      </ns0:c>
    </ns0:row>
    <ns0:row r="13" ht="36" customHeight="1">
      <ns0:c r="A13" s="439"/>
      <ns0:c r="B13" s="453"/>
      <ns0:c r="C13" s="453"/>
      <ns0:c r="D13" s="454"/>
      <ns0:c r="E13" s="454"/>
      <ns0:c r="F13" s="454"/>
      <ns0:c r="G13" s="986"/>
      <ns0:c r="H13" s="455"/>
      <ns0:c r="I13" s="456"/>
      <ns0:c r="J13" s="456"/>
      <ns0:c r="K13" s="986"/>
      <ns0:c r="L13" s="454"/>
      <ns0:c r="M13" s="439"/>
      <ns0:c r="N13" s="987" t="str">
        <ns0:f>IF(COUNTA($A13:$M13)=0,"",IF(OR(LEFT(LOWER(TRIM($F13&amp;"")),12)="subscription",LOWER(TRIM($F13&amp;""))="membership"),"",IF(OR(AND($H13&lt;&gt;"",$H13=0),LEFT(LOWER(TRIM($F13&amp;"")),9)="free game",LOWER(TRIM($F13&amp;""))="free",LOWER(TRIM($F13&amp;""))="free entry"),IF(ISNUMBER($G13),IF(ISNUMBER(SEARCH("non",LOWER($E13&amp;""))),$G13*0.85,$G13),"N/A"),IF($G13="","",IFERROR(IF(ISNUMBER(SEARCH("non",LOWER($E13&amp;""))),$G13*0.85,$G13),"")))))</ns0:f>
        <ns0:v/>
      </ns0:c>
      <ns0:c r="O13" s="987" t="str">
        <ns0:f>IF(COUNTA($A13:$M13)=0,"",IF(OR(LEFT(LOWER(TRIM($F13&amp;"")),12)="subscription",LOWER(TRIM($F13&amp;""))="membership"),"",IF(OR(AND($H13&lt;&gt;"",$H13=0),LEFT(LOWER(TRIM($F13&amp;"")),9)="free game",LOWER(TRIM($F13&amp;""))="free",LOWER(TRIM($F13&amp;""))="free entry"),IF(OR(NOT(ISNUMBER($N13)),NOT(ISNUMBER($I13)),$I13=0),"N/A",IFERROR($N13/$I13,"N/A")),IF(OR($N13="",$I13="",$I13=0),"",IFERROR($N13/$I13,"")))))</ns0:f>
        <ns0:v/>
      </ns0:c>
      <ns0:c r="P13" s="987">
        <ns0:f>IF(COUNTA($A13:$M13)=0,"",IF(OR(LEFT(LOWER(TRIM($F13&amp;"")),12)="subscription",LOWER(TRIM($F13&amp;""))="membership"),"",IF(LOWER(TRIM($D13&amp;""))="estimate","N/A",IF(LOWER($L13&amp;"")="yes",0,IF(OR(AND($H13&lt;&gt;"",$H13=0),LEFT(LOWER(TRIM($F13&amp;"")),9)="free game",LOWER(TRIM($F13&amp;""))="free",LOWER(TRIM($F13&amp;""))="free entry"),IF(ISNUMBER($K13),$K13,""),IF($K13&lt;&gt;"",$K13,""))))))</ns0:f>
      </ns0:c>
      <ns0:c r="Q13" s="114">
        <ns0:f>IF(COUNTA($A13:$M13)=0,"",IF(OR($U13="Subscription",$U13=""),"",IF($U13="Estimate","N/A",IF($U13="Profit",ROUND(IFERROR($P13,0)-IFERROR($H13,0),2),0))))</ns0:f>
      </ns0:c>
      <ns0:c r="R13" s="114">
        <ns0:f>IF(COUNTA($A13:$M13)=0,"",IF(OR($U13="Subscription",$U13=""),"",IF($U13="Estimate","N/A",IF($U13="Draw",$H13,0))))</ns0:f>
      </ns0:c>
      <ns0:c r="S13" s="114">
        <ns0:f>IF(COUNTA($A13:$M13)=0,"",IF(OR($U13="Subscription",$U13=""),"",IF($U13="Estimate","N/A",IF($U13="Disqualified",$H13,0))))</ns0:f>
      </ns0:c>
      <ns0:c r="T13" s="955">
        <ns0:f>IF(COUNTA($A13:$M13)=0,"",IF(OR($U13="Subscription",$U13=""),"",IF($U13="Estimate","N/A",IF(OR($U13="Free Game",$U13="Disqualified — Free Game",$H13=0),"N/A",IF($U13="Profit",$Q13/$H13,IF($U13="Disqualified",-$S13/$H13,0))))))</ns0:f>
      </ns0:c>
      <ns0:c r="U13" s="920">
        <ns0:f>IF(COUNTA($A13:$M13)=0,"",IF(OR(LEFT(LOWER(TRIM($F13&amp;"")),12)="subscription",LOWER(TRIM($F13&amp;""))="membership"),"Subscription",IF(LOWER(TRIM($D13&amp;""))="estimate","Estimate",IF(OR(AND($H13&lt;&gt;"",$H13=0),LEFT(LOWER(TRIM($F13&amp;"")),9)="free game",LOWER(TRIM($F13&amp;""))="free",LOWER(TRIM($F13&amp;""))="free entry"),IF(LOWER($L13&amp;"")="yes","Disqualified — Free Game","Free Game"),IF(LOWER($L13&amp;"")="yes","Disqualified",IF($P13="","",IF(ROUND(IFERROR(VALUE($P13),0)-IFERROR(VALUE($H13),0),2)&gt;0,"Profit","Draw")))))))</ns0:f>
      </ns0:c>
      <ns0:c r="V13" s="956" t="str">
        <ns0:f>IF(COUNTA($A13:$M13)=0,"",IF(OR($B13="",$C13="",$U13="Subscription"),"",IFERROR(ROUNDUP(($C13-$B13)/7,0),"")))</ns0:f>
      </ns0:c>
      <ns0:c r="W13" s="114">
        <ns0:f>IF(COUNTA($A13:$M13)=0,"",IF(OR($U13="Subscription",$U13=""),"",IF($U13="Estimate","N/A",IF(OR($U13="Free Game",$U13="Disqualified — Free Game"),0,ROUND(IFERROR($Q13,0)-IFERROR($S13,0),2)))))</ns0:f>
      </ns0:c>
      <ns0:c r="X13" s="956" t="str">
        <ns0:f>IF(COUNTA($A13:$M13)=0,"",IF(OR($U13="Subscription",NOT(ISNUMBER($J13)),NOT(ISNUMBER($I13)),$J13=0,$I13=0,$I13&gt;$J13),"",$J13-$I13))</ns0:f>
      </ns0:c>
      <ns0:c r="Y13" s="955" t="str">
        <ns0:f>IF(COUNTA($A13:$M13)=0,"",IF(OR($U13="Subscription",NOT(ISNUMBER($J13)),$J13=0,$X13=""),"",$X13/$J13))</ns0:f>
      </ns0:c>
      <ns0:c r="Z13" s="957" t="str">
        <ns0:f>IF(COUNTA($A13:$M13)=0,"",Instructions!$B$29+SUM($W$5:W13))</ns0:f>
      </ns0:c>
    </ns0:row>
    <ns0:row r="14" ht="36" customHeight="1">
      <ns0:c r="A14" s="439"/>
      <ns0:c r="B14" s="453"/>
      <ns0:c r="C14" s="453"/>
      <ns0:c r="D14" s="454"/>
      <ns0:c r="E14" s="454"/>
      <ns0:c r="F14" s="454"/>
      <ns0:c r="G14" s="986"/>
      <ns0:c r="H14" s="455"/>
      <ns0:c r="I14" s="456"/>
      <ns0:c r="J14" s="456"/>
      <ns0:c r="K14" s="986"/>
      <ns0:c r="L14" s="454"/>
      <ns0:c r="M14" s="439"/>
      <ns0:c r="N14" s="987" t="str">
        <ns0:f>IF(COUNTA($A14:$M14)=0,"",IF(OR(LEFT(LOWER(TRIM($F14&amp;"")),12)="subscription",LOWER(TRIM($F14&amp;""))="membership"),"",IF(OR(AND($H14&lt;&gt;"",$H14=0),LEFT(LOWER(TRIM($F14&amp;"")),9)="free game",LOWER(TRIM($F14&amp;""))="free",LOWER(TRIM($F14&amp;""))="free entry"),IF(ISNUMBER($G14),IF(ISNUMBER(SEARCH("non",LOWER($E14&amp;""))),$G14*0.85,$G14),"N/A"),IF($G14="","",IFERROR(IF(ISNUMBER(SEARCH("non",LOWER($E14&amp;""))),$G14*0.85,$G14),"")))))</ns0:f>
        <ns0:v/>
      </ns0:c>
      <ns0:c r="O14" s="987" t="str">
        <ns0:f>IF(COUNTA($A14:$M14)=0,"",IF(OR(LEFT(LOWER(TRIM($F14&amp;"")),12)="subscription",LOWER(TRIM($F14&amp;""))="membership"),"",IF(OR(AND($H14&lt;&gt;"",$H14=0),LEFT(LOWER(TRIM($F14&amp;"")),9)="free game",LOWER(TRIM($F14&amp;""))="free",LOWER(TRIM($F14&amp;""))="free entry"),IF(OR(NOT(ISNUMBER($N14)),NOT(ISNUMBER($I14)),$I14=0),"N/A",IFERROR($N14/$I14,"N/A")),IF(OR($N14="",$I14="",$I14=0),"",IFERROR($N14/$I14,"")))))</ns0:f>
        <ns0:v/>
      </ns0:c>
      <ns0:c r="P14" s="987">
        <ns0:f>IF(COUNTA($A14:$M14)=0,"",IF(OR(LEFT(LOWER(TRIM($F14&amp;"")),12)="subscription",LOWER(TRIM($F14&amp;""))="membership"),"",IF(LOWER(TRIM($D14&amp;""))="estimate","N/A",IF(LOWER($L14&amp;"")="yes",0,IF(OR(AND($H14&lt;&gt;"",$H14=0),LEFT(LOWER(TRIM($F14&amp;"")),9)="free game",LOWER(TRIM($F14&amp;""))="free",LOWER(TRIM($F14&amp;""))="free entry"),IF(ISNUMBER($K14),$K14,""),IF($K14&lt;&gt;"",$K14,""))))))</ns0:f>
      </ns0:c>
      <ns0:c r="Q14" s="114">
        <ns0:f>IF(COUNTA($A14:$M14)=0,"",IF(OR($U14="Subscription",$U14=""),"",IF($U14="Estimate","N/A",IF($U14="Profit",ROUND(IFERROR($P14,0)-IFERROR($H14,0),2),0))))</ns0:f>
      </ns0:c>
      <ns0:c r="R14" s="114">
        <ns0:f>IF(COUNTA($A14:$M14)=0,"",IF(OR($U14="Subscription",$U14=""),"",IF($U14="Estimate","N/A",IF($U14="Draw",$H14,0))))</ns0:f>
      </ns0:c>
      <ns0:c r="S14" s="114">
        <ns0:f>IF(COUNTA($A14:$M14)=0,"",IF(OR($U14="Subscription",$U14=""),"",IF($U14="Estimate","N/A",IF($U14="Disqualified",$H14,0))))</ns0:f>
      </ns0:c>
      <ns0:c r="T14" s="955">
        <ns0:f>IF(COUNTA($A14:$M14)=0,"",IF(OR($U14="Subscription",$U14=""),"",IF($U14="Estimate","N/A",IF(OR($U14="Free Game",$U14="Disqualified — Free Game",$H14=0),"N/A",IF($U14="Profit",$Q14/$H14,IF($U14="Disqualified",-$S14/$H14,0))))))</ns0:f>
      </ns0:c>
      <ns0:c r="U14" s="920">
        <ns0:f>IF(COUNTA($A14:$M14)=0,"",IF(OR(LEFT(LOWER(TRIM($F14&amp;"")),12)="subscription",LOWER(TRIM($F14&amp;""))="membership"),"Subscription",IF(LOWER(TRIM($D14&amp;""))="estimate","Estimate",IF(OR(AND($H14&lt;&gt;"",$H14=0),LEFT(LOWER(TRIM($F14&amp;"")),9)="free game",LOWER(TRIM($F14&amp;""))="free",LOWER(TRIM($F14&amp;""))="free entry"),IF(LOWER($L14&amp;"")="yes","Disqualified — Free Game","Free Game"),IF(LOWER($L14&amp;"")="yes","Disqualified",IF($P14="","",IF(ROUND(IFERROR(VALUE($P14),0)-IFERROR(VALUE($H14),0),2)&gt;0,"Profit","Draw")))))))</ns0:f>
      </ns0:c>
      <ns0:c r="V14" s="956" t="str">
        <ns0:f>IF(COUNTA($A14:$M14)=0,"",IF(OR($B14="",$C14="",$U14="Subscription"),"",IFERROR(ROUNDUP(($C14-$B14)/7,0),"")))</ns0:f>
      </ns0:c>
      <ns0:c r="W14" s="114">
        <ns0:f>IF(COUNTA($A14:$M14)=0,"",IF(OR($U14="Subscription",$U14=""),"",IF($U14="Estimate","N/A",IF(OR($U14="Free Game",$U14="Disqualified — Free Game"),0,ROUND(IFERROR($Q14,0)-IFERROR($S14,0),2)))))</ns0:f>
      </ns0:c>
      <ns0:c r="X14" s="956" t="str">
        <ns0:f>IF(COUNTA($A14:$M14)=0,"",IF(OR($U14="Subscription",NOT(ISNUMBER($J14)),NOT(ISNUMBER($I14)),$J14=0,$I14=0,$I14&gt;$J14),"",$J14-$I14))</ns0:f>
      </ns0:c>
      <ns0:c r="Y14" s="955" t="str">
        <ns0:f>IF(COUNTA($A14:$M14)=0,"",IF(OR($U14="Subscription",NOT(ISNUMBER($J14)),$J14=0,$X14=""),"",$X14/$J14))</ns0:f>
      </ns0:c>
      <ns0:c r="Z14" s="957" t="str">
        <ns0:f>IF(COUNTA($A14:$M14)=0,"",Instructions!$B$29+SUM($W$5:W14))</ns0:f>
      </ns0:c>
    </ns0:row>
    <ns0:row r="15" ht="36" customHeight="1">
      <ns0:c r="A15" s="439"/>
      <ns0:c r="B15" s="453"/>
      <ns0:c r="C15" s="453"/>
      <ns0:c r="D15" s="454"/>
      <ns0:c r="E15" s="454"/>
      <ns0:c r="F15" s="454"/>
      <ns0:c r="G15" s="986"/>
      <ns0:c r="H15" s="455"/>
      <ns0:c r="I15" s="456"/>
      <ns0:c r="J15" s="456"/>
      <ns0:c r="K15" s="986"/>
      <ns0:c r="L15" s="454"/>
      <ns0:c r="M15" s="439"/>
      <ns0:c r="N15" s="987" t="str">
        <ns0:f>IF(COUNTA($A15:$M15)=0,"",IF(OR(LEFT(LOWER(TRIM($F15&amp;"")),12)="subscription",LOWER(TRIM($F15&amp;""))="membership"),"",IF(OR(AND($H15&lt;&gt;"",$H15=0),LEFT(LOWER(TRIM($F15&amp;"")),9)="free game",LOWER(TRIM($F15&amp;""))="free",LOWER(TRIM($F15&amp;""))="free entry"),IF(ISNUMBER($G15),IF(ISNUMBER(SEARCH("non",LOWER($E15&amp;""))),$G15*0.85,$G15),"N/A"),IF($G15="","",IFERROR(IF(ISNUMBER(SEARCH("non",LOWER($E15&amp;""))),$G15*0.85,$G15),"")))))</ns0:f>
        <ns0:v/>
      </ns0:c>
      <ns0:c r="O15" s="987" t="str">
        <ns0:f>IF(COUNTA($A15:$M15)=0,"",IF(OR(LEFT(LOWER(TRIM($F15&amp;"")),12)="subscription",LOWER(TRIM($F15&amp;""))="membership"),"",IF(OR(AND($H15&lt;&gt;"",$H15=0),LEFT(LOWER(TRIM($F15&amp;"")),9)="free game",LOWER(TRIM($F15&amp;""))="free",LOWER(TRIM($F15&amp;""))="free entry"),IF(OR(NOT(ISNUMBER($N15)),NOT(ISNUMBER($I15)),$I15=0),"N/A",IFERROR($N15/$I15,"N/A")),IF(OR($N15="",$I15="",$I15=0),"",IFERROR($N15/$I15,"")))))</ns0:f>
        <ns0:v/>
      </ns0:c>
      <ns0:c r="P15" s="987">
        <ns0:f>IF(COUNTA($A15:$M15)=0,"",IF(OR(LEFT(LOWER(TRIM($F15&amp;"")),12)="subscription",LOWER(TRIM($F15&amp;""))="membership"),"",IF(LOWER(TRIM($D15&amp;""))="estimate","N/A",IF(LOWER($L15&amp;"")="yes",0,IF(OR(AND($H15&lt;&gt;"",$H15=0),LEFT(LOWER(TRIM($F15&amp;"")),9)="free game",LOWER(TRIM($F15&amp;""))="free",LOWER(TRIM($F15&amp;""))="free entry"),IF(ISNUMBER($K15),$K15,""),IF($K15&lt;&gt;"",$K15,""))))))</ns0:f>
      </ns0:c>
      <ns0:c r="Q15" s="114">
        <ns0:f>IF(COUNTA($A15:$M15)=0,"",IF(OR($U15="Subscription",$U15=""),"",IF($U15="Estimate","N/A",IF($U15="Profit",ROUND(IFERROR($P15,0)-IFERROR($H15,0),2),0))))</ns0:f>
      </ns0:c>
      <ns0:c r="R15" s="114">
        <ns0:f>IF(COUNTA($A15:$M15)=0,"",IF(OR($U15="Subscription",$U15=""),"",IF($U15="Estimate","N/A",IF($U15="Draw",$H15,0))))</ns0:f>
      </ns0:c>
      <ns0:c r="S15" s="114">
        <ns0:f>IF(COUNTA($A15:$M15)=0,"",IF(OR($U15="Subscription",$U15=""),"",IF($U15="Estimate","N/A",IF($U15="Disqualified",$H15,0))))</ns0:f>
      </ns0:c>
      <ns0:c r="T15" s="955">
        <ns0:f>IF(COUNTA($A15:$M15)=0,"",IF(OR($U15="Subscription",$U15=""),"",IF($U15="Estimate","N/A",IF(OR($U15="Free Game",$U15="Disqualified — Free Game",$H15=0),"N/A",IF($U15="Profit",$Q15/$H15,IF($U15="Disqualified",-$S15/$H15,0))))))</ns0:f>
      </ns0:c>
      <ns0:c r="U15" s="920">
        <ns0:f>IF(COUNTA($A15:$M15)=0,"",IF(OR(LEFT(LOWER(TRIM($F15&amp;"")),12)="subscription",LOWER(TRIM($F15&amp;""))="membership"),"Subscription",IF(LOWER(TRIM($D15&amp;""))="estimate","Estimate",IF(OR(AND($H15&lt;&gt;"",$H15=0),LEFT(LOWER(TRIM($F15&amp;"")),9)="free game",LOWER(TRIM($F15&amp;""))="free",LOWER(TRIM($F15&amp;""))="free entry"),IF(LOWER($L15&amp;"")="yes","Disqualified — Free Game","Free Game"),IF(LOWER($L15&amp;"")="yes","Disqualified",IF($P15="","",IF(ROUND(IFERROR(VALUE($P15),0)-IFERROR(VALUE($H15),0),2)&gt;0,"Profit","Draw")))))))</ns0:f>
      </ns0:c>
      <ns0:c r="V15" s="956" t="str">
        <ns0:f>IF(COUNTA($A15:$M15)=0,"",IF(OR($B15="",$C15="",$U15="Subscription"),"",IFERROR(ROUNDUP(($C15-$B15)/7,0),"")))</ns0:f>
      </ns0:c>
      <ns0:c r="W15" s="114">
        <ns0:f>IF(COUNTA($A15:$M15)=0,"",IF(OR($U15="Subscription",$U15=""),"",IF($U15="Estimate","N/A",IF(OR($U15="Free Game",$U15="Disqualified — Free Game"),0,ROUND(IFERROR($Q15,0)-IFERROR($S15,0),2)))))</ns0:f>
      </ns0:c>
      <ns0:c r="X15" s="956" t="str">
        <ns0:f>IF(COUNTA($A15:$M15)=0,"",IF(OR($U15="Subscription",NOT(ISNUMBER($J15)),NOT(ISNUMBER($I15)),$J15=0,$I15=0,$I15&gt;$J15),"",$J15-$I15))</ns0:f>
      </ns0:c>
      <ns0:c r="Y15" s="955" t="str">
        <ns0:f>IF(COUNTA($A15:$M15)=0,"",IF(OR($U15="Subscription",NOT(ISNUMBER($J15)),$J15=0,$X15=""),"",$X15/$J15))</ns0:f>
      </ns0:c>
      <ns0:c r="Z15" s="957" t="str">
        <ns0:f>IF(COUNTA($A15:$M15)=0,"",Instructions!$B$29+SUM($W$5:W15))</ns0:f>
      </ns0:c>
    </ns0:row>
    <ns0:row r="16" ht="36" customHeight="1">
      <ns0:c r="A16" s="439"/>
      <ns0:c r="B16" s="453"/>
      <ns0:c r="C16" s="453"/>
      <ns0:c r="D16" s="454"/>
      <ns0:c r="E16" s="454"/>
      <ns0:c r="F16" s="454"/>
      <ns0:c r="G16" s="986"/>
      <ns0:c r="H16" s="455"/>
      <ns0:c r="I16" s="456"/>
      <ns0:c r="J16" s="456"/>
      <ns0:c r="K16" s="986"/>
      <ns0:c r="L16" s="454"/>
      <ns0:c r="M16" s="439"/>
      <ns0:c r="N16" s="987" t="str">
        <ns0:f>IF(COUNTA($A16:$M16)=0,"",IF(OR(LEFT(LOWER(TRIM($F16&amp;"")),12)="subscription",LOWER(TRIM($F16&amp;""))="membership"),"",IF(OR(AND($H16&lt;&gt;"",$H16=0),LEFT(LOWER(TRIM($F16&amp;"")),9)="free game",LOWER(TRIM($F16&amp;""))="free",LOWER(TRIM($F16&amp;""))="free entry"),IF(ISNUMBER($G16),IF(ISNUMBER(SEARCH("non",LOWER($E16&amp;""))),$G16*0.85,$G16),"N/A"),IF($G16="","",IFERROR(IF(ISNUMBER(SEARCH("non",LOWER($E16&amp;""))),$G16*0.85,$G16),"")))))</ns0:f>
        <ns0:v/>
      </ns0:c>
      <ns0:c r="O16" s="987" t="str">
        <ns0:f>IF(COUNTA($A16:$M16)=0,"",IF(OR(LEFT(LOWER(TRIM($F16&amp;"")),12)="subscription",LOWER(TRIM($F16&amp;""))="membership"),"",IF(OR(AND($H16&lt;&gt;"",$H16=0),LEFT(LOWER(TRIM($F16&amp;"")),9)="free game",LOWER(TRIM($F16&amp;""))="free",LOWER(TRIM($F16&amp;""))="free entry"),IF(OR(NOT(ISNUMBER($N16)),NOT(ISNUMBER($I16)),$I16=0),"N/A",IFERROR($N16/$I16,"N/A")),IF(OR($N16="",$I16="",$I16=0),"",IFERROR($N16/$I16,"")))))</ns0:f>
        <ns0:v/>
      </ns0:c>
      <ns0:c r="P16" s="987">
        <ns0:f>IF(COUNTA($A16:$M16)=0,"",IF(OR(LEFT(LOWER(TRIM($F16&amp;"")),12)="subscription",LOWER(TRIM($F16&amp;""))="membership"),"",IF(LOWER(TRIM($D16&amp;""))="estimate","N/A",IF(LOWER($L16&amp;"")="yes",0,IF(OR(AND($H16&lt;&gt;"",$H16=0),LEFT(LOWER(TRIM($F16&amp;"")),9)="free game",LOWER(TRIM($F16&amp;""))="free",LOWER(TRIM($F16&amp;""))="free entry"),IF(ISNUMBER($K16),$K16,""),IF($K16&lt;&gt;"",$K16,""))))))</ns0:f>
      </ns0:c>
      <ns0:c r="Q16" s="114">
        <ns0:f>IF(COUNTA($A16:$M16)=0,"",IF(OR($U16="Subscription",$U16=""),"",IF($U16="Estimate","N/A",IF($U16="Profit",ROUND(IFERROR($P16,0)-IFERROR($H16,0),2),0))))</ns0:f>
      </ns0:c>
      <ns0:c r="R16" s="114">
        <ns0:f>IF(COUNTA($A16:$M16)=0,"",IF(OR($U16="Subscription",$U16=""),"",IF($U16="Estimate","N/A",IF($U16="Draw",$H16,0))))</ns0:f>
      </ns0:c>
      <ns0:c r="S16" s="114">
        <ns0:f>IF(COUNTA($A16:$M16)=0,"",IF(OR($U16="Subscription",$U16=""),"",IF($U16="Estimate","N/A",IF($U16="Disqualified",$H16,0))))</ns0:f>
      </ns0:c>
      <ns0:c r="T16" s="955">
        <ns0:f>IF(COUNTA($A16:$M16)=0,"",IF(OR($U16="Subscription",$U16=""),"",IF($U16="Estimate","N/A",IF(OR($U16="Free Game",$U16="Disqualified — Free Game",$H16=0),"N/A",IF($U16="Profit",$Q16/$H16,IF($U16="Disqualified",-$S16/$H16,0))))))</ns0:f>
      </ns0:c>
      <ns0:c r="U16" s="920">
        <ns0:f>IF(COUNTA($A16:$M16)=0,"",IF(OR(LEFT(LOWER(TRIM($F16&amp;"")),12)="subscription",LOWER(TRIM($F16&amp;""))="membership"),"Subscription",IF(LOWER(TRIM($D16&amp;""))="estimate","Estimate",IF(OR(AND($H16&lt;&gt;"",$H16=0),LEFT(LOWER(TRIM($F16&amp;"")),9)="free game",LOWER(TRIM($F16&amp;""))="free",LOWER(TRIM($F16&amp;""))="free entry"),IF(LOWER($L16&amp;"")="yes","Disqualified — Free Game","Free Game"),IF(LOWER($L16&amp;"")="yes","Disqualified",IF($P16="","",IF(ROUND(IFERROR(VALUE($P16),0)-IFERROR(VALUE($H16),0),2)&gt;0,"Profit","Draw")))))))</ns0:f>
      </ns0:c>
      <ns0:c r="V16" s="956" t="str">
        <ns0:f>IF(COUNTA($A16:$M16)=0,"",IF(OR($B16="",$C16="",$U16="Subscription"),"",IFERROR(ROUNDUP(($C16-$B16)/7,0),"")))</ns0:f>
      </ns0:c>
      <ns0:c r="W16" s="114">
        <ns0:f>IF(COUNTA($A16:$M16)=0,"",IF(OR($U16="Subscription",$U16=""),"",IF($U16="Estimate","N/A",IF(OR($U16="Free Game",$U16="Disqualified — Free Game"),0,ROUND(IFERROR($Q16,0)-IFERROR($S16,0),2)))))</ns0:f>
      </ns0:c>
      <ns0:c r="X16" s="956" t="str">
        <ns0:f>IF(COUNTA($A16:$M16)=0,"",IF(OR($U16="Subscription",NOT(ISNUMBER($J16)),NOT(ISNUMBER($I16)),$J16=0,$I16=0,$I16&gt;$J16),"",$J16-$I16))</ns0:f>
      </ns0:c>
      <ns0:c r="Y16" s="955" t="str">
        <ns0:f>IF(COUNTA($A16:$M16)=0,"",IF(OR($U16="Subscription",NOT(ISNUMBER($J16)),$J16=0,$X16=""),"",$X16/$J16))</ns0:f>
      </ns0:c>
      <ns0:c r="Z16" s="957" t="str">
        <ns0:f>IF(COUNTA($A16:$M16)=0,"",Instructions!$B$29+SUM($W$5:W16))</ns0:f>
      </ns0:c>
    </ns0:row>
    <ns0:row r="17" ht="45" customHeight="1">
      <ns0:c r="A17" s="439"/>
      <ns0:c r="B17" s="453"/>
      <ns0:c r="C17" s="453"/>
      <ns0:c r="D17" s="454"/>
      <ns0:c r="E17" s="454"/>
      <ns0:c r="F17" s="454"/>
      <ns0:c r="G17" s="986"/>
      <ns0:c r="H17" s="455"/>
      <ns0:c r="I17" s="456"/>
      <ns0:c r="J17" s="456"/>
      <ns0:c r="K17" s="986"/>
      <ns0:c r="L17" s="454"/>
      <ns0:c r="M17" s="439"/>
      <ns0:c r="N17" s="987" t="str">
        <ns0:f>IF(COUNTA($A17:$M17)=0,"",IF(OR(LEFT(LOWER(TRIM($F17&amp;"")),12)="subscription",LOWER(TRIM($F17&amp;""))="membership"),"",IF(OR(AND($H17&lt;&gt;"",$H17=0),LEFT(LOWER(TRIM($F17&amp;"")),9)="free game",LOWER(TRIM($F17&amp;""))="free",LOWER(TRIM($F17&amp;""))="free entry"),IF(ISNUMBER($G17),IF(ISNUMBER(SEARCH("non",LOWER($E17&amp;""))),$G17*0.85,$G17),"N/A"),IF($G17="","",IFERROR(IF(ISNUMBER(SEARCH("non",LOWER($E17&amp;""))),$G17*0.85,$G17),"")))))</ns0:f>
        <ns0:v/>
      </ns0:c>
      <ns0:c r="O17" s="987" t="str">
        <ns0:f>IF(COUNTA($A17:$M17)=0,"",IF(OR(LEFT(LOWER(TRIM($F17&amp;"")),12)="subscription",LOWER(TRIM($F17&amp;""))="membership"),"",IF(OR(AND($H17&lt;&gt;"",$H17=0),LEFT(LOWER(TRIM($F17&amp;"")),9)="free game",LOWER(TRIM($F17&amp;""))="free",LOWER(TRIM($F17&amp;""))="free entry"),IF(OR(NOT(ISNUMBER($N17)),NOT(ISNUMBER($I17)),$I17=0),"N/A",IFERROR($N17/$I17,"N/A")),IF(OR($N17="",$I17="",$I17=0),"",IFERROR($N17/$I17,"")))))</ns0:f>
        <ns0:v/>
      </ns0:c>
      <ns0:c r="P17" s="987">
        <ns0:f>IF(COUNTA($A17:$M17)=0,"",IF(OR(LEFT(LOWER(TRIM($F17&amp;"")),12)="subscription",LOWER(TRIM($F17&amp;""))="membership"),"",IF(LOWER(TRIM($D17&amp;""))="estimate","N/A",IF(LOWER($L17&amp;"")="yes",0,IF(OR(AND($H17&lt;&gt;"",$H17=0),LEFT(LOWER(TRIM($F17&amp;"")),9)="free game",LOWER(TRIM($F17&amp;""))="free",LOWER(TRIM($F17&amp;""))="free entry"),IF(ISNUMBER($K17),$K17,""),IF($K17&lt;&gt;"",$K17,""))))))</ns0:f>
      </ns0:c>
      <ns0:c r="Q17" s="114">
        <ns0:f>IF(COUNTA($A17:$M17)=0,"",IF(OR($U17="Subscription",$U17=""),"",IF($U17="Estimate","N/A",IF($U17="Profit",ROUND(IFERROR($P17,0)-IFERROR($H17,0),2),0))))</ns0:f>
      </ns0:c>
      <ns0:c r="R17" s="114">
        <ns0:f>IF(COUNTA($A17:$M17)=0,"",IF(OR($U17="Subscription",$U17=""),"",IF($U17="Estimate","N/A",IF($U17="Draw",$H17,0))))</ns0:f>
      </ns0:c>
      <ns0:c r="S17" s="114">
        <ns0:f>IF(COUNTA($A17:$M17)=0,"",IF(OR($U17="Subscription",$U17=""),"",IF($U17="Estimate","N/A",IF($U17="Disqualified",$H17,0))))</ns0:f>
      </ns0:c>
      <ns0:c r="T17" s="955">
        <ns0:f>IF(COUNTA($A17:$M17)=0,"",IF(OR($U17="Subscription",$U17=""),"",IF($U17="Estimate","N/A",IF(OR($U17="Free Game",$U17="Disqualified — Free Game",$H17=0),"N/A",IF($U17="Profit",$Q17/$H17,IF($U17="Disqualified",-$S17/$H17,0))))))</ns0:f>
      </ns0:c>
      <ns0:c r="U17" s="920">
        <ns0:f>IF(COUNTA($A17:$M17)=0,"",IF(OR(LEFT(LOWER(TRIM($F17&amp;"")),12)="subscription",LOWER(TRIM($F17&amp;""))="membership"),"Subscription",IF(LOWER(TRIM($D17&amp;""))="estimate","Estimate",IF(OR(AND($H17&lt;&gt;"",$H17=0),LEFT(LOWER(TRIM($F17&amp;"")),9)="free game",LOWER(TRIM($F17&amp;""))="free",LOWER(TRIM($F17&amp;""))="free entry"),IF(LOWER($L17&amp;"")="yes","Disqualified — Free Game","Free Game"),IF(LOWER($L17&amp;"")="yes","Disqualified",IF($P17="","",IF(ROUND(IFERROR(VALUE($P17),0)-IFERROR(VALUE($H17),0),2)&gt;0,"Profit","Draw")))))))</ns0:f>
      </ns0:c>
      <ns0:c r="V17" s="956" t="str">
        <ns0:f>IF(COUNTA($A17:$M17)=0,"",IF(OR($B17="",$C17="",$U17="Subscription"),"",IFERROR(ROUNDUP(($C17-$B17)/7,0),"")))</ns0:f>
      </ns0:c>
      <ns0:c r="W17" s="114">
        <ns0:f>IF(COUNTA($A17:$M17)=0,"",IF(OR($U17="Subscription",$U17=""),"",IF($U17="Estimate","N/A",IF(OR($U17="Free Game",$U17="Disqualified — Free Game"),0,ROUND(IFERROR($Q17,0)-IFERROR($S17,0),2)))))</ns0:f>
      </ns0:c>
      <ns0:c r="X17" s="956" t="str">
        <ns0:f>IF(COUNTA($A17:$M17)=0,"",IF(OR($U17="Subscription",NOT(ISNUMBER($J17)),NOT(ISNUMBER($I17)),$J17=0,$I17=0,$I17&gt;$J17),"",$J17-$I17))</ns0:f>
      </ns0:c>
      <ns0:c r="Y17" s="955" t="str">
        <ns0:f>IF(COUNTA($A17:$M17)=0,"",IF(OR($U17="Subscription",NOT(ISNUMBER($J17)),$J17=0,$X17=""),"",$X17/$J17))</ns0:f>
      </ns0:c>
      <ns0:c r="Z17" s="957" t="str">
        <ns0:f>IF(COUNTA($A17:$M17)=0,"",Instructions!$B$29+SUM($W$5:W17))</ns0:f>
      </ns0:c>
    </ns0:row>
    <ns0:row r="18" ht="36" customHeight="1">
      <ns0:c r="A18" s="439"/>
      <ns0:c r="B18" s="453"/>
      <ns0:c r="C18" s="453"/>
      <ns0:c r="D18" s="454"/>
      <ns0:c r="E18" s="454"/>
      <ns0:c r="F18" s="454"/>
      <ns0:c r="G18" s="986"/>
      <ns0:c r="H18" s="455"/>
      <ns0:c r="I18" s="456"/>
      <ns0:c r="J18" s="456"/>
      <ns0:c r="K18" s="986"/>
      <ns0:c r="L18" s="454"/>
      <ns0:c r="M18" s="439"/>
      <ns0:c r="N18" s="987" t="str">
        <ns0:f>IF(COUNTA($A18:$M18)=0,"",IF(OR(LEFT(LOWER(TRIM($F18&amp;"")),12)="subscription",LOWER(TRIM($F18&amp;""))="membership"),"",IF(OR(AND($H18&lt;&gt;"",$H18=0),LEFT(LOWER(TRIM($F18&amp;"")),9)="free game",LOWER(TRIM($F18&amp;""))="free",LOWER(TRIM($F18&amp;""))="free entry"),IF(ISNUMBER($G18),IF(ISNUMBER(SEARCH("non",LOWER($E18&amp;""))),$G18*0.85,$G18),"N/A"),IF($G18="","",IFERROR(IF(ISNUMBER(SEARCH("non",LOWER($E18&amp;""))),$G18*0.85,$G18),"")))))</ns0:f>
        <ns0:v/>
      </ns0:c>
      <ns0:c r="O18" s="987" t="str">
        <ns0:f>IF(COUNTA($A18:$M18)=0,"",IF(OR(LEFT(LOWER(TRIM($F18&amp;"")),12)="subscription",LOWER(TRIM($F18&amp;""))="membership"),"",IF(OR(AND($H18&lt;&gt;"",$H18=0),LEFT(LOWER(TRIM($F18&amp;"")),9)="free game",LOWER(TRIM($F18&amp;""))="free",LOWER(TRIM($F18&amp;""))="free entry"),IF(OR(NOT(ISNUMBER($N18)),NOT(ISNUMBER($I18)),$I18=0),"N/A",IFERROR($N18/$I18,"N/A")),IF(OR($N18="",$I18="",$I18=0),"",IFERROR($N18/$I18,"")))))</ns0:f>
        <ns0:v/>
      </ns0:c>
      <ns0:c r="P18" s="987">
        <ns0:f>IF(COUNTA($A18:$M18)=0,"",IF(OR(LEFT(LOWER(TRIM($F18&amp;"")),12)="subscription",LOWER(TRIM($F18&amp;""))="membership"),"",IF(LOWER(TRIM($D18&amp;""))="estimate","N/A",IF(LOWER($L18&amp;"")="yes",0,IF(OR(AND($H18&lt;&gt;"",$H18=0),LEFT(LOWER(TRIM($F18&amp;"")),9)="free game",LOWER(TRIM($F18&amp;""))="free",LOWER(TRIM($F18&amp;""))="free entry"),IF(ISNUMBER($K18),$K18,""),IF($K18&lt;&gt;"",$K18,""))))))</ns0:f>
      </ns0:c>
      <ns0:c r="Q18" s="114">
        <ns0:f>IF(COUNTA($A18:$M18)=0,"",IF(OR($U18="Subscription",$U18=""),"",IF($U18="Estimate","N/A",IF($U18="Profit",ROUND(IFERROR($P18,0)-IFERROR($H18,0),2),0))))</ns0:f>
      </ns0:c>
      <ns0:c r="R18" s="114">
        <ns0:f>IF(COUNTA($A18:$M18)=0,"",IF(OR($U18="Subscription",$U18=""),"",IF($U18="Estimate","N/A",IF($U18="Draw",$H18,0))))</ns0:f>
      </ns0:c>
      <ns0:c r="S18" s="114">
        <ns0:f>IF(COUNTA($A18:$M18)=0,"",IF(OR($U18="Subscription",$U18=""),"",IF($U18="Estimate","N/A",IF($U18="Disqualified",$H18,0))))</ns0:f>
      </ns0:c>
      <ns0:c r="T18" s="955">
        <ns0:f>IF(COUNTA($A18:$M18)=0,"",IF(OR($U18="Subscription",$U18=""),"",IF($U18="Estimate","N/A",IF(OR($U18="Free Game",$U18="Disqualified — Free Game",$H18=0),"N/A",IF($U18="Profit",$Q18/$H18,IF($U18="Disqualified",-$S18/$H18,0))))))</ns0:f>
      </ns0:c>
      <ns0:c r="U18" s="920">
        <ns0:f>IF(COUNTA($A18:$M18)=0,"",IF(OR(LEFT(LOWER(TRIM($F18&amp;"")),12)="subscription",LOWER(TRIM($F18&amp;""))="membership"),"Subscription",IF(LOWER(TRIM($D18&amp;""))="estimate","Estimate",IF(OR(AND($H18&lt;&gt;"",$H18=0),LEFT(LOWER(TRIM($F18&amp;"")),9)="free game",LOWER(TRIM($F18&amp;""))="free",LOWER(TRIM($F18&amp;""))="free entry"),IF(LOWER($L18&amp;"")="yes","Disqualified — Free Game","Free Game"),IF(LOWER($L18&amp;"")="yes","Disqualified",IF($P18="","",IF(ROUND(IFERROR(VALUE($P18),0)-IFERROR(VALUE($H18),0),2)&gt;0,"Profit","Draw")))))))</ns0:f>
      </ns0:c>
      <ns0:c r="V18" s="956" t="str">
        <ns0:f>IF(COUNTA($A18:$M18)=0,"",IF(OR($B18="",$C18="",$U18="Subscription"),"",IFERROR(ROUNDUP(($C18-$B18)/7,0),"")))</ns0:f>
      </ns0:c>
      <ns0:c r="W18" s="114">
        <ns0:f>IF(COUNTA($A18:$M18)=0,"",IF(OR($U18="Subscription",$U18=""),"",IF($U18="Estimate","N/A",IF(OR($U18="Free Game",$U18="Disqualified — Free Game"),0,ROUND(IFERROR($Q18,0)-IFERROR($S18,0),2)))))</ns0:f>
      </ns0:c>
      <ns0:c r="X18" s="956" t="str">
        <ns0:f>IF(COUNTA($A18:$M18)=0,"",IF(OR($U18="Subscription",NOT(ISNUMBER($J18)),NOT(ISNUMBER($I18)),$J18=0,$I18=0,$I18&gt;$J18),"",$J18-$I18))</ns0:f>
      </ns0:c>
      <ns0:c r="Y18" s="955" t="str">
        <ns0:f>IF(COUNTA($A18:$M18)=0,"",IF(OR($U18="Subscription",NOT(ISNUMBER($J18)),$J18=0,$X18=""),"",$X18/$J18))</ns0:f>
      </ns0:c>
      <ns0:c r="Z18" s="957" t="str">
        <ns0:f>IF(COUNTA($A18:$M18)=0,"",Instructions!$B$29+SUM($W$5:W18))</ns0:f>
      </ns0:c>
    </ns0:row>
    <ns0:row r="19" ht="36" customHeight="1">
      <ns0:c r="A19" s="439"/>
      <ns0:c r="B19" s="453"/>
      <ns0:c r="C19" s="453"/>
      <ns0:c r="D19" s="454"/>
      <ns0:c r="E19" s="454"/>
      <ns0:c r="F19" s="454"/>
      <ns0:c r="G19" s="986"/>
      <ns0:c r="H19" s="455"/>
      <ns0:c r="I19" s="456"/>
      <ns0:c r="J19" s="456"/>
      <ns0:c r="K19" s="986"/>
      <ns0:c r="L19" s="454"/>
      <ns0:c r="M19" s="439"/>
      <ns0:c r="N19" s="987" t="str">
        <ns0:f>IF(COUNTA($A19:$M19)=0,"",IF(OR(LEFT(LOWER(TRIM($F19&amp;"")),12)="subscription",LOWER(TRIM($F19&amp;""))="membership"),"",IF(OR(AND($H19&lt;&gt;"",$H19=0),LEFT(LOWER(TRIM($F19&amp;"")),9)="free game",LOWER(TRIM($F19&amp;""))="free",LOWER(TRIM($F19&amp;""))="free entry"),IF(ISNUMBER($G19),IF(ISNUMBER(SEARCH("non",LOWER($E19&amp;""))),$G19*0.85,$G19),"N/A"),IF($G19="","",IFERROR(IF(ISNUMBER(SEARCH("non",LOWER($E19&amp;""))),$G19*0.85,$G19),"")))))</ns0:f>
        <ns0:v/>
      </ns0:c>
      <ns0:c r="O19" s="987" t="str">
        <ns0:f>IF(COUNTA($A19:$M19)=0,"",IF(OR(LEFT(LOWER(TRIM($F19&amp;"")),12)="subscription",LOWER(TRIM($F19&amp;""))="membership"),"",IF(OR(AND($H19&lt;&gt;"",$H19=0),LEFT(LOWER(TRIM($F19&amp;"")),9)="free game",LOWER(TRIM($F19&amp;""))="free",LOWER(TRIM($F19&amp;""))="free entry"),IF(OR(NOT(ISNUMBER($N19)),NOT(ISNUMBER($I19)),$I19=0),"N/A",IFERROR($N19/$I19,"N/A")),IF(OR($N19="",$I19="",$I19=0),"",IFERROR($N19/$I19,"")))))</ns0:f>
        <ns0:v/>
      </ns0:c>
      <ns0:c r="P19" s="987">
        <ns0:f>IF(COUNTA($A19:$M19)=0,"",IF(OR(LEFT(LOWER(TRIM($F19&amp;"")),12)="subscription",LOWER(TRIM($F19&amp;""))="membership"),"",IF(LOWER(TRIM($D19&amp;""))="estimate","N/A",IF(LOWER($L19&amp;"")="yes",0,IF(OR(AND($H19&lt;&gt;"",$H19=0),LEFT(LOWER(TRIM($F19&amp;"")),9)="free game",LOWER(TRIM($F19&amp;""))="free",LOWER(TRIM($F19&amp;""))="free entry"),IF(ISNUMBER($K19),$K19,""),IF($K19&lt;&gt;"",$K19,""))))))</ns0:f>
      </ns0:c>
      <ns0:c r="Q19" s="114">
        <ns0:f>IF(COUNTA($A19:$M19)=0,"",IF(OR($U19="Subscription",$U19=""),"",IF($U19="Estimate","N/A",IF($U19="Profit",ROUND(IFERROR($P19,0)-IFERROR($H19,0),2),0))))</ns0:f>
      </ns0:c>
      <ns0:c r="R19" s="114">
        <ns0:f>IF(COUNTA($A19:$M19)=0,"",IF(OR($U19="Subscription",$U19=""),"",IF($U19="Estimate","N/A",IF($U19="Draw",$H19,0))))</ns0:f>
      </ns0:c>
      <ns0:c r="S19" s="114">
        <ns0:f>IF(COUNTA($A19:$M19)=0,"",IF(OR($U19="Subscription",$U19=""),"",IF($U19="Estimate","N/A",IF($U19="Disqualified",$H19,0))))</ns0:f>
      </ns0:c>
      <ns0:c r="T19" s="955">
        <ns0:f>IF(COUNTA($A19:$M19)=0,"",IF(OR($U19="Subscription",$U19=""),"",IF($U19="Estimate","N/A",IF(OR($U19="Free Game",$U19="Disqualified — Free Game",$H19=0),"N/A",IF($U19="Profit",$Q19/$H19,IF($U19="Disqualified",-$S19/$H19,0))))))</ns0:f>
      </ns0:c>
      <ns0:c r="U19" s="920">
        <ns0:f>IF(COUNTA($A19:$M19)=0,"",IF(OR(LEFT(LOWER(TRIM($F19&amp;"")),12)="subscription",LOWER(TRIM($F19&amp;""))="membership"),"Subscription",IF(LOWER(TRIM($D19&amp;""))="estimate","Estimate",IF(OR(AND($H19&lt;&gt;"",$H19=0),LEFT(LOWER(TRIM($F19&amp;"")),9)="free game",LOWER(TRIM($F19&amp;""))="free",LOWER(TRIM($F19&amp;""))="free entry"),IF(LOWER($L19&amp;"")="yes","Disqualified — Free Game","Free Game"),IF(LOWER($L19&amp;"")="yes","Disqualified",IF($P19="","",IF(ROUND(IFERROR(VALUE($P19),0)-IFERROR(VALUE($H19),0),2)&gt;0,"Profit","Draw")))))))</ns0:f>
      </ns0:c>
      <ns0:c r="V19" s="956" t="str">
        <ns0:f>IF(COUNTA($A19:$M19)=0,"",IF(OR($B19="",$C19="",$U19="Subscription"),"",IFERROR(ROUNDUP(($C19-$B19)/7,0),"")))</ns0:f>
      </ns0:c>
      <ns0:c r="W19" s="114">
        <ns0:f>IF(COUNTA($A19:$M19)=0,"",IF(OR($U19="Subscription",$U19=""),"",IF($U19="Estimate","N/A",IF(OR($U19="Free Game",$U19="Disqualified — Free Game"),0,ROUND(IFERROR($Q19,0)-IFERROR($S19,0),2)))))</ns0:f>
      </ns0:c>
      <ns0:c r="X19" s="956" t="str">
        <ns0:f>IF(COUNTA($A19:$M19)=0,"",IF(OR($U19="Subscription",NOT(ISNUMBER($J19)),NOT(ISNUMBER($I19)),$J19=0,$I19=0,$I19&gt;$J19),"",$J19-$I19))</ns0:f>
      </ns0:c>
      <ns0:c r="Y19" s="955" t="str">
        <ns0:f>IF(COUNTA($A19:$M19)=0,"",IF(OR($U19="Subscription",NOT(ISNUMBER($J19)),$J19=0,$X19=""),"",$X19/$J19))</ns0:f>
      </ns0:c>
      <ns0:c r="Z19" s="957" t="str">
        <ns0:f>IF(COUNTA($A19:$M19)=0,"",Instructions!$B$29+SUM($W$5:W19))</ns0:f>
      </ns0:c>
    </ns0:row>
    <ns0:row r="20" ht="36" customHeight="1">
      <ns0:c r="A20" s="439"/>
      <ns0:c r="B20" s="453"/>
      <ns0:c r="C20" s="453"/>
      <ns0:c r="D20" s="454"/>
      <ns0:c r="E20" s="454"/>
      <ns0:c r="F20" s="454"/>
      <ns0:c r="G20" s="986"/>
      <ns0:c r="H20" s="455"/>
      <ns0:c r="I20" s="456"/>
      <ns0:c r="J20" s="456"/>
      <ns0:c r="K20" s="986"/>
      <ns0:c r="L20" s="454"/>
      <ns0:c r="M20" s="439"/>
      <ns0:c r="N20" s="987" t="str">
        <ns0:f>IF(COUNTA($A20:$M20)=0,"",IF(OR(LEFT(LOWER(TRIM($F20&amp;"")),12)="subscription",LOWER(TRIM($F20&amp;""))="membership"),"",IF(OR(AND($H20&lt;&gt;"",$H20=0),LEFT(LOWER(TRIM($F20&amp;"")),9)="free game",LOWER(TRIM($F20&amp;""))="free",LOWER(TRIM($F20&amp;""))="free entry"),IF(ISNUMBER($G20),IF(ISNUMBER(SEARCH("non",LOWER($E20&amp;""))),$G20*0.85,$G20),"N/A"),IF($G20="","",IFERROR(IF(ISNUMBER(SEARCH("non",LOWER($E20&amp;""))),$G20*0.85,$G20),"")))))</ns0:f>
        <ns0:v/>
      </ns0:c>
      <ns0:c r="O20" s="987" t="str">
        <ns0:f>IF(COUNTA($A20:$M20)=0,"",IF(OR(LEFT(LOWER(TRIM($F20&amp;"")),12)="subscription",LOWER(TRIM($F20&amp;""))="membership"),"",IF(OR(AND($H20&lt;&gt;"",$H20=0),LEFT(LOWER(TRIM($F20&amp;"")),9)="free game",LOWER(TRIM($F20&amp;""))="free",LOWER(TRIM($F20&amp;""))="free entry"),IF(OR(NOT(ISNUMBER($N20)),NOT(ISNUMBER($I20)),$I20=0),"N/A",IFERROR($N20/$I20,"N/A")),IF(OR($N20="",$I20="",$I20=0),"",IFERROR($N20/$I20,"")))))</ns0:f>
        <ns0:v/>
      </ns0:c>
      <ns0:c r="P20" s="987">
        <ns0:f>IF(COUNTA($A20:$M20)=0,"",IF(OR(LEFT(LOWER(TRIM($F20&amp;"")),12)="subscription",LOWER(TRIM($F20&amp;""))="membership"),"",IF(LOWER(TRIM($D20&amp;""))="estimate","N/A",IF(LOWER($L20&amp;"")="yes",0,IF(OR(AND($H20&lt;&gt;"",$H20=0),LEFT(LOWER(TRIM($F20&amp;"")),9)="free game",LOWER(TRIM($F20&amp;""))="free",LOWER(TRIM($F20&amp;""))="free entry"),IF(ISNUMBER($K20),$K20,""),IF($K20&lt;&gt;"",$K20,""))))))</ns0:f>
      </ns0:c>
      <ns0:c r="Q20" s="114">
        <ns0:f>IF(COUNTA($A20:$M20)=0,"",IF(OR($U20="Subscription",$U20=""),"",IF($U20="Estimate","N/A",IF($U20="Profit",ROUND(IFERROR($P20,0)-IFERROR($H20,0),2),0))))</ns0:f>
      </ns0:c>
      <ns0:c r="R20" s="114">
        <ns0:f>IF(COUNTA($A20:$M20)=0,"",IF(OR($U20="Subscription",$U20=""),"",IF($U20="Estimate","N/A",IF($U20="Draw",$H20,0))))</ns0:f>
      </ns0:c>
      <ns0:c r="S20" s="114">
        <ns0:f>IF(COUNTA($A20:$M20)=0,"",IF(OR($U20="Subscription",$U20=""),"",IF($U20="Estimate","N/A",IF($U20="Disqualified",$H20,0))))</ns0:f>
      </ns0:c>
      <ns0:c r="T20" s="955">
        <ns0:f>IF(COUNTA($A20:$M20)=0,"",IF(OR($U20="Subscription",$U20=""),"",IF($U20="Estimate","N/A",IF(OR($U20="Free Game",$U20="Disqualified — Free Game",$H20=0),"N/A",IF($U20="Profit",$Q20/$H20,IF($U20="Disqualified",-$S20/$H20,0))))))</ns0:f>
      </ns0:c>
      <ns0:c r="U20" s="920">
        <ns0:f>IF(COUNTA($A20:$M20)=0,"",IF(OR(LEFT(LOWER(TRIM($F20&amp;"")),12)="subscription",LOWER(TRIM($F20&amp;""))="membership"),"Subscription",IF(LOWER(TRIM($D20&amp;""))="estimate","Estimate",IF(OR(AND($H20&lt;&gt;"",$H20=0),LEFT(LOWER(TRIM($F20&amp;"")),9)="free game",LOWER(TRIM($F20&amp;""))="free",LOWER(TRIM($F20&amp;""))="free entry"),IF(LOWER($L20&amp;"")="yes","Disqualified — Free Game","Free Game"),IF(LOWER($L20&amp;"")="yes","Disqualified",IF($P20="","",IF(ROUND(IFERROR(VALUE($P20),0)-IFERROR(VALUE($H20),0),2)&gt;0,"Profit","Draw")))))))</ns0:f>
      </ns0:c>
      <ns0:c r="V20" s="956" t="str">
        <ns0:f>IF(COUNTA($A20:$M20)=0,"",IF(OR($B20="",$C20="",$U20="Subscription"),"",IFERROR(ROUNDUP(($C20-$B20)/7,0),"")))</ns0:f>
      </ns0:c>
      <ns0:c r="W20" s="114">
        <ns0:f>IF(COUNTA($A20:$M20)=0,"",IF(OR($U20="Subscription",$U20=""),"",IF($U20="Estimate","N/A",IF(OR($U20="Free Game",$U20="Disqualified — Free Game"),0,ROUND(IFERROR($Q20,0)-IFERROR($S20,0),2)))))</ns0:f>
      </ns0:c>
      <ns0:c r="X20" s="956" t="str">
        <ns0:f>IF(COUNTA($A20:$M20)=0,"",IF(OR($U20="Subscription",NOT(ISNUMBER($J20)),NOT(ISNUMBER($I20)),$J20=0,$I20=0,$I20&gt;$J20),"",$J20-$I20))</ns0:f>
      </ns0:c>
      <ns0:c r="Y20" s="955" t="str">
        <ns0:f>IF(COUNTA($A20:$M20)=0,"",IF(OR($U20="Subscription",NOT(ISNUMBER($J20)),$J20=0,$X20=""),"",$X20/$J20))</ns0:f>
      </ns0:c>
      <ns0:c r="Z20" s="957" t="str">
        <ns0:f>IF(COUNTA($A20:$M20)=0,"",Instructions!$B$29+SUM($W$5:W20))</ns0:f>
      </ns0:c>
    </ns0:row>
    <ns0:row r="21" ht="36" customHeight="1">
      <ns0:c r="A21" s="439"/>
      <ns0:c r="B21" s="453"/>
      <ns0:c r="C21" s="453"/>
      <ns0:c r="D21" s="454"/>
      <ns0:c r="E21" s="454"/>
      <ns0:c r="F21" s="454"/>
      <ns0:c r="G21" s="986"/>
      <ns0:c r="H21" s="455"/>
      <ns0:c r="I21" s="456"/>
      <ns0:c r="J21" s="456"/>
      <ns0:c r="K21" s="986"/>
      <ns0:c r="L21" s="454"/>
      <ns0:c r="M21" s="439"/>
      <ns0:c r="N21" s="987" t="str">
        <ns0:f>IF(COUNTA($A21:$M21)=0,"",IF(OR(LEFT(LOWER(TRIM($F21&amp;"")),12)="subscription",LOWER(TRIM($F21&amp;""))="membership"),"",IF(OR(AND($H21&lt;&gt;"",$H21=0),LEFT(LOWER(TRIM($F21&amp;"")),9)="free game",LOWER(TRIM($F21&amp;""))="free",LOWER(TRIM($F21&amp;""))="free entry"),IF(ISNUMBER($G21),IF(ISNUMBER(SEARCH("non",LOWER($E21&amp;""))),$G21*0.85,$G21),"N/A"),IF($G21="","",IFERROR(IF(ISNUMBER(SEARCH("non",LOWER($E21&amp;""))),$G21*0.85,$G21),"")))))</ns0:f>
        <ns0:v/>
      </ns0:c>
      <ns0:c r="O21" s="987" t="str">
        <ns0:f>IF(COUNTA($A21:$M21)=0,"",IF(OR(LEFT(LOWER(TRIM($F21&amp;"")),12)="subscription",LOWER(TRIM($F21&amp;""))="membership"),"",IF(OR(AND($H21&lt;&gt;"",$H21=0),LEFT(LOWER(TRIM($F21&amp;"")),9)="free game",LOWER(TRIM($F21&amp;""))="free",LOWER(TRIM($F21&amp;""))="free entry"),IF(OR(NOT(ISNUMBER($N21)),NOT(ISNUMBER($I21)),$I21=0),"N/A",IFERROR($N21/$I21,"N/A")),IF(OR($N21="",$I21="",$I21=0),"",IFERROR($N21/$I21,"")))))</ns0:f>
        <ns0:v/>
      </ns0:c>
      <ns0:c r="P21" s="987">
        <ns0:f>IF(COUNTA($A21:$M21)=0,"",IF(OR(LEFT(LOWER(TRIM($F21&amp;"")),12)="subscription",LOWER(TRIM($F21&amp;""))="membership"),"",IF(LOWER(TRIM($D21&amp;""))="estimate","N/A",IF(LOWER($L21&amp;"")="yes",0,IF(OR(AND($H21&lt;&gt;"",$H21=0),LEFT(LOWER(TRIM($F21&amp;"")),9)="free game",LOWER(TRIM($F21&amp;""))="free",LOWER(TRIM($F21&amp;""))="free entry"),IF(ISNUMBER($K21),$K21,""),IF($K21&lt;&gt;"",$K21,""))))))</ns0:f>
      </ns0:c>
      <ns0:c r="Q21" s="114">
        <ns0:f>IF(COUNTA($A21:$M21)=0,"",IF(OR($U21="Subscription",$U21=""),"",IF($U21="Estimate","N/A",IF($U21="Profit",ROUND(IFERROR($P21,0)-IFERROR($H21,0),2),0))))</ns0:f>
      </ns0:c>
      <ns0:c r="R21" s="114">
        <ns0:f>IF(COUNTA($A21:$M21)=0,"",IF(OR($U21="Subscription",$U21=""),"",IF($U21="Estimate","N/A",IF($U21="Draw",$H21,0))))</ns0:f>
      </ns0:c>
      <ns0:c r="S21" s="114">
        <ns0:f>IF(COUNTA($A21:$M21)=0,"",IF(OR($U21="Subscription",$U21=""),"",IF($U21="Estimate","N/A",IF($U21="Disqualified",$H21,0))))</ns0:f>
      </ns0:c>
      <ns0:c r="T21" s="955">
        <ns0:f>IF(COUNTA($A21:$M21)=0,"",IF(OR($U21="Subscription",$U21=""),"",IF($U21="Estimate","N/A",IF(OR($U21="Free Game",$U21="Disqualified — Free Game",$H21=0),"N/A",IF($U21="Profit",$Q21/$H21,IF($U21="Disqualified",-$S21/$H21,0))))))</ns0:f>
      </ns0:c>
      <ns0:c r="U21" s="920">
        <ns0:f>IF(COUNTA($A21:$M21)=0,"",IF(OR(LEFT(LOWER(TRIM($F21&amp;"")),12)="subscription",LOWER(TRIM($F21&amp;""))="membership"),"Subscription",IF(LOWER(TRIM($D21&amp;""))="estimate","Estimate",IF(OR(AND($H21&lt;&gt;"",$H21=0),LEFT(LOWER(TRIM($F21&amp;"")),9)="free game",LOWER(TRIM($F21&amp;""))="free",LOWER(TRIM($F21&amp;""))="free entry"),IF(LOWER($L21&amp;"")="yes","Disqualified — Free Game","Free Game"),IF(LOWER($L21&amp;"")="yes","Disqualified",IF($P21="","",IF(ROUND(IFERROR(VALUE($P21),0)-IFERROR(VALUE($H21),0),2)&gt;0,"Profit","Draw")))))))</ns0:f>
      </ns0:c>
      <ns0:c r="V21" s="956" t="str">
        <ns0:f>IF(COUNTA($A21:$M21)=0,"",IF(OR($B21="",$C21="",$U21="Subscription"),"",IFERROR(ROUNDUP(($C21-$B21)/7,0),"")))</ns0:f>
      </ns0:c>
      <ns0:c r="W21" s="114">
        <ns0:f>IF(COUNTA($A21:$M21)=0,"",IF(OR($U21="Subscription",$U21=""),"",IF($U21="Estimate","N/A",IF(OR($U21="Free Game",$U21="Disqualified — Free Game"),0,ROUND(IFERROR($Q21,0)-IFERROR($S21,0),2)))))</ns0:f>
      </ns0:c>
      <ns0:c r="X21" s="956" t="str">
        <ns0:f>IF(COUNTA($A21:$M21)=0,"",IF(OR($U21="Subscription",NOT(ISNUMBER($J21)),NOT(ISNUMBER($I21)),$J21=0,$I21=0,$I21&gt;$J21),"",$J21-$I21))</ns0:f>
      </ns0:c>
      <ns0:c r="Y21" s="955" t="str">
        <ns0:f>IF(COUNTA($A21:$M21)=0,"",IF(OR($U21="Subscription",NOT(ISNUMBER($J21)),$J21=0,$X21=""),"",$X21/$J21))</ns0:f>
      </ns0:c>
      <ns0:c r="Z21" s="957" t="str">
        <ns0:f>IF(COUNTA($A21:$M21)=0,"",Instructions!$B$29+SUM($W$5:W21))</ns0:f>
      </ns0:c>
    </ns0:row>
    <ns0:row r="22" ht="36" customHeight="1">
      <ns0:c r="A22" s="439"/>
      <ns0:c r="B22" s="453"/>
      <ns0:c r="C22" s="453"/>
      <ns0:c r="D22" s="454"/>
      <ns0:c r="E22" s="454"/>
      <ns0:c r="F22" s="454"/>
      <ns0:c r="G22" s="986"/>
      <ns0:c r="H22" s="455"/>
      <ns0:c r="I22" s="456"/>
      <ns0:c r="J22" s="456"/>
      <ns0:c r="K22" s="986"/>
      <ns0:c r="L22" s="454"/>
      <ns0:c r="M22" s="439"/>
      <ns0:c r="N22" s="987" t="str">
        <ns0:f>IF(COUNTA($A22:$M22)=0,"",IF(OR(LEFT(LOWER(TRIM($F22&amp;"")),12)="subscription",LOWER(TRIM($F22&amp;""))="membership"),"",IF(OR(AND($H22&lt;&gt;"",$H22=0),LEFT(LOWER(TRIM($F22&amp;"")),9)="free game",LOWER(TRIM($F22&amp;""))="free",LOWER(TRIM($F22&amp;""))="free entry"),IF(ISNUMBER($G22),IF(ISNUMBER(SEARCH("non",LOWER($E22&amp;""))),$G22*0.85,$G22),"N/A"),IF($G22="","",IFERROR(IF(ISNUMBER(SEARCH("non",LOWER($E22&amp;""))),$G22*0.85,$G22),"")))))</ns0:f>
        <ns0:v/>
      </ns0:c>
      <ns0:c r="O22" s="987" t="str">
        <ns0:f>IF(COUNTA($A22:$M22)=0,"",IF(OR(LEFT(LOWER(TRIM($F22&amp;"")),12)="subscription",LOWER(TRIM($F22&amp;""))="membership"),"",IF(OR(AND($H22&lt;&gt;"",$H22=0),LEFT(LOWER(TRIM($F22&amp;"")),9)="free game",LOWER(TRIM($F22&amp;""))="free",LOWER(TRIM($F22&amp;""))="free entry"),IF(OR(NOT(ISNUMBER($N22)),NOT(ISNUMBER($I22)),$I22=0),"N/A",IFERROR($N22/$I22,"N/A")),IF(OR($N22="",$I22="",$I22=0),"",IFERROR($N22/$I22,"")))))</ns0:f>
        <ns0:v/>
      </ns0:c>
      <ns0:c r="P22" s="987">
        <ns0:f>IF(COUNTA($A22:$M22)=0,"",IF(OR(LEFT(LOWER(TRIM($F22&amp;"")),12)="subscription",LOWER(TRIM($F22&amp;""))="membership"),"",IF(LOWER(TRIM($D22&amp;""))="estimate","N/A",IF(LOWER($L22&amp;"")="yes",0,IF(OR(AND($H22&lt;&gt;"",$H22=0),LEFT(LOWER(TRIM($F22&amp;"")),9)="free game",LOWER(TRIM($F22&amp;""))="free",LOWER(TRIM($F22&amp;""))="free entry"),IF(ISNUMBER($K22),$K22,""),IF($K22&lt;&gt;"",$K22,""))))))</ns0:f>
      </ns0:c>
      <ns0:c r="Q22" s="114">
        <ns0:f>IF(COUNTA($A22:$M22)=0,"",IF(OR($U22="Subscription",$U22=""),"",IF($U22="Estimate","N/A",IF($U22="Profit",ROUND(IFERROR($P22,0)-IFERROR($H22,0),2),0))))</ns0:f>
      </ns0:c>
      <ns0:c r="R22" s="114">
        <ns0:f>IF(COUNTA($A22:$M22)=0,"",IF(OR($U22="Subscription",$U22=""),"",IF($U22="Estimate","N/A",IF($U22="Draw",$H22,0))))</ns0:f>
      </ns0:c>
      <ns0:c r="S22" s="114">
        <ns0:f>IF(COUNTA($A22:$M22)=0,"",IF(OR($U22="Subscription",$U22=""),"",IF($U22="Estimate","N/A",IF($U22="Disqualified",$H22,0))))</ns0:f>
      </ns0:c>
      <ns0:c r="T22" s="955">
        <ns0:f>IF(COUNTA($A22:$M22)=0,"",IF(OR($U22="Subscription",$U22=""),"",IF($U22="Estimate","N/A",IF(OR($U22="Free Game",$U22="Disqualified — Free Game",$H22=0),"N/A",IF($U22="Profit",$Q22/$H22,IF($U22="Disqualified",-$S22/$H22,0))))))</ns0:f>
      </ns0:c>
      <ns0:c r="U22" s="920">
        <ns0:f>IF(COUNTA($A22:$M22)=0,"",IF(OR(LEFT(LOWER(TRIM($F22&amp;"")),12)="subscription",LOWER(TRIM($F22&amp;""))="membership"),"Subscription",IF(LOWER(TRIM($D22&amp;""))="estimate","Estimate",IF(OR(AND($H22&lt;&gt;"",$H22=0),LEFT(LOWER(TRIM($F22&amp;"")),9)="free game",LOWER(TRIM($F22&amp;""))="free",LOWER(TRIM($F22&amp;""))="free entry"),IF(LOWER($L22&amp;"")="yes","Disqualified — Free Game","Free Game"),IF(LOWER($L22&amp;"")="yes","Disqualified",IF($P22="","",IF(ROUND(IFERROR(VALUE($P22),0)-IFERROR(VALUE($H22),0),2)&gt;0,"Profit","Draw")))))))</ns0:f>
      </ns0:c>
      <ns0:c r="V22" s="956" t="str">
        <ns0:f>IF(COUNTA($A22:$M22)=0,"",IF(OR($B22="",$C22="",$U22="Subscription"),"",IFERROR(ROUNDUP(($C22-$B22)/7,0),"")))</ns0:f>
      </ns0:c>
      <ns0:c r="W22" s="114">
        <ns0:f>IF(COUNTA($A22:$M22)=0,"",IF(OR($U22="Subscription",$U22=""),"",IF($U22="Estimate","N/A",IF(OR($U22="Free Game",$U22="Disqualified — Free Game"),0,ROUND(IFERROR($Q22,0)-IFERROR($S22,0),2)))))</ns0:f>
      </ns0:c>
      <ns0:c r="X22" s="956" t="str">
        <ns0:f>IF(COUNTA($A22:$M22)=0,"",IF(OR($U22="Subscription",NOT(ISNUMBER($J22)),NOT(ISNUMBER($I22)),$J22=0,$I22=0,$I22&gt;$J22),"",$J22-$I22))</ns0:f>
      </ns0:c>
      <ns0:c r="Y22" s="955" t="str">
        <ns0:f>IF(COUNTA($A22:$M22)=0,"",IF(OR($U22="Subscription",NOT(ISNUMBER($J22)),$J22=0,$X22=""),"",$X22/$J22))</ns0:f>
      </ns0:c>
      <ns0:c r="Z22" s="957" t="str">
        <ns0:f>IF(COUNTA($A22:$M22)=0,"",Instructions!$B$29+SUM($W$5:W22))</ns0:f>
      </ns0:c>
    </ns0:row>
    <ns0:row r="23" ht="36" customHeight="1">
      <ns0:c r="A23" s="439"/>
      <ns0:c r="B23" s="453"/>
      <ns0:c r="C23" s="453"/>
      <ns0:c r="D23" s="454"/>
      <ns0:c r="E23" s="454"/>
      <ns0:c r="F23" s="454"/>
      <ns0:c r="G23" s="986"/>
      <ns0:c r="H23" s="455"/>
      <ns0:c r="I23" s="456"/>
      <ns0:c r="J23" s="456"/>
      <ns0:c r="K23" s="986"/>
      <ns0:c r="L23" s="454"/>
      <ns0:c r="M23" s="439"/>
      <ns0:c r="N23" s="987" t="str">
        <ns0:f>IF(COUNTA($A23:$M23)=0,"",IF(OR(LEFT(LOWER(TRIM($F23&amp;"")),12)="subscription",LOWER(TRIM($F23&amp;""))="membership"),"",IF(OR(AND($H23&lt;&gt;"",$H23=0),LEFT(LOWER(TRIM($F23&amp;"")),9)="free game",LOWER(TRIM($F23&amp;""))="free",LOWER(TRIM($F23&amp;""))="free entry"),IF(ISNUMBER($G23),IF(ISNUMBER(SEARCH("non",LOWER($E23&amp;""))),$G23*0.85,$G23),"N/A"),IF($G23="","",IFERROR(IF(ISNUMBER(SEARCH("non",LOWER($E23&amp;""))),$G23*0.85,$G23),"")))))</ns0:f>
        <ns0:v/>
      </ns0:c>
      <ns0:c r="O23" s="987" t="str">
        <ns0:f>IF(COUNTA($A23:$M23)=0,"",IF(OR(LEFT(LOWER(TRIM($F23&amp;"")),12)="subscription",LOWER(TRIM($F23&amp;""))="membership"),"",IF(OR(AND($H23&lt;&gt;"",$H23=0),LEFT(LOWER(TRIM($F23&amp;"")),9)="free game",LOWER(TRIM($F23&amp;""))="free",LOWER(TRIM($F23&amp;""))="free entry"),IF(OR(NOT(ISNUMBER($N23)),NOT(ISNUMBER($I23)),$I23=0),"N/A",IFERROR($N23/$I23,"N/A")),IF(OR($N23="",$I23="",$I23=0),"",IFERROR($N23/$I23,"")))))</ns0:f>
        <ns0:v/>
      </ns0:c>
      <ns0:c r="P23" s="987">
        <ns0:f>IF(COUNTA($A23:$M23)=0,"",IF(OR(LEFT(LOWER(TRIM($F23&amp;"")),12)="subscription",LOWER(TRIM($F23&amp;""))="membership"),"",IF(LOWER(TRIM($D23&amp;""))="estimate","N/A",IF(LOWER($L23&amp;"")="yes",0,IF(OR(AND($H23&lt;&gt;"",$H23=0),LEFT(LOWER(TRIM($F23&amp;"")),9)="free game",LOWER(TRIM($F23&amp;""))="free",LOWER(TRIM($F23&amp;""))="free entry"),IF(ISNUMBER($K23),$K23,""),IF($K23&lt;&gt;"",$K23,""))))))</ns0:f>
      </ns0:c>
      <ns0:c r="Q23" s="114">
        <ns0:f>IF(COUNTA($A23:$M23)=0,"",IF(OR($U23="Subscription",$U23=""),"",IF($U23="Estimate","N/A",IF($U23="Profit",ROUND(IFERROR($P23,0)-IFERROR($H23,0),2),0))))</ns0:f>
      </ns0:c>
      <ns0:c r="R23" s="114">
        <ns0:f>IF(COUNTA($A23:$M23)=0,"",IF(OR($U23="Subscription",$U23=""),"",IF($U23="Estimate","N/A",IF($U23="Draw",$H23,0))))</ns0:f>
      </ns0:c>
      <ns0:c r="S23" s="114">
        <ns0:f>IF(COUNTA($A23:$M23)=0,"",IF(OR($U23="Subscription",$U23=""),"",IF($U23="Estimate","N/A",IF($U23="Disqualified",$H23,0))))</ns0:f>
      </ns0:c>
      <ns0:c r="T23" s="955">
        <ns0:f>IF(COUNTA($A23:$M23)=0,"",IF(OR($U23="Subscription",$U23=""),"",IF($U23="Estimate","N/A",IF(OR($U23="Free Game",$U23="Disqualified — Free Game",$H23=0),"N/A",IF($U23="Profit",$Q23/$H23,IF($U23="Disqualified",-$S23/$H23,0))))))</ns0:f>
      </ns0:c>
      <ns0:c r="U23" s="920">
        <ns0:f>IF(COUNTA($A23:$M23)=0,"",IF(OR(LEFT(LOWER(TRIM($F23&amp;"")),12)="subscription",LOWER(TRIM($F23&amp;""))="membership"),"Subscription",IF(LOWER(TRIM($D23&amp;""))="estimate","Estimate",IF(OR(AND($H23&lt;&gt;"",$H23=0),LEFT(LOWER(TRIM($F23&amp;"")),9)="free game",LOWER(TRIM($F23&amp;""))="free",LOWER(TRIM($F23&amp;""))="free entry"),IF(LOWER($L23&amp;"")="yes","Disqualified — Free Game","Free Game"),IF(LOWER($L23&amp;"")="yes","Disqualified",IF($P23="","",IF(ROUND(IFERROR(VALUE($P23),0)-IFERROR(VALUE($H23),0),2)&gt;0,"Profit","Draw")))))))</ns0:f>
      </ns0:c>
      <ns0:c r="V23" s="956" t="str">
        <ns0:f>IF(COUNTA($A23:$M23)=0,"",IF(OR($B23="",$C23="",$U23="Subscription"),"",IFERROR(ROUNDUP(($C23-$B23)/7,0),"")))</ns0:f>
      </ns0:c>
      <ns0:c r="W23" s="114">
        <ns0:f>IF(COUNTA($A23:$M23)=0,"",IF(OR($U23="Subscription",$U23=""),"",IF($U23="Estimate","N/A",IF(OR($U23="Free Game",$U23="Disqualified — Free Game"),0,ROUND(IFERROR($Q23,0)-IFERROR($S23,0),2)))))</ns0:f>
      </ns0:c>
      <ns0:c r="X23" s="956" t="str">
        <ns0:f>IF(COUNTA($A23:$M23)=0,"",IF(OR($U23="Subscription",NOT(ISNUMBER($J23)),NOT(ISNUMBER($I23)),$J23=0,$I23=0,$I23&gt;$J23),"",$J23-$I23))</ns0:f>
      </ns0:c>
      <ns0:c r="Y23" s="955" t="str">
        <ns0:f>IF(COUNTA($A23:$M23)=0,"",IF(OR($U23="Subscription",NOT(ISNUMBER($J23)),$J23=0,$X23=""),"",$X23/$J23))</ns0:f>
      </ns0:c>
      <ns0:c r="Z23" s="957" t="str">
        <ns0:f>IF(COUNTA($A23:$M23)=0,"",Instructions!$B$29+SUM($W$5:W23))</ns0:f>
      </ns0:c>
    </ns0:row>
    <ns0:row r="24" ht="36" customHeight="1">
      <ns0:c r="A24" s="439"/>
      <ns0:c r="B24" s="453"/>
      <ns0:c r="C24" s="453"/>
      <ns0:c r="D24" s="454"/>
      <ns0:c r="E24" s="454"/>
      <ns0:c r="F24" s="454"/>
      <ns0:c r="G24" s="986"/>
      <ns0:c r="H24" s="455"/>
      <ns0:c r="I24" s="456"/>
      <ns0:c r="J24" s="456"/>
      <ns0:c r="K24" s="986"/>
      <ns0:c r="L24" s="454"/>
      <ns0:c r="M24" s="439"/>
      <ns0:c r="N24" s="987" t="str">
        <ns0:f>IF(COUNTA($A24:$M24)=0,"",IF(OR(LEFT(LOWER(TRIM($F24&amp;"")),12)="subscription",LOWER(TRIM($F24&amp;""))="membership"),"",IF(OR(AND($H24&lt;&gt;"",$H24=0),LEFT(LOWER(TRIM($F24&amp;"")),9)="free game",LOWER(TRIM($F24&amp;""))="free",LOWER(TRIM($F24&amp;""))="free entry"),IF(ISNUMBER($G24),IF(ISNUMBER(SEARCH("non",LOWER($E24&amp;""))),$G24*0.85,$G24),"N/A"),IF($G24="","",IFERROR(IF(ISNUMBER(SEARCH("non",LOWER($E24&amp;""))),$G24*0.85,$G24),"")))))</ns0:f>
        <ns0:v/>
      </ns0:c>
      <ns0:c r="O24" s="987" t="str">
        <ns0:f>IF(COUNTA($A24:$M24)=0,"",IF(OR(LEFT(LOWER(TRIM($F24&amp;"")),12)="subscription",LOWER(TRIM($F24&amp;""))="membership"),"",IF(OR(AND($H24&lt;&gt;"",$H24=0),LEFT(LOWER(TRIM($F24&amp;"")),9)="free game",LOWER(TRIM($F24&amp;""))="free",LOWER(TRIM($F24&amp;""))="free entry"),IF(OR(NOT(ISNUMBER($N24)),NOT(ISNUMBER($I24)),$I24=0),"N/A",IFERROR($N24/$I24,"N/A")),IF(OR($N24="",$I24="",$I24=0),"",IFERROR($N24/$I24,"")))))</ns0:f>
        <ns0:v/>
      </ns0:c>
      <ns0:c r="P24" s="987">
        <ns0:f>IF(COUNTA($A24:$M24)=0,"",IF(OR(LEFT(LOWER(TRIM($F24&amp;"")),12)="subscription",LOWER(TRIM($F24&amp;""))="membership"),"",IF(LOWER(TRIM($D24&amp;""))="estimate","N/A",IF(LOWER($L24&amp;"")="yes",0,IF(OR(AND($H24&lt;&gt;"",$H24=0),LEFT(LOWER(TRIM($F24&amp;"")),9)="free game",LOWER(TRIM($F24&amp;""))="free",LOWER(TRIM($F24&amp;""))="free entry"),IF(ISNUMBER($K24),$K24,""),IF($K24&lt;&gt;"",$K24,""))))))</ns0:f>
      </ns0:c>
      <ns0:c r="Q24" s="114">
        <ns0:f>IF(COUNTA($A24:$M24)=0,"",IF(OR($U24="Subscription",$U24=""),"",IF($U24="Estimate","N/A",IF($U24="Profit",ROUND(IFERROR($P24,0)-IFERROR($H24,0),2),0))))</ns0:f>
      </ns0:c>
      <ns0:c r="R24" s="114">
        <ns0:f>IF(COUNTA($A24:$M24)=0,"",IF(OR($U24="Subscription",$U24=""),"",IF($U24="Estimate","N/A",IF($U24="Draw",$H24,0))))</ns0:f>
      </ns0:c>
      <ns0:c r="S24" s="114">
        <ns0:f>IF(COUNTA($A24:$M24)=0,"",IF(OR($U24="Subscription",$U24=""),"",IF($U24="Estimate","N/A",IF($U24="Disqualified",$H24,0))))</ns0:f>
      </ns0:c>
      <ns0:c r="T24" s="955">
        <ns0:f>IF(COUNTA($A24:$M24)=0,"",IF(OR($U24="Subscription",$U24=""),"",IF($U24="Estimate","N/A",IF(OR($U24="Free Game",$U24="Disqualified — Free Game",$H24=0),"N/A",IF($U24="Profit",$Q24/$H24,IF($U24="Disqualified",-$S24/$H24,0))))))</ns0:f>
      </ns0:c>
      <ns0:c r="U24" s="920">
        <ns0:f>IF(COUNTA($A24:$M24)=0,"",IF(OR(LEFT(LOWER(TRIM($F24&amp;"")),12)="subscription",LOWER(TRIM($F24&amp;""))="membership"),"Subscription",IF(LOWER(TRIM($D24&amp;""))="estimate","Estimate",IF(OR(AND($H24&lt;&gt;"",$H24=0),LEFT(LOWER(TRIM($F24&amp;"")),9)="free game",LOWER(TRIM($F24&amp;""))="free",LOWER(TRIM($F24&amp;""))="free entry"),IF(LOWER($L24&amp;"")="yes","Disqualified — Free Game","Free Game"),IF(LOWER($L24&amp;"")="yes","Disqualified",IF($P24="","",IF(ROUND(IFERROR(VALUE($P24),0)-IFERROR(VALUE($H24),0),2)&gt;0,"Profit","Draw")))))))</ns0:f>
      </ns0:c>
      <ns0:c r="V24" s="956" t="str">
        <ns0:f>IF(COUNTA($A24:$M24)=0,"",IF(OR($B24="",$C24="",$U24="Subscription"),"",IFERROR(ROUNDUP(($C24-$B24)/7,0),"")))</ns0:f>
      </ns0:c>
      <ns0:c r="W24" s="114">
        <ns0:f>IF(COUNTA($A24:$M24)=0,"",IF(OR($U24="Subscription",$U24=""),"",IF($U24="Estimate","N/A",IF(OR($U24="Free Game",$U24="Disqualified — Free Game"),0,ROUND(IFERROR($Q24,0)-IFERROR($S24,0),2)))))</ns0:f>
      </ns0:c>
      <ns0:c r="X24" s="956" t="str">
        <ns0:f>IF(COUNTA($A24:$M24)=0,"",IF(OR($U24="Subscription",NOT(ISNUMBER($J24)),NOT(ISNUMBER($I24)),$J24=0,$I24=0,$I24&gt;$J24),"",$J24-$I24))</ns0:f>
      </ns0:c>
      <ns0:c r="Y24" s="955" t="str">
        <ns0:f>IF(COUNTA($A24:$M24)=0,"",IF(OR($U24="Subscription",NOT(ISNUMBER($J24)),$J24=0,$X24=""),"",$X24/$J24))</ns0:f>
      </ns0:c>
      <ns0:c r="Z24" s="957" t="str">
        <ns0:f>IF(COUNTA($A24:$M24)=0,"",Instructions!$B$29+SUM($W$5:W24))</ns0:f>
      </ns0:c>
    </ns0:row>
    <ns0:row r="25" ht="36" customHeight="1">
      <ns0:c r="A25" s="439"/>
      <ns0:c r="B25" s="453"/>
      <ns0:c r="C25" s="453"/>
      <ns0:c r="D25" s="454"/>
      <ns0:c r="E25" s="454"/>
      <ns0:c r="F25" s="454"/>
      <ns0:c r="G25" s="986"/>
      <ns0:c r="H25" s="455"/>
      <ns0:c r="I25" s="456"/>
      <ns0:c r="J25" s="456"/>
      <ns0:c r="K25" s="986"/>
      <ns0:c r="L25" s="454"/>
      <ns0:c r="M25" s="439"/>
      <ns0:c r="N25" s="987" t="str">
        <ns0:f>IF(COUNTA($A25:$M25)=0,"",IF(OR(LEFT(LOWER(TRIM($F25&amp;"")),12)="subscription",LOWER(TRIM($F25&amp;""))="membership"),"",IF(OR(AND($H25&lt;&gt;"",$H25=0),LEFT(LOWER(TRIM($F25&amp;"")),9)="free game",LOWER(TRIM($F25&amp;""))="free",LOWER(TRIM($F25&amp;""))="free entry"),IF(ISNUMBER($G25),IF(ISNUMBER(SEARCH("non",LOWER($E25&amp;""))),$G25*0.85,$G25),"N/A"),IF($G25="","",IFERROR(IF(ISNUMBER(SEARCH("non",LOWER($E25&amp;""))),$G25*0.85,$G25),"")))))</ns0:f>
        <ns0:v/>
      </ns0:c>
      <ns0:c r="O25" s="987" t="str">
        <ns0:f>IF(COUNTA($A25:$M25)=0,"",IF(OR(LEFT(LOWER(TRIM($F25&amp;"")),12)="subscription",LOWER(TRIM($F25&amp;""))="membership"),"",IF(OR(AND($H25&lt;&gt;"",$H25=0),LEFT(LOWER(TRIM($F25&amp;"")),9)="free game",LOWER(TRIM($F25&amp;""))="free",LOWER(TRIM($F25&amp;""))="free entry"),IF(OR(NOT(ISNUMBER($N25)),NOT(ISNUMBER($I25)),$I25=0),"N/A",IFERROR($N25/$I25,"N/A")),IF(OR($N25="",$I25="",$I25=0),"",IFERROR($N25/$I25,"")))))</ns0:f>
        <ns0:v/>
      </ns0:c>
      <ns0:c r="P25" s="987">
        <ns0:f>IF(COUNTA($A25:$M25)=0,"",IF(OR(LEFT(LOWER(TRIM($F25&amp;"")),12)="subscription",LOWER(TRIM($F25&amp;""))="membership"),"",IF(LOWER(TRIM($D25&amp;""))="estimate","N/A",IF(LOWER($L25&amp;"")="yes",0,IF(OR(AND($H25&lt;&gt;"",$H25=0),LEFT(LOWER(TRIM($F25&amp;"")),9)="free game",LOWER(TRIM($F25&amp;""))="free",LOWER(TRIM($F25&amp;""))="free entry"),IF(ISNUMBER($K25),$K25,""),IF($K25&lt;&gt;"",$K25,""))))))</ns0:f>
      </ns0:c>
      <ns0:c r="Q25" s="114">
        <ns0:f>IF(COUNTA($A25:$M25)=0,"",IF(OR($U25="Subscription",$U25=""),"",IF($U25="Estimate","N/A",IF($U25="Profit",ROUND(IFERROR($P25,0)-IFERROR($H25,0),2),0))))</ns0:f>
      </ns0:c>
      <ns0:c r="R25" s="114">
        <ns0:f>IF(COUNTA($A25:$M25)=0,"",IF(OR($U25="Subscription",$U25=""),"",IF($U25="Estimate","N/A",IF($U25="Draw",$H25,0))))</ns0:f>
      </ns0:c>
      <ns0:c r="S25" s="114">
        <ns0:f>IF(COUNTA($A25:$M25)=0,"",IF(OR($U25="Subscription",$U25=""),"",IF($U25="Estimate","N/A",IF($U25="Disqualified",$H25,0))))</ns0:f>
      </ns0:c>
      <ns0:c r="T25" s="955">
        <ns0:f>IF(COUNTA($A25:$M25)=0,"",IF(OR($U25="Subscription",$U25=""),"",IF($U25="Estimate","N/A",IF(OR($U25="Free Game",$U25="Disqualified — Free Game",$H25=0),"N/A",IF($U25="Profit",$Q25/$H25,IF($U25="Disqualified",-$S25/$H25,0))))))</ns0:f>
      </ns0:c>
      <ns0:c r="U25" s="920">
        <ns0:f>IF(COUNTA($A25:$M25)=0,"",IF(OR(LEFT(LOWER(TRIM($F25&amp;"")),12)="subscription",LOWER(TRIM($F25&amp;""))="membership"),"Subscription",IF(LOWER(TRIM($D25&amp;""))="estimate","Estimate",IF(OR(AND($H25&lt;&gt;"",$H25=0),LEFT(LOWER(TRIM($F25&amp;"")),9)="free game",LOWER(TRIM($F25&amp;""))="free",LOWER(TRIM($F25&amp;""))="free entry"),IF(LOWER($L25&amp;"")="yes","Disqualified — Free Game","Free Game"),IF(LOWER($L25&amp;"")="yes","Disqualified",IF($P25="","",IF(ROUND(IFERROR(VALUE($P25),0)-IFERROR(VALUE($H25),0),2)&gt;0,"Profit","Draw")))))))</ns0:f>
      </ns0:c>
      <ns0:c r="V25" s="956" t="str">
        <ns0:f>IF(COUNTA($A25:$M25)=0,"",IF(OR($B25="",$C25="",$U25="Subscription"),"",IFERROR(ROUNDUP(($C25-$B25)/7,0),"")))</ns0:f>
      </ns0:c>
      <ns0:c r="W25" s="114">
        <ns0:f>IF(COUNTA($A25:$M25)=0,"",IF(OR($U25="Subscription",$U25=""),"",IF($U25="Estimate","N/A",IF(OR($U25="Free Game",$U25="Disqualified — Free Game"),0,ROUND(IFERROR($Q25,0)-IFERROR($S25,0),2)))))</ns0:f>
      </ns0:c>
      <ns0:c r="X25" s="956" t="str">
        <ns0:f>IF(COUNTA($A25:$M25)=0,"",IF(OR($U25="Subscription",NOT(ISNUMBER($J25)),NOT(ISNUMBER($I25)),$J25=0,$I25=0,$I25&gt;$J25),"",$J25-$I25))</ns0:f>
      </ns0:c>
      <ns0:c r="Y25" s="955" t="str">
        <ns0:f>IF(COUNTA($A25:$M25)=0,"",IF(OR($U25="Subscription",NOT(ISNUMBER($J25)),$J25=0,$X25=""),"",$X25/$J25))</ns0:f>
      </ns0:c>
      <ns0:c r="Z25" s="957" t="str">
        <ns0:f>IF(COUNTA($A25:$M25)=0,"",Instructions!$B$29+SUM($W$5:W25))</ns0:f>
      </ns0:c>
    </ns0:row>
    <ns0:row r="26" ht="36" customHeight="1">
      <ns0:c r="A26" s="439"/>
      <ns0:c r="B26" s="453"/>
      <ns0:c r="C26" s="453"/>
      <ns0:c r="D26" s="454"/>
      <ns0:c r="E26" s="454"/>
      <ns0:c r="F26" s="454"/>
      <ns0:c r="G26" s="986"/>
      <ns0:c r="H26" s="455"/>
      <ns0:c r="I26" s="456"/>
      <ns0:c r="J26" s="456"/>
      <ns0:c r="K26" s="986"/>
      <ns0:c r="L26" s="454"/>
      <ns0:c r="M26" s="439"/>
      <ns0:c r="N26" s="987" t="str">
        <ns0:f>IF(COUNTA($A26:$M26)=0,"",IF(OR(LEFT(LOWER(TRIM($F26&amp;"")),12)="subscription",LOWER(TRIM($F26&amp;""))="membership"),"",IF(OR(AND($H26&lt;&gt;"",$H26=0),LEFT(LOWER(TRIM($F26&amp;"")),9)="free game",LOWER(TRIM($F26&amp;""))="free",LOWER(TRIM($F26&amp;""))="free entry"),IF(ISNUMBER($G26),IF(ISNUMBER(SEARCH("non",LOWER($E26&amp;""))),$G26*0.85,$G26),"N/A"),IF($G26="","",IFERROR(IF(ISNUMBER(SEARCH("non",LOWER($E26&amp;""))),$G26*0.85,$G26),"")))))</ns0:f>
        <ns0:v/>
      </ns0:c>
      <ns0:c r="O26" s="987" t="str">
        <ns0:f>IF(COUNTA($A26:$M26)=0,"",IF(OR(LEFT(LOWER(TRIM($F26&amp;"")),12)="subscription",LOWER(TRIM($F26&amp;""))="membership"),"",IF(OR(AND($H26&lt;&gt;"",$H26=0),LEFT(LOWER(TRIM($F26&amp;"")),9)="free game",LOWER(TRIM($F26&amp;""))="free",LOWER(TRIM($F26&amp;""))="free entry"),IF(OR(NOT(ISNUMBER($N26)),NOT(ISNUMBER($I26)),$I26=0),"N/A",IFERROR($N26/$I26,"N/A")),IF(OR($N26="",$I26="",$I26=0),"",IFERROR($N26/$I26,"")))))</ns0:f>
        <ns0:v/>
      </ns0:c>
      <ns0:c r="P26" s="987">
        <ns0:f>IF(COUNTA($A26:$M26)=0,"",IF(OR(LEFT(LOWER(TRIM($F26&amp;"")),12)="subscription",LOWER(TRIM($F26&amp;""))="membership"),"",IF(LOWER(TRIM($D26&amp;""))="estimate","N/A",IF(LOWER($L26&amp;"")="yes",0,IF(OR(AND($H26&lt;&gt;"",$H26=0),LEFT(LOWER(TRIM($F26&amp;"")),9)="free game",LOWER(TRIM($F26&amp;""))="free",LOWER(TRIM($F26&amp;""))="free entry"),IF(ISNUMBER($K26),$K26,""),IF($K26&lt;&gt;"",$K26,""))))))</ns0:f>
      </ns0:c>
      <ns0:c r="Q26" s="114">
        <ns0:f>IF(COUNTA($A26:$M26)=0,"",IF(OR($U26="Subscription",$U26=""),"",IF($U26="Estimate","N/A",IF($U26="Profit",ROUND(IFERROR($P26,0)-IFERROR($H26,0),2),0))))</ns0:f>
      </ns0:c>
      <ns0:c r="R26" s="114">
        <ns0:f>IF(COUNTA($A26:$M26)=0,"",IF(OR($U26="Subscription",$U26=""),"",IF($U26="Estimate","N/A",IF($U26="Draw",$H26,0))))</ns0:f>
      </ns0:c>
      <ns0:c r="S26" s="114">
        <ns0:f>IF(COUNTA($A26:$M26)=0,"",IF(OR($U26="Subscription",$U26=""),"",IF($U26="Estimate","N/A",IF($U26="Disqualified",$H26,0))))</ns0:f>
      </ns0:c>
      <ns0:c r="T26" s="955">
        <ns0:f>IF(COUNTA($A26:$M26)=0,"",IF(OR($U26="Subscription",$U26=""),"",IF($U26="Estimate","N/A",IF(OR($U26="Free Game",$U26="Disqualified — Free Game",$H26=0),"N/A",IF($U26="Profit",$Q26/$H26,IF($U26="Disqualified",-$S26/$H26,0))))))</ns0:f>
      </ns0:c>
      <ns0:c r="U26" s="920">
        <ns0:f>IF(COUNTA($A26:$M26)=0,"",IF(OR(LEFT(LOWER(TRIM($F26&amp;"")),12)="subscription",LOWER(TRIM($F26&amp;""))="membership"),"Subscription",IF(LOWER(TRIM($D26&amp;""))="estimate","Estimate",IF(OR(AND($H26&lt;&gt;"",$H26=0),LEFT(LOWER(TRIM($F26&amp;"")),9)="free game",LOWER(TRIM($F26&amp;""))="free",LOWER(TRIM($F26&amp;""))="free entry"),IF(LOWER($L26&amp;"")="yes","Disqualified — Free Game","Free Game"),IF(LOWER($L26&amp;"")="yes","Disqualified",IF($P26="","",IF(ROUND(IFERROR(VALUE($P26),0)-IFERROR(VALUE($H26),0),2)&gt;0,"Profit","Draw")))))))</ns0:f>
      </ns0:c>
      <ns0:c r="V26" s="956" t="str">
        <ns0:f>IF(COUNTA($A26:$M26)=0,"",IF(OR($B26="",$C26="",$U26="Subscription"),"",IFERROR(ROUNDUP(($C26-$B26)/7,0),"")))</ns0:f>
      </ns0:c>
      <ns0:c r="W26" s="114">
        <ns0:f>IF(COUNTA($A26:$M26)=0,"",IF(OR($U26="Subscription",$U26=""),"",IF($U26="Estimate","N/A",IF(OR($U26="Free Game",$U26="Disqualified — Free Game"),0,ROUND(IFERROR($Q26,0)-IFERROR($S26,0),2)))))</ns0:f>
      </ns0:c>
      <ns0:c r="X26" s="956" t="str">
        <ns0:f>IF(COUNTA($A26:$M26)=0,"",IF(OR($U26="Subscription",NOT(ISNUMBER($J26)),NOT(ISNUMBER($I26)),$J26=0,$I26=0,$I26&gt;$J26),"",$J26-$I26))</ns0:f>
      </ns0:c>
      <ns0:c r="Y26" s="955" t="str">
        <ns0:f>IF(COUNTA($A26:$M26)=0,"",IF(OR($U26="Subscription",NOT(ISNUMBER($J26)),$J26=0,$X26=""),"",$X26/$J26))</ns0:f>
      </ns0:c>
      <ns0:c r="Z26" s="957" t="str">
        <ns0:f>IF(COUNTA($A26:$M26)=0,"",Instructions!$B$29+SUM($W$5:W26))</ns0:f>
      </ns0:c>
    </ns0:row>
    <ns0:row r="27" ht="36" customHeight="1">
      <ns0:c r="A27" s="439"/>
      <ns0:c r="B27" s="453"/>
      <ns0:c r="C27" s="453"/>
      <ns0:c r="D27" s="454"/>
      <ns0:c r="E27" s="454"/>
      <ns0:c r="F27" s="454"/>
      <ns0:c r="G27" s="986"/>
      <ns0:c r="H27" s="455"/>
      <ns0:c r="I27" s="456"/>
      <ns0:c r="J27" s="456"/>
      <ns0:c r="K27" s="986"/>
      <ns0:c r="L27" s="454"/>
      <ns0:c r="M27" s="439"/>
      <ns0:c r="N27" s="987" t="str">
        <ns0:f>IF(COUNTA($A27:$M27)=0,"",IF(OR(LEFT(LOWER(TRIM($F27&amp;"")),12)="subscription",LOWER(TRIM($F27&amp;""))="membership"),"",IF(OR(AND($H27&lt;&gt;"",$H27=0),LEFT(LOWER(TRIM($F27&amp;"")),9)="free game",LOWER(TRIM($F27&amp;""))="free",LOWER(TRIM($F27&amp;""))="free entry"),IF(ISNUMBER($G27),IF(ISNUMBER(SEARCH("non",LOWER($E27&amp;""))),$G27*0.85,$G27),"N/A"),IF($G27="","",IFERROR(IF(ISNUMBER(SEARCH("non",LOWER($E27&amp;""))),$G27*0.85,$G27),"")))))</ns0:f>
        <ns0:v/>
      </ns0:c>
      <ns0:c r="O27" s="987" t="str">
        <ns0:f>IF(COUNTA($A27:$M27)=0,"",IF(OR(LEFT(LOWER(TRIM($F27&amp;"")),12)="subscription",LOWER(TRIM($F27&amp;""))="membership"),"",IF(OR(AND($H27&lt;&gt;"",$H27=0),LEFT(LOWER(TRIM($F27&amp;"")),9)="free game",LOWER(TRIM($F27&amp;""))="free",LOWER(TRIM($F27&amp;""))="free entry"),IF(OR(NOT(ISNUMBER($N27)),NOT(ISNUMBER($I27)),$I27=0),"N/A",IFERROR($N27/$I27,"N/A")),IF(OR($N27="",$I27="",$I27=0),"",IFERROR($N27/$I27,"")))))</ns0:f>
        <ns0:v/>
      </ns0:c>
      <ns0:c r="P27" s="987">
        <ns0:f>IF(COUNTA($A27:$M27)=0,"",IF(OR(LEFT(LOWER(TRIM($F27&amp;"")),12)="subscription",LOWER(TRIM($F27&amp;""))="membership"),"",IF(LOWER(TRIM($D27&amp;""))="estimate","N/A",IF(LOWER($L27&amp;"")="yes",0,IF(OR(AND($H27&lt;&gt;"",$H27=0),LEFT(LOWER(TRIM($F27&amp;"")),9)="free game",LOWER(TRIM($F27&amp;""))="free",LOWER(TRIM($F27&amp;""))="free entry"),IF(ISNUMBER($K27),$K27,""),IF($K27&lt;&gt;"",$K27,""))))))</ns0:f>
      </ns0:c>
      <ns0:c r="Q27" s="114">
        <ns0:f>IF(COUNTA($A27:$M27)=0,"",IF(OR($U27="Subscription",$U27=""),"",IF($U27="Estimate","N/A",IF($U27="Profit",ROUND(IFERROR($P27,0)-IFERROR($H27,0),2),0))))</ns0:f>
      </ns0:c>
      <ns0:c r="R27" s="114">
        <ns0:f>IF(COUNTA($A27:$M27)=0,"",IF(OR($U27="Subscription",$U27=""),"",IF($U27="Estimate","N/A",IF($U27="Draw",$H27,0))))</ns0:f>
      </ns0:c>
      <ns0:c r="S27" s="114">
        <ns0:f>IF(COUNTA($A27:$M27)=0,"",IF(OR($U27="Subscription",$U27=""),"",IF($U27="Estimate","N/A",IF($U27="Disqualified",$H27,0))))</ns0:f>
      </ns0:c>
      <ns0:c r="T27" s="955">
        <ns0:f>IF(COUNTA($A27:$M27)=0,"",IF(OR($U27="Subscription",$U27=""),"",IF($U27="Estimate","N/A",IF(OR($U27="Free Game",$U27="Disqualified — Free Game",$H27=0),"N/A",IF($U27="Profit",$Q27/$H27,IF($U27="Disqualified",-$S27/$H27,0))))))</ns0:f>
      </ns0:c>
      <ns0:c r="U27" s="920">
        <ns0:f>IF(COUNTA($A27:$M27)=0,"",IF(OR(LEFT(LOWER(TRIM($F27&amp;"")),12)="subscription",LOWER(TRIM($F27&amp;""))="membership"),"Subscription",IF(LOWER(TRIM($D27&amp;""))="estimate","Estimate",IF(OR(AND($H27&lt;&gt;"",$H27=0),LEFT(LOWER(TRIM($F27&amp;"")),9)="free game",LOWER(TRIM($F27&amp;""))="free",LOWER(TRIM($F27&amp;""))="free entry"),IF(LOWER($L27&amp;"")="yes","Disqualified — Free Game","Free Game"),IF(LOWER($L27&amp;"")="yes","Disqualified",IF($P27="","",IF(ROUND(IFERROR(VALUE($P27),0)-IFERROR(VALUE($H27),0),2)&gt;0,"Profit","Draw")))))))</ns0:f>
      </ns0:c>
      <ns0:c r="V27" s="956" t="str">
        <ns0:f>IF(COUNTA($A27:$M27)=0,"",IF(OR($B27="",$C27="",$U27="Subscription"),"",IFERROR(ROUNDUP(($C27-$B27)/7,0),"")))</ns0:f>
      </ns0:c>
      <ns0:c r="W27" s="114">
        <ns0:f>IF(COUNTA($A27:$M27)=0,"",IF(OR($U27="Subscription",$U27=""),"",IF($U27="Estimate","N/A",IF(OR($U27="Free Game",$U27="Disqualified — Free Game"),0,ROUND(IFERROR($Q27,0)-IFERROR($S27,0),2)))))</ns0:f>
      </ns0:c>
      <ns0:c r="X27" s="956" t="str">
        <ns0:f>IF(COUNTA($A27:$M27)=0,"",IF(OR($U27="Subscription",NOT(ISNUMBER($J27)),NOT(ISNUMBER($I27)),$J27=0,$I27=0,$I27&gt;$J27),"",$J27-$I27))</ns0:f>
      </ns0:c>
      <ns0:c r="Y27" s="955" t="str">
        <ns0:f>IF(COUNTA($A27:$M27)=0,"",IF(OR($U27="Subscription",NOT(ISNUMBER($J27)),$J27=0,$X27=""),"",$X27/$J27))</ns0:f>
      </ns0:c>
      <ns0:c r="Z27" s="957" t="str">
        <ns0:f>IF(COUNTA($A27:$M27)=0,"",Instructions!$B$29+SUM($W$5:W27))</ns0:f>
      </ns0:c>
    </ns0:row>
    <ns0:row r="28" ht="36" customHeight="1">
      <ns0:c r="A28" s="439"/>
      <ns0:c r="B28" s="453"/>
      <ns0:c r="C28" s="453"/>
      <ns0:c r="D28" s="454"/>
      <ns0:c r="E28" s="454"/>
      <ns0:c r="F28" s="454"/>
      <ns0:c r="G28" s="986"/>
      <ns0:c r="H28" s="455"/>
      <ns0:c r="I28" s="456"/>
      <ns0:c r="J28" s="456"/>
      <ns0:c r="K28" s="986"/>
      <ns0:c r="L28" s="454"/>
      <ns0:c r="M28" s="439"/>
      <ns0:c r="N28" s="987" t="str">
        <ns0:f>IF(COUNTA($A28:$M28)=0,"",IF(OR(LEFT(LOWER(TRIM($F28&amp;"")),12)="subscription",LOWER(TRIM($F28&amp;""))="membership"),"",IF(OR(AND($H28&lt;&gt;"",$H28=0),LEFT(LOWER(TRIM($F28&amp;"")),9)="free game",LOWER(TRIM($F28&amp;""))="free",LOWER(TRIM($F28&amp;""))="free entry"),IF(ISNUMBER($G28),IF(ISNUMBER(SEARCH("non",LOWER($E28&amp;""))),$G28*0.85,$G28),"N/A"),IF($G28="","",IFERROR(IF(ISNUMBER(SEARCH("non",LOWER($E28&amp;""))),$G28*0.85,$G28),"")))))</ns0:f>
        <ns0:v/>
      </ns0:c>
      <ns0:c r="O28" s="987" t="str">
        <ns0:f>IF(COUNTA($A28:$M28)=0,"",IF(OR(LEFT(LOWER(TRIM($F28&amp;"")),12)="subscription",LOWER(TRIM($F28&amp;""))="membership"),"",IF(OR(AND($H28&lt;&gt;"",$H28=0),LEFT(LOWER(TRIM($F28&amp;"")),9)="free game",LOWER(TRIM($F28&amp;""))="free",LOWER(TRIM($F28&amp;""))="free entry"),IF(OR(NOT(ISNUMBER($N28)),NOT(ISNUMBER($I28)),$I28=0),"N/A",IFERROR($N28/$I28,"N/A")),IF(OR($N28="",$I28="",$I28=0),"",IFERROR($N28/$I28,"")))))</ns0:f>
        <ns0:v/>
      </ns0:c>
      <ns0:c r="P28" s="987">
        <ns0:f>IF(COUNTA($A28:$M28)=0,"",IF(OR(LEFT(LOWER(TRIM($F28&amp;"")),12)="subscription",LOWER(TRIM($F28&amp;""))="membership"),"",IF(LOWER(TRIM($D28&amp;""))="estimate","N/A",IF(LOWER($L28&amp;"")="yes",0,IF(OR(AND($H28&lt;&gt;"",$H28=0),LEFT(LOWER(TRIM($F28&amp;"")),9)="free game",LOWER(TRIM($F28&amp;""))="free",LOWER(TRIM($F28&amp;""))="free entry"),IF(ISNUMBER($K28),$K28,""),IF($K28&lt;&gt;"",$K28,""))))))</ns0:f>
      </ns0:c>
      <ns0:c r="Q28" s="114">
        <ns0:f>IF(COUNTA($A28:$M28)=0,"",IF(OR($U28="Subscription",$U28=""),"",IF($U28="Estimate","N/A",IF($U28="Profit",ROUND(IFERROR($P28,0)-IFERROR($H28,0),2),0))))</ns0:f>
      </ns0:c>
      <ns0:c r="R28" s="114">
        <ns0:f>IF(COUNTA($A28:$M28)=0,"",IF(OR($U28="Subscription",$U28=""),"",IF($U28="Estimate","N/A",IF($U28="Draw",$H28,0))))</ns0:f>
      </ns0:c>
      <ns0:c r="S28" s="114">
        <ns0:f>IF(COUNTA($A28:$M28)=0,"",IF(OR($U28="Subscription",$U28=""),"",IF($U28="Estimate","N/A",IF($U28="Disqualified",$H28,0))))</ns0:f>
      </ns0:c>
      <ns0:c r="T28" s="955">
        <ns0:f>IF(COUNTA($A28:$M28)=0,"",IF(OR($U28="Subscription",$U28=""),"",IF($U28="Estimate","N/A",IF(OR($U28="Free Game",$U28="Disqualified — Free Game",$H28=0),"N/A",IF($U28="Profit",$Q28/$H28,IF($U28="Disqualified",-$S28/$H28,0))))))</ns0:f>
      </ns0:c>
      <ns0:c r="U28" s="920">
        <ns0:f>IF(COUNTA($A28:$M28)=0,"",IF(OR(LEFT(LOWER(TRIM($F28&amp;"")),12)="subscription",LOWER(TRIM($F28&amp;""))="membership"),"Subscription",IF(LOWER(TRIM($D28&amp;""))="estimate","Estimate",IF(OR(AND($H28&lt;&gt;"",$H28=0),LEFT(LOWER(TRIM($F28&amp;"")),9)="free game",LOWER(TRIM($F28&amp;""))="free",LOWER(TRIM($F28&amp;""))="free entry"),IF(LOWER($L28&amp;"")="yes","Disqualified — Free Game","Free Game"),IF(LOWER($L28&amp;"")="yes","Disqualified",IF($P28="","",IF(ROUND(IFERROR(VALUE($P28),0)-IFERROR(VALUE($H28),0),2)&gt;0,"Profit","Draw")))))))</ns0:f>
      </ns0:c>
      <ns0:c r="V28" s="956" t="str">
        <ns0:f>IF(COUNTA($A28:$M28)=0,"",IF(OR($B28="",$C28="",$U28="Subscription"),"",IFERROR(ROUNDUP(($C28-$B28)/7,0),"")))</ns0:f>
      </ns0:c>
      <ns0:c r="W28" s="114">
        <ns0:f>IF(COUNTA($A28:$M28)=0,"",IF(OR($U28="Subscription",$U28=""),"",IF($U28="Estimate","N/A",IF(OR($U28="Free Game",$U28="Disqualified — Free Game"),0,ROUND(IFERROR($Q28,0)-IFERROR($S28,0),2)))))</ns0:f>
      </ns0:c>
      <ns0:c r="X28" s="956" t="str">
        <ns0:f>IF(COUNTA($A28:$M28)=0,"",IF(OR($U28="Subscription",NOT(ISNUMBER($J28)),NOT(ISNUMBER($I28)),$J28=0,$I28=0,$I28&gt;$J28),"",$J28-$I28))</ns0:f>
      </ns0:c>
      <ns0:c r="Y28" s="955" t="str">
        <ns0:f>IF(COUNTA($A28:$M28)=0,"",IF(OR($U28="Subscription",NOT(ISNUMBER($J28)),$J28=0,$X28=""),"",$X28/$J28))</ns0:f>
      </ns0:c>
      <ns0:c r="Z28" s="957" t="str">
        <ns0:f>IF(COUNTA($A28:$M28)=0,"",Instructions!$B$29+SUM($W$5:W28))</ns0:f>
      </ns0:c>
    </ns0:row>
    <ns0:row r="29" ht="36" customHeight="1">
      <ns0:c r="A29" s="439"/>
      <ns0:c r="B29" s="453"/>
      <ns0:c r="C29" s="453"/>
      <ns0:c r="D29" s="454"/>
      <ns0:c r="E29" s="454"/>
      <ns0:c r="F29" s="454"/>
      <ns0:c r="G29" s="986"/>
      <ns0:c r="H29" s="455"/>
      <ns0:c r="I29" s="456"/>
      <ns0:c r="J29" s="456"/>
      <ns0:c r="K29" s="986"/>
      <ns0:c r="L29" s="454"/>
      <ns0:c r="M29" s="439"/>
      <ns0:c r="N29" s="987" t="str">
        <ns0:f>IF(COUNTA($A29:$M29)=0,"",IF(OR(LEFT(LOWER(TRIM($F29&amp;"")),12)="subscription",LOWER(TRIM($F29&amp;""))="membership"),"",IF(OR(AND($H29&lt;&gt;"",$H29=0),LEFT(LOWER(TRIM($F29&amp;"")),9)="free game",LOWER(TRIM($F29&amp;""))="free",LOWER(TRIM($F29&amp;""))="free entry"),IF(ISNUMBER($G29),IF(ISNUMBER(SEARCH("non",LOWER($E29&amp;""))),$G29*0.85,$G29),"N/A"),IF($G29="","",IFERROR(IF(ISNUMBER(SEARCH("non",LOWER($E29&amp;""))),$G29*0.85,$G29),"")))))</ns0:f>
        <ns0:v/>
      </ns0:c>
      <ns0:c r="O29" s="987" t="str">
        <ns0:f>IF(COUNTA($A29:$M29)=0,"",IF(OR(LEFT(LOWER(TRIM($F29&amp;"")),12)="subscription",LOWER(TRIM($F29&amp;""))="membership"),"",IF(OR(AND($H29&lt;&gt;"",$H29=0),LEFT(LOWER(TRIM($F29&amp;"")),9)="free game",LOWER(TRIM($F29&amp;""))="free",LOWER(TRIM($F29&amp;""))="free entry"),IF(OR(NOT(ISNUMBER($N29)),NOT(ISNUMBER($I29)),$I29=0),"N/A",IFERROR($N29/$I29,"N/A")),IF(OR($N29="",$I29="",$I29=0),"",IFERROR($N29/$I29,"")))))</ns0:f>
        <ns0:v/>
      </ns0:c>
      <ns0:c r="P29" s="987">
        <ns0:f>IF(COUNTA($A29:$M29)=0,"",IF(OR(LEFT(LOWER(TRIM($F29&amp;"")),12)="subscription",LOWER(TRIM($F29&amp;""))="membership"),"",IF(LOWER(TRIM($D29&amp;""))="estimate","N/A",IF(LOWER($L29&amp;"")="yes",0,IF(OR(AND($H29&lt;&gt;"",$H29=0),LEFT(LOWER(TRIM($F29&amp;"")),9)="free game",LOWER(TRIM($F29&amp;""))="free",LOWER(TRIM($F29&amp;""))="free entry"),IF(ISNUMBER($K29),$K29,""),IF($K29&lt;&gt;"",$K29,""))))))</ns0:f>
      </ns0:c>
      <ns0:c r="Q29" s="114">
        <ns0:f>IF(COUNTA($A29:$M29)=0,"",IF(OR($U29="Subscription",$U29=""),"",IF($U29="Estimate","N/A",IF($U29="Profit",ROUND(IFERROR($P29,0)-IFERROR($H29,0),2),0))))</ns0:f>
      </ns0:c>
      <ns0:c r="R29" s="114">
        <ns0:f>IF(COUNTA($A29:$M29)=0,"",IF(OR($U29="Subscription",$U29=""),"",IF($U29="Estimate","N/A",IF($U29="Draw",$H29,0))))</ns0:f>
      </ns0:c>
      <ns0:c r="S29" s="114">
        <ns0:f>IF(COUNTA($A29:$M29)=0,"",IF(OR($U29="Subscription",$U29=""),"",IF($U29="Estimate","N/A",IF($U29="Disqualified",$H29,0))))</ns0:f>
      </ns0:c>
      <ns0:c r="T29" s="955">
        <ns0:f>IF(COUNTA($A29:$M29)=0,"",IF(OR($U29="Subscription",$U29=""),"",IF($U29="Estimate","N/A",IF(OR($U29="Free Game",$U29="Disqualified — Free Game",$H29=0),"N/A",IF($U29="Profit",$Q29/$H29,IF($U29="Disqualified",-$S29/$H29,0))))))</ns0:f>
      </ns0:c>
      <ns0:c r="U29" s="920">
        <ns0:f>IF(COUNTA($A29:$M29)=0,"",IF(OR(LEFT(LOWER(TRIM($F29&amp;"")),12)="subscription",LOWER(TRIM($F29&amp;""))="membership"),"Subscription",IF(LOWER(TRIM($D29&amp;""))="estimate","Estimate",IF(OR(AND($H29&lt;&gt;"",$H29=0),LEFT(LOWER(TRIM($F29&amp;"")),9)="free game",LOWER(TRIM($F29&amp;""))="free",LOWER(TRIM($F29&amp;""))="free entry"),IF(LOWER($L29&amp;"")="yes","Disqualified — Free Game","Free Game"),IF(LOWER($L29&amp;"")="yes","Disqualified",IF($P29="","",IF(ROUND(IFERROR(VALUE($P29),0)-IFERROR(VALUE($H29),0),2)&gt;0,"Profit","Draw")))))))</ns0:f>
      </ns0:c>
      <ns0:c r="V29" s="956" t="str">
        <ns0:f>IF(COUNTA($A29:$M29)=0,"",IF(OR($B29="",$C29="",$U29="Subscription"),"",IFERROR(ROUNDUP(($C29-$B29)/7,0),"")))</ns0:f>
      </ns0:c>
      <ns0:c r="W29" s="114">
        <ns0:f>IF(COUNTA($A29:$M29)=0,"",IF(OR($U29="Subscription",$U29=""),"",IF($U29="Estimate","N/A",IF(OR($U29="Free Game",$U29="Disqualified — Free Game"),0,ROUND(IFERROR($Q29,0)-IFERROR($S29,0),2)))))</ns0:f>
      </ns0:c>
      <ns0:c r="X29" s="956" t="str">
        <ns0:f>IF(COUNTA($A29:$M29)=0,"",IF(OR($U29="Subscription",NOT(ISNUMBER($J29)),NOT(ISNUMBER($I29)),$J29=0,$I29=0,$I29&gt;$J29),"",$J29-$I29))</ns0:f>
      </ns0:c>
      <ns0:c r="Y29" s="955" t="str">
        <ns0:f>IF(COUNTA($A29:$M29)=0,"",IF(OR($U29="Subscription",NOT(ISNUMBER($J29)),$J29=0,$X29=""),"",$X29/$J29))</ns0:f>
      </ns0:c>
      <ns0:c r="Z29" s="957" t="str">
        <ns0:f>IF(COUNTA($A29:$M29)=0,"",Instructions!$B$29+SUM($W$5:W29))</ns0:f>
      </ns0:c>
    </ns0:row>
    <ns0:row r="30" ht="36" customHeight="1">
      <ns0:c r="A30" s="439"/>
      <ns0:c r="B30" s="453"/>
      <ns0:c r="C30" s="453"/>
      <ns0:c r="D30" s="454"/>
      <ns0:c r="E30" s="454"/>
      <ns0:c r="F30" s="454"/>
      <ns0:c r="G30" s="986"/>
      <ns0:c r="H30" s="455"/>
      <ns0:c r="I30" s="456"/>
      <ns0:c r="J30" s="456"/>
      <ns0:c r="K30" s="986"/>
      <ns0:c r="L30" s="454"/>
      <ns0:c r="M30" s="439"/>
      <ns0:c r="N30" s="987" t="str">
        <ns0:f>IF(COUNTA($A30:$M30)=0,"",IF(OR(LEFT(LOWER(TRIM($F30&amp;"")),12)="subscription",LOWER(TRIM($F30&amp;""))="membership"),"",IF(OR(AND($H30&lt;&gt;"",$H30=0),LEFT(LOWER(TRIM($F30&amp;"")),9)="free game",LOWER(TRIM($F30&amp;""))="free",LOWER(TRIM($F30&amp;""))="free entry"),IF(ISNUMBER($G30),IF(ISNUMBER(SEARCH("non",LOWER($E30&amp;""))),$G30*0.85,$G30),"N/A"),IF($G30="","",IFERROR(IF(ISNUMBER(SEARCH("non",LOWER($E30&amp;""))),$G30*0.85,$G30),"")))))</ns0:f>
        <ns0:v/>
      </ns0:c>
      <ns0:c r="O30" s="987" t="str">
        <ns0:f>IF(COUNTA($A30:$M30)=0,"",IF(OR(LEFT(LOWER(TRIM($F30&amp;"")),12)="subscription",LOWER(TRIM($F30&amp;""))="membership"),"",IF(OR(AND($H30&lt;&gt;"",$H30=0),LEFT(LOWER(TRIM($F30&amp;"")),9)="free game",LOWER(TRIM($F30&amp;""))="free",LOWER(TRIM($F30&amp;""))="free entry"),IF(OR(NOT(ISNUMBER($N30)),NOT(ISNUMBER($I30)),$I30=0),"N/A",IFERROR($N30/$I30,"N/A")),IF(OR($N30="",$I30="",$I30=0),"",IFERROR($N30/$I30,"")))))</ns0:f>
        <ns0:v/>
      </ns0:c>
      <ns0:c r="P30" s="987">
        <ns0:f>IF(COUNTA($A30:$M30)=0,"",IF(OR(LEFT(LOWER(TRIM($F30&amp;"")),12)="subscription",LOWER(TRIM($F30&amp;""))="membership"),"",IF(LOWER(TRIM($D30&amp;""))="estimate","N/A",IF(LOWER($L30&amp;"")="yes",0,IF(OR(AND($H30&lt;&gt;"",$H30=0),LEFT(LOWER(TRIM($F30&amp;"")),9)="free game",LOWER(TRIM($F30&amp;""))="free",LOWER(TRIM($F30&amp;""))="free entry"),IF(ISNUMBER($K30),$K30,""),IF($K30&lt;&gt;"",$K30,""))))))</ns0:f>
      </ns0:c>
      <ns0:c r="Q30" s="114">
        <ns0:f>IF(COUNTA($A30:$M30)=0,"",IF(OR($U30="Subscription",$U30=""),"",IF($U30="Estimate","N/A",IF($U30="Profit",ROUND(IFERROR($P30,0)-IFERROR($H30,0),2),0))))</ns0:f>
      </ns0:c>
      <ns0:c r="R30" s="114">
        <ns0:f>IF(COUNTA($A30:$M30)=0,"",IF(OR($U30="Subscription",$U30=""),"",IF($U30="Estimate","N/A",IF($U30="Draw",$H30,0))))</ns0:f>
      </ns0:c>
      <ns0:c r="S30" s="114">
        <ns0:f>IF(COUNTA($A30:$M30)=0,"",IF(OR($U30="Subscription",$U30=""),"",IF($U30="Estimate","N/A",IF($U30="Disqualified",$H30,0))))</ns0:f>
      </ns0:c>
      <ns0:c r="T30" s="955">
        <ns0:f>IF(COUNTA($A30:$M30)=0,"",IF(OR($U30="Subscription",$U30=""),"",IF($U30="Estimate","N/A",IF(OR($U30="Free Game",$U30="Disqualified — Free Game",$H30=0),"N/A",IF($U30="Profit",$Q30/$H30,IF($U30="Disqualified",-$S30/$H30,0))))))</ns0:f>
      </ns0:c>
      <ns0:c r="U30" s="920">
        <ns0:f>IF(COUNTA($A30:$M30)=0,"",IF(OR(LEFT(LOWER(TRIM($F30&amp;"")),12)="subscription",LOWER(TRIM($F30&amp;""))="membership"),"Subscription",IF(LOWER(TRIM($D30&amp;""))="estimate","Estimate",IF(OR(AND($H30&lt;&gt;"",$H30=0),LEFT(LOWER(TRIM($F30&amp;"")),9)="free game",LOWER(TRIM($F30&amp;""))="free",LOWER(TRIM($F30&amp;""))="free entry"),IF(LOWER($L30&amp;"")="yes","Disqualified — Free Game","Free Game"),IF(LOWER($L30&amp;"")="yes","Disqualified",IF($P30="","",IF(ROUND(IFERROR(VALUE($P30),0)-IFERROR(VALUE($H30),0),2)&gt;0,"Profit","Draw")))))))</ns0:f>
      </ns0:c>
      <ns0:c r="V30" s="956" t="str">
        <ns0:f>IF(COUNTA($A30:$M30)=0,"",IF(OR($B30="",$C30="",$U30="Subscription"),"",IFERROR(ROUNDUP(($C30-$B30)/7,0),"")))</ns0:f>
      </ns0:c>
      <ns0:c r="W30" s="114">
        <ns0:f>IF(COUNTA($A30:$M30)=0,"",IF(OR($U30="Subscription",$U30=""),"",IF($U30="Estimate","N/A",IF(OR($U30="Free Game",$U30="Disqualified — Free Game"),0,ROUND(IFERROR($Q30,0)-IFERROR($S30,0),2)))))</ns0:f>
      </ns0:c>
      <ns0:c r="X30" s="956" t="str">
        <ns0:f>IF(COUNTA($A30:$M30)=0,"",IF(OR($U30="Subscription",NOT(ISNUMBER($J30)),NOT(ISNUMBER($I30)),$J30=0,$I30=0,$I30&gt;$J30),"",$J30-$I30))</ns0:f>
      </ns0:c>
      <ns0:c r="Y30" s="955" t="str">
        <ns0:f>IF(COUNTA($A30:$M30)=0,"",IF(OR($U30="Subscription",NOT(ISNUMBER($J30)),$J30=0,$X30=""),"",$X30/$J30))</ns0:f>
      </ns0:c>
      <ns0:c r="Z30" s="957" t="str">
        <ns0:f>IF(COUNTA($A30:$M30)=0,"",Instructions!$B$29+SUM($W$5:W30))</ns0:f>
      </ns0:c>
    </ns0:row>
    <ns0:row r="31" ht="36" customHeight="1">
      <ns0:c r="A31" s="439"/>
      <ns0:c r="B31" s="453"/>
      <ns0:c r="C31" s="453"/>
      <ns0:c r="D31" s="454"/>
      <ns0:c r="E31" s="454"/>
      <ns0:c r="F31" s="454"/>
      <ns0:c r="G31" s="986"/>
      <ns0:c r="H31" s="455"/>
      <ns0:c r="I31" s="456"/>
      <ns0:c r="J31" s="456"/>
      <ns0:c r="K31" s="986"/>
      <ns0:c r="L31" s="454"/>
      <ns0:c r="M31" s="439"/>
      <ns0:c r="N31" s="987" t="str">
        <ns0:f>IF(COUNTA($A31:$M31)=0,"",IF(OR(LEFT(LOWER(TRIM($F31&amp;"")),12)="subscription",LOWER(TRIM($F31&amp;""))="membership"),"",IF(OR(AND($H31&lt;&gt;"",$H31=0),LEFT(LOWER(TRIM($F31&amp;"")),9)="free game",LOWER(TRIM($F31&amp;""))="free",LOWER(TRIM($F31&amp;""))="free entry"),IF(ISNUMBER($G31),IF(ISNUMBER(SEARCH("non",LOWER($E31&amp;""))),$G31*0.85,$G31),"N/A"),IF($G31="","",IFERROR(IF(ISNUMBER(SEARCH("non",LOWER($E31&amp;""))),$G31*0.85,$G31),"")))))</ns0:f>
        <ns0:v/>
      </ns0:c>
      <ns0:c r="O31" s="987" t="str">
        <ns0:f>IF(COUNTA($A31:$M31)=0,"",IF(OR(LEFT(LOWER(TRIM($F31&amp;"")),12)="subscription",LOWER(TRIM($F31&amp;""))="membership"),"",IF(OR(AND($H31&lt;&gt;"",$H31=0),LEFT(LOWER(TRIM($F31&amp;"")),9)="free game",LOWER(TRIM($F31&amp;""))="free",LOWER(TRIM($F31&amp;""))="free entry"),IF(OR(NOT(ISNUMBER($N31)),NOT(ISNUMBER($I31)),$I31=0),"N/A",IFERROR($N31/$I31,"N/A")),IF(OR($N31="",$I31="",$I31=0),"",IFERROR($N31/$I31,"")))))</ns0:f>
        <ns0:v/>
      </ns0:c>
      <ns0:c r="P31" s="987">
        <ns0:f>IF(COUNTA($A31:$M31)=0,"",IF(OR(LEFT(LOWER(TRIM($F31&amp;"")),12)="subscription",LOWER(TRIM($F31&amp;""))="membership"),"",IF(LOWER(TRIM($D31&amp;""))="estimate","N/A",IF(LOWER($L31&amp;"")="yes",0,IF(OR(AND($H31&lt;&gt;"",$H31=0),LEFT(LOWER(TRIM($F31&amp;"")),9)="free game",LOWER(TRIM($F31&amp;""))="free",LOWER(TRIM($F31&amp;""))="free entry"),IF(ISNUMBER($K31),$K31,""),IF($K31&lt;&gt;"",$K31,""))))))</ns0:f>
      </ns0:c>
      <ns0:c r="Q31" s="114">
        <ns0:f>IF(COUNTA($A31:$M31)=0,"",IF(OR($U31="Subscription",$U31=""),"",IF($U31="Estimate","N/A",IF($U31="Profit",ROUND(IFERROR($P31,0)-IFERROR($H31,0),2),0))))</ns0:f>
      </ns0:c>
      <ns0:c r="R31" s="114">
        <ns0:f>IF(COUNTA($A31:$M31)=0,"",IF(OR($U31="Subscription",$U31=""),"",IF($U31="Estimate","N/A",IF($U31="Draw",$H31,0))))</ns0:f>
      </ns0:c>
      <ns0:c r="S31" s="114">
        <ns0:f>IF(COUNTA($A31:$M31)=0,"",IF(OR($U31="Subscription",$U31=""),"",IF($U31="Estimate","N/A",IF($U31="Disqualified",$H31,0))))</ns0:f>
      </ns0:c>
      <ns0:c r="T31" s="955">
        <ns0:f>IF(COUNTA($A31:$M31)=0,"",IF(OR($U31="Subscription",$U31=""),"",IF($U31="Estimate","N/A",IF(OR($U31="Free Game",$U31="Disqualified — Free Game",$H31=0),"N/A",IF($U31="Profit",$Q31/$H31,IF($U31="Disqualified",-$S31/$H31,0))))))</ns0:f>
      </ns0:c>
      <ns0:c r="U31" s="920">
        <ns0:f>IF(COUNTA($A31:$M31)=0,"",IF(OR(LEFT(LOWER(TRIM($F31&amp;"")),12)="subscription",LOWER(TRIM($F31&amp;""))="membership"),"Subscription",IF(LOWER(TRIM($D31&amp;""))="estimate","Estimate",IF(OR(AND($H31&lt;&gt;"",$H31=0),LEFT(LOWER(TRIM($F31&amp;"")),9)="free game",LOWER(TRIM($F31&amp;""))="free",LOWER(TRIM($F31&amp;""))="free entry"),IF(LOWER($L31&amp;"")="yes","Disqualified — Free Game","Free Game"),IF(LOWER($L31&amp;"")="yes","Disqualified",IF($P31="","",IF(ROUND(IFERROR(VALUE($P31),0)-IFERROR(VALUE($H31),0),2)&gt;0,"Profit","Draw")))))))</ns0:f>
      </ns0:c>
      <ns0:c r="V31" s="956" t="str">
        <ns0:f>IF(COUNTA($A31:$M31)=0,"",IF(OR($B31="",$C31="",$U31="Subscription"),"",IFERROR(ROUNDUP(($C31-$B31)/7,0),"")))</ns0:f>
      </ns0:c>
      <ns0:c r="W31" s="114">
        <ns0:f>IF(COUNTA($A31:$M31)=0,"",IF(OR($U31="Subscription",$U31=""),"",IF($U31="Estimate","N/A",IF(OR($U31="Free Game",$U31="Disqualified — Free Game"),0,ROUND(IFERROR($Q31,0)-IFERROR($S31,0),2)))))</ns0:f>
      </ns0:c>
      <ns0:c r="X31" s="956" t="str">
        <ns0:f>IF(COUNTA($A31:$M31)=0,"",IF(OR($U31="Subscription",NOT(ISNUMBER($J31)),NOT(ISNUMBER($I31)),$J31=0,$I31=0,$I31&gt;$J31),"",$J31-$I31))</ns0:f>
      </ns0:c>
      <ns0:c r="Y31" s="955" t="str">
        <ns0:f>IF(COUNTA($A31:$M31)=0,"",IF(OR($U31="Subscription",NOT(ISNUMBER($J31)),$J31=0,$X31=""),"",$X31/$J31))</ns0:f>
      </ns0:c>
      <ns0:c r="Z31" s="957" t="str">
        <ns0:f>IF(COUNTA($A31:$M31)=0,"",Instructions!$B$29+SUM($W$5:W31))</ns0:f>
      </ns0:c>
    </ns0:row>
    <ns0:row r="32" ht="36" customHeight="1">
      <ns0:c r="A32" s="439"/>
      <ns0:c r="B32" s="453"/>
      <ns0:c r="C32" s="453"/>
      <ns0:c r="D32" s="454"/>
      <ns0:c r="E32" s="454"/>
      <ns0:c r="F32" s="454"/>
      <ns0:c r="G32" s="986"/>
      <ns0:c r="H32" s="455"/>
      <ns0:c r="I32" s="456"/>
      <ns0:c r="J32" s="456"/>
      <ns0:c r="K32" s="986"/>
      <ns0:c r="L32" s="454"/>
      <ns0:c r="M32" s="439"/>
      <ns0:c r="N32" s="987" t="str">
        <ns0:f>IF(COUNTA($A32:$M32)=0,"",IF(OR(LEFT(LOWER(TRIM($F32&amp;"")),12)="subscription",LOWER(TRIM($F32&amp;""))="membership"),"",IF(OR(AND($H32&lt;&gt;"",$H32=0),LEFT(LOWER(TRIM($F32&amp;"")),9)="free game",LOWER(TRIM($F32&amp;""))="free",LOWER(TRIM($F32&amp;""))="free entry"),IF(ISNUMBER($G32),IF(ISNUMBER(SEARCH("non",LOWER($E32&amp;""))),$G32*0.85,$G32),"N/A"),IF($G32="","",IFERROR(IF(ISNUMBER(SEARCH("non",LOWER($E32&amp;""))),$G32*0.85,$G32),"")))))</ns0:f>
        <ns0:v/>
      </ns0:c>
      <ns0:c r="O32" s="987" t="str">
        <ns0:f>IF(COUNTA($A32:$M32)=0,"",IF(OR(LEFT(LOWER(TRIM($F32&amp;"")),12)="subscription",LOWER(TRIM($F32&amp;""))="membership"),"",IF(OR(AND($H32&lt;&gt;"",$H32=0),LEFT(LOWER(TRIM($F32&amp;"")),9)="free game",LOWER(TRIM($F32&amp;""))="free",LOWER(TRIM($F32&amp;""))="free entry"),IF(OR(NOT(ISNUMBER($N32)),NOT(ISNUMBER($I32)),$I32=0),"N/A",IFERROR($N32/$I32,"N/A")),IF(OR($N32="",$I32="",$I32=0),"",IFERROR($N32/$I32,"")))))</ns0:f>
        <ns0:v/>
      </ns0:c>
      <ns0:c r="P32" s="987">
        <ns0:f>IF(COUNTA($A32:$M32)=0,"",IF(OR(LEFT(LOWER(TRIM($F32&amp;"")),12)="subscription",LOWER(TRIM($F32&amp;""))="membership"),"",IF(LOWER(TRIM($D32&amp;""))="estimate","N/A",IF(LOWER($L32&amp;"")="yes",0,IF(OR(AND($H32&lt;&gt;"",$H32=0),LEFT(LOWER(TRIM($F32&amp;"")),9)="free game",LOWER(TRIM($F32&amp;""))="free",LOWER(TRIM($F32&amp;""))="free entry"),IF(ISNUMBER($K32),$K32,""),IF($K32&lt;&gt;"",$K32,""))))))</ns0:f>
      </ns0:c>
      <ns0:c r="Q32" s="114">
        <ns0:f>IF(COUNTA($A32:$M32)=0,"",IF(OR($U32="Subscription",$U32=""),"",IF($U32="Estimate","N/A",IF($U32="Profit",ROUND(IFERROR($P32,0)-IFERROR($H32,0),2),0))))</ns0:f>
      </ns0:c>
      <ns0:c r="R32" s="114">
        <ns0:f>IF(COUNTA($A32:$M32)=0,"",IF(OR($U32="Subscription",$U32=""),"",IF($U32="Estimate","N/A",IF($U32="Draw",$H32,0))))</ns0:f>
      </ns0:c>
      <ns0:c r="S32" s="114">
        <ns0:f>IF(COUNTA($A32:$M32)=0,"",IF(OR($U32="Subscription",$U32=""),"",IF($U32="Estimate","N/A",IF($U32="Disqualified",$H32,0))))</ns0:f>
      </ns0:c>
      <ns0:c r="T32" s="955">
        <ns0:f>IF(COUNTA($A32:$M32)=0,"",IF(OR($U32="Subscription",$U32=""),"",IF($U32="Estimate","N/A",IF(OR($U32="Free Game",$U32="Disqualified — Free Game",$H32=0),"N/A",IF($U32="Profit",$Q32/$H32,IF($U32="Disqualified",-$S32/$H32,0))))))</ns0:f>
      </ns0:c>
      <ns0:c r="U32" s="920">
        <ns0:f>IF(COUNTA($A32:$M32)=0,"",IF(OR(LEFT(LOWER(TRIM($F32&amp;"")),12)="subscription",LOWER(TRIM($F32&amp;""))="membership"),"Subscription",IF(LOWER(TRIM($D32&amp;""))="estimate","Estimate",IF(OR(AND($H32&lt;&gt;"",$H32=0),LEFT(LOWER(TRIM($F32&amp;"")),9)="free game",LOWER(TRIM($F32&amp;""))="free",LOWER(TRIM($F32&amp;""))="free entry"),IF(LOWER($L32&amp;"")="yes","Disqualified — Free Game","Free Game"),IF(LOWER($L32&amp;"")="yes","Disqualified",IF($P32="","",IF(ROUND(IFERROR(VALUE($P32),0)-IFERROR(VALUE($H32),0),2)&gt;0,"Profit","Draw")))))))</ns0:f>
      </ns0:c>
      <ns0:c r="V32" s="956" t="str">
        <ns0:f>IF(COUNTA($A32:$M32)=0,"",IF(OR($B32="",$C32="",$U32="Subscription"),"",IFERROR(ROUNDUP(($C32-$B32)/7,0),"")))</ns0:f>
      </ns0:c>
      <ns0:c r="W32" s="114">
        <ns0:f>IF(COUNTA($A32:$M32)=0,"",IF(OR($U32="Subscription",$U32=""),"",IF($U32="Estimate","N/A",IF(OR($U32="Free Game",$U32="Disqualified — Free Game"),0,ROUND(IFERROR($Q32,0)-IFERROR($S32,0),2)))))</ns0:f>
      </ns0:c>
      <ns0:c r="X32" s="956" t="str">
        <ns0:f>IF(COUNTA($A32:$M32)=0,"",IF(OR($U32="Subscription",NOT(ISNUMBER($J32)),NOT(ISNUMBER($I32)),$J32=0,$I32=0,$I32&gt;$J32),"",$J32-$I32))</ns0:f>
      </ns0:c>
      <ns0:c r="Y32" s="955" t="str">
        <ns0:f>IF(COUNTA($A32:$M32)=0,"",IF(OR($U32="Subscription",NOT(ISNUMBER($J32)),$J32=0,$X32=""),"",$X32/$J32))</ns0:f>
      </ns0:c>
      <ns0:c r="Z32" s="957" t="str">
        <ns0:f>IF(COUNTA($A32:$M32)=0,"",Instructions!$B$29+SUM($W$5:W32))</ns0:f>
      </ns0:c>
    </ns0:row>
    <ns0:row r="33" ht="36" customHeight="1">
      <ns0:c r="A33" s="439"/>
      <ns0:c r="B33" s="453"/>
      <ns0:c r="C33" s="453"/>
      <ns0:c r="D33" s="454"/>
      <ns0:c r="E33" s="454"/>
      <ns0:c r="F33" s="454"/>
      <ns0:c r="G33" s="986"/>
      <ns0:c r="H33" s="455"/>
      <ns0:c r="I33" s="456"/>
      <ns0:c r="J33" s="456"/>
      <ns0:c r="K33" s="986"/>
      <ns0:c r="L33" s="454"/>
      <ns0:c r="M33" s="439"/>
      <ns0:c r="N33" s="987" t="str">
        <ns0:f>IF(COUNTA($A33:$M33)=0,"",IF(OR(LEFT(LOWER(TRIM($F33&amp;"")),12)="subscription",LOWER(TRIM($F33&amp;""))="membership"),"",IF(OR(AND($H33&lt;&gt;"",$H33=0),LEFT(LOWER(TRIM($F33&amp;"")),9)="free game",LOWER(TRIM($F33&amp;""))="free",LOWER(TRIM($F33&amp;""))="free entry"),IF(ISNUMBER($G33),IF(ISNUMBER(SEARCH("non",LOWER($E33&amp;""))),$G33*0.85,$G33),"N/A"),IF($G33="","",IFERROR(IF(ISNUMBER(SEARCH("non",LOWER($E33&amp;""))),$G33*0.85,$G33),"")))))</ns0:f>
        <ns0:v/>
      </ns0:c>
      <ns0:c r="O33" s="987" t="str">
        <ns0:f>IF(COUNTA($A33:$M33)=0,"",IF(OR(LEFT(LOWER(TRIM($F33&amp;"")),12)="subscription",LOWER(TRIM($F33&amp;""))="membership"),"",IF(OR(AND($H33&lt;&gt;"",$H33=0),LEFT(LOWER(TRIM($F33&amp;"")),9)="free game",LOWER(TRIM($F33&amp;""))="free",LOWER(TRIM($F33&amp;""))="free entry"),IF(OR(NOT(ISNUMBER($N33)),NOT(ISNUMBER($I33)),$I33=0),"N/A",IFERROR($N33/$I33,"N/A")),IF(OR($N33="",$I33="",$I33=0),"",IFERROR($N33/$I33,"")))))</ns0:f>
        <ns0:v/>
      </ns0:c>
      <ns0:c r="P33" s="987">
        <ns0:f>IF(COUNTA($A33:$M33)=0,"",IF(OR(LEFT(LOWER(TRIM($F33&amp;"")),12)="subscription",LOWER(TRIM($F33&amp;""))="membership"),"",IF(LOWER(TRIM($D33&amp;""))="estimate","N/A",IF(LOWER($L33&amp;"")="yes",0,IF(OR(AND($H33&lt;&gt;"",$H33=0),LEFT(LOWER(TRIM($F33&amp;"")),9)="free game",LOWER(TRIM($F33&amp;""))="free",LOWER(TRIM($F33&amp;""))="free entry"),IF(ISNUMBER($K33),$K33,""),IF($K33&lt;&gt;"",$K33,""))))))</ns0:f>
      </ns0:c>
      <ns0:c r="Q33" s="114">
        <ns0:f>IF(COUNTA($A33:$M33)=0,"",IF(OR($U33="Subscription",$U33=""),"",IF($U33="Estimate","N/A",IF($U33="Profit",ROUND(IFERROR($P33,0)-IFERROR($H33,0),2),0))))</ns0:f>
      </ns0:c>
      <ns0:c r="R33" s="114">
        <ns0:f>IF(COUNTA($A33:$M33)=0,"",IF(OR($U33="Subscription",$U33=""),"",IF($U33="Estimate","N/A",IF($U33="Draw",$H33,0))))</ns0:f>
      </ns0:c>
      <ns0:c r="S33" s="114">
        <ns0:f>IF(COUNTA($A33:$M33)=0,"",IF(OR($U33="Subscription",$U33=""),"",IF($U33="Estimate","N/A",IF($U33="Disqualified",$H33,0))))</ns0:f>
      </ns0:c>
      <ns0:c r="T33" s="955">
        <ns0:f>IF(COUNTA($A33:$M33)=0,"",IF(OR($U33="Subscription",$U33=""),"",IF($U33="Estimate","N/A",IF(OR($U33="Free Game",$U33="Disqualified — Free Game",$H33=0),"N/A",IF($U33="Profit",$Q33/$H33,IF($U33="Disqualified",-$S33/$H33,0))))))</ns0:f>
      </ns0:c>
      <ns0:c r="U33" s="920">
        <ns0:f>IF(COUNTA($A33:$M33)=0,"",IF(OR(LEFT(LOWER(TRIM($F33&amp;"")),12)="subscription",LOWER(TRIM($F33&amp;""))="membership"),"Subscription",IF(LOWER(TRIM($D33&amp;""))="estimate","Estimate",IF(OR(AND($H33&lt;&gt;"",$H33=0),LEFT(LOWER(TRIM($F33&amp;"")),9)="free game",LOWER(TRIM($F33&amp;""))="free",LOWER(TRIM($F33&amp;""))="free entry"),IF(LOWER($L33&amp;"")="yes","Disqualified — Free Game","Free Game"),IF(LOWER($L33&amp;"")="yes","Disqualified",IF($P33="","",IF(ROUND(IFERROR(VALUE($P33),0)-IFERROR(VALUE($H33),0),2)&gt;0,"Profit","Draw")))))))</ns0:f>
      </ns0:c>
      <ns0:c r="V33" s="956" t="str">
        <ns0:f>IF(COUNTA($A33:$M33)=0,"",IF(OR($B33="",$C33="",$U33="Subscription"),"",IFERROR(ROUNDUP(($C33-$B33)/7,0),"")))</ns0:f>
      </ns0:c>
      <ns0:c r="W33" s="114">
        <ns0:f>IF(COUNTA($A33:$M33)=0,"",IF(OR($U33="Subscription",$U33=""),"",IF($U33="Estimate","N/A",IF(OR($U33="Free Game",$U33="Disqualified — Free Game"),0,ROUND(IFERROR($Q33,0)-IFERROR($S33,0),2)))))</ns0:f>
      </ns0:c>
      <ns0:c r="X33" s="956" t="str">
        <ns0:f>IF(COUNTA($A33:$M33)=0,"",IF(OR($U33="Subscription",NOT(ISNUMBER($J33)),NOT(ISNUMBER($I33)),$J33=0,$I33=0,$I33&gt;$J33),"",$J33-$I33))</ns0:f>
      </ns0:c>
      <ns0:c r="Y33" s="955" t="str">
        <ns0:f>IF(COUNTA($A33:$M33)=0,"",IF(OR($U33="Subscription",NOT(ISNUMBER($J33)),$J33=0,$X33=""),"",$X33/$J33))</ns0:f>
      </ns0:c>
      <ns0:c r="Z33" s="957" t="str">
        <ns0:f>IF(COUNTA($A33:$M33)=0,"",Instructions!$B$29+SUM($W$5:W33))</ns0:f>
      </ns0:c>
    </ns0:row>
    <ns0:row r="34" ht="36" customHeight="1">
      <ns0:c r="A34" s="439"/>
      <ns0:c r="B34" s="453"/>
      <ns0:c r="C34" s="453"/>
      <ns0:c r="D34" s="454"/>
      <ns0:c r="E34" s="454"/>
      <ns0:c r="F34" s="454"/>
      <ns0:c r="G34" s="986"/>
      <ns0:c r="H34" s="455"/>
      <ns0:c r="I34" s="456"/>
      <ns0:c r="J34" s="456"/>
      <ns0:c r="K34" s="986"/>
      <ns0:c r="L34" s="454"/>
      <ns0:c r="M34" s="439"/>
      <ns0:c r="N34" s="987" t="str">
        <ns0:f>IF(COUNTA($A34:$M34)=0,"",IF(OR(LEFT(LOWER(TRIM($F34&amp;"")),12)="subscription",LOWER(TRIM($F34&amp;""))="membership"),"",IF(OR(AND($H34&lt;&gt;"",$H34=0),LEFT(LOWER(TRIM($F34&amp;"")),9)="free game",LOWER(TRIM($F34&amp;""))="free",LOWER(TRIM($F34&amp;""))="free entry"),IF(ISNUMBER($G34),IF(ISNUMBER(SEARCH("non",LOWER($E34&amp;""))),$G34*0.85,$G34),"N/A"),IF($G34="","",IFERROR(IF(ISNUMBER(SEARCH("non",LOWER($E34&amp;""))),$G34*0.85,$G34),"")))))</ns0:f>
        <ns0:v/>
      </ns0:c>
      <ns0:c r="O34" s="987" t="str">
        <ns0:f>IF(COUNTA($A34:$M34)=0,"",IF(OR(LEFT(LOWER(TRIM($F34&amp;"")),12)="subscription",LOWER(TRIM($F34&amp;""))="membership"),"",IF(OR(AND($H34&lt;&gt;"",$H34=0),LEFT(LOWER(TRIM($F34&amp;"")),9)="free game",LOWER(TRIM($F34&amp;""))="free",LOWER(TRIM($F34&amp;""))="free entry"),IF(OR(NOT(ISNUMBER($N34)),NOT(ISNUMBER($I34)),$I34=0),"N/A",IFERROR($N34/$I34,"N/A")),IF(OR($N34="",$I34="",$I34=0),"",IFERROR($N34/$I34,"")))))</ns0:f>
        <ns0:v/>
      </ns0:c>
      <ns0:c r="P34" s="987">
        <ns0:f>IF(COUNTA($A34:$M34)=0,"",IF(OR(LEFT(LOWER(TRIM($F34&amp;"")),12)="subscription",LOWER(TRIM($F34&amp;""))="membership"),"",IF(LOWER(TRIM($D34&amp;""))="estimate","N/A",IF(LOWER($L34&amp;"")="yes",0,IF(OR(AND($H34&lt;&gt;"",$H34=0),LEFT(LOWER(TRIM($F34&amp;"")),9)="free game",LOWER(TRIM($F34&amp;""))="free",LOWER(TRIM($F34&amp;""))="free entry"),IF(ISNUMBER($K34),$K34,""),IF($K34&lt;&gt;"",$K34,""))))))</ns0:f>
      </ns0:c>
      <ns0:c r="Q34" s="114">
        <ns0:f>IF(COUNTA($A34:$M34)=0,"",IF(OR($U34="Subscription",$U34=""),"",IF($U34="Estimate","N/A",IF($U34="Profit",ROUND(IFERROR($P34,0)-IFERROR($H34,0),2),0))))</ns0:f>
      </ns0:c>
      <ns0:c r="R34" s="114">
        <ns0:f>IF(COUNTA($A34:$M34)=0,"",IF(OR($U34="Subscription",$U34=""),"",IF($U34="Estimate","N/A",IF($U34="Draw",$H34,0))))</ns0:f>
      </ns0:c>
      <ns0:c r="S34" s="114">
        <ns0:f>IF(COUNTA($A34:$M34)=0,"",IF(OR($U34="Subscription",$U34=""),"",IF($U34="Estimate","N/A",IF($U34="Disqualified",$H34,0))))</ns0:f>
      </ns0:c>
      <ns0:c r="T34" s="955">
        <ns0:f>IF(COUNTA($A34:$M34)=0,"",IF(OR($U34="Subscription",$U34=""),"",IF($U34="Estimate","N/A",IF(OR($U34="Free Game",$U34="Disqualified — Free Game",$H34=0),"N/A",IF($U34="Profit",$Q34/$H34,IF($U34="Disqualified",-$S34/$H34,0))))))</ns0:f>
      </ns0:c>
      <ns0:c r="U34" s="920">
        <ns0:f>IF(COUNTA($A34:$M34)=0,"",IF(OR(LEFT(LOWER(TRIM($F34&amp;"")),12)="subscription",LOWER(TRIM($F34&amp;""))="membership"),"Subscription",IF(LOWER(TRIM($D34&amp;""))="estimate","Estimate",IF(OR(AND($H34&lt;&gt;"",$H34=0),LEFT(LOWER(TRIM($F34&amp;"")),9)="free game",LOWER(TRIM($F34&amp;""))="free",LOWER(TRIM($F34&amp;""))="free entry"),IF(LOWER($L34&amp;"")="yes","Disqualified — Free Game","Free Game"),IF(LOWER($L34&amp;"")="yes","Disqualified",IF($P34="","",IF(ROUND(IFERROR(VALUE($P34),0)-IFERROR(VALUE($H34),0),2)&gt;0,"Profit","Draw")))))))</ns0:f>
      </ns0:c>
      <ns0:c r="V34" s="956" t="str">
        <ns0:f>IF(COUNTA($A34:$M34)=0,"",IF(OR($B34="",$C34="",$U34="Subscription"),"",IFERROR(ROUNDUP(($C34-$B34)/7,0),"")))</ns0:f>
      </ns0:c>
      <ns0:c r="W34" s="114">
        <ns0:f>IF(COUNTA($A34:$M34)=0,"",IF(OR($U34="Subscription",$U34=""),"",IF($U34="Estimate","N/A",IF(OR($U34="Free Game",$U34="Disqualified — Free Game"),0,ROUND(IFERROR($Q34,0)-IFERROR($S34,0),2)))))</ns0:f>
      </ns0:c>
      <ns0:c r="X34" s="956" t="str">
        <ns0:f>IF(COUNTA($A34:$M34)=0,"",IF(OR($U34="Subscription",NOT(ISNUMBER($J34)),NOT(ISNUMBER($I34)),$J34=0,$I34=0,$I34&gt;$J34),"",$J34-$I34))</ns0:f>
      </ns0:c>
      <ns0:c r="Y34" s="955" t="str">
        <ns0:f>IF(COUNTA($A34:$M34)=0,"",IF(OR($U34="Subscription",NOT(ISNUMBER($J34)),$J34=0,$X34=""),"",$X34/$J34))</ns0:f>
      </ns0:c>
      <ns0:c r="Z34" s="957" t="str">
        <ns0:f>IF(COUNTA($A34:$M34)=0,"",Instructions!$B$29+SUM($W$5:W34))</ns0:f>
      </ns0:c>
    </ns0:row>
    <ns0:row r="35" ht="36" customHeight="1">
      <ns0:c r="A35" s="439"/>
      <ns0:c r="B35" s="453"/>
      <ns0:c r="C35" s="453"/>
      <ns0:c r="D35" s="454"/>
      <ns0:c r="E35" s="454"/>
      <ns0:c r="F35" s="454"/>
      <ns0:c r="G35" s="986"/>
      <ns0:c r="H35" s="455"/>
      <ns0:c r="I35" s="456"/>
      <ns0:c r="J35" s="456"/>
      <ns0:c r="K35" s="986"/>
      <ns0:c r="L35" s="454"/>
      <ns0:c r="M35" s="439"/>
      <ns0:c r="N35" s="987" t="str">
        <ns0:f>IF(COUNTA($A35:$M35)=0,"",IF(OR(LEFT(LOWER(TRIM($F35&amp;"")),12)="subscription",LOWER(TRIM($F35&amp;""))="membership"),"",IF(OR(AND($H35&lt;&gt;"",$H35=0),LEFT(LOWER(TRIM($F35&amp;"")),9)="free game",LOWER(TRIM($F35&amp;""))="free",LOWER(TRIM($F35&amp;""))="free entry"),IF(ISNUMBER($G35),IF(ISNUMBER(SEARCH("non",LOWER($E35&amp;""))),$G35*0.85,$G35),"N/A"),IF($G35="","",IFERROR(IF(ISNUMBER(SEARCH("non",LOWER($E35&amp;""))),$G35*0.85,$G35),"")))))</ns0:f>
        <ns0:v/>
      </ns0:c>
      <ns0:c r="O35" s="987" t="str">
        <ns0:f>IF(COUNTA($A35:$M35)=0,"",IF(OR(LEFT(LOWER(TRIM($F35&amp;"")),12)="subscription",LOWER(TRIM($F35&amp;""))="membership"),"",IF(OR(AND($H35&lt;&gt;"",$H35=0),LEFT(LOWER(TRIM($F35&amp;"")),9)="free game",LOWER(TRIM($F35&amp;""))="free",LOWER(TRIM($F35&amp;""))="free entry"),IF(OR(NOT(ISNUMBER($N35)),NOT(ISNUMBER($I35)),$I35=0),"N/A",IFERROR($N35/$I35,"N/A")),IF(OR($N35="",$I35="",$I35=0),"",IFERROR($N35/$I35,"")))))</ns0:f>
        <ns0:v/>
      </ns0:c>
      <ns0:c r="P35" s="987">
        <ns0:f>IF(COUNTA($A35:$M35)=0,"",IF(OR(LEFT(LOWER(TRIM($F35&amp;"")),12)="subscription",LOWER(TRIM($F35&amp;""))="membership"),"",IF(LOWER(TRIM($D35&amp;""))="estimate","N/A",IF(LOWER($L35&amp;"")="yes",0,IF(OR(AND($H35&lt;&gt;"",$H35=0),LEFT(LOWER(TRIM($F35&amp;"")),9)="free game",LOWER(TRIM($F35&amp;""))="free",LOWER(TRIM($F35&amp;""))="free entry"),IF(ISNUMBER($K35),$K35,""),IF($K35&lt;&gt;"",$K35,""))))))</ns0:f>
      </ns0:c>
      <ns0:c r="Q35" s="114">
        <ns0:f>IF(COUNTA($A35:$M35)=0,"",IF(OR($U35="Subscription",$U35=""),"",IF($U35="Estimate","N/A",IF($U35="Profit",ROUND(IFERROR($P35,0)-IFERROR($H35,0),2),0))))</ns0:f>
      </ns0:c>
      <ns0:c r="R35" s="114">
        <ns0:f>IF(COUNTA($A35:$M35)=0,"",IF(OR($U35="Subscription",$U35=""),"",IF($U35="Estimate","N/A",IF($U35="Draw",$H35,0))))</ns0:f>
      </ns0:c>
      <ns0:c r="S35" s="114">
        <ns0:f>IF(COUNTA($A35:$M35)=0,"",IF(OR($U35="Subscription",$U35=""),"",IF($U35="Estimate","N/A",IF($U35="Disqualified",$H35,0))))</ns0:f>
      </ns0:c>
      <ns0:c r="T35" s="955">
        <ns0:f>IF(COUNTA($A35:$M35)=0,"",IF(OR($U35="Subscription",$U35=""),"",IF($U35="Estimate","N/A",IF(OR($U35="Free Game",$U35="Disqualified — Free Game",$H35=0),"N/A",IF($U35="Profit",$Q35/$H35,IF($U35="Disqualified",-$S35/$H35,0))))))</ns0:f>
      </ns0:c>
      <ns0:c r="U35" s="920">
        <ns0:f>IF(COUNTA($A35:$M35)=0,"",IF(OR(LEFT(LOWER(TRIM($F35&amp;"")),12)="subscription",LOWER(TRIM($F35&amp;""))="membership"),"Subscription",IF(LOWER(TRIM($D35&amp;""))="estimate","Estimate",IF(OR(AND($H35&lt;&gt;"",$H35=0),LEFT(LOWER(TRIM($F35&amp;"")),9)="free game",LOWER(TRIM($F35&amp;""))="free",LOWER(TRIM($F35&amp;""))="free entry"),IF(LOWER($L35&amp;"")="yes","Disqualified — Free Game","Free Game"),IF(LOWER($L35&amp;"")="yes","Disqualified",IF($P35="","",IF(ROUND(IFERROR(VALUE($P35),0)-IFERROR(VALUE($H35),0),2)&gt;0,"Profit","Draw")))))))</ns0:f>
      </ns0:c>
      <ns0:c r="V35" s="956" t="str">
        <ns0:f>IF(COUNTA($A35:$M35)=0,"",IF(OR($B35="",$C35="",$U35="Subscription"),"",IFERROR(ROUNDUP(($C35-$B35)/7,0),"")))</ns0:f>
      </ns0:c>
      <ns0:c r="W35" s="114">
        <ns0:f>IF(COUNTA($A35:$M35)=0,"",IF(OR($U35="Subscription",$U35=""),"",IF($U35="Estimate","N/A",IF(OR($U35="Free Game",$U35="Disqualified — Free Game"),0,ROUND(IFERROR($Q35,0)-IFERROR($S35,0),2)))))</ns0:f>
      </ns0:c>
      <ns0:c r="X35" s="956" t="str">
        <ns0:f>IF(COUNTA($A35:$M35)=0,"",IF(OR($U35="Subscription",NOT(ISNUMBER($J35)),NOT(ISNUMBER($I35)),$J35=0,$I35=0,$I35&gt;$J35),"",$J35-$I35))</ns0:f>
      </ns0:c>
      <ns0:c r="Y35" s="955" t="str">
        <ns0:f>IF(COUNTA($A35:$M35)=0,"",IF(OR($U35="Subscription",NOT(ISNUMBER($J35)),$J35=0,$X35=""),"",$X35/$J35))</ns0:f>
      </ns0:c>
      <ns0:c r="Z35" s="957" t="str">
        <ns0:f>IF(COUNTA($A35:$M35)=0,"",Instructions!$B$29+SUM($W$5:W35))</ns0:f>
      </ns0:c>
    </ns0:row>
    <ns0:row r="36" ht="36" customHeight="1">
      <ns0:c r="A36" s="439"/>
      <ns0:c r="B36" s="453"/>
      <ns0:c r="C36" s="453"/>
      <ns0:c r="D36" s="454"/>
      <ns0:c r="E36" s="454"/>
      <ns0:c r="F36" s="454"/>
      <ns0:c r="G36" s="986"/>
      <ns0:c r="H36" s="455"/>
      <ns0:c r="I36" s="456"/>
      <ns0:c r="J36" s="456"/>
      <ns0:c r="K36" s="986"/>
      <ns0:c r="L36" s="454"/>
      <ns0:c r="M36" s="439"/>
      <ns0:c r="N36" s="987" t="str">
        <ns0:f>IF(COUNTA($A36:$M36)=0,"",IF(OR(LEFT(LOWER(TRIM($F36&amp;"")),12)="subscription",LOWER(TRIM($F36&amp;""))="membership"),"",IF(OR(AND($H36&lt;&gt;"",$H36=0),LEFT(LOWER(TRIM($F36&amp;"")),9)="free game",LOWER(TRIM($F36&amp;""))="free",LOWER(TRIM($F36&amp;""))="free entry"),IF(ISNUMBER($G36),IF(ISNUMBER(SEARCH("non",LOWER($E36&amp;""))),$G36*0.85,$G36),"N/A"),IF($G36="","",IFERROR(IF(ISNUMBER(SEARCH("non",LOWER($E36&amp;""))),$G36*0.85,$G36),"")))))</ns0:f>
        <ns0:v/>
      </ns0:c>
      <ns0:c r="O36" s="987" t="str">
        <ns0:f>IF(COUNTA($A36:$M36)=0,"",IF(OR(LEFT(LOWER(TRIM($F36&amp;"")),12)="subscription",LOWER(TRIM($F36&amp;""))="membership"),"",IF(OR(AND($H36&lt;&gt;"",$H36=0),LEFT(LOWER(TRIM($F36&amp;"")),9)="free game",LOWER(TRIM($F36&amp;""))="free",LOWER(TRIM($F36&amp;""))="free entry"),IF(OR(NOT(ISNUMBER($N36)),NOT(ISNUMBER($I36)),$I36=0),"N/A",IFERROR($N36/$I36,"N/A")),IF(OR($N36="",$I36="",$I36=0),"",IFERROR($N36/$I36,"")))))</ns0:f>
        <ns0:v/>
      </ns0:c>
      <ns0:c r="P36" s="987">
        <ns0:f>IF(COUNTA($A36:$M36)=0,"",IF(OR(LEFT(LOWER(TRIM($F36&amp;"")),12)="subscription",LOWER(TRIM($F36&amp;""))="membership"),"",IF(LOWER(TRIM($D36&amp;""))="estimate","N/A",IF(LOWER($L36&amp;"")="yes",0,IF(OR(AND($H36&lt;&gt;"",$H36=0),LEFT(LOWER(TRIM($F36&amp;"")),9)="free game",LOWER(TRIM($F36&amp;""))="free",LOWER(TRIM($F36&amp;""))="free entry"),IF(ISNUMBER($K36),$K36,""),IF($K36&lt;&gt;"",$K36,""))))))</ns0:f>
      </ns0:c>
      <ns0:c r="Q36" s="114">
        <ns0:f>IF(COUNTA($A36:$M36)=0,"",IF(OR($U36="Subscription",$U36=""),"",IF($U36="Estimate","N/A",IF($U36="Profit",ROUND(IFERROR($P36,0)-IFERROR($H36,0),2),0))))</ns0:f>
      </ns0:c>
      <ns0:c r="R36" s="114">
        <ns0:f>IF(COUNTA($A36:$M36)=0,"",IF(OR($U36="Subscription",$U36=""),"",IF($U36="Estimate","N/A",IF($U36="Draw",$H36,0))))</ns0:f>
      </ns0:c>
      <ns0:c r="S36" s="114">
        <ns0:f>IF(COUNTA($A36:$M36)=0,"",IF(OR($U36="Subscription",$U36=""),"",IF($U36="Estimate","N/A",IF($U36="Disqualified",$H36,0))))</ns0:f>
      </ns0:c>
      <ns0:c r="T36" s="955">
        <ns0:f>IF(COUNTA($A36:$M36)=0,"",IF(OR($U36="Subscription",$U36=""),"",IF($U36="Estimate","N/A",IF(OR($U36="Free Game",$U36="Disqualified — Free Game",$H36=0),"N/A",IF($U36="Profit",$Q36/$H36,IF($U36="Disqualified",-$S36/$H36,0))))))</ns0:f>
      </ns0:c>
      <ns0:c r="U36" s="920">
        <ns0:f>IF(COUNTA($A36:$M36)=0,"",IF(OR(LEFT(LOWER(TRIM($F36&amp;"")),12)="subscription",LOWER(TRIM($F36&amp;""))="membership"),"Subscription",IF(LOWER(TRIM($D36&amp;""))="estimate","Estimate",IF(OR(AND($H36&lt;&gt;"",$H36=0),LEFT(LOWER(TRIM($F36&amp;"")),9)="free game",LOWER(TRIM($F36&amp;""))="free",LOWER(TRIM($F36&amp;""))="free entry"),IF(LOWER($L36&amp;"")="yes","Disqualified — Free Game","Free Game"),IF(LOWER($L36&amp;"")="yes","Disqualified",IF($P36="","",IF(ROUND(IFERROR(VALUE($P36),0)-IFERROR(VALUE($H36),0),2)&gt;0,"Profit","Draw")))))))</ns0:f>
      </ns0:c>
      <ns0:c r="V36" s="956" t="str">
        <ns0:f>IF(COUNTA($A36:$M36)=0,"",IF(OR($B36="",$C36="",$U36="Subscription"),"",IFERROR(ROUNDUP(($C36-$B36)/7,0),"")))</ns0:f>
      </ns0:c>
      <ns0:c r="W36" s="114">
        <ns0:f>IF(COUNTA($A36:$M36)=0,"",IF(OR($U36="Subscription",$U36=""),"",IF($U36="Estimate","N/A",IF(OR($U36="Free Game",$U36="Disqualified — Free Game"),0,ROUND(IFERROR($Q36,0)-IFERROR($S36,0),2)))))</ns0:f>
      </ns0:c>
      <ns0:c r="X36" s="956" t="str">
        <ns0:f>IF(COUNTA($A36:$M36)=0,"",IF(OR($U36="Subscription",NOT(ISNUMBER($J36)),NOT(ISNUMBER($I36)),$J36=0,$I36=0,$I36&gt;$J36),"",$J36-$I36))</ns0:f>
      </ns0:c>
      <ns0:c r="Y36" s="955" t="str">
        <ns0:f>IF(COUNTA($A36:$M36)=0,"",IF(OR($U36="Subscription",NOT(ISNUMBER($J36)),$J36=0,$X36=""),"",$X36/$J36))</ns0:f>
      </ns0:c>
      <ns0:c r="Z36" s="957" t="str">
        <ns0:f>IF(COUNTA($A36:$M36)=0,"",Instructions!$B$29+SUM($W$5:W36))</ns0:f>
      </ns0:c>
    </ns0:row>
    <ns0:row r="37" ht="36" customHeight="1">
      <ns0:c r="A37" s="439"/>
      <ns0:c r="B37" s="453"/>
      <ns0:c r="C37" s="453"/>
      <ns0:c r="D37" s="454"/>
      <ns0:c r="E37" s="454"/>
      <ns0:c r="F37" s="454"/>
      <ns0:c r="G37" s="986"/>
      <ns0:c r="H37" s="455"/>
      <ns0:c r="I37" s="456"/>
      <ns0:c r="J37" s="456"/>
      <ns0:c r="K37" s="986"/>
      <ns0:c r="L37" s="454"/>
      <ns0:c r="M37" s="439"/>
      <ns0:c r="N37" s="987" t="str">
        <ns0:f>IF(COUNTA($A37:$M37)=0,"",IF(OR(LEFT(LOWER(TRIM($F37&amp;"")),12)="subscription",LOWER(TRIM($F37&amp;""))="membership"),"",IF(OR(AND($H37&lt;&gt;"",$H37=0),LEFT(LOWER(TRIM($F37&amp;"")),9)="free game",LOWER(TRIM($F37&amp;""))="free",LOWER(TRIM($F37&amp;""))="free entry"),IF(ISNUMBER($G37),IF(ISNUMBER(SEARCH("non",LOWER($E37&amp;""))),$G37*0.85,$G37),"N/A"),IF($G37="","",IFERROR(IF(ISNUMBER(SEARCH("non",LOWER($E37&amp;""))),$G37*0.85,$G37),"")))))</ns0:f>
        <ns0:v/>
      </ns0:c>
      <ns0:c r="O37" s="987" t="str">
        <ns0:f>IF(COUNTA($A37:$M37)=0,"",IF(OR(LEFT(LOWER(TRIM($F37&amp;"")),12)="subscription",LOWER(TRIM($F37&amp;""))="membership"),"",IF(OR(AND($H37&lt;&gt;"",$H37=0),LEFT(LOWER(TRIM($F37&amp;"")),9)="free game",LOWER(TRIM($F37&amp;""))="free",LOWER(TRIM($F37&amp;""))="free entry"),IF(OR(NOT(ISNUMBER($N37)),NOT(ISNUMBER($I37)),$I37=0),"N/A",IFERROR($N37/$I37,"N/A")),IF(OR($N37="",$I37="",$I37=0),"",IFERROR($N37/$I37,"")))))</ns0:f>
        <ns0:v/>
      </ns0:c>
      <ns0:c r="P37" s="987">
        <ns0:f>IF(COUNTA($A37:$M37)=0,"",IF(OR(LEFT(LOWER(TRIM($F37&amp;"")),12)="subscription",LOWER(TRIM($F37&amp;""))="membership"),"",IF(LOWER(TRIM($D37&amp;""))="estimate","N/A",IF(LOWER($L37&amp;"")="yes",0,IF(OR(AND($H37&lt;&gt;"",$H37=0),LEFT(LOWER(TRIM($F37&amp;"")),9)="free game",LOWER(TRIM($F37&amp;""))="free",LOWER(TRIM($F37&amp;""))="free entry"),IF(ISNUMBER($K37),$K37,""),IF($K37&lt;&gt;"",$K37,""))))))</ns0:f>
      </ns0:c>
      <ns0:c r="Q37" s="114">
        <ns0:f>IF(COUNTA($A37:$M37)=0,"",IF(OR($U37="Subscription",$U37=""),"",IF($U37="Estimate","N/A",IF($U37="Profit",ROUND(IFERROR($P37,0)-IFERROR($H37,0),2),0))))</ns0:f>
      </ns0:c>
      <ns0:c r="R37" s="114">
        <ns0:f>IF(COUNTA($A37:$M37)=0,"",IF(OR($U37="Subscription",$U37=""),"",IF($U37="Estimate","N/A",IF($U37="Draw",$H37,0))))</ns0:f>
      </ns0:c>
      <ns0:c r="S37" s="114">
        <ns0:f>IF(COUNTA($A37:$M37)=0,"",IF(OR($U37="Subscription",$U37=""),"",IF($U37="Estimate","N/A",IF($U37="Disqualified",$H37,0))))</ns0:f>
      </ns0:c>
      <ns0:c r="T37" s="955">
        <ns0:f>IF(COUNTA($A37:$M37)=0,"",IF(OR($U37="Subscription",$U37=""),"",IF($U37="Estimate","N/A",IF(OR($U37="Free Game",$U37="Disqualified — Free Game",$H37=0),"N/A",IF($U37="Profit",$Q37/$H37,IF($U37="Disqualified",-$S37/$H37,0))))))</ns0:f>
      </ns0:c>
      <ns0:c r="U37" s="920">
        <ns0:f>IF(COUNTA($A37:$M37)=0,"",IF(OR(LEFT(LOWER(TRIM($F37&amp;"")),12)="subscription",LOWER(TRIM($F37&amp;""))="membership"),"Subscription",IF(LOWER(TRIM($D37&amp;""))="estimate","Estimate",IF(OR(AND($H37&lt;&gt;"",$H37=0),LEFT(LOWER(TRIM($F37&amp;"")),9)="free game",LOWER(TRIM($F37&amp;""))="free",LOWER(TRIM($F37&amp;""))="free entry"),IF(LOWER($L37&amp;"")="yes","Disqualified — Free Game","Free Game"),IF(LOWER($L37&amp;"")="yes","Disqualified",IF($P37="","",IF(ROUND(IFERROR(VALUE($P37),0)-IFERROR(VALUE($H37),0),2)&gt;0,"Profit","Draw")))))))</ns0:f>
      </ns0:c>
      <ns0:c r="V37" s="956" t="str">
        <ns0:f>IF(COUNTA($A37:$M37)=0,"",IF(OR($B37="",$C37="",$U37="Subscription"),"",IFERROR(ROUNDUP(($C37-$B37)/7,0),"")))</ns0:f>
      </ns0:c>
      <ns0:c r="W37" s="114">
        <ns0:f>IF(COUNTA($A37:$M37)=0,"",IF(OR($U37="Subscription",$U37=""),"",IF($U37="Estimate","N/A",IF(OR($U37="Free Game",$U37="Disqualified — Free Game"),0,ROUND(IFERROR($Q37,0)-IFERROR($S37,0),2)))))</ns0:f>
      </ns0:c>
      <ns0:c r="X37" s="956" t="str">
        <ns0:f>IF(COUNTA($A37:$M37)=0,"",IF(OR($U37="Subscription",NOT(ISNUMBER($J37)),NOT(ISNUMBER($I37)),$J37=0,$I37=0,$I37&gt;$J37),"",$J37-$I37))</ns0:f>
      </ns0:c>
      <ns0:c r="Y37" s="955" t="str">
        <ns0:f>IF(COUNTA($A37:$M37)=0,"",IF(OR($U37="Subscription",NOT(ISNUMBER($J37)),$J37=0,$X37=""),"",$X37/$J37))</ns0:f>
      </ns0:c>
      <ns0:c r="Z37" s="957" t="str">
        <ns0:f>IF(COUNTA($A37:$M37)=0,"",Instructions!$B$29+SUM($W$5:W37))</ns0:f>
      </ns0:c>
    </ns0:row>
    <ns0:row r="38" ht="36" customHeight="1">
      <ns0:c r="A38" s="439"/>
      <ns0:c r="B38" s="453"/>
      <ns0:c r="C38" s="453"/>
      <ns0:c r="D38" s="454"/>
      <ns0:c r="E38" s="454"/>
      <ns0:c r="F38" s="454"/>
      <ns0:c r="G38" s="986"/>
      <ns0:c r="H38" s="455"/>
      <ns0:c r="I38" s="456"/>
      <ns0:c r="J38" s="456"/>
      <ns0:c r="K38" s="986"/>
      <ns0:c r="L38" s="454"/>
      <ns0:c r="M38" s="439"/>
      <ns0:c r="N38" s="987" t="str">
        <ns0:f>IF(COUNTA($A38:$M38)=0,"",IF(OR(LEFT(LOWER(TRIM($F38&amp;"")),12)="subscription",LOWER(TRIM($F38&amp;""))="membership"),"",IF(OR(AND($H38&lt;&gt;"",$H38=0),LEFT(LOWER(TRIM($F38&amp;"")),9)="free game",LOWER(TRIM($F38&amp;""))="free",LOWER(TRIM($F38&amp;""))="free entry"),IF(ISNUMBER($G38),IF(ISNUMBER(SEARCH("non",LOWER($E38&amp;""))),$G38*0.85,$G38),"N/A"),IF($G38="","",IFERROR(IF(ISNUMBER(SEARCH("non",LOWER($E38&amp;""))),$G38*0.85,$G38),"")))))</ns0:f>
        <ns0:v/>
      </ns0:c>
      <ns0:c r="O38" s="987" t="str">
        <ns0:f>IF(COUNTA($A38:$M38)=0,"",IF(OR(LEFT(LOWER(TRIM($F38&amp;"")),12)="subscription",LOWER(TRIM($F38&amp;""))="membership"),"",IF(OR(AND($H38&lt;&gt;"",$H38=0),LEFT(LOWER(TRIM($F38&amp;"")),9)="free game",LOWER(TRIM($F38&amp;""))="free",LOWER(TRIM($F38&amp;""))="free entry"),IF(OR(NOT(ISNUMBER($N38)),NOT(ISNUMBER($I38)),$I38=0),"N/A",IFERROR($N38/$I38,"N/A")),IF(OR($N38="",$I38="",$I38=0),"",IFERROR($N38/$I38,"")))))</ns0:f>
        <ns0:v/>
      </ns0:c>
      <ns0:c r="P38" s="987">
        <ns0:f>IF(COUNTA($A38:$M38)=0,"",IF(OR(LEFT(LOWER(TRIM($F38&amp;"")),12)="subscription",LOWER(TRIM($F38&amp;""))="membership"),"",IF(LOWER(TRIM($D38&amp;""))="estimate","N/A",IF(LOWER($L38&amp;"")="yes",0,IF(OR(AND($H38&lt;&gt;"",$H38=0),LEFT(LOWER(TRIM($F38&amp;"")),9)="free game",LOWER(TRIM($F38&amp;""))="free",LOWER(TRIM($F38&amp;""))="free entry"),IF(ISNUMBER($K38),$K38,""),IF($K38&lt;&gt;"",$K38,""))))))</ns0:f>
      </ns0:c>
      <ns0:c r="Q38" s="114">
        <ns0:f>IF(COUNTA($A38:$M38)=0,"",IF(OR($U38="Subscription",$U38=""),"",IF($U38="Estimate","N/A",IF($U38="Profit",ROUND(IFERROR($P38,0)-IFERROR($H38,0),2),0))))</ns0:f>
      </ns0:c>
      <ns0:c r="R38" s="114">
        <ns0:f>IF(COUNTA($A38:$M38)=0,"",IF(OR($U38="Subscription",$U38=""),"",IF($U38="Estimate","N/A",IF($U38="Draw",$H38,0))))</ns0:f>
      </ns0:c>
      <ns0:c r="S38" s="114">
        <ns0:f>IF(COUNTA($A38:$M38)=0,"",IF(OR($U38="Subscription",$U38=""),"",IF($U38="Estimate","N/A",IF($U38="Disqualified",$H38,0))))</ns0:f>
      </ns0:c>
      <ns0:c r="T38" s="955">
        <ns0:f>IF(COUNTA($A38:$M38)=0,"",IF(OR($U38="Subscription",$U38=""),"",IF($U38="Estimate","N/A",IF(OR($U38="Free Game",$U38="Disqualified — Free Game",$H38=0),"N/A",IF($U38="Profit",$Q38/$H38,IF($U38="Disqualified",-$S38/$H38,0))))))</ns0:f>
      </ns0:c>
      <ns0:c r="U38" s="920">
        <ns0:f>IF(COUNTA($A38:$M38)=0,"",IF(OR(LEFT(LOWER(TRIM($F38&amp;"")),12)="subscription",LOWER(TRIM($F38&amp;""))="membership"),"Subscription",IF(LOWER(TRIM($D38&amp;""))="estimate","Estimate",IF(OR(AND($H38&lt;&gt;"",$H38=0),LEFT(LOWER(TRIM($F38&amp;"")),9)="free game",LOWER(TRIM($F38&amp;""))="free",LOWER(TRIM($F38&amp;""))="free entry"),IF(LOWER($L38&amp;"")="yes","Disqualified — Free Game","Free Game"),IF(LOWER($L38&amp;"")="yes","Disqualified",IF($P38="","",IF(ROUND(IFERROR(VALUE($P38),0)-IFERROR(VALUE($H38),0),2)&gt;0,"Profit","Draw")))))))</ns0:f>
      </ns0:c>
      <ns0:c r="V38" s="956" t="str">
        <ns0:f>IF(COUNTA($A38:$M38)=0,"",IF(OR($B38="",$C38="",$U38="Subscription"),"",IFERROR(ROUNDUP(($C38-$B38)/7,0),"")))</ns0:f>
      </ns0:c>
      <ns0:c r="W38" s="114">
        <ns0:f>IF(COUNTA($A38:$M38)=0,"",IF(OR($U38="Subscription",$U38=""),"",IF($U38="Estimate","N/A",IF(OR($U38="Free Game",$U38="Disqualified — Free Game"),0,ROUND(IFERROR($Q38,0)-IFERROR($S38,0),2)))))</ns0:f>
      </ns0:c>
      <ns0:c r="X38" s="956" t="str">
        <ns0:f>IF(COUNTA($A38:$M38)=0,"",IF(OR($U38="Subscription",NOT(ISNUMBER($J38)),NOT(ISNUMBER($I38)),$J38=0,$I38=0,$I38&gt;$J38),"",$J38-$I38))</ns0:f>
      </ns0:c>
      <ns0:c r="Y38" s="955" t="str">
        <ns0:f>IF(COUNTA($A38:$M38)=0,"",IF(OR($U38="Subscription",NOT(ISNUMBER($J38)),$J38=0,$X38=""),"",$X38/$J38))</ns0:f>
      </ns0:c>
      <ns0:c r="Z38" s="957" t="str">
        <ns0:f>IF(COUNTA($A38:$M38)=0,"",Instructions!$B$29+SUM($W$5:W38))</ns0:f>
      </ns0:c>
    </ns0:row>
    <ns0:row r="39" ht="36" customHeight="1">
      <ns0:c r="A39" s="439"/>
      <ns0:c r="B39" s="453"/>
      <ns0:c r="C39" s="453"/>
      <ns0:c r="D39" s="454"/>
      <ns0:c r="E39" s="454"/>
      <ns0:c r="F39" s="454"/>
      <ns0:c r="G39" s="986"/>
      <ns0:c r="H39" s="455"/>
      <ns0:c r="I39" s="456"/>
      <ns0:c r="J39" s="456"/>
      <ns0:c r="K39" s="986"/>
      <ns0:c r="L39" s="454"/>
      <ns0:c r="M39" s="439"/>
      <ns0:c r="N39" s="987" t="str">
        <ns0:f>IF(COUNTA($A39:$M39)=0,"",IF(OR(LEFT(LOWER(TRIM($F39&amp;"")),12)="subscription",LOWER(TRIM($F39&amp;""))="membership"),"",IF(OR(AND($H39&lt;&gt;"",$H39=0),LEFT(LOWER(TRIM($F39&amp;"")),9)="free game",LOWER(TRIM($F39&amp;""))="free",LOWER(TRIM($F39&amp;""))="free entry"),IF(ISNUMBER($G39),IF(ISNUMBER(SEARCH("non",LOWER($E39&amp;""))),$G39*0.85,$G39),"N/A"),IF($G39="","",IFERROR(IF(ISNUMBER(SEARCH("non",LOWER($E39&amp;""))),$G39*0.85,$G39),"")))))</ns0:f>
        <ns0:v/>
      </ns0:c>
      <ns0:c r="O39" s="987" t="str">
        <ns0:f>IF(COUNTA($A39:$M39)=0,"",IF(OR(LEFT(LOWER(TRIM($F39&amp;"")),12)="subscription",LOWER(TRIM($F39&amp;""))="membership"),"",IF(OR(AND($H39&lt;&gt;"",$H39=0),LEFT(LOWER(TRIM($F39&amp;"")),9)="free game",LOWER(TRIM($F39&amp;""))="free",LOWER(TRIM($F39&amp;""))="free entry"),IF(OR(NOT(ISNUMBER($N39)),NOT(ISNUMBER($I39)),$I39=0),"N/A",IFERROR($N39/$I39,"N/A")),IF(OR($N39="",$I39="",$I39=0),"",IFERROR($N39/$I39,"")))))</ns0:f>
        <ns0:v/>
      </ns0:c>
      <ns0:c r="P39" s="987">
        <ns0:f>IF(COUNTA($A39:$M39)=0,"",IF(OR(LEFT(LOWER(TRIM($F39&amp;"")),12)="subscription",LOWER(TRIM($F39&amp;""))="membership"),"",IF(LOWER(TRIM($D39&amp;""))="estimate","N/A",IF(LOWER($L39&amp;"")="yes",0,IF(OR(AND($H39&lt;&gt;"",$H39=0),LEFT(LOWER(TRIM($F39&amp;"")),9)="free game",LOWER(TRIM($F39&amp;""))="free",LOWER(TRIM($F39&amp;""))="free entry"),IF(ISNUMBER($K39),$K39,""),IF($K39&lt;&gt;"",$K39,""))))))</ns0:f>
      </ns0:c>
      <ns0:c r="Q39" s="114">
        <ns0:f>IF(COUNTA($A39:$M39)=0,"",IF(OR($U39="Subscription",$U39=""),"",IF($U39="Estimate","N/A",IF($U39="Profit",ROUND(IFERROR($P39,0)-IFERROR($H39,0),2),0))))</ns0:f>
      </ns0:c>
      <ns0:c r="R39" s="114">
        <ns0:f>IF(COUNTA($A39:$M39)=0,"",IF(OR($U39="Subscription",$U39=""),"",IF($U39="Estimate","N/A",IF($U39="Draw",$H39,0))))</ns0:f>
      </ns0:c>
      <ns0:c r="S39" s="114">
        <ns0:f>IF(COUNTA($A39:$M39)=0,"",IF(OR($U39="Subscription",$U39=""),"",IF($U39="Estimate","N/A",IF($U39="Disqualified",$H39,0))))</ns0:f>
      </ns0:c>
      <ns0:c r="T39" s="955">
        <ns0:f>IF(COUNTA($A39:$M39)=0,"",IF(OR($U39="Subscription",$U39=""),"",IF($U39="Estimate","N/A",IF(OR($U39="Free Game",$U39="Disqualified — Free Game",$H39=0),"N/A",IF($U39="Profit",$Q39/$H39,IF($U39="Disqualified",-$S39/$H39,0))))))</ns0:f>
      </ns0:c>
      <ns0:c r="U39" s="920">
        <ns0:f>IF(COUNTA($A39:$M39)=0,"",IF(OR(LEFT(LOWER(TRIM($F39&amp;"")),12)="subscription",LOWER(TRIM($F39&amp;""))="membership"),"Subscription",IF(LOWER(TRIM($D39&amp;""))="estimate","Estimate",IF(OR(AND($H39&lt;&gt;"",$H39=0),LEFT(LOWER(TRIM($F39&amp;"")),9)="free game",LOWER(TRIM($F39&amp;""))="free",LOWER(TRIM($F39&amp;""))="free entry"),IF(LOWER($L39&amp;"")="yes","Disqualified — Free Game","Free Game"),IF(LOWER($L39&amp;"")="yes","Disqualified",IF($P39="","",IF(ROUND(IFERROR(VALUE($P39),0)-IFERROR(VALUE($H39),0),2)&gt;0,"Profit","Draw")))))))</ns0:f>
      </ns0:c>
      <ns0:c r="V39" s="956" t="str">
        <ns0:f>IF(COUNTA($A39:$M39)=0,"",IF(OR($B39="",$C39="",$U39="Subscription"),"",IFERROR(ROUNDUP(($C39-$B39)/7,0),"")))</ns0:f>
      </ns0:c>
      <ns0:c r="W39" s="114">
        <ns0:f>IF(COUNTA($A39:$M39)=0,"",IF(OR($U39="Subscription",$U39=""),"",IF($U39="Estimate","N/A",IF(OR($U39="Free Game",$U39="Disqualified — Free Game"),0,ROUND(IFERROR($Q39,0)-IFERROR($S39,0),2)))))</ns0:f>
      </ns0:c>
      <ns0:c r="X39" s="956" t="str">
        <ns0:f>IF(COUNTA($A39:$M39)=0,"",IF(OR($U39="Subscription",NOT(ISNUMBER($J39)),NOT(ISNUMBER($I39)),$J39=0,$I39=0,$I39&gt;$J39),"",$J39-$I39))</ns0:f>
      </ns0:c>
      <ns0:c r="Y39" s="955" t="str">
        <ns0:f>IF(COUNTA($A39:$M39)=0,"",IF(OR($U39="Subscription",NOT(ISNUMBER($J39)),$J39=0,$X39=""),"",$X39/$J39))</ns0:f>
      </ns0:c>
      <ns0:c r="Z39" s="957" t="str">
        <ns0:f>IF(COUNTA($A39:$M39)=0,"",Instructions!$B$29+SUM($W$5:W39))</ns0:f>
      </ns0:c>
    </ns0:row>
    <ns0:row r="40" ht="36" customHeight="1">
      <ns0:c r="A40" s="439"/>
      <ns0:c r="B40" s="453"/>
      <ns0:c r="C40" s="453"/>
      <ns0:c r="D40" s="454"/>
      <ns0:c r="E40" s="454"/>
      <ns0:c r="F40" s="454"/>
      <ns0:c r="G40" s="986"/>
      <ns0:c r="H40" s="455"/>
      <ns0:c r="I40" s="456"/>
      <ns0:c r="J40" s="456"/>
      <ns0:c r="K40" s="986"/>
      <ns0:c r="L40" s="454"/>
      <ns0:c r="M40" s="439"/>
      <ns0:c r="N40" s="987" t="str">
        <ns0:f>IF(COUNTA($A40:$M40)=0,"",IF(OR(LEFT(LOWER(TRIM($F40&amp;"")),12)="subscription",LOWER(TRIM($F40&amp;""))="membership"),"",IF(OR(AND($H40&lt;&gt;"",$H40=0),LEFT(LOWER(TRIM($F40&amp;"")),9)="free game",LOWER(TRIM($F40&amp;""))="free",LOWER(TRIM($F40&amp;""))="free entry"),IF(ISNUMBER($G40),IF(ISNUMBER(SEARCH("non",LOWER($E40&amp;""))),$G40*0.85,$G40),"N/A"),IF($G40="","",IFERROR(IF(ISNUMBER(SEARCH("non",LOWER($E40&amp;""))),$G40*0.85,$G40),"")))))</ns0:f>
        <ns0:v/>
      </ns0:c>
      <ns0:c r="O40" s="987" t="str">
        <ns0:f>IF(COUNTA($A40:$M40)=0,"",IF(OR(LEFT(LOWER(TRIM($F40&amp;"")),12)="subscription",LOWER(TRIM($F40&amp;""))="membership"),"",IF(OR(AND($H40&lt;&gt;"",$H40=0),LEFT(LOWER(TRIM($F40&amp;"")),9)="free game",LOWER(TRIM($F40&amp;""))="free",LOWER(TRIM($F40&amp;""))="free entry"),IF(OR(NOT(ISNUMBER($N40)),NOT(ISNUMBER($I40)),$I40=0),"N/A",IFERROR($N40/$I40,"N/A")),IF(OR($N40="",$I40="",$I40=0),"",IFERROR($N40/$I40,"")))))</ns0:f>
        <ns0:v/>
      </ns0:c>
      <ns0:c r="P40" s="987">
        <ns0:f>IF(COUNTA($A40:$M40)=0,"",IF(OR(LEFT(LOWER(TRIM($F40&amp;"")),12)="subscription",LOWER(TRIM($F40&amp;""))="membership"),"",IF(LOWER(TRIM($D40&amp;""))="estimate","N/A",IF(LOWER($L40&amp;"")="yes",0,IF(OR(AND($H40&lt;&gt;"",$H40=0),LEFT(LOWER(TRIM($F40&amp;"")),9)="free game",LOWER(TRIM($F40&amp;""))="free",LOWER(TRIM($F40&amp;""))="free entry"),IF(ISNUMBER($K40),$K40,""),IF($K40&lt;&gt;"",$K40,""))))))</ns0:f>
      </ns0:c>
      <ns0:c r="Q40" s="114">
        <ns0:f>IF(COUNTA($A40:$M40)=0,"",IF(OR($U40="Subscription",$U40=""),"",IF($U40="Estimate","N/A",IF($U40="Profit",ROUND(IFERROR($P40,0)-IFERROR($H40,0),2),0))))</ns0:f>
      </ns0:c>
      <ns0:c r="R40" s="114">
        <ns0:f>IF(COUNTA($A40:$M40)=0,"",IF(OR($U40="Subscription",$U40=""),"",IF($U40="Estimate","N/A",IF($U40="Draw",$H40,0))))</ns0:f>
      </ns0:c>
      <ns0:c r="S40" s="114">
        <ns0:f>IF(COUNTA($A40:$M40)=0,"",IF(OR($U40="Subscription",$U40=""),"",IF($U40="Estimate","N/A",IF($U40="Disqualified",$H40,0))))</ns0:f>
      </ns0:c>
      <ns0:c r="T40" s="955">
        <ns0:f>IF(COUNTA($A40:$M40)=0,"",IF(OR($U40="Subscription",$U40=""),"",IF($U40="Estimate","N/A",IF(OR($U40="Free Game",$U40="Disqualified — Free Game",$H40=0),"N/A",IF($U40="Profit",$Q40/$H40,IF($U40="Disqualified",-$S40/$H40,0))))))</ns0:f>
      </ns0:c>
      <ns0:c r="U40" s="920">
        <ns0:f>IF(COUNTA($A40:$M40)=0,"",IF(OR(LEFT(LOWER(TRIM($F40&amp;"")),12)="subscription",LOWER(TRIM($F40&amp;""))="membership"),"Subscription",IF(LOWER(TRIM($D40&amp;""))="estimate","Estimate",IF(OR(AND($H40&lt;&gt;"",$H40=0),LEFT(LOWER(TRIM($F40&amp;"")),9)="free game",LOWER(TRIM($F40&amp;""))="free",LOWER(TRIM($F40&amp;""))="free entry"),IF(LOWER($L40&amp;"")="yes","Disqualified — Free Game","Free Game"),IF(LOWER($L40&amp;"")="yes","Disqualified",IF($P40="","",IF(ROUND(IFERROR(VALUE($P40),0)-IFERROR(VALUE($H40),0),2)&gt;0,"Profit","Draw")))))))</ns0:f>
      </ns0:c>
      <ns0:c r="V40" s="956" t="str">
        <ns0:f>IF(COUNTA($A40:$M40)=0,"",IF(OR($B40="",$C40="",$U40="Subscription"),"",IFERROR(ROUNDUP(($C40-$B40)/7,0),"")))</ns0:f>
      </ns0:c>
      <ns0:c r="W40" s="114">
        <ns0:f>IF(COUNTA($A40:$M40)=0,"",IF(OR($U40="Subscription",$U40=""),"",IF($U40="Estimate","N/A",IF(OR($U40="Free Game",$U40="Disqualified — Free Game"),0,ROUND(IFERROR($Q40,0)-IFERROR($S40,0),2)))))</ns0:f>
      </ns0:c>
      <ns0:c r="X40" s="956" t="str">
        <ns0:f>IF(COUNTA($A40:$M40)=0,"",IF(OR($U40="Subscription",NOT(ISNUMBER($J40)),NOT(ISNUMBER($I40)),$J40=0,$I40=0,$I40&gt;$J40),"",$J40-$I40))</ns0:f>
      </ns0:c>
      <ns0:c r="Y40" s="955" t="str">
        <ns0:f>IF(COUNTA($A40:$M40)=0,"",IF(OR($U40="Subscription",NOT(ISNUMBER($J40)),$J40=0,$X40=""),"",$X40/$J40))</ns0:f>
      </ns0:c>
      <ns0:c r="Z40" s="957" t="str">
        <ns0:f>IF(COUNTA($A40:$M40)=0,"",Instructions!$B$29+SUM($W$5:W40))</ns0:f>
      </ns0:c>
    </ns0:row>
    <ns0:row r="41" ht="36" customHeight="1">
      <ns0:c r="A41" s="439"/>
      <ns0:c r="B41" s="453"/>
      <ns0:c r="C41" s="453"/>
      <ns0:c r="D41" s="454"/>
      <ns0:c r="E41" s="454"/>
      <ns0:c r="F41" s="454"/>
      <ns0:c r="G41" s="986"/>
      <ns0:c r="H41" s="455"/>
      <ns0:c r="I41" s="456"/>
      <ns0:c r="J41" s="456"/>
      <ns0:c r="K41" s="986"/>
      <ns0:c r="L41" s="454"/>
      <ns0:c r="M41" s="439"/>
      <ns0:c r="N41" s="987" t="str">
        <ns0:f>IF(COUNTA($A41:$M41)=0,"",IF(OR(LEFT(LOWER(TRIM($F41&amp;"")),12)="subscription",LOWER(TRIM($F41&amp;""))="membership"),"",IF(OR(AND($H41&lt;&gt;"",$H41=0),LEFT(LOWER(TRIM($F41&amp;"")),9)="free game",LOWER(TRIM($F41&amp;""))="free",LOWER(TRIM($F41&amp;""))="free entry"),IF(ISNUMBER($G41),IF(ISNUMBER(SEARCH("non",LOWER($E41&amp;""))),$G41*0.85,$G41),"N/A"),IF($G41="","",IFERROR(IF(ISNUMBER(SEARCH("non",LOWER($E41&amp;""))),$G41*0.85,$G41),"")))))</ns0:f>
        <ns0:v/>
      </ns0:c>
      <ns0:c r="O41" s="987" t="str">
        <ns0:f>IF(COUNTA($A41:$M41)=0,"",IF(OR(LEFT(LOWER(TRIM($F41&amp;"")),12)="subscription",LOWER(TRIM($F41&amp;""))="membership"),"",IF(OR(AND($H41&lt;&gt;"",$H41=0),LEFT(LOWER(TRIM($F41&amp;"")),9)="free game",LOWER(TRIM($F41&amp;""))="free",LOWER(TRIM($F41&amp;""))="free entry"),IF(OR(NOT(ISNUMBER($N41)),NOT(ISNUMBER($I41)),$I41=0),"N/A",IFERROR($N41/$I41,"N/A")),IF(OR($N41="",$I41="",$I41=0),"",IFERROR($N41/$I41,"")))))</ns0:f>
        <ns0:v/>
      </ns0:c>
      <ns0:c r="P41" s="987">
        <ns0:f>IF(COUNTA($A41:$M41)=0,"",IF(OR(LEFT(LOWER(TRIM($F41&amp;"")),12)="subscription",LOWER(TRIM($F41&amp;""))="membership"),"",IF(LOWER(TRIM($D41&amp;""))="estimate","N/A",IF(LOWER($L41&amp;"")="yes",0,IF(OR(AND($H41&lt;&gt;"",$H41=0),LEFT(LOWER(TRIM($F41&amp;"")),9)="free game",LOWER(TRIM($F41&amp;""))="free",LOWER(TRIM($F41&amp;""))="free entry"),IF(ISNUMBER($K41),$K41,""),IF($K41&lt;&gt;"",$K41,""))))))</ns0:f>
      </ns0:c>
      <ns0:c r="Q41" s="114">
        <ns0:f>IF(COUNTA($A41:$M41)=0,"",IF(OR($U41="Subscription",$U41=""),"",IF($U41="Estimate","N/A",IF($U41="Profit",ROUND(IFERROR($P41,0)-IFERROR($H41,0),2),0))))</ns0:f>
      </ns0:c>
      <ns0:c r="R41" s="114">
        <ns0:f>IF(COUNTA($A41:$M41)=0,"",IF(OR($U41="Subscription",$U41=""),"",IF($U41="Estimate","N/A",IF($U41="Draw",$H41,0))))</ns0:f>
      </ns0:c>
      <ns0:c r="S41" s="114">
        <ns0:f>IF(COUNTA($A41:$M41)=0,"",IF(OR($U41="Subscription",$U41=""),"",IF($U41="Estimate","N/A",IF($U41="Disqualified",$H41,0))))</ns0:f>
      </ns0:c>
      <ns0:c r="T41" s="955">
        <ns0:f>IF(COUNTA($A41:$M41)=0,"",IF(OR($U41="Subscription",$U41=""),"",IF($U41="Estimate","N/A",IF(OR($U41="Free Game",$U41="Disqualified — Free Game",$H41=0),"N/A",IF($U41="Profit",$Q41/$H41,IF($U41="Disqualified",-$S41/$H41,0))))))</ns0:f>
      </ns0:c>
      <ns0:c r="U41" s="920">
        <ns0:f>IF(COUNTA($A41:$M41)=0,"",IF(OR(LEFT(LOWER(TRIM($F41&amp;"")),12)="subscription",LOWER(TRIM($F41&amp;""))="membership"),"Subscription",IF(LOWER(TRIM($D41&amp;""))="estimate","Estimate",IF(OR(AND($H41&lt;&gt;"",$H41=0),LEFT(LOWER(TRIM($F41&amp;"")),9)="free game",LOWER(TRIM($F41&amp;""))="free",LOWER(TRIM($F41&amp;""))="free entry"),IF(LOWER($L41&amp;"")="yes","Disqualified — Free Game","Free Game"),IF(LOWER($L41&amp;"")="yes","Disqualified",IF($P41="","",IF(ROUND(IFERROR(VALUE($P41),0)-IFERROR(VALUE($H41),0),2)&gt;0,"Profit","Draw")))))))</ns0:f>
      </ns0:c>
      <ns0:c r="V41" s="956" t="str">
        <ns0:f>IF(COUNTA($A41:$M41)=0,"",IF(OR($B41="",$C41="",$U41="Subscription"),"",IFERROR(ROUNDUP(($C41-$B41)/7,0),"")))</ns0:f>
      </ns0:c>
      <ns0:c r="W41" s="114">
        <ns0:f>IF(COUNTA($A41:$M41)=0,"",IF(OR($U41="Subscription",$U41=""),"",IF($U41="Estimate","N/A",IF(OR($U41="Free Game",$U41="Disqualified — Free Game"),0,ROUND(IFERROR($Q41,0)-IFERROR($S41,0),2)))))</ns0:f>
      </ns0:c>
      <ns0:c r="X41" s="956" t="str">
        <ns0:f>IF(COUNTA($A41:$M41)=0,"",IF(OR($U41="Subscription",NOT(ISNUMBER($J41)),NOT(ISNUMBER($I41)),$J41=0,$I41=0,$I41&gt;$J41),"",$J41-$I41))</ns0:f>
      </ns0:c>
      <ns0:c r="Y41" s="955" t="str">
        <ns0:f>IF(COUNTA($A41:$M41)=0,"",IF(OR($U41="Subscription",NOT(ISNUMBER($J41)),$J41=0,$X41=""),"",$X41/$J41))</ns0:f>
      </ns0:c>
      <ns0:c r="Z41" s="957" t="str">
        <ns0:f>IF(COUNTA($A41:$M41)=0,"",Instructions!$B$29+SUM($W$5:W41))</ns0:f>
      </ns0:c>
    </ns0:row>
    <ns0:row r="42" ht="36" customHeight="1">
      <ns0:c r="A42" s="439"/>
      <ns0:c r="B42" s="453"/>
      <ns0:c r="C42" s="453"/>
      <ns0:c r="D42" s="454"/>
      <ns0:c r="E42" s="454"/>
      <ns0:c r="F42" s="454"/>
      <ns0:c r="G42" s="986"/>
      <ns0:c r="H42" s="455"/>
      <ns0:c r="I42" s="456"/>
      <ns0:c r="J42" s="456"/>
      <ns0:c r="K42" s="986"/>
      <ns0:c r="L42" s="454"/>
      <ns0:c r="M42" s="439"/>
      <ns0:c r="N42" s="987" t="str">
        <ns0:f>IF(COUNTA($A42:$M42)=0,"",IF(OR(LEFT(LOWER(TRIM($F42&amp;"")),12)="subscription",LOWER(TRIM($F42&amp;""))="membership"),"",IF(OR(AND($H42&lt;&gt;"",$H42=0),LEFT(LOWER(TRIM($F42&amp;"")),9)="free game",LOWER(TRIM($F42&amp;""))="free",LOWER(TRIM($F42&amp;""))="free entry"),IF(ISNUMBER($G42),IF(ISNUMBER(SEARCH("non",LOWER($E42&amp;""))),$G42*0.85,$G42),"N/A"),IF($G42="","",IFERROR(IF(ISNUMBER(SEARCH("non",LOWER($E42&amp;""))),$G42*0.85,$G42),"")))))</ns0:f>
        <ns0:v/>
      </ns0:c>
      <ns0:c r="O42" s="987" t="str">
        <ns0:f>IF(COUNTA($A42:$M42)=0,"",IF(OR(LEFT(LOWER(TRIM($F42&amp;"")),12)="subscription",LOWER(TRIM($F42&amp;""))="membership"),"",IF(OR(AND($H42&lt;&gt;"",$H42=0),LEFT(LOWER(TRIM($F42&amp;"")),9)="free game",LOWER(TRIM($F42&amp;""))="free",LOWER(TRIM($F42&amp;""))="free entry"),IF(OR(NOT(ISNUMBER($N42)),NOT(ISNUMBER($I42)),$I42=0),"N/A",IFERROR($N42/$I42,"N/A")),IF(OR($N42="",$I42="",$I42=0),"",IFERROR($N42/$I42,"")))))</ns0:f>
        <ns0:v/>
      </ns0:c>
      <ns0:c r="P42" s="987">
        <ns0:f>IF(COUNTA($A42:$M42)=0,"",IF(OR(LEFT(LOWER(TRIM($F42&amp;"")),12)="subscription",LOWER(TRIM($F42&amp;""))="membership"),"",IF(LOWER(TRIM($D42&amp;""))="estimate","N/A",IF(LOWER($L42&amp;"")="yes",0,IF(OR(AND($H42&lt;&gt;"",$H42=0),LEFT(LOWER(TRIM($F42&amp;"")),9)="free game",LOWER(TRIM($F42&amp;""))="free",LOWER(TRIM($F42&amp;""))="free entry"),IF(ISNUMBER($K42),$K42,""),IF($K42&lt;&gt;"",$K42,""))))))</ns0:f>
      </ns0:c>
      <ns0:c r="Q42" s="114">
        <ns0:f>IF(COUNTA($A42:$M42)=0,"",IF(OR($U42="Subscription",$U42=""),"",IF($U42="Estimate","N/A",IF($U42="Profit",ROUND(IFERROR($P42,0)-IFERROR($H42,0),2),0))))</ns0:f>
      </ns0:c>
      <ns0:c r="R42" s="114">
        <ns0:f>IF(COUNTA($A42:$M42)=0,"",IF(OR($U42="Subscription",$U42=""),"",IF($U42="Estimate","N/A",IF($U42="Draw",$H42,0))))</ns0:f>
      </ns0:c>
      <ns0:c r="S42" s="114">
        <ns0:f>IF(COUNTA($A42:$M42)=0,"",IF(OR($U42="Subscription",$U42=""),"",IF($U42="Estimate","N/A",IF($U42="Disqualified",$H42,0))))</ns0:f>
      </ns0:c>
      <ns0:c r="T42" s="955">
        <ns0:f>IF(COUNTA($A42:$M42)=0,"",IF(OR($U42="Subscription",$U42=""),"",IF($U42="Estimate","N/A",IF(OR($U42="Free Game",$U42="Disqualified — Free Game",$H42=0),"N/A",IF($U42="Profit",$Q42/$H42,IF($U42="Disqualified",-$S42/$H42,0))))))</ns0:f>
      </ns0:c>
      <ns0:c r="U42" s="920">
        <ns0:f>IF(COUNTA($A42:$M42)=0,"",IF(OR(LEFT(LOWER(TRIM($F42&amp;"")),12)="subscription",LOWER(TRIM($F42&amp;""))="membership"),"Subscription",IF(LOWER(TRIM($D42&amp;""))="estimate","Estimate",IF(OR(AND($H42&lt;&gt;"",$H42=0),LEFT(LOWER(TRIM($F42&amp;"")),9)="free game",LOWER(TRIM($F42&amp;""))="free",LOWER(TRIM($F42&amp;""))="free entry"),IF(LOWER($L42&amp;"")="yes","Disqualified — Free Game","Free Game"),IF(LOWER($L42&amp;"")="yes","Disqualified",IF($P42="","",IF(ROUND(IFERROR(VALUE($P42),0)-IFERROR(VALUE($H42),0),2)&gt;0,"Profit","Draw")))))))</ns0:f>
      </ns0:c>
      <ns0:c r="V42" s="956" t="str">
        <ns0:f>IF(COUNTA($A42:$M42)=0,"",IF(OR($B42="",$C42="",$U42="Subscription"),"",IFERROR(ROUNDUP(($C42-$B42)/7,0),"")))</ns0:f>
      </ns0:c>
      <ns0:c r="W42" s="114">
        <ns0:f>IF(COUNTA($A42:$M42)=0,"",IF(OR($U42="Subscription",$U42=""),"",IF($U42="Estimate","N/A",IF(OR($U42="Free Game",$U42="Disqualified — Free Game"),0,ROUND(IFERROR($Q42,0)-IFERROR($S42,0),2)))))</ns0:f>
      </ns0:c>
      <ns0:c r="X42" s="956" t="str">
        <ns0:f>IF(COUNTA($A42:$M42)=0,"",IF(OR($U42="Subscription",NOT(ISNUMBER($J42)),NOT(ISNUMBER($I42)),$J42=0,$I42=0,$I42&gt;$J42),"",$J42-$I42))</ns0:f>
      </ns0:c>
      <ns0:c r="Y42" s="955" t="str">
        <ns0:f>IF(COUNTA($A42:$M42)=0,"",IF(OR($U42="Subscription",NOT(ISNUMBER($J42)),$J42=0,$X42=""),"",$X42/$J42))</ns0:f>
      </ns0:c>
      <ns0:c r="Z42" s="957" t="str">
        <ns0:f>IF(COUNTA($A42:$M42)=0,"",Instructions!$B$29+SUM($W$5:W42))</ns0:f>
      </ns0:c>
    </ns0:row>
    <ns0:row r="43" ht="36" customHeight="1">
      <ns0:c r="A43" s="439"/>
      <ns0:c r="B43" s="453"/>
      <ns0:c r="C43" s="453"/>
      <ns0:c r="D43" s="454"/>
      <ns0:c r="E43" s="454"/>
      <ns0:c r="F43" s="454"/>
      <ns0:c r="G43" s="986"/>
      <ns0:c r="H43" s="455"/>
      <ns0:c r="I43" s="456"/>
      <ns0:c r="J43" s="456"/>
      <ns0:c r="K43" s="986"/>
      <ns0:c r="L43" s="454"/>
      <ns0:c r="M43" s="439"/>
      <ns0:c r="N43" s="987" t="str">
        <ns0:f>IF(COUNTA($A43:$M43)=0,"",IF(OR(LEFT(LOWER(TRIM($F43&amp;"")),12)="subscription",LOWER(TRIM($F43&amp;""))="membership"),"",IF(OR(AND($H43&lt;&gt;"",$H43=0),LEFT(LOWER(TRIM($F43&amp;"")),9)="free game",LOWER(TRIM($F43&amp;""))="free",LOWER(TRIM($F43&amp;""))="free entry"),IF(ISNUMBER($G43),IF(ISNUMBER(SEARCH("non",LOWER($E43&amp;""))),$G43*0.85,$G43),"N/A"),IF($G43="","",IFERROR(IF(ISNUMBER(SEARCH("non",LOWER($E43&amp;""))),$G43*0.85,$G43),"")))))</ns0:f>
        <ns0:v/>
      </ns0:c>
      <ns0:c r="O43" s="987" t="str">
        <ns0:f>IF(COUNTA($A43:$M43)=0,"",IF(OR(LEFT(LOWER(TRIM($F43&amp;"")),12)="subscription",LOWER(TRIM($F43&amp;""))="membership"),"",IF(OR(AND($H43&lt;&gt;"",$H43=0),LEFT(LOWER(TRIM($F43&amp;"")),9)="free game",LOWER(TRIM($F43&amp;""))="free",LOWER(TRIM($F43&amp;""))="free entry"),IF(OR(NOT(ISNUMBER($N43)),NOT(ISNUMBER($I43)),$I43=0),"N/A",IFERROR($N43/$I43,"N/A")),IF(OR($N43="",$I43="",$I43=0),"",IFERROR($N43/$I43,"")))))</ns0:f>
        <ns0:v/>
      </ns0:c>
      <ns0:c r="P43" s="987">
        <ns0:f>IF(COUNTA($A43:$M43)=0,"",IF(OR(LEFT(LOWER(TRIM($F43&amp;"")),12)="subscription",LOWER(TRIM($F43&amp;""))="membership"),"",IF(LOWER(TRIM($D43&amp;""))="estimate","N/A",IF(LOWER($L43&amp;"")="yes",0,IF(OR(AND($H43&lt;&gt;"",$H43=0),LEFT(LOWER(TRIM($F43&amp;"")),9)="free game",LOWER(TRIM($F43&amp;""))="free",LOWER(TRIM($F43&amp;""))="free entry"),IF(ISNUMBER($K43),$K43,""),IF($K43&lt;&gt;"",$K43,""))))))</ns0:f>
      </ns0:c>
      <ns0:c r="Q43" s="114">
        <ns0:f>IF(COUNTA($A43:$M43)=0,"",IF(OR($U43="Subscription",$U43=""),"",IF($U43="Estimate","N/A",IF($U43="Profit",ROUND(IFERROR($P43,0)-IFERROR($H43,0),2),0))))</ns0:f>
      </ns0:c>
      <ns0:c r="R43" s="114">
        <ns0:f>IF(COUNTA($A43:$M43)=0,"",IF(OR($U43="Subscription",$U43=""),"",IF($U43="Estimate","N/A",IF($U43="Draw",$H43,0))))</ns0:f>
      </ns0:c>
      <ns0:c r="S43" s="114">
        <ns0:f>IF(COUNTA($A43:$M43)=0,"",IF(OR($U43="Subscription",$U43=""),"",IF($U43="Estimate","N/A",IF($U43="Disqualified",$H43,0))))</ns0:f>
      </ns0:c>
      <ns0:c r="T43" s="955">
        <ns0:f>IF(COUNTA($A43:$M43)=0,"",IF(OR($U43="Subscription",$U43=""),"",IF($U43="Estimate","N/A",IF(OR($U43="Free Game",$U43="Disqualified — Free Game",$H43=0),"N/A",IF($U43="Profit",$Q43/$H43,IF($U43="Disqualified",-$S43/$H43,0))))))</ns0:f>
      </ns0:c>
      <ns0:c r="U43" s="920">
        <ns0:f>IF(COUNTA($A43:$M43)=0,"",IF(OR(LEFT(LOWER(TRIM($F43&amp;"")),12)="subscription",LOWER(TRIM($F43&amp;""))="membership"),"Subscription",IF(LOWER(TRIM($D43&amp;""))="estimate","Estimate",IF(OR(AND($H43&lt;&gt;"",$H43=0),LEFT(LOWER(TRIM($F43&amp;"")),9)="free game",LOWER(TRIM($F43&amp;""))="free",LOWER(TRIM($F43&amp;""))="free entry"),IF(LOWER($L43&amp;"")="yes","Disqualified — Free Game","Free Game"),IF(LOWER($L43&amp;"")="yes","Disqualified",IF($P43="","",IF(ROUND(IFERROR(VALUE($P43),0)-IFERROR(VALUE($H43),0),2)&gt;0,"Profit","Draw")))))))</ns0:f>
      </ns0:c>
      <ns0:c r="V43" s="956" t="str">
        <ns0:f>IF(COUNTA($A43:$M43)=0,"",IF(OR($B43="",$C43="",$U43="Subscription"),"",IFERROR(ROUNDUP(($C43-$B43)/7,0),"")))</ns0:f>
      </ns0:c>
      <ns0:c r="W43" s="114">
        <ns0:f>IF(COUNTA($A43:$M43)=0,"",IF(OR($U43="Subscription",$U43=""),"",IF($U43="Estimate","N/A",IF(OR($U43="Free Game",$U43="Disqualified — Free Game"),0,ROUND(IFERROR($Q43,0)-IFERROR($S43,0),2)))))</ns0:f>
      </ns0:c>
      <ns0:c r="X43" s="956" t="str">
        <ns0:f>IF(COUNTA($A43:$M43)=0,"",IF(OR($U43="Subscription",NOT(ISNUMBER($J43)),NOT(ISNUMBER($I43)),$J43=0,$I43=0,$I43&gt;$J43),"",$J43-$I43))</ns0:f>
      </ns0:c>
      <ns0:c r="Y43" s="955" t="str">
        <ns0:f>IF(COUNTA($A43:$M43)=0,"",IF(OR($U43="Subscription",NOT(ISNUMBER($J43)),$J43=0,$X43=""),"",$X43/$J43))</ns0:f>
      </ns0:c>
      <ns0:c r="Z43" s="957" t="str">
        <ns0:f>IF(COUNTA($A43:$M43)=0,"",Instructions!$B$29+SUM($W$5:W43))</ns0:f>
      </ns0:c>
    </ns0:row>
    <ns0:row r="44" ht="36" customHeight="1">
      <ns0:c r="A44" s="439"/>
      <ns0:c r="B44" s="453"/>
      <ns0:c r="C44" s="453"/>
      <ns0:c r="D44" s="454"/>
      <ns0:c r="E44" s="454"/>
      <ns0:c r="F44" s="454"/>
      <ns0:c r="G44" s="986"/>
      <ns0:c r="H44" s="455"/>
      <ns0:c r="I44" s="456"/>
      <ns0:c r="J44" s="456"/>
      <ns0:c r="K44" s="986"/>
      <ns0:c r="L44" s="454"/>
      <ns0:c r="M44" s="439"/>
      <ns0:c r="N44" s="987" t="str">
        <ns0:f>IF(COUNTA($A44:$M44)=0,"",IF(OR(LEFT(LOWER(TRIM($F44&amp;"")),12)="subscription",LOWER(TRIM($F44&amp;""))="membership"),"",IF(OR(AND($H44&lt;&gt;"",$H44=0),LEFT(LOWER(TRIM($F44&amp;"")),9)="free game",LOWER(TRIM($F44&amp;""))="free",LOWER(TRIM($F44&amp;""))="free entry"),IF(ISNUMBER($G44),IF(ISNUMBER(SEARCH("non",LOWER($E44&amp;""))),$G44*0.85,$G44),"N/A"),IF($G44="","",IFERROR(IF(ISNUMBER(SEARCH("non",LOWER($E44&amp;""))),$G44*0.85,$G44),"")))))</ns0:f>
        <ns0:v/>
      </ns0:c>
      <ns0:c r="O44" s="987" t="str">
        <ns0:f>IF(COUNTA($A44:$M44)=0,"",IF(OR(LEFT(LOWER(TRIM($F44&amp;"")),12)="subscription",LOWER(TRIM($F44&amp;""))="membership"),"",IF(OR(AND($H44&lt;&gt;"",$H44=0),LEFT(LOWER(TRIM($F44&amp;"")),9)="free game",LOWER(TRIM($F44&amp;""))="free",LOWER(TRIM($F44&amp;""))="free entry"),IF(OR(NOT(ISNUMBER($N44)),NOT(ISNUMBER($I44)),$I44=0),"N/A",IFERROR($N44/$I44,"N/A")),IF(OR($N44="",$I44="",$I44=0),"",IFERROR($N44/$I44,"")))))</ns0:f>
        <ns0:v/>
      </ns0:c>
      <ns0:c r="P44" s="987">
        <ns0:f>IF(COUNTA($A44:$M44)=0,"",IF(OR(LEFT(LOWER(TRIM($F44&amp;"")),12)="subscription",LOWER(TRIM($F44&amp;""))="membership"),"",IF(LOWER(TRIM($D44&amp;""))="estimate","N/A",IF(LOWER($L44&amp;"")="yes",0,IF(OR(AND($H44&lt;&gt;"",$H44=0),LEFT(LOWER(TRIM($F44&amp;"")),9)="free game",LOWER(TRIM($F44&amp;""))="free",LOWER(TRIM($F44&amp;""))="free entry"),IF(ISNUMBER($K44),$K44,""),IF($K44&lt;&gt;"",$K44,""))))))</ns0:f>
      </ns0:c>
      <ns0:c r="Q44" s="114">
        <ns0:f>IF(COUNTA($A44:$M44)=0,"",IF(OR($U44="Subscription",$U44=""),"",IF($U44="Estimate","N/A",IF($U44="Profit",ROUND(IFERROR($P44,0)-IFERROR($H44,0),2),0))))</ns0:f>
      </ns0:c>
      <ns0:c r="R44" s="114">
        <ns0:f>IF(COUNTA($A44:$M44)=0,"",IF(OR($U44="Subscription",$U44=""),"",IF($U44="Estimate","N/A",IF($U44="Draw",$H44,0))))</ns0:f>
      </ns0:c>
      <ns0:c r="S44" s="114">
        <ns0:f>IF(COUNTA($A44:$M44)=0,"",IF(OR($U44="Subscription",$U44=""),"",IF($U44="Estimate","N/A",IF($U44="Disqualified",$H44,0))))</ns0:f>
      </ns0:c>
      <ns0:c r="T44" s="955">
        <ns0:f>IF(COUNTA($A44:$M44)=0,"",IF(OR($U44="Subscription",$U44=""),"",IF($U44="Estimate","N/A",IF(OR($U44="Free Game",$U44="Disqualified — Free Game",$H44=0),"N/A",IF($U44="Profit",$Q44/$H44,IF($U44="Disqualified",-$S44/$H44,0))))))</ns0:f>
      </ns0:c>
      <ns0:c r="U44" s="920">
        <ns0:f>IF(COUNTA($A44:$M44)=0,"",IF(OR(LEFT(LOWER(TRIM($F44&amp;"")),12)="subscription",LOWER(TRIM($F44&amp;""))="membership"),"Subscription",IF(LOWER(TRIM($D44&amp;""))="estimate","Estimate",IF(OR(AND($H44&lt;&gt;"",$H44=0),LEFT(LOWER(TRIM($F44&amp;"")),9)="free game",LOWER(TRIM($F44&amp;""))="free",LOWER(TRIM($F44&amp;""))="free entry"),IF(LOWER($L44&amp;"")="yes","Disqualified — Free Game","Free Game"),IF(LOWER($L44&amp;"")="yes","Disqualified",IF($P44="","",IF(ROUND(IFERROR(VALUE($P44),0)-IFERROR(VALUE($H44),0),2)&gt;0,"Profit","Draw")))))))</ns0:f>
      </ns0:c>
      <ns0:c r="V44" s="956" t="str">
        <ns0:f>IF(COUNTA($A44:$M44)=0,"",IF(OR($B44="",$C44="",$U44="Subscription"),"",IFERROR(ROUNDUP(($C44-$B44)/7,0),"")))</ns0:f>
      </ns0:c>
      <ns0:c r="W44" s="114">
        <ns0:f>IF(COUNTA($A44:$M44)=0,"",IF(OR($U44="Subscription",$U44=""),"",IF($U44="Estimate","N/A",IF(OR($U44="Free Game",$U44="Disqualified — Free Game"),0,ROUND(IFERROR($Q44,0)-IFERROR($S44,0),2)))))</ns0:f>
      </ns0:c>
      <ns0:c r="X44" s="956" t="str">
        <ns0:f>IF(COUNTA($A44:$M44)=0,"",IF(OR($U44="Subscription",NOT(ISNUMBER($J44)),NOT(ISNUMBER($I44)),$J44=0,$I44=0,$I44&gt;$J44),"",$J44-$I44))</ns0:f>
      </ns0:c>
      <ns0:c r="Y44" s="955" t="str">
        <ns0:f>IF(COUNTA($A44:$M44)=0,"",IF(OR($U44="Subscription",NOT(ISNUMBER($J44)),$J44=0,$X44=""),"",$X44/$J44))</ns0:f>
      </ns0:c>
      <ns0:c r="Z44" s="957" t="str">
        <ns0:f>IF(COUNTA($A44:$M44)=0,"",Instructions!$B$29+SUM($W$5:W44))</ns0:f>
      </ns0:c>
    </ns0:row>
    <ns0:row r="45" ht="36" customHeight="1">
      <ns0:c r="A45" s="439"/>
      <ns0:c r="B45" s="453"/>
      <ns0:c r="C45" s="453"/>
      <ns0:c r="D45" s="454"/>
      <ns0:c r="E45" s="454"/>
      <ns0:c r="F45" s="454"/>
      <ns0:c r="G45" s="986"/>
      <ns0:c r="H45" s="455"/>
      <ns0:c r="I45" s="456"/>
      <ns0:c r="J45" s="456"/>
      <ns0:c r="K45" s="986"/>
      <ns0:c r="L45" s="454"/>
      <ns0:c r="M45" s="439"/>
      <ns0:c r="N45" s="987" t="str">
        <ns0:f>IF(COUNTA($A45:$M45)=0,"",IF(OR(LEFT(LOWER(TRIM($F45&amp;"")),12)="subscription",LOWER(TRIM($F45&amp;""))="membership"),"",IF(OR(AND($H45&lt;&gt;"",$H45=0),LEFT(LOWER(TRIM($F45&amp;"")),9)="free game",LOWER(TRIM($F45&amp;""))="free",LOWER(TRIM($F45&amp;""))="free entry"),IF(ISNUMBER($G45),IF(ISNUMBER(SEARCH("non",LOWER($E45&amp;""))),$G45*0.85,$G45),"N/A"),IF($G45="","",IFERROR(IF(ISNUMBER(SEARCH("non",LOWER($E45&amp;""))),$G45*0.85,$G45),"")))))</ns0:f>
        <ns0:v/>
      </ns0:c>
      <ns0:c r="O45" s="987" t="str">
        <ns0:f>IF(COUNTA($A45:$M45)=0,"",IF(OR(LEFT(LOWER(TRIM($F45&amp;"")),12)="subscription",LOWER(TRIM($F45&amp;""))="membership"),"",IF(OR(AND($H45&lt;&gt;"",$H45=0),LEFT(LOWER(TRIM($F45&amp;"")),9)="free game",LOWER(TRIM($F45&amp;""))="free",LOWER(TRIM($F45&amp;""))="free entry"),IF(OR(NOT(ISNUMBER($N45)),NOT(ISNUMBER($I45)),$I45=0),"N/A",IFERROR($N45/$I45,"N/A")),IF(OR($N45="",$I45="",$I45=0),"",IFERROR($N45/$I45,"")))))</ns0:f>
        <ns0:v/>
      </ns0:c>
      <ns0:c r="P45" s="987">
        <ns0:f>IF(COUNTA($A45:$M45)=0,"",IF(OR(LEFT(LOWER(TRIM($F45&amp;"")),12)="subscription",LOWER(TRIM($F45&amp;""))="membership"),"",IF(LOWER(TRIM($D45&amp;""))="estimate","N/A",IF(LOWER($L45&amp;"")="yes",0,IF(OR(AND($H45&lt;&gt;"",$H45=0),LEFT(LOWER(TRIM($F45&amp;"")),9)="free game",LOWER(TRIM($F45&amp;""))="free",LOWER(TRIM($F45&amp;""))="free entry"),IF(ISNUMBER($K45),$K45,""),IF($K45&lt;&gt;"",$K45,""))))))</ns0:f>
      </ns0:c>
      <ns0:c r="Q45" s="114">
        <ns0:f>IF(COUNTA($A45:$M45)=0,"",IF(OR($U45="Subscription",$U45=""),"",IF($U45="Estimate","N/A",IF($U45="Profit",ROUND(IFERROR($P45,0)-IFERROR($H45,0),2),0))))</ns0:f>
      </ns0:c>
      <ns0:c r="R45" s="114">
        <ns0:f>IF(COUNTA($A45:$M45)=0,"",IF(OR($U45="Subscription",$U45=""),"",IF($U45="Estimate","N/A",IF($U45="Draw",$H45,0))))</ns0:f>
      </ns0:c>
      <ns0:c r="S45" s="114">
        <ns0:f>IF(COUNTA($A45:$M45)=0,"",IF(OR($U45="Subscription",$U45=""),"",IF($U45="Estimate","N/A",IF($U45="Disqualified",$H45,0))))</ns0:f>
      </ns0:c>
      <ns0:c r="T45" s="955">
        <ns0:f>IF(COUNTA($A45:$M45)=0,"",IF(OR($U45="Subscription",$U45=""),"",IF($U45="Estimate","N/A",IF(OR($U45="Free Game",$U45="Disqualified — Free Game",$H45=0),"N/A",IF($U45="Profit",$Q45/$H45,IF($U45="Disqualified",-$S45/$H45,0))))))</ns0:f>
      </ns0:c>
      <ns0:c r="U45" s="920">
        <ns0:f>IF(COUNTA($A45:$M45)=0,"",IF(OR(LEFT(LOWER(TRIM($F45&amp;"")),12)="subscription",LOWER(TRIM($F45&amp;""))="membership"),"Subscription",IF(LOWER(TRIM($D45&amp;""))="estimate","Estimate",IF(OR(AND($H45&lt;&gt;"",$H45=0),LEFT(LOWER(TRIM($F45&amp;"")),9)="free game",LOWER(TRIM($F45&amp;""))="free",LOWER(TRIM($F45&amp;""))="free entry"),IF(LOWER($L45&amp;"")="yes","Disqualified — Free Game","Free Game"),IF(LOWER($L45&amp;"")="yes","Disqualified",IF($P45="","",IF(ROUND(IFERROR(VALUE($P45),0)-IFERROR(VALUE($H45),0),2)&gt;0,"Profit","Draw")))))))</ns0:f>
      </ns0:c>
      <ns0:c r="V45" s="956" t="str">
        <ns0:f>IF(COUNTA($A45:$M45)=0,"",IF(OR($B45="",$C45="",$U45="Subscription"),"",IFERROR(ROUNDUP(($C45-$B45)/7,0),"")))</ns0:f>
      </ns0:c>
      <ns0:c r="W45" s="114">
        <ns0:f>IF(COUNTA($A45:$M45)=0,"",IF(OR($U45="Subscription",$U45=""),"",IF($U45="Estimate","N/A",IF(OR($U45="Free Game",$U45="Disqualified — Free Game"),0,ROUND(IFERROR($Q45,0)-IFERROR($S45,0),2)))))</ns0:f>
      </ns0:c>
      <ns0:c r="X45" s="956" t="str">
        <ns0:f>IF(COUNTA($A45:$M45)=0,"",IF(OR($U45="Subscription",NOT(ISNUMBER($J45)),NOT(ISNUMBER($I45)),$J45=0,$I45=0,$I45&gt;$J45),"",$J45-$I45))</ns0:f>
      </ns0:c>
      <ns0:c r="Y45" s="955" t="str">
        <ns0:f>IF(COUNTA($A45:$M45)=0,"",IF(OR($U45="Subscription",NOT(ISNUMBER($J45)),$J45=0,$X45=""),"",$X45/$J45))</ns0:f>
      </ns0:c>
      <ns0:c r="Z45" s="957" t="str">
        <ns0:f>IF(COUNTA($A45:$M45)=0,"",Instructions!$B$29+SUM($W$5:W45))</ns0:f>
      </ns0:c>
    </ns0:row>
    <ns0:row r="46" ht="36" customHeight="1">
      <ns0:c r="A46" s="439"/>
      <ns0:c r="B46" s="453"/>
      <ns0:c r="C46" s="453"/>
      <ns0:c r="D46" s="454"/>
      <ns0:c r="E46" s="454"/>
      <ns0:c r="F46" s="454"/>
      <ns0:c r="G46" s="986"/>
      <ns0:c r="H46" s="455"/>
      <ns0:c r="I46" s="456"/>
      <ns0:c r="J46" s="456"/>
      <ns0:c r="K46" s="986"/>
      <ns0:c r="L46" s="454"/>
      <ns0:c r="M46" s="439"/>
      <ns0:c r="N46" s="987" t="str">
        <ns0:f>IF(COUNTA($A46:$M46)=0,"",IF(OR(LEFT(LOWER(TRIM($F46&amp;"")),12)="subscription",LOWER(TRIM($F46&amp;""))="membership"),"",IF(OR(AND($H46&lt;&gt;"",$H46=0),LEFT(LOWER(TRIM($F46&amp;"")),9)="free game",LOWER(TRIM($F46&amp;""))="free",LOWER(TRIM($F46&amp;""))="free entry"),IF(ISNUMBER($G46),IF(ISNUMBER(SEARCH("non",LOWER($E46&amp;""))),$G46*0.85,$G46),"N/A"),IF($G46="","",IFERROR(IF(ISNUMBER(SEARCH("non",LOWER($E46&amp;""))),$G46*0.85,$G46),"")))))</ns0:f>
        <ns0:v/>
      </ns0:c>
      <ns0:c r="O46" s="987" t="str">
        <ns0:f>IF(COUNTA($A46:$M46)=0,"",IF(OR(LEFT(LOWER(TRIM($F46&amp;"")),12)="subscription",LOWER(TRIM($F46&amp;""))="membership"),"",IF(OR(AND($H46&lt;&gt;"",$H46=0),LEFT(LOWER(TRIM($F46&amp;"")),9)="free game",LOWER(TRIM($F46&amp;""))="free",LOWER(TRIM($F46&amp;""))="free entry"),IF(OR(NOT(ISNUMBER($N46)),NOT(ISNUMBER($I46)),$I46=0),"N/A",IFERROR($N46/$I46,"N/A")),IF(OR($N46="",$I46="",$I46=0),"",IFERROR($N46/$I46,"")))))</ns0:f>
        <ns0:v/>
      </ns0:c>
      <ns0:c r="P46" s="987">
        <ns0:f>IF(COUNTA($A46:$M46)=0,"",IF(OR(LEFT(LOWER(TRIM($F46&amp;"")),12)="subscription",LOWER(TRIM($F46&amp;""))="membership"),"",IF(LOWER(TRIM($D46&amp;""))="estimate","N/A",IF(LOWER($L46&amp;"")="yes",0,IF(OR(AND($H46&lt;&gt;"",$H46=0),LEFT(LOWER(TRIM($F46&amp;"")),9)="free game",LOWER(TRIM($F46&amp;""))="free",LOWER(TRIM($F46&amp;""))="free entry"),IF(ISNUMBER($K46),$K46,""),IF($K46&lt;&gt;"",$K46,""))))))</ns0:f>
      </ns0:c>
      <ns0:c r="Q46" s="114">
        <ns0:f>IF(COUNTA($A46:$M46)=0,"",IF(OR($U46="Subscription",$U46=""),"",IF($U46="Estimate","N/A",IF($U46="Profit",ROUND(IFERROR($P46,0)-IFERROR($H46,0),2),0))))</ns0:f>
      </ns0:c>
      <ns0:c r="R46" s="114">
        <ns0:f>IF(COUNTA($A46:$M46)=0,"",IF(OR($U46="Subscription",$U46=""),"",IF($U46="Estimate","N/A",IF($U46="Draw",$H46,0))))</ns0:f>
      </ns0:c>
      <ns0:c r="S46" s="114">
        <ns0:f>IF(COUNTA($A46:$M46)=0,"",IF(OR($U46="Subscription",$U46=""),"",IF($U46="Estimate","N/A",IF($U46="Disqualified",$H46,0))))</ns0:f>
      </ns0:c>
      <ns0:c r="T46" s="955">
        <ns0:f>IF(COUNTA($A46:$M46)=0,"",IF(OR($U46="Subscription",$U46=""),"",IF($U46="Estimate","N/A",IF(OR($U46="Free Game",$U46="Disqualified — Free Game",$H46=0),"N/A",IF($U46="Profit",$Q46/$H46,IF($U46="Disqualified",-$S46/$H46,0))))))</ns0:f>
      </ns0:c>
      <ns0:c r="U46" s="920">
        <ns0:f>IF(COUNTA($A46:$M46)=0,"",IF(OR(LEFT(LOWER(TRIM($F46&amp;"")),12)="subscription",LOWER(TRIM($F46&amp;""))="membership"),"Subscription",IF(LOWER(TRIM($D46&amp;""))="estimate","Estimate",IF(OR(AND($H46&lt;&gt;"",$H46=0),LEFT(LOWER(TRIM($F46&amp;"")),9)="free game",LOWER(TRIM($F46&amp;""))="free",LOWER(TRIM($F46&amp;""))="free entry"),IF(LOWER($L46&amp;"")="yes","Disqualified — Free Game","Free Game"),IF(LOWER($L46&amp;"")="yes","Disqualified",IF($P46="","",IF(ROUND(IFERROR(VALUE($P46),0)-IFERROR(VALUE($H46),0),2)&gt;0,"Profit","Draw")))))))</ns0:f>
      </ns0:c>
      <ns0:c r="V46" s="956" t="str">
        <ns0:f>IF(COUNTA($A46:$M46)=0,"",IF(OR($B46="",$C46="",$U46="Subscription"),"",IFERROR(ROUNDUP(($C46-$B46)/7,0),"")))</ns0:f>
      </ns0:c>
      <ns0:c r="W46" s="114">
        <ns0:f>IF(COUNTA($A46:$M46)=0,"",IF(OR($U46="Subscription",$U46=""),"",IF($U46="Estimate","N/A",IF(OR($U46="Free Game",$U46="Disqualified — Free Game"),0,ROUND(IFERROR($Q46,0)-IFERROR($S46,0),2)))))</ns0:f>
      </ns0:c>
      <ns0:c r="X46" s="956" t="str">
        <ns0:f>IF(COUNTA($A46:$M46)=0,"",IF(OR($U46="Subscription",NOT(ISNUMBER($J46)),NOT(ISNUMBER($I46)),$J46=0,$I46=0,$I46&gt;$J46),"",$J46-$I46))</ns0:f>
      </ns0:c>
      <ns0:c r="Y46" s="955" t="str">
        <ns0:f>IF(COUNTA($A46:$M46)=0,"",IF(OR($U46="Subscription",NOT(ISNUMBER($J46)),$J46=0,$X46=""),"",$X46/$J46))</ns0:f>
      </ns0:c>
      <ns0:c r="Z46" s="957" t="str">
        <ns0:f>IF(COUNTA($A46:$M46)=0,"",Instructions!$B$29+SUM($W$5:W46))</ns0:f>
      </ns0:c>
    </ns0:row>
    <ns0:row r="47" ht="36" customHeight="1">
      <ns0:c r="A47" s="439"/>
      <ns0:c r="B47" s="453"/>
      <ns0:c r="C47" s="453"/>
      <ns0:c r="D47" s="454"/>
      <ns0:c r="E47" s="454"/>
      <ns0:c r="F47" s="454"/>
      <ns0:c r="G47" s="986"/>
      <ns0:c r="H47" s="455"/>
      <ns0:c r="I47" s="456"/>
      <ns0:c r="J47" s="456"/>
      <ns0:c r="K47" s="986"/>
      <ns0:c r="L47" s="454"/>
      <ns0:c r="M47" s="439"/>
      <ns0:c r="N47" s="987" t="str">
        <ns0:f>IF(COUNTA($A47:$M47)=0,"",IF(OR(LEFT(LOWER(TRIM($F47&amp;"")),12)="subscription",LOWER(TRIM($F47&amp;""))="membership"),"",IF(OR(AND($H47&lt;&gt;"",$H47=0),LEFT(LOWER(TRIM($F47&amp;"")),9)="free game",LOWER(TRIM($F47&amp;""))="free",LOWER(TRIM($F47&amp;""))="free entry"),IF(ISNUMBER($G47),IF(ISNUMBER(SEARCH("non",LOWER($E47&amp;""))),$G47*0.85,$G47),"N/A"),IF($G47="","",IFERROR(IF(ISNUMBER(SEARCH("non",LOWER($E47&amp;""))),$G47*0.85,$G47),"")))))</ns0:f>
        <ns0:v/>
      </ns0:c>
      <ns0:c r="O47" s="987" t="str">
        <ns0:f>IF(COUNTA($A47:$M47)=0,"",IF(OR(LEFT(LOWER(TRIM($F47&amp;"")),12)="subscription",LOWER(TRIM($F47&amp;""))="membership"),"",IF(OR(AND($H47&lt;&gt;"",$H47=0),LEFT(LOWER(TRIM($F47&amp;"")),9)="free game",LOWER(TRIM($F47&amp;""))="free",LOWER(TRIM($F47&amp;""))="free entry"),IF(OR(NOT(ISNUMBER($N47)),NOT(ISNUMBER($I47)),$I47=0),"N/A",IFERROR($N47/$I47,"N/A")),IF(OR($N47="",$I47="",$I47=0),"",IFERROR($N47/$I47,"")))))</ns0:f>
        <ns0:v/>
      </ns0:c>
      <ns0:c r="P47" s="987">
        <ns0:f>IF(COUNTA($A47:$M47)=0,"",IF(OR(LEFT(LOWER(TRIM($F47&amp;"")),12)="subscription",LOWER(TRIM($F47&amp;""))="membership"),"",IF(LOWER(TRIM($D47&amp;""))="estimate","N/A",IF(LOWER($L47&amp;"")="yes",0,IF(OR(AND($H47&lt;&gt;"",$H47=0),LEFT(LOWER(TRIM($F47&amp;"")),9)="free game",LOWER(TRIM($F47&amp;""))="free",LOWER(TRIM($F47&amp;""))="free entry"),IF(ISNUMBER($K47),$K47,""),IF($K47&lt;&gt;"",$K47,""))))))</ns0:f>
      </ns0:c>
      <ns0:c r="Q47" s="114">
        <ns0:f>IF(COUNTA($A47:$M47)=0,"",IF(OR($U47="Subscription",$U47=""),"",IF($U47="Estimate","N/A",IF($U47="Profit",ROUND(IFERROR($P47,0)-IFERROR($H47,0),2),0))))</ns0:f>
      </ns0:c>
      <ns0:c r="R47" s="114">
        <ns0:f>IF(COUNTA($A47:$M47)=0,"",IF(OR($U47="Subscription",$U47=""),"",IF($U47="Estimate","N/A",IF($U47="Draw",$H47,0))))</ns0:f>
      </ns0:c>
      <ns0:c r="S47" s="114">
        <ns0:f>IF(COUNTA($A47:$M47)=0,"",IF(OR($U47="Subscription",$U47=""),"",IF($U47="Estimate","N/A",IF($U47="Disqualified",$H47,0))))</ns0:f>
      </ns0:c>
      <ns0:c r="T47" s="955">
        <ns0:f>IF(COUNTA($A47:$M47)=0,"",IF(OR($U47="Subscription",$U47=""),"",IF($U47="Estimate","N/A",IF(OR($U47="Free Game",$U47="Disqualified — Free Game",$H47=0),"N/A",IF($U47="Profit",$Q47/$H47,IF($U47="Disqualified",-$S47/$H47,0))))))</ns0:f>
      </ns0:c>
      <ns0:c r="U47" s="920">
        <ns0:f>IF(COUNTA($A47:$M47)=0,"",IF(OR(LEFT(LOWER(TRIM($F47&amp;"")),12)="subscription",LOWER(TRIM($F47&amp;""))="membership"),"Subscription",IF(LOWER(TRIM($D47&amp;""))="estimate","Estimate",IF(OR(AND($H47&lt;&gt;"",$H47=0),LEFT(LOWER(TRIM($F47&amp;"")),9)="free game",LOWER(TRIM($F47&amp;""))="free",LOWER(TRIM($F47&amp;""))="free entry"),IF(LOWER($L47&amp;"")="yes","Disqualified — Free Game","Free Game"),IF(LOWER($L47&amp;"")="yes","Disqualified",IF($P47="","",IF(ROUND(IFERROR(VALUE($P47),0)-IFERROR(VALUE($H47),0),2)&gt;0,"Profit","Draw")))))))</ns0:f>
      </ns0:c>
      <ns0:c r="V47" s="956" t="str">
        <ns0:f>IF(COUNTA($A47:$M47)=0,"",IF(OR($B47="",$C47="",$U47="Subscription"),"",IFERROR(ROUNDUP(($C47-$B47)/7,0),"")))</ns0:f>
      </ns0:c>
      <ns0:c r="W47" s="114">
        <ns0:f>IF(COUNTA($A47:$M47)=0,"",IF(OR($U47="Subscription",$U47=""),"",IF($U47="Estimate","N/A",IF(OR($U47="Free Game",$U47="Disqualified — Free Game"),0,ROUND(IFERROR($Q47,0)-IFERROR($S47,0),2)))))</ns0:f>
      </ns0:c>
      <ns0:c r="X47" s="956" t="str">
        <ns0:f>IF(COUNTA($A47:$M47)=0,"",IF(OR($U47="Subscription",NOT(ISNUMBER($J47)),NOT(ISNUMBER($I47)),$J47=0,$I47=0,$I47&gt;$J47),"",$J47-$I47))</ns0:f>
      </ns0:c>
      <ns0:c r="Y47" s="955" t="str">
        <ns0:f>IF(COUNTA($A47:$M47)=0,"",IF(OR($U47="Subscription",NOT(ISNUMBER($J47)),$J47=0,$X47=""),"",$X47/$J47))</ns0:f>
      </ns0:c>
      <ns0:c r="Z47" s="957" t="str">
        <ns0:f>IF(COUNTA($A47:$M47)=0,"",Instructions!$B$29+SUM($W$5:W47))</ns0:f>
      </ns0:c>
    </ns0:row>
    <ns0:row r="48" ht="36" customHeight="1">
      <ns0:c r="A48" s="439"/>
      <ns0:c r="B48" s="453"/>
      <ns0:c r="C48" s="453"/>
      <ns0:c r="D48" s="454"/>
      <ns0:c r="E48" s="454"/>
      <ns0:c r="F48" s="454"/>
      <ns0:c r="G48" s="986"/>
      <ns0:c r="H48" s="455"/>
      <ns0:c r="I48" s="456"/>
      <ns0:c r="J48" s="456"/>
      <ns0:c r="K48" s="986"/>
      <ns0:c r="L48" s="454"/>
      <ns0:c r="M48" s="439"/>
      <ns0:c r="N48" s="987" t="str">
        <ns0:f>IF(COUNTA($A48:$M48)=0,"",IF(OR(LEFT(LOWER(TRIM($F48&amp;"")),12)="subscription",LOWER(TRIM($F48&amp;""))="membership"),"",IF(OR(AND($H48&lt;&gt;"",$H48=0),LEFT(LOWER(TRIM($F48&amp;"")),9)="free game",LOWER(TRIM($F48&amp;""))="free",LOWER(TRIM($F48&amp;""))="free entry"),IF(ISNUMBER($G48),IF(ISNUMBER(SEARCH("non",LOWER($E48&amp;""))),$G48*0.85,$G48),"N/A"),IF($G48="","",IFERROR(IF(ISNUMBER(SEARCH("non",LOWER($E48&amp;""))),$G48*0.85,$G48),"")))))</ns0:f>
        <ns0:v/>
      </ns0:c>
      <ns0:c r="O48" s="987" t="str">
        <ns0:f>IF(COUNTA($A48:$M48)=0,"",IF(OR(LEFT(LOWER(TRIM($F48&amp;"")),12)="subscription",LOWER(TRIM($F48&amp;""))="membership"),"",IF(OR(AND($H48&lt;&gt;"",$H48=0),LEFT(LOWER(TRIM($F48&amp;"")),9)="free game",LOWER(TRIM($F48&amp;""))="free",LOWER(TRIM($F48&amp;""))="free entry"),IF(OR(NOT(ISNUMBER($N48)),NOT(ISNUMBER($I48)),$I48=0),"N/A",IFERROR($N48/$I48,"N/A")),IF(OR($N48="",$I48="",$I48=0),"",IFERROR($N48/$I48,"")))))</ns0:f>
        <ns0:v/>
      </ns0:c>
      <ns0:c r="P48" s="987">
        <ns0:f>IF(COUNTA($A48:$M48)=0,"",IF(OR(LEFT(LOWER(TRIM($F48&amp;"")),12)="subscription",LOWER(TRIM($F48&amp;""))="membership"),"",IF(LOWER(TRIM($D48&amp;""))="estimate","N/A",IF(LOWER($L48&amp;"")="yes",0,IF(OR(AND($H48&lt;&gt;"",$H48=0),LEFT(LOWER(TRIM($F48&amp;"")),9)="free game",LOWER(TRIM($F48&amp;""))="free",LOWER(TRIM($F48&amp;""))="free entry"),IF(ISNUMBER($K48),$K48,""),IF($K48&lt;&gt;"",$K48,""))))))</ns0:f>
      </ns0:c>
      <ns0:c r="Q48" s="114">
        <ns0:f>IF(COUNTA($A48:$M48)=0,"",IF(OR($U48="Subscription",$U48=""),"",IF($U48="Estimate","N/A",IF($U48="Profit",ROUND(IFERROR($P48,0)-IFERROR($H48,0),2),0))))</ns0:f>
      </ns0:c>
      <ns0:c r="R48" s="114">
        <ns0:f>IF(COUNTA($A48:$M48)=0,"",IF(OR($U48="Subscription",$U48=""),"",IF($U48="Estimate","N/A",IF($U48="Draw",$H48,0))))</ns0:f>
      </ns0:c>
      <ns0:c r="S48" s="114">
        <ns0:f>IF(COUNTA($A48:$M48)=0,"",IF(OR($U48="Subscription",$U48=""),"",IF($U48="Estimate","N/A",IF($U48="Disqualified",$H48,0))))</ns0:f>
      </ns0:c>
      <ns0:c r="T48" s="955">
        <ns0:f>IF(COUNTA($A48:$M48)=0,"",IF(OR($U48="Subscription",$U48=""),"",IF($U48="Estimate","N/A",IF(OR($U48="Free Game",$U48="Disqualified — Free Game",$H48=0),"N/A",IF($U48="Profit",$Q48/$H48,IF($U48="Disqualified",-$S48/$H48,0))))))</ns0:f>
      </ns0:c>
      <ns0:c r="U48" s="920">
        <ns0:f>IF(COUNTA($A48:$M48)=0,"",IF(OR(LEFT(LOWER(TRIM($F48&amp;"")),12)="subscription",LOWER(TRIM($F48&amp;""))="membership"),"Subscription",IF(LOWER(TRIM($D48&amp;""))="estimate","Estimate",IF(OR(AND($H48&lt;&gt;"",$H48=0),LEFT(LOWER(TRIM($F48&amp;"")),9)="free game",LOWER(TRIM($F48&amp;""))="free",LOWER(TRIM($F48&amp;""))="free entry"),IF(LOWER($L48&amp;"")="yes","Disqualified — Free Game","Free Game"),IF(LOWER($L48&amp;"")="yes","Disqualified",IF($P48="","",IF(ROUND(IFERROR(VALUE($P48),0)-IFERROR(VALUE($H48),0),2)&gt;0,"Profit","Draw")))))))</ns0:f>
      </ns0:c>
      <ns0:c r="V48" s="956" t="str">
        <ns0:f>IF(COUNTA($A48:$M48)=0,"",IF(OR($B48="",$C48="",$U48="Subscription"),"",IFERROR(ROUNDUP(($C48-$B48)/7,0),"")))</ns0:f>
      </ns0:c>
      <ns0:c r="W48" s="114">
        <ns0:f>IF(COUNTA($A48:$M48)=0,"",IF(OR($U48="Subscription",$U48=""),"",IF($U48="Estimate","N/A",IF(OR($U48="Free Game",$U48="Disqualified — Free Game"),0,ROUND(IFERROR($Q48,0)-IFERROR($S48,0),2)))))</ns0:f>
      </ns0:c>
      <ns0:c r="X48" s="956" t="str">
        <ns0:f>IF(COUNTA($A48:$M48)=0,"",IF(OR($U48="Subscription",NOT(ISNUMBER($J48)),NOT(ISNUMBER($I48)),$J48=0,$I48=0,$I48&gt;$J48),"",$J48-$I48))</ns0:f>
      </ns0:c>
      <ns0:c r="Y48" s="955" t="str">
        <ns0:f>IF(COUNTA($A48:$M48)=0,"",IF(OR($U48="Subscription",NOT(ISNUMBER($J48)),$J48=0,$X48=""),"",$X48/$J48))</ns0:f>
      </ns0:c>
      <ns0:c r="Z48" s="957" t="str">
        <ns0:f>IF(COUNTA($A48:$M48)=0,"",Instructions!$B$29+SUM($W$5:W48))</ns0:f>
      </ns0:c>
    </ns0:row>
    <ns0:row r="49" ht="36" customHeight="1">
      <ns0:c r="A49" s="439"/>
      <ns0:c r="B49" s="453"/>
      <ns0:c r="C49" s="453"/>
      <ns0:c r="D49" s="454"/>
      <ns0:c r="E49" s="454"/>
      <ns0:c r="F49" s="454"/>
      <ns0:c r="G49" s="986"/>
      <ns0:c r="H49" s="455"/>
      <ns0:c r="I49" s="456"/>
      <ns0:c r="J49" s="456"/>
      <ns0:c r="K49" s="986"/>
      <ns0:c r="L49" s="454"/>
      <ns0:c r="M49" s="439"/>
      <ns0:c r="N49" s="987" t="str">
        <ns0:f>IF(COUNTA($A49:$M49)=0,"",IF(OR(LEFT(LOWER(TRIM($F49&amp;"")),12)="subscription",LOWER(TRIM($F49&amp;""))="membership"),"",IF(OR(AND($H49&lt;&gt;"",$H49=0),LEFT(LOWER(TRIM($F49&amp;"")),9)="free game",LOWER(TRIM($F49&amp;""))="free",LOWER(TRIM($F49&amp;""))="free entry"),IF(ISNUMBER($G49),IF(ISNUMBER(SEARCH("non",LOWER($E49&amp;""))),$G49*0.85,$G49),"N/A"),IF($G49="","",IFERROR(IF(ISNUMBER(SEARCH("non",LOWER($E49&amp;""))),$G49*0.85,$G49),"")))))</ns0:f>
        <ns0:v/>
      </ns0:c>
      <ns0:c r="O49" s="987" t="str">
        <ns0:f>IF(COUNTA($A49:$M49)=0,"",IF(OR(LEFT(LOWER(TRIM($F49&amp;"")),12)="subscription",LOWER(TRIM($F49&amp;""))="membership"),"",IF(OR(AND($H49&lt;&gt;"",$H49=0),LEFT(LOWER(TRIM($F49&amp;"")),9)="free game",LOWER(TRIM($F49&amp;""))="free",LOWER(TRIM($F49&amp;""))="free entry"),IF(OR(NOT(ISNUMBER($N49)),NOT(ISNUMBER($I49)),$I49=0),"N/A",IFERROR($N49/$I49,"N/A")),IF(OR($N49="",$I49="",$I49=0),"",IFERROR($N49/$I49,"")))))</ns0:f>
        <ns0:v/>
      </ns0:c>
      <ns0:c r="P49" s="987">
        <ns0:f>IF(COUNTA($A49:$M49)=0,"",IF(OR(LEFT(LOWER(TRIM($F49&amp;"")),12)="subscription",LOWER(TRIM($F49&amp;""))="membership"),"",IF(LOWER(TRIM($D49&amp;""))="estimate","N/A",IF(LOWER($L49&amp;"")="yes",0,IF(OR(AND($H49&lt;&gt;"",$H49=0),LEFT(LOWER(TRIM($F49&amp;"")),9)="free game",LOWER(TRIM($F49&amp;""))="free",LOWER(TRIM($F49&amp;""))="free entry"),IF(ISNUMBER($K49),$K49,""),IF($K49&lt;&gt;"",$K49,""))))))</ns0:f>
      </ns0:c>
      <ns0:c r="Q49" s="114">
        <ns0:f>IF(COUNTA($A49:$M49)=0,"",IF(OR($U49="Subscription",$U49=""),"",IF($U49="Estimate","N/A",IF($U49="Profit",ROUND(IFERROR($P49,0)-IFERROR($H49,0),2),0))))</ns0:f>
      </ns0:c>
      <ns0:c r="R49" s="114">
        <ns0:f>IF(COUNTA($A49:$M49)=0,"",IF(OR($U49="Subscription",$U49=""),"",IF($U49="Estimate","N/A",IF($U49="Draw",$H49,0))))</ns0:f>
      </ns0:c>
      <ns0:c r="S49" s="114">
        <ns0:f>IF(COUNTA($A49:$M49)=0,"",IF(OR($U49="Subscription",$U49=""),"",IF($U49="Estimate","N/A",IF($U49="Disqualified",$H49,0))))</ns0:f>
      </ns0:c>
      <ns0:c r="T49" s="955">
        <ns0:f>IF(COUNTA($A49:$M49)=0,"",IF(OR($U49="Subscription",$U49=""),"",IF($U49="Estimate","N/A",IF(OR($U49="Free Game",$U49="Disqualified — Free Game",$H49=0),"N/A",IF($U49="Profit",$Q49/$H49,IF($U49="Disqualified",-$S49/$H49,0))))))</ns0:f>
      </ns0:c>
      <ns0:c r="U49" s="920">
        <ns0:f>IF(COUNTA($A49:$M49)=0,"",IF(OR(LEFT(LOWER(TRIM($F49&amp;"")),12)="subscription",LOWER(TRIM($F49&amp;""))="membership"),"Subscription",IF(LOWER(TRIM($D49&amp;""))="estimate","Estimate",IF(OR(AND($H49&lt;&gt;"",$H49=0),LEFT(LOWER(TRIM($F49&amp;"")),9)="free game",LOWER(TRIM($F49&amp;""))="free",LOWER(TRIM($F49&amp;""))="free entry"),IF(LOWER($L49&amp;"")="yes","Disqualified — Free Game","Free Game"),IF(LOWER($L49&amp;"")="yes","Disqualified",IF($P49="","",IF(ROUND(IFERROR(VALUE($P49),0)-IFERROR(VALUE($H49),0),2)&gt;0,"Profit","Draw")))))))</ns0:f>
      </ns0:c>
      <ns0:c r="V49" s="956" t="str">
        <ns0:f>IF(COUNTA($A49:$M49)=0,"",IF(OR($B49="",$C49="",$U49="Subscription"),"",IFERROR(ROUNDUP(($C49-$B49)/7,0),"")))</ns0:f>
      </ns0:c>
      <ns0:c r="W49" s="114">
        <ns0:f>IF(COUNTA($A49:$M49)=0,"",IF(OR($U49="Subscription",$U49=""),"",IF($U49="Estimate","N/A",IF(OR($U49="Free Game",$U49="Disqualified — Free Game"),0,ROUND(IFERROR($Q49,0)-IFERROR($S49,0),2)))))</ns0:f>
      </ns0:c>
      <ns0:c r="X49" s="956" t="str">
        <ns0:f>IF(COUNTA($A49:$M49)=0,"",IF(OR($U49="Subscription",NOT(ISNUMBER($J49)),NOT(ISNUMBER($I49)),$J49=0,$I49=0,$I49&gt;$J49),"",$J49-$I49))</ns0:f>
      </ns0:c>
      <ns0:c r="Y49" s="955" t="str">
        <ns0:f>IF(COUNTA($A49:$M49)=0,"",IF(OR($U49="Subscription",NOT(ISNUMBER($J49)),$J49=0,$X49=""),"",$X49/$J49))</ns0:f>
      </ns0:c>
      <ns0:c r="Z49" s="957" t="str">
        <ns0:f>IF(COUNTA($A49:$M49)=0,"",Instructions!$B$29+SUM($W$5:W49))</ns0:f>
      </ns0:c>
    </ns0:row>
    <ns0:row r="50" ht="36" customHeight="1">
      <ns0:c r="A50" s="439"/>
      <ns0:c r="B50" s="453"/>
      <ns0:c r="C50" s="453"/>
      <ns0:c r="D50" s="454"/>
      <ns0:c r="E50" s="454"/>
      <ns0:c r="F50" s="454"/>
      <ns0:c r="G50" s="986"/>
      <ns0:c r="H50" s="455"/>
      <ns0:c r="I50" s="456"/>
      <ns0:c r="J50" s="456"/>
      <ns0:c r="K50" s="986"/>
      <ns0:c r="L50" s="454"/>
      <ns0:c r="M50" s="439"/>
      <ns0:c r="N50" s="987" t="str">
        <ns0:f>IF(COUNTA($A50:$M50)=0,"",IF(OR(LEFT(LOWER(TRIM($F50&amp;"")),12)="subscription",LOWER(TRIM($F50&amp;""))="membership"),"",IF(OR(AND($H50&lt;&gt;"",$H50=0),LEFT(LOWER(TRIM($F50&amp;"")),9)="free game",LOWER(TRIM($F50&amp;""))="free",LOWER(TRIM($F50&amp;""))="free entry"),IF(ISNUMBER($G50),IF(ISNUMBER(SEARCH("non",LOWER($E50&amp;""))),$G50*0.85,$G50),"N/A"),IF($G50="","",IFERROR(IF(ISNUMBER(SEARCH("non",LOWER($E50&amp;""))),$G50*0.85,$G50),"")))))</ns0:f>
        <ns0:v/>
      </ns0:c>
      <ns0:c r="O50" s="987" t="str">
        <ns0:f>IF(COUNTA($A50:$M50)=0,"",IF(OR(LEFT(LOWER(TRIM($F50&amp;"")),12)="subscription",LOWER(TRIM($F50&amp;""))="membership"),"",IF(OR(AND($H50&lt;&gt;"",$H50=0),LEFT(LOWER(TRIM($F50&amp;"")),9)="free game",LOWER(TRIM($F50&amp;""))="free",LOWER(TRIM($F50&amp;""))="free entry"),IF(OR(NOT(ISNUMBER($N50)),NOT(ISNUMBER($I50)),$I50=0),"N/A",IFERROR($N50/$I50,"N/A")),IF(OR($N50="",$I50="",$I50=0),"",IFERROR($N50/$I50,"")))))</ns0:f>
        <ns0:v/>
      </ns0:c>
      <ns0:c r="P50" s="987">
        <ns0:f>IF(COUNTA($A50:$M50)=0,"",IF(OR(LEFT(LOWER(TRIM($F50&amp;"")),12)="subscription",LOWER(TRIM($F50&amp;""))="membership"),"",IF(LOWER(TRIM($D50&amp;""))="estimate","N/A",IF(LOWER($L50&amp;"")="yes",0,IF(OR(AND($H50&lt;&gt;"",$H50=0),LEFT(LOWER(TRIM($F50&amp;"")),9)="free game",LOWER(TRIM($F50&amp;""))="free",LOWER(TRIM($F50&amp;""))="free entry"),IF(ISNUMBER($K50),$K50,""),IF($K50&lt;&gt;"",$K50,""))))))</ns0:f>
      </ns0:c>
      <ns0:c r="Q50" s="114">
        <ns0:f>IF(COUNTA($A50:$M50)=0,"",IF(OR($U50="Subscription",$U50=""),"",IF($U50="Estimate","N/A",IF($U50="Profit",ROUND(IFERROR($P50,0)-IFERROR($H50,0),2),0))))</ns0:f>
      </ns0:c>
      <ns0:c r="R50" s="114">
        <ns0:f>IF(COUNTA($A50:$M50)=0,"",IF(OR($U50="Subscription",$U50=""),"",IF($U50="Estimate","N/A",IF($U50="Draw",$H50,0))))</ns0:f>
      </ns0:c>
      <ns0:c r="S50" s="114">
        <ns0:f>IF(COUNTA($A50:$M50)=0,"",IF(OR($U50="Subscription",$U50=""),"",IF($U50="Estimate","N/A",IF($U50="Disqualified",$H50,0))))</ns0:f>
      </ns0:c>
      <ns0:c r="T50" s="955">
        <ns0:f>IF(COUNTA($A50:$M50)=0,"",IF(OR($U50="Subscription",$U50=""),"",IF($U50="Estimate","N/A",IF(OR($U50="Free Game",$U50="Disqualified — Free Game",$H50=0),"N/A",IF($U50="Profit",$Q50/$H50,IF($U50="Disqualified",-$S50/$H50,0))))))</ns0:f>
      </ns0:c>
      <ns0:c r="U50" s="920">
        <ns0:f>IF(COUNTA($A50:$M50)=0,"",IF(OR(LEFT(LOWER(TRIM($F50&amp;"")),12)="subscription",LOWER(TRIM($F50&amp;""))="membership"),"Subscription",IF(LOWER(TRIM($D50&amp;""))="estimate","Estimate",IF(OR(AND($H50&lt;&gt;"",$H50=0),LEFT(LOWER(TRIM($F50&amp;"")),9)="free game",LOWER(TRIM($F50&amp;""))="free",LOWER(TRIM($F50&amp;""))="free entry"),IF(LOWER($L50&amp;"")="yes","Disqualified — Free Game","Free Game"),IF(LOWER($L50&amp;"")="yes","Disqualified",IF($P50="","",IF(ROUND(IFERROR(VALUE($P50),0)-IFERROR(VALUE($H50),0),2)&gt;0,"Profit","Draw")))))))</ns0:f>
      </ns0:c>
      <ns0:c r="V50" s="956" t="str">
        <ns0:f>IF(COUNTA($A50:$M50)=0,"",IF(OR($B50="",$C50="",$U50="Subscription"),"",IFERROR(ROUNDUP(($C50-$B50)/7,0),"")))</ns0:f>
      </ns0:c>
      <ns0:c r="W50" s="114">
        <ns0:f>IF(COUNTA($A50:$M50)=0,"",IF(OR($U50="Subscription",$U50=""),"",IF($U50="Estimate","N/A",IF(OR($U50="Free Game",$U50="Disqualified — Free Game"),0,ROUND(IFERROR($Q50,0)-IFERROR($S50,0),2)))))</ns0:f>
      </ns0:c>
      <ns0:c r="X50" s="956" t="str">
        <ns0:f>IF(COUNTA($A50:$M50)=0,"",IF(OR($U50="Subscription",NOT(ISNUMBER($J50)),NOT(ISNUMBER($I50)),$J50=0,$I50=0,$I50&gt;$J50),"",$J50-$I50))</ns0:f>
      </ns0:c>
      <ns0:c r="Y50" s="955" t="str">
        <ns0:f>IF(COUNTA($A50:$M50)=0,"",IF(OR($U50="Subscription",NOT(ISNUMBER($J50)),$J50=0,$X50=""),"",$X50/$J50))</ns0:f>
      </ns0:c>
      <ns0:c r="Z50" s="957" t="str">
        <ns0:f>IF(COUNTA($A50:$M50)=0,"",Instructions!$B$29+SUM($W$5:W50))</ns0:f>
      </ns0:c>
    </ns0:row>
    <ns0:row r="51" ht="36" customHeight="1">
      <ns0:c r="A51" s="439"/>
      <ns0:c r="B51" s="453"/>
      <ns0:c r="C51" s="453"/>
      <ns0:c r="D51" s="454"/>
      <ns0:c r="E51" s="454"/>
      <ns0:c r="F51" s="454"/>
      <ns0:c r="G51" s="986"/>
      <ns0:c r="H51" s="455"/>
      <ns0:c r="I51" s="456"/>
      <ns0:c r="J51" s="456"/>
      <ns0:c r="K51" s="986"/>
      <ns0:c r="L51" s="454"/>
      <ns0:c r="M51" s="439"/>
      <ns0:c r="N51" s="987" t="str">
        <ns0:f>IF(COUNTA($A51:$M51)=0,"",IF(OR(LEFT(LOWER(TRIM($F51&amp;"")),12)="subscription",LOWER(TRIM($F51&amp;""))="membership"),"",IF(OR(AND($H51&lt;&gt;"",$H51=0),LEFT(LOWER(TRIM($F51&amp;"")),9)="free game",LOWER(TRIM($F51&amp;""))="free",LOWER(TRIM($F51&amp;""))="free entry"),IF(ISNUMBER($G51),IF(ISNUMBER(SEARCH("non",LOWER($E51&amp;""))),$G51*0.85,$G51),"N/A"),IF($G51="","",IFERROR(IF(ISNUMBER(SEARCH("non",LOWER($E51&amp;""))),$G51*0.85,$G51),"")))))</ns0:f>
        <ns0:v/>
      </ns0:c>
      <ns0:c r="O51" s="987" t="str">
        <ns0:f>IF(COUNTA($A51:$M51)=0,"",IF(OR(LEFT(LOWER(TRIM($F51&amp;"")),12)="subscription",LOWER(TRIM($F51&amp;""))="membership"),"",IF(OR(AND($H51&lt;&gt;"",$H51=0),LEFT(LOWER(TRIM($F51&amp;"")),9)="free game",LOWER(TRIM($F51&amp;""))="free",LOWER(TRIM($F51&amp;""))="free entry"),IF(OR(NOT(ISNUMBER($N51)),NOT(ISNUMBER($I51)),$I51=0),"N/A",IFERROR($N51/$I51,"N/A")),IF(OR($N51="",$I51="",$I51=0),"",IFERROR($N51/$I51,"")))))</ns0:f>
        <ns0:v/>
      </ns0:c>
      <ns0:c r="P51" s="987">
        <ns0:f>IF(COUNTA($A51:$M51)=0,"",IF(OR(LEFT(LOWER(TRIM($F51&amp;"")),12)="subscription",LOWER(TRIM($F51&amp;""))="membership"),"",IF(LOWER(TRIM($D51&amp;""))="estimate","N/A",IF(LOWER($L51&amp;"")="yes",0,IF(OR(AND($H51&lt;&gt;"",$H51=0),LEFT(LOWER(TRIM($F51&amp;"")),9)="free game",LOWER(TRIM($F51&amp;""))="free",LOWER(TRIM($F51&amp;""))="free entry"),IF(ISNUMBER($K51),$K51,""),IF($K51&lt;&gt;"",$K51,""))))))</ns0:f>
      </ns0:c>
      <ns0:c r="Q51" s="114">
        <ns0:f>IF(COUNTA($A51:$M51)=0,"",IF(OR($U51="Subscription",$U51=""),"",IF($U51="Estimate","N/A",IF($U51="Profit",ROUND(IFERROR($P51,0)-IFERROR($H51,0),2),0))))</ns0:f>
      </ns0:c>
      <ns0:c r="R51" s="114">
        <ns0:f>IF(COUNTA($A51:$M51)=0,"",IF(OR($U51="Subscription",$U51=""),"",IF($U51="Estimate","N/A",IF($U51="Draw",$H51,0))))</ns0:f>
      </ns0:c>
      <ns0:c r="S51" s="114">
        <ns0:f>IF(COUNTA($A51:$M51)=0,"",IF(OR($U51="Subscription",$U51=""),"",IF($U51="Estimate","N/A",IF($U51="Disqualified",$H51,0))))</ns0:f>
      </ns0:c>
      <ns0:c r="T51" s="955">
        <ns0:f>IF(COUNTA($A51:$M51)=0,"",IF(OR($U51="Subscription",$U51=""),"",IF($U51="Estimate","N/A",IF(OR($U51="Free Game",$U51="Disqualified — Free Game",$H51=0),"N/A",IF($U51="Profit",$Q51/$H51,IF($U51="Disqualified",-$S51/$H51,0))))))</ns0:f>
      </ns0:c>
      <ns0:c r="U51" s="920">
        <ns0:f>IF(COUNTA($A51:$M51)=0,"",IF(OR(LEFT(LOWER(TRIM($F51&amp;"")),12)="subscription",LOWER(TRIM($F51&amp;""))="membership"),"Subscription",IF(LOWER(TRIM($D51&amp;""))="estimate","Estimate",IF(OR(AND($H51&lt;&gt;"",$H51=0),LEFT(LOWER(TRIM($F51&amp;"")),9)="free game",LOWER(TRIM($F51&amp;""))="free",LOWER(TRIM($F51&amp;""))="free entry"),IF(LOWER($L51&amp;"")="yes","Disqualified — Free Game","Free Game"),IF(LOWER($L51&amp;"")="yes","Disqualified",IF($P51="","",IF(ROUND(IFERROR(VALUE($P51),0)-IFERROR(VALUE($H51),0),2)&gt;0,"Profit","Draw")))))))</ns0:f>
      </ns0:c>
      <ns0:c r="V51" s="956" t="str">
        <ns0:f>IF(COUNTA($A51:$M51)=0,"",IF(OR($B51="",$C51="",$U51="Subscription"),"",IFERROR(ROUNDUP(($C51-$B51)/7,0),"")))</ns0:f>
      </ns0:c>
      <ns0:c r="W51" s="114">
        <ns0:f>IF(COUNTA($A51:$M51)=0,"",IF(OR($U51="Subscription",$U51=""),"",IF($U51="Estimate","N/A",IF(OR($U51="Free Game",$U51="Disqualified — Free Game"),0,ROUND(IFERROR($Q51,0)-IFERROR($S51,0),2)))))</ns0:f>
      </ns0:c>
      <ns0:c r="X51" s="956" t="str">
        <ns0:f>IF(COUNTA($A51:$M51)=0,"",IF(OR($U51="Subscription",NOT(ISNUMBER($J51)),NOT(ISNUMBER($I51)),$J51=0,$I51=0,$I51&gt;$J51),"",$J51-$I51))</ns0:f>
      </ns0:c>
      <ns0:c r="Y51" s="955" t="str">
        <ns0:f>IF(COUNTA($A51:$M51)=0,"",IF(OR($U51="Subscription",NOT(ISNUMBER($J51)),$J51=0,$X51=""),"",$X51/$J51))</ns0:f>
      </ns0:c>
      <ns0:c r="Z51" s="957" t="str">
        <ns0:f>IF(COUNTA($A51:$M51)=0,"",Instructions!$B$29+SUM($W$5:W51))</ns0:f>
      </ns0:c>
    </ns0:row>
    <ns0:row r="52" ht="36" customHeight="1">
      <ns0:c r="A52" s="439"/>
      <ns0:c r="B52" s="453"/>
      <ns0:c r="C52" s="453"/>
      <ns0:c r="D52" s="454"/>
      <ns0:c r="E52" s="454"/>
      <ns0:c r="F52" s="454"/>
      <ns0:c r="G52" s="986"/>
      <ns0:c r="H52" s="455"/>
      <ns0:c r="I52" s="456"/>
      <ns0:c r="J52" s="456"/>
      <ns0:c r="K52" s="986"/>
      <ns0:c r="L52" s="454"/>
      <ns0:c r="M52" s="439"/>
      <ns0:c r="N52" s="987" t="str">
        <ns0:f>IF(COUNTA($A52:$M52)=0,"",IF(OR(LEFT(LOWER(TRIM($F52&amp;"")),12)="subscription",LOWER(TRIM($F52&amp;""))="membership"),"",IF(OR(AND($H52&lt;&gt;"",$H52=0),LEFT(LOWER(TRIM($F52&amp;"")),9)="free game",LOWER(TRIM($F52&amp;""))="free",LOWER(TRIM($F52&amp;""))="free entry"),IF(ISNUMBER($G52),IF(ISNUMBER(SEARCH("non",LOWER($E52&amp;""))),$G52*0.85,$G52),"N/A"),IF($G52="","",IFERROR(IF(ISNUMBER(SEARCH("non",LOWER($E52&amp;""))),$G52*0.85,$G52),"")))))</ns0:f>
        <ns0:v/>
      </ns0:c>
      <ns0:c r="O52" s="987" t="str">
        <ns0:f>IF(COUNTA($A52:$M52)=0,"",IF(OR(LEFT(LOWER(TRIM($F52&amp;"")),12)="subscription",LOWER(TRIM($F52&amp;""))="membership"),"",IF(OR(AND($H52&lt;&gt;"",$H52=0),LEFT(LOWER(TRIM($F52&amp;"")),9)="free game",LOWER(TRIM($F52&amp;""))="free",LOWER(TRIM($F52&amp;""))="free entry"),IF(OR(NOT(ISNUMBER($N52)),NOT(ISNUMBER($I52)),$I52=0),"N/A",IFERROR($N52/$I52,"N/A")),IF(OR($N52="",$I52="",$I52=0),"",IFERROR($N52/$I52,"")))))</ns0:f>
        <ns0:v/>
      </ns0:c>
      <ns0:c r="P52" s="987">
        <ns0:f>IF(COUNTA($A52:$M52)=0,"",IF(OR(LEFT(LOWER(TRIM($F52&amp;"")),12)="subscription",LOWER(TRIM($F52&amp;""))="membership"),"",IF(LOWER(TRIM($D52&amp;""))="estimate","N/A",IF(LOWER($L52&amp;"")="yes",0,IF(OR(AND($H52&lt;&gt;"",$H52=0),LEFT(LOWER(TRIM($F52&amp;"")),9)="free game",LOWER(TRIM($F52&amp;""))="free",LOWER(TRIM($F52&amp;""))="free entry"),IF(ISNUMBER($K52),$K52,""),IF($K52&lt;&gt;"",$K52,""))))))</ns0:f>
      </ns0:c>
      <ns0:c r="Q52" s="114">
        <ns0:f>IF(COUNTA($A52:$M52)=0,"",IF(OR($U52="Subscription",$U52=""),"",IF($U52="Estimate","N/A",IF($U52="Profit",ROUND(IFERROR($P52,0)-IFERROR($H52,0),2),0))))</ns0:f>
      </ns0:c>
      <ns0:c r="R52" s="114">
        <ns0:f>IF(COUNTA($A52:$M52)=0,"",IF(OR($U52="Subscription",$U52=""),"",IF($U52="Estimate","N/A",IF($U52="Draw",$H52,0))))</ns0:f>
      </ns0:c>
      <ns0:c r="S52" s="114">
        <ns0:f>IF(COUNTA($A52:$M52)=0,"",IF(OR($U52="Subscription",$U52=""),"",IF($U52="Estimate","N/A",IF($U52="Disqualified",$H52,0))))</ns0:f>
      </ns0:c>
      <ns0:c r="T52" s="955">
        <ns0:f>IF(COUNTA($A52:$M52)=0,"",IF(OR($U52="Subscription",$U52=""),"",IF($U52="Estimate","N/A",IF(OR($U52="Free Game",$U52="Disqualified — Free Game",$H52=0),"N/A",IF($U52="Profit",$Q52/$H52,IF($U52="Disqualified",-$S52/$H52,0))))))</ns0:f>
      </ns0:c>
      <ns0:c r="U52" s="920">
        <ns0:f>IF(COUNTA($A52:$M52)=0,"",IF(OR(LEFT(LOWER(TRIM($F52&amp;"")),12)="subscription",LOWER(TRIM($F52&amp;""))="membership"),"Subscription",IF(LOWER(TRIM($D52&amp;""))="estimate","Estimate",IF(OR(AND($H52&lt;&gt;"",$H52=0),LEFT(LOWER(TRIM($F52&amp;"")),9)="free game",LOWER(TRIM($F52&amp;""))="free",LOWER(TRIM($F52&amp;""))="free entry"),IF(LOWER($L52&amp;"")="yes","Disqualified — Free Game","Free Game"),IF(LOWER($L52&amp;"")="yes","Disqualified",IF($P52="","",IF(ROUND(IFERROR(VALUE($P52),0)-IFERROR(VALUE($H52),0),2)&gt;0,"Profit","Draw")))))))</ns0:f>
      </ns0:c>
      <ns0:c r="V52" s="956" t="str">
        <ns0:f>IF(COUNTA($A52:$M52)=0,"",IF(OR($B52="",$C52="",$U52="Subscription"),"",IFERROR(ROUNDUP(($C52-$B52)/7,0),"")))</ns0:f>
      </ns0:c>
      <ns0:c r="W52" s="114">
        <ns0:f>IF(COUNTA($A52:$M52)=0,"",IF(OR($U52="Subscription",$U52=""),"",IF($U52="Estimate","N/A",IF(OR($U52="Free Game",$U52="Disqualified — Free Game"),0,ROUND(IFERROR($Q52,0)-IFERROR($S52,0),2)))))</ns0:f>
      </ns0:c>
      <ns0:c r="X52" s="956" t="str">
        <ns0:f>IF(COUNTA($A52:$M52)=0,"",IF(OR($U52="Subscription",NOT(ISNUMBER($J52)),NOT(ISNUMBER($I52)),$J52=0,$I52=0,$I52&gt;$J52),"",$J52-$I52))</ns0:f>
      </ns0:c>
      <ns0:c r="Y52" s="955" t="str">
        <ns0:f>IF(COUNTA($A52:$M52)=0,"",IF(OR($U52="Subscription",NOT(ISNUMBER($J52)),$J52=0,$X52=""),"",$X52/$J52))</ns0:f>
      </ns0:c>
      <ns0:c r="Z52" s="957" t="str">
        <ns0:f>IF(COUNTA($A52:$M52)=0,"",Instructions!$B$29+SUM($W$5:W52))</ns0:f>
      </ns0:c>
    </ns0:row>
    <ns0:row r="53" ht="36" customHeight="1">
      <ns0:c r="A53" s="439"/>
      <ns0:c r="B53" s="453"/>
      <ns0:c r="C53" s="453"/>
      <ns0:c r="D53" s="454"/>
      <ns0:c r="E53" s="454"/>
      <ns0:c r="F53" s="454"/>
      <ns0:c r="G53" s="986"/>
      <ns0:c r="H53" s="455"/>
      <ns0:c r="I53" s="456"/>
      <ns0:c r="J53" s="456"/>
      <ns0:c r="K53" s="986"/>
      <ns0:c r="L53" s="454"/>
      <ns0:c r="M53" s="439"/>
      <ns0:c r="N53" s="987" t="str">
        <ns0:f>IF(COUNTA($A53:$M53)=0,"",IF(OR(LEFT(LOWER(TRIM($F53&amp;"")),12)="subscription",LOWER(TRIM($F53&amp;""))="membership"),"",IF(OR(AND($H53&lt;&gt;"",$H53=0),LEFT(LOWER(TRIM($F53&amp;"")),9)="free game",LOWER(TRIM($F53&amp;""))="free",LOWER(TRIM($F53&amp;""))="free entry"),IF(ISNUMBER($G53),IF(ISNUMBER(SEARCH("non",LOWER($E53&amp;""))),$G53*0.85,$G53),"N/A"),IF($G53="","",IFERROR(IF(ISNUMBER(SEARCH("non",LOWER($E53&amp;""))),$G53*0.85,$G53),"")))))</ns0:f>
        <ns0:v/>
      </ns0:c>
      <ns0:c r="O53" s="987" t="str">
        <ns0:f>IF(COUNTA($A53:$M53)=0,"",IF(OR(LEFT(LOWER(TRIM($F53&amp;"")),12)="subscription",LOWER(TRIM($F53&amp;""))="membership"),"",IF(OR(AND($H53&lt;&gt;"",$H53=0),LEFT(LOWER(TRIM($F53&amp;"")),9)="free game",LOWER(TRIM($F53&amp;""))="free",LOWER(TRIM($F53&amp;""))="free entry"),IF(OR(NOT(ISNUMBER($N53)),NOT(ISNUMBER($I53)),$I53=0),"N/A",IFERROR($N53/$I53,"N/A")),IF(OR($N53="",$I53="",$I53=0),"",IFERROR($N53/$I53,"")))))</ns0:f>
        <ns0:v/>
      </ns0:c>
      <ns0:c r="P53" s="987">
        <ns0:f>IF(COUNTA($A53:$M53)=0,"",IF(OR(LEFT(LOWER(TRIM($F53&amp;"")),12)="subscription",LOWER(TRIM($F53&amp;""))="membership"),"",IF(LOWER(TRIM($D53&amp;""))="estimate","N/A",IF(LOWER($L53&amp;"")="yes",0,IF(OR(AND($H53&lt;&gt;"",$H53=0),LEFT(LOWER(TRIM($F53&amp;"")),9)="free game",LOWER(TRIM($F53&amp;""))="free",LOWER(TRIM($F53&amp;""))="free entry"),IF(ISNUMBER($K53),$K53,""),IF($K53&lt;&gt;"",$K53,""))))))</ns0:f>
      </ns0:c>
      <ns0:c r="Q53" s="114">
        <ns0:f>IF(COUNTA($A53:$M53)=0,"",IF(OR($U53="Subscription",$U53=""),"",IF($U53="Estimate","N/A",IF($U53="Profit",ROUND(IFERROR($P53,0)-IFERROR($H53,0),2),0))))</ns0:f>
      </ns0:c>
      <ns0:c r="R53" s="114">
        <ns0:f>IF(COUNTA($A53:$M53)=0,"",IF(OR($U53="Subscription",$U53=""),"",IF($U53="Estimate","N/A",IF($U53="Draw",$H53,0))))</ns0:f>
      </ns0:c>
      <ns0:c r="S53" s="114">
        <ns0:f>IF(COUNTA($A53:$M53)=0,"",IF(OR($U53="Subscription",$U53=""),"",IF($U53="Estimate","N/A",IF($U53="Disqualified",$H53,0))))</ns0:f>
      </ns0:c>
      <ns0:c r="T53" s="955">
        <ns0:f>IF(COUNTA($A53:$M53)=0,"",IF(OR($U53="Subscription",$U53=""),"",IF($U53="Estimate","N/A",IF(OR($U53="Free Game",$U53="Disqualified — Free Game",$H53=0),"N/A",IF($U53="Profit",$Q53/$H53,IF($U53="Disqualified",-$S53/$H53,0))))))</ns0:f>
      </ns0:c>
      <ns0:c r="U53" s="920">
        <ns0:f>IF(COUNTA($A53:$M53)=0,"",IF(OR(LEFT(LOWER(TRIM($F53&amp;"")),12)="subscription",LOWER(TRIM($F53&amp;""))="membership"),"Subscription",IF(LOWER(TRIM($D53&amp;""))="estimate","Estimate",IF(OR(AND($H53&lt;&gt;"",$H53=0),LEFT(LOWER(TRIM($F53&amp;"")),9)="free game",LOWER(TRIM($F53&amp;""))="free",LOWER(TRIM($F53&amp;""))="free entry"),IF(LOWER($L53&amp;"")="yes","Disqualified — Free Game","Free Game"),IF(LOWER($L53&amp;"")="yes","Disqualified",IF($P53="","",IF(ROUND(IFERROR(VALUE($P53),0)-IFERROR(VALUE($H53),0),2)&gt;0,"Profit","Draw")))))))</ns0:f>
      </ns0:c>
      <ns0:c r="V53" s="956" t="str">
        <ns0:f>IF(COUNTA($A53:$M53)=0,"",IF(OR($B53="",$C53="",$U53="Subscription"),"",IFERROR(ROUNDUP(($C53-$B53)/7,0),"")))</ns0:f>
      </ns0:c>
      <ns0:c r="W53" s="114">
        <ns0:f>IF(COUNTA($A53:$M53)=0,"",IF(OR($U53="Subscription",$U53=""),"",IF($U53="Estimate","N/A",IF(OR($U53="Free Game",$U53="Disqualified — Free Game"),0,ROUND(IFERROR($Q53,0)-IFERROR($S53,0),2)))))</ns0:f>
      </ns0:c>
      <ns0:c r="X53" s="956" t="str">
        <ns0:f>IF(COUNTA($A53:$M53)=0,"",IF(OR($U53="Subscription",NOT(ISNUMBER($J53)),NOT(ISNUMBER($I53)),$J53=0,$I53=0,$I53&gt;$J53),"",$J53-$I53))</ns0:f>
      </ns0:c>
      <ns0:c r="Y53" s="955" t="str">
        <ns0:f>IF(COUNTA($A53:$M53)=0,"",IF(OR($U53="Subscription",NOT(ISNUMBER($J53)),$J53=0,$X53=""),"",$X53/$J53))</ns0:f>
      </ns0:c>
      <ns0:c r="Z53" s="957" t="str">
        <ns0:f>IF(COUNTA($A53:$M53)=0,"",Instructions!$B$29+SUM($W$5:W53))</ns0:f>
      </ns0:c>
    </ns0:row>
    <ns0:row r="54" ht="36" customHeight="1">
      <ns0:c r="A54" s="439"/>
      <ns0:c r="B54" s="453"/>
      <ns0:c r="C54" s="453"/>
      <ns0:c r="D54" s="454"/>
      <ns0:c r="E54" s="454"/>
      <ns0:c r="F54" s="454"/>
      <ns0:c r="G54" s="986"/>
      <ns0:c r="H54" s="455"/>
      <ns0:c r="I54" s="456"/>
      <ns0:c r="J54" s="456"/>
      <ns0:c r="K54" s="986"/>
      <ns0:c r="L54" s="454"/>
      <ns0:c r="M54" s="439"/>
      <ns0:c r="N54" s="987" t="str">
        <ns0:f>IF(COUNTA($A54:$M54)=0,"",IF(OR(LEFT(LOWER(TRIM($F54&amp;"")),12)="subscription",LOWER(TRIM($F54&amp;""))="membership"),"",IF(OR(AND($H54&lt;&gt;"",$H54=0),LEFT(LOWER(TRIM($F54&amp;"")),9)="free game",LOWER(TRIM($F54&amp;""))="free",LOWER(TRIM($F54&amp;""))="free entry"),IF(ISNUMBER($G54),IF(ISNUMBER(SEARCH("non",LOWER($E54&amp;""))),$G54*0.85,$G54),"N/A"),IF($G54="","",IFERROR(IF(ISNUMBER(SEARCH("non",LOWER($E54&amp;""))),$G54*0.85,$G54),"")))))</ns0:f>
        <ns0:v/>
      </ns0:c>
      <ns0:c r="O54" s="987" t="str">
        <ns0:f>IF(COUNTA($A54:$M54)=0,"",IF(OR(LEFT(LOWER(TRIM($F54&amp;"")),12)="subscription",LOWER(TRIM($F54&amp;""))="membership"),"",IF(OR(AND($H54&lt;&gt;"",$H54=0),LEFT(LOWER(TRIM($F54&amp;"")),9)="free game",LOWER(TRIM($F54&amp;""))="free",LOWER(TRIM($F54&amp;""))="free entry"),IF(OR(NOT(ISNUMBER($N54)),NOT(ISNUMBER($I54)),$I54=0),"N/A",IFERROR($N54/$I54,"N/A")),IF(OR($N54="",$I54="",$I54=0),"",IFERROR($N54/$I54,"")))))</ns0:f>
        <ns0:v/>
      </ns0:c>
      <ns0:c r="P54" s="987">
        <ns0:f>IF(COUNTA($A54:$M54)=0,"",IF(OR(LEFT(LOWER(TRIM($F54&amp;"")),12)="subscription",LOWER(TRIM($F54&amp;""))="membership"),"",IF(LOWER(TRIM($D54&amp;""))="estimate","N/A",IF(LOWER($L54&amp;"")="yes",0,IF(OR(AND($H54&lt;&gt;"",$H54=0),LEFT(LOWER(TRIM($F54&amp;"")),9)="free game",LOWER(TRIM($F54&amp;""))="free",LOWER(TRIM($F54&amp;""))="free entry"),IF(ISNUMBER($K54),$K54,""),IF($K54&lt;&gt;"",$K54,""))))))</ns0:f>
      </ns0:c>
      <ns0:c r="Q54" s="114">
        <ns0:f>IF(COUNTA($A54:$M54)=0,"",IF(OR($U54="Subscription",$U54=""),"",IF($U54="Estimate","N/A",IF($U54="Profit",ROUND(IFERROR($P54,0)-IFERROR($H54,0),2),0))))</ns0:f>
      </ns0:c>
      <ns0:c r="R54" s="114">
        <ns0:f>IF(COUNTA($A54:$M54)=0,"",IF(OR($U54="Subscription",$U54=""),"",IF($U54="Estimate","N/A",IF($U54="Draw",$H54,0))))</ns0:f>
      </ns0:c>
      <ns0:c r="S54" s="114">
        <ns0:f>IF(COUNTA($A54:$M54)=0,"",IF(OR($U54="Subscription",$U54=""),"",IF($U54="Estimate","N/A",IF($U54="Disqualified",$H54,0))))</ns0:f>
      </ns0:c>
      <ns0:c r="T54" s="955">
        <ns0:f>IF(COUNTA($A54:$M54)=0,"",IF(OR($U54="Subscription",$U54=""),"",IF($U54="Estimate","N/A",IF(OR($U54="Free Game",$U54="Disqualified — Free Game",$H54=0),"N/A",IF($U54="Profit",$Q54/$H54,IF($U54="Disqualified",-$S54/$H54,0))))))</ns0:f>
      </ns0:c>
      <ns0:c r="U54" s="920">
        <ns0:f>IF(COUNTA($A54:$M54)=0,"",IF(OR(LEFT(LOWER(TRIM($F54&amp;"")),12)="subscription",LOWER(TRIM($F54&amp;""))="membership"),"Subscription",IF(LOWER(TRIM($D54&amp;""))="estimate","Estimate",IF(OR(AND($H54&lt;&gt;"",$H54=0),LEFT(LOWER(TRIM($F54&amp;"")),9)="free game",LOWER(TRIM($F54&amp;""))="free",LOWER(TRIM($F54&amp;""))="free entry"),IF(LOWER($L54&amp;"")="yes","Disqualified — Free Game","Free Game"),IF(LOWER($L54&amp;"")="yes","Disqualified",IF($P54="","",IF(ROUND(IFERROR(VALUE($P54),0)-IFERROR(VALUE($H54),0),2)&gt;0,"Profit","Draw")))))))</ns0:f>
      </ns0:c>
      <ns0:c r="V54" s="956" t="str">
        <ns0:f>IF(COUNTA($A54:$M54)=0,"",IF(OR($B54="",$C54="",$U54="Subscription"),"",IFERROR(ROUNDUP(($C54-$B54)/7,0),"")))</ns0:f>
      </ns0:c>
      <ns0:c r="W54" s="114">
        <ns0:f>IF(COUNTA($A54:$M54)=0,"",IF(OR($U54="Subscription",$U54=""),"",IF($U54="Estimate","N/A",IF(OR($U54="Free Game",$U54="Disqualified — Free Game"),0,ROUND(IFERROR($Q54,0)-IFERROR($S54,0),2)))))</ns0:f>
      </ns0:c>
      <ns0:c r="X54" s="956" t="str">
        <ns0:f>IF(COUNTA($A54:$M54)=0,"",IF(OR($U54="Subscription",NOT(ISNUMBER($J54)),NOT(ISNUMBER($I54)),$J54=0,$I54=0,$I54&gt;$J54),"",$J54-$I54))</ns0:f>
      </ns0:c>
      <ns0:c r="Y54" s="955" t="str">
        <ns0:f>IF(COUNTA($A54:$M54)=0,"",IF(OR($U54="Subscription",NOT(ISNUMBER($J54)),$J54=0,$X54=""),"",$X54/$J54))</ns0:f>
      </ns0:c>
      <ns0:c r="Z54" s="957" t="str">
        <ns0:f>IF(COUNTA($A54:$M54)=0,"",Instructions!$B$29+SUM($W$5:W54))</ns0:f>
      </ns0:c>
    </ns0:row>
    <ns0:row r="55" ht="36" customHeight="1">
      <ns0:c r="A55" s="439"/>
      <ns0:c r="B55" s="453"/>
      <ns0:c r="C55" s="453"/>
      <ns0:c r="D55" s="454"/>
      <ns0:c r="E55" s="454"/>
      <ns0:c r="F55" s="454"/>
      <ns0:c r="G55" s="986"/>
      <ns0:c r="H55" s="455"/>
      <ns0:c r="I55" s="456"/>
      <ns0:c r="J55" s="456"/>
      <ns0:c r="K55" s="986"/>
      <ns0:c r="L55" s="454"/>
      <ns0:c r="M55" s="439"/>
      <ns0:c r="N55" s="987" t="str">
        <ns0:f>IF(COUNTA($A55:$M55)=0,"",IF(OR(LEFT(LOWER(TRIM($F55&amp;"")),12)="subscription",LOWER(TRIM($F55&amp;""))="membership"),"",IF(OR(AND($H55&lt;&gt;"",$H55=0),LEFT(LOWER(TRIM($F55&amp;"")),9)="free game",LOWER(TRIM($F55&amp;""))="free",LOWER(TRIM($F55&amp;""))="free entry"),IF(ISNUMBER($G55),IF(ISNUMBER(SEARCH("non",LOWER($E55&amp;""))),$G55*0.85,$G55),"N/A"),IF($G55="","",IFERROR(IF(ISNUMBER(SEARCH("non",LOWER($E55&amp;""))),$G55*0.85,$G55),"")))))</ns0:f>
        <ns0:v/>
      </ns0:c>
      <ns0:c r="O55" s="987" t="str">
        <ns0:f>IF(COUNTA($A55:$M55)=0,"",IF(OR(LEFT(LOWER(TRIM($F55&amp;"")),12)="subscription",LOWER(TRIM($F55&amp;""))="membership"),"",IF(OR(AND($H55&lt;&gt;"",$H55=0),LEFT(LOWER(TRIM($F55&amp;"")),9)="free game",LOWER(TRIM($F55&amp;""))="free",LOWER(TRIM($F55&amp;""))="free entry"),IF(OR(NOT(ISNUMBER($N55)),NOT(ISNUMBER($I55)),$I55=0),"N/A",IFERROR($N55/$I55,"N/A")),IF(OR($N55="",$I55="",$I55=0),"",IFERROR($N55/$I55,"")))))</ns0:f>
        <ns0:v/>
      </ns0:c>
      <ns0:c r="P55" s="987">
        <ns0:f>IF(COUNTA($A55:$M55)=0,"",IF(OR(LEFT(LOWER(TRIM($F55&amp;"")),12)="subscription",LOWER(TRIM($F55&amp;""))="membership"),"",IF(LOWER(TRIM($D55&amp;""))="estimate","N/A",IF(LOWER($L55&amp;"")="yes",0,IF(OR(AND($H55&lt;&gt;"",$H55=0),LEFT(LOWER(TRIM($F55&amp;"")),9)="free game",LOWER(TRIM($F55&amp;""))="free",LOWER(TRIM($F55&amp;""))="free entry"),IF(ISNUMBER($K55),$K55,""),IF($K55&lt;&gt;"",$K55,""))))))</ns0:f>
      </ns0:c>
      <ns0:c r="Q55" s="114">
        <ns0:f>IF(COUNTA($A55:$M55)=0,"",IF(OR($U55="Subscription",$U55=""),"",IF($U55="Estimate","N/A",IF($U55="Profit",ROUND(IFERROR($P55,0)-IFERROR($H55,0),2),0))))</ns0:f>
      </ns0:c>
      <ns0:c r="R55" s="114">
        <ns0:f>IF(COUNTA($A55:$M55)=0,"",IF(OR($U55="Subscription",$U55=""),"",IF($U55="Estimate","N/A",IF($U55="Draw",$H55,0))))</ns0:f>
      </ns0:c>
      <ns0:c r="S55" s="114">
        <ns0:f>IF(COUNTA($A55:$M55)=0,"",IF(OR($U55="Subscription",$U55=""),"",IF($U55="Estimate","N/A",IF($U55="Disqualified",$H55,0))))</ns0:f>
      </ns0:c>
      <ns0:c r="T55" s="955">
        <ns0:f>IF(COUNTA($A55:$M55)=0,"",IF(OR($U55="Subscription",$U55=""),"",IF($U55="Estimate","N/A",IF(OR($U55="Free Game",$U55="Disqualified — Free Game",$H55=0),"N/A",IF($U55="Profit",$Q55/$H55,IF($U55="Disqualified",-$S55/$H55,0))))))</ns0:f>
      </ns0:c>
      <ns0:c r="U55" s="920">
        <ns0:f>IF(COUNTA($A55:$M55)=0,"",IF(OR(LEFT(LOWER(TRIM($F55&amp;"")),12)="subscription",LOWER(TRIM($F55&amp;""))="membership"),"Subscription",IF(LOWER(TRIM($D55&amp;""))="estimate","Estimate",IF(OR(AND($H55&lt;&gt;"",$H55=0),LEFT(LOWER(TRIM($F55&amp;"")),9)="free game",LOWER(TRIM($F55&amp;""))="free",LOWER(TRIM($F55&amp;""))="free entry"),IF(LOWER($L55&amp;"")="yes","Disqualified — Free Game","Free Game"),IF(LOWER($L55&amp;"")="yes","Disqualified",IF($P55="","",IF(ROUND(IFERROR(VALUE($P55),0)-IFERROR(VALUE($H55),0),2)&gt;0,"Profit","Draw")))))))</ns0:f>
      </ns0:c>
      <ns0:c r="V55" s="956" t="str">
        <ns0:f>IF(COUNTA($A55:$M55)=0,"",IF(OR($B55="",$C55="",$U55="Subscription"),"",IFERROR(ROUNDUP(($C55-$B55)/7,0),"")))</ns0:f>
      </ns0:c>
      <ns0:c r="W55" s="114">
        <ns0:f>IF(COUNTA($A55:$M55)=0,"",IF(OR($U55="Subscription",$U55=""),"",IF($U55="Estimate","N/A",IF(OR($U55="Free Game",$U55="Disqualified — Free Game"),0,ROUND(IFERROR($Q55,0)-IFERROR($S55,0),2)))))</ns0:f>
      </ns0:c>
      <ns0:c r="X55" s="956" t="str">
        <ns0:f>IF(COUNTA($A55:$M55)=0,"",IF(OR($U55="Subscription",NOT(ISNUMBER($J55)),NOT(ISNUMBER($I55)),$J55=0,$I55=0,$I55&gt;$J55),"",$J55-$I55))</ns0:f>
      </ns0:c>
      <ns0:c r="Y55" s="955" t="str">
        <ns0:f>IF(COUNTA($A55:$M55)=0,"",IF(OR($U55="Subscription",NOT(ISNUMBER($J55)),$J55=0,$X55=""),"",$X55/$J55))</ns0:f>
      </ns0:c>
      <ns0:c r="Z55" s="957" t="str">
        <ns0:f>IF(COUNTA($A55:$M55)=0,"",Instructions!$B$29+SUM($W$5:W55))</ns0:f>
      </ns0:c>
    </ns0:row>
    <ns0:row r="56" ht="36" customHeight="1">
      <ns0:c r="A56" s="439"/>
      <ns0:c r="B56" s="453"/>
      <ns0:c r="C56" s="453"/>
      <ns0:c r="D56" s="454"/>
      <ns0:c r="E56" s="454"/>
      <ns0:c r="F56" s="454"/>
      <ns0:c r="G56" s="986"/>
      <ns0:c r="H56" s="455"/>
      <ns0:c r="I56" s="456"/>
      <ns0:c r="J56" s="456"/>
      <ns0:c r="K56" s="986"/>
      <ns0:c r="L56" s="454"/>
      <ns0:c r="M56" s="439"/>
      <ns0:c r="N56" s="987" t="str">
        <ns0:f>IF(COUNTA($A56:$M56)=0,"",IF(OR(LEFT(LOWER(TRIM($F56&amp;"")),12)="subscription",LOWER(TRIM($F56&amp;""))="membership"),"",IF(OR(AND($H56&lt;&gt;"",$H56=0),LEFT(LOWER(TRIM($F56&amp;"")),9)="free game",LOWER(TRIM($F56&amp;""))="free",LOWER(TRIM($F56&amp;""))="free entry"),IF(ISNUMBER($G56),IF(ISNUMBER(SEARCH("non",LOWER($E56&amp;""))),$G56*0.85,$G56),"N/A"),IF($G56="","",IFERROR(IF(ISNUMBER(SEARCH("non",LOWER($E56&amp;""))),$G56*0.85,$G56),"")))))</ns0:f>
        <ns0:v/>
      </ns0:c>
      <ns0:c r="O56" s="987" t="str">
        <ns0:f>IF(COUNTA($A56:$M56)=0,"",IF(OR(LEFT(LOWER(TRIM($F56&amp;"")),12)="subscription",LOWER(TRIM($F56&amp;""))="membership"),"",IF(OR(AND($H56&lt;&gt;"",$H56=0),LEFT(LOWER(TRIM($F56&amp;"")),9)="free game",LOWER(TRIM($F56&amp;""))="free",LOWER(TRIM($F56&amp;""))="free entry"),IF(OR(NOT(ISNUMBER($N56)),NOT(ISNUMBER($I56)),$I56=0),"N/A",IFERROR($N56/$I56,"N/A")),IF(OR($N56="",$I56="",$I56=0),"",IFERROR($N56/$I56,"")))))</ns0:f>
        <ns0:v/>
      </ns0:c>
      <ns0:c r="P56" s="987">
        <ns0:f>IF(COUNTA($A56:$M56)=0,"",IF(OR(LEFT(LOWER(TRIM($F56&amp;"")),12)="subscription",LOWER(TRIM($F56&amp;""))="membership"),"",IF(LOWER(TRIM($D56&amp;""))="estimate","N/A",IF(LOWER($L56&amp;"")="yes",0,IF(OR(AND($H56&lt;&gt;"",$H56=0),LEFT(LOWER(TRIM($F56&amp;"")),9)="free game",LOWER(TRIM($F56&amp;""))="free",LOWER(TRIM($F56&amp;""))="free entry"),IF(ISNUMBER($K56),$K56,""),IF($K56&lt;&gt;"",$K56,""))))))</ns0:f>
      </ns0:c>
      <ns0:c r="Q56" s="114">
        <ns0:f>IF(COUNTA($A56:$M56)=0,"",IF(OR($U56="Subscription",$U56=""),"",IF($U56="Estimate","N/A",IF($U56="Profit",ROUND(IFERROR($P56,0)-IFERROR($H56,0),2),0))))</ns0:f>
      </ns0:c>
      <ns0:c r="R56" s="114">
        <ns0:f>IF(COUNTA($A56:$M56)=0,"",IF(OR($U56="Subscription",$U56=""),"",IF($U56="Estimate","N/A",IF($U56="Draw",$H56,0))))</ns0:f>
      </ns0:c>
      <ns0:c r="S56" s="114">
        <ns0:f>IF(COUNTA($A56:$M56)=0,"",IF(OR($U56="Subscription",$U56=""),"",IF($U56="Estimate","N/A",IF($U56="Disqualified",$H56,0))))</ns0:f>
      </ns0:c>
      <ns0:c r="T56" s="955">
        <ns0:f>IF(COUNTA($A56:$M56)=0,"",IF(OR($U56="Subscription",$U56=""),"",IF($U56="Estimate","N/A",IF(OR($U56="Free Game",$U56="Disqualified — Free Game",$H56=0),"N/A",IF($U56="Profit",$Q56/$H56,IF($U56="Disqualified",-$S56/$H56,0))))))</ns0:f>
      </ns0:c>
      <ns0:c r="U56" s="920">
        <ns0:f>IF(COUNTA($A56:$M56)=0,"",IF(OR(LEFT(LOWER(TRIM($F56&amp;"")),12)="subscription",LOWER(TRIM($F56&amp;""))="membership"),"Subscription",IF(LOWER(TRIM($D56&amp;""))="estimate","Estimate",IF(OR(AND($H56&lt;&gt;"",$H56=0),LEFT(LOWER(TRIM($F56&amp;"")),9)="free game",LOWER(TRIM($F56&amp;""))="free",LOWER(TRIM($F56&amp;""))="free entry"),IF(LOWER($L56&amp;"")="yes","Disqualified — Free Game","Free Game"),IF(LOWER($L56&amp;"")="yes","Disqualified",IF($P56="","",IF(ROUND(IFERROR(VALUE($P56),0)-IFERROR(VALUE($H56),0),2)&gt;0,"Profit","Draw")))))))</ns0:f>
      </ns0:c>
      <ns0:c r="V56" s="956" t="str">
        <ns0:f>IF(COUNTA($A56:$M56)=0,"",IF(OR($B56="",$C56="",$U56="Subscription"),"",IFERROR(ROUNDUP(($C56-$B56)/7,0),"")))</ns0:f>
      </ns0:c>
      <ns0:c r="W56" s="114">
        <ns0:f>IF(COUNTA($A56:$M56)=0,"",IF(OR($U56="Subscription",$U56=""),"",IF($U56="Estimate","N/A",IF(OR($U56="Free Game",$U56="Disqualified — Free Game"),0,ROUND(IFERROR($Q56,0)-IFERROR($S56,0),2)))))</ns0:f>
      </ns0:c>
      <ns0:c r="X56" s="956" t="str">
        <ns0:f>IF(COUNTA($A56:$M56)=0,"",IF(OR($U56="Subscription",NOT(ISNUMBER($J56)),NOT(ISNUMBER($I56)),$J56=0,$I56=0,$I56&gt;$J56),"",$J56-$I56))</ns0:f>
      </ns0:c>
      <ns0:c r="Y56" s="955" t="str">
        <ns0:f>IF(COUNTA($A56:$M56)=0,"",IF(OR($U56="Subscription",NOT(ISNUMBER($J56)),$J56=0,$X56=""),"",$X56/$J56))</ns0:f>
      </ns0:c>
      <ns0:c r="Z56" s="957" t="str">
        <ns0:f>IF(COUNTA($A56:$M56)=0,"",Instructions!$B$29+SUM($W$5:W56))</ns0:f>
      </ns0:c>
    </ns0:row>
    <ns0:row r="57" ht="36" customHeight="1">
      <ns0:c r="A57" s="439"/>
      <ns0:c r="B57" s="453"/>
      <ns0:c r="C57" s="453"/>
      <ns0:c r="D57" s="454"/>
      <ns0:c r="E57" s="454"/>
      <ns0:c r="F57" s="454"/>
      <ns0:c r="G57" s="986"/>
      <ns0:c r="H57" s="455"/>
      <ns0:c r="I57" s="456"/>
      <ns0:c r="J57" s="456"/>
      <ns0:c r="K57" s="986"/>
      <ns0:c r="L57" s="454"/>
      <ns0:c r="M57" s="439"/>
      <ns0:c r="N57" s="987" t="str">
        <ns0:f>IF(COUNTA($A57:$M57)=0,"",IF(OR(LEFT(LOWER(TRIM($F57&amp;"")),12)="subscription",LOWER(TRIM($F57&amp;""))="membership"),"",IF(OR(AND($H57&lt;&gt;"",$H57=0),LEFT(LOWER(TRIM($F57&amp;"")),9)="free game",LOWER(TRIM($F57&amp;""))="free",LOWER(TRIM($F57&amp;""))="free entry"),IF(ISNUMBER($G57),IF(ISNUMBER(SEARCH("non",LOWER($E57&amp;""))),$G57*0.85,$G57),"N/A"),IF($G57="","",IFERROR(IF(ISNUMBER(SEARCH("non",LOWER($E57&amp;""))),$G57*0.85,$G57),"")))))</ns0:f>
        <ns0:v/>
      </ns0:c>
      <ns0:c r="O57" s="987" t="str">
        <ns0:f>IF(COUNTA($A57:$M57)=0,"",IF(OR(LEFT(LOWER(TRIM($F57&amp;"")),12)="subscription",LOWER(TRIM($F57&amp;""))="membership"),"",IF(OR(AND($H57&lt;&gt;"",$H57=0),LEFT(LOWER(TRIM($F57&amp;"")),9)="free game",LOWER(TRIM($F57&amp;""))="free",LOWER(TRIM($F57&amp;""))="free entry"),IF(OR(NOT(ISNUMBER($N57)),NOT(ISNUMBER($I57)),$I57=0),"N/A",IFERROR($N57/$I57,"N/A")),IF(OR($N57="",$I57="",$I57=0),"",IFERROR($N57/$I57,"")))))</ns0:f>
        <ns0:v/>
      </ns0:c>
      <ns0:c r="P57" s="987">
        <ns0:f>IF(COUNTA($A57:$M57)=0,"",IF(OR(LEFT(LOWER(TRIM($F57&amp;"")),12)="subscription",LOWER(TRIM($F57&amp;""))="membership"),"",IF(LOWER(TRIM($D57&amp;""))="estimate","N/A",IF(LOWER($L57&amp;"")="yes",0,IF(OR(AND($H57&lt;&gt;"",$H57=0),LEFT(LOWER(TRIM($F57&amp;"")),9)="free game",LOWER(TRIM($F57&amp;""))="free",LOWER(TRIM($F57&amp;""))="free entry"),IF(ISNUMBER($K57),$K57,""),IF($K57&lt;&gt;"",$K57,""))))))</ns0:f>
      </ns0:c>
      <ns0:c r="Q57" s="114">
        <ns0:f>IF(COUNTA($A57:$M57)=0,"",IF(OR($U57="Subscription",$U57=""),"",IF($U57="Estimate","N/A",IF($U57="Profit",ROUND(IFERROR($P57,0)-IFERROR($H57,0),2),0))))</ns0:f>
      </ns0:c>
      <ns0:c r="R57" s="114">
        <ns0:f>IF(COUNTA($A57:$M57)=0,"",IF(OR($U57="Subscription",$U57=""),"",IF($U57="Estimate","N/A",IF($U57="Draw",$H57,0))))</ns0:f>
      </ns0:c>
      <ns0:c r="S57" s="114">
        <ns0:f>IF(COUNTA($A57:$M57)=0,"",IF(OR($U57="Subscription",$U57=""),"",IF($U57="Estimate","N/A",IF($U57="Disqualified",$H57,0))))</ns0:f>
      </ns0:c>
      <ns0:c r="T57" s="955">
        <ns0:f>IF(COUNTA($A57:$M57)=0,"",IF(OR($U57="Subscription",$U57=""),"",IF($U57="Estimate","N/A",IF(OR($U57="Free Game",$U57="Disqualified — Free Game",$H57=0),"N/A",IF($U57="Profit",$Q57/$H57,IF($U57="Disqualified",-$S57/$H57,0))))))</ns0:f>
      </ns0:c>
      <ns0:c r="U57" s="920">
        <ns0:f>IF(COUNTA($A57:$M57)=0,"",IF(OR(LEFT(LOWER(TRIM($F57&amp;"")),12)="subscription",LOWER(TRIM($F57&amp;""))="membership"),"Subscription",IF(LOWER(TRIM($D57&amp;""))="estimate","Estimate",IF(OR(AND($H57&lt;&gt;"",$H57=0),LEFT(LOWER(TRIM($F57&amp;"")),9)="free game",LOWER(TRIM($F57&amp;""))="free",LOWER(TRIM($F57&amp;""))="free entry"),IF(LOWER($L57&amp;"")="yes","Disqualified — Free Game","Free Game"),IF(LOWER($L57&amp;"")="yes","Disqualified",IF($P57="","",IF(ROUND(IFERROR(VALUE($P57),0)-IFERROR(VALUE($H57),0),2)&gt;0,"Profit","Draw")))))))</ns0:f>
      </ns0:c>
      <ns0:c r="V57" s="956" t="str">
        <ns0:f>IF(COUNTA($A57:$M57)=0,"",IF(OR($B57="",$C57="",$U57="Subscription"),"",IFERROR(ROUNDUP(($C57-$B57)/7,0),"")))</ns0:f>
      </ns0:c>
      <ns0:c r="W57" s="114">
        <ns0:f>IF(COUNTA($A57:$M57)=0,"",IF(OR($U57="Subscription",$U57=""),"",IF($U57="Estimate","N/A",IF(OR($U57="Free Game",$U57="Disqualified — Free Game"),0,ROUND(IFERROR($Q57,0)-IFERROR($S57,0),2)))))</ns0:f>
      </ns0:c>
      <ns0:c r="X57" s="956" t="str">
        <ns0:f>IF(COUNTA($A57:$M57)=0,"",IF(OR($U57="Subscription",NOT(ISNUMBER($J57)),NOT(ISNUMBER($I57)),$J57=0,$I57=0,$I57&gt;$J57),"",$J57-$I57))</ns0:f>
      </ns0:c>
      <ns0:c r="Y57" s="955" t="str">
        <ns0:f>IF(COUNTA($A57:$M57)=0,"",IF(OR($U57="Subscription",NOT(ISNUMBER($J57)),$J57=0,$X57=""),"",$X57/$J57))</ns0:f>
      </ns0:c>
      <ns0:c r="Z57" s="957" t="str">
        <ns0:f>IF(COUNTA($A57:$M57)=0,"",Instructions!$B$29+SUM($W$5:W57))</ns0:f>
      </ns0:c>
    </ns0:row>
    <ns0:row r="58" ht="36" customHeight="1">
      <ns0:c r="A58" s="439"/>
      <ns0:c r="B58" s="453"/>
      <ns0:c r="C58" s="453"/>
      <ns0:c r="D58" s="454"/>
      <ns0:c r="E58" s="454"/>
      <ns0:c r="F58" s="454"/>
      <ns0:c r="G58" s="986"/>
      <ns0:c r="H58" s="455"/>
      <ns0:c r="I58" s="456"/>
      <ns0:c r="J58" s="456"/>
      <ns0:c r="K58" s="986"/>
      <ns0:c r="L58" s="454"/>
      <ns0:c r="M58" s="439"/>
      <ns0:c r="N58" s="987" t="str">
        <ns0:f>IF(COUNTA($A58:$M58)=0,"",IF(OR(LEFT(LOWER(TRIM($F58&amp;"")),12)="subscription",LOWER(TRIM($F58&amp;""))="membership"),"",IF(OR(AND($H58&lt;&gt;"",$H58=0),LEFT(LOWER(TRIM($F58&amp;"")),9)="free game",LOWER(TRIM($F58&amp;""))="free",LOWER(TRIM($F58&amp;""))="free entry"),IF(ISNUMBER($G58),IF(ISNUMBER(SEARCH("non",LOWER($E58&amp;""))),$G58*0.85,$G58),"N/A"),IF($G58="","",IFERROR(IF(ISNUMBER(SEARCH("non",LOWER($E58&amp;""))),$G58*0.85,$G58),"")))))</ns0:f>
        <ns0:v/>
      </ns0:c>
      <ns0:c r="O58" s="987" t="str">
        <ns0:f>IF(COUNTA($A58:$M58)=0,"",IF(OR(LEFT(LOWER(TRIM($F58&amp;"")),12)="subscription",LOWER(TRIM($F58&amp;""))="membership"),"",IF(OR(AND($H58&lt;&gt;"",$H58=0),LEFT(LOWER(TRIM($F58&amp;"")),9)="free game",LOWER(TRIM($F58&amp;""))="free",LOWER(TRIM($F58&amp;""))="free entry"),IF(OR(NOT(ISNUMBER($N58)),NOT(ISNUMBER($I58)),$I58=0),"N/A",IFERROR($N58/$I58,"N/A")),IF(OR($N58="",$I58="",$I58=0),"",IFERROR($N58/$I58,"")))))</ns0:f>
        <ns0:v/>
      </ns0:c>
      <ns0:c r="P58" s="987">
        <ns0:f>IF(COUNTA($A58:$M58)=0,"",IF(OR(LEFT(LOWER(TRIM($F58&amp;"")),12)="subscription",LOWER(TRIM($F58&amp;""))="membership"),"",IF(LOWER(TRIM($D58&amp;""))="estimate","N/A",IF(LOWER($L58&amp;"")="yes",0,IF(OR(AND($H58&lt;&gt;"",$H58=0),LEFT(LOWER(TRIM($F58&amp;"")),9)="free game",LOWER(TRIM($F58&amp;""))="free",LOWER(TRIM($F58&amp;""))="free entry"),IF(ISNUMBER($K58),$K58,""),IF($K58&lt;&gt;"",$K58,""))))))</ns0:f>
      </ns0:c>
      <ns0:c r="Q58" s="114">
        <ns0:f>IF(COUNTA($A58:$M58)=0,"",IF(OR($U58="Subscription",$U58=""),"",IF($U58="Estimate","N/A",IF($U58="Profit",ROUND(IFERROR($P58,0)-IFERROR($H58,0),2),0))))</ns0:f>
      </ns0:c>
      <ns0:c r="R58" s="114">
        <ns0:f>IF(COUNTA($A58:$M58)=0,"",IF(OR($U58="Subscription",$U58=""),"",IF($U58="Estimate","N/A",IF($U58="Draw",$H58,0))))</ns0:f>
      </ns0:c>
      <ns0:c r="S58" s="114">
        <ns0:f>IF(COUNTA($A58:$M58)=0,"",IF(OR($U58="Subscription",$U58=""),"",IF($U58="Estimate","N/A",IF($U58="Disqualified",$H58,0))))</ns0:f>
      </ns0:c>
      <ns0:c r="T58" s="955">
        <ns0:f>IF(COUNTA($A58:$M58)=0,"",IF(OR($U58="Subscription",$U58=""),"",IF($U58="Estimate","N/A",IF(OR($U58="Free Game",$U58="Disqualified — Free Game",$H58=0),"N/A",IF($U58="Profit",$Q58/$H58,IF($U58="Disqualified",-$S58/$H58,0))))))</ns0:f>
      </ns0:c>
      <ns0:c r="U58" s="920">
        <ns0:f>IF(COUNTA($A58:$M58)=0,"",IF(OR(LEFT(LOWER(TRIM($F58&amp;"")),12)="subscription",LOWER(TRIM($F58&amp;""))="membership"),"Subscription",IF(LOWER(TRIM($D58&amp;""))="estimate","Estimate",IF(OR(AND($H58&lt;&gt;"",$H58=0),LEFT(LOWER(TRIM($F58&amp;"")),9)="free game",LOWER(TRIM($F58&amp;""))="free",LOWER(TRIM($F58&amp;""))="free entry"),IF(LOWER($L58&amp;"")="yes","Disqualified — Free Game","Free Game"),IF(LOWER($L58&amp;"")="yes","Disqualified",IF($P58="","",IF(ROUND(IFERROR(VALUE($P58),0)-IFERROR(VALUE($H58),0),2)&gt;0,"Profit","Draw")))))))</ns0:f>
      </ns0:c>
      <ns0:c r="V58" s="956" t="str">
        <ns0:f>IF(COUNTA($A58:$M58)=0,"",IF(OR($B58="",$C58="",$U58="Subscription"),"",IFERROR(ROUNDUP(($C58-$B58)/7,0),"")))</ns0:f>
      </ns0:c>
      <ns0:c r="W58" s="114">
        <ns0:f>IF(COUNTA($A58:$M58)=0,"",IF(OR($U58="Subscription",$U58=""),"",IF($U58="Estimate","N/A",IF(OR($U58="Free Game",$U58="Disqualified — Free Game"),0,ROUND(IFERROR($Q58,0)-IFERROR($S58,0),2)))))</ns0:f>
      </ns0:c>
      <ns0:c r="X58" s="956" t="str">
        <ns0:f>IF(COUNTA($A58:$M58)=0,"",IF(OR($U58="Subscription",NOT(ISNUMBER($J58)),NOT(ISNUMBER($I58)),$J58=0,$I58=0,$I58&gt;$J58),"",$J58-$I58))</ns0:f>
      </ns0:c>
      <ns0:c r="Y58" s="955" t="str">
        <ns0:f>IF(COUNTA($A58:$M58)=0,"",IF(OR($U58="Subscription",NOT(ISNUMBER($J58)),$J58=0,$X58=""),"",$X58/$J58))</ns0:f>
      </ns0:c>
      <ns0:c r="Z58" s="957" t="str">
        <ns0:f>IF(COUNTA($A58:$M58)=0,"",Instructions!$B$29+SUM($W$5:W58))</ns0:f>
      </ns0:c>
    </ns0:row>
    <ns0:row r="59" ht="36" customHeight="1">
      <ns0:c r="A59" s="439"/>
      <ns0:c r="B59" s="453"/>
      <ns0:c r="C59" s="453"/>
      <ns0:c r="D59" s="454"/>
      <ns0:c r="E59" s="454"/>
      <ns0:c r="F59" s="454"/>
      <ns0:c r="G59" s="986"/>
      <ns0:c r="H59" s="455"/>
      <ns0:c r="I59" s="456"/>
      <ns0:c r="J59" s="456"/>
      <ns0:c r="K59" s="986"/>
      <ns0:c r="L59" s="454"/>
      <ns0:c r="M59" s="439"/>
      <ns0:c r="N59" s="987" t="str">
        <ns0:f>IF(COUNTA($A59:$M59)=0,"",IF(OR(LEFT(LOWER(TRIM($F59&amp;"")),12)="subscription",LOWER(TRIM($F59&amp;""))="membership"),"",IF(OR(AND($H59&lt;&gt;"",$H59=0),LEFT(LOWER(TRIM($F59&amp;"")),9)="free game",LOWER(TRIM($F59&amp;""))="free",LOWER(TRIM($F59&amp;""))="free entry"),IF(ISNUMBER($G59),IF(ISNUMBER(SEARCH("non",LOWER($E59&amp;""))),$G59*0.85,$G59),"N/A"),IF($G59="","",IFERROR(IF(ISNUMBER(SEARCH("non",LOWER($E59&amp;""))),$G59*0.85,$G59),"")))))</ns0:f>
        <ns0:v/>
      </ns0:c>
      <ns0:c r="O59" s="987" t="str">
        <ns0:f>IF(COUNTA($A59:$M59)=0,"",IF(OR(LEFT(LOWER(TRIM($F59&amp;"")),12)="subscription",LOWER(TRIM($F59&amp;""))="membership"),"",IF(OR(AND($H59&lt;&gt;"",$H59=0),LEFT(LOWER(TRIM($F59&amp;"")),9)="free game",LOWER(TRIM($F59&amp;""))="free",LOWER(TRIM($F59&amp;""))="free entry"),IF(OR(NOT(ISNUMBER($N59)),NOT(ISNUMBER($I59)),$I59=0),"N/A",IFERROR($N59/$I59,"N/A")),IF(OR($N59="",$I59="",$I59=0),"",IFERROR($N59/$I59,"")))))</ns0:f>
        <ns0:v/>
      </ns0:c>
      <ns0:c r="P59" s="987">
        <ns0:f>IF(COUNTA($A59:$M59)=0,"",IF(OR(LEFT(LOWER(TRIM($F59&amp;"")),12)="subscription",LOWER(TRIM($F59&amp;""))="membership"),"",IF(LOWER(TRIM($D59&amp;""))="estimate","N/A",IF(LOWER($L59&amp;"")="yes",0,IF(OR(AND($H59&lt;&gt;"",$H59=0),LEFT(LOWER(TRIM($F59&amp;"")),9)="free game",LOWER(TRIM($F59&amp;""))="free",LOWER(TRIM($F59&amp;""))="free entry"),IF(ISNUMBER($K59),$K59,""),IF($K59&lt;&gt;"",$K59,""))))))</ns0:f>
      </ns0:c>
      <ns0:c r="Q59" s="114">
        <ns0:f>IF(COUNTA($A59:$M59)=0,"",IF(OR($U59="Subscription",$U59=""),"",IF($U59="Estimate","N/A",IF($U59="Profit",ROUND(IFERROR($P59,0)-IFERROR($H59,0),2),0))))</ns0:f>
      </ns0:c>
      <ns0:c r="R59" s="114">
        <ns0:f>IF(COUNTA($A59:$M59)=0,"",IF(OR($U59="Subscription",$U59=""),"",IF($U59="Estimate","N/A",IF($U59="Draw",$H59,0))))</ns0:f>
      </ns0:c>
      <ns0:c r="S59" s="114">
        <ns0:f>IF(COUNTA($A59:$M59)=0,"",IF(OR($U59="Subscription",$U59=""),"",IF($U59="Estimate","N/A",IF($U59="Disqualified",$H59,0))))</ns0:f>
      </ns0:c>
      <ns0:c r="T59" s="955">
        <ns0:f>IF(COUNTA($A59:$M59)=0,"",IF(OR($U59="Subscription",$U59=""),"",IF($U59="Estimate","N/A",IF(OR($U59="Free Game",$U59="Disqualified — Free Game",$H59=0),"N/A",IF($U59="Profit",$Q59/$H59,IF($U59="Disqualified",-$S59/$H59,0))))))</ns0:f>
      </ns0:c>
      <ns0:c r="U59" s="920">
        <ns0:f>IF(COUNTA($A59:$M59)=0,"",IF(OR(LEFT(LOWER(TRIM($F59&amp;"")),12)="subscription",LOWER(TRIM($F59&amp;""))="membership"),"Subscription",IF(LOWER(TRIM($D59&amp;""))="estimate","Estimate",IF(OR(AND($H59&lt;&gt;"",$H59=0),LEFT(LOWER(TRIM($F59&amp;"")),9)="free game",LOWER(TRIM($F59&amp;""))="free",LOWER(TRIM($F59&amp;""))="free entry"),IF(LOWER($L59&amp;"")="yes","Disqualified — Free Game","Free Game"),IF(LOWER($L59&amp;"")="yes","Disqualified",IF($P59="","",IF(ROUND(IFERROR(VALUE($P59),0)-IFERROR(VALUE($H59),0),2)&gt;0,"Profit","Draw")))))))</ns0:f>
      </ns0:c>
      <ns0:c r="V59" s="956" t="str">
        <ns0:f>IF(COUNTA($A59:$M59)=0,"",IF(OR($B59="",$C59="",$U59="Subscription"),"",IFERROR(ROUNDUP(($C59-$B59)/7,0),"")))</ns0:f>
      </ns0:c>
      <ns0:c r="W59" s="114">
        <ns0:f>IF(COUNTA($A59:$M59)=0,"",IF(OR($U59="Subscription",$U59=""),"",IF($U59="Estimate","N/A",IF(OR($U59="Free Game",$U59="Disqualified — Free Game"),0,ROUND(IFERROR($Q59,0)-IFERROR($S59,0),2)))))</ns0:f>
      </ns0:c>
      <ns0:c r="X59" s="956" t="str">
        <ns0:f>IF(COUNTA($A59:$M59)=0,"",IF(OR($U59="Subscription",NOT(ISNUMBER($J59)),NOT(ISNUMBER($I59)),$J59=0,$I59=0,$I59&gt;$J59),"",$J59-$I59))</ns0:f>
      </ns0:c>
      <ns0:c r="Y59" s="955" t="str">
        <ns0:f>IF(COUNTA($A59:$M59)=0,"",IF(OR($U59="Subscription",NOT(ISNUMBER($J59)),$J59=0,$X59=""),"",$X59/$J59))</ns0:f>
      </ns0:c>
      <ns0:c r="Z59" s="957" t="str">
        <ns0:f>IF(COUNTA($A59:$M59)=0,"",Instructions!$B$29+SUM($W$5:W59))</ns0:f>
      </ns0:c>
    </ns0:row>
    <ns0:row r="60" ht="36" customHeight="1">
      <ns0:c r="A60" s="439"/>
      <ns0:c r="B60" s="453"/>
      <ns0:c r="C60" s="453"/>
      <ns0:c r="D60" s="454"/>
      <ns0:c r="E60" s="454"/>
      <ns0:c r="F60" s="454"/>
      <ns0:c r="G60" s="986"/>
      <ns0:c r="H60" s="455"/>
      <ns0:c r="I60" s="456"/>
      <ns0:c r="J60" s="456"/>
      <ns0:c r="K60" s="986"/>
      <ns0:c r="L60" s="454"/>
      <ns0:c r="M60" s="439"/>
      <ns0:c r="N60" s="987" t="str">
        <ns0:f>IF(COUNTA($A60:$M60)=0,"",IF(OR(LEFT(LOWER(TRIM($F60&amp;"")),12)="subscription",LOWER(TRIM($F60&amp;""))="membership"),"",IF(OR(AND($H60&lt;&gt;"",$H60=0),LEFT(LOWER(TRIM($F60&amp;"")),9)="free game",LOWER(TRIM($F60&amp;""))="free",LOWER(TRIM($F60&amp;""))="free entry"),IF(ISNUMBER($G60),IF(ISNUMBER(SEARCH("non",LOWER($E60&amp;""))),$G60*0.85,$G60),"N/A"),IF($G60="","",IFERROR(IF(ISNUMBER(SEARCH("non",LOWER($E60&amp;""))),$G60*0.85,$G60),"")))))</ns0:f>
        <ns0:v/>
      </ns0:c>
      <ns0:c r="O60" s="987" t="str">
        <ns0:f>IF(COUNTA($A60:$M60)=0,"",IF(OR(LEFT(LOWER(TRIM($F60&amp;"")),12)="subscription",LOWER(TRIM($F60&amp;""))="membership"),"",IF(OR(AND($H60&lt;&gt;"",$H60=0),LEFT(LOWER(TRIM($F60&amp;"")),9)="free game",LOWER(TRIM($F60&amp;""))="free",LOWER(TRIM($F60&amp;""))="free entry"),IF(OR(NOT(ISNUMBER($N60)),NOT(ISNUMBER($I60)),$I60=0),"N/A",IFERROR($N60/$I60,"N/A")),IF(OR($N60="",$I60="",$I60=0),"",IFERROR($N60/$I60,"")))))</ns0:f>
        <ns0:v/>
      </ns0:c>
      <ns0:c r="P60" s="987">
        <ns0:f>IF(COUNTA($A60:$M60)=0,"",IF(OR(LEFT(LOWER(TRIM($F60&amp;"")),12)="subscription",LOWER(TRIM($F60&amp;""))="membership"),"",IF(LOWER(TRIM($D60&amp;""))="estimate","N/A",IF(LOWER($L60&amp;"")="yes",0,IF(OR(AND($H60&lt;&gt;"",$H60=0),LEFT(LOWER(TRIM($F60&amp;"")),9)="free game",LOWER(TRIM($F60&amp;""))="free",LOWER(TRIM($F60&amp;""))="free entry"),IF(ISNUMBER($K60),$K60,""),IF($K60&lt;&gt;"",$K60,""))))))</ns0:f>
      </ns0:c>
      <ns0:c r="Q60" s="114">
        <ns0:f>IF(COUNTA($A60:$M60)=0,"",IF(OR($U60="Subscription",$U60=""),"",IF($U60="Estimate","N/A",IF($U60="Profit",ROUND(IFERROR($P60,0)-IFERROR($H60,0),2),0))))</ns0:f>
      </ns0:c>
      <ns0:c r="R60" s="114">
        <ns0:f>IF(COUNTA($A60:$M60)=0,"",IF(OR($U60="Subscription",$U60=""),"",IF($U60="Estimate","N/A",IF($U60="Draw",$H60,0))))</ns0:f>
      </ns0:c>
      <ns0:c r="S60" s="114">
        <ns0:f>IF(COUNTA($A60:$M60)=0,"",IF(OR($U60="Subscription",$U60=""),"",IF($U60="Estimate","N/A",IF($U60="Disqualified",$H60,0))))</ns0:f>
      </ns0:c>
      <ns0:c r="T60" s="955">
        <ns0:f>IF(COUNTA($A60:$M60)=0,"",IF(OR($U60="Subscription",$U60=""),"",IF($U60="Estimate","N/A",IF(OR($U60="Free Game",$U60="Disqualified — Free Game",$H60=0),"N/A",IF($U60="Profit",$Q60/$H60,IF($U60="Disqualified",-$S60/$H60,0))))))</ns0:f>
      </ns0:c>
      <ns0:c r="U60" s="920">
        <ns0:f>IF(COUNTA($A60:$M60)=0,"",IF(OR(LEFT(LOWER(TRIM($F60&amp;"")),12)="subscription",LOWER(TRIM($F60&amp;""))="membership"),"Subscription",IF(LOWER(TRIM($D60&amp;""))="estimate","Estimate",IF(OR(AND($H60&lt;&gt;"",$H60=0),LEFT(LOWER(TRIM($F60&amp;"")),9)="free game",LOWER(TRIM($F60&amp;""))="free",LOWER(TRIM($F60&amp;""))="free entry"),IF(LOWER($L60&amp;"")="yes","Disqualified — Free Game","Free Game"),IF(LOWER($L60&amp;"")="yes","Disqualified",IF($P60="","",IF(ROUND(IFERROR(VALUE($P60),0)-IFERROR(VALUE($H60),0),2)&gt;0,"Profit","Draw")))))))</ns0:f>
      </ns0:c>
      <ns0:c r="V60" s="956" t="str">
        <ns0:f>IF(COUNTA($A60:$M60)=0,"",IF(OR($B60="",$C60="",$U60="Subscription"),"",IFERROR(ROUNDUP(($C60-$B60)/7,0),"")))</ns0:f>
      </ns0:c>
      <ns0:c r="W60" s="114">
        <ns0:f>IF(COUNTA($A60:$M60)=0,"",IF(OR($U60="Subscription",$U60=""),"",IF($U60="Estimate","N/A",IF(OR($U60="Free Game",$U60="Disqualified — Free Game"),0,ROUND(IFERROR($Q60,0)-IFERROR($S60,0),2)))))</ns0:f>
      </ns0:c>
      <ns0:c r="X60" s="956" t="str">
        <ns0:f>IF(COUNTA($A60:$M60)=0,"",IF(OR($U60="Subscription",NOT(ISNUMBER($J60)),NOT(ISNUMBER($I60)),$J60=0,$I60=0,$I60&gt;$J60),"",$J60-$I60))</ns0:f>
      </ns0:c>
      <ns0:c r="Y60" s="955" t="str">
        <ns0:f>IF(COUNTA($A60:$M60)=0,"",IF(OR($U60="Subscription",NOT(ISNUMBER($J60)),$J60=0,$X60=""),"",$X60/$J60))</ns0:f>
      </ns0:c>
      <ns0:c r="Z60" s="957" t="str">
        <ns0:f>IF(COUNTA($A60:$M60)=0,"",Instructions!$B$29+SUM($W$5:W60))</ns0:f>
      </ns0:c>
    </ns0:row>
    <ns0:row r="61" ht="36" customHeight="1">
      <ns0:c r="A61" s="439"/>
      <ns0:c r="B61" s="453"/>
      <ns0:c r="C61" s="453"/>
      <ns0:c r="D61" s="454"/>
      <ns0:c r="E61" s="454"/>
      <ns0:c r="F61" s="454"/>
      <ns0:c r="G61" s="986"/>
      <ns0:c r="H61" s="455"/>
      <ns0:c r="I61" s="456"/>
      <ns0:c r="J61" s="456"/>
      <ns0:c r="K61" s="986"/>
      <ns0:c r="L61" s="454"/>
      <ns0:c r="M61" s="439"/>
      <ns0:c r="N61" s="987" t="str">
        <ns0:f>IF(COUNTA($A61:$M61)=0,"",IF(OR(LEFT(LOWER(TRIM($F61&amp;"")),12)="subscription",LOWER(TRIM($F61&amp;""))="membership"),"",IF(OR(AND($H61&lt;&gt;"",$H61=0),LEFT(LOWER(TRIM($F61&amp;"")),9)="free game",LOWER(TRIM($F61&amp;""))="free",LOWER(TRIM($F61&amp;""))="free entry"),IF(ISNUMBER($G61),IF(ISNUMBER(SEARCH("non",LOWER($E61&amp;""))),$G61*0.85,$G61),"N/A"),IF($G61="","",IFERROR(IF(ISNUMBER(SEARCH("non",LOWER($E61&amp;""))),$G61*0.85,$G61),"")))))</ns0:f>
        <ns0:v/>
      </ns0:c>
      <ns0:c r="O61" s="987" t="str">
        <ns0:f>IF(COUNTA($A61:$M61)=0,"",IF(OR(LEFT(LOWER(TRIM($F61&amp;"")),12)="subscription",LOWER(TRIM($F61&amp;""))="membership"),"",IF(OR(AND($H61&lt;&gt;"",$H61=0),LEFT(LOWER(TRIM($F61&amp;"")),9)="free game",LOWER(TRIM($F61&amp;""))="free",LOWER(TRIM($F61&amp;""))="free entry"),IF(OR(NOT(ISNUMBER($N61)),NOT(ISNUMBER($I61)),$I61=0),"N/A",IFERROR($N61/$I61,"N/A")),IF(OR($N61="",$I61="",$I61=0),"",IFERROR($N61/$I61,"")))))</ns0:f>
        <ns0:v/>
      </ns0:c>
      <ns0:c r="P61" s="987">
        <ns0:f>IF(COUNTA($A61:$M61)=0,"",IF(OR(LEFT(LOWER(TRIM($F61&amp;"")),12)="subscription",LOWER(TRIM($F61&amp;""))="membership"),"",IF(LOWER(TRIM($D61&amp;""))="estimate","N/A",IF(LOWER($L61&amp;"")="yes",0,IF(OR(AND($H61&lt;&gt;"",$H61=0),LEFT(LOWER(TRIM($F61&amp;"")),9)="free game",LOWER(TRIM($F61&amp;""))="free",LOWER(TRIM($F61&amp;""))="free entry"),IF(ISNUMBER($K61),$K61,""),IF($K61&lt;&gt;"",$K61,""))))))</ns0:f>
      </ns0:c>
      <ns0:c r="Q61" s="114">
        <ns0:f>IF(COUNTA($A61:$M61)=0,"",IF(OR($U61="Subscription",$U61=""),"",IF($U61="Estimate","N/A",IF($U61="Profit",ROUND(IFERROR($P61,0)-IFERROR($H61,0),2),0))))</ns0:f>
      </ns0:c>
      <ns0:c r="R61" s="114">
        <ns0:f>IF(COUNTA($A61:$M61)=0,"",IF(OR($U61="Subscription",$U61=""),"",IF($U61="Estimate","N/A",IF($U61="Draw",$H61,0))))</ns0:f>
      </ns0:c>
      <ns0:c r="S61" s="114">
        <ns0:f>IF(COUNTA($A61:$M61)=0,"",IF(OR($U61="Subscription",$U61=""),"",IF($U61="Estimate","N/A",IF($U61="Disqualified",$H61,0))))</ns0:f>
      </ns0:c>
      <ns0:c r="T61" s="955">
        <ns0:f>IF(COUNTA($A61:$M61)=0,"",IF(OR($U61="Subscription",$U61=""),"",IF($U61="Estimate","N/A",IF(OR($U61="Free Game",$U61="Disqualified — Free Game",$H61=0),"N/A",IF($U61="Profit",$Q61/$H61,IF($U61="Disqualified",-$S61/$H61,0))))))</ns0:f>
      </ns0:c>
      <ns0:c r="U61" s="920">
        <ns0:f>IF(COUNTA($A61:$M61)=0,"",IF(OR(LEFT(LOWER(TRIM($F61&amp;"")),12)="subscription",LOWER(TRIM($F61&amp;""))="membership"),"Subscription",IF(LOWER(TRIM($D61&amp;""))="estimate","Estimate",IF(OR(AND($H61&lt;&gt;"",$H61=0),LEFT(LOWER(TRIM($F61&amp;"")),9)="free game",LOWER(TRIM($F61&amp;""))="free",LOWER(TRIM($F61&amp;""))="free entry"),IF(LOWER($L61&amp;"")="yes","Disqualified — Free Game","Free Game"),IF(LOWER($L61&amp;"")="yes","Disqualified",IF($P61="","",IF(ROUND(IFERROR(VALUE($P61),0)-IFERROR(VALUE($H61),0),2)&gt;0,"Profit","Draw")))))))</ns0:f>
      </ns0:c>
      <ns0:c r="V61" s="956" t="str">
        <ns0:f>IF(COUNTA($A61:$M61)=0,"",IF(OR($B61="",$C61="",$U61="Subscription"),"",IFERROR(ROUNDUP(($C61-$B61)/7,0),"")))</ns0:f>
      </ns0:c>
      <ns0:c r="W61" s="114">
        <ns0:f>IF(COUNTA($A61:$M61)=0,"",IF(OR($U61="Subscription",$U61=""),"",IF($U61="Estimate","N/A",IF(OR($U61="Free Game",$U61="Disqualified — Free Game"),0,ROUND(IFERROR($Q61,0)-IFERROR($S61,0),2)))))</ns0:f>
      </ns0:c>
      <ns0:c r="X61" s="956" t="str">
        <ns0:f>IF(COUNTA($A61:$M61)=0,"",IF(OR($U61="Subscription",NOT(ISNUMBER($J61)),NOT(ISNUMBER($I61)),$J61=0,$I61=0,$I61&gt;$J61),"",$J61-$I61))</ns0:f>
      </ns0:c>
      <ns0:c r="Y61" s="955" t="str">
        <ns0:f>IF(COUNTA($A61:$M61)=0,"",IF(OR($U61="Subscription",NOT(ISNUMBER($J61)),$J61=0,$X61=""),"",$X61/$J61))</ns0:f>
      </ns0:c>
      <ns0:c r="Z61" s="957" t="str">
        <ns0:f>IF(COUNTA($A61:$M61)=0,"",Instructions!$B$29+SUM($W$5:W61))</ns0:f>
      </ns0:c>
    </ns0:row>
    <ns0:row r="62" ht="36" customHeight="1">
      <ns0:c r="A62" s="439"/>
      <ns0:c r="B62" s="453"/>
      <ns0:c r="C62" s="453"/>
      <ns0:c r="D62" s="454"/>
      <ns0:c r="E62" s="454"/>
      <ns0:c r="F62" s="454"/>
      <ns0:c r="G62" s="986"/>
      <ns0:c r="H62" s="455"/>
      <ns0:c r="I62" s="456"/>
      <ns0:c r="J62" s="456"/>
      <ns0:c r="K62" s="986"/>
      <ns0:c r="L62" s="454"/>
      <ns0:c r="M62" s="439"/>
      <ns0:c r="N62" s="987" t="str">
        <ns0:f>IF(COUNTA($A62:$M62)=0,"",IF(OR(LEFT(LOWER(TRIM($F62&amp;"")),12)="subscription",LOWER(TRIM($F62&amp;""))="membership"),"",IF(OR(AND($H62&lt;&gt;"",$H62=0),LEFT(LOWER(TRIM($F62&amp;"")),9)="free game",LOWER(TRIM($F62&amp;""))="free",LOWER(TRIM($F62&amp;""))="free entry"),IF(ISNUMBER($G62),IF(ISNUMBER(SEARCH("non",LOWER($E62&amp;""))),$G62*0.85,$G62),"N/A"),IF($G62="","",IFERROR(IF(ISNUMBER(SEARCH("non",LOWER($E62&amp;""))),$G62*0.85,$G62),"")))))</ns0:f>
        <ns0:v/>
      </ns0:c>
      <ns0:c r="O62" s="987" t="str">
        <ns0:f>IF(COUNTA($A62:$M62)=0,"",IF(OR(LEFT(LOWER(TRIM($F62&amp;"")),12)="subscription",LOWER(TRIM($F62&amp;""))="membership"),"",IF(OR(AND($H62&lt;&gt;"",$H62=0),LEFT(LOWER(TRIM($F62&amp;"")),9)="free game",LOWER(TRIM($F62&amp;""))="free",LOWER(TRIM($F62&amp;""))="free entry"),IF(OR(NOT(ISNUMBER($N62)),NOT(ISNUMBER($I62)),$I62=0),"N/A",IFERROR($N62/$I62,"N/A")),IF(OR($N62="",$I62="",$I62=0),"",IFERROR($N62/$I62,"")))))</ns0:f>
        <ns0:v/>
      </ns0:c>
      <ns0:c r="P62" s="987">
        <ns0:f>IF(COUNTA($A62:$M62)=0,"",IF(OR(LEFT(LOWER(TRIM($F62&amp;"")),12)="subscription",LOWER(TRIM($F62&amp;""))="membership"),"",IF(LOWER(TRIM($D62&amp;""))="estimate","N/A",IF(LOWER($L62&amp;"")="yes",0,IF(OR(AND($H62&lt;&gt;"",$H62=0),LEFT(LOWER(TRIM($F62&amp;"")),9)="free game",LOWER(TRIM($F62&amp;""))="free",LOWER(TRIM($F62&amp;""))="free entry"),IF(ISNUMBER($K62),$K62,""),IF($K62&lt;&gt;"",$K62,""))))))</ns0:f>
      </ns0:c>
      <ns0:c r="Q62" s="114">
        <ns0:f>IF(COUNTA($A62:$M62)=0,"",IF(OR($U62="Subscription",$U62=""),"",IF($U62="Estimate","N/A",IF($U62="Profit",ROUND(IFERROR($P62,0)-IFERROR($H62,0),2),0))))</ns0:f>
      </ns0:c>
      <ns0:c r="R62" s="114">
        <ns0:f>IF(COUNTA($A62:$M62)=0,"",IF(OR($U62="Subscription",$U62=""),"",IF($U62="Estimate","N/A",IF($U62="Draw",$H62,0))))</ns0:f>
      </ns0:c>
      <ns0:c r="S62" s="114">
        <ns0:f>IF(COUNTA($A62:$M62)=0,"",IF(OR($U62="Subscription",$U62=""),"",IF($U62="Estimate","N/A",IF($U62="Disqualified",$H62,0))))</ns0:f>
      </ns0:c>
      <ns0:c r="T62" s="955">
        <ns0:f>IF(COUNTA($A62:$M62)=0,"",IF(OR($U62="Subscription",$U62=""),"",IF($U62="Estimate","N/A",IF(OR($U62="Free Game",$U62="Disqualified — Free Game",$H62=0),"N/A",IF($U62="Profit",$Q62/$H62,IF($U62="Disqualified",-$S62/$H62,0))))))</ns0:f>
      </ns0:c>
      <ns0:c r="U62" s="920">
        <ns0:f>IF(COUNTA($A62:$M62)=0,"",IF(OR(LEFT(LOWER(TRIM($F62&amp;"")),12)="subscription",LOWER(TRIM($F62&amp;""))="membership"),"Subscription",IF(LOWER(TRIM($D62&amp;""))="estimate","Estimate",IF(OR(AND($H62&lt;&gt;"",$H62=0),LEFT(LOWER(TRIM($F62&amp;"")),9)="free game",LOWER(TRIM($F62&amp;""))="free",LOWER(TRIM($F62&amp;""))="free entry"),IF(LOWER($L62&amp;"")="yes","Disqualified — Free Game","Free Game"),IF(LOWER($L62&amp;"")="yes","Disqualified",IF($P62="","",IF(ROUND(IFERROR(VALUE($P62),0)-IFERROR(VALUE($H62),0),2)&gt;0,"Profit","Draw")))))))</ns0:f>
      </ns0:c>
      <ns0:c r="V62" s="956" t="str">
        <ns0:f>IF(COUNTA($A62:$M62)=0,"",IF(OR($B62="",$C62="",$U62="Subscription"),"",IFERROR(ROUNDUP(($C62-$B62)/7,0),"")))</ns0:f>
      </ns0:c>
      <ns0:c r="W62" s="114">
        <ns0:f>IF(COUNTA($A62:$M62)=0,"",IF(OR($U62="Subscription",$U62=""),"",IF($U62="Estimate","N/A",IF(OR($U62="Free Game",$U62="Disqualified — Free Game"),0,ROUND(IFERROR($Q62,0)-IFERROR($S62,0),2)))))</ns0:f>
      </ns0:c>
      <ns0:c r="X62" s="956" t="str">
        <ns0:f>IF(COUNTA($A62:$M62)=0,"",IF(OR($U62="Subscription",NOT(ISNUMBER($J62)),NOT(ISNUMBER($I62)),$J62=0,$I62=0,$I62&gt;$J62),"",$J62-$I62))</ns0:f>
      </ns0:c>
      <ns0:c r="Y62" s="955" t="str">
        <ns0:f>IF(COUNTA($A62:$M62)=0,"",IF(OR($U62="Subscription",NOT(ISNUMBER($J62)),$J62=0,$X62=""),"",$X62/$J62))</ns0:f>
      </ns0:c>
      <ns0:c r="Z62" s="957" t="str">
        <ns0:f>IF(COUNTA($A62:$M62)=0,"",Instructions!$B$29+SUM($W$5:W62))</ns0:f>
      </ns0:c>
    </ns0:row>
    <ns0:row r="63" ht="36" customHeight="1">
      <ns0:c r="A63" s="439"/>
      <ns0:c r="B63" s="453"/>
      <ns0:c r="C63" s="453"/>
      <ns0:c r="D63" s="454"/>
      <ns0:c r="E63" s="454"/>
      <ns0:c r="F63" s="454"/>
      <ns0:c r="G63" s="986"/>
      <ns0:c r="H63" s="455"/>
      <ns0:c r="I63" s="456"/>
      <ns0:c r="J63" s="456"/>
      <ns0:c r="K63" s="986"/>
      <ns0:c r="L63" s="454"/>
      <ns0:c r="M63" s="439"/>
      <ns0:c r="N63" s="987" t="str">
        <ns0:f>IF(COUNTA($A63:$M63)=0,"",IF(OR(LEFT(LOWER(TRIM($F63&amp;"")),12)="subscription",LOWER(TRIM($F63&amp;""))="membership"),"",IF(OR(AND($H63&lt;&gt;"",$H63=0),LEFT(LOWER(TRIM($F63&amp;"")),9)="free game",LOWER(TRIM($F63&amp;""))="free",LOWER(TRIM($F63&amp;""))="free entry"),IF(ISNUMBER($G63),IF(ISNUMBER(SEARCH("non",LOWER($E63&amp;""))),$G63*0.85,$G63),"N/A"),IF($G63="","",IFERROR(IF(ISNUMBER(SEARCH("non",LOWER($E63&amp;""))),$G63*0.85,$G63),"")))))</ns0:f>
        <ns0:v/>
      </ns0:c>
      <ns0:c r="O63" s="987" t="str">
        <ns0:f>IF(COUNTA($A63:$M63)=0,"",IF(OR(LEFT(LOWER(TRIM($F63&amp;"")),12)="subscription",LOWER(TRIM($F63&amp;""))="membership"),"",IF(OR(AND($H63&lt;&gt;"",$H63=0),LEFT(LOWER(TRIM($F63&amp;"")),9)="free game",LOWER(TRIM($F63&amp;""))="free",LOWER(TRIM($F63&amp;""))="free entry"),IF(OR(NOT(ISNUMBER($N63)),NOT(ISNUMBER($I63)),$I63=0),"N/A",IFERROR($N63/$I63,"N/A")),IF(OR($N63="",$I63="",$I63=0),"",IFERROR($N63/$I63,"")))))</ns0:f>
        <ns0:v/>
      </ns0:c>
      <ns0:c r="P63" s="987">
        <ns0:f>IF(COUNTA($A63:$M63)=0,"",IF(OR(LEFT(LOWER(TRIM($F63&amp;"")),12)="subscription",LOWER(TRIM($F63&amp;""))="membership"),"",IF(LOWER(TRIM($D63&amp;""))="estimate","N/A",IF(LOWER($L63&amp;"")="yes",0,IF(OR(AND($H63&lt;&gt;"",$H63=0),LEFT(LOWER(TRIM($F63&amp;"")),9)="free game",LOWER(TRIM($F63&amp;""))="free",LOWER(TRIM($F63&amp;""))="free entry"),IF(ISNUMBER($K63),$K63,""),IF($K63&lt;&gt;"",$K63,""))))))</ns0:f>
      </ns0:c>
      <ns0:c r="Q63" s="114">
        <ns0:f>IF(COUNTA($A63:$M63)=0,"",IF(OR($U63="Subscription",$U63=""),"",IF($U63="Estimate","N/A",IF($U63="Profit",ROUND(IFERROR($P63,0)-IFERROR($H63,0),2),0))))</ns0:f>
      </ns0:c>
      <ns0:c r="R63" s="114">
        <ns0:f>IF(COUNTA($A63:$M63)=0,"",IF(OR($U63="Subscription",$U63=""),"",IF($U63="Estimate","N/A",IF($U63="Draw",$H63,0))))</ns0:f>
      </ns0:c>
      <ns0:c r="S63" s="114">
        <ns0:f>IF(COUNTA($A63:$M63)=0,"",IF(OR($U63="Subscription",$U63=""),"",IF($U63="Estimate","N/A",IF($U63="Disqualified",$H63,0))))</ns0:f>
      </ns0:c>
      <ns0:c r="T63" s="955">
        <ns0:f>IF(COUNTA($A63:$M63)=0,"",IF(OR($U63="Subscription",$U63=""),"",IF($U63="Estimate","N/A",IF(OR($U63="Free Game",$U63="Disqualified — Free Game",$H63=0),"N/A",IF($U63="Profit",$Q63/$H63,IF($U63="Disqualified",-$S63/$H63,0))))))</ns0:f>
      </ns0:c>
      <ns0:c r="U63" s="920">
        <ns0:f>IF(COUNTA($A63:$M63)=0,"",IF(OR(LEFT(LOWER(TRIM($F63&amp;"")),12)="subscription",LOWER(TRIM($F63&amp;""))="membership"),"Subscription",IF(LOWER(TRIM($D63&amp;""))="estimate","Estimate",IF(OR(AND($H63&lt;&gt;"",$H63=0),LEFT(LOWER(TRIM($F63&amp;"")),9)="free game",LOWER(TRIM($F63&amp;""))="free",LOWER(TRIM($F63&amp;""))="free entry"),IF(LOWER($L63&amp;"")="yes","Disqualified — Free Game","Free Game"),IF(LOWER($L63&amp;"")="yes","Disqualified",IF($P63="","",IF(ROUND(IFERROR(VALUE($P63),0)-IFERROR(VALUE($H63),0),2)&gt;0,"Profit","Draw")))))))</ns0:f>
      </ns0:c>
      <ns0:c r="V63" s="956" t="str">
        <ns0:f>IF(COUNTA($A63:$M63)=0,"",IF(OR($B63="",$C63="",$U63="Subscription"),"",IFERROR(ROUNDUP(($C63-$B63)/7,0),"")))</ns0:f>
      </ns0:c>
      <ns0:c r="W63" s="114">
        <ns0:f>IF(COUNTA($A63:$M63)=0,"",IF(OR($U63="Subscription",$U63=""),"",IF($U63="Estimate","N/A",IF(OR($U63="Free Game",$U63="Disqualified — Free Game"),0,ROUND(IFERROR($Q63,0)-IFERROR($S63,0),2)))))</ns0:f>
      </ns0:c>
      <ns0:c r="X63" s="956" t="str">
        <ns0:f>IF(COUNTA($A63:$M63)=0,"",IF(OR($U63="Subscription",NOT(ISNUMBER($J63)),NOT(ISNUMBER($I63)),$J63=0,$I63=0,$I63&gt;$J63),"",$J63-$I63))</ns0:f>
      </ns0:c>
      <ns0:c r="Y63" s="955" t="str">
        <ns0:f>IF(COUNTA($A63:$M63)=0,"",IF(OR($U63="Subscription",NOT(ISNUMBER($J63)),$J63=0,$X63=""),"",$X63/$J63))</ns0:f>
      </ns0:c>
      <ns0:c r="Z63" s="957" t="str">
        <ns0:f>IF(COUNTA($A63:$M63)=0,"",Instructions!$B$29+SUM($W$5:W63))</ns0:f>
      </ns0:c>
    </ns0:row>
    <ns0:row r="64" ht="36" customHeight="1">
      <ns0:c r="A64" s="439"/>
      <ns0:c r="B64" s="453"/>
      <ns0:c r="C64" s="453"/>
      <ns0:c r="D64" s="454"/>
      <ns0:c r="E64" s="454"/>
      <ns0:c r="F64" s="454"/>
      <ns0:c r="G64" s="986"/>
      <ns0:c r="H64" s="455"/>
      <ns0:c r="I64" s="456"/>
      <ns0:c r="J64" s="456"/>
      <ns0:c r="K64" s="986"/>
      <ns0:c r="L64" s="454"/>
      <ns0:c r="M64" s="439"/>
      <ns0:c r="N64" s="987" t="str">
        <ns0:f>IF(COUNTA($A64:$M64)=0,"",IF(OR(LEFT(LOWER(TRIM($F64&amp;"")),12)="subscription",LOWER(TRIM($F64&amp;""))="membership"),"",IF(OR(AND($H64&lt;&gt;"",$H64=0),LEFT(LOWER(TRIM($F64&amp;"")),9)="free game",LOWER(TRIM($F64&amp;""))="free",LOWER(TRIM($F64&amp;""))="free entry"),IF(ISNUMBER($G64),IF(ISNUMBER(SEARCH("non",LOWER($E64&amp;""))),$G64*0.85,$G64),"N/A"),IF($G64="","",IFERROR(IF(ISNUMBER(SEARCH("non",LOWER($E64&amp;""))),$G64*0.85,$G64),"")))))</ns0:f>
        <ns0:v/>
      </ns0:c>
      <ns0:c r="O64" s="987" t="str">
        <ns0:f>IF(COUNTA($A64:$M64)=0,"",IF(OR(LEFT(LOWER(TRIM($F64&amp;"")),12)="subscription",LOWER(TRIM($F64&amp;""))="membership"),"",IF(OR(AND($H64&lt;&gt;"",$H64=0),LEFT(LOWER(TRIM($F64&amp;"")),9)="free game",LOWER(TRIM($F64&amp;""))="free",LOWER(TRIM($F64&amp;""))="free entry"),IF(OR(NOT(ISNUMBER($N64)),NOT(ISNUMBER($I64)),$I64=0),"N/A",IFERROR($N64/$I64,"N/A")),IF(OR($N64="",$I64="",$I64=0),"",IFERROR($N64/$I64,"")))))</ns0:f>
        <ns0:v/>
      </ns0:c>
      <ns0:c r="P64" s="987">
        <ns0:f>IF(COUNTA($A64:$M64)=0,"",IF(OR(LEFT(LOWER(TRIM($F64&amp;"")),12)="subscription",LOWER(TRIM($F64&amp;""))="membership"),"",IF(LOWER(TRIM($D64&amp;""))="estimate","N/A",IF(LOWER($L64&amp;"")="yes",0,IF(OR(AND($H64&lt;&gt;"",$H64=0),LEFT(LOWER(TRIM($F64&amp;"")),9)="free game",LOWER(TRIM($F64&amp;""))="free",LOWER(TRIM($F64&amp;""))="free entry"),IF(ISNUMBER($K64),$K64,""),IF($K64&lt;&gt;"",$K64,""))))))</ns0:f>
      </ns0:c>
      <ns0:c r="Q64" s="114">
        <ns0:f>IF(COUNTA($A64:$M64)=0,"",IF(OR($U64="Subscription",$U64=""),"",IF($U64="Estimate","N/A",IF($U64="Profit",ROUND(IFERROR($P64,0)-IFERROR($H64,0),2),0))))</ns0:f>
      </ns0:c>
      <ns0:c r="R64" s="114">
        <ns0:f>IF(COUNTA($A64:$M64)=0,"",IF(OR($U64="Subscription",$U64=""),"",IF($U64="Estimate","N/A",IF($U64="Draw",$H64,0))))</ns0:f>
      </ns0:c>
      <ns0:c r="S64" s="114">
        <ns0:f>IF(COUNTA($A64:$M64)=0,"",IF(OR($U64="Subscription",$U64=""),"",IF($U64="Estimate","N/A",IF($U64="Disqualified",$H64,0))))</ns0:f>
      </ns0:c>
      <ns0:c r="T64" s="955">
        <ns0:f>IF(COUNTA($A64:$M64)=0,"",IF(OR($U64="Subscription",$U64=""),"",IF($U64="Estimate","N/A",IF(OR($U64="Free Game",$U64="Disqualified — Free Game",$H64=0),"N/A",IF($U64="Profit",$Q64/$H64,IF($U64="Disqualified",-$S64/$H64,0))))))</ns0:f>
      </ns0:c>
      <ns0:c r="U64" s="920">
        <ns0:f>IF(COUNTA($A64:$M64)=0,"",IF(OR(LEFT(LOWER(TRIM($F64&amp;"")),12)="subscription",LOWER(TRIM($F64&amp;""))="membership"),"Subscription",IF(LOWER(TRIM($D64&amp;""))="estimate","Estimate",IF(OR(AND($H64&lt;&gt;"",$H64=0),LEFT(LOWER(TRIM($F64&amp;"")),9)="free game",LOWER(TRIM($F64&amp;""))="free",LOWER(TRIM($F64&amp;""))="free entry"),IF(LOWER($L64&amp;"")="yes","Disqualified — Free Game","Free Game"),IF(LOWER($L64&amp;"")="yes","Disqualified",IF($P64="","",IF(ROUND(IFERROR(VALUE($P64),0)-IFERROR(VALUE($H64),0),2)&gt;0,"Profit","Draw")))))))</ns0:f>
      </ns0:c>
      <ns0:c r="V64" s="956" t="str">
        <ns0:f>IF(COUNTA($A64:$M64)=0,"",IF(OR($B64="",$C64="",$U64="Subscription"),"",IFERROR(ROUNDUP(($C64-$B64)/7,0),"")))</ns0:f>
      </ns0:c>
      <ns0:c r="W64" s="114">
        <ns0:f>IF(COUNTA($A64:$M64)=0,"",IF(OR($U64="Subscription",$U64=""),"",IF($U64="Estimate","N/A",IF(OR($U64="Free Game",$U64="Disqualified — Free Game"),0,ROUND(IFERROR($Q64,0)-IFERROR($S64,0),2)))))</ns0:f>
      </ns0:c>
      <ns0:c r="X64" s="956" t="str">
        <ns0:f>IF(COUNTA($A64:$M64)=0,"",IF(OR($U64="Subscription",NOT(ISNUMBER($J64)),NOT(ISNUMBER($I64)),$J64=0,$I64=0,$I64&gt;$J64),"",$J64-$I64))</ns0:f>
      </ns0:c>
      <ns0:c r="Y64" s="955" t="str">
        <ns0:f>IF(COUNTA($A64:$M64)=0,"",IF(OR($U64="Subscription",NOT(ISNUMBER($J64)),$J64=0,$X64=""),"",$X64/$J64))</ns0:f>
      </ns0:c>
      <ns0:c r="Z64" s="957" t="str">
        <ns0:f>IF(COUNTA($A64:$M64)=0,"",Instructions!$B$29+SUM($W$5:W64))</ns0:f>
      </ns0:c>
    </ns0:row>
    <ns0:row r="65" ht="36" customHeight="1">
      <ns0:c r="A65" s="439"/>
      <ns0:c r="B65" s="453"/>
      <ns0:c r="C65" s="453"/>
      <ns0:c r="D65" s="454"/>
      <ns0:c r="E65" s="454"/>
      <ns0:c r="F65" s="454"/>
      <ns0:c r="G65" s="986"/>
      <ns0:c r="H65" s="455"/>
      <ns0:c r="I65" s="456"/>
      <ns0:c r="J65" s="456"/>
      <ns0:c r="K65" s="986"/>
      <ns0:c r="L65" s="454"/>
      <ns0:c r="M65" s="439"/>
      <ns0:c r="N65" s="987" t="str">
        <ns0:f>IF(COUNTA($A65:$M65)=0,"",IF(OR(LEFT(LOWER(TRIM($F65&amp;"")),12)="subscription",LOWER(TRIM($F65&amp;""))="membership"),"",IF(OR(AND($H65&lt;&gt;"",$H65=0),LEFT(LOWER(TRIM($F65&amp;"")),9)="free game",LOWER(TRIM($F65&amp;""))="free",LOWER(TRIM($F65&amp;""))="free entry"),IF(ISNUMBER($G65),IF(ISNUMBER(SEARCH("non",LOWER($E65&amp;""))),$G65*0.85,$G65),"N/A"),IF($G65="","",IFERROR(IF(ISNUMBER(SEARCH("non",LOWER($E65&amp;""))),$G65*0.85,$G65),"")))))</ns0:f>
        <ns0:v/>
      </ns0:c>
      <ns0:c r="O65" s="987" t="str">
        <ns0:f>IF(COUNTA($A65:$M65)=0,"",IF(OR(LEFT(LOWER(TRIM($F65&amp;"")),12)="subscription",LOWER(TRIM($F65&amp;""))="membership"),"",IF(OR(AND($H65&lt;&gt;"",$H65=0),LEFT(LOWER(TRIM($F65&amp;"")),9)="free game",LOWER(TRIM($F65&amp;""))="free",LOWER(TRIM($F65&amp;""))="free entry"),IF(OR(NOT(ISNUMBER($N65)),NOT(ISNUMBER($I65)),$I65=0),"N/A",IFERROR($N65/$I65,"N/A")),IF(OR($N65="",$I65="",$I65=0),"",IFERROR($N65/$I65,"")))))</ns0:f>
        <ns0:v/>
      </ns0:c>
      <ns0:c r="P65" s="987">
        <ns0:f>IF(COUNTA($A65:$M65)=0,"",IF(OR(LEFT(LOWER(TRIM($F65&amp;"")),12)="subscription",LOWER(TRIM($F65&amp;""))="membership"),"",IF(LOWER(TRIM($D65&amp;""))="estimate","N/A",IF(LOWER($L65&amp;"")="yes",0,IF(OR(AND($H65&lt;&gt;"",$H65=0),LEFT(LOWER(TRIM($F65&amp;"")),9)="free game",LOWER(TRIM($F65&amp;""))="free",LOWER(TRIM($F65&amp;""))="free entry"),IF(ISNUMBER($K65),$K65,""),IF($K65&lt;&gt;"",$K65,""))))))</ns0:f>
      </ns0:c>
      <ns0:c r="Q65" s="114">
        <ns0:f>IF(COUNTA($A65:$M65)=0,"",IF(OR($U65="Subscription",$U65=""),"",IF($U65="Estimate","N/A",IF($U65="Profit",ROUND(IFERROR($P65,0)-IFERROR($H65,0),2),0))))</ns0:f>
      </ns0:c>
      <ns0:c r="R65" s="114">
        <ns0:f>IF(COUNTA($A65:$M65)=0,"",IF(OR($U65="Subscription",$U65=""),"",IF($U65="Estimate","N/A",IF($U65="Draw",$H65,0))))</ns0:f>
      </ns0:c>
      <ns0:c r="S65" s="114">
        <ns0:f>IF(COUNTA($A65:$M65)=0,"",IF(OR($U65="Subscription",$U65=""),"",IF($U65="Estimate","N/A",IF($U65="Disqualified",$H65,0))))</ns0:f>
      </ns0:c>
      <ns0:c r="T65" s="955">
        <ns0:f>IF(COUNTA($A65:$M65)=0,"",IF(OR($U65="Subscription",$U65=""),"",IF($U65="Estimate","N/A",IF(OR($U65="Free Game",$U65="Disqualified — Free Game",$H65=0),"N/A",IF($U65="Profit",$Q65/$H65,IF($U65="Disqualified",-$S65/$H65,0))))))</ns0:f>
      </ns0:c>
      <ns0:c r="U65" s="920">
        <ns0:f>IF(COUNTA($A65:$M65)=0,"",IF(OR(LEFT(LOWER(TRIM($F65&amp;"")),12)="subscription",LOWER(TRIM($F65&amp;""))="membership"),"Subscription",IF(LOWER(TRIM($D65&amp;""))="estimate","Estimate",IF(OR(AND($H65&lt;&gt;"",$H65=0),LEFT(LOWER(TRIM($F65&amp;"")),9)="free game",LOWER(TRIM($F65&amp;""))="free",LOWER(TRIM($F65&amp;""))="free entry"),IF(LOWER($L65&amp;"")="yes","Disqualified — Free Game","Free Game"),IF(LOWER($L65&amp;"")="yes","Disqualified",IF($P65="","",IF(ROUND(IFERROR(VALUE($P65),0)-IFERROR(VALUE($H65),0),2)&gt;0,"Profit","Draw")))))))</ns0:f>
      </ns0:c>
      <ns0:c r="V65" s="956" t="str">
        <ns0:f>IF(COUNTA($A65:$M65)=0,"",IF(OR($B65="",$C65="",$U65="Subscription"),"",IFERROR(ROUNDUP(($C65-$B65)/7,0),"")))</ns0:f>
      </ns0:c>
      <ns0:c r="W65" s="114">
        <ns0:f>IF(COUNTA($A65:$M65)=0,"",IF(OR($U65="Subscription",$U65=""),"",IF($U65="Estimate","N/A",IF(OR($U65="Free Game",$U65="Disqualified — Free Game"),0,ROUND(IFERROR($Q65,0)-IFERROR($S65,0),2)))))</ns0:f>
      </ns0:c>
      <ns0:c r="X65" s="956" t="str">
        <ns0:f>IF(COUNTA($A65:$M65)=0,"",IF(OR($U65="Subscription",NOT(ISNUMBER($J65)),NOT(ISNUMBER($I65)),$J65=0,$I65=0,$I65&gt;$J65),"",$J65-$I65))</ns0:f>
      </ns0:c>
      <ns0:c r="Y65" s="955" t="str">
        <ns0:f>IF(COUNTA($A65:$M65)=0,"",IF(OR($U65="Subscription",NOT(ISNUMBER($J65)),$J65=0,$X65=""),"",$X65/$J65))</ns0:f>
      </ns0:c>
      <ns0:c r="Z65" s="957" t="str">
        <ns0:f>IF(COUNTA($A65:$M65)=0,"",Instructions!$B$29+SUM($W$5:W65))</ns0:f>
      </ns0:c>
    </ns0:row>
    <ns0:row r="66" ht="36" customHeight="1">
      <ns0:c r="A66" s="439"/>
      <ns0:c r="B66" s="453"/>
      <ns0:c r="C66" s="453"/>
      <ns0:c r="D66" s="454"/>
      <ns0:c r="E66" s="454"/>
      <ns0:c r="F66" s="454"/>
      <ns0:c r="G66" s="986"/>
      <ns0:c r="H66" s="455"/>
      <ns0:c r="I66" s="456"/>
      <ns0:c r="J66" s="456"/>
      <ns0:c r="K66" s="986"/>
      <ns0:c r="L66" s="454"/>
      <ns0:c r="M66" s="439"/>
      <ns0:c r="N66" s="987" t="str">
        <ns0:f>IF(COUNTA($A66:$M66)=0,"",IF(OR(LEFT(LOWER(TRIM($F66&amp;"")),12)="subscription",LOWER(TRIM($F66&amp;""))="membership"),"",IF(OR(AND($H66&lt;&gt;"",$H66=0),LEFT(LOWER(TRIM($F66&amp;"")),9)="free game",LOWER(TRIM($F66&amp;""))="free",LOWER(TRIM($F66&amp;""))="free entry"),IF(ISNUMBER($G66),IF(ISNUMBER(SEARCH("non",LOWER($E66&amp;""))),$G66*0.85,$G66),"N/A"),IF($G66="","",IFERROR(IF(ISNUMBER(SEARCH("non",LOWER($E66&amp;""))),$G66*0.85,$G66),"")))))</ns0:f>
        <ns0:v/>
      </ns0:c>
      <ns0:c r="O66" s="987" t="str">
        <ns0:f>IF(COUNTA($A66:$M66)=0,"",IF(OR(LEFT(LOWER(TRIM($F66&amp;"")),12)="subscription",LOWER(TRIM($F66&amp;""))="membership"),"",IF(OR(AND($H66&lt;&gt;"",$H66=0),LEFT(LOWER(TRIM($F66&amp;"")),9)="free game",LOWER(TRIM($F66&amp;""))="free",LOWER(TRIM($F66&amp;""))="free entry"),IF(OR(NOT(ISNUMBER($N66)),NOT(ISNUMBER($I66)),$I66=0),"N/A",IFERROR($N66/$I66,"N/A")),IF(OR($N66="",$I66="",$I66=0),"",IFERROR($N66/$I66,"")))))</ns0:f>
        <ns0:v/>
      </ns0:c>
      <ns0:c r="P66" s="987">
        <ns0:f>IF(COUNTA($A66:$M66)=0,"",IF(OR(LEFT(LOWER(TRIM($F66&amp;"")),12)="subscription",LOWER(TRIM($F66&amp;""))="membership"),"",IF(LOWER(TRIM($D66&amp;""))="estimate","N/A",IF(LOWER($L66&amp;"")="yes",0,IF(OR(AND($H66&lt;&gt;"",$H66=0),LEFT(LOWER(TRIM($F66&amp;"")),9)="free game",LOWER(TRIM($F66&amp;""))="free",LOWER(TRIM($F66&amp;""))="free entry"),IF(ISNUMBER($K66),$K66,""),IF($K66&lt;&gt;"",$K66,""))))))</ns0:f>
      </ns0:c>
      <ns0:c r="Q66" s="114">
        <ns0:f>IF(COUNTA($A66:$M66)=0,"",IF(OR($U66="Subscription",$U66=""),"",IF($U66="Estimate","N/A",IF($U66="Profit",ROUND(IFERROR($P66,0)-IFERROR($H66,0),2),0))))</ns0:f>
      </ns0:c>
      <ns0:c r="R66" s="114">
        <ns0:f>IF(COUNTA($A66:$M66)=0,"",IF(OR($U66="Subscription",$U66=""),"",IF($U66="Estimate","N/A",IF($U66="Draw",$H66,0))))</ns0:f>
      </ns0:c>
      <ns0:c r="S66" s="114">
        <ns0:f>IF(COUNTA($A66:$M66)=0,"",IF(OR($U66="Subscription",$U66=""),"",IF($U66="Estimate","N/A",IF($U66="Disqualified",$H66,0))))</ns0:f>
      </ns0:c>
      <ns0:c r="T66" s="955">
        <ns0:f>IF(COUNTA($A66:$M66)=0,"",IF(OR($U66="Subscription",$U66=""),"",IF($U66="Estimate","N/A",IF(OR($U66="Free Game",$U66="Disqualified — Free Game",$H66=0),"N/A",IF($U66="Profit",$Q66/$H66,IF($U66="Disqualified",-$S66/$H66,0))))))</ns0:f>
      </ns0:c>
      <ns0:c r="U66" s="920">
        <ns0:f>IF(COUNTA($A66:$M66)=0,"",IF(OR(LEFT(LOWER(TRIM($F66&amp;"")),12)="subscription",LOWER(TRIM($F66&amp;""))="membership"),"Subscription",IF(LOWER(TRIM($D66&amp;""))="estimate","Estimate",IF(OR(AND($H66&lt;&gt;"",$H66=0),LEFT(LOWER(TRIM($F66&amp;"")),9)="free game",LOWER(TRIM($F66&amp;""))="free",LOWER(TRIM($F66&amp;""))="free entry"),IF(LOWER($L66&amp;"")="yes","Disqualified — Free Game","Free Game"),IF(LOWER($L66&amp;"")="yes","Disqualified",IF($P66="","",IF(ROUND(IFERROR(VALUE($P66),0)-IFERROR(VALUE($H66),0),2)&gt;0,"Profit","Draw")))))))</ns0:f>
      </ns0:c>
      <ns0:c r="V66" s="956" t="str">
        <ns0:f>IF(COUNTA($A66:$M66)=0,"",IF(OR($B66="",$C66="",$U66="Subscription"),"",IFERROR(ROUNDUP(($C66-$B66)/7,0),"")))</ns0:f>
      </ns0:c>
      <ns0:c r="W66" s="114">
        <ns0:f>IF(COUNTA($A66:$M66)=0,"",IF(OR($U66="Subscription",$U66=""),"",IF($U66="Estimate","N/A",IF(OR($U66="Free Game",$U66="Disqualified — Free Game"),0,ROUND(IFERROR($Q66,0)-IFERROR($S66,0),2)))))</ns0:f>
      </ns0:c>
      <ns0:c r="X66" s="956" t="str">
        <ns0:f>IF(COUNTA($A66:$M66)=0,"",IF(OR($U66="Subscription",NOT(ISNUMBER($J66)),NOT(ISNUMBER($I66)),$J66=0,$I66=0,$I66&gt;$J66),"",$J66-$I66))</ns0:f>
      </ns0:c>
      <ns0:c r="Y66" s="955" t="str">
        <ns0:f>IF(COUNTA($A66:$M66)=0,"",IF(OR($U66="Subscription",NOT(ISNUMBER($J66)),$J66=0,$X66=""),"",$X66/$J66))</ns0:f>
      </ns0:c>
      <ns0:c r="Z66" s="957" t="str">
        <ns0:f>IF(COUNTA($A66:$M66)=0,"",Instructions!$B$29+SUM($W$5:W66))</ns0:f>
      </ns0:c>
    </ns0:row>
    <ns0:row r="67" ht="36" customHeight="1">
      <ns0:c r="A67" s="439"/>
      <ns0:c r="B67" s="453"/>
      <ns0:c r="C67" s="453"/>
      <ns0:c r="D67" s="454"/>
      <ns0:c r="E67" s="454"/>
      <ns0:c r="F67" s="454"/>
      <ns0:c r="G67" s="986"/>
      <ns0:c r="H67" s="455"/>
      <ns0:c r="I67" s="456"/>
      <ns0:c r="J67" s="456"/>
      <ns0:c r="K67" s="986"/>
      <ns0:c r="L67" s="454"/>
      <ns0:c r="M67" s="439"/>
      <ns0:c r="N67" s="987" t="str">
        <ns0:f>IF(COUNTA($A67:$M67)=0,"",IF(OR(LEFT(LOWER(TRIM($F67&amp;"")),12)="subscription",LOWER(TRIM($F67&amp;""))="membership"),"",IF(OR(AND($H67&lt;&gt;"",$H67=0),LEFT(LOWER(TRIM($F67&amp;"")),9)="free game",LOWER(TRIM($F67&amp;""))="free",LOWER(TRIM($F67&amp;""))="free entry"),IF(ISNUMBER($G67),IF(ISNUMBER(SEARCH("non",LOWER($E67&amp;""))),$G67*0.85,$G67),"N/A"),IF($G67="","",IFERROR(IF(ISNUMBER(SEARCH("non",LOWER($E67&amp;""))),$G67*0.85,$G67),"")))))</ns0:f>
        <ns0:v/>
      </ns0:c>
      <ns0:c r="O67" s="987" t="str">
        <ns0:f>IF(COUNTA($A67:$M67)=0,"",IF(OR(LEFT(LOWER(TRIM($F67&amp;"")),12)="subscription",LOWER(TRIM($F67&amp;""))="membership"),"",IF(OR(AND($H67&lt;&gt;"",$H67=0),LEFT(LOWER(TRIM($F67&amp;"")),9)="free game",LOWER(TRIM($F67&amp;""))="free",LOWER(TRIM($F67&amp;""))="free entry"),IF(OR(NOT(ISNUMBER($N67)),NOT(ISNUMBER($I67)),$I67=0),"N/A",IFERROR($N67/$I67,"N/A")),IF(OR($N67="",$I67="",$I67=0),"",IFERROR($N67/$I67,"")))))</ns0:f>
        <ns0:v/>
      </ns0:c>
      <ns0:c r="P67" s="987">
        <ns0:f>IF(COUNTA($A67:$M67)=0,"",IF(OR(LEFT(LOWER(TRIM($F67&amp;"")),12)="subscription",LOWER(TRIM($F67&amp;""))="membership"),"",IF(LOWER(TRIM($D67&amp;""))="estimate","N/A",IF(LOWER($L67&amp;"")="yes",0,IF(OR(AND($H67&lt;&gt;"",$H67=0),LEFT(LOWER(TRIM($F67&amp;"")),9)="free game",LOWER(TRIM($F67&amp;""))="free",LOWER(TRIM($F67&amp;""))="free entry"),IF(ISNUMBER($K67),$K67,""),IF($K67&lt;&gt;"",$K67,""))))))</ns0:f>
      </ns0:c>
      <ns0:c r="Q67" s="114">
        <ns0:f>IF(COUNTA($A67:$M67)=0,"",IF(OR($U67="Subscription",$U67=""),"",IF($U67="Estimate","N/A",IF($U67="Profit",ROUND(IFERROR($P67,0)-IFERROR($H67,0),2),0))))</ns0:f>
      </ns0:c>
      <ns0:c r="R67" s="114">
        <ns0:f>IF(COUNTA($A67:$M67)=0,"",IF(OR($U67="Subscription",$U67=""),"",IF($U67="Estimate","N/A",IF($U67="Draw",$H67,0))))</ns0:f>
      </ns0:c>
      <ns0:c r="S67" s="114">
        <ns0:f>IF(COUNTA($A67:$M67)=0,"",IF(OR($U67="Subscription",$U67=""),"",IF($U67="Estimate","N/A",IF($U67="Disqualified",$H67,0))))</ns0:f>
      </ns0:c>
      <ns0:c r="T67" s="955">
        <ns0:f>IF(COUNTA($A67:$M67)=0,"",IF(OR($U67="Subscription",$U67=""),"",IF($U67="Estimate","N/A",IF(OR($U67="Free Game",$U67="Disqualified — Free Game",$H67=0),"N/A",IF($U67="Profit",$Q67/$H67,IF($U67="Disqualified",-$S67/$H67,0))))))</ns0:f>
      </ns0:c>
      <ns0:c r="U67" s="920">
        <ns0:f>IF(COUNTA($A67:$M67)=0,"",IF(OR(LEFT(LOWER(TRIM($F67&amp;"")),12)="subscription",LOWER(TRIM($F67&amp;""))="membership"),"Subscription",IF(LOWER(TRIM($D67&amp;""))="estimate","Estimate",IF(OR(AND($H67&lt;&gt;"",$H67=0),LEFT(LOWER(TRIM($F67&amp;"")),9)="free game",LOWER(TRIM($F67&amp;""))="free",LOWER(TRIM($F67&amp;""))="free entry"),IF(LOWER($L67&amp;"")="yes","Disqualified — Free Game","Free Game"),IF(LOWER($L67&amp;"")="yes","Disqualified",IF($P67="","",IF(ROUND(IFERROR(VALUE($P67),0)-IFERROR(VALUE($H67),0),2)&gt;0,"Profit","Draw")))))))</ns0:f>
      </ns0:c>
      <ns0:c r="V67" s="956" t="str">
        <ns0:f>IF(COUNTA($A67:$M67)=0,"",IF(OR($B67="",$C67="",$U67="Subscription"),"",IFERROR(ROUNDUP(($C67-$B67)/7,0),"")))</ns0:f>
      </ns0:c>
      <ns0:c r="W67" s="114">
        <ns0:f>IF(COUNTA($A67:$M67)=0,"",IF(OR($U67="Subscription",$U67=""),"",IF($U67="Estimate","N/A",IF(OR($U67="Free Game",$U67="Disqualified — Free Game"),0,ROUND(IFERROR($Q67,0)-IFERROR($S67,0),2)))))</ns0:f>
      </ns0:c>
      <ns0:c r="X67" s="956" t="str">
        <ns0:f>IF(COUNTA($A67:$M67)=0,"",IF(OR($U67="Subscription",NOT(ISNUMBER($J67)),NOT(ISNUMBER($I67)),$J67=0,$I67=0,$I67&gt;$J67),"",$J67-$I67))</ns0:f>
      </ns0:c>
      <ns0:c r="Y67" s="955" t="str">
        <ns0:f>IF(COUNTA($A67:$M67)=0,"",IF(OR($U67="Subscription",NOT(ISNUMBER($J67)),$J67=0,$X67=""),"",$X67/$J67))</ns0:f>
      </ns0:c>
      <ns0:c r="Z67" s="957" t="str">
        <ns0:f>IF(COUNTA($A67:$M67)=0,"",Instructions!$B$29+SUM($W$5:W67))</ns0:f>
      </ns0:c>
    </ns0:row>
    <ns0:row r="68" ht="36" customHeight="1">
      <ns0:c r="A68" s="439"/>
      <ns0:c r="B68" s="453"/>
      <ns0:c r="C68" s="453"/>
      <ns0:c r="D68" s="454"/>
      <ns0:c r="E68" s="454"/>
      <ns0:c r="F68" s="454"/>
      <ns0:c r="G68" s="986"/>
      <ns0:c r="H68" s="455"/>
      <ns0:c r="I68" s="456"/>
      <ns0:c r="J68" s="456"/>
      <ns0:c r="K68" s="986"/>
      <ns0:c r="L68" s="454"/>
      <ns0:c r="M68" s="439"/>
      <ns0:c r="N68" s="987" t="str">
        <ns0:f>IF(COUNTA($A68:$M68)=0,"",IF(OR(LEFT(LOWER(TRIM($F68&amp;"")),12)="subscription",LOWER(TRIM($F68&amp;""))="membership"),"",IF(OR(AND($H68&lt;&gt;"",$H68=0),LEFT(LOWER(TRIM($F68&amp;"")),9)="free game",LOWER(TRIM($F68&amp;""))="free",LOWER(TRIM($F68&amp;""))="free entry"),IF(ISNUMBER($G68),IF(ISNUMBER(SEARCH("non",LOWER($E68&amp;""))),$G68*0.85,$G68),"N/A"),IF($G68="","",IFERROR(IF(ISNUMBER(SEARCH("non",LOWER($E68&amp;""))),$G68*0.85,$G68),"")))))</ns0:f>
        <ns0:v/>
      </ns0:c>
      <ns0:c r="O68" s="987" t="str">
        <ns0:f>IF(COUNTA($A68:$M68)=0,"",IF(OR(LEFT(LOWER(TRIM($F68&amp;"")),12)="subscription",LOWER(TRIM($F68&amp;""))="membership"),"",IF(OR(AND($H68&lt;&gt;"",$H68=0),LEFT(LOWER(TRIM($F68&amp;"")),9)="free game",LOWER(TRIM($F68&amp;""))="free",LOWER(TRIM($F68&amp;""))="free entry"),IF(OR(NOT(ISNUMBER($N68)),NOT(ISNUMBER($I68)),$I68=0),"N/A",IFERROR($N68/$I68,"N/A")),IF(OR($N68="",$I68="",$I68=0),"",IFERROR($N68/$I68,"")))))</ns0:f>
        <ns0:v/>
      </ns0:c>
      <ns0:c r="P68" s="987">
        <ns0:f>IF(COUNTA($A68:$M68)=0,"",IF(OR(LEFT(LOWER(TRIM($F68&amp;"")),12)="subscription",LOWER(TRIM($F68&amp;""))="membership"),"",IF(LOWER(TRIM($D68&amp;""))="estimate","N/A",IF(LOWER($L68&amp;"")="yes",0,IF(OR(AND($H68&lt;&gt;"",$H68=0),LEFT(LOWER(TRIM($F68&amp;"")),9)="free game",LOWER(TRIM($F68&amp;""))="free",LOWER(TRIM($F68&amp;""))="free entry"),IF(ISNUMBER($K68),$K68,""),IF($K68&lt;&gt;"",$K68,""))))))</ns0:f>
      </ns0:c>
      <ns0:c r="Q68" s="114">
        <ns0:f>IF(COUNTA($A68:$M68)=0,"",IF(OR($U68="Subscription",$U68=""),"",IF($U68="Estimate","N/A",IF($U68="Profit",ROUND(IFERROR($P68,0)-IFERROR($H68,0),2),0))))</ns0:f>
      </ns0:c>
      <ns0:c r="R68" s="114">
        <ns0:f>IF(COUNTA($A68:$M68)=0,"",IF(OR($U68="Subscription",$U68=""),"",IF($U68="Estimate","N/A",IF($U68="Draw",$H68,0))))</ns0:f>
      </ns0:c>
      <ns0:c r="S68" s="114">
        <ns0:f>IF(COUNTA($A68:$M68)=0,"",IF(OR($U68="Subscription",$U68=""),"",IF($U68="Estimate","N/A",IF($U68="Disqualified",$H68,0))))</ns0:f>
      </ns0:c>
      <ns0:c r="T68" s="955">
        <ns0:f>IF(COUNTA($A68:$M68)=0,"",IF(OR($U68="Subscription",$U68=""),"",IF($U68="Estimate","N/A",IF(OR($U68="Free Game",$U68="Disqualified — Free Game",$H68=0),"N/A",IF($U68="Profit",$Q68/$H68,IF($U68="Disqualified",-$S68/$H68,0))))))</ns0:f>
      </ns0:c>
      <ns0:c r="U68" s="920">
        <ns0:f>IF(COUNTA($A68:$M68)=0,"",IF(OR(LEFT(LOWER(TRIM($F68&amp;"")),12)="subscription",LOWER(TRIM($F68&amp;""))="membership"),"Subscription",IF(LOWER(TRIM($D68&amp;""))="estimate","Estimate",IF(OR(AND($H68&lt;&gt;"",$H68=0),LEFT(LOWER(TRIM($F68&amp;"")),9)="free game",LOWER(TRIM($F68&amp;""))="free",LOWER(TRIM($F68&amp;""))="free entry"),IF(LOWER($L68&amp;"")="yes","Disqualified — Free Game","Free Game"),IF(LOWER($L68&amp;"")="yes","Disqualified",IF($P68="","",IF(ROUND(IFERROR(VALUE($P68),0)-IFERROR(VALUE($H68),0),2)&gt;0,"Profit","Draw")))))))</ns0:f>
      </ns0:c>
      <ns0:c r="V68" s="956" t="str">
        <ns0:f>IF(COUNTA($A68:$M68)=0,"",IF(OR($B68="",$C68="",$U68="Subscription"),"",IFERROR(ROUNDUP(($C68-$B68)/7,0),"")))</ns0:f>
      </ns0:c>
      <ns0:c r="W68" s="114">
        <ns0:f>IF(COUNTA($A68:$M68)=0,"",IF(OR($U68="Subscription",$U68=""),"",IF($U68="Estimate","N/A",IF(OR($U68="Free Game",$U68="Disqualified — Free Game"),0,ROUND(IFERROR($Q68,0)-IFERROR($S68,0),2)))))</ns0:f>
      </ns0:c>
      <ns0:c r="X68" s="956" t="str">
        <ns0:f>IF(COUNTA($A68:$M68)=0,"",IF(OR($U68="Subscription",NOT(ISNUMBER($J68)),NOT(ISNUMBER($I68)),$J68=0,$I68=0,$I68&gt;$J68),"",$J68-$I68))</ns0:f>
      </ns0:c>
      <ns0:c r="Y68" s="955" t="str">
        <ns0:f>IF(COUNTA($A68:$M68)=0,"",IF(OR($U68="Subscription",NOT(ISNUMBER($J68)),$J68=0,$X68=""),"",$X68/$J68))</ns0:f>
      </ns0:c>
      <ns0:c r="Z68" s="957" t="str">
        <ns0:f>IF(COUNTA($A68:$M68)=0,"",Instructions!$B$29+SUM($W$5:W68))</ns0:f>
      </ns0:c>
    </ns0:row>
    <ns0:row r="69" ht="36" customHeight="1">
      <ns0:c r="A69" s="439"/>
      <ns0:c r="B69" s="453"/>
      <ns0:c r="C69" s="453"/>
      <ns0:c r="D69" s="454"/>
      <ns0:c r="E69" s="454"/>
      <ns0:c r="F69" s="454"/>
      <ns0:c r="G69" s="986"/>
      <ns0:c r="H69" s="455"/>
      <ns0:c r="I69" s="456"/>
      <ns0:c r="J69" s="456"/>
      <ns0:c r="K69" s="986"/>
      <ns0:c r="L69" s="454"/>
      <ns0:c r="M69" s="439"/>
      <ns0:c r="N69" s="987" t="str">
        <ns0:f>IF(COUNTA($A69:$M69)=0,"",IF(OR(LEFT(LOWER(TRIM($F69&amp;"")),12)="subscription",LOWER(TRIM($F69&amp;""))="membership"),"",IF(OR(AND($H69&lt;&gt;"",$H69=0),LEFT(LOWER(TRIM($F69&amp;"")),9)="free game",LOWER(TRIM($F69&amp;""))="free",LOWER(TRIM($F69&amp;""))="free entry"),IF(ISNUMBER($G69),IF(ISNUMBER(SEARCH("non",LOWER($E69&amp;""))),$G69*0.85,$G69),"N/A"),IF($G69="","",IFERROR(IF(ISNUMBER(SEARCH("non",LOWER($E69&amp;""))),$G69*0.85,$G69),"")))))</ns0:f>
        <ns0:v/>
      </ns0:c>
      <ns0:c r="O69" s="987" t="str">
        <ns0:f>IF(COUNTA($A69:$M69)=0,"",IF(OR(LEFT(LOWER(TRIM($F69&amp;"")),12)="subscription",LOWER(TRIM($F69&amp;""))="membership"),"",IF(OR(AND($H69&lt;&gt;"",$H69=0),LEFT(LOWER(TRIM($F69&amp;"")),9)="free game",LOWER(TRIM($F69&amp;""))="free",LOWER(TRIM($F69&amp;""))="free entry"),IF(OR(NOT(ISNUMBER($N69)),NOT(ISNUMBER($I69)),$I69=0),"N/A",IFERROR($N69/$I69,"N/A")),IF(OR($N69="",$I69="",$I69=0),"",IFERROR($N69/$I69,"")))))</ns0:f>
        <ns0:v/>
      </ns0:c>
      <ns0:c r="P69" s="987">
        <ns0:f>IF(COUNTA($A69:$M69)=0,"",IF(OR(LEFT(LOWER(TRIM($F69&amp;"")),12)="subscription",LOWER(TRIM($F69&amp;""))="membership"),"",IF(LOWER(TRIM($D69&amp;""))="estimate","N/A",IF(LOWER($L69&amp;"")="yes",0,IF(OR(AND($H69&lt;&gt;"",$H69=0),LEFT(LOWER(TRIM($F69&amp;"")),9)="free game",LOWER(TRIM($F69&amp;""))="free",LOWER(TRIM($F69&amp;""))="free entry"),IF(ISNUMBER($K69),$K69,""),IF($K69&lt;&gt;"",$K69,""))))))</ns0:f>
      </ns0:c>
      <ns0:c r="Q69" s="114">
        <ns0:f>IF(COUNTA($A69:$M69)=0,"",IF(OR($U69="Subscription",$U69=""),"",IF($U69="Estimate","N/A",IF($U69="Profit",ROUND(IFERROR($P69,0)-IFERROR($H69,0),2),0))))</ns0:f>
      </ns0:c>
      <ns0:c r="R69" s="114">
        <ns0:f>IF(COUNTA($A69:$M69)=0,"",IF(OR($U69="Subscription",$U69=""),"",IF($U69="Estimate","N/A",IF($U69="Draw",$H69,0))))</ns0:f>
      </ns0:c>
      <ns0:c r="S69" s="114">
        <ns0:f>IF(COUNTA($A69:$M69)=0,"",IF(OR($U69="Subscription",$U69=""),"",IF($U69="Estimate","N/A",IF($U69="Disqualified",$H69,0))))</ns0:f>
      </ns0:c>
      <ns0:c r="T69" s="955">
        <ns0:f>IF(COUNTA($A69:$M69)=0,"",IF(OR($U69="Subscription",$U69=""),"",IF($U69="Estimate","N/A",IF(OR($U69="Free Game",$U69="Disqualified — Free Game",$H69=0),"N/A",IF($U69="Profit",$Q69/$H69,IF($U69="Disqualified",-$S69/$H69,0))))))</ns0:f>
      </ns0:c>
      <ns0:c r="U69" s="920">
        <ns0:f>IF(COUNTA($A69:$M69)=0,"",IF(OR(LEFT(LOWER(TRIM($F69&amp;"")),12)="subscription",LOWER(TRIM($F69&amp;""))="membership"),"Subscription",IF(LOWER(TRIM($D69&amp;""))="estimate","Estimate",IF(OR(AND($H69&lt;&gt;"",$H69=0),LEFT(LOWER(TRIM($F69&amp;"")),9)="free game",LOWER(TRIM($F69&amp;""))="free",LOWER(TRIM($F69&amp;""))="free entry"),IF(LOWER($L69&amp;"")="yes","Disqualified — Free Game","Free Game"),IF(LOWER($L69&amp;"")="yes","Disqualified",IF($P69="","",IF(ROUND(IFERROR(VALUE($P69),0)-IFERROR(VALUE($H69),0),2)&gt;0,"Profit","Draw")))))))</ns0:f>
      </ns0:c>
      <ns0:c r="V69" s="956" t="str">
        <ns0:f>IF(COUNTA($A69:$M69)=0,"",IF(OR($B69="",$C69="",$U69="Subscription"),"",IFERROR(ROUNDUP(($C69-$B69)/7,0),"")))</ns0:f>
      </ns0:c>
      <ns0:c r="W69" s="114">
        <ns0:f>IF(COUNTA($A69:$M69)=0,"",IF(OR($U69="Subscription",$U69=""),"",IF($U69="Estimate","N/A",IF(OR($U69="Free Game",$U69="Disqualified — Free Game"),0,ROUND(IFERROR($Q69,0)-IFERROR($S69,0),2)))))</ns0:f>
      </ns0:c>
      <ns0:c r="X69" s="956" t="str">
        <ns0:f>IF(COUNTA($A69:$M69)=0,"",IF(OR($U69="Subscription",NOT(ISNUMBER($J69)),NOT(ISNUMBER($I69)),$J69=0,$I69=0,$I69&gt;$J69),"",$J69-$I69))</ns0:f>
      </ns0:c>
      <ns0:c r="Y69" s="955" t="str">
        <ns0:f>IF(COUNTA($A69:$M69)=0,"",IF(OR($U69="Subscription",NOT(ISNUMBER($J69)),$J69=0,$X69=""),"",$X69/$J69))</ns0:f>
      </ns0:c>
      <ns0:c r="Z69" s="957" t="str">
        <ns0:f>IF(COUNTA($A69:$M69)=0,"",Instructions!$B$29+SUM($W$5:W69))</ns0:f>
      </ns0:c>
    </ns0:row>
    <ns0:row r="70" ht="36" customHeight="1">
      <ns0:c r="A70" s="439"/>
      <ns0:c r="B70" s="453"/>
      <ns0:c r="C70" s="453"/>
      <ns0:c r="D70" s="454"/>
      <ns0:c r="E70" s="454"/>
      <ns0:c r="F70" s="454"/>
      <ns0:c r="G70" s="986"/>
      <ns0:c r="H70" s="455"/>
      <ns0:c r="I70" s="456"/>
      <ns0:c r="J70" s="456"/>
      <ns0:c r="K70" s="986"/>
      <ns0:c r="L70" s="454"/>
      <ns0:c r="M70" s="439"/>
      <ns0:c r="N70" s="987" t="str">
        <ns0:f>IF(COUNTA($A70:$M70)=0,"",IF(OR(LEFT(LOWER(TRIM($F70&amp;"")),12)="subscription",LOWER(TRIM($F70&amp;""))="membership"),"",IF(OR(AND($H70&lt;&gt;"",$H70=0),LEFT(LOWER(TRIM($F70&amp;"")),9)="free game",LOWER(TRIM($F70&amp;""))="free",LOWER(TRIM($F70&amp;""))="free entry"),IF(ISNUMBER($G70),IF(ISNUMBER(SEARCH("non",LOWER($E70&amp;""))),$G70*0.85,$G70),"N/A"),IF($G70="","",IFERROR(IF(ISNUMBER(SEARCH("non",LOWER($E70&amp;""))),$G70*0.85,$G70),"")))))</ns0:f>
        <ns0:v/>
      </ns0:c>
      <ns0:c r="O70" s="987" t="str">
        <ns0:f>IF(COUNTA($A70:$M70)=0,"",IF(OR(LEFT(LOWER(TRIM($F70&amp;"")),12)="subscription",LOWER(TRIM($F70&amp;""))="membership"),"",IF(OR(AND($H70&lt;&gt;"",$H70=0),LEFT(LOWER(TRIM($F70&amp;"")),9)="free game",LOWER(TRIM($F70&amp;""))="free",LOWER(TRIM($F70&amp;""))="free entry"),IF(OR(NOT(ISNUMBER($N70)),NOT(ISNUMBER($I70)),$I70=0),"N/A",IFERROR($N70/$I70,"N/A")),IF(OR($N70="",$I70="",$I70=0),"",IFERROR($N70/$I70,"")))))</ns0:f>
        <ns0:v/>
      </ns0:c>
      <ns0:c r="P70" s="987">
        <ns0:f>IF(COUNTA($A70:$M70)=0,"",IF(OR(LEFT(LOWER(TRIM($F70&amp;"")),12)="subscription",LOWER(TRIM($F70&amp;""))="membership"),"",IF(LOWER(TRIM($D70&amp;""))="estimate","N/A",IF(LOWER($L70&amp;"")="yes",0,IF(OR(AND($H70&lt;&gt;"",$H70=0),LEFT(LOWER(TRIM($F70&amp;"")),9)="free game",LOWER(TRIM($F70&amp;""))="free",LOWER(TRIM($F70&amp;""))="free entry"),IF(ISNUMBER($K70),$K70,""),IF($K70&lt;&gt;"",$K70,""))))))</ns0:f>
      </ns0:c>
      <ns0:c r="Q70" s="114">
        <ns0:f>IF(COUNTA($A70:$M70)=0,"",IF(OR($U70="Subscription",$U70=""),"",IF($U70="Estimate","N/A",IF($U70="Profit",ROUND(IFERROR($P70,0)-IFERROR($H70,0),2),0))))</ns0:f>
      </ns0:c>
      <ns0:c r="R70" s="114">
        <ns0:f>IF(COUNTA($A70:$M70)=0,"",IF(OR($U70="Subscription",$U70=""),"",IF($U70="Estimate","N/A",IF($U70="Draw",$H70,0))))</ns0:f>
      </ns0:c>
      <ns0:c r="S70" s="114">
        <ns0:f>IF(COUNTA($A70:$M70)=0,"",IF(OR($U70="Subscription",$U70=""),"",IF($U70="Estimate","N/A",IF($U70="Disqualified",$H70,0))))</ns0:f>
      </ns0:c>
      <ns0:c r="T70" s="955">
        <ns0:f>IF(COUNTA($A70:$M70)=0,"",IF(OR($U70="Subscription",$U70=""),"",IF($U70="Estimate","N/A",IF(OR($U70="Free Game",$U70="Disqualified — Free Game",$H70=0),"N/A",IF($U70="Profit",$Q70/$H70,IF($U70="Disqualified",-$S70/$H70,0))))))</ns0:f>
      </ns0:c>
      <ns0:c r="U70" s="920">
        <ns0:f>IF(COUNTA($A70:$M70)=0,"",IF(OR(LEFT(LOWER(TRIM($F70&amp;"")),12)="subscription",LOWER(TRIM($F70&amp;""))="membership"),"Subscription",IF(LOWER(TRIM($D70&amp;""))="estimate","Estimate",IF(OR(AND($H70&lt;&gt;"",$H70=0),LEFT(LOWER(TRIM($F70&amp;"")),9)="free game",LOWER(TRIM($F70&amp;""))="free",LOWER(TRIM($F70&amp;""))="free entry"),IF(LOWER($L70&amp;"")="yes","Disqualified — Free Game","Free Game"),IF(LOWER($L70&amp;"")="yes","Disqualified",IF($P70="","",IF(ROUND(IFERROR(VALUE($P70),0)-IFERROR(VALUE($H70),0),2)&gt;0,"Profit","Draw")))))))</ns0:f>
      </ns0:c>
      <ns0:c r="V70" s="956" t="str">
        <ns0:f>IF(COUNTA($A70:$M70)=0,"",IF(OR($B70="",$C70="",$U70="Subscription"),"",IFERROR(ROUNDUP(($C70-$B70)/7,0),"")))</ns0:f>
      </ns0:c>
      <ns0:c r="W70" s="114">
        <ns0:f>IF(COUNTA($A70:$M70)=0,"",IF(OR($U70="Subscription",$U70=""),"",IF($U70="Estimate","N/A",IF(OR($U70="Free Game",$U70="Disqualified — Free Game"),0,ROUND(IFERROR($Q70,0)-IFERROR($S70,0),2)))))</ns0:f>
      </ns0:c>
      <ns0:c r="X70" s="956" t="str">
        <ns0:f>IF(COUNTA($A70:$M70)=0,"",IF(OR($U70="Subscription",NOT(ISNUMBER($J70)),NOT(ISNUMBER($I70)),$J70=0,$I70=0,$I70&gt;$J70),"",$J70-$I70))</ns0:f>
      </ns0:c>
      <ns0:c r="Y70" s="955" t="str">
        <ns0:f>IF(COUNTA($A70:$M70)=0,"",IF(OR($U70="Subscription",NOT(ISNUMBER($J70)),$J70=0,$X70=""),"",$X70/$J70))</ns0:f>
      </ns0:c>
      <ns0:c r="Z70" s="957" t="str">
        <ns0:f>IF(COUNTA($A70:$M70)=0,"",Instructions!$B$29+SUM($W$5:W70))</ns0:f>
      </ns0:c>
    </ns0:row>
    <ns0:row r="71" ht="36" customHeight="1">
      <ns0:c r="A71" s="439"/>
      <ns0:c r="B71" s="453"/>
      <ns0:c r="C71" s="453"/>
      <ns0:c r="D71" s="454"/>
      <ns0:c r="E71" s="454"/>
      <ns0:c r="F71" s="454"/>
      <ns0:c r="G71" s="986"/>
      <ns0:c r="H71" s="455"/>
      <ns0:c r="I71" s="456"/>
      <ns0:c r="J71" s="456"/>
      <ns0:c r="K71" s="986"/>
      <ns0:c r="L71" s="454"/>
      <ns0:c r="M71" s="439"/>
      <ns0:c r="N71" s="987" t="str">
        <ns0:f>IF(COUNTA($A71:$M71)=0,"",IF(OR(LEFT(LOWER(TRIM($F71&amp;"")),12)="subscription",LOWER(TRIM($F71&amp;""))="membership"),"",IF(OR(AND($H71&lt;&gt;"",$H71=0),LEFT(LOWER(TRIM($F71&amp;"")),9)="free game",LOWER(TRIM($F71&amp;""))="free",LOWER(TRIM($F71&amp;""))="free entry"),IF(ISNUMBER($G71),IF(ISNUMBER(SEARCH("non",LOWER($E71&amp;""))),$G71*0.85,$G71),"N/A"),IF($G71="","",IFERROR(IF(ISNUMBER(SEARCH("non",LOWER($E71&amp;""))),$G71*0.85,$G71),"")))))</ns0:f>
        <ns0:v/>
      </ns0:c>
      <ns0:c r="O71" s="987" t="str">
        <ns0:f>IF(COUNTA($A71:$M71)=0,"",IF(OR(LEFT(LOWER(TRIM($F71&amp;"")),12)="subscription",LOWER(TRIM($F71&amp;""))="membership"),"",IF(OR(AND($H71&lt;&gt;"",$H71=0),LEFT(LOWER(TRIM($F71&amp;"")),9)="free game",LOWER(TRIM($F71&amp;""))="free",LOWER(TRIM($F71&amp;""))="free entry"),IF(OR(NOT(ISNUMBER($N71)),NOT(ISNUMBER($I71)),$I71=0),"N/A",IFERROR($N71/$I71,"N/A")),IF(OR($N71="",$I71="",$I71=0),"",IFERROR($N71/$I71,"")))))</ns0:f>
        <ns0:v/>
      </ns0:c>
      <ns0:c r="P71" s="987">
        <ns0:f>IF(COUNTA($A71:$M71)=0,"",IF(OR(LEFT(LOWER(TRIM($F71&amp;"")),12)="subscription",LOWER(TRIM($F71&amp;""))="membership"),"",IF(LOWER(TRIM($D71&amp;""))="estimate","N/A",IF(LOWER($L71&amp;"")="yes",0,IF(OR(AND($H71&lt;&gt;"",$H71=0),LEFT(LOWER(TRIM($F71&amp;"")),9)="free game",LOWER(TRIM($F71&amp;""))="free",LOWER(TRIM($F71&amp;""))="free entry"),IF(ISNUMBER($K71),$K71,""),IF($K71&lt;&gt;"",$K71,""))))))</ns0:f>
      </ns0:c>
      <ns0:c r="Q71" s="114">
        <ns0:f>IF(COUNTA($A71:$M71)=0,"",IF(OR($U71="Subscription",$U71=""),"",IF($U71="Estimate","N/A",IF($U71="Profit",ROUND(IFERROR($P71,0)-IFERROR($H71,0),2),0))))</ns0:f>
      </ns0:c>
      <ns0:c r="R71" s="114">
        <ns0:f>IF(COUNTA($A71:$M71)=0,"",IF(OR($U71="Subscription",$U71=""),"",IF($U71="Estimate","N/A",IF($U71="Draw",$H71,0))))</ns0:f>
      </ns0:c>
      <ns0:c r="S71" s="114">
        <ns0:f>IF(COUNTA($A71:$M71)=0,"",IF(OR($U71="Subscription",$U71=""),"",IF($U71="Estimate","N/A",IF($U71="Disqualified",$H71,0))))</ns0:f>
      </ns0:c>
      <ns0:c r="T71" s="955">
        <ns0:f>IF(COUNTA($A71:$M71)=0,"",IF(OR($U71="Subscription",$U71=""),"",IF($U71="Estimate","N/A",IF(OR($U71="Free Game",$U71="Disqualified — Free Game",$H71=0),"N/A",IF($U71="Profit",$Q71/$H71,IF($U71="Disqualified",-$S71/$H71,0))))))</ns0:f>
      </ns0:c>
      <ns0:c r="U71" s="920">
        <ns0:f>IF(COUNTA($A71:$M71)=0,"",IF(OR(LEFT(LOWER(TRIM($F71&amp;"")),12)="subscription",LOWER(TRIM($F71&amp;""))="membership"),"Subscription",IF(LOWER(TRIM($D71&amp;""))="estimate","Estimate",IF(OR(AND($H71&lt;&gt;"",$H71=0),LEFT(LOWER(TRIM($F71&amp;"")),9)="free game",LOWER(TRIM($F71&amp;""))="free",LOWER(TRIM($F71&amp;""))="free entry"),IF(LOWER($L71&amp;"")="yes","Disqualified — Free Game","Free Game"),IF(LOWER($L71&amp;"")="yes","Disqualified",IF($P71="","",IF(ROUND(IFERROR(VALUE($P71),0)-IFERROR(VALUE($H71),0),2)&gt;0,"Profit","Draw")))))))</ns0:f>
      </ns0:c>
      <ns0:c r="V71" s="956" t="str">
        <ns0:f>IF(COUNTA($A71:$M71)=0,"",IF(OR($B71="",$C71="",$U71="Subscription"),"",IFERROR(ROUNDUP(($C71-$B71)/7,0),"")))</ns0:f>
      </ns0:c>
      <ns0:c r="W71" s="114">
        <ns0:f>IF(COUNTA($A71:$M71)=0,"",IF(OR($U71="Subscription",$U71=""),"",IF($U71="Estimate","N/A",IF(OR($U71="Free Game",$U71="Disqualified — Free Game"),0,ROUND(IFERROR($Q71,0)-IFERROR($S71,0),2)))))</ns0:f>
      </ns0:c>
      <ns0:c r="X71" s="956" t="str">
        <ns0:f>IF(COUNTA($A71:$M71)=0,"",IF(OR($U71="Subscription",NOT(ISNUMBER($J71)),NOT(ISNUMBER($I71)),$J71=0,$I71=0,$I71&gt;$J71),"",$J71-$I71))</ns0:f>
      </ns0:c>
      <ns0:c r="Y71" s="955" t="str">
        <ns0:f>IF(COUNTA($A71:$M71)=0,"",IF(OR($U71="Subscription",NOT(ISNUMBER($J71)),$J71=0,$X71=""),"",$X71/$J71))</ns0:f>
      </ns0:c>
      <ns0:c r="Z71" s="957" t="str">
        <ns0:f>IF(COUNTA($A71:$M71)=0,"",Instructions!$B$29+SUM($W$5:W71))</ns0:f>
      </ns0:c>
    </ns0:row>
    <ns0:row r="72" ht="36" customHeight="1">
      <ns0:c r="A72" s="439"/>
      <ns0:c r="B72" s="453"/>
      <ns0:c r="C72" s="453"/>
      <ns0:c r="D72" s="454"/>
      <ns0:c r="E72" s="454"/>
      <ns0:c r="F72" s="454"/>
      <ns0:c r="G72" s="986"/>
      <ns0:c r="H72" s="455"/>
      <ns0:c r="I72" s="456"/>
      <ns0:c r="J72" s="456"/>
      <ns0:c r="K72" s="986"/>
      <ns0:c r="L72" s="454"/>
      <ns0:c r="M72" s="439"/>
      <ns0:c r="N72" s="987" t="str">
        <ns0:f>IF(COUNTA($A72:$M72)=0,"",IF(OR(LEFT(LOWER(TRIM($F72&amp;"")),12)="subscription",LOWER(TRIM($F72&amp;""))="membership"),"",IF(OR(AND($H72&lt;&gt;"",$H72=0),LEFT(LOWER(TRIM($F72&amp;"")),9)="free game",LOWER(TRIM($F72&amp;""))="free",LOWER(TRIM($F72&amp;""))="free entry"),IF(ISNUMBER($G72),IF(ISNUMBER(SEARCH("non",LOWER($E72&amp;""))),$G72*0.85,$G72),"N/A"),IF($G72="","",IFERROR(IF(ISNUMBER(SEARCH("non",LOWER($E72&amp;""))),$G72*0.85,$G72),"")))))</ns0:f>
        <ns0:v/>
      </ns0:c>
      <ns0:c r="O72" s="987" t="str">
        <ns0:f>IF(COUNTA($A72:$M72)=0,"",IF(OR(LEFT(LOWER(TRIM($F72&amp;"")),12)="subscription",LOWER(TRIM($F72&amp;""))="membership"),"",IF(OR(AND($H72&lt;&gt;"",$H72=0),LEFT(LOWER(TRIM($F72&amp;"")),9)="free game",LOWER(TRIM($F72&amp;""))="free",LOWER(TRIM($F72&amp;""))="free entry"),IF(OR(NOT(ISNUMBER($N72)),NOT(ISNUMBER($I72)),$I72=0),"N/A",IFERROR($N72/$I72,"N/A")),IF(OR($N72="",$I72="",$I72=0),"",IFERROR($N72/$I72,"")))))</ns0:f>
        <ns0:v/>
      </ns0:c>
      <ns0:c r="P72" s="987">
        <ns0:f>IF(COUNTA($A72:$M72)=0,"",IF(OR(LEFT(LOWER(TRIM($F72&amp;"")),12)="subscription",LOWER(TRIM($F72&amp;""))="membership"),"",IF(LOWER(TRIM($D72&amp;""))="estimate","N/A",IF(LOWER($L72&amp;"")="yes",0,IF(OR(AND($H72&lt;&gt;"",$H72=0),LEFT(LOWER(TRIM($F72&amp;"")),9)="free game",LOWER(TRIM($F72&amp;""))="free",LOWER(TRIM($F72&amp;""))="free entry"),IF(ISNUMBER($K72),$K72,""),IF($K72&lt;&gt;"",$K72,""))))))</ns0:f>
      </ns0:c>
      <ns0:c r="Q72" s="114">
        <ns0:f>IF(COUNTA($A72:$M72)=0,"",IF(OR($U72="Subscription",$U72=""),"",IF($U72="Estimate","N/A",IF($U72="Profit",ROUND(IFERROR($P72,0)-IFERROR($H72,0),2),0))))</ns0:f>
      </ns0:c>
      <ns0:c r="R72" s="114">
        <ns0:f>IF(COUNTA($A72:$M72)=0,"",IF(OR($U72="Subscription",$U72=""),"",IF($U72="Estimate","N/A",IF($U72="Draw",$H72,0))))</ns0:f>
      </ns0:c>
      <ns0:c r="S72" s="114">
        <ns0:f>IF(COUNTA($A72:$M72)=0,"",IF(OR($U72="Subscription",$U72=""),"",IF($U72="Estimate","N/A",IF($U72="Disqualified",$H72,0))))</ns0:f>
      </ns0:c>
      <ns0:c r="T72" s="955">
        <ns0:f>IF(COUNTA($A72:$M72)=0,"",IF(OR($U72="Subscription",$U72=""),"",IF($U72="Estimate","N/A",IF(OR($U72="Free Game",$U72="Disqualified — Free Game",$H72=0),"N/A",IF($U72="Profit",$Q72/$H72,IF($U72="Disqualified",-$S72/$H72,0))))))</ns0:f>
      </ns0:c>
      <ns0:c r="U72" s="920">
        <ns0:f>IF(COUNTA($A72:$M72)=0,"",IF(OR(LEFT(LOWER(TRIM($F72&amp;"")),12)="subscription",LOWER(TRIM($F72&amp;""))="membership"),"Subscription",IF(LOWER(TRIM($D72&amp;""))="estimate","Estimate",IF(OR(AND($H72&lt;&gt;"",$H72=0),LEFT(LOWER(TRIM($F72&amp;"")),9)="free game",LOWER(TRIM($F72&amp;""))="free",LOWER(TRIM($F72&amp;""))="free entry"),IF(LOWER($L72&amp;"")="yes","Disqualified — Free Game","Free Game"),IF(LOWER($L72&amp;"")="yes","Disqualified",IF($P72="","",IF(ROUND(IFERROR(VALUE($P72),0)-IFERROR(VALUE($H72),0),2)&gt;0,"Profit","Draw")))))))</ns0:f>
      </ns0:c>
      <ns0:c r="V72" s="956" t="str">
        <ns0:f>IF(COUNTA($A72:$M72)=0,"",IF(OR($B72="",$C72="",$U72="Subscription"),"",IFERROR(ROUNDUP(($C72-$B72)/7,0),"")))</ns0:f>
      </ns0:c>
      <ns0:c r="W72" s="114">
        <ns0:f>IF(COUNTA($A72:$M72)=0,"",IF(OR($U72="Subscription",$U72=""),"",IF($U72="Estimate","N/A",IF(OR($U72="Free Game",$U72="Disqualified — Free Game"),0,ROUND(IFERROR($Q72,0)-IFERROR($S72,0),2)))))</ns0:f>
      </ns0:c>
      <ns0:c r="X72" s="956" t="str">
        <ns0:f>IF(COUNTA($A72:$M72)=0,"",IF(OR($U72="Subscription",NOT(ISNUMBER($J72)),NOT(ISNUMBER($I72)),$J72=0,$I72=0,$I72&gt;$J72),"",$J72-$I72))</ns0:f>
      </ns0:c>
      <ns0:c r="Y72" s="955" t="str">
        <ns0:f>IF(COUNTA($A72:$M72)=0,"",IF(OR($U72="Subscription",NOT(ISNUMBER($J72)),$J72=0,$X72=""),"",$X72/$J72))</ns0:f>
      </ns0:c>
      <ns0:c r="Z72" s="957" t="str">
        <ns0:f>IF(COUNTA($A72:$M72)=0,"",Instructions!$B$29+SUM($W$5:W72))</ns0:f>
      </ns0:c>
    </ns0:row>
    <ns0:row r="73" ht="36" customHeight="1">
      <ns0:c r="A73" s="439"/>
      <ns0:c r="B73" s="453"/>
      <ns0:c r="C73" s="453"/>
      <ns0:c r="D73" s="454"/>
      <ns0:c r="E73" s="454"/>
      <ns0:c r="F73" s="454"/>
      <ns0:c r="G73" s="986"/>
      <ns0:c r="H73" s="455"/>
      <ns0:c r="I73" s="456"/>
      <ns0:c r="J73" s="456"/>
      <ns0:c r="K73" s="986"/>
      <ns0:c r="L73" s="454"/>
      <ns0:c r="M73" s="439"/>
      <ns0:c r="N73" s="987" t="str">
        <ns0:f>IF(COUNTA($A73:$M73)=0,"",IF(OR(LEFT(LOWER(TRIM($F73&amp;"")),12)="subscription",LOWER(TRIM($F73&amp;""))="membership"),"",IF(OR(AND($H73&lt;&gt;"",$H73=0),LEFT(LOWER(TRIM($F73&amp;"")),9)="free game",LOWER(TRIM($F73&amp;""))="free",LOWER(TRIM($F73&amp;""))="free entry"),IF(ISNUMBER($G73),IF(ISNUMBER(SEARCH("non",LOWER($E73&amp;""))),$G73*0.85,$G73),"N/A"),IF($G73="","",IFERROR(IF(ISNUMBER(SEARCH("non",LOWER($E73&amp;""))),$G73*0.85,$G73),"")))))</ns0:f>
        <ns0:v/>
      </ns0:c>
      <ns0:c r="O73" s="987" t="str">
        <ns0:f>IF(COUNTA($A73:$M73)=0,"",IF(OR(LEFT(LOWER(TRIM($F73&amp;"")),12)="subscription",LOWER(TRIM($F73&amp;""))="membership"),"",IF(OR(AND($H73&lt;&gt;"",$H73=0),LEFT(LOWER(TRIM($F73&amp;"")),9)="free game",LOWER(TRIM($F73&amp;""))="free",LOWER(TRIM($F73&amp;""))="free entry"),IF(OR(NOT(ISNUMBER($N73)),NOT(ISNUMBER($I73)),$I73=0),"N/A",IFERROR($N73/$I73,"N/A")),IF(OR($N73="",$I73="",$I73=0),"",IFERROR($N73/$I73,"")))))</ns0:f>
        <ns0:v/>
      </ns0:c>
      <ns0:c r="P73" s="987">
        <ns0:f>IF(COUNTA($A73:$M73)=0,"",IF(OR(LEFT(LOWER(TRIM($F73&amp;"")),12)="subscription",LOWER(TRIM($F73&amp;""))="membership"),"",IF(LOWER(TRIM($D73&amp;""))="estimate","N/A",IF(LOWER($L73&amp;"")="yes",0,IF(OR(AND($H73&lt;&gt;"",$H73=0),LEFT(LOWER(TRIM($F73&amp;"")),9)="free game",LOWER(TRIM($F73&amp;""))="free",LOWER(TRIM($F73&amp;""))="free entry"),IF(ISNUMBER($K73),$K73,""),IF($K73&lt;&gt;"",$K73,""))))))</ns0:f>
      </ns0:c>
      <ns0:c r="Q73" s="114">
        <ns0:f>IF(COUNTA($A73:$M73)=0,"",IF(OR($U73="Subscription",$U73=""),"",IF($U73="Estimate","N/A",IF($U73="Profit",ROUND(IFERROR($P73,0)-IFERROR($H73,0),2),0))))</ns0:f>
      </ns0:c>
      <ns0:c r="R73" s="114">
        <ns0:f>IF(COUNTA($A73:$M73)=0,"",IF(OR($U73="Subscription",$U73=""),"",IF($U73="Estimate","N/A",IF($U73="Draw",$H73,0))))</ns0:f>
      </ns0:c>
      <ns0:c r="S73" s="114">
        <ns0:f>IF(COUNTA($A73:$M73)=0,"",IF(OR($U73="Subscription",$U73=""),"",IF($U73="Estimate","N/A",IF($U73="Disqualified",$H73,0))))</ns0:f>
      </ns0:c>
      <ns0:c r="T73" s="955">
        <ns0:f>IF(COUNTA($A73:$M73)=0,"",IF(OR($U73="Subscription",$U73=""),"",IF($U73="Estimate","N/A",IF(OR($U73="Free Game",$U73="Disqualified — Free Game",$H73=0),"N/A",IF($U73="Profit",$Q73/$H73,IF($U73="Disqualified",-$S73/$H73,0))))))</ns0:f>
      </ns0:c>
      <ns0:c r="U73" s="920">
        <ns0:f>IF(COUNTA($A73:$M73)=0,"",IF(OR(LEFT(LOWER(TRIM($F73&amp;"")),12)="subscription",LOWER(TRIM($F73&amp;""))="membership"),"Subscription",IF(LOWER(TRIM($D73&amp;""))="estimate","Estimate",IF(OR(AND($H73&lt;&gt;"",$H73=0),LEFT(LOWER(TRIM($F73&amp;"")),9)="free game",LOWER(TRIM($F73&amp;""))="free",LOWER(TRIM($F73&amp;""))="free entry"),IF(LOWER($L73&amp;"")="yes","Disqualified — Free Game","Free Game"),IF(LOWER($L73&amp;"")="yes","Disqualified",IF($P73="","",IF(ROUND(IFERROR(VALUE($P73),0)-IFERROR(VALUE($H73),0),2)&gt;0,"Profit","Draw")))))))</ns0:f>
      </ns0:c>
      <ns0:c r="V73" s="956" t="str">
        <ns0:f>IF(COUNTA($A73:$M73)=0,"",IF(OR($B73="",$C73="",$U73="Subscription"),"",IFERROR(ROUNDUP(($C73-$B73)/7,0),"")))</ns0:f>
      </ns0:c>
      <ns0:c r="W73" s="114">
        <ns0:f>IF(COUNTA($A73:$M73)=0,"",IF(OR($U73="Subscription",$U73=""),"",IF($U73="Estimate","N/A",IF(OR($U73="Free Game",$U73="Disqualified — Free Game"),0,ROUND(IFERROR($Q73,0)-IFERROR($S73,0),2)))))</ns0:f>
      </ns0:c>
      <ns0:c r="X73" s="956" t="str">
        <ns0:f>IF(COUNTA($A73:$M73)=0,"",IF(OR($U73="Subscription",NOT(ISNUMBER($J73)),NOT(ISNUMBER($I73)),$J73=0,$I73=0,$I73&gt;$J73),"",$J73-$I73))</ns0:f>
      </ns0:c>
      <ns0:c r="Y73" s="955" t="str">
        <ns0:f>IF(COUNTA($A73:$M73)=0,"",IF(OR($U73="Subscription",NOT(ISNUMBER($J73)),$J73=0,$X73=""),"",$X73/$J73))</ns0:f>
      </ns0:c>
      <ns0:c r="Z73" s="957" t="str">
        <ns0:f>IF(COUNTA($A73:$M73)=0,"",Instructions!$B$29+SUM($W$5:W73))</ns0:f>
      </ns0:c>
    </ns0:row>
    <ns0:row r="74" ht="36" customHeight="1">
      <ns0:c r="A74" s="439"/>
      <ns0:c r="B74" s="453"/>
      <ns0:c r="C74" s="453"/>
      <ns0:c r="D74" s="454"/>
      <ns0:c r="E74" s="454"/>
      <ns0:c r="F74" s="454"/>
      <ns0:c r="G74" s="986"/>
      <ns0:c r="H74" s="455"/>
      <ns0:c r="I74" s="456"/>
      <ns0:c r="J74" s="456"/>
      <ns0:c r="K74" s="986"/>
      <ns0:c r="L74" s="454"/>
      <ns0:c r="M74" s="439"/>
      <ns0:c r="N74" s="987" t="str">
        <ns0:f>IF(COUNTA($A74:$M74)=0,"",IF(OR(LEFT(LOWER(TRIM($F74&amp;"")),12)="subscription",LOWER(TRIM($F74&amp;""))="membership"),"",IF(OR(AND($H74&lt;&gt;"",$H74=0),LEFT(LOWER(TRIM($F74&amp;"")),9)="free game",LOWER(TRIM($F74&amp;""))="free",LOWER(TRIM($F74&amp;""))="free entry"),IF(ISNUMBER($G74),IF(ISNUMBER(SEARCH("non",LOWER($E74&amp;""))),$G74*0.85,$G74),"N/A"),IF($G74="","",IFERROR(IF(ISNUMBER(SEARCH("non",LOWER($E74&amp;""))),$G74*0.85,$G74),"")))))</ns0:f>
        <ns0:v/>
      </ns0:c>
      <ns0:c r="O74" s="987" t="str">
        <ns0:f>IF(COUNTA($A74:$M74)=0,"",IF(OR(LEFT(LOWER(TRIM($F74&amp;"")),12)="subscription",LOWER(TRIM($F74&amp;""))="membership"),"",IF(OR(AND($H74&lt;&gt;"",$H74=0),LEFT(LOWER(TRIM($F74&amp;"")),9)="free game",LOWER(TRIM($F74&amp;""))="free",LOWER(TRIM($F74&amp;""))="free entry"),IF(OR(NOT(ISNUMBER($N74)),NOT(ISNUMBER($I74)),$I74=0),"N/A",IFERROR($N74/$I74,"N/A")),IF(OR($N74="",$I74="",$I74=0),"",IFERROR($N74/$I74,"")))))</ns0:f>
        <ns0:v/>
      </ns0:c>
      <ns0:c r="P74" s="987">
        <ns0:f>IF(COUNTA($A74:$M74)=0,"",IF(OR(LEFT(LOWER(TRIM($F74&amp;"")),12)="subscription",LOWER(TRIM($F74&amp;""))="membership"),"",IF(LOWER(TRIM($D74&amp;""))="estimate","N/A",IF(LOWER($L74&amp;"")="yes",0,IF(OR(AND($H74&lt;&gt;"",$H74=0),LEFT(LOWER(TRIM($F74&amp;"")),9)="free game",LOWER(TRIM($F74&amp;""))="free",LOWER(TRIM($F74&amp;""))="free entry"),IF(ISNUMBER($K74),$K74,""),IF($K74&lt;&gt;"",$K74,""))))))</ns0:f>
      </ns0:c>
      <ns0:c r="Q74" s="114">
        <ns0:f>IF(COUNTA($A74:$M74)=0,"",IF(OR($U74="Subscription",$U74=""),"",IF($U74="Estimate","N/A",IF($U74="Profit",ROUND(IFERROR($P74,0)-IFERROR($H74,0),2),0))))</ns0:f>
      </ns0:c>
      <ns0:c r="R74" s="114">
        <ns0:f>IF(COUNTA($A74:$M74)=0,"",IF(OR($U74="Subscription",$U74=""),"",IF($U74="Estimate","N/A",IF($U74="Draw",$H74,0))))</ns0:f>
      </ns0:c>
      <ns0:c r="S74" s="114">
        <ns0:f>IF(COUNTA($A74:$M74)=0,"",IF(OR($U74="Subscription",$U74=""),"",IF($U74="Estimate","N/A",IF($U74="Disqualified",$H74,0))))</ns0:f>
      </ns0:c>
      <ns0:c r="T74" s="955">
        <ns0:f>IF(COUNTA($A74:$M74)=0,"",IF(OR($U74="Subscription",$U74=""),"",IF($U74="Estimate","N/A",IF(OR($U74="Free Game",$U74="Disqualified — Free Game",$H74=0),"N/A",IF($U74="Profit",$Q74/$H74,IF($U74="Disqualified",-$S74/$H74,0))))))</ns0:f>
      </ns0:c>
      <ns0:c r="U74" s="920">
        <ns0:f>IF(COUNTA($A74:$M74)=0,"",IF(OR(LEFT(LOWER(TRIM($F74&amp;"")),12)="subscription",LOWER(TRIM($F74&amp;""))="membership"),"Subscription",IF(LOWER(TRIM($D74&amp;""))="estimate","Estimate",IF(OR(AND($H74&lt;&gt;"",$H74=0),LEFT(LOWER(TRIM($F74&amp;"")),9)="free game",LOWER(TRIM($F74&amp;""))="free",LOWER(TRIM($F74&amp;""))="free entry"),IF(LOWER($L74&amp;"")="yes","Disqualified — Free Game","Free Game"),IF(LOWER($L74&amp;"")="yes","Disqualified",IF($P74="","",IF(ROUND(IFERROR(VALUE($P74),0)-IFERROR(VALUE($H74),0),2)&gt;0,"Profit","Draw")))))))</ns0:f>
      </ns0:c>
      <ns0:c r="V74" s="956" t="str">
        <ns0:f>IF(COUNTA($A74:$M74)=0,"",IF(OR($B74="",$C74="",$U74="Subscription"),"",IFERROR(ROUNDUP(($C74-$B74)/7,0),"")))</ns0:f>
      </ns0:c>
      <ns0:c r="W74" s="114">
        <ns0:f>IF(COUNTA($A74:$M74)=0,"",IF(OR($U74="Subscription",$U74=""),"",IF($U74="Estimate","N/A",IF(OR($U74="Free Game",$U74="Disqualified — Free Game"),0,ROUND(IFERROR($Q74,0)-IFERROR($S74,0),2)))))</ns0:f>
      </ns0:c>
      <ns0:c r="X74" s="956" t="str">
        <ns0:f>IF(COUNTA($A74:$M74)=0,"",IF(OR($U74="Subscription",NOT(ISNUMBER($J74)),NOT(ISNUMBER($I74)),$J74=0,$I74=0,$I74&gt;$J74),"",$J74-$I74))</ns0:f>
      </ns0:c>
      <ns0:c r="Y74" s="955" t="str">
        <ns0:f>IF(COUNTA($A74:$M74)=0,"",IF(OR($U74="Subscription",NOT(ISNUMBER($J74)),$J74=0,$X74=""),"",$X74/$J74))</ns0:f>
      </ns0:c>
      <ns0:c r="Z74" s="957" t="str">
        <ns0:f>IF(COUNTA($A74:$M74)=0,"",Instructions!$B$29+SUM($W$5:W74))</ns0:f>
      </ns0:c>
    </ns0:row>
    <ns0:row r="75" ht="36" customHeight="1">
      <ns0:c r="A75" s="439"/>
      <ns0:c r="B75" s="453"/>
      <ns0:c r="C75" s="453"/>
      <ns0:c r="D75" s="454"/>
      <ns0:c r="E75" s="454"/>
      <ns0:c r="F75" s="454"/>
      <ns0:c r="G75" s="986"/>
      <ns0:c r="H75" s="455"/>
      <ns0:c r="I75" s="456"/>
      <ns0:c r="J75" s="456"/>
      <ns0:c r="K75" s="986"/>
      <ns0:c r="L75" s="454"/>
      <ns0:c r="M75" s="439"/>
      <ns0:c r="N75" s="987" t="str">
        <ns0:f>IF(COUNTA($A75:$M75)=0,"",IF(OR(LEFT(LOWER(TRIM($F75&amp;"")),12)="subscription",LOWER(TRIM($F75&amp;""))="membership"),"",IF(OR(AND($H75&lt;&gt;"",$H75=0),LEFT(LOWER(TRIM($F75&amp;"")),9)="free game",LOWER(TRIM($F75&amp;""))="free",LOWER(TRIM($F75&amp;""))="free entry"),IF(ISNUMBER($G75),IF(ISNUMBER(SEARCH("non",LOWER($E75&amp;""))),$G75*0.85,$G75),"N/A"),IF($G75="","",IFERROR(IF(ISNUMBER(SEARCH("non",LOWER($E75&amp;""))),$G75*0.85,$G75),"")))))</ns0:f>
        <ns0:v/>
      </ns0:c>
      <ns0:c r="O75" s="987" t="str">
        <ns0:f>IF(COUNTA($A75:$M75)=0,"",IF(OR(LEFT(LOWER(TRIM($F75&amp;"")),12)="subscription",LOWER(TRIM($F75&amp;""))="membership"),"",IF(OR(AND($H75&lt;&gt;"",$H75=0),LEFT(LOWER(TRIM($F75&amp;"")),9)="free game",LOWER(TRIM($F75&amp;""))="free",LOWER(TRIM($F75&amp;""))="free entry"),IF(OR(NOT(ISNUMBER($N75)),NOT(ISNUMBER($I75)),$I75=0),"N/A",IFERROR($N75/$I75,"N/A")),IF(OR($N75="",$I75="",$I75=0),"",IFERROR($N75/$I75,"")))))</ns0:f>
        <ns0:v/>
      </ns0:c>
      <ns0:c r="P75" s="987">
        <ns0:f>IF(COUNTA($A75:$M75)=0,"",IF(OR(LEFT(LOWER(TRIM($F75&amp;"")),12)="subscription",LOWER(TRIM($F75&amp;""))="membership"),"",IF(LOWER(TRIM($D75&amp;""))="estimate","N/A",IF(LOWER($L75&amp;"")="yes",0,IF(OR(AND($H75&lt;&gt;"",$H75=0),LEFT(LOWER(TRIM($F75&amp;"")),9)="free game",LOWER(TRIM($F75&amp;""))="free",LOWER(TRIM($F75&amp;""))="free entry"),IF(ISNUMBER($K75),$K75,""),IF($K75&lt;&gt;"",$K75,""))))))</ns0:f>
      </ns0:c>
      <ns0:c r="Q75" s="114">
        <ns0:f>IF(COUNTA($A75:$M75)=0,"",IF(OR($U75="Subscription",$U75=""),"",IF($U75="Estimate","N/A",IF($U75="Profit",ROUND(IFERROR($P75,0)-IFERROR($H75,0),2),0))))</ns0:f>
      </ns0:c>
      <ns0:c r="R75" s="114">
        <ns0:f>IF(COUNTA($A75:$M75)=0,"",IF(OR($U75="Subscription",$U75=""),"",IF($U75="Estimate","N/A",IF($U75="Draw",$H75,0))))</ns0:f>
      </ns0:c>
      <ns0:c r="S75" s="114">
        <ns0:f>IF(COUNTA($A75:$M75)=0,"",IF(OR($U75="Subscription",$U75=""),"",IF($U75="Estimate","N/A",IF($U75="Disqualified",$H75,0))))</ns0:f>
      </ns0:c>
      <ns0:c r="T75" s="955">
        <ns0:f>IF(COUNTA($A75:$M75)=0,"",IF(OR($U75="Subscription",$U75=""),"",IF($U75="Estimate","N/A",IF(OR($U75="Free Game",$U75="Disqualified — Free Game",$H75=0),"N/A",IF($U75="Profit",$Q75/$H75,IF($U75="Disqualified",-$S75/$H75,0))))))</ns0:f>
      </ns0:c>
      <ns0:c r="U75" s="920">
        <ns0:f>IF(COUNTA($A75:$M75)=0,"",IF(OR(LEFT(LOWER(TRIM($F75&amp;"")),12)="subscription",LOWER(TRIM($F75&amp;""))="membership"),"Subscription",IF(LOWER(TRIM($D75&amp;""))="estimate","Estimate",IF(OR(AND($H75&lt;&gt;"",$H75=0),LEFT(LOWER(TRIM($F75&amp;"")),9)="free game",LOWER(TRIM($F75&amp;""))="free",LOWER(TRIM($F75&amp;""))="free entry"),IF(LOWER($L75&amp;"")="yes","Disqualified — Free Game","Free Game"),IF(LOWER($L75&amp;"")="yes","Disqualified",IF($P75="","",IF(ROUND(IFERROR(VALUE($P75),0)-IFERROR(VALUE($H75),0),2)&gt;0,"Profit","Draw")))))))</ns0:f>
      </ns0:c>
      <ns0:c r="V75" s="956" t="str">
        <ns0:f>IF(COUNTA($A75:$M75)=0,"",IF(OR($B75="",$C75="",$U75="Subscription"),"",IFERROR(ROUNDUP(($C75-$B75)/7,0),"")))</ns0:f>
      </ns0:c>
      <ns0:c r="W75" s="114">
        <ns0:f>IF(COUNTA($A75:$M75)=0,"",IF(OR($U75="Subscription",$U75=""),"",IF($U75="Estimate","N/A",IF(OR($U75="Free Game",$U75="Disqualified — Free Game"),0,ROUND(IFERROR($Q75,0)-IFERROR($S75,0),2)))))</ns0:f>
      </ns0:c>
      <ns0:c r="X75" s="956" t="str">
        <ns0:f>IF(COUNTA($A75:$M75)=0,"",IF(OR($U75="Subscription",NOT(ISNUMBER($J75)),NOT(ISNUMBER($I75)),$J75=0,$I75=0,$I75&gt;$J75),"",$J75-$I75))</ns0:f>
      </ns0:c>
      <ns0:c r="Y75" s="955" t="str">
        <ns0:f>IF(COUNTA($A75:$M75)=0,"",IF(OR($U75="Subscription",NOT(ISNUMBER($J75)),$J75=0,$X75=""),"",$X75/$J75))</ns0:f>
      </ns0:c>
      <ns0:c r="Z75" s="957" t="str">
        <ns0:f>IF(COUNTA($A75:$M75)=0,"",Instructions!$B$29+SUM($W$5:W75))</ns0:f>
      </ns0:c>
    </ns0:row>
    <ns0:row r="76" ht="36" customHeight="1">
      <ns0:c r="A76" s="439"/>
      <ns0:c r="B76" s="453"/>
      <ns0:c r="C76" s="453"/>
      <ns0:c r="D76" s="454"/>
      <ns0:c r="E76" s="454"/>
      <ns0:c r="F76" s="454"/>
      <ns0:c r="G76" s="986"/>
      <ns0:c r="H76" s="455"/>
      <ns0:c r="I76" s="456"/>
      <ns0:c r="J76" s="456"/>
      <ns0:c r="K76" s="986"/>
      <ns0:c r="L76" s="454"/>
      <ns0:c r="M76" s="439"/>
      <ns0:c r="N76" s="987" t="str">
        <ns0:f>IF(COUNTA($A76:$M76)=0,"",IF(OR(LEFT(LOWER(TRIM($F76&amp;"")),12)="subscription",LOWER(TRIM($F76&amp;""))="membership"),"",IF(OR(AND($H76&lt;&gt;"",$H76=0),LEFT(LOWER(TRIM($F76&amp;"")),9)="free game",LOWER(TRIM($F76&amp;""))="free",LOWER(TRIM($F76&amp;""))="free entry"),IF(ISNUMBER($G76),IF(ISNUMBER(SEARCH("non",LOWER($E76&amp;""))),$G76*0.85,$G76),"N/A"),IF($G76="","",IFERROR(IF(ISNUMBER(SEARCH("non",LOWER($E76&amp;""))),$G76*0.85,$G76),"")))))</ns0:f>
        <ns0:v/>
      </ns0:c>
      <ns0:c r="O76" s="987" t="str">
        <ns0:f>IF(COUNTA($A76:$M76)=0,"",IF(OR(LEFT(LOWER(TRIM($F76&amp;"")),12)="subscription",LOWER(TRIM($F76&amp;""))="membership"),"",IF(OR(AND($H76&lt;&gt;"",$H76=0),LEFT(LOWER(TRIM($F76&amp;"")),9)="free game",LOWER(TRIM($F76&amp;""))="free",LOWER(TRIM($F76&amp;""))="free entry"),IF(OR(NOT(ISNUMBER($N76)),NOT(ISNUMBER($I76)),$I76=0),"N/A",IFERROR($N76/$I76,"N/A")),IF(OR($N76="",$I76="",$I76=0),"",IFERROR($N76/$I76,"")))))</ns0:f>
        <ns0:v/>
      </ns0:c>
      <ns0:c r="P76" s="987">
        <ns0:f>IF(COUNTA($A76:$M76)=0,"",IF(OR(LEFT(LOWER(TRIM($F76&amp;"")),12)="subscription",LOWER(TRIM($F76&amp;""))="membership"),"",IF(LOWER(TRIM($D76&amp;""))="estimate","N/A",IF(LOWER($L76&amp;"")="yes",0,IF(OR(AND($H76&lt;&gt;"",$H76=0),LEFT(LOWER(TRIM($F76&amp;"")),9)="free game",LOWER(TRIM($F76&amp;""))="free",LOWER(TRIM($F76&amp;""))="free entry"),IF(ISNUMBER($K76),$K76,""),IF($K76&lt;&gt;"",$K76,""))))))</ns0:f>
      </ns0:c>
      <ns0:c r="Q76" s="114">
        <ns0:f>IF(COUNTA($A76:$M76)=0,"",IF(OR($U76="Subscription",$U76=""),"",IF($U76="Estimate","N/A",IF($U76="Profit",ROUND(IFERROR($P76,0)-IFERROR($H76,0),2),0))))</ns0:f>
      </ns0:c>
      <ns0:c r="R76" s="114">
        <ns0:f>IF(COUNTA($A76:$M76)=0,"",IF(OR($U76="Subscription",$U76=""),"",IF($U76="Estimate","N/A",IF($U76="Draw",$H76,0))))</ns0:f>
      </ns0:c>
      <ns0:c r="S76" s="114">
        <ns0:f>IF(COUNTA($A76:$M76)=0,"",IF(OR($U76="Subscription",$U76=""),"",IF($U76="Estimate","N/A",IF($U76="Disqualified",$H76,0))))</ns0:f>
      </ns0:c>
      <ns0:c r="T76" s="955">
        <ns0:f>IF(COUNTA($A76:$M76)=0,"",IF(OR($U76="Subscription",$U76=""),"",IF($U76="Estimate","N/A",IF(OR($U76="Free Game",$U76="Disqualified — Free Game",$H76=0),"N/A",IF($U76="Profit",$Q76/$H76,IF($U76="Disqualified",-$S76/$H76,0))))))</ns0:f>
      </ns0:c>
      <ns0:c r="U76" s="920">
        <ns0:f>IF(COUNTA($A76:$M76)=0,"",IF(OR(LEFT(LOWER(TRIM($F76&amp;"")),12)="subscription",LOWER(TRIM($F76&amp;""))="membership"),"Subscription",IF(LOWER(TRIM($D76&amp;""))="estimate","Estimate",IF(OR(AND($H76&lt;&gt;"",$H76=0),LEFT(LOWER(TRIM($F76&amp;"")),9)="free game",LOWER(TRIM($F76&amp;""))="free",LOWER(TRIM($F76&amp;""))="free entry"),IF(LOWER($L76&amp;"")="yes","Disqualified — Free Game","Free Game"),IF(LOWER($L76&amp;"")="yes","Disqualified",IF($P76="","",IF(ROUND(IFERROR(VALUE($P76),0)-IFERROR(VALUE($H76),0),2)&gt;0,"Profit","Draw")))))))</ns0:f>
      </ns0:c>
      <ns0:c r="V76" s="956" t="str">
        <ns0:f>IF(COUNTA($A76:$M76)=0,"",IF(OR($B76="",$C76="",$U76="Subscription"),"",IFERROR(ROUNDUP(($C76-$B76)/7,0),"")))</ns0:f>
      </ns0:c>
      <ns0:c r="W76" s="114">
        <ns0:f>IF(COUNTA($A76:$M76)=0,"",IF(OR($U76="Subscription",$U76=""),"",IF($U76="Estimate","N/A",IF(OR($U76="Free Game",$U76="Disqualified — Free Game"),0,ROUND(IFERROR($Q76,0)-IFERROR($S76,0),2)))))</ns0:f>
      </ns0:c>
      <ns0:c r="X76" s="956" t="str">
        <ns0:f>IF(COUNTA($A76:$M76)=0,"",IF(OR($U76="Subscription",NOT(ISNUMBER($J76)),NOT(ISNUMBER($I76)),$J76=0,$I76=0,$I76&gt;$J76),"",$J76-$I76))</ns0:f>
      </ns0:c>
      <ns0:c r="Y76" s="955" t="str">
        <ns0:f>IF(COUNTA($A76:$M76)=0,"",IF(OR($U76="Subscription",NOT(ISNUMBER($J76)),$J76=0,$X76=""),"",$X76/$J76))</ns0:f>
      </ns0:c>
      <ns0:c r="Z76" s="957" t="str">
        <ns0:f>IF(COUNTA($A76:$M76)=0,"",Instructions!$B$29+SUM($W$5:W76))</ns0:f>
      </ns0:c>
    </ns0:row>
    <ns0:row r="77" ht="36" customHeight="1">
      <ns0:c r="A77" s="439"/>
      <ns0:c r="B77" s="453"/>
      <ns0:c r="C77" s="453"/>
      <ns0:c r="D77" s="454"/>
      <ns0:c r="E77" s="454"/>
      <ns0:c r="F77" s="454"/>
      <ns0:c r="G77" s="986"/>
      <ns0:c r="H77" s="455"/>
      <ns0:c r="I77" s="456"/>
      <ns0:c r="J77" s="456"/>
      <ns0:c r="K77" s="986"/>
      <ns0:c r="L77" s="454"/>
      <ns0:c r="M77" s="439"/>
      <ns0:c r="N77" s="987" t="str">
        <ns0:f>IF(COUNTA($A77:$M77)=0,"",IF(OR(LEFT(LOWER(TRIM($F77&amp;"")),12)="subscription",LOWER(TRIM($F77&amp;""))="membership"),"",IF(OR(AND($H77&lt;&gt;"",$H77=0),LEFT(LOWER(TRIM($F77&amp;"")),9)="free game",LOWER(TRIM($F77&amp;""))="free",LOWER(TRIM($F77&amp;""))="free entry"),IF(ISNUMBER($G77),IF(ISNUMBER(SEARCH("non",LOWER($E77&amp;""))),$G77*0.85,$G77),"N/A"),IF($G77="","",IFERROR(IF(ISNUMBER(SEARCH("non",LOWER($E77&amp;""))),$G77*0.85,$G77),"")))))</ns0:f>
        <ns0:v/>
      </ns0:c>
      <ns0:c r="O77" s="987" t="str">
        <ns0:f>IF(COUNTA($A77:$M77)=0,"",IF(OR(LEFT(LOWER(TRIM($F77&amp;"")),12)="subscription",LOWER(TRIM($F77&amp;""))="membership"),"",IF(OR(AND($H77&lt;&gt;"",$H77=0),LEFT(LOWER(TRIM($F77&amp;"")),9)="free game",LOWER(TRIM($F77&amp;""))="free",LOWER(TRIM($F77&amp;""))="free entry"),IF(OR(NOT(ISNUMBER($N77)),NOT(ISNUMBER($I77)),$I77=0),"N/A",IFERROR($N77/$I77,"N/A")),IF(OR($N77="",$I77="",$I77=0),"",IFERROR($N77/$I77,"")))))</ns0:f>
        <ns0:v/>
      </ns0:c>
      <ns0:c r="P77" s="987">
        <ns0:f>IF(COUNTA($A77:$M77)=0,"",IF(OR(LEFT(LOWER(TRIM($F77&amp;"")),12)="subscription",LOWER(TRIM($F77&amp;""))="membership"),"",IF(LOWER(TRIM($D77&amp;""))="estimate","N/A",IF(LOWER($L77&amp;"")="yes",0,IF(OR(AND($H77&lt;&gt;"",$H77=0),LEFT(LOWER(TRIM($F77&amp;"")),9)="free game",LOWER(TRIM($F77&amp;""))="free",LOWER(TRIM($F77&amp;""))="free entry"),IF(ISNUMBER($K77),$K77,""),IF($K77&lt;&gt;"",$K77,""))))))</ns0:f>
      </ns0:c>
      <ns0:c r="Q77" s="114">
        <ns0:f>IF(COUNTA($A77:$M77)=0,"",IF(OR($U77="Subscription",$U77=""),"",IF($U77="Estimate","N/A",IF($U77="Profit",ROUND(IFERROR($P77,0)-IFERROR($H77,0),2),0))))</ns0:f>
      </ns0:c>
      <ns0:c r="R77" s="114">
        <ns0:f>IF(COUNTA($A77:$M77)=0,"",IF(OR($U77="Subscription",$U77=""),"",IF($U77="Estimate","N/A",IF($U77="Draw",$H77,0))))</ns0:f>
      </ns0:c>
      <ns0:c r="S77" s="114">
        <ns0:f>IF(COUNTA($A77:$M77)=0,"",IF(OR($U77="Subscription",$U77=""),"",IF($U77="Estimate","N/A",IF($U77="Disqualified",$H77,0))))</ns0:f>
      </ns0:c>
      <ns0:c r="T77" s="955">
        <ns0:f>IF(COUNTA($A77:$M77)=0,"",IF(OR($U77="Subscription",$U77=""),"",IF($U77="Estimate","N/A",IF(OR($U77="Free Game",$U77="Disqualified — Free Game",$H77=0),"N/A",IF($U77="Profit",$Q77/$H77,IF($U77="Disqualified",-$S77/$H77,0))))))</ns0:f>
      </ns0:c>
      <ns0:c r="U77" s="920">
        <ns0:f>IF(COUNTA($A77:$M77)=0,"",IF(OR(LEFT(LOWER(TRIM($F77&amp;"")),12)="subscription",LOWER(TRIM($F77&amp;""))="membership"),"Subscription",IF(LOWER(TRIM($D77&amp;""))="estimate","Estimate",IF(OR(AND($H77&lt;&gt;"",$H77=0),LEFT(LOWER(TRIM($F77&amp;"")),9)="free game",LOWER(TRIM($F77&amp;""))="free",LOWER(TRIM($F77&amp;""))="free entry"),IF(LOWER($L77&amp;"")="yes","Disqualified — Free Game","Free Game"),IF(LOWER($L77&amp;"")="yes","Disqualified",IF($P77="","",IF(ROUND(IFERROR(VALUE($P77),0)-IFERROR(VALUE($H77),0),2)&gt;0,"Profit","Draw")))))))</ns0:f>
      </ns0:c>
      <ns0:c r="V77" s="956" t="str">
        <ns0:f>IF(COUNTA($A77:$M77)=0,"",IF(OR($B77="",$C77="",$U77="Subscription"),"",IFERROR(ROUNDUP(($C77-$B77)/7,0),"")))</ns0:f>
      </ns0:c>
      <ns0:c r="W77" s="114">
        <ns0:f>IF(COUNTA($A77:$M77)=0,"",IF(OR($U77="Subscription",$U77=""),"",IF($U77="Estimate","N/A",IF(OR($U77="Free Game",$U77="Disqualified — Free Game"),0,ROUND(IFERROR($Q77,0)-IFERROR($S77,0),2)))))</ns0:f>
      </ns0:c>
      <ns0:c r="X77" s="956" t="str">
        <ns0:f>IF(COUNTA($A77:$M77)=0,"",IF(OR($U77="Subscription",NOT(ISNUMBER($J77)),NOT(ISNUMBER($I77)),$J77=0,$I77=0,$I77&gt;$J77),"",$J77-$I77))</ns0:f>
      </ns0:c>
      <ns0:c r="Y77" s="955" t="str">
        <ns0:f>IF(COUNTA($A77:$M77)=0,"",IF(OR($U77="Subscription",NOT(ISNUMBER($J77)),$J77=0,$X77=""),"",$X77/$J77))</ns0:f>
      </ns0:c>
      <ns0:c r="Z77" s="957" t="str">
        <ns0:f>IF(COUNTA($A77:$M77)=0,"",Instructions!$B$29+SUM($W$5:W77))</ns0:f>
      </ns0:c>
    </ns0:row>
    <ns0:row r="78" ht="36" customHeight="1">
      <ns0:c r="A78" s="439"/>
      <ns0:c r="B78" s="453"/>
      <ns0:c r="C78" s="453"/>
      <ns0:c r="D78" s="454"/>
      <ns0:c r="E78" s="454"/>
      <ns0:c r="F78" s="454"/>
      <ns0:c r="G78" s="986"/>
      <ns0:c r="H78" s="455"/>
      <ns0:c r="I78" s="456"/>
      <ns0:c r="J78" s="456"/>
      <ns0:c r="K78" s="986"/>
      <ns0:c r="L78" s="454"/>
      <ns0:c r="M78" s="439"/>
      <ns0:c r="N78" s="987" t="str">
        <ns0:f>IF(COUNTA($A78:$M78)=0,"",IF(OR(LEFT(LOWER(TRIM($F78&amp;"")),12)="subscription",LOWER(TRIM($F78&amp;""))="membership"),"",IF(OR(AND($H78&lt;&gt;"",$H78=0),LEFT(LOWER(TRIM($F78&amp;"")),9)="free game",LOWER(TRIM($F78&amp;""))="free",LOWER(TRIM($F78&amp;""))="free entry"),IF(ISNUMBER($G78),IF(ISNUMBER(SEARCH("non",LOWER($E78&amp;""))),$G78*0.85,$G78),"N/A"),IF($G78="","",IFERROR(IF(ISNUMBER(SEARCH("non",LOWER($E78&amp;""))),$G78*0.85,$G78),"")))))</ns0:f>
        <ns0:v/>
      </ns0:c>
      <ns0:c r="O78" s="987" t="str">
        <ns0:f>IF(COUNTA($A78:$M78)=0,"",IF(OR(LEFT(LOWER(TRIM($F78&amp;"")),12)="subscription",LOWER(TRIM($F78&amp;""))="membership"),"",IF(OR(AND($H78&lt;&gt;"",$H78=0),LEFT(LOWER(TRIM($F78&amp;"")),9)="free game",LOWER(TRIM($F78&amp;""))="free",LOWER(TRIM($F78&amp;""))="free entry"),IF(OR(NOT(ISNUMBER($N78)),NOT(ISNUMBER($I78)),$I78=0),"N/A",IFERROR($N78/$I78,"N/A")),IF(OR($N78="",$I78="",$I78=0),"",IFERROR($N78/$I78,"")))))</ns0:f>
        <ns0:v/>
      </ns0:c>
      <ns0:c r="P78" s="987">
        <ns0:f>IF(COUNTA($A78:$M78)=0,"",IF(OR(LEFT(LOWER(TRIM($F78&amp;"")),12)="subscription",LOWER(TRIM($F78&amp;""))="membership"),"",IF(LOWER(TRIM($D78&amp;""))="estimate","N/A",IF(LOWER($L78&amp;"")="yes",0,IF(OR(AND($H78&lt;&gt;"",$H78=0),LEFT(LOWER(TRIM($F78&amp;"")),9)="free game",LOWER(TRIM($F78&amp;""))="free",LOWER(TRIM($F78&amp;""))="free entry"),IF(ISNUMBER($K78),$K78,""),IF($K78&lt;&gt;"",$K78,""))))))</ns0:f>
      </ns0:c>
      <ns0:c r="Q78" s="114">
        <ns0:f>IF(COUNTA($A78:$M78)=0,"",IF(OR($U78="Subscription",$U78=""),"",IF($U78="Estimate","N/A",IF($U78="Profit",ROUND(IFERROR($P78,0)-IFERROR($H78,0),2),0))))</ns0:f>
      </ns0:c>
      <ns0:c r="R78" s="114">
        <ns0:f>IF(COUNTA($A78:$M78)=0,"",IF(OR($U78="Subscription",$U78=""),"",IF($U78="Estimate","N/A",IF($U78="Draw",$H78,0))))</ns0:f>
      </ns0:c>
      <ns0:c r="S78" s="114">
        <ns0:f>IF(COUNTA($A78:$M78)=0,"",IF(OR($U78="Subscription",$U78=""),"",IF($U78="Estimate","N/A",IF($U78="Disqualified",$H78,0))))</ns0:f>
      </ns0:c>
      <ns0:c r="T78" s="955">
        <ns0:f>IF(COUNTA($A78:$M78)=0,"",IF(OR($U78="Subscription",$U78=""),"",IF($U78="Estimate","N/A",IF(OR($U78="Free Game",$U78="Disqualified — Free Game",$H78=0),"N/A",IF($U78="Profit",$Q78/$H78,IF($U78="Disqualified",-$S78/$H78,0))))))</ns0:f>
      </ns0:c>
      <ns0:c r="U78" s="920">
        <ns0:f>IF(COUNTA($A78:$M78)=0,"",IF(OR(LEFT(LOWER(TRIM($F78&amp;"")),12)="subscription",LOWER(TRIM($F78&amp;""))="membership"),"Subscription",IF(LOWER(TRIM($D78&amp;""))="estimate","Estimate",IF(OR(AND($H78&lt;&gt;"",$H78=0),LEFT(LOWER(TRIM($F78&amp;"")),9)="free game",LOWER(TRIM($F78&amp;""))="free",LOWER(TRIM($F78&amp;""))="free entry"),IF(LOWER($L78&amp;"")="yes","Disqualified — Free Game","Free Game"),IF(LOWER($L78&amp;"")="yes","Disqualified",IF($P78="","",IF(ROUND(IFERROR(VALUE($P78),0)-IFERROR(VALUE($H78),0),2)&gt;0,"Profit","Draw")))))))</ns0:f>
      </ns0:c>
      <ns0:c r="V78" s="956" t="str">
        <ns0:f>IF(COUNTA($A78:$M78)=0,"",IF(OR($B78="",$C78="",$U78="Subscription"),"",IFERROR(ROUNDUP(($C78-$B78)/7,0),"")))</ns0:f>
      </ns0:c>
      <ns0:c r="W78" s="114">
        <ns0:f>IF(COUNTA($A78:$M78)=0,"",IF(OR($U78="Subscription",$U78=""),"",IF($U78="Estimate","N/A",IF(OR($U78="Free Game",$U78="Disqualified — Free Game"),0,ROUND(IFERROR($Q78,0)-IFERROR($S78,0),2)))))</ns0:f>
      </ns0:c>
      <ns0:c r="X78" s="956" t="str">
        <ns0:f>IF(COUNTA($A78:$M78)=0,"",IF(OR($U78="Subscription",NOT(ISNUMBER($J78)),NOT(ISNUMBER($I78)),$J78=0,$I78=0,$I78&gt;$J78),"",$J78-$I78))</ns0:f>
      </ns0:c>
      <ns0:c r="Y78" s="955" t="str">
        <ns0:f>IF(COUNTA($A78:$M78)=0,"",IF(OR($U78="Subscription",NOT(ISNUMBER($J78)),$J78=0,$X78=""),"",$X78/$J78))</ns0:f>
      </ns0:c>
      <ns0:c r="Z78" s="957" t="str">
        <ns0:f>IF(COUNTA($A78:$M78)=0,"",Instructions!$B$29+SUM($W$5:W78))</ns0:f>
      </ns0:c>
    </ns0:row>
    <ns0:row r="79" ht="36" customHeight="1">
      <ns0:c r="A79" s="439"/>
      <ns0:c r="B79" s="453"/>
      <ns0:c r="C79" s="453"/>
      <ns0:c r="D79" s="454"/>
      <ns0:c r="E79" s="454"/>
      <ns0:c r="F79" s="454"/>
      <ns0:c r="G79" s="986"/>
      <ns0:c r="H79" s="455"/>
      <ns0:c r="I79" s="456"/>
      <ns0:c r="J79" s="456"/>
      <ns0:c r="K79" s="986"/>
      <ns0:c r="L79" s="454"/>
      <ns0:c r="M79" s="439"/>
      <ns0:c r="N79" s="987" t="str">
        <ns0:f>IF(COUNTA($A79:$M79)=0,"",IF(OR(LEFT(LOWER(TRIM($F79&amp;"")),12)="subscription",LOWER(TRIM($F79&amp;""))="membership"),"",IF(OR(AND($H79&lt;&gt;"",$H79=0),LEFT(LOWER(TRIM($F79&amp;"")),9)="free game",LOWER(TRIM($F79&amp;""))="free",LOWER(TRIM($F79&amp;""))="free entry"),IF(ISNUMBER($G79),IF(ISNUMBER(SEARCH("non",LOWER($E79&amp;""))),$G79*0.85,$G79),"N/A"),IF($G79="","",IFERROR(IF(ISNUMBER(SEARCH("non",LOWER($E79&amp;""))),$G79*0.85,$G79),"")))))</ns0:f>
        <ns0:v/>
      </ns0:c>
      <ns0:c r="O79" s="987" t="str">
        <ns0:f>IF(COUNTA($A79:$M79)=0,"",IF(OR(LEFT(LOWER(TRIM($F79&amp;"")),12)="subscription",LOWER(TRIM($F79&amp;""))="membership"),"",IF(OR(AND($H79&lt;&gt;"",$H79=0),LEFT(LOWER(TRIM($F79&amp;"")),9)="free game",LOWER(TRIM($F79&amp;""))="free",LOWER(TRIM($F79&amp;""))="free entry"),IF(OR(NOT(ISNUMBER($N79)),NOT(ISNUMBER($I79)),$I79=0),"N/A",IFERROR($N79/$I79,"N/A")),IF(OR($N79="",$I79="",$I79=0),"",IFERROR($N79/$I79,"")))))</ns0:f>
        <ns0:v/>
      </ns0:c>
      <ns0:c r="P79" s="987">
        <ns0:f>IF(COUNTA($A79:$M79)=0,"",IF(OR(LEFT(LOWER(TRIM($F79&amp;"")),12)="subscription",LOWER(TRIM($F79&amp;""))="membership"),"",IF(LOWER(TRIM($D79&amp;""))="estimate","N/A",IF(LOWER($L79&amp;"")="yes",0,IF(OR(AND($H79&lt;&gt;"",$H79=0),LEFT(LOWER(TRIM($F79&amp;"")),9)="free game",LOWER(TRIM($F79&amp;""))="free",LOWER(TRIM($F79&amp;""))="free entry"),IF(ISNUMBER($K79),$K79,""),IF($K79&lt;&gt;"",$K79,""))))))</ns0:f>
      </ns0:c>
      <ns0:c r="Q79" s="114">
        <ns0:f>IF(COUNTA($A79:$M79)=0,"",IF(OR($U79="Subscription",$U79=""),"",IF($U79="Estimate","N/A",IF($U79="Profit",ROUND(IFERROR($P79,0)-IFERROR($H79,0),2),0))))</ns0:f>
      </ns0:c>
      <ns0:c r="R79" s="114">
        <ns0:f>IF(COUNTA($A79:$M79)=0,"",IF(OR($U79="Subscription",$U79=""),"",IF($U79="Estimate","N/A",IF($U79="Draw",$H79,0))))</ns0:f>
      </ns0:c>
      <ns0:c r="S79" s="114">
        <ns0:f>IF(COUNTA($A79:$M79)=0,"",IF(OR($U79="Subscription",$U79=""),"",IF($U79="Estimate","N/A",IF($U79="Disqualified",$H79,0))))</ns0:f>
      </ns0:c>
      <ns0:c r="T79" s="955">
        <ns0:f>IF(COUNTA($A79:$M79)=0,"",IF(OR($U79="Subscription",$U79=""),"",IF($U79="Estimate","N/A",IF(OR($U79="Free Game",$U79="Disqualified — Free Game",$H79=0),"N/A",IF($U79="Profit",$Q79/$H79,IF($U79="Disqualified",-$S79/$H79,0))))))</ns0:f>
      </ns0:c>
      <ns0:c r="U79" s="920">
        <ns0:f>IF(COUNTA($A79:$M79)=0,"",IF(OR(LEFT(LOWER(TRIM($F79&amp;"")),12)="subscription",LOWER(TRIM($F79&amp;""))="membership"),"Subscription",IF(LOWER(TRIM($D79&amp;""))="estimate","Estimate",IF(OR(AND($H79&lt;&gt;"",$H79=0),LEFT(LOWER(TRIM($F79&amp;"")),9)="free game",LOWER(TRIM($F79&amp;""))="free",LOWER(TRIM($F79&amp;""))="free entry"),IF(LOWER($L79&amp;"")="yes","Disqualified — Free Game","Free Game"),IF(LOWER($L79&amp;"")="yes","Disqualified",IF($P79="","",IF(ROUND(IFERROR(VALUE($P79),0)-IFERROR(VALUE($H79),0),2)&gt;0,"Profit","Draw")))))))</ns0:f>
      </ns0:c>
      <ns0:c r="V79" s="956" t="str">
        <ns0:f>IF(COUNTA($A79:$M79)=0,"",IF(OR($B79="",$C79="",$U79="Subscription"),"",IFERROR(ROUNDUP(($C79-$B79)/7,0),"")))</ns0:f>
      </ns0:c>
      <ns0:c r="W79" s="114">
        <ns0:f>IF(COUNTA($A79:$M79)=0,"",IF(OR($U79="Subscription",$U79=""),"",IF($U79="Estimate","N/A",IF(OR($U79="Free Game",$U79="Disqualified — Free Game"),0,ROUND(IFERROR($Q79,0)-IFERROR($S79,0),2)))))</ns0:f>
      </ns0:c>
      <ns0:c r="X79" s="956" t="str">
        <ns0:f>IF(COUNTA($A79:$M79)=0,"",IF(OR($U79="Subscription",NOT(ISNUMBER($J79)),NOT(ISNUMBER($I79)),$J79=0,$I79=0,$I79&gt;$J79),"",$J79-$I79))</ns0:f>
      </ns0:c>
      <ns0:c r="Y79" s="955" t="str">
        <ns0:f>IF(COUNTA($A79:$M79)=0,"",IF(OR($U79="Subscription",NOT(ISNUMBER($J79)),$J79=0,$X79=""),"",$X79/$J79))</ns0:f>
      </ns0:c>
      <ns0:c r="Z79" s="957" t="str">
        <ns0:f>IF(COUNTA($A79:$M79)=0,"",Instructions!$B$29+SUM($W$5:W79))</ns0:f>
      </ns0:c>
    </ns0:row>
    <ns0:row r="80" ht="36" customHeight="1">
      <ns0:c r="A80" s="439"/>
      <ns0:c r="B80" s="453"/>
      <ns0:c r="C80" s="453"/>
      <ns0:c r="D80" s="454"/>
      <ns0:c r="E80" s="454"/>
      <ns0:c r="F80" s="454"/>
      <ns0:c r="G80" s="986"/>
      <ns0:c r="H80" s="455"/>
      <ns0:c r="I80" s="456"/>
      <ns0:c r="J80" s="456"/>
      <ns0:c r="K80" s="986"/>
      <ns0:c r="L80" s="454"/>
      <ns0:c r="M80" s="439"/>
      <ns0:c r="N80" s="987" t="str">
        <ns0:f>IF(COUNTA($A80:$M80)=0,"",IF(OR(LEFT(LOWER(TRIM($F80&amp;"")),12)="subscription",LOWER(TRIM($F80&amp;""))="membership"),"",IF(OR(AND($H80&lt;&gt;"",$H80=0),LEFT(LOWER(TRIM($F80&amp;"")),9)="free game",LOWER(TRIM($F80&amp;""))="free",LOWER(TRIM($F80&amp;""))="free entry"),IF(ISNUMBER($G80),IF(ISNUMBER(SEARCH("non",LOWER($E80&amp;""))),$G80*0.85,$G80),"N/A"),IF($G80="","",IFERROR(IF(ISNUMBER(SEARCH("non",LOWER($E80&amp;""))),$G80*0.85,$G80),"")))))</ns0:f>
        <ns0:v/>
      </ns0:c>
      <ns0:c r="O80" s="987" t="str">
        <ns0:f>IF(COUNTA($A80:$M80)=0,"",IF(OR(LEFT(LOWER(TRIM($F80&amp;"")),12)="subscription",LOWER(TRIM($F80&amp;""))="membership"),"",IF(OR(AND($H80&lt;&gt;"",$H80=0),LEFT(LOWER(TRIM($F80&amp;"")),9)="free game",LOWER(TRIM($F80&amp;""))="free",LOWER(TRIM($F80&amp;""))="free entry"),IF(OR(NOT(ISNUMBER($N80)),NOT(ISNUMBER($I80)),$I80=0),"N/A",IFERROR($N80/$I80,"N/A")),IF(OR($N80="",$I80="",$I80=0),"",IFERROR($N80/$I80,"")))))</ns0:f>
        <ns0:v/>
      </ns0:c>
      <ns0:c r="P80" s="987">
        <ns0:f>IF(COUNTA($A80:$M80)=0,"",IF(OR(LEFT(LOWER(TRIM($F80&amp;"")),12)="subscription",LOWER(TRIM($F80&amp;""))="membership"),"",IF(LOWER(TRIM($D80&amp;""))="estimate","N/A",IF(LOWER($L80&amp;"")="yes",0,IF(OR(AND($H80&lt;&gt;"",$H80=0),LEFT(LOWER(TRIM($F80&amp;"")),9)="free game",LOWER(TRIM($F80&amp;""))="free",LOWER(TRIM($F80&amp;""))="free entry"),IF(ISNUMBER($K80),$K80,""),IF($K80&lt;&gt;"",$K80,""))))))</ns0:f>
      </ns0:c>
      <ns0:c r="Q80" s="114">
        <ns0:f>IF(COUNTA($A80:$M80)=0,"",IF(OR($U80="Subscription",$U80=""),"",IF($U80="Estimate","N/A",IF($U80="Profit",ROUND(IFERROR($P80,0)-IFERROR($H80,0),2),0))))</ns0:f>
      </ns0:c>
      <ns0:c r="R80" s="114">
        <ns0:f>IF(COUNTA($A80:$M80)=0,"",IF(OR($U80="Subscription",$U80=""),"",IF($U80="Estimate","N/A",IF($U80="Draw",$H80,0))))</ns0:f>
      </ns0:c>
      <ns0:c r="S80" s="114">
        <ns0:f>IF(COUNTA($A80:$M80)=0,"",IF(OR($U80="Subscription",$U80=""),"",IF($U80="Estimate","N/A",IF($U80="Disqualified",$H80,0))))</ns0:f>
      </ns0:c>
      <ns0:c r="T80" s="955">
        <ns0:f>IF(COUNTA($A80:$M80)=0,"",IF(OR($U80="Subscription",$U80=""),"",IF($U80="Estimate","N/A",IF(OR($U80="Free Game",$U80="Disqualified — Free Game",$H80=0),"N/A",IF($U80="Profit",$Q80/$H80,IF($U80="Disqualified",-$S80/$H80,0))))))</ns0:f>
      </ns0:c>
      <ns0:c r="U80" s="920">
        <ns0:f>IF(COUNTA($A80:$M80)=0,"",IF(OR(LEFT(LOWER(TRIM($F80&amp;"")),12)="subscription",LOWER(TRIM($F80&amp;""))="membership"),"Subscription",IF(LOWER(TRIM($D80&amp;""))="estimate","Estimate",IF(OR(AND($H80&lt;&gt;"",$H80=0),LEFT(LOWER(TRIM($F80&amp;"")),9)="free game",LOWER(TRIM($F80&amp;""))="free",LOWER(TRIM($F80&amp;""))="free entry"),IF(LOWER($L80&amp;"")="yes","Disqualified — Free Game","Free Game"),IF(LOWER($L80&amp;"")="yes","Disqualified",IF($P80="","",IF(ROUND(IFERROR(VALUE($P80),0)-IFERROR(VALUE($H80),0),2)&gt;0,"Profit","Draw")))))))</ns0:f>
      </ns0:c>
      <ns0:c r="V80" s="956" t="str">
        <ns0:f>IF(COUNTA($A80:$M80)=0,"",IF(OR($B80="",$C80="",$U80="Subscription"),"",IFERROR(ROUNDUP(($C80-$B80)/7,0),"")))</ns0:f>
      </ns0:c>
      <ns0:c r="W80" s="114">
        <ns0:f>IF(COUNTA($A80:$M80)=0,"",IF(OR($U80="Subscription",$U80=""),"",IF($U80="Estimate","N/A",IF(OR($U80="Free Game",$U80="Disqualified — Free Game"),0,ROUND(IFERROR($Q80,0)-IFERROR($S80,0),2)))))</ns0:f>
      </ns0:c>
      <ns0:c r="X80" s="956" t="str">
        <ns0:f>IF(COUNTA($A80:$M80)=0,"",IF(OR($U80="Subscription",NOT(ISNUMBER($J80)),NOT(ISNUMBER($I80)),$J80=0,$I80=0,$I80&gt;$J80),"",$J80-$I80))</ns0:f>
      </ns0:c>
      <ns0:c r="Y80" s="955" t="str">
        <ns0:f>IF(COUNTA($A80:$M80)=0,"",IF(OR($U80="Subscription",NOT(ISNUMBER($J80)),$J80=0,$X80=""),"",$X80/$J80))</ns0:f>
      </ns0:c>
      <ns0:c r="Z80" s="957" t="str">
        <ns0:f>IF(COUNTA($A80:$M80)=0,"",Instructions!$B$29+SUM($W$5:W80))</ns0:f>
      </ns0:c>
    </ns0:row>
    <ns0:row r="81" ht="36" customHeight="1">
      <ns0:c r="A81" s="439"/>
      <ns0:c r="B81" s="453"/>
      <ns0:c r="C81" s="453"/>
      <ns0:c r="D81" s="454"/>
      <ns0:c r="E81" s="454"/>
      <ns0:c r="F81" s="454"/>
      <ns0:c r="G81" s="986"/>
      <ns0:c r="H81" s="455"/>
      <ns0:c r="I81" s="456"/>
      <ns0:c r="J81" s="456"/>
      <ns0:c r="K81" s="986"/>
      <ns0:c r="L81" s="454"/>
      <ns0:c r="M81" s="439"/>
      <ns0:c r="N81" s="987" t="str">
        <ns0:f>IF(COUNTA($A81:$M81)=0,"",IF(OR(LEFT(LOWER(TRIM($F81&amp;"")),12)="subscription",LOWER(TRIM($F81&amp;""))="membership"),"",IF(OR(AND($H81&lt;&gt;"",$H81=0),LEFT(LOWER(TRIM($F81&amp;"")),9)="free game",LOWER(TRIM($F81&amp;""))="free",LOWER(TRIM($F81&amp;""))="free entry"),IF(ISNUMBER($G81),IF(ISNUMBER(SEARCH("non",LOWER($E81&amp;""))),$G81*0.85,$G81),"N/A"),IF($G81="","",IFERROR(IF(ISNUMBER(SEARCH("non",LOWER($E81&amp;""))),$G81*0.85,$G81),"")))))</ns0:f>
        <ns0:v/>
      </ns0:c>
      <ns0:c r="O81" s="987" t="str">
        <ns0:f>IF(COUNTA($A81:$M81)=0,"",IF(OR(LEFT(LOWER(TRIM($F81&amp;"")),12)="subscription",LOWER(TRIM($F81&amp;""))="membership"),"",IF(OR(AND($H81&lt;&gt;"",$H81=0),LEFT(LOWER(TRIM($F81&amp;"")),9)="free game",LOWER(TRIM($F81&amp;""))="free",LOWER(TRIM($F81&amp;""))="free entry"),IF(OR(NOT(ISNUMBER($N81)),NOT(ISNUMBER($I81)),$I81=0),"N/A",IFERROR($N81/$I81,"N/A")),IF(OR($N81="",$I81="",$I81=0),"",IFERROR($N81/$I81,"")))))</ns0:f>
        <ns0:v/>
      </ns0:c>
      <ns0:c r="P81" s="987">
        <ns0:f>IF(COUNTA($A81:$M81)=0,"",IF(OR(LEFT(LOWER(TRIM($F81&amp;"")),12)="subscription",LOWER(TRIM($F81&amp;""))="membership"),"",IF(LOWER(TRIM($D81&amp;""))="estimate","N/A",IF(LOWER($L81&amp;"")="yes",0,IF(OR(AND($H81&lt;&gt;"",$H81=0),LEFT(LOWER(TRIM($F81&amp;"")),9)="free game",LOWER(TRIM($F81&amp;""))="free",LOWER(TRIM($F81&amp;""))="free entry"),IF(ISNUMBER($K81),$K81,""),IF($K81&lt;&gt;"",$K81,""))))))</ns0:f>
      </ns0:c>
      <ns0:c r="Q81" s="114">
        <ns0:f>IF(COUNTA($A81:$M81)=0,"",IF(OR($U81="Subscription",$U81=""),"",IF($U81="Estimate","N/A",IF($U81="Profit",ROUND(IFERROR($P81,0)-IFERROR($H81,0),2),0))))</ns0:f>
      </ns0:c>
      <ns0:c r="R81" s="114">
        <ns0:f>IF(COUNTA($A81:$M81)=0,"",IF(OR($U81="Subscription",$U81=""),"",IF($U81="Estimate","N/A",IF($U81="Draw",$H81,0))))</ns0:f>
      </ns0:c>
      <ns0:c r="S81" s="114">
        <ns0:f>IF(COUNTA($A81:$M81)=0,"",IF(OR($U81="Subscription",$U81=""),"",IF($U81="Estimate","N/A",IF($U81="Disqualified",$H81,0))))</ns0:f>
      </ns0:c>
      <ns0:c r="T81" s="955">
        <ns0:f>IF(COUNTA($A81:$M81)=0,"",IF(OR($U81="Subscription",$U81=""),"",IF($U81="Estimate","N/A",IF(OR($U81="Free Game",$U81="Disqualified — Free Game",$H81=0),"N/A",IF($U81="Profit",$Q81/$H81,IF($U81="Disqualified",-$S81/$H81,0))))))</ns0:f>
      </ns0:c>
      <ns0:c r="U81" s="920">
        <ns0:f>IF(COUNTA($A81:$M81)=0,"",IF(OR(LEFT(LOWER(TRIM($F81&amp;"")),12)="subscription",LOWER(TRIM($F81&amp;""))="membership"),"Subscription",IF(LOWER(TRIM($D81&amp;""))="estimate","Estimate",IF(OR(AND($H81&lt;&gt;"",$H81=0),LEFT(LOWER(TRIM($F81&amp;"")),9)="free game",LOWER(TRIM($F81&amp;""))="free",LOWER(TRIM($F81&amp;""))="free entry"),IF(LOWER($L81&amp;"")="yes","Disqualified — Free Game","Free Game"),IF(LOWER($L81&amp;"")="yes","Disqualified",IF($P81="","",IF(ROUND(IFERROR(VALUE($P81),0)-IFERROR(VALUE($H81),0),2)&gt;0,"Profit","Draw")))))))</ns0:f>
      </ns0:c>
      <ns0:c r="V81" s="956" t="str">
        <ns0:f>IF(COUNTA($A81:$M81)=0,"",IF(OR($B81="",$C81="",$U81="Subscription"),"",IFERROR(ROUNDUP(($C81-$B81)/7,0),"")))</ns0:f>
      </ns0:c>
      <ns0:c r="W81" s="114">
        <ns0:f>IF(COUNTA($A81:$M81)=0,"",IF(OR($U81="Subscription",$U81=""),"",IF($U81="Estimate","N/A",IF(OR($U81="Free Game",$U81="Disqualified — Free Game"),0,ROUND(IFERROR($Q81,0)-IFERROR($S81,0),2)))))</ns0:f>
      </ns0:c>
      <ns0:c r="X81" s="956" t="str">
        <ns0:f>IF(COUNTA($A81:$M81)=0,"",IF(OR($U81="Subscription",NOT(ISNUMBER($J81)),NOT(ISNUMBER($I81)),$J81=0,$I81=0,$I81&gt;$J81),"",$J81-$I81))</ns0:f>
      </ns0:c>
      <ns0:c r="Y81" s="955" t="str">
        <ns0:f>IF(COUNTA($A81:$M81)=0,"",IF(OR($U81="Subscription",NOT(ISNUMBER($J81)),$J81=0,$X81=""),"",$X81/$J81))</ns0:f>
      </ns0:c>
      <ns0:c r="Z81" s="957" t="str">
        <ns0:f>IF(COUNTA($A81:$M81)=0,"",Instructions!$B$29+SUM($W$5:W81))</ns0:f>
      </ns0:c>
    </ns0:row>
    <ns0:row r="82" ht="36" customHeight="1">
      <ns0:c r="A82" s="439"/>
      <ns0:c r="B82" s="453"/>
      <ns0:c r="C82" s="453"/>
      <ns0:c r="D82" s="454"/>
      <ns0:c r="E82" s="454"/>
      <ns0:c r="F82" s="454"/>
      <ns0:c r="G82" s="986"/>
      <ns0:c r="H82" s="455"/>
      <ns0:c r="I82" s="456"/>
      <ns0:c r="J82" s="456"/>
      <ns0:c r="K82" s="986"/>
      <ns0:c r="L82" s="454"/>
      <ns0:c r="M82" s="439"/>
      <ns0:c r="N82" s="987" t="str">
        <ns0:f>IF(COUNTA($A82:$M82)=0,"",IF(OR(LEFT(LOWER(TRIM($F82&amp;"")),12)="subscription",LOWER(TRIM($F82&amp;""))="membership"),"",IF(OR(AND($H82&lt;&gt;"",$H82=0),LEFT(LOWER(TRIM($F82&amp;"")),9)="free game",LOWER(TRIM($F82&amp;""))="free",LOWER(TRIM($F82&amp;""))="free entry"),IF(ISNUMBER($G82),IF(ISNUMBER(SEARCH("non",LOWER($E82&amp;""))),$G82*0.85,$G82),"N/A"),IF($G82="","",IFERROR(IF(ISNUMBER(SEARCH("non",LOWER($E82&amp;""))),$G82*0.85,$G82),"")))))</ns0:f>
        <ns0:v/>
      </ns0:c>
      <ns0:c r="O82" s="987" t="str">
        <ns0:f>IF(COUNTA($A82:$M82)=0,"",IF(OR(LEFT(LOWER(TRIM($F82&amp;"")),12)="subscription",LOWER(TRIM($F82&amp;""))="membership"),"",IF(OR(AND($H82&lt;&gt;"",$H82=0),LEFT(LOWER(TRIM($F82&amp;"")),9)="free game",LOWER(TRIM($F82&amp;""))="free",LOWER(TRIM($F82&amp;""))="free entry"),IF(OR(NOT(ISNUMBER($N82)),NOT(ISNUMBER($I82)),$I82=0),"N/A",IFERROR($N82/$I82,"N/A")),IF(OR($N82="",$I82="",$I82=0),"",IFERROR($N82/$I82,"")))))</ns0:f>
        <ns0:v/>
      </ns0:c>
      <ns0:c r="P82" s="987">
        <ns0:f>IF(COUNTA($A82:$M82)=0,"",IF(OR(LEFT(LOWER(TRIM($F82&amp;"")),12)="subscription",LOWER(TRIM($F82&amp;""))="membership"),"",IF(LOWER(TRIM($D82&amp;""))="estimate","N/A",IF(LOWER($L82&amp;"")="yes",0,IF(OR(AND($H82&lt;&gt;"",$H82=0),LEFT(LOWER(TRIM($F82&amp;"")),9)="free game",LOWER(TRIM($F82&amp;""))="free",LOWER(TRIM($F82&amp;""))="free entry"),IF(ISNUMBER($K82),$K82,""),IF($K82&lt;&gt;"",$K82,""))))))</ns0:f>
      </ns0:c>
      <ns0:c r="Q82" s="114">
        <ns0:f>IF(COUNTA($A82:$M82)=0,"",IF(OR($U82="Subscription",$U82=""),"",IF($U82="Estimate","N/A",IF($U82="Profit",ROUND(IFERROR($P82,0)-IFERROR($H82,0),2),0))))</ns0:f>
      </ns0:c>
      <ns0:c r="R82" s="114">
        <ns0:f>IF(COUNTA($A82:$M82)=0,"",IF(OR($U82="Subscription",$U82=""),"",IF($U82="Estimate","N/A",IF($U82="Draw",$H82,0))))</ns0:f>
      </ns0:c>
      <ns0:c r="S82" s="114">
        <ns0:f>IF(COUNTA($A82:$M82)=0,"",IF(OR($U82="Subscription",$U82=""),"",IF($U82="Estimate","N/A",IF($U82="Disqualified",$H82,0))))</ns0:f>
      </ns0:c>
      <ns0:c r="T82" s="955">
        <ns0:f>IF(COUNTA($A82:$M82)=0,"",IF(OR($U82="Subscription",$U82=""),"",IF($U82="Estimate","N/A",IF(OR($U82="Free Game",$U82="Disqualified — Free Game",$H82=0),"N/A",IF($U82="Profit",$Q82/$H82,IF($U82="Disqualified",-$S82/$H82,0))))))</ns0:f>
      </ns0:c>
      <ns0:c r="U82" s="920">
        <ns0:f>IF(COUNTA($A82:$M82)=0,"",IF(OR(LEFT(LOWER(TRIM($F82&amp;"")),12)="subscription",LOWER(TRIM($F82&amp;""))="membership"),"Subscription",IF(LOWER(TRIM($D82&amp;""))="estimate","Estimate",IF(OR(AND($H82&lt;&gt;"",$H82=0),LEFT(LOWER(TRIM($F82&amp;"")),9)="free game",LOWER(TRIM($F82&amp;""))="free",LOWER(TRIM($F82&amp;""))="free entry"),IF(LOWER($L82&amp;"")="yes","Disqualified — Free Game","Free Game"),IF(LOWER($L82&amp;"")="yes","Disqualified",IF($P82="","",IF(ROUND(IFERROR(VALUE($P82),0)-IFERROR(VALUE($H82),0),2)&gt;0,"Profit","Draw")))))))</ns0:f>
      </ns0:c>
      <ns0:c r="V82" s="956" t="str">
        <ns0:f>IF(COUNTA($A82:$M82)=0,"",IF(OR($B82="",$C82="",$U82="Subscription"),"",IFERROR(ROUNDUP(($C82-$B82)/7,0),"")))</ns0:f>
      </ns0:c>
      <ns0:c r="W82" s="114">
        <ns0:f>IF(COUNTA($A82:$M82)=0,"",IF(OR($U82="Subscription",$U82=""),"",IF($U82="Estimate","N/A",IF(OR($U82="Free Game",$U82="Disqualified — Free Game"),0,ROUND(IFERROR($Q82,0)-IFERROR($S82,0),2)))))</ns0:f>
      </ns0:c>
      <ns0:c r="X82" s="956" t="str">
        <ns0:f>IF(COUNTA($A82:$M82)=0,"",IF(OR($U82="Subscription",NOT(ISNUMBER($J82)),NOT(ISNUMBER($I82)),$J82=0,$I82=0,$I82&gt;$J82),"",$J82-$I82))</ns0:f>
      </ns0:c>
      <ns0:c r="Y82" s="955" t="str">
        <ns0:f>IF(COUNTA($A82:$M82)=0,"",IF(OR($U82="Subscription",NOT(ISNUMBER($J82)),$J82=0,$X82=""),"",$X82/$J82))</ns0:f>
      </ns0:c>
      <ns0:c r="Z82" s="957" t="str">
        <ns0:f>IF(COUNTA($A82:$M82)=0,"",Instructions!$B$29+SUM($W$5:W82))</ns0:f>
      </ns0:c>
    </ns0:row>
    <ns0:row r="83" ht="36" customHeight="1">
      <ns0:c r="A83" s="439"/>
      <ns0:c r="B83" s="453"/>
      <ns0:c r="C83" s="453"/>
      <ns0:c r="D83" s="454"/>
      <ns0:c r="E83" s="454"/>
      <ns0:c r="F83" s="454"/>
      <ns0:c r="G83" s="986"/>
      <ns0:c r="H83" s="455"/>
      <ns0:c r="I83" s="456"/>
      <ns0:c r="J83" s="456"/>
      <ns0:c r="K83" s="986"/>
      <ns0:c r="L83" s="454"/>
      <ns0:c r="M83" s="439"/>
      <ns0:c r="N83" s="987" t="str">
        <ns0:f>IF(COUNTA($A83:$M83)=0,"",IF(OR(LEFT(LOWER(TRIM($F83&amp;"")),12)="subscription",LOWER(TRIM($F83&amp;""))="membership"),"",IF(OR(AND($H83&lt;&gt;"",$H83=0),LEFT(LOWER(TRIM($F83&amp;"")),9)="free game",LOWER(TRIM($F83&amp;""))="free",LOWER(TRIM($F83&amp;""))="free entry"),IF(ISNUMBER($G83),IF(ISNUMBER(SEARCH("non",LOWER($E83&amp;""))),$G83*0.85,$G83),"N/A"),IF($G83="","",IFERROR(IF(ISNUMBER(SEARCH("non",LOWER($E83&amp;""))),$G83*0.85,$G83),"")))))</ns0:f>
        <ns0:v/>
      </ns0:c>
      <ns0:c r="O83" s="987" t="str">
        <ns0:f>IF(COUNTA($A83:$M83)=0,"",IF(OR(LEFT(LOWER(TRIM($F83&amp;"")),12)="subscription",LOWER(TRIM($F83&amp;""))="membership"),"",IF(OR(AND($H83&lt;&gt;"",$H83=0),LEFT(LOWER(TRIM($F83&amp;"")),9)="free game",LOWER(TRIM($F83&amp;""))="free",LOWER(TRIM($F83&amp;""))="free entry"),IF(OR(NOT(ISNUMBER($N83)),NOT(ISNUMBER($I83)),$I83=0),"N/A",IFERROR($N83/$I83,"N/A")),IF(OR($N83="",$I83="",$I83=0),"",IFERROR($N83/$I83,"")))))</ns0:f>
        <ns0:v/>
      </ns0:c>
      <ns0:c r="P83" s="987">
        <ns0:f>IF(COUNTA($A83:$M83)=0,"",IF(OR(LEFT(LOWER(TRIM($F83&amp;"")),12)="subscription",LOWER(TRIM($F83&amp;""))="membership"),"",IF(LOWER(TRIM($D83&amp;""))="estimate","N/A",IF(LOWER($L83&amp;"")="yes",0,IF(OR(AND($H83&lt;&gt;"",$H83=0),LEFT(LOWER(TRIM($F83&amp;"")),9)="free game",LOWER(TRIM($F83&amp;""))="free",LOWER(TRIM($F83&amp;""))="free entry"),IF(ISNUMBER($K83),$K83,""),IF($K83&lt;&gt;"",$K83,""))))))</ns0:f>
      </ns0:c>
      <ns0:c r="Q83" s="114">
        <ns0:f>IF(COUNTA($A83:$M83)=0,"",IF(OR($U83="Subscription",$U83=""),"",IF($U83="Estimate","N/A",IF($U83="Profit",ROUND(IFERROR($P83,0)-IFERROR($H83,0),2),0))))</ns0:f>
      </ns0:c>
      <ns0:c r="R83" s="114">
        <ns0:f>IF(COUNTA($A83:$M83)=0,"",IF(OR($U83="Subscription",$U83=""),"",IF($U83="Estimate","N/A",IF($U83="Draw",$H83,0))))</ns0:f>
      </ns0:c>
      <ns0:c r="S83" s="114">
        <ns0:f>IF(COUNTA($A83:$M83)=0,"",IF(OR($U83="Subscription",$U83=""),"",IF($U83="Estimate","N/A",IF($U83="Disqualified",$H83,0))))</ns0:f>
      </ns0:c>
      <ns0:c r="T83" s="955">
        <ns0:f>IF(COUNTA($A83:$M83)=0,"",IF(OR($U83="Subscription",$U83=""),"",IF($U83="Estimate","N/A",IF(OR($U83="Free Game",$U83="Disqualified — Free Game",$H83=0),"N/A",IF($U83="Profit",$Q83/$H83,IF($U83="Disqualified",-$S83/$H83,0))))))</ns0:f>
      </ns0:c>
      <ns0:c r="U83" s="920">
        <ns0:f>IF(COUNTA($A83:$M83)=0,"",IF(OR(LEFT(LOWER(TRIM($F83&amp;"")),12)="subscription",LOWER(TRIM($F83&amp;""))="membership"),"Subscription",IF(LOWER(TRIM($D83&amp;""))="estimate","Estimate",IF(OR(AND($H83&lt;&gt;"",$H83=0),LEFT(LOWER(TRIM($F83&amp;"")),9)="free game",LOWER(TRIM($F83&amp;""))="free",LOWER(TRIM($F83&amp;""))="free entry"),IF(LOWER($L83&amp;"")="yes","Disqualified — Free Game","Free Game"),IF(LOWER($L83&amp;"")="yes","Disqualified",IF($P83="","",IF(ROUND(IFERROR(VALUE($P83),0)-IFERROR(VALUE($H83),0),2)&gt;0,"Profit","Draw")))))))</ns0:f>
      </ns0:c>
      <ns0:c r="V83" s="956" t="str">
        <ns0:f>IF(COUNTA($A83:$M83)=0,"",IF(OR($B83="",$C83="",$U83="Subscription"),"",IFERROR(ROUNDUP(($C83-$B83)/7,0),"")))</ns0:f>
      </ns0:c>
      <ns0:c r="W83" s="114">
        <ns0:f>IF(COUNTA($A83:$M83)=0,"",IF(OR($U83="Subscription",$U83=""),"",IF($U83="Estimate","N/A",IF(OR($U83="Free Game",$U83="Disqualified — Free Game"),0,ROUND(IFERROR($Q83,0)-IFERROR($S83,0),2)))))</ns0:f>
      </ns0:c>
      <ns0:c r="X83" s="956" t="str">
        <ns0:f>IF(COUNTA($A83:$M83)=0,"",IF(OR($U83="Subscription",NOT(ISNUMBER($J83)),NOT(ISNUMBER($I83)),$J83=0,$I83=0,$I83&gt;$J83),"",$J83-$I83))</ns0:f>
      </ns0:c>
      <ns0:c r="Y83" s="955" t="str">
        <ns0:f>IF(COUNTA($A83:$M83)=0,"",IF(OR($U83="Subscription",NOT(ISNUMBER($J83)),$J83=0,$X83=""),"",$X83/$J83))</ns0:f>
      </ns0:c>
      <ns0:c r="Z83" s="957" t="str">
        <ns0:f>IF(COUNTA($A83:$M83)=0,"",Instructions!$B$29+SUM($W$5:W83))</ns0:f>
      </ns0:c>
    </ns0:row>
    <ns0:row r="84" ht="36" customHeight="1">
      <ns0:c r="A84" s="439"/>
      <ns0:c r="B84" s="453"/>
      <ns0:c r="C84" s="453"/>
      <ns0:c r="D84" s="454"/>
      <ns0:c r="E84" s="454"/>
      <ns0:c r="F84" s="454"/>
      <ns0:c r="G84" s="986"/>
      <ns0:c r="H84" s="455"/>
      <ns0:c r="I84" s="456"/>
      <ns0:c r="J84" s="456"/>
      <ns0:c r="K84" s="986"/>
      <ns0:c r="L84" s="454"/>
      <ns0:c r="M84" s="439"/>
      <ns0:c r="N84" s="987" t="str">
        <ns0:f>IF(COUNTA($A84:$M84)=0,"",IF(OR(LEFT(LOWER(TRIM($F84&amp;"")),12)="subscription",LOWER(TRIM($F84&amp;""))="membership"),"",IF(OR(AND($H84&lt;&gt;"",$H84=0),LEFT(LOWER(TRIM($F84&amp;"")),9)="free game",LOWER(TRIM($F84&amp;""))="free",LOWER(TRIM($F84&amp;""))="free entry"),IF(ISNUMBER($G84),IF(ISNUMBER(SEARCH("non",LOWER($E84&amp;""))),$G84*0.85,$G84),"N/A"),IF($G84="","",IFERROR(IF(ISNUMBER(SEARCH("non",LOWER($E84&amp;""))),$G84*0.85,$G84),"")))))</ns0:f>
        <ns0:v/>
      </ns0:c>
      <ns0:c r="O84" s="987" t="str">
        <ns0:f>IF(COUNTA($A84:$M84)=0,"",IF(OR(LEFT(LOWER(TRIM($F84&amp;"")),12)="subscription",LOWER(TRIM($F84&amp;""))="membership"),"",IF(OR(AND($H84&lt;&gt;"",$H84=0),LEFT(LOWER(TRIM($F84&amp;"")),9)="free game",LOWER(TRIM($F84&amp;""))="free",LOWER(TRIM($F84&amp;""))="free entry"),IF(OR(NOT(ISNUMBER($N84)),NOT(ISNUMBER($I84)),$I84=0),"N/A",IFERROR($N84/$I84,"N/A")),IF(OR($N84="",$I84="",$I84=0),"",IFERROR($N84/$I84,"")))))</ns0:f>
        <ns0:v/>
      </ns0:c>
      <ns0:c r="P84" s="987">
        <ns0:f>IF(COUNTA($A84:$M84)=0,"",IF(OR(LEFT(LOWER(TRIM($F84&amp;"")),12)="subscription",LOWER(TRIM($F84&amp;""))="membership"),"",IF(LOWER(TRIM($D84&amp;""))="estimate","N/A",IF(LOWER($L84&amp;"")="yes",0,IF(OR(AND($H84&lt;&gt;"",$H84=0),LEFT(LOWER(TRIM($F84&amp;"")),9)="free game",LOWER(TRIM($F84&amp;""))="free",LOWER(TRIM($F84&amp;""))="free entry"),IF(ISNUMBER($K84),$K84,""),IF($K84&lt;&gt;"",$K84,""))))))</ns0:f>
      </ns0:c>
      <ns0:c r="Q84" s="114">
        <ns0:f>IF(COUNTA($A84:$M84)=0,"",IF(OR($U84="Subscription",$U84=""),"",IF($U84="Estimate","N/A",IF($U84="Profit",ROUND(IFERROR($P84,0)-IFERROR($H84,0),2),0))))</ns0:f>
      </ns0:c>
      <ns0:c r="R84" s="114">
        <ns0:f>IF(COUNTA($A84:$M84)=0,"",IF(OR($U84="Subscription",$U84=""),"",IF($U84="Estimate","N/A",IF($U84="Draw",$H84,0))))</ns0:f>
      </ns0:c>
      <ns0:c r="S84" s="114">
        <ns0:f>IF(COUNTA($A84:$M84)=0,"",IF(OR($U84="Subscription",$U84=""),"",IF($U84="Estimate","N/A",IF($U84="Disqualified",$H84,0))))</ns0:f>
      </ns0:c>
      <ns0:c r="T84" s="955">
        <ns0:f>IF(COUNTA($A84:$M84)=0,"",IF(OR($U84="Subscription",$U84=""),"",IF($U84="Estimate","N/A",IF(OR($U84="Free Game",$U84="Disqualified — Free Game",$H84=0),"N/A",IF($U84="Profit",$Q84/$H84,IF($U84="Disqualified",-$S84/$H84,0))))))</ns0:f>
      </ns0:c>
      <ns0:c r="U84" s="920">
        <ns0:f>IF(COUNTA($A84:$M84)=0,"",IF(OR(LEFT(LOWER(TRIM($F84&amp;"")),12)="subscription",LOWER(TRIM($F84&amp;""))="membership"),"Subscription",IF(LOWER(TRIM($D84&amp;""))="estimate","Estimate",IF(OR(AND($H84&lt;&gt;"",$H84=0),LEFT(LOWER(TRIM($F84&amp;"")),9)="free game",LOWER(TRIM($F84&amp;""))="free",LOWER(TRIM($F84&amp;""))="free entry"),IF(LOWER($L84&amp;"")="yes","Disqualified — Free Game","Free Game"),IF(LOWER($L84&amp;"")="yes","Disqualified",IF($P84="","",IF(ROUND(IFERROR(VALUE($P84),0)-IFERROR(VALUE($H84),0),2)&gt;0,"Profit","Draw")))))))</ns0:f>
      </ns0:c>
      <ns0:c r="V84" s="956" t="str">
        <ns0:f>IF(COUNTA($A84:$M84)=0,"",IF(OR($B84="",$C84="",$U84="Subscription"),"",IFERROR(ROUNDUP(($C84-$B84)/7,0),"")))</ns0:f>
      </ns0:c>
      <ns0:c r="W84" s="114">
        <ns0:f>IF(COUNTA($A84:$M84)=0,"",IF(OR($U84="Subscription",$U84=""),"",IF($U84="Estimate","N/A",IF(OR($U84="Free Game",$U84="Disqualified — Free Game"),0,ROUND(IFERROR($Q84,0)-IFERROR($S84,0),2)))))</ns0:f>
      </ns0:c>
      <ns0:c r="X84" s="956" t="str">
        <ns0:f>IF(COUNTA($A84:$M84)=0,"",IF(OR($U84="Subscription",NOT(ISNUMBER($J84)),NOT(ISNUMBER($I84)),$J84=0,$I84=0,$I84&gt;$J84),"",$J84-$I84))</ns0:f>
      </ns0:c>
      <ns0:c r="Y84" s="955" t="str">
        <ns0:f>IF(COUNTA($A84:$M84)=0,"",IF(OR($U84="Subscription",NOT(ISNUMBER($J84)),$J84=0,$X84=""),"",$X84/$J84))</ns0:f>
      </ns0:c>
      <ns0:c r="Z84" s="957" t="str">
        <ns0:f>IF(COUNTA($A84:$M84)=0,"",Instructions!$B$29+SUM($W$5:W84))</ns0:f>
      </ns0:c>
    </ns0:row>
    <ns0:row r="85" ht="36" customHeight="1">
      <ns0:c r="A85" s="439"/>
      <ns0:c r="B85" s="453"/>
      <ns0:c r="C85" s="453"/>
      <ns0:c r="D85" s="454"/>
      <ns0:c r="E85" s="454"/>
      <ns0:c r="F85" s="454"/>
      <ns0:c r="G85" s="986"/>
      <ns0:c r="H85" s="455"/>
      <ns0:c r="I85" s="456"/>
      <ns0:c r="J85" s="456"/>
      <ns0:c r="K85" s="986"/>
      <ns0:c r="L85" s="454"/>
      <ns0:c r="M85" s="439"/>
      <ns0:c r="N85" s="987" t="str">
        <ns0:f>IF(COUNTA($A85:$M85)=0,"",IF(OR(LEFT(LOWER(TRIM($F85&amp;"")),12)="subscription",LOWER(TRIM($F85&amp;""))="membership"),"",IF(OR(AND($H85&lt;&gt;"",$H85=0),LEFT(LOWER(TRIM($F85&amp;"")),9)="free game",LOWER(TRIM($F85&amp;""))="free",LOWER(TRIM($F85&amp;""))="free entry"),IF(ISNUMBER($G85),IF(ISNUMBER(SEARCH("non",LOWER($E85&amp;""))),$G85*0.85,$G85),"N/A"),IF($G85="","",IFERROR(IF(ISNUMBER(SEARCH("non",LOWER($E85&amp;""))),$G85*0.85,$G85),"")))))</ns0:f>
        <ns0:v/>
      </ns0:c>
      <ns0:c r="O85" s="987" t="str">
        <ns0:f>IF(COUNTA($A85:$M85)=0,"",IF(OR(LEFT(LOWER(TRIM($F85&amp;"")),12)="subscription",LOWER(TRIM($F85&amp;""))="membership"),"",IF(OR(AND($H85&lt;&gt;"",$H85=0),LEFT(LOWER(TRIM($F85&amp;"")),9)="free game",LOWER(TRIM($F85&amp;""))="free",LOWER(TRIM($F85&amp;""))="free entry"),IF(OR(NOT(ISNUMBER($N85)),NOT(ISNUMBER($I85)),$I85=0),"N/A",IFERROR($N85/$I85,"N/A")),IF(OR($N85="",$I85="",$I85=0),"",IFERROR($N85/$I85,"")))))</ns0:f>
        <ns0:v/>
      </ns0:c>
      <ns0:c r="P85" s="987">
        <ns0:f>IF(COUNTA($A85:$M85)=0,"",IF(OR(LEFT(LOWER(TRIM($F85&amp;"")),12)="subscription",LOWER(TRIM($F85&amp;""))="membership"),"",IF(LOWER(TRIM($D85&amp;""))="estimate","N/A",IF(LOWER($L85&amp;"")="yes",0,IF(OR(AND($H85&lt;&gt;"",$H85=0),LEFT(LOWER(TRIM($F85&amp;"")),9)="free game",LOWER(TRIM($F85&amp;""))="free",LOWER(TRIM($F85&amp;""))="free entry"),IF(ISNUMBER($K85),$K85,""),IF($K85&lt;&gt;"",$K85,""))))))</ns0:f>
      </ns0:c>
      <ns0:c r="Q85" s="114">
        <ns0:f>IF(COUNTA($A85:$M85)=0,"",IF(OR($U85="Subscription",$U85=""),"",IF($U85="Estimate","N/A",IF($U85="Profit",ROUND(IFERROR($P85,0)-IFERROR($H85,0),2),0))))</ns0:f>
      </ns0:c>
      <ns0:c r="R85" s="114">
        <ns0:f>IF(COUNTA($A85:$M85)=0,"",IF(OR($U85="Subscription",$U85=""),"",IF($U85="Estimate","N/A",IF($U85="Draw",$H85,0))))</ns0:f>
      </ns0:c>
      <ns0:c r="S85" s="114">
        <ns0:f>IF(COUNTA($A85:$M85)=0,"",IF(OR($U85="Subscription",$U85=""),"",IF($U85="Estimate","N/A",IF($U85="Disqualified",$H85,0))))</ns0:f>
      </ns0:c>
      <ns0:c r="T85" s="955">
        <ns0:f>IF(COUNTA($A85:$M85)=0,"",IF(OR($U85="Subscription",$U85=""),"",IF($U85="Estimate","N/A",IF(OR($U85="Free Game",$U85="Disqualified — Free Game",$H85=0),"N/A",IF($U85="Profit",$Q85/$H85,IF($U85="Disqualified",-$S85/$H85,0))))))</ns0:f>
      </ns0:c>
      <ns0:c r="U85" s="920">
        <ns0:f>IF(COUNTA($A85:$M85)=0,"",IF(OR(LEFT(LOWER(TRIM($F85&amp;"")),12)="subscription",LOWER(TRIM($F85&amp;""))="membership"),"Subscription",IF(LOWER(TRIM($D85&amp;""))="estimate","Estimate",IF(OR(AND($H85&lt;&gt;"",$H85=0),LEFT(LOWER(TRIM($F85&amp;"")),9)="free game",LOWER(TRIM($F85&amp;""))="free",LOWER(TRIM($F85&amp;""))="free entry"),IF(LOWER($L85&amp;"")="yes","Disqualified — Free Game","Free Game"),IF(LOWER($L85&amp;"")="yes","Disqualified",IF($P85="","",IF(ROUND(IFERROR(VALUE($P85),0)-IFERROR(VALUE($H85),0),2)&gt;0,"Profit","Draw")))))))</ns0:f>
      </ns0:c>
      <ns0:c r="V85" s="956" t="str">
        <ns0:f>IF(COUNTA($A85:$M85)=0,"",IF(OR($B85="",$C85="",$U85="Subscription"),"",IFERROR(ROUNDUP(($C85-$B85)/7,0),"")))</ns0:f>
      </ns0:c>
      <ns0:c r="W85" s="114">
        <ns0:f>IF(COUNTA($A85:$M85)=0,"",IF(OR($U85="Subscription",$U85=""),"",IF($U85="Estimate","N/A",IF(OR($U85="Free Game",$U85="Disqualified — Free Game"),0,ROUND(IFERROR($Q85,0)-IFERROR($S85,0),2)))))</ns0:f>
      </ns0:c>
      <ns0:c r="X85" s="956" t="str">
        <ns0:f>IF(COUNTA($A85:$M85)=0,"",IF(OR($U85="Subscription",NOT(ISNUMBER($J85)),NOT(ISNUMBER($I85)),$J85=0,$I85=0,$I85&gt;$J85),"",$J85-$I85))</ns0:f>
      </ns0:c>
      <ns0:c r="Y85" s="955" t="str">
        <ns0:f>IF(COUNTA($A85:$M85)=0,"",IF(OR($U85="Subscription",NOT(ISNUMBER($J85)),$J85=0,$X85=""),"",$X85/$J85))</ns0:f>
      </ns0:c>
      <ns0:c r="Z85" s="957" t="str">
        <ns0:f>IF(COUNTA($A85:$M85)=0,"",Instructions!$B$29+SUM($W$5:W85))</ns0:f>
      </ns0:c>
    </ns0:row>
    <ns0:row r="86" ht="36" customHeight="1">
      <ns0:c r="A86" s="439"/>
      <ns0:c r="B86" s="453"/>
      <ns0:c r="C86" s="453"/>
      <ns0:c r="D86" s="454"/>
      <ns0:c r="E86" s="454"/>
      <ns0:c r="F86" s="454"/>
      <ns0:c r="G86" s="986"/>
      <ns0:c r="H86" s="455"/>
      <ns0:c r="I86" s="456"/>
      <ns0:c r="J86" s="456"/>
      <ns0:c r="K86" s="986"/>
      <ns0:c r="L86" s="454"/>
      <ns0:c r="M86" s="439"/>
      <ns0:c r="N86" s="987" t="str">
        <ns0:f>IF(COUNTA($A86:$M86)=0,"",IF(OR(LEFT(LOWER(TRIM($F86&amp;"")),12)="subscription",LOWER(TRIM($F86&amp;""))="membership"),"",IF(OR(AND($H86&lt;&gt;"",$H86=0),LEFT(LOWER(TRIM($F86&amp;"")),9)="free game",LOWER(TRIM($F86&amp;""))="free",LOWER(TRIM($F86&amp;""))="free entry"),IF(ISNUMBER($G86),IF(ISNUMBER(SEARCH("non",LOWER($E86&amp;""))),$G86*0.85,$G86),"N/A"),IF($G86="","",IFERROR(IF(ISNUMBER(SEARCH("non",LOWER($E86&amp;""))),$G86*0.85,$G86),"")))))</ns0:f>
        <ns0:v/>
      </ns0:c>
      <ns0:c r="O86" s="987" t="str">
        <ns0:f>IF(COUNTA($A86:$M86)=0,"",IF(OR(LEFT(LOWER(TRIM($F86&amp;"")),12)="subscription",LOWER(TRIM($F86&amp;""))="membership"),"",IF(OR(AND($H86&lt;&gt;"",$H86=0),LEFT(LOWER(TRIM($F86&amp;"")),9)="free game",LOWER(TRIM($F86&amp;""))="free",LOWER(TRIM($F86&amp;""))="free entry"),IF(OR(NOT(ISNUMBER($N86)),NOT(ISNUMBER($I86)),$I86=0),"N/A",IFERROR($N86/$I86,"N/A")),IF(OR($N86="",$I86="",$I86=0),"",IFERROR($N86/$I86,"")))))</ns0:f>
        <ns0:v/>
      </ns0:c>
      <ns0:c r="P86" s="987">
        <ns0:f>IF(COUNTA($A86:$M86)=0,"",IF(OR(LEFT(LOWER(TRIM($F86&amp;"")),12)="subscription",LOWER(TRIM($F86&amp;""))="membership"),"",IF(LOWER(TRIM($D86&amp;""))="estimate","N/A",IF(LOWER($L86&amp;"")="yes",0,IF(OR(AND($H86&lt;&gt;"",$H86=0),LEFT(LOWER(TRIM($F86&amp;"")),9)="free game",LOWER(TRIM($F86&amp;""))="free",LOWER(TRIM($F86&amp;""))="free entry"),IF(ISNUMBER($K86),$K86,""),IF($K86&lt;&gt;"",$K86,""))))))</ns0:f>
      </ns0:c>
      <ns0:c r="Q86" s="114">
        <ns0:f>IF(COUNTA($A86:$M86)=0,"",IF(OR($U86="Subscription",$U86=""),"",IF($U86="Estimate","N/A",IF($U86="Profit",ROUND(IFERROR($P86,0)-IFERROR($H86,0),2),0))))</ns0:f>
      </ns0:c>
      <ns0:c r="R86" s="114">
        <ns0:f>IF(COUNTA($A86:$M86)=0,"",IF(OR($U86="Subscription",$U86=""),"",IF($U86="Estimate","N/A",IF($U86="Draw",$H86,0))))</ns0:f>
      </ns0:c>
      <ns0:c r="S86" s="114">
        <ns0:f>IF(COUNTA($A86:$M86)=0,"",IF(OR($U86="Subscription",$U86=""),"",IF($U86="Estimate","N/A",IF($U86="Disqualified",$H86,0))))</ns0:f>
      </ns0:c>
      <ns0:c r="T86" s="955">
        <ns0:f>IF(COUNTA($A86:$M86)=0,"",IF(OR($U86="Subscription",$U86=""),"",IF($U86="Estimate","N/A",IF(OR($U86="Free Game",$U86="Disqualified — Free Game",$H86=0),"N/A",IF($U86="Profit",$Q86/$H86,IF($U86="Disqualified",-$S86/$H86,0))))))</ns0:f>
      </ns0:c>
      <ns0:c r="U86" s="920">
        <ns0:f>IF(COUNTA($A86:$M86)=0,"",IF(OR(LEFT(LOWER(TRIM($F86&amp;"")),12)="subscription",LOWER(TRIM($F86&amp;""))="membership"),"Subscription",IF(LOWER(TRIM($D86&amp;""))="estimate","Estimate",IF(OR(AND($H86&lt;&gt;"",$H86=0),LEFT(LOWER(TRIM($F86&amp;"")),9)="free game",LOWER(TRIM($F86&amp;""))="free",LOWER(TRIM($F86&amp;""))="free entry"),IF(LOWER($L86&amp;"")="yes","Disqualified — Free Game","Free Game"),IF(LOWER($L86&amp;"")="yes","Disqualified",IF($P86="","",IF(ROUND(IFERROR(VALUE($P86),0)-IFERROR(VALUE($H86),0),2)&gt;0,"Profit","Draw")))))))</ns0:f>
      </ns0:c>
      <ns0:c r="V86" s="956" t="str">
        <ns0:f>IF(COUNTA($A86:$M86)=0,"",IF(OR($B86="",$C86="",$U86="Subscription"),"",IFERROR(ROUNDUP(($C86-$B86)/7,0),"")))</ns0:f>
      </ns0:c>
      <ns0:c r="W86" s="114">
        <ns0:f>IF(COUNTA($A86:$M86)=0,"",IF(OR($U86="Subscription",$U86=""),"",IF($U86="Estimate","N/A",IF(OR($U86="Free Game",$U86="Disqualified — Free Game"),0,ROUND(IFERROR($Q86,0)-IFERROR($S86,0),2)))))</ns0:f>
      </ns0:c>
      <ns0:c r="X86" s="956" t="str">
        <ns0:f>IF(COUNTA($A86:$M86)=0,"",IF(OR($U86="Subscription",NOT(ISNUMBER($J86)),NOT(ISNUMBER($I86)),$J86=0,$I86=0,$I86&gt;$J86),"",$J86-$I86))</ns0:f>
      </ns0:c>
      <ns0:c r="Y86" s="955" t="str">
        <ns0:f>IF(COUNTA($A86:$M86)=0,"",IF(OR($U86="Subscription",NOT(ISNUMBER($J86)),$J86=0,$X86=""),"",$X86/$J86))</ns0:f>
      </ns0:c>
      <ns0:c r="Z86" s="957" t="str">
        <ns0:f>IF(COUNTA($A86:$M86)=0,"",Instructions!$B$29+SUM($W$5:W86))</ns0:f>
      </ns0:c>
    </ns0:row>
    <ns0:row r="87" ht="36" customHeight="1">
      <ns0:c r="A87" s="439"/>
      <ns0:c r="B87" s="453"/>
      <ns0:c r="C87" s="453"/>
      <ns0:c r="D87" s="454"/>
      <ns0:c r="E87" s="454"/>
      <ns0:c r="F87" s="454"/>
      <ns0:c r="G87" s="986"/>
      <ns0:c r="H87" s="455"/>
      <ns0:c r="I87" s="456"/>
      <ns0:c r="J87" s="456"/>
      <ns0:c r="K87" s="986"/>
      <ns0:c r="L87" s="454"/>
      <ns0:c r="M87" s="439"/>
      <ns0:c r="N87" s="987" t="str">
        <ns0:f>IF(COUNTA($A87:$M87)=0,"",IF(OR(LEFT(LOWER(TRIM($F87&amp;"")),12)="subscription",LOWER(TRIM($F87&amp;""))="membership"),"",IF(OR(AND($H87&lt;&gt;"",$H87=0),LEFT(LOWER(TRIM($F87&amp;"")),9)="free game",LOWER(TRIM($F87&amp;""))="free",LOWER(TRIM($F87&amp;""))="free entry"),IF(ISNUMBER($G87),IF(ISNUMBER(SEARCH("non",LOWER($E87&amp;""))),$G87*0.85,$G87),"N/A"),IF($G87="","",IFERROR(IF(ISNUMBER(SEARCH("non",LOWER($E87&amp;""))),$G87*0.85,$G87),"")))))</ns0:f>
        <ns0:v/>
      </ns0:c>
      <ns0:c r="O87" s="987" t="str">
        <ns0:f>IF(COUNTA($A87:$M87)=0,"",IF(OR(LEFT(LOWER(TRIM($F87&amp;"")),12)="subscription",LOWER(TRIM($F87&amp;""))="membership"),"",IF(OR(AND($H87&lt;&gt;"",$H87=0),LEFT(LOWER(TRIM($F87&amp;"")),9)="free game",LOWER(TRIM($F87&amp;""))="free",LOWER(TRIM($F87&amp;""))="free entry"),IF(OR(NOT(ISNUMBER($N87)),NOT(ISNUMBER($I87)),$I87=0),"N/A",IFERROR($N87/$I87,"N/A")),IF(OR($N87="",$I87="",$I87=0),"",IFERROR($N87/$I87,"")))))</ns0:f>
        <ns0:v/>
      </ns0:c>
      <ns0:c r="P87" s="987">
        <ns0:f>IF(COUNTA($A87:$M87)=0,"",IF(OR(LEFT(LOWER(TRIM($F87&amp;"")),12)="subscription",LOWER(TRIM($F87&amp;""))="membership"),"",IF(LOWER(TRIM($D87&amp;""))="estimate","N/A",IF(LOWER($L87&amp;"")="yes",0,IF(OR(AND($H87&lt;&gt;"",$H87=0),LEFT(LOWER(TRIM($F87&amp;"")),9)="free game",LOWER(TRIM($F87&amp;""))="free",LOWER(TRIM($F87&amp;""))="free entry"),IF(ISNUMBER($K87),$K87,""),IF($K87&lt;&gt;"",$K87,""))))))</ns0:f>
      </ns0:c>
      <ns0:c r="Q87" s="114">
        <ns0:f>IF(COUNTA($A87:$M87)=0,"",IF(OR($U87="Subscription",$U87=""),"",IF($U87="Estimate","N/A",IF($U87="Profit",ROUND(IFERROR($P87,0)-IFERROR($H87,0),2),0))))</ns0:f>
      </ns0:c>
      <ns0:c r="R87" s="114">
        <ns0:f>IF(COUNTA($A87:$M87)=0,"",IF(OR($U87="Subscription",$U87=""),"",IF($U87="Estimate","N/A",IF($U87="Draw",$H87,0))))</ns0:f>
      </ns0:c>
      <ns0:c r="S87" s="114">
        <ns0:f>IF(COUNTA($A87:$M87)=0,"",IF(OR($U87="Subscription",$U87=""),"",IF($U87="Estimate","N/A",IF($U87="Disqualified",$H87,0))))</ns0:f>
      </ns0:c>
      <ns0:c r="T87" s="955">
        <ns0:f>IF(COUNTA($A87:$M87)=0,"",IF(OR($U87="Subscription",$U87=""),"",IF($U87="Estimate","N/A",IF(OR($U87="Free Game",$U87="Disqualified — Free Game",$H87=0),"N/A",IF($U87="Profit",$Q87/$H87,IF($U87="Disqualified",-$S87/$H87,0))))))</ns0:f>
      </ns0:c>
      <ns0:c r="U87" s="920">
        <ns0:f>IF(COUNTA($A87:$M87)=0,"",IF(OR(LEFT(LOWER(TRIM($F87&amp;"")),12)="subscription",LOWER(TRIM($F87&amp;""))="membership"),"Subscription",IF(LOWER(TRIM($D87&amp;""))="estimate","Estimate",IF(OR(AND($H87&lt;&gt;"",$H87=0),LEFT(LOWER(TRIM($F87&amp;"")),9)="free game",LOWER(TRIM($F87&amp;""))="free",LOWER(TRIM($F87&amp;""))="free entry"),IF(LOWER($L87&amp;"")="yes","Disqualified — Free Game","Free Game"),IF(LOWER($L87&amp;"")="yes","Disqualified",IF($P87="","",IF(ROUND(IFERROR(VALUE($P87),0)-IFERROR(VALUE($H87),0),2)&gt;0,"Profit","Draw")))))))</ns0:f>
      </ns0:c>
      <ns0:c r="V87" s="956" t="str">
        <ns0:f>IF(COUNTA($A87:$M87)=0,"",IF(OR($B87="",$C87="",$U87="Subscription"),"",IFERROR(ROUNDUP(($C87-$B87)/7,0),"")))</ns0:f>
      </ns0:c>
      <ns0:c r="W87" s="114">
        <ns0:f>IF(COUNTA($A87:$M87)=0,"",IF(OR($U87="Subscription",$U87=""),"",IF($U87="Estimate","N/A",IF(OR($U87="Free Game",$U87="Disqualified — Free Game"),0,ROUND(IFERROR($Q87,0)-IFERROR($S87,0),2)))))</ns0:f>
      </ns0:c>
      <ns0:c r="X87" s="956" t="str">
        <ns0:f>IF(COUNTA($A87:$M87)=0,"",IF(OR($U87="Subscription",NOT(ISNUMBER($J87)),NOT(ISNUMBER($I87)),$J87=0,$I87=0,$I87&gt;$J87),"",$J87-$I87))</ns0:f>
      </ns0:c>
      <ns0:c r="Y87" s="955" t="str">
        <ns0:f>IF(COUNTA($A87:$M87)=0,"",IF(OR($U87="Subscription",NOT(ISNUMBER($J87)),$J87=0,$X87=""),"",$X87/$J87))</ns0:f>
      </ns0:c>
      <ns0:c r="Z87" s="957" t="str">
        <ns0:f>IF(COUNTA($A87:$M87)=0,"",Instructions!$B$29+SUM($W$5:W87))</ns0:f>
      </ns0:c>
    </ns0:row>
    <ns0:row r="88" ht="36" customHeight="1">
      <ns0:c r="A88" s="439"/>
      <ns0:c r="B88" s="453"/>
      <ns0:c r="C88" s="453"/>
      <ns0:c r="D88" s="454"/>
      <ns0:c r="E88" s="454"/>
      <ns0:c r="F88" s="454"/>
      <ns0:c r="G88" s="986"/>
      <ns0:c r="H88" s="455"/>
      <ns0:c r="I88" s="456"/>
      <ns0:c r="J88" s="456"/>
      <ns0:c r="K88" s="986"/>
      <ns0:c r="L88" s="454"/>
      <ns0:c r="M88" s="439"/>
      <ns0:c r="N88" s="987" t="str">
        <ns0:f>IF(COUNTA($A88:$M88)=0,"",IF(OR(LEFT(LOWER(TRIM($F88&amp;"")),12)="subscription",LOWER(TRIM($F88&amp;""))="membership"),"",IF(OR(AND($H88&lt;&gt;"",$H88=0),LEFT(LOWER(TRIM($F88&amp;"")),9)="free game",LOWER(TRIM($F88&amp;""))="free",LOWER(TRIM($F88&amp;""))="free entry"),IF(ISNUMBER($G88),IF(ISNUMBER(SEARCH("non",LOWER($E88&amp;""))),$G88*0.85,$G88),"N/A"),IF($G88="","",IFERROR(IF(ISNUMBER(SEARCH("non",LOWER($E88&amp;""))),$G88*0.85,$G88),"")))))</ns0:f>
        <ns0:v/>
      </ns0:c>
      <ns0:c r="O88" s="987" t="str">
        <ns0:f>IF(COUNTA($A88:$M88)=0,"",IF(OR(LEFT(LOWER(TRIM($F88&amp;"")),12)="subscription",LOWER(TRIM($F88&amp;""))="membership"),"",IF(OR(AND($H88&lt;&gt;"",$H88=0),LEFT(LOWER(TRIM($F88&amp;"")),9)="free game",LOWER(TRIM($F88&amp;""))="free",LOWER(TRIM($F88&amp;""))="free entry"),IF(OR(NOT(ISNUMBER($N88)),NOT(ISNUMBER($I88)),$I88=0),"N/A",IFERROR($N88/$I88,"N/A")),IF(OR($N88="",$I88="",$I88=0),"",IFERROR($N88/$I88,"")))))</ns0:f>
        <ns0:v/>
      </ns0:c>
      <ns0:c r="P88" s="987">
        <ns0:f>IF(COUNTA($A88:$M88)=0,"",IF(OR(LEFT(LOWER(TRIM($F88&amp;"")),12)="subscription",LOWER(TRIM($F88&amp;""))="membership"),"",IF(LOWER(TRIM($D88&amp;""))="estimate","N/A",IF(LOWER($L88&amp;"")="yes",0,IF(OR(AND($H88&lt;&gt;"",$H88=0),LEFT(LOWER(TRIM($F88&amp;"")),9)="free game",LOWER(TRIM($F88&amp;""))="free",LOWER(TRIM($F88&amp;""))="free entry"),IF(ISNUMBER($K88),$K88,""),IF($K88&lt;&gt;"",$K88,""))))))</ns0:f>
      </ns0:c>
      <ns0:c r="Q88" s="114">
        <ns0:f>IF(COUNTA($A88:$M88)=0,"",IF(OR($U88="Subscription",$U88=""),"",IF($U88="Estimate","N/A",IF($U88="Profit",ROUND(IFERROR($P88,0)-IFERROR($H88,0),2),0))))</ns0:f>
      </ns0:c>
      <ns0:c r="R88" s="114">
        <ns0:f>IF(COUNTA($A88:$M88)=0,"",IF(OR($U88="Subscription",$U88=""),"",IF($U88="Estimate","N/A",IF($U88="Draw",$H88,0))))</ns0:f>
      </ns0:c>
      <ns0:c r="S88" s="114">
        <ns0:f>IF(COUNTA($A88:$M88)=0,"",IF(OR($U88="Subscription",$U88=""),"",IF($U88="Estimate","N/A",IF($U88="Disqualified",$H88,0))))</ns0:f>
      </ns0:c>
      <ns0:c r="T88" s="955">
        <ns0:f>IF(COUNTA($A88:$M88)=0,"",IF(OR($U88="Subscription",$U88=""),"",IF($U88="Estimate","N/A",IF(OR($U88="Free Game",$U88="Disqualified — Free Game",$H88=0),"N/A",IF($U88="Profit",$Q88/$H88,IF($U88="Disqualified",-$S88/$H88,0))))))</ns0:f>
      </ns0:c>
      <ns0:c r="U88" s="920">
        <ns0:f>IF(COUNTA($A88:$M88)=0,"",IF(OR(LEFT(LOWER(TRIM($F88&amp;"")),12)="subscription",LOWER(TRIM($F88&amp;""))="membership"),"Subscription",IF(LOWER(TRIM($D88&amp;""))="estimate","Estimate",IF(OR(AND($H88&lt;&gt;"",$H88=0),LEFT(LOWER(TRIM($F88&amp;"")),9)="free game",LOWER(TRIM($F88&amp;""))="free",LOWER(TRIM($F88&amp;""))="free entry"),IF(LOWER($L88&amp;"")="yes","Disqualified — Free Game","Free Game"),IF(LOWER($L88&amp;"")="yes","Disqualified",IF($P88="","",IF(ROUND(IFERROR(VALUE($P88),0)-IFERROR(VALUE($H88),0),2)&gt;0,"Profit","Draw")))))))</ns0:f>
      </ns0:c>
      <ns0:c r="V88" s="956" t="str">
        <ns0:f>IF(COUNTA($A88:$M88)=0,"",IF(OR($B88="",$C88="",$U88="Subscription"),"",IFERROR(ROUNDUP(($C88-$B88)/7,0),"")))</ns0:f>
      </ns0:c>
      <ns0:c r="W88" s="114">
        <ns0:f>IF(COUNTA($A88:$M88)=0,"",IF(OR($U88="Subscription",$U88=""),"",IF($U88="Estimate","N/A",IF(OR($U88="Free Game",$U88="Disqualified — Free Game"),0,ROUND(IFERROR($Q88,0)-IFERROR($S88,0),2)))))</ns0:f>
      </ns0:c>
      <ns0:c r="X88" s="956" t="str">
        <ns0:f>IF(COUNTA($A88:$M88)=0,"",IF(OR($U88="Subscription",NOT(ISNUMBER($J88)),NOT(ISNUMBER($I88)),$J88=0,$I88=0,$I88&gt;$J88),"",$J88-$I88))</ns0:f>
      </ns0:c>
      <ns0:c r="Y88" s="955" t="str">
        <ns0:f>IF(COUNTA($A88:$M88)=0,"",IF(OR($U88="Subscription",NOT(ISNUMBER($J88)),$J88=0,$X88=""),"",$X88/$J88))</ns0:f>
      </ns0:c>
      <ns0:c r="Z88" s="957" t="str">
        <ns0:f>IF(COUNTA($A88:$M88)=0,"",Instructions!$B$29+SUM($W$5:W88))</ns0:f>
      </ns0:c>
    </ns0:row>
    <ns0:row r="89" ht="36" customHeight="1">
      <ns0:c r="A89" s="439"/>
      <ns0:c r="B89" s="453"/>
      <ns0:c r="C89" s="453"/>
      <ns0:c r="D89" s="454"/>
      <ns0:c r="E89" s="454"/>
      <ns0:c r="F89" s="454"/>
      <ns0:c r="G89" s="986"/>
      <ns0:c r="H89" s="455"/>
      <ns0:c r="I89" s="456"/>
      <ns0:c r="J89" s="456"/>
      <ns0:c r="K89" s="986"/>
      <ns0:c r="L89" s="454"/>
      <ns0:c r="M89" s="439"/>
      <ns0:c r="N89" s="987" t="str">
        <ns0:f>IF(COUNTA($A89:$M89)=0,"",IF(OR(LEFT(LOWER(TRIM($F89&amp;"")),12)="subscription",LOWER(TRIM($F89&amp;""))="membership"),"",IF(OR(AND($H89&lt;&gt;"",$H89=0),LEFT(LOWER(TRIM($F89&amp;"")),9)="free game",LOWER(TRIM($F89&amp;""))="free",LOWER(TRIM($F89&amp;""))="free entry"),IF(ISNUMBER($G89),IF(ISNUMBER(SEARCH("non",LOWER($E89&amp;""))),$G89*0.85,$G89),"N/A"),IF($G89="","",IFERROR(IF(ISNUMBER(SEARCH("non",LOWER($E89&amp;""))),$G89*0.85,$G89),"")))))</ns0:f>
        <ns0:v/>
      </ns0:c>
      <ns0:c r="O89" s="987" t="str">
        <ns0:f>IF(COUNTA($A89:$M89)=0,"",IF(OR(LEFT(LOWER(TRIM($F89&amp;"")),12)="subscription",LOWER(TRIM($F89&amp;""))="membership"),"",IF(OR(AND($H89&lt;&gt;"",$H89=0),LEFT(LOWER(TRIM($F89&amp;"")),9)="free game",LOWER(TRIM($F89&amp;""))="free",LOWER(TRIM($F89&amp;""))="free entry"),IF(OR(NOT(ISNUMBER($N89)),NOT(ISNUMBER($I89)),$I89=0),"N/A",IFERROR($N89/$I89,"N/A")),IF(OR($N89="",$I89="",$I89=0),"",IFERROR($N89/$I89,"")))))</ns0:f>
        <ns0:v/>
      </ns0:c>
      <ns0:c r="P89" s="987">
        <ns0:f>IF(COUNTA($A89:$M89)=0,"",IF(OR(LEFT(LOWER(TRIM($F89&amp;"")),12)="subscription",LOWER(TRIM($F89&amp;""))="membership"),"",IF(LOWER(TRIM($D89&amp;""))="estimate","N/A",IF(LOWER($L89&amp;"")="yes",0,IF(OR(AND($H89&lt;&gt;"",$H89=0),LEFT(LOWER(TRIM($F89&amp;"")),9)="free game",LOWER(TRIM($F89&amp;""))="free",LOWER(TRIM($F89&amp;""))="free entry"),IF(ISNUMBER($K89),$K89,""),IF($K89&lt;&gt;"",$K89,""))))))</ns0:f>
      </ns0:c>
      <ns0:c r="Q89" s="114">
        <ns0:f>IF(COUNTA($A89:$M89)=0,"",IF(OR($U89="Subscription",$U89=""),"",IF($U89="Estimate","N/A",IF($U89="Profit",ROUND(IFERROR($P89,0)-IFERROR($H89,0),2),0))))</ns0:f>
      </ns0:c>
      <ns0:c r="R89" s="114">
        <ns0:f>IF(COUNTA($A89:$M89)=0,"",IF(OR($U89="Subscription",$U89=""),"",IF($U89="Estimate","N/A",IF($U89="Draw",$H89,0))))</ns0:f>
      </ns0:c>
      <ns0:c r="S89" s="114">
        <ns0:f>IF(COUNTA($A89:$M89)=0,"",IF(OR($U89="Subscription",$U89=""),"",IF($U89="Estimate","N/A",IF($U89="Disqualified",$H89,0))))</ns0:f>
      </ns0:c>
      <ns0:c r="T89" s="955">
        <ns0:f>IF(COUNTA($A89:$M89)=0,"",IF(OR($U89="Subscription",$U89=""),"",IF($U89="Estimate","N/A",IF(OR($U89="Free Game",$U89="Disqualified — Free Game",$H89=0),"N/A",IF($U89="Profit",$Q89/$H89,IF($U89="Disqualified",-$S89/$H89,0))))))</ns0:f>
      </ns0:c>
      <ns0:c r="U89" s="920">
        <ns0:f>IF(COUNTA($A89:$M89)=0,"",IF(OR(LEFT(LOWER(TRIM($F89&amp;"")),12)="subscription",LOWER(TRIM($F89&amp;""))="membership"),"Subscription",IF(LOWER(TRIM($D89&amp;""))="estimate","Estimate",IF(OR(AND($H89&lt;&gt;"",$H89=0),LEFT(LOWER(TRIM($F89&amp;"")),9)="free game",LOWER(TRIM($F89&amp;""))="free",LOWER(TRIM($F89&amp;""))="free entry"),IF(LOWER($L89&amp;"")="yes","Disqualified — Free Game","Free Game"),IF(LOWER($L89&amp;"")="yes","Disqualified",IF($P89="","",IF(ROUND(IFERROR(VALUE($P89),0)-IFERROR(VALUE($H89),0),2)&gt;0,"Profit","Draw")))))))</ns0:f>
      </ns0:c>
      <ns0:c r="V89" s="956" t="str">
        <ns0:f>IF(COUNTA($A89:$M89)=0,"",IF(OR($B89="",$C89="",$U89="Subscription"),"",IFERROR(ROUNDUP(($C89-$B89)/7,0),"")))</ns0:f>
      </ns0:c>
      <ns0:c r="W89" s="114">
        <ns0:f>IF(COUNTA($A89:$M89)=0,"",IF(OR($U89="Subscription",$U89=""),"",IF($U89="Estimate","N/A",IF(OR($U89="Free Game",$U89="Disqualified — Free Game"),0,ROUND(IFERROR($Q89,0)-IFERROR($S89,0),2)))))</ns0:f>
      </ns0:c>
      <ns0:c r="X89" s="956" t="str">
        <ns0:f>IF(COUNTA($A89:$M89)=0,"",IF(OR($U89="Subscription",NOT(ISNUMBER($J89)),NOT(ISNUMBER($I89)),$J89=0,$I89=0,$I89&gt;$J89),"",$J89-$I89))</ns0:f>
      </ns0:c>
      <ns0:c r="Y89" s="955" t="str">
        <ns0:f>IF(COUNTA($A89:$M89)=0,"",IF(OR($U89="Subscription",NOT(ISNUMBER($J89)),$J89=0,$X89=""),"",$X89/$J89))</ns0:f>
      </ns0:c>
      <ns0:c r="Z89" s="957" t="str">
        <ns0:f>IF(COUNTA($A89:$M89)=0,"",Instructions!$B$29+SUM($W$5:W89))</ns0:f>
      </ns0:c>
    </ns0:row>
    <ns0:row r="90" ht="36" customHeight="1">
      <ns0:c r="A90" s="439"/>
      <ns0:c r="B90" s="453"/>
      <ns0:c r="C90" s="453"/>
      <ns0:c r="D90" s="454"/>
      <ns0:c r="E90" s="454"/>
      <ns0:c r="F90" s="454"/>
      <ns0:c r="G90" s="986"/>
      <ns0:c r="H90" s="455"/>
      <ns0:c r="I90" s="456"/>
      <ns0:c r="J90" s="456"/>
      <ns0:c r="K90" s="986"/>
      <ns0:c r="L90" s="454"/>
      <ns0:c r="M90" s="439"/>
      <ns0:c r="N90" s="987" t="str">
        <ns0:f>IF(COUNTA($A90:$M90)=0,"",IF(OR(LEFT(LOWER(TRIM($F90&amp;"")),12)="subscription",LOWER(TRIM($F90&amp;""))="membership"),"",IF(OR(AND($H90&lt;&gt;"",$H90=0),LEFT(LOWER(TRIM($F90&amp;"")),9)="free game",LOWER(TRIM($F90&amp;""))="free",LOWER(TRIM($F90&amp;""))="free entry"),IF(ISNUMBER($G90),IF(ISNUMBER(SEARCH("non",LOWER($E90&amp;""))),$G90*0.85,$G90),"N/A"),IF($G90="","",IFERROR(IF(ISNUMBER(SEARCH("non",LOWER($E90&amp;""))),$G90*0.85,$G90),"")))))</ns0:f>
        <ns0:v/>
      </ns0:c>
      <ns0:c r="O90" s="987" t="str">
        <ns0:f>IF(COUNTA($A90:$M90)=0,"",IF(OR(LEFT(LOWER(TRIM($F90&amp;"")),12)="subscription",LOWER(TRIM($F90&amp;""))="membership"),"",IF(OR(AND($H90&lt;&gt;"",$H90=0),LEFT(LOWER(TRIM($F90&amp;"")),9)="free game",LOWER(TRIM($F90&amp;""))="free",LOWER(TRIM($F90&amp;""))="free entry"),IF(OR(NOT(ISNUMBER($N90)),NOT(ISNUMBER($I90)),$I90=0),"N/A",IFERROR($N90/$I90,"N/A")),IF(OR($N90="",$I90="",$I90=0),"",IFERROR($N90/$I90,"")))))</ns0:f>
        <ns0:v/>
      </ns0:c>
      <ns0:c r="P90" s="987">
        <ns0:f>IF(COUNTA($A90:$M90)=0,"",IF(OR(LEFT(LOWER(TRIM($F90&amp;"")),12)="subscription",LOWER(TRIM($F90&amp;""))="membership"),"",IF(LOWER(TRIM($D90&amp;""))="estimate","N/A",IF(LOWER($L90&amp;"")="yes",0,IF(OR(AND($H90&lt;&gt;"",$H90=0),LEFT(LOWER(TRIM($F90&amp;"")),9)="free game",LOWER(TRIM($F90&amp;""))="free",LOWER(TRIM($F90&amp;""))="free entry"),IF(ISNUMBER($K90),$K90,""),IF($K90&lt;&gt;"",$K90,""))))))</ns0:f>
      </ns0:c>
      <ns0:c r="Q90" s="114">
        <ns0:f>IF(COUNTA($A90:$M90)=0,"",IF(OR($U90="Subscription",$U90=""),"",IF($U90="Estimate","N/A",IF($U90="Profit",ROUND(IFERROR($P90,0)-IFERROR($H90,0),2),0))))</ns0:f>
      </ns0:c>
      <ns0:c r="R90" s="114">
        <ns0:f>IF(COUNTA($A90:$M90)=0,"",IF(OR($U90="Subscription",$U90=""),"",IF($U90="Estimate","N/A",IF($U90="Draw",$H90,0))))</ns0:f>
      </ns0:c>
      <ns0:c r="S90" s="114">
        <ns0:f>IF(COUNTA($A90:$M90)=0,"",IF(OR($U90="Subscription",$U90=""),"",IF($U90="Estimate","N/A",IF($U90="Disqualified",$H90,0))))</ns0:f>
      </ns0:c>
      <ns0:c r="T90" s="955">
        <ns0:f>IF(COUNTA($A90:$M90)=0,"",IF(OR($U90="Subscription",$U90=""),"",IF($U90="Estimate","N/A",IF(OR($U90="Free Game",$U90="Disqualified — Free Game",$H90=0),"N/A",IF($U90="Profit",$Q90/$H90,IF($U90="Disqualified",-$S90/$H90,0))))))</ns0:f>
      </ns0:c>
      <ns0:c r="U90" s="920">
        <ns0:f>IF(COUNTA($A90:$M90)=0,"",IF(OR(LEFT(LOWER(TRIM($F90&amp;"")),12)="subscription",LOWER(TRIM($F90&amp;""))="membership"),"Subscription",IF(LOWER(TRIM($D90&amp;""))="estimate","Estimate",IF(OR(AND($H90&lt;&gt;"",$H90=0),LEFT(LOWER(TRIM($F90&amp;"")),9)="free game",LOWER(TRIM($F90&amp;""))="free",LOWER(TRIM($F90&amp;""))="free entry"),IF(LOWER($L90&amp;"")="yes","Disqualified — Free Game","Free Game"),IF(LOWER($L90&amp;"")="yes","Disqualified",IF($P90="","",IF(ROUND(IFERROR(VALUE($P90),0)-IFERROR(VALUE($H90),0),2)&gt;0,"Profit","Draw")))))))</ns0:f>
      </ns0:c>
      <ns0:c r="V90" s="956" t="str">
        <ns0:f>IF(COUNTA($A90:$M90)=0,"",IF(OR($B90="",$C90="",$U90="Subscription"),"",IFERROR(ROUNDUP(($C90-$B90)/7,0),"")))</ns0:f>
      </ns0:c>
      <ns0:c r="W90" s="114">
        <ns0:f>IF(COUNTA($A90:$M90)=0,"",IF(OR($U90="Subscription",$U90=""),"",IF($U90="Estimate","N/A",IF(OR($U90="Free Game",$U90="Disqualified — Free Game"),0,ROUND(IFERROR($Q90,0)-IFERROR($S90,0),2)))))</ns0:f>
      </ns0:c>
      <ns0:c r="X90" s="956" t="str">
        <ns0:f>IF(COUNTA($A90:$M90)=0,"",IF(OR($U90="Subscription",NOT(ISNUMBER($J90)),NOT(ISNUMBER($I90)),$J90=0,$I90=0,$I90&gt;$J90),"",$J90-$I90))</ns0:f>
      </ns0:c>
      <ns0:c r="Y90" s="955" t="str">
        <ns0:f>IF(COUNTA($A90:$M90)=0,"",IF(OR($U90="Subscription",NOT(ISNUMBER($J90)),$J90=0,$X90=""),"",$X90/$J90))</ns0:f>
      </ns0:c>
      <ns0:c r="Z90" s="957" t="str">
        <ns0:f>IF(COUNTA($A90:$M90)=0,"",Instructions!$B$29+SUM($W$5:W90))</ns0:f>
      </ns0:c>
    </ns0:row>
    <ns0:row r="91" ht="36" customHeight="1">
      <ns0:c r="A91" s="439"/>
      <ns0:c r="B91" s="453"/>
      <ns0:c r="C91" s="453"/>
      <ns0:c r="D91" s="454"/>
      <ns0:c r="E91" s="454"/>
      <ns0:c r="F91" s="454"/>
      <ns0:c r="G91" s="986"/>
      <ns0:c r="H91" s="455"/>
      <ns0:c r="I91" s="456"/>
      <ns0:c r="J91" s="456"/>
      <ns0:c r="K91" s="986"/>
      <ns0:c r="L91" s="454"/>
      <ns0:c r="M91" s="439"/>
      <ns0:c r="N91" s="987" t="str">
        <ns0:f>IF(COUNTA($A91:$M91)=0,"",IF(OR(LEFT(LOWER(TRIM($F91&amp;"")),12)="subscription",LOWER(TRIM($F91&amp;""))="membership"),"",IF(OR(AND($H91&lt;&gt;"",$H91=0),LEFT(LOWER(TRIM($F91&amp;"")),9)="free game",LOWER(TRIM($F91&amp;""))="free",LOWER(TRIM($F91&amp;""))="free entry"),IF(ISNUMBER($G91),IF(ISNUMBER(SEARCH("non",LOWER($E91&amp;""))),$G91*0.85,$G91),"N/A"),IF($G91="","",IFERROR(IF(ISNUMBER(SEARCH("non",LOWER($E91&amp;""))),$G91*0.85,$G91),"")))))</ns0:f>
        <ns0:v/>
      </ns0:c>
      <ns0:c r="O91" s="987" t="str">
        <ns0:f>IF(COUNTA($A91:$M91)=0,"",IF(OR(LEFT(LOWER(TRIM($F91&amp;"")),12)="subscription",LOWER(TRIM($F91&amp;""))="membership"),"",IF(OR(AND($H91&lt;&gt;"",$H91=0),LEFT(LOWER(TRIM($F91&amp;"")),9)="free game",LOWER(TRIM($F91&amp;""))="free",LOWER(TRIM($F91&amp;""))="free entry"),IF(OR(NOT(ISNUMBER($N91)),NOT(ISNUMBER($I91)),$I91=0),"N/A",IFERROR($N91/$I91,"N/A")),IF(OR($N91="",$I91="",$I91=0),"",IFERROR($N91/$I91,"")))))</ns0:f>
        <ns0:v/>
      </ns0:c>
      <ns0:c r="P91" s="987">
        <ns0:f>IF(COUNTA($A91:$M91)=0,"",IF(OR(LEFT(LOWER(TRIM($F91&amp;"")),12)="subscription",LOWER(TRIM($F91&amp;""))="membership"),"",IF(LOWER(TRIM($D91&amp;""))="estimate","N/A",IF(LOWER($L91&amp;"")="yes",0,IF(OR(AND($H91&lt;&gt;"",$H91=0),LEFT(LOWER(TRIM($F91&amp;"")),9)="free game",LOWER(TRIM($F91&amp;""))="free",LOWER(TRIM($F91&amp;""))="free entry"),IF(ISNUMBER($K91),$K91,""),IF($K91&lt;&gt;"",$K91,""))))))</ns0:f>
      </ns0:c>
      <ns0:c r="Q91" s="114">
        <ns0:f>IF(COUNTA($A91:$M91)=0,"",IF(OR($U91="Subscription",$U91=""),"",IF($U91="Estimate","N/A",IF($U91="Profit",ROUND(IFERROR($P91,0)-IFERROR($H91,0),2),0))))</ns0:f>
      </ns0:c>
      <ns0:c r="R91" s="114">
        <ns0:f>IF(COUNTA($A91:$M91)=0,"",IF(OR($U91="Subscription",$U91=""),"",IF($U91="Estimate","N/A",IF($U91="Draw",$H91,0))))</ns0:f>
      </ns0:c>
      <ns0:c r="S91" s="114">
        <ns0:f>IF(COUNTA($A91:$M91)=0,"",IF(OR($U91="Subscription",$U91=""),"",IF($U91="Estimate","N/A",IF($U91="Disqualified",$H91,0))))</ns0:f>
      </ns0:c>
      <ns0:c r="T91" s="955">
        <ns0:f>IF(COUNTA($A91:$M91)=0,"",IF(OR($U91="Subscription",$U91=""),"",IF($U91="Estimate","N/A",IF(OR($U91="Free Game",$U91="Disqualified — Free Game",$H91=0),"N/A",IF($U91="Profit",$Q91/$H91,IF($U91="Disqualified",-$S91/$H91,0))))))</ns0:f>
      </ns0:c>
      <ns0:c r="U91" s="920">
        <ns0:f>IF(COUNTA($A91:$M91)=0,"",IF(OR(LEFT(LOWER(TRIM($F91&amp;"")),12)="subscription",LOWER(TRIM($F91&amp;""))="membership"),"Subscription",IF(LOWER(TRIM($D91&amp;""))="estimate","Estimate",IF(OR(AND($H91&lt;&gt;"",$H91=0),LEFT(LOWER(TRIM($F91&amp;"")),9)="free game",LOWER(TRIM($F91&amp;""))="free",LOWER(TRIM($F91&amp;""))="free entry"),IF(LOWER($L91&amp;"")="yes","Disqualified — Free Game","Free Game"),IF(LOWER($L91&amp;"")="yes","Disqualified",IF($P91="","",IF(ROUND(IFERROR(VALUE($P91),0)-IFERROR(VALUE($H91),0),2)&gt;0,"Profit","Draw")))))))</ns0:f>
      </ns0:c>
      <ns0:c r="V91" s="956" t="str">
        <ns0:f>IF(COUNTA($A91:$M91)=0,"",IF(OR($B91="",$C91="",$U91="Subscription"),"",IFERROR(ROUNDUP(($C91-$B91)/7,0),"")))</ns0:f>
      </ns0:c>
      <ns0:c r="W91" s="114">
        <ns0:f>IF(COUNTA($A91:$M91)=0,"",IF(OR($U91="Subscription",$U91=""),"",IF($U91="Estimate","N/A",IF(OR($U91="Free Game",$U91="Disqualified — Free Game"),0,ROUND(IFERROR($Q91,0)-IFERROR($S91,0),2)))))</ns0:f>
      </ns0:c>
      <ns0:c r="X91" s="956" t="str">
        <ns0:f>IF(COUNTA($A91:$M91)=0,"",IF(OR($U91="Subscription",NOT(ISNUMBER($J91)),NOT(ISNUMBER($I91)),$J91=0,$I91=0,$I91&gt;$J91),"",$J91-$I91))</ns0:f>
      </ns0:c>
      <ns0:c r="Y91" s="955" t="str">
        <ns0:f>IF(COUNTA($A91:$M91)=0,"",IF(OR($U91="Subscription",NOT(ISNUMBER($J91)),$J91=0,$X91=""),"",$X91/$J91))</ns0:f>
      </ns0:c>
      <ns0:c r="Z91" s="957" t="str">
        <ns0:f>IF(COUNTA($A91:$M91)=0,"",Instructions!$B$29+SUM($W$5:W91))</ns0:f>
      </ns0:c>
    </ns0:row>
    <ns0:row r="92" ht="36" customHeight="1">
      <ns0:c r="A92" s="439"/>
      <ns0:c r="B92" s="453"/>
      <ns0:c r="C92" s="453"/>
      <ns0:c r="D92" s="454"/>
      <ns0:c r="E92" s="454"/>
      <ns0:c r="F92" s="454"/>
      <ns0:c r="G92" s="986"/>
      <ns0:c r="H92" s="455"/>
      <ns0:c r="I92" s="456"/>
      <ns0:c r="J92" s="456"/>
      <ns0:c r="K92" s="986"/>
      <ns0:c r="L92" s="454"/>
      <ns0:c r="M92" s="439"/>
      <ns0:c r="N92" s="987" t="str">
        <ns0:f>IF(COUNTA($A92:$M92)=0,"",IF(OR(LEFT(LOWER(TRIM($F92&amp;"")),12)="subscription",LOWER(TRIM($F92&amp;""))="membership"),"",IF(OR(AND($H92&lt;&gt;"",$H92=0),LEFT(LOWER(TRIM($F92&amp;"")),9)="free game",LOWER(TRIM($F92&amp;""))="free",LOWER(TRIM($F92&amp;""))="free entry"),IF(ISNUMBER($G92),IF(ISNUMBER(SEARCH("non",LOWER($E92&amp;""))),$G92*0.85,$G92),"N/A"),IF($G92="","",IFERROR(IF(ISNUMBER(SEARCH("non",LOWER($E92&amp;""))),$G92*0.85,$G92),"")))))</ns0:f>
        <ns0:v/>
      </ns0:c>
      <ns0:c r="O92" s="987" t="str">
        <ns0:f>IF(COUNTA($A92:$M92)=0,"",IF(OR(LEFT(LOWER(TRIM($F92&amp;"")),12)="subscription",LOWER(TRIM($F92&amp;""))="membership"),"",IF(OR(AND($H92&lt;&gt;"",$H92=0),LEFT(LOWER(TRIM($F92&amp;"")),9)="free game",LOWER(TRIM($F92&amp;""))="free",LOWER(TRIM($F92&amp;""))="free entry"),IF(OR(NOT(ISNUMBER($N92)),NOT(ISNUMBER($I92)),$I92=0),"N/A",IFERROR($N92/$I92,"N/A")),IF(OR($N92="",$I92="",$I92=0),"",IFERROR($N92/$I92,"")))))</ns0:f>
        <ns0:v/>
      </ns0:c>
      <ns0:c r="P92" s="987">
        <ns0:f>IF(COUNTA($A92:$M92)=0,"",IF(OR(LEFT(LOWER(TRIM($F92&amp;"")),12)="subscription",LOWER(TRIM($F92&amp;""))="membership"),"",IF(LOWER(TRIM($D92&amp;""))="estimate","N/A",IF(LOWER($L92&amp;"")="yes",0,IF(OR(AND($H92&lt;&gt;"",$H92=0),LEFT(LOWER(TRIM($F92&amp;"")),9)="free game",LOWER(TRIM($F92&amp;""))="free",LOWER(TRIM($F92&amp;""))="free entry"),IF(ISNUMBER($K92),$K92,""),IF($K92&lt;&gt;"",$K92,""))))))</ns0:f>
      </ns0:c>
      <ns0:c r="Q92" s="114">
        <ns0:f>IF(COUNTA($A92:$M92)=0,"",IF(OR($U92="Subscription",$U92=""),"",IF($U92="Estimate","N/A",IF($U92="Profit",ROUND(IFERROR($P92,0)-IFERROR($H92,0),2),0))))</ns0:f>
      </ns0:c>
      <ns0:c r="R92" s="114">
        <ns0:f>IF(COUNTA($A92:$M92)=0,"",IF(OR($U92="Subscription",$U92=""),"",IF($U92="Estimate","N/A",IF($U92="Draw",$H92,0))))</ns0:f>
      </ns0:c>
      <ns0:c r="S92" s="114">
        <ns0:f>IF(COUNTA($A92:$M92)=0,"",IF(OR($U92="Subscription",$U92=""),"",IF($U92="Estimate","N/A",IF($U92="Disqualified",$H92,0))))</ns0:f>
      </ns0:c>
      <ns0:c r="T92" s="955">
        <ns0:f>IF(COUNTA($A92:$M92)=0,"",IF(OR($U92="Subscription",$U92=""),"",IF($U92="Estimate","N/A",IF(OR($U92="Free Game",$U92="Disqualified — Free Game",$H92=0),"N/A",IF($U92="Profit",$Q92/$H92,IF($U92="Disqualified",-$S92/$H92,0))))))</ns0:f>
      </ns0:c>
      <ns0:c r="U92" s="920">
        <ns0:f>IF(COUNTA($A92:$M92)=0,"",IF(OR(LEFT(LOWER(TRIM($F92&amp;"")),12)="subscription",LOWER(TRIM($F92&amp;""))="membership"),"Subscription",IF(LOWER(TRIM($D92&amp;""))="estimate","Estimate",IF(OR(AND($H92&lt;&gt;"",$H92=0),LEFT(LOWER(TRIM($F92&amp;"")),9)="free game",LOWER(TRIM($F92&amp;""))="free",LOWER(TRIM($F92&amp;""))="free entry"),IF(LOWER($L92&amp;"")="yes","Disqualified — Free Game","Free Game"),IF(LOWER($L92&amp;"")="yes","Disqualified",IF($P92="","",IF(ROUND(IFERROR(VALUE($P92),0)-IFERROR(VALUE($H92),0),2)&gt;0,"Profit","Draw")))))))</ns0:f>
      </ns0:c>
      <ns0:c r="V92" s="956" t="str">
        <ns0:f>IF(COUNTA($A92:$M92)=0,"",IF(OR($B92="",$C92="",$U92="Subscription"),"",IFERROR(ROUNDUP(($C92-$B92)/7,0),"")))</ns0:f>
      </ns0:c>
      <ns0:c r="W92" s="114">
        <ns0:f>IF(COUNTA($A92:$M92)=0,"",IF(OR($U92="Subscription",$U92=""),"",IF($U92="Estimate","N/A",IF(OR($U92="Free Game",$U92="Disqualified — Free Game"),0,ROUND(IFERROR($Q92,0)-IFERROR($S92,0),2)))))</ns0:f>
      </ns0:c>
      <ns0:c r="X92" s="956" t="str">
        <ns0:f>IF(COUNTA($A92:$M92)=0,"",IF(OR($U92="Subscription",NOT(ISNUMBER($J92)),NOT(ISNUMBER($I92)),$J92=0,$I92=0,$I92&gt;$J92),"",$J92-$I92))</ns0:f>
      </ns0:c>
      <ns0:c r="Y92" s="955" t="str">
        <ns0:f>IF(COUNTA($A92:$M92)=0,"",IF(OR($U92="Subscription",NOT(ISNUMBER($J92)),$J92=0,$X92=""),"",$X92/$J92))</ns0:f>
      </ns0:c>
      <ns0:c r="Z92" s="957" t="str">
        <ns0:f>IF(COUNTA($A92:$M92)=0,"",Instructions!$B$29+SUM($W$5:W92))</ns0:f>
      </ns0:c>
    </ns0:row>
    <ns0:row r="93" ht="36" customHeight="1">
      <ns0:c r="A93" s="439"/>
      <ns0:c r="B93" s="453"/>
      <ns0:c r="C93" s="453"/>
      <ns0:c r="D93" s="454"/>
      <ns0:c r="E93" s="454"/>
      <ns0:c r="F93" s="454"/>
      <ns0:c r="G93" s="986"/>
      <ns0:c r="H93" s="455"/>
      <ns0:c r="I93" s="456"/>
      <ns0:c r="J93" s="456"/>
      <ns0:c r="K93" s="986"/>
      <ns0:c r="L93" s="454"/>
      <ns0:c r="M93" s="439"/>
      <ns0:c r="N93" s="987" t="str">
        <ns0:f>IF(COUNTA($A93:$M93)=0,"",IF(OR(LEFT(LOWER(TRIM($F93&amp;"")),12)="subscription",LOWER(TRIM($F93&amp;""))="membership"),"",IF(OR(AND($H93&lt;&gt;"",$H93=0),LEFT(LOWER(TRIM($F93&amp;"")),9)="free game",LOWER(TRIM($F93&amp;""))="free",LOWER(TRIM($F93&amp;""))="free entry"),IF(ISNUMBER($G93),IF(ISNUMBER(SEARCH("non",LOWER($E93&amp;""))),$G93*0.85,$G93),"N/A"),IF($G93="","",IFERROR(IF(ISNUMBER(SEARCH("non",LOWER($E93&amp;""))),$G93*0.85,$G93),"")))))</ns0:f>
        <ns0:v/>
      </ns0:c>
      <ns0:c r="O93" s="987" t="str">
        <ns0:f>IF(COUNTA($A93:$M93)=0,"",IF(OR(LEFT(LOWER(TRIM($F93&amp;"")),12)="subscription",LOWER(TRIM($F93&amp;""))="membership"),"",IF(OR(AND($H93&lt;&gt;"",$H93=0),LEFT(LOWER(TRIM($F93&amp;"")),9)="free game",LOWER(TRIM($F93&amp;""))="free",LOWER(TRIM($F93&amp;""))="free entry"),IF(OR(NOT(ISNUMBER($N93)),NOT(ISNUMBER($I93)),$I93=0),"N/A",IFERROR($N93/$I93,"N/A")),IF(OR($N93="",$I93="",$I93=0),"",IFERROR($N93/$I93,"")))))</ns0:f>
        <ns0:v/>
      </ns0:c>
      <ns0:c r="P93" s="987">
        <ns0:f>IF(COUNTA($A93:$M93)=0,"",IF(OR(LEFT(LOWER(TRIM($F93&amp;"")),12)="subscription",LOWER(TRIM($F93&amp;""))="membership"),"",IF(LOWER(TRIM($D93&amp;""))="estimate","N/A",IF(LOWER($L93&amp;"")="yes",0,IF(OR(AND($H93&lt;&gt;"",$H93=0),LEFT(LOWER(TRIM($F93&amp;"")),9)="free game",LOWER(TRIM($F93&amp;""))="free",LOWER(TRIM($F93&amp;""))="free entry"),IF(ISNUMBER($K93),$K93,""),IF($K93&lt;&gt;"",$K93,""))))))</ns0:f>
      </ns0:c>
      <ns0:c r="Q93" s="114">
        <ns0:f>IF(COUNTA($A93:$M93)=0,"",IF(OR($U93="Subscription",$U93=""),"",IF($U93="Estimate","N/A",IF($U93="Profit",ROUND(IFERROR($P93,0)-IFERROR($H93,0),2),0))))</ns0:f>
      </ns0:c>
      <ns0:c r="R93" s="114">
        <ns0:f>IF(COUNTA($A93:$M93)=0,"",IF(OR($U93="Subscription",$U93=""),"",IF($U93="Estimate","N/A",IF($U93="Draw",$H93,0))))</ns0:f>
      </ns0:c>
      <ns0:c r="S93" s="114">
        <ns0:f>IF(COUNTA($A93:$M93)=0,"",IF(OR($U93="Subscription",$U93=""),"",IF($U93="Estimate","N/A",IF($U93="Disqualified",$H93,0))))</ns0:f>
      </ns0:c>
      <ns0:c r="T93" s="955">
        <ns0:f>IF(COUNTA($A93:$M93)=0,"",IF(OR($U93="Subscription",$U93=""),"",IF($U93="Estimate","N/A",IF(OR($U93="Free Game",$U93="Disqualified — Free Game",$H93=0),"N/A",IF($U93="Profit",$Q93/$H93,IF($U93="Disqualified",-$S93/$H93,0))))))</ns0:f>
      </ns0:c>
      <ns0:c r="U93" s="920">
        <ns0:f>IF(COUNTA($A93:$M93)=0,"",IF(OR(LEFT(LOWER(TRIM($F93&amp;"")),12)="subscription",LOWER(TRIM($F93&amp;""))="membership"),"Subscription",IF(LOWER(TRIM($D93&amp;""))="estimate","Estimate",IF(OR(AND($H93&lt;&gt;"",$H93=0),LEFT(LOWER(TRIM($F93&amp;"")),9)="free game",LOWER(TRIM($F93&amp;""))="free",LOWER(TRIM($F93&amp;""))="free entry"),IF(LOWER($L93&amp;"")="yes","Disqualified — Free Game","Free Game"),IF(LOWER($L93&amp;"")="yes","Disqualified",IF($P93="","",IF(ROUND(IFERROR(VALUE($P93),0)-IFERROR(VALUE($H93),0),2)&gt;0,"Profit","Draw")))))))</ns0:f>
      </ns0:c>
      <ns0:c r="V93" s="956" t="str">
        <ns0:f>IF(COUNTA($A93:$M93)=0,"",IF(OR($B93="",$C93="",$U93="Subscription"),"",IFERROR(ROUNDUP(($C93-$B93)/7,0),"")))</ns0:f>
      </ns0:c>
      <ns0:c r="W93" s="114">
        <ns0:f>IF(COUNTA($A93:$M93)=0,"",IF(OR($U93="Subscription",$U93=""),"",IF($U93="Estimate","N/A",IF(OR($U93="Free Game",$U93="Disqualified — Free Game"),0,ROUND(IFERROR($Q93,0)-IFERROR($S93,0),2)))))</ns0:f>
      </ns0:c>
      <ns0:c r="X93" s="956" t="str">
        <ns0:f>IF(COUNTA($A93:$M93)=0,"",IF(OR($U93="Subscription",NOT(ISNUMBER($J93)),NOT(ISNUMBER($I93)),$J93=0,$I93=0,$I93&gt;$J93),"",$J93-$I93))</ns0:f>
      </ns0:c>
      <ns0:c r="Y93" s="955" t="str">
        <ns0:f>IF(COUNTA($A93:$M93)=0,"",IF(OR($U93="Subscription",NOT(ISNUMBER($J93)),$J93=0,$X93=""),"",$X93/$J93))</ns0:f>
      </ns0:c>
      <ns0:c r="Z93" s="957" t="str">
        <ns0:f>IF(COUNTA($A93:$M93)=0,"",Instructions!$B$29+SUM($W$5:W93))</ns0:f>
      </ns0:c>
    </ns0:row>
    <ns0:row r="94" ht="36" customHeight="1">
      <ns0:c r="A94" s="439"/>
      <ns0:c r="B94" s="453"/>
      <ns0:c r="C94" s="453"/>
      <ns0:c r="D94" s="454"/>
      <ns0:c r="E94" s="454"/>
      <ns0:c r="F94" s="454"/>
      <ns0:c r="G94" s="986"/>
      <ns0:c r="H94" s="455"/>
      <ns0:c r="I94" s="456"/>
      <ns0:c r="J94" s="456"/>
      <ns0:c r="K94" s="986"/>
      <ns0:c r="L94" s="454"/>
      <ns0:c r="M94" s="439"/>
      <ns0:c r="N94" s="987" t="str">
        <ns0:f>IF(COUNTA($A94:$M94)=0,"",IF(OR(LEFT(LOWER(TRIM($F94&amp;"")),12)="subscription",LOWER(TRIM($F94&amp;""))="membership"),"",IF(OR(AND($H94&lt;&gt;"",$H94=0),LEFT(LOWER(TRIM($F94&amp;"")),9)="free game",LOWER(TRIM($F94&amp;""))="free",LOWER(TRIM($F94&amp;""))="free entry"),IF(ISNUMBER($G94),IF(ISNUMBER(SEARCH("non",LOWER($E94&amp;""))),$G94*0.85,$G94),"N/A"),IF($G94="","",IFERROR(IF(ISNUMBER(SEARCH("non",LOWER($E94&amp;""))),$G94*0.85,$G94),"")))))</ns0:f>
        <ns0:v/>
      </ns0:c>
      <ns0:c r="O94" s="987" t="str">
        <ns0:f>IF(COUNTA($A94:$M94)=0,"",IF(OR(LEFT(LOWER(TRIM($F94&amp;"")),12)="subscription",LOWER(TRIM($F94&amp;""))="membership"),"",IF(OR(AND($H94&lt;&gt;"",$H94=0),LEFT(LOWER(TRIM($F94&amp;"")),9)="free game",LOWER(TRIM($F94&amp;""))="free",LOWER(TRIM($F94&amp;""))="free entry"),IF(OR(NOT(ISNUMBER($N94)),NOT(ISNUMBER($I94)),$I94=0),"N/A",IFERROR($N94/$I94,"N/A")),IF(OR($N94="",$I94="",$I94=0),"",IFERROR($N94/$I94,"")))))</ns0:f>
        <ns0:v/>
      </ns0:c>
      <ns0:c r="P94" s="987">
        <ns0:f>IF(COUNTA($A94:$M94)=0,"",IF(OR(LEFT(LOWER(TRIM($F94&amp;"")),12)="subscription",LOWER(TRIM($F94&amp;""))="membership"),"",IF(LOWER(TRIM($D94&amp;""))="estimate","N/A",IF(LOWER($L94&amp;"")="yes",0,IF(OR(AND($H94&lt;&gt;"",$H94=0),LEFT(LOWER(TRIM($F94&amp;"")),9)="free game",LOWER(TRIM($F94&amp;""))="free",LOWER(TRIM($F94&amp;""))="free entry"),IF(ISNUMBER($K94),$K94,""),IF($K94&lt;&gt;"",$K94,""))))))</ns0:f>
      </ns0:c>
      <ns0:c r="Q94" s="114">
        <ns0:f>IF(COUNTA($A94:$M94)=0,"",IF(OR($U94="Subscription",$U94=""),"",IF($U94="Estimate","N/A",IF($U94="Profit",ROUND(IFERROR($P94,0)-IFERROR($H94,0),2),0))))</ns0:f>
      </ns0:c>
      <ns0:c r="R94" s="114">
        <ns0:f>IF(COUNTA($A94:$M94)=0,"",IF(OR($U94="Subscription",$U94=""),"",IF($U94="Estimate","N/A",IF($U94="Draw",$H94,0))))</ns0:f>
      </ns0:c>
      <ns0:c r="S94" s="114">
        <ns0:f>IF(COUNTA($A94:$M94)=0,"",IF(OR($U94="Subscription",$U94=""),"",IF($U94="Estimate","N/A",IF($U94="Disqualified",$H94,0))))</ns0:f>
      </ns0:c>
      <ns0:c r="T94" s="955">
        <ns0:f>IF(COUNTA($A94:$M94)=0,"",IF(OR($U94="Subscription",$U94=""),"",IF($U94="Estimate","N/A",IF(OR($U94="Free Game",$U94="Disqualified — Free Game",$H94=0),"N/A",IF($U94="Profit",$Q94/$H94,IF($U94="Disqualified",-$S94/$H94,0))))))</ns0:f>
      </ns0:c>
      <ns0:c r="U94" s="920">
        <ns0:f>IF(COUNTA($A94:$M94)=0,"",IF(OR(LEFT(LOWER(TRIM($F94&amp;"")),12)="subscription",LOWER(TRIM($F94&amp;""))="membership"),"Subscription",IF(LOWER(TRIM($D94&amp;""))="estimate","Estimate",IF(OR(AND($H94&lt;&gt;"",$H94=0),LEFT(LOWER(TRIM($F94&amp;"")),9)="free game",LOWER(TRIM($F94&amp;""))="free",LOWER(TRIM($F94&amp;""))="free entry"),IF(LOWER($L94&amp;"")="yes","Disqualified — Free Game","Free Game"),IF(LOWER($L94&amp;"")="yes","Disqualified",IF($P94="","",IF(ROUND(IFERROR(VALUE($P94),0)-IFERROR(VALUE($H94),0),2)&gt;0,"Profit","Draw")))))))</ns0:f>
      </ns0:c>
      <ns0:c r="V94" s="956" t="str">
        <ns0:f>IF(COUNTA($A94:$M94)=0,"",IF(OR($B94="",$C94="",$U94="Subscription"),"",IFERROR(ROUNDUP(($C94-$B94)/7,0),"")))</ns0:f>
      </ns0:c>
      <ns0:c r="W94" s="114">
        <ns0:f>IF(COUNTA($A94:$M94)=0,"",IF(OR($U94="Subscription",$U94=""),"",IF($U94="Estimate","N/A",IF(OR($U94="Free Game",$U94="Disqualified — Free Game"),0,ROUND(IFERROR($Q94,0)-IFERROR($S94,0),2)))))</ns0:f>
      </ns0:c>
      <ns0:c r="X94" s="956" t="str">
        <ns0:f>IF(COUNTA($A94:$M94)=0,"",IF(OR($U94="Subscription",NOT(ISNUMBER($J94)),NOT(ISNUMBER($I94)),$J94=0,$I94=0,$I94&gt;$J94),"",$J94-$I94))</ns0:f>
      </ns0:c>
      <ns0:c r="Y94" s="955" t="str">
        <ns0:f>IF(COUNTA($A94:$M94)=0,"",IF(OR($U94="Subscription",NOT(ISNUMBER($J94)),$J94=0,$X94=""),"",$X94/$J94))</ns0:f>
      </ns0:c>
      <ns0:c r="Z94" s="957" t="str">
        <ns0:f>IF(COUNTA($A94:$M94)=0,"",Instructions!$B$29+SUM($W$5:W94))</ns0:f>
      </ns0:c>
    </ns0:row>
    <ns0:row r="95" ht="36" customHeight="1">
      <ns0:c r="A95" s="439"/>
      <ns0:c r="B95" s="453"/>
      <ns0:c r="C95" s="453"/>
      <ns0:c r="D95" s="454"/>
      <ns0:c r="E95" s="454"/>
      <ns0:c r="F95" s="454"/>
      <ns0:c r="G95" s="986"/>
      <ns0:c r="H95" s="455"/>
      <ns0:c r="I95" s="456"/>
      <ns0:c r="J95" s="456"/>
      <ns0:c r="K95" s="986"/>
      <ns0:c r="L95" s="454"/>
      <ns0:c r="M95" s="439"/>
      <ns0:c r="N95" s="987" t="str">
        <ns0:f>IF(COUNTA($A95:$M95)=0,"",IF(OR(LEFT(LOWER(TRIM($F95&amp;"")),12)="subscription",LOWER(TRIM($F95&amp;""))="membership"),"",IF(OR(AND($H95&lt;&gt;"",$H95=0),LEFT(LOWER(TRIM($F95&amp;"")),9)="free game",LOWER(TRIM($F95&amp;""))="free",LOWER(TRIM($F95&amp;""))="free entry"),IF(ISNUMBER($G95),IF(ISNUMBER(SEARCH("non",LOWER($E95&amp;""))),$G95*0.85,$G95),"N/A"),IF($G95="","",IFERROR(IF(ISNUMBER(SEARCH("non",LOWER($E95&amp;""))),$G95*0.85,$G95),"")))))</ns0:f>
        <ns0:v/>
      </ns0:c>
      <ns0:c r="O95" s="987" t="str">
        <ns0:f>IF(COUNTA($A95:$M95)=0,"",IF(OR(LEFT(LOWER(TRIM($F95&amp;"")),12)="subscription",LOWER(TRIM($F95&amp;""))="membership"),"",IF(OR(AND($H95&lt;&gt;"",$H95=0),LEFT(LOWER(TRIM($F95&amp;"")),9)="free game",LOWER(TRIM($F95&amp;""))="free",LOWER(TRIM($F95&amp;""))="free entry"),IF(OR(NOT(ISNUMBER($N95)),NOT(ISNUMBER($I95)),$I95=0),"N/A",IFERROR($N95/$I95,"N/A")),IF(OR($N95="",$I95="",$I95=0),"",IFERROR($N95/$I95,"")))))</ns0:f>
        <ns0:v/>
      </ns0:c>
      <ns0:c r="P95" s="987">
        <ns0:f>IF(COUNTA($A95:$M95)=0,"",IF(OR(LEFT(LOWER(TRIM($F95&amp;"")),12)="subscription",LOWER(TRIM($F95&amp;""))="membership"),"",IF(LOWER(TRIM($D95&amp;""))="estimate","N/A",IF(LOWER($L95&amp;"")="yes",0,IF(OR(AND($H95&lt;&gt;"",$H95=0),LEFT(LOWER(TRIM($F95&amp;"")),9)="free game",LOWER(TRIM($F95&amp;""))="free",LOWER(TRIM($F95&amp;""))="free entry"),IF(ISNUMBER($K95),$K95,""),IF($K95&lt;&gt;"",$K95,""))))))</ns0:f>
      </ns0:c>
      <ns0:c r="Q95" s="114">
        <ns0:f>IF(COUNTA($A95:$M95)=0,"",IF(OR($U95="Subscription",$U95=""),"",IF($U95="Estimate","N/A",IF($U95="Profit",ROUND(IFERROR($P95,0)-IFERROR($H95,0),2),0))))</ns0:f>
      </ns0:c>
      <ns0:c r="R95" s="114">
        <ns0:f>IF(COUNTA($A95:$M95)=0,"",IF(OR($U95="Subscription",$U95=""),"",IF($U95="Estimate","N/A",IF($U95="Draw",$H95,0))))</ns0:f>
      </ns0:c>
      <ns0:c r="S95" s="114">
        <ns0:f>IF(COUNTA($A95:$M95)=0,"",IF(OR($U95="Subscription",$U95=""),"",IF($U95="Estimate","N/A",IF($U95="Disqualified",$H95,0))))</ns0:f>
      </ns0:c>
      <ns0:c r="T95" s="955">
        <ns0:f>IF(COUNTA($A95:$M95)=0,"",IF(OR($U95="Subscription",$U95=""),"",IF($U95="Estimate","N/A",IF(OR($U95="Free Game",$U95="Disqualified — Free Game",$H95=0),"N/A",IF($U95="Profit",$Q95/$H95,IF($U95="Disqualified",-$S95/$H95,0))))))</ns0:f>
      </ns0:c>
      <ns0:c r="U95" s="920">
        <ns0:f>IF(COUNTA($A95:$M95)=0,"",IF(OR(LEFT(LOWER(TRIM($F95&amp;"")),12)="subscription",LOWER(TRIM($F95&amp;""))="membership"),"Subscription",IF(LOWER(TRIM($D95&amp;""))="estimate","Estimate",IF(OR(AND($H95&lt;&gt;"",$H95=0),LEFT(LOWER(TRIM($F95&amp;"")),9)="free game",LOWER(TRIM($F95&amp;""))="free",LOWER(TRIM($F95&amp;""))="free entry"),IF(LOWER($L95&amp;"")="yes","Disqualified — Free Game","Free Game"),IF(LOWER($L95&amp;"")="yes","Disqualified",IF($P95="","",IF(ROUND(IFERROR(VALUE($P95),0)-IFERROR(VALUE($H95),0),2)&gt;0,"Profit","Draw")))))))</ns0:f>
      </ns0:c>
      <ns0:c r="V95" s="956" t="str">
        <ns0:f>IF(COUNTA($A95:$M95)=0,"",IF(OR($B95="",$C95="",$U95="Subscription"),"",IFERROR(ROUNDUP(($C95-$B95)/7,0),"")))</ns0:f>
      </ns0:c>
      <ns0:c r="W95" s="114">
        <ns0:f>IF(COUNTA($A95:$M95)=0,"",IF(OR($U95="Subscription",$U95=""),"",IF($U95="Estimate","N/A",IF(OR($U95="Free Game",$U95="Disqualified — Free Game"),0,ROUND(IFERROR($Q95,0)-IFERROR($S95,0),2)))))</ns0:f>
      </ns0:c>
      <ns0:c r="X95" s="956" t="str">
        <ns0:f>IF(COUNTA($A95:$M95)=0,"",IF(OR($U95="Subscription",NOT(ISNUMBER($J95)),NOT(ISNUMBER($I95)),$J95=0,$I95=0,$I95&gt;$J95),"",$J95-$I95))</ns0:f>
      </ns0:c>
      <ns0:c r="Y95" s="955" t="str">
        <ns0:f>IF(COUNTA($A95:$M95)=0,"",IF(OR($U95="Subscription",NOT(ISNUMBER($J95)),$J95=0,$X95=""),"",$X95/$J95))</ns0:f>
      </ns0:c>
      <ns0:c r="Z95" s="957" t="str">
        <ns0:f>IF(COUNTA($A95:$M95)=0,"",Instructions!$B$29+SUM($W$5:W95))</ns0:f>
      </ns0:c>
    </ns0:row>
    <ns0:row r="96" ht="36" customHeight="1">
      <ns0:c r="A96" s="439"/>
      <ns0:c r="B96" s="453"/>
      <ns0:c r="C96" s="453"/>
      <ns0:c r="D96" s="454"/>
      <ns0:c r="E96" s="454"/>
      <ns0:c r="F96" s="454"/>
      <ns0:c r="G96" s="986"/>
      <ns0:c r="H96" s="455"/>
      <ns0:c r="I96" s="456"/>
      <ns0:c r="J96" s="456"/>
      <ns0:c r="K96" s="986"/>
      <ns0:c r="L96" s="454"/>
      <ns0:c r="M96" s="439"/>
      <ns0:c r="N96" s="987" t="str">
        <ns0:f>IF(COUNTA($A96:$M96)=0,"",IF(OR(LEFT(LOWER(TRIM($F96&amp;"")),12)="subscription",LOWER(TRIM($F96&amp;""))="membership"),"",IF(OR(AND($H96&lt;&gt;"",$H96=0),LEFT(LOWER(TRIM($F96&amp;"")),9)="free game",LOWER(TRIM($F96&amp;""))="free",LOWER(TRIM($F96&amp;""))="free entry"),IF(ISNUMBER($G96),IF(ISNUMBER(SEARCH("non",LOWER($E96&amp;""))),$G96*0.85,$G96),"N/A"),IF($G96="","",IFERROR(IF(ISNUMBER(SEARCH("non",LOWER($E96&amp;""))),$G96*0.85,$G96),"")))))</ns0:f>
        <ns0:v/>
      </ns0:c>
      <ns0:c r="O96" s="987" t="str">
        <ns0:f>IF(COUNTA($A96:$M96)=0,"",IF(OR(LEFT(LOWER(TRIM($F96&amp;"")),12)="subscription",LOWER(TRIM($F96&amp;""))="membership"),"",IF(OR(AND($H96&lt;&gt;"",$H96=0),LEFT(LOWER(TRIM($F96&amp;"")),9)="free game",LOWER(TRIM($F96&amp;""))="free",LOWER(TRIM($F96&amp;""))="free entry"),IF(OR(NOT(ISNUMBER($N96)),NOT(ISNUMBER($I96)),$I96=0),"N/A",IFERROR($N96/$I96,"N/A")),IF(OR($N96="",$I96="",$I96=0),"",IFERROR($N96/$I96,"")))))</ns0:f>
        <ns0:v/>
      </ns0:c>
      <ns0:c r="P96" s="987">
        <ns0:f>IF(COUNTA($A96:$M96)=0,"",IF(OR(LEFT(LOWER(TRIM($F96&amp;"")),12)="subscription",LOWER(TRIM($F96&amp;""))="membership"),"",IF(LOWER(TRIM($D96&amp;""))="estimate","N/A",IF(LOWER($L96&amp;"")="yes",0,IF(OR(AND($H96&lt;&gt;"",$H96=0),LEFT(LOWER(TRIM($F96&amp;"")),9)="free game",LOWER(TRIM($F96&amp;""))="free",LOWER(TRIM($F96&amp;""))="free entry"),IF(ISNUMBER($K96),$K96,""),IF($K96&lt;&gt;"",$K96,""))))))</ns0:f>
      </ns0:c>
      <ns0:c r="Q96" s="114">
        <ns0:f>IF(COUNTA($A96:$M96)=0,"",IF(OR($U96="Subscription",$U96=""),"",IF($U96="Estimate","N/A",IF($U96="Profit",ROUND(IFERROR($P96,0)-IFERROR($H96,0),2),0))))</ns0:f>
      </ns0:c>
      <ns0:c r="R96" s="114">
        <ns0:f>IF(COUNTA($A96:$M96)=0,"",IF(OR($U96="Subscription",$U96=""),"",IF($U96="Estimate","N/A",IF($U96="Draw",$H96,0))))</ns0:f>
      </ns0:c>
      <ns0:c r="S96" s="114">
        <ns0:f>IF(COUNTA($A96:$M96)=0,"",IF(OR($U96="Subscription",$U96=""),"",IF($U96="Estimate","N/A",IF($U96="Disqualified",$H96,0))))</ns0:f>
      </ns0:c>
      <ns0:c r="T96" s="955">
        <ns0:f>IF(COUNTA($A96:$M96)=0,"",IF(OR($U96="Subscription",$U96=""),"",IF($U96="Estimate","N/A",IF(OR($U96="Free Game",$U96="Disqualified — Free Game",$H96=0),"N/A",IF($U96="Profit",$Q96/$H96,IF($U96="Disqualified",-$S96/$H96,0))))))</ns0:f>
      </ns0:c>
      <ns0:c r="U96" s="920">
        <ns0:f>IF(COUNTA($A96:$M96)=0,"",IF(OR(LEFT(LOWER(TRIM($F96&amp;"")),12)="subscription",LOWER(TRIM($F96&amp;""))="membership"),"Subscription",IF(LOWER(TRIM($D96&amp;""))="estimate","Estimate",IF(OR(AND($H96&lt;&gt;"",$H96=0),LEFT(LOWER(TRIM($F96&amp;"")),9)="free game",LOWER(TRIM($F96&amp;""))="free",LOWER(TRIM($F96&amp;""))="free entry"),IF(LOWER($L96&amp;"")="yes","Disqualified — Free Game","Free Game"),IF(LOWER($L96&amp;"")="yes","Disqualified",IF($P96="","",IF(ROUND(IFERROR(VALUE($P96),0)-IFERROR(VALUE($H96),0),2)&gt;0,"Profit","Draw")))))))</ns0:f>
      </ns0:c>
      <ns0:c r="V96" s="956" t="str">
        <ns0:f>IF(COUNTA($A96:$M96)=0,"",IF(OR($B96="",$C96="",$U96="Subscription"),"",IFERROR(ROUNDUP(($C96-$B96)/7,0),"")))</ns0:f>
      </ns0:c>
      <ns0:c r="W96" s="114">
        <ns0:f>IF(COUNTA($A96:$M96)=0,"",IF(OR($U96="Subscription",$U96=""),"",IF($U96="Estimate","N/A",IF(OR($U96="Free Game",$U96="Disqualified — Free Game"),0,ROUND(IFERROR($Q96,0)-IFERROR($S96,0),2)))))</ns0:f>
      </ns0:c>
      <ns0:c r="X96" s="956" t="str">
        <ns0:f>IF(COUNTA($A96:$M96)=0,"",IF(OR($U96="Subscription",NOT(ISNUMBER($J96)),NOT(ISNUMBER($I96)),$J96=0,$I96=0,$I96&gt;$J96),"",$J96-$I96))</ns0:f>
      </ns0:c>
      <ns0:c r="Y96" s="955" t="str">
        <ns0:f>IF(COUNTA($A96:$M96)=0,"",IF(OR($U96="Subscription",NOT(ISNUMBER($J96)),$J96=0,$X96=""),"",$X96/$J96))</ns0:f>
      </ns0:c>
      <ns0:c r="Z96" s="957" t="str">
        <ns0:f>IF(COUNTA($A96:$M96)=0,"",Instructions!$B$29+SUM($W$5:W96))</ns0:f>
      </ns0:c>
    </ns0:row>
    <ns0:row r="97" ht="36" customHeight="1">
      <ns0:c r="A97" s="439"/>
      <ns0:c r="B97" s="453"/>
      <ns0:c r="C97" s="453"/>
      <ns0:c r="D97" s="454"/>
      <ns0:c r="E97" s="454"/>
      <ns0:c r="F97" s="454"/>
      <ns0:c r="G97" s="986"/>
      <ns0:c r="H97" s="455"/>
      <ns0:c r="I97" s="456"/>
      <ns0:c r="J97" s="456"/>
      <ns0:c r="K97" s="986"/>
      <ns0:c r="L97" s="454"/>
      <ns0:c r="M97" s="439"/>
      <ns0:c r="N97" s="987" t="str">
        <ns0:f>IF(COUNTA($A97:$M97)=0,"",IF(OR(LEFT(LOWER(TRIM($F97&amp;"")),12)="subscription",LOWER(TRIM($F97&amp;""))="membership"),"",IF(OR(AND($H97&lt;&gt;"",$H97=0),LEFT(LOWER(TRIM($F97&amp;"")),9)="free game",LOWER(TRIM($F97&amp;""))="free",LOWER(TRIM($F97&amp;""))="free entry"),IF(ISNUMBER($G97),IF(ISNUMBER(SEARCH("non",LOWER($E97&amp;""))),$G97*0.85,$G97),"N/A"),IF($G97="","",IFERROR(IF(ISNUMBER(SEARCH("non",LOWER($E97&amp;""))),$G97*0.85,$G97),"")))))</ns0:f>
        <ns0:v/>
      </ns0:c>
      <ns0:c r="O97" s="987" t="str">
        <ns0:f>IF(COUNTA($A97:$M97)=0,"",IF(OR(LEFT(LOWER(TRIM($F97&amp;"")),12)="subscription",LOWER(TRIM($F97&amp;""))="membership"),"",IF(OR(AND($H97&lt;&gt;"",$H97=0),LEFT(LOWER(TRIM($F97&amp;"")),9)="free game",LOWER(TRIM($F97&amp;""))="free",LOWER(TRIM($F97&amp;""))="free entry"),IF(OR(NOT(ISNUMBER($N97)),NOT(ISNUMBER($I97)),$I97=0),"N/A",IFERROR($N97/$I97,"N/A")),IF(OR($N97="",$I97="",$I97=0),"",IFERROR($N97/$I97,"")))))</ns0:f>
        <ns0:v/>
      </ns0:c>
      <ns0:c r="P97" s="987">
        <ns0:f>IF(COUNTA($A97:$M97)=0,"",IF(OR(LEFT(LOWER(TRIM($F97&amp;"")),12)="subscription",LOWER(TRIM($F97&amp;""))="membership"),"",IF(LOWER(TRIM($D97&amp;""))="estimate","N/A",IF(LOWER($L97&amp;"")="yes",0,IF(OR(AND($H97&lt;&gt;"",$H97=0),LEFT(LOWER(TRIM($F97&amp;"")),9)="free game",LOWER(TRIM($F97&amp;""))="free",LOWER(TRIM($F97&amp;""))="free entry"),IF(ISNUMBER($K97),$K97,""),IF($K97&lt;&gt;"",$K97,""))))))</ns0:f>
      </ns0:c>
      <ns0:c r="Q97" s="114">
        <ns0:f>IF(COUNTA($A97:$M97)=0,"",IF(OR($U97="Subscription",$U97=""),"",IF($U97="Estimate","N/A",IF($U97="Profit",ROUND(IFERROR($P97,0)-IFERROR($H97,0),2),0))))</ns0:f>
      </ns0:c>
      <ns0:c r="R97" s="114">
        <ns0:f>IF(COUNTA($A97:$M97)=0,"",IF(OR($U97="Subscription",$U97=""),"",IF($U97="Estimate","N/A",IF($U97="Draw",$H97,0))))</ns0:f>
      </ns0:c>
      <ns0:c r="S97" s="114">
        <ns0:f>IF(COUNTA($A97:$M97)=0,"",IF(OR($U97="Subscription",$U97=""),"",IF($U97="Estimate","N/A",IF($U97="Disqualified",$H97,0))))</ns0:f>
      </ns0:c>
      <ns0:c r="T97" s="955">
        <ns0:f>IF(COUNTA($A97:$M97)=0,"",IF(OR($U97="Subscription",$U97=""),"",IF($U97="Estimate","N/A",IF(OR($U97="Free Game",$U97="Disqualified — Free Game",$H97=0),"N/A",IF($U97="Profit",$Q97/$H97,IF($U97="Disqualified",-$S97/$H97,0))))))</ns0:f>
      </ns0:c>
      <ns0:c r="U97" s="920">
        <ns0:f>IF(COUNTA($A97:$M97)=0,"",IF(OR(LEFT(LOWER(TRIM($F97&amp;"")),12)="subscription",LOWER(TRIM($F97&amp;""))="membership"),"Subscription",IF(LOWER(TRIM($D97&amp;""))="estimate","Estimate",IF(OR(AND($H97&lt;&gt;"",$H97=0),LEFT(LOWER(TRIM($F97&amp;"")),9)="free game",LOWER(TRIM($F97&amp;""))="free",LOWER(TRIM($F97&amp;""))="free entry"),IF(LOWER($L97&amp;"")="yes","Disqualified — Free Game","Free Game"),IF(LOWER($L97&amp;"")="yes","Disqualified",IF($P97="","",IF(ROUND(IFERROR(VALUE($P97),0)-IFERROR(VALUE($H97),0),2)&gt;0,"Profit","Draw")))))))</ns0:f>
      </ns0:c>
      <ns0:c r="V97" s="956" t="str">
        <ns0:f>IF(COUNTA($A97:$M97)=0,"",IF(OR($B97="",$C97="",$U97="Subscription"),"",IFERROR(ROUNDUP(($C97-$B97)/7,0),"")))</ns0:f>
      </ns0:c>
      <ns0:c r="W97" s="114">
        <ns0:f>IF(COUNTA($A97:$M97)=0,"",IF(OR($U97="Subscription",$U97=""),"",IF($U97="Estimate","N/A",IF(OR($U97="Free Game",$U97="Disqualified — Free Game"),0,ROUND(IFERROR($Q97,0)-IFERROR($S97,0),2)))))</ns0:f>
      </ns0:c>
      <ns0:c r="X97" s="956" t="str">
        <ns0:f>IF(COUNTA($A97:$M97)=0,"",IF(OR($U97="Subscription",NOT(ISNUMBER($J97)),NOT(ISNUMBER($I97)),$J97=0,$I97=0,$I97&gt;$J97),"",$J97-$I97))</ns0:f>
      </ns0:c>
      <ns0:c r="Y97" s="955" t="str">
        <ns0:f>IF(COUNTA($A97:$M97)=0,"",IF(OR($U97="Subscription",NOT(ISNUMBER($J97)),$J97=0,$X97=""),"",$X97/$J97))</ns0:f>
      </ns0:c>
      <ns0:c r="Z97" s="957" t="str">
        <ns0:f>IF(COUNTA($A97:$M97)=0,"",Instructions!$B$29+SUM($W$5:W97))</ns0:f>
      </ns0:c>
    </ns0:row>
    <ns0:row r="98" ht="36" customHeight="1">
      <ns0:c r="A98" s="439"/>
      <ns0:c r="B98" s="453"/>
      <ns0:c r="C98" s="453"/>
      <ns0:c r="D98" s="454"/>
      <ns0:c r="E98" s="454"/>
      <ns0:c r="F98" s="454"/>
      <ns0:c r="G98" s="986"/>
      <ns0:c r="H98" s="455"/>
      <ns0:c r="I98" s="456"/>
      <ns0:c r="J98" s="456"/>
      <ns0:c r="K98" s="986"/>
      <ns0:c r="L98" s="454"/>
      <ns0:c r="M98" s="439"/>
      <ns0:c r="N98" s="987" t="str">
        <ns0:f>IF(COUNTA($A98:$M98)=0,"",IF(OR(LEFT(LOWER(TRIM($F98&amp;"")),12)="subscription",LOWER(TRIM($F98&amp;""))="membership"),"",IF(OR(AND($H98&lt;&gt;"",$H98=0),LEFT(LOWER(TRIM($F98&amp;"")),9)="free game",LOWER(TRIM($F98&amp;""))="free",LOWER(TRIM($F98&amp;""))="free entry"),IF(ISNUMBER($G98),IF(ISNUMBER(SEARCH("non",LOWER($E98&amp;""))),$G98*0.85,$G98),"N/A"),IF($G98="","",IFERROR(IF(ISNUMBER(SEARCH("non",LOWER($E98&amp;""))),$G98*0.85,$G98),"")))))</ns0:f>
        <ns0:v/>
      </ns0:c>
      <ns0:c r="O98" s="987" t="str">
        <ns0:f>IF(COUNTA($A98:$M98)=0,"",IF(OR(LEFT(LOWER(TRIM($F98&amp;"")),12)="subscription",LOWER(TRIM($F98&amp;""))="membership"),"",IF(OR(AND($H98&lt;&gt;"",$H98=0),LEFT(LOWER(TRIM($F98&amp;"")),9)="free game",LOWER(TRIM($F98&amp;""))="free",LOWER(TRIM($F98&amp;""))="free entry"),IF(OR(NOT(ISNUMBER($N98)),NOT(ISNUMBER($I98)),$I98=0),"N/A",IFERROR($N98/$I98,"N/A")),IF(OR($N98="",$I98="",$I98=0),"",IFERROR($N98/$I98,"")))))</ns0:f>
        <ns0:v/>
      </ns0:c>
      <ns0:c r="P98" s="987">
        <ns0:f>IF(COUNTA($A98:$M98)=0,"",IF(OR(LEFT(LOWER(TRIM($F98&amp;"")),12)="subscription",LOWER(TRIM($F98&amp;""))="membership"),"",IF(LOWER(TRIM($D98&amp;""))="estimate","N/A",IF(LOWER($L98&amp;"")="yes",0,IF(OR(AND($H98&lt;&gt;"",$H98=0),LEFT(LOWER(TRIM($F98&amp;"")),9)="free game",LOWER(TRIM($F98&amp;""))="free",LOWER(TRIM($F98&amp;""))="free entry"),IF(ISNUMBER($K98),$K98,""),IF($K98&lt;&gt;"",$K98,""))))))</ns0:f>
      </ns0:c>
      <ns0:c r="Q98" s="114">
        <ns0:f>IF(COUNTA($A98:$M98)=0,"",IF(OR($U98="Subscription",$U98=""),"",IF($U98="Estimate","N/A",IF($U98="Profit",ROUND(IFERROR($P98,0)-IFERROR($H98,0),2),0))))</ns0:f>
      </ns0:c>
      <ns0:c r="R98" s="114">
        <ns0:f>IF(COUNTA($A98:$M98)=0,"",IF(OR($U98="Subscription",$U98=""),"",IF($U98="Estimate","N/A",IF($U98="Draw",$H98,0))))</ns0:f>
      </ns0:c>
      <ns0:c r="S98" s="114">
        <ns0:f>IF(COUNTA($A98:$M98)=0,"",IF(OR($U98="Subscription",$U98=""),"",IF($U98="Estimate","N/A",IF($U98="Disqualified",$H98,0))))</ns0:f>
      </ns0:c>
      <ns0:c r="T98" s="955">
        <ns0:f>IF(COUNTA($A98:$M98)=0,"",IF(OR($U98="Subscription",$U98=""),"",IF($U98="Estimate","N/A",IF(OR($U98="Free Game",$U98="Disqualified — Free Game",$H98=0),"N/A",IF($U98="Profit",$Q98/$H98,IF($U98="Disqualified",-$S98/$H98,0))))))</ns0:f>
      </ns0:c>
      <ns0:c r="U98" s="920">
        <ns0:f>IF(COUNTA($A98:$M98)=0,"",IF(OR(LEFT(LOWER(TRIM($F98&amp;"")),12)="subscription",LOWER(TRIM($F98&amp;""))="membership"),"Subscription",IF(LOWER(TRIM($D98&amp;""))="estimate","Estimate",IF(OR(AND($H98&lt;&gt;"",$H98=0),LEFT(LOWER(TRIM($F98&amp;"")),9)="free game",LOWER(TRIM($F98&amp;""))="free",LOWER(TRIM($F98&amp;""))="free entry"),IF(LOWER($L98&amp;"")="yes","Disqualified — Free Game","Free Game"),IF(LOWER($L98&amp;"")="yes","Disqualified",IF($P98="","",IF(ROUND(IFERROR(VALUE($P98),0)-IFERROR(VALUE($H98),0),2)&gt;0,"Profit","Draw")))))))</ns0:f>
      </ns0:c>
      <ns0:c r="V98" s="956" t="str">
        <ns0:f>IF(COUNTA($A98:$M98)=0,"",IF(OR($B98="",$C98="",$U98="Subscription"),"",IFERROR(ROUNDUP(($C98-$B98)/7,0),"")))</ns0:f>
      </ns0:c>
      <ns0:c r="W98" s="114">
        <ns0:f>IF(COUNTA($A98:$M98)=0,"",IF(OR($U98="Subscription",$U98=""),"",IF($U98="Estimate","N/A",IF(OR($U98="Free Game",$U98="Disqualified — Free Game"),0,ROUND(IFERROR($Q98,0)-IFERROR($S98,0),2)))))</ns0:f>
      </ns0:c>
      <ns0:c r="X98" s="956" t="str">
        <ns0:f>IF(COUNTA($A98:$M98)=0,"",IF(OR($U98="Subscription",NOT(ISNUMBER($J98)),NOT(ISNUMBER($I98)),$J98=0,$I98=0,$I98&gt;$J98),"",$J98-$I98))</ns0:f>
      </ns0:c>
      <ns0:c r="Y98" s="955" t="str">
        <ns0:f>IF(COUNTA($A98:$M98)=0,"",IF(OR($U98="Subscription",NOT(ISNUMBER($J98)),$J98=0,$X98=""),"",$X98/$J98))</ns0:f>
      </ns0:c>
      <ns0:c r="Z98" s="957" t="str">
        <ns0:f>IF(COUNTA($A98:$M98)=0,"",Instructions!$B$29+SUM($W$5:W98))</ns0:f>
      </ns0:c>
    </ns0:row>
    <ns0:row r="99" ht="36" customHeight="1">
      <ns0:c r="A99" s="439"/>
      <ns0:c r="B99" s="453"/>
      <ns0:c r="C99" s="453"/>
      <ns0:c r="D99" s="454"/>
      <ns0:c r="E99" s="454"/>
      <ns0:c r="F99" s="454"/>
      <ns0:c r="G99" s="986"/>
      <ns0:c r="H99" s="455"/>
      <ns0:c r="I99" s="456"/>
      <ns0:c r="J99" s="456"/>
      <ns0:c r="K99" s="986"/>
      <ns0:c r="L99" s="454"/>
      <ns0:c r="M99" s="439"/>
      <ns0:c r="N99" s="987" t="str">
        <ns0:f>IF(COUNTA($A99:$M99)=0,"",IF(OR(LEFT(LOWER(TRIM($F99&amp;"")),12)="subscription",LOWER(TRIM($F99&amp;""))="membership"),"",IF(OR(AND($H99&lt;&gt;"",$H99=0),LEFT(LOWER(TRIM($F99&amp;"")),9)="free game",LOWER(TRIM($F99&amp;""))="free",LOWER(TRIM($F99&amp;""))="free entry"),IF(ISNUMBER($G99),IF(ISNUMBER(SEARCH("non",LOWER($E99&amp;""))),$G99*0.85,$G99),"N/A"),IF($G99="","",IFERROR(IF(ISNUMBER(SEARCH("non",LOWER($E99&amp;""))),$G99*0.85,$G99),"")))))</ns0:f>
        <ns0:v/>
      </ns0:c>
      <ns0:c r="O99" s="987" t="str">
        <ns0:f>IF(COUNTA($A99:$M99)=0,"",IF(OR(LEFT(LOWER(TRIM($F99&amp;"")),12)="subscription",LOWER(TRIM($F99&amp;""))="membership"),"",IF(OR(AND($H99&lt;&gt;"",$H99=0),LEFT(LOWER(TRIM($F99&amp;"")),9)="free game",LOWER(TRIM($F99&amp;""))="free",LOWER(TRIM($F99&amp;""))="free entry"),IF(OR(NOT(ISNUMBER($N99)),NOT(ISNUMBER($I99)),$I99=0),"N/A",IFERROR($N99/$I99,"N/A")),IF(OR($N99="",$I99="",$I99=0),"",IFERROR($N99/$I99,"")))))</ns0:f>
        <ns0:v/>
      </ns0:c>
      <ns0:c r="P99" s="987">
        <ns0:f>IF(COUNTA($A99:$M99)=0,"",IF(OR(LEFT(LOWER(TRIM($F99&amp;"")),12)="subscription",LOWER(TRIM($F99&amp;""))="membership"),"",IF(LOWER(TRIM($D99&amp;""))="estimate","N/A",IF(LOWER($L99&amp;"")="yes",0,IF(OR(AND($H99&lt;&gt;"",$H99=0),LEFT(LOWER(TRIM($F99&amp;"")),9)="free game",LOWER(TRIM($F99&amp;""))="free",LOWER(TRIM($F99&amp;""))="free entry"),IF(ISNUMBER($K99),$K99,""),IF($K99&lt;&gt;"",$K99,""))))))</ns0:f>
      </ns0:c>
      <ns0:c r="Q99" s="114">
        <ns0:f>IF(COUNTA($A99:$M99)=0,"",IF(OR($U99="Subscription",$U99=""),"",IF($U99="Estimate","N/A",IF($U99="Profit",ROUND(IFERROR($P99,0)-IFERROR($H99,0),2),0))))</ns0:f>
      </ns0:c>
      <ns0:c r="R99" s="114">
        <ns0:f>IF(COUNTA($A99:$M99)=0,"",IF(OR($U99="Subscription",$U99=""),"",IF($U99="Estimate","N/A",IF($U99="Draw",$H99,0))))</ns0:f>
      </ns0:c>
      <ns0:c r="S99" s="114">
        <ns0:f>IF(COUNTA($A99:$M99)=0,"",IF(OR($U99="Subscription",$U99=""),"",IF($U99="Estimate","N/A",IF($U99="Disqualified",$H99,0))))</ns0:f>
      </ns0:c>
      <ns0:c r="T99" s="955">
        <ns0:f>IF(COUNTA($A99:$M99)=0,"",IF(OR($U99="Subscription",$U99=""),"",IF($U99="Estimate","N/A",IF(OR($U99="Free Game",$U99="Disqualified — Free Game",$H99=0),"N/A",IF($U99="Profit",$Q99/$H99,IF($U99="Disqualified",-$S99/$H99,0))))))</ns0:f>
      </ns0:c>
      <ns0:c r="U99" s="920">
        <ns0:f>IF(COUNTA($A99:$M99)=0,"",IF(OR(LEFT(LOWER(TRIM($F99&amp;"")),12)="subscription",LOWER(TRIM($F99&amp;""))="membership"),"Subscription",IF(LOWER(TRIM($D99&amp;""))="estimate","Estimate",IF(OR(AND($H99&lt;&gt;"",$H99=0),LEFT(LOWER(TRIM($F99&amp;"")),9)="free game",LOWER(TRIM($F99&amp;""))="free",LOWER(TRIM($F99&amp;""))="free entry"),IF(LOWER($L99&amp;"")="yes","Disqualified — Free Game","Free Game"),IF(LOWER($L99&amp;"")="yes","Disqualified",IF($P99="","",IF(ROUND(IFERROR(VALUE($P99),0)-IFERROR(VALUE($H99),0),2)&gt;0,"Profit","Draw")))))))</ns0:f>
      </ns0:c>
      <ns0:c r="V99" s="956" t="str">
        <ns0:f>IF(COUNTA($A99:$M99)=0,"",IF(OR($B99="",$C99="",$U99="Subscription"),"",IFERROR(ROUNDUP(($C99-$B99)/7,0),"")))</ns0:f>
      </ns0:c>
      <ns0:c r="W99" s="114">
        <ns0:f>IF(COUNTA($A99:$M99)=0,"",IF(OR($U99="Subscription",$U99=""),"",IF($U99="Estimate","N/A",IF(OR($U99="Free Game",$U99="Disqualified — Free Game"),0,ROUND(IFERROR($Q99,0)-IFERROR($S99,0),2)))))</ns0:f>
      </ns0:c>
      <ns0:c r="X99" s="956" t="str">
        <ns0:f>IF(COUNTA($A99:$M99)=0,"",IF(OR($U99="Subscription",NOT(ISNUMBER($J99)),NOT(ISNUMBER($I99)),$J99=0,$I99=0,$I99&gt;$J99),"",$J99-$I99))</ns0:f>
      </ns0:c>
      <ns0:c r="Y99" s="955" t="str">
        <ns0:f>IF(COUNTA($A99:$M99)=0,"",IF(OR($U99="Subscription",NOT(ISNUMBER($J99)),$J99=0,$X99=""),"",$X99/$J99))</ns0:f>
      </ns0:c>
      <ns0:c r="Z99" s="957" t="str">
        <ns0:f>IF(COUNTA($A99:$M99)=0,"",Instructions!$B$29+SUM($W$5:W99))</ns0:f>
      </ns0:c>
    </ns0:row>
    <ns0:row r="100" ht="36" customHeight="1">
      <ns0:c r="A100" s="439"/>
      <ns0:c r="B100" s="453"/>
      <ns0:c r="C100" s="453"/>
      <ns0:c r="D100" s="454"/>
      <ns0:c r="E100" s="454"/>
      <ns0:c r="F100" s="454"/>
      <ns0:c r="G100" s="986"/>
      <ns0:c r="H100" s="455"/>
      <ns0:c r="I100" s="456"/>
      <ns0:c r="J100" s="456"/>
      <ns0:c r="K100" s="986"/>
      <ns0:c r="L100" s="454"/>
      <ns0:c r="M100" s="439"/>
      <ns0:c r="N100" s="987" t="str">
        <ns0:f>IF(COUNTA($A100:$M100)=0,"",IF(OR(LEFT(LOWER(TRIM($F100&amp;"")),12)="subscription",LOWER(TRIM($F100&amp;""))="membership"),"",IF(OR(AND($H100&lt;&gt;"",$H100=0),LEFT(LOWER(TRIM($F100&amp;"")),9)="free game",LOWER(TRIM($F100&amp;""))="free",LOWER(TRIM($F100&amp;""))="free entry"),IF(ISNUMBER($G100),IF(ISNUMBER(SEARCH("non",LOWER($E100&amp;""))),$G100*0.85,$G100),"N/A"),IF($G100="","",IFERROR(IF(ISNUMBER(SEARCH("non",LOWER($E100&amp;""))),$G100*0.85,$G100),"")))))</ns0:f>
        <ns0:v/>
      </ns0:c>
      <ns0:c r="O100" s="987" t="str">
        <ns0:f>IF(COUNTA($A100:$M100)=0,"",IF(OR(LEFT(LOWER(TRIM($F100&amp;"")),12)="subscription",LOWER(TRIM($F100&amp;""))="membership"),"",IF(OR(AND($H100&lt;&gt;"",$H100=0),LEFT(LOWER(TRIM($F100&amp;"")),9)="free game",LOWER(TRIM($F100&amp;""))="free",LOWER(TRIM($F100&amp;""))="free entry"),IF(OR(NOT(ISNUMBER($N100)),NOT(ISNUMBER($I100)),$I100=0),"N/A",IFERROR($N100/$I100,"N/A")),IF(OR($N100="",$I100="",$I100=0),"",IFERROR($N100/$I100,"")))))</ns0:f>
        <ns0:v/>
      </ns0:c>
      <ns0:c r="P100" s="987">
        <ns0:f>IF(COUNTA($A100:$M100)=0,"",IF(OR(LEFT(LOWER(TRIM($F100&amp;"")),12)="subscription",LOWER(TRIM($F100&amp;""))="membership"),"",IF(LOWER(TRIM($D100&amp;""))="estimate","N/A",IF(LOWER($L100&amp;"")="yes",0,IF(OR(AND($H100&lt;&gt;"",$H100=0),LEFT(LOWER(TRIM($F100&amp;"")),9)="free game",LOWER(TRIM($F100&amp;""))="free",LOWER(TRIM($F100&amp;""))="free entry"),IF(ISNUMBER($K100),$K100,""),IF($K100&lt;&gt;"",$K100,""))))))</ns0:f>
      </ns0:c>
      <ns0:c r="Q100" s="114">
        <ns0:f>IF(COUNTA($A100:$M100)=0,"",IF(OR($U100="Subscription",$U100=""),"",IF($U100="Estimate","N/A",IF($U100="Profit",ROUND(IFERROR($P100,0)-IFERROR($H100,0),2),0))))</ns0:f>
      </ns0:c>
      <ns0:c r="R100" s="114">
        <ns0:f>IF(COUNTA($A100:$M100)=0,"",IF(OR($U100="Subscription",$U100=""),"",IF($U100="Estimate","N/A",IF($U100="Draw",$H100,0))))</ns0:f>
      </ns0:c>
      <ns0:c r="S100" s="114">
        <ns0:f>IF(COUNTA($A100:$M100)=0,"",IF(OR($U100="Subscription",$U100=""),"",IF($U100="Estimate","N/A",IF($U100="Disqualified",$H100,0))))</ns0:f>
      </ns0:c>
      <ns0:c r="T100" s="955">
        <ns0:f>IF(COUNTA($A100:$M100)=0,"",IF(OR($U100="Subscription",$U100=""),"",IF($U100="Estimate","N/A",IF(OR($U100="Free Game",$U100="Disqualified — Free Game",$H100=0),"N/A",IF($U100="Profit",$Q100/$H100,IF($U100="Disqualified",-$S100/$H100,0))))))</ns0:f>
      </ns0:c>
      <ns0:c r="U100" s="920">
        <ns0:f>IF(COUNTA($A100:$M100)=0,"",IF(OR(LEFT(LOWER(TRIM($F100&amp;"")),12)="subscription",LOWER(TRIM($F100&amp;""))="membership"),"Subscription",IF(LOWER(TRIM($D100&amp;""))="estimate","Estimate",IF(OR(AND($H100&lt;&gt;"",$H100=0),LEFT(LOWER(TRIM($F100&amp;"")),9)="free game",LOWER(TRIM($F100&amp;""))="free",LOWER(TRIM($F100&amp;""))="free entry"),IF(LOWER($L100&amp;"")="yes","Disqualified — Free Game","Free Game"),IF(LOWER($L100&amp;"")="yes","Disqualified",IF($P100="","",IF(ROUND(IFERROR(VALUE($P100),0)-IFERROR(VALUE($H100),0),2)&gt;0,"Profit","Draw")))))))</ns0:f>
      </ns0:c>
      <ns0:c r="V100" s="956" t="str">
        <ns0:f>IF(COUNTA($A100:$M100)=0,"",IF(OR($B100="",$C100="",$U100="Subscription"),"",IFERROR(ROUNDUP(($C100-$B100)/7,0),"")))</ns0:f>
      </ns0:c>
      <ns0:c r="W100" s="114">
        <ns0:f>IF(COUNTA($A100:$M100)=0,"",IF(OR($U100="Subscription",$U100=""),"",IF($U100="Estimate","N/A",IF(OR($U100="Free Game",$U100="Disqualified — Free Game"),0,ROUND(IFERROR($Q100,0)-IFERROR($S100,0),2)))))</ns0:f>
      </ns0:c>
      <ns0:c r="X100" s="956" t="str">
        <ns0:f>IF(COUNTA($A100:$M100)=0,"",IF(OR($U100="Subscription",NOT(ISNUMBER($J100)),NOT(ISNUMBER($I100)),$J100=0,$I100=0,$I100&gt;$J100),"",$J100-$I100))</ns0:f>
      </ns0:c>
      <ns0:c r="Y100" s="955" t="str">
        <ns0:f>IF(COUNTA($A100:$M100)=0,"",IF(OR($U100="Subscription",NOT(ISNUMBER($J100)),$J100=0,$X100=""),"",$X100/$J100))</ns0:f>
      </ns0:c>
      <ns0:c r="Z100" s="957" t="str">
        <ns0:f>IF(COUNTA($A100:$M100)=0,"",Instructions!$B$29+SUM($W$5:W100))</ns0:f>
      </ns0:c>
    </ns0:row>
    <ns0:row r="101" ht="36" customHeight="1">
      <ns0:c r="A101" s="439"/>
      <ns0:c r="B101" s="453"/>
      <ns0:c r="C101" s="453"/>
      <ns0:c r="D101" s="454"/>
      <ns0:c r="E101" s="454"/>
      <ns0:c r="F101" s="454"/>
      <ns0:c r="G101" s="986"/>
      <ns0:c r="H101" s="455"/>
      <ns0:c r="I101" s="456"/>
      <ns0:c r="J101" s="456"/>
      <ns0:c r="K101" s="986"/>
      <ns0:c r="L101" s="454"/>
      <ns0:c r="M101" s="439"/>
      <ns0:c r="N101" s="987" t="str">
        <ns0:f>IF(COUNTA($A101:$M101)=0,"",IF(OR(LEFT(LOWER(TRIM($F101&amp;"")),12)="subscription",LOWER(TRIM($F101&amp;""))="membership"),"",IF(OR(AND($H101&lt;&gt;"",$H101=0),LEFT(LOWER(TRIM($F101&amp;"")),9)="free game",LOWER(TRIM($F101&amp;""))="free",LOWER(TRIM($F101&amp;""))="free entry"),IF(ISNUMBER($G101),IF(ISNUMBER(SEARCH("non",LOWER($E101&amp;""))),$G101*0.85,$G101),"N/A"),IF($G101="","",IFERROR(IF(ISNUMBER(SEARCH("non",LOWER($E101&amp;""))),$G101*0.85,$G101),"")))))</ns0:f>
        <ns0:v/>
      </ns0:c>
      <ns0:c r="O101" s="987" t="str">
        <ns0:f>IF(COUNTA($A101:$M101)=0,"",IF(OR(LEFT(LOWER(TRIM($F101&amp;"")),12)="subscription",LOWER(TRIM($F101&amp;""))="membership"),"",IF(OR(AND($H101&lt;&gt;"",$H101=0),LEFT(LOWER(TRIM($F101&amp;"")),9)="free game",LOWER(TRIM($F101&amp;""))="free",LOWER(TRIM($F101&amp;""))="free entry"),IF(OR(NOT(ISNUMBER($N101)),NOT(ISNUMBER($I101)),$I101=0),"N/A",IFERROR($N101/$I101,"N/A")),IF(OR($N101="",$I101="",$I101=0),"",IFERROR($N101/$I101,"")))))</ns0:f>
        <ns0:v/>
      </ns0:c>
      <ns0:c r="P101" s="987">
        <ns0:f>IF(COUNTA($A101:$M101)=0,"",IF(OR(LEFT(LOWER(TRIM($F101&amp;"")),12)="subscription",LOWER(TRIM($F101&amp;""))="membership"),"",IF(LOWER(TRIM($D101&amp;""))="estimate","N/A",IF(LOWER($L101&amp;"")="yes",0,IF(OR(AND($H101&lt;&gt;"",$H101=0),LEFT(LOWER(TRIM($F101&amp;"")),9)="free game",LOWER(TRIM($F101&amp;""))="free",LOWER(TRIM($F101&amp;""))="free entry"),IF(ISNUMBER($K101),$K101,""),IF($K101&lt;&gt;"",$K101,""))))))</ns0:f>
      </ns0:c>
      <ns0:c r="Q101" s="114">
        <ns0:f>IF(COUNTA($A101:$M101)=0,"",IF(OR($U101="Subscription",$U101=""),"",IF($U101="Estimate","N/A",IF($U101="Profit",ROUND(IFERROR($P101,0)-IFERROR($H101,0),2),0))))</ns0:f>
      </ns0:c>
      <ns0:c r="R101" s="114">
        <ns0:f>IF(COUNTA($A101:$M101)=0,"",IF(OR($U101="Subscription",$U101=""),"",IF($U101="Estimate","N/A",IF($U101="Draw",$H101,0))))</ns0:f>
      </ns0:c>
      <ns0:c r="S101" s="114">
        <ns0:f>IF(COUNTA($A101:$M101)=0,"",IF(OR($U101="Subscription",$U101=""),"",IF($U101="Estimate","N/A",IF($U101="Disqualified",$H101,0))))</ns0:f>
      </ns0:c>
      <ns0:c r="T101" s="955">
        <ns0:f>IF(COUNTA($A101:$M101)=0,"",IF(OR($U101="Subscription",$U101=""),"",IF($U101="Estimate","N/A",IF(OR($U101="Free Game",$U101="Disqualified — Free Game",$H101=0),"N/A",IF($U101="Profit",$Q101/$H101,IF($U101="Disqualified",-$S101/$H101,0))))))</ns0:f>
      </ns0:c>
      <ns0:c r="U101" s="920">
        <ns0:f>IF(COUNTA($A101:$M101)=0,"",IF(OR(LEFT(LOWER(TRIM($F101&amp;"")),12)="subscription",LOWER(TRIM($F101&amp;""))="membership"),"Subscription",IF(LOWER(TRIM($D101&amp;""))="estimate","Estimate",IF(OR(AND($H101&lt;&gt;"",$H101=0),LEFT(LOWER(TRIM($F101&amp;"")),9)="free game",LOWER(TRIM($F101&amp;""))="free",LOWER(TRIM($F101&amp;""))="free entry"),IF(LOWER($L101&amp;"")="yes","Disqualified — Free Game","Free Game"),IF(LOWER($L101&amp;"")="yes","Disqualified",IF($P101="","",IF(ROUND(IFERROR(VALUE($P101),0)-IFERROR(VALUE($H101),0),2)&gt;0,"Profit","Draw")))))))</ns0:f>
      </ns0:c>
      <ns0:c r="V101" s="956" t="str">
        <ns0:f>IF(COUNTA($A101:$M101)=0,"",IF(OR($B101="",$C101="",$U101="Subscription"),"",IFERROR(ROUNDUP(($C101-$B101)/7,0),"")))</ns0:f>
      </ns0:c>
      <ns0:c r="W101" s="114">
        <ns0:f>IF(COUNTA($A101:$M101)=0,"",IF(OR($U101="Subscription",$U101=""),"",IF($U101="Estimate","N/A",IF(OR($U101="Free Game",$U101="Disqualified — Free Game"),0,ROUND(IFERROR($Q101,0)-IFERROR($S101,0),2)))))</ns0:f>
      </ns0:c>
      <ns0:c r="X101" s="956" t="str">
        <ns0:f>IF(COUNTA($A101:$M101)=0,"",IF(OR($U101="Subscription",NOT(ISNUMBER($J101)),NOT(ISNUMBER($I101)),$J101=0,$I101=0,$I101&gt;$J101),"",$J101-$I101))</ns0:f>
      </ns0:c>
      <ns0:c r="Y101" s="955" t="str">
        <ns0:f>IF(COUNTA($A101:$M101)=0,"",IF(OR($U101="Subscription",NOT(ISNUMBER($J101)),$J101=0,$X101=""),"",$X101/$J101))</ns0:f>
      </ns0:c>
      <ns0:c r="Z101" s="957" t="str">
        <ns0:f>IF(COUNTA($A101:$M101)=0,"",Instructions!$B$29+SUM($W$5:W101))</ns0:f>
      </ns0:c>
    </ns0:row>
    <ns0:row r="102" ht="36" customHeight="1">
      <ns0:c r="A102" s="439"/>
      <ns0:c r="B102" s="453"/>
      <ns0:c r="C102" s="453"/>
      <ns0:c r="D102" s="454"/>
      <ns0:c r="E102" s="454"/>
      <ns0:c r="F102" s="454"/>
      <ns0:c r="G102" s="986"/>
      <ns0:c r="H102" s="455"/>
      <ns0:c r="I102" s="456"/>
      <ns0:c r="J102" s="456"/>
      <ns0:c r="K102" s="986"/>
      <ns0:c r="L102" s="454"/>
      <ns0:c r="M102" s="439"/>
      <ns0:c r="N102" s="987" t="str">
        <ns0:f>IF(COUNTA($A102:$M102)=0,"",IF(OR(LEFT(LOWER(TRIM($F102&amp;"")),12)="subscription",LOWER(TRIM($F102&amp;""))="membership"),"",IF(OR(AND($H102&lt;&gt;"",$H102=0),LEFT(LOWER(TRIM($F102&amp;"")),9)="free game",LOWER(TRIM($F102&amp;""))="free",LOWER(TRIM($F102&amp;""))="free entry"),IF(ISNUMBER($G102),IF(ISNUMBER(SEARCH("non",LOWER($E102&amp;""))),$G102*0.85,$G102),"N/A"),IF($G102="","",IFERROR(IF(ISNUMBER(SEARCH("non",LOWER($E102&amp;""))),$G102*0.85,$G102),"")))))</ns0:f>
        <ns0:v/>
      </ns0:c>
      <ns0:c r="O102" s="987" t="str">
        <ns0:f>IF(COUNTA($A102:$M102)=0,"",IF(OR(LEFT(LOWER(TRIM($F102&amp;"")),12)="subscription",LOWER(TRIM($F102&amp;""))="membership"),"",IF(OR(AND($H102&lt;&gt;"",$H102=0),LEFT(LOWER(TRIM($F102&amp;"")),9)="free game",LOWER(TRIM($F102&amp;""))="free",LOWER(TRIM($F102&amp;""))="free entry"),IF(OR(NOT(ISNUMBER($N102)),NOT(ISNUMBER($I102)),$I102=0),"N/A",IFERROR($N102/$I102,"N/A")),IF(OR($N102="",$I102="",$I102=0),"",IFERROR($N102/$I102,"")))))</ns0:f>
        <ns0:v/>
      </ns0:c>
      <ns0:c r="P102" s="987">
        <ns0:f>IF(COUNTA($A102:$M102)=0,"",IF(OR(LEFT(LOWER(TRIM($F102&amp;"")),12)="subscription",LOWER(TRIM($F102&amp;""))="membership"),"",IF(LOWER(TRIM($D102&amp;""))="estimate","N/A",IF(LOWER($L102&amp;"")="yes",0,IF(OR(AND($H102&lt;&gt;"",$H102=0),LEFT(LOWER(TRIM($F102&amp;"")),9)="free game",LOWER(TRIM($F102&amp;""))="free",LOWER(TRIM($F102&amp;""))="free entry"),IF(ISNUMBER($K102),$K102,""),IF($K102&lt;&gt;"",$K102,""))))))</ns0:f>
      </ns0:c>
      <ns0:c r="Q102" s="114">
        <ns0:f>IF(COUNTA($A102:$M102)=0,"",IF(OR($U102="Subscription",$U102=""),"",IF($U102="Estimate","N/A",IF($U102="Profit",ROUND(IFERROR($P102,0)-IFERROR($H102,0),2),0))))</ns0:f>
      </ns0:c>
      <ns0:c r="R102" s="114">
        <ns0:f>IF(COUNTA($A102:$M102)=0,"",IF(OR($U102="Subscription",$U102=""),"",IF($U102="Estimate","N/A",IF($U102="Draw",$H102,0))))</ns0:f>
      </ns0:c>
      <ns0:c r="S102" s="114">
        <ns0:f>IF(COUNTA($A102:$M102)=0,"",IF(OR($U102="Subscription",$U102=""),"",IF($U102="Estimate","N/A",IF($U102="Disqualified",$H102,0))))</ns0:f>
      </ns0:c>
      <ns0:c r="T102" s="955">
        <ns0:f>IF(COUNTA($A102:$M102)=0,"",IF(OR($U102="Subscription",$U102=""),"",IF($U102="Estimate","N/A",IF(OR($U102="Free Game",$U102="Disqualified — Free Game",$H102=0),"N/A",IF($U102="Profit",$Q102/$H102,IF($U102="Disqualified",-$S102/$H102,0))))))</ns0:f>
      </ns0:c>
      <ns0:c r="U102" s="920">
        <ns0:f>IF(COUNTA($A102:$M102)=0,"",IF(OR(LEFT(LOWER(TRIM($F102&amp;"")),12)="subscription",LOWER(TRIM($F102&amp;""))="membership"),"Subscription",IF(LOWER(TRIM($D102&amp;""))="estimate","Estimate",IF(OR(AND($H102&lt;&gt;"",$H102=0),LEFT(LOWER(TRIM($F102&amp;"")),9)="free game",LOWER(TRIM($F102&amp;""))="free",LOWER(TRIM($F102&amp;""))="free entry"),IF(LOWER($L102&amp;"")="yes","Disqualified — Free Game","Free Game"),IF(LOWER($L102&amp;"")="yes","Disqualified",IF($P102="","",IF(ROUND(IFERROR(VALUE($P102),0)-IFERROR(VALUE($H102),0),2)&gt;0,"Profit","Draw")))))))</ns0:f>
      </ns0:c>
      <ns0:c r="V102" s="956" t="str">
        <ns0:f>IF(COUNTA($A102:$M102)=0,"",IF(OR($B102="",$C102="",$U102="Subscription"),"",IFERROR(ROUNDUP(($C102-$B102)/7,0),"")))</ns0:f>
      </ns0:c>
      <ns0:c r="W102" s="114">
        <ns0:f>IF(COUNTA($A102:$M102)=0,"",IF(OR($U102="Subscription",$U102=""),"",IF($U102="Estimate","N/A",IF(OR($U102="Free Game",$U102="Disqualified — Free Game"),0,ROUND(IFERROR($Q102,0)-IFERROR($S102,0),2)))))</ns0:f>
      </ns0:c>
      <ns0:c r="X102" s="956" t="str">
        <ns0:f>IF(COUNTA($A102:$M102)=0,"",IF(OR($U102="Subscription",NOT(ISNUMBER($J102)),NOT(ISNUMBER($I102)),$J102=0,$I102=0,$I102&gt;$J102),"",$J102-$I102))</ns0:f>
      </ns0:c>
      <ns0:c r="Y102" s="955" t="str">
        <ns0:f>IF(COUNTA($A102:$M102)=0,"",IF(OR($U102="Subscription",NOT(ISNUMBER($J102)),$J102=0,$X102=""),"",$X102/$J102))</ns0:f>
      </ns0:c>
      <ns0:c r="Z102" s="957" t="str">
        <ns0:f>IF(COUNTA($A102:$M102)=0,"",Instructions!$B$29+SUM($W$5:W102))</ns0:f>
      </ns0:c>
    </ns0:row>
    <ns0:row r="103" ht="36" customHeight="1">
      <ns0:c r="A103" s="439"/>
      <ns0:c r="B103" s="453"/>
      <ns0:c r="C103" s="453"/>
      <ns0:c r="D103" s="454"/>
      <ns0:c r="E103" s="454"/>
      <ns0:c r="F103" s="454"/>
      <ns0:c r="G103" s="986"/>
      <ns0:c r="H103" s="455"/>
      <ns0:c r="I103" s="456"/>
      <ns0:c r="J103" s="456"/>
      <ns0:c r="K103" s="986"/>
      <ns0:c r="L103" s="454"/>
      <ns0:c r="M103" s="439"/>
      <ns0:c r="N103" s="987" t="str">
        <ns0:f>IF(COUNTA($A103:$M103)=0,"",IF(OR(LEFT(LOWER(TRIM($F103&amp;"")),12)="subscription",LOWER(TRIM($F103&amp;""))="membership"),"",IF(OR(AND($H103&lt;&gt;"",$H103=0),LEFT(LOWER(TRIM($F103&amp;"")),9)="free game",LOWER(TRIM($F103&amp;""))="free",LOWER(TRIM($F103&amp;""))="free entry"),IF(ISNUMBER($G103),IF(ISNUMBER(SEARCH("non",LOWER($E103&amp;""))),$G103*0.85,$G103),"N/A"),IF($G103="","",IFERROR(IF(ISNUMBER(SEARCH("non",LOWER($E103&amp;""))),$G103*0.85,$G103),"")))))</ns0:f>
        <ns0:v/>
      </ns0:c>
      <ns0:c r="O103" s="987" t="str">
        <ns0:f>IF(COUNTA($A103:$M103)=0,"",IF(OR(LEFT(LOWER(TRIM($F103&amp;"")),12)="subscription",LOWER(TRIM($F103&amp;""))="membership"),"",IF(OR(AND($H103&lt;&gt;"",$H103=0),LEFT(LOWER(TRIM($F103&amp;"")),9)="free game",LOWER(TRIM($F103&amp;""))="free",LOWER(TRIM($F103&amp;""))="free entry"),IF(OR(NOT(ISNUMBER($N103)),NOT(ISNUMBER($I103)),$I103=0),"N/A",IFERROR($N103/$I103,"N/A")),IF(OR($N103="",$I103="",$I103=0),"",IFERROR($N103/$I103,"")))))</ns0:f>
        <ns0:v/>
      </ns0:c>
      <ns0:c r="P103" s="987">
        <ns0:f>IF(COUNTA($A103:$M103)=0,"",IF(OR(LEFT(LOWER(TRIM($F103&amp;"")),12)="subscription",LOWER(TRIM($F103&amp;""))="membership"),"",IF(LOWER(TRIM($D103&amp;""))="estimate","N/A",IF(LOWER($L103&amp;"")="yes",0,IF(OR(AND($H103&lt;&gt;"",$H103=0),LEFT(LOWER(TRIM($F103&amp;"")),9)="free game",LOWER(TRIM($F103&amp;""))="free",LOWER(TRIM($F103&amp;""))="free entry"),IF(ISNUMBER($K103),$K103,""),IF($K103&lt;&gt;"",$K103,""))))))</ns0:f>
      </ns0:c>
      <ns0:c r="Q103" s="114">
        <ns0:f>IF(COUNTA($A103:$M103)=0,"",IF(OR($U103="Subscription",$U103=""),"",IF($U103="Estimate","N/A",IF($U103="Profit",ROUND(IFERROR($P103,0)-IFERROR($H103,0),2),0))))</ns0:f>
      </ns0:c>
      <ns0:c r="R103" s="114">
        <ns0:f>IF(COUNTA($A103:$M103)=0,"",IF(OR($U103="Subscription",$U103=""),"",IF($U103="Estimate","N/A",IF($U103="Draw",$H103,0))))</ns0:f>
      </ns0:c>
      <ns0:c r="S103" s="114">
        <ns0:f>IF(COUNTA($A103:$M103)=0,"",IF(OR($U103="Subscription",$U103=""),"",IF($U103="Estimate","N/A",IF($U103="Disqualified",$H103,0))))</ns0:f>
      </ns0:c>
      <ns0:c r="T103" s="955">
        <ns0:f>IF(COUNTA($A103:$M103)=0,"",IF(OR($U103="Subscription",$U103=""),"",IF($U103="Estimate","N/A",IF(OR($U103="Free Game",$U103="Disqualified — Free Game",$H103=0),"N/A",IF($U103="Profit",$Q103/$H103,IF($U103="Disqualified",-$S103/$H103,0))))))</ns0:f>
      </ns0:c>
      <ns0:c r="U103" s="920">
        <ns0:f>IF(COUNTA($A103:$M103)=0,"",IF(OR(LEFT(LOWER(TRIM($F103&amp;"")),12)="subscription",LOWER(TRIM($F103&amp;""))="membership"),"Subscription",IF(LOWER(TRIM($D103&amp;""))="estimate","Estimate",IF(OR(AND($H103&lt;&gt;"",$H103=0),LEFT(LOWER(TRIM($F103&amp;"")),9)="free game",LOWER(TRIM($F103&amp;""))="free",LOWER(TRIM($F103&amp;""))="free entry"),IF(LOWER($L103&amp;"")="yes","Disqualified — Free Game","Free Game"),IF(LOWER($L103&amp;"")="yes","Disqualified",IF($P103="","",IF(ROUND(IFERROR(VALUE($P103),0)-IFERROR(VALUE($H103),0),2)&gt;0,"Profit","Draw")))))))</ns0:f>
      </ns0:c>
      <ns0:c r="V103" s="956" t="str">
        <ns0:f>IF(COUNTA($A103:$M103)=0,"",IF(OR($B103="",$C103="",$U103="Subscription"),"",IFERROR(ROUNDUP(($C103-$B103)/7,0),"")))</ns0:f>
      </ns0:c>
      <ns0:c r="W103" s="114">
        <ns0:f>IF(COUNTA($A103:$M103)=0,"",IF(OR($U103="Subscription",$U103=""),"",IF($U103="Estimate","N/A",IF(OR($U103="Free Game",$U103="Disqualified — Free Game"),0,ROUND(IFERROR($Q103,0)-IFERROR($S103,0),2)))))</ns0:f>
      </ns0:c>
      <ns0:c r="X103" s="956" t="str">
        <ns0:f>IF(COUNTA($A103:$M103)=0,"",IF(OR($U103="Subscription",NOT(ISNUMBER($J103)),NOT(ISNUMBER($I103)),$J103=0,$I103=0,$I103&gt;$J103),"",$J103-$I103))</ns0:f>
      </ns0:c>
      <ns0:c r="Y103" s="955" t="str">
        <ns0:f>IF(COUNTA($A103:$M103)=0,"",IF(OR($U103="Subscription",NOT(ISNUMBER($J103)),$J103=0,$X103=""),"",$X103/$J103))</ns0:f>
      </ns0:c>
      <ns0:c r="Z103" s="957" t="str">
        <ns0:f>IF(COUNTA($A103:$M103)=0,"",Instructions!$B$29+SUM($W$5:W103))</ns0:f>
      </ns0:c>
    </ns0:row>
    <ns0:row r="104" ht="36" customHeight="1">
      <ns0:c r="A104" s="439"/>
      <ns0:c r="B104" s="453"/>
      <ns0:c r="C104" s="453"/>
      <ns0:c r="D104" s="454"/>
      <ns0:c r="E104" s="454"/>
      <ns0:c r="F104" s="454"/>
      <ns0:c r="G104" s="986"/>
      <ns0:c r="H104" s="455"/>
      <ns0:c r="I104" s="456"/>
      <ns0:c r="J104" s="456"/>
      <ns0:c r="K104" s="986"/>
      <ns0:c r="L104" s="454"/>
      <ns0:c r="M104" s="439"/>
      <ns0:c r="N104" s="987" t="str">
        <ns0:f>IF(COUNTA($A104:$M104)=0,"",IF(OR(LEFT(LOWER(TRIM($F104&amp;"")),12)="subscription",LOWER(TRIM($F104&amp;""))="membership"),"",IF(OR(AND($H104&lt;&gt;"",$H104=0),LEFT(LOWER(TRIM($F104&amp;"")),9)="free game",LOWER(TRIM($F104&amp;""))="free",LOWER(TRIM($F104&amp;""))="free entry"),IF(ISNUMBER($G104),IF(ISNUMBER(SEARCH("non",LOWER($E104&amp;""))),$G104*0.85,$G104),"N/A"),IF($G104="","",IFERROR(IF(ISNUMBER(SEARCH("non",LOWER($E104&amp;""))),$G104*0.85,$G104),"")))))</ns0:f>
        <ns0:v/>
      </ns0:c>
      <ns0:c r="O104" s="987" t="str">
        <ns0:f>IF(COUNTA($A104:$M104)=0,"",IF(OR(LEFT(LOWER(TRIM($F104&amp;"")),12)="subscription",LOWER(TRIM($F104&amp;""))="membership"),"",IF(OR(AND($H104&lt;&gt;"",$H104=0),LEFT(LOWER(TRIM($F104&amp;"")),9)="free game",LOWER(TRIM($F104&amp;""))="free",LOWER(TRIM($F104&amp;""))="free entry"),IF(OR(NOT(ISNUMBER($N104)),NOT(ISNUMBER($I104)),$I104=0),"N/A",IFERROR($N104/$I104,"N/A")),IF(OR($N104="",$I104="",$I104=0),"",IFERROR($N104/$I104,"")))))</ns0:f>
        <ns0:v/>
      </ns0:c>
      <ns0:c r="P104" s="987">
        <ns0:f>IF(COUNTA($A104:$M104)=0,"",IF(OR(LEFT(LOWER(TRIM($F104&amp;"")),12)="subscription",LOWER(TRIM($F104&amp;""))="membership"),"",IF(LOWER(TRIM($D104&amp;""))="estimate","N/A",IF(LOWER($L104&amp;"")="yes",0,IF(OR(AND($H104&lt;&gt;"",$H104=0),LEFT(LOWER(TRIM($F104&amp;"")),9)="free game",LOWER(TRIM($F104&amp;""))="free",LOWER(TRIM($F104&amp;""))="free entry"),IF(ISNUMBER($K104),$K104,""),IF($K104&lt;&gt;"",$K104,""))))))</ns0:f>
      </ns0:c>
      <ns0:c r="Q104" s="114">
        <ns0:f>IF(COUNTA($A104:$M104)=0,"",IF(OR($U104="Subscription",$U104=""),"",IF($U104="Estimate","N/A",IF($U104="Profit",ROUND(IFERROR($P104,0)-IFERROR($H104,0),2),0))))</ns0:f>
      </ns0:c>
      <ns0:c r="R104" s="114">
        <ns0:f>IF(COUNTA($A104:$M104)=0,"",IF(OR($U104="Subscription",$U104=""),"",IF($U104="Estimate","N/A",IF($U104="Draw",$H104,0))))</ns0:f>
      </ns0:c>
      <ns0:c r="S104" s="114">
        <ns0:f>IF(COUNTA($A104:$M104)=0,"",IF(OR($U104="Subscription",$U104=""),"",IF($U104="Estimate","N/A",IF($U104="Disqualified",$H104,0))))</ns0:f>
      </ns0:c>
      <ns0:c r="T104" s="955">
        <ns0:f>IF(COUNTA($A104:$M104)=0,"",IF(OR($U104="Subscription",$U104=""),"",IF($U104="Estimate","N/A",IF(OR($U104="Free Game",$U104="Disqualified — Free Game",$H104=0),"N/A",IF($U104="Profit",$Q104/$H104,IF($U104="Disqualified",-$S104/$H104,0))))))</ns0:f>
      </ns0:c>
      <ns0:c r="U104" s="920">
        <ns0:f>IF(COUNTA($A104:$M104)=0,"",IF(OR(LEFT(LOWER(TRIM($F104&amp;"")),12)="subscription",LOWER(TRIM($F104&amp;""))="membership"),"Subscription",IF(LOWER(TRIM($D104&amp;""))="estimate","Estimate",IF(OR(AND($H104&lt;&gt;"",$H104=0),LEFT(LOWER(TRIM($F104&amp;"")),9)="free game",LOWER(TRIM($F104&amp;""))="free",LOWER(TRIM($F104&amp;""))="free entry"),IF(LOWER($L104&amp;"")="yes","Disqualified — Free Game","Free Game"),IF(LOWER($L104&amp;"")="yes","Disqualified",IF($P104="","",IF(ROUND(IFERROR(VALUE($P104),0)-IFERROR(VALUE($H104),0),2)&gt;0,"Profit","Draw")))))))</ns0:f>
      </ns0:c>
      <ns0:c r="V104" s="956" t="str">
        <ns0:f>IF(COUNTA($A104:$M104)=0,"",IF(OR($B104="",$C104="",$U104="Subscription"),"",IFERROR(ROUNDUP(($C104-$B104)/7,0),"")))</ns0:f>
      </ns0:c>
      <ns0:c r="W104" s="114">
        <ns0:f>IF(COUNTA($A104:$M104)=0,"",IF(OR($U104="Subscription",$U104=""),"",IF($U104="Estimate","N/A",IF(OR($U104="Free Game",$U104="Disqualified — Free Game"),0,ROUND(IFERROR($Q104,0)-IFERROR($S104,0),2)))))</ns0:f>
      </ns0:c>
      <ns0:c r="X104" s="956" t="str">
        <ns0:f>IF(COUNTA($A104:$M104)=0,"",IF(OR($U104="Subscription",NOT(ISNUMBER($J104)),NOT(ISNUMBER($I104)),$J104=0,$I104=0,$I104&gt;$J104),"",$J104-$I104))</ns0:f>
      </ns0:c>
      <ns0:c r="Y104" s="955" t="str">
        <ns0:f>IF(COUNTA($A104:$M104)=0,"",IF(OR($U104="Subscription",NOT(ISNUMBER($J104)),$J104=0,$X104=""),"",$X104/$J104))</ns0:f>
      </ns0:c>
      <ns0:c r="Z104" s="957" t="str">
        <ns0:f>IF(COUNTA($A104:$M104)=0,"",Instructions!$B$29+SUM($W$5:W104))</ns0:f>
      </ns0:c>
    </ns0:row>
    <ns0:row r="105" ht="36" customHeight="1">
      <ns0:c r="A105" s="439"/>
      <ns0:c r="B105" s="453"/>
      <ns0:c r="C105" s="453"/>
      <ns0:c r="D105" s="454"/>
      <ns0:c r="E105" s="454"/>
      <ns0:c r="F105" s="454"/>
      <ns0:c r="G105" s="986"/>
      <ns0:c r="H105" s="455"/>
      <ns0:c r="I105" s="456"/>
      <ns0:c r="J105" s="456"/>
      <ns0:c r="K105" s="986"/>
      <ns0:c r="L105" s="454"/>
      <ns0:c r="M105" s="439"/>
      <ns0:c r="N105" s="987" t="str">
        <ns0:f>IF(COUNTA($A105:$M105)=0,"",IF(OR(LEFT(LOWER(TRIM($F105&amp;"")),12)="subscription",LOWER(TRIM($F105&amp;""))="membership"),"",IF(OR(AND($H105&lt;&gt;"",$H105=0),LEFT(LOWER(TRIM($F105&amp;"")),9)="free game",LOWER(TRIM($F105&amp;""))="free",LOWER(TRIM($F105&amp;""))="free entry"),IF(ISNUMBER($G105),IF(ISNUMBER(SEARCH("non",LOWER($E105&amp;""))),$G105*0.85,$G105),"N/A"),IF($G105="","",IFERROR(IF(ISNUMBER(SEARCH("non",LOWER($E105&amp;""))),$G105*0.85,$G105),"")))))</ns0:f>
        <ns0:v/>
      </ns0:c>
      <ns0:c r="O105" s="987" t="str">
        <ns0:f>IF(COUNTA($A105:$M105)=0,"",IF(OR(LEFT(LOWER(TRIM($F105&amp;"")),12)="subscription",LOWER(TRIM($F105&amp;""))="membership"),"",IF(OR(AND($H105&lt;&gt;"",$H105=0),LEFT(LOWER(TRIM($F105&amp;"")),9)="free game",LOWER(TRIM($F105&amp;""))="free",LOWER(TRIM($F105&amp;""))="free entry"),IF(OR(NOT(ISNUMBER($N105)),NOT(ISNUMBER($I105)),$I105=0),"N/A",IFERROR($N105/$I105,"N/A")),IF(OR($N105="",$I105="",$I105=0),"",IFERROR($N105/$I105,"")))))</ns0:f>
        <ns0:v/>
      </ns0:c>
      <ns0:c r="P105" s="987">
        <ns0:f>IF(COUNTA($A105:$M105)=0,"",IF(OR(LEFT(LOWER(TRIM($F105&amp;"")),12)="subscription",LOWER(TRIM($F105&amp;""))="membership"),"",IF(LOWER(TRIM($D105&amp;""))="estimate","N/A",IF(LOWER($L105&amp;"")="yes",0,IF(OR(AND($H105&lt;&gt;"",$H105=0),LEFT(LOWER(TRIM($F105&amp;"")),9)="free game",LOWER(TRIM($F105&amp;""))="free",LOWER(TRIM($F105&amp;""))="free entry"),IF(ISNUMBER($K105),$K105,""),IF($K105&lt;&gt;"",$K105,""))))))</ns0:f>
      </ns0:c>
      <ns0:c r="Q105" s="114">
        <ns0:f>IF(COUNTA($A105:$M105)=0,"",IF(OR($U105="Subscription",$U105=""),"",IF($U105="Estimate","N/A",IF($U105="Profit",ROUND(IFERROR($P105,0)-IFERROR($H105,0),2),0))))</ns0:f>
      </ns0:c>
      <ns0:c r="R105" s="114">
        <ns0:f>IF(COUNTA($A105:$M105)=0,"",IF(OR($U105="Subscription",$U105=""),"",IF($U105="Estimate","N/A",IF($U105="Draw",$H105,0))))</ns0:f>
      </ns0:c>
      <ns0:c r="S105" s="114">
        <ns0:f>IF(COUNTA($A105:$M105)=0,"",IF(OR($U105="Subscription",$U105=""),"",IF($U105="Estimate","N/A",IF($U105="Disqualified",$H105,0))))</ns0:f>
      </ns0:c>
      <ns0:c r="T105" s="955">
        <ns0:f>IF(COUNTA($A105:$M105)=0,"",IF(OR($U105="Subscription",$U105=""),"",IF($U105="Estimate","N/A",IF(OR($U105="Free Game",$U105="Disqualified — Free Game",$H105=0),"N/A",IF($U105="Profit",$Q105/$H105,IF($U105="Disqualified",-$S105/$H105,0))))))</ns0:f>
      </ns0:c>
      <ns0:c r="U105" s="920">
        <ns0:f>IF(COUNTA($A105:$M105)=0,"",IF(OR(LEFT(LOWER(TRIM($F105&amp;"")),12)="subscription",LOWER(TRIM($F105&amp;""))="membership"),"Subscription",IF(LOWER(TRIM($D105&amp;""))="estimate","Estimate",IF(OR(AND($H105&lt;&gt;"",$H105=0),LEFT(LOWER(TRIM($F105&amp;"")),9)="free game",LOWER(TRIM($F105&amp;""))="free",LOWER(TRIM($F105&amp;""))="free entry"),IF(LOWER($L105&amp;"")="yes","Disqualified — Free Game","Free Game"),IF(LOWER($L105&amp;"")="yes","Disqualified",IF($P105="","",IF(ROUND(IFERROR(VALUE($P105),0)-IFERROR(VALUE($H105),0),2)&gt;0,"Profit","Draw")))))))</ns0:f>
      </ns0:c>
      <ns0:c r="V105" s="956" t="str">
        <ns0:f>IF(COUNTA($A105:$M105)=0,"",IF(OR($B105="",$C105="",$U105="Subscription"),"",IFERROR(ROUNDUP(($C105-$B105)/7,0),"")))</ns0:f>
      </ns0:c>
      <ns0:c r="W105" s="114">
        <ns0:f>IF(COUNTA($A105:$M105)=0,"",IF(OR($U105="Subscription",$U105=""),"",IF($U105="Estimate","N/A",IF(OR($U105="Free Game",$U105="Disqualified — Free Game"),0,ROUND(IFERROR($Q105,0)-IFERROR($S105,0),2)))))</ns0:f>
      </ns0:c>
      <ns0:c r="X105" s="956" t="str">
        <ns0:f>IF(COUNTA($A105:$M105)=0,"",IF(OR($U105="Subscription",NOT(ISNUMBER($J105)),NOT(ISNUMBER($I105)),$J105=0,$I105=0,$I105&gt;$J105),"",$J105-$I105))</ns0:f>
      </ns0:c>
      <ns0:c r="Y105" s="955" t="str">
        <ns0:f>IF(COUNTA($A105:$M105)=0,"",IF(OR($U105="Subscription",NOT(ISNUMBER($J105)),$J105=0,$X105=""),"",$X105/$J105))</ns0:f>
      </ns0:c>
      <ns0:c r="Z105" s="957" t="str">
        <ns0:f>IF(COUNTA($A105:$M105)=0,"",Instructions!$B$29+SUM($W$5:W105))</ns0:f>
      </ns0:c>
    </ns0:row>
    <ns0:row r="106" ht="36" customHeight="1">
      <ns0:c r="A106" s="439"/>
      <ns0:c r="B106" s="453"/>
      <ns0:c r="C106" s="453"/>
      <ns0:c r="D106" s="454"/>
      <ns0:c r="E106" s="454"/>
      <ns0:c r="F106" s="454"/>
      <ns0:c r="G106" s="986"/>
      <ns0:c r="H106" s="455"/>
      <ns0:c r="I106" s="456"/>
      <ns0:c r="J106" s="456"/>
      <ns0:c r="K106" s="986"/>
      <ns0:c r="L106" s="454"/>
      <ns0:c r="M106" s="439"/>
      <ns0:c r="N106" s="987" t="str">
        <ns0:f>IF(COUNTA($A106:$M106)=0,"",IF(OR(LEFT(LOWER(TRIM($F106&amp;"")),12)="subscription",LOWER(TRIM($F106&amp;""))="membership"),"",IF(OR(AND($H106&lt;&gt;"",$H106=0),LEFT(LOWER(TRIM($F106&amp;"")),9)="free game",LOWER(TRIM($F106&amp;""))="free",LOWER(TRIM($F106&amp;""))="free entry"),IF(ISNUMBER($G106),IF(ISNUMBER(SEARCH("non",LOWER($E106&amp;""))),$G106*0.85,$G106),"N/A"),IF($G106="","",IFERROR(IF(ISNUMBER(SEARCH("non",LOWER($E106&amp;""))),$G106*0.85,$G106),"")))))</ns0:f>
        <ns0:v/>
      </ns0:c>
      <ns0:c r="O106" s="987" t="str">
        <ns0:f>IF(COUNTA($A106:$M106)=0,"",IF(OR(LEFT(LOWER(TRIM($F106&amp;"")),12)="subscription",LOWER(TRIM($F106&amp;""))="membership"),"",IF(OR(AND($H106&lt;&gt;"",$H106=0),LEFT(LOWER(TRIM($F106&amp;"")),9)="free game",LOWER(TRIM($F106&amp;""))="free",LOWER(TRIM($F106&amp;""))="free entry"),IF(OR(NOT(ISNUMBER($N106)),NOT(ISNUMBER($I106)),$I106=0),"N/A",IFERROR($N106/$I106,"N/A")),IF(OR($N106="",$I106="",$I106=0),"",IFERROR($N106/$I106,"")))))</ns0:f>
        <ns0:v/>
      </ns0:c>
      <ns0:c r="P106" s="987">
        <ns0:f>IF(COUNTA($A106:$M106)=0,"",IF(OR(LEFT(LOWER(TRIM($F106&amp;"")),12)="subscription",LOWER(TRIM($F106&amp;""))="membership"),"",IF(LOWER(TRIM($D106&amp;""))="estimate","N/A",IF(LOWER($L106&amp;"")="yes",0,IF(OR(AND($H106&lt;&gt;"",$H106=0),LEFT(LOWER(TRIM($F106&amp;"")),9)="free game",LOWER(TRIM($F106&amp;""))="free",LOWER(TRIM($F106&amp;""))="free entry"),IF(ISNUMBER($K106),$K106,""),IF($K106&lt;&gt;"",$K106,""))))))</ns0:f>
      </ns0:c>
      <ns0:c r="Q106" s="114">
        <ns0:f>IF(COUNTA($A106:$M106)=0,"",IF(OR($U106="Subscription",$U106=""),"",IF($U106="Estimate","N/A",IF($U106="Profit",ROUND(IFERROR($P106,0)-IFERROR($H106,0),2),0))))</ns0:f>
      </ns0:c>
      <ns0:c r="R106" s="114">
        <ns0:f>IF(COUNTA($A106:$M106)=0,"",IF(OR($U106="Subscription",$U106=""),"",IF($U106="Estimate","N/A",IF($U106="Draw",$H106,0))))</ns0:f>
      </ns0:c>
      <ns0:c r="S106" s="114">
        <ns0:f>IF(COUNTA($A106:$M106)=0,"",IF(OR($U106="Subscription",$U106=""),"",IF($U106="Estimate","N/A",IF($U106="Disqualified",$H106,0))))</ns0:f>
      </ns0:c>
      <ns0:c r="T106" s="955">
        <ns0:f>IF(COUNTA($A106:$M106)=0,"",IF(OR($U106="Subscription",$U106=""),"",IF($U106="Estimate","N/A",IF(OR($U106="Free Game",$U106="Disqualified — Free Game",$H106=0),"N/A",IF($U106="Profit",$Q106/$H106,IF($U106="Disqualified",-$S106/$H106,0))))))</ns0:f>
      </ns0:c>
      <ns0:c r="U106" s="920">
        <ns0:f>IF(COUNTA($A106:$M106)=0,"",IF(OR(LEFT(LOWER(TRIM($F106&amp;"")),12)="subscription",LOWER(TRIM($F106&amp;""))="membership"),"Subscription",IF(LOWER(TRIM($D106&amp;""))="estimate","Estimate",IF(OR(AND($H106&lt;&gt;"",$H106=0),LEFT(LOWER(TRIM($F106&amp;"")),9)="free game",LOWER(TRIM($F106&amp;""))="free",LOWER(TRIM($F106&amp;""))="free entry"),IF(LOWER($L106&amp;"")="yes","Disqualified — Free Game","Free Game"),IF(LOWER($L106&amp;"")="yes","Disqualified",IF($P106="","",IF(ROUND(IFERROR(VALUE($P106),0)-IFERROR(VALUE($H106),0),2)&gt;0,"Profit","Draw")))))))</ns0:f>
      </ns0:c>
      <ns0:c r="V106" s="956" t="str">
        <ns0:f>IF(COUNTA($A106:$M106)=0,"",IF(OR($B106="",$C106="",$U106="Subscription"),"",IFERROR(ROUNDUP(($C106-$B106)/7,0),"")))</ns0:f>
      </ns0:c>
      <ns0:c r="W106" s="114">
        <ns0:f>IF(COUNTA($A106:$M106)=0,"",IF(OR($U106="Subscription",$U106=""),"",IF($U106="Estimate","N/A",IF(OR($U106="Free Game",$U106="Disqualified — Free Game"),0,ROUND(IFERROR($Q106,0)-IFERROR($S106,0),2)))))</ns0:f>
      </ns0:c>
      <ns0:c r="X106" s="956" t="str">
        <ns0:f>IF(COUNTA($A106:$M106)=0,"",IF(OR($U106="Subscription",NOT(ISNUMBER($J106)),NOT(ISNUMBER($I106)),$J106=0,$I106=0,$I106&gt;$J106),"",$J106-$I106))</ns0:f>
      </ns0:c>
      <ns0:c r="Y106" s="955" t="str">
        <ns0:f>IF(COUNTA($A106:$M106)=0,"",IF(OR($U106="Subscription",NOT(ISNUMBER($J106)),$J106=0,$X106=""),"",$X106/$J106))</ns0:f>
      </ns0:c>
      <ns0:c r="Z106" s="957" t="str">
        <ns0:f>IF(COUNTA($A106:$M106)=0,"",Instructions!$B$29+SUM($W$5:W106))</ns0:f>
      </ns0:c>
    </ns0:row>
    <ns0:row r="107" ht="36" customHeight="1">
      <ns0:c r="A107" s="439"/>
      <ns0:c r="B107" s="453"/>
      <ns0:c r="C107" s="453"/>
      <ns0:c r="D107" s="454"/>
      <ns0:c r="E107" s="454"/>
      <ns0:c r="F107" s="454"/>
      <ns0:c r="G107" s="986"/>
      <ns0:c r="H107" s="455"/>
      <ns0:c r="I107" s="456"/>
      <ns0:c r="J107" s="456"/>
      <ns0:c r="K107" s="986"/>
      <ns0:c r="L107" s="454"/>
      <ns0:c r="M107" s="439"/>
      <ns0:c r="N107" s="987" t="str">
        <ns0:f>IF(COUNTA($A107:$M107)=0,"",IF(OR(LEFT(LOWER(TRIM($F107&amp;"")),12)="subscription",LOWER(TRIM($F107&amp;""))="membership"),"",IF(OR(AND($H107&lt;&gt;"",$H107=0),LEFT(LOWER(TRIM($F107&amp;"")),9)="free game",LOWER(TRIM($F107&amp;""))="free",LOWER(TRIM($F107&amp;""))="free entry"),IF(ISNUMBER($G107),IF(ISNUMBER(SEARCH("non",LOWER($E107&amp;""))),$G107*0.85,$G107),"N/A"),IF($G107="","",IFERROR(IF(ISNUMBER(SEARCH("non",LOWER($E107&amp;""))),$G107*0.85,$G107),"")))))</ns0:f>
        <ns0:v/>
      </ns0:c>
      <ns0:c r="O107" s="987" t="str">
        <ns0:f>IF(COUNTA($A107:$M107)=0,"",IF(OR(LEFT(LOWER(TRIM($F107&amp;"")),12)="subscription",LOWER(TRIM($F107&amp;""))="membership"),"",IF(OR(AND($H107&lt;&gt;"",$H107=0),LEFT(LOWER(TRIM($F107&amp;"")),9)="free game",LOWER(TRIM($F107&amp;""))="free",LOWER(TRIM($F107&amp;""))="free entry"),IF(OR(NOT(ISNUMBER($N107)),NOT(ISNUMBER($I107)),$I107=0),"N/A",IFERROR($N107/$I107,"N/A")),IF(OR($N107="",$I107="",$I107=0),"",IFERROR($N107/$I107,"")))))</ns0:f>
        <ns0:v/>
      </ns0:c>
      <ns0:c r="P107" s="987">
        <ns0:f>IF(COUNTA($A107:$M107)=0,"",IF(OR(LEFT(LOWER(TRIM($F107&amp;"")),12)="subscription",LOWER(TRIM($F107&amp;""))="membership"),"",IF(LOWER(TRIM($D107&amp;""))="estimate","N/A",IF(LOWER($L107&amp;"")="yes",0,IF(OR(AND($H107&lt;&gt;"",$H107=0),LEFT(LOWER(TRIM($F107&amp;"")),9)="free game",LOWER(TRIM($F107&amp;""))="free",LOWER(TRIM($F107&amp;""))="free entry"),IF(ISNUMBER($K107),$K107,""),IF($K107&lt;&gt;"",$K107,""))))))</ns0:f>
      </ns0:c>
      <ns0:c r="Q107" s="114">
        <ns0:f>IF(COUNTA($A107:$M107)=0,"",IF(OR($U107="Subscription",$U107=""),"",IF($U107="Estimate","N/A",IF($U107="Profit",ROUND(IFERROR($P107,0)-IFERROR($H107,0),2),0))))</ns0:f>
      </ns0:c>
      <ns0:c r="R107" s="114">
        <ns0:f>IF(COUNTA($A107:$M107)=0,"",IF(OR($U107="Subscription",$U107=""),"",IF($U107="Estimate","N/A",IF($U107="Draw",$H107,0))))</ns0:f>
      </ns0:c>
      <ns0:c r="S107" s="114">
        <ns0:f>IF(COUNTA($A107:$M107)=0,"",IF(OR($U107="Subscription",$U107=""),"",IF($U107="Estimate","N/A",IF($U107="Disqualified",$H107,0))))</ns0:f>
      </ns0:c>
      <ns0:c r="T107" s="955">
        <ns0:f>IF(COUNTA($A107:$M107)=0,"",IF(OR($U107="Subscription",$U107=""),"",IF($U107="Estimate","N/A",IF(OR($U107="Free Game",$U107="Disqualified — Free Game",$H107=0),"N/A",IF($U107="Profit",$Q107/$H107,IF($U107="Disqualified",-$S107/$H107,0))))))</ns0:f>
      </ns0:c>
      <ns0:c r="U107" s="920">
        <ns0:f>IF(COUNTA($A107:$M107)=0,"",IF(OR(LEFT(LOWER(TRIM($F107&amp;"")),12)="subscription",LOWER(TRIM($F107&amp;""))="membership"),"Subscription",IF(LOWER(TRIM($D107&amp;""))="estimate","Estimate",IF(OR(AND($H107&lt;&gt;"",$H107=0),LEFT(LOWER(TRIM($F107&amp;"")),9)="free game",LOWER(TRIM($F107&amp;""))="free",LOWER(TRIM($F107&amp;""))="free entry"),IF(LOWER($L107&amp;"")="yes","Disqualified — Free Game","Free Game"),IF(LOWER($L107&amp;"")="yes","Disqualified",IF($P107="","",IF(ROUND(IFERROR(VALUE($P107),0)-IFERROR(VALUE($H107),0),2)&gt;0,"Profit","Draw")))))))</ns0:f>
      </ns0:c>
      <ns0:c r="V107" s="956" t="str">
        <ns0:f>IF(COUNTA($A107:$M107)=0,"",IF(OR($B107="",$C107="",$U107="Subscription"),"",IFERROR(ROUNDUP(($C107-$B107)/7,0),"")))</ns0:f>
      </ns0:c>
      <ns0:c r="W107" s="114">
        <ns0:f>IF(COUNTA($A107:$M107)=0,"",IF(OR($U107="Subscription",$U107=""),"",IF($U107="Estimate","N/A",IF(OR($U107="Free Game",$U107="Disqualified — Free Game"),0,ROUND(IFERROR($Q107,0)-IFERROR($S107,0),2)))))</ns0:f>
      </ns0:c>
      <ns0:c r="X107" s="956" t="str">
        <ns0:f>IF(COUNTA($A107:$M107)=0,"",IF(OR($U107="Subscription",NOT(ISNUMBER($J107)),NOT(ISNUMBER($I107)),$J107=0,$I107=0,$I107&gt;$J107),"",$J107-$I107))</ns0:f>
      </ns0:c>
      <ns0:c r="Y107" s="955" t="str">
        <ns0:f>IF(COUNTA($A107:$M107)=0,"",IF(OR($U107="Subscription",NOT(ISNUMBER($J107)),$J107=0,$X107=""),"",$X107/$J107))</ns0:f>
      </ns0:c>
      <ns0:c r="Z107" s="957" t="str">
        <ns0:f>IF(COUNTA($A107:$M107)=0,"",Instructions!$B$29+SUM($W$5:W107))</ns0:f>
      </ns0:c>
    </ns0:row>
    <ns0:row r="108" ht="36" customHeight="1">
      <ns0:c r="A108" s="439"/>
      <ns0:c r="B108" s="453"/>
      <ns0:c r="C108" s="453"/>
      <ns0:c r="D108" s="454"/>
      <ns0:c r="E108" s="454"/>
      <ns0:c r="F108" s="454"/>
      <ns0:c r="G108" s="986"/>
      <ns0:c r="H108" s="455"/>
      <ns0:c r="I108" s="456"/>
      <ns0:c r="J108" s="456"/>
      <ns0:c r="K108" s="986"/>
      <ns0:c r="L108" s="454"/>
      <ns0:c r="M108" s="439"/>
      <ns0:c r="N108" s="987" t="str">
        <ns0:f>IF(COUNTA($A108:$M108)=0,"",IF(OR(LEFT(LOWER(TRIM($F108&amp;"")),12)="subscription",LOWER(TRIM($F108&amp;""))="membership"),"",IF(OR(AND($H108&lt;&gt;"",$H108=0),LEFT(LOWER(TRIM($F108&amp;"")),9)="free game",LOWER(TRIM($F108&amp;""))="free",LOWER(TRIM($F108&amp;""))="free entry"),IF(ISNUMBER($G108),IF(ISNUMBER(SEARCH("non",LOWER($E108&amp;""))),$G108*0.85,$G108),"N/A"),IF($G108="","",IFERROR(IF(ISNUMBER(SEARCH("non",LOWER($E108&amp;""))),$G108*0.85,$G108),"")))))</ns0:f>
        <ns0:v/>
      </ns0:c>
      <ns0:c r="O108" s="987" t="str">
        <ns0:f>IF(COUNTA($A108:$M108)=0,"",IF(OR(LEFT(LOWER(TRIM($F108&amp;"")),12)="subscription",LOWER(TRIM($F108&amp;""))="membership"),"",IF(OR(AND($H108&lt;&gt;"",$H108=0),LEFT(LOWER(TRIM($F108&amp;"")),9)="free game",LOWER(TRIM($F108&amp;""))="free",LOWER(TRIM($F108&amp;""))="free entry"),IF(OR(NOT(ISNUMBER($N108)),NOT(ISNUMBER($I108)),$I108=0),"N/A",IFERROR($N108/$I108,"N/A")),IF(OR($N108="",$I108="",$I108=0),"",IFERROR($N108/$I108,"")))))</ns0:f>
        <ns0:v/>
      </ns0:c>
      <ns0:c r="P108" s="987">
        <ns0:f>IF(COUNTA($A108:$M108)=0,"",IF(OR(LEFT(LOWER(TRIM($F108&amp;"")),12)="subscription",LOWER(TRIM($F108&amp;""))="membership"),"",IF(LOWER(TRIM($D108&amp;""))="estimate","N/A",IF(LOWER($L108&amp;"")="yes",0,IF(OR(AND($H108&lt;&gt;"",$H108=0),LEFT(LOWER(TRIM($F108&amp;"")),9)="free game",LOWER(TRIM($F108&amp;""))="free",LOWER(TRIM($F108&amp;""))="free entry"),IF(ISNUMBER($K108),$K108,""),IF($K108&lt;&gt;"",$K108,""))))))</ns0:f>
      </ns0:c>
      <ns0:c r="Q108" s="114">
        <ns0:f>IF(COUNTA($A108:$M108)=0,"",IF(OR($U108="Subscription",$U108=""),"",IF($U108="Estimate","N/A",IF($U108="Profit",ROUND(IFERROR($P108,0)-IFERROR($H108,0),2),0))))</ns0:f>
      </ns0:c>
      <ns0:c r="R108" s="114">
        <ns0:f>IF(COUNTA($A108:$M108)=0,"",IF(OR($U108="Subscription",$U108=""),"",IF($U108="Estimate","N/A",IF($U108="Draw",$H108,0))))</ns0:f>
      </ns0:c>
      <ns0:c r="S108" s="114">
        <ns0:f>IF(COUNTA($A108:$M108)=0,"",IF(OR($U108="Subscription",$U108=""),"",IF($U108="Estimate","N/A",IF($U108="Disqualified",$H108,0))))</ns0:f>
      </ns0:c>
      <ns0:c r="T108" s="955">
        <ns0:f>IF(COUNTA($A108:$M108)=0,"",IF(OR($U108="Subscription",$U108=""),"",IF($U108="Estimate","N/A",IF(OR($U108="Free Game",$U108="Disqualified — Free Game",$H108=0),"N/A",IF($U108="Profit",$Q108/$H108,IF($U108="Disqualified",-$S108/$H108,0))))))</ns0:f>
      </ns0:c>
      <ns0:c r="U108" s="920">
        <ns0:f>IF(COUNTA($A108:$M108)=0,"",IF(OR(LEFT(LOWER(TRIM($F108&amp;"")),12)="subscription",LOWER(TRIM($F108&amp;""))="membership"),"Subscription",IF(LOWER(TRIM($D108&amp;""))="estimate","Estimate",IF(OR(AND($H108&lt;&gt;"",$H108=0),LEFT(LOWER(TRIM($F108&amp;"")),9)="free game",LOWER(TRIM($F108&amp;""))="free",LOWER(TRIM($F108&amp;""))="free entry"),IF(LOWER($L108&amp;"")="yes","Disqualified — Free Game","Free Game"),IF(LOWER($L108&amp;"")="yes","Disqualified",IF($P108="","",IF(ROUND(IFERROR(VALUE($P108),0)-IFERROR(VALUE($H108),0),2)&gt;0,"Profit","Draw")))))))</ns0:f>
      </ns0:c>
      <ns0:c r="V108" s="956" t="str">
        <ns0:f>IF(COUNTA($A108:$M108)=0,"",IF(OR($B108="",$C108="",$U108="Subscription"),"",IFERROR(ROUNDUP(($C108-$B108)/7,0),"")))</ns0:f>
      </ns0:c>
      <ns0:c r="W108" s="114">
        <ns0:f>IF(COUNTA($A108:$M108)=0,"",IF(OR($U108="Subscription",$U108=""),"",IF($U108="Estimate","N/A",IF(OR($U108="Free Game",$U108="Disqualified — Free Game"),0,ROUND(IFERROR($Q108,0)-IFERROR($S108,0),2)))))</ns0:f>
      </ns0:c>
      <ns0:c r="X108" s="956" t="str">
        <ns0:f>IF(COUNTA($A108:$M108)=0,"",IF(OR($U108="Subscription",NOT(ISNUMBER($J108)),NOT(ISNUMBER($I108)),$J108=0,$I108=0,$I108&gt;$J108),"",$J108-$I108))</ns0:f>
      </ns0:c>
      <ns0:c r="Y108" s="955" t="str">
        <ns0:f>IF(COUNTA($A108:$M108)=0,"",IF(OR($U108="Subscription",NOT(ISNUMBER($J108)),$J108=0,$X108=""),"",$X108/$J108))</ns0:f>
      </ns0:c>
      <ns0:c r="Z108" s="957" t="str">
        <ns0:f>IF(COUNTA($A108:$M108)=0,"",Instructions!$B$29+SUM($W$5:W108))</ns0:f>
      </ns0:c>
    </ns0:row>
    <ns0:row r="109" ht="36" customHeight="1">
      <ns0:c r="A109" s="439"/>
      <ns0:c r="B109" s="453"/>
      <ns0:c r="C109" s="453"/>
      <ns0:c r="D109" s="454"/>
      <ns0:c r="E109" s="454"/>
      <ns0:c r="F109" s="454"/>
      <ns0:c r="G109" s="986"/>
      <ns0:c r="H109" s="455"/>
      <ns0:c r="I109" s="456"/>
      <ns0:c r="J109" s="456"/>
      <ns0:c r="K109" s="986"/>
      <ns0:c r="L109" s="454"/>
      <ns0:c r="M109" s="439"/>
      <ns0:c r="N109" s="987" t="str">
        <ns0:f>IF(COUNTA($A109:$M109)=0,"",IF(OR(LEFT(LOWER(TRIM($F109&amp;"")),12)="subscription",LOWER(TRIM($F109&amp;""))="membership"),"",IF(OR(AND($H109&lt;&gt;"",$H109=0),LEFT(LOWER(TRIM($F109&amp;"")),9)="free game",LOWER(TRIM($F109&amp;""))="free",LOWER(TRIM($F109&amp;""))="free entry"),IF(ISNUMBER($G109),IF(ISNUMBER(SEARCH("non",LOWER($E109&amp;""))),$G109*0.85,$G109),"N/A"),IF($G109="","",IFERROR(IF(ISNUMBER(SEARCH("non",LOWER($E109&amp;""))),$G109*0.85,$G109),"")))))</ns0:f>
        <ns0:v/>
      </ns0:c>
      <ns0:c r="O109" s="987" t="str">
        <ns0:f>IF(COUNTA($A109:$M109)=0,"",IF(OR(LEFT(LOWER(TRIM($F109&amp;"")),12)="subscription",LOWER(TRIM($F109&amp;""))="membership"),"",IF(OR(AND($H109&lt;&gt;"",$H109=0),LEFT(LOWER(TRIM($F109&amp;"")),9)="free game",LOWER(TRIM($F109&amp;""))="free",LOWER(TRIM($F109&amp;""))="free entry"),IF(OR(NOT(ISNUMBER($N109)),NOT(ISNUMBER($I109)),$I109=0),"N/A",IFERROR($N109/$I109,"N/A")),IF(OR($N109="",$I109="",$I109=0),"",IFERROR($N109/$I109,"")))))</ns0:f>
        <ns0:v/>
      </ns0:c>
      <ns0:c r="P109" s="987">
        <ns0:f>IF(COUNTA($A109:$M109)=0,"",IF(OR(LEFT(LOWER(TRIM($F109&amp;"")),12)="subscription",LOWER(TRIM($F109&amp;""))="membership"),"",IF(LOWER(TRIM($D109&amp;""))="estimate","N/A",IF(LOWER($L109&amp;"")="yes",0,IF(OR(AND($H109&lt;&gt;"",$H109=0),LEFT(LOWER(TRIM($F109&amp;"")),9)="free game",LOWER(TRIM($F109&amp;""))="free",LOWER(TRIM($F109&amp;""))="free entry"),IF(ISNUMBER($K109),$K109,""),IF($K109&lt;&gt;"",$K109,""))))))</ns0:f>
      </ns0:c>
      <ns0:c r="Q109" s="114">
        <ns0:f>IF(COUNTA($A109:$M109)=0,"",IF(OR($U109="Subscription",$U109=""),"",IF($U109="Estimate","N/A",IF($U109="Profit",ROUND(IFERROR($P109,0)-IFERROR($H109,0),2),0))))</ns0:f>
      </ns0:c>
      <ns0:c r="R109" s="114">
        <ns0:f>IF(COUNTA($A109:$M109)=0,"",IF(OR($U109="Subscription",$U109=""),"",IF($U109="Estimate","N/A",IF($U109="Draw",$H109,0))))</ns0:f>
      </ns0:c>
      <ns0:c r="S109" s="114">
        <ns0:f>IF(COUNTA($A109:$M109)=0,"",IF(OR($U109="Subscription",$U109=""),"",IF($U109="Estimate","N/A",IF($U109="Disqualified",$H109,0))))</ns0:f>
      </ns0:c>
      <ns0:c r="T109" s="955">
        <ns0:f>IF(COUNTA($A109:$M109)=0,"",IF(OR($U109="Subscription",$U109=""),"",IF($U109="Estimate","N/A",IF(OR($U109="Free Game",$U109="Disqualified — Free Game",$H109=0),"N/A",IF($U109="Profit",$Q109/$H109,IF($U109="Disqualified",-$S109/$H109,0))))))</ns0:f>
      </ns0:c>
      <ns0:c r="U109" s="920">
        <ns0:f>IF(COUNTA($A109:$M109)=0,"",IF(OR(LEFT(LOWER(TRIM($F109&amp;"")),12)="subscription",LOWER(TRIM($F109&amp;""))="membership"),"Subscription",IF(LOWER(TRIM($D109&amp;""))="estimate","Estimate",IF(OR(AND($H109&lt;&gt;"",$H109=0),LEFT(LOWER(TRIM($F109&amp;"")),9)="free game",LOWER(TRIM($F109&amp;""))="free",LOWER(TRIM($F109&amp;""))="free entry"),IF(LOWER($L109&amp;"")="yes","Disqualified — Free Game","Free Game"),IF(LOWER($L109&amp;"")="yes","Disqualified",IF($P109="","",IF(ROUND(IFERROR(VALUE($P109),0)-IFERROR(VALUE($H109),0),2)&gt;0,"Profit","Draw")))))))</ns0:f>
      </ns0:c>
      <ns0:c r="V109" s="956" t="str">
        <ns0:f>IF(COUNTA($A109:$M109)=0,"",IF(OR($B109="",$C109="",$U109="Subscription"),"",IFERROR(ROUNDUP(($C109-$B109)/7,0),"")))</ns0:f>
      </ns0:c>
      <ns0:c r="W109" s="114">
        <ns0:f>IF(COUNTA($A109:$M109)=0,"",IF(OR($U109="Subscription",$U109=""),"",IF($U109="Estimate","N/A",IF(OR($U109="Free Game",$U109="Disqualified — Free Game"),0,ROUND(IFERROR($Q109,0)-IFERROR($S109,0),2)))))</ns0:f>
      </ns0:c>
      <ns0:c r="X109" s="956" t="str">
        <ns0:f>IF(COUNTA($A109:$M109)=0,"",IF(OR($U109="Subscription",NOT(ISNUMBER($J109)),NOT(ISNUMBER($I109)),$J109=0,$I109=0,$I109&gt;$J109),"",$J109-$I109))</ns0:f>
      </ns0:c>
      <ns0:c r="Y109" s="955" t="str">
        <ns0:f>IF(COUNTA($A109:$M109)=0,"",IF(OR($U109="Subscription",NOT(ISNUMBER($J109)),$J109=0,$X109=""),"",$X109/$J109))</ns0:f>
      </ns0:c>
      <ns0:c r="Z109" s="957" t="str">
        <ns0:f>IF(COUNTA($A109:$M109)=0,"",Instructions!$B$29+SUM($W$5:W109))</ns0:f>
      </ns0:c>
    </ns0:row>
    <ns0:row r="110" ht="36" customHeight="1">
      <ns0:c r="A110" s="439"/>
      <ns0:c r="B110" s="453"/>
      <ns0:c r="C110" s="453"/>
      <ns0:c r="D110" s="454"/>
      <ns0:c r="E110" s="454"/>
      <ns0:c r="F110" s="454"/>
      <ns0:c r="G110" s="986"/>
      <ns0:c r="H110" s="455"/>
      <ns0:c r="I110" s="456"/>
      <ns0:c r="J110" s="456"/>
      <ns0:c r="K110" s="986"/>
      <ns0:c r="L110" s="454"/>
      <ns0:c r="M110" s="439"/>
      <ns0:c r="N110" s="987" t="str">
        <ns0:f>IF(COUNTA($A110:$M110)=0,"",IF(OR(LEFT(LOWER(TRIM($F110&amp;"")),12)="subscription",LOWER(TRIM($F110&amp;""))="membership"),"",IF(OR(AND($H110&lt;&gt;"",$H110=0),LEFT(LOWER(TRIM($F110&amp;"")),9)="free game",LOWER(TRIM($F110&amp;""))="free",LOWER(TRIM($F110&amp;""))="free entry"),IF(ISNUMBER($G110),IF(ISNUMBER(SEARCH("non",LOWER($E110&amp;""))),$G110*0.85,$G110),"N/A"),IF($G110="","",IFERROR(IF(ISNUMBER(SEARCH("non",LOWER($E110&amp;""))),$G110*0.85,$G110),"")))))</ns0:f>
        <ns0:v/>
      </ns0:c>
      <ns0:c r="O110" s="987" t="str">
        <ns0:f>IF(COUNTA($A110:$M110)=0,"",IF(OR(LEFT(LOWER(TRIM($F110&amp;"")),12)="subscription",LOWER(TRIM($F110&amp;""))="membership"),"",IF(OR(AND($H110&lt;&gt;"",$H110=0),LEFT(LOWER(TRIM($F110&amp;"")),9)="free game",LOWER(TRIM($F110&amp;""))="free",LOWER(TRIM($F110&amp;""))="free entry"),IF(OR(NOT(ISNUMBER($N110)),NOT(ISNUMBER($I110)),$I110=0),"N/A",IFERROR($N110/$I110,"N/A")),IF(OR($N110="",$I110="",$I110=0),"",IFERROR($N110/$I110,"")))))</ns0:f>
        <ns0:v/>
      </ns0:c>
      <ns0:c r="P110" s="987">
        <ns0:f>IF(COUNTA($A110:$M110)=0,"",IF(OR(LEFT(LOWER(TRIM($F110&amp;"")),12)="subscription",LOWER(TRIM($F110&amp;""))="membership"),"",IF(LOWER(TRIM($D110&amp;""))="estimate","N/A",IF(LOWER($L110&amp;"")="yes",0,IF(OR(AND($H110&lt;&gt;"",$H110=0),LEFT(LOWER(TRIM($F110&amp;"")),9)="free game",LOWER(TRIM($F110&amp;""))="free",LOWER(TRIM($F110&amp;""))="free entry"),IF(ISNUMBER($K110),$K110,""),IF($K110&lt;&gt;"",$K110,""))))))</ns0:f>
      </ns0:c>
      <ns0:c r="Q110" s="114">
        <ns0:f>IF(COUNTA($A110:$M110)=0,"",IF(OR($U110="Subscription",$U110=""),"",IF($U110="Estimate","N/A",IF($U110="Profit",ROUND(IFERROR($P110,0)-IFERROR($H110,0),2),0))))</ns0:f>
      </ns0:c>
      <ns0:c r="R110" s="114">
        <ns0:f>IF(COUNTA($A110:$M110)=0,"",IF(OR($U110="Subscription",$U110=""),"",IF($U110="Estimate","N/A",IF($U110="Draw",$H110,0))))</ns0:f>
      </ns0:c>
      <ns0:c r="S110" s="114">
        <ns0:f>IF(COUNTA($A110:$M110)=0,"",IF(OR($U110="Subscription",$U110=""),"",IF($U110="Estimate","N/A",IF($U110="Disqualified",$H110,0))))</ns0:f>
      </ns0:c>
      <ns0:c r="T110" s="955">
        <ns0:f>IF(COUNTA($A110:$M110)=0,"",IF(OR($U110="Subscription",$U110=""),"",IF($U110="Estimate","N/A",IF(OR($U110="Free Game",$U110="Disqualified — Free Game",$H110=0),"N/A",IF($U110="Profit",$Q110/$H110,IF($U110="Disqualified",-$S110/$H110,0))))))</ns0:f>
      </ns0:c>
      <ns0:c r="U110" s="920">
        <ns0:f>IF(COUNTA($A110:$M110)=0,"",IF(OR(LEFT(LOWER(TRIM($F110&amp;"")),12)="subscription",LOWER(TRIM($F110&amp;""))="membership"),"Subscription",IF(LOWER(TRIM($D110&amp;""))="estimate","Estimate",IF(OR(AND($H110&lt;&gt;"",$H110=0),LEFT(LOWER(TRIM($F110&amp;"")),9)="free game",LOWER(TRIM($F110&amp;""))="free",LOWER(TRIM($F110&amp;""))="free entry"),IF(LOWER($L110&amp;"")="yes","Disqualified — Free Game","Free Game"),IF(LOWER($L110&amp;"")="yes","Disqualified",IF($P110="","",IF(ROUND(IFERROR(VALUE($P110),0)-IFERROR(VALUE($H110),0),2)&gt;0,"Profit","Draw")))))))</ns0:f>
      </ns0:c>
      <ns0:c r="V110" s="956" t="str">
        <ns0:f>IF(COUNTA($A110:$M110)=0,"",IF(OR($B110="",$C110="",$U110="Subscription"),"",IFERROR(ROUNDUP(($C110-$B110)/7,0),"")))</ns0:f>
      </ns0:c>
      <ns0:c r="W110" s="114">
        <ns0:f>IF(COUNTA($A110:$M110)=0,"",IF(OR($U110="Subscription",$U110=""),"",IF($U110="Estimate","N/A",IF(OR($U110="Free Game",$U110="Disqualified — Free Game"),0,ROUND(IFERROR($Q110,0)-IFERROR($S110,0),2)))))</ns0:f>
      </ns0:c>
      <ns0:c r="X110" s="956" t="str">
        <ns0:f>IF(COUNTA($A110:$M110)=0,"",IF(OR($U110="Subscription",NOT(ISNUMBER($J110)),NOT(ISNUMBER($I110)),$J110=0,$I110=0,$I110&gt;$J110),"",$J110-$I110))</ns0:f>
      </ns0:c>
      <ns0:c r="Y110" s="955" t="str">
        <ns0:f>IF(COUNTA($A110:$M110)=0,"",IF(OR($U110="Subscription",NOT(ISNUMBER($J110)),$J110=0,$X110=""),"",$X110/$J110))</ns0:f>
      </ns0:c>
      <ns0:c r="Z110" s="957" t="str">
        <ns0:f>IF(COUNTA($A110:$M110)=0,"",Instructions!$B$29+SUM($W$5:W110))</ns0:f>
      </ns0:c>
    </ns0:row>
    <ns0:row r="111" ht="36" customHeight="1">
      <ns0:c r="A111" s="439"/>
      <ns0:c r="B111" s="453"/>
      <ns0:c r="C111" s="453"/>
      <ns0:c r="D111" s="454"/>
      <ns0:c r="E111" s="454"/>
      <ns0:c r="F111" s="454"/>
      <ns0:c r="G111" s="986"/>
      <ns0:c r="H111" s="455"/>
      <ns0:c r="I111" s="456"/>
      <ns0:c r="J111" s="456"/>
      <ns0:c r="K111" s="986"/>
      <ns0:c r="L111" s="454"/>
      <ns0:c r="M111" s="439"/>
      <ns0:c r="N111" s="987" t="str">
        <ns0:f>IF(COUNTA($A111:$M111)=0,"",IF(OR(LEFT(LOWER(TRIM($F111&amp;"")),12)="subscription",LOWER(TRIM($F111&amp;""))="membership"),"",IF(OR(AND($H111&lt;&gt;"",$H111=0),LEFT(LOWER(TRIM($F111&amp;"")),9)="free game",LOWER(TRIM($F111&amp;""))="free",LOWER(TRIM($F111&amp;""))="free entry"),IF(ISNUMBER($G111),IF(ISNUMBER(SEARCH("non",LOWER($E111&amp;""))),$G111*0.85,$G111),"N/A"),IF($G111="","",IFERROR(IF(ISNUMBER(SEARCH("non",LOWER($E111&amp;""))),$G111*0.85,$G111),"")))))</ns0:f>
        <ns0:v/>
      </ns0:c>
      <ns0:c r="O111" s="987" t="str">
        <ns0:f>IF(COUNTA($A111:$M111)=0,"",IF(OR(LEFT(LOWER(TRIM($F111&amp;"")),12)="subscription",LOWER(TRIM($F111&amp;""))="membership"),"",IF(OR(AND($H111&lt;&gt;"",$H111=0),LEFT(LOWER(TRIM($F111&amp;"")),9)="free game",LOWER(TRIM($F111&amp;""))="free",LOWER(TRIM($F111&amp;""))="free entry"),IF(OR(NOT(ISNUMBER($N111)),NOT(ISNUMBER($I111)),$I111=0),"N/A",IFERROR($N111/$I111,"N/A")),IF(OR($N111="",$I111="",$I111=0),"",IFERROR($N111/$I111,"")))))</ns0:f>
        <ns0:v/>
      </ns0:c>
      <ns0:c r="P111" s="987">
        <ns0:f>IF(COUNTA($A111:$M111)=0,"",IF(OR(LEFT(LOWER(TRIM($F111&amp;"")),12)="subscription",LOWER(TRIM($F111&amp;""))="membership"),"",IF(LOWER(TRIM($D111&amp;""))="estimate","N/A",IF(LOWER($L111&amp;"")="yes",0,IF(OR(AND($H111&lt;&gt;"",$H111=0),LEFT(LOWER(TRIM($F111&amp;"")),9)="free game",LOWER(TRIM($F111&amp;""))="free",LOWER(TRIM($F111&amp;""))="free entry"),IF(ISNUMBER($K111),$K111,""),IF($K111&lt;&gt;"",$K111,""))))))</ns0:f>
      </ns0:c>
      <ns0:c r="Q111" s="114">
        <ns0:f>IF(COUNTA($A111:$M111)=0,"",IF(OR($U111="Subscription",$U111=""),"",IF($U111="Estimate","N/A",IF($U111="Profit",ROUND(IFERROR($P111,0)-IFERROR($H111,0),2),0))))</ns0:f>
      </ns0:c>
      <ns0:c r="R111" s="114">
        <ns0:f>IF(COUNTA($A111:$M111)=0,"",IF(OR($U111="Subscription",$U111=""),"",IF($U111="Estimate","N/A",IF($U111="Draw",$H111,0))))</ns0:f>
      </ns0:c>
      <ns0:c r="S111" s="114">
        <ns0:f>IF(COUNTA($A111:$M111)=0,"",IF(OR($U111="Subscription",$U111=""),"",IF($U111="Estimate","N/A",IF($U111="Disqualified",$H111,0))))</ns0:f>
      </ns0:c>
      <ns0:c r="T111" s="955">
        <ns0:f>IF(COUNTA($A111:$M111)=0,"",IF(OR($U111="Subscription",$U111=""),"",IF($U111="Estimate","N/A",IF(OR($U111="Free Game",$U111="Disqualified — Free Game",$H111=0),"N/A",IF($U111="Profit",$Q111/$H111,IF($U111="Disqualified",-$S111/$H111,0))))))</ns0:f>
      </ns0:c>
      <ns0:c r="U111" s="920">
        <ns0:f>IF(COUNTA($A111:$M111)=0,"",IF(OR(LEFT(LOWER(TRIM($F111&amp;"")),12)="subscription",LOWER(TRIM($F111&amp;""))="membership"),"Subscription",IF(LOWER(TRIM($D111&amp;""))="estimate","Estimate",IF(OR(AND($H111&lt;&gt;"",$H111=0),LEFT(LOWER(TRIM($F111&amp;"")),9)="free game",LOWER(TRIM($F111&amp;""))="free",LOWER(TRIM($F111&amp;""))="free entry"),IF(LOWER($L111&amp;"")="yes","Disqualified — Free Game","Free Game"),IF(LOWER($L111&amp;"")="yes","Disqualified",IF($P111="","",IF(ROUND(IFERROR(VALUE($P111),0)-IFERROR(VALUE($H111),0),2)&gt;0,"Profit","Draw")))))))</ns0:f>
      </ns0:c>
      <ns0:c r="V111" s="956" t="str">
        <ns0:f>IF(COUNTA($A111:$M111)=0,"",IF(OR($B111="",$C111="",$U111="Subscription"),"",IFERROR(ROUNDUP(($C111-$B111)/7,0),"")))</ns0:f>
      </ns0:c>
      <ns0:c r="W111" s="114">
        <ns0:f>IF(COUNTA($A111:$M111)=0,"",IF(OR($U111="Subscription",$U111=""),"",IF($U111="Estimate","N/A",IF(OR($U111="Free Game",$U111="Disqualified — Free Game"),0,ROUND(IFERROR($Q111,0)-IFERROR($S111,0),2)))))</ns0:f>
      </ns0:c>
      <ns0:c r="X111" s="956" t="str">
        <ns0:f>IF(COUNTA($A111:$M111)=0,"",IF(OR($U111="Subscription",NOT(ISNUMBER($J111)),NOT(ISNUMBER($I111)),$J111=0,$I111=0,$I111&gt;$J111),"",$J111-$I111))</ns0:f>
      </ns0:c>
      <ns0:c r="Y111" s="955" t="str">
        <ns0:f>IF(COUNTA($A111:$M111)=0,"",IF(OR($U111="Subscription",NOT(ISNUMBER($J111)),$J111=0,$X111=""),"",$X111/$J111))</ns0:f>
      </ns0:c>
      <ns0:c r="Z111" s="957" t="str">
        <ns0:f>IF(COUNTA($A111:$M111)=0,"",Instructions!$B$29+SUM($W$5:W111))</ns0:f>
      </ns0:c>
    </ns0:row>
    <ns0:row r="112" ht="36" customHeight="1">
      <ns0:c r="A112" s="439"/>
      <ns0:c r="B112" s="453"/>
      <ns0:c r="C112" s="453"/>
      <ns0:c r="D112" s="454"/>
      <ns0:c r="E112" s="454"/>
      <ns0:c r="F112" s="454"/>
      <ns0:c r="G112" s="986"/>
      <ns0:c r="H112" s="455"/>
      <ns0:c r="I112" s="456"/>
      <ns0:c r="J112" s="456"/>
      <ns0:c r="K112" s="986"/>
      <ns0:c r="L112" s="454"/>
      <ns0:c r="M112" s="439"/>
      <ns0:c r="N112" s="987" t="str">
        <ns0:f>IF(COUNTA($A112:$M112)=0,"",IF(OR(LEFT(LOWER(TRIM($F112&amp;"")),12)="subscription",LOWER(TRIM($F112&amp;""))="membership"),"",IF(OR(AND($H112&lt;&gt;"",$H112=0),LEFT(LOWER(TRIM($F112&amp;"")),9)="free game",LOWER(TRIM($F112&amp;""))="free",LOWER(TRIM($F112&amp;""))="free entry"),IF(ISNUMBER($G112),IF(ISNUMBER(SEARCH("non",LOWER($E112&amp;""))),$G112*0.85,$G112),"N/A"),IF($G112="","",IFERROR(IF(ISNUMBER(SEARCH("non",LOWER($E112&amp;""))),$G112*0.85,$G112),"")))))</ns0:f>
        <ns0:v/>
      </ns0:c>
      <ns0:c r="O112" s="987" t="str">
        <ns0:f>IF(COUNTA($A112:$M112)=0,"",IF(OR(LEFT(LOWER(TRIM($F112&amp;"")),12)="subscription",LOWER(TRIM($F112&amp;""))="membership"),"",IF(OR(AND($H112&lt;&gt;"",$H112=0),LEFT(LOWER(TRIM($F112&amp;"")),9)="free game",LOWER(TRIM($F112&amp;""))="free",LOWER(TRIM($F112&amp;""))="free entry"),IF(OR(NOT(ISNUMBER($N112)),NOT(ISNUMBER($I112)),$I112=0),"N/A",IFERROR($N112/$I112,"N/A")),IF(OR($N112="",$I112="",$I112=0),"",IFERROR($N112/$I112,"")))))</ns0:f>
        <ns0:v/>
      </ns0:c>
      <ns0:c r="P112" s="987">
        <ns0:f>IF(COUNTA($A112:$M112)=0,"",IF(OR(LEFT(LOWER(TRIM($F112&amp;"")),12)="subscription",LOWER(TRIM($F112&amp;""))="membership"),"",IF(LOWER(TRIM($D112&amp;""))="estimate","N/A",IF(LOWER($L112&amp;"")="yes",0,IF(OR(AND($H112&lt;&gt;"",$H112=0),LEFT(LOWER(TRIM($F112&amp;"")),9)="free game",LOWER(TRIM($F112&amp;""))="free",LOWER(TRIM($F112&amp;""))="free entry"),IF(ISNUMBER($K112),$K112,""),IF($K112&lt;&gt;"",$K112,""))))))</ns0:f>
      </ns0:c>
      <ns0:c r="Q112" s="114">
        <ns0:f>IF(COUNTA($A112:$M112)=0,"",IF(OR($U112="Subscription",$U112=""),"",IF($U112="Estimate","N/A",IF($U112="Profit",ROUND(IFERROR($P112,0)-IFERROR($H112,0),2),0))))</ns0:f>
      </ns0:c>
      <ns0:c r="R112" s="114">
        <ns0:f>IF(COUNTA($A112:$M112)=0,"",IF(OR($U112="Subscription",$U112=""),"",IF($U112="Estimate","N/A",IF($U112="Draw",$H112,0))))</ns0:f>
      </ns0:c>
      <ns0:c r="S112" s="114">
        <ns0:f>IF(COUNTA($A112:$M112)=0,"",IF(OR($U112="Subscription",$U112=""),"",IF($U112="Estimate","N/A",IF($U112="Disqualified",$H112,0))))</ns0:f>
      </ns0:c>
      <ns0:c r="T112" s="955">
        <ns0:f>IF(COUNTA($A112:$M112)=0,"",IF(OR($U112="Subscription",$U112=""),"",IF($U112="Estimate","N/A",IF(OR($U112="Free Game",$U112="Disqualified — Free Game",$H112=0),"N/A",IF($U112="Profit",$Q112/$H112,IF($U112="Disqualified",-$S112/$H112,0))))))</ns0:f>
      </ns0:c>
      <ns0:c r="U112" s="920">
        <ns0:f>IF(COUNTA($A112:$M112)=0,"",IF(OR(LEFT(LOWER(TRIM($F112&amp;"")),12)="subscription",LOWER(TRIM($F112&amp;""))="membership"),"Subscription",IF(LOWER(TRIM($D112&amp;""))="estimate","Estimate",IF(OR(AND($H112&lt;&gt;"",$H112=0),LEFT(LOWER(TRIM($F112&amp;"")),9)="free game",LOWER(TRIM($F112&amp;""))="free",LOWER(TRIM($F112&amp;""))="free entry"),IF(LOWER($L112&amp;"")="yes","Disqualified — Free Game","Free Game"),IF(LOWER($L112&amp;"")="yes","Disqualified",IF($P112="","",IF(ROUND(IFERROR(VALUE($P112),0)-IFERROR(VALUE($H112),0),2)&gt;0,"Profit","Draw")))))))</ns0:f>
      </ns0:c>
      <ns0:c r="V112" s="956" t="str">
        <ns0:f>IF(COUNTA($A112:$M112)=0,"",IF(OR($B112="",$C112="",$U112="Subscription"),"",IFERROR(ROUNDUP(($C112-$B112)/7,0),"")))</ns0:f>
      </ns0:c>
      <ns0:c r="W112" s="114">
        <ns0:f>IF(COUNTA($A112:$M112)=0,"",IF(OR($U112="Subscription",$U112=""),"",IF($U112="Estimate","N/A",IF(OR($U112="Free Game",$U112="Disqualified — Free Game"),0,ROUND(IFERROR($Q112,0)-IFERROR($S112,0),2)))))</ns0:f>
      </ns0:c>
      <ns0:c r="X112" s="956" t="str">
        <ns0:f>IF(COUNTA($A112:$M112)=0,"",IF(OR($U112="Subscription",NOT(ISNUMBER($J112)),NOT(ISNUMBER($I112)),$J112=0,$I112=0,$I112&gt;$J112),"",$J112-$I112))</ns0:f>
      </ns0:c>
      <ns0:c r="Y112" s="955" t="str">
        <ns0:f>IF(COUNTA($A112:$M112)=0,"",IF(OR($U112="Subscription",NOT(ISNUMBER($J112)),$J112=0,$X112=""),"",$X112/$J112))</ns0:f>
      </ns0:c>
      <ns0:c r="Z112" s="957" t="str">
        <ns0:f>IF(COUNTA($A112:$M112)=0,"",Instructions!$B$29+SUM($W$5:W112))</ns0:f>
      </ns0:c>
    </ns0:row>
    <ns0:row r="113" ht="36" customHeight="1">
      <ns0:c r="A113" s="439"/>
      <ns0:c r="B113" s="453"/>
      <ns0:c r="C113" s="453"/>
      <ns0:c r="D113" s="454"/>
      <ns0:c r="E113" s="454"/>
      <ns0:c r="F113" s="454"/>
      <ns0:c r="G113" s="986"/>
      <ns0:c r="H113" s="455"/>
      <ns0:c r="I113" s="456"/>
      <ns0:c r="J113" s="456"/>
      <ns0:c r="K113" s="986"/>
      <ns0:c r="L113" s="454"/>
      <ns0:c r="M113" s="439"/>
      <ns0:c r="N113" s="987" t="str">
        <ns0:f>IF(COUNTA($A113:$M113)=0,"",IF(OR(LEFT(LOWER(TRIM($F113&amp;"")),12)="subscription",LOWER(TRIM($F113&amp;""))="membership"),"",IF(OR(AND($H113&lt;&gt;"",$H113=0),LEFT(LOWER(TRIM($F113&amp;"")),9)="free game",LOWER(TRIM($F113&amp;""))="free",LOWER(TRIM($F113&amp;""))="free entry"),IF(ISNUMBER($G113),IF(ISNUMBER(SEARCH("non",LOWER($E113&amp;""))),$G113*0.85,$G113),"N/A"),IF($G113="","",IFERROR(IF(ISNUMBER(SEARCH("non",LOWER($E113&amp;""))),$G113*0.85,$G113),"")))))</ns0:f>
        <ns0:v/>
      </ns0:c>
      <ns0:c r="O113" s="987" t="str">
        <ns0:f>IF(COUNTA($A113:$M113)=0,"",IF(OR(LEFT(LOWER(TRIM($F113&amp;"")),12)="subscription",LOWER(TRIM($F113&amp;""))="membership"),"",IF(OR(AND($H113&lt;&gt;"",$H113=0),LEFT(LOWER(TRIM($F113&amp;"")),9)="free game",LOWER(TRIM($F113&amp;""))="free",LOWER(TRIM($F113&amp;""))="free entry"),IF(OR(NOT(ISNUMBER($N113)),NOT(ISNUMBER($I113)),$I113=0),"N/A",IFERROR($N113/$I113,"N/A")),IF(OR($N113="",$I113="",$I113=0),"",IFERROR($N113/$I113,"")))))</ns0:f>
        <ns0:v/>
      </ns0:c>
      <ns0:c r="P113" s="987">
        <ns0:f>IF(COUNTA($A113:$M113)=0,"",IF(OR(LEFT(LOWER(TRIM($F113&amp;"")),12)="subscription",LOWER(TRIM($F113&amp;""))="membership"),"",IF(LOWER(TRIM($D113&amp;""))="estimate","N/A",IF(LOWER($L113&amp;"")="yes",0,IF(OR(AND($H113&lt;&gt;"",$H113=0),LEFT(LOWER(TRIM($F113&amp;"")),9)="free game",LOWER(TRIM($F113&amp;""))="free",LOWER(TRIM($F113&amp;""))="free entry"),IF(ISNUMBER($K113),$K113,""),IF($K113&lt;&gt;"",$K113,""))))))</ns0:f>
      </ns0:c>
      <ns0:c r="Q113" s="114">
        <ns0:f>IF(COUNTA($A113:$M113)=0,"",IF(OR($U113="Subscription",$U113=""),"",IF($U113="Estimate","N/A",IF($U113="Profit",ROUND(IFERROR($P113,0)-IFERROR($H113,0),2),0))))</ns0:f>
      </ns0:c>
      <ns0:c r="R113" s="114">
        <ns0:f>IF(COUNTA($A113:$M113)=0,"",IF(OR($U113="Subscription",$U113=""),"",IF($U113="Estimate","N/A",IF($U113="Draw",$H113,0))))</ns0:f>
      </ns0:c>
      <ns0:c r="S113" s="114">
        <ns0:f>IF(COUNTA($A113:$M113)=0,"",IF(OR($U113="Subscription",$U113=""),"",IF($U113="Estimate","N/A",IF($U113="Disqualified",$H113,0))))</ns0:f>
      </ns0:c>
      <ns0:c r="T113" s="955">
        <ns0:f>IF(COUNTA($A113:$M113)=0,"",IF(OR($U113="Subscription",$U113=""),"",IF($U113="Estimate","N/A",IF(OR($U113="Free Game",$U113="Disqualified — Free Game",$H113=0),"N/A",IF($U113="Profit",$Q113/$H113,IF($U113="Disqualified",-$S113/$H113,0))))))</ns0:f>
      </ns0:c>
      <ns0:c r="U113" s="920">
        <ns0:f>IF(COUNTA($A113:$M113)=0,"",IF(OR(LEFT(LOWER(TRIM($F113&amp;"")),12)="subscription",LOWER(TRIM($F113&amp;""))="membership"),"Subscription",IF(LOWER(TRIM($D113&amp;""))="estimate","Estimate",IF(OR(AND($H113&lt;&gt;"",$H113=0),LEFT(LOWER(TRIM($F113&amp;"")),9)="free game",LOWER(TRIM($F113&amp;""))="free",LOWER(TRIM($F113&amp;""))="free entry"),IF(LOWER($L113&amp;"")="yes","Disqualified — Free Game","Free Game"),IF(LOWER($L113&amp;"")="yes","Disqualified",IF($P113="","",IF(ROUND(IFERROR(VALUE($P113),0)-IFERROR(VALUE($H113),0),2)&gt;0,"Profit","Draw")))))))</ns0:f>
      </ns0:c>
      <ns0:c r="V113" s="956" t="str">
        <ns0:f>IF(COUNTA($A113:$M113)=0,"",IF(OR($B113="",$C113="",$U113="Subscription"),"",IFERROR(ROUNDUP(($C113-$B113)/7,0),"")))</ns0:f>
      </ns0:c>
      <ns0:c r="W113" s="114">
        <ns0:f>IF(COUNTA($A113:$M113)=0,"",IF(OR($U113="Subscription",$U113=""),"",IF($U113="Estimate","N/A",IF(OR($U113="Free Game",$U113="Disqualified — Free Game"),0,ROUND(IFERROR($Q113,0)-IFERROR($S113,0),2)))))</ns0:f>
      </ns0:c>
      <ns0:c r="X113" s="956" t="str">
        <ns0:f>IF(COUNTA($A113:$M113)=0,"",IF(OR($U113="Subscription",NOT(ISNUMBER($J113)),NOT(ISNUMBER($I113)),$J113=0,$I113=0,$I113&gt;$J113),"",$J113-$I113))</ns0:f>
      </ns0:c>
      <ns0:c r="Y113" s="955" t="str">
        <ns0:f>IF(COUNTA($A113:$M113)=0,"",IF(OR($U113="Subscription",NOT(ISNUMBER($J113)),$J113=0,$X113=""),"",$X113/$J113))</ns0:f>
      </ns0:c>
      <ns0:c r="Z113" s="957" t="str">
        <ns0:f>IF(COUNTA($A113:$M113)=0,"",Instructions!$B$29+SUM($W$5:W113))</ns0:f>
      </ns0:c>
    </ns0:row>
    <ns0:row r="114" ht="36" customHeight="1">
      <ns0:c r="A114" s="439"/>
      <ns0:c r="B114" s="453"/>
      <ns0:c r="C114" s="453"/>
      <ns0:c r="D114" s="454"/>
      <ns0:c r="E114" s="454"/>
      <ns0:c r="F114" s="454"/>
      <ns0:c r="G114" s="986"/>
      <ns0:c r="H114" s="455"/>
      <ns0:c r="I114" s="456"/>
      <ns0:c r="J114" s="456"/>
      <ns0:c r="K114" s="986"/>
      <ns0:c r="L114" s="454"/>
      <ns0:c r="M114" s="439"/>
      <ns0:c r="N114" s="987" t="str">
        <ns0:f>IF(COUNTA($A114:$M114)=0,"",IF(OR(LEFT(LOWER(TRIM($F114&amp;"")),12)="subscription",LOWER(TRIM($F114&amp;""))="membership"),"",IF(OR(AND($H114&lt;&gt;"",$H114=0),LEFT(LOWER(TRIM($F114&amp;"")),9)="free game",LOWER(TRIM($F114&amp;""))="free",LOWER(TRIM($F114&amp;""))="free entry"),IF(ISNUMBER($G114),IF(ISNUMBER(SEARCH("non",LOWER($E114&amp;""))),$G114*0.85,$G114),"N/A"),IF($G114="","",IFERROR(IF(ISNUMBER(SEARCH("non",LOWER($E114&amp;""))),$G114*0.85,$G114),"")))))</ns0:f>
        <ns0:v/>
      </ns0:c>
      <ns0:c r="O114" s="987" t="str">
        <ns0:f>IF(COUNTA($A114:$M114)=0,"",IF(OR(LEFT(LOWER(TRIM($F114&amp;"")),12)="subscription",LOWER(TRIM($F114&amp;""))="membership"),"",IF(OR(AND($H114&lt;&gt;"",$H114=0),LEFT(LOWER(TRIM($F114&amp;"")),9)="free game",LOWER(TRIM($F114&amp;""))="free",LOWER(TRIM($F114&amp;""))="free entry"),IF(OR(NOT(ISNUMBER($N114)),NOT(ISNUMBER($I114)),$I114=0),"N/A",IFERROR($N114/$I114,"N/A")),IF(OR($N114="",$I114="",$I114=0),"",IFERROR($N114/$I114,"")))))</ns0:f>
        <ns0:v/>
      </ns0:c>
      <ns0:c r="P114" s="987">
        <ns0:f>IF(COUNTA($A114:$M114)=0,"",IF(OR(LEFT(LOWER(TRIM($F114&amp;"")),12)="subscription",LOWER(TRIM($F114&amp;""))="membership"),"",IF(LOWER(TRIM($D114&amp;""))="estimate","N/A",IF(LOWER($L114&amp;"")="yes",0,IF(OR(AND($H114&lt;&gt;"",$H114=0),LEFT(LOWER(TRIM($F114&amp;"")),9)="free game",LOWER(TRIM($F114&amp;""))="free",LOWER(TRIM($F114&amp;""))="free entry"),IF(ISNUMBER($K114),$K114,""),IF($K114&lt;&gt;"",$K114,""))))))</ns0:f>
      </ns0:c>
      <ns0:c r="Q114" s="114">
        <ns0:f>IF(COUNTA($A114:$M114)=0,"",IF(OR($U114="Subscription",$U114=""),"",IF($U114="Estimate","N/A",IF($U114="Profit",ROUND(IFERROR($P114,0)-IFERROR($H114,0),2),0))))</ns0:f>
      </ns0:c>
      <ns0:c r="R114" s="114">
        <ns0:f>IF(COUNTA($A114:$M114)=0,"",IF(OR($U114="Subscription",$U114=""),"",IF($U114="Estimate","N/A",IF($U114="Draw",$H114,0))))</ns0:f>
      </ns0:c>
      <ns0:c r="S114" s="114">
        <ns0:f>IF(COUNTA($A114:$M114)=0,"",IF(OR($U114="Subscription",$U114=""),"",IF($U114="Estimate","N/A",IF($U114="Disqualified",$H114,0))))</ns0:f>
      </ns0:c>
      <ns0:c r="T114" s="955">
        <ns0:f>IF(COUNTA($A114:$M114)=0,"",IF(OR($U114="Subscription",$U114=""),"",IF($U114="Estimate","N/A",IF(OR($U114="Free Game",$U114="Disqualified — Free Game",$H114=0),"N/A",IF($U114="Profit",$Q114/$H114,IF($U114="Disqualified",-$S114/$H114,0))))))</ns0:f>
      </ns0:c>
      <ns0:c r="U114" s="920">
        <ns0:f>IF(COUNTA($A114:$M114)=0,"",IF(OR(LEFT(LOWER(TRIM($F114&amp;"")),12)="subscription",LOWER(TRIM($F114&amp;""))="membership"),"Subscription",IF(LOWER(TRIM($D114&amp;""))="estimate","Estimate",IF(OR(AND($H114&lt;&gt;"",$H114=0),LEFT(LOWER(TRIM($F114&amp;"")),9)="free game",LOWER(TRIM($F114&amp;""))="free",LOWER(TRIM($F114&amp;""))="free entry"),IF(LOWER($L114&amp;"")="yes","Disqualified — Free Game","Free Game"),IF(LOWER($L114&amp;"")="yes","Disqualified",IF($P114="","",IF(ROUND(IFERROR(VALUE($P114),0)-IFERROR(VALUE($H114),0),2)&gt;0,"Profit","Draw")))))))</ns0:f>
      </ns0:c>
      <ns0:c r="V114" s="956" t="str">
        <ns0:f>IF(COUNTA($A114:$M114)=0,"",IF(OR($B114="",$C114="",$U114="Subscription"),"",IFERROR(ROUNDUP(($C114-$B114)/7,0),"")))</ns0:f>
      </ns0:c>
      <ns0:c r="W114" s="114">
        <ns0:f>IF(COUNTA($A114:$M114)=0,"",IF(OR($U114="Subscription",$U114=""),"",IF($U114="Estimate","N/A",IF(OR($U114="Free Game",$U114="Disqualified — Free Game"),0,ROUND(IFERROR($Q114,0)-IFERROR($S114,0),2)))))</ns0:f>
      </ns0:c>
      <ns0:c r="X114" s="956" t="str">
        <ns0:f>IF(COUNTA($A114:$M114)=0,"",IF(OR($U114="Subscription",NOT(ISNUMBER($J114)),NOT(ISNUMBER($I114)),$J114=0,$I114=0,$I114&gt;$J114),"",$J114-$I114))</ns0:f>
      </ns0:c>
      <ns0:c r="Y114" s="955" t="str">
        <ns0:f>IF(COUNTA($A114:$M114)=0,"",IF(OR($U114="Subscription",NOT(ISNUMBER($J114)),$J114=0,$X114=""),"",$X114/$J114))</ns0:f>
      </ns0:c>
      <ns0:c r="Z114" s="957" t="str">
        <ns0:f>IF(COUNTA($A114:$M114)=0,"",Instructions!$B$29+SUM($W$5:W114))</ns0:f>
      </ns0:c>
    </ns0:row>
    <ns0:row r="115" ht="36" customHeight="1">
      <ns0:c r="A115" s="439"/>
      <ns0:c r="B115" s="453"/>
      <ns0:c r="C115" s="453"/>
      <ns0:c r="D115" s="454"/>
      <ns0:c r="E115" s="454"/>
      <ns0:c r="F115" s="454"/>
      <ns0:c r="G115" s="986"/>
      <ns0:c r="H115" s="455"/>
      <ns0:c r="I115" s="456"/>
      <ns0:c r="J115" s="456"/>
      <ns0:c r="K115" s="986"/>
      <ns0:c r="L115" s="454"/>
      <ns0:c r="M115" s="439"/>
      <ns0:c r="N115" s="987" t="str">
        <ns0:f>IF(COUNTA($A115:$M115)=0,"",IF(OR(LEFT(LOWER(TRIM($F115&amp;"")),12)="subscription",LOWER(TRIM($F115&amp;""))="membership"),"",IF(OR(AND($H115&lt;&gt;"",$H115=0),LEFT(LOWER(TRIM($F115&amp;"")),9)="free game",LOWER(TRIM($F115&amp;""))="free",LOWER(TRIM($F115&amp;""))="free entry"),IF(ISNUMBER($G115),IF(ISNUMBER(SEARCH("non",LOWER($E115&amp;""))),$G115*0.85,$G115),"N/A"),IF($G115="","",IFERROR(IF(ISNUMBER(SEARCH("non",LOWER($E115&amp;""))),$G115*0.85,$G115),"")))))</ns0:f>
        <ns0:v/>
      </ns0:c>
      <ns0:c r="O115" s="987" t="str">
        <ns0:f>IF(COUNTA($A115:$M115)=0,"",IF(OR(LEFT(LOWER(TRIM($F115&amp;"")),12)="subscription",LOWER(TRIM($F115&amp;""))="membership"),"",IF(OR(AND($H115&lt;&gt;"",$H115=0),LEFT(LOWER(TRIM($F115&amp;"")),9)="free game",LOWER(TRIM($F115&amp;""))="free",LOWER(TRIM($F115&amp;""))="free entry"),IF(OR(NOT(ISNUMBER($N115)),NOT(ISNUMBER($I115)),$I115=0),"N/A",IFERROR($N115/$I115,"N/A")),IF(OR($N115="",$I115="",$I115=0),"",IFERROR($N115/$I115,"")))))</ns0:f>
        <ns0:v/>
      </ns0:c>
      <ns0:c r="P115" s="987">
        <ns0:f>IF(COUNTA($A115:$M115)=0,"",IF(OR(LEFT(LOWER(TRIM($F115&amp;"")),12)="subscription",LOWER(TRIM($F115&amp;""))="membership"),"",IF(LOWER(TRIM($D115&amp;""))="estimate","N/A",IF(LOWER($L115&amp;"")="yes",0,IF(OR(AND($H115&lt;&gt;"",$H115=0),LEFT(LOWER(TRIM($F115&amp;"")),9)="free game",LOWER(TRIM($F115&amp;""))="free",LOWER(TRIM($F115&amp;""))="free entry"),IF(ISNUMBER($K115),$K115,""),IF($K115&lt;&gt;"",$K115,""))))))</ns0:f>
      </ns0:c>
      <ns0:c r="Q115" s="114">
        <ns0:f>IF(COUNTA($A115:$M115)=0,"",IF(OR($U115="Subscription",$U115=""),"",IF($U115="Estimate","N/A",IF($U115="Profit",ROUND(IFERROR($P115,0)-IFERROR($H115,0),2),0))))</ns0:f>
      </ns0:c>
      <ns0:c r="R115" s="114">
        <ns0:f>IF(COUNTA($A115:$M115)=0,"",IF(OR($U115="Subscription",$U115=""),"",IF($U115="Estimate","N/A",IF($U115="Draw",$H115,0))))</ns0:f>
      </ns0:c>
      <ns0:c r="S115" s="114">
        <ns0:f>IF(COUNTA($A115:$M115)=0,"",IF(OR($U115="Subscription",$U115=""),"",IF($U115="Estimate","N/A",IF($U115="Disqualified",$H115,0))))</ns0:f>
      </ns0:c>
      <ns0:c r="T115" s="955">
        <ns0:f>IF(COUNTA($A115:$M115)=0,"",IF(OR($U115="Subscription",$U115=""),"",IF($U115="Estimate","N/A",IF(OR($U115="Free Game",$U115="Disqualified — Free Game",$H115=0),"N/A",IF($U115="Profit",$Q115/$H115,IF($U115="Disqualified",-$S115/$H115,0))))))</ns0:f>
      </ns0:c>
      <ns0:c r="U115" s="920">
        <ns0:f>IF(COUNTA($A115:$M115)=0,"",IF(OR(LEFT(LOWER(TRIM($F115&amp;"")),12)="subscription",LOWER(TRIM($F115&amp;""))="membership"),"Subscription",IF(LOWER(TRIM($D115&amp;""))="estimate","Estimate",IF(OR(AND($H115&lt;&gt;"",$H115=0),LEFT(LOWER(TRIM($F115&amp;"")),9)="free game",LOWER(TRIM($F115&amp;""))="free",LOWER(TRIM($F115&amp;""))="free entry"),IF(LOWER($L115&amp;"")="yes","Disqualified — Free Game","Free Game"),IF(LOWER($L115&amp;"")="yes","Disqualified",IF($P115="","",IF(ROUND(IFERROR(VALUE($P115),0)-IFERROR(VALUE($H115),0),2)&gt;0,"Profit","Draw")))))))</ns0:f>
      </ns0:c>
      <ns0:c r="V115" s="956" t="str">
        <ns0:f>IF(COUNTA($A115:$M115)=0,"",IF(OR($B115="",$C115="",$U115="Subscription"),"",IFERROR(ROUNDUP(($C115-$B115)/7,0),"")))</ns0:f>
      </ns0:c>
      <ns0:c r="W115" s="114">
        <ns0:f>IF(COUNTA($A115:$M115)=0,"",IF(OR($U115="Subscription",$U115=""),"",IF($U115="Estimate","N/A",IF(OR($U115="Free Game",$U115="Disqualified — Free Game"),0,ROUND(IFERROR($Q115,0)-IFERROR($S115,0),2)))))</ns0:f>
      </ns0:c>
      <ns0:c r="X115" s="956" t="str">
        <ns0:f>IF(COUNTA($A115:$M115)=0,"",IF(OR($U115="Subscription",NOT(ISNUMBER($J115)),NOT(ISNUMBER($I115)),$J115=0,$I115=0,$I115&gt;$J115),"",$J115-$I115))</ns0:f>
      </ns0:c>
      <ns0:c r="Y115" s="955" t="str">
        <ns0:f>IF(COUNTA($A115:$M115)=0,"",IF(OR($U115="Subscription",NOT(ISNUMBER($J115)),$J115=0,$X115=""),"",$X115/$J115))</ns0:f>
      </ns0:c>
      <ns0:c r="Z115" s="957" t="str">
        <ns0:f>IF(COUNTA($A115:$M115)=0,"",Instructions!$B$29+SUM($W$5:W115))</ns0:f>
      </ns0:c>
    </ns0:row>
    <ns0:row r="116" ht="36" customHeight="1">
      <ns0:c r="A116" s="439"/>
      <ns0:c r="B116" s="453"/>
      <ns0:c r="C116" s="453"/>
      <ns0:c r="D116" s="454"/>
      <ns0:c r="E116" s="454"/>
      <ns0:c r="F116" s="454"/>
      <ns0:c r="G116" s="986"/>
      <ns0:c r="H116" s="455"/>
      <ns0:c r="I116" s="456"/>
      <ns0:c r="J116" s="456"/>
      <ns0:c r="K116" s="986"/>
      <ns0:c r="L116" s="454"/>
      <ns0:c r="M116" s="439"/>
      <ns0:c r="N116" s="987" t="str">
        <ns0:f>IF(COUNTA($A116:$M116)=0,"",IF(OR(LEFT(LOWER(TRIM($F116&amp;"")),12)="subscription",LOWER(TRIM($F116&amp;""))="membership"),"",IF(OR(AND($H116&lt;&gt;"",$H116=0),LEFT(LOWER(TRIM($F116&amp;"")),9)="free game",LOWER(TRIM($F116&amp;""))="free",LOWER(TRIM($F116&amp;""))="free entry"),IF(ISNUMBER($G116),IF(ISNUMBER(SEARCH("non",LOWER($E116&amp;""))),$G116*0.85,$G116),"N/A"),IF($G116="","",IFERROR(IF(ISNUMBER(SEARCH("non",LOWER($E116&amp;""))),$G116*0.85,$G116),"")))))</ns0:f>
        <ns0:v/>
      </ns0:c>
      <ns0:c r="O116" s="987" t="str">
        <ns0:f>IF(COUNTA($A116:$M116)=0,"",IF(OR(LEFT(LOWER(TRIM($F116&amp;"")),12)="subscription",LOWER(TRIM($F116&amp;""))="membership"),"",IF(OR(AND($H116&lt;&gt;"",$H116=0),LEFT(LOWER(TRIM($F116&amp;"")),9)="free game",LOWER(TRIM($F116&amp;""))="free",LOWER(TRIM($F116&amp;""))="free entry"),IF(OR(NOT(ISNUMBER($N116)),NOT(ISNUMBER($I116)),$I116=0),"N/A",IFERROR($N116/$I116,"N/A")),IF(OR($N116="",$I116="",$I116=0),"",IFERROR($N116/$I116,"")))))</ns0:f>
        <ns0:v/>
      </ns0:c>
      <ns0:c r="P116" s="987">
        <ns0:f>IF(COUNTA($A116:$M116)=0,"",IF(OR(LEFT(LOWER(TRIM($F116&amp;"")),12)="subscription",LOWER(TRIM($F116&amp;""))="membership"),"",IF(LOWER(TRIM($D116&amp;""))="estimate","N/A",IF(LOWER($L116&amp;"")="yes",0,IF(OR(AND($H116&lt;&gt;"",$H116=0),LEFT(LOWER(TRIM($F116&amp;"")),9)="free game",LOWER(TRIM($F116&amp;""))="free",LOWER(TRIM($F116&amp;""))="free entry"),IF(ISNUMBER($K116),$K116,""),IF($K116&lt;&gt;"",$K116,""))))))</ns0:f>
      </ns0:c>
      <ns0:c r="Q116" s="114">
        <ns0:f>IF(COUNTA($A116:$M116)=0,"",IF(OR($U116="Subscription",$U116=""),"",IF($U116="Estimate","N/A",IF($U116="Profit",ROUND(IFERROR($P116,0)-IFERROR($H116,0),2),0))))</ns0:f>
      </ns0:c>
      <ns0:c r="R116" s="114">
        <ns0:f>IF(COUNTA($A116:$M116)=0,"",IF(OR($U116="Subscription",$U116=""),"",IF($U116="Estimate","N/A",IF($U116="Draw",$H116,0))))</ns0:f>
      </ns0:c>
      <ns0:c r="S116" s="114">
        <ns0:f>IF(COUNTA($A116:$M116)=0,"",IF(OR($U116="Subscription",$U116=""),"",IF($U116="Estimate","N/A",IF($U116="Disqualified",$H116,0))))</ns0:f>
      </ns0:c>
      <ns0:c r="T116" s="955">
        <ns0:f>IF(COUNTA($A116:$M116)=0,"",IF(OR($U116="Subscription",$U116=""),"",IF($U116="Estimate","N/A",IF(OR($U116="Free Game",$U116="Disqualified — Free Game",$H116=0),"N/A",IF($U116="Profit",$Q116/$H116,IF($U116="Disqualified",-$S116/$H116,0))))))</ns0:f>
      </ns0:c>
      <ns0:c r="U116" s="920">
        <ns0:f>IF(COUNTA($A116:$M116)=0,"",IF(OR(LEFT(LOWER(TRIM($F116&amp;"")),12)="subscription",LOWER(TRIM($F116&amp;""))="membership"),"Subscription",IF(LOWER(TRIM($D116&amp;""))="estimate","Estimate",IF(OR(AND($H116&lt;&gt;"",$H116=0),LEFT(LOWER(TRIM($F116&amp;"")),9)="free game",LOWER(TRIM($F116&amp;""))="free",LOWER(TRIM($F116&amp;""))="free entry"),IF(LOWER($L116&amp;"")="yes","Disqualified — Free Game","Free Game"),IF(LOWER($L116&amp;"")="yes","Disqualified",IF($P116="","",IF(ROUND(IFERROR(VALUE($P116),0)-IFERROR(VALUE($H116),0),2)&gt;0,"Profit","Draw")))))))</ns0:f>
      </ns0:c>
      <ns0:c r="V116" s="956" t="str">
        <ns0:f>IF(COUNTA($A116:$M116)=0,"",IF(OR($B116="",$C116="",$U116="Subscription"),"",IFERROR(ROUNDUP(($C116-$B116)/7,0),"")))</ns0:f>
      </ns0:c>
      <ns0:c r="W116" s="114">
        <ns0:f>IF(COUNTA($A116:$M116)=0,"",IF(OR($U116="Subscription",$U116=""),"",IF($U116="Estimate","N/A",IF(OR($U116="Free Game",$U116="Disqualified — Free Game"),0,ROUND(IFERROR($Q116,0)-IFERROR($S116,0),2)))))</ns0:f>
      </ns0:c>
      <ns0:c r="X116" s="956" t="str">
        <ns0:f>IF(COUNTA($A116:$M116)=0,"",IF(OR($U116="Subscription",NOT(ISNUMBER($J116)),NOT(ISNUMBER($I116)),$J116=0,$I116=0,$I116&gt;$J116),"",$J116-$I116))</ns0:f>
      </ns0:c>
      <ns0:c r="Y116" s="955" t="str">
        <ns0:f>IF(COUNTA($A116:$M116)=0,"",IF(OR($U116="Subscription",NOT(ISNUMBER($J116)),$J116=0,$X116=""),"",$X116/$J116))</ns0:f>
      </ns0:c>
      <ns0:c r="Z116" s="957" t="str">
        <ns0:f>IF(COUNTA($A116:$M116)=0,"",Instructions!$B$29+SUM($W$5:W116))</ns0:f>
      </ns0:c>
    </ns0:row>
    <ns0:row r="117" ht="36" customHeight="1">
      <ns0:c r="A117" s="439"/>
      <ns0:c r="B117" s="453"/>
      <ns0:c r="C117" s="453"/>
      <ns0:c r="D117" s="454"/>
      <ns0:c r="E117" s="454"/>
      <ns0:c r="F117" s="454"/>
      <ns0:c r="G117" s="986"/>
      <ns0:c r="H117" s="455"/>
      <ns0:c r="I117" s="456"/>
      <ns0:c r="J117" s="456"/>
      <ns0:c r="K117" s="986"/>
      <ns0:c r="L117" s="454"/>
      <ns0:c r="M117" s="439"/>
      <ns0:c r="N117" s="987" t="str">
        <ns0:f>IF(COUNTA($A117:$M117)=0,"",IF(OR(LEFT(LOWER(TRIM($F117&amp;"")),12)="subscription",LOWER(TRIM($F117&amp;""))="membership"),"",IF(OR(AND($H117&lt;&gt;"",$H117=0),LEFT(LOWER(TRIM($F117&amp;"")),9)="free game",LOWER(TRIM($F117&amp;""))="free",LOWER(TRIM($F117&amp;""))="free entry"),IF(ISNUMBER($G117),IF(ISNUMBER(SEARCH("non",LOWER($E117&amp;""))),$G117*0.85,$G117),"N/A"),IF($G117="","",IFERROR(IF(ISNUMBER(SEARCH("non",LOWER($E117&amp;""))),$G117*0.85,$G117),"")))))</ns0:f>
        <ns0:v/>
      </ns0:c>
      <ns0:c r="O117" s="987" t="str">
        <ns0:f>IF(COUNTA($A117:$M117)=0,"",IF(OR(LEFT(LOWER(TRIM($F117&amp;"")),12)="subscription",LOWER(TRIM($F117&amp;""))="membership"),"",IF(OR(AND($H117&lt;&gt;"",$H117=0),LEFT(LOWER(TRIM($F117&amp;"")),9)="free game",LOWER(TRIM($F117&amp;""))="free",LOWER(TRIM($F117&amp;""))="free entry"),IF(OR(NOT(ISNUMBER($N117)),NOT(ISNUMBER($I117)),$I117=0),"N/A",IFERROR($N117/$I117,"N/A")),IF(OR($N117="",$I117="",$I117=0),"",IFERROR($N117/$I117,"")))))</ns0:f>
        <ns0:v/>
      </ns0:c>
      <ns0:c r="P117" s="987">
        <ns0:f>IF(COUNTA($A117:$M117)=0,"",IF(OR(LEFT(LOWER(TRIM($F117&amp;"")),12)="subscription",LOWER(TRIM($F117&amp;""))="membership"),"",IF(LOWER(TRIM($D117&amp;""))="estimate","N/A",IF(LOWER($L117&amp;"")="yes",0,IF(OR(AND($H117&lt;&gt;"",$H117=0),LEFT(LOWER(TRIM($F117&amp;"")),9)="free game",LOWER(TRIM($F117&amp;""))="free",LOWER(TRIM($F117&amp;""))="free entry"),IF(ISNUMBER($K117),$K117,""),IF($K117&lt;&gt;"",$K117,""))))))</ns0:f>
      </ns0:c>
      <ns0:c r="Q117" s="114">
        <ns0:f>IF(COUNTA($A117:$M117)=0,"",IF(OR($U117="Subscription",$U117=""),"",IF($U117="Estimate","N/A",IF($U117="Profit",ROUND(IFERROR($P117,0)-IFERROR($H117,0),2),0))))</ns0:f>
      </ns0:c>
      <ns0:c r="R117" s="114">
        <ns0:f>IF(COUNTA($A117:$M117)=0,"",IF(OR($U117="Subscription",$U117=""),"",IF($U117="Estimate","N/A",IF($U117="Draw",$H117,0))))</ns0:f>
      </ns0:c>
      <ns0:c r="S117" s="114">
        <ns0:f>IF(COUNTA($A117:$M117)=0,"",IF(OR($U117="Subscription",$U117=""),"",IF($U117="Estimate","N/A",IF($U117="Disqualified",$H117,0))))</ns0:f>
      </ns0:c>
      <ns0:c r="T117" s="955">
        <ns0:f>IF(COUNTA($A117:$M117)=0,"",IF(OR($U117="Subscription",$U117=""),"",IF($U117="Estimate","N/A",IF(OR($U117="Free Game",$U117="Disqualified — Free Game",$H117=0),"N/A",IF($U117="Profit",$Q117/$H117,IF($U117="Disqualified",-$S117/$H117,0))))))</ns0:f>
      </ns0:c>
      <ns0:c r="U117" s="920">
        <ns0:f>IF(COUNTA($A117:$M117)=0,"",IF(OR(LEFT(LOWER(TRIM($F117&amp;"")),12)="subscription",LOWER(TRIM($F117&amp;""))="membership"),"Subscription",IF(LOWER(TRIM($D117&amp;""))="estimate","Estimate",IF(OR(AND($H117&lt;&gt;"",$H117=0),LEFT(LOWER(TRIM($F117&amp;"")),9)="free game",LOWER(TRIM($F117&amp;""))="free",LOWER(TRIM($F117&amp;""))="free entry"),IF(LOWER($L117&amp;"")="yes","Disqualified — Free Game","Free Game"),IF(LOWER($L117&amp;"")="yes","Disqualified",IF($P117="","",IF(ROUND(IFERROR(VALUE($P117),0)-IFERROR(VALUE($H117),0),2)&gt;0,"Profit","Draw")))))))</ns0:f>
      </ns0:c>
      <ns0:c r="V117" s="956" t="str">
        <ns0:f>IF(COUNTA($A117:$M117)=0,"",IF(OR($B117="",$C117="",$U117="Subscription"),"",IFERROR(ROUNDUP(($C117-$B117)/7,0),"")))</ns0:f>
      </ns0:c>
      <ns0:c r="W117" s="114">
        <ns0:f>IF(COUNTA($A117:$M117)=0,"",IF(OR($U117="Subscription",$U117=""),"",IF($U117="Estimate","N/A",IF(OR($U117="Free Game",$U117="Disqualified — Free Game"),0,ROUND(IFERROR($Q117,0)-IFERROR($S117,0),2)))))</ns0:f>
      </ns0:c>
      <ns0:c r="X117" s="956" t="str">
        <ns0:f>IF(COUNTA($A117:$M117)=0,"",IF(OR($U117="Subscription",NOT(ISNUMBER($J117)),NOT(ISNUMBER($I117)),$J117=0,$I117=0,$I117&gt;$J117),"",$J117-$I117))</ns0:f>
      </ns0:c>
      <ns0:c r="Y117" s="955" t="str">
        <ns0:f>IF(COUNTA($A117:$M117)=0,"",IF(OR($U117="Subscription",NOT(ISNUMBER($J117)),$J117=0,$X117=""),"",$X117/$J117))</ns0:f>
      </ns0:c>
      <ns0:c r="Z117" s="957" t="str">
        <ns0:f>IF(COUNTA($A117:$M117)=0,"",Instructions!$B$29+SUM($W$5:W117))</ns0:f>
      </ns0:c>
    </ns0:row>
    <ns0:row r="118" ht="36" customHeight="1">
      <ns0:c r="A118" s="439"/>
      <ns0:c r="B118" s="453"/>
      <ns0:c r="C118" s="453"/>
      <ns0:c r="D118" s="454"/>
      <ns0:c r="E118" s="454"/>
      <ns0:c r="F118" s="454"/>
      <ns0:c r="G118" s="986"/>
      <ns0:c r="H118" s="455"/>
      <ns0:c r="I118" s="456"/>
      <ns0:c r="J118" s="456"/>
      <ns0:c r="K118" s="986"/>
      <ns0:c r="L118" s="454"/>
      <ns0:c r="M118" s="439"/>
      <ns0:c r="N118" s="987" t="str">
        <ns0:f>IF(COUNTA($A118:$M118)=0,"",IF(OR(LEFT(LOWER(TRIM($F118&amp;"")),12)="subscription",LOWER(TRIM($F118&amp;""))="membership"),"",IF(OR(AND($H118&lt;&gt;"",$H118=0),LEFT(LOWER(TRIM($F118&amp;"")),9)="free game",LOWER(TRIM($F118&amp;""))="free",LOWER(TRIM($F118&amp;""))="free entry"),IF(ISNUMBER($G118),IF(ISNUMBER(SEARCH("non",LOWER($E118&amp;""))),$G118*0.85,$G118),"N/A"),IF($G118="","",IFERROR(IF(ISNUMBER(SEARCH("non",LOWER($E118&amp;""))),$G118*0.85,$G118),"")))))</ns0:f>
        <ns0:v/>
      </ns0:c>
      <ns0:c r="O118" s="987" t="str">
        <ns0:f>IF(COUNTA($A118:$M118)=0,"",IF(OR(LEFT(LOWER(TRIM($F118&amp;"")),12)="subscription",LOWER(TRIM($F118&amp;""))="membership"),"",IF(OR(AND($H118&lt;&gt;"",$H118=0),LEFT(LOWER(TRIM($F118&amp;"")),9)="free game",LOWER(TRIM($F118&amp;""))="free",LOWER(TRIM($F118&amp;""))="free entry"),IF(OR(NOT(ISNUMBER($N118)),NOT(ISNUMBER($I118)),$I118=0),"N/A",IFERROR($N118/$I118,"N/A")),IF(OR($N118="",$I118="",$I118=0),"",IFERROR($N118/$I118,"")))))</ns0:f>
        <ns0:v/>
      </ns0:c>
      <ns0:c r="P118" s="987">
        <ns0:f>IF(COUNTA($A118:$M118)=0,"",IF(OR(LEFT(LOWER(TRIM($F118&amp;"")),12)="subscription",LOWER(TRIM($F118&amp;""))="membership"),"",IF(LOWER(TRIM($D118&amp;""))="estimate","N/A",IF(LOWER($L118&amp;"")="yes",0,IF(OR(AND($H118&lt;&gt;"",$H118=0),LEFT(LOWER(TRIM($F118&amp;"")),9)="free game",LOWER(TRIM($F118&amp;""))="free",LOWER(TRIM($F118&amp;""))="free entry"),IF(ISNUMBER($K118),$K118,""),IF($K118&lt;&gt;"",$K118,""))))))</ns0:f>
      </ns0:c>
      <ns0:c r="Q118" s="114">
        <ns0:f>IF(COUNTA($A118:$M118)=0,"",IF(OR($U118="Subscription",$U118=""),"",IF($U118="Estimate","N/A",IF($U118="Profit",ROUND(IFERROR($P118,0)-IFERROR($H118,0),2),0))))</ns0:f>
      </ns0:c>
      <ns0:c r="R118" s="114">
        <ns0:f>IF(COUNTA($A118:$M118)=0,"",IF(OR($U118="Subscription",$U118=""),"",IF($U118="Estimate","N/A",IF($U118="Draw",$H118,0))))</ns0:f>
      </ns0:c>
      <ns0:c r="S118" s="114">
        <ns0:f>IF(COUNTA($A118:$M118)=0,"",IF(OR($U118="Subscription",$U118=""),"",IF($U118="Estimate","N/A",IF($U118="Disqualified",$H118,0))))</ns0:f>
      </ns0:c>
      <ns0:c r="T118" s="955">
        <ns0:f>IF(COUNTA($A118:$M118)=0,"",IF(OR($U118="Subscription",$U118=""),"",IF($U118="Estimate","N/A",IF(OR($U118="Free Game",$U118="Disqualified — Free Game",$H118=0),"N/A",IF($U118="Profit",$Q118/$H118,IF($U118="Disqualified",-$S118/$H118,0))))))</ns0:f>
      </ns0:c>
      <ns0:c r="U118" s="920">
        <ns0:f>IF(COUNTA($A118:$M118)=0,"",IF(OR(LEFT(LOWER(TRIM($F118&amp;"")),12)="subscription",LOWER(TRIM($F118&amp;""))="membership"),"Subscription",IF(LOWER(TRIM($D118&amp;""))="estimate","Estimate",IF(OR(AND($H118&lt;&gt;"",$H118=0),LEFT(LOWER(TRIM($F118&amp;"")),9)="free game",LOWER(TRIM($F118&amp;""))="free",LOWER(TRIM($F118&amp;""))="free entry"),IF(LOWER($L118&amp;"")="yes","Disqualified — Free Game","Free Game"),IF(LOWER($L118&amp;"")="yes","Disqualified",IF($P118="","",IF(ROUND(IFERROR(VALUE($P118),0)-IFERROR(VALUE($H118),0),2)&gt;0,"Profit","Draw")))))))</ns0:f>
      </ns0:c>
      <ns0:c r="V118" s="956" t="str">
        <ns0:f>IF(COUNTA($A118:$M118)=0,"",IF(OR($B118="",$C118="",$U118="Subscription"),"",IFERROR(ROUNDUP(($C118-$B118)/7,0),"")))</ns0:f>
      </ns0:c>
      <ns0:c r="W118" s="114">
        <ns0:f>IF(COUNTA($A118:$M118)=0,"",IF(OR($U118="Subscription",$U118=""),"",IF($U118="Estimate","N/A",IF(OR($U118="Free Game",$U118="Disqualified — Free Game"),0,ROUND(IFERROR($Q118,0)-IFERROR($S118,0),2)))))</ns0:f>
      </ns0:c>
      <ns0:c r="X118" s="956" t="str">
        <ns0:f>IF(COUNTA($A118:$M118)=0,"",IF(OR($U118="Subscription",NOT(ISNUMBER($J118)),NOT(ISNUMBER($I118)),$J118=0,$I118=0,$I118&gt;$J118),"",$J118-$I118))</ns0:f>
      </ns0:c>
      <ns0:c r="Y118" s="955" t="str">
        <ns0:f>IF(COUNTA($A118:$M118)=0,"",IF(OR($U118="Subscription",NOT(ISNUMBER($J118)),$J118=0,$X118=""),"",$X118/$J118))</ns0:f>
      </ns0:c>
      <ns0:c r="Z118" s="957" t="str">
        <ns0:f>IF(COUNTA($A118:$M118)=0,"",Instructions!$B$29+SUM($W$5:W118))</ns0:f>
      </ns0:c>
    </ns0:row>
    <ns0:row r="119" ht="36" customHeight="1">
      <ns0:c r="A119" s="439"/>
      <ns0:c r="B119" s="453"/>
      <ns0:c r="C119" s="453"/>
      <ns0:c r="D119" s="454"/>
      <ns0:c r="E119" s="454"/>
      <ns0:c r="F119" s="454"/>
      <ns0:c r="G119" s="986"/>
      <ns0:c r="H119" s="455"/>
      <ns0:c r="I119" s="456"/>
      <ns0:c r="J119" s="456"/>
      <ns0:c r="K119" s="986"/>
      <ns0:c r="L119" s="454"/>
      <ns0:c r="M119" s="439"/>
      <ns0:c r="N119" s="987" t="str">
        <ns0:f>IF(COUNTA($A119:$M119)=0,"",IF(OR(LEFT(LOWER(TRIM($F119&amp;"")),12)="subscription",LOWER(TRIM($F119&amp;""))="membership"),"",IF(OR(AND($H119&lt;&gt;"",$H119=0),LEFT(LOWER(TRIM($F119&amp;"")),9)="free game",LOWER(TRIM($F119&amp;""))="free",LOWER(TRIM($F119&amp;""))="free entry"),IF(ISNUMBER($G119),IF(ISNUMBER(SEARCH("non",LOWER($E119&amp;""))),$G119*0.85,$G119),"N/A"),IF($G119="","",IFERROR(IF(ISNUMBER(SEARCH("non",LOWER($E119&amp;""))),$G119*0.85,$G119),"")))))</ns0:f>
        <ns0:v/>
      </ns0:c>
      <ns0:c r="O119" s="987" t="str">
        <ns0:f>IF(COUNTA($A119:$M119)=0,"",IF(OR(LEFT(LOWER(TRIM($F119&amp;"")),12)="subscription",LOWER(TRIM($F119&amp;""))="membership"),"",IF(OR(AND($H119&lt;&gt;"",$H119=0),LEFT(LOWER(TRIM($F119&amp;"")),9)="free game",LOWER(TRIM($F119&amp;""))="free",LOWER(TRIM($F119&amp;""))="free entry"),IF(OR(NOT(ISNUMBER($N119)),NOT(ISNUMBER($I119)),$I119=0),"N/A",IFERROR($N119/$I119,"N/A")),IF(OR($N119="",$I119="",$I119=0),"",IFERROR($N119/$I119,"")))))</ns0:f>
        <ns0:v/>
      </ns0:c>
      <ns0:c r="P119" s="987">
        <ns0:f>IF(COUNTA($A119:$M119)=0,"",IF(OR(LEFT(LOWER(TRIM($F119&amp;"")),12)="subscription",LOWER(TRIM($F119&amp;""))="membership"),"",IF(LOWER(TRIM($D119&amp;""))="estimate","N/A",IF(LOWER($L119&amp;"")="yes",0,IF(OR(AND($H119&lt;&gt;"",$H119=0),LEFT(LOWER(TRIM($F119&amp;"")),9)="free game",LOWER(TRIM($F119&amp;""))="free",LOWER(TRIM($F119&amp;""))="free entry"),IF(ISNUMBER($K119),$K119,""),IF($K119&lt;&gt;"",$K119,""))))))</ns0:f>
      </ns0:c>
      <ns0:c r="Q119" s="114">
        <ns0:f>IF(COUNTA($A119:$M119)=0,"",IF(OR($U119="Subscription",$U119=""),"",IF($U119="Estimate","N/A",IF($U119="Profit",ROUND(IFERROR($P119,0)-IFERROR($H119,0),2),0))))</ns0:f>
      </ns0:c>
      <ns0:c r="R119" s="114">
        <ns0:f>IF(COUNTA($A119:$M119)=0,"",IF(OR($U119="Subscription",$U119=""),"",IF($U119="Estimate","N/A",IF($U119="Draw",$H119,0))))</ns0:f>
      </ns0:c>
      <ns0:c r="S119" s="114">
        <ns0:f>IF(COUNTA($A119:$M119)=0,"",IF(OR($U119="Subscription",$U119=""),"",IF($U119="Estimate","N/A",IF($U119="Disqualified",$H119,0))))</ns0:f>
      </ns0:c>
      <ns0:c r="T119" s="955">
        <ns0:f>IF(COUNTA($A119:$M119)=0,"",IF(OR($U119="Subscription",$U119=""),"",IF($U119="Estimate","N/A",IF(OR($U119="Free Game",$U119="Disqualified — Free Game",$H119=0),"N/A",IF($U119="Profit",$Q119/$H119,IF($U119="Disqualified",-$S119/$H119,0))))))</ns0:f>
      </ns0:c>
      <ns0:c r="U119" s="920">
        <ns0:f>IF(COUNTA($A119:$M119)=0,"",IF(OR(LEFT(LOWER(TRIM($F119&amp;"")),12)="subscription",LOWER(TRIM($F119&amp;""))="membership"),"Subscription",IF(LOWER(TRIM($D119&amp;""))="estimate","Estimate",IF(OR(AND($H119&lt;&gt;"",$H119=0),LEFT(LOWER(TRIM($F119&amp;"")),9)="free game",LOWER(TRIM($F119&amp;""))="free",LOWER(TRIM($F119&amp;""))="free entry"),IF(LOWER($L119&amp;"")="yes","Disqualified — Free Game","Free Game"),IF(LOWER($L119&amp;"")="yes","Disqualified",IF($P119="","",IF(ROUND(IFERROR(VALUE($P119),0)-IFERROR(VALUE($H119),0),2)&gt;0,"Profit","Draw")))))))</ns0:f>
      </ns0:c>
      <ns0:c r="V119" s="956" t="str">
        <ns0:f>IF(COUNTA($A119:$M119)=0,"",IF(OR($B119="",$C119="",$U119="Subscription"),"",IFERROR(ROUNDUP(($C119-$B119)/7,0),"")))</ns0:f>
      </ns0:c>
      <ns0:c r="W119" s="114">
        <ns0:f>IF(COUNTA($A119:$M119)=0,"",IF(OR($U119="Subscription",$U119=""),"",IF($U119="Estimate","N/A",IF(OR($U119="Free Game",$U119="Disqualified — Free Game"),0,ROUND(IFERROR($Q119,0)-IFERROR($S119,0),2)))))</ns0:f>
      </ns0:c>
      <ns0:c r="X119" s="956" t="str">
        <ns0:f>IF(COUNTA($A119:$M119)=0,"",IF(OR($U119="Subscription",NOT(ISNUMBER($J119)),NOT(ISNUMBER($I119)),$J119=0,$I119=0,$I119&gt;$J119),"",$J119-$I119))</ns0:f>
      </ns0:c>
      <ns0:c r="Y119" s="955" t="str">
        <ns0:f>IF(COUNTA($A119:$M119)=0,"",IF(OR($U119="Subscription",NOT(ISNUMBER($J119)),$J119=0,$X119=""),"",$X119/$J119))</ns0:f>
      </ns0:c>
      <ns0:c r="Z119" s="957" t="str">
        <ns0:f>IF(COUNTA($A119:$M119)=0,"",Instructions!$B$29+SUM($W$5:W119))</ns0:f>
      </ns0:c>
    </ns0:row>
    <ns0:row r="120" ht="36" customHeight="1">
      <ns0:c r="A120" s="439"/>
      <ns0:c r="B120" s="453"/>
      <ns0:c r="C120" s="453"/>
      <ns0:c r="D120" s="454"/>
      <ns0:c r="E120" s="454"/>
      <ns0:c r="F120" s="454"/>
      <ns0:c r="G120" s="986"/>
      <ns0:c r="H120" s="455"/>
      <ns0:c r="I120" s="456"/>
      <ns0:c r="J120" s="456"/>
      <ns0:c r="K120" s="986"/>
      <ns0:c r="L120" s="454"/>
      <ns0:c r="M120" s="439"/>
      <ns0:c r="N120" s="987" t="str">
        <ns0:f>IF(COUNTA($A120:$M120)=0,"",IF(OR(LEFT(LOWER(TRIM($F120&amp;"")),12)="subscription",LOWER(TRIM($F120&amp;""))="membership"),"",IF(OR(AND($H120&lt;&gt;"",$H120=0),LEFT(LOWER(TRIM($F120&amp;"")),9)="free game",LOWER(TRIM($F120&amp;""))="free",LOWER(TRIM($F120&amp;""))="free entry"),IF(ISNUMBER($G120),IF(ISNUMBER(SEARCH("non",LOWER($E120&amp;""))),$G120*0.85,$G120),"N/A"),IF($G120="","",IFERROR(IF(ISNUMBER(SEARCH("non",LOWER($E120&amp;""))),$G120*0.85,$G120),"")))))</ns0:f>
        <ns0:v/>
      </ns0:c>
      <ns0:c r="O120" s="987" t="str">
        <ns0:f>IF(COUNTA($A120:$M120)=0,"",IF(OR(LEFT(LOWER(TRIM($F120&amp;"")),12)="subscription",LOWER(TRIM($F120&amp;""))="membership"),"",IF(OR(AND($H120&lt;&gt;"",$H120=0),LEFT(LOWER(TRIM($F120&amp;"")),9)="free game",LOWER(TRIM($F120&amp;""))="free",LOWER(TRIM($F120&amp;""))="free entry"),IF(OR(NOT(ISNUMBER($N120)),NOT(ISNUMBER($I120)),$I120=0),"N/A",IFERROR($N120/$I120,"N/A")),IF(OR($N120="",$I120="",$I120=0),"",IFERROR($N120/$I120,"")))))</ns0:f>
        <ns0:v/>
      </ns0:c>
      <ns0:c r="P120" s="987">
        <ns0:f>IF(COUNTA($A120:$M120)=0,"",IF(OR(LEFT(LOWER(TRIM($F120&amp;"")),12)="subscription",LOWER(TRIM($F120&amp;""))="membership"),"",IF(LOWER(TRIM($D120&amp;""))="estimate","N/A",IF(LOWER($L120&amp;"")="yes",0,IF(OR(AND($H120&lt;&gt;"",$H120=0),LEFT(LOWER(TRIM($F120&amp;"")),9)="free game",LOWER(TRIM($F120&amp;""))="free",LOWER(TRIM($F120&amp;""))="free entry"),IF(ISNUMBER($K120),$K120,""),IF($K120&lt;&gt;"",$K120,""))))))</ns0:f>
      </ns0:c>
      <ns0:c r="Q120" s="114">
        <ns0:f>IF(COUNTA($A120:$M120)=0,"",IF(OR($U120="Subscription",$U120=""),"",IF($U120="Estimate","N/A",IF($U120="Profit",ROUND(IFERROR($P120,0)-IFERROR($H120,0),2),0))))</ns0:f>
      </ns0:c>
      <ns0:c r="R120" s="114">
        <ns0:f>IF(COUNTA($A120:$M120)=0,"",IF(OR($U120="Subscription",$U120=""),"",IF($U120="Estimate","N/A",IF($U120="Draw",$H120,0))))</ns0:f>
      </ns0:c>
      <ns0:c r="S120" s="114">
        <ns0:f>IF(COUNTA($A120:$M120)=0,"",IF(OR($U120="Subscription",$U120=""),"",IF($U120="Estimate","N/A",IF($U120="Disqualified",$H120,0))))</ns0:f>
      </ns0:c>
      <ns0:c r="T120" s="955">
        <ns0:f>IF(COUNTA($A120:$M120)=0,"",IF(OR($U120="Subscription",$U120=""),"",IF($U120="Estimate","N/A",IF(OR($U120="Free Game",$U120="Disqualified — Free Game",$H120=0),"N/A",IF($U120="Profit",$Q120/$H120,IF($U120="Disqualified",-$S120/$H120,0))))))</ns0:f>
      </ns0:c>
      <ns0:c r="U120" s="920">
        <ns0:f>IF(COUNTA($A120:$M120)=0,"",IF(OR(LEFT(LOWER(TRIM($F120&amp;"")),12)="subscription",LOWER(TRIM($F120&amp;""))="membership"),"Subscription",IF(LOWER(TRIM($D120&amp;""))="estimate","Estimate",IF(OR(AND($H120&lt;&gt;"",$H120=0),LEFT(LOWER(TRIM($F120&amp;"")),9)="free game",LOWER(TRIM($F120&amp;""))="free",LOWER(TRIM($F120&amp;""))="free entry"),IF(LOWER($L120&amp;"")="yes","Disqualified — Free Game","Free Game"),IF(LOWER($L120&amp;"")="yes","Disqualified",IF($P120="","",IF(ROUND(IFERROR(VALUE($P120),0)-IFERROR(VALUE($H120),0),2)&gt;0,"Profit","Draw")))))))</ns0:f>
      </ns0:c>
      <ns0:c r="V120" s="956" t="str">
        <ns0:f>IF(COUNTA($A120:$M120)=0,"",IF(OR($B120="",$C120="",$U120="Subscription"),"",IFERROR(ROUNDUP(($C120-$B120)/7,0),"")))</ns0:f>
      </ns0:c>
      <ns0:c r="W120" s="114">
        <ns0:f>IF(COUNTA($A120:$M120)=0,"",IF(OR($U120="Subscription",$U120=""),"",IF($U120="Estimate","N/A",IF(OR($U120="Free Game",$U120="Disqualified — Free Game"),0,ROUND(IFERROR($Q120,0)-IFERROR($S120,0),2)))))</ns0:f>
      </ns0:c>
      <ns0:c r="X120" s="956" t="str">
        <ns0:f>IF(COUNTA($A120:$M120)=0,"",IF(OR($U120="Subscription",NOT(ISNUMBER($J120)),NOT(ISNUMBER($I120)),$J120=0,$I120=0,$I120&gt;$J120),"",$J120-$I120))</ns0:f>
      </ns0:c>
      <ns0:c r="Y120" s="955" t="str">
        <ns0:f>IF(COUNTA($A120:$M120)=0,"",IF(OR($U120="Subscription",NOT(ISNUMBER($J120)),$J120=0,$X120=""),"",$X120/$J120))</ns0:f>
      </ns0:c>
      <ns0:c r="Z120" s="957" t="str">
        <ns0:f>IF(COUNTA($A120:$M120)=0,"",Instructions!$B$29+SUM($W$5:W120))</ns0:f>
      </ns0:c>
    </ns0:row>
    <ns0:row r="121" ht="36" customHeight="1">
      <ns0:c r="A121" s="439"/>
      <ns0:c r="B121" s="453"/>
      <ns0:c r="C121" s="453"/>
      <ns0:c r="D121" s="454"/>
      <ns0:c r="E121" s="454"/>
      <ns0:c r="F121" s="454"/>
      <ns0:c r="G121" s="986"/>
      <ns0:c r="H121" s="455"/>
      <ns0:c r="I121" s="456"/>
      <ns0:c r="J121" s="456"/>
      <ns0:c r="K121" s="986"/>
      <ns0:c r="L121" s="454"/>
      <ns0:c r="M121" s="439"/>
      <ns0:c r="N121" s="987" t="str">
        <ns0:f>IF(COUNTA($A121:$M121)=0,"",IF(OR(LEFT(LOWER(TRIM($F121&amp;"")),12)="subscription",LOWER(TRIM($F121&amp;""))="membership"),"",IF(OR(AND($H121&lt;&gt;"",$H121=0),LEFT(LOWER(TRIM($F121&amp;"")),9)="free game",LOWER(TRIM($F121&amp;""))="free",LOWER(TRIM($F121&amp;""))="free entry"),IF(ISNUMBER($G121),IF(ISNUMBER(SEARCH("non",LOWER($E121&amp;""))),$G121*0.85,$G121),"N/A"),IF($G121="","",IFERROR(IF(ISNUMBER(SEARCH("non",LOWER($E121&amp;""))),$G121*0.85,$G121),"")))))</ns0:f>
        <ns0:v/>
      </ns0:c>
      <ns0:c r="O121" s="987" t="str">
        <ns0:f>IF(COUNTA($A121:$M121)=0,"",IF(OR(LEFT(LOWER(TRIM($F121&amp;"")),12)="subscription",LOWER(TRIM($F121&amp;""))="membership"),"",IF(OR(AND($H121&lt;&gt;"",$H121=0),LEFT(LOWER(TRIM($F121&amp;"")),9)="free game",LOWER(TRIM($F121&amp;""))="free",LOWER(TRIM($F121&amp;""))="free entry"),IF(OR(NOT(ISNUMBER($N121)),NOT(ISNUMBER($I121)),$I121=0),"N/A",IFERROR($N121/$I121,"N/A")),IF(OR($N121="",$I121="",$I121=0),"",IFERROR($N121/$I121,"")))))</ns0:f>
        <ns0:v/>
      </ns0:c>
      <ns0:c r="P121" s="987">
        <ns0:f>IF(COUNTA($A121:$M121)=0,"",IF(OR(LEFT(LOWER(TRIM($F121&amp;"")),12)="subscription",LOWER(TRIM($F121&amp;""))="membership"),"",IF(LOWER(TRIM($D121&amp;""))="estimate","N/A",IF(LOWER($L121&amp;"")="yes",0,IF(OR(AND($H121&lt;&gt;"",$H121=0),LEFT(LOWER(TRIM($F121&amp;"")),9)="free game",LOWER(TRIM($F121&amp;""))="free",LOWER(TRIM($F121&amp;""))="free entry"),IF(ISNUMBER($K121),$K121,""),IF($K121&lt;&gt;"",$K121,""))))))</ns0:f>
      </ns0:c>
      <ns0:c r="Q121" s="114">
        <ns0:f>IF(COUNTA($A121:$M121)=0,"",IF(OR($U121="Subscription",$U121=""),"",IF($U121="Estimate","N/A",IF($U121="Profit",ROUND(IFERROR($P121,0)-IFERROR($H121,0),2),0))))</ns0:f>
      </ns0:c>
      <ns0:c r="R121" s="114">
        <ns0:f>IF(COUNTA($A121:$M121)=0,"",IF(OR($U121="Subscription",$U121=""),"",IF($U121="Estimate","N/A",IF($U121="Draw",$H121,0))))</ns0:f>
      </ns0:c>
      <ns0:c r="S121" s="114">
        <ns0:f>IF(COUNTA($A121:$M121)=0,"",IF(OR($U121="Subscription",$U121=""),"",IF($U121="Estimate","N/A",IF($U121="Disqualified",$H121,0))))</ns0:f>
      </ns0:c>
      <ns0:c r="T121" s="955">
        <ns0:f>IF(COUNTA($A121:$M121)=0,"",IF(OR($U121="Subscription",$U121=""),"",IF($U121="Estimate","N/A",IF(OR($U121="Free Game",$U121="Disqualified — Free Game",$H121=0),"N/A",IF($U121="Profit",$Q121/$H121,IF($U121="Disqualified",-$S121/$H121,0))))))</ns0:f>
      </ns0:c>
      <ns0:c r="U121" s="920">
        <ns0:f>IF(COUNTA($A121:$M121)=0,"",IF(OR(LEFT(LOWER(TRIM($F121&amp;"")),12)="subscription",LOWER(TRIM($F121&amp;""))="membership"),"Subscription",IF(LOWER(TRIM($D121&amp;""))="estimate","Estimate",IF(OR(AND($H121&lt;&gt;"",$H121=0),LEFT(LOWER(TRIM($F121&amp;"")),9)="free game",LOWER(TRIM($F121&amp;""))="free",LOWER(TRIM($F121&amp;""))="free entry"),IF(LOWER($L121&amp;"")="yes","Disqualified — Free Game","Free Game"),IF(LOWER($L121&amp;"")="yes","Disqualified",IF($P121="","",IF(ROUND(IFERROR(VALUE($P121),0)-IFERROR(VALUE($H121),0),2)&gt;0,"Profit","Draw")))))))</ns0:f>
      </ns0:c>
      <ns0:c r="V121" s="956" t="str">
        <ns0:f>IF(COUNTA($A121:$M121)=0,"",IF(OR($B121="",$C121="",$U121="Subscription"),"",IFERROR(ROUNDUP(($C121-$B121)/7,0),"")))</ns0:f>
      </ns0:c>
      <ns0:c r="W121" s="114">
        <ns0:f>IF(COUNTA($A121:$M121)=0,"",IF(OR($U121="Subscription",$U121=""),"",IF($U121="Estimate","N/A",IF(OR($U121="Free Game",$U121="Disqualified — Free Game"),0,ROUND(IFERROR($Q121,0)-IFERROR($S121,0),2)))))</ns0:f>
      </ns0:c>
      <ns0:c r="X121" s="956" t="str">
        <ns0:f>IF(COUNTA($A121:$M121)=0,"",IF(OR($U121="Subscription",NOT(ISNUMBER($J121)),NOT(ISNUMBER($I121)),$J121=0,$I121=0,$I121&gt;$J121),"",$J121-$I121))</ns0:f>
      </ns0:c>
      <ns0:c r="Y121" s="955" t="str">
        <ns0:f>IF(COUNTA($A121:$M121)=0,"",IF(OR($U121="Subscription",NOT(ISNUMBER($J121)),$J121=0,$X121=""),"",$X121/$J121))</ns0:f>
      </ns0:c>
      <ns0:c r="Z121" s="957" t="str">
        <ns0:f>IF(COUNTA($A121:$M121)=0,"",Instructions!$B$29+SUM($W$5:W121))</ns0:f>
      </ns0:c>
    </ns0:row>
    <ns0:row r="122" ht="36" customHeight="1">
      <ns0:c r="A122" s="439"/>
      <ns0:c r="B122" s="453"/>
      <ns0:c r="C122" s="453"/>
      <ns0:c r="D122" s="454"/>
      <ns0:c r="E122" s="454"/>
      <ns0:c r="F122" s="454"/>
      <ns0:c r="G122" s="986"/>
      <ns0:c r="H122" s="455"/>
      <ns0:c r="I122" s="456"/>
      <ns0:c r="J122" s="456"/>
      <ns0:c r="K122" s="986"/>
      <ns0:c r="L122" s="454"/>
      <ns0:c r="M122" s="439"/>
      <ns0:c r="N122" s="987" t="str">
        <ns0:f>IF(COUNTA($A122:$M122)=0,"",IF(OR(LEFT(LOWER(TRIM($F122&amp;"")),12)="subscription",LOWER(TRIM($F122&amp;""))="membership"),"",IF(OR(AND($H122&lt;&gt;"",$H122=0),LEFT(LOWER(TRIM($F122&amp;"")),9)="free game",LOWER(TRIM($F122&amp;""))="free",LOWER(TRIM($F122&amp;""))="free entry"),IF(ISNUMBER($G122),IF(ISNUMBER(SEARCH("non",LOWER($E122&amp;""))),$G122*0.85,$G122),"N/A"),IF($G122="","",IFERROR(IF(ISNUMBER(SEARCH("non",LOWER($E122&amp;""))),$G122*0.85,$G122),"")))))</ns0:f>
        <ns0:v/>
      </ns0:c>
      <ns0:c r="O122" s="987" t="str">
        <ns0:f>IF(COUNTA($A122:$M122)=0,"",IF(OR(LEFT(LOWER(TRIM($F122&amp;"")),12)="subscription",LOWER(TRIM($F122&amp;""))="membership"),"",IF(OR(AND($H122&lt;&gt;"",$H122=0),LEFT(LOWER(TRIM($F122&amp;"")),9)="free game",LOWER(TRIM($F122&amp;""))="free",LOWER(TRIM($F122&amp;""))="free entry"),IF(OR(NOT(ISNUMBER($N122)),NOT(ISNUMBER($I122)),$I122=0),"N/A",IFERROR($N122/$I122,"N/A")),IF(OR($N122="",$I122="",$I122=0),"",IFERROR($N122/$I122,"")))))</ns0:f>
        <ns0:v/>
      </ns0:c>
      <ns0:c r="P122" s="987">
        <ns0:f>IF(COUNTA($A122:$M122)=0,"",IF(OR(LEFT(LOWER(TRIM($F122&amp;"")),12)="subscription",LOWER(TRIM($F122&amp;""))="membership"),"",IF(LOWER(TRIM($D122&amp;""))="estimate","N/A",IF(LOWER($L122&amp;"")="yes",0,IF(OR(AND($H122&lt;&gt;"",$H122=0),LEFT(LOWER(TRIM($F122&amp;"")),9)="free game",LOWER(TRIM($F122&amp;""))="free",LOWER(TRIM($F122&amp;""))="free entry"),IF(ISNUMBER($K122),$K122,""),IF($K122&lt;&gt;"",$K122,""))))))</ns0:f>
      </ns0:c>
      <ns0:c r="Q122" s="114">
        <ns0:f>IF(COUNTA($A122:$M122)=0,"",IF(OR($U122="Subscription",$U122=""),"",IF($U122="Estimate","N/A",IF($U122="Profit",ROUND(IFERROR($P122,0)-IFERROR($H122,0),2),0))))</ns0:f>
      </ns0:c>
      <ns0:c r="R122" s="114">
        <ns0:f>IF(COUNTA($A122:$M122)=0,"",IF(OR($U122="Subscription",$U122=""),"",IF($U122="Estimate","N/A",IF($U122="Draw",$H122,0))))</ns0:f>
      </ns0:c>
      <ns0:c r="S122" s="114">
        <ns0:f>IF(COUNTA($A122:$M122)=0,"",IF(OR($U122="Subscription",$U122=""),"",IF($U122="Estimate","N/A",IF($U122="Disqualified",$H122,0))))</ns0:f>
      </ns0:c>
      <ns0:c r="T122" s="955">
        <ns0:f>IF(COUNTA($A122:$M122)=0,"",IF(OR($U122="Subscription",$U122=""),"",IF($U122="Estimate","N/A",IF(OR($U122="Free Game",$U122="Disqualified — Free Game",$H122=0),"N/A",IF($U122="Profit",$Q122/$H122,IF($U122="Disqualified",-$S122/$H122,0))))))</ns0:f>
      </ns0:c>
      <ns0:c r="U122" s="920">
        <ns0:f>IF(COUNTA($A122:$M122)=0,"",IF(OR(LEFT(LOWER(TRIM($F122&amp;"")),12)="subscription",LOWER(TRIM($F122&amp;""))="membership"),"Subscription",IF(LOWER(TRIM($D122&amp;""))="estimate","Estimate",IF(OR(AND($H122&lt;&gt;"",$H122=0),LEFT(LOWER(TRIM($F122&amp;"")),9)="free game",LOWER(TRIM($F122&amp;""))="free",LOWER(TRIM($F122&amp;""))="free entry"),IF(LOWER($L122&amp;"")="yes","Disqualified — Free Game","Free Game"),IF(LOWER($L122&amp;"")="yes","Disqualified",IF($P122="","",IF(ROUND(IFERROR(VALUE($P122),0)-IFERROR(VALUE($H122),0),2)&gt;0,"Profit","Draw")))))))</ns0:f>
      </ns0:c>
      <ns0:c r="V122" s="956" t="str">
        <ns0:f>IF(COUNTA($A122:$M122)=0,"",IF(OR($B122="",$C122="",$U122="Subscription"),"",IFERROR(ROUNDUP(($C122-$B122)/7,0),"")))</ns0:f>
      </ns0:c>
      <ns0:c r="W122" s="114">
        <ns0:f>IF(COUNTA($A122:$M122)=0,"",IF(OR($U122="Subscription",$U122=""),"",IF($U122="Estimate","N/A",IF(OR($U122="Free Game",$U122="Disqualified — Free Game"),0,ROUND(IFERROR($Q122,0)-IFERROR($S122,0),2)))))</ns0:f>
      </ns0:c>
      <ns0:c r="X122" s="956" t="str">
        <ns0:f>IF(COUNTA($A122:$M122)=0,"",IF(OR($U122="Subscription",NOT(ISNUMBER($J122)),NOT(ISNUMBER($I122)),$J122=0,$I122=0,$I122&gt;$J122),"",$J122-$I122))</ns0:f>
      </ns0:c>
      <ns0:c r="Y122" s="955" t="str">
        <ns0:f>IF(COUNTA($A122:$M122)=0,"",IF(OR($U122="Subscription",NOT(ISNUMBER($J122)),$J122=0,$X122=""),"",$X122/$J122))</ns0:f>
      </ns0:c>
      <ns0:c r="Z122" s="957" t="str">
        <ns0:f>IF(COUNTA($A122:$M122)=0,"",Instructions!$B$29+SUM($W$5:W122))</ns0:f>
      </ns0:c>
    </ns0:row>
    <ns0:row r="123" ht="36" customHeight="1">
      <ns0:c r="A123" s="439"/>
      <ns0:c r="B123" s="453"/>
      <ns0:c r="C123" s="453"/>
      <ns0:c r="D123" s="454"/>
      <ns0:c r="E123" s="454"/>
      <ns0:c r="F123" s="454"/>
      <ns0:c r="G123" s="986"/>
      <ns0:c r="H123" s="455"/>
      <ns0:c r="I123" s="456"/>
      <ns0:c r="J123" s="456"/>
      <ns0:c r="K123" s="986"/>
      <ns0:c r="L123" s="454"/>
      <ns0:c r="M123" s="439"/>
      <ns0:c r="N123" s="987" t="str">
        <ns0:f>IF(COUNTA($A123:$M123)=0,"",IF(OR(LEFT(LOWER(TRIM($F123&amp;"")),12)="subscription",LOWER(TRIM($F123&amp;""))="membership"),"",IF(OR(AND($H123&lt;&gt;"",$H123=0),LEFT(LOWER(TRIM($F123&amp;"")),9)="free game",LOWER(TRIM($F123&amp;""))="free",LOWER(TRIM($F123&amp;""))="free entry"),IF(ISNUMBER($G123),IF(ISNUMBER(SEARCH("non",LOWER($E123&amp;""))),$G123*0.85,$G123),"N/A"),IF($G123="","",IFERROR(IF(ISNUMBER(SEARCH("non",LOWER($E123&amp;""))),$G123*0.85,$G123),"")))))</ns0:f>
        <ns0:v/>
      </ns0:c>
      <ns0:c r="O123" s="987" t="str">
        <ns0:f>IF(COUNTA($A123:$M123)=0,"",IF(OR(LEFT(LOWER(TRIM($F123&amp;"")),12)="subscription",LOWER(TRIM($F123&amp;""))="membership"),"",IF(OR(AND($H123&lt;&gt;"",$H123=0),LEFT(LOWER(TRIM($F123&amp;"")),9)="free game",LOWER(TRIM($F123&amp;""))="free",LOWER(TRIM($F123&amp;""))="free entry"),IF(OR(NOT(ISNUMBER($N123)),NOT(ISNUMBER($I123)),$I123=0),"N/A",IFERROR($N123/$I123,"N/A")),IF(OR($N123="",$I123="",$I123=0),"",IFERROR($N123/$I123,"")))))</ns0:f>
        <ns0:v/>
      </ns0:c>
      <ns0:c r="P123" s="987">
        <ns0:f>IF(COUNTA($A123:$M123)=0,"",IF(OR(LEFT(LOWER(TRIM($F123&amp;"")),12)="subscription",LOWER(TRIM($F123&amp;""))="membership"),"",IF(LOWER(TRIM($D123&amp;""))="estimate","N/A",IF(LOWER($L123&amp;"")="yes",0,IF(OR(AND($H123&lt;&gt;"",$H123=0),LEFT(LOWER(TRIM($F123&amp;"")),9)="free game",LOWER(TRIM($F123&amp;""))="free",LOWER(TRIM($F123&amp;""))="free entry"),IF(ISNUMBER($K123),$K123,""),IF($K123&lt;&gt;"",$K123,""))))))</ns0:f>
      </ns0:c>
      <ns0:c r="Q123" s="114">
        <ns0:f>IF(COUNTA($A123:$M123)=0,"",IF(OR($U123="Subscription",$U123=""),"",IF($U123="Estimate","N/A",IF($U123="Profit",ROUND(IFERROR($P123,0)-IFERROR($H123,0),2),0))))</ns0:f>
      </ns0:c>
      <ns0:c r="R123" s="114">
        <ns0:f>IF(COUNTA($A123:$M123)=0,"",IF(OR($U123="Subscription",$U123=""),"",IF($U123="Estimate","N/A",IF($U123="Draw",$H123,0))))</ns0:f>
      </ns0:c>
      <ns0:c r="S123" s="114">
        <ns0:f>IF(COUNTA($A123:$M123)=0,"",IF(OR($U123="Subscription",$U123=""),"",IF($U123="Estimate","N/A",IF($U123="Disqualified",$H123,0))))</ns0:f>
      </ns0:c>
      <ns0:c r="T123" s="955">
        <ns0:f>IF(COUNTA($A123:$M123)=0,"",IF(OR($U123="Subscription",$U123=""),"",IF($U123="Estimate","N/A",IF(OR($U123="Free Game",$U123="Disqualified — Free Game",$H123=0),"N/A",IF($U123="Profit",$Q123/$H123,IF($U123="Disqualified",-$S123/$H123,0))))))</ns0:f>
      </ns0:c>
      <ns0:c r="U123" s="920">
        <ns0:f>IF(COUNTA($A123:$M123)=0,"",IF(OR(LEFT(LOWER(TRIM($F123&amp;"")),12)="subscription",LOWER(TRIM($F123&amp;""))="membership"),"Subscription",IF(LOWER(TRIM($D123&amp;""))="estimate","Estimate",IF(OR(AND($H123&lt;&gt;"",$H123=0),LEFT(LOWER(TRIM($F123&amp;"")),9)="free game",LOWER(TRIM($F123&amp;""))="free",LOWER(TRIM($F123&amp;""))="free entry"),IF(LOWER($L123&amp;"")="yes","Disqualified — Free Game","Free Game"),IF(LOWER($L123&amp;"")="yes","Disqualified",IF($P123="","",IF(ROUND(IFERROR(VALUE($P123),0)-IFERROR(VALUE($H123),0),2)&gt;0,"Profit","Draw")))))))</ns0:f>
      </ns0:c>
      <ns0:c r="V123" s="956" t="str">
        <ns0:f>IF(COUNTA($A123:$M123)=0,"",IF(OR($B123="",$C123="",$U123="Subscription"),"",IFERROR(ROUNDUP(($C123-$B123)/7,0),"")))</ns0:f>
      </ns0:c>
      <ns0:c r="W123" s="114">
        <ns0:f>IF(COUNTA($A123:$M123)=0,"",IF(OR($U123="Subscription",$U123=""),"",IF($U123="Estimate","N/A",IF(OR($U123="Free Game",$U123="Disqualified — Free Game"),0,ROUND(IFERROR($Q123,0)-IFERROR($S123,0),2)))))</ns0:f>
      </ns0:c>
      <ns0:c r="X123" s="956" t="str">
        <ns0:f>IF(COUNTA($A123:$M123)=0,"",IF(OR($U123="Subscription",NOT(ISNUMBER($J123)),NOT(ISNUMBER($I123)),$J123=0,$I123=0,$I123&gt;$J123),"",$J123-$I123))</ns0:f>
      </ns0:c>
      <ns0:c r="Y123" s="955" t="str">
        <ns0:f>IF(COUNTA($A123:$M123)=0,"",IF(OR($U123="Subscription",NOT(ISNUMBER($J123)),$J123=0,$X123=""),"",$X123/$J123))</ns0:f>
      </ns0:c>
      <ns0:c r="Z123" s="957" t="str">
        <ns0:f>IF(COUNTA($A123:$M123)=0,"",Instructions!$B$29+SUM($W$5:W123))</ns0:f>
      </ns0:c>
    </ns0:row>
    <ns0:row r="124" ht="36" customHeight="1">
      <ns0:c r="A124" s="439"/>
      <ns0:c r="B124" s="453"/>
      <ns0:c r="C124" s="453"/>
      <ns0:c r="D124" s="454"/>
      <ns0:c r="E124" s="454"/>
      <ns0:c r="F124" s="454"/>
      <ns0:c r="G124" s="986"/>
      <ns0:c r="H124" s="455"/>
      <ns0:c r="I124" s="456"/>
      <ns0:c r="J124" s="456"/>
      <ns0:c r="K124" s="986"/>
      <ns0:c r="L124" s="454"/>
      <ns0:c r="M124" s="439"/>
      <ns0:c r="N124" s="987" t="str">
        <ns0:f>IF(COUNTA($A124:$M124)=0,"",IF(OR(LEFT(LOWER(TRIM($F124&amp;"")),12)="subscription",LOWER(TRIM($F124&amp;""))="membership"),"",IF(OR(AND($H124&lt;&gt;"",$H124=0),LEFT(LOWER(TRIM($F124&amp;"")),9)="free game",LOWER(TRIM($F124&amp;""))="free",LOWER(TRIM($F124&amp;""))="free entry"),IF(ISNUMBER($G124),IF(ISNUMBER(SEARCH("non",LOWER($E124&amp;""))),$G124*0.85,$G124),"N/A"),IF($G124="","",IFERROR(IF(ISNUMBER(SEARCH("non",LOWER($E124&amp;""))),$G124*0.85,$G124),"")))))</ns0:f>
        <ns0:v/>
      </ns0:c>
      <ns0:c r="O124" s="987" t="str">
        <ns0:f>IF(COUNTA($A124:$M124)=0,"",IF(OR(LEFT(LOWER(TRIM($F124&amp;"")),12)="subscription",LOWER(TRIM($F124&amp;""))="membership"),"",IF(OR(AND($H124&lt;&gt;"",$H124=0),LEFT(LOWER(TRIM($F124&amp;"")),9)="free game",LOWER(TRIM($F124&amp;""))="free",LOWER(TRIM($F124&amp;""))="free entry"),IF(OR(NOT(ISNUMBER($N124)),NOT(ISNUMBER($I124)),$I124=0),"N/A",IFERROR($N124/$I124,"N/A")),IF(OR($N124="",$I124="",$I124=0),"",IFERROR($N124/$I124,"")))))</ns0:f>
        <ns0:v/>
      </ns0:c>
      <ns0:c r="P124" s="987">
        <ns0:f>IF(COUNTA($A124:$M124)=0,"",IF(OR(LEFT(LOWER(TRIM($F124&amp;"")),12)="subscription",LOWER(TRIM($F124&amp;""))="membership"),"",IF(LOWER(TRIM($D124&amp;""))="estimate","N/A",IF(LOWER($L124&amp;"")="yes",0,IF(OR(AND($H124&lt;&gt;"",$H124=0),LEFT(LOWER(TRIM($F124&amp;"")),9)="free game",LOWER(TRIM($F124&amp;""))="free",LOWER(TRIM($F124&amp;""))="free entry"),IF(ISNUMBER($K124),$K124,""),IF($K124&lt;&gt;"",$K124,""))))))</ns0:f>
      </ns0:c>
      <ns0:c r="Q124" s="114">
        <ns0:f>IF(COUNTA($A124:$M124)=0,"",IF(OR($U124="Subscription",$U124=""),"",IF($U124="Estimate","N/A",IF($U124="Profit",ROUND(IFERROR($P124,0)-IFERROR($H124,0),2),0))))</ns0:f>
      </ns0:c>
      <ns0:c r="R124" s="114">
        <ns0:f>IF(COUNTA($A124:$M124)=0,"",IF(OR($U124="Subscription",$U124=""),"",IF($U124="Estimate","N/A",IF($U124="Draw",$H124,0))))</ns0:f>
      </ns0:c>
      <ns0:c r="S124" s="114">
        <ns0:f>IF(COUNTA($A124:$M124)=0,"",IF(OR($U124="Subscription",$U124=""),"",IF($U124="Estimate","N/A",IF($U124="Disqualified",$H124,0))))</ns0:f>
      </ns0:c>
      <ns0:c r="T124" s="955">
        <ns0:f>IF(COUNTA($A124:$M124)=0,"",IF(OR($U124="Subscription",$U124=""),"",IF($U124="Estimate","N/A",IF(OR($U124="Free Game",$U124="Disqualified — Free Game",$H124=0),"N/A",IF($U124="Profit",$Q124/$H124,IF($U124="Disqualified",-$S124/$H124,0))))))</ns0:f>
      </ns0:c>
      <ns0:c r="U124" s="920">
        <ns0:f>IF(COUNTA($A124:$M124)=0,"",IF(OR(LEFT(LOWER(TRIM($F124&amp;"")),12)="subscription",LOWER(TRIM($F124&amp;""))="membership"),"Subscription",IF(LOWER(TRIM($D124&amp;""))="estimate","Estimate",IF(OR(AND($H124&lt;&gt;"",$H124=0),LEFT(LOWER(TRIM($F124&amp;"")),9)="free game",LOWER(TRIM($F124&amp;""))="free",LOWER(TRIM($F124&amp;""))="free entry"),IF(LOWER($L124&amp;"")="yes","Disqualified — Free Game","Free Game"),IF(LOWER($L124&amp;"")="yes","Disqualified",IF($P124="","",IF(ROUND(IFERROR(VALUE($P124),0)-IFERROR(VALUE($H124),0),2)&gt;0,"Profit","Draw")))))))</ns0:f>
      </ns0:c>
      <ns0:c r="V124" s="956" t="str">
        <ns0:f>IF(COUNTA($A124:$M124)=0,"",IF(OR($B124="",$C124="",$U124="Subscription"),"",IFERROR(ROUNDUP(($C124-$B124)/7,0),"")))</ns0:f>
      </ns0:c>
      <ns0:c r="W124" s="114">
        <ns0:f>IF(COUNTA($A124:$M124)=0,"",IF(OR($U124="Subscription",$U124=""),"",IF($U124="Estimate","N/A",IF(OR($U124="Free Game",$U124="Disqualified — Free Game"),0,ROUND(IFERROR($Q124,0)-IFERROR($S124,0),2)))))</ns0:f>
      </ns0:c>
      <ns0:c r="X124" s="956" t="str">
        <ns0:f>IF(COUNTA($A124:$M124)=0,"",IF(OR($U124="Subscription",NOT(ISNUMBER($J124)),NOT(ISNUMBER($I124)),$J124=0,$I124=0,$I124&gt;$J124),"",$J124-$I124))</ns0:f>
      </ns0:c>
      <ns0:c r="Y124" s="955" t="str">
        <ns0:f>IF(COUNTA($A124:$M124)=0,"",IF(OR($U124="Subscription",NOT(ISNUMBER($J124)),$J124=0,$X124=""),"",$X124/$J124))</ns0:f>
      </ns0:c>
      <ns0:c r="Z124" s="957" t="str">
        <ns0:f>IF(COUNTA($A124:$M124)=0,"",Instructions!$B$29+SUM($W$5:W124))</ns0:f>
      </ns0:c>
    </ns0:row>
    <ns0:row r="125" ht="36" customHeight="1">
      <ns0:c r="A125" s="439"/>
      <ns0:c r="B125" s="453"/>
      <ns0:c r="C125" s="453"/>
      <ns0:c r="D125" s="454"/>
      <ns0:c r="E125" s="454"/>
      <ns0:c r="F125" s="454"/>
      <ns0:c r="G125" s="986"/>
      <ns0:c r="H125" s="455"/>
      <ns0:c r="I125" s="456"/>
      <ns0:c r="J125" s="456"/>
      <ns0:c r="K125" s="986"/>
      <ns0:c r="L125" s="454"/>
      <ns0:c r="M125" s="439"/>
      <ns0:c r="N125" s="987" t="str">
        <ns0:f>IF(COUNTA($A125:$M125)=0,"",IF(OR(LEFT(LOWER(TRIM($F125&amp;"")),12)="subscription",LOWER(TRIM($F125&amp;""))="membership"),"",IF(OR(AND($H125&lt;&gt;"",$H125=0),LEFT(LOWER(TRIM($F125&amp;"")),9)="free game",LOWER(TRIM($F125&amp;""))="free",LOWER(TRIM($F125&amp;""))="free entry"),IF(ISNUMBER($G125),IF(ISNUMBER(SEARCH("non",LOWER($E125&amp;""))),$G125*0.85,$G125),"N/A"),IF($G125="","",IFERROR(IF(ISNUMBER(SEARCH("non",LOWER($E125&amp;""))),$G125*0.85,$G125),"")))))</ns0:f>
        <ns0:v/>
      </ns0:c>
      <ns0:c r="O125" s="987" t="str">
        <ns0:f>IF(COUNTA($A125:$M125)=0,"",IF(OR(LEFT(LOWER(TRIM($F125&amp;"")),12)="subscription",LOWER(TRIM($F125&amp;""))="membership"),"",IF(OR(AND($H125&lt;&gt;"",$H125=0),LEFT(LOWER(TRIM($F125&amp;"")),9)="free game",LOWER(TRIM($F125&amp;""))="free",LOWER(TRIM($F125&amp;""))="free entry"),IF(OR(NOT(ISNUMBER($N125)),NOT(ISNUMBER($I125)),$I125=0),"N/A",IFERROR($N125/$I125,"N/A")),IF(OR($N125="",$I125="",$I125=0),"",IFERROR($N125/$I125,"")))))</ns0:f>
        <ns0:v/>
      </ns0:c>
      <ns0:c r="P125" s="987">
        <ns0:f>IF(COUNTA($A125:$M125)=0,"",IF(OR(LEFT(LOWER(TRIM($F125&amp;"")),12)="subscription",LOWER(TRIM($F125&amp;""))="membership"),"",IF(LOWER(TRIM($D125&amp;""))="estimate","N/A",IF(LOWER($L125&amp;"")="yes",0,IF(OR(AND($H125&lt;&gt;"",$H125=0),LEFT(LOWER(TRIM($F125&amp;"")),9)="free game",LOWER(TRIM($F125&amp;""))="free",LOWER(TRIM($F125&amp;""))="free entry"),IF(ISNUMBER($K125),$K125,""),IF($K125&lt;&gt;"",$K125,""))))))</ns0:f>
      </ns0:c>
      <ns0:c r="Q125" s="114">
        <ns0:f>IF(COUNTA($A125:$M125)=0,"",IF(OR($U125="Subscription",$U125=""),"",IF($U125="Estimate","N/A",IF($U125="Profit",ROUND(IFERROR($P125,0)-IFERROR($H125,0),2),0))))</ns0:f>
      </ns0:c>
      <ns0:c r="R125" s="114">
        <ns0:f>IF(COUNTA($A125:$M125)=0,"",IF(OR($U125="Subscription",$U125=""),"",IF($U125="Estimate","N/A",IF($U125="Draw",$H125,0))))</ns0:f>
      </ns0:c>
      <ns0:c r="S125" s="114">
        <ns0:f>IF(COUNTA($A125:$M125)=0,"",IF(OR($U125="Subscription",$U125=""),"",IF($U125="Estimate","N/A",IF($U125="Disqualified",$H125,0))))</ns0:f>
      </ns0:c>
      <ns0:c r="T125" s="955">
        <ns0:f>IF(COUNTA($A125:$M125)=0,"",IF(OR($U125="Subscription",$U125=""),"",IF($U125="Estimate","N/A",IF(OR($U125="Free Game",$U125="Disqualified — Free Game",$H125=0),"N/A",IF($U125="Profit",$Q125/$H125,IF($U125="Disqualified",-$S125/$H125,0))))))</ns0:f>
      </ns0:c>
      <ns0:c r="U125" s="920">
        <ns0:f>IF(COUNTA($A125:$M125)=0,"",IF(OR(LEFT(LOWER(TRIM($F125&amp;"")),12)="subscription",LOWER(TRIM($F125&amp;""))="membership"),"Subscription",IF(LOWER(TRIM($D125&amp;""))="estimate","Estimate",IF(OR(AND($H125&lt;&gt;"",$H125=0),LEFT(LOWER(TRIM($F125&amp;"")),9)="free game",LOWER(TRIM($F125&amp;""))="free",LOWER(TRIM($F125&amp;""))="free entry"),IF(LOWER($L125&amp;"")="yes","Disqualified — Free Game","Free Game"),IF(LOWER($L125&amp;"")="yes","Disqualified",IF($P125="","",IF(ROUND(IFERROR(VALUE($P125),0)-IFERROR(VALUE($H125),0),2)&gt;0,"Profit","Draw")))))))</ns0:f>
      </ns0:c>
      <ns0:c r="V125" s="956" t="str">
        <ns0:f>IF(COUNTA($A125:$M125)=0,"",IF(OR($B125="",$C125="",$U125="Subscription"),"",IFERROR(ROUNDUP(($C125-$B125)/7,0),"")))</ns0:f>
      </ns0:c>
      <ns0:c r="W125" s="114">
        <ns0:f>IF(COUNTA($A125:$M125)=0,"",IF(OR($U125="Subscription",$U125=""),"",IF($U125="Estimate","N/A",IF(OR($U125="Free Game",$U125="Disqualified — Free Game"),0,ROUND(IFERROR($Q125,0)-IFERROR($S125,0),2)))))</ns0:f>
      </ns0:c>
      <ns0:c r="X125" s="956" t="str">
        <ns0:f>IF(COUNTA($A125:$M125)=0,"",IF(OR($U125="Subscription",NOT(ISNUMBER($J125)),NOT(ISNUMBER($I125)),$J125=0,$I125=0,$I125&gt;$J125),"",$J125-$I125))</ns0:f>
      </ns0:c>
      <ns0:c r="Y125" s="955" t="str">
        <ns0:f>IF(COUNTA($A125:$M125)=0,"",IF(OR($U125="Subscription",NOT(ISNUMBER($J125)),$J125=0,$X125=""),"",$X125/$J125))</ns0:f>
      </ns0:c>
      <ns0:c r="Z125" s="957" t="str">
        <ns0:f>IF(COUNTA($A125:$M125)=0,"",Instructions!$B$29+SUM($W$5:W125))</ns0:f>
      </ns0:c>
    </ns0:row>
    <ns0:row r="126" ht="36" customHeight="1">
      <ns0:c r="A126" s="439"/>
      <ns0:c r="B126" s="453"/>
      <ns0:c r="C126" s="453"/>
      <ns0:c r="D126" s="454"/>
      <ns0:c r="E126" s="454"/>
      <ns0:c r="F126" s="454"/>
      <ns0:c r="G126" s="986"/>
      <ns0:c r="H126" s="455"/>
      <ns0:c r="I126" s="456"/>
      <ns0:c r="J126" s="456"/>
      <ns0:c r="K126" s="986"/>
      <ns0:c r="L126" s="454"/>
      <ns0:c r="M126" s="439"/>
      <ns0:c r="N126" s="987" t="str">
        <ns0:f>IF(COUNTA($A126:$M126)=0,"",IF(OR(LEFT(LOWER(TRIM($F126&amp;"")),12)="subscription",LOWER(TRIM($F126&amp;""))="membership"),"",IF(OR(AND($H126&lt;&gt;"",$H126=0),LEFT(LOWER(TRIM($F126&amp;"")),9)="free game",LOWER(TRIM($F126&amp;""))="free",LOWER(TRIM($F126&amp;""))="free entry"),IF(ISNUMBER($G126),IF(ISNUMBER(SEARCH("non",LOWER($E126&amp;""))),$G126*0.85,$G126),"N/A"),IF($G126="","",IFERROR(IF(ISNUMBER(SEARCH("non",LOWER($E126&amp;""))),$G126*0.85,$G126),"")))))</ns0:f>
        <ns0:v/>
      </ns0:c>
      <ns0:c r="O126" s="987" t="str">
        <ns0:f>IF(COUNTA($A126:$M126)=0,"",IF(OR(LEFT(LOWER(TRIM($F126&amp;"")),12)="subscription",LOWER(TRIM($F126&amp;""))="membership"),"",IF(OR(AND($H126&lt;&gt;"",$H126=0),LEFT(LOWER(TRIM($F126&amp;"")),9)="free game",LOWER(TRIM($F126&amp;""))="free",LOWER(TRIM($F126&amp;""))="free entry"),IF(OR(NOT(ISNUMBER($N126)),NOT(ISNUMBER($I126)),$I126=0),"N/A",IFERROR($N126/$I126,"N/A")),IF(OR($N126="",$I126="",$I126=0),"",IFERROR($N126/$I126,"")))))</ns0:f>
        <ns0:v/>
      </ns0:c>
      <ns0:c r="P126" s="987">
        <ns0:f>IF(COUNTA($A126:$M126)=0,"",IF(OR(LEFT(LOWER(TRIM($F126&amp;"")),12)="subscription",LOWER(TRIM($F126&amp;""))="membership"),"",IF(LOWER(TRIM($D126&amp;""))="estimate","N/A",IF(LOWER($L126&amp;"")="yes",0,IF(OR(AND($H126&lt;&gt;"",$H126=0),LEFT(LOWER(TRIM($F126&amp;"")),9)="free game",LOWER(TRIM($F126&amp;""))="free",LOWER(TRIM($F126&amp;""))="free entry"),IF(ISNUMBER($K126),$K126,""),IF($K126&lt;&gt;"",$K126,""))))))</ns0:f>
      </ns0:c>
      <ns0:c r="Q126" s="114">
        <ns0:f>IF(COUNTA($A126:$M126)=0,"",IF(OR($U126="Subscription",$U126=""),"",IF($U126="Estimate","N/A",IF($U126="Profit",ROUND(IFERROR($P126,0)-IFERROR($H126,0),2),0))))</ns0:f>
      </ns0:c>
      <ns0:c r="R126" s="114">
        <ns0:f>IF(COUNTA($A126:$M126)=0,"",IF(OR($U126="Subscription",$U126=""),"",IF($U126="Estimate","N/A",IF($U126="Draw",$H126,0))))</ns0:f>
      </ns0:c>
      <ns0:c r="S126" s="114">
        <ns0:f>IF(COUNTA($A126:$M126)=0,"",IF(OR($U126="Subscription",$U126=""),"",IF($U126="Estimate","N/A",IF($U126="Disqualified",$H126,0))))</ns0:f>
      </ns0:c>
      <ns0:c r="T126" s="955">
        <ns0:f>IF(COUNTA($A126:$M126)=0,"",IF(OR($U126="Subscription",$U126=""),"",IF($U126="Estimate","N/A",IF(OR($U126="Free Game",$U126="Disqualified — Free Game",$H126=0),"N/A",IF($U126="Profit",$Q126/$H126,IF($U126="Disqualified",-$S126/$H126,0))))))</ns0:f>
      </ns0:c>
      <ns0:c r="U126" s="920">
        <ns0:f>IF(COUNTA($A126:$M126)=0,"",IF(OR(LEFT(LOWER(TRIM($F126&amp;"")),12)="subscription",LOWER(TRIM($F126&amp;""))="membership"),"Subscription",IF(LOWER(TRIM($D126&amp;""))="estimate","Estimate",IF(OR(AND($H126&lt;&gt;"",$H126=0),LEFT(LOWER(TRIM($F126&amp;"")),9)="free game",LOWER(TRIM($F126&amp;""))="free",LOWER(TRIM($F126&amp;""))="free entry"),IF(LOWER($L126&amp;"")="yes","Disqualified — Free Game","Free Game"),IF(LOWER($L126&amp;"")="yes","Disqualified",IF($P126="","",IF(ROUND(IFERROR(VALUE($P126),0)-IFERROR(VALUE($H126),0),2)&gt;0,"Profit","Draw")))))))</ns0:f>
      </ns0:c>
      <ns0:c r="V126" s="956" t="str">
        <ns0:f>IF(COUNTA($A126:$M126)=0,"",IF(OR($B126="",$C126="",$U126="Subscription"),"",IFERROR(ROUNDUP(($C126-$B126)/7,0),"")))</ns0:f>
      </ns0:c>
      <ns0:c r="W126" s="114">
        <ns0:f>IF(COUNTA($A126:$M126)=0,"",IF(OR($U126="Subscription",$U126=""),"",IF($U126="Estimate","N/A",IF(OR($U126="Free Game",$U126="Disqualified — Free Game"),0,ROUND(IFERROR($Q126,0)-IFERROR($S126,0),2)))))</ns0:f>
      </ns0:c>
      <ns0:c r="X126" s="956" t="str">
        <ns0:f>IF(COUNTA($A126:$M126)=0,"",IF(OR($U126="Subscription",NOT(ISNUMBER($J126)),NOT(ISNUMBER($I126)),$J126=0,$I126=0,$I126&gt;$J126),"",$J126-$I126))</ns0:f>
      </ns0:c>
      <ns0:c r="Y126" s="955" t="str">
        <ns0:f>IF(COUNTA($A126:$M126)=0,"",IF(OR($U126="Subscription",NOT(ISNUMBER($J126)),$J126=0,$X126=""),"",$X126/$J126))</ns0:f>
      </ns0:c>
      <ns0:c r="Z126" s="957" t="str">
        <ns0:f>IF(COUNTA($A126:$M126)=0,"",Instructions!$B$29+SUM($W$5:W126))</ns0:f>
      </ns0:c>
    </ns0:row>
    <ns0:row r="127" ht="36" customHeight="1">
      <ns0:c r="A127" s="439"/>
      <ns0:c r="B127" s="453"/>
      <ns0:c r="C127" s="453"/>
      <ns0:c r="D127" s="454"/>
      <ns0:c r="E127" s="454"/>
      <ns0:c r="F127" s="454"/>
      <ns0:c r="G127" s="986"/>
      <ns0:c r="H127" s="455"/>
      <ns0:c r="I127" s="456"/>
      <ns0:c r="J127" s="456"/>
      <ns0:c r="K127" s="986"/>
      <ns0:c r="L127" s="454"/>
      <ns0:c r="M127" s="439"/>
      <ns0:c r="N127" s="987" t="str">
        <ns0:f>IF(COUNTA($A127:$M127)=0,"",IF(OR(LEFT(LOWER(TRIM($F127&amp;"")),12)="subscription",LOWER(TRIM($F127&amp;""))="membership"),"",IF(OR(AND($H127&lt;&gt;"",$H127=0),LEFT(LOWER(TRIM($F127&amp;"")),9)="free game",LOWER(TRIM($F127&amp;""))="free",LOWER(TRIM($F127&amp;""))="free entry"),IF(ISNUMBER($G127),IF(ISNUMBER(SEARCH("non",LOWER($E127&amp;""))),$G127*0.85,$G127),"N/A"),IF($G127="","",IFERROR(IF(ISNUMBER(SEARCH("non",LOWER($E127&amp;""))),$G127*0.85,$G127),"")))))</ns0:f>
        <ns0:v/>
      </ns0:c>
      <ns0:c r="O127" s="987" t="str">
        <ns0:f>IF(COUNTA($A127:$M127)=0,"",IF(OR(LEFT(LOWER(TRIM($F127&amp;"")),12)="subscription",LOWER(TRIM($F127&amp;""))="membership"),"",IF(OR(AND($H127&lt;&gt;"",$H127=0),LEFT(LOWER(TRIM($F127&amp;"")),9)="free game",LOWER(TRIM($F127&amp;""))="free",LOWER(TRIM($F127&amp;""))="free entry"),IF(OR(NOT(ISNUMBER($N127)),NOT(ISNUMBER($I127)),$I127=0),"N/A",IFERROR($N127/$I127,"N/A")),IF(OR($N127="",$I127="",$I127=0),"",IFERROR($N127/$I127,"")))))</ns0:f>
        <ns0:v/>
      </ns0:c>
      <ns0:c r="P127" s="987">
        <ns0:f>IF(COUNTA($A127:$M127)=0,"",IF(OR(LEFT(LOWER(TRIM($F127&amp;"")),12)="subscription",LOWER(TRIM($F127&amp;""))="membership"),"",IF(LOWER(TRIM($D127&amp;""))="estimate","N/A",IF(LOWER($L127&amp;"")="yes",0,IF(OR(AND($H127&lt;&gt;"",$H127=0),LEFT(LOWER(TRIM($F127&amp;"")),9)="free game",LOWER(TRIM($F127&amp;""))="free",LOWER(TRIM($F127&amp;""))="free entry"),IF(ISNUMBER($K127),$K127,""),IF($K127&lt;&gt;"",$K127,""))))))</ns0:f>
      </ns0:c>
      <ns0:c r="Q127" s="114">
        <ns0:f>IF(COUNTA($A127:$M127)=0,"",IF(OR($U127="Subscription",$U127=""),"",IF($U127="Estimate","N/A",IF($U127="Profit",ROUND(IFERROR($P127,0)-IFERROR($H127,0),2),0))))</ns0:f>
      </ns0:c>
      <ns0:c r="R127" s="114">
        <ns0:f>IF(COUNTA($A127:$M127)=0,"",IF(OR($U127="Subscription",$U127=""),"",IF($U127="Estimate","N/A",IF($U127="Draw",$H127,0))))</ns0:f>
      </ns0:c>
      <ns0:c r="S127" s="114">
        <ns0:f>IF(COUNTA($A127:$M127)=0,"",IF(OR($U127="Subscription",$U127=""),"",IF($U127="Estimate","N/A",IF($U127="Disqualified",$H127,0))))</ns0:f>
      </ns0:c>
      <ns0:c r="T127" s="955">
        <ns0:f>IF(COUNTA($A127:$M127)=0,"",IF(OR($U127="Subscription",$U127=""),"",IF($U127="Estimate","N/A",IF(OR($U127="Free Game",$U127="Disqualified — Free Game",$H127=0),"N/A",IF($U127="Profit",$Q127/$H127,IF($U127="Disqualified",-$S127/$H127,0))))))</ns0:f>
      </ns0:c>
      <ns0:c r="U127" s="920">
        <ns0:f>IF(COUNTA($A127:$M127)=0,"",IF(OR(LEFT(LOWER(TRIM($F127&amp;"")),12)="subscription",LOWER(TRIM($F127&amp;""))="membership"),"Subscription",IF(LOWER(TRIM($D127&amp;""))="estimate","Estimate",IF(OR(AND($H127&lt;&gt;"",$H127=0),LEFT(LOWER(TRIM($F127&amp;"")),9)="free game",LOWER(TRIM($F127&amp;""))="free",LOWER(TRIM($F127&amp;""))="free entry"),IF(LOWER($L127&amp;"")="yes","Disqualified — Free Game","Free Game"),IF(LOWER($L127&amp;"")="yes","Disqualified",IF($P127="","",IF(ROUND(IFERROR(VALUE($P127),0)-IFERROR(VALUE($H127),0),2)&gt;0,"Profit","Draw")))))))</ns0:f>
      </ns0:c>
      <ns0:c r="V127" s="956" t="str">
        <ns0:f>IF(COUNTA($A127:$M127)=0,"",IF(OR($B127="",$C127="",$U127="Subscription"),"",IFERROR(ROUNDUP(($C127-$B127)/7,0),"")))</ns0:f>
      </ns0:c>
      <ns0:c r="W127" s="114">
        <ns0:f>IF(COUNTA($A127:$M127)=0,"",IF(OR($U127="Subscription",$U127=""),"",IF($U127="Estimate","N/A",IF(OR($U127="Free Game",$U127="Disqualified — Free Game"),0,ROUND(IFERROR($Q127,0)-IFERROR($S127,0),2)))))</ns0:f>
      </ns0:c>
      <ns0:c r="X127" s="956" t="str">
        <ns0:f>IF(COUNTA($A127:$M127)=0,"",IF(OR($U127="Subscription",NOT(ISNUMBER($J127)),NOT(ISNUMBER($I127)),$J127=0,$I127=0,$I127&gt;$J127),"",$J127-$I127))</ns0:f>
      </ns0:c>
      <ns0:c r="Y127" s="955" t="str">
        <ns0:f>IF(COUNTA($A127:$M127)=0,"",IF(OR($U127="Subscription",NOT(ISNUMBER($J127)),$J127=0,$X127=""),"",$X127/$J127))</ns0:f>
      </ns0:c>
      <ns0:c r="Z127" s="957" t="str">
        <ns0:f>IF(COUNTA($A127:$M127)=0,"",Instructions!$B$29+SUM($W$5:W127))</ns0:f>
      </ns0:c>
    </ns0:row>
    <ns0:row r="128" ht="36" customHeight="1">
      <ns0:c r="A128" s="439"/>
      <ns0:c r="B128" s="453"/>
      <ns0:c r="C128" s="453"/>
      <ns0:c r="D128" s="454"/>
      <ns0:c r="E128" s="454"/>
      <ns0:c r="F128" s="454"/>
      <ns0:c r="G128" s="986"/>
      <ns0:c r="H128" s="455"/>
      <ns0:c r="I128" s="456"/>
      <ns0:c r="J128" s="456"/>
      <ns0:c r="K128" s="986"/>
      <ns0:c r="L128" s="454"/>
      <ns0:c r="M128" s="439"/>
      <ns0:c r="N128" s="987" t="str">
        <ns0:f>IF(COUNTA($A128:$M128)=0,"",IF(OR(LEFT(LOWER(TRIM($F128&amp;"")),12)="subscription",LOWER(TRIM($F128&amp;""))="membership"),"",IF(OR(AND($H128&lt;&gt;"",$H128=0),LEFT(LOWER(TRIM($F128&amp;"")),9)="free game",LOWER(TRIM($F128&amp;""))="free",LOWER(TRIM($F128&amp;""))="free entry"),IF(ISNUMBER($G128),IF(ISNUMBER(SEARCH("non",LOWER($E128&amp;""))),$G128*0.85,$G128),"N/A"),IF($G128="","",IFERROR(IF(ISNUMBER(SEARCH("non",LOWER($E128&amp;""))),$G128*0.85,$G128),"")))))</ns0:f>
        <ns0:v/>
      </ns0:c>
      <ns0:c r="O128" s="987" t="str">
        <ns0:f>IF(COUNTA($A128:$M128)=0,"",IF(OR(LEFT(LOWER(TRIM($F128&amp;"")),12)="subscription",LOWER(TRIM($F128&amp;""))="membership"),"",IF(OR(AND($H128&lt;&gt;"",$H128=0),LEFT(LOWER(TRIM($F128&amp;"")),9)="free game",LOWER(TRIM($F128&amp;""))="free",LOWER(TRIM($F128&amp;""))="free entry"),IF(OR(NOT(ISNUMBER($N128)),NOT(ISNUMBER($I128)),$I128=0),"N/A",IFERROR($N128/$I128,"N/A")),IF(OR($N128="",$I128="",$I128=0),"",IFERROR($N128/$I128,"")))))</ns0:f>
        <ns0:v/>
      </ns0:c>
      <ns0:c r="P128" s="987">
        <ns0:f>IF(COUNTA($A128:$M128)=0,"",IF(OR(LEFT(LOWER(TRIM($F128&amp;"")),12)="subscription",LOWER(TRIM($F128&amp;""))="membership"),"",IF(LOWER(TRIM($D128&amp;""))="estimate","N/A",IF(LOWER($L128&amp;"")="yes",0,IF(OR(AND($H128&lt;&gt;"",$H128=0),LEFT(LOWER(TRIM($F128&amp;"")),9)="free game",LOWER(TRIM($F128&amp;""))="free",LOWER(TRIM($F128&amp;""))="free entry"),IF(ISNUMBER($K128),$K128,""),IF($K128&lt;&gt;"",$K128,""))))))</ns0:f>
      </ns0:c>
      <ns0:c r="Q128" s="114">
        <ns0:f>IF(COUNTA($A128:$M128)=0,"",IF(OR($U128="Subscription",$U128=""),"",IF($U128="Estimate","N/A",IF($U128="Profit",ROUND(IFERROR($P128,0)-IFERROR($H128,0),2),0))))</ns0:f>
      </ns0:c>
      <ns0:c r="R128" s="114">
        <ns0:f>IF(COUNTA($A128:$M128)=0,"",IF(OR($U128="Subscription",$U128=""),"",IF($U128="Estimate","N/A",IF($U128="Draw",$H128,0))))</ns0:f>
      </ns0:c>
      <ns0:c r="S128" s="114">
        <ns0:f>IF(COUNTA($A128:$M128)=0,"",IF(OR($U128="Subscription",$U128=""),"",IF($U128="Estimate","N/A",IF($U128="Disqualified",$H128,0))))</ns0:f>
      </ns0:c>
      <ns0:c r="T128" s="955">
        <ns0:f>IF(COUNTA($A128:$M128)=0,"",IF(OR($U128="Subscription",$U128=""),"",IF($U128="Estimate","N/A",IF(OR($U128="Free Game",$U128="Disqualified — Free Game",$H128=0),"N/A",IF($U128="Profit",$Q128/$H128,IF($U128="Disqualified",-$S128/$H128,0))))))</ns0:f>
      </ns0:c>
      <ns0:c r="U128" s="920">
        <ns0:f>IF(COUNTA($A128:$M128)=0,"",IF(OR(LEFT(LOWER(TRIM($F128&amp;"")),12)="subscription",LOWER(TRIM($F128&amp;""))="membership"),"Subscription",IF(LOWER(TRIM($D128&amp;""))="estimate","Estimate",IF(OR(AND($H128&lt;&gt;"",$H128=0),LEFT(LOWER(TRIM($F128&amp;"")),9)="free game",LOWER(TRIM($F128&amp;""))="free",LOWER(TRIM($F128&amp;""))="free entry"),IF(LOWER($L128&amp;"")="yes","Disqualified — Free Game","Free Game"),IF(LOWER($L128&amp;"")="yes","Disqualified",IF($P128="","",IF(ROUND(IFERROR(VALUE($P128),0)-IFERROR(VALUE($H128),0),2)&gt;0,"Profit","Draw")))))))</ns0:f>
      </ns0:c>
      <ns0:c r="V128" s="956" t="str">
        <ns0:f>IF(COUNTA($A128:$M128)=0,"",IF(OR($B128="",$C128="",$U128="Subscription"),"",IFERROR(ROUNDUP(($C128-$B128)/7,0),"")))</ns0:f>
      </ns0:c>
      <ns0:c r="W128" s="114">
        <ns0:f>IF(COUNTA($A128:$M128)=0,"",IF(OR($U128="Subscription",$U128=""),"",IF($U128="Estimate","N/A",IF(OR($U128="Free Game",$U128="Disqualified — Free Game"),0,ROUND(IFERROR($Q128,0)-IFERROR($S128,0),2)))))</ns0:f>
      </ns0:c>
      <ns0:c r="X128" s="956" t="str">
        <ns0:f>IF(COUNTA($A128:$M128)=0,"",IF(OR($U128="Subscription",NOT(ISNUMBER($J128)),NOT(ISNUMBER($I128)),$J128=0,$I128=0,$I128&gt;$J128),"",$J128-$I128))</ns0:f>
      </ns0:c>
      <ns0:c r="Y128" s="955" t="str">
        <ns0:f>IF(COUNTA($A128:$M128)=0,"",IF(OR($U128="Subscription",NOT(ISNUMBER($J128)),$J128=0,$X128=""),"",$X128/$J128))</ns0:f>
      </ns0:c>
      <ns0:c r="Z128" s="957" t="str">
        <ns0:f>IF(COUNTA($A128:$M128)=0,"",Instructions!$B$29+SUM($W$5:W128))</ns0:f>
      </ns0:c>
    </ns0:row>
    <ns0:row r="129" ht="36" customHeight="1">
      <ns0:c r="A129" s="439"/>
      <ns0:c r="B129" s="453"/>
      <ns0:c r="C129" s="453"/>
      <ns0:c r="D129" s="454"/>
      <ns0:c r="E129" s="454"/>
      <ns0:c r="F129" s="454"/>
      <ns0:c r="G129" s="986"/>
      <ns0:c r="H129" s="455"/>
      <ns0:c r="I129" s="456"/>
      <ns0:c r="J129" s="456"/>
      <ns0:c r="K129" s="986"/>
      <ns0:c r="L129" s="454"/>
      <ns0:c r="M129" s="439"/>
      <ns0:c r="N129" s="987" t="str">
        <ns0:f>IF(COUNTA($A129:$M129)=0,"",IF(OR(LEFT(LOWER(TRIM($F129&amp;"")),12)="subscription",LOWER(TRIM($F129&amp;""))="membership"),"",IF(OR(AND($H129&lt;&gt;"",$H129=0),LEFT(LOWER(TRIM($F129&amp;"")),9)="free game",LOWER(TRIM($F129&amp;""))="free",LOWER(TRIM($F129&amp;""))="free entry"),IF(ISNUMBER($G129),IF(ISNUMBER(SEARCH("non",LOWER($E129&amp;""))),$G129*0.85,$G129),"N/A"),IF($G129="","",IFERROR(IF(ISNUMBER(SEARCH("non",LOWER($E129&amp;""))),$G129*0.85,$G129),"")))))</ns0:f>
        <ns0:v/>
      </ns0:c>
      <ns0:c r="O129" s="987" t="str">
        <ns0:f>IF(COUNTA($A129:$M129)=0,"",IF(OR(LEFT(LOWER(TRIM($F129&amp;"")),12)="subscription",LOWER(TRIM($F129&amp;""))="membership"),"",IF(OR(AND($H129&lt;&gt;"",$H129=0),LEFT(LOWER(TRIM($F129&amp;"")),9)="free game",LOWER(TRIM($F129&amp;""))="free",LOWER(TRIM($F129&amp;""))="free entry"),IF(OR(NOT(ISNUMBER($N129)),NOT(ISNUMBER($I129)),$I129=0),"N/A",IFERROR($N129/$I129,"N/A")),IF(OR($N129="",$I129="",$I129=0),"",IFERROR($N129/$I129,"")))))</ns0:f>
        <ns0:v/>
      </ns0:c>
      <ns0:c r="P129" s="987">
        <ns0:f>IF(COUNTA($A129:$M129)=0,"",IF(OR(LEFT(LOWER(TRIM($F129&amp;"")),12)="subscription",LOWER(TRIM($F129&amp;""))="membership"),"",IF(LOWER(TRIM($D129&amp;""))="estimate","N/A",IF(LOWER($L129&amp;"")="yes",0,IF(OR(AND($H129&lt;&gt;"",$H129=0),LEFT(LOWER(TRIM($F129&amp;"")),9)="free game",LOWER(TRIM($F129&amp;""))="free",LOWER(TRIM($F129&amp;""))="free entry"),IF(ISNUMBER($K129),$K129,""),IF($K129&lt;&gt;"",$K129,""))))))</ns0:f>
      </ns0:c>
      <ns0:c r="Q129" s="114">
        <ns0:f>IF(COUNTA($A129:$M129)=0,"",IF(OR($U129="Subscription",$U129=""),"",IF($U129="Estimate","N/A",IF($U129="Profit",ROUND(IFERROR($P129,0)-IFERROR($H129,0),2),0))))</ns0:f>
      </ns0:c>
      <ns0:c r="R129" s="114">
        <ns0:f>IF(COUNTA($A129:$M129)=0,"",IF(OR($U129="Subscription",$U129=""),"",IF($U129="Estimate","N/A",IF($U129="Draw",$H129,0))))</ns0:f>
      </ns0:c>
      <ns0:c r="S129" s="114">
        <ns0:f>IF(COUNTA($A129:$M129)=0,"",IF(OR($U129="Subscription",$U129=""),"",IF($U129="Estimate","N/A",IF($U129="Disqualified",$H129,0))))</ns0:f>
      </ns0:c>
      <ns0:c r="T129" s="955">
        <ns0:f>IF(COUNTA($A129:$M129)=0,"",IF(OR($U129="Subscription",$U129=""),"",IF($U129="Estimate","N/A",IF(OR($U129="Free Game",$U129="Disqualified — Free Game",$H129=0),"N/A",IF($U129="Profit",$Q129/$H129,IF($U129="Disqualified",-$S129/$H129,0))))))</ns0:f>
      </ns0:c>
      <ns0:c r="U129" s="920">
        <ns0:f>IF(COUNTA($A129:$M129)=0,"",IF(OR(LEFT(LOWER(TRIM($F129&amp;"")),12)="subscription",LOWER(TRIM($F129&amp;""))="membership"),"Subscription",IF(LOWER(TRIM($D129&amp;""))="estimate","Estimate",IF(OR(AND($H129&lt;&gt;"",$H129=0),LEFT(LOWER(TRIM($F129&amp;"")),9)="free game",LOWER(TRIM($F129&amp;""))="free",LOWER(TRIM($F129&amp;""))="free entry"),IF(LOWER($L129&amp;"")="yes","Disqualified — Free Game","Free Game"),IF(LOWER($L129&amp;"")="yes","Disqualified",IF($P129="","",IF(ROUND(IFERROR(VALUE($P129),0)-IFERROR(VALUE($H129),0),2)&gt;0,"Profit","Draw")))))))</ns0:f>
      </ns0:c>
      <ns0:c r="V129" s="956" t="str">
        <ns0:f>IF(COUNTA($A129:$M129)=0,"",IF(OR($B129="",$C129="",$U129="Subscription"),"",IFERROR(ROUNDUP(($C129-$B129)/7,0),"")))</ns0:f>
      </ns0:c>
      <ns0:c r="W129" s="114">
        <ns0:f>IF(COUNTA($A129:$M129)=0,"",IF(OR($U129="Subscription",$U129=""),"",IF($U129="Estimate","N/A",IF(OR($U129="Free Game",$U129="Disqualified — Free Game"),0,ROUND(IFERROR($Q129,0)-IFERROR($S129,0),2)))))</ns0:f>
      </ns0:c>
      <ns0:c r="X129" s="956" t="str">
        <ns0:f>IF(COUNTA($A129:$M129)=0,"",IF(OR($U129="Subscription",NOT(ISNUMBER($J129)),NOT(ISNUMBER($I129)),$J129=0,$I129=0,$I129&gt;$J129),"",$J129-$I129))</ns0:f>
      </ns0:c>
      <ns0:c r="Y129" s="955" t="str">
        <ns0:f>IF(COUNTA($A129:$M129)=0,"",IF(OR($U129="Subscription",NOT(ISNUMBER($J129)),$J129=0,$X129=""),"",$X129/$J129))</ns0:f>
      </ns0:c>
      <ns0:c r="Z129" s="957" t="str">
        <ns0:f>IF(COUNTA($A129:$M129)=0,"",Instructions!$B$29+SUM($W$5:W129))</ns0:f>
      </ns0:c>
    </ns0:row>
    <ns0:row r="130" ht="36" customHeight="1">
      <ns0:c r="A130" s="439"/>
      <ns0:c r="B130" s="453"/>
      <ns0:c r="C130" s="453"/>
      <ns0:c r="D130" s="454"/>
      <ns0:c r="E130" s="454"/>
      <ns0:c r="F130" s="454"/>
      <ns0:c r="G130" s="986"/>
      <ns0:c r="H130" s="455"/>
      <ns0:c r="I130" s="456"/>
      <ns0:c r="J130" s="456"/>
      <ns0:c r="K130" s="986"/>
      <ns0:c r="L130" s="454"/>
      <ns0:c r="M130" s="439"/>
      <ns0:c r="N130" s="987" t="str">
        <ns0:f>IF(COUNTA($A130:$M130)=0,"",IF(OR(LEFT(LOWER(TRIM($F130&amp;"")),12)="subscription",LOWER(TRIM($F130&amp;""))="membership"),"",IF(OR(AND($H130&lt;&gt;"",$H130=0),LEFT(LOWER(TRIM($F130&amp;"")),9)="free game",LOWER(TRIM($F130&amp;""))="free",LOWER(TRIM($F130&amp;""))="free entry"),IF(ISNUMBER($G130),IF(ISNUMBER(SEARCH("non",LOWER($E130&amp;""))),$G130*0.85,$G130),"N/A"),IF($G130="","",IFERROR(IF(ISNUMBER(SEARCH("non",LOWER($E130&amp;""))),$G130*0.85,$G130),"")))))</ns0:f>
        <ns0:v/>
      </ns0:c>
      <ns0:c r="O130" s="987" t="str">
        <ns0:f>IF(COUNTA($A130:$M130)=0,"",IF(OR(LEFT(LOWER(TRIM($F130&amp;"")),12)="subscription",LOWER(TRIM($F130&amp;""))="membership"),"",IF(OR(AND($H130&lt;&gt;"",$H130=0),LEFT(LOWER(TRIM($F130&amp;"")),9)="free game",LOWER(TRIM($F130&amp;""))="free",LOWER(TRIM($F130&amp;""))="free entry"),IF(OR(NOT(ISNUMBER($N130)),NOT(ISNUMBER($I130)),$I130=0),"N/A",IFERROR($N130/$I130,"N/A")),IF(OR($N130="",$I130="",$I130=0),"",IFERROR($N130/$I130,"")))))</ns0:f>
        <ns0:v/>
      </ns0:c>
      <ns0:c r="P130" s="987">
        <ns0:f>IF(COUNTA($A130:$M130)=0,"",IF(OR(LEFT(LOWER(TRIM($F130&amp;"")),12)="subscription",LOWER(TRIM($F130&amp;""))="membership"),"",IF(LOWER(TRIM($D130&amp;""))="estimate","N/A",IF(LOWER($L130&amp;"")="yes",0,IF(OR(AND($H130&lt;&gt;"",$H130=0),LEFT(LOWER(TRIM($F130&amp;"")),9)="free game",LOWER(TRIM($F130&amp;""))="free",LOWER(TRIM($F130&amp;""))="free entry"),IF(ISNUMBER($K130),$K130,""),IF($K130&lt;&gt;"",$K130,""))))))</ns0:f>
      </ns0:c>
      <ns0:c r="Q130" s="114">
        <ns0:f>IF(COUNTA($A130:$M130)=0,"",IF(OR($U130="Subscription",$U130=""),"",IF($U130="Estimate","N/A",IF($U130="Profit",ROUND(IFERROR($P130,0)-IFERROR($H130,0),2),0))))</ns0:f>
      </ns0:c>
      <ns0:c r="R130" s="114">
        <ns0:f>IF(COUNTA($A130:$M130)=0,"",IF(OR($U130="Subscription",$U130=""),"",IF($U130="Estimate","N/A",IF($U130="Draw",$H130,0))))</ns0:f>
      </ns0:c>
      <ns0:c r="S130" s="114">
        <ns0:f>IF(COUNTA($A130:$M130)=0,"",IF(OR($U130="Subscription",$U130=""),"",IF($U130="Estimate","N/A",IF($U130="Disqualified",$H130,0))))</ns0:f>
      </ns0:c>
      <ns0:c r="T130" s="955">
        <ns0:f>IF(COUNTA($A130:$M130)=0,"",IF(OR($U130="Subscription",$U130=""),"",IF($U130="Estimate","N/A",IF(OR($U130="Free Game",$U130="Disqualified — Free Game",$H130=0),"N/A",IF($U130="Profit",$Q130/$H130,IF($U130="Disqualified",-$S130/$H130,0))))))</ns0:f>
      </ns0:c>
      <ns0:c r="U130" s="920">
        <ns0:f>IF(COUNTA($A130:$M130)=0,"",IF(OR(LEFT(LOWER(TRIM($F130&amp;"")),12)="subscription",LOWER(TRIM($F130&amp;""))="membership"),"Subscription",IF(LOWER(TRIM($D130&amp;""))="estimate","Estimate",IF(OR(AND($H130&lt;&gt;"",$H130=0),LEFT(LOWER(TRIM($F130&amp;"")),9)="free game",LOWER(TRIM($F130&amp;""))="free",LOWER(TRIM($F130&amp;""))="free entry"),IF(LOWER($L130&amp;"")="yes","Disqualified — Free Game","Free Game"),IF(LOWER($L130&amp;"")="yes","Disqualified",IF($P130="","",IF(ROUND(IFERROR(VALUE($P130),0)-IFERROR(VALUE($H130),0),2)&gt;0,"Profit","Draw")))))))</ns0:f>
      </ns0:c>
      <ns0:c r="V130" s="956" t="str">
        <ns0:f>IF(COUNTA($A130:$M130)=0,"",IF(OR($B130="",$C130="",$U130="Subscription"),"",IFERROR(ROUNDUP(($C130-$B130)/7,0),"")))</ns0:f>
      </ns0:c>
      <ns0:c r="W130" s="114">
        <ns0:f>IF(COUNTA($A130:$M130)=0,"",IF(OR($U130="Subscription",$U130=""),"",IF($U130="Estimate","N/A",IF(OR($U130="Free Game",$U130="Disqualified — Free Game"),0,ROUND(IFERROR($Q130,0)-IFERROR($S130,0),2)))))</ns0:f>
      </ns0:c>
      <ns0:c r="X130" s="956" t="str">
        <ns0:f>IF(COUNTA($A130:$M130)=0,"",IF(OR($U130="Subscription",NOT(ISNUMBER($J130)),NOT(ISNUMBER($I130)),$J130=0,$I130=0,$I130&gt;$J130),"",$J130-$I130))</ns0:f>
      </ns0:c>
      <ns0:c r="Y130" s="955" t="str">
        <ns0:f>IF(COUNTA($A130:$M130)=0,"",IF(OR($U130="Subscription",NOT(ISNUMBER($J130)),$J130=0,$X130=""),"",$X130/$J130))</ns0:f>
      </ns0:c>
      <ns0:c r="Z130" s="957" t="str">
        <ns0:f>IF(COUNTA($A130:$M130)=0,"",Instructions!$B$29+SUM($W$5:W130))</ns0:f>
      </ns0:c>
    </ns0:row>
    <ns0:row r="131" ht="36" customHeight="1">
      <ns0:c r="A131" s="439"/>
      <ns0:c r="B131" s="453"/>
      <ns0:c r="C131" s="453"/>
      <ns0:c r="D131" s="454"/>
      <ns0:c r="E131" s="454"/>
      <ns0:c r="F131" s="454"/>
      <ns0:c r="G131" s="986"/>
      <ns0:c r="H131" s="455"/>
      <ns0:c r="I131" s="456"/>
      <ns0:c r="J131" s="456"/>
      <ns0:c r="K131" s="986"/>
      <ns0:c r="L131" s="454"/>
      <ns0:c r="M131" s="439"/>
      <ns0:c r="N131" s="987" t="str">
        <ns0:f>IF(COUNTA($A131:$M131)=0,"",IF(OR(LEFT(LOWER(TRIM($F131&amp;"")),12)="subscription",LOWER(TRIM($F131&amp;""))="membership"),"",IF(OR(AND($H131&lt;&gt;"",$H131=0),LEFT(LOWER(TRIM($F131&amp;"")),9)="free game",LOWER(TRIM($F131&amp;""))="free",LOWER(TRIM($F131&amp;""))="free entry"),IF(ISNUMBER($G131),IF(ISNUMBER(SEARCH("non",LOWER($E131&amp;""))),$G131*0.85,$G131),"N/A"),IF($G131="","",IFERROR(IF(ISNUMBER(SEARCH("non",LOWER($E131&amp;""))),$G131*0.85,$G131),"")))))</ns0:f>
        <ns0:v/>
      </ns0:c>
      <ns0:c r="O131" s="987" t="str">
        <ns0:f>IF(COUNTA($A131:$M131)=0,"",IF(OR(LEFT(LOWER(TRIM($F131&amp;"")),12)="subscription",LOWER(TRIM($F131&amp;""))="membership"),"",IF(OR(AND($H131&lt;&gt;"",$H131=0),LEFT(LOWER(TRIM($F131&amp;"")),9)="free game",LOWER(TRIM($F131&amp;""))="free",LOWER(TRIM($F131&amp;""))="free entry"),IF(OR(NOT(ISNUMBER($N131)),NOT(ISNUMBER($I131)),$I131=0),"N/A",IFERROR($N131/$I131,"N/A")),IF(OR($N131="",$I131="",$I131=0),"",IFERROR($N131/$I131,"")))))</ns0:f>
        <ns0:v/>
      </ns0:c>
      <ns0:c r="P131" s="987">
        <ns0:f>IF(COUNTA($A131:$M131)=0,"",IF(OR(LEFT(LOWER(TRIM($F131&amp;"")),12)="subscription",LOWER(TRIM($F131&amp;""))="membership"),"",IF(LOWER(TRIM($D131&amp;""))="estimate","N/A",IF(LOWER($L131&amp;"")="yes",0,IF(OR(AND($H131&lt;&gt;"",$H131=0),LEFT(LOWER(TRIM($F131&amp;"")),9)="free game",LOWER(TRIM($F131&amp;""))="free",LOWER(TRIM($F131&amp;""))="free entry"),IF(ISNUMBER($K131),$K131,""),IF($K131&lt;&gt;"",$K131,""))))))</ns0:f>
      </ns0:c>
      <ns0:c r="Q131" s="114">
        <ns0:f>IF(COUNTA($A131:$M131)=0,"",IF(OR($U131="Subscription",$U131=""),"",IF($U131="Estimate","N/A",IF($U131="Profit",ROUND(IFERROR($P131,0)-IFERROR($H131,0),2),0))))</ns0:f>
      </ns0:c>
      <ns0:c r="R131" s="114">
        <ns0:f>IF(COUNTA($A131:$M131)=0,"",IF(OR($U131="Subscription",$U131=""),"",IF($U131="Estimate","N/A",IF($U131="Draw",$H131,0))))</ns0:f>
      </ns0:c>
      <ns0:c r="S131" s="114">
        <ns0:f>IF(COUNTA($A131:$M131)=0,"",IF(OR($U131="Subscription",$U131=""),"",IF($U131="Estimate","N/A",IF($U131="Disqualified",$H131,0))))</ns0:f>
      </ns0:c>
      <ns0:c r="T131" s="955">
        <ns0:f>IF(COUNTA($A131:$M131)=0,"",IF(OR($U131="Subscription",$U131=""),"",IF($U131="Estimate","N/A",IF(OR($U131="Free Game",$U131="Disqualified — Free Game",$H131=0),"N/A",IF($U131="Profit",$Q131/$H131,IF($U131="Disqualified",-$S131/$H131,0))))))</ns0:f>
      </ns0:c>
      <ns0:c r="U131" s="920">
        <ns0:f>IF(COUNTA($A131:$M131)=0,"",IF(OR(LEFT(LOWER(TRIM($F131&amp;"")),12)="subscription",LOWER(TRIM($F131&amp;""))="membership"),"Subscription",IF(LOWER(TRIM($D131&amp;""))="estimate","Estimate",IF(OR(AND($H131&lt;&gt;"",$H131=0),LEFT(LOWER(TRIM($F131&amp;"")),9)="free game",LOWER(TRIM($F131&amp;""))="free",LOWER(TRIM($F131&amp;""))="free entry"),IF(LOWER($L131&amp;"")="yes","Disqualified — Free Game","Free Game"),IF(LOWER($L131&amp;"")="yes","Disqualified",IF($P131="","",IF(ROUND(IFERROR(VALUE($P131),0)-IFERROR(VALUE($H131),0),2)&gt;0,"Profit","Draw")))))))</ns0:f>
      </ns0:c>
      <ns0:c r="V131" s="956" t="str">
        <ns0:f>IF(COUNTA($A131:$M131)=0,"",IF(OR($B131="",$C131="",$U131="Subscription"),"",IFERROR(ROUNDUP(($C131-$B131)/7,0),"")))</ns0:f>
      </ns0:c>
      <ns0:c r="W131" s="114">
        <ns0:f>IF(COUNTA($A131:$M131)=0,"",IF(OR($U131="Subscription",$U131=""),"",IF($U131="Estimate","N/A",IF(OR($U131="Free Game",$U131="Disqualified — Free Game"),0,ROUND(IFERROR($Q131,0)-IFERROR($S131,0),2)))))</ns0:f>
      </ns0:c>
      <ns0:c r="X131" s="956" t="str">
        <ns0:f>IF(COUNTA($A131:$M131)=0,"",IF(OR($U131="Subscription",NOT(ISNUMBER($J131)),NOT(ISNUMBER($I131)),$J131=0,$I131=0,$I131&gt;$J131),"",$J131-$I131))</ns0:f>
      </ns0:c>
      <ns0:c r="Y131" s="955" t="str">
        <ns0:f>IF(COUNTA($A131:$M131)=0,"",IF(OR($U131="Subscription",NOT(ISNUMBER($J131)),$J131=0,$X131=""),"",$X131/$J131))</ns0:f>
      </ns0:c>
      <ns0:c r="Z131" s="957" t="str">
        <ns0:f>IF(COUNTA($A131:$M131)=0,"",Instructions!$B$29+SUM($W$5:W131))</ns0:f>
      </ns0:c>
    </ns0:row>
    <ns0:row r="132" ht="36" customHeight="1">
      <ns0:c r="A132" s="439"/>
      <ns0:c r="B132" s="453"/>
      <ns0:c r="C132" s="453"/>
      <ns0:c r="D132" s="454"/>
      <ns0:c r="E132" s="454"/>
      <ns0:c r="F132" s="454"/>
      <ns0:c r="G132" s="986"/>
      <ns0:c r="H132" s="455"/>
      <ns0:c r="I132" s="456"/>
      <ns0:c r="J132" s="456"/>
      <ns0:c r="K132" s="986"/>
      <ns0:c r="L132" s="454"/>
      <ns0:c r="M132" s="439"/>
      <ns0:c r="N132" s="987" t="str">
        <ns0:f>IF(COUNTA($A132:$M132)=0,"",IF(OR(LEFT(LOWER(TRIM($F132&amp;"")),12)="subscription",LOWER(TRIM($F132&amp;""))="membership"),"",IF(OR(AND($H132&lt;&gt;"",$H132=0),LEFT(LOWER(TRIM($F132&amp;"")),9)="free game",LOWER(TRIM($F132&amp;""))="free",LOWER(TRIM($F132&amp;""))="free entry"),IF(ISNUMBER($G132),IF(ISNUMBER(SEARCH("non",LOWER($E132&amp;""))),$G132*0.85,$G132),"N/A"),IF($G132="","",IFERROR(IF(ISNUMBER(SEARCH("non",LOWER($E132&amp;""))),$G132*0.85,$G132),"")))))</ns0:f>
        <ns0:v/>
      </ns0:c>
      <ns0:c r="O132" s="987" t="str">
        <ns0:f>IF(COUNTA($A132:$M132)=0,"",IF(OR(LEFT(LOWER(TRIM($F132&amp;"")),12)="subscription",LOWER(TRIM($F132&amp;""))="membership"),"",IF(OR(AND($H132&lt;&gt;"",$H132=0),LEFT(LOWER(TRIM($F132&amp;"")),9)="free game",LOWER(TRIM($F132&amp;""))="free",LOWER(TRIM($F132&amp;""))="free entry"),IF(OR(NOT(ISNUMBER($N132)),NOT(ISNUMBER($I132)),$I132=0),"N/A",IFERROR($N132/$I132,"N/A")),IF(OR($N132="",$I132="",$I132=0),"",IFERROR($N132/$I132,"")))))</ns0:f>
        <ns0:v/>
      </ns0:c>
      <ns0:c r="P132" s="987">
        <ns0:f>IF(COUNTA($A132:$M132)=0,"",IF(OR(LEFT(LOWER(TRIM($F132&amp;"")),12)="subscription",LOWER(TRIM($F132&amp;""))="membership"),"",IF(LOWER(TRIM($D132&amp;""))="estimate","N/A",IF(LOWER($L132&amp;"")="yes",0,IF(OR(AND($H132&lt;&gt;"",$H132=0),LEFT(LOWER(TRIM($F132&amp;"")),9)="free game",LOWER(TRIM($F132&amp;""))="free",LOWER(TRIM($F132&amp;""))="free entry"),IF(ISNUMBER($K132),$K132,""),IF($K132&lt;&gt;"",$K132,""))))))</ns0:f>
      </ns0:c>
      <ns0:c r="Q132" s="114">
        <ns0:f>IF(COUNTA($A132:$M132)=0,"",IF(OR($U132="Subscription",$U132=""),"",IF($U132="Estimate","N/A",IF($U132="Profit",ROUND(IFERROR($P132,0)-IFERROR($H132,0),2),0))))</ns0:f>
      </ns0:c>
      <ns0:c r="R132" s="114">
        <ns0:f>IF(COUNTA($A132:$M132)=0,"",IF(OR($U132="Subscription",$U132=""),"",IF($U132="Estimate","N/A",IF($U132="Draw",$H132,0))))</ns0:f>
      </ns0:c>
      <ns0:c r="S132" s="114">
        <ns0:f>IF(COUNTA($A132:$M132)=0,"",IF(OR($U132="Subscription",$U132=""),"",IF($U132="Estimate","N/A",IF($U132="Disqualified",$H132,0))))</ns0:f>
      </ns0:c>
      <ns0:c r="T132" s="955">
        <ns0:f>IF(COUNTA($A132:$M132)=0,"",IF(OR($U132="Subscription",$U132=""),"",IF($U132="Estimate","N/A",IF(OR($U132="Free Game",$U132="Disqualified — Free Game",$H132=0),"N/A",IF($U132="Profit",$Q132/$H132,IF($U132="Disqualified",-$S132/$H132,0))))))</ns0:f>
      </ns0:c>
      <ns0:c r="U132" s="920">
        <ns0:f>IF(COUNTA($A132:$M132)=0,"",IF(OR(LEFT(LOWER(TRIM($F132&amp;"")),12)="subscription",LOWER(TRIM($F132&amp;""))="membership"),"Subscription",IF(LOWER(TRIM($D132&amp;""))="estimate","Estimate",IF(OR(AND($H132&lt;&gt;"",$H132=0),LEFT(LOWER(TRIM($F132&amp;"")),9)="free game",LOWER(TRIM($F132&amp;""))="free",LOWER(TRIM($F132&amp;""))="free entry"),IF(LOWER($L132&amp;"")="yes","Disqualified — Free Game","Free Game"),IF(LOWER($L132&amp;"")="yes","Disqualified",IF($P132="","",IF(ROUND(IFERROR(VALUE($P132),0)-IFERROR(VALUE($H132),0),2)&gt;0,"Profit","Draw")))))))</ns0:f>
      </ns0:c>
      <ns0:c r="V132" s="956" t="str">
        <ns0:f>IF(COUNTA($A132:$M132)=0,"",IF(OR($B132="",$C132="",$U132="Subscription"),"",IFERROR(ROUNDUP(($C132-$B132)/7,0),"")))</ns0:f>
      </ns0:c>
      <ns0:c r="W132" s="114">
        <ns0:f>IF(COUNTA($A132:$M132)=0,"",IF(OR($U132="Subscription",$U132=""),"",IF($U132="Estimate","N/A",IF(OR($U132="Free Game",$U132="Disqualified — Free Game"),0,ROUND(IFERROR($Q132,0)-IFERROR($S132,0),2)))))</ns0:f>
      </ns0:c>
      <ns0:c r="X132" s="956" t="str">
        <ns0:f>IF(COUNTA($A132:$M132)=0,"",IF(OR($U132="Subscription",NOT(ISNUMBER($J132)),NOT(ISNUMBER($I132)),$J132=0,$I132=0,$I132&gt;$J132),"",$J132-$I132))</ns0:f>
      </ns0:c>
      <ns0:c r="Y132" s="955" t="str">
        <ns0:f>IF(COUNTA($A132:$M132)=0,"",IF(OR($U132="Subscription",NOT(ISNUMBER($J132)),$J132=0,$X132=""),"",$X132/$J132))</ns0:f>
      </ns0:c>
      <ns0:c r="Z132" s="957" t="str">
        <ns0:f>IF(COUNTA($A132:$M132)=0,"",Instructions!$B$29+SUM($W$5:W132))</ns0:f>
      </ns0:c>
    </ns0:row>
    <ns0:row r="133" ht="36" customHeight="1">
      <ns0:c r="A133" s="439"/>
      <ns0:c r="B133" s="453"/>
      <ns0:c r="C133" s="453"/>
      <ns0:c r="D133" s="454"/>
      <ns0:c r="E133" s="454"/>
      <ns0:c r="F133" s="454"/>
      <ns0:c r="G133" s="986"/>
      <ns0:c r="H133" s="455"/>
      <ns0:c r="I133" s="456"/>
      <ns0:c r="J133" s="456"/>
      <ns0:c r="K133" s="986"/>
      <ns0:c r="L133" s="454"/>
      <ns0:c r="M133" s="439"/>
      <ns0:c r="N133" s="987" t="str">
        <ns0:f>IF(COUNTA($A133:$M133)=0,"",IF(OR(LEFT(LOWER(TRIM($F133&amp;"")),12)="subscription",LOWER(TRIM($F133&amp;""))="membership"),"",IF(OR(AND($H133&lt;&gt;"",$H133=0),LEFT(LOWER(TRIM($F133&amp;"")),9)="free game",LOWER(TRIM($F133&amp;""))="free",LOWER(TRIM($F133&amp;""))="free entry"),IF(ISNUMBER($G133),IF(ISNUMBER(SEARCH("non",LOWER($E133&amp;""))),$G133*0.85,$G133),"N/A"),IF($G133="","",IFERROR(IF(ISNUMBER(SEARCH("non",LOWER($E133&amp;""))),$G133*0.85,$G133),"")))))</ns0:f>
        <ns0:v/>
      </ns0:c>
      <ns0:c r="O133" s="987" t="str">
        <ns0:f>IF(COUNTA($A133:$M133)=0,"",IF(OR(LEFT(LOWER(TRIM($F133&amp;"")),12)="subscription",LOWER(TRIM($F133&amp;""))="membership"),"",IF(OR(AND($H133&lt;&gt;"",$H133=0),LEFT(LOWER(TRIM($F133&amp;"")),9)="free game",LOWER(TRIM($F133&amp;""))="free",LOWER(TRIM($F133&amp;""))="free entry"),IF(OR(NOT(ISNUMBER($N133)),NOT(ISNUMBER($I133)),$I133=0),"N/A",IFERROR($N133/$I133,"N/A")),IF(OR($N133="",$I133="",$I133=0),"",IFERROR($N133/$I133,"")))))</ns0:f>
        <ns0:v/>
      </ns0:c>
      <ns0:c r="P133" s="987">
        <ns0:f>IF(COUNTA($A133:$M133)=0,"",IF(OR(LEFT(LOWER(TRIM($F133&amp;"")),12)="subscription",LOWER(TRIM($F133&amp;""))="membership"),"",IF(LOWER(TRIM($D133&amp;""))="estimate","N/A",IF(LOWER($L133&amp;"")="yes",0,IF(OR(AND($H133&lt;&gt;"",$H133=0),LEFT(LOWER(TRIM($F133&amp;"")),9)="free game",LOWER(TRIM($F133&amp;""))="free",LOWER(TRIM($F133&amp;""))="free entry"),IF(ISNUMBER($K133),$K133,""),IF($K133&lt;&gt;"",$K133,""))))))</ns0:f>
      </ns0:c>
      <ns0:c r="Q133" s="114">
        <ns0:f>IF(COUNTA($A133:$M133)=0,"",IF(OR($U133="Subscription",$U133=""),"",IF($U133="Estimate","N/A",IF($U133="Profit",ROUND(IFERROR($P133,0)-IFERROR($H133,0),2),0))))</ns0:f>
      </ns0:c>
      <ns0:c r="R133" s="114">
        <ns0:f>IF(COUNTA($A133:$M133)=0,"",IF(OR($U133="Subscription",$U133=""),"",IF($U133="Estimate","N/A",IF($U133="Draw",$H133,0))))</ns0:f>
      </ns0:c>
      <ns0:c r="S133" s="114">
        <ns0:f>IF(COUNTA($A133:$M133)=0,"",IF(OR($U133="Subscription",$U133=""),"",IF($U133="Estimate","N/A",IF($U133="Disqualified",$H133,0))))</ns0:f>
      </ns0:c>
      <ns0:c r="T133" s="955">
        <ns0:f>IF(COUNTA($A133:$M133)=0,"",IF(OR($U133="Subscription",$U133=""),"",IF($U133="Estimate","N/A",IF(OR($U133="Free Game",$U133="Disqualified — Free Game",$H133=0),"N/A",IF($U133="Profit",$Q133/$H133,IF($U133="Disqualified",-$S133/$H133,0))))))</ns0:f>
      </ns0:c>
      <ns0:c r="U133" s="920">
        <ns0:f>IF(COUNTA($A133:$M133)=0,"",IF(OR(LEFT(LOWER(TRIM($F133&amp;"")),12)="subscription",LOWER(TRIM($F133&amp;""))="membership"),"Subscription",IF(LOWER(TRIM($D133&amp;""))="estimate","Estimate",IF(OR(AND($H133&lt;&gt;"",$H133=0),LEFT(LOWER(TRIM($F133&amp;"")),9)="free game",LOWER(TRIM($F133&amp;""))="free",LOWER(TRIM($F133&amp;""))="free entry"),IF(LOWER($L133&amp;"")="yes","Disqualified — Free Game","Free Game"),IF(LOWER($L133&amp;"")="yes","Disqualified",IF($P133="","",IF(ROUND(IFERROR(VALUE($P133),0)-IFERROR(VALUE($H133),0),2)&gt;0,"Profit","Draw")))))))</ns0:f>
      </ns0:c>
      <ns0:c r="V133" s="956" t="str">
        <ns0:f>IF(COUNTA($A133:$M133)=0,"",IF(OR($B133="",$C133="",$U133="Subscription"),"",IFERROR(ROUNDUP(($C133-$B133)/7,0),"")))</ns0:f>
      </ns0:c>
      <ns0:c r="W133" s="114">
        <ns0:f>IF(COUNTA($A133:$M133)=0,"",IF(OR($U133="Subscription",$U133=""),"",IF($U133="Estimate","N/A",IF(OR($U133="Free Game",$U133="Disqualified — Free Game"),0,ROUND(IFERROR($Q133,0)-IFERROR($S133,0),2)))))</ns0:f>
      </ns0:c>
      <ns0:c r="X133" s="956" t="str">
        <ns0:f>IF(COUNTA($A133:$M133)=0,"",IF(OR($U133="Subscription",NOT(ISNUMBER($J133)),NOT(ISNUMBER($I133)),$J133=0,$I133=0,$I133&gt;$J133),"",$J133-$I133))</ns0:f>
      </ns0:c>
      <ns0:c r="Y133" s="955" t="str">
        <ns0:f>IF(COUNTA($A133:$M133)=0,"",IF(OR($U133="Subscription",NOT(ISNUMBER($J133)),$J133=0,$X133=""),"",$X133/$J133))</ns0:f>
      </ns0:c>
      <ns0:c r="Z133" s="957" t="str">
        <ns0:f>IF(COUNTA($A133:$M133)=0,"",Instructions!$B$29+SUM($W$5:W133))</ns0:f>
      </ns0:c>
    </ns0:row>
    <ns0:row r="134" ht="36" customHeight="1">
      <ns0:c r="A134" s="439"/>
      <ns0:c r="B134" s="453"/>
      <ns0:c r="C134" s="453"/>
      <ns0:c r="D134" s="454"/>
      <ns0:c r="E134" s="454"/>
      <ns0:c r="F134" s="454"/>
      <ns0:c r="G134" s="986"/>
      <ns0:c r="H134" s="455"/>
      <ns0:c r="I134" s="456"/>
      <ns0:c r="J134" s="456"/>
      <ns0:c r="K134" s="986"/>
      <ns0:c r="L134" s="454"/>
      <ns0:c r="M134" s="439"/>
      <ns0:c r="N134" s="987" t="str">
        <ns0:f>IF(COUNTA($A134:$M134)=0,"",IF(OR(LEFT(LOWER(TRIM($F134&amp;"")),12)="subscription",LOWER(TRIM($F134&amp;""))="membership"),"",IF(OR(AND($H134&lt;&gt;"",$H134=0),LEFT(LOWER(TRIM($F134&amp;"")),9)="free game",LOWER(TRIM($F134&amp;""))="free",LOWER(TRIM($F134&amp;""))="free entry"),IF(ISNUMBER($G134),IF(ISNUMBER(SEARCH("non",LOWER($E134&amp;""))),$G134*0.85,$G134),"N/A"),IF($G134="","",IFERROR(IF(ISNUMBER(SEARCH("non",LOWER($E134&amp;""))),$G134*0.85,$G134),"")))))</ns0:f>
        <ns0:v/>
      </ns0:c>
      <ns0:c r="O134" s="987" t="str">
        <ns0:f>IF(COUNTA($A134:$M134)=0,"",IF(OR(LEFT(LOWER(TRIM($F134&amp;"")),12)="subscription",LOWER(TRIM($F134&amp;""))="membership"),"",IF(OR(AND($H134&lt;&gt;"",$H134=0),LEFT(LOWER(TRIM($F134&amp;"")),9)="free game",LOWER(TRIM($F134&amp;""))="free",LOWER(TRIM($F134&amp;""))="free entry"),IF(OR(NOT(ISNUMBER($N134)),NOT(ISNUMBER($I134)),$I134=0),"N/A",IFERROR($N134/$I134,"N/A")),IF(OR($N134="",$I134="",$I134=0),"",IFERROR($N134/$I134,"")))))</ns0:f>
        <ns0:v/>
      </ns0:c>
      <ns0:c r="P134" s="987">
        <ns0:f>IF(COUNTA($A134:$M134)=0,"",IF(OR(LEFT(LOWER(TRIM($F134&amp;"")),12)="subscription",LOWER(TRIM($F134&amp;""))="membership"),"",IF(LOWER(TRIM($D134&amp;""))="estimate","N/A",IF(LOWER($L134&amp;"")="yes",0,IF(OR(AND($H134&lt;&gt;"",$H134=0),LEFT(LOWER(TRIM($F134&amp;"")),9)="free game",LOWER(TRIM($F134&amp;""))="free",LOWER(TRIM($F134&amp;""))="free entry"),IF(ISNUMBER($K134),$K134,""),IF($K134&lt;&gt;"",$K134,""))))))</ns0:f>
      </ns0:c>
      <ns0:c r="Q134" s="114">
        <ns0:f>IF(COUNTA($A134:$M134)=0,"",IF(OR($U134="Subscription",$U134=""),"",IF($U134="Estimate","N/A",IF($U134="Profit",ROUND(IFERROR($P134,0)-IFERROR($H134,0),2),0))))</ns0:f>
      </ns0:c>
      <ns0:c r="R134" s="114">
        <ns0:f>IF(COUNTA($A134:$M134)=0,"",IF(OR($U134="Subscription",$U134=""),"",IF($U134="Estimate","N/A",IF($U134="Draw",$H134,0))))</ns0:f>
      </ns0:c>
      <ns0:c r="S134" s="114">
        <ns0:f>IF(COUNTA($A134:$M134)=0,"",IF(OR($U134="Subscription",$U134=""),"",IF($U134="Estimate","N/A",IF($U134="Disqualified",$H134,0))))</ns0:f>
      </ns0:c>
      <ns0:c r="T134" s="955">
        <ns0:f>IF(COUNTA($A134:$M134)=0,"",IF(OR($U134="Subscription",$U134=""),"",IF($U134="Estimate","N/A",IF(OR($U134="Free Game",$U134="Disqualified — Free Game",$H134=0),"N/A",IF($U134="Profit",$Q134/$H134,IF($U134="Disqualified",-$S134/$H134,0))))))</ns0:f>
      </ns0:c>
      <ns0:c r="U134" s="920">
        <ns0:f>IF(COUNTA($A134:$M134)=0,"",IF(OR(LEFT(LOWER(TRIM($F134&amp;"")),12)="subscription",LOWER(TRIM($F134&amp;""))="membership"),"Subscription",IF(LOWER(TRIM($D134&amp;""))="estimate","Estimate",IF(OR(AND($H134&lt;&gt;"",$H134=0),LEFT(LOWER(TRIM($F134&amp;"")),9)="free game",LOWER(TRIM($F134&amp;""))="free",LOWER(TRIM($F134&amp;""))="free entry"),IF(LOWER($L134&amp;"")="yes","Disqualified — Free Game","Free Game"),IF(LOWER($L134&amp;"")="yes","Disqualified",IF($P134="","",IF(ROUND(IFERROR(VALUE($P134),0)-IFERROR(VALUE($H134),0),2)&gt;0,"Profit","Draw")))))))</ns0:f>
      </ns0:c>
      <ns0:c r="V134" s="956" t="str">
        <ns0:f>IF(COUNTA($A134:$M134)=0,"",IF(OR($B134="",$C134="",$U134="Subscription"),"",IFERROR(ROUNDUP(($C134-$B134)/7,0),"")))</ns0:f>
      </ns0:c>
      <ns0:c r="W134" s="114">
        <ns0:f>IF(COUNTA($A134:$M134)=0,"",IF(OR($U134="Subscription",$U134=""),"",IF($U134="Estimate","N/A",IF(OR($U134="Free Game",$U134="Disqualified — Free Game"),0,ROUND(IFERROR($Q134,0)-IFERROR($S134,0),2)))))</ns0:f>
      </ns0:c>
      <ns0:c r="X134" s="956" t="str">
        <ns0:f>IF(COUNTA($A134:$M134)=0,"",IF(OR($U134="Subscription",NOT(ISNUMBER($J134)),NOT(ISNUMBER($I134)),$J134=0,$I134=0,$I134&gt;$J134),"",$J134-$I134))</ns0:f>
      </ns0:c>
      <ns0:c r="Y134" s="955" t="str">
        <ns0:f>IF(COUNTA($A134:$M134)=0,"",IF(OR($U134="Subscription",NOT(ISNUMBER($J134)),$J134=0,$X134=""),"",$X134/$J134))</ns0:f>
      </ns0:c>
      <ns0:c r="Z134" s="957" t="str">
        <ns0:f>IF(COUNTA($A134:$M134)=0,"",Instructions!$B$29+SUM($W$5:W134))</ns0:f>
      </ns0:c>
    </ns0:row>
    <ns0:row r="135" ht="36" customHeight="1">
      <ns0:c r="A135" s="439"/>
      <ns0:c r="B135" s="453"/>
      <ns0:c r="C135" s="453"/>
      <ns0:c r="D135" s="454"/>
      <ns0:c r="E135" s="454"/>
      <ns0:c r="F135" s="454"/>
      <ns0:c r="G135" s="986"/>
      <ns0:c r="H135" s="455"/>
      <ns0:c r="I135" s="456"/>
      <ns0:c r="J135" s="456"/>
      <ns0:c r="K135" s="986"/>
      <ns0:c r="L135" s="454"/>
      <ns0:c r="M135" s="439"/>
      <ns0:c r="N135" s="987" t="str">
        <ns0:f>IF(COUNTA($A135:$M135)=0,"",IF(OR(LEFT(LOWER(TRIM($F135&amp;"")),12)="subscription",LOWER(TRIM($F135&amp;""))="membership"),"",IF(OR(AND($H135&lt;&gt;"",$H135=0),LEFT(LOWER(TRIM($F135&amp;"")),9)="free game",LOWER(TRIM($F135&amp;""))="free",LOWER(TRIM($F135&amp;""))="free entry"),IF(ISNUMBER($G135),IF(ISNUMBER(SEARCH("non",LOWER($E135&amp;""))),$G135*0.85,$G135),"N/A"),IF($G135="","",IFERROR(IF(ISNUMBER(SEARCH("non",LOWER($E135&amp;""))),$G135*0.85,$G135),"")))))</ns0:f>
        <ns0:v/>
      </ns0:c>
      <ns0:c r="O135" s="987" t="str">
        <ns0:f>IF(COUNTA($A135:$M135)=0,"",IF(OR(LEFT(LOWER(TRIM($F135&amp;"")),12)="subscription",LOWER(TRIM($F135&amp;""))="membership"),"",IF(OR(AND($H135&lt;&gt;"",$H135=0),LEFT(LOWER(TRIM($F135&amp;"")),9)="free game",LOWER(TRIM($F135&amp;""))="free",LOWER(TRIM($F135&amp;""))="free entry"),IF(OR(NOT(ISNUMBER($N135)),NOT(ISNUMBER($I135)),$I135=0),"N/A",IFERROR($N135/$I135,"N/A")),IF(OR($N135="",$I135="",$I135=0),"",IFERROR($N135/$I135,"")))))</ns0:f>
        <ns0:v/>
      </ns0:c>
      <ns0:c r="P135" s="987">
        <ns0:f>IF(COUNTA($A135:$M135)=0,"",IF(OR(LEFT(LOWER(TRIM($F135&amp;"")),12)="subscription",LOWER(TRIM($F135&amp;""))="membership"),"",IF(LOWER(TRIM($D135&amp;""))="estimate","N/A",IF(LOWER($L135&amp;"")="yes",0,IF(OR(AND($H135&lt;&gt;"",$H135=0),LEFT(LOWER(TRIM($F135&amp;"")),9)="free game",LOWER(TRIM($F135&amp;""))="free",LOWER(TRIM($F135&amp;""))="free entry"),IF(ISNUMBER($K135),$K135,""),IF($K135&lt;&gt;"",$K135,""))))))</ns0:f>
      </ns0:c>
      <ns0:c r="Q135" s="114">
        <ns0:f>IF(COUNTA($A135:$M135)=0,"",IF(OR($U135="Subscription",$U135=""),"",IF($U135="Estimate","N/A",IF($U135="Profit",ROUND(IFERROR($P135,0)-IFERROR($H135,0),2),0))))</ns0:f>
      </ns0:c>
      <ns0:c r="R135" s="114">
        <ns0:f>IF(COUNTA($A135:$M135)=0,"",IF(OR($U135="Subscription",$U135=""),"",IF($U135="Estimate","N/A",IF($U135="Draw",$H135,0))))</ns0:f>
      </ns0:c>
      <ns0:c r="S135" s="114">
        <ns0:f>IF(COUNTA($A135:$M135)=0,"",IF(OR($U135="Subscription",$U135=""),"",IF($U135="Estimate","N/A",IF($U135="Disqualified",$H135,0))))</ns0:f>
      </ns0:c>
      <ns0:c r="T135" s="955">
        <ns0:f>IF(COUNTA($A135:$M135)=0,"",IF(OR($U135="Subscription",$U135=""),"",IF($U135="Estimate","N/A",IF(OR($U135="Free Game",$U135="Disqualified — Free Game",$H135=0),"N/A",IF($U135="Profit",$Q135/$H135,IF($U135="Disqualified",-$S135/$H135,0))))))</ns0:f>
      </ns0:c>
      <ns0:c r="U135" s="920">
        <ns0:f>IF(COUNTA($A135:$M135)=0,"",IF(OR(LEFT(LOWER(TRIM($F135&amp;"")),12)="subscription",LOWER(TRIM($F135&amp;""))="membership"),"Subscription",IF(LOWER(TRIM($D135&amp;""))="estimate","Estimate",IF(OR(AND($H135&lt;&gt;"",$H135=0),LEFT(LOWER(TRIM($F135&amp;"")),9)="free game",LOWER(TRIM($F135&amp;""))="free",LOWER(TRIM($F135&amp;""))="free entry"),IF(LOWER($L135&amp;"")="yes","Disqualified — Free Game","Free Game"),IF(LOWER($L135&amp;"")="yes","Disqualified",IF($P135="","",IF(ROUND(IFERROR(VALUE($P135),0)-IFERROR(VALUE($H135),0),2)&gt;0,"Profit","Draw")))))))</ns0:f>
      </ns0:c>
      <ns0:c r="V135" s="956" t="str">
        <ns0:f>IF(COUNTA($A135:$M135)=0,"",IF(OR($B135="",$C135="",$U135="Subscription"),"",IFERROR(ROUNDUP(($C135-$B135)/7,0),"")))</ns0:f>
      </ns0:c>
      <ns0:c r="W135" s="114">
        <ns0:f>IF(COUNTA($A135:$M135)=0,"",IF(OR($U135="Subscription",$U135=""),"",IF($U135="Estimate","N/A",IF(OR($U135="Free Game",$U135="Disqualified — Free Game"),0,ROUND(IFERROR($Q135,0)-IFERROR($S135,0),2)))))</ns0:f>
      </ns0:c>
      <ns0:c r="X135" s="956" t="str">
        <ns0:f>IF(COUNTA($A135:$M135)=0,"",IF(OR($U135="Subscription",NOT(ISNUMBER($J135)),NOT(ISNUMBER($I135)),$J135=0,$I135=0,$I135&gt;$J135),"",$J135-$I135))</ns0:f>
      </ns0:c>
      <ns0:c r="Y135" s="955" t="str">
        <ns0:f>IF(COUNTA($A135:$M135)=0,"",IF(OR($U135="Subscription",NOT(ISNUMBER($J135)),$J135=0,$X135=""),"",$X135/$J135))</ns0:f>
      </ns0:c>
      <ns0:c r="Z135" s="957" t="str">
        <ns0:f>IF(COUNTA($A135:$M135)=0,"",Instructions!$B$29+SUM($W$5:W135))</ns0:f>
      </ns0:c>
    </ns0:row>
    <ns0:row r="136" ht="36" customHeight="1">
      <ns0:c r="A136" s="439"/>
      <ns0:c r="B136" s="453"/>
      <ns0:c r="C136" s="453"/>
      <ns0:c r="D136" s="454"/>
      <ns0:c r="E136" s="454"/>
      <ns0:c r="F136" s="454"/>
      <ns0:c r="G136" s="986"/>
      <ns0:c r="H136" s="455"/>
      <ns0:c r="I136" s="456"/>
      <ns0:c r="J136" s="456"/>
      <ns0:c r="K136" s="986"/>
      <ns0:c r="L136" s="454"/>
      <ns0:c r="M136" s="439"/>
      <ns0:c r="N136" s="987" t="str">
        <ns0:f>IF(COUNTA($A136:$M136)=0,"",IF(OR(LEFT(LOWER(TRIM($F136&amp;"")),12)="subscription",LOWER(TRIM($F136&amp;""))="membership"),"",IF(OR(AND($H136&lt;&gt;"",$H136=0),LEFT(LOWER(TRIM($F136&amp;"")),9)="free game",LOWER(TRIM($F136&amp;""))="free",LOWER(TRIM($F136&amp;""))="free entry"),IF(ISNUMBER($G136),IF(ISNUMBER(SEARCH("non",LOWER($E136&amp;""))),$G136*0.85,$G136),"N/A"),IF($G136="","",IFERROR(IF(ISNUMBER(SEARCH("non",LOWER($E136&amp;""))),$G136*0.85,$G136),"")))))</ns0:f>
        <ns0:v/>
      </ns0:c>
      <ns0:c r="O136" s="987" t="str">
        <ns0:f>IF(COUNTA($A136:$M136)=0,"",IF(OR(LEFT(LOWER(TRIM($F136&amp;"")),12)="subscription",LOWER(TRIM($F136&amp;""))="membership"),"",IF(OR(AND($H136&lt;&gt;"",$H136=0),LEFT(LOWER(TRIM($F136&amp;"")),9)="free game",LOWER(TRIM($F136&amp;""))="free",LOWER(TRIM($F136&amp;""))="free entry"),IF(OR(NOT(ISNUMBER($N136)),NOT(ISNUMBER($I136)),$I136=0),"N/A",IFERROR($N136/$I136,"N/A")),IF(OR($N136="",$I136="",$I136=0),"",IFERROR($N136/$I136,"")))))</ns0:f>
        <ns0:v/>
      </ns0:c>
      <ns0:c r="P136" s="987">
        <ns0:f>IF(COUNTA($A136:$M136)=0,"",IF(OR(LEFT(LOWER(TRIM($F136&amp;"")),12)="subscription",LOWER(TRIM($F136&amp;""))="membership"),"",IF(LOWER(TRIM($D136&amp;""))="estimate","N/A",IF(LOWER($L136&amp;"")="yes",0,IF(OR(AND($H136&lt;&gt;"",$H136=0),LEFT(LOWER(TRIM($F136&amp;"")),9)="free game",LOWER(TRIM($F136&amp;""))="free",LOWER(TRIM($F136&amp;""))="free entry"),IF(ISNUMBER($K136),$K136,""),IF($K136&lt;&gt;"",$K136,""))))))</ns0:f>
      </ns0:c>
      <ns0:c r="Q136" s="114">
        <ns0:f>IF(COUNTA($A136:$M136)=0,"",IF(OR($U136="Subscription",$U136=""),"",IF($U136="Estimate","N/A",IF($U136="Profit",ROUND(IFERROR($P136,0)-IFERROR($H136,0),2),0))))</ns0:f>
      </ns0:c>
      <ns0:c r="R136" s="114">
        <ns0:f>IF(COUNTA($A136:$M136)=0,"",IF(OR($U136="Subscription",$U136=""),"",IF($U136="Estimate","N/A",IF($U136="Draw",$H136,0))))</ns0:f>
      </ns0:c>
      <ns0:c r="S136" s="114">
        <ns0:f>IF(COUNTA($A136:$M136)=0,"",IF(OR($U136="Subscription",$U136=""),"",IF($U136="Estimate","N/A",IF($U136="Disqualified",$H136,0))))</ns0:f>
      </ns0:c>
      <ns0:c r="T136" s="955">
        <ns0:f>IF(COUNTA($A136:$M136)=0,"",IF(OR($U136="Subscription",$U136=""),"",IF($U136="Estimate","N/A",IF(OR($U136="Free Game",$U136="Disqualified — Free Game",$H136=0),"N/A",IF($U136="Profit",$Q136/$H136,IF($U136="Disqualified",-$S136/$H136,0))))))</ns0:f>
      </ns0:c>
      <ns0:c r="U136" s="920">
        <ns0:f>IF(COUNTA($A136:$M136)=0,"",IF(OR(LEFT(LOWER(TRIM($F136&amp;"")),12)="subscription",LOWER(TRIM($F136&amp;""))="membership"),"Subscription",IF(LOWER(TRIM($D136&amp;""))="estimate","Estimate",IF(OR(AND($H136&lt;&gt;"",$H136=0),LEFT(LOWER(TRIM($F136&amp;"")),9)="free game",LOWER(TRIM($F136&amp;""))="free",LOWER(TRIM($F136&amp;""))="free entry"),IF(LOWER($L136&amp;"")="yes","Disqualified — Free Game","Free Game"),IF(LOWER($L136&amp;"")="yes","Disqualified",IF($P136="","",IF(ROUND(IFERROR(VALUE($P136),0)-IFERROR(VALUE($H136),0),2)&gt;0,"Profit","Draw")))))))</ns0:f>
      </ns0:c>
      <ns0:c r="V136" s="956" t="str">
        <ns0:f>IF(COUNTA($A136:$M136)=0,"",IF(OR($B136="",$C136="",$U136="Subscription"),"",IFERROR(ROUNDUP(($C136-$B136)/7,0),"")))</ns0:f>
      </ns0:c>
      <ns0:c r="W136" s="114">
        <ns0:f>IF(COUNTA($A136:$M136)=0,"",IF(OR($U136="Subscription",$U136=""),"",IF($U136="Estimate","N/A",IF(OR($U136="Free Game",$U136="Disqualified — Free Game"),0,ROUND(IFERROR($Q136,0)-IFERROR($S136,0),2)))))</ns0:f>
      </ns0:c>
      <ns0:c r="X136" s="956" t="str">
        <ns0:f>IF(COUNTA($A136:$M136)=0,"",IF(OR($U136="Subscription",NOT(ISNUMBER($J136)),NOT(ISNUMBER($I136)),$J136=0,$I136=0,$I136&gt;$J136),"",$J136-$I136))</ns0:f>
      </ns0:c>
      <ns0:c r="Y136" s="955" t="str">
        <ns0:f>IF(COUNTA($A136:$M136)=0,"",IF(OR($U136="Subscription",NOT(ISNUMBER($J136)),$J136=0,$X136=""),"",$X136/$J136))</ns0:f>
      </ns0:c>
      <ns0:c r="Z136" s="957" t="str">
        <ns0:f>IF(COUNTA($A136:$M136)=0,"",Instructions!$B$29+SUM($W$5:W136))</ns0:f>
      </ns0:c>
    </ns0:row>
    <ns0:row r="137" ht="36" customHeight="1">
      <ns0:c r="A137" s="439"/>
      <ns0:c r="B137" s="453"/>
      <ns0:c r="C137" s="453"/>
      <ns0:c r="D137" s="454"/>
      <ns0:c r="E137" s="454"/>
      <ns0:c r="F137" s="454"/>
      <ns0:c r="G137" s="986"/>
      <ns0:c r="H137" s="455"/>
      <ns0:c r="I137" s="456"/>
      <ns0:c r="J137" s="456"/>
      <ns0:c r="K137" s="986"/>
      <ns0:c r="L137" s="454"/>
      <ns0:c r="M137" s="439"/>
      <ns0:c r="N137" s="987" t="str">
        <ns0:f>IF(COUNTA($A137:$M137)=0,"",IF(OR(LEFT(LOWER(TRIM($F137&amp;"")),12)="subscription",LOWER(TRIM($F137&amp;""))="membership"),"",IF(OR(AND($H137&lt;&gt;"",$H137=0),LEFT(LOWER(TRIM($F137&amp;"")),9)="free game",LOWER(TRIM($F137&amp;""))="free",LOWER(TRIM($F137&amp;""))="free entry"),IF(ISNUMBER($G137),IF(ISNUMBER(SEARCH("non",LOWER($E137&amp;""))),$G137*0.85,$G137),"N/A"),IF($G137="","",IFERROR(IF(ISNUMBER(SEARCH("non",LOWER($E137&amp;""))),$G137*0.85,$G137),"")))))</ns0:f>
        <ns0:v/>
      </ns0:c>
      <ns0:c r="O137" s="987" t="str">
        <ns0:f>IF(COUNTA($A137:$M137)=0,"",IF(OR(LEFT(LOWER(TRIM($F137&amp;"")),12)="subscription",LOWER(TRIM($F137&amp;""))="membership"),"",IF(OR(AND($H137&lt;&gt;"",$H137=0),LEFT(LOWER(TRIM($F137&amp;"")),9)="free game",LOWER(TRIM($F137&amp;""))="free",LOWER(TRIM($F137&amp;""))="free entry"),IF(OR(NOT(ISNUMBER($N137)),NOT(ISNUMBER($I137)),$I137=0),"N/A",IFERROR($N137/$I137,"N/A")),IF(OR($N137="",$I137="",$I137=0),"",IFERROR($N137/$I137,"")))))</ns0:f>
        <ns0:v/>
      </ns0:c>
      <ns0:c r="P137" s="987">
        <ns0:f>IF(COUNTA($A137:$M137)=0,"",IF(OR(LEFT(LOWER(TRIM($F137&amp;"")),12)="subscription",LOWER(TRIM($F137&amp;""))="membership"),"",IF(LOWER(TRIM($D137&amp;""))="estimate","N/A",IF(LOWER($L137&amp;"")="yes",0,IF(OR(AND($H137&lt;&gt;"",$H137=0),LEFT(LOWER(TRIM($F137&amp;"")),9)="free game",LOWER(TRIM($F137&amp;""))="free",LOWER(TRIM($F137&amp;""))="free entry"),IF(ISNUMBER($K137),$K137,""),IF($K137&lt;&gt;"",$K137,""))))))</ns0:f>
      </ns0:c>
      <ns0:c r="Q137" s="114">
        <ns0:f>IF(COUNTA($A137:$M137)=0,"",IF(OR($U137="Subscription",$U137=""),"",IF($U137="Estimate","N/A",IF($U137="Profit",ROUND(IFERROR($P137,0)-IFERROR($H137,0),2),0))))</ns0:f>
      </ns0:c>
      <ns0:c r="R137" s="114">
        <ns0:f>IF(COUNTA($A137:$M137)=0,"",IF(OR($U137="Subscription",$U137=""),"",IF($U137="Estimate","N/A",IF($U137="Draw",$H137,0))))</ns0:f>
      </ns0:c>
      <ns0:c r="S137" s="114">
        <ns0:f>IF(COUNTA($A137:$M137)=0,"",IF(OR($U137="Subscription",$U137=""),"",IF($U137="Estimate","N/A",IF($U137="Disqualified",$H137,0))))</ns0:f>
      </ns0:c>
      <ns0:c r="T137" s="955">
        <ns0:f>IF(COUNTA($A137:$M137)=0,"",IF(OR($U137="Subscription",$U137=""),"",IF($U137="Estimate","N/A",IF(OR($U137="Free Game",$U137="Disqualified — Free Game",$H137=0),"N/A",IF($U137="Profit",$Q137/$H137,IF($U137="Disqualified",-$S137/$H137,0))))))</ns0:f>
      </ns0:c>
      <ns0:c r="U137" s="920">
        <ns0:f>IF(COUNTA($A137:$M137)=0,"",IF(OR(LEFT(LOWER(TRIM($F137&amp;"")),12)="subscription",LOWER(TRIM($F137&amp;""))="membership"),"Subscription",IF(LOWER(TRIM($D137&amp;""))="estimate","Estimate",IF(OR(AND($H137&lt;&gt;"",$H137=0),LEFT(LOWER(TRIM($F137&amp;"")),9)="free game",LOWER(TRIM($F137&amp;""))="free",LOWER(TRIM($F137&amp;""))="free entry"),IF(LOWER($L137&amp;"")="yes","Disqualified — Free Game","Free Game"),IF(LOWER($L137&amp;"")="yes","Disqualified",IF($P137="","",IF(ROUND(IFERROR(VALUE($P137),0)-IFERROR(VALUE($H137),0),2)&gt;0,"Profit","Draw")))))))</ns0:f>
      </ns0:c>
      <ns0:c r="V137" s="956" t="str">
        <ns0:f>IF(COUNTA($A137:$M137)=0,"",IF(OR($B137="",$C137="",$U137="Subscription"),"",IFERROR(ROUNDUP(($C137-$B137)/7,0),"")))</ns0:f>
      </ns0:c>
      <ns0:c r="W137" s="114">
        <ns0:f>IF(COUNTA($A137:$M137)=0,"",IF(OR($U137="Subscription",$U137=""),"",IF($U137="Estimate","N/A",IF(OR($U137="Free Game",$U137="Disqualified — Free Game"),0,ROUND(IFERROR($Q137,0)-IFERROR($S137,0),2)))))</ns0:f>
      </ns0:c>
      <ns0:c r="X137" s="956" t="str">
        <ns0:f>IF(COUNTA($A137:$M137)=0,"",IF(OR($U137="Subscription",NOT(ISNUMBER($J137)),NOT(ISNUMBER($I137)),$J137=0,$I137=0,$I137&gt;$J137),"",$J137-$I137))</ns0:f>
      </ns0:c>
      <ns0:c r="Y137" s="955" t="str">
        <ns0:f>IF(COUNTA($A137:$M137)=0,"",IF(OR($U137="Subscription",NOT(ISNUMBER($J137)),$J137=0,$X137=""),"",$X137/$J137))</ns0:f>
      </ns0:c>
      <ns0:c r="Z137" s="957" t="str">
        <ns0:f>IF(COUNTA($A137:$M137)=0,"",Instructions!$B$29+SUM($W$5:W137))</ns0:f>
      </ns0:c>
    </ns0:row>
    <ns0:row r="138" ht="36" customHeight="1">
      <ns0:c r="A138" s="439"/>
      <ns0:c r="B138" s="453"/>
      <ns0:c r="C138" s="453"/>
      <ns0:c r="D138" s="454"/>
      <ns0:c r="E138" s="454"/>
      <ns0:c r="F138" s="454"/>
      <ns0:c r="G138" s="986"/>
      <ns0:c r="H138" s="455"/>
      <ns0:c r="I138" s="456"/>
      <ns0:c r="J138" s="456"/>
      <ns0:c r="K138" s="986"/>
      <ns0:c r="L138" s="454"/>
      <ns0:c r="M138" s="439"/>
      <ns0:c r="N138" s="987" t="str">
        <ns0:f>IF(COUNTA($A138:$M138)=0,"",IF(OR(LEFT(LOWER(TRIM($F138&amp;"")),12)="subscription",LOWER(TRIM($F138&amp;""))="membership"),"",IF(OR(AND($H138&lt;&gt;"",$H138=0),LEFT(LOWER(TRIM($F138&amp;"")),9)="free game",LOWER(TRIM($F138&amp;""))="free",LOWER(TRIM($F138&amp;""))="free entry"),IF(ISNUMBER($G138),IF(ISNUMBER(SEARCH("non",LOWER($E138&amp;""))),$G138*0.85,$G138),"N/A"),IF($G138="","",IFERROR(IF(ISNUMBER(SEARCH("non",LOWER($E138&amp;""))),$G138*0.85,$G138),"")))))</ns0:f>
        <ns0:v/>
      </ns0:c>
      <ns0:c r="O138" s="987" t="str">
        <ns0:f>IF(COUNTA($A138:$M138)=0,"",IF(OR(LEFT(LOWER(TRIM($F138&amp;"")),12)="subscription",LOWER(TRIM($F138&amp;""))="membership"),"",IF(OR(AND($H138&lt;&gt;"",$H138=0),LEFT(LOWER(TRIM($F138&amp;"")),9)="free game",LOWER(TRIM($F138&amp;""))="free",LOWER(TRIM($F138&amp;""))="free entry"),IF(OR(NOT(ISNUMBER($N138)),NOT(ISNUMBER($I138)),$I138=0),"N/A",IFERROR($N138/$I138,"N/A")),IF(OR($N138="",$I138="",$I138=0),"",IFERROR($N138/$I138,"")))))</ns0:f>
        <ns0:v/>
      </ns0:c>
      <ns0:c r="P138" s="987">
        <ns0:f>IF(COUNTA($A138:$M138)=0,"",IF(OR(LEFT(LOWER(TRIM($F138&amp;"")),12)="subscription",LOWER(TRIM($F138&amp;""))="membership"),"",IF(LOWER(TRIM($D138&amp;""))="estimate","N/A",IF(LOWER($L138&amp;"")="yes",0,IF(OR(AND($H138&lt;&gt;"",$H138=0),LEFT(LOWER(TRIM($F138&amp;"")),9)="free game",LOWER(TRIM($F138&amp;""))="free",LOWER(TRIM($F138&amp;""))="free entry"),IF(ISNUMBER($K138),$K138,""),IF($K138&lt;&gt;"",$K138,""))))))</ns0:f>
      </ns0:c>
      <ns0:c r="Q138" s="114">
        <ns0:f>IF(COUNTA($A138:$M138)=0,"",IF(OR($U138="Subscription",$U138=""),"",IF($U138="Estimate","N/A",IF($U138="Profit",ROUND(IFERROR($P138,0)-IFERROR($H138,0),2),0))))</ns0:f>
      </ns0:c>
      <ns0:c r="R138" s="114">
        <ns0:f>IF(COUNTA($A138:$M138)=0,"",IF(OR($U138="Subscription",$U138=""),"",IF($U138="Estimate","N/A",IF($U138="Draw",$H138,0))))</ns0:f>
      </ns0:c>
      <ns0:c r="S138" s="114">
        <ns0:f>IF(COUNTA($A138:$M138)=0,"",IF(OR($U138="Subscription",$U138=""),"",IF($U138="Estimate","N/A",IF($U138="Disqualified",$H138,0))))</ns0:f>
      </ns0:c>
      <ns0:c r="T138" s="955">
        <ns0:f>IF(COUNTA($A138:$M138)=0,"",IF(OR($U138="Subscription",$U138=""),"",IF($U138="Estimate","N/A",IF(OR($U138="Free Game",$U138="Disqualified — Free Game",$H138=0),"N/A",IF($U138="Profit",$Q138/$H138,IF($U138="Disqualified",-$S138/$H138,0))))))</ns0:f>
      </ns0:c>
      <ns0:c r="U138" s="920">
        <ns0:f>IF(COUNTA($A138:$M138)=0,"",IF(OR(LEFT(LOWER(TRIM($F138&amp;"")),12)="subscription",LOWER(TRIM($F138&amp;""))="membership"),"Subscription",IF(LOWER(TRIM($D138&amp;""))="estimate","Estimate",IF(OR(AND($H138&lt;&gt;"",$H138=0),LEFT(LOWER(TRIM($F138&amp;"")),9)="free game",LOWER(TRIM($F138&amp;""))="free",LOWER(TRIM($F138&amp;""))="free entry"),IF(LOWER($L138&amp;"")="yes","Disqualified — Free Game","Free Game"),IF(LOWER($L138&amp;"")="yes","Disqualified",IF($P138="","",IF(ROUND(IFERROR(VALUE($P138),0)-IFERROR(VALUE($H138),0),2)&gt;0,"Profit","Draw")))))))</ns0:f>
      </ns0:c>
      <ns0:c r="V138" s="956" t="str">
        <ns0:f>IF(COUNTA($A138:$M138)=0,"",IF(OR($B138="",$C138="",$U138="Subscription"),"",IFERROR(ROUNDUP(($C138-$B138)/7,0),"")))</ns0:f>
      </ns0:c>
      <ns0:c r="W138" s="114">
        <ns0:f>IF(COUNTA($A138:$M138)=0,"",IF(OR($U138="Subscription",$U138=""),"",IF($U138="Estimate","N/A",IF(OR($U138="Free Game",$U138="Disqualified — Free Game"),0,ROUND(IFERROR($Q138,0)-IFERROR($S138,0),2)))))</ns0:f>
      </ns0:c>
      <ns0:c r="X138" s="956" t="str">
        <ns0:f>IF(COUNTA($A138:$M138)=0,"",IF(OR($U138="Subscription",NOT(ISNUMBER($J138)),NOT(ISNUMBER($I138)),$J138=0,$I138=0,$I138&gt;$J138),"",$J138-$I138))</ns0:f>
      </ns0:c>
      <ns0:c r="Y138" s="955" t="str">
        <ns0:f>IF(COUNTA($A138:$M138)=0,"",IF(OR($U138="Subscription",NOT(ISNUMBER($J138)),$J138=0,$X138=""),"",$X138/$J138))</ns0:f>
      </ns0:c>
      <ns0:c r="Z138" s="957" t="str">
        <ns0:f>IF(COUNTA($A138:$M138)=0,"",Instructions!$B$29+SUM($W$5:W138))</ns0:f>
      </ns0:c>
    </ns0:row>
    <ns0:row r="139" ht="36" customHeight="1">
      <ns0:c r="A139" s="439"/>
      <ns0:c r="B139" s="453"/>
      <ns0:c r="C139" s="453"/>
      <ns0:c r="D139" s="454"/>
      <ns0:c r="E139" s="454"/>
      <ns0:c r="F139" s="454"/>
      <ns0:c r="G139" s="986"/>
      <ns0:c r="H139" s="455"/>
      <ns0:c r="I139" s="456"/>
      <ns0:c r="J139" s="456"/>
      <ns0:c r="K139" s="986"/>
      <ns0:c r="L139" s="454"/>
      <ns0:c r="M139" s="439"/>
      <ns0:c r="N139" s="987" t="str">
        <ns0:f>IF(COUNTA($A139:$M139)=0,"",IF(OR(LEFT(LOWER(TRIM($F139&amp;"")),12)="subscription",LOWER(TRIM($F139&amp;""))="membership"),"",IF(OR(AND($H139&lt;&gt;"",$H139=0),LEFT(LOWER(TRIM($F139&amp;"")),9)="free game",LOWER(TRIM($F139&amp;""))="free",LOWER(TRIM($F139&amp;""))="free entry"),IF(ISNUMBER($G139),IF(ISNUMBER(SEARCH("non",LOWER($E139&amp;""))),$G139*0.85,$G139),"N/A"),IF($G139="","",IFERROR(IF(ISNUMBER(SEARCH("non",LOWER($E139&amp;""))),$G139*0.85,$G139),"")))))</ns0:f>
        <ns0:v/>
      </ns0:c>
      <ns0:c r="O139" s="987" t="str">
        <ns0:f>IF(COUNTA($A139:$M139)=0,"",IF(OR(LEFT(LOWER(TRIM($F139&amp;"")),12)="subscription",LOWER(TRIM($F139&amp;""))="membership"),"",IF(OR(AND($H139&lt;&gt;"",$H139=0),LEFT(LOWER(TRIM($F139&amp;"")),9)="free game",LOWER(TRIM($F139&amp;""))="free",LOWER(TRIM($F139&amp;""))="free entry"),IF(OR(NOT(ISNUMBER($N139)),NOT(ISNUMBER($I139)),$I139=0),"N/A",IFERROR($N139/$I139,"N/A")),IF(OR($N139="",$I139="",$I139=0),"",IFERROR($N139/$I139,"")))))</ns0:f>
        <ns0:v/>
      </ns0:c>
      <ns0:c r="P139" s="987">
        <ns0:f>IF(COUNTA($A139:$M139)=0,"",IF(OR(LEFT(LOWER(TRIM($F139&amp;"")),12)="subscription",LOWER(TRIM($F139&amp;""))="membership"),"",IF(LOWER(TRIM($D139&amp;""))="estimate","N/A",IF(LOWER($L139&amp;"")="yes",0,IF(OR(AND($H139&lt;&gt;"",$H139=0),LEFT(LOWER(TRIM($F139&amp;"")),9)="free game",LOWER(TRIM($F139&amp;""))="free",LOWER(TRIM($F139&amp;""))="free entry"),IF(ISNUMBER($K139),$K139,""),IF($K139&lt;&gt;"",$K139,""))))))</ns0:f>
      </ns0:c>
      <ns0:c r="Q139" s="114">
        <ns0:f>IF(COUNTA($A139:$M139)=0,"",IF(OR($U139="Subscription",$U139=""),"",IF($U139="Estimate","N/A",IF($U139="Profit",ROUND(IFERROR($P139,0)-IFERROR($H139,0),2),0))))</ns0:f>
      </ns0:c>
      <ns0:c r="R139" s="114">
        <ns0:f>IF(COUNTA($A139:$M139)=0,"",IF(OR($U139="Subscription",$U139=""),"",IF($U139="Estimate","N/A",IF($U139="Draw",$H139,0))))</ns0:f>
      </ns0:c>
      <ns0:c r="S139" s="114">
        <ns0:f>IF(COUNTA($A139:$M139)=0,"",IF(OR($U139="Subscription",$U139=""),"",IF($U139="Estimate","N/A",IF($U139="Disqualified",$H139,0))))</ns0:f>
      </ns0:c>
      <ns0:c r="T139" s="955">
        <ns0:f>IF(COUNTA($A139:$M139)=0,"",IF(OR($U139="Subscription",$U139=""),"",IF($U139="Estimate","N/A",IF(OR($U139="Free Game",$U139="Disqualified — Free Game",$H139=0),"N/A",IF($U139="Profit",$Q139/$H139,IF($U139="Disqualified",-$S139/$H139,0))))))</ns0:f>
      </ns0:c>
      <ns0:c r="U139" s="920">
        <ns0:f>IF(COUNTA($A139:$M139)=0,"",IF(OR(LEFT(LOWER(TRIM($F139&amp;"")),12)="subscription",LOWER(TRIM($F139&amp;""))="membership"),"Subscription",IF(LOWER(TRIM($D139&amp;""))="estimate","Estimate",IF(OR(AND($H139&lt;&gt;"",$H139=0),LEFT(LOWER(TRIM($F139&amp;"")),9)="free game",LOWER(TRIM($F139&amp;""))="free",LOWER(TRIM($F139&amp;""))="free entry"),IF(LOWER($L139&amp;"")="yes","Disqualified — Free Game","Free Game"),IF(LOWER($L139&amp;"")="yes","Disqualified",IF($P139="","",IF(ROUND(IFERROR(VALUE($P139),0)-IFERROR(VALUE($H139),0),2)&gt;0,"Profit","Draw")))))))</ns0:f>
      </ns0:c>
      <ns0:c r="V139" s="956" t="str">
        <ns0:f>IF(COUNTA($A139:$M139)=0,"",IF(OR($B139="",$C139="",$U139="Subscription"),"",IFERROR(ROUNDUP(($C139-$B139)/7,0),"")))</ns0:f>
      </ns0:c>
      <ns0:c r="W139" s="114">
        <ns0:f>IF(COUNTA($A139:$M139)=0,"",IF(OR($U139="Subscription",$U139=""),"",IF($U139="Estimate","N/A",IF(OR($U139="Free Game",$U139="Disqualified — Free Game"),0,ROUND(IFERROR($Q139,0)-IFERROR($S139,0),2)))))</ns0:f>
      </ns0:c>
      <ns0:c r="X139" s="956" t="str">
        <ns0:f>IF(COUNTA($A139:$M139)=0,"",IF(OR($U139="Subscription",NOT(ISNUMBER($J139)),NOT(ISNUMBER($I139)),$J139=0,$I139=0,$I139&gt;$J139),"",$J139-$I139))</ns0:f>
      </ns0:c>
      <ns0:c r="Y139" s="955" t="str">
        <ns0:f>IF(COUNTA($A139:$M139)=0,"",IF(OR($U139="Subscription",NOT(ISNUMBER($J139)),$J139=0,$X139=""),"",$X139/$J139))</ns0:f>
      </ns0:c>
      <ns0:c r="Z139" s="957" t="str">
        <ns0:f>IF(COUNTA($A139:$M139)=0,"",Instructions!$B$29+SUM($W$5:W139))</ns0:f>
      </ns0:c>
    </ns0:row>
    <ns0:row r="140" ht="36" customHeight="1">
      <ns0:c r="A140" s="439"/>
      <ns0:c r="B140" s="453"/>
      <ns0:c r="C140" s="453"/>
      <ns0:c r="D140" s="454"/>
      <ns0:c r="E140" s="454"/>
      <ns0:c r="F140" s="454"/>
      <ns0:c r="G140" s="986"/>
      <ns0:c r="H140" s="455"/>
      <ns0:c r="I140" s="456"/>
      <ns0:c r="J140" s="456"/>
      <ns0:c r="K140" s="986"/>
      <ns0:c r="L140" s="454"/>
      <ns0:c r="M140" s="439"/>
      <ns0:c r="N140" s="987" t="str">
        <ns0:f>IF(COUNTA($A140:$M140)=0,"",IF(OR(LEFT(LOWER(TRIM($F140&amp;"")),12)="subscription",LOWER(TRIM($F140&amp;""))="membership"),"",IF(OR(AND($H140&lt;&gt;"",$H140=0),LEFT(LOWER(TRIM($F140&amp;"")),9)="free game",LOWER(TRIM($F140&amp;""))="free",LOWER(TRIM($F140&amp;""))="free entry"),IF(ISNUMBER($G140),IF(ISNUMBER(SEARCH("non",LOWER($E140&amp;""))),$G140*0.85,$G140),"N/A"),IF($G140="","",IFERROR(IF(ISNUMBER(SEARCH("non",LOWER($E140&amp;""))),$G140*0.85,$G140),"")))))</ns0:f>
        <ns0:v/>
      </ns0:c>
      <ns0:c r="O140" s="987" t="str">
        <ns0:f>IF(COUNTA($A140:$M140)=0,"",IF(OR(LEFT(LOWER(TRIM($F140&amp;"")),12)="subscription",LOWER(TRIM($F140&amp;""))="membership"),"",IF(OR(AND($H140&lt;&gt;"",$H140=0),LEFT(LOWER(TRIM($F140&amp;"")),9)="free game",LOWER(TRIM($F140&amp;""))="free",LOWER(TRIM($F140&amp;""))="free entry"),IF(OR(NOT(ISNUMBER($N140)),NOT(ISNUMBER($I140)),$I140=0),"N/A",IFERROR($N140/$I140,"N/A")),IF(OR($N140="",$I140="",$I140=0),"",IFERROR($N140/$I140,"")))))</ns0:f>
        <ns0:v/>
      </ns0:c>
      <ns0:c r="P140" s="987">
        <ns0:f>IF(COUNTA($A140:$M140)=0,"",IF(OR(LEFT(LOWER(TRIM($F140&amp;"")),12)="subscription",LOWER(TRIM($F140&amp;""))="membership"),"",IF(LOWER(TRIM($D140&amp;""))="estimate","N/A",IF(LOWER($L140&amp;"")="yes",0,IF(OR(AND($H140&lt;&gt;"",$H140=0),LEFT(LOWER(TRIM($F140&amp;"")),9)="free game",LOWER(TRIM($F140&amp;""))="free",LOWER(TRIM($F140&amp;""))="free entry"),IF(ISNUMBER($K140),$K140,""),IF($K140&lt;&gt;"",$K140,""))))))</ns0:f>
      </ns0:c>
      <ns0:c r="Q140" s="114">
        <ns0:f>IF(COUNTA($A140:$M140)=0,"",IF(OR($U140="Subscription",$U140=""),"",IF($U140="Estimate","N/A",IF($U140="Profit",ROUND(IFERROR($P140,0)-IFERROR($H140,0),2),0))))</ns0:f>
      </ns0:c>
      <ns0:c r="R140" s="114">
        <ns0:f>IF(COUNTA($A140:$M140)=0,"",IF(OR($U140="Subscription",$U140=""),"",IF($U140="Estimate","N/A",IF($U140="Draw",$H140,0))))</ns0:f>
      </ns0:c>
      <ns0:c r="S140" s="114">
        <ns0:f>IF(COUNTA($A140:$M140)=0,"",IF(OR($U140="Subscription",$U140=""),"",IF($U140="Estimate","N/A",IF($U140="Disqualified",$H140,0))))</ns0:f>
      </ns0:c>
      <ns0:c r="T140" s="955">
        <ns0:f>IF(COUNTA($A140:$M140)=0,"",IF(OR($U140="Subscription",$U140=""),"",IF($U140="Estimate","N/A",IF(OR($U140="Free Game",$U140="Disqualified — Free Game",$H140=0),"N/A",IF($U140="Profit",$Q140/$H140,IF($U140="Disqualified",-$S140/$H140,0))))))</ns0:f>
      </ns0:c>
      <ns0:c r="U140" s="920">
        <ns0:f>IF(COUNTA($A140:$M140)=0,"",IF(OR(LEFT(LOWER(TRIM($F140&amp;"")),12)="subscription",LOWER(TRIM($F140&amp;""))="membership"),"Subscription",IF(LOWER(TRIM($D140&amp;""))="estimate","Estimate",IF(OR(AND($H140&lt;&gt;"",$H140=0),LEFT(LOWER(TRIM($F140&amp;"")),9)="free game",LOWER(TRIM($F140&amp;""))="free",LOWER(TRIM($F140&amp;""))="free entry"),IF(LOWER($L140&amp;"")="yes","Disqualified — Free Game","Free Game"),IF(LOWER($L140&amp;"")="yes","Disqualified",IF($P140="","",IF(ROUND(IFERROR(VALUE($P140),0)-IFERROR(VALUE($H140),0),2)&gt;0,"Profit","Draw")))))))</ns0:f>
      </ns0:c>
      <ns0:c r="V140" s="956" t="str">
        <ns0:f>IF(COUNTA($A140:$M140)=0,"",IF(OR($B140="",$C140="",$U140="Subscription"),"",IFERROR(ROUNDUP(($C140-$B140)/7,0),"")))</ns0:f>
      </ns0:c>
      <ns0:c r="W140" s="114">
        <ns0:f>IF(COUNTA($A140:$M140)=0,"",IF(OR($U140="Subscription",$U140=""),"",IF($U140="Estimate","N/A",IF(OR($U140="Free Game",$U140="Disqualified — Free Game"),0,ROUND(IFERROR($Q140,0)-IFERROR($S140,0),2)))))</ns0:f>
      </ns0:c>
      <ns0:c r="X140" s="956" t="str">
        <ns0:f>IF(COUNTA($A140:$M140)=0,"",IF(OR($U140="Subscription",NOT(ISNUMBER($J140)),NOT(ISNUMBER($I140)),$J140=0,$I140=0,$I140&gt;$J140),"",$J140-$I140))</ns0:f>
      </ns0:c>
      <ns0:c r="Y140" s="955" t="str">
        <ns0:f>IF(COUNTA($A140:$M140)=0,"",IF(OR($U140="Subscription",NOT(ISNUMBER($J140)),$J140=0,$X140=""),"",$X140/$J140))</ns0:f>
      </ns0:c>
      <ns0:c r="Z140" s="957" t="str">
        <ns0:f>IF(COUNTA($A140:$M140)=0,"",Instructions!$B$29+SUM($W$5:W140))</ns0:f>
      </ns0:c>
    </ns0:row>
    <ns0:row r="141" ht="36" customHeight="1">
      <ns0:c r="A141" s="439"/>
      <ns0:c r="B141" s="453"/>
      <ns0:c r="C141" s="453"/>
      <ns0:c r="D141" s="454"/>
      <ns0:c r="E141" s="454"/>
      <ns0:c r="F141" s="454"/>
      <ns0:c r="G141" s="986"/>
      <ns0:c r="H141" s="455"/>
      <ns0:c r="I141" s="456"/>
      <ns0:c r="J141" s="456"/>
      <ns0:c r="K141" s="986"/>
      <ns0:c r="L141" s="454"/>
      <ns0:c r="M141" s="439"/>
      <ns0:c r="N141" s="987" t="str">
        <ns0:f>IF(COUNTA($A141:$M141)=0,"",IF(OR(LEFT(LOWER(TRIM($F141&amp;"")),12)="subscription",LOWER(TRIM($F141&amp;""))="membership"),"",IF(OR(AND($H141&lt;&gt;"",$H141=0),LEFT(LOWER(TRIM($F141&amp;"")),9)="free game",LOWER(TRIM($F141&amp;""))="free",LOWER(TRIM($F141&amp;""))="free entry"),IF(ISNUMBER($G141),IF(ISNUMBER(SEARCH("non",LOWER($E141&amp;""))),$G141*0.85,$G141),"N/A"),IF($G141="","",IFERROR(IF(ISNUMBER(SEARCH("non",LOWER($E141&amp;""))),$G141*0.85,$G141),"")))))</ns0:f>
        <ns0:v/>
      </ns0:c>
      <ns0:c r="O141" s="987" t="str">
        <ns0:f>IF(COUNTA($A141:$M141)=0,"",IF(OR(LEFT(LOWER(TRIM($F141&amp;"")),12)="subscription",LOWER(TRIM($F141&amp;""))="membership"),"",IF(OR(AND($H141&lt;&gt;"",$H141=0),LEFT(LOWER(TRIM($F141&amp;"")),9)="free game",LOWER(TRIM($F141&amp;""))="free",LOWER(TRIM($F141&amp;""))="free entry"),IF(OR(NOT(ISNUMBER($N141)),NOT(ISNUMBER($I141)),$I141=0),"N/A",IFERROR($N141/$I141,"N/A")),IF(OR($N141="",$I141="",$I141=0),"",IFERROR($N141/$I141,"")))))</ns0:f>
        <ns0:v/>
      </ns0:c>
      <ns0:c r="P141" s="987">
        <ns0:f>IF(COUNTA($A141:$M141)=0,"",IF(OR(LEFT(LOWER(TRIM($F141&amp;"")),12)="subscription",LOWER(TRIM($F141&amp;""))="membership"),"",IF(LOWER(TRIM($D141&amp;""))="estimate","N/A",IF(LOWER($L141&amp;"")="yes",0,IF(OR(AND($H141&lt;&gt;"",$H141=0),LEFT(LOWER(TRIM($F141&amp;"")),9)="free game",LOWER(TRIM($F141&amp;""))="free",LOWER(TRIM($F141&amp;""))="free entry"),IF(ISNUMBER($K141),$K141,""),IF($K141&lt;&gt;"",$K141,""))))))</ns0:f>
      </ns0:c>
      <ns0:c r="Q141" s="114">
        <ns0:f>IF(COUNTA($A141:$M141)=0,"",IF(OR($U141="Subscription",$U141=""),"",IF($U141="Estimate","N/A",IF($U141="Profit",ROUND(IFERROR($P141,0)-IFERROR($H141,0),2),0))))</ns0:f>
      </ns0:c>
      <ns0:c r="R141" s="114">
        <ns0:f>IF(COUNTA($A141:$M141)=0,"",IF(OR($U141="Subscription",$U141=""),"",IF($U141="Estimate","N/A",IF($U141="Draw",$H141,0))))</ns0:f>
      </ns0:c>
      <ns0:c r="S141" s="114">
        <ns0:f>IF(COUNTA($A141:$M141)=0,"",IF(OR($U141="Subscription",$U141=""),"",IF($U141="Estimate","N/A",IF($U141="Disqualified",$H141,0))))</ns0:f>
      </ns0:c>
      <ns0:c r="T141" s="955">
        <ns0:f>IF(COUNTA($A141:$M141)=0,"",IF(OR($U141="Subscription",$U141=""),"",IF($U141="Estimate","N/A",IF(OR($U141="Free Game",$U141="Disqualified — Free Game",$H141=0),"N/A",IF($U141="Profit",$Q141/$H141,IF($U141="Disqualified",-$S141/$H141,0))))))</ns0:f>
      </ns0:c>
      <ns0:c r="U141" s="920">
        <ns0:f>IF(COUNTA($A141:$M141)=0,"",IF(OR(LEFT(LOWER(TRIM($F141&amp;"")),12)="subscription",LOWER(TRIM($F141&amp;""))="membership"),"Subscription",IF(LOWER(TRIM($D141&amp;""))="estimate","Estimate",IF(OR(AND($H141&lt;&gt;"",$H141=0),LEFT(LOWER(TRIM($F141&amp;"")),9)="free game",LOWER(TRIM($F141&amp;""))="free",LOWER(TRIM($F141&amp;""))="free entry"),IF(LOWER($L141&amp;"")="yes","Disqualified — Free Game","Free Game"),IF(LOWER($L141&amp;"")="yes","Disqualified",IF($P141="","",IF(ROUND(IFERROR(VALUE($P141),0)-IFERROR(VALUE($H141),0),2)&gt;0,"Profit","Draw")))))))</ns0:f>
      </ns0:c>
      <ns0:c r="V141" s="956" t="str">
        <ns0:f>IF(COUNTA($A141:$M141)=0,"",IF(OR($B141="",$C141="",$U141="Subscription"),"",IFERROR(ROUNDUP(($C141-$B141)/7,0),"")))</ns0:f>
      </ns0:c>
      <ns0:c r="W141" s="114">
        <ns0:f>IF(COUNTA($A141:$M141)=0,"",IF(OR($U141="Subscription",$U141=""),"",IF($U141="Estimate","N/A",IF(OR($U141="Free Game",$U141="Disqualified — Free Game"),0,ROUND(IFERROR($Q141,0)-IFERROR($S141,0),2)))))</ns0:f>
      </ns0:c>
      <ns0:c r="X141" s="956" t="str">
        <ns0:f>IF(COUNTA($A141:$M141)=0,"",IF(OR($U141="Subscription",NOT(ISNUMBER($J141)),NOT(ISNUMBER($I141)),$J141=0,$I141=0,$I141&gt;$J141),"",$J141-$I141))</ns0:f>
      </ns0:c>
      <ns0:c r="Y141" s="955" t="str">
        <ns0:f>IF(COUNTA($A141:$M141)=0,"",IF(OR($U141="Subscription",NOT(ISNUMBER($J141)),$J141=0,$X141=""),"",$X141/$J141))</ns0:f>
      </ns0:c>
      <ns0:c r="Z141" s="957" t="str">
        <ns0:f>IF(COUNTA($A141:$M141)=0,"",Instructions!$B$29+SUM($W$5:W141))</ns0:f>
      </ns0:c>
    </ns0:row>
    <ns0:row r="142" ht="36" customHeight="1">
      <ns0:c r="A142" s="439"/>
      <ns0:c r="B142" s="453"/>
      <ns0:c r="C142" s="453"/>
      <ns0:c r="D142" s="454"/>
      <ns0:c r="E142" s="454"/>
      <ns0:c r="F142" s="454"/>
      <ns0:c r="G142" s="986"/>
      <ns0:c r="H142" s="455"/>
      <ns0:c r="I142" s="456"/>
      <ns0:c r="J142" s="456"/>
      <ns0:c r="K142" s="986"/>
      <ns0:c r="L142" s="454"/>
      <ns0:c r="M142" s="439"/>
      <ns0:c r="N142" s="987" t="str">
        <ns0:f>IF(COUNTA($A142:$M142)=0,"",IF(OR(LEFT(LOWER(TRIM($F142&amp;"")),12)="subscription",LOWER(TRIM($F142&amp;""))="membership"),"",IF(OR(AND($H142&lt;&gt;"",$H142=0),LEFT(LOWER(TRIM($F142&amp;"")),9)="free game",LOWER(TRIM($F142&amp;""))="free",LOWER(TRIM($F142&amp;""))="free entry"),IF(ISNUMBER($G142),IF(ISNUMBER(SEARCH("non",LOWER($E142&amp;""))),$G142*0.85,$G142),"N/A"),IF($G142="","",IFERROR(IF(ISNUMBER(SEARCH("non",LOWER($E142&amp;""))),$G142*0.85,$G142),"")))))</ns0:f>
        <ns0:v/>
      </ns0:c>
      <ns0:c r="O142" s="987" t="str">
        <ns0:f>IF(COUNTA($A142:$M142)=0,"",IF(OR(LEFT(LOWER(TRIM($F142&amp;"")),12)="subscription",LOWER(TRIM($F142&amp;""))="membership"),"",IF(OR(AND($H142&lt;&gt;"",$H142=0),LEFT(LOWER(TRIM($F142&amp;"")),9)="free game",LOWER(TRIM($F142&amp;""))="free",LOWER(TRIM($F142&amp;""))="free entry"),IF(OR(NOT(ISNUMBER($N142)),NOT(ISNUMBER($I142)),$I142=0),"N/A",IFERROR($N142/$I142,"N/A")),IF(OR($N142="",$I142="",$I142=0),"",IFERROR($N142/$I142,"")))))</ns0:f>
        <ns0:v/>
      </ns0:c>
      <ns0:c r="P142" s="987">
        <ns0:f>IF(COUNTA($A142:$M142)=0,"",IF(OR(LEFT(LOWER(TRIM($F142&amp;"")),12)="subscription",LOWER(TRIM($F142&amp;""))="membership"),"",IF(LOWER(TRIM($D142&amp;""))="estimate","N/A",IF(LOWER($L142&amp;"")="yes",0,IF(OR(AND($H142&lt;&gt;"",$H142=0),LEFT(LOWER(TRIM($F142&amp;"")),9)="free game",LOWER(TRIM($F142&amp;""))="free",LOWER(TRIM($F142&amp;""))="free entry"),IF(ISNUMBER($K142),$K142,""),IF($K142&lt;&gt;"",$K142,""))))))</ns0:f>
      </ns0:c>
      <ns0:c r="Q142" s="114">
        <ns0:f>IF(COUNTA($A142:$M142)=0,"",IF(OR($U142="Subscription",$U142=""),"",IF($U142="Estimate","N/A",IF($U142="Profit",ROUND(IFERROR($P142,0)-IFERROR($H142,0),2),0))))</ns0:f>
      </ns0:c>
      <ns0:c r="R142" s="114">
        <ns0:f>IF(COUNTA($A142:$M142)=0,"",IF(OR($U142="Subscription",$U142=""),"",IF($U142="Estimate","N/A",IF($U142="Draw",$H142,0))))</ns0:f>
      </ns0:c>
      <ns0:c r="S142" s="114">
        <ns0:f>IF(COUNTA($A142:$M142)=0,"",IF(OR($U142="Subscription",$U142=""),"",IF($U142="Estimate","N/A",IF($U142="Disqualified",$H142,0))))</ns0:f>
      </ns0:c>
      <ns0:c r="T142" s="955">
        <ns0:f>IF(COUNTA($A142:$M142)=0,"",IF(OR($U142="Subscription",$U142=""),"",IF($U142="Estimate","N/A",IF(OR($U142="Free Game",$U142="Disqualified — Free Game",$H142=0),"N/A",IF($U142="Profit",$Q142/$H142,IF($U142="Disqualified",-$S142/$H142,0))))))</ns0:f>
      </ns0:c>
      <ns0:c r="U142" s="920">
        <ns0:f>IF(COUNTA($A142:$M142)=0,"",IF(OR(LEFT(LOWER(TRIM($F142&amp;"")),12)="subscription",LOWER(TRIM($F142&amp;""))="membership"),"Subscription",IF(LOWER(TRIM($D142&amp;""))="estimate","Estimate",IF(OR(AND($H142&lt;&gt;"",$H142=0),LEFT(LOWER(TRIM($F142&amp;"")),9)="free game",LOWER(TRIM($F142&amp;""))="free",LOWER(TRIM($F142&amp;""))="free entry"),IF(LOWER($L142&amp;"")="yes","Disqualified — Free Game","Free Game"),IF(LOWER($L142&amp;"")="yes","Disqualified",IF($P142="","",IF(ROUND(IFERROR(VALUE($P142),0)-IFERROR(VALUE($H142),0),2)&gt;0,"Profit","Draw")))))))</ns0:f>
      </ns0:c>
      <ns0:c r="V142" s="956" t="str">
        <ns0:f>IF(COUNTA($A142:$M142)=0,"",IF(OR($B142="",$C142="",$U142="Subscription"),"",IFERROR(ROUNDUP(($C142-$B142)/7,0),"")))</ns0:f>
      </ns0:c>
      <ns0:c r="W142" s="114">
        <ns0:f>IF(COUNTA($A142:$M142)=0,"",IF(OR($U142="Subscription",$U142=""),"",IF($U142="Estimate","N/A",IF(OR($U142="Free Game",$U142="Disqualified — Free Game"),0,ROUND(IFERROR($Q142,0)-IFERROR($S142,0),2)))))</ns0:f>
      </ns0:c>
      <ns0:c r="X142" s="956" t="str">
        <ns0:f>IF(COUNTA($A142:$M142)=0,"",IF(OR($U142="Subscription",NOT(ISNUMBER($J142)),NOT(ISNUMBER($I142)),$J142=0,$I142=0,$I142&gt;$J142),"",$J142-$I142))</ns0:f>
      </ns0:c>
      <ns0:c r="Y142" s="955" t="str">
        <ns0:f>IF(COUNTA($A142:$M142)=0,"",IF(OR($U142="Subscription",NOT(ISNUMBER($J142)),$J142=0,$X142=""),"",$X142/$J142))</ns0:f>
      </ns0:c>
      <ns0:c r="Z142" s="957" t="str">
        <ns0:f>IF(COUNTA($A142:$M142)=0,"",Instructions!$B$29+SUM($W$5:W142))</ns0:f>
      </ns0:c>
    </ns0:row>
    <ns0:row r="143" ht="36" customHeight="1">
      <ns0:c r="A143" s="439"/>
      <ns0:c r="B143" s="453"/>
      <ns0:c r="C143" s="453"/>
      <ns0:c r="D143" s="454"/>
      <ns0:c r="E143" s="454"/>
      <ns0:c r="F143" s="454"/>
      <ns0:c r="G143" s="986"/>
      <ns0:c r="H143" s="455"/>
      <ns0:c r="I143" s="456"/>
      <ns0:c r="J143" s="456"/>
      <ns0:c r="K143" s="986"/>
      <ns0:c r="L143" s="454"/>
      <ns0:c r="M143" s="439"/>
      <ns0:c r="N143" s="987" t="str">
        <ns0:f>IF(COUNTA($A143:$M143)=0,"",IF(OR(LEFT(LOWER(TRIM($F143&amp;"")),12)="subscription",LOWER(TRIM($F143&amp;""))="membership"),"",IF(OR(AND($H143&lt;&gt;"",$H143=0),LEFT(LOWER(TRIM($F143&amp;"")),9)="free game",LOWER(TRIM($F143&amp;""))="free",LOWER(TRIM($F143&amp;""))="free entry"),IF(ISNUMBER($G143),IF(ISNUMBER(SEARCH("non",LOWER($E143&amp;""))),$G143*0.85,$G143),"N/A"),IF($G143="","",IFERROR(IF(ISNUMBER(SEARCH("non",LOWER($E143&amp;""))),$G143*0.85,$G143),"")))))</ns0:f>
        <ns0:v/>
      </ns0:c>
      <ns0:c r="O143" s="987" t="str">
        <ns0:f>IF(COUNTA($A143:$M143)=0,"",IF(OR(LEFT(LOWER(TRIM($F143&amp;"")),12)="subscription",LOWER(TRIM($F143&amp;""))="membership"),"",IF(OR(AND($H143&lt;&gt;"",$H143=0),LEFT(LOWER(TRIM($F143&amp;"")),9)="free game",LOWER(TRIM($F143&amp;""))="free",LOWER(TRIM($F143&amp;""))="free entry"),IF(OR(NOT(ISNUMBER($N143)),NOT(ISNUMBER($I143)),$I143=0),"N/A",IFERROR($N143/$I143,"N/A")),IF(OR($N143="",$I143="",$I143=0),"",IFERROR($N143/$I143,"")))))</ns0:f>
        <ns0:v/>
      </ns0:c>
      <ns0:c r="P143" s="987">
        <ns0:f>IF(COUNTA($A143:$M143)=0,"",IF(OR(LEFT(LOWER(TRIM($F143&amp;"")),12)="subscription",LOWER(TRIM($F143&amp;""))="membership"),"",IF(LOWER(TRIM($D143&amp;""))="estimate","N/A",IF(LOWER($L143&amp;"")="yes",0,IF(OR(AND($H143&lt;&gt;"",$H143=0),LEFT(LOWER(TRIM($F143&amp;"")),9)="free game",LOWER(TRIM($F143&amp;""))="free",LOWER(TRIM($F143&amp;""))="free entry"),IF(ISNUMBER($K143),$K143,""),IF($K143&lt;&gt;"",$K143,""))))))</ns0:f>
      </ns0:c>
      <ns0:c r="Q143" s="114">
        <ns0:f>IF(COUNTA($A143:$M143)=0,"",IF(OR($U143="Subscription",$U143=""),"",IF($U143="Estimate","N/A",IF($U143="Profit",ROUND(IFERROR($P143,0)-IFERROR($H143,0),2),0))))</ns0:f>
      </ns0:c>
      <ns0:c r="R143" s="114">
        <ns0:f>IF(COUNTA($A143:$M143)=0,"",IF(OR($U143="Subscription",$U143=""),"",IF($U143="Estimate","N/A",IF($U143="Draw",$H143,0))))</ns0:f>
      </ns0:c>
      <ns0:c r="S143" s="114">
        <ns0:f>IF(COUNTA($A143:$M143)=0,"",IF(OR($U143="Subscription",$U143=""),"",IF($U143="Estimate","N/A",IF($U143="Disqualified",$H143,0))))</ns0:f>
      </ns0:c>
      <ns0:c r="T143" s="955">
        <ns0:f>IF(COUNTA($A143:$M143)=0,"",IF(OR($U143="Subscription",$U143=""),"",IF($U143="Estimate","N/A",IF(OR($U143="Free Game",$U143="Disqualified — Free Game",$H143=0),"N/A",IF($U143="Profit",$Q143/$H143,IF($U143="Disqualified",-$S143/$H143,0))))))</ns0:f>
      </ns0:c>
      <ns0:c r="U143" s="920">
        <ns0:f>IF(COUNTA($A143:$M143)=0,"",IF(OR(LEFT(LOWER(TRIM($F143&amp;"")),12)="subscription",LOWER(TRIM($F143&amp;""))="membership"),"Subscription",IF(LOWER(TRIM($D143&amp;""))="estimate","Estimate",IF(OR(AND($H143&lt;&gt;"",$H143=0),LEFT(LOWER(TRIM($F143&amp;"")),9)="free game",LOWER(TRIM($F143&amp;""))="free",LOWER(TRIM($F143&amp;""))="free entry"),IF(LOWER($L143&amp;"")="yes","Disqualified — Free Game","Free Game"),IF(LOWER($L143&amp;"")="yes","Disqualified",IF($P143="","",IF(ROUND(IFERROR(VALUE($P143),0)-IFERROR(VALUE($H143),0),2)&gt;0,"Profit","Draw")))))))</ns0:f>
      </ns0:c>
      <ns0:c r="V143" s="956" t="str">
        <ns0:f>IF(COUNTA($A143:$M143)=0,"",IF(OR($B143="",$C143="",$U143="Subscription"),"",IFERROR(ROUNDUP(($C143-$B143)/7,0),"")))</ns0:f>
      </ns0:c>
      <ns0:c r="W143" s="114">
        <ns0:f>IF(COUNTA($A143:$M143)=0,"",IF(OR($U143="Subscription",$U143=""),"",IF($U143="Estimate","N/A",IF(OR($U143="Free Game",$U143="Disqualified — Free Game"),0,ROUND(IFERROR($Q143,0)-IFERROR($S143,0),2)))))</ns0:f>
      </ns0:c>
      <ns0:c r="X143" s="956" t="str">
        <ns0:f>IF(COUNTA($A143:$M143)=0,"",IF(OR($U143="Subscription",NOT(ISNUMBER($J143)),NOT(ISNUMBER($I143)),$J143=0,$I143=0,$I143&gt;$J143),"",$J143-$I143))</ns0:f>
      </ns0:c>
      <ns0:c r="Y143" s="955" t="str">
        <ns0:f>IF(COUNTA($A143:$M143)=0,"",IF(OR($U143="Subscription",NOT(ISNUMBER($J143)),$J143=0,$X143=""),"",$X143/$J143))</ns0:f>
      </ns0:c>
      <ns0:c r="Z143" s="957" t="str">
        <ns0:f>IF(COUNTA($A143:$M143)=0,"",Instructions!$B$29+SUM($W$5:W143))</ns0:f>
      </ns0:c>
    </ns0:row>
    <ns0:row r="144" ht="36" customHeight="1">
      <ns0:c r="A144" s="439"/>
      <ns0:c r="B144" s="453"/>
      <ns0:c r="C144" s="453"/>
      <ns0:c r="D144" s="454"/>
      <ns0:c r="E144" s="454"/>
      <ns0:c r="F144" s="454"/>
      <ns0:c r="G144" s="986"/>
      <ns0:c r="H144" s="455"/>
      <ns0:c r="I144" s="456"/>
      <ns0:c r="J144" s="456"/>
      <ns0:c r="K144" s="986"/>
      <ns0:c r="L144" s="454"/>
      <ns0:c r="M144" s="439"/>
      <ns0:c r="N144" s="987" t="str">
        <ns0:f>IF(COUNTA($A144:$M144)=0,"",IF(OR(LEFT(LOWER(TRIM($F144&amp;"")),12)="subscription",LOWER(TRIM($F144&amp;""))="membership"),"",IF(OR(AND($H144&lt;&gt;"",$H144=0),LEFT(LOWER(TRIM($F144&amp;"")),9)="free game",LOWER(TRIM($F144&amp;""))="free",LOWER(TRIM($F144&amp;""))="free entry"),IF(ISNUMBER($G144),IF(ISNUMBER(SEARCH("non",LOWER($E144&amp;""))),$G144*0.85,$G144),"N/A"),IF($G144="","",IFERROR(IF(ISNUMBER(SEARCH("non",LOWER($E144&amp;""))),$G144*0.85,$G144),"")))))</ns0:f>
        <ns0:v/>
      </ns0:c>
      <ns0:c r="O144" s="987" t="str">
        <ns0:f>IF(COUNTA($A144:$M144)=0,"",IF(OR(LEFT(LOWER(TRIM($F144&amp;"")),12)="subscription",LOWER(TRIM($F144&amp;""))="membership"),"",IF(OR(AND($H144&lt;&gt;"",$H144=0),LEFT(LOWER(TRIM($F144&amp;"")),9)="free game",LOWER(TRIM($F144&amp;""))="free",LOWER(TRIM($F144&amp;""))="free entry"),IF(OR(NOT(ISNUMBER($N144)),NOT(ISNUMBER($I144)),$I144=0),"N/A",IFERROR($N144/$I144,"N/A")),IF(OR($N144="",$I144="",$I144=0),"",IFERROR($N144/$I144,"")))))</ns0:f>
        <ns0:v/>
      </ns0:c>
      <ns0:c r="P144" s="987">
        <ns0:f>IF(COUNTA($A144:$M144)=0,"",IF(OR(LEFT(LOWER(TRIM($F144&amp;"")),12)="subscription",LOWER(TRIM($F144&amp;""))="membership"),"",IF(LOWER(TRIM($D144&amp;""))="estimate","N/A",IF(LOWER($L144&amp;"")="yes",0,IF(OR(AND($H144&lt;&gt;"",$H144=0),LEFT(LOWER(TRIM($F144&amp;"")),9)="free game",LOWER(TRIM($F144&amp;""))="free",LOWER(TRIM($F144&amp;""))="free entry"),IF(ISNUMBER($K144),$K144,""),IF($K144&lt;&gt;"",$K144,""))))))</ns0:f>
      </ns0:c>
      <ns0:c r="Q144" s="114">
        <ns0:f>IF(COUNTA($A144:$M144)=0,"",IF(OR($U144="Subscription",$U144=""),"",IF($U144="Estimate","N/A",IF($U144="Profit",ROUND(IFERROR($P144,0)-IFERROR($H144,0),2),0))))</ns0:f>
      </ns0:c>
      <ns0:c r="R144" s="114">
        <ns0:f>IF(COUNTA($A144:$M144)=0,"",IF(OR($U144="Subscription",$U144=""),"",IF($U144="Estimate","N/A",IF($U144="Draw",$H144,0))))</ns0:f>
      </ns0:c>
      <ns0:c r="S144" s="114">
        <ns0:f>IF(COUNTA($A144:$M144)=0,"",IF(OR($U144="Subscription",$U144=""),"",IF($U144="Estimate","N/A",IF($U144="Disqualified",$H144,0))))</ns0:f>
      </ns0:c>
      <ns0:c r="T144" s="955">
        <ns0:f>IF(COUNTA($A144:$M144)=0,"",IF(OR($U144="Subscription",$U144=""),"",IF($U144="Estimate","N/A",IF(OR($U144="Free Game",$U144="Disqualified — Free Game",$H144=0),"N/A",IF($U144="Profit",$Q144/$H144,IF($U144="Disqualified",-$S144/$H144,0))))))</ns0:f>
      </ns0:c>
      <ns0:c r="U144" s="920">
        <ns0:f>IF(COUNTA($A144:$M144)=0,"",IF(OR(LEFT(LOWER(TRIM($F144&amp;"")),12)="subscription",LOWER(TRIM($F144&amp;""))="membership"),"Subscription",IF(LOWER(TRIM($D144&amp;""))="estimate","Estimate",IF(OR(AND($H144&lt;&gt;"",$H144=0),LEFT(LOWER(TRIM($F144&amp;"")),9)="free game",LOWER(TRIM($F144&amp;""))="free",LOWER(TRIM($F144&amp;""))="free entry"),IF(LOWER($L144&amp;"")="yes","Disqualified — Free Game","Free Game"),IF(LOWER($L144&amp;"")="yes","Disqualified",IF($P144="","",IF(ROUND(IFERROR(VALUE($P144),0)-IFERROR(VALUE($H144),0),2)&gt;0,"Profit","Draw")))))))</ns0:f>
      </ns0:c>
      <ns0:c r="V144" s="956" t="str">
        <ns0:f>IF(COUNTA($A144:$M144)=0,"",IF(OR($B144="",$C144="",$U144="Subscription"),"",IFERROR(ROUNDUP(($C144-$B144)/7,0),"")))</ns0:f>
      </ns0:c>
      <ns0:c r="W144" s="114">
        <ns0:f>IF(COUNTA($A144:$M144)=0,"",IF(OR($U144="Subscription",$U144=""),"",IF($U144="Estimate","N/A",IF(OR($U144="Free Game",$U144="Disqualified — Free Game"),0,ROUND(IFERROR($Q144,0)-IFERROR($S144,0),2)))))</ns0:f>
      </ns0:c>
      <ns0:c r="X144" s="956" t="str">
        <ns0:f>IF(COUNTA($A144:$M144)=0,"",IF(OR($U144="Subscription",NOT(ISNUMBER($J144)),NOT(ISNUMBER($I144)),$J144=0,$I144=0,$I144&gt;$J144),"",$J144-$I144))</ns0:f>
      </ns0:c>
      <ns0:c r="Y144" s="955" t="str">
        <ns0:f>IF(COUNTA($A144:$M144)=0,"",IF(OR($U144="Subscription",NOT(ISNUMBER($J144)),$J144=0,$X144=""),"",$X144/$J144))</ns0:f>
      </ns0:c>
      <ns0:c r="Z144" s="957" t="str">
        <ns0:f>IF(COUNTA($A144:$M144)=0,"",Instructions!$B$29+SUM($W$5:W144))</ns0:f>
      </ns0:c>
    </ns0:row>
    <ns0:row r="145" ht="36" customHeight="1">
      <ns0:c r="A145" s="439"/>
      <ns0:c r="B145" s="453"/>
      <ns0:c r="C145" s="453"/>
      <ns0:c r="D145" s="454"/>
      <ns0:c r="E145" s="454"/>
      <ns0:c r="F145" s="454"/>
      <ns0:c r="G145" s="986"/>
      <ns0:c r="H145" s="455"/>
      <ns0:c r="I145" s="456"/>
      <ns0:c r="J145" s="456"/>
      <ns0:c r="K145" s="986"/>
      <ns0:c r="L145" s="454"/>
      <ns0:c r="M145" s="439"/>
      <ns0:c r="N145" s="987" t="str">
        <ns0:f>IF(COUNTA($A145:$M145)=0,"",IF(OR(LEFT(LOWER(TRIM($F145&amp;"")),12)="subscription",LOWER(TRIM($F145&amp;""))="membership"),"",IF(OR(AND($H145&lt;&gt;"",$H145=0),LEFT(LOWER(TRIM($F145&amp;"")),9)="free game",LOWER(TRIM($F145&amp;""))="free",LOWER(TRIM($F145&amp;""))="free entry"),IF(ISNUMBER($G145),IF(ISNUMBER(SEARCH("non",LOWER($E145&amp;""))),$G145*0.85,$G145),"N/A"),IF($G145="","",IFERROR(IF(ISNUMBER(SEARCH("non",LOWER($E145&amp;""))),$G145*0.85,$G145),"")))))</ns0:f>
        <ns0:v/>
      </ns0:c>
      <ns0:c r="O145" s="987" t="str">
        <ns0:f>IF(COUNTA($A145:$M145)=0,"",IF(OR(LEFT(LOWER(TRIM($F145&amp;"")),12)="subscription",LOWER(TRIM($F145&amp;""))="membership"),"",IF(OR(AND($H145&lt;&gt;"",$H145=0),LEFT(LOWER(TRIM($F145&amp;"")),9)="free game",LOWER(TRIM($F145&amp;""))="free",LOWER(TRIM($F145&amp;""))="free entry"),IF(OR(NOT(ISNUMBER($N145)),NOT(ISNUMBER($I145)),$I145=0),"N/A",IFERROR($N145/$I145,"N/A")),IF(OR($N145="",$I145="",$I145=0),"",IFERROR($N145/$I145,"")))))</ns0:f>
        <ns0:v/>
      </ns0:c>
      <ns0:c r="P145" s="987">
        <ns0:f>IF(COUNTA($A145:$M145)=0,"",IF(OR(LEFT(LOWER(TRIM($F145&amp;"")),12)="subscription",LOWER(TRIM($F145&amp;""))="membership"),"",IF(LOWER(TRIM($D145&amp;""))="estimate","N/A",IF(LOWER($L145&amp;"")="yes",0,IF(OR(AND($H145&lt;&gt;"",$H145=0),LEFT(LOWER(TRIM($F145&amp;"")),9)="free game",LOWER(TRIM($F145&amp;""))="free",LOWER(TRIM($F145&amp;""))="free entry"),IF(ISNUMBER($K145),$K145,""),IF($K145&lt;&gt;"",$K145,""))))))</ns0:f>
      </ns0:c>
      <ns0:c r="Q145" s="114">
        <ns0:f>IF(COUNTA($A145:$M145)=0,"",IF(OR($U145="Subscription",$U145=""),"",IF($U145="Estimate","N/A",IF($U145="Profit",ROUND(IFERROR($P145,0)-IFERROR($H145,0),2),0))))</ns0:f>
      </ns0:c>
      <ns0:c r="R145" s="114">
        <ns0:f>IF(COUNTA($A145:$M145)=0,"",IF(OR($U145="Subscription",$U145=""),"",IF($U145="Estimate","N/A",IF($U145="Draw",$H145,0))))</ns0:f>
      </ns0:c>
      <ns0:c r="S145" s="114">
        <ns0:f>IF(COUNTA($A145:$M145)=0,"",IF(OR($U145="Subscription",$U145=""),"",IF($U145="Estimate","N/A",IF($U145="Disqualified",$H145,0))))</ns0:f>
      </ns0:c>
      <ns0:c r="T145" s="955">
        <ns0:f>IF(COUNTA($A145:$M145)=0,"",IF(OR($U145="Subscription",$U145=""),"",IF($U145="Estimate","N/A",IF(OR($U145="Free Game",$U145="Disqualified — Free Game",$H145=0),"N/A",IF($U145="Profit",$Q145/$H145,IF($U145="Disqualified",-$S145/$H145,0))))))</ns0:f>
      </ns0:c>
      <ns0:c r="U145" s="920">
        <ns0:f>IF(COUNTA($A145:$M145)=0,"",IF(OR(LEFT(LOWER(TRIM($F145&amp;"")),12)="subscription",LOWER(TRIM($F145&amp;""))="membership"),"Subscription",IF(LOWER(TRIM($D145&amp;""))="estimate","Estimate",IF(OR(AND($H145&lt;&gt;"",$H145=0),LEFT(LOWER(TRIM($F145&amp;"")),9)="free game",LOWER(TRIM($F145&amp;""))="free",LOWER(TRIM($F145&amp;""))="free entry"),IF(LOWER($L145&amp;"")="yes","Disqualified — Free Game","Free Game"),IF(LOWER($L145&amp;"")="yes","Disqualified",IF($P145="","",IF(ROUND(IFERROR(VALUE($P145),0)-IFERROR(VALUE($H145),0),2)&gt;0,"Profit","Draw")))))))</ns0:f>
      </ns0:c>
      <ns0:c r="V145" s="956" t="str">
        <ns0:f>IF(COUNTA($A145:$M145)=0,"",IF(OR($B145="",$C145="",$U145="Subscription"),"",IFERROR(ROUNDUP(($C145-$B145)/7,0),"")))</ns0:f>
      </ns0:c>
      <ns0:c r="W145" s="114">
        <ns0:f>IF(COUNTA($A145:$M145)=0,"",IF(OR($U145="Subscription",$U145=""),"",IF($U145="Estimate","N/A",IF(OR($U145="Free Game",$U145="Disqualified — Free Game"),0,ROUND(IFERROR($Q145,0)-IFERROR($S145,0),2)))))</ns0:f>
      </ns0:c>
      <ns0:c r="X145" s="956" t="str">
        <ns0:f>IF(COUNTA($A145:$M145)=0,"",IF(OR($U145="Subscription",NOT(ISNUMBER($J145)),NOT(ISNUMBER($I145)),$J145=0,$I145=0,$I145&gt;$J145),"",$J145-$I145))</ns0:f>
      </ns0:c>
      <ns0:c r="Y145" s="955" t="str">
        <ns0:f>IF(COUNTA($A145:$M145)=0,"",IF(OR($U145="Subscription",NOT(ISNUMBER($J145)),$J145=0,$X145=""),"",$X145/$J145))</ns0:f>
      </ns0:c>
      <ns0:c r="Z145" s="957" t="str">
        <ns0:f>IF(COUNTA($A145:$M145)=0,"",Instructions!$B$29+SUM($W$5:W145))</ns0:f>
      </ns0:c>
    </ns0:row>
    <ns0:row r="146" ht="36" customHeight="1">
      <ns0:c r="A146" s="439"/>
      <ns0:c r="B146" s="453"/>
      <ns0:c r="C146" s="453"/>
      <ns0:c r="D146" s="454"/>
      <ns0:c r="E146" s="454"/>
      <ns0:c r="F146" s="454"/>
      <ns0:c r="G146" s="986"/>
      <ns0:c r="H146" s="455"/>
      <ns0:c r="I146" s="456"/>
      <ns0:c r="J146" s="456"/>
      <ns0:c r="K146" s="986"/>
      <ns0:c r="L146" s="454"/>
      <ns0:c r="M146" s="439"/>
      <ns0:c r="N146" s="987" t="str">
        <ns0:f>IF(COUNTA($A146:$M146)=0,"",IF(OR(LEFT(LOWER(TRIM($F146&amp;"")),12)="subscription",LOWER(TRIM($F146&amp;""))="membership"),"",IF(OR(AND($H146&lt;&gt;"",$H146=0),LEFT(LOWER(TRIM($F146&amp;"")),9)="free game",LOWER(TRIM($F146&amp;""))="free",LOWER(TRIM($F146&amp;""))="free entry"),IF(ISNUMBER($G146),IF(ISNUMBER(SEARCH("non",LOWER($E146&amp;""))),$G146*0.85,$G146),"N/A"),IF($G146="","",IFERROR(IF(ISNUMBER(SEARCH("non",LOWER($E146&amp;""))),$G146*0.85,$G146),"")))))</ns0:f>
        <ns0:v/>
      </ns0:c>
      <ns0:c r="O146" s="987" t="str">
        <ns0:f>IF(COUNTA($A146:$M146)=0,"",IF(OR(LEFT(LOWER(TRIM($F146&amp;"")),12)="subscription",LOWER(TRIM($F146&amp;""))="membership"),"",IF(OR(AND($H146&lt;&gt;"",$H146=0),LEFT(LOWER(TRIM($F146&amp;"")),9)="free game",LOWER(TRIM($F146&amp;""))="free",LOWER(TRIM($F146&amp;""))="free entry"),IF(OR(NOT(ISNUMBER($N146)),NOT(ISNUMBER($I146)),$I146=0),"N/A",IFERROR($N146/$I146,"N/A")),IF(OR($N146="",$I146="",$I146=0),"",IFERROR($N146/$I146,"")))))</ns0:f>
        <ns0:v/>
      </ns0:c>
      <ns0:c r="P146" s="987">
        <ns0:f>IF(COUNTA($A146:$M146)=0,"",IF(OR(LEFT(LOWER(TRIM($F146&amp;"")),12)="subscription",LOWER(TRIM($F146&amp;""))="membership"),"",IF(LOWER(TRIM($D146&amp;""))="estimate","N/A",IF(LOWER($L146&amp;"")="yes",0,IF(OR(AND($H146&lt;&gt;"",$H146=0),LEFT(LOWER(TRIM($F146&amp;"")),9)="free game",LOWER(TRIM($F146&amp;""))="free",LOWER(TRIM($F146&amp;""))="free entry"),IF(ISNUMBER($K146),$K146,""),IF($K146&lt;&gt;"",$K146,""))))))</ns0:f>
      </ns0:c>
      <ns0:c r="Q146" s="114">
        <ns0:f>IF(COUNTA($A146:$M146)=0,"",IF(OR($U146="Subscription",$U146=""),"",IF($U146="Estimate","N/A",IF($U146="Profit",ROUND(IFERROR($P146,0)-IFERROR($H146,0),2),0))))</ns0:f>
      </ns0:c>
      <ns0:c r="R146" s="114">
        <ns0:f>IF(COUNTA($A146:$M146)=0,"",IF(OR($U146="Subscription",$U146=""),"",IF($U146="Estimate","N/A",IF($U146="Draw",$H146,0))))</ns0:f>
      </ns0:c>
      <ns0:c r="S146" s="114">
        <ns0:f>IF(COUNTA($A146:$M146)=0,"",IF(OR($U146="Subscription",$U146=""),"",IF($U146="Estimate","N/A",IF($U146="Disqualified",$H146,0))))</ns0:f>
      </ns0:c>
      <ns0:c r="T146" s="955">
        <ns0:f>IF(COUNTA($A146:$M146)=0,"",IF(OR($U146="Subscription",$U146=""),"",IF($U146="Estimate","N/A",IF(OR($U146="Free Game",$U146="Disqualified — Free Game",$H146=0),"N/A",IF($U146="Profit",$Q146/$H146,IF($U146="Disqualified",-$S146/$H146,0))))))</ns0:f>
      </ns0:c>
      <ns0:c r="U146" s="920">
        <ns0:f>IF(COUNTA($A146:$M146)=0,"",IF(OR(LEFT(LOWER(TRIM($F146&amp;"")),12)="subscription",LOWER(TRIM($F146&amp;""))="membership"),"Subscription",IF(LOWER(TRIM($D146&amp;""))="estimate","Estimate",IF(OR(AND($H146&lt;&gt;"",$H146=0),LEFT(LOWER(TRIM($F146&amp;"")),9)="free game",LOWER(TRIM($F146&amp;""))="free",LOWER(TRIM($F146&amp;""))="free entry"),IF(LOWER($L146&amp;"")="yes","Disqualified — Free Game","Free Game"),IF(LOWER($L146&amp;"")="yes","Disqualified",IF($P146="","",IF(ROUND(IFERROR(VALUE($P146),0)-IFERROR(VALUE($H146),0),2)&gt;0,"Profit","Draw")))))))</ns0:f>
      </ns0:c>
      <ns0:c r="V146" s="956" t="str">
        <ns0:f>IF(COUNTA($A146:$M146)=0,"",IF(OR($B146="",$C146="",$U146="Subscription"),"",IFERROR(ROUNDUP(($C146-$B146)/7,0),"")))</ns0:f>
      </ns0:c>
      <ns0:c r="W146" s="114">
        <ns0:f>IF(COUNTA($A146:$M146)=0,"",IF(OR($U146="Subscription",$U146=""),"",IF($U146="Estimate","N/A",IF(OR($U146="Free Game",$U146="Disqualified — Free Game"),0,ROUND(IFERROR($Q146,0)-IFERROR($S146,0),2)))))</ns0:f>
      </ns0:c>
      <ns0:c r="X146" s="956" t="str">
        <ns0:f>IF(COUNTA($A146:$M146)=0,"",IF(OR($U146="Subscription",NOT(ISNUMBER($J146)),NOT(ISNUMBER($I146)),$J146=0,$I146=0,$I146&gt;$J146),"",$J146-$I146))</ns0:f>
      </ns0:c>
      <ns0:c r="Y146" s="955" t="str">
        <ns0:f>IF(COUNTA($A146:$M146)=0,"",IF(OR($U146="Subscription",NOT(ISNUMBER($J146)),$J146=0,$X146=""),"",$X146/$J146))</ns0:f>
      </ns0:c>
      <ns0:c r="Z146" s="957" t="str">
        <ns0:f>IF(COUNTA($A146:$M146)=0,"",Instructions!$B$29+SUM($W$5:W146))</ns0:f>
      </ns0:c>
    </ns0:row>
    <ns0:row r="147" ht="36" customHeight="1">
      <ns0:c r="A147" s="439"/>
      <ns0:c r="B147" s="453"/>
      <ns0:c r="C147" s="453"/>
      <ns0:c r="D147" s="454"/>
      <ns0:c r="E147" s="454"/>
      <ns0:c r="F147" s="454"/>
      <ns0:c r="G147" s="986"/>
      <ns0:c r="H147" s="455"/>
      <ns0:c r="I147" s="456"/>
      <ns0:c r="J147" s="456"/>
      <ns0:c r="K147" s="986"/>
      <ns0:c r="L147" s="454"/>
      <ns0:c r="M147" s="439"/>
      <ns0:c r="N147" s="987" t="str">
        <ns0:f>IF(COUNTA($A147:$M147)=0,"",IF(OR(LEFT(LOWER(TRIM($F147&amp;"")),12)="subscription",LOWER(TRIM($F147&amp;""))="membership"),"",IF(OR(AND($H147&lt;&gt;"",$H147=0),LEFT(LOWER(TRIM($F147&amp;"")),9)="free game",LOWER(TRIM($F147&amp;""))="free",LOWER(TRIM($F147&amp;""))="free entry"),IF(ISNUMBER($G147),IF(ISNUMBER(SEARCH("non",LOWER($E147&amp;""))),$G147*0.85,$G147),"N/A"),IF($G147="","",IFERROR(IF(ISNUMBER(SEARCH("non",LOWER($E147&amp;""))),$G147*0.85,$G147),"")))))</ns0:f>
        <ns0:v/>
      </ns0:c>
      <ns0:c r="O147" s="987" t="str">
        <ns0:f>IF(COUNTA($A147:$M147)=0,"",IF(OR(LEFT(LOWER(TRIM($F147&amp;"")),12)="subscription",LOWER(TRIM($F147&amp;""))="membership"),"",IF(OR(AND($H147&lt;&gt;"",$H147=0),LEFT(LOWER(TRIM($F147&amp;"")),9)="free game",LOWER(TRIM($F147&amp;""))="free",LOWER(TRIM($F147&amp;""))="free entry"),IF(OR(NOT(ISNUMBER($N147)),NOT(ISNUMBER($I147)),$I147=0),"N/A",IFERROR($N147/$I147,"N/A")),IF(OR($N147="",$I147="",$I147=0),"",IFERROR($N147/$I147,"")))))</ns0:f>
        <ns0:v/>
      </ns0:c>
      <ns0:c r="P147" s="987">
        <ns0:f>IF(COUNTA($A147:$M147)=0,"",IF(OR(LEFT(LOWER(TRIM($F147&amp;"")),12)="subscription",LOWER(TRIM($F147&amp;""))="membership"),"",IF(LOWER(TRIM($D147&amp;""))="estimate","N/A",IF(LOWER($L147&amp;"")="yes",0,IF(OR(AND($H147&lt;&gt;"",$H147=0),LEFT(LOWER(TRIM($F147&amp;"")),9)="free game",LOWER(TRIM($F147&amp;""))="free",LOWER(TRIM($F147&amp;""))="free entry"),IF(ISNUMBER($K147),$K147,""),IF($K147&lt;&gt;"",$K147,""))))))</ns0:f>
      </ns0:c>
      <ns0:c r="Q147" s="114">
        <ns0:f>IF(COUNTA($A147:$M147)=0,"",IF(OR($U147="Subscription",$U147=""),"",IF($U147="Estimate","N/A",IF($U147="Profit",ROUND(IFERROR($P147,0)-IFERROR($H147,0),2),0))))</ns0:f>
      </ns0:c>
      <ns0:c r="R147" s="114">
        <ns0:f>IF(COUNTA($A147:$M147)=0,"",IF(OR($U147="Subscription",$U147=""),"",IF($U147="Estimate","N/A",IF($U147="Draw",$H147,0))))</ns0:f>
      </ns0:c>
      <ns0:c r="S147" s="114">
        <ns0:f>IF(COUNTA($A147:$M147)=0,"",IF(OR($U147="Subscription",$U147=""),"",IF($U147="Estimate","N/A",IF($U147="Disqualified",$H147,0))))</ns0:f>
      </ns0:c>
      <ns0:c r="T147" s="955">
        <ns0:f>IF(COUNTA($A147:$M147)=0,"",IF(OR($U147="Subscription",$U147=""),"",IF($U147="Estimate","N/A",IF(OR($U147="Free Game",$U147="Disqualified — Free Game",$H147=0),"N/A",IF($U147="Profit",$Q147/$H147,IF($U147="Disqualified",-$S147/$H147,0))))))</ns0:f>
      </ns0:c>
      <ns0:c r="U147" s="920">
        <ns0:f>IF(COUNTA($A147:$M147)=0,"",IF(OR(LEFT(LOWER(TRIM($F147&amp;"")),12)="subscription",LOWER(TRIM($F147&amp;""))="membership"),"Subscription",IF(LOWER(TRIM($D147&amp;""))="estimate","Estimate",IF(OR(AND($H147&lt;&gt;"",$H147=0),LEFT(LOWER(TRIM($F147&amp;"")),9)="free game",LOWER(TRIM($F147&amp;""))="free",LOWER(TRIM($F147&amp;""))="free entry"),IF(LOWER($L147&amp;"")="yes","Disqualified — Free Game","Free Game"),IF(LOWER($L147&amp;"")="yes","Disqualified",IF($P147="","",IF(ROUND(IFERROR(VALUE($P147),0)-IFERROR(VALUE($H147),0),2)&gt;0,"Profit","Draw")))))))</ns0:f>
      </ns0:c>
      <ns0:c r="V147" s="956" t="str">
        <ns0:f>IF(COUNTA($A147:$M147)=0,"",IF(OR($B147="",$C147="",$U147="Subscription"),"",IFERROR(ROUNDUP(($C147-$B147)/7,0),"")))</ns0:f>
      </ns0:c>
      <ns0:c r="W147" s="114">
        <ns0:f>IF(COUNTA($A147:$M147)=0,"",IF(OR($U147="Subscription",$U147=""),"",IF($U147="Estimate","N/A",IF(OR($U147="Free Game",$U147="Disqualified — Free Game"),0,ROUND(IFERROR($Q147,0)-IFERROR($S147,0),2)))))</ns0:f>
      </ns0:c>
      <ns0:c r="X147" s="956" t="str">
        <ns0:f>IF(COUNTA($A147:$M147)=0,"",IF(OR($U147="Subscription",NOT(ISNUMBER($J147)),NOT(ISNUMBER($I147)),$J147=0,$I147=0,$I147&gt;$J147),"",$J147-$I147))</ns0:f>
      </ns0:c>
      <ns0:c r="Y147" s="955" t="str">
        <ns0:f>IF(COUNTA($A147:$M147)=0,"",IF(OR($U147="Subscription",NOT(ISNUMBER($J147)),$J147=0,$X147=""),"",$X147/$J147))</ns0:f>
      </ns0:c>
      <ns0:c r="Z147" s="957" t="str">
        <ns0:f>IF(COUNTA($A147:$M147)=0,"",Instructions!$B$29+SUM($W$5:W147))</ns0:f>
      </ns0:c>
    </ns0:row>
    <ns0:row r="148" ht="36" customHeight="1">
      <ns0:c r="A148" s="439"/>
      <ns0:c r="B148" s="453"/>
      <ns0:c r="C148" s="453"/>
      <ns0:c r="D148" s="454"/>
      <ns0:c r="E148" s="454"/>
      <ns0:c r="F148" s="454"/>
      <ns0:c r="G148" s="986"/>
      <ns0:c r="H148" s="455"/>
      <ns0:c r="I148" s="456"/>
      <ns0:c r="J148" s="456"/>
      <ns0:c r="K148" s="986"/>
      <ns0:c r="L148" s="454"/>
      <ns0:c r="M148" s="439"/>
      <ns0:c r="N148" s="987" t="str">
        <ns0:f>IF(COUNTA($A148:$M148)=0,"",IF(OR(LEFT(LOWER(TRIM($F148&amp;"")),12)="subscription",LOWER(TRIM($F148&amp;""))="membership"),"",IF(OR(AND($H148&lt;&gt;"",$H148=0),LEFT(LOWER(TRIM($F148&amp;"")),9)="free game",LOWER(TRIM($F148&amp;""))="free",LOWER(TRIM($F148&amp;""))="free entry"),IF(ISNUMBER($G148),IF(ISNUMBER(SEARCH("non",LOWER($E148&amp;""))),$G148*0.85,$G148),"N/A"),IF($G148="","",IFERROR(IF(ISNUMBER(SEARCH("non",LOWER($E148&amp;""))),$G148*0.85,$G148),"")))))</ns0:f>
        <ns0:v/>
      </ns0:c>
      <ns0:c r="O148" s="987" t="str">
        <ns0:f>IF(COUNTA($A148:$M148)=0,"",IF(OR(LEFT(LOWER(TRIM($F148&amp;"")),12)="subscription",LOWER(TRIM($F148&amp;""))="membership"),"",IF(OR(AND($H148&lt;&gt;"",$H148=0),LEFT(LOWER(TRIM($F148&amp;"")),9)="free game",LOWER(TRIM($F148&amp;""))="free",LOWER(TRIM($F148&amp;""))="free entry"),IF(OR(NOT(ISNUMBER($N148)),NOT(ISNUMBER($I148)),$I148=0),"N/A",IFERROR($N148/$I148,"N/A")),IF(OR($N148="",$I148="",$I148=0),"",IFERROR($N148/$I148,"")))))</ns0:f>
        <ns0:v/>
      </ns0:c>
      <ns0:c r="P148" s="987">
        <ns0:f>IF(COUNTA($A148:$M148)=0,"",IF(OR(LEFT(LOWER(TRIM($F148&amp;"")),12)="subscription",LOWER(TRIM($F148&amp;""))="membership"),"",IF(LOWER(TRIM($D148&amp;""))="estimate","N/A",IF(LOWER($L148&amp;"")="yes",0,IF(OR(AND($H148&lt;&gt;"",$H148=0),LEFT(LOWER(TRIM($F148&amp;"")),9)="free game",LOWER(TRIM($F148&amp;""))="free",LOWER(TRIM($F148&amp;""))="free entry"),IF(ISNUMBER($K148),$K148,""),IF($K148&lt;&gt;"",$K148,""))))))</ns0:f>
      </ns0:c>
      <ns0:c r="Q148" s="114">
        <ns0:f>IF(COUNTA($A148:$M148)=0,"",IF(OR($U148="Subscription",$U148=""),"",IF($U148="Estimate","N/A",IF($U148="Profit",ROUND(IFERROR($P148,0)-IFERROR($H148,0),2),0))))</ns0:f>
      </ns0:c>
      <ns0:c r="R148" s="114">
        <ns0:f>IF(COUNTA($A148:$M148)=0,"",IF(OR($U148="Subscription",$U148=""),"",IF($U148="Estimate","N/A",IF($U148="Draw",$H148,0))))</ns0:f>
      </ns0:c>
      <ns0:c r="S148" s="114">
        <ns0:f>IF(COUNTA($A148:$M148)=0,"",IF(OR($U148="Subscription",$U148=""),"",IF($U148="Estimate","N/A",IF($U148="Disqualified",$H148,0))))</ns0:f>
      </ns0:c>
      <ns0:c r="T148" s="955">
        <ns0:f>IF(COUNTA($A148:$M148)=0,"",IF(OR($U148="Subscription",$U148=""),"",IF($U148="Estimate","N/A",IF(OR($U148="Free Game",$U148="Disqualified — Free Game",$H148=0),"N/A",IF($U148="Profit",$Q148/$H148,IF($U148="Disqualified",-$S148/$H148,0))))))</ns0:f>
      </ns0:c>
      <ns0:c r="U148" s="920">
        <ns0:f>IF(COUNTA($A148:$M148)=0,"",IF(OR(LEFT(LOWER(TRIM($F148&amp;"")),12)="subscription",LOWER(TRIM($F148&amp;""))="membership"),"Subscription",IF(LOWER(TRIM($D148&amp;""))="estimate","Estimate",IF(OR(AND($H148&lt;&gt;"",$H148=0),LEFT(LOWER(TRIM($F148&amp;"")),9)="free game",LOWER(TRIM($F148&amp;""))="free",LOWER(TRIM($F148&amp;""))="free entry"),IF(LOWER($L148&amp;"")="yes","Disqualified — Free Game","Free Game"),IF(LOWER($L148&amp;"")="yes","Disqualified",IF($P148="","",IF(ROUND(IFERROR(VALUE($P148),0)-IFERROR(VALUE($H148),0),2)&gt;0,"Profit","Draw")))))))</ns0:f>
      </ns0:c>
      <ns0:c r="V148" s="956" t="str">
        <ns0:f>IF(COUNTA($A148:$M148)=0,"",IF(OR($B148="",$C148="",$U148="Subscription"),"",IFERROR(ROUNDUP(($C148-$B148)/7,0),"")))</ns0:f>
      </ns0:c>
      <ns0:c r="W148" s="114">
        <ns0:f>IF(COUNTA($A148:$M148)=0,"",IF(OR($U148="Subscription",$U148=""),"",IF($U148="Estimate","N/A",IF(OR($U148="Free Game",$U148="Disqualified — Free Game"),0,ROUND(IFERROR($Q148,0)-IFERROR($S148,0),2)))))</ns0:f>
      </ns0:c>
      <ns0:c r="X148" s="956" t="str">
        <ns0:f>IF(COUNTA($A148:$M148)=0,"",IF(OR($U148="Subscription",NOT(ISNUMBER($J148)),NOT(ISNUMBER($I148)),$J148=0,$I148=0,$I148&gt;$J148),"",$J148-$I148))</ns0:f>
      </ns0:c>
      <ns0:c r="Y148" s="955" t="str">
        <ns0:f>IF(COUNTA($A148:$M148)=0,"",IF(OR($U148="Subscription",NOT(ISNUMBER($J148)),$J148=0,$X148=""),"",$X148/$J148))</ns0:f>
      </ns0:c>
      <ns0:c r="Z148" s="957" t="str">
        <ns0:f>IF(COUNTA($A148:$M148)=0,"",Instructions!$B$29+SUM($W$5:W148))</ns0:f>
      </ns0:c>
    </ns0:row>
    <ns0:row r="149" ht="36" customHeight="1">
      <ns0:c r="A149" s="439"/>
      <ns0:c r="B149" s="453"/>
      <ns0:c r="C149" s="453"/>
      <ns0:c r="D149" s="454"/>
      <ns0:c r="E149" s="454"/>
      <ns0:c r="F149" s="454"/>
      <ns0:c r="G149" s="986"/>
      <ns0:c r="H149" s="455"/>
      <ns0:c r="I149" s="456"/>
      <ns0:c r="J149" s="456"/>
      <ns0:c r="K149" s="986"/>
      <ns0:c r="L149" s="454"/>
      <ns0:c r="M149" s="439"/>
      <ns0:c r="N149" s="987" t="str">
        <ns0:f>IF(COUNTA($A149:$M149)=0,"",IF(OR(LEFT(LOWER(TRIM($F149&amp;"")),12)="subscription",LOWER(TRIM($F149&amp;""))="membership"),"",IF(OR(AND($H149&lt;&gt;"",$H149=0),LEFT(LOWER(TRIM($F149&amp;"")),9)="free game",LOWER(TRIM($F149&amp;""))="free",LOWER(TRIM($F149&amp;""))="free entry"),IF(ISNUMBER($G149),IF(ISNUMBER(SEARCH("non",LOWER($E149&amp;""))),$G149*0.85,$G149),"N/A"),IF($G149="","",IFERROR(IF(ISNUMBER(SEARCH("non",LOWER($E149&amp;""))),$G149*0.85,$G149),"")))))</ns0:f>
        <ns0:v/>
      </ns0:c>
      <ns0:c r="O149" s="987" t="str">
        <ns0:f>IF(COUNTA($A149:$M149)=0,"",IF(OR(LEFT(LOWER(TRIM($F149&amp;"")),12)="subscription",LOWER(TRIM($F149&amp;""))="membership"),"",IF(OR(AND($H149&lt;&gt;"",$H149=0),LEFT(LOWER(TRIM($F149&amp;"")),9)="free game",LOWER(TRIM($F149&amp;""))="free",LOWER(TRIM($F149&amp;""))="free entry"),IF(OR(NOT(ISNUMBER($N149)),NOT(ISNUMBER($I149)),$I149=0),"N/A",IFERROR($N149/$I149,"N/A")),IF(OR($N149="",$I149="",$I149=0),"",IFERROR($N149/$I149,"")))))</ns0:f>
        <ns0:v/>
      </ns0:c>
      <ns0:c r="P149" s="987">
        <ns0:f>IF(COUNTA($A149:$M149)=0,"",IF(OR(LEFT(LOWER(TRIM($F149&amp;"")),12)="subscription",LOWER(TRIM($F149&amp;""))="membership"),"",IF(LOWER(TRIM($D149&amp;""))="estimate","N/A",IF(LOWER($L149&amp;"")="yes",0,IF(OR(AND($H149&lt;&gt;"",$H149=0),LEFT(LOWER(TRIM($F149&amp;"")),9)="free game",LOWER(TRIM($F149&amp;""))="free",LOWER(TRIM($F149&amp;""))="free entry"),IF(ISNUMBER($K149),$K149,""),IF($K149&lt;&gt;"",$K149,""))))))</ns0:f>
      </ns0:c>
      <ns0:c r="Q149" s="114">
        <ns0:f>IF(COUNTA($A149:$M149)=0,"",IF(OR($U149="Subscription",$U149=""),"",IF($U149="Estimate","N/A",IF($U149="Profit",ROUND(IFERROR($P149,0)-IFERROR($H149,0),2),0))))</ns0:f>
      </ns0:c>
      <ns0:c r="R149" s="114">
        <ns0:f>IF(COUNTA($A149:$M149)=0,"",IF(OR($U149="Subscription",$U149=""),"",IF($U149="Estimate","N/A",IF($U149="Draw",$H149,0))))</ns0:f>
      </ns0:c>
      <ns0:c r="S149" s="114">
        <ns0:f>IF(COUNTA($A149:$M149)=0,"",IF(OR($U149="Subscription",$U149=""),"",IF($U149="Estimate","N/A",IF($U149="Disqualified",$H149,0))))</ns0:f>
      </ns0:c>
      <ns0:c r="T149" s="955">
        <ns0:f>IF(COUNTA($A149:$M149)=0,"",IF(OR($U149="Subscription",$U149=""),"",IF($U149="Estimate","N/A",IF(OR($U149="Free Game",$U149="Disqualified — Free Game",$H149=0),"N/A",IF($U149="Profit",$Q149/$H149,IF($U149="Disqualified",-$S149/$H149,0))))))</ns0:f>
      </ns0:c>
      <ns0:c r="U149" s="920">
        <ns0:f>IF(COUNTA($A149:$M149)=0,"",IF(OR(LEFT(LOWER(TRIM($F149&amp;"")),12)="subscription",LOWER(TRIM($F149&amp;""))="membership"),"Subscription",IF(LOWER(TRIM($D149&amp;""))="estimate","Estimate",IF(OR(AND($H149&lt;&gt;"",$H149=0),LEFT(LOWER(TRIM($F149&amp;"")),9)="free game",LOWER(TRIM($F149&amp;""))="free",LOWER(TRIM($F149&amp;""))="free entry"),IF(LOWER($L149&amp;"")="yes","Disqualified — Free Game","Free Game"),IF(LOWER($L149&amp;"")="yes","Disqualified",IF($P149="","",IF(ROUND(IFERROR(VALUE($P149),0)-IFERROR(VALUE($H149),0),2)&gt;0,"Profit","Draw")))))))</ns0:f>
      </ns0:c>
      <ns0:c r="V149" s="956" t="str">
        <ns0:f>IF(COUNTA($A149:$M149)=0,"",IF(OR($B149="",$C149="",$U149="Subscription"),"",IFERROR(ROUNDUP(($C149-$B149)/7,0),"")))</ns0:f>
      </ns0:c>
      <ns0:c r="W149" s="114">
        <ns0:f>IF(COUNTA($A149:$M149)=0,"",IF(OR($U149="Subscription",$U149=""),"",IF($U149="Estimate","N/A",IF(OR($U149="Free Game",$U149="Disqualified — Free Game"),0,ROUND(IFERROR($Q149,0)-IFERROR($S149,0),2)))))</ns0:f>
      </ns0:c>
      <ns0:c r="X149" s="956" t="str">
        <ns0:f>IF(COUNTA($A149:$M149)=0,"",IF(OR($U149="Subscription",NOT(ISNUMBER($J149)),NOT(ISNUMBER($I149)),$J149=0,$I149=0,$I149&gt;$J149),"",$J149-$I149))</ns0:f>
      </ns0:c>
      <ns0:c r="Y149" s="955" t="str">
        <ns0:f>IF(COUNTA($A149:$M149)=0,"",IF(OR($U149="Subscription",NOT(ISNUMBER($J149)),$J149=0,$X149=""),"",$X149/$J149))</ns0:f>
      </ns0:c>
      <ns0:c r="Z149" s="957" t="str">
        <ns0:f>IF(COUNTA($A149:$M149)=0,"",Instructions!$B$29+SUM($W$5:W149))</ns0:f>
      </ns0:c>
    </ns0:row>
    <ns0:row r="150" ht="36" customHeight="1">
      <ns0:c r="A150" s="439"/>
      <ns0:c r="B150" s="453"/>
      <ns0:c r="C150" s="453"/>
      <ns0:c r="D150" s="454"/>
      <ns0:c r="E150" s="454"/>
      <ns0:c r="F150" s="454"/>
      <ns0:c r="G150" s="986"/>
      <ns0:c r="H150" s="455"/>
      <ns0:c r="I150" s="456"/>
      <ns0:c r="J150" s="456"/>
      <ns0:c r="K150" s="986"/>
      <ns0:c r="L150" s="454"/>
      <ns0:c r="M150" s="439"/>
      <ns0:c r="N150" s="987" t="str">
        <ns0:f>IF(COUNTA($A150:$M150)=0,"",IF(OR(LEFT(LOWER(TRIM($F150&amp;"")),12)="subscription",LOWER(TRIM($F150&amp;""))="membership"),"",IF(OR(AND($H150&lt;&gt;"",$H150=0),LEFT(LOWER(TRIM($F150&amp;"")),9)="free game",LOWER(TRIM($F150&amp;""))="free",LOWER(TRIM($F150&amp;""))="free entry"),IF(ISNUMBER($G150),IF(ISNUMBER(SEARCH("non",LOWER($E150&amp;""))),$G150*0.85,$G150),"N/A"),IF($G150="","",IFERROR(IF(ISNUMBER(SEARCH("non",LOWER($E150&amp;""))),$G150*0.85,$G150),"")))))</ns0:f>
        <ns0:v/>
      </ns0:c>
      <ns0:c r="O150" s="987" t="str">
        <ns0:f>IF(COUNTA($A150:$M150)=0,"",IF(OR(LEFT(LOWER(TRIM($F150&amp;"")),12)="subscription",LOWER(TRIM($F150&amp;""))="membership"),"",IF(OR(AND($H150&lt;&gt;"",$H150=0),LEFT(LOWER(TRIM($F150&amp;"")),9)="free game",LOWER(TRIM($F150&amp;""))="free",LOWER(TRIM($F150&amp;""))="free entry"),IF(OR(NOT(ISNUMBER($N150)),NOT(ISNUMBER($I150)),$I150=0),"N/A",IFERROR($N150/$I150,"N/A")),IF(OR($N150="",$I150="",$I150=0),"",IFERROR($N150/$I150,"")))))</ns0:f>
        <ns0:v/>
      </ns0:c>
      <ns0:c r="P150" s="987">
        <ns0:f>IF(COUNTA($A150:$M150)=0,"",IF(OR(LEFT(LOWER(TRIM($F150&amp;"")),12)="subscription",LOWER(TRIM($F150&amp;""))="membership"),"",IF(LOWER(TRIM($D150&amp;""))="estimate","N/A",IF(LOWER($L150&amp;"")="yes",0,IF(OR(AND($H150&lt;&gt;"",$H150=0),LEFT(LOWER(TRIM($F150&amp;"")),9)="free game",LOWER(TRIM($F150&amp;""))="free",LOWER(TRIM($F150&amp;""))="free entry"),IF(ISNUMBER($K150),$K150,""),IF($K150&lt;&gt;"",$K150,""))))))</ns0:f>
      </ns0:c>
      <ns0:c r="Q150" s="114">
        <ns0:f>IF(COUNTA($A150:$M150)=0,"",IF(OR($U150="Subscription",$U150=""),"",IF($U150="Estimate","N/A",IF($U150="Profit",ROUND(IFERROR($P150,0)-IFERROR($H150,0),2),0))))</ns0:f>
      </ns0:c>
      <ns0:c r="R150" s="114">
        <ns0:f>IF(COUNTA($A150:$M150)=0,"",IF(OR($U150="Subscription",$U150=""),"",IF($U150="Estimate","N/A",IF($U150="Draw",$H150,0))))</ns0:f>
      </ns0:c>
      <ns0:c r="S150" s="114">
        <ns0:f>IF(COUNTA($A150:$M150)=0,"",IF(OR($U150="Subscription",$U150=""),"",IF($U150="Estimate","N/A",IF($U150="Disqualified",$H150,0))))</ns0:f>
      </ns0:c>
      <ns0:c r="T150" s="955">
        <ns0:f>IF(COUNTA($A150:$M150)=0,"",IF(OR($U150="Subscription",$U150=""),"",IF($U150="Estimate","N/A",IF(OR($U150="Free Game",$U150="Disqualified — Free Game",$H150=0),"N/A",IF($U150="Profit",$Q150/$H150,IF($U150="Disqualified",-$S150/$H150,0))))))</ns0:f>
      </ns0:c>
      <ns0:c r="U150" s="920">
        <ns0:f>IF(COUNTA($A150:$M150)=0,"",IF(OR(LEFT(LOWER(TRIM($F150&amp;"")),12)="subscription",LOWER(TRIM($F150&amp;""))="membership"),"Subscription",IF(LOWER(TRIM($D150&amp;""))="estimate","Estimate",IF(OR(AND($H150&lt;&gt;"",$H150=0),LEFT(LOWER(TRIM($F150&amp;"")),9)="free game",LOWER(TRIM($F150&amp;""))="free",LOWER(TRIM($F150&amp;""))="free entry"),IF(LOWER($L150&amp;"")="yes","Disqualified — Free Game","Free Game"),IF(LOWER($L150&amp;"")="yes","Disqualified",IF($P150="","",IF(ROUND(IFERROR(VALUE($P150),0)-IFERROR(VALUE($H150),0),2)&gt;0,"Profit","Draw")))))))</ns0:f>
      </ns0:c>
      <ns0:c r="V150" s="956" t="str">
        <ns0:f>IF(COUNTA($A150:$M150)=0,"",IF(OR($B150="",$C150="",$U150="Subscription"),"",IFERROR(ROUNDUP(($C150-$B150)/7,0),"")))</ns0:f>
      </ns0:c>
      <ns0:c r="W150" s="114">
        <ns0:f>IF(COUNTA($A150:$M150)=0,"",IF(OR($U150="Subscription",$U150=""),"",IF($U150="Estimate","N/A",IF(OR($U150="Free Game",$U150="Disqualified — Free Game"),0,ROUND(IFERROR($Q150,0)-IFERROR($S150,0),2)))))</ns0:f>
      </ns0:c>
      <ns0:c r="X150" s="956" t="str">
        <ns0:f>IF(COUNTA($A150:$M150)=0,"",IF(OR($U150="Subscription",NOT(ISNUMBER($J150)),NOT(ISNUMBER($I150)),$J150=0,$I150=0,$I150&gt;$J150),"",$J150-$I150))</ns0:f>
      </ns0:c>
      <ns0:c r="Y150" s="955" t="str">
        <ns0:f>IF(COUNTA($A150:$M150)=0,"",IF(OR($U150="Subscription",NOT(ISNUMBER($J150)),$J150=0,$X150=""),"",$X150/$J150))</ns0:f>
      </ns0:c>
      <ns0:c r="Z150" s="957" t="str">
        <ns0:f>IF(COUNTA($A150:$M150)=0,"",Instructions!$B$29+SUM($W$5:W150))</ns0:f>
      </ns0:c>
    </ns0:row>
    <ns0:row r="151" ht="36" customHeight="1">
      <ns0:c r="A151" s="439"/>
      <ns0:c r="B151" s="453"/>
      <ns0:c r="C151" s="453"/>
      <ns0:c r="D151" s="454"/>
      <ns0:c r="E151" s="454"/>
      <ns0:c r="F151" s="454"/>
      <ns0:c r="G151" s="986"/>
      <ns0:c r="H151" s="455"/>
      <ns0:c r="I151" s="456"/>
      <ns0:c r="J151" s="456"/>
      <ns0:c r="K151" s="986"/>
      <ns0:c r="L151" s="454"/>
      <ns0:c r="M151" s="439"/>
      <ns0:c r="N151" s="987" t="str">
        <ns0:f>IF(COUNTA($A151:$M151)=0,"",IF(OR(LEFT(LOWER(TRIM($F151&amp;"")),12)="subscription",LOWER(TRIM($F151&amp;""))="membership"),"",IF(OR(AND($H151&lt;&gt;"",$H151=0),LEFT(LOWER(TRIM($F151&amp;"")),9)="free game",LOWER(TRIM($F151&amp;""))="free",LOWER(TRIM($F151&amp;""))="free entry"),IF(ISNUMBER($G151),IF(ISNUMBER(SEARCH("non",LOWER($E151&amp;""))),$G151*0.85,$G151),"N/A"),IF($G151="","",IFERROR(IF(ISNUMBER(SEARCH("non",LOWER($E151&amp;""))),$G151*0.85,$G151),"")))))</ns0:f>
        <ns0:v/>
      </ns0:c>
      <ns0:c r="O151" s="987" t="str">
        <ns0:f>IF(COUNTA($A151:$M151)=0,"",IF(OR(LEFT(LOWER(TRIM($F151&amp;"")),12)="subscription",LOWER(TRIM($F151&amp;""))="membership"),"",IF(OR(AND($H151&lt;&gt;"",$H151=0),LEFT(LOWER(TRIM($F151&amp;"")),9)="free game",LOWER(TRIM($F151&amp;""))="free",LOWER(TRIM($F151&amp;""))="free entry"),IF(OR(NOT(ISNUMBER($N151)),NOT(ISNUMBER($I151)),$I151=0),"N/A",IFERROR($N151/$I151,"N/A")),IF(OR($N151="",$I151="",$I151=0),"",IFERROR($N151/$I151,"")))))</ns0:f>
        <ns0:v/>
      </ns0:c>
      <ns0:c r="P151" s="987">
        <ns0:f>IF(COUNTA($A151:$M151)=0,"",IF(OR(LEFT(LOWER(TRIM($F151&amp;"")),12)="subscription",LOWER(TRIM($F151&amp;""))="membership"),"",IF(LOWER(TRIM($D151&amp;""))="estimate","N/A",IF(LOWER($L151&amp;"")="yes",0,IF(OR(AND($H151&lt;&gt;"",$H151=0),LEFT(LOWER(TRIM($F151&amp;"")),9)="free game",LOWER(TRIM($F151&amp;""))="free",LOWER(TRIM($F151&amp;""))="free entry"),IF(ISNUMBER($K151),$K151,""),IF($K151&lt;&gt;"",$K151,""))))))</ns0:f>
      </ns0:c>
      <ns0:c r="Q151" s="114">
        <ns0:f>IF(COUNTA($A151:$M151)=0,"",IF(OR($U151="Subscription",$U151=""),"",IF($U151="Estimate","N/A",IF($U151="Profit",ROUND(IFERROR($P151,0)-IFERROR($H151,0),2),0))))</ns0:f>
      </ns0:c>
      <ns0:c r="R151" s="114">
        <ns0:f>IF(COUNTA($A151:$M151)=0,"",IF(OR($U151="Subscription",$U151=""),"",IF($U151="Estimate","N/A",IF($U151="Draw",$H151,0))))</ns0:f>
      </ns0:c>
      <ns0:c r="S151" s="114">
        <ns0:f>IF(COUNTA($A151:$M151)=0,"",IF(OR($U151="Subscription",$U151=""),"",IF($U151="Estimate","N/A",IF($U151="Disqualified",$H151,0))))</ns0:f>
      </ns0:c>
      <ns0:c r="T151" s="955">
        <ns0:f>IF(COUNTA($A151:$M151)=0,"",IF(OR($U151="Subscription",$U151=""),"",IF($U151="Estimate","N/A",IF(OR($U151="Free Game",$U151="Disqualified — Free Game",$H151=0),"N/A",IF($U151="Profit",$Q151/$H151,IF($U151="Disqualified",-$S151/$H151,0))))))</ns0:f>
      </ns0:c>
      <ns0:c r="U151" s="920">
        <ns0:f>IF(COUNTA($A151:$M151)=0,"",IF(OR(LEFT(LOWER(TRIM($F151&amp;"")),12)="subscription",LOWER(TRIM($F151&amp;""))="membership"),"Subscription",IF(LOWER(TRIM($D151&amp;""))="estimate","Estimate",IF(OR(AND($H151&lt;&gt;"",$H151=0),LEFT(LOWER(TRIM($F151&amp;"")),9)="free game",LOWER(TRIM($F151&amp;""))="free",LOWER(TRIM($F151&amp;""))="free entry"),IF(LOWER($L151&amp;"")="yes","Disqualified — Free Game","Free Game"),IF(LOWER($L151&amp;"")="yes","Disqualified",IF($P151="","",IF(ROUND(IFERROR(VALUE($P151),0)-IFERROR(VALUE($H151),0),2)&gt;0,"Profit","Draw")))))))</ns0:f>
      </ns0:c>
      <ns0:c r="V151" s="956" t="str">
        <ns0:f>IF(COUNTA($A151:$M151)=0,"",IF(OR($B151="",$C151="",$U151="Subscription"),"",IFERROR(ROUNDUP(($C151-$B151)/7,0),"")))</ns0:f>
      </ns0:c>
      <ns0:c r="W151" s="114">
        <ns0:f>IF(COUNTA($A151:$M151)=0,"",IF(OR($U151="Subscription",$U151=""),"",IF($U151="Estimate","N/A",IF(OR($U151="Free Game",$U151="Disqualified — Free Game"),0,ROUND(IFERROR($Q151,0)-IFERROR($S151,0),2)))))</ns0:f>
      </ns0:c>
      <ns0:c r="X151" s="956" t="str">
        <ns0:f>IF(COUNTA($A151:$M151)=0,"",IF(OR($U151="Subscription",NOT(ISNUMBER($J151)),NOT(ISNUMBER($I151)),$J151=0,$I151=0,$I151&gt;$J151),"",$J151-$I151))</ns0:f>
      </ns0:c>
      <ns0:c r="Y151" s="955" t="str">
        <ns0:f>IF(COUNTA($A151:$M151)=0,"",IF(OR($U151="Subscription",NOT(ISNUMBER($J151)),$J151=0,$X151=""),"",$X151/$J151))</ns0:f>
      </ns0:c>
      <ns0:c r="Z151" s="957" t="str">
        <ns0:f>IF(COUNTA($A151:$M151)=0,"",Instructions!$B$29+SUM($W$5:W151))</ns0:f>
      </ns0:c>
    </ns0:row>
    <ns0:row r="152" ht="36" customHeight="1">
      <ns0:c r="A152" s="439"/>
      <ns0:c r="B152" s="453"/>
      <ns0:c r="C152" s="453"/>
      <ns0:c r="D152" s="454"/>
      <ns0:c r="E152" s="454"/>
      <ns0:c r="F152" s="454"/>
      <ns0:c r="G152" s="986"/>
      <ns0:c r="H152" s="455"/>
      <ns0:c r="I152" s="456"/>
      <ns0:c r="J152" s="456"/>
      <ns0:c r="K152" s="986"/>
      <ns0:c r="L152" s="454"/>
      <ns0:c r="M152" s="439"/>
      <ns0:c r="N152" s="987" t="str">
        <ns0:f>IF(COUNTA($A152:$M152)=0,"",IF(OR(LEFT(LOWER(TRIM($F152&amp;"")),12)="subscription",LOWER(TRIM($F152&amp;""))="membership"),"",IF(OR(AND($H152&lt;&gt;"",$H152=0),LEFT(LOWER(TRIM($F152&amp;"")),9)="free game",LOWER(TRIM($F152&amp;""))="free",LOWER(TRIM($F152&amp;""))="free entry"),IF(ISNUMBER($G152),IF(ISNUMBER(SEARCH("non",LOWER($E152&amp;""))),$G152*0.85,$G152),"N/A"),IF($G152="","",IFERROR(IF(ISNUMBER(SEARCH("non",LOWER($E152&amp;""))),$G152*0.85,$G152),"")))))</ns0:f>
        <ns0:v/>
      </ns0:c>
      <ns0:c r="O152" s="987" t="str">
        <ns0:f>IF(COUNTA($A152:$M152)=0,"",IF(OR(LEFT(LOWER(TRIM($F152&amp;"")),12)="subscription",LOWER(TRIM($F152&amp;""))="membership"),"",IF(OR(AND($H152&lt;&gt;"",$H152=0),LEFT(LOWER(TRIM($F152&amp;"")),9)="free game",LOWER(TRIM($F152&amp;""))="free",LOWER(TRIM($F152&amp;""))="free entry"),IF(OR(NOT(ISNUMBER($N152)),NOT(ISNUMBER($I152)),$I152=0),"N/A",IFERROR($N152/$I152,"N/A")),IF(OR($N152="",$I152="",$I152=0),"",IFERROR($N152/$I152,"")))))</ns0:f>
        <ns0:v/>
      </ns0:c>
      <ns0:c r="P152" s="987">
        <ns0:f>IF(COUNTA($A152:$M152)=0,"",IF(OR(LEFT(LOWER(TRIM($F152&amp;"")),12)="subscription",LOWER(TRIM($F152&amp;""))="membership"),"",IF(LOWER(TRIM($D152&amp;""))="estimate","N/A",IF(LOWER($L152&amp;"")="yes",0,IF(OR(AND($H152&lt;&gt;"",$H152=0),LEFT(LOWER(TRIM($F152&amp;"")),9)="free game",LOWER(TRIM($F152&amp;""))="free",LOWER(TRIM($F152&amp;""))="free entry"),IF(ISNUMBER($K152),$K152,""),IF($K152&lt;&gt;"",$K152,""))))))</ns0:f>
      </ns0:c>
      <ns0:c r="Q152" s="114">
        <ns0:f>IF(COUNTA($A152:$M152)=0,"",IF(OR($U152="Subscription",$U152=""),"",IF($U152="Estimate","N/A",IF($U152="Profit",ROUND(IFERROR($P152,0)-IFERROR($H152,0),2),0))))</ns0:f>
      </ns0:c>
      <ns0:c r="R152" s="114">
        <ns0:f>IF(COUNTA($A152:$M152)=0,"",IF(OR($U152="Subscription",$U152=""),"",IF($U152="Estimate","N/A",IF($U152="Draw",$H152,0))))</ns0:f>
      </ns0:c>
      <ns0:c r="S152" s="114">
        <ns0:f>IF(COUNTA($A152:$M152)=0,"",IF(OR($U152="Subscription",$U152=""),"",IF($U152="Estimate","N/A",IF($U152="Disqualified",$H152,0))))</ns0:f>
      </ns0:c>
      <ns0:c r="T152" s="955">
        <ns0:f>IF(COUNTA($A152:$M152)=0,"",IF(OR($U152="Subscription",$U152=""),"",IF($U152="Estimate","N/A",IF(OR($U152="Free Game",$U152="Disqualified — Free Game",$H152=0),"N/A",IF($U152="Profit",$Q152/$H152,IF($U152="Disqualified",-$S152/$H152,0))))))</ns0:f>
      </ns0:c>
      <ns0:c r="U152" s="920">
        <ns0:f>IF(COUNTA($A152:$M152)=0,"",IF(OR(LEFT(LOWER(TRIM($F152&amp;"")),12)="subscription",LOWER(TRIM($F152&amp;""))="membership"),"Subscription",IF(LOWER(TRIM($D152&amp;""))="estimate","Estimate",IF(OR(AND($H152&lt;&gt;"",$H152=0),LEFT(LOWER(TRIM($F152&amp;"")),9)="free game",LOWER(TRIM($F152&amp;""))="free",LOWER(TRIM($F152&amp;""))="free entry"),IF(LOWER($L152&amp;"")="yes","Disqualified — Free Game","Free Game"),IF(LOWER($L152&amp;"")="yes","Disqualified",IF($P152="","",IF(ROUND(IFERROR(VALUE($P152),0)-IFERROR(VALUE($H152),0),2)&gt;0,"Profit","Draw")))))))</ns0:f>
      </ns0:c>
      <ns0:c r="V152" s="956" t="str">
        <ns0:f>IF(COUNTA($A152:$M152)=0,"",IF(OR($B152="",$C152="",$U152="Subscription"),"",IFERROR(ROUNDUP(($C152-$B152)/7,0),"")))</ns0:f>
      </ns0:c>
      <ns0:c r="W152" s="114">
        <ns0:f>IF(COUNTA($A152:$M152)=0,"",IF(OR($U152="Subscription",$U152=""),"",IF($U152="Estimate","N/A",IF(OR($U152="Free Game",$U152="Disqualified — Free Game"),0,ROUND(IFERROR($Q152,0)-IFERROR($S152,0),2)))))</ns0:f>
      </ns0:c>
      <ns0:c r="X152" s="956" t="str">
        <ns0:f>IF(COUNTA($A152:$M152)=0,"",IF(OR($U152="Subscription",NOT(ISNUMBER($J152)),NOT(ISNUMBER($I152)),$J152=0,$I152=0,$I152&gt;$J152),"",$J152-$I152))</ns0:f>
      </ns0:c>
      <ns0:c r="Y152" s="955" t="str">
        <ns0:f>IF(COUNTA($A152:$M152)=0,"",IF(OR($U152="Subscription",NOT(ISNUMBER($J152)),$J152=0,$X152=""),"",$X152/$J152))</ns0:f>
      </ns0:c>
      <ns0:c r="Z152" s="957" t="str">
        <ns0:f>IF(COUNTA($A152:$M152)=0,"",Instructions!$B$29+SUM($W$5:W152))</ns0:f>
      </ns0:c>
    </ns0:row>
    <ns0:row r="153" ht="36" customHeight="1">
      <ns0:c r="A153" s="439"/>
      <ns0:c r="B153" s="453"/>
      <ns0:c r="C153" s="453"/>
      <ns0:c r="D153" s="454"/>
      <ns0:c r="E153" s="454"/>
      <ns0:c r="F153" s="454"/>
      <ns0:c r="G153" s="986"/>
      <ns0:c r="H153" s="455"/>
      <ns0:c r="I153" s="456"/>
      <ns0:c r="J153" s="456"/>
      <ns0:c r="K153" s="986"/>
      <ns0:c r="L153" s="454"/>
      <ns0:c r="M153" s="439"/>
      <ns0:c r="N153" s="987" t="str">
        <ns0:f>IF(COUNTA($A153:$M153)=0,"",IF(OR(LEFT(LOWER(TRIM($F153&amp;"")),12)="subscription",LOWER(TRIM($F153&amp;""))="membership"),"",IF(OR(AND($H153&lt;&gt;"",$H153=0),LEFT(LOWER(TRIM($F153&amp;"")),9)="free game",LOWER(TRIM($F153&amp;""))="free",LOWER(TRIM($F153&amp;""))="free entry"),IF(ISNUMBER($G153),IF(ISNUMBER(SEARCH("non",LOWER($E153&amp;""))),$G153*0.85,$G153),"N/A"),IF($G153="","",IFERROR(IF(ISNUMBER(SEARCH("non",LOWER($E153&amp;""))),$G153*0.85,$G153),"")))))</ns0:f>
        <ns0:v/>
      </ns0:c>
      <ns0:c r="O153" s="987" t="str">
        <ns0:f>IF(COUNTA($A153:$M153)=0,"",IF(OR(LEFT(LOWER(TRIM($F153&amp;"")),12)="subscription",LOWER(TRIM($F153&amp;""))="membership"),"",IF(OR(AND($H153&lt;&gt;"",$H153=0),LEFT(LOWER(TRIM($F153&amp;"")),9)="free game",LOWER(TRIM($F153&amp;""))="free",LOWER(TRIM($F153&amp;""))="free entry"),IF(OR(NOT(ISNUMBER($N153)),NOT(ISNUMBER($I153)),$I153=0),"N/A",IFERROR($N153/$I153,"N/A")),IF(OR($N153="",$I153="",$I153=0),"",IFERROR($N153/$I153,"")))))</ns0:f>
        <ns0:v/>
      </ns0:c>
      <ns0:c r="P153" s="987">
        <ns0:f>IF(COUNTA($A153:$M153)=0,"",IF(OR(LEFT(LOWER(TRIM($F153&amp;"")),12)="subscription",LOWER(TRIM($F153&amp;""))="membership"),"",IF(LOWER(TRIM($D153&amp;""))="estimate","N/A",IF(LOWER($L153&amp;"")="yes",0,IF(OR(AND($H153&lt;&gt;"",$H153=0),LEFT(LOWER(TRIM($F153&amp;"")),9)="free game",LOWER(TRIM($F153&amp;""))="free",LOWER(TRIM($F153&amp;""))="free entry"),IF(ISNUMBER($K153),$K153,""),IF($K153&lt;&gt;"",$K153,""))))))</ns0:f>
      </ns0:c>
      <ns0:c r="Q153" s="114">
        <ns0:f>IF(COUNTA($A153:$M153)=0,"",IF(OR($U153="Subscription",$U153=""),"",IF($U153="Estimate","N/A",IF($U153="Profit",ROUND(IFERROR($P153,0)-IFERROR($H153,0),2),0))))</ns0:f>
      </ns0:c>
      <ns0:c r="R153" s="114">
        <ns0:f>IF(COUNTA($A153:$M153)=0,"",IF(OR($U153="Subscription",$U153=""),"",IF($U153="Estimate","N/A",IF($U153="Draw",$H153,0))))</ns0:f>
      </ns0:c>
      <ns0:c r="S153" s="114">
        <ns0:f>IF(COUNTA($A153:$M153)=0,"",IF(OR($U153="Subscription",$U153=""),"",IF($U153="Estimate","N/A",IF($U153="Disqualified",$H153,0))))</ns0:f>
      </ns0:c>
      <ns0:c r="T153" s="955">
        <ns0:f>IF(COUNTA($A153:$M153)=0,"",IF(OR($U153="Subscription",$U153=""),"",IF($U153="Estimate","N/A",IF(OR($U153="Free Game",$U153="Disqualified — Free Game",$H153=0),"N/A",IF($U153="Profit",$Q153/$H153,IF($U153="Disqualified",-$S153/$H153,0))))))</ns0:f>
      </ns0:c>
      <ns0:c r="U153" s="920">
        <ns0:f>IF(COUNTA($A153:$M153)=0,"",IF(OR(LEFT(LOWER(TRIM($F153&amp;"")),12)="subscription",LOWER(TRIM($F153&amp;""))="membership"),"Subscription",IF(LOWER(TRIM($D153&amp;""))="estimate","Estimate",IF(OR(AND($H153&lt;&gt;"",$H153=0),LEFT(LOWER(TRIM($F153&amp;"")),9)="free game",LOWER(TRIM($F153&amp;""))="free",LOWER(TRIM($F153&amp;""))="free entry"),IF(LOWER($L153&amp;"")="yes","Disqualified — Free Game","Free Game"),IF(LOWER($L153&amp;"")="yes","Disqualified",IF($P153="","",IF(ROUND(IFERROR(VALUE($P153),0)-IFERROR(VALUE($H153),0),2)&gt;0,"Profit","Draw")))))))</ns0:f>
      </ns0:c>
      <ns0:c r="V153" s="956" t="str">
        <ns0:f>IF(COUNTA($A153:$M153)=0,"",IF(OR($B153="",$C153="",$U153="Subscription"),"",IFERROR(ROUNDUP(($C153-$B153)/7,0),"")))</ns0:f>
      </ns0:c>
      <ns0:c r="W153" s="114">
        <ns0:f>IF(COUNTA($A153:$M153)=0,"",IF(OR($U153="Subscription",$U153=""),"",IF($U153="Estimate","N/A",IF(OR($U153="Free Game",$U153="Disqualified — Free Game"),0,ROUND(IFERROR($Q153,0)-IFERROR($S153,0),2)))))</ns0:f>
      </ns0:c>
      <ns0:c r="X153" s="956" t="str">
        <ns0:f>IF(COUNTA($A153:$M153)=0,"",IF(OR($U153="Subscription",NOT(ISNUMBER($J153)),NOT(ISNUMBER($I153)),$J153=0,$I153=0,$I153&gt;$J153),"",$J153-$I153))</ns0:f>
      </ns0:c>
      <ns0:c r="Y153" s="955" t="str">
        <ns0:f>IF(COUNTA($A153:$M153)=0,"",IF(OR($U153="Subscription",NOT(ISNUMBER($J153)),$J153=0,$X153=""),"",$X153/$J153))</ns0:f>
      </ns0:c>
      <ns0:c r="Z153" s="957" t="str">
        <ns0:f>IF(COUNTA($A153:$M153)=0,"",Instructions!$B$29+SUM($W$5:W153))</ns0:f>
      </ns0:c>
    </ns0:row>
    <ns0:row r="154" ht="36" customHeight="1">
      <ns0:c r="A154" s="439"/>
      <ns0:c r="B154" s="453"/>
      <ns0:c r="C154" s="453"/>
      <ns0:c r="D154" s="454"/>
      <ns0:c r="E154" s="454"/>
      <ns0:c r="F154" s="454"/>
      <ns0:c r="G154" s="986"/>
      <ns0:c r="H154" s="455"/>
      <ns0:c r="I154" s="456"/>
      <ns0:c r="J154" s="456"/>
      <ns0:c r="K154" s="986"/>
      <ns0:c r="L154" s="454"/>
      <ns0:c r="M154" s="439"/>
      <ns0:c r="N154" s="987" t="str">
        <ns0:f>IF(COUNTA($A154:$M154)=0,"",IF(OR(LEFT(LOWER(TRIM($F154&amp;"")),12)="subscription",LOWER(TRIM($F154&amp;""))="membership"),"",IF(OR(AND($H154&lt;&gt;"",$H154=0),LEFT(LOWER(TRIM($F154&amp;"")),9)="free game",LOWER(TRIM($F154&amp;""))="free",LOWER(TRIM($F154&amp;""))="free entry"),IF(ISNUMBER($G154),IF(ISNUMBER(SEARCH("non",LOWER($E154&amp;""))),$G154*0.85,$G154),"N/A"),IF($G154="","",IFERROR(IF(ISNUMBER(SEARCH("non",LOWER($E154&amp;""))),$G154*0.85,$G154),"")))))</ns0:f>
        <ns0:v/>
      </ns0:c>
      <ns0:c r="O154" s="987" t="str">
        <ns0:f>IF(COUNTA($A154:$M154)=0,"",IF(OR(LEFT(LOWER(TRIM($F154&amp;"")),12)="subscription",LOWER(TRIM($F154&amp;""))="membership"),"",IF(OR(AND($H154&lt;&gt;"",$H154=0),LEFT(LOWER(TRIM($F154&amp;"")),9)="free game",LOWER(TRIM($F154&amp;""))="free",LOWER(TRIM($F154&amp;""))="free entry"),IF(OR(NOT(ISNUMBER($N154)),NOT(ISNUMBER($I154)),$I154=0),"N/A",IFERROR($N154/$I154,"N/A")),IF(OR($N154="",$I154="",$I154=0),"",IFERROR($N154/$I154,"")))))</ns0:f>
        <ns0:v/>
      </ns0:c>
      <ns0:c r="P154" s="987">
        <ns0:f>IF(COUNTA($A154:$M154)=0,"",IF(OR(LEFT(LOWER(TRIM($F154&amp;"")),12)="subscription",LOWER(TRIM($F154&amp;""))="membership"),"",IF(LOWER(TRIM($D154&amp;""))="estimate","N/A",IF(LOWER($L154&amp;"")="yes",0,IF(OR(AND($H154&lt;&gt;"",$H154=0),LEFT(LOWER(TRIM($F154&amp;"")),9)="free game",LOWER(TRIM($F154&amp;""))="free",LOWER(TRIM($F154&amp;""))="free entry"),IF(ISNUMBER($K154),$K154,""),IF($K154&lt;&gt;"",$K154,""))))))</ns0:f>
      </ns0:c>
      <ns0:c r="Q154" s="114">
        <ns0:f>IF(COUNTA($A154:$M154)=0,"",IF(OR($U154="Subscription",$U154=""),"",IF($U154="Estimate","N/A",IF($U154="Profit",ROUND(IFERROR($P154,0)-IFERROR($H154,0),2),0))))</ns0:f>
      </ns0:c>
      <ns0:c r="R154" s="114">
        <ns0:f>IF(COUNTA($A154:$M154)=0,"",IF(OR($U154="Subscription",$U154=""),"",IF($U154="Estimate","N/A",IF($U154="Draw",$H154,0))))</ns0:f>
      </ns0:c>
      <ns0:c r="S154" s="114">
        <ns0:f>IF(COUNTA($A154:$M154)=0,"",IF(OR($U154="Subscription",$U154=""),"",IF($U154="Estimate","N/A",IF($U154="Disqualified",$H154,0))))</ns0:f>
      </ns0:c>
      <ns0:c r="T154" s="955">
        <ns0:f>IF(COUNTA($A154:$M154)=0,"",IF(OR($U154="Subscription",$U154=""),"",IF($U154="Estimate","N/A",IF(OR($U154="Free Game",$U154="Disqualified — Free Game",$H154=0),"N/A",IF($U154="Profit",$Q154/$H154,IF($U154="Disqualified",-$S154/$H154,0))))))</ns0:f>
      </ns0:c>
      <ns0:c r="U154" s="920">
        <ns0:f>IF(COUNTA($A154:$M154)=0,"",IF(OR(LEFT(LOWER(TRIM($F154&amp;"")),12)="subscription",LOWER(TRIM($F154&amp;""))="membership"),"Subscription",IF(LOWER(TRIM($D154&amp;""))="estimate","Estimate",IF(OR(AND($H154&lt;&gt;"",$H154=0),LEFT(LOWER(TRIM($F154&amp;"")),9)="free game",LOWER(TRIM($F154&amp;""))="free",LOWER(TRIM($F154&amp;""))="free entry"),IF(LOWER($L154&amp;"")="yes","Disqualified — Free Game","Free Game"),IF(LOWER($L154&amp;"")="yes","Disqualified",IF($P154="","",IF(ROUND(IFERROR(VALUE($P154),0)-IFERROR(VALUE($H154),0),2)&gt;0,"Profit","Draw")))))))</ns0:f>
      </ns0:c>
      <ns0:c r="V154" s="956" t="str">
        <ns0:f>IF(COUNTA($A154:$M154)=0,"",IF(OR($B154="",$C154="",$U154="Subscription"),"",IFERROR(ROUNDUP(($C154-$B154)/7,0),"")))</ns0:f>
      </ns0:c>
      <ns0:c r="W154" s="114">
        <ns0:f>IF(COUNTA($A154:$M154)=0,"",IF(OR($U154="Subscription",$U154=""),"",IF($U154="Estimate","N/A",IF(OR($U154="Free Game",$U154="Disqualified — Free Game"),0,ROUND(IFERROR($Q154,0)-IFERROR($S154,0),2)))))</ns0:f>
      </ns0:c>
      <ns0:c r="X154" s="956" t="str">
        <ns0:f>IF(COUNTA($A154:$M154)=0,"",IF(OR($U154="Subscription",NOT(ISNUMBER($J154)),NOT(ISNUMBER($I154)),$J154=0,$I154=0,$I154&gt;$J154),"",$J154-$I154))</ns0:f>
      </ns0:c>
      <ns0:c r="Y154" s="955" t="str">
        <ns0:f>IF(COUNTA($A154:$M154)=0,"",IF(OR($U154="Subscription",NOT(ISNUMBER($J154)),$J154=0,$X154=""),"",$X154/$J154))</ns0:f>
      </ns0:c>
      <ns0:c r="Z154" s="957" t="str">
        <ns0:f>IF(COUNTA($A154:$M154)=0,"",Instructions!$B$29+SUM($W$5:W154))</ns0:f>
      </ns0:c>
    </ns0:row>
    <ns0:row r="155" ht="36" customHeight="1">
      <ns0:c r="A155" s="439"/>
      <ns0:c r="B155" s="453"/>
      <ns0:c r="C155" s="453"/>
      <ns0:c r="D155" s="454"/>
      <ns0:c r="E155" s="454"/>
      <ns0:c r="F155" s="454"/>
      <ns0:c r="G155" s="986"/>
      <ns0:c r="H155" s="455"/>
      <ns0:c r="I155" s="456"/>
      <ns0:c r="J155" s="456"/>
      <ns0:c r="K155" s="986"/>
      <ns0:c r="L155" s="454"/>
      <ns0:c r="M155" s="439"/>
      <ns0:c r="N155" s="987" t="str">
        <ns0:f>IF(COUNTA($A155:$M155)=0,"",IF(OR(LEFT(LOWER(TRIM($F155&amp;"")),12)="subscription",LOWER(TRIM($F155&amp;""))="membership"),"",IF(OR(AND($H155&lt;&gt;"",$H155=0),LEFT(LOWER(TRIM($F155&amp;"")),9)="free game",LOWER(TRIM($F155&amp;""))="free",LOWER(TRIM($F155&amp;""))="free entry"),IF(ISNUMBER($G155),IF(ISNUMBER(SEARCH("non",LOWER($E155&amp;""))),$G155*0.85,$G155),"N/A"),IF($G155="","",IFERROR(IF(ISNUMBER(SEARCH("non",LOWER($E155&amp;""))),$G155*0.85,$G155),"")))))</ns0:f>
        <ns0:v/>
      </ns0:c>
      <ns0:c r="O155" s="987" t="str">
        <ns0:f>IF(COUNTA($A155:$M155)=0,"",IF(OR(LEFT(LOWER(TRIM($F155&amp;"")),12)="subscription",LOWER(TRIM($F155&amp;""))="membership"),"",IF(OR(AND($H155&lt;&gt;"",$H155=0),LEFT(LOWER(TRIM($F155&amp;"")),9)="free game",LOWER(TRIM($F155&amp;""))="free",LOWER(TRIM($F155&amp;""))="free entry"),IF(OR(NOT(ISNUMBER($N155)),NOT(ISNUMBER($I155)),$I155=0),"N/A",IFERROR($N155/$I155,"N/A")),IF(OR($N155="",$I155="",$I155=0),"",IFERROR($N155/$I155,"")))))</ns0:f>
        <ns0:v/>
      </ns0:c>
      <ns0:c r="P155" s="987">
        <ns0:f>IF(COUNTA($A155:$M155)=0,"",IF(OR(LEFT(LOWER(TRIM($F155&amp;"")),12)="subscription",LOWER(TRIM($F155&amp;""))="membership"),"",IF(LOWER(TRIM($D155&amp;""))="estimate","N/A",IF(LOWER($L155&amp;"")="yes",0,IF(OR(AND($H155&lt;&gt;"",$H155=0),LEFT(LOWER(TRIM($F155&amp;"")),9)="free game",LOWER(TRIM($F155&amp;""))="free",LOWER(TRIM($F155&amp;""))="free entry"),IF(ISNUMBER($K155),$K155,""),IF($K155&lt;&gt;"",$K155,""))))))</ns0:f>
      </ns0:c>
      <ns0:c r="Q155" s="114">
        <ns0:f>IF(COUNTA($A155:$M155)=0,"",IF(OR($U155="Subscription",$U155=""),"",IF($U155="Estimate","N/A",IF($U155="Profit",ROUND(IFERROR($P155,0)-IFERROR($H155,0),2),0))))</ns0:f>
      </ns0:c>
      <ns0:c r="R155" s="114">
        <ns0:f>IF(COUNTA($A155:$M155)=0,"",IF(OR($U155="Subscription",$U155=""),"",IF($U155="Estimate","N/A",IF($U155="Draw",$H155,0))))</ns0:f>
      </ns0:c>
      <ns0:c r="S155" s="114">
        <ns0:f>IF(COUNTA($A155:$M155)=0,"",IF(OR($U155="Subscription",$U155=""),"",IF($U155="Estimate","N/A",IF($U155="Disqualified",$H155,0))))</ns0:f>
      </ns0:c>
      <ns0:c r="T155" s="955">
        <ns0:f>IF(COUNTA($A155:$M155)=0,"",IF(OR($U155="Subscription",$U155=""),"",IF($U155="Estimate","N/A",IF(OR($U155="Free Game",$U155="Disqualified — Free Game",$H155=0),"N/A",IF($U155="Profit",$Q155/$H155,IF($U155="Disqualified",-$S155/$H155,0))))))</ns0:f>
      </ns0:c>
      <ns0:c r="U155" s="920">
        <ns0:f>IF(COUNTA($A155:$M155)=0,"",IF(OR(LEFT(LOWER(TRIM($F155&amp;"")),12)="subscription",LOWER(TRIM($F155&amp;""))="membership"),"Subscription",IF(LOWER(TRIM($D155&amp;""))="estimate","Estimate",IF(OR(AND($H155&lt;&gt;"",$H155=0),LEFT(LOWER(TRIM($F155&amp;"")),9)="free game",LOWER(TRIM($F155&amp;""))="free",LOWER(TRIM($F155&amp;""))="free entry"),IF(LOWER($L155&amp;"")="yes","Disqualified — Free Game","Free Game"),IF(LOWER($L155&amp;"")="yes","Disqualified",IF($P155="","",IF(ROUND(IFERROR(VALUE($P155),0)-IFERROR(VALUE($H155),0),2)&gt;0,"Profit","Draw")))))))</ns0:f>
      </ns0:c>
      <ns0:c r="V155" s="956" t="str">
        <ns0:f>IF(COUNTA($A155:$M155)=0,"",IF(OR($B155="",$C155="",$U155="Subscription"),"",IFERROR(ROUNDUP(($C155-$B155)/7,0),"")))</ns0:f>
      </ns0:c>
      <ns0:c r="W155" s="114">
        <ns0:f>IF(COUNTA($A155:$M155)=0,"",IF(OR($U155="Subscription",$U155=""),"",IF($U155="Estimate","N/A",IF(OR($U155="Free Game",$U155="Disqualified — Free Game"),0,ROUND(IFERROR($Q155,0)-IFERROR($S155,0),2)))))</ns0:f>
      </ns0:c>
      <ns0:c r="X155" s="956" t="str">
        <ns0:f>IF(COUNTA($A155:$M155)=0,"",IF(OR($U155="Subscription",NOT(ISNUMBER($J155)),NOT(ISNUMBER($I155)),$J155=0,$I155=0,$I155&gt;$J155),"",$J155-$I155))</ns0:f>
      </ns0:c>
      <ns0:c r="Y155" s="955" t="str">
        <ns0:f>IF(COUNTA($A155:$M155)=0,"",IF(OR($U155="Subscription",NOT(ISNUMBER($J155)),$J155=0,$X155=""),"",$X155/$J155))</ns0:f>
      </ns0:c>
      <ns0:c r="Z155" s="957" t="str">
        <ns0:f>IF(COUNTA($A155:$M155)=0,"",Instructions!$B$29+SUM($W$5:W155))</ns0:f>
      </ns0:c>
    </ns0:row>
    <ns0:row r="156" ht="36" customHeight="1">
      <ns0:c r="A156" s="439"/>
      <ns0:c r="B156" s="453"/>
      <ns0:c r="C156" s="453"/>
      <ns0:c r="D156" s="454"/>
      <ns0:c r="E156" s="454"/>
      <ns0:c r="F156" s="454"/>
      <ns0:c r="G156" s="986"/>
      <ns0:c r="H156" s="455"/>
      <ns0:c r="I156" s="456"/>
      <ns0:c r="J156" s="456"/>
      <ns0:c r="K156" s="986"/>
      <ns0:c r="L156" s="454"/>
      <ns0:c r="M156" s="439"/>
      <ns0:c r="N156" s="987" t="str">
        <ns0:f>IF(COUNTA($A156:$M156)=0,"",IF(OR(LEFT(LOWER(TRIM($F156&amp;"")),12)="subscription",LOWER(TRIM($F156&amp;""))="membership"),"",IF(OR(AND($H156&lt;&gt;"",$H156=0),LEFT(LOWER(TRIM($F156&amp;"")),9)="free game",LOWER(TRIM($F156&amp;""))="free",LOWER(TRIM($F156&amp;""))="free entry"),IF(ISNUMBER($G156),IF(ISNUMBER(SEARCH("non",LOWER($E156&amp;""))),$G156*0.85,$G156),"N/A"),IF($G156="","",IFERROR(IF(ISNUMBER(SEARCH("non",LOWER($E156&amp;""))),$G156*0.85,$G156),"")))))</ns0:f>
        <ns0:v/>
      </ns0:c>
      <ns0:c r="O156" s="987" t="str">
        <ns0:f>IF(COUNTA($A156:$M156)=0,"",IF(OR(LEFT(LOWER(TRIM($F156&amp;"")),12)="subscription",LOWER(TRIM($F156&amp;""))="membership"),"",IF(OR(AND($H156&lt;&gt;"",$H156=0),LEFT(LOWER(TRIM($F156&amp;"")),9)="free game",LOWER(TRIM($F156&amp;""))="free",LOWER(TRIM($F156&amp;""))="free entry"),IF(OR(NOT(ISNUMBER($N156)),NOT(ISNUMBER($I156)),$I156=0),"N/A",IFERROR($N156/$I156,"N/A")),IF(OR($N156="",$I156="",$I156=0),"",IFERROR($N156/$I156,"")))))</ns0:f>
        <ns0:v/>
      </ns0:c>
      <ns0:c r="P156" s="987">
        <ns0:f>IF(COUNTA($A156:$M156)=0,"",IF(OR(LEFT(LOWER(TRIM($F156&amp;"")),12)="subscription",LOWER(TRIM($F156&amp;""))="membership"),"",IF(LOWER(TRIM($D156&amp;""))="estimate","N/A",IF(LOWER($L156&amp;"")="yes",0,IF(OR(AND($H156&lt;&gt;"",$H156=0),LEFT(LOWER(TRIM($F156&amp;"")),9)="free game",LOWER(TRIM($F156&amp;""))="free",LOWER(TRIM($F156&amp;""))="free entry"),IF(ISNUMBER($K156),$K156,""),IF($K156&lt;&gt;"",$K156,""))))))</ns0:f>
      </ns0:c>
      <ns0:c r="Q156" s="114">
        <ns0:f>IF(COUNTA($A156:$M156)=0,"",IF(OR($U156="Subscription",$U156=""),"",IF($U156="Estimate","N/A",IF($U156="Profit",ROUND(IFERROR($P156,0)-IFERROR($H156,0),2),0))))</ns0:f>
      </ns0:c>
      <ns0:c r="R156" s="114">
        <ns0:f>IF(COUNTA($A156:$M156)=0,"",IF(OR($U156="Subscription",$U156=""),"",IF($U156="Estimate","N/A",IF($U156="Draw",$H156,0))))</ns0:f>
      </ns0:c>
      <ns0:c r="S156" s="114">
        <ns0:f>IF(COUNTA($A156:$M156)=0,"",IF(OR($U156="Subscription",$U156=""),"",IF($U156="Estimate","N/A",IF($U156="Disqualified",$H156,0))))</ns0:f>
      </ns0:c>
      <ns0:c r="T156" s="955">
        <ns0:f>IF(COUNTA($A156:$M156)=0,"",IF(OR($U156="Subscription",$U156=""),"",IF($U156="Estimate","N/A",IF(OR($U156="Free Game",$U156="Disqualified — Free Game",$H156=0),"N/A",IF($U156="Profit",$Q156/$H156,IF($U156="Disqualified",-$S156/$H156,0))))))</ns0:f>
      </ns0:c>
      <ns0:c r="U156" s="920">
        <ns0:f>IF(COUNTA($A156:$M156)=0,"",IF(OR(LEFT(LOWER(TRIM($F156&amp;"")),12)="subscription",LOWER(TRIM($F156&amp;""))="membership"),"Subscription",IF(LOWER(TRIM($D156&amp;""))="estimate","Estimate",IF(OR(AND($H156&lt;&gt;"",$H156=0),LEFT(LOWER(TRIM($F156&amp;"")),9)="free game",LOWER(TRIM($F156&amp;""))="free",LOWER(TRIM($F156&amp;""))="free entry"),IF(LOWER($L156&amp;"")="yes","Disqualified — Free Game","Free Game"),IF(LOWER($L156&amp;"")="yes","Disqualified",IF($P156="","",IF(ROUND(IFERROR(VALUE($P156),0)-IFERROR(VALUE($H156),0),2)&gt;0,"Profit","Draw")))))))</ns0:f>
      </ns0:c>
      <ns0:c r="V156" s="956" t="str">
        <ns0:f>IF(COUNTA($A156:$M156)=0,"",IF(OR($B156="",$C156="",$U156="Subscription"),"",IFERROR(ROUNDUP(($C156-$B156)/7,0),"")))</ns0:f>
      </ns0:c>
      <ns0:c r="W156" s="114">
        <ns0:f>IF(COUNTA($A156:$M156)=0,"",IF(OR($U156="Subscription",$U156=""),"",IF($U156="Estimate","N/A",IF(OR($U156="Free Game",$U156="Disqualified — Free Game"),0,ROUND(IFERROR($Q156,0)-IFERROR($S156,0),2)))))</ns0:f>
      </ns0:c>
      <ns0:c r="X156" s="956" t="str">
        <ns0:f>IF(COUNTA($A156:$M156)=0,"",IF(OR($U156="Subscription",NOT(ISNUMBER($J156)),NOT(ISNUMBER($I156)),$J156=0,$I156=0,$I156&gt;$J156),"",$J156-$I156))</ns0:f>
      </ns0:c>
      <ns0:c r="Y156" s="955" t="str">
        <ns0:f>IF(COUNTA($A156:$M156)=0,"",IF(OR($U156="Subscription",NOT(ISNUMBER($J156)),$J156=0,$X156=""),"",$X156/$J156))</ns0:f>
      </ns0:c>
      <ns0:c r="Z156" s="957" t="str">
        <ns0:f>IF(COUNTA($A156:$M156)=0,"",Instructions!$B$29+SUM($W$5:W156))</ns0:f>
      </ns0:c>
    </ns0:row>
    <ns0:row r="157" ht="36" customHeight="1">
      <ns0:c r="A157" s="439"/>
      <ns0:c r="B157" s="453"/>
      <ns0:c r="C157" s="453"/>
      <ns0:c r="D157" s="454"/>
      <ns0:c r="E157" s="454"/>
      <ns0:c r="F157" s="454"/>
      <ns0:c r="G157" s="986"/>
      <ns0:c r="H157" s="455"/>
      <ns0:c r="I157" s="456"/>
      <ns0:c r="J157" s="456"/>
      <ns0:c r="K157" s="986"/>
      <ns0:c r="L157" s="454"/>
      <ns0:c r="M157" s="439"/>
      <ns0:c r="N157" s="987" t="str">
        <ns0:f>IF(COUNTA($A157:$M157)=0,"",IF(OR(LEFT(LOWER(TRIM($F157&amp;"")),12)="subscription",LOWER(TRIM($F157&amp;""))="membership"),"",IF(OR(AND($H157&lt;&gt;"",$H157=0),LEFT(LOWER(TRIM($F157&amp;"")),9)="free game",LOWER(TRIM($F157&amp;""))="free",LOWER(TRIM($F157&amp;""))="free entry"),IF(ISNUMBER($G157),IF(ISNUMBER(SEARCH("non",LOWER($E157&amp;""))),$G157*0.85,$G157),"N/A"),IF($G157="","",IFERROR(IF(ISNUMBER(SEARCH("non",LOWER($E157&amp;""))),$G157*0.85,$G157),"")))))</ns0:f>
        <ns0:v/>
      </ns0:c>
      <ns0:c r="O157" s="987" t="str">
        <ns0:f>IF(COUNTA($A157:$M157)=0,"",IF(OR(LEFT(LOWER(TRIM($F157&amp;"")),12)="subscription",LOWER(TRIM($F157&amp;""))="membership"),"",IF(OR(AND($H157&lt;&gt;"",$H157=0),LEFT(LOWER(TRIM($F157&amp;"")),9)="free game",LOWER(TRIM($F157&amp;""))="free",LOWER(TRIM($F157&amp;""))="free entry"),IF(OR(NOT(ISNUMBER($N157)),NOT(ISNUMBER($I157)),$I157=0),"N/A",IFERROR($N157/$I157,"N/A")),IF(OR($N157="",$I157="",$I157=0),"",IFERROR($N157/$I157,"")))))</ns0:f>
        <ns0:v/>
      </ns0:c>
      <ns0:c r="P157" s="987">
        <ns0:f>IF(COUNTA($A157:$M157)=0,"",IF(OR(LEFT(LOWER(TRIM($F157&amp;"")),12)="subscription",LOWER(TRIM($F157&amp;""))="membership"),"",IF(LOWER(TRIM($D157&amp;""))="estimate","N/A",IF(LOWER($L157&amp;"")="yes",0,IF(OR(AND($H157&lt;&gt;"",$H157=0),LEFT(LOWER(TRIM($F157&amp;"")),9)="free game",LOWER(TRIM($F157&amp;""))="free",LOWER(TRIM($F157&amp;""))="free entry"),IF(ISNUMBER($K157),$K157,""),IF($K157&lt;&gt;"",$K157,""))))))</ns0:f>
      </ns0:c>
      <ns0:c r="Q157" s="114">
        <ns0:f>IF(COUNTA($A157:$M157)=0,"",IF(OR($U157="Subscription",$U157=""),"",IF($U157="Estimate","N/A",IF($U157="Profit",ROUND(IFERROR($P157,0)-IFERROR($H157,0),2),0))))</ns0:f>
      </ns0:c>
      <ns0:c r="R157" s="114">
        <ns0:f>IF(COUNTA($A157:$M157)=0,"",IF(OR($U157="Subscription",$U157=""),"",IF($U157="Estimate","N/A",IF($U157="Draw",$H157,0))))</ns0:f>
      </ns0:c>
      <ns0:c r="S157" s="114">
        <ns0:f>IF(COUNTA($A157:$M157)=0,"",IF(OR($U157="Subscription",$U157=""),"",IF($U157="Estimate","N/A",IF($U157="Disqualified",$H157,0))))</ns0:f>
      </ns0:c>
      <ns0:c r="T157" s="955">
        <ns0:f>IF(COUNTA($A157:$M157)=0,"",IF(OR($U157="Subscription",$U157=""),"",IF($U157="Estimate","N/A",IF(OR($U157="Free Game",$U157="Disqualified — Free Game",$H157=0),"N/A",IF($U157="Profit",$Q157/$H157,IF($U157="Disqualified",-$S157/$H157,0))))))</ns0:f>
      </ns0:c>
      <ns0:c r="U157" s="920">
        <ns0:f>IF(COUNTA($A157:$M157)=0,"",IF(OR(LEFT(LOWER(TRIM($F157&amp;"")),12)="subscription",LOWER(TRIM($F157&amp;""))="membership"),"Subscription",IF(LOWER(TRIM($D157&amp;""))="estimate","Estimate",IF(OR(AND($H157&lt;&gt;"",$H157=0),LEFT(LOWER(TRIM($F157&amp;"")),9)="free game",LOWER(TRIM($F157&amp;""))="free",LOWER(TRIM($F157&amp;""))="free entry"),IF(LOWER($L157&amp;"")="yes","Disqualified — Free Game","Free Game"),IF(LOWER($L157&amp;"")="yes","Disqualified",IF($P157="","",IF(ROUND(IFERROR(VALUE($P157),0)-IFERROR(VALUE($H157),0),2)&gt;0,"Profit","Draw")))))))</ns0:f>
      </ns0:c>
      <ns0:c r="V157" s="956" t="str">
        <ns0:f>IF(COUNTA($A157:$M157)=0,"",IF(OR($B157="",$C157="",$U157="Subscription"),"",IFERROR(ROUNDUP(($C157-$B157)/7,0),"")))</ns0:f>
      </ns0:c>
      <ns0:c r="W157" s="114">
        <ns0:f>IF(COUNTA($A157:$M157)=0,"",IF(OR($U157="Subscription",$U157=""),"",IF($U157="Estimate","N/A",IF(OR($U157="Free Game",$U157="Disqualified — Free Game"),0,ROUND(IFERROR($Q157,0)-IFERROR($S157,0),2)))))</ns0:f>
      </ns0:c>
      <ns0:c r="X157" s="956" t="str">
        <ns0:f>IF(COUNTA($A157:$M157)=0,"",IF(OR($U157="Subscription",NOT(ISNUMBER($J157)),NOT(ISNUMBER($I157)),$J157=0,$I157=0,$I157&gt;$J157),"",$J157-$I157))</ns0:f>
      </ns0:c>
      <ns0:c r="Y157" s="955" t="str">
        <ns0:f>IF(COUNTA($A157:$M157)=0,"",IF(OR($U157="Subscription",NOT(ISNUMBER($J157)),$J157=0,$X157=""),"",$X157/$J157))</ns0:f>
      </ns0:c>
      <ns0:c r="Z157" s="957" t="str">
        <ns0:f>IF(COUNTA($A157:$M157)=0,"",Instructions!$B$29+SUM($W$5:W157))</ns0:f>
      </ns0:c>
    </ns0:row>
    <ns0:row r="158" ht="36" customHeight="1">
      <ns0:c r="A158" s="439"/>
      <ns0:c r="B158" s="453"/>
      <ns0:c r="C158" s="453"/>
      <ns0:c r="D158" s="454"/>
      <ns0:c r="E158" s="454"/>
      <ns0:c r="F158" s="454"/>
      <ns0:c r="G158" s="986"/>
      <ns0:c r="H158" s="455"/>
      <ns0:c r="I158" s="456"/>
      <ns0:c r="J158" s="456"/>
      <ns0:c r="K158" s="986"/>
      <ns0:c r="L158" s="454"/>
      <ns0:c r="M158" s="439"/>
      <ns0:c r="N158" s="987" t="str">
        <ns0:f>IF(COUNTA($A158:$M158)=0,"",IF(OR(LEFT(LOWER(TRIM($F158&amp;"")),12)="subscription",LOWER(TRIM($F158&amp;""))="membership"),"",IF(OR(AND($H158&lt;&gt;"",$H158=0),LEFT(LOWER(TRIM($F158&amp;"")),9)="free game",LOWER(TRIM($F158&amp;""))="free",LOWER(TRIM($F158&amp;""))="free entry"),IF(ISNUMBER($G158),IF(ISNUMBER(SEARCH("non",LOWER($E158&amp;""))),$G158*0.85,$G158),"N/A"),IF($G158="","",IFERROR(IF(ISNUMBER(SEARCH("non",LOWER($E158&amp;""))),$G158*0.85,$G158),"")))))</ns0:f>
        <ns0:v/>
      </ns0:c>
      <ns0:c r="O158" s="987" t="str">
        <ns0:f>IF(COUNTA($A158:$M158)=0,"",IF(OR(LEFT(LOWER(TRIM($F158&amp;"")),12)="subscription",LOWER(TRIM($F158&amp;""))="membership"),"",IF(OR(AND($H158&lt;&gt;"",$H158=0),LEFT(LOWER(TRIM($F158&amp;"")),9)="free game",LOWER(TRIM($F158&amp;""))="free",LOWER(TRIM($F158&amp;""))="free entry"),IF(OR(NOT(ISNUMBER($N158)),NOT(ISNUMBER($I158)),$I158=0),"N/A",IFERROR($N158/$I158,"N/A")),IF(OR($N158="",$I158="",$I158=0),"",IFERROR($N158/$I158,"")))))</ns0:f>
        <ns0:v/>
      </ns0:c>
      <ns0:c r="P158" s="987">
        <ns0:f>IF(COUNTA($A158:$M158)=0,"",IF(OR(LEFT(LOWER(TRIM($F158&amp;"")),12)="subscription",LOWER(TRIM($F158&amp;""))="membership"),"",IF(LOWER(TRIM($D158&amp;""))="estimate","N/A",IF(LOWER($L158&amp;"")="yes",0,IF(OR(AND($H158&lt;&gt;"",$H158=0),LEFT(LOWER(TRIM($F158&amp;"")),9)="free game",LOWER(TRIM($F158&amp;""))="free",LOWER(TRIM($F158&amp;""))="free entry"),IF(ISNUMBER($K158),$K158,""),IF($K158&lt;&gt;"",$K158,""))))))</ns0:f>
      </ns0:c>
      <ns0:c r="Q158" s="114">
        <ns0:f>IF(COUNTA($A158:$M158)=0,"",IF(OR($U158="Subscription",$U158=""),"",IF($U158="Estimate","N/A",IF($U158="Profit",ROUND(IFERROR($P158,0)-IFERROR($H158,0),2),0))))</ns0:f>
      </ns0:c>
      <ns0:c r="R158" s="114">
        <ns0:f>IF(COUNTA($A158:$M158)=0,"",IF(OR($U158="Subscription",$U158=""),"",IF($U158="Estimate","N/A",IF($U158="Draw",$H158,0))))</ns0:f>
      </ns0:c>
      <ns0:c r="S158" s="114">
        <ns0:f>IF(COUNTA($A158:$M158)=0,"",IF(OR($U158="Subscription",$U158=""),"",IF($U158="Estimate","N/A",IF($U158="Disqualified",$H158,0))))</ns0:f>
      </ns0:c>
      <ns0:c r="T158" s="955">
        <ns0:f>IF(COUNTA($A158:$M158)=0,"",IF(OR($U158="Subscription",$U158=""),"",IF($U158="Estimate","N/A",IF(OR($U158="Free Game",$U158="Disqualified — Free Game",$H158=0),"N/A",IF($U158="Profit",$Q158/$H158,IF($U158="Disqualified",-$S158/$H158,0))))))</ns0:f>
      </ns0:c>
      <ns0:c r="U158" s="920">
        <ns0:f>IF(COUNTA($A158:$M158)=0,"",IF(OR(LEFT(LOWER(TRIM($F158&amp;"")),12)="subscription",LOWER(TRIM($F158&amp;""))="membership"),"Subscription",IF(LOWER(TRIM($D158&amp;""))="estimate","Estimate",IF(OR(AND($H158&lt;&gt;"",$H158=0),LEFT(LOWER(TRIM($F158&amp;"")),9)="free game",LOWER(TRIM($F158&amp;""))="free",LOWER(TRIM($F158&amp;""))="free entry"),IF(LOWER($L158&amp;"")="yes","Disqualified — Free Game","Free Game"),IF(LOWER($L158&amp;"")="yes","Disqualified",IF($P158="","",IF(ROUND(IFERROR(VALUE($P158),0)-IFERROR(VALUE($H158),0),2)&gt;0,"Profit","Draw")))))))</ns0:f>
      </ns0:c>
      <ns0:c r="V158" s="956" t="str">
        <ns0:f>IF(COUNTA($A158:$M158)=0,"",IF(OR($B158="",$C158="",$U158="Subscription"),"",IFERROR(ROUNDUP(($C158-$B158)/7,0),"")))</ns0:f>
      </ns0:c>
      <ns0:c r="W158" s="114">
        <ns0:f>IF(COUNTA($A158:$M158)=0,"",IF(OR($U158="Subscription",$U158=""),"",IF($U158="Estimate","N/A",IF(OR($U158="Free Game",$U158="Disqualified — Free Game"),0,ROUND(IFERROR($Q158,0)-IFERROR($S158,0),2)))))</ns0:f>
      </ns0:c>
      <ns0:c r="X158" s="956" t="str">
        <ns0:f>IF(COUNTA($A158:$M158)=0,"",IF(OR($U158="Subscription",NOT(ISNUMBER($J158)),NOT(ISNUMBER($I158)),$J158=0,$I158=0,$I158&gt;$J158),"",$J158-$I158))</ns0:f>
      </ns0:c>
      <ns0:c r="Y158" s="955" t="str">
        <ns0:f>IF(COUNTA($A158:$M158)=0,"",IF(OR($U158="Subscription",NOT(ISNUMBER($J158)),$J158=0,$X158=""),"",$X158/$J158))</ns0:f>
      </ns0:c>
      <ns0:c r="Z158" s="957" t="str">
        <ns0:f>IF(COUNTA($A158:$M158)=0,"",Instructions!$B$29+SUM($W$5:W158))</ns0:f>
      </ns0:c>
    </ns0:row>
    <ns0:row r="159" ht="36" customHeight="1">
      <ns0:c r="A159" s="439"/>
      <ns0:c r="B159" s="453"/>
      <ns0:c r="C159" s="453"/>
      <ns0:c r="D159" s="454"/>
      <ns0:c r="E159" s="454"/>
      <ns0:c r="F159" s="454"/>
      <ns0:c r="G159" s="986"/>
      <ns0:c r="H159" s="455"/>
      <ns0:c r="I159" s="456"/>
      <ns0:c r="J159" s="456"/>
      <ns0:c r="K159" s="986"/>
      <ns0:c r="L159" s="454"/>
      <ns0:c r="M159" s="439"/>
      <ns0:c r="N159" s="987" t="str">
        <ns0:f>IF(COUNTA($A159:$M159)=0,"",IF(OR(LEFT(LOWER(TRIM($F159&amp;"")),12)="subscription",LOWER(TRIM($F159&amp;""))="membership"),"",IF(OR(AND($H159&lt;&gt;"",$H159=0),LEFT(LOWER(TRIM($F159&amp;"")),9)="free game",LOWER(TRIM($F159&amp;""))="free",LOWER(TRIM($F159&amp;""))="free entry"),IF(ISNUMBER($G159),IF(ISNUMBER(SEARCH("non",LOWER($E159&amp;""))),$G159*0.85,$G159),"N/A"),IF($G159="","",IFERROR(IF(ISNUMBER(SEARCH("non",LOWER($E159&amp;""))),$G159*0.85,$G159),"")))))</ns0:f>
        <ns0:v/>
      </ns0:c>
      <ns0:c r="O159" s="987" t="str">
        <ns0:f>IF(COUNTA($A159:$M159)=0,"",IF(OR(LEFT(LOWER(TRIM($F159&amp;"")),12)="subscription",LOWER(TRIM($F159&amp;""))="membership"),"",IF(OR(AND($H159&lt;&gt;"",$H159=0),LEFT(LOWER(TRIM($F159&amp;"")),9)="free game",LOWER(TRIM($F159&amp;""))="free",LOWER(TRIM($F159&amp;""))="free entry"),IF(OR(NOT(ISNUMBER($N159)),NOT(ISNUMBER($I159)),$I159=0),"N/A",IFERROR($N159/$I159,"N/A")),IF(OR($N159="",$I159="",$I159=0),"",IFERROR($N159/$I159,"")))))</ns0:f>
        <ns0:v/>
      </ns0:c>
      <ns0:c r="P159" s="987">
        <ns0:f>IF(COUNTA($A159:$M159)=0,"",IF(OR(LEFT(LOWER(TRIM($F159&amp;"")),12)="subscription",LOWER(TRIM($F159&amp;""))="membership"),"",IF(LOWER(TRIM($D159&amp;""))="estimate","N/A",IF(LOWER($L159&amp;"")="yes",0,IF(OR(AND($H159&lt;&gt;"",$H159=0),LEFT(LOWER(TRIM($F159&amp;"")),9)="free game",LOWER(TRIM($F159&amp;""))="free",LOWER(TRIM($F159&amp;""))="free entry"),IF(ISNUMBER($K159),$K159,""),IF($K159&lt;&gt;"",$K159,""))))))</ns0:f>
      </ns0:c>
      <ns0:c r="Q159" s="114">
        <ns0:f>IF(COUNTA($A159:$M159)=0,"",IF(OR($U159="Subscription",$U159=""),"",IF($U159="Estimate","N/A",IF($U159="Profit",ROUND(IFERROR($P159,0)-IFERROR($H159,0),2),0))))</ns0:f>
      </ns0:c>
      <ns0:c r="R159" s="114">
        <ns0:f>IF(COUNTA($A159:$M159)=0,"",IF(OR($U159="Subscription",$U159=""),"",IF($U159="Estimate","N/A",IF($U159="Draw",$H159,0))))</ns0:f>
      </ns0:c>
      <ns0:c r="S159" s="114">
        <ns0:f>IF(COUNTA($A159:$M159)=0,"",IF(OR($U159="Subscription",$U159=""),"",IF($U159="Estimate","N/A",IF($U159="Disqualified",$H159,0))))</ns0:f>
      </ns0:c>
      <ns0:c r="T159" s="955">
        <ns0:f>IF(COUNTA($A159:$M159)=0,"",IF(OR($U159="Subscription",$U159=""),"",IF($U159="Estimate","N/A",IF(OR($U159="Free Game",$U159="Disqualified — Free Game",$H159=0),"N/A",IF($U159="Profit",$Q159/$H159,IF($U159="Disqualified",-$S159/$H159,0))))))</ns0:f>
      </ns0:c>
      <ns0:c r="U159" s="920">
        <ns0:f>IF(COUNTA($A159:$M159)=0,"",IF(OR(LEFT(LOWER(TRIM($F159&amp;"")),12)="subscription",LOWER(TRIM($F159&amp;""))="membership"),"Subscription",IF(LOWER(TRIM($D159&amp;""))="estimate","Estimate",IF(OR(AND($H159&lt;&gt;"",$H159=0),LEFT(LOWER(TRIM($F159&amp;"")),9)="free game",LOWER(TRIM($F159&amp;""))="free",LOWER(TRIM($F159&amp;""))="free entry"),IF(LOWER($L159&amp;"")="yes","Disqualified — Free Game","Free Game"),IF(LOWER($L159&amp;"")="yes","Disqualified",IF($P159="","",IF(ROUND(IFERROR(VALUE($P159),0)-IFERROR(VALUE($H159),0),2)&gt;0,"Profit","Draw")))))))</ns0:f>
      </ns0:c>
      <ns0:c r="V159" s="956" t="str">
        <ns0:f>IF(COUNTA($A159:$M159)=0,"",IF(OR($B159="",$C159="",$U159="Subscription"),"",IFERROR(ROUNDUP(($C159-$B159)/7,0),"")))</ns0:f>
      </ns0:c>
      <ns0:c r="W159" s="114">
        <ns0:f>IF(COUNTA($A159:$M159)=0,"",IF(OR($U159="Subscription",$U159=""),"",IF($U159="Estimate","N/A",IF(OR($U159="Free Game",$U159="Disqualified — Free Game"),0,ROUND(IFERROR($Q159,0)-IFERROR($S159,0),2)))))</ns0:f>
      </ns0:c>
      <ns0:c r="X159" s="956" t="str">
        <ns0:f>IF(COUNTA($A159:$M159)=0,"",IF(OR($U159="Subscription",NOT(ISNUMBER($J159)),NOT(ISNUMBER($I159)),$J159=0,$I159=0,$I159&gt;$J159),"",$J159-$I159))</ns0:f>
      </ns0:c>
      <ns0:c r="Y159" s="955" t="str">
        <ns0:f>IF(COUNTA($A159:$M159)=0,"",IF(OR($U159="Subscription",NOT(ISNUMBER($J159)),$J159=0,$X159=""),"",$X159/$J159))</ns0:f>
      </ns0:c>
      <ns0:c r="Z159" s="957" t="str">
        <ns0:f>IF(COUNTA($A159:$M159)=0,"",Instructions!$B$29+SUM($W$5:W159))</ns0:f>
      </ns0:c>
    </ns0:row>
    <ns0:row r="160" ht="36" customHeight="1">
      <ns0:c r="A160" s="439"/>
      <ns0:c r="B160" s="453"/>
      <ns0:c r="C160" s="453"/>
      <ns0:c r="D160" s="454"/>
      <ns0:c r="E160" s="454"/>
      <ns0:c r="F160" s="454"/>
      <ns0:c r="G160" s="986"/>
      <ns0:c r="H160" s="455"/>
      <ns0:c r="I160" s="456"/>
      <ns0:c r="J160" s="456"/>
      <ns0:c r="K160" s="986"/>
      <ns0:c r="L160" s="454"/>
      <ns0:c r="M160" s="439"/>
      <ns0:c r="N160" s="987" t="str">
        <ns0:f>IF(COUNTA($A160:$M160)=0,"",IF(OR(LEFT(LOWER(TRIM($F160&amp;"")),12)="subscription",LOWER(TRIM($F160&amp;""))="membership"),"",IF(OR(AND($H160&lt;&gt;"",$H160=0),LEFT(LOWER(TRIM($F160&amp;"")),9)="free game",LOWER(TRIM($F160&amp;""))="free",LOWER(TRIM($F160&amp;""))="free entry"),IF(ISNUMBER($G160),IF(ISNUMBER(SEARCH("non",LOWER($E160&amp;""))),$G160*0.85,$G160),"N/A"),IF($G160="","",IFERROR(IF(ISNUMBER(SEARCH("non",LOWER($E160&amp;""))),$G160*0.85,$G160),"")))))</ns0:f>
        <ns0:v/>
      </ns0:c>
      <ns0:c r="O160" s="987" t="str">
        <ns0:f>IF(COUNTA($A160:$M160)=0,"",IF(OR(LEFT(LOWER(TRIM($F160&amp;"")),12)="subscription",LOWER(TRIM($F160&amp;""))="membership"),"",IF(OR(AND($H160&lt;&gt;"",$H160=0),LEFT(LOWER(TRIM($F160&amp;"")),9)="free game",LOWER(TRIM($F160&amp;""))="free",LOWER(TRIM($F160&amp;""))="free entry"),IF(OR(NOT(ISNUMBER($N160)),NOT(ISNUMBER($I160)),$I160=0),"N/A",IFERROR($N160/$I160,"N/A")),IF(OR($N160="",$I160="",$I160=0),"",IFERROR($N160/$I160,"")))))</ns0:f>
        <ns0:v/>
      </ns0:c>
      <ns0:c r="P160" s="987">
        <ns0:f>IF(COUNTA($A160:$M160)=0,"",IF(OR(LEFT(LOWER(TRIM($F160&amp;"")),12)="subscription",LOWER(TRIM($F160&amp;""))="membership"),"",IF(LOWER(TRIM($D160&amp;""))="estimate","N/A",IF(LOWER($L160&amp;"")="yes",0,IF(OR(AND($H160&lt;&gt;"",$H160=0),LEFT(LOWER(TRIM($F160&amp;"")),9)="free game",LOWER(TRIM($F160&amp;""))="free",LOWER(TRIM($F160&amp;""))="free entry"),IF(ISNUMBER($K160),$K160,""),IF($K160&lt;&gt;"",$K160,""))))))</ns0:f>
      </ns0:c>
      <ns0:c r="Q160" s="114">
        <ns0:f>IF(COUNTA($A160:$M160)=0,"",IF(OR($U160="Subscription",$U160=""),"",IF($U160="Estimate","N/A",IF($U160="Profit",ROUND(IFERROR($P160,0)-IFERROR($H160,0),2),0))))</ns0:f>
      </ns0:c>
      <ns0:c r="R160" s="114">
        <ns0:f>IF(COUNTA($A160:$M160)=0,"",IF(OR($U160="Subscription",$U160=""),"",IF($U160="Estimate","N/A",IF($U160="Draw",$H160,0))))</ns0:f>
      </ns0:c>
      <ns0:c r="S160" s="114">
        <ns0:f>IF(COUNTA($A160:$M160)=0,"",IF(OR($U160="Subscription",$U160=""),"",IF($U160="Estimate","N/A",IF($U160="Disqualified",$H160,0))))</ns0:f>
      </ns0:c>
      <ns0:c r="T160" s="955">
        <ns0:f>IF(COUNTA($A160:$M160)=0,"",IF(OR($U160="Subscription",$U160=""),"",IF($U160="Estimate","N/A",IF(OR($U160="Free Game",$U160="Disqualified — Free Game",$H160=0),"N/A",IF($U160="Profit",$Q160/$H160,IF($U160="Disqualified",-$S160/$H160,0))))))</ns0:f>
      </ns0:c>
      <ns0:c r="U160" s="920">
        <ns0:f>IF(COUNTA($A160:$M160)=0,"",IF(OR(LEFT(LOWER(TRIM($F160&amp;"")),12)="subscription",LOWER(TRIM($F160&amp;""))="membership"),"Subscription",IF(LOWER(TRIM($D160&amp;""))="estimate","Estimate",IF(OR(AND($H160&lt;&gt;"",$H160=0),LEFT(LOWER(TRIM($F160&amp;"")),9)="free game",LOWER(TRIM($F160&amp;""))="free",LOWER(TRIM($F160&amp;""))="free entry"),IF(LOWER($L160&amp;"")="yes","Disqualified — Free Game","Free Game"),IF(LOWER($L160&amp;"")="yes","Disqualified",IF($P160="","",IF(ROUND(IFERROR(VALUE($P160),0)-IFERROR(VALUE($H160),0),2)&gt;0,"Profit","Draw")))))))</ns0:f>
      </ns0:c>
      <ns0:c r="V160" s="956" t="str">
        <ns0:f>IF(COUNTA($A160:$M160)=0,"",IF(OR($B160="",$C160="",$U160="Subscription"),"",IFERROR(ROUNDUP(($C160-$B160)/7,0),"")))</ns0:f>
      </ns0:c>
      <ns0:c r="W160" s="114">
        <ns0:f>IF(COUNTA($A160:$M160)=0,"",IF(OR($U160="Subscription",$U160=""),"",IF($U160="Estimate","N/A",IF(OR($U160="Free Game",$U160="Disqualified — Free Game"),0,ROUND(IFERROR($Q160,0)-IFERROR($S160,0),2)))))</ns0:f>
      </ns0:c>
      <ns0:c r="X160" s="956" t="str">
        <ns0:f>IF(COUNTA($A160:$M160)=0,"",IF(OR($U160="Subscription",NOT(ISNUMBER($J160)),NOT(ISNUMBER($I160)),$J160=0,$I160=0,$I160&gt;$J160),"",$J160-$I160))</ns0:f>
      </ns0:c>
      <ns0:c r="Y160" s="955" t="str">
        <ns0:f>IF(COUNTA($A160:$M160)=0,"",IF(OR($U160="Subscription",NOT(ISNUMBER($J160)),$J160=0,$X160=""),"",$X160/$J160))</ns0:f>
      </ns0:c>
      <ns0:c r="Z160" s="957" t="str">
        <ns0:f>IF(COUNTA($A160:$M160)=0,"",Instructions!$B$29+SUM($W$5:W160))</ns0:f>
      </ns0:c>
    </ns0:row>
    <ns0:row r="161" ht="36" customHeight="1">
      <ns0:c r="A161" s="439"/>
      <ns0:c r="B161" s="453"/>
      <ns0:c r="C161" s="453"/>
      <ns0:c r="D161" s="454"/>
      <ns0:c r="E161" s="454"/>
      <ns0:c r="F161" s="454"/>
      <ns0:c r="G161" s="986"/>
      <ns0:c r="H161" s="455"/>
      <ns0:c r="I161" s="456"/>
      <ns0:c r="J161" s="456"/>
      <ns0:c r="K161" s="986"/>
      <ns0:c r="L161" s="454"/>
      <ns0:c r="M161" s="439"/>
      <ns0:c r="N161" s="987" t="str">
        <ns0:f>IF(COUNTA($A161:$M161)=0,"",IF(OR(LEFT(LOWER(TRIM($F161&amp;"")),12)="subscription",LOWER(TRIM($F161&amp;""))="membership"),"",IF(OR(AND($H161&lt;&gt;"",$H161=0),LEFT(LOWER(TRIM($F161&amp;"")),9)="free game",LOWER(TRIM($F161&amp;""))="free",LOWER(TRIM($F161&amp;""))="free entry"),IF(ISNUMBER($G161),IF(ISNUMBER(SEARCH("non",LOWER($E161&amp;""))),$G161*0.85,$G161),"N/A"),IF($G161="","",IFERROR(IF(ISNUMBER(SEARCH("non",LOWER($E161&amp;""))),$G161*0.85,$G161),"")))))</ns0:f>
        <ns0:v/>
      </ns0:c>
      <ns0:c r="O161" s="987" t="str">
        <ns0:f>IF(COUNTA($A161:$M161)=0,"",IF(OR(LEFT(LOWER(TRIM($F161&amp;"")),12)="subscription",LOWER(TRIM($F161&amp;""))="membership"),"",IF(OR(AND($H161&lt;&gt;"",$H161=0),LEFT(LOWER(TRIM($F161&amp;"")),9)="free game",LOWER(TRIM($F161&amp;""))="free",LOWER(TRIM($F161&amp;""))="free entry"),IF(OR(NOT(ISNUMBER($N161)),NOT(ISNUMBER($I161)),$I161=0),"N/A",IFERROR($N161/$I161,"N/A")),IF(OR($N161="",$I161="",$I161=0),"",IFERROR($N161/$I161,"")))))</ns0:f>
        <ns0:v/>
      </ns0:c>
      <ns0:c r="P161" s="987">
        <ns0:f>IF(COUNTA($A161:$M161)=0,"",IF(OR(LEFT(LOWER(TRIM($F161&amp;"")),12)="subscription",LOWER(TRIM($F161&amp;""))="membership"),"",IF(LOWER(TRIM($D161&amp;""))="estimate","N/A",IF(LOWER($L161&amp;"")="yes",0,IF(OR(AND($H161&lt;&gt;"",$H161=0),LEFT(LOWER(TRIM($F161&amp;"")),9)="free game",LOWER(TRIM($F161&amp;""))="free",LOWER(TRIM($F161&amp;""))="free entry"),IF(ISNUMBER($K161),$K161,""),IF($K161&lt;&gt;"",$K161,""))))))</ns0:f>
      </ns0:c>
      <ns0:c r="Q161" s="114">
        <ns0:f>IF(COUNTA($A161:$M161)=0,"",IF(OR($U161="Subscription",$U161=""),"",IF($U161="Estimate","N/A",IF($U161="Profit",ROUND(IFERROR($P161,0)-IFERROR($H161,0),2),0))))</ns0:f>
      </ns0:c>
      <ns0:c r="R161" s="114">
        <ns0:f>IF(COUNTA($A161:$M161)=0,"",IF(OR($U161="Subscription",$U161=""),"",IF($U161="Estimate","N/A",IF($U161="Draw",$H161,0))))</ns0:f>
      </ns0:c>
      <ns0:c r="S161" s="114">
        <ns0:f>IF(COUNTA($A161:$M161)=0,"",IF(OR($U161="Subscription",$U161=""),"",IF($U161="Estimate","N/A",IF($U161="Disqualified",$H161,0))))</ns0:f>
      </ns0:c>
      <ns0:c r="T161" s="955">
        <ns0:f>IF(COUNTA($A161:$M161)=0,"",IF(OR($U161="Subscription",$U161=""),"",IF($U161="Estimate","N/A",IF(OR($U161="Free Game",$U161="Disqualified — Free Game",$H161=0),"N/A",IF($U161="Profit",$Q161/$H161,IF($U161="Disqualified",-$S161/$H161,0))))))</ns0:f>
      </ns0:c>
      <ns0:c r="U161" s="920">
        <ns0:f>IF(COUNTA($A161:$M161)=0,"",IF(OR(LEFT(LOWER(TRIM($F161&amp;"")),12)="subscription",LOWER(TRIM($F161&amp;""))="membership"),"Subscription",IF(LOWER(TRIM($D161&amp;""))="estimate","Estimate",IF(OR(AND($H161&lt;&gt;"",$H161=0),LEFT(LOWER(TRIM($F161&amp;"")),9)="free game",LOWER(TRIM($F161&amp;""))="free",LOWER(TRIM($F161&amp;""))="free entry"),IF(LOWER($L161&amp;"")="yes","Disqualified — Free Game","Free Game"),IF(LOWER($L161&amp;"")="yes","Disqualified",IF($P161="","",IF(ROUND(IFERROR(VALUE($P161),0)-IFERROR(VALUE($H161),0),2)&gt;0,"Profit","Draw")))))))</ns0:f>
      </ns0:c>
      <ns0:c r="V161" s="956" t="str">
        <ns0:f>IF(COUNTA($A161:$M161)=0,"",IF(OR($B161="",$C161="",$U161="Subscription"),"",IFERROR(ROUNDUP(($C161-$B161)/7,0),"")))</ns0:f>
      </ns0:c>
      <ns0:c r="W161" s="114">
        <ns0:f>IF(COUNTA($A161:$M161)=0,"",IF(OR($U161="Subscription",$U161=""),"",IF($U161="Estimate","N/A",IF(OR($U161="Free Game",$U161="Disqualified — Free Game"),0,ROUND(IFERROR($Q161,0)-IFERROR($S161,0),2)))))</ns0:f>
      </ns0:c>
      <ns0:c r="X161" s="956" t="str">
        <ns0:f>IF(COUNTA($A161:$M161)=0,"",IF(OR($U161="Subscription",NOT(ISNUMBER($J161)),NOT(ISNUMBER($I161)),$J161=0,$I161=0,$I161&gt;$J161),"",$J161-$I161))</ns0:f>
      </ns0:c>
      <ns0:c r="Y161" s="955" t="str">
        <ns0:f>IF(COUNTA($A161:$M161)=0,"",IF(OR($U161="Subscription",NOT(ISNUMBER($J161)),$J161=0,$X161=""),"",$X161/$J161))</ns0:f>
      </ns0:c>
      <ns0:c r="Z161" s="957" t="str">
        <ns0:f>IF(COUNTA($A161:$M161)=0,"",Instructions!$B$29+SUM($W$5:W161))</ns0:f>
      </ns0:c>
    </ns0:row>
    <ns0:row r="162" ht="36" customHeight="1">
      <ns0:c r="A162" s="439"/>
      <ns0:c r="B162" s="453"/>
      <ns0:c r="C162" s="453"/>
      <ns0:c r="D162" s="454"/>
      <ns0:c r="E162" s="454"/>
      <ns0:c r="F162" s="454"/>
      <ns0:c r="G162" s="986"/>
      <ns0:c r="H162" s="455"/>
      <ns0:c r="I162" s="456"/>
      <ns0:c r="J162" s="456"/>
      <ns0:c r="K162" s="986"/>
      <ns0:c r="L162" s="454"/>
      <ns0:c r="M162" s="439"/>
      <ns0:c r="N162" s="987" t="str">
        <ns0:f>IF(COUNTA($A162:$M162)=0,"",IF(OR(LEFT(LOWER(TRIM($F162&amp;"")),12)="subscription",LOWER(TRIM($F162&amp;""))="membership"),"",IF(OR(AND($H162&lt;&gt;"",$H162=0),LEFT(LOWER(TRIM($F162&amp;"")),9)="free game",LOWER(TRIM($F162&amp;""))="free",LOWER(TRIM($F162&amp;""))="free entry"),IF(ISNUMBER($G162),IF(ISNUMBER(SEARCH("non",LOWER($E162&amp;""))),$G162*0.85,$G162),"N/A"),IF($G162="","",IFERROR(IF(ISNUMBER(SEARCH("non",LOWER($E162&amp;""))),$G162*0.85,$G162),"")))))</ns0:f>
        <ns0:v/>
      </ns0:c>
      <ns0:c r="O162" s="987" t="str">
        <ns0:f>IF(COUNTA($A162:$M162)=0,"",IF(OR(LEFT(LOWER(TRIM($F162&amp;"")),12)="subscription",LOWER(TRIM($F162&amp;""))="membership"),"",IF(OR(AND($H162&lt;&gt;"",$H162=0),LEFT(LOWER(TRIM($F162&amp;"")),9)="free game",LOWER(TRIM($F162&amp;""))="free",LOWER(TRIM($F162&amp;""))="free entry"),IF(OR(NOT(ISNUMBER($N162)),NOT(ISNUMBER($I162)),$I162=0),"N/A",IFERROR($N162/$I162,"N/A")),IF(OR($N162="",$I162="",$I162=0),"",IFERROR($N162/$I162,"")))))</ns0:f>
        <ns0:v/>
      </ns0:c>
      <ns0:c r="P162" s="987">
        <ns0:f>IF(COUNTA($A162:$M162)=0,"",IF(OR(LEFT(LOWER(TRIM($F162&amp;"")),12)="subscription",LOWER(TRIM($F162&amp;""))="membership"),"",IF(LOWER(TRIM($D162&amp;""))="estimate","N/A",IF(LOWER($L162&amp;"")="yes",0,IF(OR(AND($H162&lt;&gt;"",$H162=0),LEFT(LOWER(TRIM($F162&amp;"")),9)="free game",LOWER(TRIM($F162&amp;""))="free",LOWER(TRIM($F162&amp;""))="free entry"),IF(ISNUMBER($K162),$K162,""),IF($K162&lt;&gt;"",$K162,""))))))</ns0:f>
      </ns0:c>
      <ns0:c r="Q162" s="114">
        <ns0:f>IF(COUNTA($A162:$M162)=0,"",IF(OR($U162="Subscription",$U162=""),"",IF($U162="Estimate","N/A",IF($U162="Profit",ROUND(IFERROR($P162,0)-IFERROR($H162,0),2),0))))</ns0:f>
      </ns0:c>
      <ns0:c r="R162" s="114">
        <ns0:f>IF(COUNTA($A162:$M162)=0,"",IF(OR($U162="Subscription",$U162=""),"",IF($U162="Estimate","N/A",IF($U162="Draw",$H162,0))))</ns0:f>
      </ns0:c>
      <ns0:c r="S162" s="114">
        <ns0:f>IF(COUNTA($A162:$M162)=0,"",IF(OR($U162="Subscription",$U162=""),"",IF($U162="Estimate","N/A",IF($U162="Disqualified",$H162,0))))</ns0:f>
      </ns0:c>
      <ns0:c r="T162" s="955">
        <ns0:f>IF(COUNTA($A162:$M162)=0,"",IF(OR($U162="Subscription",$U162=""),"",IF($U162="Estimate","N/A",IF(OR($U162="Free Game",$U162="Disqualified — Free Game",$H162=0),"N/A",IF($U162="Profit",$Q162/$H162,IF($U162="Disqualified",-$S162/$H162,0))))))</ns0:f>
      </ns0:c>
      <ns0:c r="U162" s="920">
        <ns0:f>IF(COUNTA($A162:$M162)=0,"",IF(OR(LEFT(LOWER(TRIM($F162&amp;"")),12)="subscription",LOWER(TRIM($F162&amp;""))="membership"),"Subscription",IF(LOWER(TRIM($D162&amp;""))="estimate","Estimate",IF(OR(AND($H162&lt;&gt;"",$H162=0),LEFT(LOWER(TRIM($F162&amp;"")),9)="free game",LOWER(TRIM($F162&amp;""))="free",LOWER(TRIM($F162&amp;""))="free entry"),IF(LOWER($L162&amp;"")="yes","Disqualified — Free Game","Free Game"),IF(LOWER($L162&amp;"")="yes","Disqualified",IF($P162="","",IF(ROUND(IFERROR(VALUE($P162),0)-IFERROR(VALUE($H162),0),2)&gt;0,"Profit","Draw")))))))</ns0:f>
      </ns0:c>
      <ns0:c r="V162" s="956" t="str">
        <ns0:f>IF(COUNTA($A162:$M162)=0,"",IF(OR($B162="",$C162="",$U162="Subscription"),"",IFERROR(ROUNDUP(($C162-$B162)/7,0),"")))</ns0:f>
      </ns0:c>
      <ns0:c r="W162" s="114">
        <ns0:f>IF(COUNTA($A162:$M162)=0,"",IF(OR($U162="Subscription",$U162=""),"",IF($U162="Estimate","N/A",IF(OR($U162="Free Game",$U162="Disqualified — Free Game"),0,ROUND(IFERROR($Q162,0)-IFERROR($S162,0),2)))))</ns0:f>
      </ns0:c>
      <ns0:c r="X162" s="956" t="str">
        <ns0:f>IF(COUNTA($A162:$M162)=0,"",IF(OR($U162="Subscription",NOT(ISNUMBER($J162)),NOT(ISNUMBER($I162)),$J162=0,$I162=0,$I162&gt;$J162),"",$J162-$I162))</ns0:f>
      </ns0:c>
      <ns0:c r="Y162" s="955" t="str">
        <ns0:f>IF(COUNTA($A162:$M162)=0,"",IF(OR($U162="Subscription",NOT(ISNUMBER($J162)),$J162=0,$X162=""),"",$X162/$J162))</ns0:f>
      </ns0:c>
      <ns0:c r="Z162" s="957" t="str">
        <ns0:f>IF(COUNTA($A162:$M162)=0,"",Instructions!$B$29+SUM($W$5:W162))</ns0:f>
      </ns0:c>
    </ns0:row>
    <ns0:row r="163" ht="36" customHeight="1">
      <ns0:c r="A163" s="439"/>
      <ns0:c r="B163" s="453"/>
      <ns0:c r="C163" s="453"/>
      <ns0:c r="D163" s="454"/>
      <ns0:c r="E163" s="454"/>
      <ns0:c r="F163" s="454"/>
      <ns0:c r="G163" s="986"/>
      <ns0:c r="H163" s="455"/>
      <ns0:c r="I163" s="456"/>
      <ns0:c r="J163" s="456"/>
      <ns0:c r="K163" s="986"/>
      <ns0:c r="L163" s="454"/>
      <ns0:c r="M163" s="439"/>
      <ns0:c r="N163" s="987" t="str">
        <ns0:f>IF(COUNTA($A163:$M163)=0,"",IF(OR(LEFT(LOWER(TRIM($F163&amp;"")),12)="subscription",LOWER(TRIM($F163&amp;""))="membership"),"",IF(OR(AND($H163&lt;&gt;"",$H163=0),LEFT(LOWER(TRIM($F163&amp;"")),9)="free game",LOWER(TRIM($F163&amp;""))="free",LOWER(TRIM($F163&amp;""))="free entry"),IF(ISNUMBER($G163),IF(ISNUMBER(SEARCH("non",LOWER($E163&amp;""))),$G163*0.85,$G163),"N/A"),IF($G163="","",IFERROR(IF(ISNUMBER(SEARCH("non",LOWER($E163&amp;""))),$G163*0.85,$G163),"")))))</ns0:f>
        <ns0:v/>
      </ns0:c>
      <ns0:c r="O163" s="987" t="str">
        <ns0:f>IF(COUNTA($A163:$M163)=0,"",IF(OR(LEFT(LOWER(TRIM($F163&amp;"")),12)="subscription",LOWER(TRIM($F163&amp;""))="membership"),"",IF(OR(AND($H163&lt;&gt;"",$H163=0),LEFT(LOWER(TRIM($F163&amp;"")),9)="free game",LOWER(TRIM($F163&amp;""))="free",LOWER(TRIM($F163&amp;""))="free entry"),IF(OR(NOT(ISNUMBER($N163)),NOT(ISNUMBER($I163)),$I163=0),"N/A",IFERROR($N163/$I163,"N/A")),IF(OR($N163="",$I163="",$I163=0),"",IFERROR($N163/$I163,"")))))</ns0:f>
        <ns0:v/>
      </ns0:c>
      <ns0:c r="P163" s="987">
        <ns0:f>IF(COUNTA($A163:$M163)=0,"",IF(OR(LEFT(LOWER(TRIM($F163&amp;"")),12)="subscription",LOWER(TRIM($F163&amp;""))="membership"),"",IF(LOWER(TRIM($D163&amp;""))="estimate","N/A",IF(LOWER($L163&amp;"")="yes",0,IF(OR(AND($H163&lt;&gt;"",$H163=0),LEFT(LOWER(TRIM($F163&amp;"")),9)="free game",LOWER(TRIM($F163&amp;""))="free",LOWER(TRIM($F163&amp;""))="free entry"),IF(ISNUMBER($K163),$K163,""),IF($K163&lt;&gt;"",$K163,""))))))</ns0:f>
      </ns0:c>
      <ns0:c r="Q163" s="114">
        <ns0:f>IF(COUNTA($A163:$M163)=0,"",IF(OR($U163="Subscription",$U163=""),"",IF($U163="Estimate","N/A",IF($U163="Profit",ROUND(IFERROR($P163,0)-IFERROR($H163,0),2),0))))</ns0:f>
      </ns0:c>
      <ns0:c r="R163" s="114">
        <ns0:f>IF(COUNTA($A163:$M163)=0,"",IF(OR($U163="Subscription",$U163=""),"",IF($U163="Estimate","N/A",IF($U163="Draw",$H163,0))))</ns0:f>
      </ns0:c>
      <ns0:c r="S163" s="114">
        <ns0:f>IF(COUNTA($A163:$M163)=0,"",IF(OR($U163="Subscription",$U163=""),"",IF($U163="Estimate","N/A",IF($U163="Disqualified",$H163,0))))</ns0:f>
      </ns0:c>
      <ns0:c r="T163" s="955">
        <ns0:f>IF(COUNTA($A163:$M163)=0,"",IF(OR($U163="Subscription",$U163=""),"",IF($U163="Estimate","N/A",IF(OR($U163="Free Game",$U163="Disqualified — Free Game",$H163=0),"N/A",IF($U163="Profit",$Q163/$H163,IF($U163="Disqualified",-$S163/$H163,0))))))</ns0:f>
      </ns0:c>
      <ns0:c r="U163" s="920">
        <ns0:f>IF(COUNTA($A163:$M163)=0,"",IF(OR(LEFT(LOWER(TRIM($F163&amp;"")),12)="subscription",LOWER(TRIM($F163&amp;""))="membership"),"Subscription",IF(LOWER(TRIM($D163&amp;""))="estimate","Estimate",IF(OR(AND($H163&lt;&gt;"",$H163=0),LEFT(LOWER(TRIM($F163&amp;"")),9)="free game",LOWER(TRIM($F163&amp;""))="free",LOWER(TRIM($F163&amp;""))="free entry"),IF(LOWER($L163&amp;"")="yes","Disqualified — Free Game","Free Game"),IF(LOWER($L163&amp;"")="yes","Disqualified",IF($P163="","",IF(ROUND(IFERROR(VALUE($P163),0)-IFERROR(VALUE($H163),0),2)&gt;0,"Profit","Draw")))))))</ns0:f>
      </ns0:c>
      <ns0:c r="V163" s="956" t="str">
        <ns0:f>IF(COUNTA($A163:$M163)=0,"",IF(OR($B163="",$C163="",$U163="Subscription"),"",IFERROR(ROUNDUP(($C163-$B163)/7,0),"")))</ns0:f>
      </ns0:c>
      <ns0:c r="W163" s="114">
        <ns0:f>IF(COUNTA($A163:$M163)=0,"",IF(OR($U163="Subscription",$U163=""),"",IF($U163="Estimate","N/A",IF(OR($U163="Free Game",$U163="Disqualified — Free Game"),0,ROUND(IFERROR($Q163,0)-IFERROR($S163,0),2)))))</ns0:f>
      </ns0:c>
      <ns0:c r="X163" s="956" t="str">
        <ns0:f>IF(COUNTA($A163:$M163)=0,"",IF(OR($U163="Subscription",NOT(ISNUMBER($J163)),NOT(ISNUMBER($I163)),$J163=0,$I163=0,$I163&gt;$J163),"",$J163-$I163))</ns0:f>
      </ns0:c>
      <ns0:c r="Y163" s="955" t="str">
        <ns0:f>IF(COUNTA($A163:$M163)=0,"",IF(OR($U163="Subscription",NOT(ISNUMBER($J163)),$J163=0,$X163=""),"",$X163/$J163))</ns0:f>
      </ns0:c>
      <ns0:c r="Z163" s="957" t="str">
        <ns0:f>IF(COUNTA($A163:$M163)=0,"",Instructions!$B$29+SUM($W$5:W163))</ns0:f>
      </ns0:c>
    </ns0:row>
    <ns0:row r="164" ht="36" customHeight="1">
      <ns0:c r="A164" s="439"/>
      <ns0:c r="B164" s="453"/>
      <ns0:c r="C164" s="453"/>
      <ns0:c r="D164" s="454"/>
      <ns0:c r="E164" s="454"/>
      <ns0:c r="F164" s="454"/>
      <ns0:c r="G164" s="986"/>
      <ns0:c r="H164" s="455"/>
      <ns0:c r="I164" s="456"/>
      <ns0:c r="J164" s="456"/>
      <ns0:c r="K164" s="986"/>
      <ns0:c r="L164" s="454"/>
      <ns0:c r="M164" s="439"/>
      <ns0:c r="N164" s="987" t="str">
        <ns0:f>IF(COUNTA($A164:$M164)=0,"",IF(OR(LEFT(LOWER(TRIM($F164&amp;"")),12)="subscription",LOWER(TRIM($F164&amp;""))="membership"),"",IF(OR(AND($H164&lt;&gt;"",$H164=0),LEFT(LOWER(TRIM($F164&amp;"")),9)="free game",LOWER(TRIM($F164&amp;""))="free",LOWER(TRIM($F164&amp;""))="free entry"),IF(ISNUMBER($G164),IF(ISNUMBER(SEARCH("non",LOWER($E164&amp;""))),$G164*0.85,$G164),"N/A"),IF($G164="","",IFERROR(IF(ISNUMBER(SEARCH("non",LOWER($E164&amp;""))),$G164*0.85,$G164),"")))))</ns0:f>
        <ns0:v/>
      </ns0:c>
      <ns0:c r="O164" s="987" t="str">
        <ns0:f>IF(COUNTA($A164:$M164)=0,"",IF(OR(LEFT(LOWER(TRIM($F164&amp;"")),12)="subscription",LOWER(TRIM($F164&amp;""))="membership"),"",IF(OR(AND($H164&lt;&gt;"",$H164=0),LEFT(LOWER(TRIM($F164&amp;"")),9)="free game",LOWER(TRIM($F164&amp;""))="free",LOWER(TRIM($F164&amp;""))="free entry"),IF(OR(NOT(ISNUMBER($N164)),NOT(ISNUMBER($I164)),$I164=0),"N/A",IFERROR($N164/$I164,"N/A")),IF(OR($N164="",$I164="",$I164=0),"",IFERROR($N164/$I164,"")))))</ns0:f>
        <ns0:v/>
      </ns0:c>
      <ns0:c r="P164" s="987">
        <ns0:f>IF(COUNTA($A164:$M164)=0,"",IF(OR(LEFT(LOWER(TRIM($F164&amp;"")),12)="subscription",LOWER(TRIM($F164&amp;""))="membership"),"",IF(LOWER(TRIM($D164&amp;""))="estimate","N/A",IF(LOWER($L164&amp;"")="yes",0,IF(OR(AND($H164&lt;&gt;"",$H164=0),LEFT(LOWER(TRIM($F164&amp;"")),9)="free game",LOWER(TRIM($F164&amp;""))="free",LOWER(TRIM($F164&amp;""))="free entry"),IF(ISNUMBER($K164),$K164,""),IF($K164&lt;&gt;"",$K164,""))))))</ns0:f>
      </ns0:c>
      <ns0:c r="Q164" s="114">
        <ns0:f>IF(COUNTA($A164:$M164)=0,"",IF(OR($U164="Subscription",$U164=""),"",IF($U164="Estimate","N/A",IF($U164="Profit",ROUND(IFERROR($P164,0)-IFERROR($H164,0),2),0))))</ns0:f>
      </ns0:c>
      <ns0:c r="R164" s="114">
        <ns0:f>IF(COUNTA($A164:$M164)=0,"",IF(OR($U164="Subscription",$U164=""),"",IF($U164="Estimate","N/A",IF($U164="Draw",$H164,0))))</ns0:f>
      </ns0:c>
      <ns0:c r="S164" s="114">
        <ns0:f>IF(COUNTA($A164:$M164)=0,"",IF(OR($U164="Subscription",$U164=""),"",IF($U164="Estimate","N/A",IF($U164="Disqualified",$H164,0))))</ns0:f>
      </ns0:c>
      <ns0:c r="T164" s="955">
        <ns0:f>IF(COUNTA($A164:$M164)=0,"",IF(OR($U164="Subscription",$U164=""),"",IF($U164="Estimate","N/A",IF(OR($U164="Free Game",$U164="Disqualified — Free Game",$H164=0),"N/A",IF($U164="Profit",$Q164/$H164,IF($U164="Disqualified",-$S164/$H164,0))))))</ns0:f>
      </ns0:c>
      <ns0:c r="U164" s="920">
        <ns0:f>IF(COUNTA($A164:$M164)=0,"",IF(OR(LEFT(LOWER(TRIM($F164&amp;"")),12)="subscription",LOWER(TRIM($F164&amp;""))="membership"),"Subscription",IF(LOWER(TRIM($D164&amp;""))="estimate","Estimate",IF(OR(AND($H164&lt;&gt;"",$H164=0),LEFT(LOWER(TRIM($F164&amp;"")),9)="free game",LOWER(TRIM($F164&amp;""))="free",LOWER(TRIM($F164&amp;""))="free entry"),IF(LOWER($L164&amp;"")="yes","Disqualified — Free Game","Free Game"),IF(LOWER($L164&amp;"")="yes","Disqualified",IF($P164="","",IF(ROUND(IFERROR(VALUE($P164),0)-IFERROR(VALUE($H164),0),2)&gt;0,"Profit","Draw")))))))</ns0:f>
      </ns0:c>
      <ns0:c r="V164" s="956" t="str">
        <ns0:f>IF(COUNTA($A164:$M164)=0,"",IF(OR($B164="",$C164="",$U164="Subscription"),"",IFERROR(ROUNDUP(($C164-$B164)/7,0),"")))</ns0:f>
      </ns0:c>
      <ns0:c r="W164" s="114">
        <ns0:f>IF(COUNTA($A164:$M164)=0,"",IF(OR($U164="Subscription",$U164=""),"",IF($U164="Estimate","N/A",IF(OR($U164="Free Game",$U164="Disqualified — Free Game"),0,ROUND(IFERROR($Q164,0)-IFERROR($S164,0),2)))))</ns0:f>
      </ns0:c>
      <ns0:c r="X164" s="956" t="str">
        <ns0:f>IF(COUNTA($A164:$M164)=0,"",IF(OR($U164="Subscription",NOT(ISNUMBER($J164)),NOT(ISNUMBER($I164)),$J164=0,$I164=0,$I164&gt;$J164),"",$J164-$I164))</ns0:f>
      </ns0:c>
      <ns0:c r="Y164" s="955" t="str">
        <ns0:f>IF(COUNTA($A164:$M164)=0,"",IF(OR($U164="Subscription",NOT(ISNUMBER($J164)),$J164=0,$X164=""),"",$X164/$J164))</ns0:f>
      </ns0:c>
      <ns0:c r="Z164" s="957" t="str">
        <ns0:f>IF(COUNTA($A164:$M164)=0,"",Instructions!$B$29+SUM($W$5:W164))</ns0:f>
      </ns0:c>
    </ns0:row>
    <ns0:row r="165" ht="36" customHeight="1">
      <ns0:c r="A165" s="439"/>
      <ns0:c r="B165" s="453"/>
      <ns0:c r="C165" s="453"/>
      <ns0:c r="D165" s="454"/>
      <ns0:c r="E165" s="454"/>
      <ns0:c r="F165" s="454"/>
      <ns0:c r="G165" s="986"/>
      <ns0:c r="H165" s="455"/>
      <ns0:c r="I165" s="456"/>
      <ns0:c r="J165" s="456"/>
      <ns0:c r="K165" s="986"/>
      <ns0:c r="L165" s="454"/>
      <ns0:c r="M165" s="439"/>
      <ns0:c r="N165" s="987" t="str">
        <ns0:f>IF(COUNTA($A165:$M165)=0,"",IF(OR(LEFT(LOWER(TRIM($F165&amp;"")),12)="subscription",LOWER(TRIM($F165&amp;""))="membership"),"",IF(OR(AND($H165&lt;&gt;"",$H165=0),LEFT(LOWER(TRIM($F165&amp;"")),9)="free game",LOWER(TRIM($F165&amp;""))="free",LOWER(TRIM($F165&amp;""))="free entry"),IF(ISNUMBER($G165),IF(ISNUMBER(SEARCH("non",LOWER($E165&amp;""))),$G165*0.85,$G165),"N/A"),IF($G165="","",IFERROR(IF(ISNUMBER(SEARCH("non",LOWER($E165&amp;""))),$G165*0.85,$G165),"")))))</ns0:f>
        <ns0:v/>
      </ns0:c>
      <ns0:c r="O165" s="987" t="str">
        <ns0:f>IF(COUNTA($A165:$M165)=0,"",IF(OR(LEFT(LOWER(TRIM($F165&amp;"")),12)="subscription",LOWER(TRIM($F165&amp;""))="membership"),"",IF(OR(AND($H165&lt;&gt;"",$H165=0),LEFT(LOWER(TRIM($F165&amp;"")),9)="free game",LOWER(TRIM($F165&amp;""))="free",LOWER(TRIM($F165&amp;""))="free entry"),IF(OR(NOT(ISNUMBER($N165)),NOT(ISNUMBER($I165)),$I165=0),"N/A",IFERROR($N165/$I165,"N/A")),IF(OR($N165="",$I165="",$I165=0),"",IFERROR($N165/$I165,"")))))</ns0:f>
        <ns0:v/>
      </ns0:c>
      <ns0:c r="P165" s="987">
        <ns0:f>IF(COUNTA($A165:$M165)=0,"",IF(OR(LEFT(LOWER(TRIM($F165&amp;"")),12)="subscription",LOWER(TRIM($F165&amp;""))="membership"),"",IF(LOWER(TRIM($D165&amp;""))="estimate","N/A",IF(LOWER($L165&amp;"")="yes",0,IF(OR(AND($H165&lt;&gt;"",$H165=0),LEFT(LOWER(TRIM($F165&amp;"")),9)="free game",LOWER(TRIM($F165&amp;""))="free",LOWER(TRIM($F165&amp;""))="free entry"),IF(ISNUMBER($K165),$K165,""),IF($K165&lt;&gt;"",$K165,""))))))</ns0:f>
      </ns0:c>
      <ns0:c r="Q165" s="114">
        <ns0:f>IF(COUNTA($A165:$M165)=0,"",IF(OR($U165="Subscription",$U165=""),"",IF($U165="Estimate","N/A",IF($U165="Profit",ROUND(IFERROR($P165,0)-IFERROR($H165,0),2),0))))</ns0:f>
      </ns0:c>
      <ns0:c r="R165" s="114">
        <ns0:f>IF(COUNTA($A165:$M165)=0,"",IF(OR($U165="Subscription",$U165=""),"",IF($U165="Estimate","N/A",IF($U165="Draw",$H165,0))))</ns0:f>
      </ns0:c>
      <ns0:c r="S165" s="114">
        <ns0:f>IF(COUNTA($A165:$M165)=0,"",IF(OR($U165="Subscription",$U165=""),"",IF($U165="Estimate","N/A",IF($U165="Disqualified",$H165,0))))</ns0:f>
      </ns0:c>
      <ns0:c r="T165" s="955">
        <ns0:f>IF(COUNTA($A165:$M165)=0,"",IF(OR($U165="Subscription",$U165=""),"",IF($U165="Estimate","N/A",IF(OR($U165="Free Game",$U165="Disqualified — Free Game",$H165=0),"N/A",IF($U165="Profit",$Q165/$H165,IF($U165="Disqualified",-$S165/$H165,0))))))</ns0:f>
      </ns0:c>
      <ns0:c r="U165" s="920">
        <ns0:f>IF(COUNTA($A165:$M165)=0,"",IF(OR(LEFT(LOWER(TRIM($F165&amp;"")),12)="subscription",LOWER(TRIM($F165&amp;""))="membership"),"Subscription",IF(LOWER(TRIM($D165&amp;""))="estimate","Estimate",IF(OR(AND($H165&lt;&gt;"",$H165=0),LEFT(LOWER(TRIM($F165&amp;"")),9)="free game",LOWER(TRIM($F165&amp;""))="free",LOWER(TRIM($F165&amp;""))="free entry"),IF(LOWER($L165&amp;"")="yes","Disqualified — Free Game","Free Game"),IF(LOWER($L165&amp;"")="yes","Disqualified",IF($P165="","",IF(ROUND(IFERROR(VALUE($P165),0)-IFERROR(VALUE($H165),0),2)&gt;0,"Profit","Draw")))))))</ns0:f>
      </ns0:c>
      <ns0:c r="V165" s="956" t="str">
        <ns0:f>IF(COUNTA($A165:$M165)=0,"",IF(OR($B165="",$C165="",$U165="Subscription"),"",IFERROR(ROUNDUP(($C165-$B165)/7,0),"")))</ns0:f>
      </ns0:c>
      <ns0:c r="W165" s="114">
        <ns0:f>IF(COUNTA($A165:$M165)=0,"",IF(OR($U165="Subscription",$U165=""),"",IF($U165="Estimate","N/A",IF(OR($U165="Free Game",$U165="Disqualified — Free Game"),0,ROUND(IFERROR($Q165,0)-IFERROR($S165,0),2)))))</ns0:f>
      </ns0:c>
      <ns0:c r="X165" s="956" t="str">
        <ns0:f>IF(COUNTA($A165:$M165)=0,"",IF(OR($U165="Subscription",NOT(ISNUMBER($J165)),NOT(ISNUMBER($I165)),$J165=0,$I165=0,$I165&gt;$J165),"",$J165-$I165))</ns0:f>
      </ns0:c>
      <ns0:c r="Y165" s="955" t="str">
        <ns0:f>IF(COUNTA($A165:$M165)=0,"",IF(OR($U165="Subscription",NOT(ISNUMBER($J165)),$J165=0,$X165=""),"",$X165/$J165))</ns0:f>
      </ns0:c>
      <ns0:c r="Z165" s="957" t="str">
        <ns0:f>IF(COUNTA($A165:$M165)=0,"",Instructions!$B$29+SUM($W$5:W165))</ns0:f>
      </ns0:c>
    </ns0:row>
    <ns0:row r="166" ht="36" customHeight="1">
      <ns0:c r="A166" s="439"/>
      <ns0:c r="B166" s="453"/>
      <ns0:c r="C166" s="453"/>
      <ns0:c r="D166" s="454"/>
      <ns0:c r="E166" s="454"/>
      <ns0:c r="F166" s="454"/>
      <ns0:c r="G166" s="986"/>
      <ns0:c r="H166" s="455"/>
      <ns0:c r="I166" s="456"/>
      <ns0:c r="J166" s="456"/>
      <ns0:c r="K166" s="986"/>
      <ns0:c r="L166" s="454"/>
      <ns0:c r="M166" s="439"/>
      <ns0:c r="N166" s="987" t="str">
        <ns0:f>IF(COUNTA($A166:$M166)=0,"",IF(OR(LEFT(LOWER(TRIM($F166&amp;"")),12)="subscription",LOWER(TRIM($F166&amp;""))="membership"),"",IF(OR(AND($H166&lt;&gt;"",$H166=0),LEFT(LOWER(TRIM($F166&amp;"")),9)="free game",LOWER(TRIM($F166&amp;""))="free",LOWER(TRIM($F166&amp;""))="free entry"),IF(ISNUMBER($G166),IF(ISNUMBER(SEARCH("non",LOWER($E166&amp;""))),$G166*0.85,$G166),"N/A"),IF($G166="","",IFERROR(IF(ISNUMBER(SEARCH("non",LOWER($E166&amp;""))),$G166*0.85,$G166),"")))))</ns0:f>
        <ns0:v/>
      </ns0:c>
      <ns0:c r="O166" s="987" t="str">
        <ns0:f>IF(COUNTA($A166:$M166)=0,"",IF(OR(LEFT(LOWER(TRIM($F166&amp;"")),12)="subscription",LOWER(TRIM($F166&amp;""))="membership"),"",IF(OR(AND($H166&lt;&gt;"",$H166=0),LEFT(LOWER(TRIM($F166&amp;"")),9)="free game",LOWER(TRIM($F166&amp;""))="free",LOWER(TRIM($F166&amp;""))="free entry"),IF(OR(NOT(ISNUMBER($N166)),NOT(ISNUMBER($I166)),$I166=0),"N/A",IFERROR($N166/$I166,"N/A")),IF(OR($N166="",$I166="",$I166=0),"",IFERROR($N166/$I166,"")))))</ns0:f>
        <ns0:v/>
      </ns0:c>
      <ns0:c r="P166" s="987">
        <ns0:f>IF(COUNTA($A166:$M166)=0,"",IF(OR(LEFT(LOWER(TRIM($F166&amp;"")),12)="subscription",LOWER(TRIM($F166&amp;""))="membership"),"",IF(LOWER(TRIM($D166&amp;""))="estimate","N/A",IF(LOWER($L166&amp;"")="yes",0,IF(OR(AND($H166&lt;&gt;"",$H166=0),LEFT(LOWER(TRIM($F166&amp;"")),9)="free game",LOWER(TRIM($F166&amp;""))="free",LOWER(TRIM($F166&amp;""))="free entry"),IF(ISNUMBER($K166),$K166,""),IF($K166&lt;&gt;"",$K166,""))))))</ns0:f>
      </ns0:c>
      <ns0:c r="Q166" s="114">
        <ns0:f>IF(COUNTA($A166:$M166)=0,"",IF(OR($U166="Subscription",$U166=""),"",IF($U166="Estimate","N/A",IF($U166="Profit",ROUND(IFERROR($P166,0)-IFERROR($H166,0),2),0))))</ns0:f>
      </ns0:c>
      <ns0:c r="R166" s="114">
        <ns0:f>IF(COUNTA($A166:$M166)=0,"",IF(OR($U166="Subscription",$U166=""),"",IF($U166="Estimate","N/A",IF($U166="Draw",$H166,0))))</ns0:f>
      </ns0:c>
      <ns0:c r="S166" s="114">
        <ns0:f>IF(COUNTA($A166:$M166)=0,"",IF(OR($U166="Subscription",$U166=""),"",IF($U166="Estimate","N/A",IF($U166="Disqualified",$H166,0))))</ns0:f>
      </ns0:c>
      <ns0:c r="T166" s="955">
        <ns0:f>IF(COUNTA($A166:$M166)=0,"",IF(OR($U166="Subscription",$U166=""),"",IF($U166="Estimate","N/A",IF(OR($U166="Free Game",$U166="Disqualified — Free Game",$H166=0),"N/A",IF($U166="Profit",$Q166/$H166,IF($U166="Disqualified",-$S166/$H166,0))))))</ns0:f>
      </ns0:c>
      <ns0:c r="U166" s="920">
        <ns0:f>IF(COUNTA($A166:$M166)=0,"",IF(OR(LEFT(LOWER(TRIM($F166&amp;"")),12)="subscription",LOWER(TRIM($F166&amp;""))="membership"),"Subscription",IF(LOWER(TRIM($D166&amp;""))="estimate","Estimate",IF(OR(AND($H166&lt;&gt;"",$H166=0),LEFT(LOWER(TRIM($F166&amp;"")),9)="free game",LOWER(TRIM($F166&amp;""))="free",LOWER(TRIM($F166&amp;""))="free entry"),IF(LOWER($L166&amp;"")="yes","Disqualified — Free Game","Free Game"),IF(LOWER($L166&amp;"")="yes","Disqualified",IF($P166="","",IF(ROUND(IFERROR(VALUE($P166),0)-IFERROR(VALUE($H166),0),2)&gt;0,"Profit","Draw")))))))</ns0:f>
      </ns0:c>
      <ns0:c r="V166" s="956" t="str">
        <ns0:f>IF(COUNTA($A166:$M166)=0,"",IF(OR($B166="",$C166="",$U166="Subscription"),"",IFERROR(ROUNDUP(($C166-$B166)/7,0),"")))</ns0:f>
      </ns0:c>
      <ns0:c r="W166" s="114">
        <ns0:f>IF(COUNTA($A166:$M166)=0,"",IF(OR($U166="Subscription",$U166=""),"",IF($U166="Estimate","N/A",IF(OR($U166="Free Game",$U166="Disqualified — Free Game"),0,ROUND(IFERROR($Q166,0)-IFERROR($S166,0),2)))))</ns0:f>
      </ns0:c>
      <ns0:c r="X166" s="956" t="str">
        <ns0:f>IF(COUNTA($A166:$M166)=0,"",IF(OR($U166="Subscription",NOT(ISNUMBER($J166)),NOT(ISNUMBER($I166)),$J166=0,$I166=0,$I166&gt;$J166),"",$J166-$I166))</ns0:f>
      </ns0:c>
      <ns0:c r="Y166" s="955" t="str">
        <ns0:f>IF(COUNTA($A166:$M166)=0,"",IF(OR($U166="Subscription",NOT(ISNUMBER($J166)),$J166=0,$X166=""),"",$X166/$J166))</ns0:f>
      </ns0:c>
      <ns0:c r="Z166" s="957" t="str">
        <ns0:f>IF(COUNTA($A166:$M166)=0,"",Instructions!$B$29+SUM($W$5:W166))</ns0:f>
      </ns0:c>
    </ns0:row>
    <ns0:row r="167" ht="36" customHeight="1">
      <ns0:c r="A167" s="439"/>
      <ns0:c r="B167" s="453"/>
      <ns0:c r="C167" s="453"/>
      <ns0:c r="D167" s="454"/>
      <ns0:c r="E167" s="454"/>
      <ns0:c r="F167" s="454"/>
      <ns0:c r="G167" s="986"/>
      <ns0:c r="H167" s="455"/>
      <ns0:c r="I167" s="456"/>
      <ns0:c r="J167" s="456"/>
      <ns0:c r="K167" s="986"/>
      <ns0:c r="L167" s="454"/>
      <ns0:c r="M167" s="439"/>
      <ns0:c r="N167" s="987" t="str">
        <ns0:f>IF(COUNTA($A167:$M167)=0,"",IF(OR(LEFT(LOWER(TRIM($F167&amp;"")),12)="subscription",LOWER(TRIM($F167&amp;""))="membership"),"",IF(OR(AND($H167&lt;&gt;"",$H167=0),LEFT(LOWER(TRIM($F167&amp;"")),9)="free game",LOWER(TRIM($F167&amp;""))="free",LOWER(TRIM($F167&amp;""))="free entry"),IF(ISNUMBER($G167),IF(ISNUMBER(SEARCH("non",LOWER($E167&amp;""))),$G167*0.85,$G167),"N/A"),IF($G167="","",IFERROR(IF(ISNUMBER(SEARCH("non",LOWER($E167&amp;""))),$G167*0.85,$G167),"")))))</ns0:f>
        <ns0:v/>
      </ns0:c>
      <ns0:c r="O167" s="987" t="str">
        <ns0:f>IF(COUNTA($A167:$M167)=0,"",IF(OR(LEFT(LOWER(TRIM($F167&amp;"")),12)="subscription",LOWER(TRIM($F167&amp;""))="membership"),"",IF(OR(AND($H167&lt;&gt;"",$H167=0),LEFT(LOWER(TRIM($F167&amp;"")),9)="free game",LOWER(TRIM($F167&amp;""))="free",LOWER(TRIM($F167&amp;""))="free entry"),IF(OR(NOT(ISNUMBER($N167)),NOT(ISNUMBER($I167)),$I167=0),"N/A",IFERROR($N167/$I167,"N/A")),IF(OR($N167="",$I167="",$I167=0),"",IFERROR($N167/$I167,"")))))</ns0:f>
        <ns0:v/>
      </ns0:c>
      <ns0:c r="P167" s="987">
        <ns0:f>IF(COUNTA($A167:$M167)=0,"",IF(OR(LEFT(LOWER(TRIM($F167&amp;"")),12)="subscription",LOWER(TRIM($F167&amp;""))="membership"),"",IF(LOWER(TRIM($D167&amp;""))="estimate","N/A",IF(LOWER($L167&amp;"")="yes",0,IF(OR(AND($H167&lt;&gt;"",$H167=0),LEFT(LOWER(TRIM($F167&amp;"")),9)="free game",LOWER(TRIM($F167&amp;""))="free",LOWER(TRIM($F167&amp;""))="free entry"),IF(ISNUMBER($K167),$K167,""),IF($K167&lt;&gt;"",$K167,""))))))</ns0:f>
      </ns0:c>
      <ns0:c r="Q167" s="114">
        <ns0:f>IF(COUNTA($A167:$M167)=0,"",IF(OR($U167="Subscription",$U167=""),"",IF($U167="Estimate","N/A",IF($U167="Profit",ROUND(IFERROR($P167,0)-IFERROR($H167,0),2),0))))</ns0:f>
      </ns0:c>
      <ns0:c r="R167" s="114">
        <ns0:f>IF(COUNTA($A167:$M167)=0,"",IF(OR($U167="Subscription",$U167=""),"",IF($U167="Estimate","N/A",IF($U167="Draw",$H167,0))))</ns0:f>
      </ns0:c>
      <ns0:c r="S167" s="114">
        <ns0:f>IF(COUNTA($A167:$M167)=0,"",IF(OR($U167="Subscription",$U167=""),"",IF($U167="Estimate","N/A",IF($U167="Disqualified",$H167,0))))</ns0:f>
      </ns0:c>
      <ns0:c r="T167" s="955">
        <ns0:f>IF(COUNTA($A167:$M167)=0,"",IF(OR($U167="Subscription",$U167=""),"",IF($U167="Estimate","N/A",IF(OR($U167="Free Game",$U167="Disqualified — Free Game",$H167=0),"N/A",IF($U167="Profit",$Q167/$H167,IF($U167="Disqualified",-$S167/$H167,0))))))</ns0:f>
      </ns0:c>
      <ns0:c r="U167" s="920">
        <ns0:f>IF(COUNTA($A167:$M167)=0,"",IF(OR(LEFT(LOWER(TRIM($F167&amp;"")),12)="subscription",LOWER(TRIM($F167&amp;""))="membership"),"Subscription",IF(LOWER(TRIM($D167&amp;""))="estimate","Estimate",IF(OR(AND($H167&lt;&gt;"",$H167=0),LEFT(LOWER(TRIM($F167&amp;"")),9)="free game",LOWER(TRIM($F167&amp;""))="free",LOWER(TRIM($F167&amp;""))="free entry"),IF(LOWER($L167&amp;"")="yes","Disqualified — Free Game","Free Game"),IF(LOWER($L167&amp;"")="yes","Disqualified",IF($P167="","",IF(ROUND(IFERROR(VALUE($P167),0)-IFERROR(VALUE($H167),0),2)&gt;0,"Profit","Draw")))))))</ns0:f>
      </ns0:c>
      <ns0:c r="V167" s="956" t="str">
        <ns0:f>IF(COUNTA($A167:$M167)=0,"",IF(OR($B167="",$C167="",$U167="Subscription"),"",IFERROR(ROUNDUP(($C167-$B167)/7,0),"")))</ns0:f>
      </ns0:c>
      <ns0:c r="W167" s="114">
        <ns0:f>IF(COUNTA($A167:$M167)=0,"",IF(OR($U167="Subscription",$U167=""),"",IF($U167="Estimate","N/A",IF(OR($U167="Free Game",$U167="Disqualified — Free Game"),0,ROUND(IFERROR($Q167,0)-IFERROR($S167,0),2)))))</ns0:f>
      </ns0:c>
      <ns0:c r="X167" s="956" t="str">
        <ns0:f>IF(COUNTA($A167:$M167)=0,"",IF(OR($U167="Subscription",NOT(ISNUMBER($J167)),NOT(ISNUMBER($I167)),$J167=0,$I167=0,$I167&gt;$J167),"",$J167-$I167))</ns0:f>
      </ns0:c>
      <ns0:c r="Y167" s="955" t="str">
        <ns0:f>IF(COUNTA($A167:$M167)=0,"",IF(OR($U167="Subscription",NOT(ISNUMBER($J167)),$J167=0,$X167=""),"",$X167/$J167))</ns0:f>
      </ns0:c>
      <ns0:c r="Z167" s="957" t="str">
        <ns0:f>IF(COUNTA($A167:$M167)=0,"",Instructions!$B$29+SUM($W$5:W167))</ns0:f>
      </ns0:c>
    </ns0:row>
    <ns0:row r="168" ht="36" customHeight="1">
      <ns0:c r="A168" s="439"/>
      <ns0:c r="B168" s="453"/>
      <ns0:c r="C168" s="453"/>
      <ns0:c r="D168" s="454"/>
      <ns0:c r="E168" s="454"/>
      <ns0:c r="F168" s="454"/>
      <ns0:c r="G168" s="986"/>
      <ns0:c r="H168" s="455"/>
      <ns0:c r="I168" s="456"/>
      <ns0:c r="J168" s="456"/>
      <ns0:c r="K168" s="986"/>
      <ns0:c r="L168" s="454"/>
      <ns0:c r="M168" s="439"/>
      <ns0:c r="N168" s="987" t="str">
        <ns0:f>IF(COUNTA($A168:$M168)=0,"",IF(OR(LEFT(LOWER(TRIM($F168&amp;"")),12)="subscription",LOWER(TRIM($F168&amp;""))="membership"),"",IF(OR(AND($H168&lt;&gt;"",$H168=0),LEFT(LOWER(TRIM($F168&amp;"")),9)="free game",LOWER(TRIM($F168&amp;""))="free",LOWER(TRIM($F168&amp;""))="free entry"),IF(ISNUMBER($G168),IF(ISNUMBER(SEARCH("non",LOWER($E168&amp;""))),$G168*0.85,$G168),"N/A"),IF($G168="","",IFERROR(IF(ISNUMBER(SEARCH("non",LOWER($E168&amp;""))),$G168*0.85,$G168),"")))))</ns0:f>
        <ns0:v/>
      </ns0:c>
      <ns0:c r="O168" s="987" t="str">
        <ns0:f>IF(COUNTA($A168:$M168)=0,"",IF(OR(LEFT(LOWER(TRIM($F168&amp;"")),12)="subscription",LOWER(TRIM($F168&amp;""))="membership"),"",IF(OR(AND($H168&lt;&gt;"",$H168=0),LEFT(LOWER(TRIM($F168&amp;"")),9)="free game",LOWER(TRIM($F168&amp;""))="free",LOWER(TRIM($F168&amp;""))="free entry"),IF(OR(NOT(ISNUMBER($N168)),NOT(ISNUMBER($I168)),$I168=0),"N/A",IFERROR($N168/$I168,"N/A")),IF(OR($N168="",$I168="",$I168=0),"",IFERROR($N168/$I168,"")))))</ns0:f>
        <ns0:v/>
      </ns0:c>
      <ns0:c r="P168" s="987">
        <ns0:f>IF(COUNTA($A168:$M168)=0,"",IF(OR(LEFT(LOWER(TRIM($F168&amp;"")),12)="subscription",LOWER(TRIM($F168&amp;""))="membership"),"",IF(LOWER(TRIM($D168&amp;""))="estimate","N/A",IF(LOWER($L168&amp;"")="yes",0,IF(OR(AND($H168&lt;&gt;"",$H168=0),LEFT(LOWER(TRIM($F168&amp;"")),9)="free game",LOWER(TRIM($F168&amp;""))="free",LOWER(TRIM($F168&amp;""))="free entry"),IF(ISNUMBER($K168),$K168,""),IF($K168&lt;&gt;"",$K168,""))))))</ns0:f>
      </ns0:c>
      <ns0:c r="Q168" s="114">
        <ns0:f>IF(COUNTA($A168:$M168)=0,"",IF(OR($U168="Subscription",$U168=""),"",IF($U168="Estimate","N/A",IF($U168="Profit",ROUND(IFERROR($P168,0)-IFERROR($H168,0),2),0))))</ns0:f>
      </ns0:c>
      <ns0:c r="R168" s="114">
        <ns0:f>IF(COUNTA($A168:$M168)=0,"",IF(OR($U168="Subscription",$U168=""),"",IF($U168="Estimate","N/A",IF($U168="Draw",$H168,0))))</ns0:f>
      </ns0:c>
      <ns0:c r="S168" s="114">
        <ns0:f>IF(COUNTA($A168:$M168)=0,"",IF(OR($U168="Subscription",$U168=""),"",IF($U168="Estimate","N/A",IF($U168="Disqualified",$H168,0))))</ns0:f>
      </ns0:c>
      <ns0:c r="T168" s="955">
        <ns0:f>IF(COUNTA($A168:$M168)=0,"",IF(OR($U168="Subscription",$U168=""),"",IF($U168="Estimate","N/A",IF(OR($U168="Free Game",$U168="Disqualified — Free Game",$H168=0),"N/A",IF($U168="Profit",$Q168/$H168,IF($U168="Disqualified",-$S168/$H168,0))))))</ns0:f>
      </ns0:c>
      <ns0:c r="U168" s="920">
        <ns0:f>IF(COUNTA($A168:$M168)=0,"",IF(OR(LEFT(LOWER(TRIM($F168&amp;"")),12)="subscription",LOWER(TRIM($F168&amp;""))="membership"),"Subscription",IF(LOWER(TRIM($D168&amp;""))="estimate","Estimate",IF(OR(AND($H168&lt;&gt;"",$H168=0),LEFT(LOWER(TRIM($F168&amp;"")),9)="free game",LOWER(TRIM($F168&amp;""))="free",LOWER(TRIM($F168&amp;""))="free entry"),IF(LOWER($L168&amp;"")="yes","Disqualified — Free Game","Free Game"),IF(LOWER($L168&amp;"")="yes","Disqualified",IF($P168="","",IF(ROUND(IFERROR(VALUE($P168),0)-IFERROR(VALUE($H168),0),2)&gt;0,"Profit","Draw")))))))</ns0:f>
      </ns0:c>
      <ns0:c r="V168" s="956" t="str">
        <ns0:f>IF(COUNTA($A168:$M168)=0,"",IF(OR($B168="",$C168="",$U168="Subscription"),"",IFERROR(ROUNDUP(($C168-$B168)/7,0),"")))</ns0:f>
      </ns0:c>
      <ns0:c r="W168" s="114">
        <ns0:f>IF(COUNTA($A168:$M168)=0,"",IF(OR($U168="Subscription",$U168=""),"",IF($U168="Estimate","N/A",IF(OR($U168="Free Game",$U168="Disqualified — Free Game"),0,ROUND(IFERROR($Q168,0)-IFERROR($S168,0),2)))))</ns0:f>
      </ns0:c>
      <ns0:c r="X168" s="956" t="str">
        <ns0:f>IF(COUNTA($A168:$M168)=0,"",IF(OR($U168="Subscription",NOT(ISNUMBER($J168)),NOT(ISNUMBER($I168)),$J168=0,$I168=0,$I168&gt;$J168),"",$J168-$I168))</ns0:f>
      </ns0:c>
      <ns0:c r="Y168" s="955" t="str">
        <ns0:f>IF(COUNTA($A168:$M168)=0,"",IF(OR($U168="Subscription",NOT(ISNUMBER($J168)),$J168=0,$X168=""),"",$X168/$J168))</ns0:f>
      </ns0:c>
      <ns0:c r="Z168" s="957" t="str">
        <ns0:f>IF(COUNTA($A168:$M168)=0,"",Instructions!$B$29+SUM($W$5:W168))</ns0:f>
      </ns0:c>
    </ns0:row>
    <ns0:row r="169" ht="36" customHeight="1">
      <ns0:c r="A169" s="439"/>
      <ns0:c r="B169" s="453"/>
      <ns0:c r="C169" s="453"/>
      <ns0:c r="D169" s="454"/>
      <ns0:c r="E169" s="454"/>
      <ns0:c r="F169" s="454"/>
      <ns0:c r="G169" s="986"/>
      <ns0:c r="H169" s="455"/>
      <ns0:c r="I169" s="456"/>
      <ns0:c r="J169" s="456"/>
      <ns0:c r="K169" s="986"/>
      <ns0:c r="L169" s="454"/>
      <ns0:c r="M169" s="439"/>
      <ns0:c r="N169" s="987" t="str">
        <ns0:f>IF(COUNTA($A169:$M169)=0,"",IF(OR(LEFT(LOWER(TRIM($F169&amp;"")),12)="subscription",LOWER(TRIM($F169&amp;""))="membership"),"",IF(OR(AND($H169&lt;&gt;"",$H169=0),LEFT(LOWER(TRIM($F169&amp;"")),9)="free game",LOWER(TRIM($F169&amp;""))="free",LOWER(TRIM($F169&amp;""))="free entry"),IF(ISNUMBER($G169),IF(ISNUMBER(SEARCH("non",LOWER($E169&amp;""))),$G169*0.85,$G169),"N/A"),IF($G169="","",IFERROR(IF(ISNUMBER(SEARCH("non",LOWER($E169&amp;""))),$G169*0.85,$G169),"")))))</ns0:f>
        <ns0:v/>
      </ns0:c>
      <ns0:c r="O169" s="987" t="str">
        <ns0:f>IF(COUNTA($A169:$M169)=0,"",IF(OR(LEFT(LOWER(TRIM($F169&amp;"")),12)="subscription",LOWER(TRIM($F169&amp;""))="membership"),"",IF(OR(AND($H169&lt;&gt;"",$H169=0),LEFT(LOWER(TRIM($F169&amp;"")),9)="free game",LOWER(TRIM($F169&amp;""))="free",LOWER(TRIM($F169&amp;""))="free entry"),IF(OR(NOT(ISNUMBER($N169)),NOT(ISNUMBER($I169)),$I169=0),"N/A",IFERROR($N169/$I169,"N/A")),IF(OR($N169="",$I169="",$I169=0),"",IFERROR($N169/$I169,"")))))</ns0:f>
        <ns0:v/>
      </ns0:c>
      <ns0:c r="P169" s="987">
        <ns0:f>IF(COUNTA($A169:$M169)=0,"",IF(OR(LEFT(LOWER(TRIM($F169&amp;"")),12)="subscription",LOWER(TRIM($F169&amp;""))="membership"),"",IF(LOWER(TRIM($D169&amp;""))="estimate","N/A",IF(LOWER($L169&amp;"")="yes",0,IF(OR(AND($H169&lt;&gt;"",$H169=0),LEFT(LOWER(TRIM($F169&amp;"")),9)="free game",LOWER(TRIM($F169&amp;""))="free",LOWER(TRIM($F169&amp;""))="free entry"),IF(ISNUMBER($K169),$K169,""),IF($K169&lt;&gt;"",$K169,""))))))</ns0:f>
      </ns0:c>
      <ns0:c r="Q169" s="114">
        <ns0:f>IF(COUNTA($A169:$M169)=0,"",IF(OR($U169="Subscription",$U169=""),"",IF($U169="Estimate","N/A",IF($U169="Profit",ROUND(IFERROR($P169,0)-IFERROR($H169,0),2),0))))</ns0:f>
      </ns0:c>
      <ns0:c r="R169" s="114">
        <ns0:f>IF(COUNTA($A169:$M169)=0,"",IF(OR($U169="Subscription",$U169=""),"",IF($U169="Estimate","N/A",IF($U169="Draw",$H169,0))))</ns0:f>
      </ns0:c>
      <ns0:c r="S169" s="114">
        <ns0:f>IF(COUNTA($A169:$M169)=0,"",IF(OR($U169="Subscription",$U169=""),"",IF($U169="Estimate","N/A",IF($U169="Disqualified",$H169,0))))</ns0:f>
      </ns0:c>
      <ns0:c r="T169" s="955">
        <ns0:f>IF(COUNTA($A169:$M169)=0,"",IF(OR($U169="Subscription",$U169=""),"",IF($U169="Estimate","N/A",IF(OR($U169="Free Game",$U169="Disqualified — Free Game",$H169=0),"N/A",IF($U169="Profit",$Q169/$H169,IF($U169="Disqualified",-$S169/$H169,0))))))</ns0:f>
      </ns0:c>
      <ns0:c r="U169" s="920">
        <ns0:f>IF(COUNTA($A169:$M169)=0,"",IF(OR(LEFT(LOWER(TRIM($F169&amp;"")),12)="subscription",LOWER(TRIM($F169&amp;""))="membership"),"Subscription",IF(LOWER(TRIM($D169&amp;""))="estimate","Estimate",IF(OR(AND($H169&lt;&gt;"",$H169=0),LEFT(LOWER(TRIM($F169&amp;"")),9)="free game",LOWER(TRIM($F169&amp;""))="free",LOWER(TRIM($F169&amp;""))="free entry"),IF(LOWER($L169&amp;"")="yes","Disqualified — Free Game","Free Game"),IF(LOWER($L169&amp;"")="yes","Disqualified",IF($P169="","",IF(ROUND(IFERROR(VALUE($P169),0)-IFERROR(VALUE($H169),0),2)&gt;0,"Profit","Draw")))))))</ns0:f>
      </ns0:c>
      <ns0:c r="V169" s="956" t="str">
        <ns0:f>IF(COUNTA($A169:$M169)=0,"",IF(OR($B169="",$C169="",$U169="Subscription"),"",IFERROR(ROUNDUP(($C169-$B169)/7,0),"")))</ns0:f>
      </ns0:c>
      <ns0:c r="W169" s="114">
        <ns0:f>IF(COUNTA($A169:$M169)=0,"",IF(OR($U169="Subscription",$U169=""),"",IF($U169="Estimate","N/A",IF(OR($U169="Free Game",$U169="Disqualified — Free Game"),0,ROUND(IFERROR($Q169,0)-IFERROR($S169,0),2)))))</ns0:f>
      </ns0:c>
      <ns0:c r="X169" s="956" t="str">
        <ns0:f>IF(COUNTA($A169:$M169)=0,"",IF(OR($U169="Subscription",NOT(ISNUMBER($J169)),NOT(ISNUMBER($I169)),$J169=0,$I169=0,$I169&gt;$J169),"",$J169-$I169))</ns0:f>
      </ns0:c>
      <ns0:c r="Y169" s="955" t="str">
        <ns0:f>IF(COUNTA($A169:$M169)=0,"",IF(OR($U169="Subscription",NOT(ISNUMBER($J169)),$J169=0,$X169=""),"",$X169/$J169))</ns0:f>
      </ns0:c>
      <ns0:c r="Z169" s="957" t="str">
        <ns0:f>IF(COUNTA($A169:$M169)=0,"",Instructions!$B$29+SUM($W$5:W169))</ns0:f>
      </ns0:c>
    </ns0:row>
    <ns0:row r="170" ht="36" customHeight="1">
      <ns0:c r="A170" s="439"/>
      <ns0:c r="B170" s="453"/>
      <ns0:c r="C170" s="453"/>
      <ns0:c r="D170" s="454"/>
      <ns0:c r="E170" s="454"/>
      <ns0:c r="F170" s="454"/>
      <ns0:c r="G170" s="986"/>
      <ns0:c r="H170" s="455"/>
      <ns0:c r="I170" s="456"/>
      <ns0:c r="J170" s="456"/>
      <ns0:c r="K170" s="986"/>
      <ns0:c r="L170" s="454"/>
      <ns0:c r="M170" s="439"/>
      <ns0:c r="N170" s="987" t="str">
        <ns0:f>IF(COUNTA($A170:$M170)=0,"",IF(OR(LEFT(LOWER(TRIM($F170&amp;"")),12)="subscription",LOWER(TRIM($F170&amp;""))="membership"),"",IF(OR(AND($H170&lt;&gt;"",$H170=0),LEFT(LOWER(TRIM($F170&amp;"")),9)="free game",LOWER(TRIM($F170&amp;""))="free",LOWER(TRIM($F170&amp;""))="free entry"),IF(ISNUMBER($G170),IF(ISNUMBER(SEARCH("non",LOWER($E170&amp;""))),$G170*0.85,$G170),"N/A"),IF($G170="","",IFERROR(IF(ISNUMBER(SEARCH("non",LOWER($E170&amp;""))),$G170*0.85,$G170),"")))))</ns0:f>
        <ns0:v/>
      </ns0:c>
      <ns0:c r="O170" s="987" t="str">
        <ns0:f>IF(COUNTA($A170:$M170)=0,"",IF(OR(LEFT(LOWER(TRIM($F170&amp;"")),12)="subscription",LOWER(TRIM($F170&amp;""))="membership"),"",IF(OR(AND($H170&lt;&gt;"",$H170=0),LEFT(LOWER(TRIM($F170&amp;"")),9)="free game",LOWER(TRIM($F170&amp;""))="free",LOWER(TRIM($F170&amp;""))="free entry"),IF(OR(NOT(ISNUMBER($N170)),NOT(ISNUMBER($I170)),$I170=0),"N/A",IFERROR($N170/$I170,"N/A")),IF(OR($N170="",$I170="",$I170=0),"",IFERROR($N170/$I170,"")))))</ns0:f>
        <ns0:v/>
      </ns0:c>
      <ns0:c r="P170" s="987">
        <ns0:f>IF(COUNTA($A170:$M170)=0,"",IF(OR(LEFT(LOWER(TRIM($F170&amp;"")),12)="subscription",LOWER(TRIM($F170&amp;""))="membership"),"",IF(LOWER(TRIM($D170&amp;""))="estimate","N/A",IF(LOWER($L170&amp;"")="yes",0,IF(OR(AND($H170&lt;&gt;"",$H170=0),LEFT(LOWER(TRIM($F170&amp;"")),9)="free game",LOWER(TRIM($F170&amp;""))="free",LOWER(TRIM($F170&amp;""))="free entry"),IF(ISNUMBER($K170),$K170,""),IF($K170&lt;&gt;"",$K170,""))))))</ns0:f>
      </ns0:c>
      <ns0:c r="Q170" s="114">
        <ns0:f>IF(COUNTA($A170:$M170)=0,"",IF(OR($U170="Subscription",$U170=""),"",IF($U170="Estimate","N/A",IF($U170="Profit",ROUND(IFERROR($P170,0)-IFERROR($H170,0),2),0))))</ns0:f>
      </ns0:c>
      <ns0:c r="R170" s="114">
        <ns0:f>IF(COUNTA($A170:$M170)=0,"",IF(OR($U170="Subscription",$U170=""),"",IF($U170="Estimate","N/A",IF($U170="Draw",$H170,0))))</ns0:f>
      </ns0:c>
      <ns0:c r="S170" s="114">
        <ns0:f>IF(COUNTA($A170:$M170)=0,"",IF(OR($U170="Subscription",$U170=""),"",IF($U170="Estimate","N/A",IF($U170="Disqualified",$H170,0))))</ns0:f>
      </ns0:c>
      <ns0:c r="T170" s="955">
        <ns0:f>IF(COUNTA($A170:$M170)=0,"",IF(OR($U170="Subscription",$U170=""),"",IF($U170="Estimate","N/A",IF(OR($U170="Free Game",$U170="Disqualified — Free Game",$H170=0),"N/A",IF($U170="Profit",$Q170/$H170,IF($U170="Disqualified",-$S170/$H170,0))))))</ns0:f>
      </ns0:c>
      <ns0:c r="U170" s="920">
        <ns0:f>IF(COUNTA($A170:$M170)=0,"",IF(OR(LEFT(LOWER(TRIM($F170&amp;"")),12)="subscription",LOWER(TRIM($F170&amp;""))="membership"),"Subscription",IF(LOWER(TRIM($D170&amp;""))="estimate","Estimate",IF(OR(AND($H170&lt;&gt;"",$H170=0),LEFT(LOWER(TRIM($F170&amp;"")),9)="free game",LOWER(TRIM($F170&amp;""))="free",LOWER(TRIM($F170&amp;""))="free entry"),IF(LOWER($L170&amp;"")="yes","Disqualified — Free Game","Free Game"),IF(LOWER($L170&amp;"")="yes","Disqualified",IF($P170="","",IF(ROUND(IFERROR(VALUE($P170),0)-IFERROR(VALUE($H170),0),2)&gt;0,"Profit","Draw")))))))</ns0:f>
      </ns0:c>
      <ns0:c r="V170" s="956" t="str">
        <ns0:f>IF(COUNTA($A170:$M170)=0,"",IF(OR($B170="",$C170="",$U170="Subscription"),"",IFERROR(ROUNDUP(($C170-$B170)/7,0),"")))</ns0:f>
      </ns0:c>
      <ns0:c r="W170" s="114">
        <ns0:f>IF(COUNTA($A170:$M170)=0,"",IF(OR($U170="Subscription",$U170=""),"",IF($U170="Estimate","N/A",IF(OR($U170="Free Game",$U170="Disqualified — Free Game"),0,ROUND(IFERROR($Q170,0)-IFERROR($S170,0),2)))))</ns0:f>
      </ns0:c>
      <ns0:c r="X170" s="956" t="str">
        <ns0:f>IF(COUNTA($A170:$M170)=0,"",IF(OR($U170="Subscription",NOT(ISNUMBER($J170)),NOT(ISNUMBER($I170)),$J170=0,$I170=0,$I170&gt;$J170),"",$J170-$I170))</ns0:f>
      </ns0:c>
      <ns0:c r="Y170" s="955" t="str">
        <ns0:f>IF(COUNTA($A170:$M170)=0,"",IF(OR($U170="Subscription",NOT(ISNUMBER($J170)),$J170=0,$X170=""),"",$X170/$J170))</ns0:f>
      </ns0:c>
      <ns0:c r="Z170" s="957" t="str">
        <ns0:f>IF(COUNTA($A170:$M170)=0,"",Instructions!$B$29+SUM($W$5:W170))</ns0:f>
      </ns0:c>
    </ns0:row>
    <ns0:row r="171" ht="36" customHeight="1">
      <ns0:c r="A171" s="439"/>
      <ns0:c r="B171" s="453"/>
      <ns0:c r="C171" s="453"/>
      <ns0:c r="D171" s="454"/>
      <ns0:c r="E171" s="454"/>
      <ns0:c r="F171" s="454"/>
      <ns0:c r="G171" s="986"/>
      <ns0:c r="H171" s="455"/>
      <ns0:c r="I171" s="456"/>
      <ns0:c r="J171" s="456"/>
      <ns0:c r="K171" s="986"/>
      <ns0:c r="L171" s="454"/>
      <ns0:c r="M171" s="439"/>
      <ns0:c r="N171" s="987" t="str">
        <ns0:f>IF(COUNTA($A171:$M171)=0,"",IF(OR(LEFT(LOWER(TRIM($F171&amp;"")),12)="subscription",LOWER(TRIM($F171&amp;""))="membership"),"",IF(OR(AND($H171&lt;&gt;"",$H171=0),LEFT(LOWER(TRIM($F171&amp;"")),9)="free game",LOWER(TRIM($F171&amp;""))="free",LOWER(TRIM($F171&amp;""))="free entry"),IF(ISNUMBER($G171),IF(ISNUMBER(SEARCH("non",LOWER($E171&amp;""))),$G171*0.85,$G171),"N/A"),IF($G171="","",IFERROR(IF(ISNUMBER(SEARCH("non",LOWER($E171&amp;""))),$G171*0.85,$G171),"")))))</ns0:f>
        <ns0:v/>
      </ns0:c>
      <ns0:c r="O171" s="987" t="str">
        <ns0:f>IF(COUNTA($A171:$M171)=0,"",IF(OR(LEFT(LOWER(TRIM($F171&amp;"")),12)="subscription",LOWER(TRIM($F171&amp;""))="membership"),"",IF(OR(AND($H171&lt;&gt;"",$H171=0),LEFT(LOWER(TRIM($F171&amp;"")),9)="free game",LOWER(TRIM($F171&amp;""))="free",LOWER(TRIM($F171&amp;""))="free entry"),IF(OR(NOT(ISNUMBER($N171)),NOT(ISNUMBER($I171)),$I171=0),"N/A",IFERROR($N171/$I171,"N/A")),IF(OR($N171="",$I171="",$I171=0),"",IFERROR($N171/$I171,"")))))</ns0:f>
        <ns0:v/>
      </ns0:c>
      <ns0:c r="P171" s="987">
        <ns0:f>IF(COUNTA($A171:$M171)=0,"",IF(OR(LEFT(LOWER(TRIM($F171&amp;"")),12)="subscription",LOWER(TRIM($F171&amp;""))="membership"),"",IF(LOWER(TRIM($D171&amp;""))="estimate","N/A",IF(LOWER($L171&amp;"")="yes",0,IF(OR(AND($H171&lt;&gt;"",$H171=0),LEFT(LOWER(TRIM($F171&amp;"")),9)="free game",LOWER(TRIM($F171&amp;""))="free",LOWER(TRIM($F171&amp;""))="free entry"),IF(ISNUMBER($K171),$K171,""),IF($K171&lt;&gt;"",$K171,""))))))</ns0:f>
      </ns0:c>
      <ns0:c r="Q171" s="114">
        <ns0:f>IF(COUNTA($A171:$M171)=0,"",IF(OR($U171="Subscription",$U171=""),"",IF($U171="Estimate","N/A",IF($U171="Profit",ROUND(IFERROR($P171,0)-IFERROR($H171,0),2),0))))</ns0:f>
      </ns0:c>
      <ns0:c r="R171" s="114">
        <ns0:f>IF(COUNTA($A171:$M171)=0,"",IF(OR($U171="Subscription",$U171=""),"",IF($U171="Estimate","N/A",IF($U171="Draw",$H171,0))))</ns0:f>
      </ns0:c>
      <ns0:c r="S171" s="114">
        <ns0:f>IF(COUNTA($A171:$M171)=0,"",IF(OR($U171="Subscription",$U171=""),"",IF($U171="Estimate","N/A",IF($U171="Disqualified",$H171,0))))</ns0:f>
      </ns0:c>
      <ns0:c r="T171" s="955">
        <ns0:f>IF(COUNTA($A171:$M171)=0,"",IF(OR($U171="Subscription",$U171=""),"",IF($U171="Estimate","N/A",IF(OR($U171="Free Game",$U171="Disqualified — Free Game",$H171=0),"N/A",IF($U171="Profit",$Q171/$H171,IF($U171="Disqualified",-$S171/$H171,0))))))</ns0:f>
      </ns0:c>
      <ns0:c r="U171" s="920">
        <ns0:f>IF(COUNTA($A171:$M171)=0,"",IF(OR(LEFT(LOWER(TRIM($F171&amp;"")),12)="subscription",LOWER(TRIM($F171&amp;""))="membership"),"Subscription",IF(LOWER(TRIM($D171&amp;""))="estimate","Estimate",IF(OR(AND($H171&lt;&gt;"",$H171=0),LEFT(LOWER(TRIM($F171&amp;"")),9)="free game",LOWER(TRIM($F171&amp;""))="free",LOWER(TRIM($F171&amp;""))="free entry"),IF(LOWER($L171&amp;"")="yes","Disqualified — Free Game","Free Game"),IF(LOWER($L171&amp;"")="yes","Disqualified",IF($P171="","",IF(ROUND(IFERROR(VALUE($P171),0)-IFERROR(VALUE($H171),0),2)&gt;0,"Profit","Draw")))))))</ns0:f>
      </ns0:c>
      <ns0:c r="V171" s="956" t="str">
        <ns0:f>IF(COUNTA($A171:$M171)=0,"",IF(OR($B171="",$C171="",$U171="Subscription"),"",IFERROR(ROUNDUP(($C171-$B171)/7,0),"")))</ns0:f>
      </ns0:c>
      <ns0:c r="W171" s="114">
        <ns0:f>IF(COUNTA($A171:$M171)=0,"",IF(OR($U171="Subscription",$U171=""),"",IF($U171="Estimate","N/A",IF(OR($U171="Free Game",$U171="Disqualified — Free Game"),0,ROUND(IFERROR($Q171,0)-IFERROR($S171,0),2)))))</ns0:f>
      </ns0:c>
      <ns0:c r="X171" s="956" t="str">
        <ns0:f>IF(COUNTA($A171:$M171)=0,"",IF(OR($U171="Subscription",NOT(ISNUMBER($J171)),NOT(ISNUMBER($I171)),$J171=0,$I171=0,$I171&gt;$J171),"",$J171-$I171))</ns0:f>
      </ns0:c>
      <ns0:c r="Y171" s="955" t="str">
        <ns0:f>IF(COUNTA($A171:$M171)=0,"",IF(OR($U171="Subscription",NOT(ISNUMBER($J171)),$J171=0,$X171=""),"",$X171/$J171))</ns0:f>
      </ns0:c>
      <ns0:c r="Z171" s="957" t="str">
        <ns0:f>IF(COUNTA($A171:$M171)=0,"",Instructions!$B$29+SUM($W$5:W171))</ns0:f>
      </ns0:c>
    </ns0:row>
    <ns0:row r="172" ht="36" customHeight="1">
      <ns0:c r="A172" s="439"/>
      <ns0:c r="B172" s="453"/>
      <ns0:c r="C172" s="453"/>
      <ns0:c r="D172" s="454"/>
      <ns0:c r="E172" s="454"/>
      <ns0:c r="F172" s="454"/>
      <ns0:c r="G172" s="986"/>
      <ns0:c r="H172" s="455"/>
      <ns0:c r="I172" s="456"/>
      <ns0:c r="J172" s="456"/>
      <ns0:c r="K172" s="986"/>
      <ns0:c r="L172" s="454"/>
      <ns0:c r="M172" s="439"/>
      <ns0:c r="N172" s="987" t="str">
        <ns0:f>IF(COUNTA($A172:$M172)=0,"",IF(OR(LEFT(LOWER(TRIM($F172&amp;"")),12)="subscription",LOWER(TRIM($F172&amp;""))="membership"),"",IF(OR(AND($H172&lt;&gt;"",$H172=0),LEFT(LOWER(TRIM($F172&amp;"")),9)="free game",LOWER(TRIM($F172&amp;""))="free",LOWER(TRIM($F172&amp;""))="free entry"),IF(ISNUMBER($G172),IF(ISNUMBER(SEARCH("non",LOWER($E172&amp;""))),$G172*0.85,$G172),"N/A"),IF($G172="","",IFERROR(IF(ISNUMBER(SEARCH("non",LOWER($E172&amp;""))),$G172*0.85,$G172),"")))))</ns0:f>
        <ns0:v/>
      </ns0:c>
      <ns0:c r="O172" s="987" t="str">
        <ns0:f>IF(COUNTA($A172:$M172)=0,"",IF(OR(LEFT(LOWER(TRIM($F172&amp;"")),12)="subscription",LOWER(TRIM($F172&amp;""))="membership"),"",IF(OR(AND($H172&lt;&gt;"",$H172=0),LEFT(LOWER(TRIM($F172&amp;"")),9)="free game",LOWER(TRIM($F172&amp;""))="free",LOWER(TRIM($F172&amp;""))="free entry"),IF(OR(NOT(ISNUMBER($N172)),NOT(ISNUMBER($I172)),$I172=0),"N/A",IFERROR($N172/$I172,"N/A")),IF(OR($N172="",$I172="",$I172=0),"",IFERROR($N172/$I172,"")))))</ns0:f>
        <ns0:v/>
      </ns0:c>
      <ns0:c r="P172" s="987">
        <ns0:f>IF(COUNTA($A172:$M172)=0,"",IF(OR(LEFT(LOWER(TRIM($F172&amp;"")),12)="subscription",LOWER(TRIM($F172&amp;""))="membership"),"",IF(LOWER(TRIM($D172&amp;""))="estimate","N/A",IF(LOWER($L172&amp;"")="yes",0,IF(OR(AND($H172&lt;&gt;"",$H172=0),LEFT(LOWER(TRIM($F172&amp;"")),9)="free game",LOWER(TRIM($F172&amp;""))="free",LOWER(TRIM($F172&amp;""))="free entry"),IF(ISNUMBER($K172),$K172,""),IF($K172&lt;&gt;"",$K172,""))))))</ns0:f>
      </ns0:c>
      <ns0:c r="Q172" s="114">
        <ns0:f>IF(COUNTA($A172:$M172)=0,"",IF(OR($U172="Subscription",$U172=""),"",IF($U172="Estimate","N/A",IF($U172="Profit",ROUND(IFERROR($P172,0)-IFERROR($H172,0),2),0))))</ns0:f>
      </ns0:c>
      <ns0:c r="R172" s="114">
        <ns0:f>IF(COUNTA($A172:$M172)=0,"",IF(OR($U172="Subscription",$U172=""),"",IF($U172="Estimate","N/A",IF($U172="Draw",$H172,0))))</ns0:f>
      </ns0:c>
      <ns0:c r="S172" s="114">
        <ns0:f>IF(COUNTA($A172:$M172)=0,"",IF(OR($U172="Subscription",$U172=""),"",IF($U172="Estimate","N/A",IF($U172="Disqualified",$H172,0))))</ns0:f>
      </ns0:c>
      <ns0:c r="T172" s="955">
        <ns0:f>IF(COUNTA($A172:$M172)=0,"",IF(OR($U172="Subscription",$U172=""),"",IF($U172="Estimate","N/A",IF(OR($U172="Free Game",$U172="Disqualified — Free Game",$H172=0),"N/A",IF($U172="Profit",$Q172/$H172,IF($U172="Disqualified",-$S172/$H172,0))))))</ns0:f>
      </ns0:c>
      <ns0:c r="U172" s="920">
        <ns0:f>IF(COUNTA($A172:$M172)=0,"",IF(OR(LEFT(LOWER(TRIM($F172&amp;"")),12)="subscription",LOWER(TRIM($F172&amp;""))="membership"),"Subscription",IF(LOWER(TRIM($D172&amp;""))="estimate","Estimate",IF(OR(AND($H172&lt;&gt;"",$H172=0),LEFT(LOWER(TRIM($F172&amp;"")),9)="free game",LOWER(TRIM($F172&amp;""))="free",LOWER(TRIM($F172&amp;""))="free entry"),IF(LOWER($L172&amp;"")="yes","Disqualified — Free Game","Free Game"),IF(LOWER($L172&amp;"")="yes","Disqualified",IF($P172="","",IF(ROUND(IFERROR(VALUE($P172),0)-IFERROR(VALUE($H172),0),2)&gt;0,"Profit","Draw")))))))</ns0:f>
      </ns0:c>
      <ns0:c r="V172" s="956" t="str">
        <ns0:f>IF(COUNTA($A172:$M172)=0,"",IF(OR($B172="",$C172="",$U172="Subscription"),"",IFERROR(ROUNDUP(($C172-$B172)/7,0),"")))</ns0:f>
      </ns0:c>
      <ns0:c r="W172" s="114">
        <ns0:f>IF(COUNTA($A172:$M172)=0,"",IF(OR($U172="Subscription",$U172=""),"",IF($U172="Estimate","N/A",IF(OR($U172="Free Game",$U172="Disqualified — Free Game"),0,ROUND(IFERROR($Q172,0)-IFERROR($S172,0),2)))))</ns0:f>
      </ns0:c>
      <ns0:c r="X172" s="956" t="str">
        <ns0:f>IF(COUNTA($A172:$M172)=0,"",IF(OR($U172="Subscription",NOT(ISNUMBER($J172)),NOT(ISNUMBER($I172)),$J172=0,$I172=0,$I172&gt;$J172),"",$J172-$I172))</ns0:f>
      </ns0:c>
      <ns0:c r="Y172" s="955" t="str">
        <ns0:f>IF(COUNTA($A172:$M172)=0,"",IF(OR($U172="Subscription",NOT(ISNUMBER($J172)),$J172=0,$X172=""),"",$X172/$J172))</ns0:f>
      </ns0:c>
      <ns0:c r="Z172" s="957" t="str">
        <ns0:f>IF(COUNTA($A172:$M172)=0,"",Instructions!$B$29+SUM($W$5:W172))</ns0:f>
      </ns0:c>
    </ns0:row>
    <ns0:row r="173" ht="36" customHeight="1">
      <ns0:c r="A173" s="439"/>
      <ns0:c r="B173" s="453"/>
      <ns0:c r="C173" s="453"/>
      <ns0:c r="D173" s="454"/>
      <ns0:c r="E173" s="454"/>
      <ns0:c r="F173" s="454"/>
      <ns0:c r="G173" s="986"/>
      <ns0:c r="H173" s="455"/>
      <ns0:c r="I173" s="456"/>
      <ns0:c r="J173" s="456"/>
      <ns0:c r="K173" s="986"/>
      <ns0:c r="L173" s="454"/>
      <ns0:c r="M173" s="439"/>
      <ns0:c r="N173" s="987" t="str">
        <ns0:f>IF(COUNTA($A173:$M173)=0,"",IF(OR(LEFT(LOWER(TRIM($F173&amp;"")),12)="subscription",LOWER(TRIM($F173&amp;""))="membership"),"",IF(OR(AND($H173&lt;&gt;"",$H173=0),LEFT(LOWER(TRIM($F173&amp;"")),9)="free game",LOWER(TRIM($F173&amp;""))="free",LOWER(TRIM($F173&amp;""))="free entry"),IF(ISNUMBER($G173),IF(ISNUMBER(SEARCH("non",LOWER($E173&amp;""))),$G173*0.85,$G173),"N/A"),IF($G173="","",IFERROR(IF(ISNUMBER(SEARCH("non",LOWER($E173&amp;""))),$G173*0.85,$G173),"")))))</ns0:f>
        <ns0:v/>
      </ns0:c>
      <ns0:c r="O173" s="987" t="str">
        <ns0:f>IF(COUNTA($A173:$M173)=0,"",IF(OR(LEFT(LOWER(TRIM($F173&amp;"")),12)="subscription",LOWER(TRIM($F173&amp;""))="membership"),"",IF(OR(AND($H173&lt;&gt;"",$H173=0),LEFT(LOWER(TRIM($F173&amp;"")),9)="free game",LOWER(TRIM($F173&amp;""))="free",LOWER(TRIM($F173&amp;""))="free entry"),IF(OR(NOT(ISNUMBER($N173)),NOT(ISNUMBER($I173)),$I173=0),"N/A",IFERROR($N173/$I173,"N/A")),IF(OR($N173="",$I173="",$I173=0),"",IFERROR($N173/$I173,"")))))</ns0:f>
        <ns0:v/>
      </ns0:c>
      <ns0:c r="P173" s="987">
        <ns0:f>IF(COUNTA($A173:$M173)=0,"",IF(OR(LEFT(LOWER(TRIM($F173&amp;"")),12)="subscription",LOWER(TRIM($F173&amp;""))="membership"),"",IF(LOWER(TRIM($D173&amp;""))="estimate","N/A",IF(LOWER($L173&amp;"")="yes",0,IF(OR(AND($H173&lt;&gt;"",$H173=0),LEFT(LOWER(TRIM($F173&amp;"")),9)="free game",LOWER(TRIM($F173&amp;""))="free",LOWER(TRIM($F173&amp;""))="free entry"),IF(ISNUMBER($K173),$K173,""),IF($K173&lt;&gt;"",$K173,""))))))</ns0:f>
      </ns0:c>
      <ns0:c r="Q173" s="114">
        <ns0:f>IF(COUNTA($A173:$M173)=0,"",IF(OR($U173="Subscription",$U173=""),"",IF($U173="Estimate","N/A",IF($U173="Profit",ROUND(IFERROR($P173,0)-IFERROR($H173,0),2),0))))</ns0:f>
      </ns0:c>
      <ns0:c r="R173" s="114">
        <ns0:f>IF(COUNTA($A173:$M173)=0,"",IF(OR($U173="Subscription",$U173=""),"",IF($U173="Estimate","N/A",IF($U173="Draw",$H173,0))))</ns0:f>
      </ns0:c>
      <ns0:c r="S173" s="114">
        <ns0:f>IF(COUNTA($A173:$M173)=0,"",IF(OR($U173="Subscription",$U173=""),"",IF($U173="Estimate","N/A",IF($U173="Disqualified",$H173,0))))</ns0:f>
      </ns0:c>
      <ns0:c r="T173" s="955">
        <ns0:f>IF(COUNTA($A173:$M173)=0,"",IF(OR($U173="Subscription",$U173=""),"",IF($U173="Estimate","N/A",IF(OR($U173="Free Game",$U173="Disqualified — Free Game",$H173=0),"N/A",IF($U173="Profit",$Q173/$H173,IF($U173="Disqualified",-$S173/$H173,0))))))</ns0:f>
      </ns0:c>
      <ns0:c r="U173" s="920">
        <ns0:f>IF(COUNTA($A173:$M173)=0,"",IF(OR(LEFT(LOWER(TRIM($F173&amp;"")),12)="subscription",LOWER(TRIM($F173&amp;""))="membership"),"Subscription",IF(LOWER(TRIM($D173&amp;""))="estimate","Estimate",IF(OR(AND($H173&lt;&gt;"",$H173=0),LEFT(LOWER(TRIM($F173&amp;"")),9)="free game",LOWER(TRIM($F173&amp;""))="free",LOWER(TRIM($F173&amp;""))="free entry"),IF(LOWER($L173&amp;"")="yes","Disqualified — Free Game","Free Game"),IF(LOWER($L173&amp;"")="yes","Disqualified",IF($P173="","",IF(ROUND(IFERROR(VALUE($P173),0)-IFERROR(VALUE($H173),0),2)&gt;0,"Profit","Draw")))))))</ns0:f>
      </ns0:c>
      <ns0:c r="V173" s="956" t="str">
        <ns0:f>IF(COUNTA($A173:$M173)=0,"",IF(OR($B173="",$C173="",$U173="Subscription"),"",IFERROR(ROUNDUP(($C173-$B173)/7,0),"")))</ns0:f>
      </ns0:c>
      <ns0:c r="W173" s="114">
        <ns0:f>IF(COUNTA($A173:$M173)=0,"",IF(OR($U173="Subscription",$U173=""),"",IF($U173="Estimate","N/A",IF(OR($U173="Free Game",$U173="Disqualified — Free Game"),0,ROUND(IFERROR($Q173,0)-IFERROR($S173,0),2)))))</ns0:f>
      </ns0:c>
      <ns0:c r="X173" s="956" t="str">
        <ns0:f>IF(COUNTA($A173:$M173)=0,"",IF(OR($U173="Subscription",NOT(ISNUMBER($J173)),NOT(ISNUMBER($I173)),$J173=0,$I173=0,$I173&gt;$J173),"",$J173-$I173))</ns0:f>
      </ns0:c>
      <ns0:c r="Y173" s="955" t="str">
        <ns0:f>IF(COUNTA($A173:$M173)=0,"",IF(OR($U173="Subscription",NOT(ISNUMBER($J173)),$J173=0,$X173=""),"",$X173/$J173))</ns0:f>
      </ns0:c>
      <ns0:c r="Z173" s="957" t="str">
        <ns0:f>IF(COUNTA($A173:$M173)=0,"",Instructions!$B$29+SUM($W$5:W173))</ns0:f>
      </ns0:c>
    </ns0:row>
    <ns0:row r="174" ht="36" customHeight="1">
      <ns0:c r="A174" s="439"/>
      <ns0:c r="B174" s="453"/>
      <ns0:c r="C174" s="453"/>
      <ns0:c r="D174" s="454"/>
      <ns0:c r="E174" s="454"/>
      <ns0:c r="F174" s="454"/>
      <ns0:c r="G174" s="986"/>
      <ns0:c r="H174" s="455"/>
      <ns0:c r="I174" s="456"/>
      <ns0:c r="J174" s="456"/>
      <ns0:c r="K174" s="986"/>
      <ns0:c r="L174" s="454"/>
      <ns0:c r="M174" s="439"/>
      <ns0:c r="N174" s="987" t="str">
        <ns0:f>IF(COUNTA($A174:$M174)=0,"",IF(OR(LEFT(LOWER(TRIM($F174&amp;"")),12)="subscription",LOWER(TRIM($F174&amp;""))="membership"),"",IF(OR(AND($H174&lt;&gt;"",$H174=0),LEFT(LOWER(TRIM($F174&amp;"")),9)="free game",LOWER(TRIM($F174&amp;""))="free",LOWER(TRIM($F174&amp;""))="free entry"),IF(ISNUMBER($G174),IF(ISNUMBER(SEARCH("non",LOWER($E174&amp;""))),$G174*0.85,$G174),"N/A"),IF($G174="","",IFERROR(IF(ISNUMBER(SEARCH("non",LOWER($E174&amp;""))),$G174*0.85,$G174),"")))))</ns0:f>
        <ns0:v/>
      </ns0:c>
      <ns0:c r="O174" s="987" t="str">
        <ns0:f>IF(COUNTA($A174:$M174)=0,"",IF(OR(LEFT(LOWER(TRIM($F174&amp;"")),12)="subscription",LOWER(TRIM($F174&amp;""))="membership"),"",IF(OR(AND($H174&lt;&gt;"",$H174=0),LEFT(LOWER(TRIM($F174&amp;"")),9)="free game",LOWER(TRIM($F174&amp;""))="free",LOWER(TRIM($F174&amp;""))="free entry"),IF(OR(NOT(ISNUMBER($N174)),NOT(ISNUMBER($I174)),$I174=0),"N/A",IFERROR($N174/$I174,"N/A")),IF(OR($N174="",$I174="",$I174=0),"",IFERROR($N174/$I174,"")))))</ns0:f>
        <ns0:v/>
      </ns0:c>
      <ns0:c r="P174" s="987">
        <ns0:f>IF(COUNTA($A174:$M174)=0,"",IF(OR(LEFT(LOWER(TRIM($F174&amp;"")),12)="subscription",LOWER(TRIM($F174&amp;""))="membership"),"",IF(LOWER(TRIM($D174&amp;""))="estimate","N/A",IF(LOWER($L174&amp;"")="yes",0,IF(OR(AND($H174&lt;&gt;"",$H174=0),LEFT(LOWER(TRIM($F174&amp;"")),9)="free game",LOWER(TRIM($F174&amp;""))="free",LOWER(TRIM($F174&amp;""))="free entry"),IF(ISNUMBER($K174),$K174,""),IF($K174&lt;&gt;"",$K174,""))))))</ns0:f>
      </ns0:c>
      <ns0:c r="Q174" s="114">
        <ns0:f>IF(COUNTA($A174:$M174)=0,"",IF(OR($U174="Subscription",$U174=""),"",IF($U174="Estimate","N/A",IF($U174="Profit",ROUND(IFERROR($P174,0)-IFERROR($H174,0),2),0))))</ns0:f>
      </ns0:c>
      <ns0:c r="R174" s="114">
        <ns0:f>IF(COUNTA($A174:$M174)=0,"",IF(OR($U174="Subscription",$U174=""),"",IF($U174="Estimate","N/A",IF($U174="Draw",$H174,0))))</ns0:f>
      </ns0:c>
      <ns0:c r="S174" s="114">
        <ns0:f>IF(COUNTA($A174:$M174)=0,"",IF(OR($U174="Subscription",$U174=""),"",IF($U174="Estimate","N/A",IF($U174="Disqualified",$H174,0))))</ns0:f>
      </ns0:c>
      <ns0:c r="T174" s="955">
        <ns0:f>IF(COUNTA($A174:$M174)=0,"",IF(OR($U174="Subscription",$U174=""),"",IF($U174="Estimate","N/A",IF(OR($U174="Free Game",$U174="Disqualified — Free Game",$H174=0),"N/A",IF($U174="Profit",$Q174/$H174,IF($U174="Disqualified",-$S174/$H174,0))))))</ns0:f>
      </ns0:c>
      <ns0:c r="U174" s="920">
        <ns0:f>IF(COUNTA($A174:$M174)=0,"",IF(OR(LEFT(LOWER(TRIM($F174&amp;"")),12)="subscription",LOWER(TRIM($F174&amp;""))="membership"),"Subscription",IF(LOWER(TRIM($D174&amp;""))="estimate","Estimate",IF(OR(AND($H174&lt;&gt;"",$H174=0),LEFT(LOWER(TRIM($F174&amp;"")),9)="free game",LOWER(TRIM($F174&amp;""))="free",LOWER(TRIM($F174&amp;""))="free entry"),IF(LOWER($L174&amp;"")="yes","Disqualified — Free Game","Free Game"),IF(LOWER($L174&amp;"")="yes","Disqualified",IF($P174="","",IF(ROUND(IFERROR(VALUE($P174),0)-IFERROR(VALUE($H174),0),2)&gt;0,"Profit","Draw")))))))</ns0:f>
      </ns0:c>
      <ns0:c r="V174" s="956" t="str">
        <ns0:f>IF(COUNTA($A174:$M174)=0,"",IF(OR($B174="",$C174="",$U174="Subscription"),"",IFERROR(ROUNDUP(($C174-$B174)/7,0),"")))</ns0:f>
      </ns0:c>
      <ns0:c r="W174" s="114">
        <ns0:f>IF(COUNTA($A174:$M174)=0,"",IF(OR($U174="Subscription",$U174=""),"",IF($U174="Estimate","N/A",IF(OR($U174="Free Game",$U174="Disqualified — Free Game"),0,ROUND(IFERROR($Q174,0)-IFERROR($S174,0),2)))))</ns0:f>
      </ns0:c>
      <ns0:c r="X174" s="956" t="str">
        <ns0:f>IF(COUNTA($A174:$M174)=0,"",IF(OR($U174="Subscription",NOT(ISNUMBER($J174)),NOT(ISNUMBER($I174)),$J174=0,$I174=0,$I174&gt;$J174),"",$J174-$I174))</ns0:f>
      </ns0:c>
      <ns0:c r="Y174" s="955" t="str">
        <ns0:f>IF(COUNTA($A174:$M174)=0,"",IF(OR($U174="Subscription",NOT(ISNUMBER($J174)),$J174=0,$X174=""),"",$X174/$J174))</ns0:f>
      </ns0:c>
      <ns0:c r="Z174" s="957" t="str">
        <ns0:f>IF(COUNTA($A174:$M174)=0,"",Instructions!$B$29+SUM($W$5:W174))</ns0:f>
      </ns0:c>
    </ns0:row>
    <ns0:row r="175" ht="36" customHeight="1">
      <ns0:c r="A175" s="439"/>
      <ns0:c r="B175" s="453"/>
      <ns0:c r="C175" s="453"/>
      <ns0:c r="D175" s="454"/>
      <ns0:c r="E175" s="454"/>
      <ns0:c r="F175" s="454"/>
      <ns0:c r="G175" s="986"/>
      <ns0:c r="H175" s="455"/>
      <ns0:c r="I175" s="456"/>
      <ns0:c r="J175" s="456"/>
      <ns0:c r="K175" s="986"/>
      <ns0:c r="L175" s="454"/>
      <ns0:c r="M175" s="439"/>
      <ns0:c r="N175" s="987" t="str">
        <ns0:f>IF(COUNTA($A175:$M175)=0,"",IF(OR(LEFT(LOWER(TRIM($F175&amp;"")),12)="subscription",LOWER(TRIM($F175&amp;""))="membership"),"",IF(OR(AND($H175&lt;&gt;"",$H175=0),LEFT(LOWER(TRIM($F175&amp;"")),9)="free game",LOWER(TRIM($F175&amp;""))="free",LOWER(TRIM($F175&amp;""))="free entry"),IF(ISNUMBER($G175),IF(ISNUMBER(SEARCH("non",LOWER($E175&amp;""))),$G175*0.85,$G175),"N/A"),IF($G175="","",IFERROR(IF(ISNUMBER(SEARCH("non",LOWER($E175&amp;""))),$G175*0.85,$G175),"")))))</ns0:f>
        <ns0:v/>
      </ns0:c>
      <ns0:c r="O175" s="987" t="str">
        <ns0:f>IF(COUNTA($A175:$M175)=0,"",IF(OR(LEFT(LOWER(TRIM($F175&amp;"")),12)="subscription",LOWER(TRIM($F175&amp;""))="membership"),"",IF(OR(AND($H175&lt;&gt;"",$H175=0),LEFT(LOWER(TRIM($F175&amp;"")),9)="free game",LOWER(TRIM($F175&amp;""))="free",LOWER(TRIM($F175&amp;""))="free entry"),IF(OR(NOT(ISNUMBER($N175)),NOT(ISNUMBER($I175)),$I175=0),"N/A",IFERROR($N175/$I175,"N/A")),IF(OR($N175="",$I175="",$I175=0),"",IFERROR($N175/$I175,"")))))</ns0:f>
        <ns0:v/>
      </ns0:c>
      <ns0:c r="P175" s="987">
        <ns0:f>IF(COUNTA($A175:$M175)=0,"",IF(OR(LEFT(LOWER(TRIM($F175&amp;"")),12)="subscription",LOWER(TRIM($F175&amp;""))="membership"),"",IF(LOWER(TRIM($D175&amp;""))="estimate","N/A",IF(LOWER($L175&amp;"")="yes",0,IF(OR(AND($H175&lt;&gt;"",$H175=0),LEFT(LOWER(TRIM($F175&amp;"")),9)="free game",LOWER(TRIM($F175&amp;""))="free",LOWER(TRIM($F175&amp;""))="free entry"),IF(ISNUMBER($K175),$K175,""),IF($K175&lt;&gt;"",$K175,""))))))</ns0:f>
      </ns0:c>
      <ns0:c r="Q175" s="114">
        <ns0:f>IF(COUNTA($A175:$M175)=0,"",IF(OR($U175="Subscription",$U175=""),"",IF($U175="Estimate","N/A",IF($U175="Profit",ROUND(IFERROR($P175,0)-IFERROR($H175,0),2),0))))</ns0:f>
      </ns0:c>
      <ns0:c r="R175" s="114">
        <ns0:f>IF(COUNTA($A175:$M175)=0,"",IF(OR($U175="Subscription",$U175=""),"",IF($U175="Estimate","N/A",IF($U175="Draw",$H175,0))))</ns0:f>
      </ns0:c>
      <ns0:c r="S175" s="114">
        <ns0:f>IF(COUNTA($A175:$M175)=0,"",IF(OR($U175="Subscription",$U175=""),"",IF($U175="Estimate","N/A",IF($U175="Disqualified",$H175,0))))</ns0:f>
      </ns0:c>
      <ns0:c r="T175" s="955">
        <ns0:f>IF(COUNTA($A175:$M175)=0,"",IF(OR($U175="Subscription",$U175=""),"",IF($U175="Estimate","N/A",IF(OR($U175="Free Game",$U175="Disqualified — Free Game",$H175=0),"N/A",IF($U175="Profit",$Q175/$H175,IF($U175="Disqualified",-$S175/$H175,0))))))</ns0:f>
      </ns0:c>
      <ns0:c r="U175" s="920">
        <ns0:f>IF(COUNTA($A175:$M175)=0,"",IF(OR(LEFT(LOWER(TRIM($F175&amp;"")),12)="subscription",LOWER(TRIM($F175&amp;""))="membership"),"Subscription",IF(LOWER(TRIM($D175&amp;""))="estimate","Estimate",IF(OR(AND($H175&lt;&gt;"",$H175=0),LEFT(LOWER(TRIM($F175&amp;"")),9)="free game",LOWER(TRIM($F175&amp;""))="free",LOWER(TRIM($F175&amp;""))="free entry"),IF(LOWER($L175&amp;"")="yes","Disqualified — Free Game","Free Game"),IF(LOWER($L175&amp;"")="yes","Disqualified",IF($P175="","",IF(ROUND(IFERROR(VALUE($P175),0)-IFERROR(VALUE($H175),0),2)&gt;0,"Profit","Draw")))))))</ns0:f>
      </ns0:c>
      <ns0:c r="V175" s="956" t="str">
        <ns0:f>IF(COUNTA($A175:$M175)=0,"",IF(OR($B175="",$C175="",$U175="Subscription"),"",IFERROR(ROUNDUP(($C175-$B175)/7,0),"")))</ns0:f>
      </ns0:c>
      <ns0:c r="W175" s="114">
        <ns0:f>IF(COUNTA($A175:$M175)=0,"",IF(OR($U175="Subscription",$U175=""),"",IF($U175="Estimate","N/A",IF(OR($U175="Free Game",$U175="Disqualified — Free Game"),0,ROUND(IFERROR($Q175,0)-IFERROR($S175,0),2)))))</ns0:f>
      </ns0:c>
      <ns0:c r="X175" s="956" t="str">
        <ns0:f>IF(COUNTA($A175:$M175)=0,"",IF(OR($U175="Subscription",NOT(ISNUMBER($J175)),NOT(ISNUMBER($I175)),$J175=0,$I175=0,$I175&gt;$J175),"",$J175-$I175))</ns0:f>
      </ns0:c>
      <ns0:c r="Y175" s="955" t="str">
        <ns0:f>IF(COUNTA($A175:$M175)=0,"",IF(OR($U175="Subscription",NOT(ISNUMBER($J175)),$J175=0,$X175=""),"",$X175/$J175))</ns0:f>
      </ns0:c>
      <ns0:c r="Z175" s="957" t="str">
        <ns0:f>IF(COUNTA($A175:$M175)=0,"",Instructions!$B$29+SUM($W$5:W175))</ns0:f>
      </ns0:c>
    </ns0:row>
    <ns0:row r="176" ht="36" customHeight="1">
      <ns0:c r="A176" s="439"/>
      <ns0:c r="B176" s="453"/>
      <ns0:c r="C176" s="453"/>
      <ns0:c r="D176" s="454"/>
      <ns0:c r="E176" s="454"/>
      <ns0:c r="F176" s="454"/>
      <ns0:c r="G176" s="986"/>
      <ns0:c r="H176" s="455"/>
      <ns0:c r="I176" s="456"/>
      <ns0:c r="J176" s="456"/>
      <ns0:c r="K176" s="986"/>
      <ns0:c r="L176" s="454"/>
      <ns0:c r="M176" s="439"/>
      <ns0:c r="N176" s="987" t="str">
        <ns0:f>IF(COUNTA($A176:$M176)=0,"",IF(OR(LEFT(LOWER(TRIM($F176&amp;"")),12)="subscription",LOWER(TRIM($F176&amp;""))="membership"),"",IF(OR(AND($H176&lt;&gt;"",$H176=0),LEFT(LOWER(TRIM($F176&amp;"")),9)="free game",LOWER(TRIM($F176&amp;""))="free",LOWER(TRIM($F176&amp;""))="free entry"),IF(ISNUMBER($G176),IF(ISNUMBER(SEARCH("non",LOWER($E176&amp;""))),$G176*0.85,$G176),"N/A"),IF($G176="","",IFERROR(IF(ISNUMBER(SEARCH("non",LOWER($E176&amp;""))),$G176*0.85,$G176),"")))))</ns0:f>
        <ns0:v/>
      </ns0:c>
      <ns0:c r="O176" s="987" t="str">
        <ns0:f>IF(COUNTA($A176:$M176)=0,"",IF(OR(LEFT(LOWER(TRIM($F176&amp;"")),12)="subscription",LOWER(TRIM($F176&amp;""))="membership"),"",IF(OR(AND($H176&lt;&gt;"",$H176=0),LEFT(LOWER(TRIM($F176&amp;"")),9)="free game",LOWER(TRIM($F176&amp;""))="free",LOWER(TRIM($F176&amp;""))="free entry"),IF(OR(NOT(ISNUMBER($N176)),NOT(ISNUMBER($I176)),$I176=0),"N/A",IFERROR($N176/$I176,"N/A")),IF(OR($N176="",$I176="",$I176=0),"",IFERROR($N176/$I176,"")))))</ns0:f>
        <ns0:v/>
      </ns0:c>
      <ns0:c r="P176" s="987">
        <ns0:f>IF(COUNTA($A176:$M176)=0,"",IF(OR(LEFT(LOWER(TRIM($F176&amp;"")),12)="subscription",LOWER(TRIM($F176&amp;""))="membership"),"",IF(LOWER(TRIM($D176&amp;""))="estimate","N/A",IF(LOWER($L176&amp;"")="yes",0,IF(OR(AND($H176&lt;&gt;"",$H176=0),LEFT(LOWER(TRIM($F176&amp;"")),9)="free game",LOWER(TRIM($F176&amp;""))="free",LOWER(TRIM($F176&amp;""))="free entry"),IF(ISNUMBER($K176),$K176,""),IF($K176&lt;&gt;"",$K176,""))))))</ns0:f>
      </ns0:c>
      <ns0:c r="Q176" s="114">
        <ns0:f>IF(COUNTA($A176:$M176)=0,"",IF(OR($U176="Subscription",$U176=""),"",IF($U176="Estimate","N/A",IF($U176="Profit",ROUND(IFERROR($P176,0)-IFERROR($H176,0),2),0))))</ns0:f>
      </ns0:c>
      <ns0:c r="R176" s="114">
        <ns0:f>IF(COUNTA($A176:$M176)=0,"",IF(OR($U176="Subscription",$U176=""),"",IF($U176="Estimate","N/A",IF($U176="Draw",$H176,0))))</ns0:f>
      </ns0:c>
      <ns0:c r="S176" s="114">
        <ns0:f>IF(COUNTA($A176:$M176)=0,"",IF(OR($U176="Subscription",$U176=""),"",IF($U176="Estimate","N/A",IF($U176="Disqualified",$H176,0))))</ns0:f>
      </ns0:c>
      <ns0:c r="T176" s="955">
        <ns0:f>IF(COUNTA($A176:$M176)=0,"",IF(OR($U176="Subscription",$U176=""),"",IF($U176="Estimate","N/A",IF(OR($U176="Free Game",$U176="Disqualified — Free Game",$H176=0),"N/A",IF($U176="Profit",$Q176/$H176,IF($U176="Disqualified",-$S176/$H176,0))))))</ns0:f>
      </ns0:c>
      <ns0:c r="U176" s="920">
        <ns0:f>IF(COUNTA($A176:$M176)=0,"",IF(OR(LEFT(LOWER(TRIM($F176&amp;"")),12)="subscription",LOWER(TRIM($F176&amp;""))="membership"),"Subscription",IF(LOWER(TRIM($D176&amp;""))="estimate","Estimate",IF(OR(AND($H176&lt;&gt;"",$H176=0),LEFT(LOWER(TRIM($F176&amp;"")),9)="free game",LOWER(TRIM($F176&amp;""))="free",LOWER(TRIM($F176&amp;""))="free entry"),IF(LOWER($L176&amp;"")="yes","Disqualified — Free Game","Free Game"),IF(LOWER($L176&amp;"")="yes","Disqualified",IF($P176="","",IF(ROUND(IFERROR(VALUE($P176),0)-IFERROR(VALUE($H176),0),2)&gt;0,"Profit","Draw")))))))</ns0:f>
      </ns0:c>
      <ns0:c r="V176" s="956" t="str">
        <ns0:f>IF(COUNTA($A176:$M176)=0,"",IF(OR($B176="",$C176="",$U176="Subscription"),"",IFERROR(ROUNDUP(($C176-$B176)/7,0),"")))</ns0:f>
      </ns0:c>
      <ns0:c r="W176" s="114">
        <ns0:f>IF(COUNTA($A176:$M176)=0,"",IF(OR($U176="Subscription",$U176=""),"",IF($U176="Estimate","N/A",IF(OR($U176="Free Game",$U176="Disqualified — Free Game"),0,ROUND(IFERROR($Q176,0)-IFERROR($S176,0),2)))))</ns0:f>
      </ns0:c>
      <ns0:c r="X176" s="956" t="str">
        <ns0:f>IF(COUNTA($A176:$M176)=0,"",IF(OR($U176="Subscription",NOT(ISNUMBER($J176)),NOT(ISNUMBER($I176)),$J176=0,$I176=0,$I176&gt;$J176),"",$J176-$I176))</ns0:f>
      </ns0:c>
      <ns0:c r="Y176" s="955" t="str">
        <ns0:f>IF(COUNTA($A176:$M176)=0,"",IF(OR($U176="Subscription",NOT(ISNUMBER($J176)),$J176=0,$X176=""),"",$X176/$J176))</ns0:f>
      </ns0:c>
      <ns0:c r="Z176" s="957" t="str">
        <ns0:f>IF(COUNTA($A176:$M176)=0,"",Instructions!$B$29+SUM($W$5:W176))</ns0:f>
      </ns0:c>
    </ns0:row>
    <ns0:row r="177" ht="36" customHeight="1">
      <ns0:c r="A177" s="439"/>
      <ns0:c r="B177" s="453"/>
      <ns0:c r="C177" s="453"/>
      <ns0:c r="D177" s="454"/>
      <ns0:c r="E177" s="454"/>
      <ns0:c r="F177" s="454"/>
      <ns0:c r="G177" s="986"/>
      <ns0:c r="H177" s="455"/>
      <ns0:c r="I177" s="456"/>
      <ns0:c r="J177" s="456"/>
      <ns0:c r="K177" s="986"/>
      <ns0:c r="L177" s="454"/>
      <ns0:c r="M177" s="439"/>
      <ns0:c r="N177" s="987" t="str">
        <ns0:f>IF(COUNTA($A177:$M177)=0,"",IF(OR(LEFT(LOWER(TRIM($F177&amp;"")),12)="subscription",LOWER(TRIM($F177&amp;""))="membership"),"",IF(OR(AND($H177&lt;&gt;"",$H177=0),LEFT(LOWER(TRIM($F177&amp;"")),9)="free game",LOWER(TRIM($F177&amp;""))="free",LOWER(TRIM($F177&amp;""))="free entry"),IF(ISNUMBER($G177),IF(ISNUMBER(SEARCH("non",LOWER($E177&amp;""))),$G177*0.85,$G177),"N/A"),IF($G177="","",IFERROR(IF(ISNUMBER(SEARCH("non",LOWER($E177&amp;""))),$G177*0.85,$G177),"")))))</ns0:f>
        <ns0:v/>
      </ns0:c>
      <ns0:c r="O177" s="987" t="str">
        <ns0:f>IF(COUNTA($A177:$M177)=0,"",IF(OR(LEFT(LOWER(TRIM($F177&amp;"")),12)="subscription",LOWER(TRIM($F177&amp;""))="membership"),"",IF(OR(AND($H177&lt;&gt;"",$H177=0),LEFT(LOWER(TRIM($F177&amp;"")),9)="free game",LOWER(TRIM($F177&amp;""))="free",LOWER(TRIM($F177&amp;""))="free entry"),IF(OR(NOT(ISNUMBER($N177)),NOT(ISNUMBER($I177)),$I177=0),"N/A",IFERROR($N177/$I177,"N/A")),IF(OR($N177="",$I177="",$I177=0),"",IFERROR($N177/$I177,"")))))</ns0:f>
        <ns0:v/>
      </ns0:c>
      <ns0:c r="P177" s="987">
        <ns0:f>IF(COUNTA($A177:$M177)=0,"",IF(OR(LEFT(LOWER(TRIM($F177&amp;"")),12)="subscription",LOWER(TRIM($F177&amp;""))="membership"),"",IF(LOWER(TRIM($D177&amp;""))="estimate","N/A",IF(LOWER($L177&amp;"")="yes",0,IF(OR(AND($H177&lt;&gt;"",$H177=0),LEFT(LOWER(TRIM($F177&amp;"")),9)="free game",LOWER(TRIM($F177&amp;""))="free",LOWER(TRIM($F177&amp;""))="free entry"),IF(ISNUMBER($K177),$K177,""),IF($K177&lt;&gt;"",$K177,""))))))</ns0:f>
      </ns0:c>
      <ns0:c r="Q177" s="114">
        <ns0:f>IF(COUNTA($A177:$M177)=0,"",IF(OR($U177="Subscription",$U177=""),"",IF($U177="Estimate","N/A",IF($U177="Profit",ROUND(IFERROR($P177,0)-IFERROR($H177,0),2),0))))</ns0:f>
      </ns0:c>
      <ns0:c r="R177" s="114">
        <ns0:f>IF(COUNTA($A177:$M177)=0,"",IF(OR($U177="Subscription",$U177=""),"",IF($U177="Estimate","N/A",IF($U177="Draw",$H177,0))))</ns0:f>
      </ns0:c>
      <ns0:c r="S177" s="114">
        <ns0:f>IF(COUNTA($A177:$M177)=0,"",IF(OR($U177="Subscription",$U177=""),"",IF($U177="Estimate","N/A",IF($U177="Disqualified",$H177,0))))</ns0:f>
      </ns0:c>
      <ns0:c r="T177" s="955">
        <ns0:f>IF(COUNTA($A177:$M177)=0,"",IF(OR($U177="Subscription",$U177=""),"",IF($U177="Estimate","N/A",IF(OR($U177="Free Game",$U177="Disqualified — Free Game",$H177=0),"N/A",IF($U177="Profit",$Q177/$H177,IF($U177="Disqualified",-$S177/$H177,0))))))</ns0:f>
      </ns0:c>
      <ns0:c r="U177" s="920">
        <ns0:f>IF(COUNTA($A177:$M177)=0,"",IF(OR(LEFT(LOWER(TRIM($F177&amp;"")),12)="subscription",LOWER(TRIM($F177&amp;""))="membership"),"Subscription",IF(LOWER(TRIM($D177&amp;""))="estimate","Estimate",IF(OR(AND($H177&lt;&gt;"",$H177=0),LEFT(LOWER(TRIM($F177&amp;"")),9)="free game",LOWER(TRIM($F177&amp;""))="free",LOWER(TRIM($F177&amp;""))="free entry"),IF(LOWER($L177&amp;"")="yes","Disqualified — Free Game","Free Game"),IF(LOWER($L177&amp;"")="yes","Disqualified",IF($P177="","",IF(ROUND(IFERROR(VALUE($P177),0)-IFERROR(VALUE($H177),0),2)&gt;0,"Profit","Draw")))))))</ns0:f>
      </ns0:c>
      <ns0:c r="V177" s="956" t="str">
        <ns0:f>IF(COUNTA($A177:$M177)=0,"",IF(OR($B177="",$C177="",$U177="Subscription"),"",IFERROR(ROUNDUP(($C177-$B177)/7,0),"")))</ns0:f>
      </ns0:c>
      <ns0:c r="W177" s="114">
        <ns0:f>IF(COUNTA($A177:$M177)=0,"",IF(OR($U177="Subscription",$U177=""),"",IF($U177="Estimate","N/A",IF(OR($U177="Free Game",$U177="Disqualified — Free Game"),0,ROUND(IFERROR($Q177,0)-IFERROR($S177,0),2)))))</ns0:f>
      </ns0:c>
      <ns0:c r="X177" s="956" t="str">
        <ns0:f>IF(COUNTA($A177:$M177)=0,"",IF(OR($U177="Subscription",NOT(ISNUMBER($J177)),NOT(ISNUMBER($I177)),$J177=0,$I177=0,$I177&gt;$J177),"",$J177-$I177))</ns0:f>
      </ns0:c>
      <ns0:c r="Y177" s="955" t="str">
        <ns0:f>IF(COUNTA($A177:$M177)=0,"",IF(OR($U177="Subscription",NOT(ISNUMBER($J177)),$J177=0,$X177=""),"",$X177/$J177))</ns0:f>
      </ns0:c>
      <ns0:c r="Z177" s="957" t="str">
        <ns0:f>IF(COUNTA($A177:$M177)=0,"",Instructions!$B$29+SUM($W$5:W177))</ns0:f>
      </ns0:c>
    </ns0:row>
    <ns0:row r="178" ht="36" customHeight="1">
      <ns0:c r="A178" s="439"/>
      <ns0:c r="B178" s="453"/>
      <ns0:c r="C178" s="453"/>
      <ns0:c r="D178" s="454"/>
      <ns0:c r="E178" s="454"/>
      <ns0:c r="F178" s="454"/>
      <ns0:c r="G178" s="986"/>
      <ns0:c r="H178" s="455"/>
      <ns0:c r="I178" s="456"/>
      <ns0:c r="J178" s="456"/>
      <ns0:c r="K178" s="986"/>
      <ns0:c r="L178" s="454"/>
      <ns0:c r="M178" s="439"/>
      <ns0:c r="N178" s="987" t="str">
        <ns0:f>IF(COUNTA($A178:$M178)=0,"",IF(OR(LEFT(LOWER(TRIM($F178&amp;"")),12)="subscription",LOWER(TRIM($F178&amp;""))="membership"),"",IF(OR(AND($H178&lt;&gt;"",$H178=0),LEFT(LOWER(TRIM($F178&amp;"")),9)="free game",LOWER(TRIM($F178&amp;""))="free",LOWER(TRIM($F178&amp;""))="free entry"),IF(ISNUMBER($G178),IF(ISNUMBER(SEARCH("non",LOWER($E178&amp;""))),$G178*0.85,$G178),"N/A"),IF($G178="","",IFERROR(IF(ISNUMBER(SEARCH("non",LOWER($E178&amp;""))),$G178*0.85,$G178),"")))))</ns0:f>
        <ns0:v/>
      </ns0:c>
      <ns0:c r="O178" s="987" t="str">
        <ns0:f>IF(COUNTA($A178:$M178)=0,"",IF(OR(LEFT(LOWER(TRIM($F178&amp;"")),12)="subscription",LOWER(TRIM($F178&amp;""))="membership"),"",IF(OR(AND($H178&lt;&gt;"",$H178=0),LEFT(LOWER(TRIM($F178&amp;"")),9)="free game",LOWER(TRIM($F178&amp;""))="free",LOWER(TRIM($F178&amp;""))="free entry"),IF(OR(NOT(ISNUMBER($N178)),NOT(ISNUMBER($I178)),$I178=0),"N/A",IFERROR($N178/$I178,"N/A")),IF(OR($N178="",$I178="",$I178=0),"",IFERROR($N178/$I178,"")))))</ns0:f>
        <ns0:v/>
      </ns0:c>
      <ns0:c r="P178" s="987">
        <ns0:f>IF(COUNTA($A178:$M178)=0,"",IF(OR(LEFT(LOWER(TRIM($F178&amp;"")),12)="subscription",LOWER(TRIM($F178&amp;""))="membership"),"",IF(LOWER(TRIM($D178&amp;""))="estimate","N/A",IF(LOWER($L178&amp;"")="yes",0,IF(OR(AND($H178&lt;&gt;"",$H178=0),LEFT(LOWER(TRIM($F178&amp;"")),9)="free game",LOWER(TRIM($F178&amp;""))="free",LOWER(TRIM($F178&amp;""))="free entry"),IF(ISNUMBER($K178),$K178,""),IF($K178&lt;&gt;"",$K178,""))))))</ns0:f>
      </ns0:c>
      <ns0:c r="Q178" s="114">
        <ns0:f>IF(COUNTA($A178:$M178)=0,"",IF(OR($U178="Subscription",$U178=""),"",IF($U178="Estimate","N/A",IF($U178="Profit",ROUND(IFERROR($P178,0)-IFERROR($H178,0),2),0))))</ns0:f>
      </ns0:c>
      <ns0:c r="R178" s="114">
        <ns0:f>IF(COUNTA($A178:$M178)=0,"",IF(OR($U178="Subscription",$U178=""),"",IF($U178="Estimate","N/A",IF($U178="Draw",$H178,0))))</ns0:f>
      </ns0:c>
      <ns0:c r="S178" s="114">
        <ns0:f>IF(COUNTA($A178:$M178)=0,"",IF(OR($U178="Subscription",$U178=""),"",IF($U178="Estimate","N/A",IF($U178="Disqualified",$H178,0))))</ns0:f>
      </ns0:c>
      <ns0:c r="T178" s="955">
        <ns0:f>IF(COUNTA($A178:$M178)=0,"",IF(OR($U178="Subscription",$U178=""),"",IF($U178="Estimate","N/A",IF(OR($U178="Free Game",$U178="Disqualified — Free Game",$H178=0),"N/A",IF($U178="Profit",$Q178/$H178,IF($U178="Disqualified",-$S178/$H178,0))))))</ns0:f>
      </ns0:c>
      <ns0:c r="U178" s="920">
        <ns0:f>IF(COUNTA($A178:$M178)=0,"",IF(OR(LEFT(LOWER(TRIM($F178&amp;"")),12)="subscription",LOWER(TRIM($F178&amp;""))="membership"),"Subscription",IF(LOWER(TRIM($D178&amp;""))="estimate","Estimate",IF(OR(AND($H178&lt;&gt;"",$H178=0),LEFT(LOWER(TRIM($F178&amp;"")),9)="free game",LOWER(TRIM($F178&amp;""))="free",LOWER(TRIM($F178&amp;""))="free entry"),IF(LOWER($L178&amp;"")="yes","Disqualified — Free Game","Free Game"),IF(LOWER($L178&amp;"")="yes","Disqualified",IF($P178="","",IF(ROUND(IFERROR(VALUE($P178),0)-IFERROR(VALUE($H178),0),2)&gt;0,"Profit","Draw")))))))</ns0:f>
      </ns0:c>
      <ns0:c r="V178" s="956" t="str">
        <ns0:f>IF(COUNTA($A178:$M178)=0,"",IF(OR($B178="",$C178="",$U178="Subscription"),"",IFERROR(ROUNDUP(($C178-$B178)/7,0),"")))</ns0:f>
      </ns0:c>
      <ns0:c r="W178" s="114">
        <ns0:f>IF(COUNTA($A178:$M178)=0,"",IF(OR($U178="Subscription",$U178=""),"",IF($U178="Estimate","N/A",IF(OR($U178="Free Game",$U178="Disqualified — Free Game"),0,ROUND(IFERROR($Q178,0)-IFERROR($S178,0),2)))))</ns0:f>
      </ns0:c>
      <ns0:c r="X178" s="956" t="str">
        <ns0:f>IF(COUNTA($A178:$M178)=0,"",IF(OR($U178="Subscription",NOT(ISNUMBER($J178)),NOT(ISNUMBER($I178)),$J178=0,$I178=0,$I178&gt;$J178),"",$J178-$I178))</ns0:f>
      </ns0:c>
      <ns0:c r="Y178" s="955" t="str">
        <ns0:f>IF(COUNTA($A178:$M178)=0,"",IF(OR($U178="Subscription",NOT(ISNUMBER($J178)),$J178=0,$X178=""),"",$X178/$J178))</ns0:f>
      </ns0:c>
      <ns0:c r="Z178" s="957" t="str">
        <ns0:f>IF(COUNTA($A178:$M178)=0,"",Instructions!$B$29+SUM($W$5:W178))</ns0:f>
      </ns0:c>
    </ns0:row>
    <ns0:row r="179" ht="36" customHeight="1">
      <ns0:c r="A179" s="439"/>
      <ns0:c r="B179" s="453"/>
      <ns0:c r="C179" s="453"/>
      <ns0:c r="D179" s="454"/>
      <ns0:c r="E179" s="454"/>
      <ns0:c r="F179" s="454"/>
      <ns0:c r="G179" s="986"/>
      <ns0:c r="H179" s="455"/>
      <ns0:c r="I179" s="456"/>
      <ns0:c r="J179" s="456"/>
      <ns0:c r="K179" s="986"/>
      <ns0:c r="L179" s="454"/>
      <ns0:c r="M179" s="439"/>
      <ns0:c r="N179" s="987" t="str">
        <ns0:f>IF(COUNTA($A179:$M179)=0,"",IF(OR(LEFT(LOWER(TRIM($F179&amp;"")),12)="subscription",LOWER(TRIM($F179&amp;""))="membership"),"",IF(OR(AND($H179&lt;&gt;"",$H179=0),LEFT(LOWER(TRIM($F179&amp;"")),9)="free game",LOWER(TRIM($F179&amp;""))="free",LOWER(TRIM($F179&amp;""))="free entry"),IF(ISNUMBER($G179),IF(ISNUMBER(SEARCH("non",LOWER($E179&amp;""))),$G179*0.85,$G179),"N/A"),IF($G179="","",IFERROR(IF(ISNUMBER(SEARCH("non",LOWER($E179&amp;""))),$G179*0.85,$G179),"")))))</ns0:f>
        <ns0:v/>
      </ns0:c>
      <ns0:c r="O179" s="987" t="str">
        <ns0:f>IF(COUNTA($A179:$M179)=0,"",IF(OR(LEFT(LOWER(TRIM($F179&amp;"")),12)="subscription",LOWER(TRIM($F179&amp;""))="membership"),"",IF(OR(AND($H179&lt;&gt;"",$H179=0),LEFT(LOWER(TRIM($F179&amp;"")),9)="free game",LOWER(TRIM($F179&amp;""))="free",LOWER(TRIM($F179&amp;""))="free entry"),IF(OR(NOT(ISNUMBER($N179)),NOT(ISNUMBER($I179)),$I179=0),"N/A",IFERROR($N179/$I179,"N/A")),IF(OR($N179="",$I179="",$I179=0),"",IFERROR($N179/$I179,"")))))</ns0:f>
        <ns0:v/>
      </ns0:c>
      <ns0:c r="P179" s="987">
        <ns0:f>IF(COUNTA($A179:$M179)=0,"",IF(OR(LEFT(LOWER(TRIM($F179&amp;"")),12)="subscription",LOWER(TRIM($F179&amp;""))="membership"),"",IF(LOWER(TRIM($D179&amp;""))="estimate","N/A",IF(LOWER($L179&amp;"")="yes",0,IF(OR(AND($H179&lt;&gt;"",$H179=0),LEFT(LOWER(TRIM($F179&amp;"")),9)="free game",LOWER(TRIM($F179&amp;""))="free",LOWER(TRIM($F179&amp;""))="free entry"),IF(ISNUMBER($K179),$K179,""),IF($K179&lt;&gt;"",$K179,""))))))</ns0:f>
      </ns0:c>
      <ns0:c r="Q179" s="114">
        <ns0:f>IF(COUNTA($A179:$M179)=0,"",IF(OR($U179="Subscription",$U179=""),"",IF($U179="Estimate","N/A",IF($U179="Profit",ROUND(IFERROR($P179,0)-IFERROR($H179,0),2),0))))</ns0:f>
      </ns0:c>
      <ns0:c r="R179" s="114">
        <ns0:f>IF(COUNTA($A179:$M179)=0,"",IF(OR($U179="Subscription",$U179=""),"",IF($U179="Estimate","N/A",IF($U179="Draw",$H179,0))))</ns0:f>
      </ns0:c>
      <ns0:c r="S179" s="114">
        <ns0:f>IF(COUNTA($A179:$M179)=0,"",IF(OR($U179="Subscription",$U179=""),"",IF($U179="Estimate","N/A",IF($U179="Disqualified",$H179,0))))</ns0:f>
      </ns0:c>
      <ns0:c r="T179" s="955">
        <ns0:f>IF(COUNTA($A179:$M179)=0,"",IF(OR($U179="Subscription",$U179=""),"",IF($U179="Estimate","N/A",IF(OR($U179="Free Game",$U179="Disqualified — Free Game",$H179=0),"N/A",IF($U179="Profit",$Q179/$H179,IF($U179="Disqualified",-$S179/$H179,0))))))</ns0:f>
      </ns0:c>
      <ns0:c r="U179" s="920">
        <ns0:f>IF(COUNTA($A179:$M179)=0,"",IF(OR(LEFT(LOWER(TRIM($F179&amp;"")),12)="subscription",LOWER(TRIM($F179&amp;""))="membership"),"Subscription",IF(LOWER(TRIM($D179&amp;""))="estimate","Estimate",IF(OR(AND($H179&lt;&gt;"",$H179=0),LEFT(LOWER(TRIM($F179&amp;"")),9)="free game",LOWER(TRIM($F179&amp;""))="free",LOWER(TRIM($F179&amp;""))="free entry"),IF(LOWER($L179&amp;"")="yes","Disqualified — Free Game","Free Game"),IF(LOWER($L179&amp;"")="yes","Disqualified",IF($P179="","",IF(ROUND(IFERROR(VALUE($P179),0)-IFERROR(VALUE($H179),0),2)&gt;0,"Profit","Draw")))))))</ns0:f>
      </ns0:c>
      <ns0:c r="V179" s="956" t="str">
        <ns0:f>IF(COUNTA($A179:$M179)=0,"",IF(OR($B179="",$C179="",$U179="Subscription"),"",IFERROR(ROUNDUP(($C179-$B179)/7,0),"")))</ns0:f>
      </ns0:c>
      <ns0:c r="W179" s="114">
        <ns0:f>IF(COUNTA($A179:$M179)=0,"",IF(OR($U179="Subscription",$U179=""),"",IF($U179="Estimate","N/A",IF(OR($U179="Free Game",$U179="Disqualified — Free Game"),0,ROUND(IFERROR($Q179,0)-IFERROR($S179,0),2)))))</ns0:f>
      </ns0:c>
      <ns0:c r="X179" s="956" t="str">
        <ns0:f>IF(COUNTA($A179:$M179)=0,"",IF(OR($U179="Subscription",NOT(ISNUMBER($J179)),NOT(ISNUMBER($I179)),$J179=0,$I179=0,$I179&gt;$J179),"",$J179-$I179))</ns0:f>
      </ns0:c>
      <ns0:c r="Y179" s="955" t="str">
        <ns0:f>IF(COUNTA($A179:$M179)=0,"",IF(OR($U179="Subscription",NOT(ISNUMBER($J179)),$J179=0,$X179=""),"",$X179/$J179))</ns0:f>
      </ns0:c>
      <ns0:c r="Z179" s="957" t="str">
        <ns0:f>IF(COUNTA($A179:$M179)=0,"",Instructions!$B$29+SUM($W$5:W179))</ns0:f>
      </ns0:c>
    </ns0:row>
    <ns0:row r="180" ht="36" customHeight="1">
      <ns0:c r="A180" s="439"/>
      <ns0:c r="B180" s="453"/>
      <ns0:c r="C180" s="453"/>
      <ns0:c r="D180" s="454"/>
      <ns0:c r="E180" s="454"/>
      <ns0:c r="F180" s="454"/>
      <ns0:c r="G180" s="986"/>
      <ns0:c r="H180" s="455"/>
      <ns0:c r="I180" s="456"/>
      <ns0:c r="J180" s="456"/>
      <ns0:c r="K180" s="986"/>
      <ns0:c r="L180" s="454"/>
      <ns0:c r="M180" s="439"/>
      <ns0:c r="N180" s="987" t="str">
        <ns0:f>IF(COUNTA($A180:$M180)=0,"",IF(OR(LEFT(LOWER(TRIM($F180&amp;"")),12)="subscription",LOWER(TRIM($F180&amp;""))="membership"),"",IF(OR(AND($H180&lt;&gt;"",$H180=0),LEFT(LOWER(TRIM($F180&amp;"")),9)="free game",LOWER(TRIM($F180&amp;""))="free",LOWER(TRIM($F180&amp;""))="free entry"),IF(ISNUMBER($G180),IF(ISNUMBER(SEARCH("non",LOWER($E180&amp;""))),$G180*0.85,$G180),"N/A"),IF($G180="","",IFERROR(IF(ISNUMBER(SEARCH("non",LOWER($E180&amp;""))),$G180*0.85,$G180),"")))))</ns0:f>
        <ns0:v/>
      </ns0:c>
      <ns0:c r="O180" s="987" t="str">
        <ns0:f>IF(COUNTA($A180:$M180)=0,"",IF(OR(LEFT(LOWER(TRIM($F180&amp;"")),12)="subscription",LOWER(TRIM($F180&amp;""))="membership"),"",IF(OR(AND($H180&lt;&gt;"",$H180=0),LEFT(LOWER(TRIM($F180&amp;"")),9)="free game",LOWER(TRIM($F180&amp;""))="free",LOWER(TRIM($F180&amp;""))="free entry"),IF(OR(NOT(ISNUMBER($N180)),NOT(ISNUMBER($I180)),$I180=0),"N/A",IFERROR($N180/$I180,"N/A")),IF(OR($N180="",$I180="",$I180=0),"",IFERROR($N180/$I180,"")))))</ns0:f>
        <ns0:v/>
      </ns0:c>
      <ns0:c r="P180" s="987">
        <ns0:f>IF(COUNTA($A180:$M180)=0,"",IF(OR(LEFT(LOWER(TRIM($F180&amp;"")),12)="subscription",LOWER(TRIM($F180&amp;""))="membership"),"",IF(LOWER(TRIM($D180&amp;""))="estimate","N/A",IF(LOWER($L180&amp;"")="yes",0,IF(OR(AND($H180&lt;&gt;"",$H180=0),LEFT(LOWER(TRIM($F180&amp;"")),9)="free game",LOWER(TRIM($F180&amp;""))="free",LOWER(TRIM($F180&amp;""))="free entry"),IF(ISNUMBER($K180),$K180,""),IF($K180&lt;&gt;"",$K180,""))))))</ns0:f>
      </ns0:c>
      <ns0:c r="Q180" s="114">
        <ns0:f>IF(COUNTA($A180:$M180)=0,"",IF(OR($U180="Subscription",$U180=""),"",IF($U180="Estimate","N/A",IF($U180="Profit",ROUND(IFERROR($P180,0)-IFERROR($H180,0),2),0))))</ns0:f>
      </ns0:c>
      <ns0:c r="R180" s="114">
        <ns0:f>IF(COUNTA($A180:$M180)=0,"",IF(OR($U180="Subscription",$U180=""),"",IF($U180="Estimate","N/A",IF($U180="Draw",$H180,0))))</ns0:f>
      </ns0:c>
      <ns0:c r="S180" s="114">
        <ns0:f>IF(COUNTA($A180:$M180)=0,"",IF(OR($U180="Subscription",$U180=""),"",IF($U180="Estimate","N/A",IF($U180="Disqualified",$H180,0))))</ns0:f>
      </ns0:c>
      <ns0:c r="T180" s="955">
        <ns0:f>IF(COUNTA($A180:$M180)=0,"",IF(OR($U180="Subscription",$U180=""),"",IF($U180="Estimate","N/A",IF(OR($U180="Free Game",$U180="Disqualified — Free Game",$H180=0),"N/A",IF($U180="Profit",$Q180/$H180,IF($U180="Disqualified",-$S180/$H180,0))))))</ns0:f>
      </ns0:c>
      <ns0:c r="U180" s="920">
        <ns0:f>IF(COUNTA($A180:$M180)=0,"",IF(OR(LEFT(LOWER(TRIM($F180&amp;"")),12)="subscription",LOWER(TRIM($F180&amp;""))="membership"),"Subscription",IF(LOWER(TRIM($D180&amp;""))="estimate","Estimate",IF(OR(AND($H180&lt;&gt;"",$H180=0),LEFT(LOWER(TRIM($F180&amp;"")),9)="free game",LOWER(TRIM($F180&amp;""))="free",LOWER(TRIM($F180&amp;""))="free entry"),IF(LOWER($L180&amp;"")="yes","Disqualified — Free Game","Free Game"),IF(LOWER($L180&amp;"")="yes","Disqualified",IF($P180="","",IF(ROUND(IFERROR(VALUE($P180),0)-IFERROR(VALUE($H180),0),2)&gt;0,"Profit","Draw")))))))</ns0:f>
      </ns0:c>
      <ns0:c r="V180" s="956" t="str">
        <ns0:f>IF(COUNTA($A180:$M180)=0,"",IF(OR($B180="",$C180="",$U180="Subscription"),"",IFERROR(ROUNDUP(($C180-$B180)/7,0),"")))</ns0:f>
      </ns0:c>
      <ns0:c r="W180" s="114">
        <ns0:f>IF(COUNTA($A180:$M180)=0,"",IF(OR($U180="Subscription",$U180=""),"",IF($U180="Estimate","N/A",IF(OR($U180="Free Game",$U180="Disqualified — Free Game"),0,ROUND(IFERROR($Q180,0)-IFERROR($S180,0),2)))))</ns0:f>
      </ns0:c>
      <ns0:c r="X180" s="956" t="str">
        <ns0:f>IF(COUNTA($A180:$M180)=0,"",IF(OR($U180="Subscription",NOT(ISNUMBER($J180)),NOT(ISNUMBER($I180)),$J180=0,$I180=0,$I180&gt;$J180),"",$J180-$I180))</ns0:f>
      </ns0:c>
      <ns0:c r="Y180" s="955" t="str">
        <ns0:f>IF(COUNTA($A180:$M180)=0,"",IF(OR($U180="Subscription",NOT(ISNUMBER($J180)),$J180=0,$X180=""),"",$X180/$J180))</ns0:f>
      </ns0:c>
      <ns0:c r="Z180" s="957" t="str">
        <ns0:f>IF(COUNTA($A180:$M180)=0,"",Instructions!$B$29+SUM($W$5:W180))</ns0:f>
      </ns0:c>
    </ns0:row>
    <ns0:row r="181" ht="36" customHeight="1">
      <ns0:c r="A181" s="439"/>
      <ns0:c r="B181" s="453"/>
      <ns0:c r="C181" s="453"/>
      <ns0:c r="D181" s="454"/>
      <ns0:c r="E181" s="454"/>
      <ns0:c r="F181" s="454"/>
      <ns0:c r="G181" s="986"/>
      <ns0:c r="H181" s="455"/>
      <ns0:c r="I181" s="456"/>
      <ns0:c r="J181" s="456"/>
      <ns0:c r="K181" s="986"/>
      <ns0:c r="L181" s="454"/>
      <ns0:c r="M181" s="439"/>
      <ns0:c r="N181" s="987" t="str">
        <ns0:f>IF(COUNTA($A181:$M181)=0,"",IF(OR(LEFT(LOWER(TRIM($F181&amp;"")),12)="subscription",LOWER(TRIM($F181&amp;""))="membership"),"",IF(OR(AND($H181&lt;&gt;"",$H181=0),LEFT(LOWER(TRIM($F181&amp;"")),9)="free game",LOWER(TRIM($F181&amp;""))="free",LOWER(TRIM($F181&amp;""))="free entry"),IF(ISNUMBER($G181),IF(ISNUMBER(SEARCH("non",LOWER($E181&amp;""))),$G181*0.85,$G181),"N/A"),IF($G181="","",IFERROR(IF(ISNUMBER(SEARCH("non",LOWER($E181&amp;""))),$G181*0.85,$G181),"")))))</ns0:f>
        <ns0:v/>
      </ns0:c>
      <ns0:c r="O181" s="987" t="str">
        <ns0:f>IF(COUNTA($A181:$M181)=0,"",IF(OR(LEFT(LOWER(TRIM($F181&amp;"")),12)="subscription",LOWER(TRIM($F181&amp;""))="membership"),"",IF(OR(AND($H181&lt;&gt;"",$H181=0),LEFT(LOWER(TRIM($F181&amp;"")),9)="free game",LOWER(TRIM($F181&amp;""))="free",LOWER(TRIM($F181&amp;""))="free entry"),IF(OR(NOT(ISNUMBER($N181)),NOT(ISNUMBER($I181)),$I181=0),"N/A",IFERROR($N181/$I181,"N/A")),IF(OR($N181="",$I181="",$I181=0),"",IFERROR($N181/$I181,"")))))</ns0:f>
        <ns0:v/>
      </ns0:c>
      <ns0:c r="P181" s="987">
        <ns0:f>IF(COUNTA($A181:$M181)=0,"",IF(OR(LEFT(LOWER(TRIM($F181&amp;"")),12)="subscription",LOWER(TRIM($F181&amp;""))="membership"),"",IF(LOWER(TRIM($D181&amp;""))="estimate","N/A",IF(LOWER($L181&amp;"")="yes",0,IF(OR(AND($H181&lt;&gt;"",$H181=0),LEFT(LOWER(TRIM($F181&amp;"")),9)="free game",LOWER(TRIM($F181&amp;""))="free",LOWER(TRIM($F181&amp;""))="free entry"),IF(ISNUMBER($K181),$K181,""),IF($K181&lt;&gt;"",$K181,""))))))</ns0:f>
      </ns0:c>
      <ns0:c r="Q181" s="114">
        <ns0:f>IF(COUNTA($A181:$M181)=0,"",IF(OR($U181="Subscription",$U181=""),"",IF($U181="Estimate","N/A",IF($U181="Profit",ROUND(IFERROR($P181,0)-IFERROR($H181,0),2),0))))</ns0:f>
      </ns0:c>
      <ns0:c r="R181" s="114">
        <ns0:f>IF(COUNTA($A181:$M181)=0,"",IF(OR($U181="Subscription",$U181=""),"",IF($U181="Estimate","N/A",IF($U181="Draw",$H181,0))))</ns0:f>
      </ns0:c>
      <ns0:c r="S181" s="114">
        <ns0:f>IF(COUNTA($A181:$M181)=0,"",IF(OR($U181="Subscription",$U181=""),"",IF($U181="Estimate","N/A",IF($U181="Disqualified",$H181,0))))</ns0:f>
      </ns0:c>
      <ns0:c r="T181" s="955">
        <ns0:f>IF(COUNTA($A181:$M181)=0,"",IF(OR($U181="Subscription",$U181=""),"",IF($U181="Estimate","N/A",IF(OR($U181="Free Game",$U181="Disqualified — Free Game",$H181=0),"N/A",IF($U181="Profit",$Q181/$H181,IF($U181="Disqualified",-$S181/$H181,0))))))</ns0:f>
      </ns0:c>
      <ns0:c r="U181" s="920">
        <ns0:f>IF(COUNTA($A181:$M181)=0,"",IF(OR(LEFT(LOWER(TRIM($F181&amp;"")),12)="subscription",LOWER(TRIM($F181&amp;""))="membership"),"Subscription",IF(LOWER(TRIM($D181&amp;""))="estimate","Estimate",IF(OR(AND($H181&lt;&gt;"",$H181=0),LEFT(LOWER(TRIM($F181&amp;"")),9)="free game",LOWER(TRIM($F181&amp;""))="free",LOWER(TRIM($F181&amp;""))="free entry"),IF(LOWER($L181&amp;"")="yes","Disqualified — Free Game","Free Game"),IF(LOWER($L181&amp;"")="yes","Disqualified",IF($P181="","",IF(ROUND(IFERROR(VALUE($P181),0)-IFERROR(VALUE($H181),0),2)&gt;0,"Profit","Draw")))))))</ns0:f>
      </ns0:c>
      <ns0:c r="V181" s="956" t="str">
        <ns0:f>IF(COUNTA($A181:$M181)=0,"",IF(OR($B181="",$C181="",$U181="Subscription"),"",IFERROR(ROUNDUP(($C181-$B181)/7,0),"")))</ns0:f>
      </ns0:c>
      <ns0:c r="W181" s="114">
        <ns0:f>IF(COUNTA($A181:$M181)=0,"",IF(OR($U181="Subscription",$U181=""),"",IF($U181="Estimate","N/A",IF(OR($U181="Free Game",$U181="Disqualified — Free Game"),0,ROUND(IFERROR($Q181,0)-IFERROR($S181,0),2)))))</ns0:f>
      </ns0:c>
      <ns0:c r="X181" s="956" t="str">
        <ns0:f>IF(COUNTA($A181:$M181)=0,"",IF(OR($U181="Subscription",NOT(ISNUMBER($J181)),NOT(ISNUMBER($I181)),$J181=0,$I181=0,$I181&gt;$J181),"",$J181-$I181))</ns0:f>
      </ns0:c>
      <ns0:c r="Y181" s="955" t="str">
        <ns0:f>IF(COUNTA($A181:$M181)=0,"",IF(OR($U181="Subscription",NOT(ISNUMBER($J181)),$J181=0,$X181=""),"",$X181/$J181))</ns0:f>
      </ns0:c>
      <ns0:c r="Z181" s="957" t="str">
        <ns0:f>IF(COUNTA($A181:$M181)=0,"",Instructions!$B$29+SUM($W$5:W181))</ns0:f>
      </ns0:c>
    </ns0:row>
    <ns0:row r="182" ht="36" customHeight="1">
      <ns0:c r="A182" s="439"/>
      <ns0:c r="B182" s="453"/>
      <ns0:c r="C182" s="453"/>
      <ns0:c r="D182" s="454"/>
      <ns0:c r="E182" s="454"/>
      <ns0:c r="F182" s="454"/>
      <ns0:c r="G182" s="986"/>
      <ns0:c r="H182" s="455"/>
      <ns0:c r="I182" s="456"/>
      <ns0:c r="J182" s="456"/>
      <ns0:c r="K182" s="986"/>
      <ns0:c r="L182" s="454"/>
      <ns0:c r="M182" s="439"/>
      <ns0:c r="N182" s="987" t="str">
        <ns0:f>IF(COUNTA($A182:$M182)=0,"",IF(OR(LEFT(LOWER(TRIM($F182&amp;"")),12)="subscription",LOWER(TRIM($F182&amp;""))="membership"),"",IF(OR(AND($H182&lt;&gt;"",$H182=0),LEFT(LOWER(TRIM($F182&amp;"")),9)="free game",LOWER(TRIM($F182&amp;""))="free",LOWER(TRIM($F182&amp;""))="free entry"),IF(ISNUMBER($G182),IF(ISNUMBER(SEARCH("non",LOWER($E182&amp;""))),$G182*0.85,$G182),"N/A"),IF($G182="","",IFERROR(IF(ISNUMBER(SEARCH("non",LOWER($E182&amp;""))),$G182*0.85,$G182),"")))))</ns0:f>
        <ns0:v/>
      </ns0:c>
      <ns0:c r="O182" s="987" t="str">
        <ns0:f>IF(COUNTA($A182:$M182)=0,"",IF(OR(LEFT(LOWER(TRIM($F182&amp;"")),12)="subscription",LOWER(TRIM($F182&amp;""))="membership"),"",IF(OR(AND($H182&lt;&gt;"",$H182=0),LEFT(LOWER(TRIM($F182&amp;"")),9)="free game",LOWER(TRIM($F182&amp;""))="free",LOWER(TRIM($F182&amp;""))="free entry"),IF(OR(NOT(ISNUMBER($N182)),NOT(ISNUMBER($I182)),$I182=0),"N/A",IFERROR($N182/$I182,"N/A")),IF(OR($N182="",$I182="",$I182=0),"",IFERROR($N182/$I182,"")))))</ns0:f>
        <ns0:v/>
      </ns0:c>
      <ns0:c r="P182" s="987">
        <ns0:f>IF(COUNTA($A182:$M182)=0,"",IF(OR(LEFT(LOWER(TRIM($F182&amp;"")),12)="subscription",LOWER(TRIM($F182&amp;""))="membership"),"",IF(LOWER(TRIM($D182&amp;""))="estimate","N/A",IF(LOWER($L182&amp;"")="yes",0,IF(OR(AND($H182&lt;&gt;"",$H182=0),LEFT(LOWER(TRIM($F182&amp;"")),9)="free game",LOWER(TRIM($F182&amp;""))="free",LOWER(TRIM($F182&amp;""))="free entry"),IF(ISNUMBER($K182),$K182,""),IF($K182&lt;&gt;"",$K182,""))))))</ns0:f>
      </ns0:c>
      <ns0:c r="Q182" s="114">
        <ns0:f>IF(COUNTA($A182:$M182)=0,"",IF(OR($U182="Subscription",$U182=""),"",IF($U182="Estimate","N/A",IF($U182="Profit",ROUND(IFERROR($P182,0)-IFERROR($H182,0),2),0))))</ns0:f>
      </ns0:c>
      <ns0:c r="R182" s="114">
        <ns0:f>IF(COUNTA($A182:$M182)=0,"",IF(OR($U182="Subscription",$U182=""),"",IF($U182="Estimate","N/A",IF($U182="Draw",$H182,0))))</ns0:f>
      </ns0:c>
      <ns0:c r="S182" s="114">
        <ns0:f>IF(COUNTA($A182:$M182)=0,"",IF(OR($U182="Subscription",$U182=""),"",IF($U182="Estimate","N/A",IF($U182="Disqualified",$H182,0))))</ns0:f>
      </ns0:c>
      <ns0:c r="T182" s="955">
        <ns0:f>IF(COUNTA($A182:$M182)=0,"",IF(OR($U182="Subscription",$U182=""),"",IF($U182="Estimate","N/A",IF(OR($U182="Free Game",$U182="Disqualified — Free Game",$H182=0),"N/A",IF($U182="Profit",$Q182/$H182,IF($U182="Disqualified",-$S182/$H182,0))))))</ns0:f>
      </ns0:c>
      <ns0:c r="U182" s="920">
        <ns0:f>IF(COUNTA($A182:$M182)=0,"",IF(OR(LEFT(LOWER(TRIM($F182&amp;"")),12)="subscription",LOWER(TRIM($F182&amp;""))="membership"),"Subscription",IF(LOWER(TRIM($D182&amp;""))="estimate","Estimate",IF(OR(AND($H182&lt;&gt;"",$H182=0),LEFT(LOWER(TRIM($F182&amp;"")),9)="free game",LOWER(TRIM($F182&amp;""))="free",LOWER(TRIM($F182&amp;""))="free entry"),IF(LOWER($L182&amp;"")="yes","Disqualified — Free Game","Free Game"),IF(LOWER($L182&amp;"")="yes","Disqualified",IF($P182="","",IF(ROUND(IFERROR(VALUE($P182),0)-IFERROR(VALUE($H182),0),2)&gt;0,"Profit","Draw")))))))</ns0:f>
      </ns0:c>
      <ns0:c r="V182" s="956" t="str">
        <ns0:f>IF(COUNTA($A182:$M182)=0,"",IF(OR($B182="",$C182="",$U182="Subscription"),"",IFERROR(ROUNDUP(($C182-$B182)/7,0),"")))</ns0:f>
      </ns0:c>
      <ns0:c r="W182" s="114">
        <ns0:f>IF(COUNTA($A182:$M182)=0,"",IF(OR($U182="Subscription",$U182=""),"",IF($U182="Estimate","N/A",IF(OR($U182="Free Game",$U182="Disqualified — Free Game"),0,ROUND(IFERROR($Q182,0)-IFERROR($S182,0),2)))))</ns0:f>
      </ns0:c>
      <ns0:c r="X182" s="956" t="str">
        <ns0:f>IF(COUNTA($A182:$M182)=0,"",IF(OR($U182="Subscription",NOT(ISNUMBER($J182)),NOT(ISNUMBER($I182)),$J182=0,$I182=0,$I182&gt;$J182),"",$J182-$I182))</ns0:f>
      </ns0:c>
      <ns0:c r="Y182" s="955" t="str">
        <ns0:f>IF(COUNTA($A182:$M182)=0,"",IF(OR($U182="Subscription",NOT(ISNUMBER($J182)),$J182=0,$X182=""),"",$X182/$J182))</ns0:f>
      </ns0:c>
      <ns0:c r="Z182" s="957" t="str">
        <ns0:f>IF(COUNTA($A182:$M182)=0,"",Instructions!$B$29+SUM($W$5:W182))</ns0:f>
      </ns0:c>
    </ns0:row>
    <ns0:row r="183" ht="36" customHeight="1">
      <ns0:c r="A183" s="439"/>
      <ns0:c r="B183" s="453"/>
      <ns0:c r="C183" s="453"/>
      <ns0:c r="D183" s="454"/>
      <ns0:c r="E183" s="454"/>
      <ns0:c r="F183" s="454"/>
      <ns0:c r="G183" s="986"/>
      <ns0:c r="H183" s="455"/>
      <ns0:c r="I183" s="456"/>
      <ns0:c r="J183" s="456"/>
      <ns0:c r="K183" s="986"/>
      <ns0:c r="L183" s="454"/>
      <ns0:c r="M183" s="439"/>
      <ns0:c r="N183" s="987" t="str">
        <ns0:f>IF(COUNTA($A183:$M183)=0,"",IF(OR(LEFT(LOWER(TRIM($F183&amp;"")),12)="subscription",LOWER(TRIM($F183&amp;""))="membership"),"",IF(OR(AND($H183&lt;&gt;"",$H183=0),LEFT(LOWER(TRIM($F183&amp;"")),9)="free game",LOWER(TRIM($F183&amp;""))="free",LOWER(TRIM($F183&amp;""))="free entry"),IF(ISNUMBER($G183),IF(ISNUMBER(SEARCH("non",LOWER($E183&amp;""))),$G183*0.85,$G183),"N/A"),IF($G183="","",IFERROR(IF(ISNUMBER(SEARCH("non",LOWER($E183&amp;""))),$G183*0.85,$G183),"")))))</ns0:f>
        <ns0:v/>
      </ns0:c>
      <ns0:c r="O183" s="987" t="str">
        <ns0:f>IF(COUNTA($A183:$M183)=0,"",IF(OR(LEFT(LOWER(TRIM($F183&amp;"")),12)="subscription",LOWER(TRIM($F183&amp;""))="membership"),"",IF(OR(AND($H183&lt;&gt;"",$H183=0),LEFT(LOWER(TRIM($F183&amp;"")),9)="free game",LOWER(TRIM($F183&amp;""))="free",LOWER(TRIM($F183&amp;""))="free entry"),IF(OR(NOT(ISNUMBER($N183)),NOT(ISNUMBER($I183)),$I183=0),"N/A",IFERROR($N183/$I183,"N/A")),IF(OR($N183="",$I183="",$I183=0),"",IFERROR($N183/$I183,"")))))</ns0:f>
        <ns0:v/>
      </ns0:c>
      <ns0:c r="P183" s="987">
        <ns0:f>IF(COUNTA($A183:$M183)=0,"",IF(OR(LEFT(LOWER(TRIM($F183&amp;"")),12)="subscription",LOWER(TRIM($F183&amp;""))="membership"),"",IF(LOWER(TRIM($D183&amp;""))="estimate","N/A",IF(LOWER($L183&amp;"")="yes",0,IF(OR(AND($H183&lt;&gt;"",$H183=0),LEFT(LOWER(TRIM($F183&amp;"")),9)="free game",LOWER(TRIM($F183&amp;""))="free",LOWER(TRIM($F183&amp;""))="free entry"),IF(ISNUMBER($K183),$K183,""),IF($K183&lt;&gt;"",$K183,""))))))</ns0:f>
      </ns0:c>
      <ns0:c r="Q183" s="114">
        <ns0:f>IF(COUNTA($A183:$M183)=0,"",IF(OR($U183="Subscription",$U183=""),"",IF($U183="Estimate","N/A",IF($U183="Profit",ROUND(IFERROR($P183,0)-IFERROR($H183,0),2),0))))</ns0:f>
      </ns0:c>
      <ns0:c r="R183" s="114">
        <ns0:f>IF(COUNTA($A183:$M183)=0,"",IF(OR($U183="Subscription",$U183=""),"",IF($U183="Estimate","N/A",IF($U183="Draw",$H183,0))))</ns0:f>
      </ns0:c>
      <ns0:c r="S183" s="114">
        <ns0:f>IF(COUNTA($A183:$M183)=0,"",IF(OR($U183="Subscription",$U183=""),"",IF($U183="Estimate","N/A",IF($U183="Disqualified",$H183,0))))</ns0:f>
      </ns0:c>
      <ns0:c r="T183" s="955">
        <ns0:f>IF(COUNTA($A183:$M183)=0,"",IF(OR($U183="Subscription",$U183=""),"",IF($U183="Estimate","N/A",IF(OR($U183="Free Game",$U183="Disqualified — Free Game",$H183=0),"N/A",IF($U183="Profit",$Q183/$H183,IF($U183="Disqualified",-$S183/$H183,0))))))</ns0:f>
      </ns0:c>
      <ns0:c r="U183" s="920">
        <ns0:f>IF(COUNTA($A183:$M183)=0,"",IF(OR(LEFT(LOWER(TRIM($F183&amp;"")),12)="subscription",LOWER(TRIM($F183&amp;""))="membership"),"Subscription",IF(LOWER(TRIM($D183&amp;""))="estimate","Estimate",IF(OR(AND($H183&lt;&gt;"",$H183=0),LEFT(LOWER(TRIM($F183&amp;"")),9)="free game",LOWER(TRIM($F183&amp;""))="free",LOWER(TRIM($F183&amp;""))="free entry"),IF(LOWER($L183&amp;"")="yes","Disqualified — Free Game","Free Game"),IF(LOWER($L183&amp;"")="yes","Disqualified",IF($P183="","",IF(ROUND(IFERROR(VALUE($P183),0)-IFERROR(VALUE($H183),0),2)&gt;0,"Profit","Draw")))))))</ns0:f>
      </ns0:c>
      <ns0:c r="V183" s="956" t="str">
        <ns0:f>IF(COUNTA($A183:$M183)=0,"",IF(OR($B183="",$C183="",$U183="Subscription"),"",IFERROR(ROUNDUP(($C183-$B183)/7,0),"")))</ns0:f>
      </ns0:c>
      <ns0:c r="W183" s="114">
        <ns0:f>IF(COUNTA($A183:$M183)=0,"",IF(OR($U183="Subscription",$U183=""),"",IF($U183="Estimate","N/A",IF(OR($U183="Free Game",$U183="Disqualified — Free Game"),0,ROUND(IFERROR($Q183,0)-IFERROR($S183,0),2)))))</ns0:f>
      </ns0:c>
      <ns0:c r="X183" s="956" t="str">
        <ns0:f>IF(COUNTA($A183:$M183)=0,"",IF(OR($U183="Subscription",NOT(ISNUMBER($J183)),NOT(ISNUMBER($I183)),$J183=0,$I183=0,$I183&gt;$J183),"",$J183-$I183))</ns0:f>
      </ns0:c>
      <ns0:c r="Y183" s="955" t="str">
        <ns0:f>IF(COUNTA($A183:$M183)=0,"",IF(OR($U183="Subscription",NOT(ISNUMBER($J183)),$J183=0,$X183=""),"",$X183/$J183))</ns0:f>
      </ns0:c>
      <ns0:c r="Z183" s="957" t="str">
        <ns0:f>IF(COUNTA($A183:$M183)=0,"",Instructions!$B$29+SUM($W$5:W183))</ns0:f>
      </ns0:c>
    </ns0:row>
    <ns0:row r="184" ht="36" customHeight="1">
      <ns0:c r="A184" s="439"/>
      <ns0:c r="B184" s="453"/>
      <ns0:c r="C184" s="453"/>
      <ns0:c r="D184" s="454"/>
      <ns0:c r="E184" s="454"/>
      <ns0:c r="F184" s="454"/>
      <ns0:c r="G184" s="986"/>
      <ns0:c r="H184" s="455"/>
      <ns0:c r="I184" s="456"/>
      <ns0:c r="J184" s="456"/>
      <ns0:c r="K184" s="986"/>
      <ns0:c r="L184" s="454"/>
      <ns0:c r="M184" s="439"/>
      <ns0:c r="N184" s="987" t="str">
        <ns0:f>IF(COUNTA($A184:$M184)=0,"",IF(OR(LEFT(LOWER(TRIM($F184&amp;"")),12)="subscription",LOWER(TRIM($F184&amp;""))="membership"),"",IF(OR(AND($H184&lt;&gt;"",$H184=0),LEFT(LOWER(TRIM($F184&amp;"")),9)="free game",LOWER(TRIM($F184&amp;""))="free",LOWER(TRIM($F184&amp;""))="free entry"),IF(ISNUMBER($G184),IF(ISNUMBER(SEARCH("non",LOWER($E184&amp;""))),$G184*0.85,$G184),"N/A"),IF($G184="","",IFERROR(IF(ISNUMBER(SEARCH("non",LOWER($E184&amp;""))),$G184*0.85,$G184),"")))))</ns0:f>
        <ns0:v/>
      </ns0:c>
      <ns0:c r="O184" s="987" t="str">
        <ns0:f>IF(COUNTA($A184:$M184)=0,"",IF(OR(LEFT(LOWER(TRIM($F184&amp;"")),12)="subscription",LOWER(TRIM($F184&amp;""))="membership"),"",IF(OR(AND($H184&lt;&gt;"",$H184=0),LEFT(LOWER(TRIM($F184&amp;"")),9)="free game",LOWER(TRIM($F184&amp;""))="free",LOWER(TRIM($F184&amp;""))="free entry"),IF(OR(NOT(ISNUMBER($N184)),NOT(ISNUMBER($I184)),$I184=0),"N/A",IFERROR($N184/$I184,"N/A")),IF(OR($N184="",$I184="",$I184=0),"",IFERROR($N184/$I184,"")))))</ns0:f>
        <ns0:v/>
      </ns0:c>
      <ns0:c r="P184" s="987">
        <ns0:f>IF(COUNTA($A184:$M184)=0,"",IF(OR(LEFT(LOWER(TRIM($F184&amp;"")),12)="subscription",LOWER(TRIM($F184&amp;""))="membership"),"",IF(LOWER(TRIM($D184&amp;""))="estimate","N/A",IF(LOWER($L184&amp;"")="yes",0,IF(OR(AND($H184&lt;&gt;"",$H184=0),LEFT(LOWER(TRIM($F184&amp;"")),9)="free game",LOWER(TRIM($F184&amp;""))="free",LOWER(TRIM($F184&amp;""))="free entry"),IF(ISNUMBER($K184),$K184,""),IF($K184&lt;&gt;"",$K184,""))))))</ns0:f>
      </ns0:c>
      <ns0:c r="Q184" s="114">
        <ns0:f>IF(COUNTA($A184:$M184)=0,"",IF(OR($U184="Subscription",$U184=""),"",IF($U184="Estimate","N/A",IF($U184="Profit",ROUND(IFERROR($P184,0)-IFERROR($H184,0),2),0))))</ns0:f>
      </ns0:c>
      <ns0:c r="R184" s="114">
        <ns0:f>IF(COUNTA($A184:$M184)=0,"",IF(OR($U184="Subscription",$U184=""),"",IF($U184="Estimate","N/A",IF($U184="Draw",$H184,0))))</ns0:f>
      </ns0:c>
      <ns0:c r="S184" s="114">
        <ns0:f>IF(COUNTA($A184:$M184)=0,"",IF(OR($U184="Subscription",$U184=""),"",IF($U184="Estimate","N/A",IF($U184="Disqualified",$H184,0))))</ns0:f>
      </ns0:c>
      <ns0:c r="T184" s="955">
        <ns0:f>IF(COUNTA($A184:$M184)=0,"",IF(OR($U184="Subscription",$U184=""),"",IF($U184="Estimate","N/A",IF(OR($U184="Free Game",$U184="Disqualified — Free Game",$H184=0),"N/A",IF($U184="Profit",$Q184/$H184,IF($U184="Disqualified",-$S184/$H184,0))))))</ns0:f>
      </ns0:c>
      <ns0:c r="U184" s="920">
        <ns0:f>IF(COUNTA($A184:$M184)=0,"",IF(OR(LEFT(LOWER(TRIM($F184&amp;"")),12)="subscription",LOWER(TRIM($F184&amp;""))="membership"),"Subscription",IF(LOWER(TRIM($D184&amp;""))="estimate","Estimate",IF(OR(AND($H184&lt;&gt;"",$H184=0),LEFT(LOWER(TRIM($F184&amp;"")),9)="free game",LOWER(TRIM($F184&amp;""))="free",LOWER(TRIM($F184&amp;""))="free entry"),IF(LOWER($L184&amp;"")="yes","Disqualified — Free Game","Free Game"),IF(LOWER($L184&amp;"")="yes","Disqualified",IF($P184="","",IF(ROUND(IFERROR(VALUE($P184),0)-IFERROR(VALUE($H184),0),2)&gt;0,"Profit","Draw")))))))</ns0:f>
      </ns0:c>
      <ns0:c r="V184" s="956" t="str">
        <ns0:f>IF(COUNTA($A184:$M184)=0,"",IF(OR($B184="",$C184="",$U184="Subscription"),"",IFERROR(ROUNDUP(($C184-$B184)/7,0),"")))</ns0:f>
      </ns0:c>
      <ns0:c r="W184" s="114">
        <ns0:f>IF(COUNTA($A184:$M184)=0,"",IF(OR($U184="Subscription",$U184=""),"",IF($U184="Estimate","N/A",IF(OR($U184="Free Game",$U184="Disqualified — Free Game"),0,ROUND(IFERROR($Q184,0)-IFERROR($S184,0),2)))))</ns0:f>
      </ns0:c>
      <ns0:c r="X184" s="956" t="str">
        <ns0:f>IF(COUNTA($A184:$M184)=0,"",IF(OR($U184="Subscription",NOT(ISNUMBER($J184)),NOT(ISNUMBER($I184)),$J184=0,$I184=0,$I184&gt;$J184),"",$J184-$I184))</ns0:f>
      </ns0:c>
      <ns0:c r="Y184" s="955" t="str">
        <ns0:f>IF(COUNTA($A184:$M184)=0,"",IF(OR($U184="Subscription",NOT(ISNUMBER($J184)),$J184=0,$X184=""),"",$X184/$J184))</ns0:f>
      </ns0:c>
      <ns0:c r="Z184" s="957" t="str">
        <ns0:f>IF(COUNTA($A184:$M184)=0,"",Instructions!$B$29+SUM($W$5:W184))</ns0:f>
      </ns0:c>
    </ns0:row>
    <ns0:row r="185" ht="36" customHeight="1">
      <ns0:c r="A185" s="439"/>
      <ns0:c r="B185" s="453"/>
      <ns0:c r="C185" s="453"/>
      <ns0:c r="D185" s="454"/>
      <ns0:c r="E185" s="454"/>
      <ns0:c r="F185" s="454"/>
      <ns0:c r="G185" s="986"/>
      <ns0:c r="H185" s="455"/>
      <ns0:c r="I185" s="456"/>
      <ns0:c r="J185" s="456"/>
      <ns0:c r="K185" s="986"/>
      <ns0:c r="L185" s="454"/>
      <ns0:c r="M185" s="439"/>
      <ns0:c r="N185" s="987" t="str">
        <ns0:f>IF(COUNTA($A185:$M185)=0,"",IF(OR(LEFT(LOWER(TRIM($F185&amp;"")),12)="subscription",LOWER(TRIM($F185&amp;""))="membership"),"",IF(OR(AND($H185&lt;&gt;"",$H185=0),LEFT(LOWER(TRIM($F185&amp;"")),9)="free game",LOWER(TRIM($F185&amp;""))="free",LOWER(TRIM($F185&amp;""))="free entry"),IF(ISNUMBER($G185),IF(ISNUMBER(SEARCH("non",LOWER($E185&amp;""))),$G185*0.85,$G185),"N/A"),IF($G185="","",IFERROR(IF(ISNUMBER(SEARCH("non",LOWER($E185&amp;""))),$G185*0.85,$G185),"")))))</ns0:f>
        <ns0:v/>
      </ns0:c>
      <ns0:c r="O185" s="987" t="str">
        <ns0:f>IF(COUNTA($A185:$M185)=0,"",IF(OR(LEFT(LOWER(TRIM($F185&amp;"")),12)="subscription",LOWER(TRIM($F185&amp;""))="membership"),"",IF(OR(AND($H185&lt;&gt;"",$H185=0),LEFT(LOWER(TRIM($F185&amp;"")),9)="free game",LOWER(TRIM($F185&amp;""))="free",LOWER(TRIM($F185&amp;""))="free entry"),IF(OR(NOT(ISNUMBER($N185)),NOT(ISNUMBER($I185)),$I185=0),"N/A",IFERROR($N185/$I185,"N/A")),IF(OR($N185="",$I185="",$I185=0),"",IFERROR($N185/$I185,"")))))</ns0:f>
        <ns0:v/>
      </ns0:c>
      <ns0:c r="P185" s="987">
        <ns0:f>IF(COUNTA($A185:$M185)=0,"",IF(OR(LEFT(LOWER(TRIM($F185&amp;"")),12)="subscription",LOWER(TRIM($F185&amp;""))="membership"),"",IF(LOWER(TRIM($D185&amp;""))="estimate","N/A",IF(LOWER($L185&amp;"")="yes",0,IF(OR(AND($H185&lt;&gt;"",$H185=0),LEFT(LOWER(TRIM($F185&amp;"")),9)="free game",LOWER(TRIM($F185&amp;""))="free",LOWER(TRIM($F185&amp;""))="free entry"),IF(ISNUMBER($K185),$K185,""),IF($K185&lt;&gt;"",$K185,""))))))</ns0:f>
      </ns0:c>
      <ns0:c r="Q185" s="114">
        <ns0:f>IF(COUNTA($A185:$M185)=0,"",IF(OR($U185="Subscription",$U185=""),"",IF($U185="Estimate","N/A",IF($U185="Profit",ROUND(IFERROR($P185,0)-IFERROR($H185,0),2),0))))</ns0:f>
      </ns0:c>
      <ns0:c r="R185" s="114">
        <ns0:f>IF(COUNTA($A185:$M185)=0,"",IF(OR($U185="Subscription",$U185=""),"",IF($U185="Estimate","N/A",IF($U185="Draw",$H185,0))))</ns0:f>
      </ns0:c>
      <ns0:c r="S185" s="114">
        <ns0:f>IF(COUNTA($A185:$M185)=0,"",IF(OR($U185="Subscription",$U185=""),"",IF($U185="Estimate","N/A",IF($U185="Disqualified",$H185,0))))</ns0:f>
      </ns0:c>
      <ns0:c r="T185" s="955">
        <ns0:f>IF(COUNTA($A185:$M185)=0,"",IF(OR($U185="Subscription",$U185=""),"",IF($U185="Estimate","N/A",IF(OR($U185="Free Game",$U185="Disqualified — Free Game",$H185=0),"N/A",IF($U185="Profit",$Q185/$H185,IF($U185="Disqualified",-$S185/$H185,0))))))</ns0:f>
      </ns0:c>
      <ns0:c r="U185" s="920">
        <ns0:f>IF(COUNTA($A185:$M185)=0,"",IF(OR(LEFT(LOWER(TRIM($F185&amp;"")),12)="subscription",LOWER(TRIM($F185&amp;""))="membership"),"Subscription",IF(LOWER(TRIM($D185&amp;""))="estimate","Estimate",IF(OR(AND($H185&lt;&gt;"",$H185=0),LEFT(LOWER(TRIM($F185&amp;"")),9)="free game",LOWER(TRIM($F185&amp;""))="free",LOWER(TRIM($F185&amp;""))="free entry"),IF(LOWER($L185&amp;"")="yes","Disqualified — Free Game","Free Game"),IF(LOWER($L185&amp;"")="yes","Disqualified",IF($P185="","",IF(ROUND(IFERROR(VALUE($P185),0)-IFERROR(VALUE($H185),0),2)&gt;0,"Profit","Draw")))))))</ns0:f>
      </ns0:c>
      <ns0:c r="V185" s="956" t="str">
        <ns0:f>IF(COUNTA($A185:$M185)=0,"",IF(OR($B185="",$C185="",$U185="Subscription"),"",IFERROR(ROUNDUP(($C185-$B185)/7,0),"")))</ns0:f>
      </ns0:c>
      <ns0:c r="W185" s="114">
        <ns0:f>IF(COUNTA($A185:$M185)=0,"",IF(OR($U185="Subscription",$U185=""),"",IF($U185="Estimate","N/A",IF(OR($U185="Free Game",$U185="Disqualified — Free Game"),0,ROUND(IFERROR($Q185,0)-IFERROR($S185,0),2)))))</ns0:f>
      </ns0:c>
      <ns0:c r="X185" s="956" t="str">
        <ns0:f>IF(COUNTA($A185:$M185)=0,"",IF(OR($U185="Subscription",NOT(ISNUMBER($J185)),NOT(ISNUMBER($I185)),$J185=0,$I185=0,$I185&gt;$J185),"",$J185-$I185))</ns0:f>
      </ns0:c>
      <ns0:c r="Y185" s="955" t="str">
        <ns0:f>IF(COUNTA($A185:$M185)=0,"",IF(OR($U185="Subscription",NOT(ISNUMBER($J185)),$J185=0,$X185=""),"",$X185/$J185))</ns0:f>
      </ns0:c>
      <ns0:c r="Z185" s="957" t="str">
        <ns0:f>IF(COUNTA($A185:$M185)=0,"",Instructions!$B$29+SUM($W$5:W185))</ns0:f>
      </ns0:c>
    </ns0:row>
    <ns0:row r="186" ht="36" customHeight="1">
      <ns0:c r="A186" s="439"/>
      <ns0:c r="B186" s="453"/>
      <ns0:c r="C186" s="453"/>
      <ns0:c r="D186" s="454"/>
      <ns0:c r="E186" s="454"/>
      <ns0:c r="F186" s="454"/>
      <ns0:c r="G186" s="986"/>
      <ns0:c r="H186" s="455"/>
      <ns0:c r="I186" s="456"/>
      <ns0:c r="J186" s="456"/>
      <ns0:c r="K186" s="986"/>
      <ns0:c r="L186" s="454"/>
      <ns0:c r="M186" s="439"/>
      <ns0:c r="N186" s="987" t="str">
        <ns0:f>IF(COUNTA($A186:$M186)=0,"",IF(OR(LEFT(LOWER(TRIM($F186&amp;"")),12)="subscription",LOWER(TRIM($F186&amp;""))="membership"),"",IF(OR(AND($H186&lt;&gt;"",$H186=0),LEFT(LOWER(TRIM($F186&amp;"")),9)="free game",LOWER(TRIM($F186&amp;""))="free",LOWER(TRIM($F186&amp;""))="free entry"),IF(ISNUMBER($G186),IF(ISNUMBER(SEARCH("non",LOWER($E186&amp;""))),$G186*0.85,$G186),"N/A"),IF($G186="","",IFERROR(IF(ISNUMBER(SEARCH("non",LOWER($E186&amp;""))),$G186*0.85,$G186),"")))))</ns0:f>
        <ns0:v/>
      </ns0:c>
      <ns0:c r="O186" s="987" t="str">
        <ns0:f>IF(COUNTA($A186:$M186)=0,"",IF(OR(LEFT(LOWER(TRIM($F186&amp;"")),12)="subscription",LOWER(TRIM($F186&amp;""))="membership"),"",IF(OR(AND($H186&lt;&gt;"",$H186=0),LEFT(LOWER(TRIM($F186&amp;"")),9)="free game",LOWER(TRIM($F186&amp;""))="free",LOWER(TRIM($F186&amp;""))="free entry"),IF(OR(NOT(ISNUMBER($N186)),NOT(ISNUMBER($I186)),$I186=0),"N/A",IFERROR($N186/$I186,"N/A")),IF(OR($N186="",$I186="",$I186=0),"",IFERROR($N186/$I186,"")))))</ns0:f>
        <ns0:v/>
      </ns0:c>
      <ns0:c r="P186" s="987">
        <ns0:f>IF(COUNTA($A186:$M186)=0,"",IF(OR(LEFT(LOWER(TRIM($F186&amp;"")),12)="subscription",LOWER(TRIM($F186&amp;""))="membership"),"",IF(LOWER(TRIM($D186&amp;""))="estimate","N/A",IF(LOWER($L186&amp;"")="yes",0,IF(OR(AND($H186&lt;&gt;"",$H186=0),LEFT(LOWER(TRIM($F186&amp;"")),9)="free game",LOWER(TRIM($F186&amp;""))="free",LOWER(TRIM($F186&amp;""))="free entry"),IF(ISNUMBER($K186),$K186,""),IF($K186&lt;&gt;"",$K186,""))))))</ns0:f>
      </ns0:c>
      <ns0:c r="Q186" s="114">
        <ns0:f>IF(COUNTA($A186:$M186)=0,"",IF(OR($U186="Subscription",$U186=""),"",IF($U186="Estimate","N/A",IF($U186="Profit",ROUND(IFERROR($P186,0)-IFERROR($H186,0),2),0))))</ns0:f>
      </ns0:c>
      <ns0:c r="R186" s="114">
        <ns0:f>IF(COUNTA($A186:$M186)=0,"",IF(OR($U186="Subscription",$U186=""),"",IF($U186="Estimate","N/A",IF($U186="Draw",$H186,0))))</ns0:f>
      </ns0:c>
      <ns0:c r="S186" s="114">
        <ns0:f>IF(COUNTA($A186:$M186)=0,"",IF(OR($U186="Subscription",$U186=""),"",IF($U186="Estimate","N/A",IF($U186="Disqualified",$H186,0))))</ns0:f>
      </ns0:c>
      <ns0:c r="T186" s="955">
        <ns0:f>IF(COUNTA($A186:$M186)=0,"",IF(OR($U186="Subscription",$U186=""),"",IF($U186="Estimate","N/A",IF(OR($U186="Free Game",$U186="Disqualified — Free Game",$H186=0),"N/A",IF($U186="Profit",$Q186/$H186,IF($U186="Disqualified",-$S186/$H186,0))))))</ns0:f>
      </ns0:c>
      <ns0:c r="U186" s="920">
        <ns0:f>IF(COUNTA($A186:$M186)=0,"",IF(OR(LEFT(LOWER(TRIM($F186&amp;"")),12)="subscription",LOWER(TRIM($F186&amp;""))="membership"),"Subscription",IF(LOWER(TRIM($D186&amp;""))="estimate","Estimate",IF(OR(AND($H186&lt;&gt;"",$H186=0),LEFT(LOWER(TRIM($F186&amp;"")),9)="free game",LOWER(TRIM($F186&amp;""))="free",LOWER(TRIM($F186&amp;""))="free entry"),IF(LOWER($L186&amp;"")="yes","Disqualified — Free Game","Free Game"),IF(LOWER($L186&amp;"")="yes","Disqualified",IF($P186="","",IF(ROUND(IFERROR(VALUE($P186),0)-IFERROR(VALUE($H186),0),2)&gt;0,"Profit","Draw")))))))</ns0:f>
      </ns0:c>
      <ns0:c r="V186" s="956" t="str">
        <ns0:f>IF(COUNTA($A186:$M186)=0,"",IF(OR($B186="",$C186="",$U186="Subscription"),"",IFERROR(ROUNDUP(($C186-$B186)/7,0),"")))</ns0:f>
      </ns0:c>
      <ns0:c r="W186" s="114">
        <ns0:f>IF(COUNTA($A186:$M186)=0,"",IF(OR($U186="Subscription",$U186=""),"",IF($U186="Estimate","N/A",IF(OR($U186="Free Game",$U186="Disqualified — Free Game"),0,ROUND(IFERROR($Q186,0)-IFERROR($S186,0),2)))))</ns0:f>
      </ns0:c>
      <ns0:c r="X186" s="956" t="str">
        <ns0:f>IF(COUNTA($A186:$M186)=0,"",IF(OR($U186="Subscription",NOT(ISNUMBER($J186)),NOT(ISNUMBER($I186)),$J186=0,$I186=0,$I186&gt;$J186),"",$J186-$I186))</ns0:f>
      </ns0:c>
      <ns0:c r="Y186" s="955" t="str">
        <ns0:f>IF(COUNTA($A186:$M186)=0,"",IF(OR($U186="Subscription",NOT(ISNUMBER($J186)),$J186=0,$X186=""),"",$X186/$J186))</ns0:f>
      </ns0:c>
      <ns0:c r="Z186" s="957" t="str">
        <ns0:f>IF(COUNTA($A186:$M186)=0,"",Instructions!$B$29+SUM($W$5:W186))</ns0:f>
      </ns0:c>
    </ns0:row>
    <ns0:row r="187" ht="36" customHeight="1">
      <ns0:c r="A187" s="439"/>
      <ns0:c r="B187" s="453"/>
      <ns0:c r="C187" s="453"/>
      <ns0:c r="D187" s="454"/>
      <ns0:c r="E187" s="454"/>
      <ns0:c r="F187" s="454"/>
      <ns0:c r="G187" s="986"/>
      <ns0:c r="H187" s="455"/>
      <ns0:c r="I187" s="456"/>
      <ns0:c r="J187" s="456"/>
      <ns0:c r="K187" s="986"/>
      <ns0:c r="L187" s="454"/>
      <ns0:c r="M187" s="439"/>
      <ns0:c r="N187" s="987" t="str">
        <ns0:f>IF(COUNTA($A187:$M187)=0,"",IF(OR(LEFT(LOWER(TRIM($F187&amp;"")),12)="subscription",LOWER(TRIM($F187&amp;""))="membership"),"",IF(OR(AND($H187&lt;&gt;"",$H187=0),LEFT(LOWER(TRIM($F187&amp;"")),9)="free game",LOWER(TRIM($F187&amp;""))="free",LOWER(TRIM($F187&amp;""))="free entry"),IF(ISNUMBER($G187),IF(ISNUMBER(SEARCH("non",LOWER($E187&amp;""))),$G187*0.85,$G187),"N/A"),IF($G187="","",IFERROR(IF(ISNUMBER(SEARCH("non",LOWER($E187&amp;""))),$G187*0.85,$G187),"")))))</ns0:f>
        <ns0:v/>
      </ns0:c>
      <ns0:c r="O187" s="987" t="str">
        <ns0:f>IF(COUNTA($A187:$M187)=0,"",IF(OR(LEFT(LOWER(TRIM($F187&amp;"")),12)="subscription",LOWER(TRIM($F187&amp;""))="membership"),"",IF(OR(AND($H187&lt;&gt;"",$H187=0),LEFT(LOWER(TRIM($F187&amp;"")),9)="free game",LOWER(TRIM($F187&amp;""))="free",LOWER(TRIM($F187&amp;""))="free entry"),IF(OR(NOT(ISNUMBER($N187)),NOT(ISNUMBER($I187)),$I187=0),"N/A",IFERROR($N187/$I187,"N/A")),IF(OR($N187="",$I187="",$I187=0),"",IFERROR($N187/$I187,"")))))</ns0:f>
        <ns0:v/>
      </ns0:c>
      <ns0:c r="P187" s="987">
        <ns0:f>IF(COUNTA($A187:$M187)=0,"",IF(OR(LEFT(LOWER(TRIM($F187&amp;"")),12)="subscription",LOWER(TRIM($F187&amp;""))="membership"),"",IF(LOWER(TRIM($D187&amp;""))="estimate","N/A",IF(LOWER($L187&amp;"")="yes",0,IF(OR(AND($H187&lt;&gt;"",$H187=0),LEFT(LOWER(TRIM($F187&amp;"")),9)="free game",LOWER(TRIM($F187&amp;""))="free",LOWER(TRIM($F187&amp;""))="free entry"),IF(ISNUMBER($K187),$K187,""),IF($K187&lt;&gt;"",$K187,""))))))</ns0:f>
      </ns0:c>
      <ns0:c r="Q187" s="114">
        <ns0:f>IF(COUNTA($A187:$M187)=0,"",IF(OR($U187="Subscription",$U187=""),"",IF($U187="Estimate","N/A",IF($U187="Profit",ROUND(IFERROR($P187,0)-IFERROR($H187,0),2),0))))</ns0:f>
      </ns0:c>
      <ns0:c r="R187" s="114">
        <ns0:f>IF(COUNTA($A187:$M187)=0,"",IF(OR($U187="Subscription",$U187=""),"",IF($U187="Estimate","N/A",IF($U187="Draw",$H187,0))))</ns0:f>
      </ns0:c>
      <ns0:c r="S187" s="114">
        <ns0:f>IF(COUNTA($A187:$M187)=0,"",IF(OR($U187="Subscription",$U187=""),"",IF($U187="Estimate","N/A",IF($U187="Disqualified",$H187,0))))</ns0:f>
      </ns0:c>
      <ns0:c r="T187" s="955">
        <ns0:f>IF(COUNTA($A187:$M187)=0,"",IF(OR($U187="Subscription",$U187=""),"",IF($U187="Estimate","N/A",IF(OR($U187="Free Game",$U187="Disqualified — Free Game",$H187=0),"N/A",IF($U187="Profit",$Q187/$H187,IF($U187="Disqualified",-$S187/$H187,0))))))</ns0:f>
      </ns0:c>
      <ns0:c r="U187" s="920">
        <ns0:f>IF(COUNTA($A187:$M187)=0,"",IF(OR(LEFT(LOWER(TRIM($F187&amp;"")),12)="subscription",LOWER(TRIM($F187&amp;""))="membership"),"Subscription",IF(LOWER(TRIM($D187&amp;""))="estimate","Estimate",IF(OR(AND($H187&lt;&gt;"",$H187=0),LEFT(LOWER(TRIM($F187&amp;"")),9)="free game",LOWER(TRIM($F187&amp;""))="free",LOWER(TRIM($F187&amp;""))="free entry"),IF(LOWER($L187&amp;"")="yes","Disqualified — Free Game","Free Game"),IF(LOWER($L187&amp;"")="yes","Disqualified",IF($P187="","",IF(ROUND(IFERROR(VALUE($P187),0)-IFERROR(VALUE($H187),0),2)&gt;0,"Profit","Draw")))))))</ns0:f>
      </ns0:c>
      <ns0:c r="V187" s="956" t="str">
        <ns0:f>IF(COUNTA($A187:$M187)=0,"",IF(OR($B187="",$C187="",$U187="Subscription"),"",IFERROR(ROUNDUP(($C187-$B187)/7,0),"")))</ns0:f>
      </ns0:c>
      <ns0:c r="W187" s="114">
        <ns0:f>IF(COUNTA($A187:$M187)=0,"",IF(OR($U187="Subscription",$U187=""),"",IF($U187="Estimate","N/A",IF(OR($U187="Free Game",$U187="Disqualified — Free Game"),0,ROUND(IFERROR($Q187,0)-IFERROR($S187,0),2)))))</ns0:f>
      </ns0:c>
      <ns0:c r="X187" s="956" t="str">
        <ns0:f>IF(COUNTA($A187:$M187)=0,"",IF(OR($U187="Subscription",NOT(ISNUMBER($J187)),NOT(ISNUMBER($I187)),$J187=0,$I187=0,$I187&gt;$J187),"",$J187-$I187))</ns0:f>
      </ns0:c>
      <ns0:c r="Y187" s="955" t="str">
        <ns0:f>IF(COUNTA($A187:$M187)=0,"",IF(OR($U187="Subscription",NOT(ISNUMBER($J187)),$J187=0,$X187=""),"",$X187/$J187))</ns0:f>
      </ns0:c>
      <ns0:c r="Z187" s="957" t="str">
        <ns0:f>IF(COUNTA($A187:$M187)=0,"",Instructions!$B$29+SUM($W$5:W187))</ns0:f>
      </ns0:c>
    </ns0:row>
    <ns0:row r="188" ht="36" customHeight="1">
      <ns0:c r="A188" s="439"/>
      <ns0:c r="B188" s="453"/>
      <ns0:c r="C188" s="453"/>
      <ns0:c r="D188" s="454"/>
      <ns0:c r="E188" s="454"/>
      <ns0:c r="F188" s="454"/>
      <ns0:c r="G188" s="986"/>
      <ns0:c r="H188" s="455"/>
      <ns0:c r="I188" s="456"/>
      <ns0:c r="J188" s="456"/>
      <ns0:c r="K188" s="986"/>
      <ns0:c r="L188" s="454"/>
      <ns0:c r="M188" s="439"/>
      <ns0:c r="N188" s="987" t="str">
        <ns0:f>IF(COUNTA($A188:$M188)=0,"",IF(OR(LEFT(LOWER(TRIM($F188&amp;"")),12)="subscription",LOWER(TRIM($F188&amp;""))="membership"),"",IF(OR(AND($H188&lt;&gt;"",$H188=0),LEFT(LOWER(TRIM($F188&amp;"")),9)="free game",LOWER(TRIM($F188&amp;""))="free",LOWER(TRIM($F188&amp;""))="free entry"),IF(ISNUMBER($G188),IF(ISNUMBER(SEARCH("non",LOWER($E188&amp;""))),$G188*0.85,$G188),"N/A"),IF($G188="","",IFERROR(IF(ISNUMBER(SEARCH("non",LOWER($E188&amp;""))),$G188*0.85,$G188),"")))))</ns0:f>
        <ns0:v/>
      </ns0:c>
      <ns0:c r="O188" s="987" t="str">
        <ns0:f>IF(COUNTA($A188:$M188)=0,"",IF(OR(LEFT(LOWER(TRIM($F188&amp;"")),12)="subscription",LOWER(TRIM($F188&amp;""))="membership"),"",IF(OR(AND($H188&lt;&gt;"",$H188=0),LEFT(LOWER(TRIM($F188&amp;"")),9)="free game",LOWER(TRIM($F188&amp;""))="free",LOWER(TRIM($F188&amp;""))="free entry"),IF(OR(NOT(ISNUMBER($N188)),NOT(ISNUMBER($I188)),$I188=0),"N/A",IFERROR($N188/$I188,"N/A")),IF(OR($N188="",$I188="",$I188=0),"",IFERROR($N188/$I188,"")))))</ns0:f>
        <ns0:v/>
      </ns0:c>
      <ns0:c r="P188" s="987">
        <ns0:f>IF(COUNTA($A188:$M188)=0,"",IF(OR(LEFT(LOWER(TRIM($F188&amp;"")),12)="subscription",LOWER(TRIM($F188&amp;""))="membership"),"",IF(LOWER(TRIM($D188&amp;""))="estimate","N/A",IF(LOWER($L188&amp;"")="yes",0,IF(OR(AND($H188&lt;&gt;"",$H188=0),LEFT(LOWER(TRIM($F188&amp;"")),9)="free game",LOWER(TRIM($F188&amp;""))="free",LOWER(TRIM($F188&amp;""))="free entry"),IF(ISNUMBER($K188),$K188,""),IF($K188&lt;&gt;"",$K188,""))))))</ns0:f>
      </ns0:c>
      <ns0:c r="Q188" s="114">
        <ns0:f>IF(COUNTA($A188:$M188)=0,"",IF(OR($U188="Subscription",$U188=""),"",IF($U188="Estimate","N/A",IF($U188="Profit",ROUND(IFERROR($P188,0)-IFERROR($H188,0),2),0))))</ns0:f>
      </ns0:c>
      <ns0:c r="R188" s="114">
        <ns0:f>IF(COUNTA($A188:$M188)=0,"",IF(OR($U188="Subscription",$U188=""),"",IF($U188="Estimate","N/A",IF($U188="Draw",$H188,0))))</ns0:f>
      </ns0:c>
      <ns0:c r="S188" s="114">
        <ns0:f>IF(COUNTA($A188:$M188)=0,"",IF(OR($U188="Subscription",$U188=""),"",IF($U188="Estimate","N/A",IF($U188="Disqualified",$H188,0))))</ns0:f>
      </ns0:c>
      <ns0:c r="T188" s="955">
        <ns0:f>IF(COUNTA($A188:$M188)=0,"",IF(OR($U188="Subscription",$U188=""),"",IF($U188="Estimate","N/A",IF(OR($U188="Free Game",$U188="Disqualified — Free Game",$H188=0),"N/A",IF($U188="Profit",$Q188/$H188,IF($U188="Disqualified",-$S188/$H188,0))))))</ns0:f>
      </ns0:c>
      <ns0:c r="U188" s="920">
        <ns0:f>IF(COUNTA($A188:$M188)=0,"",IF(OR(LEFT(LOWER(TRIM($F188&amp;"")),12)="subscription",LOWER(TRIM($F188&amp;""))="membership"),"Subscription",IF(LOWER(TRIM($D188&amp;""))="estimate","Estimate",IF(OR(AND($H188&lt;&gt;"",$H188=0),LEFT(LOWER(TRIM($F188&amp;"")),9)="free game",LOWER(TRIM($F188&amp;""))="free",LOWER(TRIM($F188&amp;""))="free entry"),IF(LOWER($L188&amp;"")="yes","Disqualified — Free Game","Free Game"),IF(LOWER($L188&amp;"")="yes","Disqualified",IF($P188="","",IF(ROUND(IFERROR(VALUE($P188),0)-IFERROR(VALUE($H188),0),2)&gt;0,"Profit","Draw")))))))</ns0:f>
      </ns0:c>
      <ns0:c r="V188" s="956" t="str">
        <ns0:f>IF(COUNTA($A188:$M188)=0,"",IF(OR($B188="",$C188="",$U188="Subscription"),"",IFERROR(ROUNDUP(($C188-$B188)/7,0),"")))</ns0:f>
      </ns0:c>
      <ns0:c r="W188" s="114">
        <ns0:f>IF(COUNTA($A188:$M188)=0,"",IF(OR($U188="Subscription",$U188=""),"",IF($U188="Estimate","N/A",IF(OR($U188="Free Game",$U188="Disqualified — Free Game"),0,ROUND(IFERROR($Q188,0)-IFERROR($S188,0),2)))))</ns0:f>
      </ns0:c>
      <ns0:c r="X188" s="956" t="str">
        <ns0:f>IF(COUNTA($A188:$M188)=0,"",IF(OR($U188="Subscription",NOT(ISNUMBER($J188)),NOT(ISNUMBER($I188)),$J188=0,$I188=0,$I188&gt;$J188),"",$J188-$I188))</ns0:f>
      </ns0:c>
      <ns0:c r="Y188" s="955" t="str">
        <ns0:f>IF(COUNTA($A188:$M188)=0,"",IF(OR($U188="Subscription",NOT(ISNUMBER($J188)),$J188=0,$X188=""),"",$X188/$J188))</ns0:f>
      </ns0:c>
      <ns0:c r="Z188" s="957" t="str">
        <ns0:f>IF(COUNTA($A188:$M188)=0,"",Instructions!$B$29+SUM($W$5:W188))</ns0:f>
      </ns0:c>
    </ns0:row>
    <ns0:row r="189" ht="36" customHeight="1">
      <ns0:c r="A189" s="439"/>
      <ns0:c r="B189" s="453"/>
      <ns0:c r="C189" s="453"/>
      <ns0:c r="D189" s="454"/>
      <ns0:c r="E189" s="454"/>
      <ns0:c r="F189" s="454"/>
      <ns0:c r="G189" s="986"/>
      <ns0:c r="H189" s="455"/>
      <ns0:c r="I189" s="456"/>
      <ns0:c r="J189" s="456"/>
      <ns0:c r="K189" s="986"/>
      <ns0:c r="L189" s="454"/>
      <ns0:c r="M189" s="439"/>
      <ns0:c r="N189" s="987" t="str">
        <ns0:f>IF(COUNTA($A189:$M189)=0,"",IF(OR(LEFT(LOWER(TRIM($F189&amp;"")),12)="subscription",LOWER(TRIM($F189&amp;""))="membership"),"",IF(OR(AND($H189&lt;&gt;"",$H189=0),LEFT(LOWER(TRIM($F189&amp;"")),9)="free game",LOWER(TRIM($F189&amp;""))="free",LOWER(TRIM($F189&amp;""))="free entry"),IF(ISNUMBER($G189),IF(ISNUMBER(SEARCH("non",LOWER($E189&amp;""))),$G189*0.85,$G189),"N/A"),IF($G189="","",IFERROR(IF(ISNUMBER(SEARCH("non",LOWER($E189&amp;""))),$G189*0.85,$G189),"")))))</ns0:f>
        <ns0:v/>
      </ns0:c>
      <ns0:c r="O189" s="987" t="str">
        <ns0:f>IF(COUNTA($A189:$M189)=0,"",IF(OR(LEFT(LOWER(TRIM($F189&amp;"")),12)="subscription",LOWER(TRIM($F189&amp;""))="membership"),"",IF(OR(AND($H189&lt;&gt;"",$H189=0),LEFT(LOWER(TRIM($F189&amp;"")),9)="free game",LOWER(TRIM($F189&amp;""))="free",LOWER(TRIM($F189&amp;""))="free entry"),IF(OR(NOT(ISNUMBER($N189)),NOT(ISNUMBER($I189)),$I189=0),"N/A",IFERROR($N189/$I189,"N/A")),IF(OR($N189="",$I189="",$I189=0),"",IFERROR($N189/$I189,"")))))</ns0:f>
        <ns0:v/>
      </ns0:c>
      <ns0:c r="P189" s="987">
        <ns0:f>IF(COUNTA($A189:$M189)=0,"",IF(OR(LEFT(LOWER(TRIM($F189&amp;"")),12)="subscription",LOWER(TRIM($F189&amp;""))="membership"),"",IF(LOWER(TRIM($D189&amp;""))="estimate","N/A",IF(LOWER($L189&amp;"")="yes",0,IF(OR(AND($H189&lt;&gt;"",$H189=0),LEFT(LOWER(TRIM($F189&amp;"")),9)="free game",LOWER(TRIM($F189&amp;""))="free",LOWER(TRIM($F189&amp;""))="free entry"),IF(ISNUMBER($K189),$K189,""),IF($K189&lt;&gt;"",$K189,""))))))</ns0:f>
      </ns0:c>
      <ns0:c r="Q189" s="114">
        <ns0:f>IF(COUNTA($A189:$M189)=0,"",IF(OR($U189="Subscription",$U189=""),"",IF($U189="Estimate","N/A",IF($U189="Profit",ROUND(IFERROR($P189,0)-IFERROR($H189,0),2),0))))</ns0:f>
      </ns0:c>
      <ns0:c r="R189" s="114">
        <ns0:f>IF(COUNTA($A189:$M189)=0,"",IF(OR($U189="Subscription",$U189=""),"",IF($U189="Estimate","N/A",IF($U189="Draw",$H189,0))))</ns0:f>
      </ns0:c>
      <ns0:c r="S189" s="114">
        <ns0:f>IF(COUNTA($A189:$M189)=0,"",IF(OR($U189="Subscription",$U189=""),"",IF($U189="Estimate","N/A",IF($U189="Disqualified",$H189,0))))</ns0:f>
      </ns0:c>
      <ns0:c r="T189" s="955">
        <ns0:f>IF(COUNTA($A189:$M189)=0,"",IF(OR($U189="Subscription",$U189=""),"",IF($U189="Estimate","N/A",IF(OR($U189="Free Game",$U189="Disqualified — Free Game",$H189=0),"N/A",IF($U189="Profit",$Q189/$H189,IF($U189="Disqualified",-$S189/$H189,0))))))</ns0:f>
      </ns0:c>
      <ns0:c r="U189" s="920">
        <ns0:f>IF(COUNTA($A189:$M189)=0,"",IF(OR(LEFT(LOWER(TRIM($F189&amp;"")),12)="subscription",LOWER(TRIM($F189&amp;""))="membership"),"Subscription",IF(LOWER(TRIM($D189&amp;""))="estimate","Estimate",IF(OR(AND($H189&lt;&gt;"",$H189=0),LEFT(LOWER(TRIM($F189&amp;"")),9)="free game",LOWER(TRIM($F189&amp;""))="free",LOWER(TRIM($F189&amp;""))="free entry"),IF(LOWER($L189&amp;"")="yes","Disqualified — Free Game","Free Game"),IF(LOWER($L189&amp;"")="yes","Disqualified",IF($P189="","",IF(ROUND(IFERROR(VALUE($P189),0)-IFERROR(VALUE($H189),0),2)&gt;0,"Profit","Draw")))))))</ns0:f>
      </ns0:c>
      <ns0:c r="V189" s="956" t="str">
        <ns0:f>IF(COUNTA($A189:$M189)=0,"",IF(OR($B189="",$C189="",$U189="Subscription"),"",IFERROR(ROUNDUP(($C189-$B189)/7,0),"")))</ns0:f>
      </ns0:c>
      <ns0:c r="W189" s="114">
        <ns0:f>IF(COUNTA($A189:$M189)=0,"",IF(OR($U189="Subscription",$U189=""),"",IF($U189="Estimate","N/A",IF(OR($U189="Free Game",$U189="Disqualified — Free Game"),0,ROUND(IFERROR($Q189,0)-IFERROR($S189,0),2)))))</ns0:f>
      </ns0:c>
      <ns0:c r="X189" s="956" t="str">
        <ns0:f>IF(COUNTA($A189:$M189)=0,"",IF(OR($U189="Subscription",NOT(ISNUMBER($J189)),NOT(ISNUMBER($I189)),$J189=0,$I189=0,$I189&gt;$J189),"",$J189-$I189))</ns0:f>
      </ns0:c>
      <ns0:c r="Y189" s="955" t="str">
        <ns0:f>IF(COUNTA($A189:$M189)=0,"",IF(OR($U189="Subscription",NOT(ISNUMBER($J189)),$J189=0,$X189=""),"",$X189/$J189))</ns0:f>
      </ns0:c>
      <ns0:c r="Z189" s="957" t="str">
        <ns0:f>IF(COUNTA($A189:$M189)=0,"",Instructions!$B$29+SUM($W$5:W189))</ns0:f>
      </ns0:c>
    </ns0:row>
    <ns0:row r="190" ht="36" customHeight="1">
      <ns0:c r="A190" s="439"/>
      <ns0:c r="B190" s="453"/>
      <ns0:c r="C190" s="453"/>
      <ns0:c r="D190" s="454"/>
      <ns0:c r="E190" s="454"/>
      <ns0:c r="F190" s="454"/>
      <ns0:c r="G190" s="986"/>
      <ns0:c r="H190" s="455"/>
      <ns0:c r="I190" s="456"/>
      <ns0:c r="J190" s="456"/>
      <ns0:c r="K190" s="986"/>
      <ns0:c r="L190" s="454"/>
      <ns0:c r="M190" s="439"/>
      <ns0:c r="N190" s="987" t="str">
        <ns0:f>IF(COUNTA($A190:$M190)=0,"",IF(OR(LEFT(LOWER(TRIM($F190&amp;"")),12)="subscription",LOWER(TRIM($F190&amp;""))="membership"),"",IF(OR(AND($H190&lt;&gt;"",$H190=0),LEFT(LOWER(TRIM($F190&amp;"")),9)="free game",LOWER(TRIM($F190&amp;""))="free",LOWER(TRIM($F190&amp;""))="free entry"),IF(ISNUMBER($G190),IF(ISNUMBER(SEARCH("non",LOWER($E190&amp;""))),$G190*0.85,$G190),"N/A"),IF($G190="","",IFERROR(IF(ISNUMBER(SEARCH("non",LOWER($E190&amp;""))),$G190*0.85,$G190),"")))))</ns0:f>
        <ns0:v/>
      </ns0:c>
      <ns0:c r="O190" s="987" t="str">
        <ns0:f>IF(COUNTA($A190:$M190)=0,"",IF(OR(LEFT(LOWER(TRIM($F190&amp;"")),12)="subscription",LOWER(TRIM($F190&amp;""))="membership"),"",IF(OR(AND($H190&lt;&gt;"",$H190=0),LEFT(LOWER(TRIM($F190&amp;"")),9)="free game",LOWER(TRIM($F190&amp;""))="free",LOWER(TRIM($F190&amp;""))="free entry"),IF(OR(NOT(ISNUMBER($N190)),NOT(ISNUMBER($I190)),$I190=0),"N/A",IFERROR($N190/$I190,"N/A")),IF(OR($N190="",$I190="",$I190=0),"",IFERROR($N190/$I190,"")))))</ns0:f>
        <ns0:v/>
      </ns0:c>
      <ns0:c r="P190" s="987">
        <ns0:f>IF(COUNTA($A190:$M190)=0,"",IF(OR(LEFT(LOWER(TRIM($F190&amp;"")),12)="subscription",LOWER(TRIM($F190&amp;""))="membership"),"",IF(LOWER(TRIM($D190&amp;""))="estimate","N/A",IF(LOWER($L190&amp;"")="yes",0,IF(OR(AND($H190&lt;&gt;"",$H190=0),LEFT(LOWER(TRIM($F190&amp;"")),9)="free game",LOWER(TRIM($F190&amp;""))="free",LOWER(TRIM($F190&amp;""))="free entry"),IF(ISNUMBER($K190),$K190,""),IF($K190&lt;&gt;"",$K190,""))))))</ns0:f>
      </ns0:c>
      <ns0:c r="Q190" s="114">
        <ns0:f>IF(COUNTA($A190:$M190)=0,"",IF(OR($U190="Subscription",$U190=""),"",IF($U190="Estimate","N/A",IF($U190="Profit",ROUND(IFERROR($P190,0)-IFERROR($H190,0),2),0))))</ns0:f>
      </ns0:c>
      <ns0:c r="R190" s="114">
        <ns0:f>IF(COUNTA($A190:$M190)=0,"",IF(OR($U190="Subscription",$U190=""),"",IF($U190="Estimate","N/A",IF($U190="Draw",$H190,0))))</ns0:f>
      </ns0:c>
      <ns0:c r="S190" s="114">
        <ns0:f>IF(COUNTA($A190:$M190)=0,"",IF(OR($U190="Subscription",$U190=""),"",IF($U190="Estimate","N/A",IF($U190="Disqualified",$H190,0))))</ns0:f>
      </ns0:c>
      <ns0:c r="T190" s="955">
        <ns0:f>IF(COUNTA($A190:$M190)=0,"",IF(OR($U190="Subscription",$U190=""),"",IF($U190="Estimate","N/A",IF(OR($U190="Free Game",$U190="Disqualified — Free Game",$H190=0),"N/A",IF($U190="Profit",$Q190/$H190,IF($U190="Disqualified",-$S190/$H190,0))))))</ns0:f>
      </ns0:c>
      <ns0:c r="U190" s="920">
        <ns0:f>IF(COUNTA($A190:$M190)=0,"",IF(OR(LEFT(LOWER(TRIM($F190&amp;"")),12)="subscription",LOWER(TRIM($F190&amp;""))="membership"),"Subscription",IF(LOWER(TRIM($D190&amp;""))="estimate","Estimate",IF(OR(AND($H190&lt;&gt;"",$H190=0),LEFT(LOWER(TRIM($F190&amp;"")),9)="free game",LOWER(TRIM($F190&amp;""))="free",LOWER(TRIM($F190&amp;""))="free entry"),IF(LOWER($L190&amp;"")="yes","Disqualified — Free Game","Free Game"),IF(LOWER($L190&amp;"")="yes","Disqualified",IF($P190="","",IF(ROUND(IFERROR(VALUE($P190),0)-IFERROR(VALUE($H190),0),2)&gt;0,"Profit","Draw")))))))</ns0:f>
      </ns0:c>
      <ns0:c r="V190" s="956" t="str">
        <ns0:f>IF(COUNTA($A190:$M190)=0,"",IF(OR($B190="",$C190="",$U190="Subscription"),"",IFERROR(ROUNDUP(($C190-$B190)/7,0),"")))</ns0:f>
      </ns0:c>
      <ns0:c r="W190" s="114">
        <ns0:f>IF(COUNTA($A190:$M190)=0,"",IF(OR($U190="Subscription",$U190=""),"",IF($U190="Estimate","N/A",IF(OR($U190="Free Game",$U190="Disqualified — Free Game"),0,ROUND(IFERROR($Q190,0)-IFERROR($S190,0),2)))))</ns0:f>
      </ns0:c>
      <ns0:c r="X190" s="956" t="str">
        <ns0:f>IF(COUNTA($A190:$M190)=0,"",IF(OR($U190="Subscription",NOT(ISNUMBER($J190)),NOT(ISNUMBER($I190)),$J190=0,$I190=0,$I190&gt;$J190),"",$J190-$I190))</ns0:f>
      </ns0:c>
      <ns0:c r="Y190" s="955" t="str">
        <ns0:f>IF(COUNTA($A190:$M190)=0,"",IF(OR($U190="Subscription",NOT(ISNUMBER($J190)),$J190=0,$X190=""),"",$X190/$J190))</ns0:f>
      </ns0:c>
      <ns0:c r="Z190" s="957" t="str">
        <ns0:f>IF(COUNTA($A190:$M190)=0,"",Instructions!$B$29+SUM($W$5:W190))</ns0:f>
      </ns0:c>
    </ns0:row>
    <ns0:row r="191" ht="36" customHeight="1">
      <ns0:c r="A191" s="439"/>
      <ns0:c r="B191" s="453"/>
      <ns0:c r="C191" s="453"/>
      <ns0:c r="D191" s="454"/>
      <ns0:c r="E191" s="454"/>
      <ns0:c r="F191" s="454"/>
      <ns0:c r="G191" s="986"/>
      <ns0:c r="H191" s="455"/>
      <ns0:c r="I191" s="456"/>
      <ns0:c r="J191" s="456"/>
      <ns0:c r="K191" s="986"/>
      <ns0:c r="L191" s="454"/>
      <ns0:c r="M191" s="439"/>
      <ns0:c r="N191" s="987" t="str">
        <ns0:f>IF(COUNTA($A191:$M191)=0,"",IF(OR(LEFT(LOWER(TRIM($F191&amp;"")),12)="subscription",LOWER(TRIM($F191&amp;""))="membership"),"",IF(OR(AND($H191&lt;&gt;"",$H191=0),LEFT(LOWER(TRIM($F191&amp;"")),9)="free game",LOWER(TRIM($F191&amp;""))="free",LOWER(TRIM($F191&amp;""))="free entry"),IF(ISNUMBER($G191),IF(ISNUMBER(SEARCH("non",LOWER($E191&amp;""))),$G191*0.85,$G191),"N/A"),IF($G191="","",IFERROR(IF(ISNUMBER(SEARCH("non",LOWER($E191&amp;""))),$G191*0.85,$G191),"")))))</ns0:f>
        <ns0:v/>
      </ns0:c>
      <ns0:c r="O191" s="987" t="str">
        <ns0:f>IF(COUNTA($A191:$M191)=0,"",IF(OR(LEFT(LOWER(TRIM($F191&amp;"")),12)="subscription",LOWER(TRIM($F191&amp;""))="membership"),"",IF(OR(AND($H191&lt;&gt;"",$H191=0),LEFT(LOWER(TRIM($F191&amp;"")),9)="free game",LOWER(TRIM($F191&amp;""))="free",LOWER(TRIM($F191&amp;""))="free entry"),IF(OR(NOT(ISNUMBER($N191)),NOT(ISNUMBER($I191)),$I191=0),"N/A",IFERROR($N191/$I191,"N/A")),IF(OR($N191="",$I191="",$I191=0),"",IFERROR($N191/$I191,"")))))</ns0:f>
        <ns0:v/>
      </ns0:c>
      <ns0:c r="P191" s="987">
        <ns0:f>IF(COUNTA($A191:$M191)=0,"",IF(OR(LEFT(LOWER(TRIM($F191&amp;"")),12)="subscription",LOWER(TRIM($F191&amp;""))="membership"),"",IF(LOWER(TRIM($D191&amp;""))="estimate","N/A",IF(LOWER($L191&amp;"")="yes",0,IF(OR(AND($H191&lt;&gt;"",$H191=0),LEFT(LOWER(TRIM($F191&amp;"")),9)="free game",LOWER(TRIM($F191&amp;""))="free",LOWER(TRIM($F191&amp;""))="free entry"),IF(ISNUMBER($K191),$K191,""),IF($K191&lt;&gt;"",$K191,""))))))</ns0:f>
      </ns0:c>
      <ns0:c r="Q191" s="114">
        <ns0:f>IF(COUNTA($A191:$M191)=0,"",IF(OR($U191="Subscription",$U191=""),"",IF($U191="Estimate","N/A",IF($U191="Profit",ROUND(IFERROR($P191,0)-IFERROR($H191,0),2),0))))</ns0:f>
      </ns0:c>
      <ns0:c r="R191" s="114">
        <ns0:f>IF(COUNTA($A191:$M191)=0,"",IF(OR($U191="Subscription",$U191=""),"",IF($U191="Estimate","N/A",IF($U191="Draw",$H191,0))))</ns0:f>
      </ns0:c>
      <ns0:c r="S191" s="114">
        <ns0:f>IF(COUNTA($A191:$M191)=0,"",IF(OR($U191="Subscription",$U191=""),"",IF($U191="Estimate","N/A",IF($U191="Disqualified",$H191,0))))</ns0:f>
      </ns0:c>
      <ns0:c r="T191" s="955">
        <ns0:f>IF(COUNTA($A191:$M191)=0,"",IF(OR($U191="Subscription",$U191=""),"",IF($U191="Estimate","N/A",IF(OR($U191="Free Game",$U191="Disqualified — Free Game",$H191=0),"N/A",IF($U191="Profit",$Q191/$H191,IF($U191="Disqualified",-$S191/$H191,0))))))</ns0:f>
      </ns0:c>
      <ns0:c r="U191" s="920">
        <ns0:f>IF(COUNTA($A191:$M191)=0,"",IF(OR(LEFT(LOWER(TRIM($F191&amp;"")),12)="subscription",LOWER(TRIM($F191&amp;""))="membership"),"Subscription",IF(LOWER(TRIM($D191&amp;""))="estimate","Estimate",IF(OR(AND($H191&lt;&gt;"",$H191=0),LEFT(LOWER(TRIM($F191&amp;"")),9)="free game",LOWER(TRIM($F191&amp;""))="free",LOWER(TRIM($F191&amp;""))="free entry"),IF(LOWER($L191&amp;"")="yes","Disqualified — Free Game","Free Game"),IF(LOWER($L191&amp;"")="yes","Disqualified",IF($P191="","",IF(ROUND(IFERROR(VALUE($P191),0)-IFERROR(VALUE($H191),0),2)&gt;0,"Profit","Draw")))))))</ns0:f>
      </ns0:c>
      <ns0:c r="V191" s="956" t="str">
        <ns0:f>IF(COUNTA($A191:$M191)=0,"",IF(OR($B191="",$C191="",$U191="Subscription"),"",IFERROR(ROUNDUP(($C191-$B191)/7,0),"")))</ns0:f>
      </ns0:c>
      <ns0:c r="W191" s="114">
        <ns0:f>IF(COUNTA($A191:$M191)=0,"",IF(OR($U191="Subscription",$U191=""),"",IF($U191="Estimate","N/A",IF(OR($U191="Free Game",$U191="Disqualified — Free Game"),0,ROUND(IFERROR($Q191,0)-IFERROR($S191,0),2)))))</ns0:f>
      </ns0:c>
      <ns0:c r="X191" s="956" t="str">
        <ns0:f>IF(COUNTA($A191:$M191)=0,"",IF(OR($U191="Subscription",NOT(ISNUMBER($J191)),NOT(ISNUMBER($I191)),$J191=0,$I191=0,$I191&gt;$J191),"",$J191-$I191))</ns0:f>
      </ns0:c>
      <ns0:c r="Y191" s="955" t="str">
        <ns0:f>IF(COUNTA($A191:$M191)=0,"",IF(OR($U191="Subscription",NOT(ISNUMBER($J191)),$J191=0,$X191=""),"",$X191/$J191))</ns0:f>
      </ns0:c>
      <ns0:c r="Z191" s="957" t="str">
        <ns0:f>IF(COUNTA($A191:$M191)=0,"",Instructions!$B$29+SUM($W$5:W191))</ns0:f>
      </ns0:c>
    </ns0:row>
    <ns0:row r="192" ht="36" customHeight="1">
      <ns0:c r="A192" s="439"/>
      <ns0:c r="B192" s="453"/>
      <ns0:c r="C192" s="453"/>
      <ns0:c r="D192" s="454"/>
      <ns0:c r="E192" s="454"/>
      <ns0:c r="F192" s="454"/>
      <ns0:c r="G192" s="986"/>
      <ns0:c r="H192" s="455"/>
      <ns0:c r="I192" s="456"/>
      <ns0:c r="J192" s="456"/>
      <ns0:c r="K192" s="986"/>
      <ns0:c r="L192" s="454"/>
      <ns0:c r="M192" s="439"/>
      <ns0:c r="N192" s="987" t="str">
        <ns0:f>IF(COUNTA($A192:$M192)=0,"",IF(OR(LEFT(LOWER(TRIM($F192&amp;"")),12)="subscription",LOWER(TRIM($F192&amp;""))="membership"),"",IF(OR(AND($H192&lt;&gt;"",$H192=0),LEFT(LOWER(TRIM($F192&amp;"")),9)="free game",LOWER(TRIM($F192&amp;""))="free",LOWER(TRIM($F192&amp;""))="free entry"),IF(ISNUMBER($G192),IF(ISNUMBER(SEARCH("non",LOWER($E192&amp;""))),$G192*0.85,$G192),"N/A"),IF($G192="","",IFERROR(IF(ISNUMBER(SEARCH("non",LOWER($E192&amp;""))),$G192*0.85,$G192),"")))))</ns0:f>
        <ns0:v/>
      </ns0:c>
      <ns0:c r="O192" s="987" t="str">
        <ns0:f>IF(COUNTA($A192:$M192)=0,"",IF(OR(LEFT(LOWER(TRIM($F192&amp;"")),12)="subscription",LOWER(TRIM($F192&amp;""))="membership"),"",IF(OR(AND($H192&lt;&gt;"",$H192=0),LEFT(LOWER(TRIM($F192&amp;"")),9)="free game",LOWER(TRIM($F192&amp;""))="free",LOWER(TRIM($F192&amp;""))="free entry"),IF(OR(NOT(ISNUMBER($N192)),NOT(ISNUMBER($I192)),$I192=0),"N/A",IFERROR($N192/$I192,"N/A")),IF(OR($N192="",$I192="",$I192=0),"",IFERROR($N192/$I192,"")))))</ns0:f>
        <ns0:v/>
      </ns0:c>
      <ns0:c r="P192" s="987">
        <ns0:f>IF(COUNTA($A192:$M192)=0,"",IF(OR(LEFT(LOWER(TRIM($F192&amp;"")),12)="subscription",LOWER(TRIM($F192&amp;""))="membership"),"",IF(LOWER(TRIM($D192&amp;""))="estimate","N/A",IF(LOWER($L192&amp;"")="yes",0,IF(OR(AND($H192&lt;&gt;"",$H192=0),LEFT(LOWER(TRIM($F192&amp;"")),9)="free game",LOWER(TRIM($F192&amp;""))="free",LOWER(TRIM($F192&amp;""))="free entry"),IF(ISNUMBER($K192),$K192,""),IF($K192&lt;&gt;"",$K192,""))))))</ns0:f>
      </ns0:c>
      <ns0:c r="Q192" s="114">
        <ns0:f>IF(COUNTA($A192:$M192)=0,"",IF(OR($U192="Subscription",$U192=""),"",IF($U192="Estimate","N/A",IF($U192="Profit",ROUND(IFERROR($P192,0)-IFERROR($H192,0),2),0))))</ns0:f>
      </ns0:c>
      <ns0:c r="R192" s="114">
        <ns0:f>IF(COUNTA($A192:$M192)=0,"",IF(OR($U192="Subscription",$U192=""),"",IF($U192="Estimate","N/A",IF($U192="Draw",$H192,0))))</ns0:f>
      </ns0:c>
      <ns0:c r="S192" s="114">
        <ns0:f>IF(COUNTA($A192:$M192)=0,"",IF(OR($U192="Subscription",$U192=""),"",IF($U192="Estimate","N/A",IF($U192="Disqualified",$H192,0))))</ns0:f>
      </ns0:c>
      <ns0:c r="T192" s="955">
        <ns0:f>IF(COUNTA($A192:$M192)=0,"",IF(OR($U192="Subscription",$U192=""),"",IF($U192="Estimate","N/A",IF(OR($U192="Free Game",$U192="Disqualified — Free Game",$H192=0),"N/A",IF($U192="Profit",$Q192/$H192,IF($U192="Disqualified",-$S192/$H192,0))))))</ns0:f>
      </ns0:c>
      <ns0:c r="U192" s="920">
        <ns0:f>IF(COUNTA($A192:$M192)=0,"",IF(OR(LEFT(LOWER(TRIM($F192&amp;"")),12)="subscription",LOWER(TRIM($F192&amp;""))="membership"),"Subscription",IF(LOWER(TRIM($D192&amp;""))="estimate","Estimate",IF(OR(AND($H192&lt;&gt;"",$H192=0),LEFT(LOWER(TRIM($F192&amp;"")),9)="free game",LOWER(TRIM($F192&amp;""))="free",LOWER(TRIM($F192&amp;""))="free entry"),IF(LOWER($L192&amp;"")="yes","Disqualified — Free Game","Free Game"),IF(LOWER($L192&amp;"")="yes","Disqualified",IF($P192="","",IF(ROUND(IFERROR(VALUE($P192),0)-IFERROR(VALUE($H192),0),2)&gt;0,"Profit","Draw")))))))</ns0:f>
      </ns0:c>
      <ns0:c r="V192" s="956" t="str">
        <ns0:f>IF(COUNTA($A192:$M192)=0,"",IF(OR($B192="",$C192="",$U192="Subscription"),"",IFERROR(ROUNDUP(($C192-$B192)/7,0),"")))</ns0:f>
      </ns0:c>
      <ns0:c r="W192" s="114">
        <ns0:f>IF(COUNTA($A192:$M192)=0,"",IF(OR($U192="Subscription",$U192=""),"",IF($U192="Estimate","N/A",IF(OR($U192="Free Game",$U192="Disqualified — Free Game"),0,ROUND(IFERROR($Q192,0)-IFERROR($S192,0),2)))))</ns0:f>
      </ns0:c>
      <ns0:c r="X192" s="956" t="str">
        <ns0:f>IF(COUNTA($A192:$M192)=0,"",IF(OR($U192="Subscription",NOT(ISNUMBER($J192)),NOT(ISNUMBER($I192)),$J192=0,$I192=0,$I192&gt;$J192),"",$J192-$I192))</ns0:f>
      </ns0:c>
      <ns0:c r="Y192" s="955" t="str">
        <ns0:f>IF(COUNTA($A192:$M192)=0,"",IF(OR($U192="Subscription",NOT(ISNUMBER($J192)),$J192=0,$X192=""),"",$X192/$J192))</ns0:f>
      </ns0:c>
      <ns0:c r="Z192" s="957" t="str">
        <ns0:f>IF(COUNTA($A192:$M192)=0,"",Instructions!$B$29+SUM($W$5:W192))</ns0:f>
      </ns0:c>
    </ns0:row>
    <ns0:row r="193" ht="36" customHeight="1">
      <ns0:c r="A193" s="439"/>
      <ns0:c r="B193" s="453"/>
      <ns0:c r="C193" s="453"/>
      <ns0:c r="D193" s="454"/>
      <ns0:c r="E193" s="454"/>
      <ns0:c r="F193" s="454"/>
      <ns0:c r="G193" s="986"/>
      <ns0:c r="H193" s="455"/>
      <ns0:c r="I193" s="456"/>
      <ns0:c r="J193" s="456"/>
      <ns0:c r="K193" s="986"/>
      <ns0:c r="L193" s="454"/>
      <ns0:c r="M193" s="439"/>
      <ns0:c r="N193" s="987" t="str">
        <ns0:f>IF(COUNTA($A193:$M193)=0,"",IF(OR(LEFT(LOWER(TRIM($F193&amp;"")),12)="subscription",LOWER(TRIM($F193&amp;""))="membership"),"",IF(OR(AND($H193&lt;&gt;"",$H193=0),LEFT(LOWER(TRIM($F193&amp;"")),9)="free game",LOWER(TRIM($F193&amp;""))="free",LOWER(TRIM($F193&amp;""))="free entry"),IF(ISNUMBER($G193),IF(ISNUMBER(SEARCH("non",LOWER($E193&amp;""))),$G193*0.85,$G193),"N/A"),IF($G193="","",IFERROR(IF(ISNUMBER(SEARCH("non",LOWER($E193&amp;""))),$G193*0.85,$G193),"")))))</ns0:f>
        <ns0:v/>
      </ns0:c>
      <ns0:c r="O193" s="987" t="str">
        <ns0:f>IF(COUNTA($A193:$M193)=0,"",IF(OR(LEFT(LOWER(TRIM($F193&amp;"")),12)="subscription",LOWER(TRIM($F193&amp;""))="membership"),"",IF(OR(AND($H193&lt;&gt;"",$H193=0),LEFT(LOWER(TRIM($F193&amp;"")),9)="free game",LOWER(TRIM($F193&amp;""))="free",LOWER(TRIM($F193&amp;""))="free entry"),IF(OR(NOT(ISNUMBER($N193)),NOT(ISNUMBER($I193)),$I193=0),"N/A",IFERROR($N193/$I193,"N/A")),IF(OR($N193="",$I193="",$I193=0),"",IFERROR($N193/$I193,"")))))</ns0:f>
        <ns0:v/>
      </ns0:c>
      <ns0:c r="P193" s="987">
        <ns0:f>IF(COUNTA($A193:$M193)=0,"",IF(OR(LEFT(LOWER(TRIM($F193&amp;"")),12)="subscription",LOWER(TRIM($F193&amp;""))="membership"),"",IF(LOWER(TRIM($D193&amp;""))="estimate","N/A",IF(LOWER($L193&amp;"")="yes",0,IF(OR(AND($H193&lt;&gt;"",$H193=0),LEFT(LOWER(TRIM($F193&amp;"")),9)="free game",LOWER(TRIM($F193&amp;""))="free",LOWER(TRIM($F193&amp;""))="free entry"),IF(ISNUMBER($K193),$K193,""),IF($K193&lt;&gt;"",$K193,""))))))</ns0:f>
      </ns0:c>
      <ns0:c r="Q193" s="114">
        <ns0:f>IF(COUNTA($A193:$M193)=0,"",IF(OR($U193="Subscription",$U193=""),"",IF($U193="Estimate","N/A",IF($U193="Profit",ROUND(IFERROR($P193,0)-IFERROR($H193,0),2),0))))</ns0:f>
      </ns0:c>
      <ns0:c r="R193" s="114">
        <ns0:f>IF(COUNTA($A193:$M193)=0,"",IF(OR($U193="Subscription",$U193=""),"",IF($U193="Estimate","N/A",IF($U193="Draw",$H193,0))))</ns0:f>
      </ns0:c>
      <ns0:c r="S193" s="114">
        <ns0:f>IF(COUNTA($A193:$M193)=0,"",IF(OR($U193="Subscription",$U193=""),"",IF($U193="Estimate","N/A",IF($U193="Disqualified",$H193,0))))</ns0:f>
      </ns0:c>
      <ns0:c r="T193" s="955">
        <ns0:f>IF(COUNTA($A193:$M193)=0,"",IF(OR($U193="Subscription",$U193=""),"",IF($U193="Estimate","N/A",IF(OR($U193="Free Game",$U193="Disqualified — Free Game",$H193=0),"N/A",IF($U193="Profit",$Q193/$H193,IF($U193="Disqualified",-$S193/$H193,0))))))</ns0:f>
      </ns0:c>
      <ns0:c r="U193" s="920">
        <ns0:f>IF(COUNTA($A193:$M193)=0,"",IF(OR(LEFT(LOWER(TRIM($F193&amp;"")),12)="subscription",LOWER(TRIM($F193&amp;""))="membership"),"Subscription",IF(LOWER(TRIM($D193&amp;""))="estimate","Estimate",IF(OR(AND($H193&lt;&gt;"",$H193=0),LEFT(LOWER(TRIM($F193&amp;"")),9)="free game",LOWER(TRIM($F193&amp;""))="free",LOWER(TRIM($F193&amp;""))="free entry"),IF(LOWER($L193&amp;"")="yes","Disqualified — Free Game","Free Game"),IF(LOWER($L193&amp;"")="yes","Disqualified",IF($P193="","",IF(ROUND(IFERROR(VALUE($P193),0)-IFERROR(VALUE($H193),0),2)&gt;0,"Profit","Draw")))))))</ns0:f>
      </ns0:c>
      <ns0:c r="V193" s="956" t="str">
        <ns0:f>IF(COUNTA($A193:$M193)=0,"",IF(OR($B193="",$C193="",$U193="Subscription"),"",IFERROR(ROUNDUP(($C193-$B193)/7,0),"")))</ns0:f>
      </ns0:c>
      <ns0:c r="W193" s="114">
        <ns0:f>IF(COUNTA($A193:$M193)=0,"",IF(OR($U193="Subscription",$U193=""),"",IF($U193="Estimate","N/A",IF(OR($U193="Free Game",$U193="Disqualified — Free Game"),0,ROUND(IFERROR($Q193,0)-IFERROR($S193,0),2)))))</ns0:f>
      </ns0:c>
      <ns0:c r="X193" s="956" t="str">
        <ns0:f>IF(COUNTA($A193:$M193)=0,"",IF(OR($U193="Subscription",NOT(ISNUMBER($J193)),NOT(ISNUMBER($I193)),$J193=0,$I193=0,$I193&gt;$J193),"",$J193-$I193))</ns0:f>
      </ns0:c>
      <ns0:c r="Y193" s="955" t="str">
        <ns0:f>IF(COUNTA($A193:$M193)=0,"",IF(OR($U193="Subscription",NOT(ISNUMBER($J193)),$J193=0,$X193=""),"",$X193/$J193))</ns0:f>
      </ns0:c>
      <ns0:c r="Z193" s="957" t="str">
        <ns0:f>IF(COUNTA($A193:$M193)=0,"",Instructions!$B$29+SUM($W$5:W193))</ns0:f>
      </ns0:c>
    </ns0:row>
    <ns0:row r="194" ht="36" customHeight="1">
      <ns0:c r="A194" s="439"/>
      <ns0:c r="B194" s="453"/>
      <ns0:c r="C194" s="453"/>
      <ns0:c r="D194" s="454"/>
      <ns0:c r="E194" s="454"/>
      <ns0:c r="F194" s="454"/>
      <ns0:c r="G194" s="986"/>
      <ns0:c r="H194" s="455"/>
      <ns0:c r="I194" s="456"/>
      <ns0:c r="J194" s="456"/>
      <ns0:c r="K194" s="986"/>
      <ns0:c r="L194" s="454"/>
      <ns0:c r="M194" s="439"/>
      <ns0:c r="N194" s="987" t="str">
        <ns0:f>IF(COUNTA($A194:$M194)=0,"",IF(OR(LEFT(LOWER(TRIM($F194&amp;"")),12)="subscription",LOWER(TRIM($F194&amp;""))="membership"),"",IF(OR(AND($H194&lt;&gt;"",$H194=0),LEFT(LOWER(TRIM($F194&amp;"")),9)="free game",LOWER(TRIM($F194&amp;""))="free",LOWER(TRIM($F194&amp;""))="free entry"),IF(ISNUMBER($G194),IF(ISNUMBER(SEARCH("non",LOWER($E194&amp;""))),$G194*0.85,$G194),"N/A"),IF($G194="","",IFERROR(IF(ISNUMBER(SEARCH("non",LOWER($E194&amp;""))),$G194*0.85,$G194),"")))))</ns0:f>
        <ns0:v/>
      </ns0:c>
      <ns0:c r="O194" s="987" t="str">
        <ns0:f>IF(COUNTA($A194:$M194)=0,"",IF(OR(LEFT(LOWER(TRIM($F194&amp;"")),12)="subscription",LOWER(TRIM($F194&amp;""))="membership"),"",IF(OR(AND($H194&lt;&gt;"",$H194=0),LEFT(LOWER(TRIM($F194&amp;"")),9)="free game",LOWER(TRIM($F194&amp;""))="free",LOWER(TRIM($F194&amp;""))="free entry"),IF(OR(NOT(ISNUMBER($N194)),NOT(ISNUMBER($I194)),$I194=0),"N/A",IFERROR($N194/$I194,"N/A")),IF(OR($N194="",$I194="",$I194=0),"",IFERROR($N194/$I194,"")))))</ns0:f>
        <ns0:v/>
      </ns0:c>
      <ns0:c r="P194" s="987">
        <ns0:f>IF(COUNTA($A194:$M194)=0,"",IF(OR(LEFT(LOWER(TRIM($F194&amp;"")),12)="subscription",LOWER(TRIM($F194&amp;""))="membership"),"",IF(LOWER(TRIM($D194&amp;""))="estimate","N/A",IF(LOWER($L194&amp;"")="yes",0,IF(OR(AND($H194&lt;&gt;"",$H194=0),LEFT(LOWER(TRIM($F194&amp;"")),9)="free game",LOWER(TRIM($F194&amp;""))="free",LOWER(TRIM($F194&amp;""))="free entry"),IF(ISNUMBER($K194),$K194,""),IF($K194&lt;&gt;"",$K194,""))))))</ns0:f>
      </ns0:c>
      <ns0:c r="Q194" s="114">
        <ns0:f>IF(COUNTA($A194:$M194)=0,"",IF(OR($U194="Subscription",$U194=""),"",IF($U194="Estimate","N/A",IF($U194="Profit",ROUND(IFERROR($P194,0)-IFERROR($H194,0),2),0))))</ns0:f>
      </ns0:c>
      <ns0:c r="R194" s="114">
        <ns0:f>IF(COUNTA($A194:$M194)=0,"",IF(OR($U194="Subscription",$U194=""),"",IF($U194="Estimate","N/A",IF($U194="Draw",$H194,0))))</ns0:f>
      </ns0:c>
      <ns0:c r="S194" s="114">
        <ns0:f>IF(COUNTA($A194:$M194)=0,"",IF(OR($U194="Subscription",$U194=""),"",IF($U194="Estimate","N/A",IF($U194="Disqualified",$H194,0))))</ns0:f>
      </ns0:c>
      <ns0:c r="T194" s="955">
        <ns0:f>IF(COUNTA($A194:$M194)=0,"",IF(OR($U194="Subscription",$U194=""),"",IF($U194="Estimate","N/A",IF(OR($U194="Free Game",$U194="Disqualified — Free Game",$H194=0),"N/A",IF($U194="Profit",$Q194/$H194,IF($U194="Disqualified",-$S194/$H194,0))))))</ns0:f>
      </ns0:c>
      <ns0:c r="U194" s="920">
        <ns0:f>IF(COUNTA($A194:$M194)=0,"",IF(OR(LEFT(LOWER(TRIM($F194&amp;"")),12)="subscription",LOWER(TRIM($F194&amp;""))="membership"),"Subscription",IF(LOWER(TRIM($D194&amp;""))="estimate","Estimate",IF(OR(AND($H194&lt;&gt;"",$H194=0),LEFT(LOWER(TRIM($F194&amp;"")),9)="free game",LOWER(TRIM($F194&amp;""))="free",LOWER(TRIM($F194&amp;""))="free entry"),IF(LOWER($L194&amp;"")="yes","Disqualified — Free Game","Free Game"),IF(LOWER($L194&amp;"")="yes","Disqualified",IF($P194="","",IF(ROUND(IFERROR(VALUE($P194),0)-IFERROR(VALUE($H194),0),2)&gt;0,"Profit","Draw")))))))</ns0:f>
      </ns0:c>
      <ns0:c r="V194" s="956" t="str">
        <ns0:f>IF(COUNTA($A194:$M194)=0,"",IF(OR($B194="",$C194="",$U194="Subscription"),"",IFERROR(ROUNDUP(($C194-$B194)/7,0),"")))</ns0:f>
      </ns0:c>
      <ns0:c r="W194" s="114">
        <ns0:f>IF(COUNTA($A194:$M194)=0,"",IF(OR($U194="Subscription",$U194=""),"",IF($U194="Estimate","N/A",IF(OR($U194="Free Game",$U194="Disqualified — Free Game"),0,ROUND(IFERROR($Q194,0)-IFERROR($S194,0),2)))))</ns0:f>
      </ns0:c>
      <ns0:c r="X194" s="956" t="str">
        <ns0:f>IF(COUNTA($A194:$M194)=0,"",IF(OR($U194="Subscription",NOT(ISNUMBER($J194)),NOT(ISNUMBER($I194)),$J194=0,$I194=0,$I194&gt;$J194),"",$J194-$I194))</ns0:f>
      </ns0:c>
      <ns0:c r="Y194" s="955" t="str">
        <ns0:f>IF(COUNTA($A194:$M194)=0,"",IF(OR($U194="Subscription",NOT(ISNUMBER($J194)),$J194=0,$X194=""),"",$X194/$J194))</ns0:f>
      </ns0:c>
      <ns0:c r="Z194" s="957" t="str">
        <ns0:f>IF(COUNTA($A194:$M194)=0,"",Instructions!$B$29+SUM($W$5:W194))</ns0:f>
      </ns0:c>
    </ns0:row>
    <ns0:row r="195" ht="36" customHeight="1">
      <ns0:c r="A195" s="439"/>
      <ns0:c r="B195" s="453"/>
      <ns0:c r="C195" s="453"/>
      <ns0:c r="D195" s="454"/>
      <ns0:c r="E195" s="454"/>
      <ns0:c r="F195" s="454"/>
      <ns0:c r="G195" s="986"/>
      <ns0:c r="H195" s="455"/>
      <ns0:c r="I195" s="456"/>
      <ns0:c r="J195" s="456"/>
      <ns0:c r="K195" s="986"/>
      <ns0:c r="L195" s="454"/>
      <ns0:c r="M195" s="439"/>
      <ns0:c r="N195" s="987" t="str">
        <ns0:f>IF(COUNTA($A195:$M195)=0,"",IF(OR(LEFT(LOWER(TRIM($F195&amp;"")),12)="subscription",LOWER(TRIM($F195&amp;""))="membership"),"",IF(OR(AND($H195&lt;&gt;"",$H195=0),LEFT(LOWER(TRIM($F195&amp;"")),9)="free game",LOWER(TRIM($F195&amp;""))="free",LOWER(TRIM($F195&amp;""))="free entry"),IF(ISNUMBER($G195),IF(ISNUMBER(SEARCH("non",LOWER($E195&amp;""))),$G195*0.85,$G195),"N/A"),IF($G195="","",IFERROR(IF(ISNUMBER(SEARCH("non",LOWER($E195&amp;""))),$G195*0.85,$G195),"")))))</ns0:f>
        <ns0:v/>
      </ns0:c>
      <ns0:c r="O195" s="987" t="str">
        <ns0:f>IF(COUNTA($A195:$M195)=0,"",IF(OR(LEFT(LOWER(TRIM($F195&amp;"")),12)="subscription",LOWER(TRIM($F195&amp;""))="membership"),"",IF(OR(AND($H195&lt;&gt;"",$H195=0),LEFT(LOWER(TRIM($F195&amp;"")),9)="free game",LOWER(TRIM($F195&amp;""))="free",LOWER(TRIM($F195&amp;""))="free entry"),IF(OR(NOT(ISNUMBER($N195)),NOT(ISNUMBER($I195)),$I195=0),"N/A",IFERROR($N195/$I195,"N/A")),IF(OR($N195="",$I195="",$I195=0),"",IFERROR($N195/$I195,"")))))</ns0:f>
        <ns0:v/>
      </ns0:c>
      <ns0:c r="P195" s="987">
        <ns0:f>IF(COUNTA($A195:$M195)=0,"",IF(OR(LEFT(LOWER(TRIM($F195&amp;"")),12)="subscription",LOWER(TRIM($F195&amp;""))="membership"),"",IF(LOWER(TRIM($D195&amp;""))="estimate","N/A",IF(LOWER($L195&amp;"")="yes",0,IF(OR(AND($H195&lt;&gt;"",$H195=0),LEFT(LOWER(TRIM($F195&amp;"")),9)="free game",LOWER(TRIM($F195&amp;""))="free",LOWER(TRIM($F195&amp;""))="free entry"),IF(ISNUMBER($K195),$K195,""),IF($K195&lt;&gt;"",$K195,""))))))</ns0:f>
      </ns0:c>
      <ns0:c r="Q195" s="114">
        <ns0:f>IF(COUNTA($A195:$M195)=0,"",IF(OR($U195="Subscription",$U195=""),"",IF($U195="Estimate","N/A",IF($U195="Profit",ROUND(IFERROR($P195,0)-IFERROR($H195,0),2),0))))</ns0:f>
      </ns0:c>
      <ns0:c r="R195" s="114">
        <ns0:f>IF(COUNTA($A195:$M195)=0,"",IF(OR($U195="Subscription",$U195=""),"",IF($U195="Estimate","N/A",IF($U195="Draw",$H195,0))))</ns0:f>
      </ns0:c>
      <ns0:c r="S195" s="114">
        <ns0:f>IF(COUNTA($A195:$M195)=0,"",IF(OR($U195="Subscription",$U195=""),"",IF($U195="Estimate","N/A",IF($U195="Disqualified",$H195,0))))</ns0:f>
      </ns0:c>
      <ns0:c r="T195" s="955">
        <ns0:f>IF(COUNTA($A195:$M195)=0,"",IF(OR($U195="Subscription",$U195=""),"",IF($U195="Estimate","N/A",IF(OR($U195="Free Game",$U195="Disqualified — Free Game",$H195=0),"N/A",IF($U195="Profit",$Q195/$H195,IF($U195="Disqualified",-$S195/$H195,0))))))</ns0:f>
      </ns0:c>
      <ns0:c r="U195" s="920">
        <ns0:f>IF(COUNTA($A195:$M195)=0,"",IF(OR(LEFT(LOWER(TRIM($F195&amp;"")),12)="subscription",LOWER(TRIM($F195&amp;""))="membership"),"Subscription",IF(LOWER(TRIM($D195&amp;""))="estimate","Estimate",IF(OR(AND($H195&lt;&gt;"",$H195=0),LEFT(LOWER(TRIM($F195&amp;"")),9)="free game",LOWER(TRIM($F195&amp;""))="free",LOWER(TRIM($F195&amp;""))="free entry"),IF(LOWER($L195&amp;"")="yes","Disqualified — Free Game","Free Game"),IF(LOWER($L195&amp;"")="yes","Disqualified",IF($P195="","",IF(ROUND(IFERROR(VALUE($P195),0)-IFERROR(VALUE($H195),0),2)&gt;0,"Profit","Draw")))))))</ns0:f>
      </ns0:c>
      <ns0:c r="V195" s="956" t="str">
        <ns0:f>IF(COUNTA($A195:$M195)=0,"",IF(OR($B195="",$C195="",$U195="Subscription"),"",IFERROR(ROUNDUP(($C195-$B195)/7,0),"")))</ns0:f>
      </ns0:c>
      <ns0:c r="W195" s="114">
        <ns0:f>IF(COUNTA($A195:$M195)=0,"",IF(OR($U195="Subscription",$U195=""),"",IF($U195="Estimate","N/A",IF(OR($U195="Free Game",$U195="Disqualified — Free Game"),0,ROUND(IFERROR($Q195,0)-IFERROR($S195,0),2)))))</ns0:f>
      </ns0:c>
      <ns0:c r="X195" s="956" t="str">
        <ns0:f>IF(COUNTA($A195:$M195)=0,"",IF(OR($U195="Subscription",NOT(ISNUMBER($J195)),NOT(ISNUMBER($I195)),$J195=0,$I195=0,$I195&gt;$J195),"",$J195-$I195))</ns0:f>
      </ns0:c>
      <ns0:c r="Y195" s="955" t="str">
        <ns0:f>IF(COUNTA($A195:$M195)=0,"",IF(OR($U195="Subscription",NOT(ISNUMBER($J195)),$J195=0,$X195=""),"",$X195/$J195))</ns0:f>
      </ns0:c>
      <ns0:c r="Z195" s="957" t="str">
        <ns0:f>IF(COUNTA($A195:$M195)=0,"",Instructions!$B$29+SUM($W$5:W195))</ns0:f>
      </ns0:c>
    </ns0:row>
    <ns0:row r="196" ht="36" customHeight="1">
      <ns0:c r="A196" s="439"/>
      <ns0:c r="B196" s="453"/>
      <ns0:c r="C196" s="453"/>
      <ns0:c r="D196" s="454"/>
      <ns0:c r="E196" s="454"/>
      <ns0:c r="F196" s="454"/>
      <ns0:c r="G196" s="986"/>
      <ns0:c r="H196" s="455"/>
      <ns0:c r="I196" s="456"/>
      <ns0:c r="J196" s="456"/>
      <ns0:c r="K196" s="986"/>
      <ns0:c r="L196" s="454"/>
      <ns0:c r="M196" s="439"/>
      <ns0:c r="N196" s="987" t="str">
        <ns0:f>IF(COUNTA($A196:$M196)=0,"",IF(OR(LEFT(LOWER(TRIM($F196&amp;"")),12)="subscription",LOWER(TRIM($F196&amp;""))="membership"),"",IF(OR(AND($H196&lt;&gt;"",$H196=0),LEFT(LOWER(TRIM($F196&amp;"")),9)="free game",LOWER(TRIM($F196&amp;""))="free",LOWER(TRIM($F196&amp;""))="free entry"),IF(ISNUMBER($G196),IF(ISNUMBER(SEARCH("non",LOWER($E196&amp;""))),$G196*0.85,$G196),"N/A"),IF($G196="","",IFERROR(IF(ISNUMBER(SEARCH("non",LOWER($E196&amp;""))),$G196*0.85,$G196),"")))))</ns0:f>
        <ns0:v/>
      </ns0:c>
      <ns0:c r="O196" s="987" t="str">
        <ns0:f>IF(COUNTA($A196:$M196)=0,"",IF(OR(LEFT(LOWER(TRIM($F196&amp;"")),12)="subscription",LOWER(TRIM($F196&amp;""))="membership"),"",IF(OR(AND($H196&lt;&gt;"",$H196=0),LEFT(LOWER(TRIM($F196&amp;"")),9)="free game",LOWER(TRIM($F196&amp;""))="free",LOWER(TRIM($F196&amp;""))="free entry"),IF(OR(NOT(ISNUMBER($N196)),NOT(ISNUMBER($I196)),$I196=0),"N/A",IFERROR($N196/$I196,"N/A")),IF(OR($N196="",$I196="",$I196=0),"",IFERROR($N196/$I196,"")))))</ns0:f>
        <ns0:v/>
      </ns0:c>
      <ns0:c r="P196" s="987">
        <ns0:f>IF(COUNTA($A196:$M196)=0,"",IF(OR(LEFT(LOWER(TRIM($F196&amp;"")),12)="subscription",LOWER(TRIM($F196&amp;""))="membership"),"",IF(LOWER(TRIM($D196&amp;""))="estimate","N/A",IF(LOWER($L196&amp;"")="yes",0,IF(OR(AND($H196&lt;&gt;"",$H196=0),LEFT(LOWER(TRIM($F196&amp;"")),9)="free game",LOWER(TRIM($F196&amp;""))="free",LOWER(TRIM($F196&amp;""))="free entry"),IF(ISNUMBER($K196),$K196,""),IF($K196&lt;&gt;"",$K196,""))))))</ns0:f>
      </ns0:c>
      <ns0:c r="Q196" s="114">
        <ns0:f>IF(COUNTA($A196:$M196)=0,"",IF(OR($U196="Subscription",$U196=""),"",IF($U196="Estimate","N/A",IF($U196="Profit",ROUND(IFERROR($P196,0)-IFERROR($H196,0),2),0))))</ns0:f>
      </ns0:c>
      <ns0:c r="R196" s="114">
        <ns0:f>IF(COUNTA($A196:$M196)=0,"",IF(OR($U196="Subscription",$U196=""),"",IF($U196="Estimate","N/A",IF($U196="Draw",$H196,0))))</ns0:f>
      </ns0:c>
      <ns0:c r="S196" s="114">
        <ns0:f>IF(COUNTA($A196:$M196)=0,"",IF(OR($U196="Subscription",$U196=""),"",IF($U196="Estimate","N/A",IF($U196="Disqualified",$H196,0))))</ns0:f>
      </ns0:c>
      <ns0:c r="T196" s="955">
        <ns0:f>IF(COUNTA($A196:$M196)=0,"",IF(OR($U196="Subscription",$U196=""),"",IF($U196="Estimate","N/A",IF(OR($U196="Free Game",$U196="Disqualified — Free Game",$H196=0),"N/A",IF($U196="Profit",$Q196/$H196,IF($U196="Disqualified",-$S196/$H196,0))))))</ns0:f>
      </ns0:c>
      <ns0:c r="U196" s="920">
        <ns0:f>IF(COUNTA($A196:$M196)=0,"",IF(OR(LEFT(LOWER(TRIM($F196&amp;"")),12)="subscription",LOWER(TRIM($F196&amp;""))="membership"),"Subscription",IF(LOWER(TRIM($D196&amp;""))="estimate","Estimate",IF(OR(AND($H196&lt;&gt;"",$H196=0),LEFT(LOWER(TRIM($F196&amp;"")),9)="free game",LOWER(TRIM($F196&amp;""))="free",LOWER(TRIM($F196&amp;""))="free entry"),IF(LOWER($L196&amp;"")="yes","Disqualified — Free Game","Free Game"),IF(LOWER($L196&amp;"")="yes","Disqualified",IF($P196="","",IF(ROUND(IFERROR(VALUE($P196),0)-IFERROR(VALUE($H196),0),2)&gt;0,"Profit","Draw")))))))</ns0:f>
      </ns0:c>
      <ns0:c r="V196" s="956" t="str">
        <ns0:f>IF(COUNTA($A196:$M196)=0,"",IF(OR($B196="",$C196="",$U196="Subscription"),"",IFERROR(ROUNDUP(($C196-$B196)/7,0),"")))</ns0:f>
      </ns0:c>
      <ns0:c r="W196" s="114">
        <ns0:f>IF(COUNTA($A196:$M196)=0,"",IF(OR($U196="Subscription",$U196=""),"",IF($U196="Estimate","N/A",IF(OR($U196="Free Game",$U196="Disqualified — Free Game"),0,ROUND(IFERROR($Q196,0)-IFERROR($S196,0),2)))))</ns0:f>
      </ns0:c>
      <ns0:c r="X196" s="956" t="str">
        <ns0:f>IF(COUNTA($A196:$M196)=0,"",IF(OR($U196="Subscription",NOT(ISNUMBER($J196)),NOT(ISNUMBER($I196)),$J196=0,$I196=0,$I196&gt;$J196),"",$J196-$I196))</ns0:f>
      </ns0:c>
      <ns0:c r="Y196" s="955" t="str">
        <ns0:f>IF(COUNTA($A196:$M196)=0,"",IF(OR($U196="Subscription",NOT(ISNUMBER($J196)),$J196=0,$X196=""),"",$X196/$J196))</ns0:f>
      </ns0:c>
      <ns0:c r="Z196" s="957" t="str">
        <ns0:f>IF(COUNTA($A196:$M196)=0,"",Instructions!$B$29+SUM($W$5:W196))</ns0:f>
      </ns0:c>
    </ns0:row>
    <ns0:row r="197" ht="36" customHeight="1">
      <ns0:c r="A197" s="439"/>
      <ns0:c r="B197" s="453"/>
      <ns0:c r="C197" s="453"/>
      <ns0:c r="D197" s="454"/>
      <ns0:c r="E197" s="454"/>
      <ns0:c r="F197" s="454"/>
      <ns0:c r="G197" s="986"/>
      <ns0:c r="H197" s="455"/>
      <ns0:c r="I197" s="456"/>
      <ns0:c r="J197" s="456"/>
      <ns0:c r="K197" s="986"/>
      <ns0:c r="L197" s="454"/>
      <ns0:c r="M197" s="439"/>
      <ns0:c r="N197" s="987" t="str">
        <ns0:f>IF(COUNTA($A197:$M197)=0,"",IF(OR(LEFT(LOWER(TRIM($F197&amp;"")),12)="subscription",LOWER(TRIM($F197&amp;""))="membership"),"",IF(OR(AND($H197&lt;&gt;"",$H197=0),LEFT(LOWER(TRIM($F197&amp;"")),9)="free game",LOWER(TRIM($F197&amp;""))="free",LOWER(TRIM($F197&amp;""))="free entry"),IF(ISNUMBER($G197),IF(ISNUMBER(SEARCH("non",LOWER($E197&amp;""))),$G197*0.85,$G197),"N/A"),IF($G197="","",IFERROR(IF(ISNUMBER(SEARCH("non",LOWER($E197&amp;""))),$G197*0.85,$G197),"")))))</ns0:f>
        <ns0:v/>
      </ns0:c>
      <ns0:c r="O197" s="987" t="str">
        <ns0:f>IF(COUNTA($A197:$M197)=0,"",IF(OR(LEFT(LOWER(TRIM($F197&amp;"")),12)="subscription",LOWER(TRIM($F197&amp;""))="membership"),"",IF(OR(AND($H197&lt;&gt;"",$H197=0),LEFT(LOWER(TRIM($F197&amp;"")),9)="free game",LOWER(TRIM($F197&amp;""))="free",LOWER(TRIM($F197&amp;""))="free entry"),IF(OR(NOT(ISNUMBER($N197)),NOT(ISNUMBER($I197)),$I197=0),"N/A",IFERROR($N197/$I197,"N/A")),IF(OR($N197="",$I197="",$I197=0),"",IFERROR($N197/$I197,"")))))</ns0:f>
        <ns0:v/>
      </ns0:c>
      <ns0:c r="P197" s="987">
        <ns0:f>IF(COUNTA($A197:$M197)=0,"",IF(OR(LEFT(LOWER(TRIM($F197&amp;"")),12)="subscription",LOWER(TRIM($F197&amp;""))="membership"),"",IF(LOWER(TRIM($D197&amp;""))="estimate","N/A",IF(LOWER($L197&amp;"")="yes",0,IF(OR(AND($H197&lt;&gt;"",$H197=0),LEFT(LOWER(TRIM($F197&amp;"")),9)="free game",LOWER(TRIM($F197&amp;""))="free",LOWER(TRIM($F197&amp;""))="free entry"),IF(ISNUMBER($K197),$K197,""),IF($K197&lt;&gt;"",$K197,""))))))</ns0:f>
      </ns0:c>
      <ns0:c r="Q197" s="114">
        <ns0:f>IF(COUNTA($A197:$M197)=0,"",IF(OR($U197="Subscription",$U197=""),"",IF($U197="Estimate","N/A",IF($U197="Profit",ROUND(IFERROR($P197,0)-IFERROR($H197,0),2),0))))</ns0:f>
      </ns0:c>
      <ns0:c r="R197" s="114">
        <ns0:f>IF(COUNTA($A197:$M197)=0,"",IF(OR($U197="Subscription",$U197=""),"",IF($U197="Estimate","N/A",IF($U197="Draw",$H197,0))))</ns0:f>
      </ns0:c>
      <ns0:c r="S197" s="114">
        <ns0:f>IF(COUNTA($A197:$M197)=0,"",IF(OR($U197="Subscription",$U197=""),"",IF($U197="Estimate","N/A",IF($U197="Disqualified",$H197,0))))</ns0:f>
      </ns0:c>
      <ns0:c r="T197" s="955">
        <ns0:f>IF(COUNTA($A197:$M197)=0,"",IF(OR($U197="Subscription",$U197=""),"",IF($U197="Estimate","N/A",IF(OR($U197="Free Game",$U197="Disqualified — Free Game",$H197=0),"N/A",IF($U197="Profit",$Q197/$H197,IF($U197="Disqualified",-$S197/$H197,0))))))</ns0:f>
      </ns0:c>
      <ns0:c r="U197" s="920">
        <ns0:f>IF(COUNTA($A197:$M197)=0,"",IF(OR(LEFT(LOWER(TRIM($F197&amp;"")),12)="subscription",LOWER(TRIM($F197&amp;""))="membership"),"Subscription",IF(LOWER(TRIM($D197&amp;""))="estimate","Estimate",IF(OR(AND($H197&lt;&gt;"",$H197=0),LEFT(LOWER(TRIM($F197&amp;"")),9)="free game",LOWER(TRIM($F197&amp;""))="free",LOWER(TRIM($F197&amp;""))="free entry"),IF(LOWER($L197&amp;"")="yes","Disqualified — Free Game","Free Game"),IF(LOWER($L197&amp;"")="yes","Disqualified",IF($P197="","",IF(ROUND(IFERROR(VALUE($P197),0)-IFERROR(VALUE($H197),0),2)&gt;0,"Profit","Draw")))))))</ns0:f>
      </ns0:c>
      <ns0:c r="V197" s="956" t="str">
        <ns0:f>IF(COUNTA($A197:$M197)=0,"",IF(OR($B197="",$C197="",$U197="Subscription"),"",IFERROR(ROUNDUP(($C197-$B197)/7,0),"")))</ns0:f>
      </ns0:c>
      <ns0:c r="W197" s="114">
        <ns0:f>IF(COUNTA($A197:$M197)=0,"",IF(OR($U197="Subscription",$U197=""),"",IF($U197="Estimate","N/A",IF(OR($U197="Free Game",$U197="Disqualified — Free Game"),0,ROUND(IFERROR($Q197,0)-IFERROR($S197,0),2)))))</ns0:f>
      </ns0:c>
      <ns0:c r="X197" s="956" t="str">
        <ns0:f>IF(COUNTA($A197:$M197)=0,"",IF(OR($U197="Subscription",NOT(ISNUMBER($J197)),NOT(ISNUMBER($I197)),$J197=0,$I197=0,$I197&gt;$J197),"",$J197-$I197))</ns0:f>
      </ns0:c>
      <ns0:c r="Y197" s="955" t="str">
        <ns0:f>IF(COUNTA($A197:$M197)=0,"",IF(OR($U197="Subscription",NOT(ISNUMBER($J197)),$J197=0,$X197=""),"",$X197/$J197))</ns0:f>
      </ns0:c>
      <ns0:c r="Z197" s="957" t="str">
        <ns0:f>IF(COUNTA($A197:$M197)=0,"",Instructions!$B$29+SUM($W$5:W197))</ns0:f>
      </ns0:c>
    </ns0:row>
    <ns0:row r="198" ht="36" customHeight="1">
      <ns0:c r="A198" s="439"/>
      <ns0:c r="B198" s="453"/>
      <ns0:c r="C198" s="453"/>
      <ns0:c r="D198" s="454"/>
      <ns0:c r="E198" s="454"/>
      <ns0:c r="F198" s="454"/>
      <ns0:c r="G198" s="986"/>
      <ns0:c r="H198" s="455"/>
      <ns0:c r="I198" s="456"/>
      <ns0:c r="J198" s="456"/>
      <ns0:c r="K198" s="986"/>
      <ns0:c r="L198" s="454"/>
      <ns0:c r="M198" s="439"/>
      <ns0:c r="N198" s="987" t="str">
        <ns0:f>IF(COUNTA($A198:$M198)=0,"",IF(OR(LEFT(LOWER(TRIM($F198&amp;"")),12)="subscription",LOWER(TRIM($F198&amp;""))="membership"),"",IF(OR(AND($H198&lt;&gt;"",$H198=0),LEFT(LOWER(TRIM($F198&amp;"")),9)="free game",LOWER(TRIM($F198&amp;""))="free",LOWER(TRIM($F198&amp;""))="free entry"),IF(ISNUMBER($G198),IF(ISNUMBER(SEARCH("non",LOWER($E198&amp;""))),$G198*0.85,$G198),"N/A"),IF($G198="","",IFERROR(IF(ISNUMBER(SEARCH("non",LOWER($E198&amp;""))),$G198*0.85,$G198),"")))))</ns0:f>
        <ns0:v/>
      </ns0:c>
      <ns0:c r="O198" s="987" t="str">
        <ns0:f>IF(COUNTA($A198:$M198)=0,"",IF(OR(LEFT(LOWER(TRIM($F198&amp;"")),12)="subscription",LOWER(TRIM($F198&amp;""))="membership"),"",IF(OR(AND($H198&lt;&gt;"",$H198=0),LEFT(LOWER(TRIM($F198&amp;"")),9)="free game",LOWER(TRIM($F198&amp;""))="free",LOWER(TRIM($F198&amp;""))="free entry"),IF(OR(NOT(ISNUMBER($N198)),NOT(ISNUMBER($I198)),$I198=0),"N/A",IFERROR($N198/$I198,"N/A")),IF(OR($N198="",$I198="",$I198=0),"",IFERROR($N198/$I198,"")))))</ns0:f>
        <ns0:v/>
      </ns0:c>
      <ns0:c r="P198" s="987">
        <ns0:f>IF(COUNTA($A198:$M198)=0,"",IF(OR(LEFT(LOWER(TRIM($F198&amp;"")),12)="subscription",LOWER(TRIM($F198&amp;""))="membership"),"",IF(LOWER(TRIM($D198&amp;""))="estimate","N/A",IF(LOWER($L198&amp;"")="yes",0,IF(OR(AND($H198&lt;&gt;"",$H198=0),LEFT(LOWER(TRIM($F198&amp;"")),9)="free game",LOWER(TRIM($F198&amp;""))="free",LOWER(TRIM($F198&amp;""))="free entry"),IF(ISNUMBER($K198),$K198,""),IF($K198&lt;&gt;"",$K198,""))))))</ns0:f>
      </ns0:c>
      <ns0:c r="Q198" s="114">
        <ns0:f>IF(COUNTA($A198:$M198)=0,"",IF(OR($U198="Subscription",$U198=""),"",IF($U198="Estimate","N/A",IF($U198="Profit",ROUND(IFERROR($P198,0)-IFERROR($H198,0),2),0))))</ns0:f>
      </ns0:c>
      <ns0:c r="R198" s="114">
        <ns0:f>IF(COUNTA($A198:$M198)=0,"",IF(OR($U198="Subscription",$U198=""),"",IF($U198="Estimate","N/A",IF($U198="Draw",$H198,0))))</ns0:f>
      </ns0:c>
      <ns0:c r="S198" s="114">
        <ns0:f>IF(COUNTA($A198:$M198)=0,"",IF(OR($U198="Subscription",$U198=""),"",IF($U198="Estimate","N/A",IF($U198="Disqualified",$H198,0))))</ns0:f>
      </ns0:c>
      <ns0:c r="T198" s="955">
        <ns0:f>IF(COUNTA($A198:$M198)=0,"",IF(OR($U198="Subscription",$U198=""),"",IF($U198="Estimate","N/A",IF(OR($U198="Free Game",$U198="Disqualified — Free Game",$H198=0),"N/A",IF($U198="Profit",$Q198/$H198,IF($U198="Disqualified",-$S198/$H198,0))))))</ns0:f>
      </ns0:c>
      <ns0:c r="U198" s="920">
        <ns0:f>IF(COUNTA($A198:$M198)=0,"",IF(OR(LEFT(LOWER(TRIM($F198&amp;"")),12)="subscription",LOWER(TRIM($F198&amp;""))="membership"),"Subscription",IF(LOWER(TRIM($D198&amp;""))="estimate","Estimate",IF(OR(AND($H198&lt;&gt;"",$H198=0),LEFT(LOWER(TRIM($F198&amp;"")),9)="free game",LOWER(TRIM($F198&amp;""))="free",LOWER(TRIM($F198&amp;""))="free entry"),IF(LOWER($L198&amp;"")="yes","Disqualified — Free Game","Free Game"),IF(LOWER($L198&amp;"")="yes","Disqualified",IF($P198="","",IF(ROUND(IFERROR(VALUE($P198),0)-IFERROR(VALUE($H198),0),2)&gt;0,"Profit","Draw")))))))</ns0:f>
      </ns0:c>
      <ns0:c r="V198" s="956" t="str">
        <ns0:f>IF(COUNTA($A198:$M198)=0,"",IF(OR($B198="",$C198="",$U198="Subscription"),"",IFERROR(ROUNDUP(($C198-$B198)/7,0),"")))</ns0:f>
      </ns0:c>
      <ns0:c r="W198" s="114">
        <ns0:f>IF(COUNTA($A198:$M198)=0,"",IF(OR($U198="Subscription",$U198=""),"",IF($U198="Estimate","N/A",IF(OR($U198="Free Game",$U198="Disqualified — Free Game"),0,ROUND(IFERROR($Q198,0)-IFERROR($S198,0),2)))))</ns0:f>
      </ns0:c>
      <ns0:c r="X198" s="956" t="str">
        <ns0:f>IF(COUNTA($A198:$M198)=0,"",IF(OR($U198="Subscription",NOT(ISNUMBER($J198)),NOT(ISNUMBER($I198)),$J198=0,$I198=0,$I198&gt;$J198),"",$J198-$I198))</ns0:f>
      </ns0:c>
      <ns0:c r="Y198" s="955" t="str">
        <ns0:f>IF(COUNTA($A198:$M198)=0,"",IF(OR($U198="Subscription",NOT(ISNUMBER($J198)),$J198=0,$X198=""),"",$X198/$J198))</ns0:f>
      </ns0:c>
      <ns0:c r="Z198" s="957" t="str">
        <ns0:f>IF(COUNTA($A198:$M198)=0,"",Instructions!$B$29+SUM($W$5:W198))</ns0:f>
      </ns0:c>
    </ns0:row>
    <ns0:row r="199" ht="36" customHeight="1">
      <ns0:c r="A199" s="439"/>
      <ns0:c r="B199" s="453"/>
      <ns0:c r="C199" s="453"/>
      <ns0:c r="D199" s="454"/>
      <ns0:c r="E199" s="454"/>
      <ns0:c r="F199" s="454"/>
      <ns0:c r="G199" s="986"/>
      <ns0:c r="H199" s="455"/>
      <ns0:c r="I199" s="456"/>
      <ns0:c r="J199" s="456"/>
      <ns0:c r="K199" s="986"/>
      <ns0:c r="L199" s="454"/>
      <ns0:c r="M199" s="439"/>
      <ns0:c r="N199" s="987" t="str">
        <ns0:f>IF(COUNTA($A199:$M199)=0,"",IF(OR(LEFT(LOWER(TRIM($F199&amp;"")),12)="subscription",LOWER(TRIM($F199&amp;""))="membership"),"",IF(OR(AND($H199&lt;&gt;"",$H199=0),LEFT(LOWER(TRIM($F199&amp;"")),9)="free game",LOWER(TRIM($F199&amp;""))="free",LOWER(TRIM($F199&amp;""))="free entry"),IF(ISNUMBER($G199),IF(ISNUMBER(SEARCH("non",LOWER($E199&amp;""))),$G199*0.85,$G199),"N/A"),IF($G199="","",IFERROR(IF(ISNUMBER(SEARCH("non",LOWER($E199&amp;""))),$G199*0.85,$G199),"")))))</ns0:f>
        <ns0:v/>
      </ns0:c>
      <ns0:c r="O199" s="987" t="str">
        <ns0:f>IF(COUNTA($A199:$M199)=0,"",IF(OR(LEFT(LOWER(TRIM($F199&amp;"")),12)="subscription",LOWER(TRIM($F199&amp;""))="membership"),"",IF(OR(AND($H199&lt;&gt;"",$H199=0),LEFT(LOWER(TRIM($F199&amp;"")),9)="free game",LOWER(TRIM($F199&amp;""))="free",LOWER(TRIM($F199&amp;""))="free entry"),IF(OR(NOT(ISNUMBER($N199)),NOT(ISNUMBER($I199)),$I199=0),"N/A",IFERROR($N199/$I199,"N/A")),IF(OR($N199="",$I199="",$I199=0),"",IFERROR($N199/$I199,"")))))</ns0:f>
        <ns0:v/>
      </ns0:c>
      <ns0:c r="P199" s="987">
        <ns0:f>IF(COUNTA($A199:$M199)=0,"",IF(OR(LEFT(LOWER(TRIM($F199&amp;"")),12)="subscription",LOWER(TRIM($F199&amp;""))="membership"),"",IF(LOWER(TRIM($D199&amp;""))="estimate","N/A",IF(LOWER($L199&amp;"")="yes",0,IF(OR(AND($H199&lt;&gt;"",$H199=0),LEFT(LOWER(TRIM($F199&amp;"")),9)="free game",LOWER(TRIM($F199&amp;""))="free",LOWER(TRIM($F199&amp;""))="free entry"),IF(ISNUMBER($K199),$K199,""),IF($K199&lt;&gt;"",$K199,""))))))</ns0:f>
      </ns0:c>
      <ns0:c r="Q199" s="114">
        <ns0:f>IF(COUNTA($A199:$M199)=0,"",IF(OR($U199="Subscription",$U199=""),"",IF($U199="Estimate","N/A",IF($U199="Profit",ROUND(IFERROR($P199,0)-IFERROR($H199,0),2),0))))</ns0:f>
      </ns0:c>
      <ns0:c r="R199" s="114">
        <ns0:f>IF(COUNTA($A199:$M199)=0,"",IF(OR($U199="Subscription",$U199=""),"",IF($U199="Estimate","N/A",IF($U199="Draw",$H199,0))))</ns0:f>
      </ns0:c>
      <ns0:c r="S199" s="114">
        <ns0:f>IF(COUNTA($A199:$M199)=0,"",IF(OR($U199="Subscription",$U199=""),"",IF($U199="Estimate","N/A",IF($U199="Disqualified",$H199,0))))</ns0:f>
      </ns0:c>
      <ns0:c r="T199" s="955">
        <ns0:f>IF(COUNTA($A199:$M199)=0,"",IF(OR($U199="Subscription",$U199=""),"",IF($U199="Estimate","N/A",IF(OR($U199="Free Game",$U199="Disqualified — Free Game",$H199=0),"N/A",IF($U199="Profit",$Q199/$H199,IF($U199="Disqualified",-$S199/$H199,0))))))</ns0:f>
      </ns0:c>
      <ns0:c r="U199" s="920">
        <ns0:f>IF(COUNTA($A199:$M199)=0,"",IF(OR(LEFT(LOWER(TRIM($F199&amp;"")),12)="subscription",LOWER(TRIM($F199&amp;""))="membership"),"Subscription",IF(LOWER(TRIM($D199&amp;""))="estimate","Estimate",IF(OR(AND($H199&lt;&gt;"",$H199=0),LEFT(LOWER(TRIM($F199&amp;"")),9)="free game",LOWER(TRIM($F199&amp;""))="free",LOWER(TRIM($F199&amp;""))="free entry"),IF(LOWER($L199&amp;"")="yes","Disqualified — Free Game","Free Game"),IF(LOWER($L199&amp;"")="yes","Disqualified",IF($P199="","",IF(ROUND(IFERROR(VALUE($P199),0)-IFERROR(VALUE($H199),0),2)&gt;0,"Profit","Draw")))))))</ns0:f>
      </ns0:c>
      <ns0:c r="V199" s="956" t="str">
        <ns0:f>IF(COUNTA($A199:$M199)=0,"",IF(OR($B199="",$C199="",$U199="Subscription"),"",IFERROR(ROUNDUP(($C199-$B199)/7,0),"")))</ns0:f>
      </ns0:c>
      <ns0:c r="W199" s="114">
        <ns0:f>IF(COUNTA($A199:$M199)=0,"",IF(OR($U199="Subscription",$U199=""),"",IF($U199="Estimate","N/A",IF(OR($U199="Free Game",$U199="Disqualified — Free Game"),0,ROUND(IFERROR($Q199,0)-IFERROR($S199,0),2)))))</ns0:f>
      </ns0:c>
      <ns0:c r="X199" s="956" t="str">
        <ns0:f>IF(COUNTA($A199:$M199)=0,"",IF(OR($U199="Subscription",NOT(ISNUMBER($J199)),NOT(ISNUMBER($I199)),$J199=0,$I199=0,$I199&gt;$J199),"",$J199-$I199))</ns0:f>
      </ns0:c>
      <ns0:c r="Y199" s="955" t="str">
        <ns0:f>IF(COUNTA($A199:$M199)=0,"",IF(OR($U199="Subscription",NOT(ISNUMBER($J199)),$J199=0,$X199=""),"",$X199/$J199))</ns0:f>
      </ns0:c>
      <ns0:c r="Z199" s="957" t="str">
        <ns0:f>IF(COUNTA($A199:$M199)=0,"",Instructions!$B$29+SUM($W$5:W199))</ns0:f>
      </ns0:c>
    </ns0:row>
    <ns0:row r="200" ht="36" customHeight="1">
      <ns0:c r="A200" s="439"/>
      <ns0:c r="B200" s="453"/>
      <ns0:c r="C200" s="453"/>
      <ns0:c r="D200" s="454"/>
      <ns0:c r="E200" s="454"/>
      <ns0:c r="F200" s="454"/>
      <ns0:c r="G200" s="986"/>
      <ns0:c r="H200" s="455"/>
      <ns0:c r="I200" s="456"/>
      <ns0:c r="J200" s="456"/>
      <ns0:c r="K200" s="986"/>
      <ns0:c r="L200" s="454"/>
      <ns0:c r="M200" s="439"/>
      <ns0:c r="N200" s="987" t="str">
        <ns0:f>IF(COUNTA($A200:$M200)=0,"",IF(OR(LEFT(LOWER(TRIM($F200&amp;"")),12)="subscription",LOWER(TRIM($F200&amp;""))="membership"),"",IF(OR(AND($H200&lt;&gt;"",$H200=0),LEFT(LOWER(TRIM($F200&amp;"")),9)="free game",LOWER(TRIM($F200&amp;""))="free",LOWER(TRIM($F200&amp;""))="free entry"),IF(ISNUMBER($G200),IF(ISNUMBER(SEARCH("non",LOWER($E200&amp;""))),$G200*0.85,$G200),"N/A"),IF($G200="","",IFERROR(IF(ISNUMBER(SEARCH("non",LOWER($E200&amp;""))),$G200*0.85,$G200),"")))))</ns0:f>
        <ns0:v/>
      </ns0:c>
      <ns0:c r="O200" s="987" t="str">
        <ns0:f>IF(COUNTA($A200:$M200)=0,"",IF(OR(LEFT(LOWER(TRIM($F200&amp;"")),12)="subscription",LOWER(TRIM($F200&amp;""))="membership"),"",IF(OR(AND($H200&lt;&gt;"",$H200=0),LEFT(LOWER(TRIM($F200&amp;"")),9)="free game",LOWER(TRIM($F200&amp;""))="free",LOWER(TRIM($F200&amp;""))="free entry"),IF(OR(NOT(ISNUMBER($N200)),NOT(ISNUMBER($I200)),$I200=0),"N/A",IFERROR($N200/$I200,"N/A")),IF(OR($N200="",$I200="",$I200=0),"",IFERROR($N200/$I200,"")))))</ns0:f>
        <ns0:v/>
      </ns0:c>
      <ns0:c r="P200" s="987">
        <ns0:f>IF(COUNTA($A200:$M200)=0,"",IF(OR(LEFT(LOWER(TRIM($F200&amp;"")),12)="subscription",LOWER(TRIM($F200&amp;""))="membership"),"",IF(LOWER(TRIM($D200&amp;""))="estimate","N/A",IF(LOWER($L200&amp;"")="yes",0,IF(OR(AND($H200&lt;&gt;"",$H200=0),LEFT(LOWER(TRIM($F200&amp;"")),9)="free game",LOWER(TRIM($F200&amp;""))="free",LOWER(TRIM($F200&amp;""))="free entry"),IF(ISNUMBER($K200),$K200,""),IF($K200&lt;&gt;"",$K200,""))))))</ns0:f>
      </ns0:c>
      <ns0:c r="Q200" s="114">
        <ns0:f>IF(COUNTA($A200:$M200)=0,"",IF(OR($U200="Subscription",$U200=""),"",IF($U200="Estimate","N/A",IF($U200="Profit",ROUND(IFERROR($P200,0)-IFERROR($H200,0),2),0))))</ns0:f>
      </ns0:c>
      <ns0:c r="R200" s="114">
        <ns0:f>IF(COUNTA($A200:$M200)=0,"",IF(OR($U200="Subscription",$U200=""),"",IF($U200="Estimate","N/A",IF($U200="Draw",$H200,0))))</ns0:f>
      </ns0:c>
      <ns0:c r="S200" s="114">
        <ns0:f>IF(COUNTA($A200:$M200)=0,"",IF(OR($U200="Subscription",$U200=""),"",IF($U200="Estimate","N/A",IF($U200="Disqualified",$H200,0))))</ns0:f>
      </ns0:c>
      <ns0:c r="T200" s="955">
        <ns0:f>IF(COUNTA($A200:$M200)=0,"",IF(OR($U200="Subscription",$U200=""),"",IF($U200="Estimate","N/A",IF(OR($U200="Free Game",$U200="Disqualified — Free Game",$H200=0),"N/A",IF($U200="Profit",$Q200/$H200,IF($U200="Disqualified",-$S200/$H200,0))))))</ns0:f>
      </ns0:c>
      <ns0:c r="U200" s="920">
        <ns0:f>IF(COUNTA($A200:$M200)=0,"",IF(OR(LEFT(LOWER(TRIM($F200&amp;"")),12)="subscription",LOWER(TRIM($F200&amp;""))="membership"),"Subscription",IF(LOWER(TRIM($D200&amp;""))="estimate","Estimate",IF(OR(AND($H200&lt;&gt;"",$H200=0),LEFT(LOWER(TRIM($F200&amp;"")),9)="free game",LOWER(TRIM($F200&amp;""))="free",LOWER(TRIM($F200&amp;""))="free entry"),IF(LOWER($L200&amp;"")="yes","Disqualified — Free Game","Free Game"),IF(LOWER($L200&amp;"")="yes","Disqualified",IF($P200="","",IF(ROUND(IFERROR(VALUE($P200),0)-IFERROR(VALUE($H200),0),2)&gt;0,"Profit","Draw")))))))</ns0:f>
      </ns0:c>
      <ns0:c r="V200" s="956" t="str">
        <ns0:f>IF(COUNTA($A200:$M200)=0,"",IF(OR($B200="",$C200="",$U200="Subscription"),"",IFERROR(ROUNDUP(($C200-$B200)/7,0),"")))</ns0:f>
      </ns0:c>
      <ns0:c r="W200" s="114">
        <ns0:f>IF(COUNTA($A200:$M200)=0,"",IF(OR($U200="Subscription",$U200=""),"",IF($U200="Estimate","N/A",IF(OR($U200="Free Game",$U200="Disqualified — Free Game"),0,ROUND(IFERROR($Q200,0)-IFERROR($S200,0),2)))))</ns0:f>
      </ns0:c>
      <ns0:c r="X200" s="956" t="str">
        <ns0:f>IF(COUNTA($A200:$M200)=0,"",IF(OR($U200="Subscription",NOT(ISNUMBER($J200)),NOT(ISNUMBER($I200)),$J200=0,$I200=0,$I200&gt;$J200),"",$J200-$I200))</ns0:f>
      </ns0:c>
      <ns0:c r="Y200" s="955" t="str">
        <ns0:f>IF(COUNTA($A200:$M200)=0,"",IF(OR($U200="Subscription",NOT(ISNUMBER($J200)),$J200=0,$X200=""),"",$X200/$J200))</ns0:f>
      </ns0:c>
      <ns0:c r="Z200" s="957" t="str">
        <ns0:f>IF(COUNTA($A200:$M200)=0,"",Instructions!$B$29+SUM($W$5:W200))</ns0:f>
      </ns0:c>
    </ns0:row>
    <ns0:row r="201" ht="36" customHeight="1">
      <ns0:c r="A201" s="439"/>
      <ns0:c r="B201" s="453"/>
      <ns0:c r="C201" s="453"/>
      <ns0:c r="D201" s="454"/>
      <ns0:c r="E201" s="454"/>
      <ns0:c r="F201" s="454"/>
      <ns0:c r="G201" s="986"/>
      <ns0:c r="H201" s="455"/>
      <ns0:c r="I201" s="456"/>
      <ns0:c r="J201" s="456"/>
      <ns0:c r="K201" s="986"/>
      <ns0:c r="L201" s="454"/>
      <ns0:c r="M201" s="439"/>
      <ns0:c r="N201" s="987" t="str">
        <ns0:f>IF(COUNTA($A201:$M201)=0,"",IF(OR(LEFT(LOWER(TRIM($F201&amp;"")),12)="subscription",LOWER(TRIM($F201&amp;""))="membership"),"",IF(OR(AND($H201&lt;&gt;"",$H201=0),LEFT(LOWER(TRIM($F201&amp;"")),9)="free game",LOWER(TRIM($F201&amp;""))="free",LOWER(TRIM($F201&amp;""))="free entry"),IF(ISNUMBER($G201),IF(ISNUMBER(SEARCH("non",LOWER($E201&amp;""))),$G201*0.85,$G201),"N/A"),IF($G201="","",IFERROR(IF(ISNUMBER(SEARCH("non",LOWER($E201&amp;""))),$G201*0.85,$G201),"")))))</ns0:f>
        <ns0:v/>
      </ns0:c>
      <ns0:c r="O201" s="987" t="str">
        <ns0:f>IF(COUNTA($A201:$M201)=0,"",IF(OR(LEFT(LOWER(TRIM($F201&amp;"")),12)="subscription",LOWER(TRIM($F201&amp;""))="membership"),"",IF(OR(AND($H201&lt;&gt;"",$H201=0),LEFT(LOWER(TRIM($F201&amp;"")),9)="free game",LOWER(TRIM($F201&amp;""))="free",LOWER(TRIM($F201&amp;""))="free entry"),IF(OR(NOT(ISNUMBER($N201)),NOT(ISNUMBER($I201)),$I201=0),"N/A",IFERROR($N201/$I201,"N/A")),IF(OR($N201="",$I201="",$I201=0),"",IFERROR($N201/$I201,"")))))</ns0:f>
        <ns0:v/>
      </ns0:c>
      <ns0:c r="P201" s="987">
        <ns0:f>IF(COUNTA($A201:$M201)=0,"",IF(OR(LEFT(LOWER(TRIM($F201&amp;"")),12)="subscription",LOWER(TRIM($F201&amp;""))="membership"),"",IF(LOWER(TRIM($D201&amp;""))="estimate","N/A",IF(LOWER($L201&amp;"")="yes",0,IF(OR(AND($H201&lt;&gt;"",$H201=0),LEFT(LOWER(TRIM($F201&amp;"")),9)="free game",LOWER(TRIM($F201&amp;""))="free",LOWER(TRIM($F201&amp;""))="free entry"),IF(ISNUMBER($K201),$K201,""),IF($K201&lt;&gt;"",$K201,""))))))</ns0:f>
      </ns0:c>
      <ns0:c r="Q201" s="114">
        <ns0:f>IF(COUNTA($A201:$M201)=0,"",IF(OR($U201="Subscription",$U201=""),"",IF($U201="Estimate","N/A",IF($U201="Profit",ROUND(IFERROR($P201,0)-IFERROR($H201,0),2),0))))</ns0:f>
      </ns0:c>
      <ns0:c r="R201" s="114">
        <ns0:f>IF(COUNTA($A201:$M201)=0,"",IF(OR($U201="Subscription",$U201=""),"",IF($U201="Estimate","N/A",IF($U201="Draw",$H201,0))))</ns0:f>
      </ns0:c>
      <ns0:c r="S201" s="114">
        <ns0:f>IF(COUNTA($A201:$M201)=0,"",IF(OR($U201="Subscription",$U201=""),"",IF($U201="Estimate","N/A",IF($U201="Disqualified",$H201,0))))</ns0:f>
      </ns0:c>
      <ns0:c r="T201" s="955">
        <ns0:f>IF(COUNTA($A201:$M201)=0,"",IF(OR($U201="Subscription",$U201=""),"",IF($U201="Estimate","N/A",IF(OR($U201="Free Game",$U201="Disqualified — Free Game",$H201=0),"N/A",IF($U201="Profit",$Q201/$H201,IF($U201="Disqualified",-$S201/$H201,0))))))</ns0:f>
      </ns0:c>
      <ns0:c r="U201" s="920">
        <ns0:f>IF(COUNTA($A201:$M201)=0,"",IF(OR(LEFT(LOWER(TRIM($F201&amp;"")),12)="subscription",LOWER(TRIM($F201&amp;""))="membership"),"Subscription",IF(LOWER(TRIM($D201&amp;""))="estimate","Estimate",IF(OR(AND($H201&lt;&gt;"",$H201=0),LEFT(LOWER(TRIM($F201&amp;"")),9)="free game",LOWER(TRIM($F201&amp;""))="free",LOWER(TRIM($F201&amp;""))="free entry"),IF(LOWER($L201&amp;"")="yes","Disqualified — Free Game","Free Game"),IF(LOWER($L201&amp;"")="yes","Disqualified",IF($P201="","",IF(ROUND(IFERROR(VALUE($P201),0)-IFERROR(VALUE($H201),0),2)&gt;0,"Profit","Draw")))))))</ns0:f>
      </ns0:c>
      <ns0:c r="V201" s="956" t="str">
        <ns0:f>IF(COUNTA($A201:$M201)=0,"",IF(OR($B201="",$C201="",$U201="Subscription"),"",IFERROR(ROUNDUP(($C201-$B201)/7,0),"")))</ns0:f>
      </ns0:c>
      <ns0:c r="W201" s="114">
        <ns0:f>IF(COUNTA($A201:$M201)=0,"",IF(OR($U201="Subscription",$U201=""),"",IF($U201="Estimate","N/A",IF(OR($U201="Free Game",$U201="Disqualified — Free Game"),0,ROUND(IFERROR($Q201,0)-IFERROR($S201,0),2)))))</ns0:f>
      </ns0:c>
      <ns0:c r="X201" s="956" t="str">
        <ns0:f>IF(COUNTA($A201:$M201)=0,"",IF(OR($U201="Subscription",NOT(ISNUMBER($J201)),NOT(ISNUMBER($I201)),$J201=0,$I201=0,$I201&gt;$J201),"",$J201-$I201))</ns0:f>
      </ns0:c>
      <ns0:c r="Y201" s="955" t="str">
        <ns0:f>IF(COUNTA($A201:$M201)=0,"",IF(OR($U201="Subscription",NOT(ISNUMBER($J201)),$J201=0,$X201=""),"",$X201/$J201))</ns0:f>
      </ns0:c>
      <ns0:c r="Z201" s="957" t="str">
        <ns0:f>IF(COUNTA($A201:$M201)=0,"",Instructions!$B$29+SUM($W$5:W201))</ns0:f>
      </ns0:c>
    </ns0:row>
    <ns0:row r="202" ht="36" customHeight="1">
      <ns0:c r="A202" s="439"/>
      <ns0:c r="B202" s="453"/>
      <ns0:c r="C202" s="453"/>
      <ns0:c r="D202" s="454"/>
      <ns0:c r="E202" s="454"/>
      <ns0:c r="F202" s="454"/>
      <ns0:c r="G202" s="986"/>
      <ns0:c r="H202" s="455"/>
      <ns0:c r="I202" s="456"/>
      <ns0:c r="J202" s="456"/>
      <ns0:c r="K202" s="986"/>
      <ns0:c r="L202" s="454"/>
      <ns0:c r="M202" s="439"/>
      <ns0:c r="N202" s="987" t="str">
        <ns0:f>IF(COUNTA($A202:$M202)=0,"",IF(OR(LEFT(LOWER(TRIM($F202&amp;"")),12)="subscription",LOWER(TRIM($F202&amp;""))="membership"),"",IF(OR(AND($H202&lt;&gt;"",$H202=0),LEFT(LOWER(TRIM($F202&amp;"")),9)="free game",LOWER(TRIM($F202&amp;""))="free",LOWER(TRIM($F202&amp;""))="free entry"),IF(ISNUMBER($G202),IF(ISNUMBER(SEARCH("non",LOWER($E202&amp;""))),$G202*0.85,$G202),"N/A"),IF($G202="","",IFERROR(IF(ISNUMBER(SEARCH("non",LOWER($E202&amp;""))),$G202*0.85,$G202),"")))))</ns0:f>
        <ns0:v/>
      </ns0:c>
      <ns0:c r="O202" s="987" t="str">
        <ns0:f>IF(COUNTA($A202:$M202)=0,"",IF(OR(LEFT(LOWER(TRIM($F202&amp;"")),12)="subscription",LOWER(TRIM($F202&amp;""))="membership"),"",IF(OR(AND($H202&lt;&gt;"",$H202=0),LEFT(LOWER(TRIM($F202&amp;"")),9)="free game",LOWER(TRIM($F202&amp;""))="free",LOWER(TRIM($F202&amp;""))="free entry"),IF(OR(NOT(ISNUMBER($N202)),NOT(ISNUMBER($I202)),$I202=0),"N/A",IFERROR($N202/$I202,"N/A")),IF(OR($N202="",$I202="",$I202=0),"",IFERROR($N202/$I202,"")))))</ns0:f>
        <ns0:v/>
      </ns0:c>
      <ns0:c r="P202" s="987">
        <ns0:f>IF(COUNTA($A202:$M202)=0,"",IF(OR(LEFT(LOWER(TRIM($F202&amp;"")),12)="subscription",LOWER(TRIM($F202&amp;""))="membership"),"",IF(LOWER(TRIM($D202&amp;""))="estimate","N/A",IF(LOWER($L202&amp;"")="yes",0,IF(OR(AND($H202&lt;&gt;"",$H202=0),LEFT(LOWER(TRIM($F202&amp;"")),9)="free game",LOWER(TRIM($F202&amp;""))="free",LOWER(TRIM($F202&amp;""))="free entry"),IF(ISNUMBER($K202),$K202,""),IF($K202&lt;&gt;"",$K202,""))))))</ns0:f>
      </ns0:c>
      <ns0:c r="Q202" s="114">
        <ns0:f>IF(COUNTA($A202:$M202)=0,"",IF(OR($U202="Subscription",$U202=""),"",IF($U202="Estimate","N/A",IF($U202="Profit",ROUND(IFERROR($P202,0)-IFERROR($H202,0),2),0))))</ns0:f>
      </ns0:c>
      <ns0:c r="R202" s="114">
        <ns0:f>IF(COUNTA($A202:$M202)=0,"",IF(OR($U202="Subscription",$U202=""),"",IF($U202="Estimate","N/A",IF($U202="Draw",$H202,0))))</ns0:f>
      </ns0:c>
      <ns0:c r="S202" s="114">
        <ns0:f>IF(COUNTA($A202:$M202)=0,"",IF(OR($U202="Subscription",$U202=""),"",IF($U202="Estimate","N/A",IF($U202="Disqualified",$H202,0))))</ns0:f>
      </ns0:c>
      <ns0:c r="T202" s="955">
        <ns0:f>IF(COUNTA($A202:$M202)=0,"",IF(OR($U202="Subscription",$U202=""),"",IF($U202="Estimate","N/A",IF(OR($U202="Free Game",$U202="Disqualified — Free Game",$H202=0),"N/A",IF($U202="Profit",$Q202/$H202,IF($U202="Disqualified",-$S202/$H202,0))))))</ns0:f>
      </ns0:c>
      <ns0:c r="U202" s="920">
        <ns0:f>IF(COUNTA($A202:$M202)=0,"",IF(OR(LEFT(LOWER(TRIM($F202&amp;"")),12)="subscription",LOWER(TRIM($F202&amp;""))="membership"),"Subscription",IF(LOWER(TRIM($D202&amp;""))="estimate","Estimate",IF(OR(AND($H202&lt;&gt;"",$H202=0),LEFT(LOWER(TRIM($F202&amp;"")),9)="free game",LOWER(TRIM($F202&amp;""))="free",LOWER(TRIM($F202&amp;""))="free entry"),IF(LOWER($L202&amp;"")="yes","Disqualified — Free Game","Free Game"),IF(LOWER($L202&amp;"")="yes","Disqualified",IF($P202="","",IF(ROUND(IFERROR(VALUE($P202),0)-IFERROR(VALUE($H202),0),2)&gt;0,"Profit","Draw")))))))</ns0:f>
      </ns0:c>
      <ns0:c r="V202" s="956" t="str">
        <ns0:f>IF(COUNTA($A202:$M202)=0,"",IF(OR($B202="",$C202="",$U202="Subscription"),"",IFERROR(ROUNDUP(($C202-$B202)/7,0),"")))</ns0:f>
      </ns0:c>
      <ns0:c r="W202" s="114">
        <ns0:f>IF(COUNTA($A202:$M202)=0,"",IF(OR($U202="Subscription",$U202=""),"",IF($U202="Estimate","N/A",IF(OR($U202="Free Game",$U202="Disqualified — Free Game"),0,ROUND(IFERROR($Q202,0)-IFERROR($S202,0),2)))))</ns0:f>
      </ns0:c>
      <ns0:c r="X202" s="956" t="str">
        <ns0:f>IF(COUNTA($A202:$M202)=0,"",IF(OR($U202="Subscription",NOT(ISNUMBER($J202)),NOT(ISNUMBER($I202)),$J202=0,$I202=0,$I202&gt;$J202),"",$J202-$I202))</ns0:f>
      </ns0:c>
      <ns0:c r="Y202" s="955" t="str">
        <ns0:f>IF(COUNTA($A202:$M202)=0,"",IF(OR($U202="Subscription",NOT(ISNUMBER($J202)),$J202=0,$X202=""),"",$X202/$J202))</ns0:f>
      </ns0:c>
      <ns0:c r="Z202" s="957" t="str">
        <ns0:f>IF(COUNTA($A202:$M202)=0,"",Instructions!$B$29+SUM($W$5:W202))</ns0:f>
      </ns0:c>
    </ns0:row>
    <ns0:row r="203" ht="36" customHeight="1">
      <ns0:c r="A203" s="439"/>
      <ns0:c r="B203" s="453"/>
      <ns0:c r="C203" s="453"/>
      <ns0:c r="D203" s="454"/>
      <ns0:c r="E203" s="454"/>
      <ns0:c r="F203" s="454"/>
      <ns0:c r="G203" s="986"/>
      <ns0:c r="H203" s="455"/>
      <ns0:c r="I203" s="456"/>
      <ns0:c r="J203" s="456"/>
      <ns0:c r="K203" s="986"/>
      <ns0:c r="L203" s="454"/>
      <ns0:c r="M203" s="439"/>
      <ns0:c r="N203" s="987" t="str">
        <ns0:f>IF(COUNTA($A203:$M203)=0,"",IF(OR(LEFT(LOWER(TRIM($F203&amp;"")),12)="subscription",LOWER(TRIM($F203&amp;""))="membership"),"",IF(OR(AND($H203&lt;&gt;"",$H203=0),LEFT(LOWER(TRIM($F203&amp;"")),9)="free game",LOWER(TRIM($F203&amp;""))="free",LOWER(TRIM($F203&amp;""))="free entry"),IF(ISNUMBER($G203),IF(ISNUMBER(SEARCH("non",LOWER($E203&amp;""))),$G203*0.85,$G203),"N/A"),IF($G203="","",IFERROR(IF(ISNUMBER(SEARCH("non",LOWER($E203&amp;""))),$G203*0.85,$G203),"")))))</ns0:f>
        <ns0:v/>
      </ns0:c>
      <ns0:c r="O203" s="987" t="str">
        <ns0:f>IF(COUNTA($A203:$M203)=0,"",IF(OR(LEFT(LOWER(TRIM($F203&amp;"")),12)="subscription",LOWER(TRIM($F203&amp;""))="membership"),"",IF(OR(AND($H203&lt;&gt;"",$H203=0),LEFT(LOWER(TRIM($F203&amp;"")),9)="free game",LOWER(TRIM($F203&amp;""))="free",LOWER(TRIM($F203&amp;""))="free entry"),IF(OR(NOT(ISNUMBER($N203)),NOT(ISNUMBER($I203)),$I203=0),"N/A",IFERROR($N203/$I203,"N/A")),IF(OR($N203="",$I203="",$I203=0),"",IFERROR($N203/$I203,"")))))</ns0:f>
        <ns0:v/>
      </ns0:c>
      <ns0:c r="P203" s="987">
        <ns0:f>IF(COUNTA($A203:$M203)=0,"",IF(OR(LEFT(LOWER(TRIM($F203&amp;"")),12)="subscription",LOWER(TRIM($F203&amp;""))="membership"),"",IF(LOWER(TRIM($D203&amp;""))="estimate","N/A",IF(LOWER($L203&amp;"")="yes",0,IF(OR(AND($H203&lt;&gt;"",$H203=0),LEFT(LOWER(TRIM($F203&amp;"")),9)="free game",LOWER(TRIM($F203&amp;""))="free",LOWER(TRIM($F203&amp;""))="free entry"),IF(ISNUMBER($K203),$K203,""),IF($K203&lt;&gt;"",$K203,""))))))</ns0:f>
      </ns0:c>
      <ns0:c r="Q203" s="114">
        <ns0:f>IF(COUNTA($A203:$M203)=0,"",IF(OR($U203="Subscription",$U203=""),"",IF($U203="Estimate","N/A",IF($U203="Profit",ROUND(IFERROR($P203,0)-IFERROR($H203,0),2),0))))</ns0:f>
      </ns0:c>
      <ns0:c r="R203" s="114">
        <ns0:f>IF(COUNTA($A203:$M203)=0,"",IF(OR($U203="Subscription",$U203=""),"",IF($U203="Estimate","N/A",IF($U203="Draw",$H203,0))))</ns0:f>
      </ns0:c>
      <ns0:c r="S203" s="114">
        <ns0:f>IF(COUNTA($A203:$M203)=0,"",IF(OR($U203="Subscription",$U203=""),"",IF($U203="Estimate","N/A",IF($U203="Disqualified",$H203,0))))</ns0:f>
      </ns0:c>
      <ns0:c r="T203" s="955">
        <ns0:f>IF(COUNTA($A203:$M203)=0,"",IF(OR($U203="Subscription",$U203=""),"",IF($U203="Estimate","N/A",IF(OR($U203="Free Game",$U203="Disqualified — Free Game",$H203=0),"N/A",IF($U203="Profit",$Q203/$H203,IF($U203="Disqualified",-$S203/$H203,0))))))</ns0:f>
      </ns0:c>
      <ns0:c r="U203" s="920">
        <ns0:f>IF(COUNTA($A203:$M203)=0,"",IF(OR(LEFT(LOWER(TRIM($F203&amp;"")),12)="subscription",LOWER(TRIM($F203&amp;""))="membership"),"Subscription",IF(LOWER(TRIM($D203&amp;""))="estimate","Estimate",IF(OR(AND($H203&lt;&gt;"",$H203=0),LEFT(LOWER(TRIM($F203&amp;"")),9)="free game",LOWER(TRIM($F203&amp;""))="free",LOWER(TRIM($F203&amp;""))="free entry"),IF(LOWER($L203&amp;"")="yes","Disqualified — Free Game","Free Game"),IF(LOWER($L203&amp;"")="yes","Disqualified",IF($P203="","",IF(ROUND(IFERROR(VALUE($P203),0)-IFERROR(VALUE($H203),0),2)&gt;0,"Profit","Draw")))))))</ns0:f>
      </ns0:c>
      <ns0:c r="V203" s="956" t="str">
        <ns0:f>IF(COUNTA($A203:$M203)=0,"",IF(OR($B203="",$C203="",$U203="Subscription"),"",IFERROR(ROUNDUP(($C203-$B203)/7,0),"")))</ns0:f>
      </ns0:c>
      <ns0:c r="W203" s="114">
        <ns0:f>IF(COUNTA($A203:$M203)=0,"",IF(OR($U203="Subscription",$U203=""),"",IF($U203="Estimate","N/A",IF(OR($U203="Free Game",$U203="Disqualified — Free Game"),0,ROUND(IFERROR($Q203,0)-IFERROR($S203,0),2)))))</ns0:f>
      </ns0:c>
      <ns0:c r="X203" s="956" t="str">
        <ns0:f>IF(COUNTA($A203:$M203)=0,"",IF(OR($U203="Subscription",NOT(ISNUMBER($J203)),NOT(ISNUMBER($I203)),$J203=0,$I203=0,$I203&gt;$J203),"",$J203-$I203))</ns0:f>
      </ns0:c>
      <ns0:c r="Y203" s="955" t="str">
        <ns0:f>IF(COUNTA($A203:$M203)=0,"",IF(OR($U203="Subscription",NOT(ISNUMBER($J203)),$J203=0,$X203=""),"",$X203/$J203))</ns0:f>
      </ns0:c>
      <ns0:c r="Z203" s="957" t="str">
        <ns0:f>IF(COUNTA($A203:$M203)=0,"",Instructions!$B$29+SUM($W$5:W203))</ns0:f>
      </ns0:c>
    </ns0:row>
    <ns0:row r="204" ht="36" customHeight="1">
      <ns0:c r="A204" s="439"/>
      <ns0:c r="B204" s="453"/>
      <ns0:c r="C204" s="453"/>
      <ns0:c r="D204" s="454"/>
      <ns0:c r="E204" s="454"/>
      <ns0:c r="F204" s="454"/>
      <ns0:c r="G204" s="986"/>
      <ns0:c r="H204" s="455"/>
      <ns0:c r="I204" s="456"/>
      <ns0:c r="J204" s="456"/>
      <ns0:c r="K204" s="986"/>
      <ns0:c r="L204" s="454"/>
      <ns0:c r="M204" s="439"/>
      <ns0:c r="N204" s="987" t="str">
        <ns0:f>IF(COUNTA($A204:$M204)=0,"",IF(OR(LEFT(LOWER(TRIM($F204&amp;"")),12)="subscription",LOWER(TRIM($F204&amp;""))="membership"),"",IF(OR(AND($H204&lt;&gt;"",$H204=0),LEFT(LOWER(TRIM($F204&amp;"")),9)="free game",LOWER(TRIM($F204&amp;""))="free",LOWER(TRIM($F204&amp;""))="free entry"),IF(ISNUMBER($G204),IF(ISNUMBER(SEARCH("non",LOWER($E204&amp;""))),$G204*0.85,$G204),"N/A"),IF($G204="","",IFERROR(IF(ISNUMBER(SEARCH("non",LOWER($E204&amp;""))),$G204*0.85,$G204),"")))))</ns0:f>
        <ns0:v/>
      </ns0:c>
      <ns0:c r="O204" s="987" t="str">
        <ns0:f>IF(COUNTA($A204:$M204)=0,"",IF(OR(LEFT(LOWER(TRIM($F204&amp;"")),12)="subscription",LOWER(TRIM($F204&amp;""))="membership"),"",IF(OR(AND($H204&lt;&gt;"",$H204=0),LEFT(LOWER(TRIM($F204&amp;"")),9)="free game",LOWER(TRIM($F204&amp;""))="free",LOWER(TRIM($F204&amp;""))="free entry"),IF(OR(NOT(ISNUMBER($N204)),NOT(ISNUMBER($I204)),$I204=0),"N/A",IFERROR($N204/$I204,"N/A")),IF(OR($N204="",$I204="",$I204=0),"",IFERROR($N204/$I204,"")))))</ns0:f>
        <ns0:v/>
      </ns0:c>
      <ns0:c r="P204" s="987">
        <ns0:f>IF(COUNTA($A204:$M204)=0,"",IF(OR(LEFT(LOWER(TRIM($F204&amp;"")),12)="subscription",LOWER(TRIM($F204&amp;""))="membership"),"",IF(LOWER(TRIM($D204&amp;""))="estimate","N/A",IF(LOWER($L204&amp;"")="yes",0,IF(OR(AND($H204&lt;&gt;"",$H204=0),LEFT(LOWER(TRIM($F204&amp;"")),9)="free game",LOWER(TRIM($F204&amp;""))="free",LOWER(TRIM($F204&amp;""))="free entry"),IF(ISNUMBER($K204),$K204,""),IF($K204&lt;&gt;"",$K204,""))))))</ns0:f>
      </ns0:c>
      <ns0:c r="Q204" s="114">
        <ns0:f>IF(COUNTA($A204:$M204)=0,"",IF(OR($U204="Subscription",$U204=""),"",IF($U204="Estimate","N/A",IF($U204="Profit",ROUND(IFERROR($P204,0)-IFERROR($H204,0),2),0))))</ns0:f>
      </ns0:c>
      <ns0:c r="R204" s="114">
        <ns0:f>IF(COUNTA($A204:$M204)=0,"",IF(OR($U204="Subscription",$U204=""),"",IF($U204="Estimate","N/A",IF($U204="Draw",$H204,0))))</ns0:f>
      </ns0:c>
      <ns0:c r="S204" s="114">
        <ns0:f>IF(COUNTA($A204:$M204)=0,"",IF(OR($U204="Subscription",$U204=""),"",IF($U204="Estimate","N/A",IF($U204="Disqualified",$H204,0))))</ns0:f>
      </ns0:c>
      <ns0:c r="T204" s="955">
        <ns0:f>IF(COUNTA($A204:$M204)=0,"",IF(OR($U204="Subscription",$U204=""),"",IF($U204="Estimate","N/A",IF(OR($U204="Free Game",$U204="Disqualified — Free Game",$H204=0),"N/A",IF($U204="Profit",$Q204/$H204,IF($U204="Disqualified",-$S204/$H204,0))))))</ns0:f>
      </ns0:c>
      <ns0:c r="U204" s="920">
        <ns0:f>IF(COUNTA($A204:$M204)=0,"",IF(OR(LEFT(LOWER(TRIM($F204&amp;"")),12)="subscription",LOWER(TRIM($F204&amp;""))="membership"),"Subscription",IF(LOWER(TRIM($D204&amp;""))="estimate","Estimate",IF(OR(AND($H204&lt;&gt;"",$H204=0),LEFT(LOWER(TRIM($F204&amp;"")),9)="free game",LOWER(TRIM($F204&amp;""))="free",LOWER(TRIM($F204&amp;""))="free entry"),IF(LOWER($L204&amp;"")="yes","Disqualified — Free Game","Free Game"),IF(LOWER($L204&amp;"")="yes","Disqualified",IF($P204="","",IF(ROUND(IFERROR(VALUE($P204),0)-IFERROR(VALUE($H204),0),2)&gt;0,"Profit","Draw")))))))</ns0:f>
      </ns0:c>
      <ns0:c r="V204" s="956" t="str">
        <ns0:f>IF(COUNTA($A204:$M204)=0,"",IF(OR($B204="",$C204="",$U204="Subscription"),"",IFERROR(ROUNDUP(($C204-$B204)/7,0),"")))</ns0:f>
      </ns0:c>
      <ns0:c r="W204" s="114">
        <ns0:f>IF(COUNTA($A204:$M204)=0,"",IF(OR($U204="Subscription",$U204=""),"",IF($U204="Estimate","N/A",IF(OR($U204="Free Game",$U204="Disqualified — Free Game"),0,ROUND(IFERROR($Q204,0)-IFERROR($S204,0),2)))))</ns0:f>
      </ns0:c>
      <ns0:c r="X204" s="956" t="str">
        <ns0:f>IF(COUNTA($A204:$M204)=0,"",IF(OR($U204="Subscription",NOT(ISNUMBER($J204)),NOT(ISNUMBER($I204)),$J204=0,$I204=0,$I204&gt;$J204),"",$J204-$I204))</ns0:f>
      </ns0:c>
      <ns0:c r="Y204" s="955" t="str">
        <ns0:f>IF(COUNTA($A204:$M204)=0,"",IF(OR($U204="Subscription",NOT(ISNUMBER($J204)),$J204=0,$X204=""),"",$X204/$J204))</ns0:f>
      </ns0:c>
      <ns0:c r="Z204" s="957" t="str">
        <ns0:f>IF(COUNTA($A204:$M204)=0,"",Instructions!$B$29+SUM($W$5:W204))</ns0:f>
      </ns0:c>
    </ns0:row>
    <ns0:row r="205" ht="36" customHeight="1">
      <ns0:c r="A205" s="439"/>
      <ns0:c r="B205" s="453"/>
      <ns0:c r="C205" s="453"/>
      <ns0:c r="D205" s="454"/>
      <ns0:c r="E205" s="454"/>
      <ns0:c r="F205" s="454"/>
      <ns0:c r="G205" s="986"/>
      <ns0:c r="H205" s="455"/>
      <ns0:c r="I205" s="456"/>
      <ns0:c r="J205" s="456"/>
      <ns0:c r="K205" s="986"/>
      <ns0:c r="L205" s="454"/>
      <ns0:c r="M205" s="439"/>
      <ns0:c r="N205" s="987" t="str">
        <ns0:f>IF(COUNTA($A205:$M205)=0,"",IF(OR(LEFT(LOWER(TRIM($F205&amp;"")),12)="subscription",LOWER(TRIM($F205&amp;""))="membership"),"",IF(OR(AND($H205&lt;&gt;"",$H205=0),LEFT(LOWER(TRIM($F205&amp;"")),9)="free game",LOWER(TRIM($F205&amp;""))="free",LOWER(TRIM($F205&amp;""))="free entry"),IF(ISNUMBER($G205),IF(ISNUMBER(SEARCH("non",LOWER($E205&amp;""))),$G205*0.85,$G205),"N/A"),IF($G205="","",IFERROR(IF(ISNUMBER(SEARCH("non",LOWER($E205&amp;""))),$G205*0.85,$G205),"")))))</ns0:f>
        <ns0:v/>
      </ns0:c>
      <ns0:c r="O205" s="987" t="str">
        <ns0:f>IF(COUNTA($A205:$M205)=0,"",IF(OR(LEFT(LOWER(TRIM($F205&amp;"")),12)="subscription",LOWER(TRIM($F205&amp;""))="membership"),"",IF(OR(AND($H205&lt;&gt;"",$H205=0),LEFT(LOWER(TRIM($F205&amp;"")),9)="free game",LOWER(TRIM($F205&amp;""))="free",LOWER(TRIM($F205&amp;""))="free entry"),IF(OR(NOT(ISNUMBER($N205)),NOT(ISNUMBER($I205)),$I205=0),"N/A",IFERROR($N205/$I205,"N/A")),IF(OR($N205="",$I205="",$I205=0),"",IFERROR($N205/$I205,"")))))</ns0:f>
        <ns0:v/>
      </ns0:c>
      <ns0:c r="P205" s="987">
        <ns0:f>IF(COUNTA($A205:$M205)=0,"",IF(OR(LEFT(LOWER(TRIM($F205&amp;"")),12)="subscription",LOWER(TRIM($F205&amp;""))="membership"),"",IF(LOWER(TRIM($D205&amp;""))="estimate","N/A",IF(LOWER($L205&amp;"")="yes",0,IF(OR(AND($H205&lt;&gt;"",$H205=0),LEFT(LOWER(TRIM($F205&amp;"")),9)="free game",LOWER(TRIM($F205&amp;""))="free",LOWER(TRIM($F205&amp;""))="free entry"),IF(ISNUMBER($K205),$K205,""),IF($K205&lt;&gt;"",$K205,""))))))</ns0:f>
      </ns0:c>
      <ns0:c r="Q205" s="114">
        <ns0:f>IF(COUNTA($A205:$M205)=0,"",IF(OR($U205="Subscription",$U205=""),"",IF($U205="Estimate","N/A",IF($U205="Profit",ROUND(IFERROR($P205,0)-IFERROR($H205,0),2),0))))</ns0:f>
      </ns0:c>
      <ns0:c r="R205" s="114">
        <ns0:f>IF(COUNTA($A205:$M205)=0,"",IF(OR($U205="Subscription",$U205=""),"",IF($U205="Estimate","N/A",IF($U205="Draw",$H205,0))))</ns0:f>
      </ns0:c>
      <ns0:c r="S205" s="114">
        <ns0:f>IF(COUNTA($A205:$M205)=0,"",IF(OR($U205="Subscription",$U205=""),"",IF($U205="Estimate","N/A",IF($U205="Disqualified",$H205,0))))</ns0:f>
      </ns0:c>
      <ns0:c r="T205" s="955">
        <ns0:f>IF(COUNTA($A205:$M205)=0,"",IF(OR($U205="Subscription",$U205=""),"",IF($U205="Estimate","N/A",IF(OR($U205="Free Game",$U205="Disqualified — Free Game",$H205=0),"N/A",IF($U205="Profit",$Q205/$H205,IF($U205="Disqualified",-$S205/$H205,0))))))</ns0:f>
      </ns0:c>
      <ns0:c r="U205" s="920">
        <ns0:f>IF(COUNTA($A205:$M205)=0,"",IF(OR(LEFT(LOWER(TRIM($F205&amp;"")),12)="subscription",LOWER(TRIM($F205&amp;""))="membership"),"Subscription",IF(LOWER(TRIM($D205&amp;""))="estimate","Estimate",IF(OR(AND($H205&lt;&gt;"",$H205=0),LEFT(LOWER(TRIM($F205&amp;"")),9)="free game",LOWER(TRIM($F205&amp;""))="free",LOWER(TRIM($F205&amp;""))="free entry"),IF(LOWER($L205&amp;"")="yes","Disqualified — Free Game","Free Game"),IF(LOWER($L205&amp;"")="yes","Disqualified",IF($P205="","",IF(ROUND(IFERROR(VALUE($P205),0)-IFERROR(VALUE($H205),0),2)&gt;0,"Profit","Draw")))))))</ns0:f>
      </ns0:c>
      <ns0:c r="V205" s="956" t="str">
        <ns0:f>IF(COUNTA($A205:$M205)=0,"",IF(OR($B205="",$C205="",$U205="Subscription"),"",IFERROR(ROUNDUP(($C205-$B205)/7,0),"")))</ns0:f>
      </ns0:c>
      <ns0:c r="W205" s="114">
        <ns0:f>IF(COUNTA($A205:$M205)=0,"",IF(OR($U205="Subscription",$U205=""),"",IF($U205="Estimate","N/A",IF(OR($U205="Free Game",$U205="Disqualified — Free Game"),0,ROUND(IFERROR($Q205,0)-IFERROR($S205,0),2)))))</ns0:f>
      </ns0:c>
      <ns0:c r="X205" s="956" t="str">
        <ns0:f>IF(COUNTA($A205:$M205)=0,"",IF(OR($U205="Subscription",NOT(ISNUMBER($J205)),NOT(ISNUMBER($I205)),$J205=0,$I205=0,$I205&gt;$J205),"",$J205-$I205))</ns0:f>
      </ns0:c>
      <ns0:c r="Y205" s="955" t="str">
        <ns0:f>IF(COUNTA($A205:$M205)=0,"",IF(OR($U205="Subscription",NOT(ISNUMBER($J205)),$J205=0,$X205=""),"",$X205/$J205))</ns0:f>
      </ns0:c>
      <ns0:c r="Z205" s="957" t="str">
        <ns0:f>IF(COUNTA($A205:$M205)=0,"",Instructions!$B$29+SUM($W$5:W205))</ns0:f>
      </ns0:c>
    </ns0:row>
    <ns0:row r="206" ht="36" customHeight="1">
      <ns0:c r="A206" s="439"/>
      <ns0:c r="B206" s="453"/>
      <ns0:c r="C206" s="453"/>
      <ns0:c r="D206" s="454"/>
      <ns0:c r="E206" s="454"/>
      <ns0:c r="F206" s="454"/>
      <ns0:c r="G206" s="986"/>
      <ns0:c r="H206" s="455"/>
      <ns0:c r="I206" s="456"/>
      <ns0:c r="J206" s="456"/>
      <ns0:c r="K206" s="986"/>
      <ns0:c r="L206" s="454"/>
      <ns0:c r="M206" s="439"/>
      <ns0:c r="N206" s="987" t="str">
        <ns0:f>IF(COUNTA($A206:$M206)=0,"",IF(OR(LEFT(LOWER(TRIM($F206&amp;"")),12)="subscription",LOWER(TRIM($F206&amp;""))="membership"),"",IF(OR(AND($H206&lt;&gt;"",$H206=0),LEFT(LOWER(TRIM($F206&amp;"")),9)="free game",LOWER(TRIM($F206&amp;""))="free",LOWER(TRIM($F206&amp;""))="free entry"),IF(ISNUMBER($G206),IF(ISNUMBER(SEARCH("non",LOWER($E206&amp;""))),$G206*0.85,$G206),"N/A"),IF($G206="","",IFERROR(IF(ISNUMBER(SEARCH("non",LOWER($E206&amp;""))),$G206*0.85,$G206),"")))))</ns0:f>
        <ns0:v/>
      </ns0:c>
      <ns0:c r="O206" s="987" t="str">
        <ns0:f>IF(COUNTA($A206:$M206)=0,"",IF(OR(LEFT(LOWER(TRIM($F206&amp;"")),12)="subscription",LOWER(TRIM($F206&amp;""))="membership"),"",IF(OR(AND($H206&lt;&gt;"",$H206=0),LEFT(LOWER(TRIM($F206&amp;"")),9)="free game",LOWER(TRIM($F206&amp;""))="free",LOWER(TRIM($F206&amp;""))="free entry"),IF(OR(NOT(ISNUMBER($N206)),NOT(ISNUMBER($I206)),$I206=0),"N/A",IFERROR($N206/$I206,"N/A")),IF(OR($N206="",$I206="",$I206=0),"",IFERROR($N206/$I206,"")))))</ns0:f>
        <ns0:v/>
      </ns0:c>
      <ns0:c r="P206" s="987">
        <ns0:f>IF(COUNTA($A206:$M206)=0,"",IF(OR(LEFT(LOWER(TRIM($F206&amp;"")),12)="subscription",LOWER(TRIM($F206&amp;""))="membership"),"",IF(LOWER(TRIM($D206&amp;""))="estimate","N/A",IF(LOWER($L206&amp;"")="yes",0,IF(OR(AND($H206&lt;&gt;"",$H206=0),LEFT(LOWER(TRIM($F206&amp;"")),9)="free game",LOWER(TRIM($F206&amp;""))="free",LOWER(TRIM($F206&amp;""))="free entry"),IF(ISNUMBER($K206),$K206,""),IF($K206&lt;&gt;"",$K206,""))))))</ns0:f>
      </ns0:c>
      <ns0:c r="Q206" s="114">
        <ns0:f>IF(COUNTA($A206:$M206)=0,"",IF(OR($U206="Subscription",$U206=""),"",IF($U206="Estimate","N/A",IF($U206="Profit",ROUND(IFERROR($P206,0)-IFERROR($H206,0),2),0))))</ns0:f>
      </ns0:c>
      <ns0:c r="R206" s="114">
        <ns0:f>IF(COUNTA($A206:$M206)=0,"",IF(OR($U206="Subscription",$U206=""),"",IF($U206="Estimate","N/A",IF($U206="Draw",$H206,0))))</ns0:f>
      </ns0:c>
      <ns0:c r="S206" s="114">
        <ns0:f>IF(COUNTA($A206:$M206)=0,"",IF(OR($U206="Subscription",$U206=""),"",IF($U206="Estimate","N/A",IF($U206="Disqualified",$H206,0))))</ns0:f>
      </ns0:c>
      <ns0:c r="T206" s="955">
        <ns0:f>IF(COUNTA($A206:$M206)=0,"",IF(OR($U206="Subscription",$U206=""),"",IF($U206="Estimate","N/A",IF(OR($U206="Free Game",$U206="Disqualified — Free Game",$H206=0),"N/A",IF($U206="Profit",$Q206/$H206,IF($U206="Disqualified",-$S206/$H206,0))))))</ns0:f>
      </ns0:c>
      <ns0:c r="U206" s="920">
        <ns0:f>IF(COUNTA($A206:$M206)=0,"",IF(OR(LEFT(LOWER(TRIM($F206&amp;"")),12)="subscription",LOWER(TRIM($F206&amp;""))="membership"),"Subscription",IF(LOWER(TRIM($D206&amp;""))="estimate","Estimate",IF(OR(AND($H206&lt;&gt;"",$H206=0),LEFT(LOWER(TRIM($F206&amp;"")),9)="free game",LOWER(TRIM($F206&amp;""))="free",LOWER(TRIM($F206&amp;""))="free entry"),IF(LOWER($L206&amp;"")="yes","Disqualified — Free Game","Free Game"),IF(LOWER($L206&amp;"")="yes","Disqualified",IF($P206="","",IF(ROUND(IFERROR(VALUE($P206),0)-IFERROR(VALUE($H206),0),2)&gt;0,"Profit","Draw")))))))</ns0:f>
      </ns0:c>
      <ns0:c r="V206" s="956" t="str">
        <ns0:f>IF(COUNTA($A206:$M206)=0,"",IF(OR($B206="",$C206="",$U206="Subscription"),"",IFERROR(ROUNDUP(($C206-$B206)/7,0),"")))</ns0:f>
      </ns0:c>
      <ns0:c r="W206" s="114">
        <ns0:f>IF(COUNTA($A206:$M206)=0,"",IF(OR($U206="Subscription",$U206=""),"",IF($U206="Estimate","N/A",IF(OR($U206="Free Game",$U206="Disqualified — Free Game"),0,ROUND(IFERROR($Q206,0)-IFERROR($S206,0),2)))))</ns0:f>
      </ns0:c>
      <ns0:c r="X206" s="956" t="str">
        <ns0:f>IF(COUNTA($A206:$M206)=0,"",IF(OR($U206="Subscription",NOT(ISNUMBER($J206)),NOT(ISNUMBER($I206)),$J206=0,$I206=0,$I206&gt;$J206),"",$J206-$I206))</ns0:f>
      </ns0:c>
      <ns0:c r="Y206" s="955" t="str">
        <ns0:f>IF(COUNTA($A206:$M206)=0,"",IF(OR($U206="Subscription",NOT(ISNUMBER($J206)),$J206=0,$X206=""),"",$X206/$J206))</ns0:f>
      </ns0:c>
      <ns0:c r="Z206" s="957" t="str">
        <ns0:f>IF(COUNTA($A206:$M206)=0,"",Instructions!$B$29+SUM($W$5:W206))</ns0:f>
      </ns0:c>
    </ns0:row>
    <ns0:row r="207" ht="36" customHeight="1">
      <ns0:c r="A207" s="439"/>
      <ns0:c r="B207" s="453"/>
      <ns0:c r="C207" s="453"/>
      <ns0:c r="D207" s="454"/>
      <ns0:c r="E207" s="454"/>
      <ns0:c r="F207" s="454"/>
      <ns0:c r="G207" s="986"/>
      <ns0:c r="H207" s="455"/>
      <ns0:c r="I207" s="456"/>
      <ns0:c r="J207" s="456"/>
      <ns0:c r="K207" s="986"/>
      <ns0:c r="L207" s="454"/>
      <ns0:c r="M207" s="439"/>
      <ns0:c r="N207" s="987" t="str">
        <ns0:f>IF(COUNTA($A207:$M207)=0,"",IF(OR(LEFT(LOWER(TRIM($F207&amp;"")),12)="subscription",LOWER(TRIM($F207&amp;""))="membership"),"",IF(OR(AND($H207&lt;&gt;"",$H207=0),LEFT(LOWER(TRIM($F207&amp;"")),9)="free game",LOWER(TRIM($F207&amp;""))="free",LOWER(TRIM($F207&amp;""))="free entry"),IF(ISNUMBER($G207),IF(ISNUMBER(SEARCH("non",LOWER($E207&amp;""))),$G207*0.85,$G207),"N/A"),IF($G207="","",IFERROR(IF(ISNUMBER(SEARCH("non",LOWER($E207&amp;""))),$G207*0.85,$G207),"")))))</ns0:f>
        <ns0:v/>
      </ns0:c>
      <ns0:c r="O207" s="987" t="str">
        <ns0:f>IF(COUNTA($A207:$M207)=0,"",IF(OR(LEFT(LOWER(TRIM($F207&amp;"")),12)="subscription",LOWER(TRIM($F207&amp;""))="membership"),"",IF(OR(AND($H207&lt;&gt;"",$H207=0),LEFT(LOWER(TRIM($F207&amp;"")),9)="free game",LOWER(TRIM($F207&amp;""))="free",LOWER(TRIM($F207&amp;""))="free entry"),IF(OR(NOT(ISNUMBER($N207)),NOT(ISNUMBER($I207)),$I207=0),"N/A",IFERROR($N207/$I207,"N/A")),IF(OR($N207="",$I207="",$I207=0),"",IFERROR($N207/$I207,"")))))</ns0:f>
        <ns0:v/>
      </ns0:c>
      <ns0:c r="P207" s="987">
        <ns0:f>IF(COUNTA($A207:$M207)=0,"",IF(OR(LEFT(LOWER(TRIM($F207&amp;"")),12)="subscription",LOWER(TRIM($F207&amp;""))="membership"),"",IF(LOWER(TRIM($D207&amp;""))="estimate","N/A",IF(LOWER($L207&amp;"")="yes",0,IF(OR(AND($H207&lt;&gt;"",$H207=0),LEFT(LOWER(TRIM($F207&amp;"")),9)="free game",LOWER(TRIM($F207&amp;""))="free",LOWER(TRIM($F207&amp;""))="free entry"),IF(ISNUMBER($K207),$K207,""),IF($K207&lt;&gt;"",$K207,""))))))</ns0:f>
      </ns0:c>
      <ns0:c r="Q207" s="114">
        <ns0:f>IF(COUNTA($A207:$M207)=0,"",IF(OR($U207="Subscription",$U207=""),"",IF($U207="Estimate","N/A",IF($U207="Profit",ROUND(IFERROR($P207,0)-IFERROR($H207,0),2),0))))</ns0:f>
      </ns0:c>
      <ns0:c r="R207" s="114">
        <ns0:f>IF(COUNTA($A207:$M207)=0,"",IF(OR($U207="Subscription",$U207=""),"",IF($U207="Estimate","N/A",IF($U207="Draw",$H207,0))))</ns0:f>
      </ns0:c>
      <ns0:c r="S207" s="114">
        <ns0:f>IF(COUNTA($A207:$M207)=0,"",IF(OR($U207="Subscription",$U207=""),"",IF($U207="Estimate","N/A",IF($U207="Disqualified",$H207,0))))</ns0:f>
      </ns0:c>
      <ns0:c r="T207" s="955">
        <ns0:f>IF(COUNTA($A207:$M207)=0,"",IF(OR($U207="Subscription",$U207=""),"",IF($U207="Estimate","N/A",IF(OR($U207="Free Game",$U207="Disqualified — Free Game",$H207=0),"N/A",IF($U207="Profit",$Q207/$H207,IF($U207="Disqualified",-$S207/$H207,0))))))</ns0:f>
      </ns0:c>
      <ns0:c r="U207" s="920">
        <ns0:f>IF(COUNTA($A207:$M207)=0,"",IF(OR(LEFT(LOWER(TRIM($F207&amp;"")),12)="subscription",LOWER(TRIM($F207&amp;""))="membership"),"Subscription",IF(LOWER(TRIM($D207&amp;""))="estimate","Estimate",IF(OR(AND($H207&lt;&gt;"",$H207=0),LEFT(LOWER(TRIM($F207&amp;"")),9)="free game",LOWER(TRIM($F207&amp;""))="free",LOWER(TRIM($F207&amp;""))="free entry"),IF(LOWER($L207&amp;"")="yes","Disqualified — Free Game","Free Game"),IF(LOWER($L207&amp;"")="yes","Disqualified",IF($P207="","",IF(ROUND(IFERROR(VALUE($P207),0)-IFERROR(VALUE($H207),0),2)&gt;0,"Profit","Draw")))))))</ns0:f>
      </ns0:c>
      <ns0:c r="V207" s="956" t="str">
        <ns0:f>IF(COUNTA($A207:$M207)=0,"",IF(OR($B207="",$C207="",$U207="Subscription"),"",IFERROR(ROUNDUP(($C207-$B207)/7,0),"")))</ns0:f>
      </ns0:c>
      <ns0:c r="W207" s="114">
        <ns0:f>IF(COUNTA($A207:$M207)=0,"",IF(OR($U207="Subscription",$U207=""),"",IF($U207="Estimate","N/A",IF(OR($U207="Free Game",$U207="Disqualified — Free Game"),0,ROUND(IFERROR($Q207,0)-IFERROR($S207,0),2)))))</ns0:f>
      </ns0:c>
      <ns0:c r="X207" s="956" t="str">
        <ns0:f>IF(COUNTA($A207:$M207)=0,"",IF(OR($U207="Subscription",NOT(ISNUMBER($J207)),NOT(ISNUMBER($I207)),$J207=0,$I207=0,$I207&gt;$J207),"",$J207-$I207))</ns0:f>
      </ns0:c>
      <ns0:c r="Y207" s="955" t="str">
        <ns0:f>IF(COUNTA($A207:$M207)=0,"",IF(OR($U207="Subscription",NOT(ISNUMBER($J207)),$J207=0,$X207=""),"",$X207/$J207))</ns0:f>
      </ns0:c>
      <ns0:c r="Z207" s="957" t="str">
        <ns0:f>IF(COUNTA($A207:$M207)=0,"",Instructions!$B$29+SUM($W$5:W207))</ns0:f>
      </ns0:c>
    </ns0:row>
    <ns0:row r="208" ht="36" customHeight="1">
      <ns0:c r="A208" s="439"/>
      <ns0:c r="B208" s="453"/>
      <ns0:c r="C208" s="453"/>
      <ns0:c r="D208" s="454"/>
      <ns0:c r="E208" s="454"/>
      <ns0:c r="F208" s="454"/>
      <ns0:c r="G208" s="986"/>
      <ns0:c r="H208" s="455"/>
      <ns0:c r="I208" s="456"/>
      <ns0:c r="J208" s="456"/>
      <ns0:c r="K208" s="986"/>
      <ns0:c r="L208" s="454"/>
      <ns0:c r="M208" s="439"/>
      <ns0:c r="N208" s="987" t="str">
        <ns0:f>IF(COUNTA($A208:$M208)=0,"",IF(OR(LEFT(LOWER(TRIM($F208&amp;"")),12)="subscription",LOWER(TRIM($F208&amp;""))="membership"),"",IF(OR(AND($H208&lt;&gt;"",$H208=0),LEFT(LOWER(TRIM($F208&amp;"")),9)="free game",LOWER(TRIM($F208&amp;""))="free",LOWER(TRIM($F208&amp;""))="free entry"),IF(ISNUMBER($G208),IF(ISNUMBER(SEARCH("non",LOWER($E208&amp;""))),$G208*0.85,$G208),"N/A"),IF($G208="","",IFERROR(IF(ISNUMBER(SEARCH("non",LOWER($E208&amp;""))),$G208*0.85,$G208),"")))))</ns0:f>
        <ns0:v/>
      </ns0:c>
      <ns0:c r="O208" s="987" t="str">
        <ns0:f>IF(COUNTA($A208:$M208)=0,"",IF(OR(LEFT(LOWER(TRIM($F208&amp;"")),12)="subscription",LOWER(TRIM($F208&amp;""))="membership"),"",IF(OR(AND($H208&lt;&gt;"",$H208=0),LEFT(LOWER(TRIM($F208&amp;"")),9)="free game",LOWER(TRIM($F208&amp;""))="free",LOWER(TRIM($F208&amp;""))="free entry"),IF(OR(NOT(ISNUMBER($N208)),NOT(ISNUMBER($I208)),$I208=0),"N/A",IFERROR($N208/$I208,"N/A")),IF(OR($N208="",$I208="",$I208=0),"",IFERROR($N208/$I208,"")))))</ns0:f>
        <ns0:v/>
      </ns0:c>
      <ns0:c r="P208" s="987">
        <ns0:f>IF(COUNTA($A208:$M208)=0,"",IF(OR(LEFT(LOWER(TRIM($F208&amp;"")),12)="subscription",LOWER(TRIM($F208&amp;""))="membership"),"",IF(LOWER(TRIM($D208&amp;""))="estimate","N/A",IF(LOWER($L208&amp;"")="yes",0,IF(OR(AND($H208&lt;&gt;"",$H208=0),LEFT(LOWER(TRIM($F208&amp;"")),9)="free game",LOWER(TRIM($F208&amp;""))="free",LOWER(TRIM($F208&amp;""))="free entry"),IF(ISNUMBER($K208),$K208,""),IF($K208&lt;&gt;"",$K208,""))))))</ns0:f>
      </ns0:c>
      <ns0:c r="Q208" s="114">
        <ns0:f>IF(COUNTA($A208:$M208)=0,"",IF(OR($U208="Subscription",$U208=""),"",IF($U208="Estimate","N/A",IF($U208="Profit",ROUND(IFERROR($P208,0)-IFERROR($H208,0),2),0))))</ns0:f>
      </ns0:c>
      <ns0:c r="R208" s="114">
        <ns0:f>IF(COUNTA($A208:$M208)=0,"",IF(OR($U208="Subscription",$U208=""),"",IF($U208="Estimate","N/A",IF($U208="Draw",$H208,0))))</ns0:f>
      </ns0:c>
      <ns0:c r="S208" s="114">
        <ns0:f>IF(COUNTA($A208:$M208)=0,"",IF(OR($U208="Subscription",$U208=""),"",IF($U208="Estimate","N/A",IF($U208="Disqualified",$H208,0))))</ns0:f>
      </ns0:c>
      <ns0:c r="T208" s="955">
        <ns0:f>IF(COUNTA($A208:$M208)=0,"",IF(OR($U208="Subscription",$U208=""),"",IF($U208="Estimate","N/A",IF(OR($U208="Free Game",$U208="Disqualified — Free Game",$H208=0),"N/A",IF($U208="Profit",$Q208/$H208,IF($U208="Disqualified",-$S208/$H208,0))))))</ns0:f>
      </ns0:c>
      <ns0:c r="U208" s="920">
        <ns0:f>IF(COUNTA($A208:$M208)=0,"",IF(OR(LEFT(LOWER(TRIM($F208&amp;"")),12)="subscription",LOWER(TRIM($F208&amp;""))="membership"),"Subscription",IF(LOWER(TRIM($D208&amp;""))="estimate","Estimate",IF(OR(AND($H208&lt;&gt;"",$H208=0),LEFT(LOWER(TRIM($F208&amp;"")),9)="free game",LOWER(TRIM($F208&amp;""))="free",LOWER(TRIM($F208&amp;""))="free entry"),IF(LOWER($L208&amp;"")="yes","Disqualified — Free Game","Free Game"),IF(LOWER($L208&amp;"")="yes","Disqualified",IF($P208="","",IF(ROUND(IFERROR(VALUE($P208),0)-IFERROR(VALUE($H208),0),2)&gt;0,"Profit","Draw")))))))</ns0:f>
      </ns0:c>
      <ns0:c r="V208" s="956" t="str">
        <ns0:f>IF(COUNTA($A208:$M208)=0,"",IF(OR($B208="",$C208="",$U208="Subscription"),"",IFERROR(ROUNDUP(($C208-$B208)/7,0),"")))</ns0:f>
      </ns0:c>
      <ns0:c r="W208" s="114">
        <ns0:f>IF(COUNTA($A208:$M208)=0,"",IF(OR($U208="Subscription",$U208=""),"",IF($U208="Estimate","N/A",IF(OR($U208="Free Game",$U208="Disqualified — Free Game"),0,ROUND(IFERROR($Q208,0)-IFERROR($S208,0),2)))))</ns0:f>
      </ns0:c>
      <ns0:c r="X208" s="956" t="str">
        <ns0:f>IF(COUNTA($A208:$M208)=0,"",IF(OR($U208="Subscription",NOT(ISNUMBER($J208)),NOT(ISNUMBER($I208)),$J208=0,$I208=0,$I208&gt;$J208),"",$J208-$I208))</ns0:f>
      </ns0:c>
      <ns0:c r="Y208" s="955" t="str">
        <ns0:f>IF(COUNTA($A208:$M208)=0,"",IF(OR($U208="Subscription",NOT(ISNUMBER($J208)),$J208=0,$X208=""),"",$X208/$J208))</ns0:f>
      </ns0:c>
      <ns0:c r="Z208" s="957" t="str">
        <ns0:f>IF(COUNTA($A208:$M208)=0,"",Instructions!$B$29+SUM($W$5:W208))</ns0:f>
      </ns0:c>
    </ns0:row>
    <ns0:row r="209" ht="36" customHeight="1">
      <ns0:c r="A209" s="439"/>
      <ns0:c r="B209" s="453"/>
      <ns0:c r="C209" s="453"/>
      <ns0:c r="D209" s="454"/>
      <ns0:c r="E209" s="454"/>
      <ns0:c r="F209" s="454"/>
      <ns0:c r="G209" s="986"/>
      <ns0:c r="H209" s="455"/>
      <ns0:c r="I209" s="456"/>
      <ns0:c r="J209" s="456"/>
      <ns0:c r="K209" s="986"/>
      <ns0:c r="L209" s="454"/>
      <ns0:c r="M209" s="439"/>
      <ns0:c r="N209" s="987" t="str">
        <ns0:f>IF(COUNTA($A209:$M209)=0,"",IF(OR(LEFT(LOWER(TRIM($F209&amp;"")),12)="subscription",LOWER(TRIM($F209&amp;""))="membership"),"",IF(OR(AND($H209&lt;&gt;"",$H209=0),LEFT(LOWER(TRIM($F209&amp;"")),9)="free game",LOWER(TRIM($F209&amp;""))="free",LOWER(TRIM($F209&amp;""))="free entry"),IF(ISNUMBER($G209),IF(ISNUMBER(SEARCH("non",LOWER($E209&amp;""))),$G209*0.85,$G209),"N/A"),IF($G209="","",IFERROR(IF(ISNUMBER(SEARCH("non",LOWER($E209&amp;""))),$G209*0.85,$G209),"")))))</ns0:f>
        <ns0:v/>
      </ns0:c>
      <ns0:c r="O209" s="987" t="str">
        <ns0:f>IF(COUNTA($A209:$M209)=0,"",IF(OR(LEFT(LOWER(TRIM($F209&amp;"")),12)="subscription",LOWER(TRIM($F209&amp;""))="membership"),"",IF(OR(AND($H209&lt;&gt;"",$H209=0),LEFT(LOWER(TRIM($F209&amp;"")),9)="free game",LOWER(TRIM($F209&amp;""))="free",LOWER(TRIM($F209&amp;""))="free entry"),IF(OR(NOT(ISNUMBER($N209)),NOT(ISNUMBER($I209)),$I209=0),"N/A",IFERROR($N209/$I209,"N/A")),IF(OR($N209="",$I209="",$I209=0),"",IFERROR($N209/$I209,"")))))</ns0:f>
        <ns0:v/>
      </ns0:c>
      <ns0:c r="P209" s="987">
        <ns0:f>IF(COUNTA($A209:$M209)=0,"",IF(OR(LEFT(LOWER(TRIM($F209&amp;"")),12)="subscription",LOWER(TRIM($F209&amp;""))="membership"),"",IF(LOWER(TRIM($D209&amp;""))="estimate","N/A",IF(LOWER($L209&amp;"")="yes",0,IF(OR(AND($H209&lt;&gt;"",$H209=0),LEFT(LOWER(TRIM($F209&amp;"")),9)="free game",LOWER(TRIM($F209&amp;""))="free",LOWER(TRIM($F209&amp;""))="free entry"),IF(ISNUMBER($K209),$K209,""),IF($K209&lt;&gt;"",$K209,""))))))</ns0:f>
      </ns0:c>
      <ns0:c r="Q209" s="114">
        <ns0:f>IF(COUNTA($A209:$M209)=0,"",IF(OR($U209="Subscription",$U209=""),"",IF($U209="Estimate","N/A",IF($U209="Profit",ROUND(IFERROR($P209,0)-IFERROR($H209,0),2),0))))</ns0:f>
      </ns0:c>
      <ns0:c r="R209" s="114">
        <ns0:f>IF(COUNTA($A209:$M209)=0,"",IF(OR($U209="Subscription",$U209=""),"",IF($U209="Estimate","N/A",IF($U209="Draw",$H209,0))))</ns0:f>
      </ns0:c>
      <ns0:c r="S209" s="114">
        <ns0:f>IF(COUNTA($A209:$M209)=0,"",IF(OR($U209="Subscription",$U209=""),"",IF($U209="Estimate","N/A",IF($U209="Disqualified",$H209,0))))</ns0:f>
      </ns0:c>
      <ns0:c r="T209" s="955">
        <ns0:f>IF(COUNTA($A209:$M209)=0,"",IF(OR($U209="Subscription",$U209=""),"",IF($U209="Estimate","N/A",IF(OR($U209="Free Game",$U209="Disqualified — Free Game",$H209=0),"N/A",IF($U209="Profit",$Q209/$H209,IF($U209="Disqualified",-$S209/$H209,0))))))</ns0:f>
      </ns0:c>
      <ns0:c r="U209" s="920">
        <ns0:f>IF(COUNTA($A209:$M209)=0,"",IF(OR(LEFT(LOWER(TRIM($F209&amp;"")),12)="subscription",LOWER(TRIM($F209&amp;""))="membership"),"Subscription",IF(LOWER(TRIM($D209&amp;""))="estimate","Estimate",IF(OR(AND($H209&lt;&gt;"",$H209=0),LEFT(LOWER(TRIM($F209&amp;"")),9)="free game",LOWER(TRIM($F209&amp;""))="free",LOWER(TRIM($F209&amp;""))="free entry"),IF(LOWER($L209&amp;"")="yes","Disqualified — Free Game","Free Game"),IF(LOWER($L209&amp;"")="yes","Disqualified",IF($P209="","",IF(ROUND(IFERROR(VALUE($P209),0)-IFERROR(VALUE($H209),0),2)&gt;0,"Profit","Draw")))))))</ns0:f>
      </ns0:c>
      <ns0:c r="V209" s="956" t="str">
        <ns0:f>IF(COUNTA($A209:$M209)=0,"",IF(OR($B209="",$C209="",$U209="Subscription"),"",IFERROR(ROUNDUP(($C209-$B209)/7,0),"")))</ns0:f>
      </ns0:c>
      <ns0:c r="W209" s="114">
        <ns0:f>IF(COUNTA($A209:$M209)=0,"",IF(OR($U209="Subscription",$U209=""),"",IF($U209="Estimate","N/A",IF(OR($U209="Free Game",$U209="Disqualified — Free Game"),0,ROUND(IFERROR($Q209,0)-IFERROR($S209,0),2)))))</ns0:f>
      </ns0:c>
      <ns0:c r="X209" s="956" t="str">
        <ns0:f>IF(COUNTA($A209:$M209)=0,"",IF(OR($U209="Subscription",NOT(ISNUMBER($J209)),NOT(ISNUMBER($I209)),$J209=0,$I209=0,$I209&gt;$J209),"",$J209-$I209))</ns0:f>
      </ns0:c>
      <ns0:c r="Y209" s="955" t="str">
        <ns0:f>IF(COUNTA($A209:$M209)=0,"",IF(OR($U209="Subscription",NOT(ISNUMBER($J209)),$J209=0,$X209=""),"",$X209/$J209))</ns0:f>
      </ns0:c>
      <ns0:c r="Z209" s="957" t="str">
        <ns0:f>IF(COUNTA($A209:$M209)=0,"",Instructions!$B$29+SUM($W$5:W209))</ns0:f>
      </ns0:c>
    </ns0:row>
    <ns0:row r="210" ht="36" customHeight="1">
      <ns0:c r="A210" s="439"/>
      <ns0:c r="B210" s="453"/>
      <ns0:c r="C210" s="453"/>
      <ns0:c r="D210" s="454"/>
      <ns0:c r="E210" s="454"/>
      <ns0:c r="F210" s="454"/>
      <ns0:c r="G210" s="986"/>
      <ns0:c r="H210" s="455"/>
      <ns0:c r="I210" s="456"/>
      <ns0:c r="J210" s="456"/>
      <ns0:c r="K210" s="986"/>
      <ns0:c r="L210" s="454"/>
      <ns0:c r="M210" s="439"/>
      <ns0:c r="N210" s="987" t="str">
        <ns0:f>IF(COUNTA($A210:$M210)=0,"",IF(OR(LEFT(LOWER(TRIM($F210&amp;"")),12)="subscription",LOWER(TRIM($F210&amp;""))="membership"),"",IF(OR(AND($H210&lt;&gt;"",$H210=0),LEFT(LOWER(TRIM($F210&amp;"")),9)="free game",LOWER(TRIM($F210&amp;""))="free",LOWER(TRIM($F210&amp;""))="free entry"),IF(ISNUMBER($G210),IF(ISNUMBER(SEARCH("non",LOWER($E210&amp;""))),$G210*0.85,$G210),"N/A"),IF($G210="","",IFERROR(IF(ISNUMBER(SEARCH("non",LOWER($E210&amp;""))),$G210*0.85,$G210),"")))))</ns0:f>
        <ns0:v/>
      </ns0:c>
      <ns0:c r="O210" s="987" t="str">
        <ns0:f>IF(COUNTA($A210:$M210)=0,"",IF(OR(LEFT(LOWER(TRIM($F210&amp;"")),12)="subscription",LOWER(TRIM($F210&amp;""))="membership"),"",IF(OR(AND($H210&lt;&gt;"",$H210=0),LEFT(LOWER(TRIM($F210&amp;"")),9)="free game",LOWER(TRIM($F210&amp;""))="free",LOWER(TRIM($F210&amp;""))="free entry"),IF(OR(NOT(ISNUMBER($N210)),NOT(ISNUMBER($I210)),$I210=0),"N/A",IFERROR($N210/$I210,"N/A")),IF(OR($N210="",$I210="",$I210=0),"",IFERROR($N210/$I210,"")))))</ns0:f>
        <ns0:v/>
      </ns0:c>
      <ns0:c r="P210" s="987">
        <ns0:f>IF(COUNTA($A210:$M210)=0,"",IF(OR(LEFT(LOWER(TRIM($F210&amp;"")),12)="subscription",LOWER(TRIM($F210&amp;""))="membership"),"",IF(LOWER(TRIM($D210&amp;""))="estimate","N/A",IF(LOWER($L210&amp;"")="yes",0,IF(OR(AND($H210&lt;&gt;"",$H210=0),LEFT(LOWER(TRIM($F210&amp;"")),9)="free game",LOWER(TRIM($F210&amp;""))="free",LOWER(TRIM($F210&amp;""))="free entry"),IF(ISNUMBER($K210),$K210,""),IF($K210&lt;&gt;"",$K210,""))))))</ns0:f>
      </ns0:c>
      <ns0:c r="Q210" s="114">
        <ns0:f>IF(COUNTA($A210:$M210)=0,"",IF(OR($U210="Subscription",$U210=""),"",IF($U210="Estimate","N/A",IF($U210="Profit",ROUND(IFERROR($P210,0)-IFERROR($H210,0),2),0))))</ns0:f>
      </ns0:c>
      <ns0:c r="R210" s="114">
        <ns0:f>IF(COUNTA($A210:$M210)=0,"",IF(OR($U210="Subscription",$U210=""),"",IF($U210="Estimate","N/A",IF($U210="Draw",$H210,0))))</ns0:f>
      </ns0:c>
      <ns0:c r="S210" s="114">
        <ns0:f>IF(COUNTA($A210:$M210)=0,"",IF(OR($U210="Subscription",$U210=""),"",IF($U210="Estimate","N/A",IF($U210="Disqualified",$H210,0))))</ns0:f>
      </ns0:c>
      <ns0:c r="T210" s="955">
        <ns0:f>IF(COUNTA($A210:$M210)=0,"",IF(OR($U210="Subscription",$U210=""),"",IF($U210="Estimate","N/A",IF(OR($U210="Free Game",$U210="Disqualified — Free Game",$H210=0),"N/A",IF($U210="Profit",$Q210/$H210,IF($U210="Disqualified",-$S210/$H210,0))))))</ns0:f>
      </ns0:c>
      <ns0:c r="U210" s="920">
        <ns0:f>IF(COUNTA($A210:$M210)=0,"",IF(OR(LEFT(LOWER(TRIM($F210&amp;"")),12)="subscription",LOWER(TRIM($F210&amp;""))="membership"),"Subscription",IF(LOWER(TRIM($D210&amp;""))="estimate","Estimate",IF(OR(AND($H210&lt;&gt;"",$H210=0),LEFT(LOWER(TRIM($F210&amp;"")),9)="free game",LOWER(TRIM($F210&amp;""))="free",LOWER(TRIM($F210&amp;""))="free entry"),IF(LOWER($L210&amp;"")="yes","Disqualified — Free Game","Free Game"),IF(LOWER($L210&amp;"")="yes","Disqualified",IF($P210="","",IF(ROUND(IFERROR(VALUE($P210),0)-IFERROR(VALUE($H210),0),2)&gt;0,"Profit","Draw")))))))</ns0:f>
      </ns0:c>
      <ns0:c r="V210" s="956" t="str">
        <ns0:f>IF(COUNTA($A210:$M210)=0,"",IF(OR($B210="",$C210="",$U210="Subscription"),"",IFERROR(ROUNDUP(($C210-$B210)/7,0),"")))</ns0:f>
      </ns0:c>
      <ns0:c r="W210" s="114">
        <ns0:f>IF(COUNTA($A210:$M210)=0,"",IF(OR($U210="Subscription",$U210=""),"",IF($U210="Estimate","N/A",IF(OR($U210="Free Game",$U210="Disqualified — Free Game"),0,ROUND(IFERROR($Q210,0)-IFERROR($S210,0),2)))))</ns0:f>
      </ns0:c>
      <ns0:c r="X210" s="956" t="str">
        <ns0:f>IF(COUNTA($A210:$M210)=0,"",IF(OR($U210="Subscription",NOT(ISNUMBER($J210)),NOT(ISNUMBER($I210)),$J210=0,$I210=0,$I210&gt;$J210),"",$J210-$I210))</ns0:f>
      </ns0:c>
      <ns0:c r="Y210" s="955" t="str">
        <ns0:f>IF(COUNTA($A210:$M210)=0,"",IF(OR($U210="Subscription",NOT(ISNUMBER($J210)),$J210=0,$X210=""),"",$X210/$J210))</ns0:f>
      </ns0:c>
      <ns0:c r="Z210" s="957" t="str">
        <ns0:f>IF(COUNTA($A210:$M210)=0,"",Instructions!$B$29+SUM($W$5:W210))</ns0:f>
      </ns0:c>
    </ns0:row>
    <ns0:row r="211" ht="36" customHeight="1">
      <ns0:c r="A211" s="439"/>
      <ns0:c r="B211" s="453"/>
      <ns0:c r="C211" s="453"/>
      <ns0:c r="D211" s="454"/>
      <ns0:c r="E211" s="454"/>
      <ns0:c r="F211" s="454"/>
      <ns0:c r="G211" s="986"/>
      <ns0:c r="H211" s="455"/>
      <ns0:c r="I211" s="456"/>
      <ns0:c r="J211" s="456"/>
      <ns0:c r="K211" s="986"/>
      <ns0:c r="L211" s="454"/>
      <ns0:c r="M211" s="439"/>
      <ns0:c r="N211" s="987" t="str">
        <ns0:f>IF(COUNTA($A211:$M211)=0,"",IF(OR(LEFT(LOWER(TRIM($F211&amp;"")),12)="subscription",LOWER(TRIM($F211&amp;""))="membership"),"",IF(OR(AND($H211&lt;&gt;"",$H211=0),LEFT(LOWER(TRIM($F211&amp;"")),9)="free game",LOWER(TRIM($F211&amp;""))="free",LOWER(TRIM($F211&amp;""))="free entry"),IF(ISNUMBER($G211),IF(ISNUMBER(SEARCH("non",LOWER($E211&amp;""))),$G211*0.85,$G211),"N/A"),IF($G211="","",IFERROR(IF(ISNUMBER(SEARCH("non",LOWER($E211&amp;""))),$G211*0.85,$G211),"")))))</ns0:f>
        <ns0:v/>
      </ns0:c>
      <ns0:c r="O211" s="987" t="str">
        <ns0:f>IF(COUNTA($A211:$M211)=0,"",IF(OR(LEFT(LOWER(TRIM($F211&amp;"")),12)="subscription",LOWER(TRIM($F211&amp;""))="membership"),"",IF(OR(AND($H211&lt;&gt;"",$H211=0),LEFT(LOWER(TRIM($F211&amp;"")),9)="free game",LOWER(TRIM($F211&amp;""))="free",LOWER(TRIM($F211&amp;""))="free entry"),IF(OR(NOT(ISNUMBER($N211)),NOT(ISNUMBER($I211)),$I211=0),"N/A",IFERROR($N211/$I211,"N/A")),IF(OR($N211="",$I211="",$I211=0),"",IFERROR($N211/$I211,"")))))</ns0:f>
        <ns0:v/>
      </ns0:c>
      <ns0:c r="P211" s="987">
        <ns0:f>IF(COUNTA($A211:$M211)=0,"",IF(OR(LEFT(LOWER(TRIM($F211&amp;"")),12)="subscription",LOWER(TRIM($F211&amp;""))="membership"),"",IF(LOWER(TRIM($D211&amp;""))="estimate","N/A",IF(LOWER($L211&amp;"")="yes",0,IF(OR(AND($H211&lt;&gt;"",$H211=0),LEFT(LOWER(TRIM($F211&amp;"")),9)="free game",LOWER(TRIM($F211&amp;""))="free",LOWER(TRIM($F211&amp;""))="free entry"),IF(ISNUMBER($K211),$K211,""),IF($K211&lt;&gt;"",$K211,""))))))</ns0:f>
      </ns0:c>
      <ns0:c r="Q211" s="114">
        <ns0:f>IF(COUNTA($A211:$M211)=0,"",IF(OR($U211="Subscription",$U211=""),"",IF($U211="Estimate","N/A",IF($U211="Profit",ROUND(IFERROR($P211,0)-IFERROR($H211,0),2),0))))</ns0:f>
      </ns0:c>
      <ns0:c r="R211" s="114">
        <ns0:f>IF(COUNTA($A211:$M211)=0,"",IF(OR($U211="Subscription",$U211=""),"",IF($U211="Estimate","N/A",IF($U211="Draw",$H211,0))))</ns0:f>
      </ns0:c>
      <ns0:c r="S211" s="114">
        <ns0:f>IF(COUNTA($A211:$M211)=0,"",IF(OR($U211="Subscription",$U211=""),"",IF($U211="Estimate","N/A",IF($U211="Disqualified",$H211,0))))</ns0:f>
      </ns0:c>
      <ns0:c r="T211" s="955">
        <ns0:f>IF(COUNTA($A211:$M211)=0,"",IF(OR($U211="Subscription",$U211=""),"",IF($U211="Estimate","N/A",IF(OR($U211="Free Game",$U211="Disqualified — Free Game",$H211=0),"N/A",IF($U211="Profit",$Q211/$H211,IF($U211="Disqualified",-$S211/$H211,0))))))</ns0:f>
      </ns0:c>
      <ns0:c r="U211" s="920">
        <ns0:f>IF(COUNTA($A211:$M211)=0,"",IF(OR(LEFT(LOWER(TRIM($F211&amp;"")),12)="subscription",LOWER(TRIM($F211&amp;""))="membership"),"Subscription",IF(LOWER(TRIM($D211&amp;""))="estimate","Estimate",IF(OR(AND($H211&lt;&gt;"",$H211=0),LEFT(LOWER(TRIM($F211&amp;"")),9)="free game",LOWER(TRIM($F211&amp;""))="free",LOWER(TRIM($F211&amp;""))="free entry"),IF(LOWER($L211&amp;"")="yes","Disqualified — Free Game","Free Game"),IF(LOWER($L211&amp;"")="yes","Disqualified",IF($P211="","",IF(ROUND(IFERROR(VALUE($P211),0)-IFERROR(VALUE($H211),0),2)&gt;0,"Profit","Draw")))))))</ns0:f>
      </ns0:c>
      <ns0:c r="V211" s="956" t="str">
        <ns0:f>IF(COUNTA($A211:$M211)=0,"",IF(OR($B211="",$C211="",$U211="Subscription"),"",IFERROR(ROUNDUP(($C211-$B211)/7,0),"")))</ns0:f>
      </ns0:c>
      <ns0:c r="W211" s="114">
        <ns0:f>IF(COUNTA($A211:$M211)=0,"",IF(OR($U211="Subscription",$U211=""),"",IF($U211="Estimate","N/A",IF(OR($U211="Free Game",$U211="Disqualified — Free Game"),0,ROUND(IFERROR($Q211,0)-IFERROR($S211,0),2)))))</ns0:f>
      </ns0:c>
      <ns0:c r="X211" s="956" t="str">
        <ns0:f>IF(COUNTA($A211:$M211)=0,"",IF(OR($U211="Subscription",NOT(ISNUMBER($J211)),NOT(ISNUMBER($I211)),$J211=0,$I211=0,$I211&gt;$J211),"",$J211-$I211))</ns0:f>
      </ns0:c>
      <ns0:c r="Y211" s="955" t="str">
        <ns0:f>IF(COUNTA($A211:$M211)=0,"",IF(OR($U211="Subscription",NOT(ISNUMBER($J211)),$J211=0,$X211=""),"",$X211/$J211))</ns0:f>
      </ns0:c>
      <ns0:c r="Z211" s="957" t="str">
        <ns0:f>IF(COUNTA($A211:$M211)=0,"",Instructions!$B$29+SUM($W$5:W211))</ns0:f>
      </ns0:c>
    </ns0:row>
    <ns0:row r="212" ht="36" customHeight="1">
      <ns0:c r="A212" s="439"/>
      <ns0:c r="B212" s="453"/>
      <ns0:c r="C212" s="453"/>
      <ns0:c r="D212" s="454"/>
      <ns0:c r="E212" s="454"/>
      <ns0:c r="F212" s="454"/>
      <ns0:c r="G212" s="986"/>
      <ns0:c r="H212" s="455"/>
      <ns0:c r="I212" s="456"/>
      <ns0:c r="J212" s="456"/>
      <ns0:c r="K212" s="986"/>
      <ns0:c r="L212" s="454"/>
      <ns0:c r="M212" s="439"/>
      <ns0:c r="N212" s="987" t="str">
        <ns0:f>IF(COUNTA($A212:$M212)=0,"",IF(OR(LEFT(LOWER(TRIM($F212&amp;"")),12)="subscription",LOWER(TRIM($F212&amp;""))="membership"),"",IF(OR(AND($H212&lt;&gt;"",$H212=0),LEFT(LOWER(TRIM($F212&amp;"")),9)="free game",LOWER(TRIM($F212&amp;""))="free",LOWER(TRIM($F212&amp;""))="free entry"),IF(ISNUMBER($G212),IF(ISNUMBER(SEARCH("non",LOWER($E212&amp;""))),$G212*0.85,$G212),"N/A"),IF($G212="","",IFERROR(IF(ISNUMBER(SEARCH("non",LOWER($E212&amp;""))),$G212*0.85,$G212),"")))))</ns0:f>
        <ns0:v/>
      </ns0:c>
      <ns0:c r="O212" s="987" t="str">
        <ns0:f>IF(COUNTA($A212:$M212)=0,"",IF(OR(LEFT(LOWER(TRIM($F212&amp;"")),12)="subscription",LOWER(TRIM($F212&amp;""))="membership"),"",IF(OR(AND($H212&lt;&gt;"",$H212=0),LEFT(LOWER(TRIM($F212&amp;"")),9)="free game",LOWER(TRIM($F212&amp;""))="free",LOWER(TRIM($F212&amp;""))="free entry"),IF(OR(NOT(ISNUMBER($N212)),NOT(ISNUMBER($I212)),$I212=0),"N/A",IFERROR($N212/$I212,"N/A")),IF(OR($N212="",$I212="",$I212=0),"",IFERROR($N212/$I212,"")))))</ns0:f>
        <ns0:v/>
      </ns0:c>
      <ns0:c r="P212" s="987">
        <ns0:f>IF(COUNTA($A212:$M212)=0,"",IF(OR(LEFT(LOWER(TRIM($F212&amp;"")),12)="subscription",LOWER(TRIM($F212&amp;""))="membership"),"",IF(LOWER(TRIM($D212&amp;""))="estimate","N/A",IF(LOWER($L212&amp;"")="yes",0,IF(OR(AND($H212&lt;&gt;"",$H212=0),LEFT(LOWER(TRIM($F212&amp;"")),9)="free game",LOWER(TRIM($F212&amp;""))="free",LOWER(TRIM($F212&amp;""))="free entry"),IF(ISNUMBER($K212),$K212,""),IF($K212&lt;&gt;"",$K212,""))))))</ns0:f>
      </ns0:c>
      <ns0:c r="Q212" s="114">
        <ns0:f>IF(COUNTA($A212:$M212)=0,"",IF(OR($U212="Subscription",$U212=""),"",IF($U212="Estimate","N/A",IF($U212="Profit",ROUND(IFERROR($P212,0)-IFERROR($H212,0),2),0))))</ns0:f>
      </ns0:c>
      <ns0:c r="R212" s="114">
        <ns0:f>IF(COUNTA($A212:$M212)=0,"",IF(OR($U212="Subscription",$U212=""),"",IF($U212="Estimate","N/A",IF($U212="Draw",$H212,0))))</ns0:f>
      </ns0:c>
      <ns0:c r="S212" s="114">
        <ns0:f>IF(COUNTA($A212:$M212)=0,"",IF(OR($U212="Subscription",$U212=""),"",IF($U212="Estimate","N/A",IF($U212="Disqualified",$H212,0))))</ns0:f>
      </ns0:c>
      <ns0:c r="T212" s="955">
        <ns0:f>IF(COUNTA($A212:$M212)=0,"",IF(OR($U212="Subscription",$U212=""),"",IF($U212="Estimate","N/A",IF(OR($U212="Free Game",$U212="Disqualified — Free Game",$H212=0),"N/A",IF($U212="Profit",$Q212/$H212,IF($U212="Disqualified",-$S212/$H212,0))))))</ns0:f>
      </ns0:c>
      <ns0:c r="U212" s="920">
        <ns0:f>IF(COUNTA($A212:$M212)=0,"",IF(OR(LEFT(LOWER(TRIM($F212&amp;"")),12)="subscription",LOWER(TRIM($F212&amp;""))="membership"),"Subscription",IF(LOWER(TRIM($D212&amp;""))="estimate","Estimate",IF(OR(AND($H212&lt;&gt;"",$H212=0),LEFT(LOWER(TRIM($F212&amp;"")),9)="free game",LOWER(TRIM($F212&amp;""))="free",LOWER(TRIM($F212&amp;""))="free entry"),IF(LOWER($L212&amp;"")="yes","Disqualified — Free Game","Free Game"),IF(LOWER($L212&amp;"")="yes","Disqualified",IF($P212="","",IF(ROUND(IFERROR(VALUE($P212),0)-IFERROR(VALUE($H212),0),2)&gt;0,"Profit","Draw")))))))</ns0:f>
      </ns0:c>
      <ns0:c r="V212" s="956" t="str">
        <ns0:f>IF(COUNTA($A212:$M212)=0,"",IF(OR($B212="",$C212="",$U212="Subscription"),"",IFERROR(ROUNDUP(($C212-$B212)/7,0),"")))</ns0:f>
      </ns0:c>
      <ns0:c r="W212" s="114">
        <ns0:f>IF(COUNTA($A212:$M212)=0,"",IF(OR($U212="Subscription",$U212=""),"",IF($U212="Estimate","N/A",IF(OR($U212="Free Game",$U212="Disqualified — Free Game"),0,ROUND(IFERROR($Q212,0)-IFERROR($S212,0),2)))))</ns0:f>
      </ns0:c>
      <ns0:c r="X212" s="956" t="str">
        <ns0:f>IF(COUNTA($A212:$M212)=0,"",IF(OR($U212="Subscription",NOT(ISNUMBER($J212)),NOT(ISNUMBER($I212)),$J212=0,$I212=0,$I212&gt;$J212),"",$J212-$I212))</ns0:f>
      </ns0:c>
      <ns0:c r="Y212" s="955" t="str">
        <ns0:f>IF(COUNTA($A212:$M212)=0,"",IF(OR($U212="Subscription",NOT(ISNUMBER($J212)),$J212=0,$X212=""),"",$X212/$J212))</ns0:f>
      </ns0:c>
      <ns0:c r="Z212" s="957" t="str">
        <ns0:f>IF(COUNTA($A212:$M212)=0,"",Instructions!$B$29+SUM($W$5:W212))</ns0:f>
      </ns0:c>
    </ns0:row>
    <ns0:row r="213" ht="36" customHeight="1">
      <ns0:c r="A213" s="439"/>
      <ns0:c r="B213" s="453"/>
      <ns0:c r="C213" s="453"/>
      <ns0:c r="D213" s="454"/>
      <ns0:c r="E213" s="454"/>
      <ns0:c r="F213" s="454"/>
      <ns0:c r="G213" s="986"/>
      <ns0:c r="H213" s="455"/>
      <ns0:c r="I213" s="456"/>
      <ns0:c r="J213" s="456"/>
      <ns0:c r="K213" s="986"/>
      <ns0:c r="L213" s="454"/>
      <ns0:c r="M213" s="439"/>
      <ns0:c r="N213" s="987" t="str">
        <ns0:f>IF(COUNTA($A213:$M213)=0,"",IF(OR(LEFT(LOWER(TRIM($F213&amp;"")),12)="subscription",LOWER(TRIM($F213&amp;""))="membership"),"",IF(OR(AND($H213&lt;&gt;"",$H213=0),LEFT(LOWER(TRIM($F213&amp;"")),9)="free game",LOWER(TRIM($F213&amp;""))="free",LOWER(TRIM($F213&amp;""))="free entry"),IF(ISNUMBER($G213),IF(ISNUMBER(SEARCH("non",LOWER($E213&amp;""))),$G213*0.85,$G213),"N/A"),IF($G213="","",IFERROR(IF(ISNUMBER(SEARCH("non",LOWER($E213&amp;""))),$G213*0.85,$G213),"")))))</ns0:f>
        <ns0:v/>
      </ns0:c>
      <ns0:c r="O213" s="987" t="str">
        <ns0:f>IF(COUNTA($A213:$M213)=0,"",IF(OR(LEFT(LOWER(TRIM($F213&amp;"")),12)="subscription",LOWER(TRIM($F213&amp;""))="membership"),"",IF(OR(AND($H213&lt;&gt;"",$H213=0),LEFT(LOWER(TRIM($F213&amp;"")),9)="free game",LOWER(TRIM($F213&amp;""))="free",LOWER(TRIM($F213&amp;""))="free entry"),IF(OR(NOT(ISNUMBER($N213)),NOT(ISNUMBER($I213)),$I213=0),"N/A",IFERROR($N213/$I213,"N/A")),IF(OR($N213="",$I213="",$I213=0),"",IFERROR($N213/$I213,"")))))</ns0:f>
        <ns0:v/>
      </ns0:c>
      <ns0:c r="P213" s="987">
        <ns0:f>IF(COUNTA($A213:$M213)=0,"",IF(OR(LEFT(LOWER(TRIM($F213&amp;"")),12)="subscription",LOWER(TRIM($F213&amp;""))="membership"),"",IF(LOWER(TRIM($D213&amp;""))="estimate","N/A",IF(LOWER($L213&amp;"")="yes",0,IF(OR(AND($H213&lt;&gt;"",$H213=0),LEFT(LOWER(TRIM($F213&amp;"")),9)="free game",LOWER(TRIM($F213&amp;""))="free",LOWER(TRIM($F213&amp;""))="free entry"),IF(ISNUMBER($K213),$K213,""),IF($K213&lt;&gt;"",$K213,""))))))</ns0:f>
      </ns0:c>
      <ns0:c r="Q213" s="114">
        <ns0:f>IF(COUNTA($A213:$M213)=0,"",IF(OR($U213="Subscription",$U213=""),"",IF($U213="Estimate","N/A",IF($U213="Profit",ROUND(IFERROR($P213,0)-IFERROR($H213,0),2),0))))</ns0:f>
      </ns0:c>
      <ns0:c r="R213" s="114">
        <ns0:f>IF(COUNTA($A213:$M213)=0,"",IF(OR($U213="Subscription",$U213=""),"",IF($U213="Estimate","N/A",IF($U213="Draw",$H213,0))))</ns0:f>
      </ns0:c>
      <ns0:c r="S213" s="114">
        <ns0:f>IF(COUNTA($A213:$M213)=0,"",IF(OR($U213="Subscription",$U213=""),"",IF($U213="Estimate","N/A",IF($U213="Disqualified",$H213,0))))</ns0:f>
      </ns0:c>
      <ns0:c r="T213" s="955">
        <ns0:f>IF(COUNTA($A213:$M213)=0,"",IF(OR($U213="Subscription",$U213=""),"",IF($U213="Estimate","N/A",IF(OR($U213="Free Game",$U213="Disqualified — Free Game",$H213=0),"N/A",IF($U213="Profit",$Q213/$H213,IF($U213="Disqualified",-$S213/$H213,0))))))</ns0:f>
      </ns0:c>
      <ns0:c r="U213" s="920">
        <ns0:f>IF(COUNTA($A213:$M213)=0,"",IF(OR(LEFT(LOWER(TRIM($F213&amp;"")),12)="subscription",LOWER(TRIM($F213&amp;""))="membership"),"Subscription",IF(LOWER(TRIM($D213&amp;""))="estimate","Estimate",IF(OR(AND($H213&lt;&gt;"",$H213=0),LEFT(LOWER(TRIM($F213&amp;"")),9)="free game",LOWER(TRIM($F213&amp;""))="free",LOWER(TRIM($F213&amp;""))="free entry"),IF(LOWER($L213&amp;"")="yes","Disqualified — Free Game","Free Game"),IF(LOWER($L213&amp;"")="yes","Disqualified",IF($P213="","",IF(ROUND(IFERROR(VALUE($P213),0)-IFERROR(VALUE($H213),0),2)&gt;0,"Profit","Draw")))))))</ns0:f>
      </ns0:c>
      <ns0:c r="V213" s="956" t="str">
        <ns0:f>IF(COUNTA($A213:$M213)=0,"",IF(OR($B213="",$C213="",$U213="Subscription"),"",IFERROR(ROUNDUP(($C213-$B213)/7,0),"")))</ns0:f>
      </ns0:c>
      <ns0:c r="W213" s="114">
        <ns0:f>IF(COUNTA($A213:$M213)=0,"",IF(OR($U213="Subscription",$U213=""),"",IF($U213="Estimate","N/A",IF(OR($U213="Free Game",$U213="Disqualified — Free Game"),0,ROUND(IFERROR($Q213,0)-IFERROR($S213,0),2)))))</ns0:f>
      </ns0:c>
      <ns0:c r="X213" s="956" t="str">
        <ns0:f>IF(COUNTA($A213:$M213)=0,"",IF(OR($U213="Subscription",NOT(ISNUMBER($J213)),NOT(ISNUMBER($I213)),$J213=0,$I213=0,$I213&gt;$J213),"",$J213-$I213))</ns0:f>
      </ns0:c>
      <ns0:c r="Y213" s="955" t="str">
        <ns0:f>IF(COUNTA($A213:$M213)=0,"",IF(OR($U213="Subscription",NOT(ISNUMBER($J213)),$J213=0,$X213=""),"",$X213/$J213))</ns0:f>
      </ns0:c>
      <ns0:c r="Z213" s="957" t="str">
        <ns0:f>IF(COUNTA($A213:$M213)=0,"",Instructions!$B$29+SUM($W$5:W213))</ns0:f>
      </ns0:c>
    </ns0:row>
    <ns0:row r="214" ht="36" customHeight="1">
      <ns0:c r="A214" s="439"/>
      <ns0:c r="B214" s="453"/>
      <ns0:c r="C214" s="453"/>
      <ns0:c r="D214" s="454"/>
      <ns0:c r="E214" s="454"/>
      <ns0:c r="F214" s="454"/>
      <ns0:c r="G214" s="986"/>
      <ns0:c r="H214" s="455"/>
      <ns0:c r="I214" s="456"/>
      <ns0:c r="J214" s="456"/>
      <ns0:c r="K214" s="986"/>
      <ns0:c r="L214" s="454"/>
      <ns0:c r="M214" s="439"/>
      <ns0:c r="N214" s="987" t="str">
        <ns0:f>IF(COUNTA($A214:$M214)=0,"",IF(OR(LEFT(LOWER(TRIM($F214&amp;"")),12)="subscription",LOWER(TRIM($F214&amp;""))="membership"),"",IF(OR(AND($H214&lt;&gt;"",$H214=0),LEFT(LOWER(TRIM($F214&amp;"")),9)="free game",LOWER(TRIM($F214&amp;""))="free",LOWER(TRIM($F214&amp;""))="free entry"),IF(ISNUMBER($G214),IF(ISNUMBER(SEARCH("non",LOWER($E214&amp;""))),$G214*0.85,$G214),"N/A"),IF($G214="","",IFERROR(IF(ISNUMBER(SEARCH("non",LOWER($E214&amp;""))),$G214*0.85,$G214),"")))))</ns0:f>
        <ns0:v/>
      </ns0:c>
      <ns0:c r="O214" s="987" t="str">
        <ns0:f>IF(COUNTA($A214:$M214)=0,"",IF(OR(LEFT(LOWER(TRIM($F214&amp;"")),12)="subscription",LOWER(TRIM($F214&amp;""))="membership"),"",IF(OR(AND($H214&lt;&gt;"",$H214=0),LEFT(LOWER(TRIM($F214&amp;"")),9)="free game",LOWER(TRIM($F214&amp;""))="free",LOWER(TRIM($F214&amp;""))="free entry"),IF(OR(NOT(ISNUMBER($N214)),NOT(ISNUMBER($I214)),$I214=0),"N/A",IFERROR($N214/$I214,"N/A")),IF(OR($N214="",$I214="",$I214=0),"",IFERROR($N214/$I214,"")))))</ns0:f>
        <ns0:v/>
      </ns0:c>
      <ns0:c r="P214" s="987">
        <ns0:f>IF(COUNTA($A214:$M214)=0,"",IF(OR(LEFT(LOWER(TRIM($F214&amp;"")),12)="subscription",LOWER(TRIM($F214&amp;""))="membership"),"",IF(LOWER(TRIM($D214&amp;""))="estimate","N/A",IF(LOWER($L214&amp;"")="yes",0,IF(OR(AND($H214&lt;&gt;"",$H214=0),LEFT(LOWER(TRIM($F214&amp;"")),9)="free game",LOWER(TRIM($F214&amp;""))="free",LOWER(TRIM($F214&amp;""))="free entry"),IF(ISNUMBER($K214),$K214,""),IF($K214&lt;&gt;"",$K214,""))))))</ns0:f>
      </ns0:c>
      <ns0:c r="Q214" s="114">
        <ns0:f>IF(COUNTA($A214:$M214)=0,"",IF(OR($U214="Subscription",$U214=""),"",IF($U214="Estimate","N/A",IF($U214="Profit",ROUND(IFERROR($P214,0)-IFERROR($H214,0),2),0))))</ns0:f>
      </ns0:c>
      <ns0:c r="R214" s="114">
        <ns0:f>IF(COUNTA($A214:$M214)=0,"",IF(OR($U214="Subscription",$U214=""),"",IF($U214="Estimate","N/A",IF($U214="Draw",$H214,0))))</ns0:f>
      </ns0:c>
      <ns0:c r="S214" s="114">
        <ns0:f>IF(COUNTA($A214:$M214)=0,"",IF(OR($U214="Subscription",$U214=""),"",IF($U214="Estimate","N/A",IF($U214="Disqualified",$H214,0))))</ns0:f>
      </ns0:c>
      <ns0:c r="T214" s="955">
        <ns0:f>IF(COUNTA($A214:$M214)=0,"",IF(OR($U214="Subscription",$U214=""),"",IF($U214="Estimate","N/A",IF(OR($U214="Free Game",$U214="Disqualified — Free Game",$H214=0),"N/A",IF($U214="Profit",$Q214/$H214,IF($U214="Disqualified",-$S214/$H214,0))))))</ns0:f>
      </ns0:c>
      <ns0:c r="U214" s="920">
        <ns0:f>IF(COUNTA($A214:$M214)=0,"",IF(OR(LEFT(LOWER(TRIM($F214&amp;"")),12)="subscription",LOWER(TRIM($F214&amp;""))="membership"),"Subscription",IF(LOWER(TRIM($D214&amp;""))="estimate","Estimate",IF(OR(AND($H214&lt;&gt;"",$H214=0),LEFT(LOWER(TRIM($F214&amp;"")),9)="free game",LOWER(TRIM($F214&amp;""))="free",LOWER(TRIM($F214&amp;""))="free entry"),IF(LOWER($L214&amp;"")="yes","Disqualified — Free Game","Free Game"),IF(LOWER($L214&amp;"")="yes","Disqualified",IF($P214="","",IF(ROUND(IFERROR(VALUE($P214),0)-IFERROR(VALUE($H214),0),2)&gt;0,"Profit","Draw")))))))</ns0:f>
      </ns0:c>
      <ns0:c r="V214" s="956" t="str">
        <ns0:f>IF(COUNTA($A214:$M214)=0,"",IF(OR($B214="",$C214="",$U214="Subscription"),"",IFERROR(ROUNDUP(($C214-$B214)/7,0),"")))</ns0:f>
      </ns0:c>
      <ns0:c r="W214" s="114">
        <ns0:f>IF(COUNTA($A214:$M214)=0,"",IF(OR($U214="Subscription",$U214=""),"",IF($U214="Estimate","N/A",IF(OR($U214="Free Game",$U214="Disqualified — Free Game"),0,ROUND(IFERROR($Q214,0)-IFERROR($S214,0),2)))))</ns0:f>
      </ns0:c>
      <ns0:c r="X214" s="956" t="str">
        <ns0:f>IF(COUNTA($A214:$M214)=0,"",IF(OR($U214="Subscription",NOT(ISNUMBER($J214)),NOT(ISNUMBER($I214)),$J214=0,$I214=0,$I214&gt;$J214),"",$J214-$I214))</ns0:f>
      </ns0:c>
      <ns0:c r="Y214" s="955" t="str">
        <ns0:f>IF(COUNTA($A214:$M214)=0,"",IF(OR($U214="Subscription",NOT(ISNUMBER($J214)),$J214=0,$X214=""),"",$X214/$J214))</ns0:f>
      </ns0:c>
      <ns0:c r="Z214" s="957" t="str">
        <ns0:f>IF(COUNTA($A214:$M214)=0,"",Instructions!$B$29+SUM($W$5:W214))</ns0:f>
      </ns0:c>
    </ns0:row>
    <ns0:row r="215" ht="36" customHeight="1">
      <ns0:c r="A215" s="439"/>
      <ns0:c r="B215" s="453"/>
      <ns0:c r="C215" s="453"/>
      <ns0:c r="D215" s="454"/>
      <ns0:c r="E215" s="454"/>
      <ns0:c r="F215" s="454"/>
      <ns0:c r="G215" s="986"/>
      <ns0:c r="H215" s="455"/>
      <ns0:c r="I215" s="456"/>
      <ns0:c r="J215" s="456"/>
      <ns0:c r="K215" s="986"/>
      <ns0:c r="L215" s="454"/>
      <ns0:c r="M215" s="439"/>
      <ns0:c r="N215" s="987" t="str">
        <ns0:f>IF(COUNTA($A215:$M215)=0,"",IF(OR(LEFT(LOWER(TRIM($F215&amp;"")),12)="subscription",LOWER(TRIM($F215&amp;""))="membership"),"",IF(OR(AND($H215&lt;&gt;"",$H215=0),LEFT(LOWER(TRIM($F215&amp;"")),9)="free game",LOWER(TRIM($F215&amp;""))="free",LOWER(TRIM($F215&amp;""))="free entry"),IF(ISNUMBER($G215),IF(ISNUMBER(SEARCH("non",LOWER($E215&amp;""))),$G215*0.85,$G215),"N/A"),IF($G215="","",IFERROR(IF(ISNUMBER(SEARCH("non",LOWER($E215&amp;""))),$G215*0.85,$G215),"")))))</ns0:f>
        <ns0:v/>
      </ns0:c>
      <ns0:c r="O215" s="987" t="str">
        <ns0:f>IF(COUNTA($A215:$M215)=0,"",IF(OR(LEFT(LOWER(TRIM($F215&amp;"")),12)="subscription",LOWER(TRIM($F215&amp;""))="membership"),"",IF(OR(AND($H215&lt;&gt;"",$H215=0),LEFT(LOWER(TRIM($F215&amp;"")),9)="free game",LOWER(TRIM($F215&amp;""))="free",LOWER(TRIM($F215&amp;""))="free entry"),IF(OR(NOT(ISNUMBER($N215)),NOT(ISNUMBER($I215)),$I215=0),"N/A",IFERROR($N215/$I215,"N/A")),IF(OR($N215="",$I215="",$I215=0),"",IFERROR($N215/$I215,"")))))</ns0:f>
        <ns0:v/>
      </ns0:c>
      <ns0:c r="P215" s="987">
        <ns0:f>IF(COUNTA($A215:$M215)=0,"",IF(OR(LEFT(LOWER(TRIM($F215&amp;"")),12)="subscription",LOWER(TRIM($F215&amp;""))="membership"),"",IF(LOWER(TRIM($D215&amp;""))="estimate","N/A",IF(LOWER($L215&amp;"")="yes",0,IF(OR(AND($H215&lt;&gt;"",$H215=0),LEFT(LOWER(TRIM($F215&amp;"")),9)="free game",LOWER(TRIM($F215&amp;""))="free",LOWER(TRIM($F215&amp;""))="free entry"),IF(ISNUMBER($K215),$K215,""),IF($K215&lt;&gt;"",$K215,""))))))</ns0:f>
      </ns0:c>
      <ns0:c r="Q215" s="114">
        <ns0:f>IF(COUNTA($A215:$M215)=0,"",IF(OR($U215="Subscription",$U215=""),"",IF($U215="Estimate","N/A",IF($U215="Profit",ROUND(IFERROR($P215,0)-IFERROR($H215,0),2),0))))</ns0:f>
      </ns0:c>
      <ns0:c r="R215" s="114">
        <ns0:f>IF(COUNTA($A215:$M215)=0,"",IF(OR($U215="Subscription",$U215=""),"",IF($U215="Estimate","N/A",IF($U215="Draw",$H215,0))))</ns0:f>
      </ns0:c>
      <ns0:c r="S215" s="114">
        <ns0:f>IF(COUNTA($A215:$M215)=0,"",IF(OR($U215="Subscription",$U215=""),"",IF($U215="Estimate","N/A",IF($U215="Disqualified",$H215,0))))</ns0:f>
      </ns0:c>
      <ns0:c r="T215" s="955">
        <ns0:f>IF(COUNTA($A215:$M215)=0,"",IF(OR($U215="Subscription",$U215=""),"",IF($U215="Estimate","N/A",IF(OR($U215="Free Game",$U215="Disqualified — Free Game",$H215=0),"N/A",IF($U215="Profit",$Q215/$H215,IF($U215="Disqualified",-$S215/$H215,0))))))</ns0:f>
      </ns0:c>
      <ns0:c r="U215" s="920">
        <ns0:f>IF(COUNTA($A215:$M215)=0,"",IF(OR(LEFT(LOWER(TRIM($F215&amp;"")),12)="subscription",LOWER(TRIM($F215&amp;""))="membership"),"Subscription",IF(LOWER(TRIM($D215&amp;""))="estimate","Estimate",IF(OR(AND($H215&lt;&gt;"",$H215=0),LEFT(LOWER(TRIM($F215&amp;"")),9)="free game",LOWER(TRIM($F215&amp;""))="free",LOWER(TRIM($F215&amp;""))="free entry"),IF(LOWER($L215&amp;"")="yes","Disqualified — Free Game","Free Game"),IF(LOWER($L215&amp;"")="yes","Disqualified",IF($P215="","",IF(ROUND(IFERROR(VALUE($P215),0)-IFERROR(VALUE($H215),0),2)&gt;0,"Profit","Draw")))))))</ns0:f>
      </ns0:c>
      <ns0:c r="V215" s="956" t="str">
        <ns0:f>IF(COUNTA($A215:$M215)=0,"",IF(OR($B215="",$C215="",$U215="Subscription"),"",IFERROR(ROUNDUP(($C215-$B215)/7,0),"")))</ns0:f>
      </ns0:c>
      <ns0:c r="W215" s="114">
        <ns0:f>IF(COUNTA($A215:$M215)=0,"",IF(OR($U215="Subscription",$U215=""),"",IF($U215="Estimate","N/A",IF(OR($U215="Free Game",$U215="Disqualified — Free Game"),0,ROUND(IFERROR($Q215,0)-IFERROR($S215,0),2)))))</ns0:f>
      </ns0:c>
      <ns0:c r="X215" s="956" t="str">
        <ns0:f>IF(COUNTA($A215:$M215)=0,"",IF(OR($U215="Subscription",NOT(ISNUMBER($J215)),NOT(ISNUMBER($I215)),$J215=0,$I215=0,$I215&gt;$J215),"",$J215-$I215))</ns0:f>
      </ns0:c>
      <ns0:c r="Y215" s="955" t="str">
        <ns0:f>IF(COUNTA($A215:$M215)=0,"",IF(OR($U215="Subscription",NOT(ISNUMBER($J215)),$J215=0,$X215=""),"",$X215/$J215))</ns0:f>
      </ns0:c>
      <ns0:c r="Z215" s="957" t="str">
        <ns0:f>IF(COUNTA($A215:$M215)=0,"",Instructions!$B$29+SUM($W$5:W215))</ns0:f>
      </ns0:c>
    </ns0:row>
    <ns0:row r="216" ht="36" customHeight="1">
      <ns0:c r="A216" s="439"/>
      <ns0:c r="B216" s="453"/>
      <ns0:c r="C216" s="453"/>
      <ns0:c r="D216" s="454"/>
      <ns0:c r="E216" s="454"/>
      <ns0:c r="F216" s="454"/>
      <ns0:c r="G216" s="986"/>
      <ns0:c r="H216" s="455"/>
      <ns0:c r="I216" s="456"/>
      <ns0:c r="J216" s="456"/>
      <ns0:c r="K216" s="986"/>
      <ns0:c r="L216" s="454"/>
      <ns0:c r="M216" s="439"/>
      <ns0:c r="N216" s="987" t="str">
        <ns0:f>IF(COUNTA($A216:$M216)=0,"",IF(OR(LEFT(LOWER(TRIM($F216&amp;"")),12)="subscription",LOWER(TRIM($F216&amp;""))="membership"),"",IF(OR(AND($H216&lt;&gt;"",$H216=0),LEFT(LOWER(TRIM($F216&amp;"")),9)="free game",LOWER(TRIM($F216&amp;""))="free",LOWER(TRIM($F216&amp;""))="free entry"),IF(ISNUMBER($G216),IF(ISNUMBER(SEARCH("non",LOWER($E216&amp;""))),$G216*0.85,$G216),"N/A"),IF($G216="","",IFERROR(IF(ISNUMBER(SEARCH("non",LOWER($E216&amp;""))),$G216*0.85,$G216),"")))))</ns0:f>
        <ns0:v/>
      </ns0:c>
      <ns0:c r="O216" s="987" t="str">
        <ns0:f>IF(COUNTA($A216:$M216)=0,"",IF(OR(LEFT(LOWER(TRIM($F216&amp;"")),12)="subscription",LOWER(TRIM($F216&amp;""))="membership"),"",IF(OR(AND($H216&lt;&gt;"",$H216=0),LEFT(LOWER(TRIM($F216&amp;"")),9)="free game",LOWER(TRIM($F216&amp;""))="free",LOWER(TRIM($F216&amp;""))="free entry"),IF(OR(NOT(ISNUMBER($N216)),NOT(ISNUMBER($I216)),$I216=0),"N/A",IFERROR($N216/$I216,"N/A")),IF(OR($N216="",$I216="",$I216=0),"",IFERROR($N216/$I216,"")))))</ns0:f>
        <ns0:v/>
      </ns0:c>
      <ns0:c r="P216" s="987">
        <ns0:f>IF(COUNTA($A216:$M216)=0,"",IF(OR(LEFT(LOWER(TRIM($F216&amp;"")),12)="subscription",LOWER(TRIM($F216&amp;""))="membership"),"",IF(LOWER(TRIM($D216&amp;""))="estimate","N/A",IF(LOWER($L216&amp;"")="yes",0,IF(OR(AND($H216&lt;&gt;"",$H216=0),LEFT(LOWER(TRIM($F216&amp;"")),9)="free game",LOWER(TRIM($F216&amp;""))="free",LOWER(TRIM($F216&amp;""))="free entry"),IF(ISNUMBER($K216),$K216,""),IF($K216&lt;&gt;"",$K216,""))))))</ns0:f>
      </ns0:c>
      <ns0:c r="Q216" s="114">
        <ns0:f>IF(COUNTA($A216:$M216)=0,"",IF(OR($U216="Subscription",$U216=""),"",IF($U216="Estimate","N/A",IF($U216="Profit",ROUND(IFERROR($P216,0)-IFERROR($H216,0),2),0))))</ns0:f>
      </ns0:c>
      <ns0:c r="R216" s="114">
        <ns0:f>IF(COUNTA($A216:$M216)=0,"",IF(OR($U216="Subscription",$U216=""),"",IF($U216="Estimate","N/A",IF($U216="Draw",$H216,0))))</ns0:f>
      </ns0:c>
      <ns0:c r="S216" s="114">
        <ns0:f>IF(COUNTA($A216:$M216)=0,"",IF(OR($U216="Subscription",$U216=""),"",IF($U216="Estimate","N/A",IF($U216="Disqualified",$H216,0))))</ns0:f>
      </ns0:c>
      <ns0:c r="T216" s="955">
        <ns0:f>IF(COUNTA($A216:$M216)=0,"",IF(OR($U216="Subscription",$U216=""),"",IF($U216="Estimate","N/A",IF(OR($U216="Free Game",$U216="Disqualified — Free Game",$H216=0),"N/A",IF($U216="Profit",$Q216/$H216,IF($U216="Disqualified",-$S216/$H216,0))))))</ns0:f>
      </ns0:c>
      <ns0:c r="U216" s="920">
        <ns0:f>IF(COUNTA($A216:$M216)=0,"",IF(OR(LEFT(LOWER(TRIM($F216&amp;"")),12)="subscription",LOWER(TRIM($F216&amp;""))="membership"),"Subscription",IF(LOWER(TRIM($D216&amp;""))="estimate","Estimate",IF(OR(AND($H216&lt;&gt;"",$H216=0),LEFT(LOWER(TRIM($F216&amp;"")),9)="free game",LOWER(TRIM($F216&amp;""))="free",LOWER(TRIM($F216&amp;""))="free entry"),IF(LOWER($L216&amp;"")="yes","Disqualified — Free Game","Free Game"),IF(LOWER($L216&amp;"")="yes","Disqualified",IF($P216="","",IF(ROUND(IFERROR(VALUE($P216),0)-IFERROR(VALUE($H216),0),2)&gt;0,"Profit","Draw")))))))</ns0:f>
      </ns0:c>
      <ns0:c r="V216" s="956" t="str">
        <ns0:f>IF(COUNTA($A216:$M216)=0,"",IF(OR($B216="",$C216="",$U216="Subscription"),"",IFERROR(ROUNDUP(($C216-$B216)/7,0),"")))</ns0:f>
      </ns0:c>
      <ns0:c r="W216" s="114">
        <ns0:f>IF(COUNTA($A216:$M216)=0,"",IF(OR($U216="Subscription",$U216=""),"",IF($U216="Estimate","N/A",IF(OR($U216="Free Game",$U216="Disqualified — Free Game"),0,ROUND(IFERROR($Q216,0)-IFERROR($S216,0),2)))))</ns0:f>
      </ns0:c>
      <ns0:c r="X216" s="956" t="str">
        <ns0:f>IF(COUNTA($A216:$M216)=0,"",IF(OR($U216="Subscription",NOT(ISNUMBER($J216)),NOT(ISNUMBER($I216)),$J216=0,$I216=0,$I216&gt;$J216),"",$J216-$I216))</ns0:f>
      </ns0:c>
      <ns0:c r="Y216" s="955" t="str">
        <ns0:f>IF(COUNTA($A216:$M216)=0,"",IF(OR($U216="Subscription",NOT(ISNUMBER($J216)),$J216=0,$X216=""),"",$X216/$J216))</ns0:f>
      </ns0:c>
      <ns0:c r="Z216" s="957" t="str">
        <ns0:f>IF(COUNTA($A216:$M216)=0,"",Instructions!$B$29+SUM($W$5:W216))</ns0:f>
      </ns0:c>
    </ns0:row>
    <ns0:row r="217" ht="36" customHeight="1">
      <ns0:c r="A217" s="439"/>
      <ns0:c r="B217" s="453"/>
      <ns0:c r="C217" s="453"/>
      <ns0:c r="D217" s="454"/>
      <ns0:c r="E217" s="454"/>
      <ns0:c r="F217" s="454"/>
      <ns0:c r="G217" s="986"/>
      <ns0:c r="H217" s="455"/>
      <ns0:c r="I217" s="456"/>
      <ns0:c r="J217" s="456"/>
      <ns0:c r="K217" s="986"/>
      <ns0:c r="L217" s="454"/>
      <ns0:c r="M217" s="439"/>
      <ns0:c r="N217" s="987" t="str">
        <ns0:f>IF(COUNTA($A217:$M217)=0,"",IF(OR(LEFT(LOWER(TRIM($F217&amp;"")),12)="subscription",LOWER(TRIM($F217&amp;""))="membership"),"",IF(OR(AND($H217&lt;&gt;"",$H217=0),LEFT(LOWER(TRIM($F217&amp;"")),9)="free game",LOWER(TRIM($F217&amp;""))="free",LOWER(TRIM($F217&amp;""))="free entry"),IF(ISNUMBER($G217),IF(ISNUMBER(SEARCH("non",LOWER($E217&amp;""))),$G217*0.85,$G217),"N/A"),IF($G217="","",IFERROR(IF(ISNUMBER(SEARCH("non",LOWER($E217&amp;""))),$G217*0.85,$G217),"")))))</ns0:f>
        <ns0:v/>
      </ns0:c>
      <ns0:c r="O217" s="987" t="str">
        <ns0:f>IF(COUNTA($A217:$M217)=0,"",IF(OR(LEFT(LOWER(TRIM($F217&amp;"")),12)="subscription",LOWER(TRIM($F217&amp;""))="membership"),"",IF(OR(AND($H217&lt;&gt;"",$H217=0),LEFT(LOWER(TRIM($F217&amp;"")),9)="free game",LOWER(TRIM($F217&amp;""))="free",LOWER(TRIM($F217&amp;""))="free entry"),IF(OR(NOT(ISNUMBER($N217)),NOT(ISNUMBER($I217)),$I217=0),"N/A",IFERROR($N217/$I217,"N/A")),IF(OR($N217="",$I217="",$I217=0),"",IFERROR($N217/$I217,"")))))</ns0:f>
        <ns0:v/>
      </ns0:c>
      <ns0:c r="P217" s="987">
        <ns0:f>IF(COUNTA($A217:$M217)=0,"",IF(OR(LEFT(LOWER(TRIM($F217&amp;"")),12)="subscription",LOWER(TRIM($F217&amp;""))="membership"),"",IF(LOWER(TRIM($D217&amp;""))="estimate","N/A",IF(LOWER($L217&amp;"")="yes",0,IF(OR(AND($H217&lt;&gt;"",$H217=0),LEFT(LOWER(TRIM($F217&amp;"")),9)="free game",LOWER(TRIM($F217&amp;""))="free",LOWER(TRIM($F217&amp;""))="free entry"),IF(ISNUMBER($K217),$K217,""),IF($K217&lt;&gt;"",$K217,""))))))</ns0:f>
      </ns0:c>
      <ns0:c r="Q217" s="114">
        <ns0:f>IF(COUNTA($A217:$M217)=0,"",IF(OR($U217="Subscription",$U217=""),"",IF($U217="Estimate","N/A",IF($U217="Profit",ROUND(IFERROR($P217,0)-IFERROR($H217,0),2),0))))</ns0:f>
      </ns0:c>
      <ns0:c r="R217" s="114">
        <ns0:f>IF(COUNTA($A217:$M217)=0,"",IF(OR($U217="Subscription",$U217=""),"",IF($U217="Estimate","N/A",IF($U217="Draw",$H217,0))))</ns0:f>
      </ns0:c>
      <ns0:c r="S217" s="114">
        <ns0:f>IF(COUNTA($A217:$M217)=0,"",IF(OR($U217="Subscription",$U217=""),"",IF($U217="Estimate","N/A",IF($U217="Disqualified",$H217,0))))</ns0:f>
      </ns0:c>
      <ns0:c r="T217" s="955">
        <ns0:f>IF(COUNTA($A217:$M217)=0,"",IF(OR($U217="Subscription",$U217=""),"",IF($U217="Estimate","N/A",IF(OR($U217="Free Game",$U217="Disqualified — Free Game",$H217=0),"N/A",IF($U217="Profit",$Q217/$H217,IF($U217="Disqualified",-$S217/$H217,0))))))</ns0:f>
      </ns0:c>
      <ns0:c r="U217" s="920">
        <ns0:f>IF(COUNTA($A217:$M217)=0,"",IF(OR(LEFT(LOWER(TRIM($F217&amp;"")),12)="subscription",LOWER(TRIM($F217&amp;""))="membership"),"Subscription",IF(LOWER(TRIM($D217&amp;""))="estimate","Estimate",IF(OR(AND($H217&lt;&gt;"",$H217=0),LEFT(LOWER(TRIM($F217&amp;"")),9)="free game",LOWER(TRIM($F217&amp;""))="free",LOWER(TRIM($F217&amp;""))="free entry"),IF(LOWER($L217&amp;"")="yes","Disqualified — Free Game","Free Game"),IF(LOWER($L217&amp;"")="yes","Disqualified",IF($P217="","",IF(ROUND(IFERROR(VALUE($P217),0)-IFERROR(VALUE($H217),0),2)&gt;0,"Profit","Draw")))))))</ns0:f>
      </ns0:c>
      <ns0:c r="V217" s="956" t="str">
        <ns0:f>IF(COUNTA($A217:$M217)=0,"",IF(OR($B217="",$C217="",$U217="Subscription"),"",IFERROR(ROUNDUP(($C217-$B217)/7,0),"")))</ns0:f>
      </ns0:c>
      <ns0:c r="W217" s="114">
        <ns0:f>IF(COUNTA($A217:$M217)=0,"",IF(OR($U217="Subscription",$U217=""),"",IF($U217="Estimate","N/A",IF(OR($U217="Free Game",$U217="Disqualified — Free Game"),0,ROUND(IFERROR($Q217,0)-IFERROR($S217,0),2)))))</ns0:f>
      </ns0:c>
      <ns0:c r="X217" s="956" t="str">
        <ns0:f>IF(COUNTA($A217:$M217)=0,"",IF(OR($U217="Subscription",NOT(ISNUMBER($J217)),NOT(ISNUMBER($I217)),$J217=0,$I217=0,$I217&gt;$J217),"",$J217-$I217))</ns0:f>
      </ns0:c>
      <ns0:c r="Y217" s="955" t="str">
        <ns0:f>IF(COUNTA($A217:$M217)=0,"",IF(OR($U217="Subscription",NOT(ISNUMBER($J217)),$J217=0,$X217=""),"",$X217/$J217))</ns0:f>
      </ns0:c>
      <ns0:c r="Z217" s="957" t="str">
        <ns0:f>IF(COUNTA($A217:$M217)=0,"",Instructions!$B$29+SUM($W$5:W217))</ns0:f>
      </ns0:c>
    </ns0:row>
    <ns0:row r="218" ht="36" customHeight="1">
      <ns0:c r="A218" s="439"/>
      <ns0:c r="B218" s="453"/>
      <ns0:c r="C218" s="453"/>
      <ns0:c r="D218" s="454"/>
      <ns0:c r="E218" s="454"/>
      <ns0:c r="F218" s="454"/>
      <ns0:c r="G218" s="986"/>
      <ns0:c r="H218" s="455"/>
      <ns0:c r="I218" s="456"/>
      <ns0:c r="J218" s="456"/>
      <ns0:c r="K218" s="986"/>
      <ns0:c r="L218" s="454"/>
      <ns0:c r="M218" s="439"/>
      <ns0:c r="N218" s="987" t="str">
        <ns0:f>IF(COUNTA($A218:$M218)=0,"",IF(OR(LEFT(LOWER(TRIM($F218&amp;"")),12)="subscription",LOWER(TRIM($F218&amp;""))="membership"),"",IF(OR(AND($H218&lt;&gt;"",$H218=0),LEFT(LOWER(TRIM($F218&amp;"")),9)="free game",LOWER(TRIM($F218&amp;""))="free",LOWER(TRIM($F218&amp;""))="free entry"),IF(ISNUMBER($G218),IF(ISNUMBER(SEARCH("non",LOWER($E218&amp;""))),$G218*0.85,$G218),"N/A"),IF($G218="","",IFERROR(IF(ISNUMBER(SEARCH("non",LOWER($E218&amp;""))),$G218*0.85,$G218),"")))))</ns0:f>
        <ns0:v/>
      </ns0:c>
      <ns0:c r="O218" s="987" t="str">
        <ns0:f>IF(COUNTA($A218:$M218)=0,"",IF(OR(LEFT(LOWER(TRIM($F218&amp;"")),12)="subscription",LOWER(TRIM($F218&amp;""))="membership"),"",IF(OR(AND($H218&lt;&gt;"",$H218=0),LEFT(LOWER(TRIM($F218&amp;"")),9)="free game",LOWER(TRIM($F218&amp;""))="free",LOWER(TRIM($F218&amp;""))="free entry"),IF(OR(NOT(ISNUMBER($N218)),NOT(ISNUMBER($I218)),$I218=0),"N/A",IFERROR($N218/$I218,"N/A")),IF(OR($N218="",$I218="",$I218=0),"",IFERROR($N218/$I218,"")))))</ns0:f>
        <ns0:v/>
      </ns0:c>
      <ns0:c r="P218" s="987">
        <ns0:f>IF(COUNTA($A218:$M218)=0,"",IF(OR(LEFT(LOWER(TRIM($F218&amp;"")),12)="subscription",LOWER(TRIM($F218&amp;""))="membership"),"",IF(LOWER(TRIM($D218&amp;""))="estimate","N/A",IF(LOWER($L218&amp;"")="yes",0,IF(OR(AND($H218&lt;&gt;"",$H218=0),LEFT(LOWER(TRIM($F218&amp;"")),9)="free game",LOWER(TRIM($F218&amp;""))="free",LOWER(TRIM($F218&amp;""))="free entry"),IF(ISNUMBER($K218),$K218,""),IF($K218&lt;&gt;"",$K218,""))))))</ns0:f>
      </ns0:c>
      <ns0:c r="Q218" s="114">
        <ns0:f>IF(COUNTA($A218:$M218)=0,"",IF(OR($U218="Subscription",$U218=""),"",IF($U218="Estimate","N/A",IF($U218="Profit",ROUND(IFERROR($P218,0)-IFERROR($H218,0),2),0))))</ns0:f>
      </ns0:c>
      <ns0:c r="R218" s="114">
        <ns0:f>IF(COUNTA($A218:$M218)=0,"",IF(OR($U218="Subscription",$U218=""),"",IF($U218="Estimate","N/A",IF($U218="Draw",$H218,0))))</ns0:f>
      </ns0:c>
      <ns0:c r="S218" s="114">
        <ns0:f>IF(COUNTA($A218:$M218)=0,"",IF(OR($U218="Subscription",$U218=""),"",IF($U218="Estimate","N/A",IF($U218="Disqualified",$H218,0))))</ns0:f>
      </ns0:c>
      <ns0:c r="T218" s="955">
        <ns0:f>IF(COUNTA($A218:$M218)=0,"",IF(OR($U218="Subscription",$U218=""),"",IF($U218="Estimate","N/A",IF(OR($U218="Free Game",$U218="Disqualified — Free Game",$H218=0),"N/A",IF($U218="Profit",$Q218/$H218,IF($U218="Disqualified",-$S218/$H218,0))))))</ns0:f>
      </ns0:c>
      <ns0:c r="U218" s="920">
        <ns0:f>IF(COUNTA($A218:$M218)=0,"",IF(OR(LEFT(LOWER(TRIM($F218&amp;"")),12)="subscription",LOWER(TRIM($F218&amp;""))="membership"),"Subscription",IF(LOWER(TRIM($D218&amp;""))="estimate","Estimate",IF(OR(AND($H218&lt;&gt;"",$H218=0),LEFT(LOWER(TRIM($F218&amp;"")),9)="free game",LOWER(TRIM($F218&amp;""))="free",LOWER(TRIM($F218&amp;""))="free entry"),IF(LOWER($L218&amp;"")="yes","Disqualified — Free Game","Free Game"),IF(LOWER($L218&amp;"")="yes","Disqualified",IF($P218="","",IF(ROUND(IFERROR(VALUE($P218),0)-IFERROR(VALUE($H218),0),2)&gt;0,"Profit","Draw")))))))</ns0:f>
      </ns0:c>
      <ns0:c r="V218" s="956" t="str">
        <ns0:f>IF(COUNTA($A218:$M218)=0,"",IF(OR($B218="",$C218="",$U218="Subscription"),"",IFERROR(ROUNDUP(($C218-$B218)/7,0),"")))</ns0:f>
      </ns0:c>
      <ns0:c r="W218" s="114">
        <ns0:f>IF(COUNTA($A218:$M218)=0,"",IF(OR($U218="Subscription",$U218=""),"",IF($U218="Estimate","N/A",IF(OR($U218="Free Game",$U218="Disqualified — Free Game"),0,ROUND(IFERROR($Q218,0)-IFERROR($S218,0),2)))))</ns0:f>
      </ns0:c>
      <ns0:c r="X218" s="956" t="str">
        <ns0:f>IF(COUNTA($A218:$M218)=0,"",IF(OR($U218="Subscription",NOT(ISNUMBER($J218)),NOT(ISNUMBER($I218)),$J218=0,$I218=0,$I218&gt;$J218),"",$J218-$I218))</ns0:f>
      </ns0:c>
      <ns0:c r="Y218" s="955" t="str">
        <ns0:f>IF(COUNTA($A218:$M218)=0,"",IF(OR($U218="Subscription",NOT(ISNUMBER($J218)),$J218=0,$X218=""),"",$X218/$J218))</ns0:f>
      </ns0:c>
      <ns0:c r="Z218" s="957" t="str">
        <ns0:f>IF(COUNTA($A218:$M218)=0,"",Instructions!$B$29+SUM($W$5:W218))</ns0:f>
      </ns0:c>
    </ns0:row>
    <ns0:row r="219" ht="36" customHeight="1">
      <ns0:c r="A219" s="439"/>
      <ns0:c r="B219" s="453"/>
      <ns0:c r="C219" s="453"/>
      <ns0:c r="D219" s="454"/>
      <ns0:c r="E219" s="454"/>
      <ns0:c r="F219" s="454"/>
      <ns0:c r="G219" s="986"/>
      <ns0:c r="H219" s="455"/>
      <ns0:c r="I219" s="456"/>
      <ns0:c r="J219" s="456"/>
      <ns0:c r="K219" s="986"/>
      <ns0:c r="L219" s="454"/>
      <ns0:c r="M219" s="439"/>
      <ns0:c r="N219" s="987" t="str">
        <ns0:f>IF(COUNTA($A219:$M219)=0,"",IF(OR(LEFT(LOWER(TRIM($F219&amp;"")),12)="subscription",LOWER(TRIM($F219&amp;""))="membership"),"",IF(OR(AND($H219&lt;&gt;"",$H219=0),LEFT(LOWER(TRIM($F219&amp;"")),9)="free game",LOWER(TRIM($F219&amp;""))="free",LOWER(TRIM($F219&amp;""))="free entry"),IF(ISNUMBER($G219),IF(ISNUMBER(SEARCH("non",LOWER($E219&amp;""))),$G219*0.85,$G219),"N/A"),IF($G219="","",IFERROR(IF(ISNUMBER(SEARCH("non",LOWER($E219&amp;""))),$G219*0.85,$G219),"")))))</ns0:f>
        <ns0:v/>
      </ns0:c>
      <ns0:c r="O219" s="987" t="str">
        <ns0:f>IF(COUNTA($A219:$M219)=0,"",IF(OR(LEFT(LOWER(TRIM($F219&amp;"")),12)="subscription",LOWER(TRIM($F219&amp;""))="membership"),"",IF(OR(AND($H219&lt;&gt;"",$H219=0),LEFT(LOWER(TRIM($F219&amp;"")),9)="free game",LOWER(TRIM($F219&amp;""))="free",LOWER(TRIM($F219&amp;""))="free entry"),IF(OR(NOT(ISNUMBER($N219)),NOT(ISNUMBER($I219)),$I219=0),"N/A",IFERROR($N219/$I219,"N/A")),IF(OR($N219="",$I219="",$I219=0),"",IFERROR($N219/$I219,"")))))</ns0:f>
        <ns0:v/>
      </ns0:c>
      <ns0:c r="P219" s="987">
        <ns0:f>IF(COUNTA($A219:$M219)=0,"",IF(OR(LEFT(LOWER(TRIM($F219&amp;"")),12)="subscription",LOWER(TRIM($F219&amp;""))="membership"),"",IF(LOWER(TRIM($D219&amp;""))="estimate","N/A",IF(LOWER($L219&amp;"")="yes",0,IF(OR(AND($H219&lt;&gt;"",$H219=0),LEFT(LOWER(TRIM($F219&amp;"")),9)="free game",LOWER(TRIM($F219&amp;""))="free",LOWER(TRIM($F219&amp;""))="free entry"),IF(ISNUMBER($K219),$K219,""),IF($K219&lt;&gt;"",$K219,""))))))</ns0:f>
      </ns0:c>
      <ns0:c r="Q219" s="114">
        <ns0:f>IF(COUNTA($A219:$M219)=0,"",IF(OR($U219="Subscription",$U219=""),"",IF($U219="Estimate","N/A",IF($U219="Profit",ROUND(IFERROR($P219,0)-IFERROR($H219,0),2),0))))</ns0:f>
      </ns0:c>
      <ns0:c r="R219" s="114">
        <ns0:f>IF(COUNTA($A219:$M219)=0,"",IF(OR($U219="Subscription",$U219=""),"",IF($U219="Estimate","N/A",IF($U219="Draw",$H219,0))))</ns0:f>
      </ns0:c>
      <ns0:c r="S219" s="114">
        <ns0:f>IF(COUNTA($A219:$M219)=0,"",IF(OR($U219="Subscription",$U219=""),"",IF($U219="Estimate","N/A",IF($U219="Disqualified",$H219,0))))</ns0:f>
      </ns0:c>
      <ns0:c r="T219" s="955">
        <ns0:f>IF(COUNTA($A219:$M219)=0,"",IF(OR($U219="Subscription",$U219=""),"",IF($U219="Estimate","N/A",IF(OR($U219="Free Game",$U219="Disqualified — Free Game",$H219=0),"N/A",IF($U219="Profit",$Q219/$H219,IF($U219="Disqualified",-$S219/$H219,0))))))</ns0:f>
      </ns0:c>
      <ns0:c r="U219" s="920">
        <ns0:f>IF(COUNTA($A219:$M219)=0,"",IF(OR(LEFT(LOWER(TRIM($F219&amp;"")),12)="subscription",LOWER(TRIM($F219&amp;""))="membership"),"Subscription",IF(LOWER(TRIM($D219&amp;""))="estimate","Estimate",IF(OR(AND($H219&lt;&gt;"",$H219=0),LEFT(LOWER(TRIM($F219&amp;"")),9)="free game",LOWER(TRIM($F219&amp;""))="free",LOWER(TRIM($F219&amp;""))="free entry"),IF(LOWER($L219&amp;"")="yes","Disqualified — Free Game","Free Game"),IF(LOWER($L219&amp;"")="yes","Disqualified",IF($P219="","",IF(ROUND(IFERROR(VALUE($P219),0)-IFERROR(VALUE($H219),0),2)&gt;0,"Profit","Draw")))))))</ns0:f>
      </ns0:c>
      <ns0:c r="V219" s="956" t="str">
        <ns0:f>IF(COUNTA($A219:$M219)=0,"",IF(OR($B219="",$C219="",$U219="Subscription"),"",IFERROR(ROUNDUP(($C219-$B219)/7,0),"")))</ns0:f>
      </ns0:c>
      <ns0:c r="W219" s="114">
        <ns0:f>IF(COUNTA($A219:$M219)=0,"",IF(OR($U219="Subscription",$U219=""),"",IF($U219="Estimate","N/A",IF(OR($U219="Free Game",$U219="Disqualified — Free Game"),0,ROUND(IFERROR($Q219,0)-IFERROR($S219,0),2)))))</ns0:f>
      </ns0:c>
      <ns0:c r="X219" s="956" t="str">
        <ns0:f>IF(COUNTA($A219:$M219)=0,"",IF(OR($U219="Subscription",NOT(ISNUMBER($J219)),NOT(ISNUMBER($I219)),$J219=0,$I219=0,$I219&gt;$J219),"",$J219-$I219))</ns0:f>
      </ns0:c>
      <ns0:c r="Y219" s="955" t="str">
        <ns0:f>IF(COUNTA($A219:$M219)=0,"",IF(OR($U219="Subscription",NOT(ISNUMBER($J219)),$J219=0,$X219=""),"",$X219/$J219))</ns0:f>
      </ns0:c>
      <ns0:c r="Z219" s="957" t="str">
        <ns0:f>IF(COUNTA($A219:$M219)=0,"",Instructions!$B$29+SUM($W$5:W219))</ns0:f>
      </ns0:c>
    </ns0:row>
    <ns0:row r="220" ht="36" customHeight="1">
      <ns0:c r="A220" s="439"/>
      <ns0:c r="B220" s="453"/>
      <ns0:c r="C220" s="453"/>
      <ns0:c r="D220" s="454"/>
      <ns0:c r="E220" s="454"/>
      <ns0:c r="F220" s="454"/>
      <ns0:c r="G220" s="986"/>
      <ns0:c r="H220" s="455"/>
      <ns0:c r="I220" s="456"/>
      <ns0:c r="J220" s="456"/>
      <ns0:c r="K220" s="986"/>
      <ns0:c r="L220" s="454"/>
      <ns0:c r="M220" s="439"/>
      <ns0:c r="N220" s="987" t="str">
        <ns0:f>IF(COUNTA($A220:$M220)=0,"",IF(OR(LEFT(LOWER(TRIM($F220&amp;"")),12)="subscription",LOWER(TRIM($F220&amp;""))="membership"),"",IF(OR(AND($H220&lt;&gt;"",$H220=0),LEFT(LOWER(TRIM($F220&amp;"")),9)="free game",LOWER(TRIM($F220&amp;""))="free",LOWER(TRIM($F220&amp;""))="free entry"),IF(ISNUMBER($G220),IF(ISNUMBER(SEARCH("non",LOWER($E220&amp;""))),$G220*0.85,$G220),"N/A"),IF($G220="","",IFERROR(IF(ISNUMBER(SEARCH("non",LOWER($E220&amp;""))),$G220*0.85,$G220),"")))))</ns0:f>
        <ns0:v/>
      </ns0:c>
      <ns0:c r="O220" s="987" t="str">
        <ns0:f>IF(COUNTA($A220:$M220)=0,"",IF(OR(LEFT(LOWER(TRIM($F220&amp;"")),12)="subscription",LOWER(TRIM($F220&amp;""))="membership"),"",IF(OR(AND($H220&lt;&gt;"",$H220=0),LEFT(LOWER(TRIM($F220&amp;"")),9)="free game",LOWER(TRIM($F220&amp;""))="free",LOWER(TRIM($F220&amp;""))="free entry"),IF(OR(NOT(ISNUMBER($N220)),NOT(ISNUMBER($I220)),$I220=0),"N/A",IFERROR($N220/$I220,"N/A")),IF(OR($N220="",$I220="",$I220=0),"",IFERROR($N220/$I220,"")))))</ns0:f>
        <ns0:v/>
      </ns0:c>
      <ns0:c r="P220" s="987">
        <ns0:f>IF(COUNTA($A220:$M220)=0,"",IF(OR(LEFT(LOWER(TRIM($F220&amp;"")),12)="subscription",LOWER(TRIM($F220&amp;""))="membership"),"",IF(LOWER(TRIM($D220&amp;""))="estimate","N/A",IF(LOWER($L220&amp;"")="yes",0,IF(OR(AND($H220&lt;&gt;"",$H220=0),LEFT(LOWER(TRIM($F220&amp;"")),9)="free game",LOWER(TRIM($F220&amp;""))="free",LOWER(TRIM($F220&amp;""))="free entry"),IF(ISNUMBER($K220),$K220,""),IF($K220&lt;&gt;"",$K220,""))))))</ns0:f>
      </ns0:c>
      <ns0:c r="Q220" s="114">
        <ns0:f>IF(COUNTA($A220:$M220)=0,"",IF(OR($U220="Subscription",$U220=""),"",IF($U220="Estimate","N/A",IF($U220="Profit",ROUND(IFERROR($P220,0)-IFERROR($H220,0),2),0))))</ns0:f>
      </ns0:c>
      <ns0:c r="R220" s="114">
        <ns0:f>IF(COUNTA($A220:$M220)=0,"",IF(OR($U220="Subscription",$U220=""),"",IF($U220="Estimate","N/A",IF($U220="Draw",$H220,0))))</ns0:f>
      </ns0:c>
      <ns0:c r="S220" s="114">
        <ns0:f>IF(COUNTA($A220:$M220)=0,"",IF(OR($U220="Subscription",$U220=""),"",IF($U220="Estimate","N/A",IF($U220="Disqualified",$H220,0))))</ns0:f>
      </ns0:c>
      <ns0:c r="T220" s="955">
        <ns0:f>IF(COUNTA($A220:$M220)=0,"",IF(OR($U220="Subscription",$U220=""),"",IF($U220="Estimate","N/A",IF(OR($U220="Free Game",$U220="Disqualified — Free Game",$H220=0),"N/A",IF($U220="Profit",$Q220/$H220,IF($U220="Disqualified",-$S220/$H220,0))))))</ns0:f>
      </ns0:c>
      <ns0:c r="U220" s="920">
        <ns0:f>IF(COUNTA($A220:$M220)=0,"",IF(OR(LEFT(LOWER(TRIM($F220&amp;"")),12)="subscription",LOWER(TRIM($F220&amp;""))="membership"),"Subscription",IF(LOWER(TRIM($D220&amp;""))="estimate","Estimate",IF(OR(AND($H220&lt;&gt;"",$H220=0),LEFT(LOWER(TRIM($F220&amp;"")),9)="free game",LOWER(TRIM($F220&amp;""))="free",LOWER(TRIM($F220&amp;""))="free entry"),IF(LOWER($L220&amp;"")="yes","Disqualified — Free Game","Free Game"),IF(LOWER($L220&amp;"")="yes","Disqualified",IF($P220="","",IF(ROUND(IFERROR(VALUE($P220),0)-IFERROR(VALUE($H220),0),2)&gt;0,"Profit","Draw")))))))</ns0:f>
      </ns0:c>
      <ns0:c r="V220" s="956" t="str">
        <ns0:f>IF(COUNTA($A220:$M220)=0,"",IF(OR($B220="",$C220="",$U220="Subscription"),"",IFERROR(ROUNDUP(($C220-$B220)/7,0),"")))</ns0:f>
      </ns0:c>
      <ns0:c r="W220" s="114">
        <ns0:f>IF(COUNTA($A220:$M220)=0,"",IF(OR($U220="Subscription",$U220=""),"",IF($U220="Estimate","N/A",IF(OR($U220="Free Game",$U220="Disqualified — Free Game"),0,ROUND(IFERROR($Q220,0)-IFERROR($S220,0),2)))))</ns0:f>
      </ns0:c>
      <ns0:c r="X220" s="956" t="str">
        <ns0:f>IF(COUNTA($A220:$M220)=0,"",IF(OR($U220="Subscription",NOT(ISNUMBER($J220)),NOT(ISNUMBER($I220)),$J220=0,$I220=0,$I220&gt;$J220),"",$J220-$I220))</ns0:f>
      </ns0:c>
      <ns0:c r="Y220" s="955" t="str">
        <ns0:f>IF(COUNTA($A220:$M220)=0,"",IF(OR($U220="Subscription",NOT(ISNUMBER($J220)),$J220=0,$X220=""),"",$X220/$J220))</ns0:f>
      </ns0:c>
      <ns0:c r="Z220" s="957" t="str">
        <ns0:f>IF(COUNTA($A220:$M220)=0,"",Instructions!$B$29+SUM($W$5:W220))</ns0:f>
      </ns0:c>
    </ns0:row>
    <ns0:row r="221" ht="36" customHeight="1">
      <ns0:c r="A221" s="439"/>
      <ns0:c r="B221" s="453"/>
      <ns0:c r="C221" s="453"/>
      <ns0:c r="D221" s="454"/>
      <ns0:c r="E221" s="454"/>
      <ns0:c r="F221" s="454"/>
      <ns0:c r="G221" s="986"/>
      <ns0:c r="H221" s="455"/>
      <ns0:c r="I221" s="456"/>
      <ns0:c r="J221" s="456"/>
      <ns0:c r="K221" s="986"/>
      <ns0:c r="L221" s="454"/>
      <ns0:c r="M221" s="439"/>
      <ns0:c r="N221" s="987" t="str">
        <ns0:f>IF(COUNTA($A221:$M221)=0,"",IF(OR(LEFT(LOWER(TRIM($F221&amp;"")),12)="subscription",LOWER(TRIM($F221&amp;""))="membership"),"",IF(OR(AND($H221&lt;&gt;"",$H221=0),LEFT(LOWER(TRIM($F221&amp;"")),9)="free game",LOWER(TRIM($F221&amp;""))="free",LOWER(TRIM($F221&amp;""))="free entry"),IF(ISNUMBER($G221),IF(ISNUMBER(SEARCH("non",LOWER($E221&amp;""))),$G221*0.85,$G221),"N/A"),IF($G221="","",IFERROR(IF(ISNUMBER(SEARCH("non",LOWER($E221&amp;""))),$G221*0.85,$G221),"")))))</ns0:f>
        <ns0:v/>
      </ns0:c>
      <ns0:c r="O221" s="987" t="str">
        <ns0:f>IF(COUNTA($A221:$M221)=0,"",IF(OR(LEFT(LOWER(TRIM($F221&amp;"")),12)="subscription",LOWER(TRIM($F221&amp;""))="membership"),"",IF(OR(AND($H221&lt;&gt;"",$H221=0),LEFT(LOWER(TRIM($F221&amp;"")),9)="free game",LOWER(TRIM($F221&amp;""))="free",LOWER(TRIM($F221&amp;""))="free entry"),IF(OR(NOT(ISNUMBER($N221)),NOT(ISNUMBER($I221)),$I221=0),"N/A",IFERROR($N221/$I221,"N/A")),IF(OR($N221="",$I221="",$I221=0),"",IFERROR($N221/$I221,"")))))</ns0:f>
        <ns0:v/>
      </ns0:c>
      <ns0:c r="P221" s="987">
        <ns0:f>IF(COUNTA($A221:$M221)=0,"",IF(OR(LEFT(LOWER(TRIM($F221&amp;"")),12)="subscription",LOWER(TRIM($F221&amp;""))="membership"),"",IF(LOWER(TRIM($D221&amp;""))="estimate","N/A",IF(LOWER($L221&amp;"")="yes",0,IF(OR(AND($H221&lt;&gt;"",$H221=0),LEFT(LOWER(TRIM($F221&amp;"")),9)="free game",LOWER(TRIM($F221&amp;""))="free",LOWER(TRIM($F221&amp;""))="free entry"),IF(ISNUMBER($K221),$K221,""),IF($K221&lt;&gt;"",$K221,""))))))</ns0:f>
      </ns0:c>
      <ns0:c r="Q221" s="114">
        <ns0:f>IF(COUNTA($A221:$M221)=0,"",IF(OR($U221="Subscription",$U221=""),"",IF($U221="Estimate","N/A",IF($U221="Profit",ROUND(IFERROR($P221,0)-IFERROR($H221,0),2),0))))</ns0:f>
      </ns0:c>
      <ns0:c r="R221" s="114">
        <ns0:f>IF(COUNTA($A221:$M221)=0,"",IF(OR($U221="Subscription",$U221=""),"",IF($U221="Estimate","N/A",IF($U221="Draw",$H221,0))))</ns0:f>
      </ns0:c>
      <ns0:c r="S221" s="114">
        <ns0:f>IF(COUNTA($A221:$M221)=0,"",IF(OR($U221="Subscription",$U221=""),"",IF($U221="Estimate","N/A",IF($U221="Disqualified",$H221,0))))</ns0:f>
      </ns0:c>
      <ns0:c r="T221" s="955">
        <ns0:f>IF(COUNTA($A221:$M221)=0,"",IF(OR($U221="Subscription",$U221=""),"",IF($U221="Estimate","N/A",IF(OR($U221="Free Game",$U221="Disqualified — Free Game",$H221=0),"N/A",IF($U221="Profit",$Q221/$H221,IF($U221="Disqualified",-$S221/$H221,0))))))</ns0:f>
      </ns0:c>
      <ns0:c r="U221" s="920">
        <ns0:f>IF(COUNTA($A221:$M221)=0,"",IF(OR(LEFT(LOWER(TRIM($F221&amp;"")),12)="subscription",LOWER(TRIM($F221&amp;""))="membership"),"Subscription",IF(LOWER(TRIM($D221&amp;""))="estimate","Estimate",IF(OR(AND($H221&lt;&gt;"",$H221=0),LEFT(LOWER(TRIM($F221&amp;"")),9)="free game",LOWER(TRIM($F221&amp;""))="free",LOWER(TRIM($F221&amp;""))="free entry"),IF(LOWER($L221&amp;"")="yes","Disqualified — Free Game","Free Game"),IF(LOWER($L221&amp;"")="yes","Disqualified",IF($P221="","",IF(ROUND(IFERROR(VALUE($P221),0)-IFERROR(VALUE($H221),0),2)&gt;0,"Profit","Draw")))))))</ns0:f>
      </ns0:c>
      <ns0:c r="V221" s="956" t="str">
        <ns0:f>IF(COUNTA($A221:$M221)=0,"",IF(OR($B221="",$C221="",$U221="Subscription"),"",IFERROR(ROUNDUP(($C221-$B221)/7,0),"")))</ns0:f>
      </ns0:c>
      <ns0:c r="W221" s="114">
        <ns0:f>IF(COUNTA($A221:$M221)=0,"",IF(OR($U221="Subscription",$U221=""),"",IF($U221="Estimate","N/A",IF(OR($U221="Free Game",$U221="Disqualified — Free Game"),0,ROUND(IFERROR($Q221,0)-IFERROR($S221,0),2)))))</ns0:f>
      </ns0:c>
      <ns0:c r="X221" s="956" t="str">
        <ns0:f>IF(COUNTA($A221:$M221)=0,"",IF(OR($U221="Subscription",NOT(ISNUMBER($J221)),NOT(ISNUMBER($I221)),$J221=0,$I221=0,$I221&gt;$J221),"",$J221-$I221))</ns0:f>
      </ns0:c>
      <ns0:c r="Y221" s="955" t="str">
        <ns0:f>IF(COUNTA($A221:$M221)=0,"",IF(OR($U221="Subscription",NOT(ISNUMBER($J221)),$J221=0,$X221=""),"",$X221/$J221))</ns0:f>
      </ns0:c>
      <ns0:c r="Z221" s="957" t="str">
        <ns0:f>IF(COUNTA($A221:$M221)=0,"",Instructions!$B$29+SUM($W$5:W221))</ns0:f>
      </ns0:c>
    </ns0:row>
    <ns0:row r="222" ht="36" customHeight="1">
      <ns0:c r="A222" s="439"/>
      <ns0:c r="B222" s="453"/>
      <ns0:c r="C222" s="453"/>
      <ns0:c r="D222" s="454"/>
      <ns0:c r="E222" s="454"/>
      <ns0:c r="F222" s="454"/>
      <ns0:c r="G222" s="986"/>
      <ns0:c r="H222" s="455"/>
      <ns0:c r="I222" s="456"/>
      <ns0:c r="J222" s="456"/>
      <ns0:c r="K222" s="986"/>
      <ns0:c r="L222" s="454"/>
      <ns0:c r="M222" s="439"/>
      <ns0:c r="N222" s="987" t="str">
        <ns0:f>IF(COUNTA($A222:$M222)=0,"",IF(OR(LEFT(LOWER(TRIM($F222&amp;"")),12)="subscription",LOWER(TRIM($F222&amp;""))="membership"),"",IF(OR(AND($H222&lt;&gt;"",$H222=0),LEFT(LOWER(TRIM($F222&amp;"")),9)="free game",LOWER(TRIM($F222&amp;""))="free",LOWER(TRIM($F222&amp;""))="free entry"),IF(ISNUMBER($G222),IF(ISNUMBER(SEARCH("non",LOWER($E222&amp;""))),$G222*0.85,$G222),"N/A"),IF($G222="","",IFERROR(IF(ISNUMBER(SEARCH("non",LOWER($E222&amp;""))),$G222*0.85,$G222),"")))))</ns0:f>
        <ns0:v/>
      </ns0:c>
      <ns0:c r="O222" s="987" t="str">
        <ns0:f>IF(COUNTA($A222:$M222)=0,"",IF(OR(LEFT(LOWER(TRIM($F222&amp;"")),12)="subscription",LOWER(TRIM($F222&amp;""))="membership"),"",IF(OR(AND($H222&lt;&gt;"",$H222=0),LEFT(LOWER(TRIM($F222&amp;"")),9)="free game",LOWER(TRIM($F222&amp;""))="free",LOWER(TRIM($F222&amp;""))="free entry"),IF(OR(NOT(ISNUMBER($N222)),NOT(ISNUMBER($I222)),$I222=0),"N/A",IFERROR($N222/$I222,"N/A")),IF(OR($N222="",$I222="",$I222=0),"",IFERROR($N222/$I222,"")))))</ns0:f>
        <ns0:v/>
      </ns0:c>
      <ns0:c r="P222" s="987">
        <ns0:f>IF(COUNTA($A222:$M222)=0,"",IF(OR(LEFT(LOWER(TRIM($F222&amp;"")),12)="subscription",LOWER(TRIM($F222&amp;""))="membership"),"",IF(LOWER(TRIM($D222&amp;""))="estimate","N/A",IF(LOWER($L222&amp;"")="yes",0,IF(OR(AND($H222&lt;&gt;"",$H222=0),LEFT(LOWER(TRIM($F222&amp;"")),9)="free game",LOWER(TRIM($F222&amp;""))="free",LOWER(TRIM($F222&amp;""))="free entry"),IF(ISNUMBER($K222),$K222,""),IF($K222&lt;&gt;"",$K222,""))))))</ns0:f>
      </ns0:c>
      <ns0:c r="Q222" s="114">
        <ns0:f>IF(COUNTA($A222:$M222)=0,"",IF(OR($U222="Subscription",$U222=""),"",IF($U222="Estimate","N/A",IF($U222="Profit",ROUND(IFERROR($P222,0)-IFERROR($H222,0),2),0))))</ns0:f>
      </ns0:c>
      <ns0:c r="R222" s="114">
        <ns0:f>IF(COUNTA($A222:$M222)=0,"",IF(OR($U222="Subscription",$U222=""),"",IF($U222="Estimate","N/A",IF($U222="Draw",$H222,0))))</ns0:f>
      </ns0:c>
      <ns0:c r="S222" s="114">
        <ns0:f>IF(COUNTA($A222:$M222)=0,"",IF(OR($U222="Subscription",$U222=""),"",IF($U222="Estimate","N/A",IF($U222="Disqualified",$H222,0))))</ns0:f>
      </ns0:c>
      <ns0:c r="T222" s="955">
        <ns0:f>IF(COUNTA($A222:$M222)=0,"",IF(OR($U222="Subscription",$U222=""),"",IF($U222="Estimate","N/A",IF(OR($U222="Free Game",$U222="Disqualified — Free Game",$H222=0),"N/A",IF($U222="Profit",$Q222/$H222,IF($U222="Disqualified",-$S222/$H222,0))))))</ns0:f>
      </ns0:c>
      <ns0:c r="U222" s="920">
        <ns0:f>IF(COUNTA($A222:$M222)=0,"",IF(OR(LEFT(LOWER(TRIM($F222&amp;"")),12)="subscription",LOWER(TRIM($F222&amp;""))="membership"),"Subscription",IF(LOWER(TRIM($D222&amp;""))="estimate","Estimate",IF(OR(AND($H222&lt;&gt;"",$H222=0),LEFT(LOWER(TRIM($F222&amp;"")),9)="free game",LOWER(TRIM($F222&amp;""))="free",LOWER(TRIM($F222&amp;""))="free entry"),IF(LOWER($L222&amp;"")="yes","Disqualified — Free Game","Free Game"),IF(LOWER($L222&amp;"")="yes","Disqualified",IF($P222="","",IF(ROUND(IFERROR(VALUE($P222),0)-IFERROR(VALUE($H222),0),2)&gt;0,"Profit","Draw")))))))</ns0:f>
      </ns0:c>
      <ns0:c r="V222" s="956" t="str">
        <ns0:f>IF(COUNTA($A222:$M222)=0,"",IF(OR($B222="",$C222="",$U222="Subscription"),"",IFERROR(ROUNDUP(($C222-$B222)/7,0),"")))</ns0:f>
      </ns0:c>
      <ns0:c r="W222" s="114">
        <ns0:f>IF(COUNTA($A222:$M222)=0,"",IF(OR($U222="Subscription",$U222=""),"",IF($U222="Estimate","N/A",IF(OR($U222="Free Game",$U222="Disqualified — Free Game"),0,ROUND(IFERROR($Q222,0)-IFERROR($S222,0),2)))))</ns0:f>
      </ns0:c>
      <ns0:c r="X222" s="956" t="str">
        <ns0:f>IF(COUNTA($A222:$M222)=0,"",IF(OR($U222="Subscription",NOT(ISNUMBER($J222)),NOT(ISNUMBER($I222)),$J222=0,$I222=0,$I222&gt;$J222),"",$J222-$I222))</ns0:f>
      </ns0:c>
      <ns0:c r="Y222" s="955" t="str">
        <ns0:f>IF(COUNTA($A222:$M222)=0,"",IF(OR($U222="Subscription",NOT(ISNUMBER($J222)),$J222=0,$X222=""),"",$X222/$J222))</ns0:f>
      </ns0:c>
      <ns0:c r="Z222" s="957" t="str">
        <ns0:f>IF(COUNTA($A222:$M222)=0,"",Instructions!$B$29+SUM($W$5:W222))</ns0:f>
      </ns0:c>
    </ns0:row>
    <ns0:row r="223" ht="36" customHeight="1">
      <ns0:c r="A223" s="439"/>
      <ns0:c r="B223" s="453"/>
      <ns0:c r="C223" s="453"/>
      <ns0:c r="D223" s="454"/>
      <ns0:c r="E223" s="454"/>
      <ns0:c r="F223" s="454"/>
      <ns0:c r="G223" s="986"/>
      <ns0:c r="H223" s="455"/>
      <ns0:c r="I223" s="456"/>
      <ns0:c r="J223" s="456"/>
      <ns0:c r="K223" s="986"/>
      <ns0:c r="L223" s="454"/>
      <ns0:c r="M223" s="439"/>
      <ns0:c r="N223" s="987" t="str">
        <ns0:f>IF(COUNTA($A223:$M223)=0,"",IF(OR(LEFT(LOWER(TRIM($F223&amp;"")),12)="subscription",LOWER(TRIM($F223&amp;""))="membership"),"",IF(OR(AND($H223&lt;&gt;"",$H223=0),LEFT(LOWER(TRIM($F223&amp;"")),9)="free game",LOWER(TRIM($F223&amp;""))="free",LOWER(TRIM($F223&amp;""))="free entry"),IF(ISNUMBER($G223),IF(ISNUMBER(SEARCH("non",LOWER($E223&amp;""))),$G223*0.85,$G223),"N/A"),IF($G223="","",IFERROR(IF(ISNUMBER(SEARCH("non",LOWER($E223&amp;""))),$G223*0.85,$G223),"")))))</ns0:f>
        <ns0:v/>
      </ns0:c>
      <ns0:c r="O223" s="987" t="str">
        <ns0:f>IF(COUNTA($A223:$M223)=0,"",IF(OR(LEFT(LOWER(TRIM($F223&amp;"")),12)="subscription",LOWER(TRIM($F223&amp;""))="membership"),"",IF(OR(AND($H223&lt;&gt;"",$H223=0),LEFT(LOWER(TRIM($F223&amp;"")),9)="free game",LOWER(TRIM($F223&amp;""))="free",LOWER(TRIM($F223&amp;""))="free entry"),IF(OR(NOT(ISNUMBER($N223)),NOT(ISNUMBER($I223)),$I223=0),"N/A",IFERROR($N223/$I223,"N/A")),IF(OR($N223="",$I223="",$I223=0),"",IFERROR($N223/$I223,"")))))</ns0:f>
        <ns0:v/>
      </ns0:c>
      <ns0:c r="P223" s="987">
        <ns0:f>IF(COUNTA($A223:$M223)=0,"",IF(OR(LEFT(LOWER(TRIM($F223&amp;"")),12)="subscription",LOWER(TRIM($F223&amp;""))="membership"),"",IF(LOWER(TRIM($D223&amp;""))="estimate","N/A",IF(LOWER($L223&amp;"")="yes",0,IF(OR(AND($H223&lt;&gt;"",$H223=0),LEFT(LOWER(TRIM($F223&amp;"")),9)="free game",LOWER(TRIM($F223&amp;""))="free",LOWER(TRIM($F223&amp;""))="free entry"),IF(ISNUMBER($K223),$K223,""),IF($K223&lt;&gt;"",$K223,""))))))</ns0:f>
      </ns0:c>
      <ns0:c r="Q223" s="114">
        <ns0:f>IF(COUNTA($A223:$M223)=0,"",IF(OR($U223="Subscription",$U223=""),"",IF($U223="Estimate","N/A",IF($U223="Profit",ROUND(IFERROR($P223,0)-IFERROR($H223,0),2),0))))</ns0:f>
      </ns0:c>
      <ns0:c r="R223" s="114">
        <ns0:f>IF(COUNTA($A223:$M223)=0,"",IF(OR($U223="Subscription",$U223=""),"",IF($U223="Estimate","N/A",IF($U223="Draw",$H223,0))))</ns0:f>
      </ns0:c>
      <ns0:c r="S223" s="114">
        <ns0:f>IF(COUNTA($A223:$M223)=0,"",IF(OR($U223="Subscription",$U223=""),"",IF($U223="Estimate","N/A",IF($U223="Disqualified",$H223,0))))</ns0:f>
      </ns0:c>
      <ns0:c r="T223" s="955">
        <ns0:f>IF(COUNTA($A223:$M223)=0,"",IF(OR($U223="Subscription",$U223=""),"",IF($U223="Estimate","N/A",IF(OR($U223="Free Game",$U223="Disqualified — Free Game",$H223=0),"N/A",IF($U223="Profit",$Q223/$H223,IF($U223="Disqualified",-$S223/$H223,0))))))</ns0:f>
      </ns0:c>
      <ns0:c r="U223" s="920">
        <ns0:f>IF(COUNTA($A223:$M223)=0,"",IF(OR(LEFT(LOWER(TRIM($F223&amp;"")),12)="subscription",LOWER(TRIM($F223&amp;""))="membership"),"Subscription",IF(LOWER(TRIM($D223&amp;""))="estimate","Estimate",IF(OR(AND($H223&lt;&gt;"",$H223=0),LEFT(LOWER(TRIM($F223&amp;"")),9)="free game",LOWER(TRIM($F223&amp;""))="free",LOWER(TRIM($F223&amp;""))="free entry"),IF(LOWER($L223&amp;"")="yes","Disqualified — Free Game","Free Game"),IF(LOWER($L223&amp;"")="yes","Disqualified",IF($P223="","",IF(ROUND(IFERROR(VALUE($P223),0)-IFERROR(VALUE($H223),0),2)&gt;0,"Profit","Draw")))))))</ns0:f>
      </ns0:c>
      <ns0:c r="V223" s="956" t="str">
        <ns0:f>IF(COUNTA($A223:$M223)=0,"",IF(OR($B223="",$C223="",$U223="Subscription"),"",IFERROR(ROUNDUP(($C223-$B223)/7,0),"")))</ns0:f>
      </ns0:c>
      <ns0:c r="W223" s="114">
        <ns0:f>IF(COUNTA($A223:$M223)=0,"",IF(OR($U223="Subscription",$U223=""),"",IF($U223="Estimate","N/A",IF(OR($U223="Free Game",$U223="Disqualified — Free Game"),0,ROUND(IFERROR($Q223,0)-IFERROR($S223,0),2)))))</ns0:f>
      </ns0:c>
      <ns0:c r="X223" s="956" t="str">
        <ns0:f>IF(COUNTA($A223:$M223)=0,"",IF(OR($U223="Subscription",NOT(ISNUMBER($J223)),NOT(ISNUMBER($I223)),$J223=0,$I223=0,$I223&gt;$J223),"",$J223-$I223))</ns0:f>
      </ns0:c>
      <ns0:c r="Y223" s="955" t="str">
        <ns0:f>IF(COUNTA($A223:$M223)=0,"",IF(OR($U223="Subscription",NOT(ISNUMBER($J223)),$J223=0,$X223=""),"",$X223/$J223))</ns0:f>
      </ns0:c>
      <ns0:c r="Z223" s="957" t="str">
        <ns0:f>IF(COUNTA($A223:$M223)=0,"",Instructions!$B$29+SUM($W$5:W223))</ns0:f>
      </ns0:c>
    </ns0:row>
    <ns0:row r="224" ht="36" customHeight="1">
      <ns0:c r="A224" s="439"/>
      <ns0:c r="B224" s="453"/>
      <ns0:c r="C224" s="453"/>
      <ns0:c r="D224" s="454"/>
      <ns0:c r="E224" s="454"/>
      <ns0:c r="F224" s="454"/>
      <ns0:c r="G224" s="986"/>
      <ns0:c r="H224" s="455"/>
      <ns0:c r="I224" s="456"/>
      <ns0:c r="J224" s="456"/>
      <ns0:c r="K224" s="986"/>
      <ns0:c r="L224" s="454"/>
      <ns0:c r="M224" s="439"/>
      <ns0:c r="N224" s="987" t="str">
        <ns0:f>IF(COUNTA($A224:$M224)=0,"",IF(OR(LEFT(LOWER(TRIM($F224&amp;"")),12)="subscription",LOWER(TRIM($F224&amp;""))="membership"),"",IF(OR(AND($H224&lt;&gt;"",$H224=0),LEFT(LOWER(TRIM($F224&amp;"")),9)="free game",LOWER(TRIM($F224&amp;""))="free",LOWER(TRIM($F224&amp;""))="free entry"),IF(ISNUMBER($G224),IF(ISNUMBER(SEARCH("non",LOWER($E224&amp;""))),$G224*0.85,$G224),"N/A"),IF($G224="","",IFERROR(IF(ISNUMBER(SEARCH("non",LOWER($E224&amp;""))),$G224*0.85,$G224),"")))))</ns0:f>
        <ns0:v/>
      </ns0:c>
      <ns0:c r="O224" s="987" t="str">
        <ns0:f>IF(COUNTA($A224:$M224)=0,"",IF(OR(LEFT(LOWER(TRIM($F224&amp;"")),12)="subscription",LOWER(TRIM($F224&amp;""))="membership"),"",IF(OR(AND($H224&lt;&gt;"",$H224=0),LEFT(LOWER(TRIM($F224&amp;"")),9)="free game",LOWER(TRIM($F224&amp;""))="free",LOWER(TRIM($F224&amp;""))="free entry"),IF(OR(NOT(ISNUMBER($N224)),NOT(ISNUMBER($I224)),$I224=0),"N/A",IFERROR($N224/$I224,"N/A")),IF(OR($N224="",$I224="",$I224=0),"",IFERROR($N224/$I224,"")))))</ns0:f>
        <ns0:v/>
      </ns0:c>
      <ns0:c r="P224" s="987">
        <ns0:f>IF(COUNTA($A224:$M224)=0,"",IF(OR(LEFT(LOWER(TRIM($F224&amp;"")),12)="subscription",LOWER(TRIM($F224&amp;""))="membership"),"",IF(LOWER(TRIM($D224&amp;""))="estimate","N/A",IF(LOWER($L224&amp;"")="yes",0,IF(OR(AND($H224&lt;&gt;"",$H224=0),LEFT(LOWER(TRIM($F224&amp;"")),9)="free game",LOWER(TRIM($F224&amp;""))="free",LOWER(TRIM($F224&amp;""))="free entry"),IF(ISNUMBER($K224),$K224,""),IF($K224&lt;&gt;"",$K224,""))))))</ns0:f>
      </ns0:c>
      <ns0:c r="Q224" s="114">
        <ns0:f>IF(COUNTA($A224:$M224)=0,"",IF(OR($U224="Subscription",$U224=""),"",IF($U224="Estimate","N/A",IF($U224="Profit",ROUND(IFERROR($P224,0)-IFERROR($H224,0),2),0))))</ns0:f>
      </ns0:c>
      <ns0:c r="R224" s="114">
        <ns0:f>IF(COUNTA($A224:$M224)=0,"",IF(OR($U224="Subscription",$U224=""),"",IF($U224="Estimate","N/A",IF($U224="Draw",$H224,0))))</ns0:f>
      </ns0:c>
      <ns0:c r="S224" s="114">
        <ns0:f>IF(COUNTA($A224:$M224)=0,"",IF(OR($U224="Subscription",$U224=""),"",IF($U224="Estimate","N/A",IF($U224="Disqualified",$H224,0))))</ns0:f>
      </ns0:c>
      <ns0:c r="T224" s="955">
        <ns0:f>IF(COUNTA($A224:$M224)=0,"",IF(OR($U224="Subscription",$U224=""),"",IF($U224="Estimate","N/A",IF(OR($U224="Free Game",$U224="Disqualified — Free Game",$H224=0),"N/A",IF($U224="Profit",$Q224/$H224,IF($U224="Disqualified",-$S224/$H224,0))))))</ns0:f>
      </ns0:c>
      <ns0:c r="U224" s="920">
        <ns0:f>IF(COUNTA($A224:$M224)=0,"",IF(OR(LEFT(LOWER(TRIM($F224&amp;"")),12)="subscription",LOWER(TRIM($F224&amp;""))="membership"),"Subscription",IF(LOWER(TRIM($D224&amp;""))="estimate","Estimate",IF(OR(AND($H224&lt;&gt;"",$H224=0),LEFT(LOWER(TRIM($F224&amp;"")),9)="free game",LOWER(TRIM($F224&amp;""))="free",LOWER(TRIM($F224&amp;""))="free entry"),IF(LOWER($L224&amp;"")="yes","Disqualified — Free Game","Free Game"),IF(LOWER($L224&amp;"")="yes","Disqualified",IF($P224="","",IF(ROUND(IFERROR(VALUE($P224),0)-IFERROR(VALUE($H224),0),2)&gt;0,"Profit","Draw")))))))</ns0:f>
      </ns0:c>
      <ns0:c r="V224" s="956" t="str">
        <ns0:f>IF(COUNTA($A224:$M224)=0,"",IF(OR($B224="",$C224="",$U224="Subscription"),"",IFERROR(ROUNDUP(($C224-$B224)/7,0),"")))</ns0:f>
      </ns0:c>
      <ns0:c r="W224" s="114">
        <ns0:f>IF(COUNTA($A224:$M224)=0,"",IF(OR($U224="Subscription",$U224=""),"",IF($U224="Estimate","N/A",IF(OR($U224="Free Game",$U224="Disqualified — Free Game"),0,ROUND(IFERROR($Q224,0)-IFERROR($S224,0),2)))))</ns0:f>
      </ns0:c>
      <ns0:c r="X224" s="956" t="str">
        <ns0:f>IF(COUNTA($A224:$M224)=0,"",IF(OR($U224="Subscription",NOT(ISNUMBER($J224)),NOT(ISNUMBER($I224)),$J224=0,$I224=0,$I224&gt;$J224),"",$J224-$I224))</ns0:f>
      </ns0:c>
      <ns0:c r="Y224" s="955" t="str">
        <ns0:f>IF(COUNTA($A224:$M224)=0,"",IF(OR($U224="Subscription",NOT(ISNUMBER($J224)),$J224=0,$X224=""),"",$X224/$J224))</ns0:f>
      </ns0:c>
      <ns0:c r="Z224" s="957" t="str">
        <ns0:f>IF(COUNTA($A224:$M224)=0,"",Instructions!$B$29+SUM($W$5:W224))</ns0:f>
      </ns0:c>
    </ns0:row>
    <ns0:row r="225" ht="36" customHeight="1">
      <ns0:c r="A225" s="439"/>
      <ns0:c r="B225" s="453"/>
      <ns0:c r="C225" s="453"/>
      <ns0:c r="D225" s="454"/>
      <ns0:c r="E225" s="454"/>
      <ns0:c r="F225" s="454"/>
      <ns0:c r="G225" s="986"/>
      <ns0:c r="H225" s="455"/>
      <ns0:c r="I225" s="456"/>
      <ns0:c r="J225" s="456"/>
      <ns0:c r="K225" s="986"/>
      <ns0:c r="L225" s="454"/>
      <ns0:c r="M225" s="439"/>
      <ns0:c r="N225" s="987" t="str">
        <ns0:f>IF(COUNTA($A225:$M225)=0,"",IF(OR(LEFT(LOWER(TRIM($F225&amp;"")),12)="subscription",LOWER(TRIM($F225&amp;""))="membership"),"",IF(OR(AND($H225&lt;&gt;"",$H225=0),LEFT(LOWER(TRIM($F225&amp;"")),9)="free game",LOWER(TRIM($F225&amp;""))="free",LOWER(TRIM($F225&amp;""))="free entry"),IF(ISNUMBER($G225),IF(ISNUMBER(SEARCH("non",LOWER($E225&amp;""))),$G225*0.85,$G225),"N/A"),IF($G225="","",IFERROR(IF(ISNUMBER(SEARCH("non",LOWER($E225&amp;""))),$G225*0.85,$G225),"")))))</ns0:f>
        <ns0:v/>
      </ns0:c>
      <ns0:c r="O225" s="987" t="str">
        <ns0:f>IF(COUNTA($A225:$M225)=0,"",IF(OR(LEFT(LOWER(TRIM($F225&amp;"")),12)="subscription",LOWER(TRIM($F225&amp;""))="membership"),"",IF(OR(AND($H225&lt;&gt;"",$H225=0),LEFT(LOWER(TRIM($F225&amp;"")),9)="free game",LOWER(TRIM($F225&amp;""))="free",LOWER(TRIM($F225&amp;""))="free entry"),IF(OR(NOT(ISNUMBER($N225)),NOT(ISNUMBER($I225)),$I225=0),"N/A",IFERROR($N225/$I225,"N/A")),IF(OR($N225="",$I225="",$I225=0),"",IFERROR($N225/$I225,"")))))</ns0:f>
        <ns0:v/>
      </ns0:c>
      <ns0:c r="P225" s="987">
        <ns0:f>IF(COUNTA($A225:$M225)=0,"",IF(OR(LEFT(LOWER(TRIM($F225&amp;"")),12)="subscription",LOWER(TRIM($F225&amp;""))="membership"),"",IF(LOWER(TRIM($D225&amp;""))="estimate","N/A",IF(LOWER($L225&amp;"")="yes",0,IF(OR(AND($H225&lt;&gt;"",$H225=0),LEFT(LOWER(TRIM($F225&amp;"")),9)="free game",LOWER(TRIM($F225&amp;""))="free",LOWER(TRIM($F225&amp;""))="free entry"),IF(ISNUMBER($K225),$K225,""),IF($K225&lt;&gt;"",$K225,""))))))</ns0:f>
      </ns0:c>
      <ns0:c r="Q225" s="114">
        <ns0:f>IF(COUNTA($A225:$M225)=0,"",IF(OR($U225="Subscription",$U225=""),"",IF($U225="Estimate","N/A",IF($U225="Profit",ROUND(IFERROR($P225,0)-IFERROR($H225,0),2),0))))</ns0:f>
      </ns0:c>
      <ns0:c r="R225" s="114">
        <ns0:f>IF(COUNTA($A225:$M225)=0,"",IF(OR($U225="Subscription",$U225=""),"",IF($U225="Estimate","N/A",IF($U225="Draw",$H225,0))))</ns0:f>
      </ns0:c>
      <ns0:c r="S225" s="114">
        <ns0:f>IF(COUNTA($A225:$M225)=0,"",IF(OR($U225="Subscription",$U225=""),"",IF($U225="Estimate","N/A",IF($U225="Disqualified",$H225,0))))</ns0:f>
      </ns0:c>
      <ns0:c r="T225" s="955">
        <ns0:f>IF(COUNTA($A225:$M225)=0,"",IF(OR($U225="Subscription",$U225=""),"",IF($U225="Estimate","N/A",IF(OR($U225="Free Game",$U225="Disqualified — Free Game",$H225=0),"N/A",IF($U225="Profit",$Q225/$H225,IF($U225="Disqualified",-$S225/$H225,0))))))</ns0:f>
      </ns0:c>
      <ns0:c r="U225" s="920">
        <ns0:f>IF(COUNTA($A225:$M225)=0,"",IF(OR(LEFT(LOWER(TRIM($F225&amp;"")),12)="subscription",LOWER(TRIM($F225&amp;""))="membership"),"Subscription",IF(LOWER(TRIM($D225&amp;""))="estimate","Estimate",IF(OR(AND($H225&lt;&gt;"",$H225=0),LEFT(LOWER(TRIM($F225&amp;"")),9)="free game",LOWER(TRIM($F225&amp;""))="free",LOWER(TRIM($F225&amp;""))="free entry"),IF(LOWER($L225&amp;"")="yes","Disqualified — Free Game","Free Game"),IF(LOWER($L225&amp;"")="yes","Disqualified",IF($P225="","",IF(ROUND(IFERROR(VALUE($P225),0)-IFERROR(VALUE($H225),0),2)&gt;0,"Profit","Draw")))))))</ns0:f>
      </ns0:c>
      <ns0:c r="V225" s="956" t="str">
        <ns0:f>IF(COUNTA($A225:$M225)=0,"",IF(OR($B225="",$C225="",$U225="Subscription"),"",IFERROR(ROUNDUP(($C225-$B225)/7,0),"")))</ns0:f>
      </ns0:c>
      <ns0:c r="W225" s="114">
        <ns0:f>IF(COUNTA($A225:$M225)=0,"",IF(OR($U225="Subscription",$U225=""),"",IF($U225="Estimate","N/A",IF(OR($U225="Free Game",$U225="Disqualified — Free Game"),0,ROUND(IFERROR($Q225,0)-IFERROR($S225,0),2)))))</ns0:f>
      </ns0:c>
      <ns0:c r="X225" s="956" t="str">
        <ns0:f>IF(COUNTA($A225:$M225)=0,"",IF(OR($U225="Subscription",NOT(ISNUMBER($J225)),NOT(ISNUMBER($I225)),$J225=0,$I225=0,$I225&gt;$J225),"",$J225-$I225))</ns0:f>
      </ns0:c>
      <ns0:c r="Y225" s="955" t="str">
        <ns0:f>IF(COUNTA($A225:$M225)=0,"",IF(OR($U225="Subscription",NOT(ISNUMBER($J225)),$J225=0,$X225=""),"",$X225/$J225))</ns0:f>
      </ns0:c>
      <ns0:c r="Z225" s="957" t="str">
        <ns0:f>IF(COUNTA($A225:$M225)=0,"",Instructions!$B$29+SUM($W$5:W225))</ns0:f>
      </ns0:c>
    </ns0:row>
    <ns0:row r="226" ht="36" customHeight="1">
      <ns0:c r="A226" s="439"/>
      <ns0:c r="B226" s="453"/>
      <ns0:c r="C226" s="453"/>
      <ns0:c r="D226" s="454"/>
      <ns0:c r="E226" s="454"/>
      <ns0:c r="F226" s="454"/>
      <ns0:c r="G226" s="986"/>
      <ns0:c r="H226" s="455"/>
      <ns0:c r="I226" s="456"/>
      <ns0:c r="J226" s="456"/>
      <ns0:c r="K226" s="986"/>
      <ns0:c r="L226" s="454"/>
      <ns0:c r="M226" s="439"/>
      <ns0:c r="N226" s="987" t="str">
        <ns0:f>IF(COUNTA($A226:$M226)=0,"",IF(OR(LEFT(LOWER(TRIM($F226&amp;"")),12)="subscription",LOWER(TRIM($F226&amp;""))="membership"),"",IF(OR(AND($H226&lt;&gt;"",$H226=0),LEFT(LOWER(TRIM($F226&amp;"")),9)="free game",LOWER(TRIM($F226&amp;""))="free",LOWER(TRIM($F226&amp;""))="free entry"),IF(ISNUMBER($G226),IF(ISNUMBER(SEARCH("non",LOWER($E226&amp;""))),$G226*0.85,$G226),"N/A"),IF($G226="","",IFERROR(IF(ISNUMBER(SEARCH("non",LOWER($E226&amp;""))),$G226*0.85,$G226),"")))))</ns0:f>
        <ns0:v/>
      </ns0:c>
      <ns0:c r="O226" s="987" t="str">
        <ns0:f>IF(COUNTA($A226:$M226)=0,"",IF(OR(LEFT(LOWER(TRIM($F226&amp;"")),12)="subscription",LOWER(TRIM($F226&amp;""))="membership"),"",IF(OR(AND($H226&lt;&gt;"",$H226=0),LEFT(LOWER(TRIM($F226&amp;"")),9)="free game",LOWER(TRIM($F226&amp;""))="free",LOWER(TRIM($F226&amp;""))="free entry"),IF(OR(NOT(ISNUMBER($N226)),NOT(ISNUMBER($I226)),$I226=0),"N/A",IFERROR($N226/$I226,"N/A")),IF(OR($N226="",$I226="",$I226=0),"",IFERROR($N226/$I226,"")))))</ns0:f>
        <ns0:v/>
      </ns0:c>
      <ns0:c r="P226" s="987">
        <ns0:f>IF(COUNTA($A226:$M226)=0,"",IF(OR(LEFT(LOWER(TRIM($F226&amp;"")),12)="subscription",LOWER(TRIM($F226&amp;""))="membership"),"",IF(LOWER(TRIM($D226&amp;""))="estimate","N/A",IF(LOWER($L226&amp;"")="yes",0,IF(OR(AND($H226&lt;&gt;"",$H226=0),LEFT(LOWER(TRIM($F226&amp;"")),9)="free game",LOWER(TRIM($F226&amp;""))="free",LOWER(TRIM($F226&amp;""))="free entry"),IF(ISNUMBER($K226),$K226,""),IF($K226&lt;&gt;"",$K226,""))))))</ns0:f>
      </ns0:c>
      <ns0:c r="Q226" s="114">
        <ns0:f>IF(COUNTA($A226:$M226)=0,"",IF(OR($U226="Subscription",$U226=""),"",IF($U226="Estimate","N/A",IF($U226="Profit",ROUND(IFERROR($P226,0)-IFERROR($H226,0),2),0))))</ns0:f>
      </ns0:c>
      <ns0:c r="R226" s="114">
        <ns0:f>IF(COUNTA($A226:$M226)=0,"",IF(OR($U226="Subscription",$U226=""),"",IF($U226="Estimate","N/A",IF($U226="Draw",$H226,0))))</ns0:f>
      </ns0:c>
      <ns0:c r="S226" s="114">
        <ns0:f>IF(COUNTA($A226:$M226)=0,"",IF(OR($U226="Subscription",$U226=""),"",IF($U226="Estimate","N/A",IF($U226="Disqualified",$H226,0))))</ns0:f>
      </ns0:c>
      <ns0:c r="T226" s="955">
        <ns0:f>IF(COUNTA($A226:$M226)=0,"",IF(OR($U226="Subscription",$U226=""),"",IF($U226="Estimate","N/A",IF(OR($U226="Free Game",$U226="Disqualified — Free Game",$H226=0),"N/A",IF($U226="Profit",$Q226/$H226,IF($U226="Disqualified",-$S226/$H226,0))))))</ns0:f>
      </ns0:c>
      <ns0:c r="U226" s="920">
        <ns0:f>IF(COUNTA($A226:$M226)=0,"",IF(OR(LEFT(LOWER(TRIM($F226&amp;"")),12)="subscription",LOWER(TRIM($F226&amp;""))="membership"),"Subscription",IF(LOWER(TRIM($D226&amp;""))="estimate","Estimate",IF(OR(AND($H226&lt;&gt;"",$H226=0),LEFT(LOWER(TRIM($F226&amp;"")),9)="free game",LOWER(TRIM($F226&amp;""))="free",LOWER(TRIM($F226&amp;""))="free entry"),IF(LOWER($L226&amp;"")="yes","Disqualified — Free Game","Free Game"),IF(LOWER($L226&amp;"")="yes","Disqualified",IF($P226="","",IF(ROUND(IFERROR(VALUE($P226),0)-IFERROR(VALUE($H226),0),2)&gt;0,"Profit","Draw")))))))</ns0:f>
      </ns0:c>
      <ns0:c r="V226" s="956" t="str">
        <ns0:f>IF(COUNTA($A226:$M226)=0,"",IF(OR($B226="",$C226="",$U226="Subscription"),"",IFERROR(ROUNDUP(($C226-$B226)/7,0),"")))</ns0:f>
      </ns0:c>
      <ns0:c r="W226" s="114">
        <ns0:f>IF(COUNTA($A226:$M226)=0,"",IF(OR($U226="Subscription",$U226=""),"",IF($U226="Estimate","N/A",IF(OR($U226="Free Game",$U226="Disqualified — Free Game"),0,ROUND(IFERROR($Q226,0)-IFERROR($S226,0),2)))))</ns0:f>
      </ns0:c>
      <ns0:c r="X226" s="956" t="str">
        <ns0:f>IF(COUNTA($A226:$M226)=0,"",IF(OR($U226="Subscription",NOT(ISNUMBER($J226)),NOT(ISNUMBER($I226)),$J226=0,$I226=0,$I226&gt;$J226),"",$J226-$I226))</ns0:f>
      </ns0:c>
      <ns0:c r="Y226" s="955" t="str">
        <ns0:f>IF(COUNTA($A226:$M226)=0,"",IF(OR($U226="Subscription",NOT(ISNUMBER($J226)),$J226=0,$X226=""),"",$X226/$J226))</ns0:f>
      </ns0:c>
      <ns0:c r="Z226" s="957" t="str">
        <ns0:f>IF(COUNTA($A226:$M226)=0,"",Instructions!$B$29+SUM($W$5:W226))</ns0:f>
      </ns0:c>
    </ns0:row>
    <ns0:row r="227" ht="36" customHeight="1">
      <ns0:c r="A227" s="439"/>
      <ns0:c r="B227" s="453"/>
      <ns0:c r="C227" s="453"/>
      <ns0:c r="D227" s="454"/>
      <ns0:c r="E227" s="454"/>
      <ns0:c r="F227" s="454"/>
      <ns0:c r="G227" s="986"/>
      <ns0:c r="H227" s="455"/>
      <ns0:c r="I227" s="456"/>
      <ns0:c r="J227" s="456"/>
      <ns0:c r="K227" s="986"/>
      <ns0:c r="L227" s="454"/>
      <ns0:c r="M227" s="439"/>
      <ns0:c r="N227" s="987" t="str">
        <ns0:f>IF(COUNTA($A227:$M227)=0,"",IF(OR(LEFT(LOWER(TRIM($F227&amp;"")),12)="subscription",LOWER(TRIM($F227&amp;""))="membership"),"",IF(OR(AND($H227&lt;&gt;"",$H227=0),LEFT(LOWER(TRIM($F227&amp;"")),9)="free game",LOWER(TRIM($F227&amp;""))="free",LOWER(TRIM($F227&amp;""))="free entry"),IF(ISNUMBER($G227),IF(ISNUMBER(SEARCH("non",LOWER($E227&amp;""))),$G227*0.85,$G227),"N/A"),IF($G227="","",IFERROR(IF(ISNUMBER(SEARCH("non",LOWER($E227&amp;""))),$G227*0.85,$G227),"")))))</ns0:f>
        <ns0:v/>
      </ns0:c>
      <ns0:c r="O227" s="987" t="str">
        <ns0:f>IF(COUNTA($A227:$M227)=0,"",IF(OR(LEFT(LOWER(TRIM($F227&amp;"")),12)="subscription",LOWER(TRIM($F227&amp;""))="membership"),"",IF(OR(AND($H227&lt;&gt;"",$H227=0),LEFT(LOWER(TRIM($F227&amp;"")),9)="free game",LOWER(TRIM($F227&amp;""))="free",LOWER(TRIM($F227&amp;""))="free entry"),IF(OR(NOT(ISNUMBER($N227)),NOT(ISNUMBER($I227)),$I227=0),"N/A",IFERROR($N227/$I227,"N/A")),IF(OR($N227="",$I227="",$I227=0),"",IFERROR($N227/$I227,"")))))</ns0:f>
        <ns0:v/>
      </ns0:c>
      <ns0:c r="P227" s="987">
        <ns0:f>IF(COUNTA($A227:$M227)=0,"",IF(OR(LEFT(LOWER(TRIM($F227&amp;"")),12)="subscription",LOWER(TRIM($F227&amp;""))="membership"),"",IF(LOWER(TRIM($D227&amp;""))="estimate","N/A",IF(LOWER($L227&amp;"")="yes",0,IF(OR(AND($H227&lt;&gt;"",$H227=0),LEFT(LOWER(TRIM($F227&amp;"")),9)="free game",LOWER(TRIM($F227&amp;""))="free",LOWER(TRIM($F227&amp;""))="free entry"),IF(ISNUMBER($K227),$K227,""),IF($K227&lt;&gt;"",$K227,""))))))</ns0:f>
      </ns0:c>
      <ns0:c r="Q227" s="114">
        <ns0:f>IF(COUNTA($A227:$M227)=0,"",IF(OR($U227="Subscription",$U227=""),"",IF($U227="Estimate","N/A",IF($U227="Profit",ROUND(IFERROR($P227,0)-IFERROR($H227,0),2),0))))</ns0:f>
      </ns0:c>
      <ns0:c r="R227" s="114">
        <ns0:f>IF(COUNTA($A227:$M227)=0,"",IF(OR($U227="Subscription",$U227=""),"",IF($U227="Estimate","N/A",IF($U227="Draw",$H227,0))))</ns0:f>
      </ns0:c>
      <ns0:c r="S227" s="114">
        <ns0:f>IF(COUNTA($A227:$M227)=0,"",IF(OR($U227="Subscription",$U227=""),"",IF($U227="Estimate","N/A",IF($U227="Disqualified",$H227,0))))</ns0:f>
      </ns0:c>
      <ns0:c r="T227" s="955">
        <ns0:f>IF(COUNTA($A227:$M227)=0,"",IF(OR($U227="Subscription",$U227=""),"",IF($U227="Estimate","N/A",IF(OR($U227="Free Game",$U227="Disqualified — Free Game",$H227=0),"N/A",IF($U227="Profit",$Q227/$H227,IF($U227="Disqualified",-$S227/$H227,0))))))</ns0:f>
      </ns0:c>
      <ns0:c r="U227" s="920">
        <ns0:f>IF(COUNTA($A227:$M227)=0,"",IF(OR(LEFT(LOWER(TRIM($F227&amp;"")),12)="subscription",LOWER(TRIM($F227&amp;""))="membership"),"Subscription",IF(LOWER(TRIM($D227&amp;""))="estimate","Estimate",IF(OR(AND($H227&lt;&gt;"",$H227=0),LEFT(LOWER(TRIM($F227&amp;"")),9)="free game",LOWER(TRIM($F227&amp;""))="free",LOWER(TRIM($F227&amp;""))="free entry"),IF(LOWER($L227&amp;"")="yes","Disqualified — Free Game","Free Game"),IF(LOWER($L227&amp;"")="yes","Disqualified",IF($P227="","",IF(ROUND(IFERROR(VALUE($P227),0)-IFERROR(VALUE($H227),0),2)&gt;0,"Profit","Draw")))))))</ns0:f>
      </ns0:c>
      <ns0:c r="V227" s="956" t="str">
        <ns0:f>IF(COUNTA($A227:$M227)=0,"",IF(OR($B227="",$C227="",$U227="Subscription"),"",IFERROR(ROUNDUP(($C227-$B227)/7,0),"")))</ns0:f>
      </ns0:c>
      <ns0:c r="W227" s="114">
        <ns0:f>IF(COUNTA($A227:$M227)=0,"",IF(OR($U227="Subscription",$U227=""),"",IF($U227="Estimate","N/A",IF(OR($U227="Free Game",$U227="Disqualified — Free Game"),0,ROUND(IFERROR($Q227,0)-IFERROR($S227,0),2)))))</ns0:f>
      </ns0:c>
      <ns0:c r="X227" s="956" t="str">
        <ns0:f>IF(COUNTA($A227:$M227)=0,"",IF(OR($U227="Subscription",NOT(ISNUMBER($J227)),NOT(ISNUMBER($I227)),$J227=0,$I227=0,$I227&gt;$J227),"",$J227-$I227))</ns0:f>
      </ns0:c>
      <ns0:c r="Y227" s="955" t="str">
        <ns0:f>IF(COUNTA($A227:$M227)=0,"",IF(OR($U227="Subscription",NOT(ISNUMBER($J227)),$J227=0,$X227=""),"",$X227/$J227))</ns0:f>
      </ns0:c>
      <ns0:c r="Z227" s="957" t="str">
        <ns0:f>IF(COUNTA($A227:$M227)=0,"",Instructions!$B$29+SUM($W$5:W227))</ns0:f>
      </ns0:c>
    </ns0:row>
    <ns0:row r="228" ht="36" customHeight="1">
      <ns0:c r="A228" s="439"/>
      <ns0:c r="B228" s="453"/>
      <ns0:c r="C228" s="453"/>
      <ns0:c r="D228" s="454"/>
      <ns0:c r="E228" s="454"/>
      <ns0:c r="F228" s="454"/>
      <ns0:c r="G228" s="986"/>
      <ns0:c r="H228" s="455"/>
      <ns0:c r="I228" s="456"/>
      <ns0:c r="J228" s="456"/>
      <ns0:c r="K228" s="986"/>
      <ns0:c r="L228" s="454"/>
      <ns0:c r="M228" s="439"/>
      <ns0:c r="N228" s="987" t="str">
        <ns0:f>IF(COUNTA($A228:$M228)=0,"",IF(OR(LEFT(LOWER(TRIM($F228&amp;"")),12)="subscription",LOWER(TRIM($F228&amp;""))="membership"),"",IF(OR(AND($H228&lt;&gt;"",$H228=0),LEFT(LOWER(TRIM($F228&amp;"")),9)="free game",LOWER(TRIM($F228&amp;""))="free",LOWER(TRIM($F228&amp;""))="free entry"),IF(ISNUMBER($G228),IF(ISNUMBER(SEARCH("non",LOWER($E228&amp;""))),$G228*0.85,$G228),"N/A"),IF($G228="","",IFERROR(IF(ISNUMBER(SEARCH("non",LOWER($E228&amp;""))),$G228*0.85,$G228),"")))))</ns0:f>
        <ns0:v/>
      </ns0:c>
      <ns0:c r="O228" s="987" t="str">
        <ns0:f>IF(COUNTA($A228:$M228)=0,"",IF(OR(LEFT(LOWER(TRIM($F228&amp;"")),12)="subscription",LOWER(TRIM($F228&amp;""))="membership"),"",IF(OR(AND($H228&lt;&gt;"",$H228=0),LEFT(LOWER(TRIM($F228&amp;"")),9)="free game",LOWER(TRIM($F228&amp;""))="free",LOWER(TRIM($F228&amp;""))="free entry"),IF(OR(NOT(ISNUMBER($N228)),NOT(ISNUMBER($I228)),$I228=0),"N/A",IFERROR($N228/$I228,"N/A")),IF(OR($N228="",$I228="",$I228=0),"",IFERROR($N228/$I228,"")))))</ns0:f>
        <ns0:v/>
      </ns0:c>
      <ns0:c r="P228" s="987">
        <ns0:f>IF(COUNTA($A228:$M228)=0,"",IF(OR(LEFT(LOWER(TRIM($F228&amp;"")),12)="subscription",LOWER(TRIM($F228&amp;""))="membership"),"",IF(LOWER(TRIM($D228&amp;""))="estimate","N/A",IF(LOWER($L228&amp;"")="yes",0,IF(OR(AND($H228&lt;&gt;"",$H228=0),LEFT(LOWER(TRIM($F228&amp;"")),9)="free game",LOWER(TRIM($F228&amp;""))="free",LOWER(TRIM($F228&amp;""))="free entry"),IF(ISNUMBER($K228),$K228,""),IF($K228&lt;&gt;"",$K228,""))))))</ns0:f>
      </ns0:c>
      <ns0:c r="Q228" s="114">
        <ns0:f>IF(COUNTA($A228:$M228)=0,"",IF(OR($U228="Subscription",$U228=""),"",IF($U228="Estimate","N/A",IF($U228="Profit",ROUND(IFERROR($P228,0)-IFERROR($H228,0),2),0))))</ns0:f>
      </ns0:c>
      <ns0:c r="R228" s="114">
        <ns0:f>IF(COUNTA($A228:$M228)=0,"",IF(OR($U228="Subscription",$U228=""),"",IF($U228="Estimate","N/A",IF($U228="Draw",$H228,0))))</ns0:f>
      </ns0:c>
      <ns0:c r="S228" s="114">
        <ns0:f>IF(COUNTA($A228:$M228)=0,"",IF(OR($U228="Subscription",$U228=""),"",IF($U228="Estimate","N/A",IF($U228="Disqualified",$H228,0))))</ns0:f>
      </ns0:c>
      <ns0:c r="T228" s="955">
        <ns0:f>IF(COUNTA($A228:$M228)=0,"",IF(OR($U228="Subscription",$U228=""),"",IF($U228="Estimate","N/A",IF(OR($U228="Free Game",$U228="Disqualified — Free Game",$H228=0),"N/A",IF($U228="Profit",$Q228/$H228,IF($U228="Disqualified",-$S228/$H228,0))))))</ns0:f>
      </ns0:c>
      <ns0:c r="U228" s="920">
        <ns0:f>IF(COUNTA($A228:$M228)=0,"",IF(OR(LEFT(LOWER(TRIM($F228&amp;"")),12)="subscription",LOWER(TRIM($F228&amp;""))="membership"),"Subscription",IF(LOWER(TRIM($D228&amp;""))="estimate","Estimate",IF(OR(AND($H228&lt;&gt;"",$H228=0),LEFT(LOWER(TRIM($F228&amp;"")),9)="free game",LOWER(TRIM($F228&amp;""))="free",LOWER(TRIM($F228&amp;""))="free entry"),IF(LOWER($L228&amp;"")="yes","Disqualified — Free Game","Free Game"),IF(LOWER($L228&amp;"")="yes","Disqualified",IF($P228="","",IF(ROUND(IFERROR(VALUE($P228),0)-IFERROR(VALUE($H228),0),2)&gt;0,"Profit","Draw")))))))</ns0:f>
      </ns0:c>
      <ns0:c r="V228" s="956" t="str">
        <ns0:f>IF(COUNTA($A228:$M228)=0,"",IF(OR($B228="",$C228="",$U228="Subscription"),"",IFERROR(ROUNDUP(($C228-$B228)/7,0),"")))</ns0:f>
      </ns0:c>
      <ns0:c r="W228" s="114">
        <ns0:f>IF(COUNTA($A228:$M228)=0,"",IF(OR($U228="Subscription",$U228=""),"",IF($U228="Estimate","N/A",IF(OR($U228="Free Game",$U228="Disqualified — Free Game"),0,ROUND(IFERROR($Q228,0)-IFERROR($S228,0),2)))))</ns0:f>
      </ns0:c>
      <ns0:c r="X228" s="956" t="str">
        <ns0:f>IF(COUNTA($A228:$M228)=0,"",IF(OR($U228="Subscription",NOT(ISNUMBER($J228)),NOT(ISNUMBER($I228)),$J228=0,$I228=0,$I228&gt;$J228),"",$J228-$I228))</ns0:f>
      </ns0:c>
      <ns0:c r="Y228" s="955" t="str">
        <ns0:f>IF(COUNTA($A228:$M228)=0,"",IF(OR($U228="Subscription",NOT(ISNUMBER($J228)),$J228=0,$X228=""),"",$X228/$J228))</ns0:f>
      </ns0:c>
      <ns0:c r="Z228" s="957" t="str">
        <ns0:f>IF(COUNTA($A228:$M228)=0,"",Instructions!$B$29+SUM($W$5:W228))</ns0:f>
      </ns0:c>
    </ns0:row>
    <ns0:row r="229" ht="36" customHeight="1">
      <ns0:c r="A229" s="439"/>
      <ns0:c r="B229" s="453"/>
      <ns0:c r="C229" s="453"/>
      <ns0:c r="D229" s="454"/>
      <ns0:c r="E229" s="454"/>
      <ns0:c r="F229" s="454"/>
      <ns0:c r="G229" s="986"/>
      <ns0:c r="H229" s="455"/>
      <ns0:c r="I229" s="456"/>
      <ns0:c r="J229" s="456"/>
      <ns0:c r="K229" s="986"/>
      <ns0:c r="L229" s="454"/>
      <ns0:c r="M229" s="439"/>
      <ns0:c r="N229" s="987" t="str">
        <ns0:f>IF(COUNTA($A229:$M229)=0,"",IF(OR(LEFT(LOWER(TRIM($F229&amp;"")),12)="subscription",LOWER(TRIM($F229&amp;""))="membership"),"",IF(OR(AND($H229&lt;&gt;"",$H229=0),LEFT(LOWER(TRIM($F229&amp;"")),9)="free game",LOWER(TRIM($F229&amp;""))="free",LOWER(TRIM($F229&amp;""))="free entry"),IF(ISNUMBER($G229),IF(ISNUMBER(SEARCH("non",LOWER($E229&amp;""))),$G229*0.85,$G229),"N/A"),IF($G229="","",IFERROR(IF(ISNUMBER(SEARCH("non",LOWER($E229&amp;""))),$G229*0.85,$G229),"")))))</ns0:f>
        <ns0:v/>
      </ns0:c>
      <ns0:c r="O229" s="987" t="str">
        <ns0:f>IF(COUNTA($A229:$M229)=0,"",IF(OR(LEFT(LOWER(TRIM($F229&amp;"")),12)="subscription",LOWER(TRIM($F229&amp;""))="membership"),"",IF(OR(AND($H229&lt;&gt;"",$H229=0),LEFT(LOWER(TRIM($F229&amp;"")),9)="free game",LOWER(TRIM($F229&amp;""))="free",LOWER(TRIM($F229&amp;""))="free entry"),IF(OR(NOT(ISNUMBER($N229)),NOT(ISNUMBER($I229)),$I229=0),"N/A",IFERROR($N229/$I229,"N/A")),IF(OR($N229="",$I229="",$I229=0),"",IFERROR($N229/$I229,"")))))</ns0:f>
        <ns0:v/>
      </ns0:c>
      <ns0:c r="P229" s="987">
        <ns0:f>IF(COUNTA($A229:$M229)=0,"",IF(OR(LEFT(LOWER(TRIM($F229&amp;"")),12)="subscription",LOWER(TRIM($F229&amp;""))="membership"),"",IF(LOWER(TRIM($D229&amp;""))="estimate","N/A",IF(LOWER($L229&amp;"")="yes",0,IF(OR(AND($H229&lt;&gt;"",$H229=0),LEFT(LOWER(TRIM($F229&amp;"")),9)="free game",LOWER(TRIM($F229&amp;""))="free",LOWER(TRIM($F229&amp;""))="free entry"),IF(ISNUMBER($K229),$K229,""),IF($K229&lt;&gt;"",$K229,""))))))</ns0:f>
      </ns0:c>
      <ns0:c r="Q229" s="114">
        <ns0:f>IF(COUNTA($A229:$M229)=0,"",IF(OR($U229="Subscription",$U229=""),"",IF($U229="Estimate","N/A",IF($U229="Profit",ROUND(IFERROR($P229,0)-IFERROR($H229,0),2),0))))</ns0:f>
      </ns0:c>
      <ns0:c r="R229" s="114">
        <ns0:f>IF(COUNTA($A229:$M229)=0,"",IF(OR($U229="Subscription",$U229=""),"",IF($U229="Estimate","N/A",IF($U229="Draw",$H229,0))))</ns0:f>
      </ns0:c>
      <ns0:c r="S229" s="114">
        <ns0:f>IF(COUNTA($A229:$M229)=0,"",IF(OR($U229="Subscription",$U229=""),"",IF($U229="Estimate","N/A",IF($U229="Disqualified",$H229,0))))</ns0:f>
      </ns0:c>
      <ns0:c r="T229" s="955">
        <ns0:f>IF(COUNTA($A229:$M229)=0,"",IF(OR($U229="Subscription",$U229=""),"",IF($U229="Estimate","N/A",IF(OR($U229="Free Game",$U229="Disqualified — Free Game",$H229=0),"N/A",IF($U229="Profit",$Q229/$H229,IF($U229="Disqualified",-$S229/$H229,0))))))</ns0:f>
      </ns0:c>
      <ns0:c r="U229" s="920">
        <ns0:f>IF(COUNTA($A229:$M229)=0,"",IF(OR(LEFT(LOWER(TRIM($F229&amp;"")),12)="subscription",LOWER(TRIM($F229&amp;""))="membership"),"Subscription",IF(LOWER(TRIM($D229&amp;""))="estimate","Estimate",IF(OR(AND($H229&lt;&gt;"",$H229=0),LEFT(LOWER(TRIM($F229&amp;"")),9)="free game",LOWER(TRIM($F229&amp;""))="free",LOWER(TRIM($F229&amp;""))="free entry"),IF(LOWER($L229&amp;"")="yes","Disqualified — Free Game","Free Game"),IF(LOWER($L229&amp;"")="yes","Disqualified",IF($P229="","",IF(ROUND(IFERROR(VALUE($P229),0)-IFERROR(VALUE($H229),0),2)&gt;0,"Profit","Draw")))))))</ns0:f>
      </ns0:c>
      <ns0:c r="V229" s="956" t="str">
        <ns0:f>IF(COUNTA($A229:$M229)=0,"",IF(OR($B229="",$C229="",$U229="Subscription"),"",IFERROR(ROUNDUP(($C229-$B229)/7,0),"")))</ns0:f>
      </ns0:c>
      <ns0:c r="W229" s="114">
        <ns0:f>IF(COUNTA($A229:$M229)=0,"",IF(OR($U229="Subscription",$U229=""),"",IF($U229="Estimate","N/A",IF(OR($U229="Free Game",$U229="Disqualified — Free Game"),0,ROUND(IFERROR($Q229,0)-IFERROR($S229,0),2)))))</ns0:f>
      </ns0:c>
      <ns0:c r="X229" s="956" t="str">
        <ns0:f>IF(COUNTA($A229:$M229)=0,"",IF(OR($U229="Subscription",NOT(ISNUMBER($J229)),NOT(ISNUMBER($I229)),$J229=0,$I229=0,$I229&gt;$J229),"",$J229-$I229))</ns0:f>
      </ns0:c>
      <ns0:c r="Y229" s="955" t="str">
        <ns0:f>IF(COUNTA($A229:$M229)=0,"",IF(OR($U229="Subscription",NOT(ISNUMBER($J229)),$J229=0,$X229=""),"",$X229/$J229))</ns0:f>
      </ns0:c>
      <ns0:c r="Z229" s="957" t="str">
        <ns0:f>IF(COUNTA($A229:$M229)=0,"",Instructions!$B$29+SUM($W$5:W229))</ns0:f>
      </ns0:c>
    </ns0:row>
    <ns0:row r="230" ht="36" customHeight="1">
      <ns0:c r="A230" s="439"/>
      <ns0:c r="B230" s="453"/>
      <ns0:c r="C230" s="453"/>
      <ns0:c r="D230" s="454"/>
      <ns0:c r="E230" s="454"/>
      <ns0:c r="F230" s="454"/>
      <ns0:c r="G230" s="986"/>
      <ns0:c r="H230" s="455"/>
      <ns0:c r="I230" s="456"/>
      <ns0:c r="J230" s="456"/>
      <ns0:c r="K230" s="986"/>
      <ns0:c r="L230" s="454"/>
      <ns0:c r="M230" s="439"/>
      <ns0:c r="N230" s="987" t="str">
        <ns0:f>IF(COUNTA($A230:$M230)=0,"",IF(OR(LEFT(LOWER(TRIM($F230&amp;"")),12)="subscription",LOWER(TRIM($F230&amp;""))="membership"),"",IF(OR(AND($H230&lt;&gt;"",$H230=0),LEFT(LOWER(TRIM($F230&amp;"")),9)="free game",LOWER(TRIM($F230&amp;""))="free",LOWER(TRIM($F230&amp;""))="free entry"),IF(ISNUMBER($G230),IF(ISNUMBER(SEARCH("non",LOWER($E230&amp;""))),$G230*0.85,$G230),"N/A"),IF($G230="","",IFERROR(IF(ISNUMBER(SEARCH("non",LOWER($E230&amp;""))),$G230*0.85,$G230),"")))))</ns0:f>
        <ns0:v/>
      </ns0:c>
      <ns0:c r="O230" s="987" t="str">
        <ns0:f>IF(COUNTA($A230:$M230)=0,"",IF(OR(LEFT(LOWER(TRIM($F230&amp;"")),12)="subscription",LOWER(TRIM($F230&amp;""))="membership"),"",IF(OR(AND($H230&lt;&gt;"",$H230=0),LEFT(LOWER(TRIM($F230&amp;"")),9)="free game",LOWER(TRIM($F230&amp;""))="free",LOWER(TRIM($F230&amp;""))="free entry"),IF(OR(NOT(ISNUMBER($N230)),NOT(ISNUMBER($I230)),$I230=0),"N/A",IFERROR($N230/$I230,"N/A")),IF(OR($N230="",$I230="",$I230=0),"",IFERROR($N230/$I230,"")))))</ns0:f>
        <ns0:v/>
      </ns0:c>
      <ns0:c r="P230" s="987">
        <ns0:f>IF(COUNTA($A230:$M230)=0,"",IF(OR(LEFT(LOWER(TRIM($F230&amp;"")),12)="subscription",LOWER(TRIM($F230&amp;""))="membership"),"",IF(LOWER(TRIM($D230&amp;""))="estimate","N/A",IF(LOWER($L230&amp;"")="yes",0,IF(OR(AND($H230&lt;&gt;"",$H230=0),LEFT(LOWER(TRIM($F230&amp;"")),9)="free game",LOWER(TRIM($F230&amp;""))="free",LOWER(TRIM($F230&amp;""))="free entry"),IF(ISNUMBER($K230),$K230,""),IF($K230&lt;&gt;"",$K230,""))))))</ns0:f>
      </ns0:c>
      <ns0:c r="Q230" s="114">
        <ns0:f>IF(COUNTA($A230:$M230)=0,"",IF(OR($U230="Subscription",$U230=""),"",IF($U230="Estimate","N/A",IF($U230="Profit",ROUND(IFERROR($P230,0)-IFERROR($H230,0),2),0))))</ns0:f>
      </ns0:c>
      <ns0:c r="R230" s="114">
        <ns0:f>IF(COUNTA($A230:$M230)=0,"",IF(OR($U230="Subscription",$U230=""),"",IF($U230="Estimate","N/A",IF($U230="Draw",$H230,0))))</ns0:f>
      </ns0:c>
      <ns0:c r="S230" s="114">
        <ns0:f>IF(COUNTA($A230:$M230)=0,"",IF(OR($U230="Subscription",$U230=""),"",IF($U230="Estimate","N/A",IF($U230="Disqualified",$H230,0))))</ns0:f>
      </ns0:c>
      <ns0:c r="T230" s="955">
        <ns0:f>IF(COUNTA($A230:$M230)=0,"",IF(OR($U230="Subscription",$U230=""),"",IF($U230="Estimate","N/A",IF(OR($U230="Free Game",$U230="Disqualified — Free Game",$H230=0),"N/A",IF($U230="Profit",$Q230/$H230,IF($U230="Disqualified",-$S230/$H230,0))))))</ns0:f>
      </ns0:c>
      <ns0:c r="U230" s="920">
        <ns0:f>IF(COUNTA($A230:$M230)=0,"",IF(OR(LEFT(LOWER(TRIM($F230&amp;"")),12)="subscription",LOWER(TRIM($F230&amp;""))="membership"),"Subscription",IF(LOWER(TRIM($D230&amp;""))="estimate","Estimate",IF(OR(AND($H230&lt;&gt;"",$H230=0),LEFT(LOWER(TRIM($F230&amp;"")),9)="free game",LOWER(TRIM($F230&amp;""))="free",LOWER(TRIM($F230&amp;""))="free entry"),IF(LOWER($L230&amp;"")="yes","Disqualified — Free Game","Free Game"),IF(LOWER($L230&amp;"")="yes","Disqualified",IF($P230="","",IF(ROUND(IFERROR(VALUE($P230),0)-IFERROR(VALUE($H230),0),2)&gt;0,"Profit","Draw")))))))</ns0:f>
      </ns0:c>
      <ns0:c r="V230" s="956" t="str">
        <ns0:f>IF(COUNTA($A230:$M230)=0,"",IF(OR($B230="",$C230="",$U230="Subscription"),"",IFERROR(ROUNDUP(($C230-$B230)/7,0),"")))</ns0:f>
      </ns0:c>
      <ns0:c r="W230" s="114">
        <ns0:f>IF(COUNTA($A230:$M230)=0,"",IF(OR($U230="Subscription",$U230=""),"",IF($U230="Estimate","N/A",IF(OR($U230="Free Game",$U230="Disqualified — Free Game"),0,ROUND(IFERROR($Q230,0)-IFERROR($S230,0),2)))))</ns0:f>
      </ns0:c>
      <ns0:c r="X230" s="956" t="str">
        <ns0:f>IF(COUNTA($A230:$M230)=0,"",IF(OR($U230="Subscription",NOT(ISNUMBER($J230)),NOT(ISNUMBER($I230)),$J230=0,$I230=0,$I230&gt;$J230),"",$J230-$I230))</ns0:f>
      </ns0:c>
      <ns0:c r="Y230" s="955" t="str">
        <ns0:f>IF(COUNTA($A230:$M230)=0,"",IF(OR($U230="Subscription",NOT(ISNUMBER($J230)),$J230=0,$X230=""),"",$X230/$J230))</ns0:f>
      </ns0:c>
      <ns0:c r="Z230" s="957" t="str">
        <ns0:f>IF(COUNTA($A230:$M230)=0,"",Instructions!$B$29+SUM($W$5:W230))</ns0:f>
      </ns0:c>
    </ns0:row>
    <ns0:row r="231" ht="36" customHeight="1">
      <ns0:c r="A231" s="439"/>
      <ns0:c r="B231" s="453"/>
      <ns0:c r="C231" s="453"/>
      <ns0:c r="D231" s="454"/>
      <ns0:c r="E231" s="454"/>
      <ns0:c r="F231" s="454"/>
      <ns0:c r="G231" s="986"/>
      <ns0:c r="H231" s="455"/>
      <ns0:c r="I231" s="456"/>
      <ns0:c r="J231" s="456"/>
      <ns0:c r="K231" s="986"/>
      <ns0:c r="L231" s="454"/>
      <ns0:c r="M231" s="439"/>
      <ns0:c r="N231" s="987" t="str">
        <ns0:f>IF(COUNTA($A231:$M231)=0,"",IF(OR(LEFT(LOWER(TRIM($F231&amp;"")),12)="subscription",LOWER(TRIM($F231&amp;""))="membership"),"",IF(OR(AND($H231&lt;&gt;"",$H231=0),LEFT(LOWER(TRIM($F231&amp;"")),9)="free game",LOWER(TRIM($F231&amp;""))="free",LOWER(TRIM($F231&amp;""))="free entry"),IF(ISNUMBER($G231),IF(ISNUMBER(SEARCH("non",LOWER($E231&amp;""))),$G231*0.85,$G231),"N/A"),IF($G231="","",IFERROR(IF(ISNUMBER(SEARCH("non",LOWER($E231&amp;""))),$G231*0.85,$G231),"")))))</ns0:f>
        <ns0:v/>
      </ns0:c>
      <ns0:c r="O231" s="987" t="str">
        <ns0:f>IF(COUNTA($A231:$M231)=0,"",IF(OR(LEFT(LOWER(TRIM($F231&amp;"")),12)="subscription",LOWER(TRIM($F231&amp;""))="membership"),"",IF(OR(AND($H231&lt;&gt;"",$H231=0),LEFT(LOWER(TRIM($F231&amp;"")),9)="free game",LOWER(TRIM($F231&amp;""))="free",LOWER(TRIM($F231&amp;""))="free entry"),IF(OR(NOT(ISNUMBER($N231)),NOT(ISNUMBER($I231)),$I231=0),"N/A",IFERROR($N231/$I231,"N/A")),IF(OR($N231="",$I231="",$I231=0),"",IFERROR($N231/$I231,"")))))</ns0:f>
        <ns0:v/>
      </ns0:c>
      <ns0:c r="P231" s="987">
        <ns0:f>IF(COUNTA($A231:$M231)=0,"",IF(OR(LEFT(LOWER(TRIM($F231&amp;"")),12)="subscription",LOWER(TRIM($F231&amp;""))="membership"),"",IF(LOWER(TRIM($D231&amp;""))="estimate","N/A",IF(LOWER($L231&amp;"")="yes",0,IF(OR(AND($H231&lt;&gt;"",$H231=0),LEFT(LOWER(TRIM($F231&amp;"")),9)="free game",LOWER(TRIM($F231&amp;""))="free",LOWER(TRIM($F231&amp;""))="free entry"),IF(ISNUMBER($K231),$K231,""),IF($K231&lt;&gt;"",$K231,""))))))</ns0:f>
      </ns0:c>
      <ns0:c r="Q231" s="114">
        <ns0:f>IF(COUNTA($A231:$M231)=0,"",IF(OR($U231="Subscription",$U231=""),"",IF($U231="Estimate","N/A",IF($U231="Profit",ROUND(IFERROR($P231,0)-IFERROR($H231,0),2),0))))</ns0:f>
      </ns0:c>
      <ns0:c r="R231" s="114">
        <ns0:f>IF(COUNTA($A231:$M231)=0,"",IF(OR($U231="Subscription",$U231=""),"",IF($U231="Estimate","N/A",IF($U231="Draw",$H231,0))))</ns0:f>
      </ns0:c>
      <ns0:c r="S231" s="114">
        <ns0:f>IF(COUNTA($A231:$M231)=0,"",IF(OR($U231="Subscription",$U231=""),"",IF($U231="Estimate","N/A",IF($U231="Disqualified",$H231,0))))</ns0:f>
      </ns0:c>
      <ns0:c r="T231" s="955">
        <ns0:f>IF(COUNTA($A231:$M231)=0,"",IF(OR($U231="Subscription",$U231=""),"",IF($U231="Estimate","N/A",IF(OR($U231="Free Game",$U231="Disqualified — Free Game",$H231=0),"N/A",IF($U231="Profit",$Q231/$H231,IF($U231="Disqualified",-$S231/$H231,0))))))</ns0:f>
      </ns0:c>
      <ns0:c r="U231" s="920">
        <ns0:f>IF(COUNTA($A231:$M231)=0,"",IF(OR(LEFT(LOWER(TRIM($F231&amp;"")),12)="subscription",LOWER(TRIM($F231&amp;""))="membership"),"Subscription",IF(LOWER(TRIM($D231&amp;""))="estimate","Estimate",IF(OR(AND($H231&lt;&gt;"",$H231=0),LEFT(LOWER(TRIM($F231&amp;"")),9)="free game",LOWER(TRIM($F231&amp;""))="free",LOWER(TRIM($F231&amp;""))="free entry"),IF(LOWER($L231&amp;"")="yes","Disqualified — Free Game","Free Game"),IF(LOWER($L231&amp;"")="yes","Disqualified",IF($P231="","",IF(ROUND(IFERROR(VALUE($P231),0)-IFERROR(VALUE($H231),0),2)&gt;0,"Profit","Draw")))))))</ns0:f>
      </ns0:c>
      <ns0:c r="V231" s="956" t="str">
        <ns0:f>IF(COUNTA($A231:$M231)=0,"",IF(OR($B231="",$C231="",$U231="Subscription"),"",IFERROR(ROUNDUP(($C231-$B231)/7,0),"")))</ns0:f>
      </ns0:c>
      <ns0:c r="W231" s="114">
        <ns0:f>IF(COUNTA($A231:$M231)=0,"",IF(OR($U231="Subscription",$U231=""),"",IF($U231="Estimate","N/A",IF(OR($U231="Free Game",$U231="Disqualified — Free Game"),0,ROUND(IFERROR($Q231,0)-IFERROR($S231,0),2)))))</ns0:f>
      </ns0:c>
      <ns0:c r="X231" s="956" t="str">
        <ns0:f>IF(COUNTA($A231:$M231)=0,"",IF(OR($U231="Subscription",NOT(ISNUMBER($J231)),NOT(ISNUMBER($I231)),$J231=0,$I231=0,$I231&gt;$J231),"",$J231-$I231))</ns0:f>
      </ns0:c>
      <ns0:c r="Y231" s="955" t="str">
        <ns0:f>IF(COUNTA($A231:$M231)=0,"",IF(OR($U231="Subscription",NOT(ISNUMBER($J231)),$J231=0,$X231=""),"",$X231/$J231))</ns0:f>
      </ns0:c>
      <ns0:c r="Z231" s="957" t="str">
        <ns0:f>IF(COUNTA($A231:$M231)=0,"",Instructions!$B$29+SUM($W$5:W231))</ns0:f>
      </ns0:c>
    </ns0:row>
    <ns0:row r="232" ht="36" customHeight="1">
      <ns0:c r="A232" s="439"/>
      <ns0:c r="B232" s="453"/>
      <ns0:c r="C232" s="453"/>
      <ns0:c r="D232" s="454"/>
      <ns0:c r="E232" s="454"/>
      <ns0:c r="F232" s="454"/>
      <ns0:c r="G232" s="986"/>
      <ns0:c r="H232" s="455"/>
      <ns0:c r="I232" s="456"/>
      <ns0:c r="J232" s="456"/>
      <ns0:c r="K232" s="986"/>
      <ns0:c r="L232" s="454"/>
      <ns0:c r="M232" s="439"/>
      <ns0:c r="N232" s="987" t="str">
        <ns0:f>IF(COUNTA($A232:$M232)=0,"",IF(OR(LEFT(LOWER(TRIM($F232&amp;"")),12)="subscription",LOWER(TRIM($F232&amp;""))="membership"),"",IF(OR(AND($H232&lt;&gt;"",$H232=0),LEFT(LOWER(TRIM($F232&amp;"")),9)="free game",LOWER(TRIM($F232&amp;""))="free",LOWER(TRIM($F232&amp;""))="free entry"),IF(ISNUMBER($G232),IF(ISNUMBER(SEARCH("non",LOWER($E232&amp;""))),$G232*0.85,$G232),"N/A"),IF($G232="","",IFERROR(IF(ISNUMBER(SEARCH("non",LOWER($E232&amp;""))),$G232*0.85,$G232),"")))))</ns0:f>
        <ns0:v/>
      </ns0:c>
      <ns0:c r="O232" s="987" t="str">
        <ns0:f>IF(COUNTA($A232:$M232)=0,"",IF(OR(LEFT(LOWER(TRIM($F232&amp;"")),12)="subscription",LOWER(TRIM($F232&amp;""))="membership"),"",IF(OR(AND($H232&lt;&gt;"",$H232=0),LEFT(LOWER(TRIM($F232&amp;"")),9)="free game",LOWER(TRIM($F232&amp;""))="free",LOWER(TRIM($F232&amp;""))="free entry"),IF(OR(NOT(ISNUMBER($N232)),NOT(ISNUMBER($I232)),$I232=0),"N/A",IFERROR($N232/$I232,"N/A")),IF(OR($N232="",$I232="",$I232=0),"",IFERROR($N232/$I232,"")))))</ns0:f>
        <ns0:v/>
      </ns0:c>
      <ns0:c r="P232" s="987">
        <ns0:f>IF(COUNTA($A232:$M232)=0,"",IF(OR(LEFT(LOWER(TRIM($F232&amp;"")),12)="subscription",LOWER(TRIM($F232&amp;""))="membership"),"",IF(LOWER(TRIM($D232&amp;""))="estimate","N/A",IF(LOWER($L232&amp;"")="yes",0,IF(OR(AND($H232&lt;&gt;"",$H232=0),LEFT(LOWER(TRIM($F232&amp;"")),9)="free game",LOWER(TRIM($F232&amp;""))="free",LOWER(TRIM($F232&amp;""))="free entry"),IF(ISNUMBER($K232),$K232,""),IF($K232&lt;&gt;"",$K232,""))))))</ns0:f>
      </ns0:c>
      <ns0:c r="Q232" s="114">
        <ns0:f>IF(COUNTA($A232:$M232)=0,"",IF(OR($U232="Subscription",$U232=""),"",IF($U232="Estimate","N/A",IF($U232="Profit",ROUND(IFERROR($P232,0)-IFERROR($H232,0),2),0))))</ns0:f>
      </ns0:c>
      <ns0:c r="R232" s="114">
        <ns0:f>IF(COUNTA($A232:$M232)=0,"",IF(OR($U232="Subscription",$U232=""),"",IF($U232="Estimate","N/A",IF($U232="Draw",$H232,0))))</ns0:f>
      </ns0:c>
      <ns0:c r="S232" s="114">
        <ns0:f>IF(COUNTA($A232:$M232)=0,"",IF(OR($U232="Subscription",$U232=""),"",IF($U232="Estimate","N/A",IF($U232="Disqualified",$H232,0))))</ns0:f>
      </ns0:c>
      <ns0:c r="T232" s="955">
        <ns0:f>IF(COUNTA($A232:$M232)=0,"",IF(OR($U232="Subscription",$U232=""),"",IF($U232="Estimate","N/A",IF(OR($U232="Free Game",$U232="Disqualified — Free Game",$H232=0),"N/A",IF($U232="Profit",$Q232/$H232,IF($U232="Disqualified",-$S232/$H232,0))))))</ns0:f>
      </ns0:c>
      <ns0:c r="U232" s="920">
        <ns0:f>IF(COUNTA($A232:$M232)=0,"",IF(OR(LEFT(LOWER(TRIM($F232&amp;"")),12)="subscription",LOWER(TRIM($F232&amp;""))="membership"),"Subscription",IF(LOWER(TRIM($D232&amp;""))="estimate","Estimate",IF(OR(AND($H232&lt;&gt;"",$H232=0),LEFT(LOWER(TRIM($F232&amp;"")),9)="free game",LOWER(TRIM($F232&amp;""))="free",LOWER(TRIM($F232&amp;""))="free entry"),IF(LOWER($L232&amp;"")="yes","Disqualified — Free Game","Free Game"),IF(LOWER($L232&amp;"")="yes","Disqualified",IF($P232="","",IF(ROUND(IFERROR(VALUE($P232),0)-IFERROR(VALUE($H232),0),2)&gt;0,"Profit","Draw")))))))</ns0:f>
      </ns0:c>
      <ns0:c r="V232" s="956" t="str">
        <ns0:f>IF(COUNTA($A232:$M232)=0,"",IF(OR($B232="",$C232="",$U232="Subscription"),"",IFERROR(ROUNDUP(($C232-$B232)/7,0),"")))</ns0:f>
      </ns0:c>
      <ns0:c r="W232" s="114">
        <ns0:f>IF(COUNTA($A232:$M232)=0,"",IF(OR($U232="Subscription",$U232=""),"",IF($U232="Estimate","N/A",IF(OR($U232="Free Game",$U232="Disqualified — Free Game"),0,ROUND(IFERROR($Q232,0)-IFERROR($S232,0),2)))))</ns0:f>
      </ns0:c>
      <ns0:c r="X232" s="956" t="str">
        <ns0:f>IF(COUNTA($A232:$M232)=0,"",IF(OR($U232="Subscription",NOT(ISNUMBER($J232)),NOT(ISNUMBER($I232)),$J232=0,$I232=0,$I232&gt;$J232),"",$J232-$I232))</ns0:f>
      </ns0:c>
      <ns0:c r="Y232" s="955" t="str">
        <ns0:f>IF(COUNTA($A232:$M232)=0,"",IF(OR($U232="Subscription",NOT(ISNUMBER($J232)),$J232=0,$X232=""),"",$X232/$J232))</ns0:f>
      </ns0:c>
      <ns0:c r="Z232" s="957" t="str">
        <ns0:f>IF(COUNTA($A232:$M232)=0,"",Instructions!$B$29+SUM($W$5:W232))</ns0:f>
      </ns0:c>
    </ns0:row>
    <ns0:row r="233" ht="36" customHeight="1">
      <ns0:c r="A233" s="439"/>
      <ns0:c r="B233" s="453"/>
      <ns0:c r="C233" s="453"/>
      <ns0:c r="D233" s="454"/>
      <ns0:c r="E233" s="454"/>
      <ns0:c r="F233" s="454"/>
      <ns0:c r="G233" s="986"/>
      <ns0:c r="H233" s="455"/>
      <ns0:c r="I233" s="456"/>
      <ns0:c r="J233" s="456"/>
      <ns0:c r="K233" s="986"/>
      <ns0:c r="L233" s="454"/>
      <ns0:c r="M233" s="439"/>
      <ns0:c r="N233" s="987" t="str">
        <ns0:f>IF(COUNTA($A233:$M233)=0,"",IF(OR(LEFT(LOWER(TRIM($F233&amp;"")),12)="subscription",LOWER(TRIM($F233&amp;""))="membership"),"",IF(OR(AND($H233&lt;&gt;"",$H233=0),LEFT(LOWER(TRIM($F233&amp;"")),9)="free game",LOWER(TRIM($F233&amp;""))="free",LOWER(TRIM($F233&amp;""))="free entry"),IF(ISNUMBER($G233),IF(ISNUMBER(SEARCH("non",LOWER($E233&amp;""))),$G233*0.85,$G233),"N/A"),IF($G233="","",IFERROR(IF(ISNUMBER(SEARCH("non",LOWER($E233&amp;""))),$G233*0.85,$G233),"")))))</ns0:f>
        <ns0:v/>
      </ns0:c>
      <ns0:c r="O233" s="987" t="str">
        <ns0:f>IF(COUNTA($A233:$M233)=0,"",IF(OR(LEFT(LOWER(TRIM($F233&amp;"")),12)="subscription",LOWER(TRIM($F233&amp;""))="membership"),"",IF(OR(AND($H233&lt;&gt;"",$H233=0),LEFT(LOWER(TRIM($F233&amp;"")),9)="free game",LOWER(TRIM($F233&amp;""))="free",LOWER(TRIM($F233&amp;""))="free entry"),IF(OR(NOT(ISNUMBER($N233)),NOT(ISNUMBER($I233)),$I233=0),"N/A",IFERROR($N233/$I233,"N/A")),IF(OR($N233="",$I233="",$I233=0),"",IFERROR($N233/$I233,"")))))</ns0:f>
        <ns0:v/>
      </ns0:c>
      <ns0:c r="P233" s="987">
        <ns0:f>IF(COUNTA($A233:$M233)=0,"",IF(OR(LEFT(LOWER(TRIM($F233&amp;"")),12)="subscription",LOWER(TRIM($F233&amp;""))="membership"),"",IF(LOWER(TRIM($D233&amp;""))="estimate","N/A",IF(LOWER($L233&amp;"")="yes",0,IF(OR(AND($H233&lt;&gt;"",$H233=0),LEFT(LOWER(TRIM($F233&amp;"")),9)="free game",LOWER(TRIM($F233&amp;""))="free",LOWER(TRIM($F233&amp;""))="free entry"),IF(ISNUMBER($K233),$K233,""),IF($K233&lt;&gt;"",$K233,""))))))</ns0:f>
      </ns0:c>
      <ns0:c r="Q233" s="114">
        <ns0:f>IF(COUNTA($A233:$M233)=0,"",IF(OR($U233="Subscription",$U233=""),"",IF($U233="Estimate","N/A",IF($U233="Profit",ROUND(IFERROR($P233,0)-IFERROR($H233,0),2),0))))</ns0:f>
      </ns0:c>
      <ns0:c r="R233" s="114">
        <ns0:f>IF(COUNTA($A233:$M233)=0,"",IF(OR($U233="Subscription",$U233=""),"",IF($U233="Estimate","N/A",IF($U233="Draw",$H233,0))))</ns0:f>
      </ns0:c>
      <ns0:c r="S233" s="114">
        <ns0:f>IF(COUNTA($A233:$M233)=0,"",IF(OR($U233="Subscription",$U233=""),"",IF($U233="Estimate","N/A",IF($U233="Disqualified",$H233,0))))</ns0:f>
      </ns0:c>
      <ns0:c r="T233" s="955">
        <ns0:f>IF(COUNTA($A233:$M233)=0,"",IF(OR($U233="Subscription",$U233=""),"",IF($U233="Estimate","N/A",IF(OR($U233="Free Game",$U233="Disqualified — Free Game",$H233=0),"N/A",IF($U233="Profit",$Q233/$H233,IF($U233="Disqualified",-$S233/$H233,0))))))</ns0:f>
      </ns0:c>
      <ns0:c r="U233" s="920">
        <ns0:f>IF(COUNTA($A233:$M233)=0,"",IF(OR(LEFT(LOWER(TRIM($F233&amp;"")),12)="subscription",LOWER(TRIM($F233&amp;""))="membership"),"Subscription",IF(LOWER(TRIM($D233&amp;""))="estimate","Estimate",IF(OR(AND($H233&lt;&gt;"",$H233=0),LEFT(LOWER(TRIM($F233&amp;"")),9)="free game",LOWER(TRIM($F233&amp;""))="free",LOWER(TRIM($F233&amp;""))="free entry"),IF(LOWER($L233&amp;"")="yes","Disqualified — Free Game","Free Game"),IF(LOWER($L233&amp;"")="yes","Disqualified",IF($P233="","",IF(ROUND(IFERROR(VALUE($P233),0)-IFERROR(VALUE($H233),0),2)&gt;0,"Profit","Draw")))))))</ns0:f>
      </ns0:c>
      <ns0:c r="V233" s="956" t="str">
        <ns0:f>IF(COUNTA($A233:$M233)=0,"",IF(OR($B233="",$C233="",$U233="Subscription"),"",IFERROR(ROUNDUP(($C233-$B233)/7,0),"")))</ns0:f>
      </ns0:c>
      <ns0:c r="W233" s="114">
        <ns0:f>IF(COUNTA($A233:$M233)=0,"",IF(OR($U233="Subscription",$U233=""),"",IF($U233="Estimate","N/A",IF(OR($U233="Free Game",$U233="Disqualified — Free Game"),0,ROUND(IFERROR($Q233,0)-IFERROR($S233,0),2)))))</ns0:f>
      </ns0:c>
      <ns0:c r="X233" s="956" t="str">
        <ns0:f>IF(COUNTA($A233:$M233)=0,"",IF(OR($U233="Subscription",NOT(ISNUMBER($J233)),NOT(ISNUMBER($I233)),$J233=0,$I233=0,$I233&gt;$J233),"",$J233-$I233))</ns0:f>
      </ns0:c>
      <ns0:c r="Y233" s="955" t="str">
        <ns0:f>IF(COUNTA($A233:$M233)=0,"",IF(OR($U233="Subscription",NOT(ISNUMBER($J233)),$J233=0,$X233=""),"",$X233/$J233))</ns0:f>
      </ns0:c>
      <ns0:c r="Z233" s="957" t="str">
        <ns0:f>IF(COUNTA($A233:$M233)=0,"",Instructions!$B$29+SUM($W$5:W233))</ns0:f>
      </ns0:c>
    </ns0:row>
    <ns0:row r="234" ht="36" customHeight="1">
      <ns0:c r="A234" s="439"/>
      <ns0:c r="B234" s="453"/>
      <ns0:c r="C234" s="453"/>
      <ns0:c r="D234" s="454"/>
      <ns0:c r="E234" s="454"/>
      <ns0:c r="F234" s="454"/>
      <ns0:c r="G234" s="986"/>
      <ns0:c r="H234" s="455"/>
      <ns0:c r="I234" s="456"/>
      <ns0:c r="J234" s="456"/>
      <ns0:c r="K234" s="986"/>
      <ns0:c r="L234" s="454"/>
      <ns0:c r="M234" s="439"/>
      <ns0:c r="N234" s="987" t="str">
        <ns0:f>IF(COUNTA($A234:$M234)=0,"",IF(OR(LEFT(LOWER(TRIM($F234&amp;"")),12)="subscription",LOWER(TRIM($F234&amp;""))="membership"),"",IF(OR(AND($H234&lt;&gt;"",$H234=0),LEFT(LOWER(TRIM($F234&amp;"")),9)="free game",LOWER(TRIM($F234&amp;""))="free",LOWER(TRIM($F234&amp;""))="free entry"),IF(ISNUMBER($G234),IF(ISNUMBER(SEARCH("non",LOWER($E234&amp;""))),$G234*0.85,$G234),"N/A"),IF($G234="","",IFERROR(IF(ISNUMBER(SEARCH("non",LOWER($E234&amp;""))),$G234*0.85,$G234),"")))))</ns0:f>
        <ns0:v/>
      </ns0:c>
      <ns0:c r="O234" s="987" t="str">
        <ns0:f>IF(COUNTA($A234:$M234)=0,"",IF(OR(LEFT(LOWER(TRIM($F234&amp;"")),12)="subscription",LOWER(TRIM($F234&amp;""))="membership"),"",IF(OR(AND($H234&lt;&gt;"",$H234=0),LEFT(LOWER(TRIM($F234&amp;"")),9)="free game",LOWER(TRIM($F234&amp;""))="free",LOWER(TRIM($F234&amp;""))="free entry"),IF(OR(NOT(ISNUMBER($N234)),NOT(ISNUMBER($I234)),$I234=0),"N/A",IFERROR($N234/$I234,"N/A")),IF(OR($N234="",$I234="",$I234=0),"",IFERROR($N234/$I234,"")))))</ns0:f>
        <ns0:v/>
      </ns0:c>
      <ns0:c r="P234" s="987">
        <ns0:f>IF(COUNTA($A234:$M234)=0,"",IF(OR(LEFT(LOWER(TRIM($F234&amp;"")),12)="subscription",LOWER(TRIM($F234&amp;""))="membership"),"",IF(LOWER(TRIM($D234&amp;""))="estimate","N/A",IF(LOWER($L234&amp;"")="yes",0,IF(OR(AND($H234&lt;&gt;"",$H234=0),LEFT(LOWER(TRIM($F234&amp;"")),9)="free game",LOWER(TRIM($F234&amp;""))="free",LOWER(TRIM($F234&amp;""))="free entry"),IF(ISNUMBER($K234),$K234,""),IF($K234&lt;&gt;"",$K234,""))))))</ns0:f>
      </ns0:c>
      <ns0:c r="Q234" s="114">
        <ns0:f>IF(COUNTA($A234:$M234)=0,"",IF(OR($U234="Subscription",$U234=""),"",IF($U234="Estimate","N/A",IF($U234="Profit",ROUND(IFERROR($P234,0)-IFERROR($H234,0),2),0))))</ns0:f>
      </ns0:c>
      <ns0:c r="R234" s="114">
        <ns0:f>IF(COUNTA($A234:$M234)=0,"",IF(OR($U234="Subscription",$U234=""),"",IF($U234="Estimate","N/A",IF($U234="Draw",$H234,0))))</ns0:f>
      </ns0:c>
      <ns0:c r="S234" s="114">
        <ns0:f>IF(COUNTA($A234:$M234)=0,"",IF(OR($U234="Subscription",$U234=""),"",IF($U234="Estimate","N/A",IF($U234="Disqualified",$H234,0))))</ns0:f>
      </ns0:c>
      <ns0:c r="T234" s="955">
        <ns0:f>IF(COUNTA($A234:$M234)=0,"",IF(OR($U234="Subscription",$U234=""),"",IF($U234="Estimate","N/A",IF(OR($U234="Free Game",$U234="Disqualified — Free Game",$H234=0),"N/A",IF($U234="Profit",$Q234/$H234,IF($U234="Disqualified",-$S234/$H234,0))))))</ns0:f>
      </ns0:c>
      <ns0:c r="U234" s="920">
        <ns0:f>IF(COUNTA($A234:$M234)=0,"",IF(OR(LEFT(LOWER(TRIM($F234&amp;"")),12)="subscription",LOWER(TRIM($F234&amp;""))="membership"),"Subscription",IF(LOWER(TRIM($D234&amp;""))="estimate","Estimate",IF(OR(AND($H234&lt;&gt;"",$H234=0),LEFT(LOWER(TRIM($F234&amp;"")),9)="free game",LOWER(TRIM($F234&amp;""))="free",LOWER(TRIM($F234&amp;""))="free entry"),IF(LOWER($L234&amp;"")="yes","Disqualified — Free Game","Free Game"),IF(LOWER($L234&amp;"")="yes","Disqualified",IF($P234="","",IF(ROUND(IFERROR(VALUE($P234),0)-IFERROR(VALUE($H234),0),2)&gt;0,"Profit","Draw")))))))</ns0:f>
      </ns0:c>
      <ns0:c r="V234" s="956" t="str">
        <ns0:f>IF(COUNTA($A234:$M234)=0,"",IF(OR($B234="",$C234="",$U234="Subscription"),"",IFERROR(ROUNDUP(($C234-$B234)/7,0),"")))</ns0:f>
      </ns0:c>
      <ns0:c r="W234" s="114">
        <ns0:f>IF(COUNTA($A234:$M234)=0,"",IF(OR($U234="Subscription",$U234=""),"",IF($U234="Estimate","N/A",IF(OR($U234="Free Game",$U234="Disqualified — Free Game"),0,ROUND(IFERROR($Q234,0)-IFERROR($S234,0),2)))))</ns0:f>
      </ns0:c>
      <ns0:c r="X234" s="956" t="str">
        <ns0:f>IF(COUNTA($A234:$M234)=0,"",IF(OR($U234="Subscription",NOT(ISNUMBER($J234)),NOT(ISNUMBER($I234)),$J234=0,$I234=0,$I234&gt;$J234),"",$J234-$I234))</ns0:f>
      </ns0:c>
      <ns0:c r="Y234" s="955" t="str">
        <ns0:f>IF(COUNTA($A234:$M234)=0,"",IF(OR($U234="Subscription",NOT(ISNUMBER($J234)),$J234=0,$X234=""),"",$X234/$J234))</ns0:f>
      </ns0:c>
      <ns0:c r="Z234" s="957" t="str">
        <ns0:f>IF(COUNTA($A234:$M234)=0,"",Instructions!$B$29+SUM($W$5:W234))</ns0:f>
      </ns0:c>
    </ns0:row>
    <ns0:row r="235" ht="36" customHeight="1">
      <ns0:c r="A235" s="439"/>
      <ns0:c r="B235" s="453"/>
      <ns0:c r="C235" s="453"/>
      <ns0:c r="D235" s="454"/>
      <ns0:c r="E235" s="454"/>
      <ns0:c r="F235" s="454"/>
      <ns0:c r="G235" s="986"/>
      <ns0:c r="H235" s="455"/>
      <ns0:c r="I235" s="456"/>
      <ns0:c r="J235" s="456"/>
      <ns0:c r="K235" s="986"/>
      <ns0:c r="L235" s="454"/>
      <ns0:c r="M235" s="439"/>
      <ns0:c r="N235" s="987" t="str">
        <ns0:f>IF(COUNTA($A235:$M235)=0,"",IF(OR(LEFT(LOWER(TRIM($F235&amp;"")),12)="subscription",LOWER(TRIM($F235&amp;""))="membership"),"",IF(OR(AND($H235&lt;&gt;"",$H235=0),LEFT(LOWER(TRIM($F235&amp;"")),9)="free game",LOWER(TRIM($F235&amp;""))="free",LOWER(TRIM($F235&amp;""))="free entry"),IF(ISNUMBER($G235),IF(ISNUMBER(SEARCH("non",LOWER($E235&amp;""))),$G235*0.85,$G235),"N/A"),IF($G235="","",IFERROR(IF(ISNUMBER(SEARCH("non",LOWER($E235&amp;""))),$G235*0.85,$G235),"")))))</ns0:f>
        <ns0:v/>
      </ns0:c>
      <ns0:c r="O235" s="987" t="str">
        <ns0:f>IF(COUNTA($A235:$M235)=0,"",IF(OR(LEFT(LOWER(TRIM($F235&amp;"")),12)="subscription",LOWER(TRIM($F235&amp;""))="membership"),"",IF(OR(AND($H235&lt;&gt;"",$H235=0),LEFT(LOWER(TRIM($F235&amp;"")),9)="free game",LOWER(TRIM($F235&amp;""))="free",LOWER(TRIM($F235&amp;""))="free entry"),IF(OR(NOT(ISNUMBER($N235)),NOT(ISNUMBER($I235)),$I235=0),"N/A",IFERROR($N235/$I235,"N/A")),IF(OR($N235="",$I235="",$I235=0),"",IFERROR($N235/$I235,"")))))</ns0:f>
        <ns0:v/>
      </ns0:c>
      <ns0:c r="P235" s="987">
        <ns0:f>IF(COUNTA($A235:$M235)=0,"",IF(OR(LEFT(LOWER(TRIM($F235&amp;"")),12)="subscription",LOWER(TRIM($F235&amp;""))="membership"),"",IF(LOWER(TRIM($D235&amp;""))="estimate","N/A",IF(LOWER($L235&amp;"")="yes",0,IF(OR(AND($H235&lt;&gt;"",$H235=0),LEFT(LOWER(TRIM($F235&amp;"")),9)="free game",LOWER(TRIM($F235&amp;""))="free",LOWER(TRIM($F235&amp;""))="free entry"),IF(ISNUMBER($K235),$K235,""),IF($K235&lt;&gt;"",$K235,""))))))</ns0:f>
      </ns0:c>
      <ns0:c r="Q235" s="114">
        <ns0:f>IF(COUNTA($A235:$M235)=0,"",IF(OR($U235="Subscription",$U235=""),"",IF($U235="Estimate","N/A",IF($U235="Profit",ROUND(IFERROR($P235,0)-IFERROR($H235,0),2),0))))</ns0:f>
      </ns0:c>
      <ns0:c r="R235" s="114">
        <ns0:f>IF(COUNTA($A235:$M235)=0,"",IF(OR($U235="Subscription",$U235=""),"",IF($U235="Estimate","N/A",IF($U235="Draw",$H235,0))))</ns0:f>
      </ns0:c>
      <ns0:c r="S235" s="114">
        <ns0:f>IF(COUNTA($A235:$M235)=0,"",IF(OR($U235="Subscription",$U235=""),"",IF($U235="Estimate","N/A",IF($U235="Disqualified",$H235,0))))</ns0:f>
      </ns0:c>
      <ns0:c r="T235" s="955">
        <ns0:f>IF(COUNTA($A235:$M235)=0,"",IF(OR($U235="Subscription",$U235=""),"",IF($U235="Estimate","N/A",IF(OR($U235="Free Game",$U235="Disqualified — Free Game",$H235=0),"N/A",IF($U235="Profit",$Q235/$H235,IF($U235="Disqualified",-$S235/$H235,0))))))</ns0:f>
      </ns0:c>
      <ns0:c r="U235" s="920">
        <ns0:f>IF(COUNTA($A235:$M235)=0,"",IF(OR(LEFT(LOWER(TRIM($F235&amp;"")),12)="subscription",LOWER(TRIM($F235&amp;""))="membership"),"Subscription",IF(LOWER(TRIM($D235&amp;""))="estimate","Estimate",IF(OR(AND($H235&lt;&gt;"",$H235=0),LEFT(LOWER(TRIM($F235&amp;"")),9)="free game",LOWER(TRIM($F235&amp;""))="free",LOWER(TRIM($F235&amp;""))="free entry"),IF(LOWER($L235&amp;"")="yes","Disqualified — Free Game","Free Game"),IF(LOWER($L235&amp;"")="yes","Disqualified",IF($P235="","",IF(ROUND(IFERROR(VALUE($P235),0)-IFERROR(VALUE($H235),0),2)&gt;0,"Profit","Draw")))))))</ns0:f>
      </ns0:c>
      <ns0:c r="V235" s="956" t="str">
        <ns0:f>IF(COUNTA($A235:$M235)=0,"",IF(OR($B235="",$C235="",$U235="Subscription"),"",IFERROR(ROUNDUP(($C235-$B235)/7,0),"")))</ns0:f>
      </ns0:c>
      <ns0:c r="W235" s="114">
        <ns0:f>IF(COUNTA($A235:$M235)=0,"",IF(OR($U235="Subscription",$U235=""),"",IF($U235="Estimate","N/A",IF(OR($U235="Free Game",$U235="Disqualified — Free Game"),0,ROUND(IFERROR($Q235,0)-IFERROR($S235,0),2)))))</ns0:f>
      </ns0:c>
      <ns0:c r="X235" s="956" t="str">
        <ns0:f>IF(COUNTA($A235:$M235)=0,"",IF(OR($U235="Subscription",NOT(ISNUMBER($J235)),NOT(ISNUMBER($I235)),$J235=0,$I235=0,$I235&gt;$J235),"",$J235-$I235))</ns0:f>
      </ns0:c>
      <ns0:c r="Y235" s="955" t="str">
        <ns0:f>IF(COUNTA($A235:$M235)=0,"",IF(OR($U235="Subscription",NOT(ISNUMBER($J235)),$J235=0,$X235=""),"",$X235/$J235))</ns0:f>
      </ns0:c>
      <ns0:c r="Z235" s="957" t="str">
        <ns0:f>IF(COUNTA($A235:$M235)=0,"",Instructions!$B$29+SUM($W$5:W235))</ns0:f>
      </ns0:c>
    </ns0:row>
    <ns0:row r="236" ht="36" customHeight="1">
      <ns0:c r="A236" s="439"/>
      <ns0:c r="B236" s="453"/>
      <ns0:c r="C236" s="453"/>
      <ns0:c r="D236" s="454"/>
      <ns0:c r="E236" s="454"/>
      <ns0:c r="F236" s="454"/>
      <ns0:c r="G236" s="986"/>
      <ns0:c r="H236" s="455"/>
      <ns0:c r="I236" s="456"/>
      <ns0:c r="J236" s="456"/>
      <ns0:c r="K236" s="986"/>
      <ns0:c r="L236" s="454"/>
      <ns0:c r="M236" s="439"/>
      <ns0:c r="N236" s="987" t="str">
        <ns0:f>IF(COUNTA($A236:$M236)=0,"",IF(OR(LEFT(LOWER(TRIM($F236&amp;"")),12)="subscription",LOWER(TRIM($F236&amp;""))="membership"),"",IF(OR(AND($H236&lt;&gt;"",$H236=0),LEFT(LOWER(TRIM($F236&amp;"")),9)="free game",LOWER(TRIM($F236&amp;""))="free",LOWER(TRIM($F236&amp;""))="free entry"),IF(ISNUMBER($G236),IF(ISNUMBER(SEARCH("non",LOWER($E236&amp;""))),$G236*0.85,$G236),"N/A"),IF($G236="","",IFERROR(IF(ISNUMBER(SEARCH("non",LOWER($E236&amp;""))),$G236*0.85,$G236),"")))))</ns0:f>
        <ns0:v/>
      </ns0:c>
      <ns0:c r="O236" s="987" t="str">
        <ns0:f>IF(COUNTA($A236:$M236)=0,"",IF(OR(LEFT(LOWER(TRIM($F236&amp;"")),12)="subscription",LOWER(TRIM($F236&amp;""))="membership"),"",IF(OR(AND($H236&lt;&gt;"",$H236=0),LEFT(LOWER(TRIM($F236&amp;"")),9)="free game",LOWER(TRIM($F236&amp;""))="free",LOWER(TRIM($F236&amp;""))="free entry"),IF(OR(NOT(ISNUMBER($N236)),NOT(ISNUMBER($I236)),$I236=0),"N/A",IFERROR($N236/$I236,"N/A")),IF(OR($N236="",$I236="",$I236=0),"",IFERROR($N236/$I236,"")))))</ns0:f>
        <ns0:v/>
      </ns0:c>
      <ns0:c r="P236" s="987">
        <ns0:f>IF(COUNTA($A236:$M236)=0,"",IF(OR(LEFT(LOWER(TRIM($F236&amp;"")),12)="subscription",LOWER(TRIM($F236&amp;""))="membership"),"",IF(LOWER(TRIM($D236&amp;""))="estimate","N/A",IF(LOWER($L236&amp;"")="yes",0,IF(OR(AND($H236&lt;&gt;"",$H236=0),LEFT(LOWER(TRIM($F236&amp;"")),9)="free game",LOWER(TRIM($F236&amp;""))="free",LOWER(TRIM($F236&amp;""))="free entry"),IF(ISNUMBER($K236),$K236,""),IF($K236&lt;&gt;"",$K236,""))))))</ns0:f>
      </ns0:c>
      <ns0:c r="Q236" s="114">
        <ns0:f>IF(COUNTA($A236:$M236)=0,"",IF(OR($U236="Subscription",$U236=""),"",IF($U236="Estimate","N/A",IF($U236="Profit",ROUND(IFERROR($P236,0)-IFERROR($H236,0),2),0))))</ns0:f>
      </ns0:c>
      <ns0:c r="R236" s="114">
        <ns0:f>IF(COUNTA($A236:$M236)=0,"",IF(OR($U236="Subscription",$U236=""),"",IF($U236="Estimate","N/A",IF($U236="Draw",$H236,0))))</ns0:f>
      </ns0:c>
      <ns0:c r="S236" s="114">
        <ns0:f>IF(COUNTA($A236:$M236)=0,"",IF(OR($U236="Subscription",$U236=""),"",IF($U236="Estimate","N/A",IF($U236="Disqualified",$H236,0))))</ns0:f>
      </ns0:c>
      <ns0:c r="T236" s="955">
        <ns0:f>IF(COUNTA($A236:$M236)=0,"",IF(OR($U236="Subscription",$U236=""),"",IF($U236="Estimate","N/A",IF(OR($U236="Free Game",$U236="Disqualified — Free Game",$H236=0),"N/A",IF($U236="Profit",$Q236/$H236,IF($U236="Disqualified",-$S236/$H236,0))))))</ns0:f>
      </ns0:c>
      <ns0:c r="U236" s="920">
        <ns0:f>IF(COUNTA($A236:$M236)=0,"",IF(OR(LEFT(LOWER(TRIM($F236&amp;"")),12)="subscription",LOWER(TRIM($F236&amp;""))="membership"),"Subscription",IF(LOWER(TRIM($D236&amp;""))="estimate","Estimate",IF(OR(AND($H236&lt;&gt;"",$H236=0),LEFT(LOWER(TRIM($F236&amp;"")),9)="free game",LOWER(TRIM($F236&amp;""))="free",LOWER(TRIM($F236&amp;""))="free entry"),IF(LOWER($L236&amp;"")="yes","Disqualified — Free Game","Free Game"),IF(LOWER($L236&amp;"")="yes","Disqualified",IF($P236="","",IF(ROUND(IFERROR(VALUE($P236),0)-IFERROR(VALUE($H236),0),2)&gt;0,"Profit","Draw")))))))</ns0:f>
      </ns0:c>
      <ns0:c r="V236" s="956" t="str">
        <ns0:f>IF(COUNTA($A236:$M236)=0,"",IF(OR($B236="",$C236="",$U236="Subscription"),"",IFERROR(ROUNDUP(($C236-$B236)/7,0),"")))</ns0:f>
      </ns0:c>
      <ns0:c r="W236" s="114">
        <ns0:f>IF(COUNTA($A236:$M236)=0,"",IF(OR($U236="Subscription",$U236=""),"",IF($U236="Estimate","N/A",IF(OR($U236="Free Game",$U236="Disqualified — Free Game"),0,ROUND(IFERROR($Q236,0)-IFERROR($S236,0),2)))))</ns0:f>
      </ns0:c>
      <ns0:c r="X236" s="956" t="str">
        <ns0:f>IF(COUNTA($A236:$M236)=0,"",IF(OR($U236="Subscription",NOT(ISNUMBER($J236)),NOT(ISNUMBER($I236)),$J236=0,$I236=0,$I236&gt;$J236),"",$J236-$I236))</ns0:f>
      </ns0:c>
      <ns0:c r="Y236" s="955" t="str">
        <ns0:f>IF(COUNTA($A236:$M236)=0,"",IF(OR($U236="Subscription",NOT(ISNUMBER($J236)),$J236=0,$X236=""),"",$X236/$J236))</ns0:f>
      </ns0:c>
      <ns0:c r="Z236" s="957" t="str">
        <ns0:f>IF(COUNTA($A236:$M236)=0,"",Instructions!$B$29+SUM($W$5:W236))</ns0:f>
      </ns0:c>
    </ns0:row>
    <ns0:row r="237" ht="36" customHeight="1">
      <ns0:c r="A237" s="439"/>
      <ns0:c r="B237" s="453"/>
      <ns0:c r="C237" s="453"/>
      <ns0:c r="D237" s="454"/>
      <ns0:c r="E237" s="454"/>
      <ns0:c r="F237" s="454"/>
      <ns0:c r="G237" s="986"/>
      <ns0:c r="H237" s="455"/>
      <ns0:c r="I237" s="456"/>
      <ns0:c r="J237" s="456"/>
      <ns0:c r="K237" s="986"/>
      <ns0:c r="L237" s="454"/>
      <ns0:c r="M237" s="439"/>
      <ns0:c r="N237" s="987" t="str">
        <ns0:f>IF(COUNTA($A237:$M237)=0,"",IF(OR(LEFT(LOWER(TRIM($F237&amp;"")),12)="subscription",LOWER(TRIM($F237&amp;""))="membership"),"",IF(OR(AND($H237&lt;&gt;"",$H237=0),LEFT(LOWER(TRIM($F237&amp;"")),9)="free game",LOWER(TRIM($F237&amp;""))="free",LOWER(TRIM($F237&amp;""))="free entry"),IF(ISNUMBER($G237),IF(ISNUMBER(SEARCH("non",LOWER($E237&amp;""))),$G237*0.85,$G237),"N/A"),IF($G237="","",IFERROR(IF(ISNUMBER(SEARCH("non",LOWER($E237&amp;""))),$G237*0.85,$G237),"")))))</ns0:f>
        <ns0:v/>
      </ns0:c>
      <ns0:c r="O237" s="987" t="str">
        <ns0:f>IF(COUNTA($A237:$M237)=0,"",IF(OR(LEFT(LOWER(TRIM($F237&amp;"")),12)="subscription",LOWER(TRIM($F237&amp;""))="membership"),"",IF(OR(AND($H237&lt;&gt;"",$H237=0),LEFT(LOWER(TRIM($F237&amp;"")),9)="free game",LOWER(TRIM($F237&amp;""))="free",LOWER(TRIM($F237&amp;""))="free entry"),IF(OR(NOT(ISNUMBER($N237)),NOT(ISNUMBER($I237)),$I237=0),"N/A",IFERROR($N237/$I237,"N/A")),IF(OR($N237="",$I237="",$I237=0),"",IFERROR($N237/$I237,"")))))</ns0:f>
        <ns0:v/>
      </ns0:c>
      <ns0:c r="P237" s="987">
        <ns0:f>IF(COUNTA($A237:$M237)=0,"",IF(OR(LEFT(LOWER(TRIM($F237&amp;"")),12)="subscription",LOWER(TRIM($F237&amp;""))="membership"),"",IF(LOWER(TRIM($D237&amp;""))="estimate","N/A",IF(LOWER($L237&amp;"")="yes",0,IF(OR(AND($H237&lt;&gt;"",$H237=0),LEFT(LOWER(TRIM($F237&amp;"")),9)="free game",LOWER(TRIM($F237&amp;""))="free",LOWER(TRIM($F237&amp;""))="free entry"),IF(ISNUMBER($K237),$K237,""),IF($K237&lt;&gt;"",$K237,""))))))</ns0:f>
      </ns0:c>
      <ns0:c r="Q237" s="114">
        <ns0:f>IF(COUNTA($A237:$M237)=0,"",IF(OR($U237="Subscription",$U237=""),"",IF($U237="Estimate","N/A",IF($U237="Profit",ROUND(IFERROR($P237,0)-IFERROR($H237,0),2),0))))</ns0:f>
      </ns0:c>
      <ns0:c r="R237" s="114">
        <ns0:f>IF(COUNTA($A237:$M237)=0,"",IF(OR($U237="Subscription",$U237=""),"",IF($U237="Estimate","N/A",IF($U237="Draw",$H237,0))))</ns0:f>
      </ns0:c>
      <ns0:c r="S237" s="114">
        <ns0:f>IF(COUNTA($A237:$M237)=0,"",IF(OR($U237="Subscription",$U237=""),"",IF($U237="Estimate","N/A",IF($U237="Disqualified",$H237,0))))</ns0:f>
      </ns0:c>
      <ns0:c r="T237" s="955">
        <ns0:f>IF(COUNTA($A237:$M237)=0,"",IF(OR($U237="Subscription",$U237=""),"",IF($U237="Estimate","N/A",IF(OR($U237="Free Game",$U237="Disqualified — Free Game",$H237=0),"N/A",IF($U237="Profit",$Q237/$H237,IF($U237="Disqualified",-$S237/$H237,0))))))</ns0:f>
      </ns0:c>
      <ns0:c r="U237" s="920">
        <ns0:f>IF(COUNTA($A237:$M237)=0,"",IF(OR(LEFT(LOWER(TRIM($F237&amp;"")),12)="subscription",LOWER(TRIM($F237&amp;""))="membership"),"Subscription",IF(LOWER(TRIM($D237&amp;""))="estimate","Estimate",IF(OR(AND($H237&lt;&gt;"",$H237=0),LEFT(LOWER(TRIM($F237&amp;"")),9)="free game",LOWER(TRIM($F237&amp;""))="free",LOWER(TRIM($F237&amp;""))="free entry"),IF(LOWER($L237&amp;"")="yes","Disqualified — Free Game","Free Game"),IF(LOWER($L237&amp;"")="yes","Disqualified",IF($P237="","",IF(ROUND(IFERROR(VALUE($P237),0)-IFERROR(VALUE($H237),0),2)&gt;0,"Profit","Draw")))))))</ns0:f>
      </ns0:c>
      <ns0:c r="V237" s="956" t="str">
        <ns0:f>IF(COUNTA($A237:$M237)=0,"",IF(OR($B237="",$C237="",$U237="Subscription"),"",IFERROR(ROUNDUP(($C237-$B237)/7,0),"")))</ns0:f>
      </ns0:c>
      <ns0:c r="W237" s="114">
        <ns0:f>IF(COUNTA($A237:$M237)=0,"",IF(OR($U237="Subscription",$U237=""),"",IF($U237="Estimate","N/A",IF(OR($U237="Free Game",$U237="Disqualified — Free Game"),0,ROUND(IFERROR($Q237,0)-IFERROR($S237,0),2)))))</ns0:f>
      </ns0:c>
      <ns0:c r="X237" s="956" t="str">
        <ns0:f>IF(COUNTA($A237:$M237)=0,"",IF(OR($U237="Subscription",NOT(ISNUMBER($J237)),NOT(ISNUMBER($I237)),$J237=0,$I237=0,$I237&gt;$J237),"",$J237-$I237))</ns0:f>
      </ns0:c>
      <ns0:c r="Y237" s="955" t="str">
        <ns0:f>IF(COUNTA($A237:$M237)=0,"",IF(OR($U237="Subscription",NOT(ISNUMBER($J237)),$J237=0,$X237=""),"",$X237/$J237))</ns0:f>
      </ns0:c>
      <ns0:c r="Z237" s="957" t="str">
        <ns0:f>IF(COUNTA($A237:$M237)=0,"",Instructions!$B$29+SUM($W$5:W237))</ns0:f>
      </ns0:c>
    </ns0:row>
    <ns0:row r="238" ht="36" customHeight="1">
      <ns0:c r="A238" s="439"/>
      <ns0:c r="B238" s="453"/>
      <ns0:c r="C238" s="453"/>
      <ns0:c r="D238" s="454"/>
      <ns0:c r="E238" s="454"/>
      <ns0:c r="F238" s="454"/>
      <ns0:c r="G238" s="986"/>
      <ns0:c r="H238" s="455"/>
      <ns0:c r="I238" s="456"/>
      <ns0:c r="J238" s="456"/>
      <ns0:c r="K238" s="986"/>
      <ns0:c r="L238" s="454"/>
      <ns0:c r="M238" s="439"/>
      <ns0:c r="N238" s="987" t="str">
        <ns0:f>IF(COUNTA($A238:$M238)=0,"",IF(OR(LEFT(LOWER(TRIM($F238&amp;"")),12)="subscription",LOWER(TRIM($F238&amp;""))="membership"),"",IF(OR(AND($H238&lt;&gt;"",$H238=0),LEFT(LOWER(TRIM($F238&amp;"")),9)="free game",LOWER(TRIM($F238&amp;""))="free",LOWER(TRIM($F238&amp;""))="free entry"),IF(ISNUMBER($G238),IF(ISNUMBER(SEARCH("non",LOWER($E238&amp;""))),$G238*0.85,$G238),"N/A"),IF($G238="","",IFERROR(IF(ISNUMBER(SEARCH("non",LOWER($E238&amp;""))),$G238*0.85,$G238),"")))))</ns0:f>
        <ns0:v/>
      </ns0:c>
      <ns0:c r="O238" s="987" t="str">
        <ns0:f>IF(COUNTA($A238:$M238)=0,"",IF(OR(LEFT(LOWER(TRIM($F238&amp;"")),12)="subscription",LOWER(TRIM($F238&amp;""))="membership"),"",IF(OR(AND($H238&lt;&gt;"",$H238=0),LEFT(LOWER(TRIM($F238&amp;"")),9)="free game",LOWER(TRIM($F238&amp;""))="free",LOWER(TRIM($F238&amp;""))="free entry"),IF(OR(NOT(ISNUMBER($N238)),NOT(ISNUMBER($I238)),$I238=0),"N/A",IFERROR($N238/$I238,"N/A")),IF(OR($N238="",$I238="",$I238=0),"",IFERROR($N238/$I238,"")))))</ns0:f>
        <ns0:v/>
      </ns0:c>
      <ns0:c r="P238" s="987">
        <ns0:f>IF(COUNTA($A238:$M238)=0,"",IF(OR(LEFT(LOWER(TRIM($F238&amp;"")),12)="subscription",LOWER(TRIM($F238&amp;""))="membership"),"",IF(LOWER(TRIM($D238&amp;""))="estimate","N/A",IF(LOWER($L238&amp;"")="yes",0,IF(OR(AND($H238&lt;&gt;"",$H238=0),LEFT(LOWER(TRIM($F238&amp;"")),9)="free game",LOWER(TRIM($F238&amp;""))="free",LOWER(TRIM($F238&amp;""))="free entry"),IF(ISNUMBER($K238),$K238,""),IF($K238&lt;&gt;"",$K238,""))))))</ns0:f>
      </ns0:c>
      <ns0:c r="Q238" s="114">
        <ns0:f>IF(COUNTA($A238:$M238)=0,"",IF(OR($U238="Subscription",$U238=""),"",IF($U238="Estimate","N/A",IF($U238="Profit",ROUND(IFERROR($P238,0)-IFERROR($H238,0),2),0))))</ns0:f>
      </ns0:c>
      <ns0:c r="R238" s="114">
        <ns0:f>IF(COUNTA($A238:$M238)=0,"",IF(OR($U238="Subscription",$U238=""),"",IF($U238="Estimate","N/A",IF($U238="Draw",$H238,0))))</ns0:f>
      </ns0:c>
      <ns0:c r="S238" s="114">
        <ns0:f>IF(COUNTA($A238:$M238)=0,"",IF(OR($U238="Subscription",$U238=""),"",IF($U238="Estimate","N/A",IF($U238="Disqualified",$H238,0))))</ns0:f>
      </ns0:c>
      <ns0:c r="T238" s="955">
        <ns0:f>IF(COUNTA($A238:$M238)=0,"",IF(OR($U238="Subscription",$U238=""),"",IF($U238="Estimate","N/A",IF(OR($U238="Free Game",$U238="Disqualified — Free Game",$H238=0),"N/A",IF($U238="Profit",$Q238/$H238,IF($U238="Disqualified",-$S238/$H238,0))))))</ns0:f>
      </ns0:c>
      <ns0:c r="U238" s="920">
        <ns0:f>IF(COUNTA($A238:$M238)=0,"",IF(OR(LEFT(LOWER(TRIM($F238&amp;"")),12)="subscription",LOWER(TRIM($F238&amp;""))="membership"),"Subscription",IF(LOWER(TRIM($D238&amp;""))="estimate","Estimate",IF(OR(AND($H238&lt;&gt;"",$H238=0),LEFT(LOWER(TRIM($F238&amp;"")),9)="free game",LOWER(TRIM($F238&amp;""))="free",LOWER(TRIM($F238&amp;""))="free entry"),IF(LOWER($L238&amp;"")="yes","Disqualified — Free Game","Free Game"),IF(LOWER($L238&amp;"")="yes","Disqualified",IF($P238="","",IF(ROUND(IFERROR(VALUE($P238),0)-IFERROR(VALUE($H238),0),2)&gt;0,"Profit","Draw")))))))</ns0:f>
      </ns0:c>
      <ns0:c r="V238" s="956" t="str">
        <ns0:f>IF(COUNTA($A238:$M238)=0,"",IF(OR($B238="",$C238="",$U238="Subscription"),"",IFERROR(ROUNDUP(($C238-$B238)/7,0),"")))</ns0:f>
      </ns0:c>
      <ns0:c r="W238" s="114">
        <ns0:f>IF(COUNTA($A238:$M238)=0,"",IF(OR($U238="Subscription",$U238=""),"",IF($U238="Estimate","N/A",IF(OR($U238="Free Game",$U238="Disqualified — Free Game"),0,ROUND(IFERROR($Q238,0)-IFERROR($S238,0),2)))))</ns0:f>
      </ns0:c>
      <ns0:c r="X238" s="956" t="str">
        <ns0:f>IF(COUNTA($A238:$M238)=0,"",IF(OR($U238="Subscription",NOT(ISNUMBER($J238)),NOT(ISNUMBER($I238)),$J238=0,$I238=0,$I238&gt;$J238),"",$J238-$I238))</ns0:f>
      </ns0:c>
      <ns0:c r="Y238" s="955" t="str">
        <ns0:f>IF(COUNTA($A238:$M238)=0,"",IF(OR($U238="Subscription",NOT(ISNUMBER($J238)),$J238=0,$X238=""),"",$X238/$J238))</ns0:f>
      </ns0:c>
      <ns0:c r="Z238" s="957" t="str">
        <ns0:f>IF(COUNTA($A238:$M238)=0,"",Instructions!$B$29+SUM($W$5:W238))</ns0:f>
      </ns0:c>
    </ns0:row>
    <ns0:row r="239" ht="36" customHeight="1">
      <ns0:c r="A239" s="439"/>
      <ns0:c r="B239" s="453"/>
      <ns0:c r="C239" s="453"/>
      <ns0:c r="D239" s="454"/>
      <ns0:c r="E239" s="454"/>
      <ns0:c r="F239" s="454"/>
      <ns0:c r="G239" s="986"/>
      <ns0:c r="H239" s="455"/>
      <ns0:c r="I239" s="456"/>
      <ns0:c r="J239" s="456"/>
      <ns0:c r="K239" s="986"/>
      <ns0:c r="L239" s="454"/>
      <ns0:c r="M239" s="439"/>
      <ns0:c r="N239" s="987" t="str">
        <ns0:f>IF(COUNTA($A239:$M239)=0,"",IF(OR(LEFT(LOWER(TRIM($F239&amp;"")),12)="subscription",LOWER(TRIM($F239&amp;""))="membership"),"",IF(OR(AND($H239&lt;&gt;"",$H239=0),LEFT(LOWER(TRIM($F239&amp;"")),9)="free game",LOWER(TRIM($F239&amp;""))="free",LOWER(TRIM($F239&amp;""))="free entry"),IF(ISNUMBER($G239),IF(ISNUMBER(SEARCH("non",LOWER($E239&amp;""))),$G239*0.85,$G239),"N/A"),IF($G239="","",IFERROR(IF(ISNUMBER(SEARCH("non",LOWER($E239&amp;""))),$G239*0.85,$G239),"")))))</ns0:f>
        <ns0:v/>
      </ns0:c>
      <ns0:c r="O239" s="987" t="str">
        <ns0:f>IF(COUNTA($A239:$M239)=0,"",IF(OR(LEFT(LOWER(TRIM($F239&amp;"")),12)="subscription",LOWER(TRIM($F239&amp;""))="membership"),"",IF(OR(AND($H239&lt;&gt;"",$H239=0),LEFT(LOWER(TRIM($F239&amp;"")),9)="free game",LOWER(TRIM($F239&amp;""))="free",LOWER(TRIM($F239&amp;""))="free entry"),IF(OR(NOT(ISNUMBER($N239)),NOT(ISNUMBER($I239)),$I239=0),"N/A",IFERROR($N239/$I239,"N/A")),IF(OR($N239="",$I239="",$I239=0),"",IFERROR($N239/$I239,"")))))</ns0:f>
        <ns0:v/>
      </ns0:c>
      <ns0:c r="P239" s="987">
        <ns0:f>IF(COUNTA($A239:$M239)=0,"",IF(OR(LEFT(LOWER(TRIM($F239&amp;"")),12)="subscription",LOWER(TRIM($F239&amp;""))="membership"),"",IF(LOWER(TRIM($D239&amp;""))="estimate","N/A",IF(LOWER($L239&amp;"")="yes",0,IF(OR(AND($H239&lt;&gt;"",$H239=0),LEFT(LOWER(TRIM($F239&amp;"")),9)="free game",LOWER(TRIM($F239&amp;""))="free",LOWER(TRIM($F239&amp;""))="free entry"),IF(ISNUMBER($K239),$K239,""),IF($K239&lt;&gt;"",$K239,""))))))</ns0:f>
      </ns0:c>
      <ns0:c r="Q239" s="114">
        <ns0:f>IF(COUNTA($A239:$M239)=0,"",IF(OR($U239="Subscription",$U239=""),"",IF($U239="Estimate","N/A",IF($U239="Profit",ROUND(IFERROR($P239,0)-IFERROR($H239,0),2),0))))</ns0:f>
      </ns0:c>
      <ns0:c r="R239" s="114">
        <ns0:f>IF(COUNTA($A239:$M239)=0,"",IF(OR($U239="Subscription",$U239=""),"",IF($U239="Estimate","N/A",IF($U239="Draw",$H239,0))))</ns0:f>
      </ns0:c>
      <ns0:c r="S239" s="114">
        <ns0:f>IF(COUNTA($A239:$M239)=0,"",IF(OR($U239="Subscription",$U239=""),"",IF($U239="Estimate","N/A",IF($U239="Disqualified",$H239,0))))</ns0:f>
      </ns0:c>
      <ns0:c r="T239" s="955">
        <ns0:f>IF(COUNTA($A239:$M239)=0,"",IF(OR($U239="Subscription",$U239=""),"",IF($U239="Estimate","N/A",IF(OR($U239="Free Game",$U239="Disqualified — Free Game",$H239=0),"N/A",IF($U239="Profit",$Q239/$H239,IF($U239="Disqualified",-$S239/$H239,0))))))</ns0:f>
      </ns0:c>
      <ns0:c r="U239" s="920">
        <ns0:f>IF(COUNTA($A239:$M239)=0,"",IF(OR(LEFT(LOWER(TRIM($F239&amp;"")),12)="subscription",LOWER(TRIM($F239&amp;""))="membership"),"Subscription",IF(LOWER(TRIM($D239&amp;""))="estimate","Estimate",IF(OR(AND($H239&lt;&gt;"",$H239=0),LEFT(LOWER(TRIM($F239&amp;"")),9)="free game",LOWER(TRIM($F239&amp;""))="free",LOWER(TRIM($F239&amp;""))="free entry"),IF(LOWER($L239&amp;"")="yes","Disqualified — Free Game","Free Game"),IF(LOWER($L239&amp;"")="yes","Disqualified",IF($P239="","",IF(ROUND(IFERROR(VALUE($P239),0)-IFERROR(VALUE($H239),0),2)&gt;0,"Profit","Draw")))))))</ns0:f>
      </ns0:c>
      <ns0:c r="V239" s="956" t="str">
        <ns0:f>IF(COUNTA($A239:$M239)=0,"",IF(OR($B239="",$C239="",$U239="Subscription"),"",IFERROR(ROUNDUP(($C239-$B239)/7,0),"")))</ns0:f>
      </ns0:c>
      <ns0:c r="W239" s="114">
        <ns0:f>IF(COUNTA($A239:$M239)=0,"",IF(OR($U239="Subscription",$U239=""),"",IF($U239="Estimate","N/A",IF(OR($U239="Free Game",$U239="Disqualified — Free Game"),0,ROUND(IFERROR($Q239,0)-IFERROR($S239,0),2)))))</ns0:f>
      </ns0:c>
      <ns0:c r="X239" s="956" t="str">
        <ns0:f>IF(COUNTA($A239:$M239)=0,"",IF(OR($U239="Subscription",NOT(ISNUMBER($J239)),NOT(ISNUMBER($I239)),$J239=0,$I239=0,$I239&gt;$J239),"",$J239-$I239))</ns0:f>
      </ns0:c>
      <ns0:c r="Y239" s="955" t="str">
        <ns0:f>IF(COUNTA($A239:$M239)=0,"",IF(OR($U239="Subscription",NOT(ISNUMBER($J239)),$J239=0,$X239=""),"",$X239/$J239))</ns0:f>
      </ns0:c>
      <ns0:c r="Z239" s="957" t="str">
        <ns0:f>IF(COUNTA($A239:$M239)=0,"",Instructions!$B$29+SUM($W$5:W239))</ns0:f>
      </ns0:c>
    </ns0:row>
    <ns0:row r="240" ht="36" customHeight="1">
      <ns0:c r="A240" s="439"/>
      <ns0:c r="B240" s="453"/>
      <ns0:c r="C240" s="453"/>
      <ns0:c r="D240" s="454"/>
      <ns0:c r="E240" s="454"/>
      <ns0:c r="F240" s="454"/>
      <ns0:c r="G240" s="986"/>
      <ns0:c r="H240" s="455"/>
      <ns0:c r="I240" s="456"/>
      <ns0:c r="J240" s="456"/>
      <ns0:c r="K240" s="986"/>
      <ns0:c r="L240" s="454"/>
      <ns0:c r="M240" s="439"/>
      <ns0:c r="N240" s="987" t="str">
        <ns0:f>IF(COUNTA($A240:$M240)=0,"",IF(OR(LEFT(LOWER(TRIM($F240&amp;"")),12)="subscription",LOWER(TRIM($F240&amp;""))="membership"),"",IF(OR(AND($H240&lt;&gt;"",$H240=0),LEFT(LOWER(TRIM($F240&amp;"")),9)="free game",LOWER(TRIM($F240&amp;""))="free",LOWER(TRIM($F240&amp;""))="free entry"),IF(ISNUMBER($G240),IF(ISNUMBER(SEARCH("non",LOWER($E240&amp;""))),$G240*0.85,$G240),"N/A"),IF($G240="","",IFERROR(IF(ISNUMBER(SEARCH("non",LOWER($E240&amp;""))),$G240*0.85,$G240),"")))))</ns0:f>
        <ns0:v/>
      </ns0:c>
      <ns0:c r="O240" s="987" t="str">
        <ns0:f>IF(COUNTA($A240:$M240)=0,"",IF(OR(LEFT(LOWER(TRIM($F240&amp;"")),12)="subscription",LOWER(TRIM($F240&amp;""))="membership"),"",IF(OR(AND($H240&lt;&gt;"",$H240=0),LEFT(LOWER(TRIM($F240&amp;"")),9)="free game",LOWER(TRIM($F240&amp;""))="free",LOWER(TRIM($F240&amp;""))="free entry"),IF(OR(NOT(ISNUMBER($N240)),NOT(ISNUMBER($I240)),$I240=0),"N/A",IFERROR($N240/$I240,"N/A")),IF(OR($N240="",$I240="",$I240=0),"",IFERROR($N240/$I240,"")))))</ns0:f>
        <ns0:v/>
      </ns0:c>
      <ns0:c r="P240" s="987">
        <ns0:f>IF(COUNTA($A240:$M240)=0,"",IF(OR(LEFT(LOWER(TRIM($F240&amp;"")),12)="subscription",LOWER(TRIM($F240&amp;""))="membership"),"",IF(LOWER(TRIM($D240&amp;""))="estimate","N/A",IF(LOWER($L240&amp;"")="yes",0,IF(OR(AND($H240&lt;&gt;"",$H240=0),LEFT(LOWER(TRIM($F240&amp;"")),9)="free game",LOWER(TRIM($F240&amp;""))="free",LOWER(TRIM($F240&amp;""))="free entry"),IF(ISNUMBER($K240),$K240,""),IF($K240&lt;&gt;"",$K240,""))))))</ns0:f>
      </ns0:c>
      <ns0:c r="Q240" s="114">
        <ns0:f>IF(COUNTA($A240:$M240)=0,"",IF(OR($U240="Subscription",$U240=""),"",IF($U240="Estimate","N/A",IF($U240="Profit",ROUND(IFERROR($P240,0)-IFERROR($H240,0),2),0))))</ns0:f>
      </ns0:c>
      <ns0:c r="R240" s="114">
        <ns0:f>IF(COUNTA($A240:$M240)=0,"",IF(OR($U240="Subscription",$U240=""),"",IF($U240="Estimate","N/A",IF($U240="Draw",$H240,0))))</ns0:f>
      </ns0:c>
      <ns0:c r="S240" s="114">
        <ns0:f>IF(COUNTA($A240:$M240)=0,"",IF(OR($U240="Subscription",$U240=""),"",IF($U240="Estimate","N/A",IF($U240="Disqualified",$H240,0))))</ns0:f>
      </ns0:c>
      <ns0:c r="T240" s="955">
        <ns0:f>IF(COUNTA($A240:$M240)=0,"",IF(OR($U240="Subscription",$U240=""),"",IF($U240="Estimate","N/A",IF(OR($U240="Free Game",$U240="Disqualified — Free Game",$H240=0),"N/A",IF($U240="Profit",$Q240/$H240,IF($U240="Disqualified",-$S240/$H240,0))))))</ns0:f>
      </ns0:c>
      <ns0:c r="U240" s="920">
        <ns0:f>IF(COUNTA($A240:$M240)=0,"",IF(OR(LEFT(LOWER(TRIM($F240&amp;"")),12)="subscription",LOWER(TRIM($F240&amp;""))="membership"),"Subscription",IF(LOWER(TRIM($D240&amp;""))="estimate","Estimate",IF(OR(AND($H240&lt;&gt;"",$H240=0),LEFT(LOWER(TRIM($F240&amp;"")),9)="free game",LOWER(TRIM($F240&amp;""))="free",LOWER(TRIM($F240&amp;""))="free entry"),IF(LOWER($L240&amp;"")="yes","Disqualified — Free Game","Free Game"),IF(LOWER($L240&amp;"")="yes","Disqualified",IF($P240="","",IF(ROUND(IFERROR(VALUE($P240),0)-IFERROR(VALUE($H240),0),2)&gt;0,"Profit","Draw")))))))</ns0:f>
      </ns0:c>
      <ns0:c r="V240" s="956" t="str">
        <ns0:f>IF(COUNTA($A240:$M240)=0,"",IF(OR($B240="",$C240="",$U240="Subscription"),"",IFERROR(ROUNDUP(($C240-$B240)/7,0),"")))</ns0:f>
      </ns0:c>
      <ns0:c r="W240" s="114">
        <ns0:f>IF(COUNTA($A240:$M240)=0,"",IF(OR($U240="Subscription",$U240=""),"",IF($U240="Estimate","N/A",IF(OR($U240="Free Game",$U240="Disqualified — Free Game"),0,ROUND(IFERROR($Q240,0)-IFERROR($S240,0),2)))))</ns0:f>
      </ns0:c>
      <ns0:c r="X240" s="956" t="str">
        <ns0:f>IF(COUNTA($A240:$M240)=0,"",IF(OR($U240="Subscription",NOT(ISNUMBER($J240)),NOT(ISNUMBER($I240)),$J240=0,$I240=0,$I240&gt;$J240),"",$J240-$I240))</ns0:f>
      </ns0:c>
      <ns0:c r="Y240" s="955" t="str">
        <ns0:f>IF(COUNTA($A240:$M240)=0,"",IF(OR($U240="Subscription",NOT(ISNUMBER($J240)),$J240=0,$X240=""),"",$X240/$J240))</ns0:f>
      </ns0:c>
      <ns0:c r="Z240" s="957" t="str">
        <ns0:f>IF(COUNTA($A240:$M240)=0,"",Instructions!$B$29+SUM($W$5:W240))</ns0:f>
      </ns0:c>
    </ns0:row>
    <ns0:row r="241" ht="36" customHeight="1">
      <ns0:c r="A241" s="439"/>
      <ns0:c r="B241" s="453"/>
      <ns0:c r="C241" s="453"/>
      <ns0:c r="D241" s="454"/>
      <ns0:c r="E241" s="454"/>
      <ns0:c r="F241" s="454"/>
      <ns0:c r="G241" s="986"/>
      <ns0:c r="H241" s="455"/>
      <ns0:c r="I241" s="456"/>
      <ns0:c r="J241" s="456"/>
      <ns0:c r="K241" s="986"/>
      <ns0:c r="L241" s="454"/>
      <ns0:c r="M241" s="439"/>
      <ns0:c r="N241" s="987" t="str">
        <ns0:f>IF(COUNTA($A241:$M241)=0,"",IF(OR(LEFT(LOWER(TRIM($F241&amp;"")),12)="subscription",LOWER(TRIM($F241&amp;""))="membership"),"",IF(OR(AND($H241&lt;&gt;"",$H241=0),LEFT(LOWER(TRIM($F241&amp;"")),9)="free game",LOWER(TRIM($F241&amp;""))="free",LOWER(TRIM($F241&amp;""))="free entry"),IF(ISNUMBER($G241),IF(ISNUMBER(SEARCH("non",LOWER($E241&amp;""))),$G241*0.85,$G241),"N/A"),IF($G241="","",IFERROR(IF(ISNUMBER(SEARCH("non",LOWER($E241&amp;""))),$G241*0.85,$G241),"")))))</ns0:f>
        <ns0:v/>
      </ns0:c>
      <ns0:c r="O241" s="987" t="str">
        <ns0:f>IF(COUNTA($A241:$M241)=0,"",IF(OR(LEFT(LOWER(TRIM($F241&amp;"")),12)="subscription",LOWER(TRIM($F241&amp;""))="membership"),"",IF(OR(AND($H241&lt;&gt;"",$H241=0),LEFT(LOWER(TRIM($F241&amp;"")),9)="free game",LOWER(TRIM($F241&amp;""))="free",LOWER(TRIM($F241&amp;""))="free entry"),IF(OR(NOT(ISNUMBER($N241)),NOT(ISNUMBER($I241)),$I241=0),"N/A",IFERROR($N241/$I241,"N/A")),IF(OR($N241="",$I241="",$I241=0),"",IFERROR($N241/$I241,"")))))</ns0:f>
        <ns0:v/>
      </ns0:c>
      <ns0:c r="P241" s="987">
        <ns0:f>IF(COUNTA($A241:$M241)=0,"",IF(OR(LEFT(LOWER(TRIM($F241&amp;"")),12)="subscription",LOWER(TRIM($F241&amp;""))="membership"),"",IF(LOWER(TRIM($D241&amp;""))="estimate","N/A",IF(LOWER($L241&amp;"")="yes",0,IF(OR(AND($H241&lt;&gt;"",$H241=0),LEFT(LOWER(TRIM($F241&amp;"")),9)="free game",LOWER(TRIM($F241&amp;""))="free",LOWER(TRIM($F241&amp;""))="free entry"),IF(ISNUMBER($K241),$K241,""),IF($K241&lt;&gt;"",$K241,""))))))</ns0:f>
      </ns0:c>
      <ns0:c r="Q241" s="114">
        <ns0:f>IF(COUNTA($A241:$M241)=0,"",IF(OR($U241="Subscription",$U241=""),"",IF($U241="Estimate","N/A",IF($U241="Profit",ROUND(IFERROR($P241,0)-IFERROR($H241,0),2),0))))</ns0:f>
      </ns0:c>
      <ns0:c r="R241" s="114">
        <ns0:f>IF(COUNTA($A241:$M241)=0,"",IF(OR($U241="Subscription",$U241=""),"",IF($U241="Estimate","N/A",IF($U241="Draw",$H241,0))))</ns0:f>
      </ns0:c>
      <ns0:c r="S241" s="114">
        <ns0:f>IF(COUNTA($A241:$M241)=0,"",IF(OR($U241="Subscription",$U241=""),"",IF($U241="Estimate","N/A",IF($U241="Disqualified",$H241,0))))</ns0:f>
      </ns0:c>
      <ns0:c r="T241" s="955">
        <ns0:f>IF(COUNTA($A241:$M241)=0,"",IF(OR($U241="Subscription",$U241=""),"",IF($U241="Estimate","N/A",IF(OR($U241="Free Game",$U241="Disqualified — Free Game",$H241=0),"N/A",IF($U241="Profit",$Q241/$H241,IF($U241="Disqualified",-$S241/$H241,0))))))</ns0:f>
      </ns0:c>
      <ns0:c r="U241" s="920">
        <ns0:f>IF(COUNTA($A241:$M241)=0,"",IF(OR(LEFT(LOWER(TRIM($F241&amp;"")),12)="subscription",LOWER(TRIM($F241&amp;""))="membership"),"Subscription",IF(LOWER(TRIM($D241&amp;""))="estimate","Estimate",IF(OR(AND($H241&lt;&gt;"",$H241=0),LEFT(LOWER(TRIM($F241&amp;"")),9)="free game",LOWER(TRIM($F241&amp;""))="free",LOWER(TRIM($F241&amp;""))="free entry"),IF(LOWER($L241&amp;"")="yes","Disqualified — Free Game","Free Game"),IF(LOWER($L241&amp;"")="yes","Disqualified",IF($P241="","",IF(ROUND(IFERROR(VALUE($P241),0)-IFERROR(VALUE($H241),0),2)&gt;0,"Profit","Draw")))))))</ns0:f>
      </ns0:c>
      <ns0:c r="V241" s="956" t="str">
        <ns0:f>IF(COUNTA($A241:$M241)=0,"",IF(OR($B241="",$C241="",$U241="Subscription"),"",IFERROR(ROUNDUP(($C241-$B241)/7,0),"")))</ns0:f>
      </ns0:c>
      <ns0:c r="W241" s="114">
        <ns0:f>IF(COUNTA($A241:$M241)=0,"",IF(OR($U241="Subscription",$U241=""),"",IF($U241="Estimate","N/A",IF(OR($U241="Free Game",$U241="Disqualified — Free Game"),0,ROUND(IFERROR($Q241,0)-IFERROR($S241,0),2)))))</ns0:f>
      </ns0:c>
      <ns0:c r="X241" s="956" t="str">
        <ns0:f>IF(COUNTA($A241:$M241)=0,"",IF(OR($U241="Subscription",NOT(ISNUMBER($J241)),NOT(ISNUMBER($I241)),$J241=0,$I241=0,$I241&gt;$J241),"",$J241-$I241))</ns0:f>
      </ns0:c>
      <ns0:c r="Y241" s="955" t="str">
        <ns0:f>IF(COUNTA($A241:$M241)=0,"",IF(OR($U241="Subscription",NOT(ISNUMBER($J241)),$J241=0,$X241=""),"",$X241/$J241))</ns0:f>
      </ns0:c>
      <ns0:c r="Z241" s="957" t="str">
        <ns0:f>IF(COUNTA($A241:$M241)=0,"",Instructions!$B$29+SUM($W$5:W241))</ns0:f>
      </ns0:c>
    </ns0:row>
    <ns0:row r="242" ht="36" customHeight="1">
      <ns0:c r="A242" s="439"/>
      <ns0:c r="B242" s="453"/>
      <ns0:c r="C242" s="453"/>
      <ns0:c r="D242" s="454"/>
      <ns0:c r="E242" s="454"/>
      <ns0:c r="F242" s="454"/>
      <ns0:c r="G242" s="986"/>
      <ns0:c r="H242" s="455"/>
      <ns0:c r="I242" s="456"/>
      <ns0:c r="J242" s="456"/>
      <ns0:c r="K242" s="986"/>
      <ns0:c r="L242" s="454"/>
      <ns0:c r="M242" s="439"/>
      <ns0:c r="N242" s="987" t="str">
        <ns0:f>IF(COUNTA($A242:$M242)=0,"",IF(OR(LEFT(LOWER(TRIM($F242&amp;"")),12)="subscription",LOWER(TRIM($F242&amp;""))="membership"),"",IF(OR(AND($H242&lt;&gt;"",$H242=0),LEFT(LOWER(TRIM($F242&amp;"")),9)="free game",LOWER(TRIM($F242&amp;""))="free",LOWER(TRIM($F242&amp;""))="free entry"),IF(ISNUMBER($G242),IF(ISNUMBER(SEARCH("non",LOWER($E242&amp;""))),$G242*0.85,$G242),"N/A"),IF($G242="","",IFERROR(IF(ISNUMBER(SEARCH("non",LOWER($E242&amp;""))),$G242*0.85,$G242),"")))))</ns0:f>
        <ns0:v/>
      </ns0:c>
      <ns0:c r="O242" s="987" t="str">
        <ns0:f>IF(COUNTA($A242:$M242)=0,"",IF(OR(LEFT(LOWER(TRIM($F242&amp;"")),12)="subscription",LOWER(TRIM($F242&amp;""))="membership"),"",IF(OR(AND($H242&lt;&gt;"",$H242=0),LEFT(LOWER(TRIM($F242&amp;"")),9)="free game",LOWER(TRIM($F242&amp;""))="free",LOWER(TRIM($F242&amp;""))="free entry"),IF(OR(NOT(ISNUMBER($N242)),NOT(ISNUMBER($I242)),$I242=0),"N/A",IFERROR($N242/$I242,"N/A")),IF(OR($N242="",$I242="",$I242=0),"",IFERROR($N242/$I242,"")))))</ns0:f>
        <ns0:v/>
      </ns0:c>
      <ns0:c r="P242" s="987">
        <ns0:f>IF(COUNTA($A242:$M242)=0,"",IF(OR(LEFT(LOWER(TRIM($F242&amp;"")),12)="subscription",LOWER(TRIM($F242&amp;""))="membership"),"",IF(LOWER(TRIM($D242&amp;""))="estimate","N/A",IF(LOWER($L242&amp;"")="yes",0,IF(OR(AND($H242&lt;&gt;"",$H242=0),LEFT(LOWER(TRIM($F242&amp;"")),9)="free game",LOWER(TRIM($F242&amp;""))="free",LOWER(TRIM($F242&amp;""))="free entry"),IF(ISNUMBER($K242),$K242,""),IF($K242&lt;&gt;"",$K242,""))))))</ns0:f>
      </ns0:c>
      <ns0:c r="Q242" s="114">
        <ns0:f>IF(COUNTA($A242:$M242)=0,"",IF(OR($U242="Subscription",$U242=""),"",IF($U242="Estimate","N/A",IF($U242="Profit",ROUND(IFERROR($P242,0)-IFERROR($H242,0),2),0))))</ns0:f>
      </ns0:c>
      <ns0:c r="R242" s="114">
        <ns0:f>IF(COUNTA($A242:$M242)=0,"",IF(OR($U242="Subscription",$U242=""),"",IF($U242="Estimate","N/A",IF($U242="Draw",$H242,0))))</ns0:f>
      </ns0:c>
      <ns0:c r="S242" s="114">
        <ns0:f>IF(COUNTA($A242:$M242)=0,"",IF(OR($U242="Subscription",$U242=""),"",IF($U242="Estimate","N/A",IF($U242="Disqualified",$H242,0))))</ns0:f>
      </ns0:c>
      <ns0:c r="T242" s="955">
        <ns0:f>IF(COUNTA($A242:$M242)=0,"",IF(OR($U242="Subscription",$U242=""),"",IF($U242="Estimate","N/A",IF(OR($U242="Free Game",$U242="Disqualified — Free Game",$H242=0),"N/A",IF($U242="Profit",$Q242/$H242,IF($U242="Disqualified",-$S242/$H242,0))))))</ns0:f>
      </ns0:c>
      <ns0:c r="U242" s="920">
        <ns0:f>IF(COUNTA($A242:$M242)=0,"",IF(OR(LEFT(LOWER(TRIM($F242&amp;"")),12)="subscription",LOWER(TRIM($F242&amp;""))="membership"),"Subscription",IF(LOWER(TRIM($D242&amp;""))="estimate","Estimate",IF(OR(AND($H242&lt;&gt;"",$H242=0),LEFT(LOWER(TRIM($F242&amp;"")),9)="free game",LOWER(TRIM($F242&amp;""))="free",LOWER(TRIM($F242&amp;""))="free entry"),IF(LOWER($L242&amp;"")="yes","Disqualified — Free Game","Free Game"),IF(LOWER($L242&amp;"")="yes","Disqualified",IF($P242="","",IF(ROUND(IFERROR(VALUE($P242),0)-IFERROR(VALUE($H242),0),2)&gt;0,"Profit","Draw")))))))</ns0:f>
      </ns0:c>
      <ns0:c r="V242" s="956" t="str">
        <ns0:f>IF(COUNTA($A242:$M242)=0,"",IF(OR($B242="",$C242="",$U242="Subscription"),"",IFERROR(ROUNDUP(($C242-$B242)/7,0),"")))</ns0:f>
      </ns0:c>
      <ns0:c r="W242" s="114">
        <ns0:f>IF(COUNTA($A242:$M242)=0,"",IF(OR($U242="Subscription",$U242=""),"",IF($U242="Estimate","N/A",IF(OR($U242="Free Game",$U242="Disqualified — Free Game"),0,ROUND(IFERROR($Q242,0)-IFERROR($S242,0),2)))))</ns0:f>
      </ns0:c>
      <ns0:c r="X242" s="956" t="str">
        <ns0:f>IF(COUNTA($A242:$M242)=0,"",IF(OR($U242="Subscription",NOT(ISNUMBER($J242)),NOT(ISNUMBER($I242)),$J242=0,$I242=0,$I242&gt;$J242),"",$J242-$I242))</ns0:f>
      </ns0:c>
      <ns0:c r="Y242" s="955" t="str">
        <ns0:f>IF(COUNTA($A242:$M242)=0,"",IF(OR($U242="Subscription",NOT(ISNUMBER($J242)),$J242=0,$X242=""),"",$X242/$J242))</ns0:f>
      </ns0:c>
      <ns0:c r="Z242" s="957" t="str">
        <ns0:f>IF(COUNTA($A242:$M242)=0,"",Instructions!$B$29+SUM($W$5:W242))</ns0:f>
      </ns0:c>
    </ns0:row>
    <ns0:row r="243" ht="36" customHeight="1">
      <ns0:c r="A243" s="439"/>
      <ns0:c r="B243" s="453"/>
      <ns0:c r="C243" s="453"/>
      <ns0:c r="D243" s="454"/>
      <ns0:c r="E243" s="454"/>
      <ns0:c r="F243" s="454"/>
      <ns0:c r="G243" s="986"/>
      <ns0:c r="H243" s="455"/>
      <ns0:c r="I243" s="456"/>
      <ns0:c r="J243" s="456"/>
      <ns0:c r="K243" s="986"/>
      <ns0:c r="L243" s="454"/>
      <ns0:c r="M243" s="439"/>
      <ns0:c r="N243" s="987" t="str">
        <ns0:f>IF(COUNTA($A243:$M243)=0,"",IF(OR(LEFT(LOWER(TRIM($F243&amp;"")),12)="subscription",LOWER(TRIM($F243&amp;""))="membership"),"",IF(OR(AND($H243&lt;&gt;"",$H243=0),LEFT(LOWER(TRIM($F243&amp;"")),9)="free game",LOWER(TRIM($F243&amp;""))="free",LOWER(TRIM($F243&amp;""))="free entry"),IF(ISNUMBER($G243),IF(ISNUMBER(SEARCH("non",LOWER($E243&amp;""))),$G243*0.85,$G243),"N/A"),IF($G243="","",IFERROR(IF(ISNUMBER(SEARCH("non",LOWER($E243&amp;""))),$G243*0.85,$G243),"")))))</ns0:f>
        <ns0:v/>
      </ns0:c>
      <ns0:c r="O243" s="987" t="str">
        <ns0:f>IF(COUNTA($A243:$M243)=0,"",IF(OR(LEFT(LOWER(TRIM($F243&amp;"")),12)="subscription",LOWER(TRIM($F243&amp;""))="membership"),"",IF(OR(AND($H243&lt;&gt;"",$H243=0),LEFT(LOWER(TRIM($F243&amp;"")),9)="free game",LOWER(TRIM($F243&amp;""))="free",LOWER(TRIM($F243&amp;""))="free entry"),IF(OR(NOT(ISNUMBER($N243)),NOT(ISNUMBER($I243)),$I243=0),"N/A",IFERROR($N243/$I243,"N/A")),IF(OR($N243="",$I243="",$I243=0),"",IFERROR($N243/$I243,"")))))</ns0:f>
        <ns0:v/>
      </ns0:c>
      <ns0:c r="P243" s="987">
        <ns0:f>IF(COUNTA($A243:$M243)=0,"",IF(OR(LEFT(LOWER(TRIM($F243&amp;"")),12)="subscription",LOWER(TRIM($F243&amp;""))="membership"),"",IF(LOWER(TRIM($D243&amp;""))="estimate","N/A",IF(LOWER($L243&amp;"")="yes",0,IF(OR(AND($H243&lt;&gt;"",$H243=0),LEFT(LOWER(TRIM($F243&amp;"")),9)="free game",LOWER(TRIM($F243&amp;""))="free",LOWER(TRIM($F243&amp;""))="free entry"),IF(ISNUMBER($K243),$K243,""),IF($K243&lt;&gt;"",$K243,""))))))</ns0:f>
      </ns0:c>
      <ns0:c r="Q243" s="114">
        <ns0:f>IF(COUNTA($A243:$M243)=0,"",IF(OR($U243="Subscription",$U243=""),"",IF($U243="Estimate","N/A",IF($U243="Profit",ROUND(IFERROR($P243,0)-IFERROR($H243,0),2),0))))</ns0:f>
      </ns0:c>
      <ns0:c r="R243" s="114">
        <ns0:f>IF(COUNTA($A243:$M243)=0,"",IF(OR($U243="Subscription",$U243=""),"",IF($U243="Estimate","N/A",IF($U243="Draw",$H243,0))))</ns0:f>
      </ns0:c>
      <ns0:c r="S243" s="114">
        <ns0:f>IF(COUNTA($A243:$M243)=0,"",IF(OR($U243="Subscription",$U243=""),"",IF($U243="Estimate","N/A",IF($U243="Disqualified",$H243,0))))</ns0:f>
      </ns0:c>
      <ns0:c r="T243" s="955">
        <ns0:f>IF(COUNTA($A243:$M243)=0,"",IF(OR($U243="Subscription",$U243=""),"",IF($U243="Estimate","N/A",IF(OR($U243="Free Game",$U243="Disqualified — Free Game",$H243=0),"N/A",IF($U243="Profit",$Q243/$H243,IF($U243="Disqualified",-$S243/$H243,0))))))</ns0:f>
      </ns0:c>
      <ns0:c r="U243" s="920">
        <ns0:f>IF(COUNTA($A243:$M243)=0,"",IF(OR(LEFT(LOWER(TRIM($F243&amp;"")),12)="subscription",LOWER(TRIM($F243&amp;""))="membership"),"Subscription",IF(LOWER(TRIM($D243&amp;""))="estimate","Estimate",IF(OR(AND($H243&lt;&gt;"",$H243=0),LEFT(LOWER(TRIM($F243&amp;"")),9)="free game",LOWER(TRIM($F243&amp;""))="free",LOWER(TRIM($F243&amp;""))="free entry"),IF(LOWER($L243&amp;"")="yes","Disqualified — Free Game","Free Game"),IF(LOWER($L243&amp;"")="yes","Disqualified",IF($P243="","",IF(ROUND(IFERROR(VALUE($P243),0)-IFERROR(VALUE($H243),0),2)&gt;0,"Profit","Draw")))))))</ns0:f>
      </ns0:c>
      <ns0:c r="V243" s="956" t="str">
        <ns0:f>IF(COUNTA($A243:$M243)=0,"",IF(OR($B243="",$C243="",$U243="Subscription"),"",IFERROR(ROUNDUP(($C243-$B243)/7,0),"")))</ns0:f>
      </ns0:c>
      <ns0:c r="W243" s="114">
        <ns0:f>IF(COUNTA($A243:$M243)=0,"",IF(OR($U243="Subscription",$U243=""),"",IF($U243="Estimate","N/A",IF(OR($U243="Free Game",$U243="Disqualified — Free Game"),0,ROUND(IFERROR($Q243,0)-IFERROR($S243,0),2)))))</ns0:f>
      </ns0:c>
      <ns0:c r="X243" s="956" t="str">
        <ns0:f>IF(COUNTA($A243:$M243)=0,"",IF(OR($U243="Subscription",NOT(ISNUMBER($J243)),NOT(ISNUMBER($I243)),$J243=0,$I243=0,$I243&gt;$J243),"",$J243-$I243))</ns0:f>
      </ns0:c>
      <ns0:c r="Y243" s="955" t="str">
        <ns0:f>IF(COUNTA($A243:$M243)=0,"",IF(OR($U243="Subscription",NOT(ISNUMBER($J243)),$J243=0,$X243=""),"",$X243/$J243))</ns0:f>
      </ns0:c>
      <ns0:c r="Z243" s="957" t="str">
        <ns0:f>IF(COUNTA($A243:$M243)=0,"",Instructions!$B$29+SUM($W$5:W243))</ns0:f>
      </ns0:c>
    </ns0:row>
    <ns0:row r="244" ht="36" customHeight="1">
      <ns0:c r="A244" s="439"/>
      <ns0:c r="B244" s="453"/>
      <ns0:c r="C244" s="453"/>
      <ns0:c r="D244" s="454"/>
      <ns0:c r="E244" s="454"/>
      <ns0:c r="F244" s="454"/>
      <ns0:c r="G244" s="986"/>
      <ns0:c r="H244" s="455"/>
      <ns0:c r="I244" s="456"/>
      <ns0:c r="J244" s="456"/>
      <ns0:c r="K244" s="986"/>
      <ns0:c r="L244" s="454"/>
      <ns0:c r="M244" s="439"/>
      <ns0:c r="N244" s="987" t="str">
        <ns0:f>IF(COUNTA($A244:$M244)=0,"",IF(OR(LEFT(LOWER(TRIM($F244&amp;"")),12)="subscription",LOWER(TRIM($F244&amp;""))="membership"),"",IF(OR(AND($H244&lt;&gt;"",$H244=0),LEFT(LOWER(TRIM($F244&amp;"")),9)="free game",LOWER(TRIM($F244&amp;""))="free",LOWER(TRIM($F244&amp;""))="free entry"),IF(ISNUMBER($G244),IF(ISNUMBER(SEARCH("non",LOWER($E244&amp;""))),$G244*0.85,$G244),"N/A"),IF($G244="","",IFERROR(IF(ISNUMBER(SEARCH("non",LOWER($E244&amp;""))),$G244*0.85,$G244),"")))))</ns0:f>
        <ns0:v/>
      </ns0:c>
      <ns0:c r="O244" s="987" t="str">
        <ns0:f>IF(COUNTA($A244:$M244)=0,"",IF(OR(LEFT(LOWER(TRIM($F244&amp;"")),12)="subscription",LOWER(TRIM($F244&amp;""))="membership"),"",IF(OR(AND($H244&lt;&gt;"",$H244=0),LEFT(LOWER(TRIM($F244&amp;"")),9)="free game",LOWER(TRIM($F244&amp;""))="free",LOWER(TRIM($F244&amp;""))="free entry"),IF(OR(NOT(ISNUMBER($N244)),NOT(ISNUMBER($I244)),$I244=0),"N/A",IFERROR($N244/$I244,"N/A")),IF(OR($N244="",$I244="",$I244=0),"",IFERROR($N244/$I244,"")))))</ns0:f>
        <ns0:v/>
      </ns0:c>
      <ns0:c r="P244" s="987">
        <ns0:f>IF(COUNTA($A244:$M244)=0,"",IF(OR(LEFT(LOWER(TRIM($F244&amp;"")),12)="subscription",LOWER(TRIM($F244&amp;""))="membership"),"",IF(LOWER(TRIM($D244&amp;""))="estimate","N/A",IF(LOWER($L244&amp;"")="yes",0,IF(OR(AND($H244&lt;&gt;"",$H244=0),LEFT(LOWER(TRIM($F244&amp;"")),9)="free game",LOWER(TRIM($F244&amp;""))="free",LOWER(TRIM($F244&amp;""))="free entry"),IF(ISNUMBER($K244),$K244,""),IF($K244&lt;&gt;"",$K244,""))))))</ns0:f>
      </ns0:c>
      <ns0:c r="Q244" s="114">
        <ns0:f>IF(COUNTA($A244:$M244)=0,"",IF(OR($U244="Subscription",$U244=""),"",IF($U244="Estimate","N/A",IF($U244="Profit",ROUND(IFERROR($P244,0)-IFERROR($H244,0),2),0))))</ns0:f>
      </ns0:c>
      <ns0:c r="R244" s="114">
        <ns0:f>IF(COUNTA($A244:$M244)=0,"",IF(OR($U244="Subscription",$U244=""),"",IF($U244="Estimate","N/A",IF($U244="Draw",$H244,0))))</ns0:f>
      </ns0:c>
      <ns0:c r="S244" s="114">
        <ns0:f>IF(COUNTA($A244:$M244)=0,"",IF(OR($U244="Subscription",$U244=""),"",IF($U244="Estimate","N/A",IF($U244="Disqualified",$H244,0))))</ns0:f>
      </ns0:c>
      <ns0:c r="T244" s="955">
        <ns0:f>IF(COUNTA($A244:$M244)=0,"",IF(OR($U244="Subscription",$U244=""),"",IF($U244="Estimate","N/A",IF(OR($U244="Free Game",$U244="Disqualified — Free Game",$H244=0),"N/A",IF($U244="Profit",$Q244/$H244,IF($U244="Disqualified",-$S244/$H244,0))))))</ns0:f>
      </ns0:c>
      <ns0:c r="U244" s="920">
        <ns0:f>IF(COUNTA($A244:$M244)=0,"",IF(OR(LEFT(LOWER(TRIM($F244&amp;"")),12)="subscription",LOWER(TRIM($F244&amp;""))="membership"),"Subscription",IF(LOWER(TRIM($D244&amp;""))="estimate","Estimate",IF(OR(AND($H244&lt;&gt;"",$H244=0),LEFT(LOWER(TRIM($F244&amp;"")),9)="free game",LOWER(TRIM($F244&amp;""))="free",LOWER(TRIM($F244&amp;""))="free entry"),IF(LOWER($L244&amp;"")="yes","Disqualified — Free Game","Free Game"),IF(LOWER($L244&amp;"")="yes","Disqualified",IF($P244="","",IF(ROUND(IFERROR(VALUE($P244),0)-IFERROR(VALUE($H244),0),2)&gt;0,"Profit","Draw")))))))</ns0:f>
      </ns0:c>
      <ns0:c r="V244" s="956" t="str">
        <ns0:f>IF(COUNTA($A244:$M244)=0,"",IF(OR($B244="",$C244="",$U244="Subscription"),"",IFERROR(ROUNDUP(($C244-$B244)/7,0),"")))</ns0:f>
      </ns0:c>
      <ns0:c r="W244" s="114">
        <ns0:f>IF(COUNTA($A244:$M244)=0,"",IF(OR($U244="Subscription",$U244=""),"",IF($U244="Estimate","N/A",IF(OR($U244="Free Game",$U244="Disqualified — Free Game"),0,ROUND(IFERROR($Q244,0)-IFERROR($S244,0),2)))))</ns0:f>
      </ns0:c>
      <ns0:c r="X244" s="956" t="str">
        <ns0:f>IF(COUNTA($A244:$M244)=0,"",IF(OR($U244="Subscription",NOT(ISNUMBER($J244)),NOT(ISNUMBER($I244)),$J244=0,$I244=0,$I244&gt;$J244),"",$J244-$I244))</ns0:f>
      </ns0:c>
      <ns0:c r="Y244" s="955" t="str">
        <ns0:f>IF(COUNTA($A244:$M244)=0,"",IF(OR($U244="Subscription",NOT(ISNUMBER($J244)),$J244=0,$X244=""),"",$X244/$J244))</ns0:f>
      </ns0:c>
      <ns0:c r="Z244" s="957" t="str">
        <ns0:f>IF(COUNTA($A244:$M244)=0,"",Instructions!$B$29+SUM($W$5:W244))</ns0:f>
      </ns0:c>
    </ns0:row>
    <ns0:row r="245" ht="36" customHeight="1">
      <ns0:c r="A245" s="439"/>
      <ns0:c r="B245" s="453"/>
      <ns0:c r="C245" s="453"/>
      <ns0:c r="D245" s="454"/>
      <ns0:c r="E245" s="454"/>
      <ns0:c r="F245" s="454"/>
      <ns0:c r="G245" s="986"/>
      <ns0:c r="H245" s="455"/>
      <ns0:c r="I245" s="456"/>
      <ns0:c r="J245" s="456"/>
      <ns0:c r="K245" s="986"/>
      <ns0:c r="L245" s="454"/>
      <ns0:c r="M245" s="439"/>
      <ns0:c r="N245" s="987" t="str">
        <ns0:f>IF(COUNTA($A245:$M245)=0,"",IF(OR(LEFT(LOWER(TRIM($F245&amp;"")),12)="subscription",LOWER(TRIM($F245&amp;""))="membership"),"",IF(OR(AND($H245&lt;&gt;"",$H245=0),LEFT(LOWER(TRIM($F245&amp;"")),9)="free game",LOWER(TRIM($F245&amp;""))="free",LOWER(TRIM($F245&amp;""))="free entry"),IF(ISNUMBER($G245),IF(ISNUMBER(SEARCH("non",LOWER($E245&amp;""))),$G245*0.85,$G245),"N/A"),IF($G245="","",IFERROR(IF(ISNUMBER(SEARCH("non",LOWER($E245&amp;""))),$G245*0.85,$G245),"")))))</ns0:f>
        <ns0:v/>
      </ns0:c>
      <ns0:c r="O245" s="987" t="str">
        <ns0:f>IF(COUNTA($A245:$M245)=0,"",IF(OR(LEFT(LOWER(TRIM($F245&amp;"")),12)="subscription",LOWER(TRIM($F245&amp;""))="membership"),"",IF(OR(AND($H245&lt;&gt;"",$H245=0),LEFT(LOWER(TRIM($F245&amp;"")),9)="free game",LOWER(TRIM($F245&amp;""))="free",LOWER(TRIM($F245&amp;""))="free entry"),IF(OR(NOT(ISNUMBER($N245)),NOT(ISNUMBER($I245)),$I245=0),"N/A",IFERROR($N245/$I245,"N/A")),IF(OR($N245="",$I245="",$I245=0),"",IFERROR($N245/$I245,"")))))</ns0:f>
        <ns0:v/>
      </ns0:c>
      <ns0:c r="P245" s="987">
        <ns0:f>IF(COUNTA($A245:$M245)=0,"",IF(OR(LEFT(LOWER(TRIM($F245&amp;"")),12)="subscription",LOWER(TRIM($F245&amp;""))="membership"),"",IF(LOWER(TRIM($D245&amp;""))="estimate","N/A",IF(LOWER($L245&amp;"")="yes",0,IF(OR(AND($H245&lt;&gt;"",$H245=0),LEFT(LOWER(TRIM($F245&amp;"")),9)="free game",LOWER(TRIM($F245&amp;""))="free",LOWER(TRIM($F245&amp;""))="free entry"),IF(ISNUMBER($K245),$K245,""),IF($K245&lt;&gt;"",$K245,""))))))</ns0:f>
      </ns0:c>
      <ns0:c r="Q245" s="114">
        <ns0:f>IF(COUNTA($A245:$M245)=0,"",IF(OR($U245="Subscription",$U245=""),"",IF($U245="Estimate","N/A",IF($U245="Profit",ROUND(IFERROR($P245,0)-IFERROR($H245,0),2),0))))</ns0:f>
      </ns0:c>
      <ns0:c r="R245" s="114">
        <ns0:f>IF(COUNTA($A245:$M245)=0,"",IF(OR($U245="Subscription",$U245=""),"",IF($U245="Estimate","N/A",IF($U245="Draw",$H245,0))))</ns0:f>
      </ns0:c>
      <ns0:c r="S245" s="114">
        <ns0:f>IF(COUNTA($A245:$M245)=0,"",IF(OR($U245="Subscription",$U245=""),"",IF($U245="Estimate","N/A",IF($U245="Disqualified",$H245,0))))</ns0:f>
      </ns0:c>
      <ns0:c r="T245" s="955">
        <ns0:f>IF(COUNTA($A245:$M245)=0,"",IF(OR($U245="Subscription",$U245=""),"",IF($U245="Estimate","N/A",IF(OR($U245="Free Game",$U245="Disqualified — Free Game",$H245=0),"N/A",IF($U245="Profit",$Q245/$H245,IF($U245="Disqualified",-$S245/$H245,0))))))</ns0:f>
      </ns0:c>
      <ns0:c r="U245" s="920">
        <ns0:f>IF(COUNTA($A245:$M245)=0,"",IF(OR(LEFT(LOWER(TRIM($F245&amp;"")),12)="subscription",LOWER(TRIM($F245&amp;""))="membership"),"Subscription",IF(LOWER(TRIM($D245&amp;""))="estimate","Estimate",IF(OR(AND($H245&lt;&gt;"",$H245=0),LEFT(LOWER(TRIM($F245&amp;"")),9)="free game",LOWER(TRIM($F245&amp;""))="free",LOWER(TRIM($F245&amp;""))="free entry"),IF(LOWER($L245&amp;"")="yes","Disqualified — Free Game","Free Game"),IF(LOWER($L245&amp;"")="yes","Disqualified",IF($P245="","",IF(ROUND(IFERROR(VALUE($P245),0)-IFERROR(VALUE($H245),0),2)&gt;0,"Profit","Draw")))))))</ns0:f>
      </ns0:c>
      <ns0:c r="V245" s="956" t="str">
        <ns0:f>IF(COUNTA($A245:$M245)=0,"",IF(OR($B245="",$C245="",$U245="Subscription"),"",IFERROR(ROUNDUP(($C245-$B245)/7,0),"")))</ns0:f>
      </ns0:c>
      <ns0:c r="W245" s="114">
        <ns0:f>IF(COUNTA($A245:$M245)=0,"",IF(OR($U245="Subscription",$U245=""),"",IF($U245="Estimate","N/A",IF(OR($U245="Free Game",$U245="Disqualified — Free Game"),0,ROUND(IFERROR($Q245,0)-IFERROR($S245,0),2)))))</ns0:f>
      </ns0:c>
      <ns0:c r="X245" s="956" t="str">
        <ns0:f>IF(COUNTA($A245:$M245)=0,"",IF(OR($U245="Subscription",NOT(ISNUMBER($J245)),NOT(ISNUMBER($I245)),$J245=0,$I245=0,$I245&gt;$J245),"",$J245-$I245))</ns0:f>
      </ns0:c>
      <ns0:c r="Y245" s="955" t="str">
        <ns0:f>IF(COUNTA($A245:$M245)=0,"",IF(OR($U245="Subscription",NOT(ISNUMBER($J245)),$J245=0,$X245=""),"",$X245/$J245))</ns0:f>
      </ns0:c>
      <ns0:c r="Z245" s="957" t="str">
        <ns0:f>IF(COUNTA($A245:$M245)=0,"",Instructions!$B$29+SUM($W$5:W245))</ns0:f>
      </ns0:c>
    </ns0:row>
    <ns0:row r="246" ht="36" customHeight="1">
      <ns0:c r="A246" s="439"/>
      <ns0:c r="B246" s="453"/>
      <ns0:c r="C246" s="453"/>
      <ns0:c r="D246" s="454"/>
      <ns0:c r="E246" s="454"/>
      <ns0:c r="F246" s="454"/>
      <ns0:c r="G246" s="986"/>
      <ns0:c r="H246" s="455"/>
      <ns0:c r="I246" s="456"/>
      <ns0:c r="J246" s="456"/>
      <ns0:c r="K246" s="986"/>
      <ns0:c r="L246" s="454"/>
      <ns0:c r="M246" s="439"/>
      <ns0:c r="N246" s="987" t="str">
        <ns0:f>IF(COUNTA($A246:$M246)=0,"",IF(OR(LEFT(LOWER(TRIM($F246&amp;"")),12)="subscription",LOWER(TRIM($F246&amp;""))="membership"),"",IF(OR(AND($H246&lt;&gt;"",$H246=0),LEFT(LOWER(TRIM($F246&amp;"")),9)="free game",LOWER(TRIM($F246&amp;""))="free",LOWER(TRIM($F246&amp;""))="free entry"),IF(ISNUMBER($G246),IF(ISNUMBER(SEARCH("non",LOWER($E246&amp;""))),$G246*0.85,$G246),"N/A"),IF($G246="","",IFERROR(IF(ISNUMBER(SEARCH("non",LOWER($E246&amp;""))),$G246*0.85,$G246),"")))))</ns0:f>
        <ns0:v/>
      </ns0:c>
      <ns0:c r="O246" s="987" t="str">
        <ns0:f>IF(COUNTA($A246:$M246)=0,"",IF(OR(LEFT(LOWER(TRIM($F246&amp;"")),12)="subscription",LOWER(TRIM($F246&amp;""))="membership"),"",IF(OR(AND($H246&lt;&gt;"",$H246=0),LEFT(LOWER(TRIM($F246&amp;"")),9)="free game",LOWER(TRIM($F246&amp;""))="free",LOWER(TRIM($F246&amp;""))="free entry"),IF(OR(NOT(ISNUMBER($N246)),NOT(ISNUMBER($I246)),$I246=0),"N/A",IFERROR($N246/$I246,"N/A")),IF(OR($N246="",$I246="",$I246=0),"",IFERROR($N246/$I246,"")))))</ns0:f>
        <ns0:v/>
      </ns0:c>
      <ns0:c r="P246" s="987">
        <ns0:f>IF(COUNTA($A246:$M246)=0,"",IF(OR(LEFT(LOWER(TRIM($F246&amp;"")),12)="subscription",LOWER(TRIM($F246&amp;""))="membership"),"",IF(LOWER(TRIM($D246&amp;""))="estimate","N/A",IF(LOWER($L246&amp;"")="yes",0,IF(OR(AND($H246&lt;&gt;"",$H246=0),LEFT(LOWER(TRIM($F246&amp;"")),9)="free game",LOWER(TRIM($F246&amp;""))="free",LOWER(TRIM($F246&amp;""))="free entry"),IF(ISNUMBER($K246),$K246,""),IF($K246&lt;&gt;"",$K246,""))))))</ns0:f>
      </ns0:c>
      <ns0:c r="Q246" s="114">
        <ns0:f>IF(COUNTA($A246:$M246)=0,"",IF(OR($U246="Subscription",$U246=""),"",IF($U246="Estimate","N/A",IF($U246="Profit",ROUND(IFERROR($P246,0)-IFERROR($H246,0),2),0))))</ns0:f>
      </ns0:c>
      <ns0:c r="R246" s="114">
        <ns0:f>IF(COUNTA($A246:$M246)=0,"",IF(OR($U246="Subscription",$U246=""),"",IF($U246="Estimate","N/A",IF($U246="Draw",$H246,0))))</ns0:f>
      </ns0:c>
      <ns0:c r="S246" s="114">
        <ns0:f>IF(COUNTA($A246:$M246)=0,"",IF(OR($U246="Subscription",$U246=""),"",IF($U246="Estimate","N/A",IF($U246="Disqualified",$H246,0))))</ns0:f>
      </ns0:c>
      <ns0:c r="T246" s="955">
        <ns0:f>IF(COUNTA($A246:$M246)=0,"",IF(OR($U246="Subscription",$U246=""),"",IF($U246="Estimate","N/A",IF(OR($U246="Free Game",$U246="Disqualified — Free Game",$H246=0),"N/A",IF($U246="Profit",$Q246/$H246,IF($U246="Disqualified",-$S246/$H246,0))))))</ns0:f>
      </ns0:c>
      <ns0:c r="U246" s="920">
        <ns0:f>IF(COUNTA($A246:$M246)=0,"",IF(OR(LEFT(LOWER(TRIM($F246&amp;"")),12)="subscription",LOWER(TRIM($F246&amp;""))="membership"),"Subscription",IF(LOWER(TRIM($D246&amp;""))="estimate","Estimate",IF(OR(AND($H246&lt;&gt;"",$H246=0),LEFT(LOWER(TRIM($F246&amp;"")),9)="free game",LOWER(TRIM($F246&amp;""))="free",LOWER(TRIM($F246&amp;""))="free entry"),IF(LOWER($L246&amp;"")="yes","Disqualified — Free Game","Free Game"),IF(LOWER($L246&amp;"")="yes","Disqualified",IF($P246="","",IF(ROUND(IFERROR(VALUE($P246),0)-IFERROR(VALUE($H246),0),2)&gt;0,"Profit","Draw")))))))</ns0:f>
      </ns0:c>
      <ns0:c r="V246" s="956" t="str">
        <ns0:f>IF(COUNTA($A246:$M246)=0,"",IF(OR($B246="",$C246="",$U246="Subscription"),"",IFERROR(ROUNDUP(($C246-$B246)/7,0),"")))</ns0:f>
      </ns0:c>
      <ns0:c r="W246" s="114">
        <ns0:f>IF(COUNTA($A246:$M246)=0,"",IF(OR($U246="Subscription",$U246=""),"",IF($U246="Estimate","N/A",IF(OR($U246="Free Game",$U246="Disqualified — Free Game"),0,ROUND(IFERROR($Q246,0)-IFERROR($S246,0),2)))))</ns0:f>
      </ns0:c>
      <ns0:c r="X246" s="956" t="str">
        <ns0:f>IF(COUNTA($A246:$M246)=0,"",IF(OR($U246="Subscription",NOT(ISNUMBER($J246)),NOT(ISNUMBER($I246)),$J246=0,$I246=0,$I246&gt;$J246),"",$J246-$I246))</ns0:f>
      </ns0:c>
      <ns0:c r="Y246" s="955" t="str">
        <ns0:f>IF(COUNTA($A246:$M246)=0,"",IF(OR($U246="Subscription",NOT(ISNUMBER($J246)),$J246=0,$X246=""),"",$X246/$J246))</ns0:f>
      </ns0:c>
      <ns0:c r="Z246" s="957" t="str">
        <ns0:f>IF(COUNTA($A246:$M246)=0,"",Instructions!$B$29+SUM($W$5:W246))</ns0:f>
      </ns0:c>
    </ns0:row>
    <ns0:row r="247" ht="36" customHeight="1">
      <ns0:c r="A247" s="439"/>
      <ns0:c r="B247" s="453"/>
      <ns0:c r="C247" s="453"/>
      <ns0:c r="D247" s="454"/>
      <ns0:c r="E247" s="454"/>
      <ns0:c r="F247" s="454"/>
      <ns0:c r="G247" s="986"/>
      <ns0:c r="H247" s="455"/>
      <ns0:c r="I247" s="456"/>
      <ns0:c r="J247" s="456"/>
      <ns0:c r="K247" s="986"/>
      <ns0:c r="L247" s="454"/>
      <ns0:c r="M247" s="439"/>
      <ns0:c r="N247" s="987" t="str">
        <ns0:f>IF(COUNTA($A247:$M247)=0,"",IF(OR(LEFT(LOWER(TRIM($F247&amp;"")),12)="subscription",LOWER(TRIM($F247&amp;""))="membership"),"",IF(OR(AND($H247&lt;&gt;"",$H247=0),LEFT(LOWER(TRIM($F247&amp;"")),9)="free game",LOWER(TRIM($F247&amp;""))="free",LOWER(TRIM($F247&amp;""))="free entry"),IF(ISNUMBER($G247),IF(ISNUMBER(SEARCH("non",LOWER($E247&amp;""))),$G247*0.85,$G247),"N/A"),IF($G247="","",IFERROR(IF(ISNUMBER(SEARCH("non",LOWER($E247&amp;""))),$G247*0.85,$G247),"")))))</ns0:f>
        <ns0:v/>
      </ns0:c>
      <ns0:c r="O247" s="987" t="str">
        <ns0:f>IF(COUNTA($A247:$M247)=0,"",IF(OR(LEFT(LOWER(TRIM($F247&amp;"")),12)="subscription",LOWER(TRIM($F247&amp;""))="membership"),"",IF(OR(AND($H247&lt;&gt;"",$H247=0),LEFT(LOWER(TRIM($F247&amp;"")),9)="free game",LOWER(TRIM($F247&amp;""))="free",LOWER(TRIM($F247&amp;""))="free entry"),IF(OR(NOT(ISNUMBER($N247)),NOT(ISNUMBER($I247)),$I247=0),"N/A",IFERROR($N247/$I247,"N/A")),IF(OR($N247="",$I247="",$I247=0),"",IFERROR($N247/$I247,"")))))</ns0:f>
        <ns0:v/>
      </ns0:c>
      <ns0:c r="P247" s="987">
        <ns0:f>IF(COUNTA($A247:$M247)=0,"",IF(OR(LEFT(LOWER(TRIM($F247&amp;"")),12)="subscription",LOWER(TRIM($F247&amp;""))="membership"),"",IF(LOWER(TRIM($D247&amp;""))="estimate","N/A",IF(LOWER($L247&amp;"")="yes",0,IF(OR(AND($H247&lt;&gt;"",$H247=0),LEFT(LOWER(TRIM($F247&amp;"")),9)="free game",LOWER(TRIM($F247&amp;""))="free",LOWER(TRIM($F247&amp;""))="free entry"),IF(ISNUMBER($K247),$K247,""),IF($K247&lt;&gt;"",$K247,""))))))</ns0:f>
      </ns0:c>
      <ns0:c r="Q247" s="114">
        <ns0:f>IF(COUNTA($A247:$M247)=0,"",IF(OR($U247="Subscription",$U247=""),"",IF($U247="Estimate","N/A",IF($U247="Profit",ROUND(IFERROR($P247,0)-IFERROR($H247,0),2),0))))</ns0:f>
      </ns0:c>
      <ns0:c r="R247" s="114">
        <ns0:f>IF(COUNTA($A247:$M247)=0,"",IF(OR($U247="Subscription",$U247=""),"",IF($U247="Estimate","N/A",IF($U247="Draw",$H247,0))))</ns0:f>
      </ns0:c>
      <ns0:c r="S247" s="114">
        <ns0:f>IF(COUNTA($A247:$M247)=0,"",IF(OR($U247="Subscription",$U247=""),"",IF($U247="Estimate","N/A",IF($U247="Disqualified",$H247,0))))</ns0:f>
      </ns0:c>
      <ns0:c r="T247" s="955">
        <ns0:f>IF(COUNTA($A247:$M247)=0,"",IF(OR($U247="Subscription",$U247=""),"",IF($U247="Estimate","N/A",IF(OR($U247="Free Game",$U247="Disqualified — Free Game",$H247=0),"N/A",IF($U247="Profit",$Q247/$H247,IF($U247="Disqualified",-$S247/$H247,0))))))</ns0:f>
      </ns0:c>
      <ns0:c r="U247" s="920">
        <ns0:f>IF(COUNTA($A247:$M247)=0,"",IF(OR(LEFT(LOWER(TRIM($F247&amp;"")),12)="subscription",LOWER(TRIM($F247&amp;""))="membership"),"Subscription",IF(LOWER(TRIM($D247&amp;""))="estimate","Estimate",IF(OR(AND($H247&lt;&gt;"",$H247=0),LEFT(LOWER(TRIM($F247&amp;"")),9)="free game",LOWER(TRIM($F247&amp;""))="free",LOWER(TRIM($F247&amp;""))="free entry"),IF(LOWER($L247&amp;"")="yes","Disqualified — Free Game","Free Game"),IF(LOWER($L247&amp;"")="yes","Disqualified",IF($P247="","",IF(ROUND(IFERROR(VALUE($P247),0)-IFERROR(VALUE($H247),0),2)&gt;0,"Profit","Draw")))))))</ns0:f>
      </ns0:c>
      <ns0:c r="V247" s="956" t="str">
        <ns0:f>IF(COUNTA($A247:$M247)=0,"",IF(OR($B247="",$C247="",$U247="Subscription"),"",IFERROR(ROUNDUP(($C247-$B247)/7,0),"")))</ns0:f>
      </ns0:c>
      <ns0:c r="W247" s="114">
        <ns0:f>IF(COUNTA($A247:$M247)=0,"",IF(OR($U247="Subscription",$U247=""),"",IF($U247="Estimate","N/A",IF(OR($U247="Free Game",$U247="Disqualified — Free Game"),0,ROUND(IFERROR($Q247,0)-IFERROR($S247,0),2)))))</ns0:f>
      </ns0:c>
      <ns0:c r="X247" s="956" t="str">
        <ns0:f>IF(COUNTA($A247:$M247)=0,"",IF(OR($U247="Subscription",NOT(ISNUMBER($J247)),NOT(ISNUMBER($I247)),$J247=0,$I247=0,$I247&gt;$J247),"",$J247-$I247))</ns0:f>
      </ns0:c>
      <ns0:c r="Y247" s="955" t="str">
        <ns0:f>IF(COUNTA($A247:$M247)=0,"",IF(OR($U247="Subscription",NOT(ISNUMBER($J247)),$J247=0,$X247=""),"",$X247/$J247))</ns0:f>
      </ns0:c>
      <ns0:c r="Z247" s="957" t="str">
        <ns0:f>IF(COUNTA($A247:$M247)=0,"",Instructions!$B$29+SUM($W$5:W247))</ns0:f>
      </ns0:c>
    </ns0:row>
    <ns0:row r="248" ht="36" customHeight="1">
      <ns0:c r="A248" s="439"/>
      <ns0:c r="B248" s="453"/>
      <ns0:c r="C248" s="453"/>
      <ns0:c r="D248" s="454"/>
      <ns0:c r="E248" s="454"/>
      <ns0:c r="F248" s="454"/>
      <ns0:c r="G248" s="986"/>
      <ns0:c r="H248" s="455"/>
      <ns0:c r="I248" s="456"/>
      <ns0:c r="J248" s="456"/>
      <ns0:c r="K248" s="986"/>
      <ns0:c r="L248" s="454"/>
      <ns0:c r="M248" s="439"/>
      <ns0:c r="N248" s="987" t="str">
        <ns0:f>IF(COUNTA($A248:$M248)=0,"",IF(OR(LEFT(LOWER(TRIM($F248&amp;"")),12)="subscription",LOWER(TRIM($F248&amp;""))="membership"),"",IF(OR(AND($H248&lt;&gt;"",$H248=0),LEFT(LOWER(TRIM($F248&amp;"")),9)="free game",LOWER(TRIM($F248&amp;""))="free",LOWER(TRIM($F248&amp;""))="free entry"),IF(ISNUMBER($G248),IF(ISNUMBER(SEARCH("non",LOWER($E248&amp;""))),$G248*0.85,$G248),"N/A"),IF($G248="","",IFERROR(IF(ISNUMBER(SEARCH("non",LOWER($E248&amp;""))),$G248*0.85,$G248),"")))))</ns0:f>
        <ns0:v/>
      </ns0:c>
      <ns0:c r="O248" s="987" t="str">
        <ns0:f>IF(COUNTA($A248:$M248)=0,"",IF(OR(LEFT(LOWER(TRIM($F248&amp;"")),12)="subscription",LOWER(TRIM($F248&amp;""))="membership"),"",IF(OR(AND($H248&lt;&gt;"",$H248=0),LEFT(LOWER(TRIM($F248&amp;"")),9)="free game",LOWER(TRIM($F248&amp;""))="free",LOWER(TRIM($F248&amp;""))="free entry"),IF(OR(NOT(ISNUMBER($N248)),NOT(ISNUMBER($I248)),$I248=0),"N/A",IFERROR($N248/$I248,"N/A")),IF(OR($N248="",$I248="",$I248=0),"",IFERROR($N248/$I248,"")))))</ns0:f>
        <ns0:v/>
      </ns0:c>
      <ns0:c r="P248" s="987">
        <ns0:f>IF(COUNTA($A248:$M248)=0,"",IF(OR(LEFT(LOWER(TRIM($F248&amp;"")),12)="subscription",LOWER(TRIM($F248&amp;""))="membership"),"",IF(LOWER(TRIM($D248&amp;""))="estimate","N/A",IF(LOWER($L248&amp;"")="yes",0,IF(OR(AND($H248&lt;&gt;"",$H248=0),LEFT(LOWER(TRIM($F248&amp;"")),9)="free game",LOWER(TRIM($F248&amp;""))="free",LOWER(TRIM($F248&amp;""))="free entry"),IF(ISNUMBER($K248),$K248,""),IF($K248&lt;&gt;"",$K248,""))))))</ns0:f>
      </ns0:c>
      <ns0:c r="Q248" s="114">
        <ns0:f>IF(COUNTA($A248:$M248)=0,"",IF(OR($U248="Subscription",$U248=""),"",IF($U248="Estimate","N/A",IF($U248="Profit",ROUND(IFERROR($P248,0)-IFERROR($H248,0),2),0))))</ns0:f>
      </ns0:c>
      <ns0:c r="R248" s="114">
        <ns0:f>IF(COUNTA($A248:$M248)=0,"",IF(OR($U248="Subscription",$U248=""),"",IF($U248="Estimate","N/A",IF($U248="Draw",$H248,0))))</ns0:f>
      </ns0:c>
      <ns0:c r="S248" s="114">
        <ns0:f>IF(COUNTA($A248:$M248)=0,"",IF(OR($U248="Subscription",$U248=""),"",IF($U248="Estimate","N/A",IF($U248="Disqualified",$H248,0))))</ns0:f>
      </ns0:c>
      <ns0:c r="T248" s="955">
        <ns0:f>IF(COUNTA($A248:$M248)=0,"",IF(OR($U248="Subscription",$U248=""),"",IF($U248="Estimate","N/A",IF(OR($U248="Free Game",$U248="Disqualified — Free Game",$H248=0),"N/A",IF($U248="Profit",$Q248/$H248,IF($U248="Disqualified",-$S248/$H248,0))))))</ns0:f>
      </ns0:c>
      <ns0:c r="U248" s="920">
        <ns0:f>IF(COUNTA($A248:$M248)=0,"",IF(OR(LEFT(LOWER(TRIM($F248&amp;"")),12)="subscription",LOWER(TRIM($F248&amp;""))="membership"),"Subscription",IF(LOWER(TRIM($D248&amp;""))="estimate","Estimate",IF(OR(AND($H248&lt;&gt;"",$H248=0),LEFT(LOWER(TRIM($F248&amp;"")),9)="free game",LOWER(TRIM($F248&amp;""))="free",LOWER(TRIM($F248&amp;""))="free entry"),IF(LOWER($L248&amp;"")="yes","Disqualified — Free Game","Free Game"),IF(LOWER($L248&amp;"")="yes","Disqualified",IF($P248="","",IF(ROUND(IFERROR(VALUE($P248),0)-IFERROR(VALUE($H248),0),2)&gt;0,"Profit","Draw")))))))</ns0:f>
      </ns0:c>
      <ns0:c r="V248" s="956" t="str">
        <ns0:f>IF(COUNTA($A248:$M248)=0,"",IF(OR($B248="",$C248="",$U248="Subscription"),"",IFERROR(ROUNDUP(($C248-$B248)/7,0),"")))</ns0:f>
      </ns0:c>
      <ns0:c r="W248" s="114">
        <ns0:f>IF(COUNTA($A248:$M248)=0,"",IF(OR($U248="Subscription",$U248=""),"",IF($U248="Estimate","N/A",IF(OR($U248="Free Game",$U248="Disqualified — Free Game"),0,ROUND(IFERROR($Q248,0)-IFERROR($S248,0),2)))))</ns0:f>
      </ns0:c>
      <ns0:c r="X248" s="956" t="str">
        <ns0:f>IF(COUNTA($A248:$M248)=0,"",IF(OR($U248="Subscription",NOT(ISNUMBER($J248)),NOT(ISNUMBER($I248)),$J248=0,$I248=0,$I248&gt;$J248),"",$J248-$I248))</ns0:f>
      </ns0:c>
      <ns0:c r="Y248" s="955" t="str">
        <ns0:f>IF(COUNTA($A248:$M248)=0,"",IF(OR($U248="Subscription",NOT(ISNUMBER($J248)),$J248=0,$X248=""),"",$X248/$J248))</ns0:f>
      </ns0:c>
      <ns0:c r="Z248" s="957" t="str">
        <ns0:f>IF(COUNTA($A248:$M248)=0,"",Instructions!$B$29+SUM($W$5:W248))</ns0:f>
      </ns0:c>
    </ns0:row>
    <ns0:row r="249" ht="36" customHeight="1">
      <ns0:c r="A249" s="439"/>
      <ns0:c r="B249" s="453"/>
      <ns0:c r="C249" s="453"/>
      <ns0:c r="D249" s="454"/>
      <ns0:c r="E249" s="454"/>
      <ns0:c r="F249" s="454"/>
      <ns0:c r="G249" s="986"/>
      <ns0:c r="H249" s="455"/>
      <ns0:c r="I249" s="456"/>
      <ns0:c r="J249" s="456"/>
      <ns0:c r="K249" s="986"/>
      <ns0:c r="L249" s="454"/>
      <ns0:c r="M249" s="439"/>
      <ns0:c r="N249" s="987" t="str">
        <ns0:f>IF(COUNTA($A249:$M249)=0,"",IF(OR(LEFT(LOWER(TRIM($F249&amp;"")),12)="subscription",LOWER(TRIM($F249&amp;""))="membership"),"",IF(OR(AND($H249&lt;&gt;"",$H249=0),LEFT(LOWER(TRIM($F249&amp;"")),9)="free game",LOWER(TRIM($F249&amp;""))="free",LOWER(TRIM($F249&amp;""))="free entry"),IF(ISNUMBER($G249),IF(ISNUMBER(SEARCH("non",LOWER($E249&amp;""))),$G249*0.85,$G249),"N/A"),IF($G249="","",IFERROR(IF(ISNUMBER(SEARCH("non",LOWER($E249&amp;""))),$G249*0.85,$G249),"")))))</ns0:f>
        <ns0:v/>
      </ns0:c>
      <ns0:c r="O249" s="987" t="str">
        <ns0:f>IF(COUNTA($A249:$M249)=0,"",IF(OR(LEFT(LOWER(TRIM($F249&amp;"")),12)="subscription",LOWER(TRIM($F249&amp;""))="membership"),"",IF(OR(AND($H249&lt;&gt;"",$H249=0),LEFT(LOWER(TRIM($F249&amp;"")),9)="free game",LOWER(TRIM($F249&amp;""))="free",LOWER(TRIM($F249&amp;""))="free entry"),IF(OR(NOT(ISNUMBER($N249)),NOT(ISNUMBER($I249)),$I249=0),"N/A",IFERROR($N249/$I249,"N/A")),IF(OR($N249="",$I249="",$I249=0),"",IFERROR($N249/$I249,"")))))</ns0:f>
        <ns0:v/>
      </ns0:c>
      <ns0:c r="P249" s="987">
        <ns0:f>IF(COUNTA($A249:$M249)=0,"",IF(OR(LEFT(LOWER(TRIM($F249&amp;"")),12)="subscription",LOWER(TRIM($F249&amp;""))="membership"),"",IF(LOWER(TRIM($D249&amp;""))="estimate","N/A",IF(LOWER($L249&amp;"")="yes",0,IF(OR(AND($H249&lt;&gt;"",$H249=0),LEFT(LOWER(TRIM($F249&amp;"")),9)="free game",LOWER(TRIM($F249&amp;""))="free",LOWER(TRIM($F249&amp;""))="free entry"),IF(ISNUMBER($K249),$K249,""),IF($K249&lt;&gt;"",$K249,""))))))</ns0:f>
      </ns0:c>
      <ns0:c r="Q249" s="114">
        <ns0:f>IF(COUNTA($A249:$M249)=0,"",IF(OR($U249="Subscription",$U249=""),"",IF($U249="Estimate","N/A",IF($U249="Profit",ROUND(IFERROR($P249,0)-IFERROR($H249,0),2),0))))</ns0:f>
      </ns0:c>
      <ns0:c r="R249" s="114">
        <ns0:f>IF(COUNTA($A249:$M249)=0,"",IF(OR($U249="Subscription",$U249=""),"",IF($U249="Estimate","N/A",IF($U249="Draw",$H249,0))))</ns0:f>
      </ns0:c>
      <ns0:c r="S249" s="114">
        <ns0:f>IF(COUNTA($A249:$M249)=0,"",IF(OR($U249="Subscription",$U249=""),"",IF($U249="Estimate","N/A",IF($U249="Disqualified",$H249,0))))</ns0:f>
      </ns0:c>
      <ns0:c r="T249" s="955">
        <ns0:f>IF(COUNTA($A249:$M249)=0,"",IF(OR($U249="Subscription",$U249=""),"",IF($U249="Estimate","N/A",IF(OR($U249="Free Game",$U249="Disqualified — Free Game",$H249=0),"N/A",IF($U249="Profit",$Q249/$H249,IF($U249="Disqualified",-$S249/$H249,0))))))</ns0:f>
      </ns0:c>
      <ns0:c r="U249" s="920">
        <ns0:f>IF(COUNTA($A249:$M249)=0,"",IF(OR(LEFT(LOWER(TRIM($F249&amp;"")),12)="subscription",LOWER(TRIM($F249&amp;""))="membership"),"Subscription",IF(LOWER(TRIM($D249&amp;""))="estimate","Estimate",IF(OR(AND($H249&lt;&gt;"",$H249=0),LEFT(LOWER(TRIM($F249&amp;"")),9)="free game",LOWER(TRIM($F249&amp;""))="free",LOWER(TRIM($F249&amp;""))="free entry"),IF(LOWER($L249&amp;"")="yes","Disqualified — Free Game","Free Game"),IF(LOWER($L249&amp;"")="yes","Disqualified",IF($P249="","",IF(ROUND(IFERROR(VALUE($P249),0)-IFERROR(VALUE($H249),0),2)&gt;0,"Profit","Draw")))))))</ns0:f>
      </ns0:c>
      <ns0:c r="V249" s="956" t="str">
        <ns0:f>IF(COUNTA($A249:$M249)=0,"",IF(OR($B249="",$C249="",$U249="Subscription"),"",IFERROR(ROUNDUP(($C249-$B249)/7,0),"")))</ns0:f>
      </ns0:c>
      <ns0:c r="W249" s="114">
        <ns0:f>IF(COUNTA($A249:$M249)=0,"",IF(OR($U249="Subscription",$U249=""),"",IF($U249="Estimate","N/A",IF(OR($U249="Free Game",$U249="Disqualified — Free Game"),0,ROUND(IFERROR($Q249,0)-IFERROR($S249,0),2)))))</ns0:f>
      </ns0:c>
      <ns0:c r="X249" s="956" t="str">
        <ns0:f>IF(COUNTA($A249:$M249)=0,"",IF(OR($U249="Subscription",NOT(ISNUMBER($J249)),NOT(ISNUMBER($I249)),$J249=0,$I249=0,$I249&gt;$J249),"",$J249-$I249))</ns0:f>
      </ns0:c>
      <ns0:c r="Y249" s="955" t="str">
        <ns0:f>IF(COUNTA($A249:$M249)=0,"",IF(OR($U249="Subscription",NOT(ISNUMBER($J249)),$J249=0,$X249=""),"",$X249/$J249))</ns0:f>
      </ns0:c>
      <ns0:c r="Z249" s="957" t="str">
        <ns0:f>IF(COUNTA($A249:$M249)=0,"",Instructions!$B$29+SUM($W$5:W249))</ns0:f>
      </ns0:c>
    </ns0:row>
    <ns0:row r="250" ht="36" customHeight="1">
      <ns0:c r="A250" s="439"/>
      <ns0:c r="B250" s="453"/>
      <ns0:c r="C250" s="453"/>
      <ns0:c r="D250" s="454"/>
      <ns0:c r="E250" s="454"/>
      <ns0:c r="F250" s="454"/>
      <ns0:c r="G250" s="986"/>
      <ns0:c r="H250" s="455"/>
      <ns0:c r="I250" s="456"/>
      <ns0:c r="J250" s="456"/>
      <ns0:c r="K250" s="986"/>
      <ns0:c r="L250" s="454"/>
      <ns0:c r="M250" s="439"/>
      <ns0:c r="N250" s="987" t="str">
        <ns0:f>IF(COUNTA($A250:$M250)=0,"",IF(OR(LEFT(LOWER(TRIM($F250&amp;"")),12)="subscription",LOWER(TRIM($F250&amp;""))="membership"),"",IF(OR(AND($H250&lt;&gt;"",$H250=0),LEFT(LOWER(TRIM($F250&amp;"")),9)="free game",LOWER(TRIM($F250&amp;""))="free",LOWER(TRIM($F250&amp;""))="free entry"),IF(ISNUMBER($G250),IF(ISNUMBER(SEARCH("non",LOWER($E250&amp;""))),$G250*0.85,$G250),"N/A"),IF($G250="","",IFERROR(IF(ISNUMBER(SEARCH("non",LOWER($E250&amp;""))),$G250*0.85,$G250),"")))))</ns0:f>
        <ns0:v/>
      </ns0:c>
      <ns0:c r="O250" s="987" t="str">
        <ns0:f>IF(COUNTA($A250:$M250)=0,"",IF(OR(LEFT(LOWER(TRIM($F250&amp;"")),12)="subscription",LOWER(TRIM($F250&amp;""))="membership"),"",IF(OR(AND($H250&lt;&gt;"",$H250=0),LEFT(LOWER(TRIM($F250&amp;"")),9)="free game",LOWER(TRIM($F250&amp;""))="free",LOWER(TRIM($F250&amp;""))="free entry"),IF(OR(NOT(ISNUMBER($N250)),NOT(ISNUMBER($I250)),$I250=0),"N/A",IFERROR($N250/$I250,"N/A")),IF(OR($N250="",$I250="",$I250=0),"",IFERROR($N250/$I250,"")))))</ns0:f>
        <ns0:v/>
      </ns0:c>
      <ns0:c r="P250" s="987">
        <ns0:f>IF(COUNTA($A250:$M250)=0,"",IF(OR(LEFT(LOWER(TRIM($F250&amp;"")),12)="subscription",LOWER(TRIM($F250&amp;""))="membership"),"",IF(LOWER(TRIM($D250&amp;""))="estimate","N/A",IF(LOWER($L250&amp;"")="yes",0,IF(OR(AND($H250&lt;&gt;"",$H250=0),LEFT(LOWER(TRIM($F250&amp;"")),9)="free game",LOWER(TRIM($F250&amp;""))="free",LOWER(TRIM($F250&amp;""))="free entry"),IF(ISNUMBER($K250),$K250,""),IF($K250&lt;&gt;"",$K250,""))))))</ns0:f>
      </ns0:c>
      <ns0:c r="Q250" s="114">
        <ns0:f>IF(COUNTA($A250:$M250)=0,"",IF(OR($U250="Subscription",$U250=""),"",IF($U250="Estimate","N/A",IF($U250="Profit",ROUND(IFERROR($P250,0)-IFERROR($H250,0),2),0))))</ns0:f>
      </ns0:c>
      <ns0:c r="R250" s="114">
        <ns0:f>IF(COUNTA($A250:$M250)=0,"",IF(OR($U250="Subscription",$U250=""),"",IF($U250="Estimate","N/A",IF($U250="Draw",$H250,0))))</ns0:f>
      </ns0:c>
      <ns0:c r="S250" s="114">
        <ns0:f>IF(COUNTA($A250:$M250)=0,"",IF(OR($U250="Subscription",$U250=""),"",IF($U250="Estimate","N/A",IF($U250="Disqualified",$H250,0))))</ns0:f>
      </ns0:c>
      <ns0:c r="T250" s="955">
        <ns0:f>IF(COUNTA($A250:$M250)=0,"",IF(OR($U250="Subscription",$U250=""),"",IF($U250="Estimate","N/A",IF(OR($U250="Free Game",$U250="Disqualified — Free Game",$H250=0),"N/A",IF($U250="Profit",$Q250/$H250,IF($U250="Disqualified",-$S250/$H250,0))))))</ns0:f>
      </ns0:c>
      <ns0:c r="U250" s="920">
        <ns0:f>IF(COUNTA($A250:$M250)=0,"",IF(OR(LEFT(LOWER(TRIM($F250&amp;"")),12)="subscription",LOWER(TRIM($F250&amp;""))="membership"),"Subscription",IF(LOWER(TRIM($D250&amp;""))="estimate","Estimate",IF(OR(AND($H250&lt;&gt;"",$H250=0),LEFT(LOWER(TRIM($F250&amp;"")),9)="free game",LOWER(TRIM($F250&amp;""))="free",LOWER(TRIM($F250&amp;""))="free entry"),IF(LOWER($L250&amp;"")="yes","Disqualified — Free Game","Free Game"),IF(LOWER($L250&amp;"")="yes","Disqualified",IF($P250="","",IF(ROUND(IFERROR(VALUE($P250),0)-IFERROR(VALUE($H250),0),2)&gt;0,"Profit","Draw")))))))</ns0:f>
      </ns0:c>
      <ns0:c r="V250" s="956" t="str">
        <ns0:f>IF(COUNTA($A250:$M250)=0,"",IF(OR($B250="",$C250="",$U250="Subscription"),"",IFERROR(ROUNDUP(($C250-$B250)/7,0),"")))</ns0:f>
      </ns0:c>
      <ns0:c r="W250" s="114">
        <ns0:f>IF(COUNTA($A250:$M250)=0,"",IF(OR($U250="Subscription",$U250=""),"",IF($U250="Estimate","N/A",IF(OR($U250="Free Game",$U250="Disqualified — Free Game"),0,ROUND(IFERROR($Q250,0)-IFERROR($S250,0),2)))))</ns0:f>
      </ns0:c>
      <ns0:c r="X250" s="956" t="str">
        <ns0:f>IF(COUNTA($A250:$M250)=0,"",IF(OR($U250="Subscription",NOT(ISNUMBER($J250)),NOT(ISNUMBER($I250)),$J250=0,$I250=0,$I250&gt;$J250),"",$J250-$I250))</ns0:f>
      </ns0:c>
      <ns0:c r="Y250" s="955" t="str">
        <ns0:f>IF(COUNTA($A250:$M250)=0,"",IF(OR($U250="Subscription",NOT(ISNUMBER($J250)),$J250=0,$X250=""),"",$X250/$J250))</ns0:f>
      </ns0:c>
      <ns0:c r="Z250" s="957" t="str">
        <ns0:f>IF(COUNTA($A250:$M250)=0,"",Instructions!$B$29+SUM($W$5:W250))</ns0:f>
      </ns0:c>
    </ns0:row>
    <ns0:row r="251" ht="36" customHeight="1">
      <ns0:c r="A251" s="439"/>
      <ns0:c r="B251" s="453"/>
      <ns0:c r="C251" s="453"/>
      <ns0:c r="D251" s="454"/>
      <ns0:c r="E251" s="454"/>
      <ns0:c r="F251" s="454"/>
      <ns0:c r="G251" s="986"/>
      <ns0:c r="H251" s="455"/>
      <ns0:c r="I251" s="456"/>
      <ns0:c r="J251" s="456"/>
      <ns0:c r="K251" s="986"/>
      <ns0:c r="L251" s="454"/>
      <ns0:c r="M251" s="439"/>
      <ns0:c r="N251" s="987" t="str">
        <ns0:f>IF(COUNTA($A251:$M251)=0,"",IF(OR(LEFT(LOWER(TRIM($F251&amp;"")),12)="subscription",LOWER(TRIM($F251&amp;""))="membership"),"",IF(OR(AND($H251&lt;&gt;"",$H251=0),LEFT(LOWER(TRIM($F251&amp;"")),9)="free game",LOWER(TRIM($F251&amp;""))="free",LOWER(TRIM($F251&amp;""))="free entry"),IF(ISNUMBER($G251),IF(ISNUMBER(SEARCH("non",LOWER($E251&amp;""))),$G251*0.85,$G251),"N/A"),IF($G251="","",IFERROR(IF(ISNUMBER(SEARCH("non",LOWER($E251&amp;""))),$G251*0.85,$G251),"")))))</ns0:f>
        <ns0:v/>
      </ns0:c>
      <ns0:c r="O251" s="987" t="str">
        <ns0:f>IF(COUNTA($A251:$M251)=0,"",IF(OR(LEFT(LOWER(TRIM($F251&amp;"")),12)="subscription",LOWER(TRIM($F251&amp;""))="membership"),"",IF(OR(AND($H251&lt;&gt;"",$H251=0),LEFT(LOWER(TRIM($F251&amp;"")),9)="free game",LOWER(TRIM($F251&amp;""))="free",LOWER(TRIM($F251&amp;""))="free entry"),IF(OR(NOT(ISNUMBER($N251)),NOT(ISNUMBER($I251)),$I251=0),"N/A",IFERROR($N251/$I251,"N/A")),IF(OR($N251="",$I251="",$I251=0),"",IFERROR($N251/$I251,"")))))</ns0:f>
        <ns0:v/>
      </ns0:c>
      <ns0:c r="P251" s="987">
        <ns0:f>IF(COUNTA($A251:$M251)=0,"",IF(OR(LEFT(LOWER(TRIM($F251&amp;"")),12)="subscription",LOWER(TRIM($F251&amp;""))="membership"),"",IF(LOWER(TRIM($D251&amp;""))="estimate","N/A",IF(LOWER($L251&amp;"")="yes",0,IF(OR(AND($H251&lt;&gt;"",$H251=0),LEFT(LOWER(TRIM($F251&amp;"")),9)="free game",LOWER(TRIM($F251&amp;""))="free",LOWER(TRIM($F251&amp;""))="free entry"),IF(ISNUMBER($K251),$K251,""),IF($K251&lt;&gt;"",$K251,""))))))</ns0:f>
      </ns0:c>
      <ns0:c r="Q251" s="114">
        <ns0:f>IF(COUNTA($A251:$M251)=0,"",IF(OR($U251="Subscription",$U251=""),"",IF($U251="Estimate","N/A",IF($U251="Profit",ROUND(IFERROR($P251,0)-IFERROR($H251,0),2),0))))</ns0:f>
      </ns0:c>
      <ns0:c r="R251" s="114">
        <ns0:f>IF(COUNTA($A251:$M251)=0,"",IF(OR($U251="Subscription",$U251=""),"",IF($U251="Estimate","N/A",IF($U251="Draw",$H251,0))))</ns0:f>
      </ns0:c>
      <ns0:c r="S251" s="114">
        <ns0:f>IF(COUNTA($A251:$M251)=0,"",IF(OR($U251="Subscription",$U251=""),"",IF($U251="Estimate","N/A",IF($U251="Disqualified",$H251,0))))</ns0:f>
      </ns0:c>
      <ns0:c r="T251" s="955">
        <ns0:f>IF(COUNTA($A251:$M251)=0,"",IF(OR($U251="Subscription",$U251=""),"",IF($U251="Estimate","N/A",IF(OR($U251="Free Game",$U251="Disqualified — Free Game",$H251=0),"N/A",IF($U251="Profit",$Q251/$H251,IF($U251="Disqualified",-$S251/$H251,0))))))</ns0:f>
      </ns0:c>
      <ns0:c r="U251" s="920">
        <ns0:f>IF(COUNTA($A251:$M251)=0,"",IF(OR(LEFT(LOWER(TRIM($F251&amp;"")),12)="subscription",LOWER(TRIM($F251&amp;""))="membership"),"Subscription",IF(LOWER(TRIM($D251&amp;""))="estimate","Estimate",IF(OR(AND($H251&lt;&gt;"",$H251=0),LEFT(LOWER(TRIM($F251&amp;"")),9)="free game",LOWER(TRIM($F251&amp;""))="free",LOWER(TRIM($F251&amp;""))="free entry"),IF(LOWER($L251&amp;"")="yes","Disqualified — Free Game","Free Game"),IF(LOWER($L251&amp;"")="yes","Disqualified",IF($P251="","",IF(ROUND(IFERROR(VALUE($P251),0)-IFERROR(VALUE($H251),0),2)&gt;0,"Profit","Draw")))))))</ns0:f>
      </ns0:c>
      <ns0:c r="V251" s="956" t="str">
        <ns0:f>IF(COUNTA($A251:$M251)=0,"",IF(OR($B251="",$C251="",$U251="Subscription"),"",IFERROR(ROUNDUP(($C251-$B251)/7,0),"")))</ns0:f>
      </ns0:c>
      <ns0:c r="W251" s="114">
        <ns0:f>IF(COUNTA($A251:$M251)=0,"",IF(OR($U251="Subscription",$U251=""),"",IF($U251="Estimate","N/A",IF(OR($U251="Free Game",$U251="Disqualified — Free Game"),0,ROUND(IFERROR($Q251,0)-IFERROR($S251,0),2)))))</ns0:f>
      </ns0:c>
      <ns0:c r="X251" s="956" t="str">
        <ns0:f>IF(COUNTA($A251:$M251)=0,"",IF(OR($U251="Subscription",NOT(ISNUMBER($J251)),NOT(ISNUMBER($I251)),$J251=0,$I251=0,$I251&gt;$J251),"",$J251-$I251))</ns0:f>
      </ns0:c>
      <ns0:c r="Y251" s="955" t="str">
        <ns0:f>IF(COUNTA($A251:$M251)=0,"",IF(OR($U251="Subscription",NOT(ISNUMBER($J251)),$J251=0,$X251=""),"",$X251/$J251))</ns0:f>
      </ns0:c>
      <ns0:c r="Z251" s="957" t="str">
        <ns0:f>IF(COUNTA($A251:$M251)=0,"",Instructions!$B$29+SUM($W$5:W251))</ns0:f>
      </ns0:c>
    </ns0:row>
    <ns0:row r="252" ht="36" customHeight="1">
      <ns0:c r="A252" s="439"/>
      <ns0:c r="B252" s="453"/>
      <ns0:c r="C252" s="453"/>
      <ns0:c r="D252" s="454"/>
      <ns0:c r="E252" s="454"/>
      <ns0:c r="F252" s="454"/>
      <ns0:c r="G252" s="986"/>
      <ns0:c r="H252" s="455"/>
      <ns0:c r="I252" s="456"/>
      <ns0:c r="J252" s="456"/>
      <ns0:c r="K252" s="986"/>
      <ns0:c r="L252" s="454"/>
      <ns0:c r="M252" s="439"/>
      <ns0:c r="N252" s="987" t="str">
        <ns0:f>IF(COUNTA($A252:$M252)=0,"",IF(OR(LEFT(LOWER(TRIM($F252&amp;"")),12)="subscription",LOWER(TRIM($F252&amp;""))="membership"),"",IF(OR(AND($H252&lt;&gt;"",$H252=0),LEFT(LOWER(TRIM($F252&amp;"")),9)="free game",LOWER(TRIM($F252&amp;""))="free",LOWER(TRIM($F252&amp;""))="free entry"),IF(ISNUMBER($G252),IF(ISNUMBER(SEARCH("non",LOWER($E252&amp;""))),$G252*0.85,$G252),"N/A"),IF($G252="","",IFERROR(IF(ISNUMBER(SEARCH("non",LOWER($E252&amp;""))),$G252*0.85,$G252),"")))))</ns0:f>
        <ns0:v/>
      </ns0:c>
      <ns0:c r="O252" s="987" t="str">
        <ns0:f>IF(COUNTA($A252:$M252)=0,"",IF(OR(LEFT(LOWER(TRIM($F252&amp;"")),12)="subscription",LOWER(TRIM($F252&amp;""))="membership"),"",IF(OR(AND($H252&lt;&gt;"",$H252=0),LEFT(LOWER(TRIM($F252&amp;"")),9)="free game",LOWER(TRIM($F252&amp;""))="free",LOWER(TRIM($F252&amp;""))="free entry"),IF(OR(NOT(ISNUMBER($N252)),NOT(ISNUMBER($I252)),$I252=0),"N/A",IFERROR($N252/$I252,"N/A")),IF(OR($N252="",$I252="",$I252=0),"",IFERROR($N252/$I252,"")))))</ns0:f>
        <ns0:v/>
      </ns0:c>
      <ns0:c r="P252" s="987">
        <ns0:f>IF(COUNTA($A252:$M252)=0,"",IF(OR(LEFT(LOWER(TRIM($F252&amp;"")),12)="subscription",LOWER(TRIM($F252&amp;""))="membership"),"",IF(LOWER(TRIM($D252&amp;""))="estimate","N/A",IF(LOWER($L252&amp;"")="yes",0,IF(OR(AND($H252&lt;&gt;"",$H252=0),LEFT(LOWER(TRIM($F252&amp;"")),9)="free game",LOWER(TRIM($F252&amp;""))="free",LOWER(TRIM($F252&amp;""))="free entry"),IF(ISNUMBER($K252),$K252,""),IF($K252&lt;&gt;"",$K252,""))))))</ns0:f>
      </ns0:c>
      <ns0:c r="Q252" s="114">
        <ns0:f>IF(COUNTA($A252:$M252)=0,"",IF(OR($U252="Subscription",$U252=""),"",IF($U252="Estimate","N/A",IF($U252="Profit",ROUND(IFERROR($P252,0)-IFERROR($H252,0),2),0))))</ns0:f>
      </ns0:c>
      <ns0:c r="R252" s="114">
        <ns0:f>IF(COUNTA($A252:$M252)=0,"",IF(OR($U252="Subscription",$U252=""),"",IF($U252="Estimate","N/A",IF($U252="Draw",$H252,0))))</ns0:f>
      </ns0:c>
      <ns0:c r="S252" s="114">
        <ns0:f>IF(COUNTA($A252:$M252)=0,"",IF(OR($U252="Subscription",$U252=""),"",IF($U252="Estimate","N/A",IF($U252="Disqualified",$H252,0))))</ns0:f>
      </ns0:c>
      <ns0:c r="T252" s="955">
        <ns0:f>IF(COUNTA($A252:$M252)=0,"",IF(OR($U252="Subscription",$U252=""),"",IF($U252="Estimate","N/A",IF(OR($U252="Free Game",$U252="Disqualified — Free Game",$H252=0),"N/A",IF($U252="Profit",$Q252/$H252,IF($U252="Disqualified",-$S252/$H252,0))))))</ns0:f>
      </ns0:c>
      <ns0:c r="U252" s="920">
        <ns0:f>IF(COUNTA($A252:$M252)=0,"",IF(OR(LEFT(LOWER(TRIM($F252&amp;"")),12)="subscription",LOWER(TRIM($F252&amp;""))="membership"),"Subscription",IF(LOWER(TRIM($D252&amp;""))="estimate","Estimate",IF(OR(AND($H252&lt;&gt;"",$H252=0),LEFT(LOWER(TRIM($F252&amp;"")),9)="free game",LOWER(TRIM($F252&amp;""))="free",LOWER(TRIM($F252&amp;""))="free entry"),IF(LOWER($L252&amp;"")="yes","Disqualified — Free Game","Free Game"),IF(LOWER($L252&amp;"")="yes","Disqualified",IF($P252="","",IF(ROUND(IFERROR(VALUE($P252),0)-IFERROR(VALUE($H252),0),2)&gt;0,"Profit","Draw")))))))</ns0:f>
      </ns0:c>
      <ns0:c r="V252" s="956" t="str">
        <ns0:f>IF(COUNTA($A252:$M252)=0,"",IF(OR($B252="",$C252="",$U252="Subscription"),"",IFERROR(ROUNDUP(($C252-$B252)/7,0),"")))</ns0:f>
      </ns0:c>
      <ns0:c r="W252" s="114">
        <ns0:f>IF(COUNTA($A252:$M252)=0,"",IF(OR($U252="Subscription",$U252=""),"",IF($U252="Estimate","N/A",IF(OR($U252="Free Game",$U252="Disqualified — Free Game"),0,ROUND(IFERROR($Q252,0)-IFERROR($S252,0),2)))))</ns0:f>
      </ns0:c>
      <ns0:c r="X252" s="956" t="str">
        <ns0:f>IF(COUNTA($A252:$M252)=0,"",IF(OR($U252="Subscription",NOT(ISNUMBER($J252)),NOT(ISNUMBER($I252)),$J252=0,$I252=0,$I252&gt;$J252),"",$J252-$I252))</ns0:f>
      </ns0:c>
      <ns0:c r="Y252" s="955" t="str">
        <ns0:f>IF(COUNTA($A252:$M252)=0,"",IF(OR($U252="Subscription",NOT(ISNUMBER($J252)),$J252=0,$X252=""),"",$X252/$J252))</ns0:f>
      </ns0:c>
      <ns0:c r="Z252" s="957" t="str">
        <ns0:f>IF(COUNTA($A252:$M252)=0,"",Instructions!$B$29+SUM($W$5:W252))</ns0:f>
      </ns0:c>
    </ns0:row>
    <ns0:row r="253" ht="36" customHeight="1">
      <ns0:c r="A253" s="439"/>
      <ns0:c r="B253" s="453"/>
      <ns0:c r="C253" s="453"/>
      <ns0:c r="D253" s="454"/>
      <ns0:c r="E253" s="454"/>
      <ns0:c r="F253" s="454"/>
      <ns0:c r="G253" s="986"/>
      <ns0:c r="H253" s="455"/>
      <ns0:c r="I253" s="456"/>
      <ns0:c r="J253" s="456"/>
      <ns0:c r="K253" s="986"/>
      <ns0:c r="L253" s="454"/>
      <ns0:c r="M253" s="439"/>
      <ns0:c r="N253" s="987" t="str">
        <ns0:f>IF(COUNTA($A253:$M253)=0,"",IF(OR(LEFT(LOWER(TRIM($F253&amp;"")),12)="subscription",LOWER(TRIM($F253&amp;""))="membership"),"",IF(OR(AND($H253&lt;&gt;"",$H253=0),LEFT(LOWER(TRIM($F253&amp;"")),9)="free game",LOWER(TRIM($F253&amp;""))="free",LOWER(TRIM($F253&amp;""))="free entry"),IF(ISNUMBER($G253),IF(ISNUMBER(SEARCH("non",LOWER($E253&amp;""))),$G253*0.85,$G253),"N/A"),IF($G253="","",IFERROR(IF(ISNUMBER(SEARCH("non",LOWER($E253&amp;""))),$G253*0.85,$G253),"")))))</ns0:f>
        <ns0:v/>
      </ns0:c>
      <ns0:c r="O253" s="987" t="str">
        <ns0:f>IF(COUNTA($A253:$M253)=0,"",IF(OR(LEFT(LOWER(TRIM($F253&amp;"")),12)="subscription",LOWER(TRIM($F253&amp;""))="membership"),"",IF(OR(AND($H253&lt;&gt;"",$H253=0),LEFT(LOWER(TRIM($F253&amp;"")),9)="free game",LOWER(TRIM($F253&amp;""))="free",LOWER(TRIM($F253&amp;""))="free entry"),IF(OR(NOT(ISNUMBER($N253)),NOT(ISNUMBER($I253)),$I253=0),"N/A",IFERROR($N253/$I253,"N/A")),IF(OR($N253="",$I253="",$I253=0),"",IFERROR($N253/$I253,"")))))</ns0:f>
        <ns0:v/>
      </ns0:c>
      <ns0:c r="P253" s="987">
        <ns0:f>IF(COUNTA($A253:$M253)=0,"",IF(OR(LEFT(LOWER(TRIM($F253&amp;"")),12)="subscription",LOWER(TRIM($F253&amp;""))="membership"),"",IF(LOWER(TRIM($D253&amp;""))="estimate","N/A",IF(LOWER($L253&amp;"")="yes",0,IF(OR(AND($H253&lt;&gt;"",$H253=0),LEFT(LOWER(TRIM($F253&amp;"")),9)="free game",LOWER(TRIM($F253&amp;""))="free",LOWER(TRIM($F253&amp;""))="free entry"),IF(ISNUMBER($K253),$K253,""),IF($K253&lt;&gt;"",$K253,""))))))</ns0:f>
      </ns0:c>
      <ns0:c r="Q253" s="114">
        <ns0:f>IF(COUNTA($A253:$M253)=0,"",IF(OR($U253="Subscription",$U253=""),"",IF($U253="Estimate","N/A",IF($U253="Profit",ROUND(IFERROR($P253,0)-IFERROR($H253,0),2),0))))</ns0:f>
      </ns0:c>
      <ns0:c r="R253" s="114">
        <ns0:f>IF(COUNTA($A253:$M253)=0,"",IF(OR($U253="Subscription",$U253=""),"",IF($U253="Estimate","N/A",IF($U253="Draw",$H253,0))))</ns0:f>
      </ns0:c>
      <ns0:c r="S253" s="114">
        <ns0:f>IF(COUNTA($A253:$M253)=0,"",IF(OR($U253="Subscription",$U253=""),"",IF($U253="Estimate","N/A",IF($U253="Disqualified",$H253,0))))</ns0:f>
      </ns0:c>
      <ns0:c r="T253" s="955">
        <ns0:f>IF(COUNTA($A253:$M253)=0,"",IF(OR($U253="Subscription",$U253=""),"",IF($U253="Estimate","N/A",IF(OR($U253="Free Game",$U253="Disqualified — Free Game",$H253=0),"N/A",IF($U253="Profit",$Q253/$H253,IF($U253="Disqualified",-$S253/$H253,0))))))</ns0:f>
      </ns0:c>
      <ns0:c r="U253" s="920">
        <ns0:f>IF(COUNTA($A253:$M253)=0,"",IF(OR(LEFT(LOWER(TRIM($F253&amp;"")),12)="subscription",LOWER(TRIM($F253&amp;""))="membership"),"Subscription",IF(LOWER(TRIM($D253&amp;""))="estimate","Estimate",IF(OR(AND($H253&lt;&gt;"",$H253=0),LEFT(LOWER(TRIM($F253&amp;"")),9)="free game",LOWER(TRIM($F253&amp;""))="free",LOWER(TRIM($F253&amp;""))="free entry"),IF(LOWER($L253&amp;"")="yes","Disqualified — Free Game","Free Game"),IF(LOWER($L253&amp;"")="yes","Disqualified",IF($P253="","",IF(ROUND(IFERROR(VALUE($P253),0)-IFERROR(VALUE($H253),0),2)&gt;0,"Profit","Draw")))))))</ns0:f>
      </ns0:c>
      <ns0:c r="V253" s="956" t="str">
        <ns0:f>IF(COUNTA($A253:$M253)=0,"",IF(OR($B253="",$C253="",$U253="Subscription"),"",IFERROR(ROUNDUP(($C253-$B253)/7,0),"")))</ns0:f>
      </ns0:c>
      <ns0:c r="W253" s="114">
        <ns0:f>IF(COUNTA($A253:$M253)=0,"",IF(OR($U253="Subscription",$U253=""),"",IF($U253="Estimate","N/A",IF(OR($U253="Free Game",$U253="Disqualified — Free Game"),0,ROUND(IFERROR($Q253,0)-IFERROR($S253,0),2)))))</ns0:f>
      </ns0:c>
      <ns0:c r="X253" s="956" t="str">
        <ns0:f>IF(COUNTA($A253:$M253)=0,"",IF(OR($U253="Subscription",NOT(ISNUMBER($J253)),NOT(ISNUMBER($I253)),$J253=0,$I253=0,$I253&gt;$J253),"",$J253-$I253))</ns0:f>
      </ns0:c>
      <ns0:c r="Y253" s="955" t="str">
        <ns0:f>IF(COUNTA($A253:$M253)=0,"",IF(OR($U253="Subscription",NOT(ISNUMBER($J253)),$J253=0,$X253=""),"",$X253/$J253))</ns0:f>
      </ns0:c>
      <ns0:c r="Z253" s="957" t="str">
        <ns0:f>IF(COUNTA($A253:$M253)=0,"",Instructions!$B$29+SUM($W$5:W253))</ns0:f>
      </ns0:c>
    </ns0:row>
    <ns0:row r="254" ht="36" customHeight="1">
      <ns0:c r="A254" s="439"/>
      <ns0:c r="B254" s="453"/>
      <ns0:c r="C254" s="453"/>
      <ns0:c r="D254" s="454"/>
      <ns0:c r="E254" s="454"/>
      <ns0:c r="F254" s="454"/>
      <ns0:c r="G254" s="986"/>
      <ns0:c r="H254" s="455"/>
      <ns0:c r="I254" s="456"/>
      <ns0:c r="J254" s="456"/>
      <ns0:c r="K254" s="986"/>
      <ns0:c r="L254" s="454"/>
      <ns0:c r="M254" s="439"/>
      <ns0:c r="N254" s="987" t="str">
        <ns0:f>IF(COUNTA($A254:$M254)=0,"",IF(OR(LEFT(LOWER(TRIM($F254&amp;"")),12)="subscription",LOWER(TRIM($F254&amp;""))="membership"),"",IF(OR(AND($H254&lt;&gt;"",$H254=0),LEFT(LOWER(TRIM($F254&amp;"")),9)="free game",LOWER(TRIM($F254&amp;""))="free",LOWER(TRIM($F254&amp;""))="free entry"),IF(ISNUMBER($G254),IF(ISNUMBER(SEARCH("non",LOWER($E254&amp;""))),$G254*0.85,$G254),"N/A"),IF($G254="","",IFERROR(IF(ISNUMBER(SEARCH("non",LOWER($E254&amp;""))),$G254*0.85,$G254),"")))))</ns0:f>
        <ns0:v/>
      </ns0:c>
      <ns0:c r="O254" s="987" t="str">
        <ns0:f>IF(COUNTA($A254:$M254)=0,"",IF(OR(LEFT(LOWER(TRIM($F254&amp;"")),12)="subscription",LOWER(TRIM($F254&amp;""))="membership"),"",IF(OR(AND($H254&lt;&gt;"",$H254=0),LEFT(LOWER(TRIM($F254&amp;"")),9)="free game",LOWER(TRIM($F254&amp;""))="free",LOWER(TRIM($F254&amp;""))="free entry"),IF(OR(NOT(ISNUMBER($N254)),NOT(ISNUMBER($I254)),$I254=0),"N/A",IFERROR($N254/$I254,"N/A")),IF(OR($N254="",$I254="",$I254=0),"",IFERROR($N254/$I254,"")))))</ns0:f>
        <ns0:v/>
      </ns0:c>
      <ns0:c r="P254" s="987">
        <ns0:f>IF(COUNTA($A254:$M254)=0,"",IF(OR(LEFT(LOWER(TRIM($F254&amp;"")),12)="subscription",LOWER(TRIM($F254&amp;""))="membership"),"",IF(LOWER(TRIM($D254&amp;""))="estimate","N/A",IF(LOWER($L254&amp;"")="yes",0,IF(OR(AND($H254&lt;&gt;"",$H254=0),LEFT(LOWER(TRIM($F254&amp;"")),9)="free game",LOWER(TRIM($F254&amp;""))="free",LOWER(TRIM($F254&amp;""))="free entry"),IF(ISNUMBER($K254),$K254,""),IF($K254&lt;&gt;"",$K254,""))))))</ns0:f>
      </ns0:c>
      <ns0:c r="Q254" s="114">
        <ns0:f>IF(COUNTA($A254:$M254)=0,"",IF(OR($U254="Subscription",$U254=""),"",IF($U254="Estimate","N/A",IF($U254="Profit",ROUND(IFERROR($P254,0)-IFERROR($H254,0),2),0))))</ns0:f>
      </ns0:c>
      <ns0:c r="R254" s="114">
        <ns0:f>IF(COUNTA($A254:$M254)=0,"",IF(OR($U254="Subscription",$U254=""),"",IF($U254="Estimate","N/A",IF($U254="Draw",$H254,0))))</ns0:f>
      </ns0:c>
      <ns0:c r="S254" s="114">
        <ns0:f>IF(COUNTA($A254:$M254)=0,"",IF(OR($U254="Subscription",$U254=""),"",IF($U254="Estimate","N/A",IF($U254="Disqualified",$H254,0))))</ns0:f>
      </ns0:c>
      <ns0:c r="T254" s="955">
        <ns0:f>IF(COUNTA($A254:$M254)=0,"",IF(OR($U254="Subscription",$U254=""),"",IF($U254="Estimate","N/A",IF(OR($U254="Free Game",$U254="Disqualified — Free Game",$H254=0),"N/A",IF($U254="Profit",$Q254/$H254,IF($U254="Disqualified",-$S254/$H254,0))))))</ns0:f>
      </ns0:c>
      <ns0:c r="U254" s="920">
        <ns0:f>IF(COUNTA($A254:$M254)=0,"",IF(OR(LEFT(LOWER(TRIM($F254&amp;"")),12)="subscription",LOWER(TRIM($F254&amp;""))="membership"),"Subscription",IF(LOWER(TRIM($D254&amp;""))="estimate","Estimate",IF(OR(AND($H254&lt;&gt;"",$H254=0),LEFT(LOWER(TRIM($F254&amp;"")),9)="free game",LOWER(TRIM($F254&amp;""))="free",LOWER(TRIM($F254&amp;""))="free entry"),IF(LOWER($L254&amp;"")="yes","Disqualified — Free Game","Free Game"),IF(LOWER($L254&amp;"")="yes","Disqualified",IF($P254="","",IF(ROUND(IFERROR(VALUE($P254),0)-IFERROR(VALUE($H254),0),2)&gt;0,"Profit","Draw")))))))</ns0:f>
      </ns0:c>
      <ns0:c r="V254" s="956" t="str">
        <ns0:f>IF(COUNTA($A254:$M254)=0,"",IF(OR($B254="",$C254="",$U254="Subscription"),"",IFERROR(ROUNDUP(($C254-$B254)/7,0),"")))</ns0:f>
      </ns0:c>
      <ns0:c r="W254" s="114">
        <ns0:f>IF(COUNTA($A254:$M254)=0,"",IF(OR($U254="Subscription",$U254=""),"",IF($U254="Estimate","N/A",IF(OR($U254="Free Game",$U254="Disqualified — Free Game"),0,ROUND(IFERROR($Q254,0)-IFERROR($S254,0),2)))))</ns0:f>
      </ns0:c>
      <ns0:c r="X254" s="956" t="str">
        <ns0:f>IF(COUNTA($A254:$M254)=0,"",IF(OR($U254="Subscription",NOT(ISNUMBER($J254)),NOT(ISNUMBER($I254)),$J254=0,$I254=0,$I254&gt;$J254),"",$J254-$I254))</ns0:f>
      </ns0:c>
      <ns0:c r="Y254" s="955" t="str">
        <ns0:f>IF(COUNTA($A254:$M254)=0,"",IF(OR($U254="Subscription",NOT(ISNUMBER($J254)),$J254=0,$X254=""),"",$X254/$J254))</ns0:f>
      </ns0:c>
      <ns0:c r="Z254" s="957" t="str">
        <ns0:f>IF(COUNTA($A254:$M254)=0,"",Instructions!$B$29+SUM($W$5:W254))</ns0:f>
      </ns0:c>
    </ns0:row>
    <ns0:row r="255" ht="36" customHeight="1">
      <ns0:c r="A255" s="439"/>
      <ns0:c r="B255" s="453"/>
      <ns0:c r="C255" s="453"/>
      <ns0:c r="D255" s="454"/>
      <ns0:c r="E255" s="454"/>
      <ns0:c r="F255" s="454"/>
      <ns0:c r="G255" s="986"/>
      <ns0:c r="H255" s="455"/>
      <ns0:c r="I255" s="456"/>
      <ns0:c r="J255" s="456"/>
      <ns0:c r="K255" s="986"/>
      <ns0:c r="L255" s="454"/>
      <ns0:c r="M255" s="439"/>
      <ns0:c r="N255" s="987" t="str">
        <ns0:f>IF(COUNTA($A255:$M255)=0,"",IF(OR(LEFT(LOWER(TRIM($F255&amp;"")),12)="subscription",LOWER(TRIM($F255&amp;""))="membership"),"",IF(OR(AND($H255&lt;&gt;"",$H255=0),LEFT(LOWER(TRIM($F255&amp;"")),9)="free game",LOWER(TRIM($F255&amp;""))="free",LOWER(TRIM($F255&amp;""))="free entry"),IF(ISNUMBER($G255),IF(ISNUMBER(SEARCH("non",LOWER($E255&amp;""))),$G255*0.85,$G255),"N/A"),IF($G255="","",IFERROR(IF(ISNUMBER(SEARCH("non",LOWER($E255&amp;""))),$G255*0.85,$G255),"")))))</ns0:f>
        <ns0:v/>
      </ns0:c>
      <ns0:c r="O255" s="987" t="str">
        <ns0:f>IF(COUNTA($A255:$M255)=0,"",IF(OR(LEFT(LOWER(TRIM($F255&amp;"")),12)="subscription",LOWER(TRIM($F255&amp;""))="membership"),"",IF(OR(AND($H255&lt;&gt;"",$H255=0),LEFT(LOWER(TRIM($F255&amp;"")),9)="free game",LOWER(TRIM($F255&amp;""))="free",LOWER(TRIM($F255&amp;""))="free entry"),IF(OR(NOT(ISNUMBER($N255)),NOT(ISNUMBER($I255)),$I255=0),"N/A",IFERROR($N255/$I255,"N/A")),IF(OR($N255="",$I255="",$I255=0),"",IFERROR($N255/$I255,"")))))</ns0:f>
        <ns0:v/>
      </ns0:c>
      <ns0:c r="P255" s="987">
        <ns0:f>IF(COUNTA($A255:$M255)=0,"",IF(OR(LEFT(LOWER(TRIM($F255&amp;"")),12)="subscription",LOWER(TRIM($F255&amp;""))="membership"),"",IF(LOWER(TRIM($D255&amp;""))="estimate","N/A",IF(LOWER($L255&amp;"")="yes",0,IF(OR(AND($H255&lt;&gt;"",$H255=0),LEFT(LOWER(TRIM($F255&amp;"")),9)="free game",LOWER(TRIM($F255&amp;""))="free",LOWER(TRIM($F255&amp;""))="free entry"),IF(ISNUMBER($K255),$K255,""),IF($K255&lt;&gt;"",$K255,""))))))</ns0:f>
      </ns0:c>
      <ns0:c r="Q255" s="114">
        <ns0:f>IF(COUNTA($A255:$M255)=0,"",IF(OR($U255="Subscription",$U255=""),"",IF($U255="Estimate","N/A",IF($U255="Profit",ROUND(IFERROR($P255,0)-IFERROR($H255,0),2),0))))</ns0:f>
      </ns0:c>
      <ns0:c r="R255" s="114">
        <ns0:f>IF(COUNTA($A255:$M255)=0,"",IF(OR($U255="Subscription",$U255=""),"",IF($U255="Estimate","N/A",IF($U255="Draw",$H255,0))))</ns0:f>
      </ns0:c>
      <ns0:c r="S255" s="114">
        <ns0:f>IF(COUNTA($A255:$M255)=0,"",IF(OR($U255="Subscription",$U255=""),"",IF($U255="Estimate","N/A",IF($U255="Disqualified",$H255,0))))</ns0:f>
      </ns0:c>
      <ns0:c r="T255" s="955">
        <ns0:f>IF(COUNTA($A255:$M255)=0,"",IF(OR($U255="Subscription",$U255=""),"",IF($U255="Estimate","N/A",IF(OR($U255="Free Game",$U255="Disqualified — Free Game",$H255=0),"N/A",IF($U255="Profit",$Q255/$H255,IF($U255="Disqualified",-$S255/$H255,0))))))</ns0:f>
      </ns0:c>
      <ns0:c r="U255" s="920">
        <ns0:f>IF(COUNTA($A255:$M255)=0,"",IF(OR(LEFT(LOWER(TRIM($F255&amp;"")),12)="subscription",LOWER(TRIM($F255&amp;""))="membership"),"Subscription",IF(LOWER(TRIM($D255&amp;""))="estimate","Estimate",IF(OR(AND($H255&lt;&gt;"",$H255=0),LEFT(LOWER(TRIM($F255&amp;"")),9)="free game",LOWER(TRIM($F255&amp;""))="free",LOWER(TRIM($F255&amp;""))="free entry"),IF(LOWER($L255&amp;"")="yes","Disqualified — Free Game","Free Game"),IF(LOWER($L255&amp;"")="yes","Disqualified",IF($P255="","",IF(ROUND(IFERROR(VALUE($P255),0)-IFERROR(VALUE($H255),0),2)&gt;0,"Profit","Draw")))))))</ns0:f>
      </ns0:c>
      <ns0:c r="V255" s="956" t="str">
        <ns0:f>IF(COUNTA($A255:$M255)=0,"",IF(OR($B255="",$C255="",$U255="Subscription"),"",IFERROR(ROUNDUP(($C255-$B255)/7,0),"")))</ns0:f>
      </ns0:c>
      <ns0:c r="W255" s="114">
        <ns0:f>IF(COUNTA($A255:$M255)=0,"",IF(OR($U255="Subscription",$U255=""),"",IF($U255="Estimate","N/A",IF(OR($U255="Free Game",$U255="Disqualified — Free Game"),0,ROUND(IFERROR($Q255,0)-IFERROR($S255,0),2)))))</ns0:f>
      </ns0:c>
      <ns0:c r="X255" s="956" t="str">
        <ns0:f>IF(COUNTA($A255:$M255)=0,"",IF(OR($U255="Subscription",NOT(ISNUMBER($J255)),NOT(ISNUMBER($I255)),$J255=0,$I255=0,$I255&gt;$J255),"",$J255-$I255))</ns0:f>
      </ns0:c>
      <ns0:c r="Y255" s="955" t="str">
        <ns0:f>IF(COUNTA($A255:$M255)=0,"",IF(OR($U255="Subscription",NOT(ISNUMBER($J255)),$J255=0,$X255=""),"",$X255/$J255))</ns0:f>
      </ns0:c>
      <ns0:c r="Z255" s="957" t="str">
        <ns0:f>IF(COUNTA($A255:$M255)=0,"",Instructions!$B$29+SUM($W$5:W255))</ns0:f>
      </ns0:c>
    </ns0:row>
    <ns0:row r="256" ht="36" customHeight="1">
      <ns0:c r="A256" s="439"/>
      <ns0:c r="B256" s="453"/>
      <ns0:c r="C256" s="453"/>
      <ns0:c r="D256" s="454"/>
      <ns0:c r="E256" s="454"/>
      <ns0:c r="F256" s="454"/>
      <ns0:c r="G256" s="986"/>
      <ns0:c r="H256" s="455"/>
      <ns0:c r="I256" s="456"/>
      <ns0:c r="J256" s="456"/>
      <ns0:c r="K256" s="986"/>
      <ns0:c r="L256" s="454"/>
      <ns0:c r="M256" s="439"/>
      <ns0:c r="N256" s="987" t="str">
        <ns0:f>IF(COUNTA($A256:$M256)=0,"",IF(OR(LEFT(LOWER(TRIM($F256&amp;"")),12)="subscription",LOWER(TRIM($F256&amp;""))="membership"),"",IF(OR(AND($H256&lt;&gt;"",$H256=0),LEFT(LOWER(TRIM($F256&amp;"")),9)="free game",LOWER(TRIM($F256&amp;""))="free",LOWER(TRIM($F256&amp;""))="free entry"),IF(ISNUMBER($G256),IF(ISNUMBER(SEARCH("non",LOWER($E256&amp;""))),$G256*0.85,$G256),"N/A"),IF($G256="","",IFERROR(IF(ISNUMBER(SEARCH("non",LOWER($E256&amp;""))),$G256*0.85,$G256),"")))))</ns0:f>
        <ns0:v/>
      </ns0:c>
      <ns0:c r="O256" s="987" t="str">
        <ns0:f>IF(COUNTA($A256:$M256)=0,"",IF(OR(LEFT(LOWER(TRIM($F256&amp;"")),12)="subscription",LOWER(TRIM($F256&amp;""))="membership"),"",IF(OR(AND($H256&lt;&gt;"",$H256=0),LEFT(LOWER(TRIM($F256&amp;"")),9)="free game",LOWER(TRIM($F256&amp;""))="free",LOWER(TRIM($F256&amp;""))="free entry"),IF(OR(NOT(ISNUMBER($N256)),NOT(ISNUMBER($I256)),$I256=0),"N/A",IFERROR($N256/$I256,"N/A")),IF(OR($N256="",$I256="",$I256=0),"",IFERROR($N256/$I256,"")))))</ns0:f>
        <ns0:v/>
      </ns0:c>
      <ns0:c r="P256" s="987">
        <ns0:f>IF(COUNTA($A256:$M256)=0,"",IF(OR(LEFT(LOWER(TRIM($F256&amp;"")),12)="subscription",LOWER(TRIM($F256&amp;""))="membership"),"",IF(LOWER(TRIM($D256&amp;""))="estimate","N/A",IF(LOWER($L256&amp;"")="yes",0,IF(OR(AND($H256&lt;&gt;"",$H256=0),LEFT(LOWER(TRIM($F256&amp;"")),9)="free game",LOWER(TRIM($F256&amp;""))="free",LOWER(TRIM($F256&amp;""))="free entry"),IF(ISNUMBER($K256),$K256,""),IF($K256&lt;&gt;"",$K256,""))))))</ns0:f>
      </ns0:c>
      <ns0:c r="Q256" s="114">
        <ns0:f>IF(COUNTA($A256:$M256)=0,"",IF(OR($U256="Subscription",$U256=""),"",IF($U256="Estimate","N/A",IF($U256="Profit",ROUND(IFERROR($P256,0)-IFERROR($H256,0),2),0))))</ns0:f>
      </ns0:c>
      <ns0:c r="R256" s="114">
        <ns0:f>IF(COUNTA($A256:$M256)=0,"",IF(OR($U256="Subscription",$U256=""),"",IF($U256="Estimate","N/A",IF($U256="Draw",$H256,0))))</ns0:f>
      </ns0:c>
      <ns0:c r="S256" s="114">
        <ns0:f>IF(COUNTA($A256:$M256)=0,"",IF(OR($U256="Subscription",$U256=""),"",IF($U256="Estimate","N/A",IF($U256="Disqualified",$H256,0))))</ns0:f>
      </ns0:c>
      <ns0:c r="T256" s="955">
        <ns0:f>IF(COUNTA($A256:$M256)=0,"",IF(OR($U256="Subscription",$U256=""),"",IF($U256="Estimate","N/A",IF(OR($U256="Free Game",$U256="Disqualified — Free Game",$H256=0),"N/A",IF($U256="Profit",$Q256/$H256,IF($U256="Disqualified",-$S256/$H256,0))))))</ns0:f>
      </ns0:c>
      <ns0:c r="U256" s="920">
        <ns0:f>IF(COUNTA($A256:$M256)=0,"",IF(OR(LEFT(LOWER(TRIM($F256&amp;"")),12)="subscription",LOWER(TRIM($F256&amp;""))="membership"),"Subscription",IF(LOWER(TRIM($D256&amp;""))="estimate","Estimate",IF(OR(AND($H256&lt;&gt;"",$H256=0),LEFT(LOWER(TRIM($F256&amp;"")),9)="free game",LOWER(TRIM($F256&amp;""))="free",LOWER(TRIM($F256&amp;""))="free entry"),IF(LOWER($L256&amp;"")="yes","Disqualified — Free Game","Free Game"),IF(LOWER($L256&amp;"")="yes","Disqualified",IF($P256="","",IF(ROUND(IFERROR(VALUE($P256),0)-IFERROR(VALUE($H256),0),2)&gt;0,"Profit","Draw")))))))</ns0:f>
      </ns0:c>
      <ns0:c r="V256" s="956" t="str">
        <ns0:f>IF(COUNTA($A256:$M256)=0,"",IF(OR($B256="",$C256="",$U256="Subscription"),"",IFERROR(ROUNDUP(($C256-$B256)/7,0),"")))</ns0:f>
      </ns0:c>
      <ns0:c r="W256" s="114">
        <ns0:f>IF(COUNTA($A256:$M256)=0,"",IF(OR($U256="Subscription",$U256=""),"",IF($U256="Estimate","N/A",IF(OR($U256="Free Game",$U256="Disqualified — Free Game"),0,ROUND(IFERROR($Q256,0)-IFERROR($S256,0),2)))))</ns0:f>
      </ns0:c>
      <ns0:c r="X256" s="956" t="str">
        <ns0:f>IF(COUNTA($A256:$M256)=0,"",IF(OR($U256="Subscription",NOT(ISNUMBER($J256)),NOT(ISNUMBER($I256)),$J256=0,$I256=0,$I256&gt;$J256),"",$J256-$I256))</ns0:f>
      </ns0:c>
      <ns0:c r="Y256" s="955" t="str">
        <ns0:f>IF(COUNTA($A256:$M256)=0,"",IF(OR($U256="Subscription",NOT(ISNUMBER($J256)),$J256=0,$X256=""),"",$X256/$J256))</ns0:f>
      </ns0:c>
      <ns0:c r="Z256" s="957" t="str">
        <ns0:f>IF(COUNTA($A256:$M256)=0,"",Instructions!$B$29+SUM($W$5:W256))</ns0:f>
      </ns0:c>
    </ns0:row>
    <ns0:row r="257" ht="36" customHeight="1">
      <ns0:c r="A257" s="439"/>
      <ns0:c r="B257" s="453"/>
      <ns0:c r="C257" s="453"/>
      <ns0:c r="D257" s="454"/>
      <ns0:c r="E257" s="454"/>
      <ns0:c r="F257" s="454"/>
      <ns0:c r="G257" s="986"/>
      <ns0:c r="H257" s="455"/>
      <ns0:c r="I257" s="456"/>
      <ns0:c r="J257" s="456"/>
      <ns0:c r="K257" s="986"/>
      <ns0:c r="L257" s="454"/>
      <ns0:c r="M257" s="439"/>
      <ns0:c r="N257" s="987" t="str">
        <ns0:f>IF(COUNTA($A257:$M257)=0,"",IF(OR(LEFT(LOWER(TRIM($F257&amp;"")),12)="subscription",LOWER(TRIM($F257&amp;""))="membership"),"",IF(OR(AND($H257&lt;&gt;"",$H257=0),LEFT(LOWER(TRIM($F257&amp;"")),9)="free game",LOWER(TRIM($F257&amp;""))="free",LOWER(TRIM($F257&amp;""))="free entry"),IF(ISNUMBER($G257),IF(ISNUMBER(SEARCH("non",LOWER($E257&amp;""))),$G257*0.85,$G257),"N/A"),IF($G257="","",IFERROR(IF(ISNUMBER(SEARCH("non",LOWER($E257&amp;""))),$G257*0.85,$G257),"")))))</ns0:f>
        <ns0:v/>
      </ns0:c>
      <ns0:c r="O257" s="987" t="str">
        <ns0:f>IF(COUNTA($A257:$M257)=0,"",IF(OR(LEFT(LOWER(TRIM($F257&amp;"")),12)="subscription",LOWER(TRIM($F257&amp;""))="membership"),"",IF(OR(AND($H257&lt;&gt;"",$H257=0),LEFT(LOWER(TRIM($F257&amp;"")),9)="free game",LOWER(TRIM($F257&amp;""))="free",LOWER(TRIM($F257&amp;""))="free entry"),IF(OR(NOT(ISNUMBER($N257)),NOT(ISNUMBER($I257)),$I257=0),"N/A",IFERROR($N257/$I257,"N/A")),IF(OR($N257="",$I257="",$I257=0),"",IFERROR($N257/$I257,"")))))</ns0:f>
        <ns0:v/>
      </ns0:c>
      <ns0:c r="P257" s="987">
        <ns0:f>IF(COUNTA($A257:$M257)=0,"",IF(OR(LEFT(LOWER(TRIM($F257&amp;"")),12)="subscription",LOWER(TRIM($F257&amp;""))="membership"),"",IF(LOWER(TRIM($D257&amp;""))="estimate","N/A",IF(LOWER($L257&amp;"")="yes",0,IF(OR(AND($H257&lt;&gt;"",$H257=0),LEFT(LOWER(TRIM($F257&amp;"")),9)="free game",LOWER(TRIM($F257&amp;""))="free",LOWER(TRIM($F257&amp;""))="free entry"),IF(ISNUMBER($K257),$K257,""),IF($K257&lt;&gt;"",$K257,""))))))</ns0:f>
      </ns0:c>
      <ns0:c r="Q257" s="114">
        <ns0:f>IF(COUNTA($A257:$M257)=0,"",IF(OR($U257="Subscription",$U257=""),"",IF($U257="Estimate","N/A",IF($U257="Profit",ROUND(IFERROR($P257,0)-IFERROR($H257,0),2),0))))</ns0:f>
      </ns0:c>
      <ns0:c r="R257" s="114">
        <ns0:f>IF(COUNTA($A257:$M257)=0,"",IF(OR($U257="Subscription",$U257=""),"",IF($U257="Estimate","N/A",IF($U257="Draw",$H257,0))))</ns0:f>
      </ns0:c>
      <ns0:c r="S257" s="114">
        <ns0:f>IF(COUNTA($A257:$M257)=0,"",IF(OR($U257="Subscription",$U257=""),"",IF($U257="Estimate","N/A",IF($U257="Disqualified",$H257,0))))</ns0:f>
      </ns0:c>
      <ns0:c r="T257" s="955">
        <ns0:f>IF(COUNTA($A257:$M257)=0,"",IF(OR($U257="Subscription",$U257=""),"",IF($U257="Estimate","N/A",IF(OR($U257="Free Game",$U257="Disqualified — Free Game",$H257=0),"N/A",IF($U257="Profit",$Q257/$H257,IF($U257="Disqualified",-$S257/$H257,0))))))</ns0:f>
      </ns0:c>
      <ns0:c r="U257" s="920">
        <ns0:f>IF(COUNTA($A257:$M257)=0,"",IF(OR(LEFT(LOWER(TRIM($F257&amp;"")),12)="subscription",LOWER(TRIM($F257&amp;""))="membership"),"Subscription",IF(LOWER(TRIM($D257&amp;""))="estimate","Estimate",IF(OR(AND($H257&lt;&gt;"",$H257=0),LEFT(LOWER(TRIM($F257&amp;"")),9)="free game",LOWER(TRIM($F257&amp;""))="free",LOWER(TRIM($F257&amp;""))="free entry"),IF(LOWER($L257&amp;"")="yes","Disqualified — Free Game","Free Game"),IF(LOWER($L257&amp;"")="yes","Disqualified",IF($P257="","",IF(ROUND(IFERROR(VALUE($P257),0)-IFERROR(VALUE($H257),0),2)&gt;0,"Profit","Draw")))))))</ns0:f>
      </ns0:c>
      <ns0:c r="V257" s="956" t="str">
        <ns0:f>IF(COUNTA($A257:$M257)=0,"",IF(OR($B257="",$C257="",$U257="Subscription"),"",IFERROR(ROUNDUP(($C257-$B257)/7,0),"")))</ns0:f>
      </ns0:c>
      <ns0:c r="W257" s="114">
        <ns0:f>IF(COUNTA($A257:$M257)=0,"",IF(OR($U257="Subscription",$U257=""),"",IF($U257="Estimate","N/A",IF(OR($U257="Free Game",$U257="Disqualified — Free Game"),0,ROUND(IFERROR($Q257,0)-IFERROR($S257,0),2)))))</ns0:f>
      </ns0:c>
      <ns0:c r="X257" s="956" t="str">
        <ns0:f>IF(COUNTA($A257:$M257)=0,"",IF(OR($U257="Subscription",NOT(ISNUMBER($J257)),NOT(ISNUMBER($I257)),$J257=0,$I257=0,$I257&gt;$J257),"",$J257-$I257))</ns0:f>
      </ns0:c>
      <ns0:c r="Y257" s="955" t="str">
        <ns0:f>IF(COUNTA($A257:$M257)=0,"",IF(OR($U257="Subscription",NOT(ISNUMBER($J257)),$J257=0,$X257=""),"",$X257/$J257))</ns0:f>
      </ns0:c>
      <ns0:c r="Z257" s="957" t="str">
        <ns0:f>IF(COUNTA($A257:$M257)=0,"",Instructions!$B$29+SUM($W$5:W257))</ns0:f>
      </ns0:c>
    </ns0:row>
    <ns0:row r="258" ht="36" customHeight="1">
      <ns0:c r="A258" s="439"/>
      <ns0:c r="B258" s="453"/>
      <ns0:c r="C258" s="453"/>
      <ns0:c r="D258" s="454"/>
      <ns0:c r="E258" s="454"/>
      <ns0:c r="F258" s="454"/>
      <ns0:c r="G258" s="986"/>
      <ns0:c r="H258" s="455"/>
      <ns0:c r="I258" s="456"/>
      <ns0:c r="J258" s="456"/>
      <ns0:c r="K258" s="986"/>
      <ns0:c r="L258" s="454"/>
      <ns0:c r="M258" s="439"/>
      <ns0:c r="N258" s="987" t="str">
        <ns0:f>IF(COUNTA($A258:$M258)=0,"",IF(OR(LEFT(LOWER(TRIM($F258&amp;"")),12)="subscription",LOWER(TRIM($F258&amp;""))="membership"),"",IF(OR(AND($H258&lt;&gt;"",$H258=0),LEFT(LOWER(TRIM($F258&amp;"")),9)="free game",LOWER(TRIM($F258&amp;""))="free",LOWER(TRIM($F258&amp;""))="free entry"),IF(ISNUMBER($G258),IF(ISNUMBER(SEARCH("non",LOWER($E258&amp;""))),$G258*0.85,$G258),"N/A"),IF($G258="","",IFERROR(IF(ISNUMBER(SEARCH("non",LOWER($E258&amp;""))),$G258*0.85,$G258),"")))))</ns0:f>
        <ns0:v/>
      </ns0:c>
      <ns0:c r="O258" s="987" t="str">
        <ns0:f>IF(COUNTA($A258:$M258)=0,"",IF(OR(LEFT(LOWER(TRIM($F258&amp;"")),12)="subscription",LOWER(TRIM($F258&amp;""))="membership"),"",IF(OR(AND($H258&lt;&gt;"",$H258=0),LEFT(LOWER(TRIM($F258&amp;"")),9)="free game",LOWER(TRIM($F258&amp;""))="free",LOWER(TRIM($F258&amp;""))="free entry"),IF(OR(NOT(ISNUMBER($N258)),NOT(ISNUMBER($I258)),$I258=0),"N/A",IFERROR($N258/$I258,"N/A")),IF(OR($N258="",$I258="",$I258=0),"",IFERROR($N258/$I258,"")))))</ns0:f>
        <ns0:v/>
      </ns0:c>
      <ns0:c r="P258" s="987">
        <ns0:f>IF(COUNTA($A258:$M258)=0,"",IF(OR(LEFT(LOWER(TRIM($F258&amp;"")),12)="subscription",LOWER(TRIM($F258&amp;""))="membership"),"",IF(LOWER(TRIM($D258&amp;""))="estimate","N/A",IF(LOWER($L258&amp;"")="yes",0,IF(OR(AND($H258&lt;&gt;"",$H258=0),LEFT(LOWER(TRIM($F258&amp;"")),9)="free game",LOWER(TRIM($F258&amp;""))="free",LOWER(TRIM($F258&amp;""))="free entry"),IF(ISNUMBER($K258),$K258,""),IF($K258&lt;&gt;"",$K258,""))))))</ns0:f>
      </ns0:c>
      <ns0:c r="Q258" s="114">
        <ns0:f>IF(COUNTA($A258:$M258)=0,"",IF(OR($U258="Subscription",$U258=""),"",IF($U258="Estimate","N/A",IF($U258="Profit",ROUND(IFERROR($P258,0)-IFERROR($H258,0),2),0))))</ns0:f>
      </ns0:c>
      <ns0:c r="R258" s="114">
        <ns0:f>IF(COUNTA($A258:$M258)=0,"",IF(OR($U258="Subscription",$U258=""),"",IF($U258="Estimate","N/A",IF($U258="Draw",$H258,0))))</ns0:f>
      </ns0:c>
      <ns0:c r="S258" s="114">
        <ns0:f>IF(COUNTA($A258:$M258)=0,"",IF(OR($U258="Subscription",$U258=""),"",IF($U258="Estimate","N/A",IF($U258="Disqualified",$H258,0))))</ns0:f>
      </ns0:c>
      <ns0:c r="T258" s="955">
        <ns0:f>IF(COUNTA($A258:$M258)=0,"",IF(OR($U258="Subscription",$U258=""),"",IF($U258="Estimate","N/A",IF(OR($U258="Free Game",$U258="Disqualified — Free Game",$H258=0),"N/A",IF($U258="Profit",$Q258/$H258,IF($U258="Disqualified",-$S258/$H258,0))))))</ns0:f>
      </ns0:c>
      <ns0:c r="U258" s="920">
        <ns0:f>IF(COUNTA($A258:$M258)=0,"",IF(OR(LEFT(LOWER(TRIM($F258&amp;"")),12)="subscription",LOWER(TRIM($F258&amp;""))="membership"),"Subscription",IF(LOWER(TRIM($D258&amp;""))="estimate","Estimate",IF(OR(AND($H258&lt;&gt;"",$H258=0),LEFT(LOWER(TRIM($F258&amp;"")),9)="free game",LOWER(TRIM($F258&amp;""))="free",LOWER(TRIM($F258&amp;""))="free entry"),IF(LOWER($L258&amp;"")="yes","Disqualified — Free Game","Free Game"),IF(LOWER($L258&amp;"")="yes","Disqualified",IF($P258="","",IF(ROUND(IFERROR(VALUE($P258),0)-IFERROR(VALUE($H258),0),2)&gt;0,"Profit","Draw")))))))</ns0:f>
      </ns0:c>
      <ns0:c r="V258" s="956" t="str">
        <ns0:f>IF(COUNTA($A258:$M258)=0,"",IF(OR($B258="",$C258="",$U258="Subscription"),"",IFERROR(ROUNDUP(($C258-$B258)/7,0),"")))</ns0:f>
      </ns0:c>
      <ns0:c r="W258" s="114">
        <ns0:f>IF(COUNTA($A258:$M258)=0,"",IF(OR($U258="Subscription",$U258=""),"",IF($U258="Estimate","N/A",IF(OR($U258="Free Game",$U258="Disqualified — Free Game"),0,ROUND(IFERROR($Q258,0)-IFERROR($S258,0),2)))))</ns0:f>
      </ns0:c>
      <ns0:c r="X258" s="956" t="str">
        <ns0:f>IF(COUNTA($A258:$M258)=0,"",IF(OR($U258="Subscription",NOT(ISNUMBER($J258)),NOT(ISNUMBER($I258)),$J258=0,$I258=0,$I258&gt;$J258),"",$J258-$I258))</ns0:f>
      </ns0:c>
      <ns0:c r="Y258" s="955" t="str">
        <ns0:f>IF(COUNTA($A258:$M258)=0,"",IF(OR($U258="Subscription",NOT(ISNUMBER($J258)),$J258=0,$X258=""),"",$X258/$J258))</ns0:f>
      </ns0:c>
      <ns0:c r="Z258" s="957" t="str">
        <ns0:f>IF(COUNTA($A258:$M258)=0,"",Instructions!$B$29+SUM($W$5:W258))</ns0:f>
      </ns0:c>
    </ns0:row>
    <ns0:row r="259" ht="36" customHeight="1">
      <ns0:c r="A259" s="439"/>
      <ns0:c r="B259" s="453"/>
      <ns0:c r="C259" s="453"/>
      <ns0:c r="D259" s="454"/>
      <ns0:c r="E259" s="454"/>
      <ns0:c r="F259" s="454"/>
      <ns0:c r="G259" s="986"/>
      <ns0:c r="H259" s="455"/>
      <ns0:c r="I259" s="456"/>
      <ns0:c r="J259" s="456"/>
      <ns0:c r="K259" s="986"/>
      <ns0:c r="L259" s="454"/>
      <ns0:c r="M259" s="439"/>
      <ns0:c r="N259" s="987" t="str">
        <ns0:f>IF(COUNTA($A259:$M259)=0,"",IF(OR(LEFT(LOWER(TRIM($F259&amp;"")),12)="subscription",LOWER(TRIM($F259&amp;""))="membership"),"",IF(OR(AND($H259&lt;&gt;"",$H259=0),LEFT(LOWER(TRIM($F259&amp;"")),9)="free game",LOWER(TRIM($F259&amp;""))="free",LOWER(TRIM($F259&amp;""))="free entry"),IF(ISNUMBER($G259),IF(ISNUMBER(SEARCH("non",LOWER($E259&amp;""))),$G259*0.85,$G259),"N/A"),IF($G259="","",IFERROR(IF(ISNUMBER(SEARCH("non",LOWER($E259&amp;""))),$G259*0.85,$G259),"")))))</ns0:f>
        <ns0:v/>
      </ns0:c>
      <ns0:c r="O259" s="987" t="str">
        <ns0:f>IF(COUNTA($A259:$M259)=0,"",IF(OR(LEFT(LOWER(TRIM($F259&amp;"")),12)="subscription",LOWER(TRIM($F259&amp;""))="membership"),"",IF(OR(AND($H259&lt;&gt;"",$H259=0),LEFT(LOWER(TRIM($F259&amp;"")),9)="free game",LOWER(TRIM($F259&amp;""))="free",LOWER(TRIM($F259&amp;""))="free entry"),IF(OR(NOT(ISNUMBER($N259)),NOT(ISNUMBER($I259)),$I259=0),"N/A",IFERROR($N259/$I259,"N/A")),IF(OR($N259="",$I259="",$I259=0),"",IFERROR($N259/$I259,"")))))</ns0:f>
        <ns0:v/>
      </ns0:c>
      <ns0:c r="P259" s="987">
        <ns0:f>IF(COUNTA($A259:$M259)=0,"",IF(OR(LEFT(LOWER(TRIM($F259&amp;"")),12)="subscription",LOWER(TRIM($F259&amp;""))="membership"),"",IF(LOWER(TRIM($D259&amp;""))="estimate","N/A",IF(LOWER($L259&amp;"")="yes",0,IF(OR(AND($H259&lt;&gt;"",$H259=0),LEFT(LOWER(TRIM($F259&amp;"")),9)="free game",LOWER(TRIM($F259&amp;""))="free",LOWER(TRIM($F259&amp;""))="free entry"),IF(ISNUMBER($K259),$K259,""),IF($K259&lt;&gt;"",$K259,""))))))</ns0:f>
      </ns0:c>
      <ns0:c r="Q259" s="114">
        <ns0:f>IF(COUNTA($A259:$M259)=0,"",IF(OR($U259="Subscription",$U259=""),"",IF($U259="Estimate","N/A",IF($U259="Profit",ROUND(IFERROR($P259,0)-IFERROR($H259,0),2),0))))</ns0:f>
      </ns0:c>
      <ns0:c r="R259" s="114">
        <ns0:f>IF(COUNTA($A259:$M259)=0,"",IF(OR($U259="Subscription",$U259=""),"",IF($U259="Estimate","N/A",IF($U259="Draw",$H259,0))))</ns0:f>
      </ns0:c>
      <ns0:c r="S259" s="114">
        <ns0:f>IF(COUNTA($A259:$M259)=0,"",IF(OR($U259="Subscription",$U259=""),"",IF($U259="Estimate","N/A",IF($U259="Disqualified",$H259,0))))</ns0:f>
      </ns0:c>
      <ns0:c r="T259" s="955">
        <ns0:f>IF(COUNTA($A259:$M259)=0,"",IF(OR($U259="Subscription",$U259=""),"",IF($U259="Estimate","N/A",IF(OR($U259="Free Game",$U259="Disqualified — Free Game",$H259=0),"N/A",IF($U259="Profit",$Q259/$H259,IF($U259="Disqualified",-$S259/$H259,0))))))</ns0:f>
      </ns0:c>
      <ns0:c r="U259" s="920">
        <ns0:f>IF(COUNTA($A259:$M259)=0,"",IF(OR(LEFT(LOWER(TRIM($F259&amp;"")),12)="subscription",LOWER(TRIM($F259&amp;""))="membership"),"Subscription",IF(LOWER(TRIM($D259&amp;""))="estimate","Estimate",IF(OR(AND($H259&lt;&gt;"",$H259=0),LEFT(LOWER(TRIM($F259&amp;"")),9)="free game",LOWER(TRIM($F259&amp;""))="free",LOWER(TRIM($F259&amp;""))="free entry"),IF(LOWER($L259&amp;"")="yes","Disqualified — Free Game","Free Game"),IF(LOWER($L259&amp;"")="yes","Disqualified",IF($P259="","",IF(ROUND(IFERROR(VALUE($P259),0)-IFERROR(VALUE($H259),0),2)&gt;0,"Profit","Draw")))))))</ns0:f>
      </ns0:c>
      <ns0:c r="V259" s="956" t="str">
        <ns0:f>IF(COUNTA($A259:$M259)=0,"",IF(OR($B259="",$C259="",$U259="Subscription"),"",IFERROR(ROUNDUP(($C259-$B259)/7,0),"")))</ns0:f>
      </ns0:c>
      <ns0:c r="W259" s="114">
        <ns0:f>IF(COUNTA($A259:$M259)=0,"",IF(OR($U259="Subscription",$U259=""),"",IF($U259="Estimate","N/A",IF(OR($U259="Free Game",$U259="Disqualified — Free Game"),0,ROUND(IFERROR($Q259,0)-IFERROR($S259,0),2)))))</ns0:f>
      </ns0:c>
      <ns0:c r="X259" s="956" t="str">
        <ns0:f>IF(COUNTA($A259:$M259)=0,"",IF(OR($U259="Subscription",NOT(ISNUMBER($J259)),NOT(ISNUMBER($I259)),$J259=0,$I259=0,$I259&gt;$J259),"",$J259-$I259))</ns0:f>
      </ns0:c>
      <ns0:c r="Y259" s="955" t="str">
        <ns0:f>IF(COUNTA($A259:$M259)=0,"",IF(OR($U259="Subscription",NOT(ISNUMBER($J259)),$J259=0,$X259=""),"",$X259/$J259))</ns0:f>
      </ns0:c>
      <ns0:c r="Z259" s="957" t="str">
        <ns0:f>IF(COUNTA($A259:$M259)=0,"",Instructions!$B$29+SUM($W$5:W259))</ns0:f>
      </ns0:c>
    </ns0:row>
    <ns0:row r="260" ht="36" customHeight="1">
      <ns0:c r="A260" s="439"/>
      <ns0:c r="B260" s="453"/>
      <ns0:c r="C260" s="453"/>
      <ns0:c r="D260" s="454"/>
      <ns0:c r="E260" s="454"/>
      <ns0:c r="F260" s="454"/>
      <ns0:c r="G260" s="986"/>
      <ns0:c r="H260" s="455"/>
      <ns0:c r="I260" s="456"/>
      <ns0:c r="J260" s="456"/>
      <ns0:c r="K260" s="986"/>
      <ns0:c r="L260" s="454"/>
      <ns0:c r="M260" s="439"/>
      <ns0:c r="N260" s="987" t="str">
        <ns0:f>IF(COUNTA($A260:$M260)=0,"",IF(OR(LEFT(LOWER(TRIM($F260&amp;"")),12)="subscription",LOWER(TRIM($F260&amp;""))="membership"),"",IF(OR(AND($H260&lt;&gt;"",$H260=0),LEFT(LOWER(TRIM($F260&amp;"")),9)="free game",LOWER(TRIM($F260&amp;""))="free",LOWER(TRIM($F260&amp;""))="free entry"),IF(ISNUMBER($G260),IF(ISNUMBER(SEARCH("non",LOWER($E260&amp;""))),$G260*0.85,$G260),"N/A"),IF($G260="","",IFERROR(IF(ISNUMBER(SEARCH("non",LOWER($E260&amp;""))),$G260*0.85,$G260),"")))))</ns0:f>
        <ns0:v/>
      </ns0:c>
      <ns0:c r="O260" s="987" t="str">
        <ns0:f>IF(COUNTA($A260:$M260)=0,"",IF(OR(LEFT(LOWER(TRIM($F260&amp;"")),12)="subscription",LOWER(TRIM($F260&amp;""))="membership"),"",IF(OR(AND($H260&lt;&gt;"",$H260=0),LEFT(LOWER(TRIM($F260&amp;"")),9)="free game",LOWER(TRIM($F260&amp;""))="free",LOWER(TRIM($F260&amp;""))="free entry"),IF(OR(NOT(ISNUMBER($N260)),NOT(ISNUMBER($I260)),$I260=0),"N/A",IFERROR($N260/$I260,"N/A")),IF(OR($N260="",$I260="",$I260=0),"",IFERROR($N260/$I260,"")))))</ns0:f>
        <ns0:v/>
      </ns0:c>
      <ns0:c r="P260" s="987">
        <ns0:f>IF(COUNTA($A260:$M260)=0,"",IF(OR(LEFT(LOWER(TRIM($F260&amp;"")),12)="subscription",LOWER(TRIM($F260&amp;""))="membership"),"",IF(LOWER(TRIM($D260&amp;""))="estimate","N/A",IF(LOWER($L260&amp;"")="yes",0,IF(OR(AND($H260&lt;&gt;"",$H260=0),LEFT(LOWER(TRIM($F260&amp;"")),9)="free game",LOWER(TRIM($F260&amp;""))="free",LOWER(TRIM($F260&amp;""))="free entry"),IF(ISNUMBER($K260),$K260,""),IF($K260&lt;&gt;"",$K260,""))))))</ns0:f>
      </ns0:c>
      <ns0:c r="Q260" s="114">
        <ns0:f>IF(COUNTA($A260:$M260)=0,"",IF(OR($U260="Subscription",$U260=""),"",IF($U260="Estimate","N/A",IF($U260="Profit",ROUND(IFERROR($P260,0)-IFERROR($H260,0),2),0))))</ns0:f>
      </ns0:c>
      <ns0:c r="R260" s="114">
        <ns0:f>IF(COUNTA($A260:$M260)=0,"",IF(OR($U260="Subscription",$U260=""),"",IF($U260="Estimate","N/A",IF($U260="Draw",$H260,0))))</ns0:f>
      </ns0:c>
      <ns0:c r="S260" s="114">
        <ns0:f>IF(COUNTA($A260:$M260)=0,"",IF(OR($U260="Subscription",$U260=""),"",IF($U260="Estimate","N/A",IF($U260="Disqualified",$H260,0))))</ns0:f>
      </ns0:c>
      <ns0:c r="T260" s="955">
        <ns0:f>IF(COUNTA($A260:$M260)=0,"",IF(OR($U260="Subscription",$U260=""),"",IF($U260="Estimate","N/A",IF(OR($U260="Free Game",$U260="Disqualified — Free Game",$H260=0),"N/A",IF($U260="Profit",$Q260/$H260,IF($U260="Disqualified",-$S260/$H260,0))))))</ns0:f>
      </ns0:c>
      <ns0:c r="U260" s="920">
        <ns0:f>IF(COUNTA($A260:$M260)=0,"",IF(OR(LEFT(LOWER(TRIM($F260&amp;"")),12)="subscription",LOWER(TRIM($F260&amp;""))="membership"),"Subscription",IF(LOWER(TRIM($D260&amp;""))="estimate","Estimate",IF(OR(AND($H260&lt;&gt;"",$H260=0),LEFT(LOWER(TRIM($F260&amp;"")),9)="free game",LOWER(TRIM($F260&amp;""))="free",LOWER(TRIM($F260&amp;""))="free entry"),IF(LOWER($L260&amp;"")="yes","Disqualified — Free Game","Free Game"),IF(LOWER($L260&amp;"")="yes","Disqualified",IF($P260="","",IF(ROUND(IFERROR(VALUE($P260),0)-IFERROR(VALUE($H260),0),2)&gt;0,"Profit","Draw")))))))</ns0:f>
      </ns0:c>
      <ns0:c r="V260" s="956" t="str">
        <ns0:f>IF(COUNTA($A260:$M260)=0,"",IF(OR($B260="",$C260="",$U260="Subscription"),"",IFERROR(ROUNDUP(($C260-$B260)/7,0),"")))</ns0:f>
      </ns0:c>
      <ns0:c r="W260" s="114">
        <ns0:f>IF(COUNTA($A260:$M260)=0,"",IF(OR($U260="Subscription",$U260=""),"",IF($U260="Estimate","N/A",IF(OR($U260="Free Game",$U260="Disqualified — Free Game"),0,ROUND(IFERROR($Q260,0)-IFERROR($S260,0),2)))))</ns0:f>
      </ns0:c>
      <ns0:c r="X260" s="956" t="str">
        <ns0:f>IF(COUNTA($A260:$M260)=0,"",IF(OR($U260="Subscription",NOT(ISNUMBER($J260)),NOT(ISNUMBER($I260)),$J260=0,$I260=0,$I260&gt;$J260),"",$J260-$I260))</ns0:f>
      </ns0:c>
      <ns0:c r="Y260" s="955" t="str">
        <ns0:f>IF(COUNTA($A260:$M260)=0,"",IF(OR($U260="Subscription",NOT(ISNUMBER($J260)),$J260=0,$X260=""),"",$X260/$J260))</ns0:f>
      </ns0:c>
      <ns0:c r="Z260" s="957" t="str">
        <ns0:f>IF(COUNTA($A260:$M260)=0,"",Instructions!$B$29+SUM($W$5:W260))</ns0:f>
      </ns0:c>
    </ns0:row>
    <ns0:row r="261" ht="36" customHeight="1">
      <ns0:c r="A261" s="439"/>
      <ns0:c r="B261" s="453"/>
      <ns0:c r="C261" s="453"/>
      <ns0:c r="D261" s="454"/>
      <ns0:c r="E261" s="454"/>
      <ns0:c r="F261" s="454"/>
      <ns0:c r="G261" s="986"/>
      <ns0:c r="H261" s="455"/>
      <ns0:c r="I261" s="456"/>
      <ns0:c r="J261" s="456"/>
      <ns0:c r="K261" s="986"/>
      <ns0:c r="L261" s="454"/>
      <ns0:c r="M261" s="439"/>
      <ns0:c r="N261" s="987" t="str">
        <ns0:f>IF(COUNTA($A261:$M261)=0,"",IF(OR(LEFT(LOWER(TRIM($F261&amp;"")),12)="subscription",LOWER(TRIM($F261&amp;""))="membership"),"",IF(OR(AND($H261&lt;&gt;"",$H261=0),LEFT(LOWER(TRIM($F261&amp;"")),9)="free game",LOWER(TRIM($F261&amp;""))="free",LOWER(TRIM($F261&amp;""))="free entry"),IF(ISNUMBER($G261),IF(ISNUMBER(SEARCH("non",LOWER($E261&amp;""))),$G261*0.85,$G261),"N/A"),IF($G261="","",IFERROR(IF(ISNUMBER(SEARCH("non",LOWER($E261&amp;""))),$G261*0.85,$G261),"")))))</ns0:f>
        <ns0:v/>
      </ns0:c>
      <ns0:c r="O261" s="987" t="str">
        <ns0:f>IF(COUNTA($A261:$M261)=0,"",IF(OR(LEFT(LOWER(TRIM($F261&amp;"")),12)="subscription",LOWER(TRIM($F261&amp;""))="membership"),"",IF(OR(AND($H261&lt;&gt;"",$H261=0),LEFT(LOWER(TRIM($F261&amp;"")),9)="free game",LOWER(TRIM($F261&amp;""))="free",LOWER(TRIM($F261&amp;""))="free entry"),IF(OR(NOT(ISNUMBER($N261)),NOT(ISNUMBER($I261)),$I261=0),"N/A",IFERROR($N261/$I261,"N/A")),IF(OR($N261="",$I261="",$I261=0),"",IFERROR($N261/$I261,"")))))</ns0:f>
        <ns0:v/>
      </ns0:c>
      <ns0:c r="P261" s="987">
        <ns0:f>IF(COUNTA($A261:$M261)=0,"",IF(OR(LEFT(LOWER(TRIM($F261&amp;"")),12)="subscription",LOWER(TRIM($F261&amp;""))="membership"),"",IF(LOWER(TRIM($D261&amp;""))="estimate","N/A",IF(LOWER($L261&amp;"")="yes",0,IF(OR(AND($H261&lt;&gt;"",$H261=0),LEFT(LOWER(TRIM($F261&amp;"")),9)="free game",LOWER(TRIM($F261&amp;""))="free",LOWER(TRIM($F261&amp;""))="free entry"),IF(ISNUMBER($K261),$K261,""),IF($K261&lt;&gt;"",$K261,""))))))</ns0:f>
      </ns0:c>
      <ns0:c r="Q261" s="114">
        <ns0:f>IF(COUNTA($A261:$M261)=0,"",IF(OR($U261="Subscription",$U261=""),"",IF($U261="Estimate","N/A",IF($U261="Profit",ROUND(IFERROR($P261,0)-IFERROR($H261,0),2),0))))</ns0:f>
      </ns0:c>
      <ns0:c r="R261" s="114">
        <ns0:f>IF(COUNTA($A261:$M261)=0,"",IF(OR($U261="Subscription",$U261=""),"",IF($U261="Estimate","N/A",IF($U261="Draw",$H261,0))))</ns0:f>
      </ns0:c>
      <ns0:c r="S261" s="114">
        <ns0:f>IF(COUNTA($A261:$M261)=0,"",IF(OR($U261="Subscription",$U261=""),"",IF($U261="Estimate","N/A",IF($U261="Disqualified",$H261,0))))</ns0:f>
      </ns0:c>
      <ns0:c r="T261" s="955">
        <ns0:f>IF(COUNTA($A261:$M261)=0,"",IF(OR($U261="Subscription",$U261=""),"",IF($U261="Estimate","N/A",IF(OR($U261="Free Game",$U261="Disqualified — Free Game",$H261=0),"N/A",IF($U261="Profit",$Q261/$H261,IF($U261="Disqualified",-$S261/$H261,0))))))</ns0:f>
      </ns0:c>
      <ns0:c r="U261" s="920">
        <ns0:f>IF(COUNTA($A261:$M261)=0,"",IF(OR(LEFT(LOWER(TRIM($F261&amp;"")),12)="subscription",LOWER(TRIM($F261&amp;""))="membership"),"Subscription",IF(LOWER(TRIM($D261&amp;""))="estimate","Estimate",IF(OR(AND($H261&lt;&gt;"",$H261=0),LEFT(LOWER(TRIM($F261&amp;"")),9)="free game",LOWER(TRIM($F261&amp;""))="free",LOWER(TRIM($F261&amp;""))="free entry"),IF(LOWER($L261&amp;"")="yes","Disqualified — Free Game","Free Game"),IF(LOWER($L261&amp;"")="yes","Disqualified",IF($P261="","",IF(ROUND(IFERROR(VALUE($P261),0)-IFERROR(VALUE($H261),0),2)&gt;0,"Profit","Draw")))))))</ns0:f>
      </ns0:c>
      <ns0:c r="V261" s="956" t="str">
        <ns0:f>IF(COUNTA($A261:$M261)=0,"",IF(OR($B261="",$C261="",$U261="Subscription"),"",IFERROR(ROUNDUP(($C261-$B261)/7,0),"")))</ns0:f>
      </ns0:c>
      <ns0:c r="W261" s="114">
        <ns0:f>IF(COUNTA($A261:$M261)=0,"",IF(OR($U261="Subscription",$U261=""),"",IF($U261="Estimate","N/A",IF(OR($U261="Free Game",$U261="Disqualified — Free Game"),0,ROUND(IFERROR($Q261,0)-IFERROR($S261,0),2)))))</ns0:f>
      </ns0:c>
      <ns0:c r="X261" s="956" t="str">
        <ns0:f>IF(COUNTA($A261:$M261)=0,"",IF(OR($U261="Subscription",NOT(ISNUMBER($J261)),NOT(ISNUMBER($I261)),$J261=0,$I261=0,$I261&gt;$J261),"",$J261-$I261))</ns0:f>
      </ns0:c>
      <ns0:c r="Y261" s="955" t="str">
        <ns0:f>IF(COUNTA($A261:$M261)=0,"",IF(OR($U261="Subscription",NOT(ISNUMBER($J261)),$J261=0,$X261=""),"",$X261/$J261))</ns0:f>
      </ns0:c>
      <ns0:c r="Z261" s="957" t="str">
        <ns0:f>IF(COUNTA($A261:$M261)=0,"",Instructions!$B$29+SUM($W$5:W261))</ns0:f>
      </ns0:c>
    </ns0:row>
    <ns0:row r="262" ht="36" customHeight="1">
      <ns0:c r="A262" s="439"/>
      <ns0:c r="B262" s="453"/>
      <ns0:c r="C262" s="453"/>
      <ns0:c r="D262" s="454"/>
      <ns0:c r="E262" s="454"/>
      <ns0:c r="F262" s="454"/>
      <ns0:c r="G262" s="986"/>
      <ns0:c r="H262" s="455"/>
      <ns0:c r="I262" s="456"/>
      <ns0:c r="J262" s="456"/>
      <ns0:c r="K262" s="986"/>
      <ns0:c r="L262" s="454"/>
      <ns0:c r="M262" s="439"/>
      <ns0:c r="N262" s="987" t="str">
        <ns0:f>IF(COUNTA($A262:$M262)=0,"",IF(OR(LEFT(LOWER(TRIM($F262&amp;"")),12)="subscription",LOWER(TRIM($F262&amp;""))="membership"),"",IF(OR(AND($H262&lt;&gt;"",$H262=0),LEFT(LOWER(TRIM($F262&amp;"")),9)="free game",LOWER(TRIM($F262&amp;""))="free",LOWER(TRIM($F262&amp;""))="free entry"),IF(ISNUMBER($G262),IF(ISNUMBER(SEARCH("non",LOWER($E262&amp;""))),$G262*0.85,$G262),"N/A"),IF($G262="","",IFERROR(IF(ISNUMBER(SEARCH("non",LOWER($E262&amp;""))),$G262*0.85,$G262),"")))))</ns0:f>
        <ns0:v/>
      </ns0:c>
      <ns0:c r="O262" s="987" t="str">
        <ns0:f>IF(COUNTA($A262:$M262)=0,"",IF(OR(LEFT(LOWER(TRIM($F262&amp;"")),12)="subscription",LOWER(TRIM($F262&amp;""))="membership"),"",IF(OR(AND($H262&lt;&gt;"",$H262=0),LEFT(LOWER(TRIM($F262&amp;"")),9)="free game",LOWER(TRIM($F262&amp;""))="free",LOWER(TRIM($F262&amp;""))="free entry"),IF(OR(NOT(ISNUMBER($N262)),NOT(ISNUMBER($I262)),$I262=0),"N/A",IFERROR($N262/$I262,"N/A")),IF(OR($N262="",$I262="",$I262=0),"",IFERROR($N262/$I262,"")))))</ns0:f>
        <ns0:v/>
      </ns0:c>
      <ns0:c r="P262" s="987">
        <ns0:f>IF(COUNTA($A262:$M262)=0,"",IF(OR(LEFT(LOWER(TRIM($F262&amp;"")),12)="subscription",LOWER(TRIM($F262&amp;""))="membership"),"",IF(LOWER(TRIM($D262&amp;""))="estimate","N/A",IF(LOWER($L262&amp;"")="yes",0,IF(OR(AND($H262&lt;&gt;"",$H262=0),LEFT(LOWER(TRIM($F262&amp;"")),9)="free game",LOWER(TRIM($F262&amp;""))="free",LOWER(TRIM($F262&amp;""))="free entry"),IF(ISNUMBER($K262),$K262,""),IF($K262&lt;&gt;"",$K262,""))))))</ns0:f>
      </ns0:c>
      <ns0:c r="Q262" s="114">
        <ns0:f>IF(COUNTA($A262:$M262)=0,"",IF(OR($U262="Subscription",$U262=""),"",IF($U262="Estimate","N/A",IF($U262="Profit",ROUND(IFERROR($P262,0)-IFERROR($H262,0),2),0))))</ns0:f>
      </ns0:c>
      <ns0:c r="R262" s="114">
        <ns0:f>IF(COUNTA($A262:$M262)=0,"",IF(OR($U262="Subscription",$U262=""),"",IF($U262="Estimate","N/A",IF($U262="Draw",$H262,0))))</ns0:f>
      </ns0:c>
      <ns0:c r="S262" s="114">
        <ns0:f>IF(COUNTA($A262:$M262)=0,"",IF(OR($U262="Subscription",$U262=""),"",IF($U262="Estimate","N/A",IF($U262="Disqualified",$H262,0))))</ns0:f>
      </ns0:c>
      <ns0:c r="T262" s="955">
        <ns0:f>IF(COUNTA($A262:$M262)=0,"",IF(OR($U262="Subscription",$U262=""),"",IF($U262="Estimate","N/A",IF(OR($U262="Free Game",$U262="Disqualified — Free Game",$H262=0),"N/A",IF($U262="Profit",$Q262/$H262,IF($U262="Disqualified",-$S262/$H262,0))))))</ns0:f>
      </ns0:c>
      <ns0:c r="U262" s="920">
        <ns0:f>IF(COUNTA($A262:$M262)=0,"",IF(OR(LEFT(LOWER(TRIM($F262&amp;"")),12)="subscription",LOWER(TRIM($F262&amp;""))="membership"),"Subscription",IF(LOWER(TRIM($D262&amp;""))="estimate","Estimate",IF(OR(AND($H262&lt;&gt;"",$H262=0),LEFT(LOWER(TRIM($F262&amp;"")),9)="free game",LOWER(TRIM($F262&amp;""))="free",LOWER(TRIM($F262&amp;""))="free entry"),IF(LOWER($L262&amp;"")="yes","Disqualified — Free Game","Free Game"),IF(LOWER($L262&amp;"")="yes","Disqualified",IF($P262="","",IF(ROUND(IFERROR(VALUE($P262),0)-IFERROR(VALUE($H262),0),2)&gt;0,"Profit","Draw")))))))</ns0:f>
      </ns0:c>
      <ns0:c r="V262" s="956" t="str">
        <ns0:f>IF(COUNTA($A262:$M262)=0,"",IF(OR($B262="",$C262="",$U262="Subscription"),"",IFERROR(ROUNDUP(($C262-$B262)/7,0),"")))</ns0:f>
      </ns0:c>
      <ns0:c r="W262" s="114">
        <ns0:f>IF(COUNTA($A262:$M262)=0,"",IF(OR($U262="Subscription",$U262=""),"",IF($U262="Estimate","N/A",IF(OR($U262="Free Game",$U262="Disqualified — Free Game"),0,ROUND(IFERROR($Q262,0)-IFERROR($S262,0),2)))))</ns0:f>
      </ns0:c>
      <ns0:c r="X262" s="956" t="str">
        <ns0:f>IF(COUNTA($A262:$M262)=0,"",IF(OR($U262="Subscription",NOT(ISNUMBER($J262)),NOT(ISNUMBER($I262)),$J262=0,$I262=0,$I262&gt;$J262),"",$J262-$I262))</ns0:f>
      </ns0:c>
      <ns0:c r="Y262" s="955" t="str">
        <ns0:f>IF(COUNTA($A262:$M262)=0,"",IF(OR($U262="Subscription",NOT(ISNUMBER($J262)),$J262=0,$X262=""),"",$X262/$J262))</ns0:f>
      </ns0:c>
      <ns0:c r="Z262" s="957" t="str">
        <ns0:f>IF(COUNTA($A262:$M262)=0,"",Instructions!$B$29+SUM($W$5:W262))</ns0:f>
      </ns0:c>
    </ns0:row>
    <ns0:row r="263" ht="36" customHeight="1">
      <ns0:c r="A263" s="439"/>
      <ns0:c r="B263" s="453"/>
      <ns0:c r="C263" s="453"/>
      <ns0:c r="D263" s="454"/>
      <ns0:c r="E263" s="454"/>
      <ns0:c r="F263" s="454"/>
      <ns0:c r="G263" s="986"/>
      <ns0:c r="H263" s="455"/>
      <ns0:c r="I263" s="456"/>
      <ns0:c r="J263" s="456"/>
      <ns0:c r="K263" s="986"/>
      <ns0:c r="L263" s="454"/>
      <ns0:c r="M263" s="439"/>
      <ns0:c r="N263" s="987" t="str">
        <ns0:f>IF(COUNTA($A263:$M263)=0,"",IF(OR(LEFT(LOWER(TRIM($F263&amp;"")),12)="subscription",LOWER(TRIM($F263&amp;""))="membership"),"",IF(OR(AND($H263&lt;&gt;"",$H263=0),LEFT(LOWER(TRIM($F263&amp;"")),9)="free game",LOWER(TRIM($F263&amp;""))="free",LOWER(TRIM($F263&amp;""))="free entry"),IF(ISNUMBER($G263),IF(ISNUMBER(SEARCH("non",LOWER($E263&amp;""))),$G263*0.85,$G263),"N/A"),IF($G263="","",IFERROR(IF(ISNUMBER(SEARCH("non",LOWER($E263&amp;""))),$G263*0.85,$G263),"")))))</ns0:f>
        <ns0:v/>
      </ns0:c>
      <ns0:c r="O263" s="987" t="str">
        <ns0:f>IF(COUNTA($A263:$M263)=0,"",IF(OR(LEFT(LOWER(TRIM($F263&amp;"")),12)="subscription",LOWER(TRIM($F263&amp;""))="membership"),"",IF(OR(AND($H263&lt;&gt;"",$H263=0),LEFT(LOWER(TRIM($F263&amp;"")),9)="free game",LOWER(TRIM($F263&amp;""))="free",LOWER(TRIM($F263&amp;""))="free entry"),IF(OR(NOT(ISNUMBER($N263)),NOT(ISNUMBER($I263)),$I263=0),"N/A",IFERROR($N263/$I263,"N/A")),IF(OR($N263="",$I263="",$I263=0),"",IFERROR($N263/$I263,"")))))</ns0:f>
        <ns0:v/>
      </ns0:c>
      <ns0:c r="P263" s="987">
        <ns0:f>IF(COUNTA($A263:$M263)=0,"",IF(OR(LEFT(LOWER(TRIM($F263&amp;"")),12)="subscription",LOWER(TRIM($F263&amp;""))="membership"),"",IF(LOWER(TRIM($D263&amp;""))="estimate","N/A",IF(LOWER($L263&amp;"")="yes",0,IF(OR(AND($H263&lt;&gt;"",$H263=0),LEFT(LOWER(TRIM($F263&amp;"")),9)="free game",LOWER(TRIM($F263&amp;""))="free",LOWER(TRIM($F263&amp;""))="free entry"),IF(ISNUMBER($K263),$K263,""),IF($K263&lt;&gt;"",$K263,""))))))</ns0:f>
      </ns0:c>
      <ns0:c r="Q263" s="114">
        <ns0:f>IF(COUNTA($A263:$M263)=0,"",IF(OR($U263="Subscription",$U263=""),"",IF($U263="Estimate","N/A",IF($U263="Profit",ROUND(IFERROR($P263,0)-IFERROR($H263,0),2),0))))</ns0:f>
      </ns0:c>
      <ns0:c r="R263" s="114">
        <ns0:f>IF(COUNTA($A263:$M263)=0,"",IF(OR($U263="Subscription",$U263=""),"",IF($U263="Estimate","N/A",IF($U263="Draw",$H263,0))))</ns0:f>
      </ns0:c>
      <ns0:c r="S263" s="114">
        <ns0:f>IF(COUNTA($A263:$M263)=0,"",IF(OR($U263="Subscription",$U263=""),"",IF($U263="Estimate","N/A",IF($U263="Disqualified",$H263,0))))</ns0:f>
      </ns0:c>
      <ns0:c r="T263" s="955">
        <ns0:f>IF(COUNTA($A263:$M263)=0,"",IF(OR($U263="Subscription",$U263=""),"",IF($U263="Estimate","N/A",IF(OR($U263="Free Game",$U263="Disqualified — Free Game",$H263=0),"N/A",IF($U263="Profit",$Q263/$H263,IF($U263="Disqualified",-$S263/$H263,0))))))</ns0:f>
      </ns0:c>
      <ns0:c r="U263" s="920">
        <ns0:f>IF(COUNTA($A263:$M263)=0,"",IF(OR(LEFT(LOWER(TRIM($F263&amp;"")),12)="subscription",LOWER(TRIM($F263&amp;""))="membership"),"Subscription",IF(LOWER(TRIM($D263&amp;""))="estimate","Estimate",IF(OR(AND($H263&lt;&gt;"",$H263=0),LEFT(LOWER(TRIM($F263&amp;"")),9)="free game",LOWER(TRIM($F263&amp;""))="free",LOWER(TRIM($F263&amp;""))="free entry"),IF(LOWER($L263&amp;"")="yes","Disqualified — Free Game","Free Game"),IF(LOWER($L263&amp;"")="yes","Disqualified",IF($P263="","",IF(ROUND(IFERROR(VALUE($P263),0)-IFERROR(VALUE($H263),0),2)&gt;0,"Profit","Draw")))))))</ns0:f>
      </ns0:c>
      <ns0:c r="V263" s="956" t="str">
        <ns0:f>IF(COUNTA($A263:$M263)=0,"",IF(OR($B263="",$C263="",$U263="Subscription"),"",IFERROR(ROUNDUP(($C263-$B263)/7,0),"")))</ns0:f>
      </ns0:c>
      <ns0:c r="W263" s="114">
        <ns0:f>IF(COUNTA($A263:$M263)=0,"",IF(OR($U263="Subscription",$U263=""),"",IF($U263="Estimate","N/A",IF(OR($U263="Free Game",$U263="Disqualified — Free Game"),0,ROUND(IFERROR($Q263,0)-IFERROR($S263,0),2)))))</ns0:f>
      </ns0:c>
      <ns0:c r="X263" s="956" t="str">
        <ns0:f>IF(COUNTA($A263:$M263)=0,"",IF(OR($U263="Subscription",NOT(ISNUMBER($J263)),NOT(ISNUMBER($I263)),$J263=0,$I263=0,$I263&gt;$J263),"",$J263-$I263))</ns0:f>
      </ns0:c>
      <ns0:c r="Y263" s="955" t="str">
        <ns0:f>IF(COUNTA($A263:$M263)=0,"",IF(OR($U263="Subscription",NOT(ISNUMBER($J263)),$J263=0,$X263=""),"",$X263/$J263))</ns0:f>
      </ns0:c>
      <ns0:c r="Z263" s="957" t="str">
        <ns0:f>IF(COUNTA($A263:$M263)=0,"",Instructions!$B$29+SUM($W$5:W263))</ns0:f>
      </ns0:c>
    </ns0:row>
    <ns0:row r="264" ht="36" customHeight="1">
      <ns0:c r="A264" s="439"/>
      <ns0:c r="B264" s="453"/>
      <ns0:c r="C264" s="453"/>
      <ns0:c r="D264" s="454"/>
      <ns0:c r="E264" s="454"/>
      <ns0:c r="F264" s="454"/>
      <ns0:c r="G264" s="986"/>
      <ns0:c r="H264" s="455"/>
      <ns0:c r="I264" s="456"/>
      <ns0:c r="J264" s="456"/>
      <ns0:c r="K264" s="986"/>
      <ns0:c r="L264" s="454"/>
      <ns0:c r="M264" s="439"/>
      <ns0:c r="N264" s="987" t="str">
        <ns0:f>IF(COUNTA($A264:$M264)=0,"",IF(OR(LEFT(LOWER(TRIM($F264&amp;"")),12)="subscription",LOWER(TRIM($F264&amp;""))="membership"),"",IF(OR(AND($H264&lt;&gt;"",$H264=0),LEFT(LOWER(TRIM($F264&amp;"")),9)="free game",LOWER(TRIM($F264&amp;""))="free",LOWER(TRIM($F264&amp;""))="free entry"),IF(ISNUMBER($G264),IF(ISNUMBER(SEARCH("non",LOWER($E264&amp;""))),$G264*0.85,$G264),"N/A"),IF($G264="","",IFERROR(IF(ISNUMBER(SEARCH("non",LOWER($E264&amp;""))),$G264*0.85,$G264),"")))))</ns0:f>
        <ns0:v/>
      </ns0:c>
      <ns0:c r="O264" s="987" t="str">
        <ns0:f>IF(COUNTA($A264:$M264)=0,"",IF(OR(LEFT(LOWER(TRIM($F264&amp;"")),12)="subscription",LOWER(TRIM($F264&amp;""))="membership"),"",IF(OR(AND($H264&lt;&gt;"",$H264=0),LEFT(LOWER(TRIM($F264&amp;"")),9)="free game",LOWER(TRIM($F264&amp;""))="free",LOWER(TRIM($F264&amp;""))="free entry"),IF(OR(NOT(ISNUMBER($N264)),NOT(ISNUMBER($I264)),$I264=0),"N/A",IFERROR($N264/$I264,"N/A")),IF(OR($N264="",$I264="",$I264=0),"",IFERROR($N264/$I264,"")))))</ns0:f>
        <ns0:v/>
      </ns0:c>
      <ns0:c r="P264" s="987">
        <ns0:f>IF(COUNTA($A264:$M264)=0,"",IF(OR(LEFT(LOWER(TRIM($F264&amp;"")),12)="subscription",LOWER(TRIM($F264&amp;""))="membership"),"",IF(LOWER(TRIM($D264&amp;""))="estimate","N/A",IF(LOWER($L264&amp;"")="yes",0,IF(OR(AND($H264&lt;&gt;"",$H264=0),LEFT(LOWER(TRIM($F264&amp;"")),9)="free game",LOWER(TRIM($F264&amp;""))="free",LOWER(TRIM($F264&amp;""))="free entry"),IF(ISNUMBER($K264),$K264,""),IF($K264&lt;&gt;"",$K264,""))))))</ns0:f>
      </ns0:c>
      <ns0:c r="Q264" s="114">
        <ns0:f>IF(COUNTA($A264:$M264)=0,"",IF(OR($U264="Subscription",$U264=""),"",IF($U264="Estimate","N/A",IF($U264="Profit",ROUND(IFERROR($P264,0)-IFERROR($H264,0),2),0))))</ns0:f>
      </ns0:c>
      <ns0:c r="R264" s="114">
        <ns0:f>IF(COUNTA($A264:$M264)=0,"",IF(OR($U264="Subscription",$U264=""),"",IF($U264="Estimate","N/A",IF($U264="Draw",$H264,0))))</ns0:f>
      </ns0:c>
      <ns0:c r="S264" s="114">
        <ns0:f>IF(COUNTA($A264:$M264)=0,"",IF(OR($U264="Subscription",$U264=""),"",IF($U264="Estimate","N/A",IF($U264="Disqualified",$H264,0))))</ns0:f>
      </ns0:c>
      <ns0:c r="T264" s="955">
        <ns0:f>IF(COUNTA($A264:$M264)=0,"",IF(OR($U264="Subscription",$U264=""),"",IF($U264="Estimate","N/A",IF(OR($U264="Free Game",$U264="Disqualified — Free Game",$H264=0),"N/A",IF($U264="Profit",$Q264/$H264,IF($U264="Disqualified",-$S264/$H264,0))))))</ns0:f>
      </ns0:c>
      <ns0:c r="U264" s="920">
        <ns0:f>IF(COUNTA($A264:$M264)=0,"",IF(OR(LEFT(LOWER(TRIM($F264&amp;"")),12)="subscription",LOWER(TRIM($F264&amp;""))="membership"),"Subscription",IF(LOWER(TRIM($D264&amp;""))="estimate","Estimate",IF(OR(AND($H264&lt;&gt;"",$H264=0),LEFT(LOWER(TRIM($F264&amp;"")),9)="free game",LOWER(TRIM($F264&amp;""))="free",LOWER(TRIM($F264&amp;""))="free entry"),IF(LOWER($L264&amp;"")="yes","Disqualified — Free Game","Free Game"),IF(LOWER($L264&amp;"")="yes","Disqualified",IF($P264="","",IF(ROUND(IFERROR(VALUE($P264),0)-IFERROR(VALUE($H264),0),2)&gt;0,"Profit","Draw")))))))</ns0:f>
      </ns0:c>
      <ns0:c r="V264" s="956" t="str">
        <ns0:f>IF(COUNTA($A264:$M264)=0,"",IF(OR($B264="",$C264="",$U264="Subscription"),"",IFERROR(ROUNDUP(($C264-$B264)/7,0),"")))</ns0:f>
      </ns0:c>
      <ns0:c r="W264" s="114">
        <ns0:f>IF(COUNTA($A264:$M264)=0,"",IF(OR($U264="Subscription",$U264=""),"",IF($U264="Estimate","N/A",IF(OR($U264="Free Game",$U264="Disqualified — Free Game"),0,ROUND(IFERROR($Q264,0)-IFERROR($S264,0),2)))))</ns0:f>
      </ns0:c>
      <ns0:c r="X264" s="956" t="str">
        <ns0:f>IF(COUNTA($A264:$M264)=0,"",IF(OR($U264="Subscription",NOT(ISNUMBER($J264)),NOT(ISNUMBER($I264)),$J264=0,$I264=0,$I264&gt;$J264),"",$J264-$I264))</ns0:f>
      </ns0:c>
      <ns0:c r="Y264" s="955" t="str">
        <ns0:f>IF(COUNTA($A264:$M264)=0,"",IF(OR($U264="Subscription",NOT(ISNUMBER($J264)),$J264=0,$X264=""),"",$X264/$J264))</ns0:f>
      </ns0:c>
      <ns0:c r="Z264" s="957" t="str">
        <ns0:f>IF(COUNTA($A264:$M264)=0,"",Instructions!$B$29+SUM($W$5:W264))</ns0:f>
      </ns0:c>
    </ns0:row>
    <ns0:row r="265" ht="36" customHeight="1">
      <ns0:c r="A265" s="439"/>
      <ns0:c r="B265" s="453"/>
      <ns0:c r="C265" s="453"/>
      <ns0:c r="D265" s="454"/>
      <ns0:c r="E265" s="454"/>
      <ns0:c r="F265" s="454"/>
      <ns0:c r="G265" s="986"/>
      <ns0:c r="H265" s="455"/>
      <ns0:c r="I265" s="456"/>
      <ns0:c r="J265" s="456"/>
      <ns0:c r="K265" s="986"/>
      <ns0:c r="L265" s="454"/>
      <ns0:c r="M265" s="439"/>
      <ns0:c r="N265" s="987" t="str">
        <ns0:f>IF(COUNTA($A265:$M265)=0,"",IF(OR(LEFT(LOWER(TRIM($F265&amp;"")),12)="subscription",LOWER(TRIM($F265&amp;""))="membership"),"",IF(OR(AND($H265&lt;&gt;"",$H265=0),LEFT(LOWER(TRIM($F265&amp;"")),9)="free game",LOWER(TRIM($F265&amp;""))="free",LOWER(TRIM($F265&amp;""))="free entry"),IF(ISNUMBER($G265),IF(ISNUMBER(SEARCH("non",LOWER($E265&amp;""))),$G265*0.85,$G265),"N/A"),IF($G265="","",IFERROR(IF(ISNUMBER(SEARCH("non",LOWER($E265&amp;""))),$G265*0.85,$G265),"")))))</ns0:f>
        <ns0:v/>
      </ns0:c>
      <ns0:c r="O265" s="987" t="str">
        <ns0:f>IF(COUNTA($A265:$M265)=0,"",IF(OR(LEFT(LOWER(TRIM($F265&amp;"")),12)="subscription",LOWER(TRIM($F265&amp;""))="membership"),"",IF(OR(AND($H265&lt;&gt;"",$H265=0),LEFT(LOWER(TRIM($F265&amp;"")),9)="free game",LOWER(TRIM($F265&amp;""))="free",LOWER(TRIM($F265&amp;""))="free entry"),IF(OR(NOT(ISNUMBER($N265)),NOT(ISNUMBER($I265)),$I265=0),"N/A",IFERROR($N265/$I265,"N/A")),IF(OR($N265="",$I265="",$I265=0),"",IFERROR($N265/$I265,"")))))</ns0:f>
        <ns0:v/>
      </ns0:c>
      <ns0:c r="P265" s="987">
        <ns0:f>IF(COUNTA($A265:$M265)=0,"",IF(OR(LEFT(LOWER(TRIM($F265&amp;"")),12)="subscription",LOWER(TRIM($F265&amp;""))="membership"),"",IF(LOWER(TRIM($D265&amp;""))="estimate","N/A",IF(LOWER($L265&amp;"")="yes",0,IF(OR(AND($H265&lt;&gt;"",$H265=0),LEFT(LOWER(TRIM($F265&amp;"")),9)="free game",LOWER(TRIM($F265&amp;""))="free",LOWER(TRIM($F265&amp;""))="free entry"),IF(ISNUMBER($K265),$K265,""),IF($K265&lt;&gt;"",$K265,""))))))</ns0:f>
      </ns0:c>
      <ns0:c r="Q265" s="114">
        <ns0:f>IF(COUNTA($A265:$M265)=0,"",IF(OR($U265="Subscription",$U265=""),"",IF($U265="Estimate","N/A",IF($U265="Profit",ROUND(IFERROR($P265,0)-IFERROR($H265,0),2),0))))</ns0:f>
      </ns0:c>
      <ns0:c r="R265" s="114">
        <ns0:f>IF(COUNTA($A265:$M265)=0,"",IF(OR($U265="Subscription",$U265=""),"",IF($U265="Estimate","N/A",IF($U265="Draw",$H265,0))))</ns0:f>
      </ns0:c>
      <ns0:c r="S265" s="114">
        <ns0:f>IF(COUNTA($A265:$M265)=0,"",IF(OR($U265="Subscription",$U265=""),"",IF($U265="Estimate","N/A",IF($U265="Disqualified",$H265,0))))</ns0:f>
      </ns0:c>
      <ns0:c r="T265" s="955">
        <ns0:f>IF(COUNTA($A265:$M265)=0,"",IF(OR($U265="Subscription",$U265=""),"",IF($U265="Estimate","N/A",IF(OR($U265="Free Game",$U265="Disqualified — Free Game",$H265=0),"N/A",IF($U265="Profit",$Q265/$H265,IF($U265="Disqualified",-$S265/$H265,0))))))</ns0:f>
      </ns0:c>
      <ns0:c r="U265" s="920">
        <ns0:f>IF(COUNTA($A265:$M265)=0,"",IF(OR(LEFT(LOWER(TRIM($F265&amp;"")),12)="subscription",LOWER(TRIM($F265&amp;""))="membership"),"Subscription",IF(LOWER(TRIM($D265&amp;""))="estimate","Estimate",IF(OR(AND($H265&lt;&gt;"",$H265=0),LEFT(LOWER(TRIM($F265&amp;"")),9)="free game",LOWER(TRIM($F265&amp;""))="free",LOWER(TRIM($F265&amp;""))="free entry"),IF(LOWER($L265&amp;"")="yes","Disqualified — Free Game","Free Game"),IF(LOWER($L265&amp;"")="yes","Disqualified",IF($P265="","",IF(ROUND(IFERROR(VALUE($P265),0)-IFERROR(VALUE($H265),0),2)&gt;0,"Profit","Draw")))))))</ns0:f>
      </ns0:c>
      <ns0:c r="V265" s="956" t="str">
        <ns0:f>IF(COUNTA($A265:$M265)=0,"",IF(OR($B265="",$C265="",$U265="Subscription"),"",IFERROR(ROUNDUP(($C265-$B265)/7,0),"")))</ns0:f>
      </ns0:c>
      <ns0:c r="W265" s="114">
        <ns0:f>IF(COUNTA($A265:$M265)=0,"",IF(OR($U265="Subscription",$U265=""),"",IF($U265="Estimate","N/A",IF(OR($U265="Free Game",$U265="Disqualified — Free Game"),0,ROUND(IFERROR($Q265,0)-IFERROR($S265,0),2)))))</ns0:f>
      </ns0:c>
      <ns0:c r="X265" s="956" t="str">
        <ns0:f>IF(COUNTA($A265:$M265)=0,"",IF(OR($U265="Subscription",NOT(ISNUMBER($J265)),NOT(ISNUMBER($I265)),$J265=0,$I265=0,$I265&gt;$J265),"",$J265-$I265))</ns0:f>
      </ns0:c>
      <ns0:c r="Y265" s="955" t="str">
        <ns0:f>IF(COUNTA($A265:$M265)=0,"",IF(OR($U265="Subscription",NOT(ISNUMBER($J265)),$J265=0,$X265=""),"",$X265/$J265))</ns0:f>
      </ns0:c>
      <ns0:c r="Z265" s="957" t="str">
        <ns0:f>IF(COUNTA($A265:$M265)=0,"",Instructions!$B$29+SUM($W$5:W265))</ns0:f>
      </ns0:c>
    </ns0:row>
    <ns0:row r="266" ht="36" customHeight="1">
      <ns0:c r="A266" s="439"/>
      <ns0:c r="B266" s="453"/>
      <ns0:c r="C266" s="453"/>
      <ns0:c r="D266" s="454"/>
      <ns0:c r="E266" s="454"/>
      <ns0:c r="F266" s="454"/>
      <ns0:c r="G266" s="986"/>
      <ns0:c r="H266" s="455"/>
      <ns0:c r="I266" s="456"/>
      <ns0:c r="J266" s="456"/>
      <ns0:c r="K266" s="986"/>
      <ns0:c r="L266" s="454"/>
      <ns0:c r="M266" s="439"/>
      <ns0:c r="N266" s="987" t="str">
        <ns0:f>IF(COUNTA($A266:$M266)=0,"",IF(OR(LEFT(LOWER(TRIM($F266&amp;"")),12)="subscription",LOWER(TRIM($F266&amp;""))="membership"),"",IF(OR(AND($H266&lt;&gt;"",$H266=0),LEFT(LOWER(TRIM($F266&amp;"")),9)="free game",LOWER(TRIM($F266&amp;""))="free",LOWER(TRIM($F266&amp;""))="free entry"),IF(ISNUMBER($G266),IF(ISNUMBER(SEARCH("non",LOWER($E266&amp;""))),$G266*0.85,$G266),"N/A"),IF($G266="","",IFERROR(IF(ISNUMBER(SEARCH("non",LOWER($E266&amp;""))),$G266*0.85,$G266),"")))))</ns0:f>
        <ns0:v/>
      </ns0:c>
      <ns0:c r="O266" s="987" t="str">
        <ns0:f>IF(COUNTA($A266:$M266)=0,"",IF(OR(LEFT(LOWER(TRIM($F266&amp;"")),12)="subscription",LOWER(TRIM($F266&amp;""))="membership"),"",IF(OR(AND($H266&lt;&gt;"",$H266=0),LEFT(LOWER(TRIM($F266&amp;"")),9)="free game",LOWER(TRIM($F266&amp;""))="free",LOWER(TRIM($F266&amp;""))="free entry"),IF(OR(NOT(ISNUMBER($N266)),NOT(ISNUMBER($I266)),$I266=0),"N/A",IFERROR($N266/$I266,"N/A")),IF(OR($N266="",$I266="",$I266=0),"",IFERROR($N266/$I266,"")))))</ns0:f>
        <ns0:v/>
      </ns0:c>
      <ns0:c r="P266" s="987">
        <ns0:f>IF(COUNTA($A266:$M266)=0,"",IF(OR(LEFT(LOWER(TRIM($F266&amp;"")),12)="subscription",LOWER(TRIM($F266&amp;""))="membership"),"",IF(LOWER(TRIM($D266&amp;""))="estimate","N/A",IF(LOWER($L266&amp;"")="yes",0,IF(OR(AND($H266&lt;&gt;"",$H266=0),LEFT(LOWER(TRIM($F266&amp;"")),9)="free game",LOWER(TRIM($F266&amp;""))="free",LOWER(TRIM($F266&amp;""))="free entry"),IF(ISNUMBER($K266),$K266,""),IF($K266&lt;&gt;"",$K266,""))))))</ns0:f>
      </ns0:c>
      <ns0:c r="Q266" s="114">
        <ns0:f>IF(COUNTA($A266:$M266)=0,"",IF(OR($U266="Subscription",$U266=""),"",IF($U266="Estimate","N/A",IF($U266="Profit",ROUND(IFERROR($P266,0)-IFERROR($H266,0),2),0))))</ns0:f>
      </ns0:c>
      <ns0:c r="R266" s="114">
        <ns0:f>IF(COUNTA($A266:$M266)=0,"",IF(OR($U266="Subscription",$U266=""),"",IF($U266="Estimate","N/A",IF($U266="Draw",$H266,0))))</ns0:f>
      </ns0:c>
      <ns0:c r="S266" s="114">
        <ns0:f>IF(COUNTA($A266:$M266)=0,"",IF(OR($U266="Subscription",$U266=""),"",IF($U266="Estimate","N/A",IF($U266="Disqualified",$H266,0))))</ns0:f>
      </ns0:c>
      <ns0:c r="T266" s="955">
        <ns0:f>IF(COUNTA($A266:$M266)=0,"",IF(OR($U266="Subscription",$U266=""),"",IF($U266="Estimate","N/A",IF(OR($U266="Free Game",$U266="Disqualified — Free Game",$H266=0),"N/A",IF($U266="Profit",$Q266/$H266,IF($U266="Disqualified",-$S266/$H266,0))))))</ns0:f>
      </ns0:c>
      <ns0:c r="U266" s="920">
        <ns0:f>IF(COUNTA($A266:$M266)=0,"",IF(OR(LEFT(LOWER(TRIM($F266&amp;"")),12)="subscription",LOWER(TRIM($F266&amp;""))="membership"),"Subscription",IF(LOWER(TRIM($D266&amp;""))="estimate","Estimate",IF(OR(AND($H266&lt;&gt;"",$H266=0),LEFT(LOWER(TRIM($F266&amp;"")),9)="free game",LOWER(TRIM($F266&amp;""))="free",LOWER(TRIM($F266&amp;""))="free entry"),IF(LOWER($L266&amp;"")="yes","Disqualified — Free Game","Free Game"),IF(LOWER($L266&amp;"")="yes","Disqualified",IF($P266="","",IF(ROUND(IFERROR(VALUE($P266),0)-IFERROR(VALUE($H266),0),2)&gt;0,"Profit","Draw")))))))</ns0:f>
      </ns0:c>
      <ns0:c r="V266" s="956" t="str">
        <ns0:f>IF(COUNTA($A266:$M266)=0,"",IF(OR($B266="",$C266="",$U266="Subscription"),"",IFERROR(ROUNDUP(($C266-$B266)/7,0),"")))</ns0:f>
      </ns0:c>
      <ns0:c r="W266" s="114">
        <ns0:f>IF(COUNTA($A266:$M266)=0,"",IF(OR($U266="Subscription",$U266=""),"",IF($U266="Estimate","N/A",IF(OR($U266="Free Game",$U266="Disqualified — Free Game"),0,ROUND(IFERROR($Q266,0)-IFERROR($S266,0),2)))))</ns0:f>
      </ns0:c>
      <ns0:c r="X266" s="956" t="str">
        <ns0:f>IF(COUNTA($A266:$M266)=0,"",IF(OR($U266="Subscription",NOT(ISNUMBER($J266)),NOT(ISNUMBER($I266)),$J266=0,$I266=0,$I266&gt;$J266),"",$J266-$I266))</ns0:f>
      </ns0:c>
      <ns0:c r="Y266" s="955" t="str">
        <ns0:f>IF(COUNTA($A266:$M266)=0,"",IF(OR($U266="Subscription",NOT(ISNUMBER($J266)),$J266=0,$X266=""),"",$X266/$J266))</ns0:f>
      </ns0:c>
      <ns0:c r="Z266" s="957" t="str">
        <ns0:f>IF(COUNTA($A266:$M266)=0,"",Instructions!$B$29+SUM($W$5:W266))</ns0:f>
      </ns0:c>
    </ns0:row>
    <ns0:row r="267" ht="36" customHeight="1">
      <ns0:c r="A267" s="439"/>
      <ns0:c r="B267" s="453"/>
      <ns0:c r="C267" s="453"/>
      <ns0:c r="D267" s="454"/>
      <ns0:c r="E267" s="454"/>
      <ns0:c r="F267" s="454"/>
      <ns0:c r="G267" s="986"/>
      <ns0:c r="H267" s="455"/>
      <ns0:c r="I267" s="456"/>
      <ns0:c r="J267" s="456"/>
      <ns0:c r="K267" s="986"/>
      <ns0:c r="L267" s="454"/>
      <ns0:c r="M267" s="439"/>
      <ns0:c r="N267" s="987" t="str">
        <ns0:f>IF(COUNTA($A267:$M267)=0,"",IF(OR(LEFT(LOWER(TRIM($F267&amp;"")),12)="subscription",LOWER(TRIM($F267&amp;""))="membership"),"",IF(OR(AND($H267&lt;&gt;"",$H267=0),LEFT(LOWER(TRIM($F267&amp;"")),9)="free game",LOWER(TRIM($F267&amp;""))="free",LOWER(TRIM($F267&amp;""))="free entry"),IF(ISNUMBER($G267),IF(ISNUMBER(SEARCH("non",LOWER($E267&amp;""))),$G267*0.85,$G267),"N/A"),IF($G267="","",IFERROR(IF(ISNUMBER(SEARCH("non",LOWER($E267&amp;""))),$G267*0.85,$G267),"")))))</ns0:f>
        <ns0:v/>
      </ns0:c>
      <ns0:c r="O267" s="987" t="str">
        <ns0:f>IF(COUNTA($A267:$M267)=0,"",IF(OR(LEFT(LOWER(TRIM($F267&amp;"")),12)="subscription",LOWER(TRIM($F267&amp;""))="membership"),"",IF(OR(AND($H267&lt;&gt;"",$H267=0),LEFT(LOWER(TRIM($F267&amp;"")),9)="free game",LOWER(TRIM($F267&amp;""))="free",LOWER(TRIM($F267&amp;""))="free entry"),IF(OR(NOT(ISNUMBER($N267)),NOT(ISNUMBER($I267)),$I267=0),"N/A",IFERROR($N267/$I267,"N/A")),IF(OR($N267="",$I267="",$I267=0),"",IFERROR($N267/$I267,"")))))</ns0:f>
        <ns0:v/>
      </ns0:c>
      <ns0:c r="P267" s="987">
        <ns0:f>IF(COUNTA($A267:$M267)=0,"",IF(OR(LEFT(LOWER(TRIM($F267&amp;"")),12)="subscription",LOWER(TRIM($F267&amp;""))="membership"),"",IF(LOWER(TRIM($D267&amp;""))="estimate","N/A",IF(LOWER($L267&amp;"")="yes",0,IF(OR(AND($H267&lt;&gt;"",$H267=0),LEFT(LOWER(TRIM($F267&amp;"")),9)="free game",LOWER(TRIM($F267&amp;""))="free",LOWER(TRIM($F267&amp;""))="free entry"),IF(ISNUMBER($K267),$K267,""),IF($K267&lt;&gt;"",$K267,""))))))</ns0:f>
      </ns0:c>
      <ns0:c r="Q267" s="114">
        <ns0:f>IF(COUNTA($A267:$M267)=0,"",IF(OR($U267="Subscription",$U267=""),"",IF($U267="Estimate","N/A",IF($U267="Profit",ROUND(IFERROR($P267,0)-IFERROR($H267,0),2),0))))</ns0:f>
      </ns0:c>
      <ns0:c r="R267" s="114">
        <ns0:f>IF(COUNTA($A267:$M267)=0,"",IF(OR($U267="Subscription",$U267=""),"",IF($U267="Estimate","N/A",IF($U267="Draw",$H267,0))))</ns0:f>
      </ns0:c>
      <ns0:c r="S267" s="114">
        <ns0:f>IF(COUNTA($A267:$M267)=0,"",IF(OR($U267="Subscription",$U267=""),"",IF($U267="Estimate","N/A",IF($U267="Disqualified",$H267,0))))</ns0:f>
      </ns0:c>
      <ns0:c r="T267" s="955">
        <ns0:f>IF(COUNTA($A267:$M267)=0,"",IF(OR($U267="Subscription",$U267=""),"",IF($U267="Estimate","N/A",IF(OR($U267="Free Game",$U267="Disqualified — Free Game",$H267=0),"N/A",IF($U267="Profit",$Q267/$H267,IF($U267="Disqualified",-$S267/$H267,0))))))</ns0:f>
      </ns0:c>
      <ns0:c r="U267" s="920">
        <ns0:f>IF(COUNTA($A267:$M267)=0,"",IF(OR(LEFT(LOWER(TRIM($F267&amp;"")),12)="subscription",LOWER(TRIM($F267&amp;""))="membership"),"Subscription",IF(LOWER(TRIM($D267&amp;""))="estimate","Estimate",IF(OR(AND($H267&lt;&gt;"",$H267=0),LEFT(LOWER(TRIM($F267&amp;"")),9)="free game",LOWER(TRIM($F267&amp;""))="free",LOWER(TRIM($F267&amp;""))="free entry"),IF(LOWER($L267&amp;"")="yes","Disqualified — Free Game","Free Game"),IF(LOWER($L267&amp;"")="yes","Disqualified",IF($P267="","",IF(ROUND(IFERROR(VALUE($P267),0)-IFERROR(VALUE($H267),0),2)&gt;0,"Profit","Draw")))))))</ns0:f>
      </ns0:c>
      <ns0:c r="V267" s="956" t="str">
        <ns0:f>IF(COUNTA($A267:$M267)=0,"",IF(OR($B267="",$C267="",$U267="Subscription"),"",IFERROR(ROUNDUP(($C267-$B267)/7,0),"")))</ns0:f>
      </ns0:c>
      <ns0:c r="W267" s="114">
        <ns0:f>IF(COUNTA($A267:$M267)=0,"",IF(OR($U267="Subscription",$U267=""),"",IF($U267="Estimate","N/A",IF(OR($U267="Free Game",$U267="Disqualified — Free Game"),0,ROUND(IFERROR($Q267,0)-IFERROR($S267,0),2)))))</ns0:f>
      </ns0:c>
      <ns0:c r="X267" s="956" t="str">
        <ns0:f>IF(COUNTA($A267:$M267)=0,"",IF(OR($U267="Subscription",NOT(ISNUMBER($J267)),NOT(ISNUMBER($I267)),$J267=0,$I267=0,$I267&gt;$J267),"",$J267-$I267))</ns0:f>
      </ns0:c>
      <ns0:c r="Y267" s="955" t="str">
        <ns0:f>IF(COUNTA($A267:$M267)=0,"",IF(OR($U267="Subscription",NOT(ISNUMBER($J267)),$J267=0,$X267=""),"",$X267/$J267))</ns0:f>
      </ns0:c>
      <ns0:c r="Z267" s="957" t="str">
        <ns0:f>IF(COUNTA($A267:$M267)=0,"",Instructions!$B$29+SUM($W$5:W267))</ns0:f>
      </ns0:c>
    </ns0:row>
    <ns0:row r="268" ht="36" customHeight="1">
      <ns0:c r="A268" s="439"/>
      <ns0:c r="B268" s="453"/>
      <ns0:c r="C268" s="453"/>
      <ns0:c r="D268" s="454"/>
      <ns0:c r="E268" s="454"/>
      <ns0:c r="F268" s="454"/>
      <ns0:c r="G268" s="986"/>
      <ns0:c r="H268" s="455"/>
      <ns0:c r="I268" s="456"/>
      <ns0:c r="J268" s="456"/>
      <ns0:c r="K268" s="986"/>
      <ns0:c r="L268" s="454"/>
      <ns0:c r="M268" s="439"/>
      <ns0:c r="N268" s="987" t="str">
        <ns0:f>IF(COUNTA($A268:$M268)=0,"",IF(OR(LEFT(LOWER(TRIM($F268&amp;"")),12)="subscription",LOWER(TRIM($F268&amp;""))="membership"),"",IF(OR(AND($H268&lt;&gt;"",$H268=0),LEFT(LOWER(TRIM($F268&amp;"")),9)="free game",LOWER(TRIM($F268&amp;""))="free",LOWER(TRIM($F268&amp;""))="free entry"),IF(ISNUMBER($G268),IF(ISNUMBER(SEARCH("non",LOWER($E268&amp;""))),$G268*0.85,$G268),"N/A"),IF($G268="","",IFERROR(IF(ISNUMBER(SEARCH("non",LOWER($E268&amp;""))),$G268*0.85,$G268),"")))))</ns0:f>
        <ns0:v/>
      </ns0:c>
      <ns0:c r="O268" s="987" t="str">
        <ns0:f>IF(COUNTA($A268:$M268)=0,"",IF(OR(LEFT(LOWER(TRIM($F268&amp;"")),12)="subscription",LOWER(TRIM($F268&amp;""))="membership"),"",IF(OR(AND($H268&lt;&gt;"",$H268=0),LEFT(LOWER(TRIM($F268&amp;"")),9)="free game",LOWER(TRIM($F268&amp;""))="free",LOWER(TRIM($F268&amp;""))="free entry"),IF(OR(NOT(ISNUMBER($N268)),NOT(ISNUMBER($I268)),$I268=0),"N/A",IFERROR($N268/$I268,"N/A")),IF(OR($N268="",$I268="",$I268=0),"",IFERROR($N268/$I268,"")))))</ns0:f>
        <ns0:v/>
      </ns0:c>
      <ns0:c r="P268" s="987">
        <ns0:f>IF(COUNTA($A268:$M268)=0,"",IF(OR(LEFT(LOWER(TRIM($F268&amp;"")),12)="subscription",LOWER(TRIM($F268&amp;""))="membership"),"",IF(LOWER(TRIM($D268&amp;""))="estimate","N/A",IF(LOWER($L268&amp;"")="yes",0,IF(OR(AND($H268&lt;&gt;"",$H268=0),LEFT(LOWER(TRIM($F268&amp;"")),9)="free game",LOWER(TRIM($F268&amp;""))="free",LOWER(TRIM($F268&amp;""))="free entry"),IF(ISNUMBER($K268),$K268,""),IF($K268&lt;&gt;"",$K268,""))))))</ns0:f>
      </ns0:c>
      <ns0:c r="Q268" s="114">
        <ns0:f>IF(COUNTA($A268:$M268)=0,"",IF(OR($U268="Subscription",$U268=""),"",IF($U268="Estimate","N/A",IF($U268="Profit",ROUND(IFERROR($P268,0)-IFERROR($H268,0),2),0))))</ns0:f>
      </ns0:c>
      <ns0:c r="R268" s="114">
        <ns0:f>IF(COUNTA($A268:$M268)=0,"",IF(OR($U268="Subscription",$U268=""),"",IF($U268="Estimate","N/A",IF($U268="Draw",$H268,0))))</ns0:f>
      </ns0:c>
      <ns0:c r="S268" s="114">
        <ns0:f>IF(COUNTA($A268:$M268)=0,"",IF(OR($U268="Subscription",$U268=""),"",IF($U268="Estimate","N/A",IF($U268="Disqualified",$H268,0))))</ns0:f>
      </ns0:c>
      <ns0:c r="T268" s="955">
        <ns0:f>IF(COUNTA($A268:$M268)=0,"",IF(OR($U268="Subscription",$U268=""),"",IF($U268="Estimate","N/A",IF(OR($U268="Free Game",$U268="Disqualified — Free Game",$H268=0),"N/A",IF($U268="Profit",$Q268/$H268,IF($U268="Disqualified",-$S268/$H268,0))))))</ns0:f>
      </ns0:c>
      <ns0:c r="U268" s="920">
        <ns0:f>IF(COUNTA($A268:$M268)=0,"",IF(OR(LEFT(LOWER(TRIM($F268&amp;"")),12)="subscription",LOWER(TRIM($F268&amp;""))="membership"),"Subscription",IF(LOWER(TRIM($D268&amp;""))="estimate","Estimate",IF(OR(AND($H268&lt;&gt;"",$H268=0),LEFT(LOWER(TRIM($F268&amp;"")),9)="free game",LOWER(TRIM($F268&amp;""))="free",LOWER(TRIM($F268&amp;""))="free entry"),IF(LOWER($L268&amp;"")="yes","Disqualified — Free Game","Free Game"),IF(LOWER($L268&amp;"")="yes","Disqualified",IF($P268="","",IF(ROUND(IFERROR(VALUE($P268),0)-IFERROR(VALUE($H268),0),2)&gt;0,"Profit","Draw")))))))</ns0:f>
      </ns0:c>
      <ns0:c r="V268" s="956" t="str">
        <ns0:f>IF(COUNTA($A268:$M268)=0,"",IF(OR($B268="",$C268="",$U268="Subscription"),"",IFERROR(ROUNDUP(($C268-$B268)/7,0),"")))</ns0:f>
      </ns0:c>
      <ns0:c r="W268" s="114">
        <ns0:f>IF(COUNTA($A268:$M268)=0,"",IF(OR($U268="Subscription",$U268=""),"",IF($U268="Estimate","N/A",IF(OR($U268="Free Game",$U268="Disqualified — Free Game"),0,ROUND(IFERROR($Q268,0)-IFERROR($S268,0),2)))))</ns0:f>
      </ns0:c>
      <ns0:c r="X268" s="956" t="str">
        <ns0:f>IF(COUNTA($A268:$M268)=0,"",IF(OR($U268="Subscription",NOT(ISNUMBER($J268)),NOT(ISNUMBER($I268)),$J268=0,$I268=0,$I268&gt;$J268),"",$J268-$I268))</ns0:f>
      </ns0:c>
      <ns0:c r="Y268" s="955" t="str">
        <ns0:f>IF(COUNTA($A268:$M268)=0,"",IF(OR($U268="Subscription",NOT(ISNUMBER($J268)),$J268=0,$X268=""),"",$X268/$J268))</ns0:f>
      </ns0:c>
      <ns0:c r="Z268" s="957" t="str">
        <ns0:f>IF(COUNTA($A268:$M268)=0,"",Instructions!$B$29+SUM($W$5:W268))</ns0:f>
      </ns0:c>
    </ns0:row>
    <ns0:row r="269" ht="36" customHeight="1">
      <ns0:c r="A269" s="439"/>
      <ns0:c r="B269" s="453"/>
      <ns0:c r="C269" s="453"/>
      <ns0:c r="D269" s="454"/>
      <ns0:c r="E269" s="454"/>
      <ns0:c r="F269" s="454"/>
      <ns0:c r="G269" s="986"/>
      <ns0:c r="H269" s="455"/>
      <ns0:c r="I269" s="456"/>
      <ns0:c r="J269" s="456"/>
      <ns0:c r="K269" s="986"/>
      <ns0:c r="L269" s="454"/>
      <ns0:c r="M269" s="439"/>
      <ns0:c r="N269" s="987" t="str">
        <ns0:f>IF(COUNTA($A269:$M269)=0,"",IF(OR(LEFT(LOWER(TRIM($F269&amp;"")),12)="subscription",LOWER(TRIM($F269&amp;""))="membership"),"",IF(OR(AND($H269&lt;&gt;"",$H269=0),LEFT(LOWER(TRIM($F269&amp;"")),9)="free game",LOWER(TRIM($F269&amp;""))="free",LOWER(TRIM($F269&amp;""))="free entry"),IF(ISNUMBER($G269),IF(ISNUMBER(SEARCH("non",LOWER($E269&amp;""))),$G269*0.85,$G269),"N/A"),IF($G269="","",IFERROR(IF(ISNUMBER(SEARCH("non",LOWER($E269&amp;""))),$G269*0.85,$G269),"")))))</ns0:f>
        <ns0:v/>
      </ns0:c>
      <ns0:c r="O269" s="987" t="str">
        <ns0:f>IF(COUNTA($A269:$M269)=0,"",IF(OR(LEFT(LOWER(TRIM($F269&amp;"")),12)="subscription",LOWER(TRIM($F269&amp;""))="membership"),"",IF(OR(AND($H269&lt;&gt;"",$H269=0),LEFT(LOWER(TRIM($F269&amp;"")),9)="free game",LOWER(TRIM($F269&amp;""))="free",LOWER(TRIM($F269&amp;""))="free entry"),IF(OR(NOT(ISNUMBER($N269)),NOT(ISNUMBER($I269)),$I269=0),"N/A",IFERROR($N269/$I269,"N/A")),IF(OR($N269="",$I269="",$I269=0),"",IFERROR($N269/$I269,"")))))</ns0:f>
        <ns0:v/>
      </ns0:c>
      <ns0:c r="P269" s="987">
        <ns0:f>IF(COUNTA($A269:$M269)=0,"",IF(OR(LEFT(LOWER(TRIM($F269&amp;"")),12)="subscription",LOWER(TRIM($F269&amp;""))="membership"),"",IF(LOWER(TRIM($D269&amp;""))="estimate","N/A",IF(LOWER($L269&amp;"")="yes",0,IF(OR(AND($H269&lt;&gt;"",$H269=0),LEFT(LOWER(TRIM($F269&amp;"")),9)="free game",LOWER(TRIM($F269&amp;""))="free",LOWER(TRIM($F269&amp;""))="free entry"),IF(ISNUMBER($K269),$K269,""),IF($K269&lt;&gt;"",$K269,""))))))</ns0:f>
      </ns0:c>
      <ns0:c r="Q269" s="114">
        <ns0:f>IF(COUNTA($A269:$M269)=0,"",IF(OR($U269="Subscription",$U269=""),"",IF($U269="Estimate","N/A",IF($U269="Profit",ROUND(IFERROR($P269,0)-IFERROR($H269,0),2),0))))</ns0:f>
      </ns0:c>
      <ns0:c r="R269" s="114">
        <ns0:f>IF(COUNTA($A269:$M269)=0,"",IF(OR($U269="Subscription",$U269=""),"",IF($U269="Estimate","N/A",IF($U269="Draw",$H269,0))))</ns0:f>
      </ns0:c>
      <ns0:c r="S269" s="114">
        <ns0:f>IF(COUNTA($A269:$M269)=0,"",IF(OR($U269="Subscription",$U269=""),"",IF($U269="Estimate","N/A",IF($U269="Disqualified",$H269,0))))</ns0:f>
      </ns0:c>
      <ns0:c r="T269" s="955">
        <ns0:f>IF(COUNTA($A269:$M269)=0,"",IF(OR($U269="Subscription",$U269=""),"",IF($U269="Estimate","N/A",IF(OR($U269="Free Game",$U269="Disqualified — Free Game",$H269=0),"N/A",IF($U269="Profit",$Q269/$H269,IF($U269="Disqualified",-$S269/$H269,0))))))</ns0:f>
      </ns0:c>
      <ns0:c r="U269" s="920">
        <ns0:f>IF(COUNTA($A269:$M269)=0,"",IF(OR(LEFT(LOWER(TRIM($F269&amp;"")),12)="subscription",LOWER(TRIM($F269&amp;""))="membership"),"Subscription",IF(LOWER(TRIM($D269&amp;""))="estimate","Estimate",IF(OR(AND($H269&lt;&gt;"",$H269=0),LEFT(LOWER(TRIM($F269&amp;"")),9)="free game",LOWER(TRIM($F269&amp;""))="free",LOWER(TRIM($F269&amp;""))="free entry"),IF(LOWER($L269&amp;"")="yes","Disqualified — Free Game","Free Game"),IF(LOWER($L269&amp;"")="yes","Disqualified",IF($P269="","",IF(ROUND(IFERROR(VALUE($P269),0)-IFERROR(VALUE($H269),0),2)&gt;0,"Profit","Draw")))))))</ns0:f>
      </ns0:c>
      <ns0:c r="V269" s="956" t="str">
        <ns0:f>IF(COUNTA($A269:$M269)=0,"",IF(OR($B269="",$C269="",$U269="Subscription"),"",IFERROR(ROUNDUP(($C269-$B269)/7,0),"")))</ns0:f>
      </ns0:c>
      <ns0:c r="W269" s="114">
        <ns0:f>IF(COUNTA($A269:$M269)=0,"",IF(OR($U269="Subscription",$U269=""),"",IF($U269="Estimate","N/A",IF(OR($U269="Free Game",$U269="Disqualified — Free Game"),0,ROUND(IFERROR($Q269,0)-IFERROR($S269,0),2)))))</ns0:f>
      </ns0:c>
      <ns0:c r="X269" s="956" t="str">
        <ns0:f>IF(COUNTA($A269:$M269)=0,"",IF(OR($U269="Subscription",NOT(ISNUMBER($J269)),NOT(ISNUMBER($I269)),$J269=0,$I269=0,$I269&gt;$J269),"",$J269-$I269))</ns0:f>
      </ns0:c>
      <ns0:c r="Y269" s="955" t="str">
        <ns0:f>IF(COUNTA($A269:$M269)=0,"",IF(OR($U269="Subscription",NOT(ISNUMBER($J269)),$J269=0,$X269=""),"",$X269/$J269))</ns0:f>
      </ns0:c>
      <ns0:c r="Z269" s="957" t="str">
        <ns0:f>IF(COUNTA($A269:$M269)=0,"",Instructions!$B$29+SUM($W$5:W269))</ns0:f>
      </ns0:c>
    </ns0:row>
    <ns0:row r="270" ht="36" customHeight="1">
      <ns0:c r="A270" s="439"/>
      <ns0:c r="B270" s="453"/>
      <ns0:c r="C270" s="453"/>
      <ns0:c r="D270" s="454"/>
      <ns0:c r="E270" s="454"/>
      <ns0:c r="F270" s="454"/>
      <ns0:c r="G270" s="986"/>
      <ns0:c r="H270" s="455"/>
      <ns0:c r="I270" s="456"/>
      <ns0:c r="J270" s="456"/>
      <ns0:c r="K270" s="986"/>
      <ns0:c r="L270" s="454"/>
      <ns0:c r="M270" s="439"/>
      <ns0:c r="N270" s="987" t="str">
        <ns0:f>IF(COUNTA($A270:$M270)=0,"",IF(OR(LEFT(LOWER(TRIM($F270&amp;"")),12)="subscription",LOWER(TRIM($F270&amp;""))="membership"),"",IF(OR(AND($H270&lt;&gt;"",$H270=0),LEFT(LOWER(TRIM($F270&amp;"")),9)="free game",LOWER(TRIM($F270&amp;""))="free",LOWER(TRIM($F270&amp;""))="free entry"),IF(ISNUMBER($G270),IF(ISNUMBER(SEARCH("non",LOWER($E270&amp;""))),$G270*0.85,$G270),"N/A"),IF($G270="","",IFERROR(IF(ISNUMBER(SEARCH("non",LOWER($E270&amp;""))),$G270*0.85,$G270),"")))))</ns0:f>
        <ns0:v/>
      </ns0:c>
      <ns0:c r="O270" s="987" t="str">
        <ns0:f>IF(COUNTA($A270:$M270)=0,"",IF(OR(LEFT(LOWER(TRIM($F270&amp;"")),12)="subscription",LOWER(TRIM($F270&amp;""))="membership"),"",IF(OR(AND($H270&lt;&gt;"",$H270=0),LEFT(LOWER(TRIM($F270&amp;"")),9)="free game",LOWER(TRIM($F270&amp;""))="free",LOWER(TRIM($F270&amp;""))="free entry"),IF(OR(NOT(ISNUMBER($N270)),NOT(ISNUMBER($I270)),$I270=0),"N/A",IFERROR($N270/$I270,"N/A")),IF(OR($N270="",$I270="",$I270=0),"",IFERROR($N270/$I270,"")))))</ns0:f>
        <ns0:v/>
      </ns0:c>
      <ns0:c r="P270" s="987">
        <ns0:f>IF(COUNTA($A270:$M270)=0,"",IF(OR(LEFT(LOWER(TRIM($F270&amp;"")),12)="subscription",LOWER(TRIM($F270&amp;""))="membership"),"",IF(LOWER(TRIM($D270&amp;""))="estimate","N/A",IF(LOWER($L270&amp;"")="yes",0,IF(OR(AND($H270&lt;&gt;"",$H270=0),LEFT(LOWER(TRIM($F270&amp;"")),9)="free game",LOWER(TRIM($F270&amp;""))="free",LOWER(TRIM($F270&amp;""))="free entry"),IF(ISNUMBER($K270),$K270,""),IF($K270&lt;&gt;"",$K270,""))))))</ns0:f>
      </ns0:c>
      <ns0:c r="Q270" s="114">
        <ns0:f>IF(COUNTA($A270:$M270)=0,"",IF(OR($U270="Subscription",$U270=""),"",IF($U270="Estimate","N/A",IF($U270="Profit",ROUND(IFERROR($P270,0)-IFERROR($H270,0),2),0))))</ns0:f>
      </ns0:c>
      <ns0:c r="R270" s="114">
        <ns0:f>IF(COUNTA($A270:$M270)=0,"",IF(OR($U270="Subscription",$U270=""),"",IF($U270="Estimate","N/A",IF($U270="Draw",$H270,0))))</ns0:f>
      </ns0:c>
      <ns0:c r="S270" s="114">
        <ns0:f>IF(COUNTA($A270:$M270)=0,"",IF(OR($U270="Subscription",$U270=""),"",IF($U270="Estimate","N/A",IF($U270="Disqualified",$H270,0))))</ns0:f>
      </ns0:c>
      <ns0:c r="T270" s="955">
        <ns0:f>IF(COUNTA($A270:$M270)=0,"",IF(OR($U270="Subscription",$U270=""),"",IF($U270="Estimate","N/A",IF(OR($U270="Free Game",$U270="Disqualified — Free Game",$H270=0),"N/A",IF($U270="Profit",$Q270/$H270,IF($U270="Disqualified",-$S270/$H270,0))))))</ns0:f>
      </ns0:c>
      <ns0:c r="U270" s="920">
        <ns0:f>IF(COUNTA($A270:$M270)=0,"",IF(OR(LEFT(LOWER(TRIM($F270&amp;"")),12)="subscription",LOWER(TRIM($F270&amp;""))="membership"),"Subscription",IF(LOWER(TRIM($D270&amp;""))="estimate","Estimate",IF(OR(AND($H270&lt;&gt;"",$H270=0),LEFT(LOWER(TRIM($F270&amp;"")),9)="free game",LOWER(TRIM($F270&amp;""))="free",LOWER(TRIM($F270&amp;""))="free entry"),IF(LOWER($L270&amp;"")="yes","Disqualified — Free Game","Free Game"),IF(LOWER($L270&amp;"")="yes","Disqualified",IF($P270="","",IF(ROUND(IFERROR(VALUE($P270),0)-IFERROR(VALUE($H270),0),2)&gt;0,"Profit","Draw")))))))</ns0:f>
      </ns0:c>
      <ns0:c r="V270" s="956" t="str">
        <ns0:f>IF(COUNTA($A270:$M270)=0,"",IF(OR($B270="",$C270="",$U270="Subscription"),"",IFERROR(ROUNDUP(($C270-$B270)/7,0),"")))</ns0:f>
      </ns0:c>
      <ns0:c r="W270" s="114">
        <ns0:f>IF(COUNTA($A270:$M270)=0,"",IF(OR($U270="Subscription",$U270=""),"",IF($U270="Estimate","N/A",IF(OR($U270="Free Game",$U270="Disqualified — Free Game"),0,ROUND(IFERROR($Q270,0)-IFERROR($S270,0),2)))))</ns0:f>
      </ns0:c>
      <ns0:c r="X270" s="956" t="str">
        <ns0:f>IF(COUNTA($A270:$M270)=0,"",IF(OR($U270="Subscription",NOT(ISNUMBER($J270)),NOT(ISNUMBER($I270)),$J270=0,$I270=0,$I270&gt;$J270),"",$J270-$I270))</ns0:f>
      </ns0:c>
      <ns0:c r="Y270" s="955" t="str">
        <ns0:f>IF(COUNTA($A270:$M270)=0,"",IF(OR($U270="Subscription",NOT(ISNUMBER($J270)),$J270=0,$X270=""),"",$X270/$J270))</ns0:f>
      </ns0:c>
      <ns0:c r="Z270" s="957" t="str">
        <ns0:f>IF(COUNTA($A270:$M270)=0,"",Instructions!$B$29+SUM($W$5:W270))</ns0:f>
      </ns0:c>
    </ns0:row>
    <ns0:row r="271" ht="36" customHeight="1">
      <ns0:c r="A271" s="439"/>
      <ns0:c r="B271" s="453"/>
      <ns0:c r="C271" s="453"/>
      <ns0:c r="D271" s="454"/>
      <ns0:c r="E271" s="454"/>
      <ns0:c r="F271" s="454"/>
      <ns0:c r="G271" s="986"/>
      <ns0:c r="H271" s="455"/>
      <ns0:c r="I271" s="456"/>
      <ns0:c r="J271" s="456"/>
      <ns0:c r="K271" s="986"/>
      <ns0:c r="L271" s="454"/>
      <ns0:c r="M271" s="439"/>
      <ns0:c r="N271" s="987" t="str">
        <ns0:f>IF(COUNTA($A271:$M271)=0,"",IF(OR(LEFT(LOWER(TRIM($F271&amp;"")),12)="subscription",LOWER(TRIM($F271&amp;""))="membership"),"",IF(OR(AND($H271&lt;&gt;"",$H271=0),LEFT(LOWER(TRIM($F271&amp;"")),9)="free game",LOWER(TRIM($F271&amp;""))="free",LOWER(TRIM($F271&amp;""))="free entry"),IF(ISNUMBER($G271),IF(ISNUMBER(SEARCH("non",LOWER($E271&amp;""))),$G271*0.85,$G271),"N/A"),IF($G271="","",IFERROR(IF(ISNUMBER(SEARCH("non",LOWER($E271&amp;""))),$G271*0.85,$G271),"")))))</ns0:f>
        <ns0:v/>
      </ns0:c>
      <ns0:c r="O271" s="987" t="str">
        <ns0:f>IF(COUNTA($A271:$M271)=0,"",IF(OR(LEFT(LOWER(TRIM($F271&amp;"")),12)="subscription",LOWER(TRIM($F271&amp;""))="membership"),"",IF(OR(AND($H271&lt;&gt;"",$H271=0),LEFT(LOWER(TRIM($F271&amp;"")),9)="free game",LOWER(TRIM($F271&amp;""))="free",LOWER(TRIM($F271&amp;""))="free entry"),IF(OR(NOT(ISNUMBER($N271)),NOT(ISNUMBER($I271)),$I271=0),"N/A",IFERROR($N271/$I271,"N/A")),IF(OR($N271="",$I271="",$I271=0),"",IFERROR($N271/$I271,"")))))</ns0:f>
        <ns0:v/>
      </ns0:c>
      <ns0:c r="P271" s="987">
        <ns0:f>IF(COUNTA($A271:$M271)=0,"",IF(OR(LEFT(LOWER(TRIM($F271&amp;"")),12)="subscription",LOWER(TRIM($F271&amp;""))="membership"),"",IF(LOWER(TRIM($D271&amp;""))="estimate","N/A",IF(LOWER($L271&amp;"")="yes",0,IF(OR(AND($H271&lt;&gt;"",$H271=0),LEFT(LOWER(TRIM($F271&amp;"")),9)="free game",LOWER(TRIM($F271&amp;""))="free",LOWER(TRIM($F271&amp;""))="free entry"),IF(ISNUMBER($K271),$K271,""),IF($K271&lt;&gt;"",$K271,""))))))</ns0:f>
      </ns0:c>
      <ns0:c r="Q271" s="114">
        <ns0:f>IF(COUNTA($A271:$M271)=0,"",IF(OR($U271="Subscription",$U271=""),"",IF($U271="Estimate","N/A",IF($U271="Profit",ROUND(IFERROR($P271,0)-IFERROR($H271,0),2),0))))</ns0:f>
      </ns0:c>
      <ns0:c r="R271" s="114">
        <ns0:f>IF(COUNTA($A271:$M271)=0,"",IF(OR($U271="Subscription",$U271=""),"",IF($U271="Estimate","N/A",IF($U271="Draw",$H271,0))))</ns0:f>
      </ns0:c>
      <ns0:c r="S271" s="114">
        <ns0:f>IF(COUNTA($A271:$M271)=0,"",IF(OR($U271="Subscription",$U271=""),"",IF($U271="Estimate","N/A",IF($U271="Disqualified",$H271,0))))</ns0:f>
      </ns0:c>
      <ns0:c r="T271" s="955">
        <ns0:f>IF(COUNTA($A271:$M271)=0,"",IF(OR($U271="Subscription",$U271=""),"",IF($U271="Estimate","N/A",IF(OR($U271="Free Game",$U271="Disqualified — Free Game",$H271=0),"N/A",IF($U271="Profit",$Q271/$H271,IF($U271="Disqualified",-$S271/$H271,0))))))</ns0:f>
      </ns0:c>
      <ns0:c r="U271" s="920">
        <ns0:f>IF(COUNTA($A271:$M271)=0,"",IF(OR(LEFT(LOWER(TRIM($F271&amp;"")),12)="subscription",LOWER(TRIM($F271&amp;""))="membership"),"Subscription",IF(LOWER(TRIM($D271&amp;""))="estimate","Estimate",IF(OR(AND($H271&lt;&gt;"",$H271=0),LEFT(LOWER(TRIM($F271&amp;"")),9)="free game",LOWER(TRIM($F271&amp;""))="free",LOWER(TRIM($F271&amp;""))="free entry"),IF(LOWER($L271&amp;"")="yes","Disqualified — Free Game","Free Game"),IF(LOWER($L271&amp;"")="yes","Disqualified",IF($P271="","",IF(ROUND(IFERROR(VALUE($P271),0)-IFERROR(VALUE($H271),0),2)&gt;0,"Profit","Draw")))))))</ns0:f>
      </ns0:c>
      <ns0:c r="V271" s="956" t="str">
        <ns0:f>IF(COUNTA($A271:$M271)=0,"",IF(OR($B271="",$C271="",$U271="Subscription"),"",IFERROR(ROUNDUP(($C271-$B271)/7,0),"")))</ns0:f>
      </ns0:c>
      <ns0:c r="W271" s="114">
        <ns0:f>IF(COUNTA($A271:$M271)=0,"",IF(OR($U271="Subscription",$U271=""),"",IF($U271="Estimate","N/A",IF(OR($U271="Free Game",$U271="Disqualified — Free Game"),0,ROUND(IFERROR($Q271,0)-IFERROR($S271,0),2)))))</ns0:f>
      </ns0:c>
      <ns0:c r="X271" s="956" t="str">
        <ns0:f>IF(COUNTA($A271:$M271)=0,"",IF(OR($U271="Subscription",NOT(ISNUMBER($J271)),NOT(ISNUMBER($I271)),$J271=0,$I271=0,$I271&gt;$J271),"",$J271-$I271))</ns0:f>
      </ns0:c>
      <ns0:c r="Y271" s="955" t="str">
        <ns0:f>IF(COUNTA($A271:$M271)=0,"",IF(OR($U271="Subscription",NOT(ISNUMBER($J271)),$J271=0,$X271=""),"",$X271/$J271))</ns0:f>
      </ns0:c>
      <ns0:c r="Z271" s="957" t="str">
        <ns0:f>IF(COUNTA($A271:$M271)=0,"",Instructions!$B$29+SUM($W$5:W271))</ns0:f>
      </ns0:c>
    </ns0:row>
    <ns0:row r="272" ht="36" customHeight="1">
      <ns0:c r="A272" s="439"/>
      <ns0:c r="B272" s="453"/>
      <ns0:c r="C272" s="453"/>
      <ns0:c r="D272" s="454"/>
      <ns0:c r="E272" s="454"/>
      <ns0:c r="F272" s="454"/>
      <ns0:c r="G272" s="986"/>
      <ns0:c r="H272" s="455"/>
      <ns0:c r="I272" s="456"/>
      <ns0:c r="J272" s="456"/>
      <ns0:c r="K272" s="986"/>
      <ns0:c r="L272" s="454"/>
      <ns0:c r="M272" s="439"/>
      <ns0:c r="N272" s="987" t="str">
        <ns0:f>IF(COUNTA($A272:$M272)=0,"",IF(OR(LEFT(LOWER(TRIM($F272&amp;"")),12)="subscription",LOWER(TRIM($F272&amp;""))="membership"),"",IF(OR(AND($H272&lt;&gt;"",$H272=0),LEFT(LOWER(TRIM($F272&amp;"")),9)="free game",LOWER(TRIM($F272&amp;""))="free",LOWER(TRIM($F272&amp;""))="free entry"),IF(ISNUMBER($G272),IF(ISNUMBER(SEARCH("non",LOWER($E272&amp;""))),$G272*0.85,$G272),"N/A"),IF($G272="","",IFERROR(IF(ISNUMBER(SEARCH("non",LOWER($E272&amp;""))),$G272*0.85,$G272),"")))))</ns0:f>
        <ns0:v/>
      </ns0:c>
      <ns0:c r="O272" s="987" t="str">
        <ns0:f>IF(COUNTA($A272:$M272)=0,"",IF(OR(LEFT(LOWER(TRIM($F272&amp;"")),12)="subscription",LOWER(TRIM($F272&amp;""))="membership"),"",IF(OR(AND($H272&lt;&gt;"",$H272=0),LEFT(LOWER(TRIM($F272&amp;"")),9)="free game",LOWER(TRIM($F272&amp;""))="free",LOWER(TRIM($F272&amp;""))="free entry"),IF(OR(NOT(ISNUMBER($N272)),NOT(ISNUMBER($I272)),$I272=0),"N/A",IFERROR($N272/$I272,"N/A")),IF(OR($N272="",$I272="",$I272=0),"",IFERROR($N272/$I272,"")))))</ns0:f>
        <ns0:v/>
      </ns0:c>
      <ns0:c r="P272" s="987">
        <ns0:f>IF(COUNTA($A272:$M272)=0,"",IF(OR(LEFT(LOWER(TRIM($F272&amp;"")),12)="subscription",LOWER(TRIM($F272&amp;""))="membership"),"",IF(LOWER(TRIM($D272&amp;""))="estimate","N/A",IF(LOWER($L272&amp;"")="yes",0,IF(OR(AND($H272&lt;&gt;"",$H272=0),LEFT(LOWER(TRIM($F272&amp;"")),9)="free game",LOWER(TRIM($F272&amp;""))="free",LOWER(TRIM($F272&amp;""))="free entry"),IF(ISNUMBER($K272),$K272,""),IF($K272&lt;&gt;"",$K272,""))))))</ns0:f>
      </ns0:c>
      <ns0:c r="Q272" s="114">
        <ns0:f>IF(COUNTA($A272:$M272)=0,"",IF(OR($U272="Subscription",$U272=""),"",IF($U272="Estimate","N/A",IF($U272="Profit",ROUND(IFERROR($P272,0)-IFERROR($H272,0),2),0))))</ns0:f>
      </ns0:c>
      <ns0:c r="R272" s="114">
        <ns0:f>IF(COUNTA($A272:$M272)=0,"",IF(OR($U272="Subscription",$U272=""),"",IF($U272="Estimate","N/A",IF($U272="Draw",$H272,0))))</ns0:f>
      </ns0:c>
      <ns0:c r="S272" s="114">
        <ns0:f>IF(COUNTA($A272:$M272)=0,"",IF(OR($U272="Subscription",$U272=""),"",IF($U272="Estimate","N/A",IF($U272="Disqualified",$H272,0))))</ns0:f>
      </ns0:c>
      <ns0:c r="T272" s="955">
        <ns0:f>IF(COUNTA($A272:$M272)=0,"",IF(OR($U272="Subscription",$U272=""),"",IF($U272="Estimate","N/A",IF(OR($U272="Free Game",$U272="Disqualified — Free Game",$H272=0),"N/A",IF($U272="Profit",$Q272/$H272,IF($U272="Disqualified",-$S272/$H272,0))))))</ns0:f>
      </ns0:c>
      <ns0:c r="U272" s="920">
        <ns0:f>IF(COUNTA($A272:$M272)=0,"",IF(OR(LEFT(LOWER(TRIM($F272&amp;"")),12)="subscription",LOWER(TRIM($F272&amp;""))="membership"),"Subscription",IF(LOWER(TRIM($D272&amp;""))="estimate","Estimate",IF(OR(AND($H272&lt;&gt;"",$H272=0),LEFT(LOWER(TRIM($F272&amp;"")),9)="free game",LOWER(TRIM($F272&amp;""))="free",LOWER(TRIM($F272&amp;""))="free entry"),IF(LOWER($L272&amp;"")="yes","Disqualified — Free Game","Free Game"),IF(LOWER($L272&amp;"")="yes","Disqualified",IF($P272="","",IF(ROUND(IFERROR(VALUE($P272),0)-IFERROR(VALUE($H272),0),2)&gt;0,"Profit","Draw")))))))</ns0:f>
      </ns0:c>
      <ns0:c r="V272" s="956" t="str">
        <ns0:f>IF(COUNTA($A272:$M272)=0,"",IF(OR($B272="",$C272="",$U272="Subscription"),"",IFERROR(ROUNDUP(($C272-$B272)/7,0),"")))</ns0:f>
      </ns0:c>
      <ns0:c r="W272" s="114">
        <ns0:f>IF(COUNTA($A272:$M272)=0,"",IF(OR($U272="Subscription",$U272=""),"",IF($U272="Estimate","N/A",IF(OR($U272="Free Game",$U272="Disqualified — Free Game"),0,ROUND(IFERROR($Q272,0)-IFERROR($S272,0),2)))))</ns0:f>
      </ns0:c>
      <ns0:c r="X272" s="956" t="str">
        <ns0:f>IF(COUNTA($A272:$M272)=0,"",IF(OR($U272="Subscription",NOT(ISNUMBER($J272)),NOT(ISNUMBER($I272)),$J272=0,$I272=0,$I272&gt;$J272),"",$J272-$I272))</ns0:f>
      </ns0:c>
      <ns0:c r="Y272" s="955" t="str">
        <ns0:f>IF(COUNTA($A272:$M272)=0,"",IF(OR($U272="Subscription",NOT(ISNUMBER($J272)),$J272=0,$X272=""),"",$X272/$J272))</ns0:f>
      </ns0:c>
      <ns0:c r="Z272" s="957" t="str">
        <ns0:f>IF(COUNTA($A272:$M272)=0,"",Instructions!$B$29+SUM($W$5:W272))</ns0:f>
      </ns0:c>
    </ns0:row>
    <ns0:row r="273" ht="36" customHeight="1">
      <ns0:c r="A273" s="439"/>
      <ns0:c r="B273" s="453"/>
      <ns0:c r="C273" s="453"/>
      <ns0:c r="D273" s="454"/>
      <ns0:c r="E273" s="454"/>
      <ns0:c r="F273" s="454"/>
      <ns0:c r="G273" s="986"/>
      <ns0:c r="H273" s="455"/>
      <ns0:c r="I273" s="456"/>
      <ns0:c r="J273" s="456"/>
      <ns0:c r="K273" s="986"/>
      <ns0:c r="L273" s="454"/>
      <ns0:c r="M273" s="439"/>
      <ns0:c r="N273" s="987" t="str">
        <ns0:f>IF(COUNTA($A273:$M273)=0,"",IF(OR(LEFT(LOWER(TRIM($F273&amp;"")),12)="subscription",LOWER(TRIM($F273&amp;""))="membership"),"",IF(OR(AND($H273&lt;&gt;"",$H273=0),LEFT(LOWER(TRIM($F273&amp;"")),9)="free game",LOWER(TRIM($F273&amp;""))="free",LOWER(TRIM($F273&amp;""))="free entry"),IF(ISNUMBER($G273),IF(ISNUMBER(SEARCH("non",LOWER($E273&amp;""))),$G273*0.85,$G273),"N/A"),IF($G273="","",IFERROR(IF(ISNUMBER(SEARCH("non",LOWER($E273&amp;""))),$G273*0.85,$G273),"")))))</ns0:f>
        <ns0:v/>
      </ns0:c>
      <ns0:c r="O273" s="987" t="str">
        <ns0:f>IF(COUNTA($A273:$M273)=0,"",IF(OR(LEFT(LOWER(TRIM($F273&amp;"")),12)="subscription",LOWER(TRIM($F273&amp;""))="membership"),"",IF(OR(AND($H273&lt;&gt;"",$H273=0),LEFT(LOWER(TRIM($F273&amp;"")),9)="free game",LOWER(TRIM($F273&amp;""))="free",LOWER(TRIM($F273&amp;""))="free entry"),IF(OR(NOT(ISNUMBER($N273)),NOT(ISNUMBER($I273)),$I273=0),"N/A",IFERROR($N273/$I273,"N/A")),IF(OR($N273="",$I273="",$I273=0),"",IFERROR($N273/$I273,"")))))</ns0:f>
        <ns0:v/>
      </ns0:c>
      <ns0:c r="P273" s="987">
        <ns0:f>IF(COUNTA($A273:$M273)=0,"",IF(OR(LEFT(LOWER(TRIM($F273&amp;"")),12)="subscription",LOWER(TRIM($F273&amp;""))="membership"),"",IF(LOWER(TRIM($D273&amp;""))="estimate","N/A",IF(LOWER($L273&amp;"")="yes",0,IF(OR(AND($H273&lt;&gt;"",$H273=0),LEFT(LOWER(TRIM($F273&amp;"")),9)="free game",LOWER(TRIM($F273&amp;""))="free",LOWER(TRIM($F273&amp;""))="free entry"),IF(ISNUMBER($K273),$K273,""),IF($K273&lt;&gt;"",$K273,""))))))</ns0:f>
      </ns0:c>
      <ns0:c r="Q273" s="114">
        <ns0:f>IF(COUNTA($A273:$M273)=0,"",IF(OR($U273="Subscription",$U273=""),"",IF($U273="Estimate","N/A",IF($U273="Profit",ROUND(IFERROR($P273,0)-IFERROR($H273,0),2),0))))</ns0:f>
      </ns0:c>
      <ns0:c r="R273" s="114">
        <ns0:f>IF(COUNTA($A273:$M273)=0,"",IF(OR($U273="Subscription",$U273=""),"",IF($U273="Estimate","N/A",IF($U273="Draw",$H273,0))))</ns0:f>
      </ns0:c>
      <ns0:c r="S273" s="114">
        <ns0:f>IF(COUNTA($A273:$M273)=0,"",IF(OR($U273="Subscription",$U273=""),"",IF($U273="Estimate","N/A",IF($U273="Disqualified",$H273,0))))</ns0:f>
      </ns0:c>
      <ns0:c r="T273" s="955">
        <ns0:f>IF(COUNTA($A273:$M273)=0,"",IF(OR($U273="Subscription",$U273=""),"",IF($U273="Estimate","N/A",IF(OR($U273="Free Game",$U273="Disqualified — Free Game",$H273=0),"N/A",IF($U273="Profit",$Q273/$H273,IF($U273="Disqualified",-$S273/$H273,0))))))</ns0:f>
      </ns0:c>
      <ns0:c r="U273" s="920">
        <ns0:f>IF(COUNTA($A273:$M273)=0,"",IF(OR(LEFT(LOWER(TRIM($F273&amp;"")),12)="subscription",LOWER(TRIM($F273&amp;""))="membership"),"Subscription",IF(LOWER(TRIM($D273&amp;""))="estimate","Estimate",IF(OR(AND($H273&lt;&gt;"",$H273=0),LEFT(LOWER(TRIM($F273&amp;"")),9)="free game",LOWER(TRIM($F273&amp;""))="free",LOWER(TRIM($F273&amp;""))="free entry"),IF(LOWER($L273&amp;"")="yes","Disqualified — Free Game","Free Game"),IF(LOWER($L273&amp;"")="yes","Disqualified",IF($P273="","",IF(ROUND(IFERROR(VALUE($P273),0)-IFERROR(VALUE($H273),0),2)&gt;0,"Profit","Draw")))))))</ns0:f>
      </ns0:c>
      <ns0:c r="V273" s="956" t="str">
        <ns0:f>IF(COUNTA($A273:$M273)=0,"",IF(OR($B273="",$C273="",$U273="Subscription"),"",IFERROR(ROUNDUP(($C273-$B273)/7,0),"")))</ns0:f>
      </ns0:c>
      <ns0:c r="W273" s="114">
        <ns0:f>IF(COUNTA($A273:$M273)=0,"",IF(OR($U273="Subscription",$U273=""),"",IF($U273="Estimate","N/A",IF(OR($U273="Free Game",$U273="Disqualified — Free Game"),0,ROUND(IFERROR($Q273,0)-IFERROR($S273,0),2)))))</ns0:f>
      </ns0:c>
      <ns0:c r="X273" s="956" t="str">
        <ns0:f>IF(COUNTA($A273:$M273)=0,"",IF(OR($U273="Subscription",NOT(ISNUMBER($J273)),NOT(ISNUMBER($I273)),$J273=0,$I273=0,$I273&gt;$J273),"",$J273-$I273))</ns0:f>
      </ns0:c>
      <ns0:c r="Y273" s="955" t="str">
        <ns0:f>IF(COUNTA($A273:$M273)=0,"",IF(OR($U273="Subscription",NOT(ISNUMBER($J273)),$J273=0,$X273=""),"",$X273/$J273))</ns0:f>
      </ns0:c>
      <ns0:c r="Z273" s="957" t="str">
        <ns0:f>IF(COUNTA($A273:$M273)=0,"",Instructions!$B$29+SUM($W$5:W273))</ns0:f>
      </ns0:c>
    </ns0:row>
    <ns0:row r="274" ht="36" customHeight="1">
      <ns0:c r="A274" s="439"/>
      <ns0:c r="B274" s="453"/>
      <ns0:c r="C274" s="453"/>
      <ns0:c r="D274" s="454"/>
      <ns0:c r="E274" s="454"/>
      <ns0:c r="F274" s="454"/>
      <ns0:c r="G274" s="986"/>
      <ns0:c r="H274" s="455"/>
      <ns0:c r="I274" s="456"/>
      <ns0:c r="J274" s="456"/>
      <ns0:c r="K274" s="986"/>
      <ns0:c r="L274" s="454"/>
      <ns0:c r="M274" s="439"/>
      <ns0:c r="N274" s="987" t="str">
        <ns0:f>IF(COUNTA($A274:$M274)=0,"",IF(OR(LEFT(LOWER(TRIM($F274&amp;"")),12)="subscription",LOWER(TRIM($F274&amp;""))="membership"),"",IF(OR(AND($H274&lt;&gt;"",$H274=0),LEFT(LOWER(TRIM($F274&amp;"")),9)="free game",LOWER(TRIM($F274&amp;""))="free",LOWER(TRIM($F274&amp;""))="free entry"),IF(ISNUMBER($G274),IF(ISNUMBER(SEARCH("non",LOWER($E274&amp;""))),$G274*0.85,$G274),"N/A"),IF($G274="","",IFERROR(IF(ISNUMBER(SEARCH("non",LOWER($E274&amp;""))),$G274*0.85,$G274),"")))))</ns0:f>
        <ns0:v/>
      </ns0:c>
      <ns0:c r="O274" s="987" t="str">
        <ns0:f>IF(COUNTA($A274:$M274)=0,"",IF(OR(LEFT(LOWER(TRIM($F274&amp;"")),12)="subscription",LOWER(TRIM($F274&amp;""))="membership"),"",IF(OR(AND($H274&lt;&gt;"",$H274=0),LEFT(LOWER(TRIM($F274&amp;"")),9)="free game",LOWER(TRIM($F274&amp;""))="free",LOWER(TRIM($F274&amp;""))="free entry"),IF(OR(NOT(ISNUMBER($N274)),NOT(ISNUMBER($I274)),$I274=0),"N/A",IFERROR($N274/$I274,"N/A")),IF(OR($N274="",$I274="",$I274=0),"",IFERROR($N274/$I274,"")))))</ns0:f>
        <ns0:v/>
      </ns0:c>
      <ns0:c r="P274" s="987">
        <ns0:f>IF(COUNTA($A274:$M274)=0,"",IF(OR(LEFT(LOWER(TRIM($F274&amp;"")),12)="subscription",LOWER(TRIM($F274&amp;""))="membership"),"",IF(LOWER(TRIM($D274&amp;""))="estimate","N/A",IF(LOWER($L274&amp;"")="yes",0,IF(OR(AND($H274&lt;&gt;"",$H274=0),LEFT(LOWER(TRIM($F274&amp;"")),9)="free game",LOWER(TRIM($F274&amp;""))="free",LOWER(TRIM($F274&amp;""))="free entry"),IF(ISNUMBER($K274),$K274,""),IF($K274&lt;&gt;"",$K274,""))))))</ns0:f>
      </ns0:c>
      <ns0:c r="Q274" s="114">
        <ns0:f>IF(COUNTA($A274:$M274)=0,"",IF(OR($U274="Subscription",$U274=""),"",IF($U274="Estimate","N/A",IF($U274="Profit",ROUND(IFERROR($P274,0)-IFERROR($H274,0),2),0))))</ns0:f>
      </ns0:c>
      <ns0:c r="R274" s="114">
        <ns0:f>IF(COUNTA($A274:$M274)=0,"",IF(OR($U274="Subscription",$U274=""),"",IF($U274="Estimate","N/A",IF($U274="Draw",$H274,0))))</ns0:f>
      </ns0:c>
      <ns0:c r="S274" s="114">
        <ns0:f>IF(COUNTA($A274:$M274)=0,"",IF(OR($U274="Subscription",$U274=""),"",IF($U274="Estimate","N/A",IF($U274="Disqualified",$H274,0))))</ns0:f>
      </ns0:c>
      <ns0:c r="T274" s="955">
        <ns0:f>IF(COUNTA($A274:$M274)=0,"",IF(OR($U274="Subscription",$U274=""),"",IF($U274="Estimate","N/A",IF(OR($U274="Free Game",$U274="Disqualified — Free Game",$H274=0),"N/A",IF($U274="Profit",$Q274/$H274,IF($U274="Disqualified",-$S274/$H274,0))))))</ns0:f>
      </ns0:c>
      <ns0:c r="U274" s="920">
        <ns0:f>IF(COUNTA($A274:$M274)=0,"",IF(OR(LEFT(LOWER(TRIM($F274&amp;"")),12)="subscription",LOWER(TRIM($F274&amp;""))="membership"),"Subscription",IF(LOWER(TRIM($D274&amp;""))="estimate","Estimate",IF(OR(AND($H274&lt;&gt;"",$H274=0),LEFT(LOWER(TRIM($F274&amp;"")),9)="free game",LOWER(TRIM($F274&amp;""))="free",LOWER(TRIM($F274&amp;""))="free entry"),IF(LOWER($L274&amp;"")="yes","Disqualified — Free Game","Free Game"),IF(LOWER($L274&amp;"")="yes","Disqualified",IF($P274="","",IF(ROUND(IFERROR(VALUE($P274),0)-IFERROR(VALUE($H274),0),2)&gt;0,"Profit","Draw")))))))</ns0:f>
      </ns0:c>
      <ns0:c r="V274" s="956" t="str">
        <ns0:f>IF(COUNTA($A274:$M274)=0,"",IF(OR($B274="",$C274="",$U274="Subscription"),"",IFERROR(ROUNDUP(($C274-$B274)/7,0),"")))</ns0:f>
      </ns0:c>
      <ns0:c r="W274" s="114">
        <ns0:f>IF(COUNTA($A274:$M274)=0,"",IF(OR($U274="Subscription",$U274=""),"",IF($U274="Estimate","N/A",IF(OR($U274="Free Game",$U274="Disqualified — Free Game"),0,ROUND(IFERROR($Q274,0)-IFERROR($S274,0),2)))))</ns0:f>
      </ns0:c>
      <ns0:c r="X274" s="956" t="str">
        <ns0:f>IF(COUNTA($A274:$M274)=0,"",IF(OR($U274="Subscription",NOT(ISNUMBER($J274)),NOT(ISNUMBER($I274)),$J274=0,$I274=0,$I274&gt;$J274),"",$J274-$I274))</ns0:f>
      </ns0:c>
      <ns0:c r="Y274" s="955" t="str">
        <ns0:f>IF(COUNTA($A274:$M274)=0,"",IF(OR($U274="Subscription",NOT(ISNUMBER($J274)),$J274=0,$X274=""),"",$X274/$J274))</ns0:f>
      </ns0:c>
      <ns0:c r="Z274" s="957" t="str">
        <ns0:f>IF(COUNTA($A274:$M274)=0,"",Instructions!$B$29+SUM($W$5:W274))</ns0:f>
      </ns0:c>
    </ns0:row>
    <ns0:row r="275" ht="36" customHeight="1">
      <ns0:c r="A275" s="439"/>
      <ns0:c r="B275" s="453"/>
      <ns0:c r="C275" s="453"/>
      <ns0:c r="D275" s="454"/>
      <ns0:c r="E275" s="454"/>
      <ns0:c r="F275" s="454"/>
      <ns0:c r="G275" s="986"/>
      <ns0:c r="H275" s="455"/>
      <ns0:c r="I275" s="456"/>
      <ns0:c r="J275" s="456"/>
      <ns0:c r="K275" s="986"/>
      <ns0:c r="L275" s="454"/>
      <ns0:c r="M275" s="439"/>
      <ns0:c r="N275" s="987" t="str">
        <ns0:f>IF(COUNTA($A275:$M275)=0,"",IF(OR(LEFT(LOWER(TRIM($F275&amp;"")),12)="subscription",LOWER(TRIM($F275&amp;""))="membership"),"",IF(OR(AND($H275&lt;&gt;"",$H275=0),LEFT(LOWER(TRIM($F275&amp;"")),9)="free game",LOWER(TRIM($F275&amp;""))="free",LOWER(TRIM($F275&amp;""))="free entry"),IF(ISNUMBER($G275),IF(ISNUMBER(SEARCH("non",LOWER($E275&amp;""))),$G275*0.85,$G275),"N/A"),IF($G275="","",IFERROR(IF(ISNUMBER(SEARCH("non",LOWER($E275&amp;""))),$G275*0.85,$G275),"")))))</ns0:f>
        <ns0:v/>
      </ns0:c>
      <ns0:c r="O275" s="987" t="str">
        <ns0:f>IF(COUNTA($A275:$M275)=0,"",IF(OR(LEFT(LOWER(TRIM($F275&amp;"")),12)="subscription",LOWER(TRIM($F275&amp;""))="membership"),"",IF(OR(AND($H275&lt;&gt;"",$H275=0),LEFT(LOWER(TRIM($F275&amp;"")),9)="free game",LOWER(TRIM($F275&amp;""))="free",LOWER(TRIM($F275&amp;""))="free entry"),IF(OR(NOT(ISNUMBER($N275)),NOT(ISNUMBER($I275)),$I275=0),"N/A",IFERROR($N275/$I275,"N/A")),IF(OR($N275="",$I275="",$I275=0),"",IFERROR($N275/$I275,"")))))</ns0:f>
        <ns0:v/>
      </ns0:c>
      <ns0:c r="P275" s="987">
        <ns0:f>IF(COUNTA($A275:$M275)=0,"",IF(OR(LEFT(LOWER(TRIM($F275&amp;"")),12)="subscription",LOWER(TRIM($F275&amp;""))="membership"),"",IF(LOWER(TRIM($D275&amp;""))="estimate","N/A",IF(LOWER($L275&amp;"")="yes",0,IF(OR(AND($H275&lt;&gt;"",$H275=0),LEFT(LOWER(TRIM($F275&amp;"")),9)="free game",LOWER(TRIM($F275&amp;""))="free",LOWER(TRIM($F275&amp;""))="free entry"),IF(ISNUMBER($K275),$K275,""),IF($K275&lt;&gt;"",$K275,""))))))</ns0:f>
      </ns0:c>
      <ns0:c r="Q275" s="114">
        <ns0:f>IF(COUNTA($A275:$M275)=0,"",IF(OR($U275="Subscription",$U275=""),"",IF($U275="Estimate","N/A",IF($U275="Profit",ROUND(IFERROR($P275,0)-IFERROR($H275,0),2),0))))</ns0:f>
      </ns0:c>
      <ns0:c r="R275" s="114">
        <ns0:f>IF(COUNTA($A275:$M275)=0,"",IF(OR($U275="Subscription",$U275=""),"",IF($U275="Estimate","N/A",IF($U275="Draw",$H275,0))))</ns0:f>
      </ns0:c>
      <ns0:c r="S275" s="114">
        <ns0:f>IF(COUNTA($A275:$M275)=0,"",IF(OR($U275="Subscription",$U275=""),"",IF($U275="Estimate","N/A",IF($U275="Disqualified",$H275,0))))</ns0:f>
      </ns0:c>
      <ns0:c r="T275" s="955">
        <ns0:f>IF(COUNTA($A275:$M275)=0,"",IF(OR($U275="Subscription",$U275=""),"",IF($U275="Estimate","N/A",IF(OR($U275="Free Game",$U275="Disqualified — Free Game",$H275=0),"N/A",IF($U275="Profit",$Q275/$H275,IF($U275="Disqualified",-$S275/$H275,0))))))</ns0:f>
      </ns0:c>
      <ns0:c r="U275" s="920">
        <ns0:f>IF(COUNTA($A275:$M275)=0,"",IF(OR(LEFT(LOWER(TRIM($F275&amp;"")),12)="subscription",LOWER(TRIM($F275&amp;""))="membership"),"Subscription",IF(LOWER(TRIM($D275&amp;""))="estimate","Estimate",IF(OR(AND($H275&lt;&gt;"",$H275=0),LEFT(LOWER(TRIM($F275&amp;"")),9)="free game",LOWER(TRIM($F275&amp;""))="free",LOWER(TRIM($F275&amp;""))="free entry"),IF(LOWER($L275&amp;"")="yes","Disqualified — Free Game","Free Game"),IF(LOWER($L275&amp;"")="yes","Disqualified",IF($P275="","",IF(ROUND(IFERROR(VALUE($P275),0)-IFERROR(VALUE($H275),0),2)&gt;0,"Profit","Draw")))))))</ns0:f>
      </ns0:c>
      <ns0:c r="V275" s="956" t="str">
        <ns0:f>IF(COUNTA($A275:$M275)=0,"",IF(OR($B275="",$C275="",$U275="Subscription"),"",IFERROR(ROUNDUP(($C275-$B275)/7,0),"")))</ns0:f>
      </ns0:c>
      <ns0:c r="W275" s="114">
        <ns0:f>IF(COUNTA($A275:$M275)=0,"",IF(OR($U275="Subscription",$U275=""),"",IF($U275="Estimate","N/A",IF(OR($U275="Free Game",$U275="Disqualified — Free Game"),0,ROUND(IFERROR($Q275,0)-IFERROR($S275,0),2)))))</ns0:f>
      </ns0:c>
      <ns0:c r="X275" s="956" t="str">
        <ns0:f>IF(COUNTA($A275:$M275)=0,"",IF(OR($U275="Subscription",NOT(ISNUMBER($J275)),NOT(ISNUMBER($I275)),$J275=0,$I275=0,$I275&gt;$J275),"",$J275-$I275))</ns0:f>
      </ns0:c>
      <ns0:c r="Y275" s="955" t="str">
        <ns0:f>IF(COUNTA($A275:$M275)=0,"",IF(OR($U275="Subscription",NOT(ISNUMBER($J275)),$J275=0,$X275=""),"",$X275/$J275))</ns0:f>
      </ns0:c>
      <ns0:c r="Z275" s="957" t="str">
        <ns0:f>IF(COUNTA($A275:$M275)=0,"",Instructions!$B$29+SUM($W$5:W275))</ns0:f>
      </ns0:c>
    </ns0:row>
    <ns0:row r="276" ht="36" customHeight="1">
      <ns0:c r="A276" s="439"/>
      <ns0:c r="B276" s="453"/>
      <ns0:c r="C276" s="453"/>
      <ns0:c r="D276" s="454"/>
      <ns0:c r="E276" s="454"/>
      <ns0:c r="F276" s="454"/>
      <ns0:c r="G276" s="986"/>
      <ns0:c r="H276" s="455"/>
      <ns0:c r="I276" s="456"/>
      <ns0:c r="J276" s="456"/>
      <ns0:c r="K276" s="986"/>
      <ns0:c r="L276" s="454"/>
      <ns0:c r="M276" s="439"/>
      <ns0:c r="N276" s="987" t="str">
        <ns0:f>IF(COUNTA($A276:$M276)=0,"",IF(OR(LEFT(LOWER(TRIM($F276&amp;"")),12)="subscription",LOWER(TRIM($F276&amp;""))="membership"),"",IF(OR(AND($H276&lt;&gt;"",$H276=0),LEFT(LOWER(TRIM($F276&amp;"")),9)="free game",LOWER(TRIM($F276&amp;""))="free",LOWER(TRIM($F276&amp;""))="free entry"),IF(ISNUMBER($G276),IF(ISNUMBER(SEARCH("non",LOWER($E276&amp;""))),$G276*0.85,$G276),"N/A"),IF($G276="","",IFERROR(IF(ISNUMBER(SEARCH("non",LOWER($E276&amp;""))),$G276*0.85,$G276),"")))))</ns0:f>
        <ns0:v/>
      </ns0:c>
      <ns0:c r="O276" s="987" t="str">
        <ns0:f>IF(COUNTA($A276:$M276)=0,"",IF(OR(LEFT(LOWER(TRIM($F276&amp;"")),12)="subscription",LOWER(TRIM($F276&amp;""))="membership"),"",IF(OR(AND($H276&lt;&gt;"",$H276=0),LEFT(LOWER(TRIM($F276&amp;"")),9)="free game",LOWER(TRIM($F276&amp;""))="free",LOWER(TRIM($F276&amp;""))="free entry"),IF(OR(NOT(ISNUMBER($N276)),NOT(ISNUMBER($I276)),$I276=0),"N/A",IFERROR($N276/$I276,"N/A")),IF(OR($N276="",$I276="",$I276=0),"",IFERROR($N276/$I276,"")))))</ns0:f>
        <ns0:v/>
      </ns0:c>
      <ns0:c r="P276" s="987">
        <ns0:f>IF(COUNTA($A276:$M276)=0,"",IF(OR(LEFT(LOWER(TRIM($F276&amp;"")),12)="subscription",LOWER(TRIM($F276&amp;""))="membership"),"",IF(LOWER(TRIM($D276&amp;""))="estimate","N/A",IF(LOWER($L276&amp;"")="yes",0,IF(OR(AND($H276&lt;&gt;"",$H276=0),LEFT(LOWER(TRIM($F276&amp;"")),9)="free game",LOWER(TRIM($F276&amp;""))="free",LOWER(TRIM($F276&amp;""))="free entry"),IF(ISNUMBER($K276),$K276,""),IF($K276&lt;&gt;"",$K276,""))))))</ns0:f>
      </ns0:c>
      <ns0:c r="Q276" s="114">
        <ns0:f>IF(COUNTA($A276:$M276)=0,"",IF(OR($U276="Subscription",$U276=""),"",IF($U276="Estimate","N/A",IF($U276="Profit",ROUND(IFERROR($P276,0)-IFERROR($H276,0),2),0))))</ns0:f>
      </ns0:c>
      <ns0:c r="R276" s="114">
        <ns0:f>IF(COUNTA($A276:$M276)=0,"",IF(OR($U276="Subscription",$U276=""),"",IF($U276="Estimate","N/A",IF($U276="Draw",$H276,0))))</ns0:f>
      </ns0:c>
      <ns0:c r="S276" s="114">
        <ns0:f>IF(COUNTA($A276:$M276)=0,"",IF(OR($U276="Subscription",$U276=""),"",IF($U276="Estimate","N/A",IF($U276="Disqualified",$H276,0))))</ns0:f>
      </ns0:c>
      <ns0:c r="T276" s="955">
        <ns0:f>IF(COUNTA($A276:$M276)=0,"",IF(OR($U276="Subscription",$U276=""),"",IF($U276="Estimate","N/A",IF(OR($U276="Free Game",$U276="Disqualified — Free Game",$H276=0),"N/A",IF($U276="Profit",$Q276/$H276,IF($U276="Disqualified",-$S276/$H276,0))))))</ns0:f>
      </ns0:c>
      <ns0:c r="U276" s="920">
        <ns0:f>IF(COUNTA($A276:$M276)=0,"",IF(OR(LEFT(LOWER(TRIM($F276&amp;"")),12)="subscription",LOWER(TRIM($F276&amp;""))="membership"),"Subscription",IF(LOWER(TRIM($D276&amp;""))="estimate","Estimate",IF(OR(AND($H276&lt;&gt;"",$H276=0),LEFT(LOWER(TRIM($F276&amp;"")),9)="free game",LOWER(TRIM($F276&amp;""))="free",LOWER(TRIM($F276&amp;""))="free entry"),IF(LOWER($L276&amp;"")="yes","Disqualified — Free Game","Free Game"),IF(LOWER($L276&amp;"")="yes","Disqualified",IF($P276="","",IF(ROUND(IFERROR(VALUE($P276),0)-IFERROR(VALUE($H276),0),2)&gt;0,"Profit","Draw")))))))</ns0:f>
      </ns0:c>
      <ns0:c r="V276" s="956" t="str">
        <ns0:f>IF(COUNTA($A276:$M276)=0,"",IF(OR($B276="",$C276="",$U276="Subscription"),"",IFERROR(ROUNDUP(($C276-$B276)/7,0),"")))</ns0:f>
      </ns0:c>
      <ns0:c r="W276" s="114">
        <ns0:f>IF(COUNTA($A276:$M276)=0,"",IF(OR($U276="Subscription",$U276=""),"",IF($U276="Estimate","N/A",IF(OR($U276="Free Game",$U276="Disqualified — Free Game"),0,ROUND(IFERROR($Q276,0)-IFERROR($S276,0),2)))))</ns0:f>
      </ns0:c>
      <ns0:c r="X276" s="956" t="str">
        <ns0:f>IF(COUNTA($A276:$M276)=0,"",IF(OR($U276="Subscription",NOT(ISNUMBER($J276)),NOT(ISNUMBER($I276)),$J276=0,$I276=0,$I276&gt;$J276),"",$J276-$I276))</ns0:f>
      </ns0:c>
      <ns0:c r="Y276" s="955" t="str">
        <ns0:f>IF(COUNTA($A276:$M276)=0,"",IF(OR($U276="Subscription",NOT(ISNUMBER($J276)),$J276=0,$X276=""),"",$X276/$J276))</ns0:f>
      </ns0:c>
      <ns0:c r="Z276" s="957" t="str">
        <ns0:f>IF(COUNTA($A276:$M276)=0,"",Instructions!$B$29+SUM($W$5:W276))</ns0:f>
      </ns0:c>
    </ns0:row>
    <ns0:row r="277" ht="36" customHeight="1">
      <ns0:c r="A277" s="439"/>
      <ns0:c r="B277" s="453"/>
      <ns0:c r="C277" s="453"/>
      <ns0:c r="D277" s="454"/>
      <ns0:c r="E277" s="454"/>
      <ns0:c r="F277" s="454"/>
      <ns0:c r="G277" s="986"/>
      <ns0:c r="H277" s="455"/>
      <ns0:c r="I277" s="456"/>
      <ns0:c r="J277" s="456"/>
      <ns0:c r="K277" s="986"/>
      <ns0:c r="L277" s="454"/>
      <ns0:c r="M277" s="439"/>
      <ns0:c r="N277" s="987" t="str">
        <ns0:f>IF(COUNTA($A277:$M277)=0,"",IF(OR(LEFT(LOWER(TRIM($F277&amp;"")),12)="subscription",LOWER(TRIM($F277&amp;""))="membership"),"",IF(OR(AND($H277&lt;&gt;"",$H277=0),LEFT(LOWER(TRIM($F277&amp;"")),9)="free game",LOWER(TRIM($F277&amp;""))="free",LOWER(TRIM($F277&amp;""))="free entry"),IF(ISNUMBER($G277),IF(ISNUMBER(SEARCH("non",LOWER($E277&amp;""))),$G277*0.85,$G277),"N/A"),IF($G277="","",IFERROR(IF(ISNUMBER(SEARCH("non",LOWER($E277&amp;""))),$G277*0.85,$G277),"")))))</ns0:f>
        <ns0:v/>
      </ns0:c>
      <ns0:c r="O277" s="987" t="str">
        <ns0:f>IF(COUNTA($A277:$M277)=0,"",IF(OR(LEFT(LOWER(TRIM($F277&amp;"")),12)="subscription",LOWER(TRIM($F277&amp;""))="membership"),"",IF(OR(AND($H277&lt;&gt;"",$H277=0),LEFT(LOWER(TRIM($F277&amp;"")),9)="free game",LOWER(TRIM($F277&amp;""))="free",LOWER(TRIM($F277&amp;""))="free entry"),IF(OR(NOT(ISNUMBER($N277)),NOT(ISNUMBER($I277)),$I277=0),"N/A",IFERROR($N277/$I277,"N/A")),IF(OR($N277="",$I277="",$I277=0),"",IFERROR($N277/$I277,"")))))</ns0:f>
        <ns0:v/>
      </ns0:c>
      <ns0:c r="P277" s="987">
        <ns0:f>IF(COUNTA($A277:$M277)=0,"",IF(OR(LEFT(LOWER(TRIM($F277&amp;"")),12)="subscription",LOWER(TRIM($F277&amp;""))="membership"),"",IF(LOWER(TRIM($D277&amp;""))="estimate","N/A",IF(LOWER($L277&amp;"")="yes",0,IF(OR(AND($H277&lt;&gt;"",$H277=0),LEFT(LOWER(TRIM($F277&amp;"")),9)="free game",LOWER(TRIM($F277&amp;""))="free",LOWER(TRIM($F277&amp;""))="free entry"),IF(ISNUMBER($K277),$K277,""),IF($K277&lt;&gt;"",$K277,""))))))</ns0:f>
      </ns0:c>
      <ns0:c r="Q277" s="114">
        <ns0:f>IF(COUNTA($A277:$M277)=0,"",IF(OR($U277="Subscription",$U277=""),"",IF($U277="Estimate","N/A",IF($U277="Profit",ROUND(IFERROR($P277,0)-IFERROR($H277,0),2),0))))</ns0:f>
      </ns0:c>
      <ns0:c r="R277" s="114">
        <ns0:f>IF(COUNTA($A277:$M277)=0,"",IF(OR($U277="Subscription",$U277=""),"",IF($U277="Estimate","N/A",IF($U277="Draw",$H277,0))))</ns0:f>
      </ns0:c>
      <ns0:c r="S277" s="114">
        <ns0:f>IF(COUNTA($A277:$M277)=0,"",IF(OR($U277="Subscription",$U277=""),"",IF($U277="Estimate","N/A",IF($U277="Disqualified",$H277,0))))</ns0:f>
      </ns0:c>
      <ns0:c r="T277" s="955">
        <ns0:f>IF(COUNTA($A277:$M277)=0,"",IF(OR($U277="Subscription",$U277=""),"",IF($U277="Estimate","N/A",IF(OR($U277="Free Game",$U277="Disqualified — Free Game",$H277=0),"N/A",IF($U277="Profit",$Q277/$H277,IF($U277="Disqualified",-$S277/$H277,0))))))</ns0:f>
      </ns0:c>
      <ns0:c r="U277" s="920">
        <ns0:f>IF(COUNTA($A277:$M277)=0,"",IF(OR(LEFT(LOWER(TRIM($F277&amp;"")),12)="subscription",LOWER(TRIM($F277&amp;""))="membership"),"Subscription",IF(LOWER(TRIM($D277&amp;""))="estimate","Estimate",IF(OR(AND($H277&lt;&gt;"",$H277=0),LEFT(LOWER(TRIM($F277&amp;"")),9)="free game",LOWER(TRIM($F277&amp;""))="free",LOWER(TRIM($F277&amp;""))="free entry"),IF(LOWER($L277&amp;"")="yes","Disqualified — Free Game","Free Game"),IF(LOWER($L277&amp;"")="yes","Disqualified",IF($P277="","",IF(ROUND(IFERROR(VALUE($P277),0)-IFERROR(VALUE($H277),0),2)&gt;0,"Profit","Draw")))))))</ns0:f>
      </ns0:c>
      <ns0:c r="V277" s="956" t="str">
        <ns0:f>IF(COUNTA($A277:$M277)=0,"",IF(OR($B277="",$C277="",$U277="Subscription"),"",IFERROR(ROUNDUP(($C277-$B277)/7,0),"")))</ns0:f>
      </ns0:c>
      <ns0:c r="W277" s="114">
        <ns0:f>IF(COUNTA($A277:$M277)=0,"",IF(OR($U277="Subscription",$U277=""),"",IF($U277="Estimate","N/A",IF(OR($U277="Free Game",$U277="Disqualified — Free Game"),0,ROUND(IFERROR($Q277,0)-IFERROR($S277,0),2)))))</ns0:f>
      </ns0:c>
      <ns0:c r="X277" s="956" t="str">
        <ns0:f>IF(COUNTA($A277:$M277)=0,"",IF(OR($U277="Subscription",NOT(ISNUMBER($J277)),NOT(ISNUMBER($I277)),$J277=0,$I277=0,$I277&gt;$J277),"",$J277-$I277))</ns0:f>
      </ns0:c>
      <ns0:c r="Y277" s="955" t="str">
        <ns0:f>IF(COUNTA($A277:$M277)=0,"",IF(OR($U277="Subscription",NOT(ISNUMBER($J277)),$J277=0,$X277=""),"",$X277/$J277))</ns0:f>
      </ns0:c>
      <ns0:c r="Z277" s="957" t="str">
        <ns0:f>IF(COUNTA($A277:$M277)=0,"",Instructions!$B$29+SUM($W$5:W277))</ns0:f>
      </ns0:c>
    </ns0:row>
    <ns0:row r="278" ht="36" customHeight="1">
      <ns0:c r="A278" s="439"/>
      <ns0:c r="B278" s="453"/>
      <ns0:c r="C278" s="453"/>
      <ns0:c r="D278" s="454"/>
      <ns0:c r="E278" s="454"/>
      <ns0:c r="F278" s="454"/>
      <ns0:c r="G278" s="986"/>
      <ns0:c r="H278" s="455"/>
      <ns0:c r="I278" s="456"/>
      <ns0:c r="J278" s="456"/>
      <ns0:c r="K278" s="986"/>
      <ns0:c r="L278" s="454"/>
      <ns0:c r="M278" s="439"/>
      <ns0:c r="N278" s="987" t="str">
        <ns0:f>IF(COUNTA($A278:$M278)=0,"",IF(OR(LEFT(LOWER(TRIM($F278&amp;"")),12)="subscription",LOWER(TRIM($F278&amp;""))="membership"),"",IF(OR(AND($H278&lt;&gt;"",$H278=0),LEFT(LOWER(TRIM($F278&amp;"")),9)="free game",LOWER(TRIM($F278&amp;""))="free",LOWER(TRIM($F278&amp;""))="free entry"),IF(ISNUMBER($G278),IF(ISNUMBER(SEARCH("non",LOWER($E278&amp;""))),$G278*0.85,$G278),"N/A"),IF($G278="","",IFERROR(IF(ISNUMBER(SEARCH("non",LOWER($E278&amp;""))),$G278*0.85,$G278),"")))))</ns0:f>
        <ns0:v/>
      </ns0:c>
      <ns0:c r="O278" s="987" t="str">
        <ns0:f>IF(COUNTA($A278:$M278)=0,"",IF(OR(LEFT(LOWER(TRIM($F278&amp;"")),12)="subscription",LOWER(TRIM($F278&amp;""))="membership"),"",IF(OR(AND($H278&lt;&gt;"",$H278=0),LEFT(LOWER(TRIM($F278&amp;"")),9)="free game",LOWER(TRIM($F278&amp;""))="free",LOWER(TRIM($F278&amp;""))="free entry"),IF(OR(NOT(ISNUMBER($N278)),NOT(ISNUMBER($I278)),$I278=0),"N/A",IFERROR($N278/$I278,"N/A")),IF(OR($N278="",$I278="",$I278=0),"",IFERROR($N278/$I278,"")))))</ns0:f>
        <ns0:v/>
      </ns0:c>
      <ns0:c r="P278" s="987">
        <ns0:f>IF(COUNTA($A278:$M278)=0,"",IF(OR(LEFT(LOWER(TRIM($F278&amp;"")),12)="subscription",LOWER(TRIM($F278&amp;""))="membership"),"",IF(LOWER(TRIM($D278&amp;""))="estimate","N/A",IF(LOWER($L278&amp;"")="yes",0,IF(OR(AND($H278&lt;&gt;"",$H278=0),LEFT(LOWER(TRIM($F278&amp;"")),9)="free game",LOWER(TRIM($F278&amp;""))="free",LOWER(TRIM($F278&amp;""))="free entry"),IF(ISNUMBER($K278),$K278,""),IF($K278&lt;&gt;"",$K278,""))))))</ns0:f>
      </ns0:c>
      <ns0:c r="Q278" s="114">
        <ns0:f>IF(COUNTA($A278:$M278)=0,"",IF(OR($U278="Subscription",$U278=""),"",IF($U278="Estimate","N/A",IF($U278="Profit",ROUND(IFERROR($P278,0)-IFERROR($H278,0),2),0))))</ns0:f>
      </ns0:c>
      <ns0:c r="R278" s="114">
        <ns0:f>IF(COUNTA($A278:$M278)=0,"",IF(OR($U278="Subscription",$U278=""),"",IF($U278="Estimate","N/A",IF($U278="Draw",$H278,0))))</ns0:f>
      </ns0:c>
      <ns0:c r="S278" s="114">
        <ns0:f>IF(COUNTA($A278:$M278)=0,"",IF(OR($U278="Subscription",$U278=""),"",IF($U278="Estimate","N/A",IF($U278="Disqualified",$H278,0))))</ns0:f>
      </ns0:c>
      <ns0:c r="T278" s="955">
        <ns0:f>IF(COUNTA($A278:$M278)=0,"",IF(OR($U278="Subscription",$U278=""),"",IF($U278="Estimate","N/A",IF(OR($U278="Free Game",$U278="Disqualified — Free Game",$H278=0),"N/A",IF($U278="Profit",$Q278/$H278,IF($U278="Disqualified",-$S278/$H278,0))))))</ns0:f>
      </ns0:c>
      <ns0:c r="U278" s="920">
        <ns0:f>IF(COUNTA($A278:$M278)=0,"",IF(OR(LEFT(LOWER(TRIM($F278&amp;"")),12)="subscription",LOWER(TRIM($F278&amp;""))="membership"),"Subscription",IF(LOWER(TRIM($D278&amp;""))="estimate","Estimate",IF(OR(AND($H278&lt;&gt;"",$H278=0),LEFT(LOWER(TRIM($F278&amp;"")),9)="free game",LOWER(TRIM($F278&amp;""))="free",LOWER(TRIM($F278&amp;""))="free entry"),IF(LOWER($L278&amp;"")="yes","Disqualified — Free Game","Free Game"),IF(LOWER($L278&amp;"")="yes","Disqualified",IF($P278="","",IF(ROUND(IFERROR(VALUE($P278),0)-IFERROR(VALUE($H278),0),2)&gt;0,"Profit","Draw")))))))</ns0:f>
      </ns0:c>
      <ns0:c r="V278" s="956" t="str">
        <ns0:f>IF(COUNTA($A278:$M278)=0,"",IF(OR($B278="",$C278="",$U278="Subscription"),"",IFERROR(ROUNDUP(($C278-$B278)/7,0),"")))</ns0:f>
      </ns0:c>
      <ns0:c r="W278" s="114">
        <ns0:f>IF(COUNTA($A278:$M278)=0,"",IF(OR($U278="Subscription",$U278=""),"",IF($U278="Estimate","N/A",IF(OR($U278="Free Game",$U278="Disqualified — Free Game"),0,ROUND(IFERROR($Q278,0)-IFERROR($S278,0),2)))))</ns0:f>
      </ns0:c>
      <ns0:c r="X278" s="956" t="str">
        <ns0:f>IF(COUNTA($A278:$M278)=0,"",IF(OR($U278="Subscription",NOT(ISNUMBER($J278)),NOT(ISNUMBER($I278)),$J278=0,$I278=0,$I278&gt;$J278),"",$J278-$I278))</ns0:f>
      </ns0:c>
      <ns0:c r="Y278" s="955" t="str">
        <ns0:f>IF(COUNTA($A278:$M278)=0,"",IF(OR($U278="Subscription",NOT(ISNUMBER($J278)),$J278=0,$X278=""),"",$X278/$J278))</ns0:f>
      </ns0:c>
      <ns0:c r="Z278" s="957" t="str">
        <ns0:f>IF(COUNTA($A278:$M278)=0,"",Instructions!$B$29+SUM($W$5:W278))</ns0:f>
      </ns0:c>
    </ns0:row>
    <ns0:row r="279" ht="36" customHeight="1">
      <ns0:c r="A279" s="439"/>
      <ns0:c r="B279" s="453"/>
      <ns0:c r="C279" s="453"/>
      <ns0:c r="D279" s="454"/>
      <ns0:c r="E279" s="454"/>
      <ns0:c r="F279" s="454"/>
      <ns0:c r="G279" s="986"/>
      <ns0:c r="H279" s="455"/>
      <ns0:c r="I279" s="456"/>
      <ns0:c r="J279" s="456"/>
      <ns0:c r="K279" s="986"/>
      <ns0:c r="L279" s="454"/>
      <ns0:c r="M279" s="439"/>
      <ns0:c r="N279" s="987" t="str">
        <ns0:f>IF(COUNTA($A279:$M279)=0,"",IF(OR(LEFT(LOWER(TRIM($F279&amp;"")),12)="subscription",LOWER(TRIM($F279&amp;""))="membership"),"",IF(OR(AND($H279&lt;&gt;"",$H279=0),LEFT(LOWER(TRIM($F279&amp;"")),9)="free game",LOWER(TRIM($F279&amp;""))="free",LOWER(TRIM($F279&amp;""))="free entry"),IF(ISNUMBER($G279),IF(ISNUMBER(SEARCH("non",LOWER($E279&amp;""))),$G279*0.85,$G279),"N/A"),IF($G279="","",IFERROR(IF(ISNUMBER(SEARCH("non",LOWER($E279&amp;""))),$G279*0.85,$G279),"")))))</ns0:f>
        <ns0:v/>
      </ns0:c>
      <ns0:c r="O279" s="987" t="str">
        <ns0:f>IF(COUNTA($A279:$M279)=0,"",IF(OR(LEFT(LOWER(TRIM($F279&amp;"")),12)="subscription",LOWER(TRIM($F279&amp;""))="membership"),"",IF(OR(AND($H279&lt;&gt;"",$H279=0),LEFT(LOWER(TRIM($F279&amp;"")),9)="free game",LOWER(TRIM($F279&amp;""))="free",LOWER(TRIM($F279&amp;""))="free entry"),IF(OR(NOT(ISNUMBER($N279)),NOT(ISNUMBER($I279)),$I279=0),"N/A",IFERROR($N279/$I279,"N/A")),IF(OR($N279="",$I279="",$I279=0),"",IFERROR($N279/$I279,"")))))</ns0:f>
        <ns0:v/>
      </ns0:c>
      <ns0:c r="P279" s="987">
        <ns0:f>IF(COUNTA($A279:$M279)=0,"",IF(OR(LEFT(LOWER(TRIM($F279&amp;"")),12)="subscription",LOWER(TRIM($F279&amp;""))="membership"),"",IF(LOWER(TRIM($D279&amp;""))="estimate","N/A",IF(LOWER($L279&amp;"")="yes",0,IF(OR(AND($H279&lt;&gt;"",$H279=0),LEFT(LOWER(TRIM($F279&amp;"")),9)="free game",LOWER(TRIM($F279&amp;""))="free",LOWER(TRIM($F279&amp;""))="free entry"),IF(ISNUMBER($K279),$K279,""),IF($K279&lt;&gt;"",$K279,""))))))</ns0:f>
      </ns0:c>
      <ns0:c r="Q279" s="114">
        <ns0:f>IF(COUNTA($A279:$M279)=0,"",IF(OR($U279="Subscription",$U279=""),"",IF($U279="Estimate","N/A",IF($U279="Profit",ROUND(IFERROR($P279,0)-IFERROR($H279,0),2),0))))</ns0:f>
      </ns0:c>
      <ns0:c r="R279" s="114">
        <ns0:f>IF(COUNTA($A279:$M279)=0,"",IF(OR($U279="Subscription",$U279=""),"",IF($U279="Estimate","N/A",IF($U279="Draw",$H279,0))))</ns0:f>
      </ns0:c>
      <ns0:c r="S279" s="114">
        <ns0:f>IF(COUNTA($A279:$M279)=0,"",IF(OR($U279="Subscription",$U279=""),"",IF($U279="Estimate","N/A",IF($U279="Disqualified",$H279,0))))</ns0:f>
      </ns0:c>
      <ns0:c r="T279" s="955">
        <ns0:f>IF(COUNTA($A279:$M279)=0,"",IF(OR($U279="Subscription",$U279=""),"",IF($U279="Estimate","N/A",IF(OR($U279="Free Game",$U279="Disqualified — Free Game",$H279=0),"N/A",IF($U279="Profit",$Q279/$H279,IF($U279="Disqualified",-$S279/$H279,0))))))</ns0:f>
      </ns0:c>
      <ns0:c r="U279" s="920">
        <ns0:f>IF(COUNTA($A279:$M279)=0,"",IF(OR(LEFT(LOWER(TRIM($F279&amp;"")),12)="subscription",LOWER(TRIM($F279&amp;""))="membership"),"Subscription",IF(LOWER(TRIM($D279&amp;""))="estimate","Estimate",IF(OR(AND($H279&lt;&gt;"",$H279=0),LEFT(LOWER(TRIM($F279&amp;"")),9)="free game",LOWER(TRIM($F279&amp;""))="free",LOWER(TRIM($F279&amp;""))="free entry"),IF(LOWER($L279&amp;"")="yes","Disqualified — Free Game","Free Game"),IF(LOWER($L279&amp;"")="yes","Disqualified",IF($P279="","",IF(ROUND(IFERROR(VALUE($P279),0)-IFERROR(VALUE($H279),0),2)&gt;0,"Profit","Draw")))))))</ns0:f>
      </ns0:c>
      <ns0:c r="V279" s="956" t="str">
        <ns0:f>IF(COUNTA($A279:$M279)=0,"",IF(OR($B279="",$C279="",$U279="Subscription"),"",IFERROR(ROUNDUP(($C279-$B279)/7,0),"")))</ns0:f>
      </ns0:c>
      <ns0:c r="W279" s="114">
        <ns0:f>IF(COUNTA($A279:$M279)=0,"",IF(OR($U279="Subscription",$U279=""),"",IF($U279="Estimate","N/A",IF(OR($U279="Free Game",$U279="Disqualified — Free Game"),0,ROUND(IFERROR($Q279,0)-IFERROR($S279,0),2)))))</ns0:f>
      </ns0:c>
      <ns0:c r="X279" s="956" t="str">
        <ns0:f>IF(COUNTA($A279:$M279)=0,"",IF(OR($U279="Subscription",NOT(ISNUMBER($J279)),NOT(ISNUMBER($I279)),$J279=0,$I279=0,$I279&gt;$J279),"",$J279-$I279))</ns0:f>
      </ns0:c>
      <ns0:c r="Y279" s="955" t="str">
        <ns0:f>IF(COUNTA($A279:$M279)=0,"",IF(OR($U279="Subscription",NOT(ISNUMBER($J279)),$J279=0,$X279=""),"",$X279/$J279))</ns0:f>
      </ns0:c>
      <ns0:c r="Z279" s="957" t="str">
        <ns0:f>IF(COUNTA($A279:$M279)=0,"",Instructions!$B$29+SUM($W$5:W279))</ns0:f>
      </ns0:c>
    </ns0:row>
    <ns0:row r="280" ht="36" customHeight="1">
      <ns0:c r="A280" s="439"/>
      <ns0:c r="B280" s="453"/>
      <ns0:c r="C280" s="453"/>
      <ns0:c r="D280" s="454"/>
      <ns0:c r="E280" s="454"/>
      <ns0:c r="F280" s="454"/>
      <ns0:c r="G280" s="986"/>
      <ns0:c r="H280" s="455"/>
      <ns0:c r="I280" s="456"/>
      <ns0:c r="J280" s="456"/>
      <ns0:c r="K280" s="986"/>
      <ns0:c r="L280" s="454"/>
      <ns0:c r="M280" s="439"/>
      <ns0:c r="N280" s="987" t="str">
        <ns0:f>IF(COUNTA($A280:$M280)=0,"",IF(OR(LEFT(LOWER(TRIM($F280&amp;"")),12)="subscription",LOWER(TRIM($F280&amp;""))="membership"),"",IF(OR(AND($H280&lt;&gt;"",$H280=0),LEFT(LOWER(TRIM($F280&amp;"")),9)="free game",LOWER(TRIM($F280&amp;""))="free",LOWER(TRIM($F280&amp;""))="free entry"),IF(ISNUMBER($G280),IF(ISNUMBER(SEARCH("non",LOWER($E280&amp;""))),$G280*0.85,$G280),"N/A"),IF($G280="","",IFERROR(IF(ISNUMBER(SEARCH("non",LOWER($E280&amp;""))),$G280*0.85,$G280),"")))))</ns0:f>
        <ns0:v/>
      </ns0:c>
      <ns0:c r="O280" s="987" t="str">
        <ns0:f>IF(COUNTA($A280:$M280)=0,"",IF(OR(LEFT(LOWER(TRIM($F280&amp;"")),12)="subscription",LOWER(TRIM($F280&amp;""))="membership"),"",IF(OR(AND($H280&lt;&gt;"",$H280=0),LEFT(LOWER(TRIM($F280&amp;"")),9)="free game",LOWER(TRIM($F280&amp;""))="free",LOWER(TRIM($F280&amp;""))="free entry"),IF(OR(NOT(ISNUMBER($N280)),NOT(ISNUMBER($I280)),$I280=0),"N/A",IFERROR($N280/$I280,"N/A")),IF(OR($N280="",$I280="",$I280=0),"",IFERROR($N280/$I280,"")))))</ns0:f>
        <ns0:v/>
      </ns0:c>
      <ns0:c r="P280" s="987">
        <ns0:f>IF(COUNTA($A280:$M280)=0,"",IF(OR(LEFT(LOWER(TRIM($F280&amp;"")),12)="subscription",LOWER(TRIM($F280&amp;""))="membership"),"",IF(LOWER(TRIM($D280&amp;""))="estimate","N/A",IF(LOWER($L280&amp;"")="yes",0,IF(OR(AND($H280&lt;&gt;"",$H280=0),LEFT(LOWER(TRIM($F280&amp;"")),9)="free game",LOWER(TRIM($F280&amp;""))="free",LOWER(TRIM($F280&amp;""))="free entry"),IF(ISNUMBER($K280),$K280,""),IF($K280&lt;&gt;"",$K280,""))))))</ns0:f>
      </ns0:c>
      <ns0:c r="Q280" s="114">
        <ns0:f>IF(COUNTA($A280:$M280)=0,"",IF(OR($U280="Subscription",$U280=""),"",IF($U280="Estimate","N/A",IF($U280="Profit",ROUND(IFERROR($P280,0)-IFERROR($H280,0),2),0))))</ns0:f>
      </ns0:c>
      <ns0:c r="R280" s="114">
        <ns0:f>IF(COUNTA($A280:$M280)=0,"",IF(OR($U280="Subscription",$U280=""),"",IF($U280="Estimate","N/A",IF($U280="Draw",$H280,0))))</ns0:f>
      </ns0:c>
      <ns0:c r="S280" s="114">
        <ns0:f>IF(COUNTA($A280:$M280)=0,"",IF(OR($U280="Subscription",$U280=""),"",IF($U280="Estimate","N/A",IF($U280="Disqualified",$H280,0))))</ns0:f>
      </ns0:c>
      <ns0:c r="T280" s="955">
        <ns0:f>IF(COUNTA($A280:$M280)=0,"",IF(OR($U280="Subscription",$U280=""),"",IF($U280="Estimate","N/A",IF(OR($U280="Free Game",$U280="Disqualified — Free Game",$H280=0),"N/A",IF($U280="Profit",$Q280/$H280,IF($U280="Disqualified",-$S280/$H280,0))))))</ns0:f>
      </ns0:c>
      <ns0:c r="U280" s="920">
        <ns0:f>IF(COUNTA($A280:$M280)=0,"",IF(OR(LEFT(LOWER(TRIM($F280&amp;"")),12)="subscription",LOWER(TRIM($F280&amp;""))="membership"),"Subscription",IF(LOWER(TRIM($D280&amp;""))="estimate","Estimate",IF(OR(AND($H280&lt;&gt;"",$H280=0),LEFT(LOWER(TRIM($F280&amp;"")),9)="free game",LOWER(TRIM($F280&amp;""))="free",LOWER(TRIM($F280&amp;""))="free entry"),IF(LOWER($L280&amp;"")="yes","Disqualified — Free Game","Free Game"),IF(LOWER($L280&amp;"")="yes","Disqualified",IF($P280="","",IF(ROUND(IFERROR(VALUE($P280),0)-IFERROR(VALUE($H280),0),2)&gt;0,"Profit","Draw")))))))</ns0:f>
      </ns0:c>
      <ns0:c r="V280" s="956" t="str">
        <ns0:f>IF(COUNTA($A280:$M280)=0,"",IF(OR($B280="",$C280="",$U280="Subscription"),"",IFERROR(ROUNDUP(($C280-$B280)/7,0),"")))</ns0:f>
      </ns0:c>
      <ns0:c r="W280" s="114">
        <ns0:f>IF(COUNTA($A280:$M280)=0,"",IF(OR($U280="Subscription",$U280=""),"",IF($U280="Estimate","N/A",IF(OR($U280="Free Game",$U280="Disqualified — Free Game"),0,ROUND(IFERROR($Q280,0)-IFERROR($S280,0),2)))))</ns0:f>
      </ns0:c>
      <ns0:c r="X280" s="956" t="str">
        <ns0:f>IF(COUNTA($A280:$M280)=0,"",IF(OR($U280="Subscription",NOT(ISNUMBER($J280)),NOT(ISNUMBER($I280)),$J280=0,$I280=0,$I280&gt;$J280),"",$J280-$I280))</ns0:f>
      </ns0:c>
      <ns0:c r="Y280" s="955" t="str">
        <ns0:f>IF(COUNTA($A280:$M280)=0,"",IF(OR($U280="Subscription",NOT(ISNUMBER($J280)),$J280=0,$X280=""),"",$X280/$J280))</ns0:f>
      </ns0:c>
      <ns0:c r="Z280" s="957" t="str">
        <ns0:f>IF(COUNTA($A280:$M280)=0,"",Instructions!$B$29+SUM($W$5:W280))</ns0:f>
      </ns0:c>
    </ns0:row>
    <ns0:row r="281" ht="36" customHeight="1">
      <ns0:c r="A281" s="439"/>
      <ns0:c r="B281" s="453"/>
      <ns0:c r="C281" s="453"/>
      <ns0:c r="D281" s="454"/>
      <ns0:c r="E281" s="454"/>
      <ns0:c r="F281" s="454"/>
      <ns0:c r="G281" s="986"/>
      <ns0:c r="H281" s="455"/>
      <ns0:c r="I281" s="456"/>
      <ns0:c r="J281" s="456"/>
      <ns0:c r="K281" s="986"/>
      <ns0:c r="L281" s="454"/>
      <ns0:c r="M281" s="439"/>
      <ns0:c r="N281" s="987" t="str">
        <ns0:f>IF(COUNTA($A281:$M281)=0,"",IF(OR(LEFT(LOWER(TRIM($F281&amp;"")),12)="subscription",LOWER(TRIM($F281&amp;""))="membership"),"",IF(OR(AND($H281&lt;&gt;"",$H281=0),LEFT(LOWER(TRIM($F281&amp;"")),9)="free game",LOWER(TRIM($F281&amp;""))="free",LOWER(TRIM($F281&amp;""))="free entry"),IF(ISNUMBER($G281),IF(ISNUMBER(SEARCH("non",LOWER($E281&amp;""))),$G281*0.85,$G281),"N/A"),IF($G281="","",IFERROR(IF(ISNUMBER(SEARCH("non",LOWER($E281&amp;""))),$G281*0.85,$G281),"")))))</ns0:f>
        <ns0:v/>
      </ns0:c>
      <ns0:c r="O281" s="987" t="str">
        <ns0:f>IF(COUNTA($A281:$M281)=0,"",IF(OR(LEFT(LOWER(TRIM($F281&amp;"")),12)="subscription",LOWER(TRIM($F281&amp;""))="membership"),"",IF(OR(AND($H281&lt;&gt;"",$H281=0),LEFT(LOWER(TRIM($F281&amp;"")),9)="free game",LOWER(TRIM($F281&amp;""))="free",LOWER(TRIM($F281&amp;""))="free entry"),IF(OR(NOT(ISNUMBER($N281)),NOT(ISNUMBER($I281)),$I281=0),"N/A",IFERROR($N281/$I281,"N/A")),IF(OR($N281="",$I281="",$I281=0),"",IFERROR($N281/$I281,"")))))</ns0:f>
        <ns0:v/>
      </ns0:c>
      <ns0:c r="P281" s="987">
        <ns0:f>IF(COUNTA($A281:$M281)=0,"",IF(OR(LEFT(LOWER(TRIM($F281&amp;"")),12)="subscription",LOWER(TRIM($F281&amp;""))="membership"),"",IF(LOWER(TRIM($D281&amp;""))="estimate","N/A",IF(LOWER($L281&amp;"")="yes",0,IF(OR(AND($H281&lt;&gt;"",$H281=0),LEFT(LOWER(TRIM($F281&amp;"")),9)="free game",LOWER(TRIM($F281&amp;""))="free",LOWER(TRIM($F281&amp;""))="free entry"),IF(ISNUMBER($K281),$K281,""),IF($K281&lt;&gt;"",$K281,""))))))</ns0:f>
      </ns0:c>
      <ns0:c r="Q281" s="114">
        <ns0:f>IF(COUNTA($A281:$M281)=0,"",IF(OR($U281="Subscription",$U281=""),"",IF($U281="Estimate","N/A",IF($U281="Profit",ROUND(IFERROR($P281,0)-IFERROR($H281,0),2),0))))</ns0:f>
      </ns0:c>
      <ns0:c r="R281" s="114">
        <ns0:f>IF(COUNTA($A281:$M281)=0,"",IF(OR($U281="Subscription",$U281=""),"",IF($U281="Estimate","N/A",IF($U281="Draw",$H281,0))))</ns0:f>
      </ns0:c>
      <ns0:c r="S281" s="114">
        <ns0:f>IF(COUNTA($A281:$M281)=0,"",IF(OR($U281="Subscription",$U281=""),"",IF($U281="Estimate","N/A",IF($U281="Disqualified",$H281,0))))</ns0:f>
      </ns0:c>
      <ns0:c r="T281" s="955">
        <ns0:f>IF(COUNTA($A281:$M281)=0,"",IF(OR($U281="Subscription",$U281=""),"",IF($U281="Estimate","N/A",IF(OR($U281="Free Game",$U281="Disqualified — Free Game",$H281=0),"N/A",IF($U281="Profit",$Q281/$H281,IF($U281="Disqualified",-$S281/$H281,0))))))</ns0:f>
      </ns0:c>
      <ns0:c r="U281" s="920">
        <ns0:f>IF(COUNTA($A281:$M281)=0,"",IF(OR(LEFT(LOWER(TRIM($F281&amp;"")),12)="subscription",LOWER(TRIM($F281&amp;""))="membership"),"Subscription",IF(LOWER(TRIM($D281&amp;""))="estimate","Estimate",IF(OR(AND($H281&lt;&gt;"",$H281=0),LEFT(LOWER(TRIM($F281&amp;"")),9)="free game",LOWER(TRIM($F281&amp;""))="free",LOWER(TRIM($F281&amp;""))="free entry"),IF(LOWER($L281&amp;"")="yes","Disqualified — Free Game","Free Game"),IF(LOWER($L281&amp;"")="yes","Disqualified",IF($P281="","",IF(ROUND(IFERROR(VALUE($P281),0)-IFERROR(VALUE($H281),0),2)&gt;0,"Profit","Draw")))))))</ns0:f>
      </ns0:c>
      <ns0:c r="V281" s="956" t="str">
        <ns0:f>IF(COUNTA($A281:$M281)=0,"",IF(OR($B281="",$C281="",$U281="Subscription"),"",IFERROR(ROUNDUP(($C281-$B281)/7,0),"")))</ns0:f>
      </ns0:c>
      <ns0:c r="W281" s="114">
        <ns0:f>IF(COUNTA($A281:$M281)=0,"",IF(OR($U281="Subscription",$U281=""),"",IF($U281="Estimate","N/A",IF(OR($U281="Free Game",$U281="Disqualified — Free Game"),0,ROUND(IFERROR($Q281,0)-IFERROR($S281,0),2)))))</ns0:f>
      </ns0:c>
      <ns0:c r="X281" s="956" t="str">
        <ns0:f>IF(COUNTA($A281:$M281)=0,"",IF(OR($U281="Subscription",NOT(ISNUMBER($J281)),NOT(ISNUMBER($I281)),$J281=0,$I281=0,$I281&gt;$J281),"",$J281-$I281))</ns0:f>
      </ns0:c>
      <ns0:c r="Y281" s="955" t="str">
        <ns0:f>IF(COUNTA($A281:$M281)=0,"",IF(OR($U281="Subscription",NOT(ISNUMBER($J281)),$J281=0,$X281=""),"",$X281/$J281))</ns0:f>
      </ns0:c>
      <ns0:c r="Z281" s="957" t="str">
        <ns0:f>IF(COUNTA($A281:$M281)=0,"",Instructions!$B$29+SUM($W$5:W281))</ns0:f>
      </ns0:c>
    </ns0:row>
    <ns0:row r="282" ht="36" customHeight="1">
      <ns0:c r="A282" s="439"/>
      <ns0:c r="B282" s="453"/>
      <ns0:c r="C282" s="453"/>
      <ns0:c r="D282" s="454"/>
      <ns0:c r="E282" s="454"/>
      <ns0:c r="F282" s="454"/>
      <ns0:c r="G282" s="986"/>
      <ns0:c r="H282" s="455"/>
      <ns0:c r="I282" s="456"/>
      <ns0:c r="J282" s="456"/>
      <ns0:c r="K282" s="986"/>
      <ns0:c r="L282" s="454"/>
      <ns0:c r="M282" s="439"/>
      <ns0:c r="N282" s="987" t="str">
        <ns0:f>IF(COUNTA($A282:$M282)=0,"",IF(OR(LEFT(LOWER(TRIM($F282&amp;"")),12)="subscription",LOWER(TRIM($F282&amp;""))="membership"),"",IF(OR(AND($H282&lt;&gt;"",$H282=0),LEFT(LOWER(TRIM($F282&amp;"")),9)="free game",LOWER(TRIM($F282&amp;""))="free",LOWER(TRIM($F282&amp;""))="free entry"),IF(ISNUMBER($G282),IF(ISNUMBER(SEARCH("non",LOWER($E282&amp;""))),$G282*0.85,$G282),"N/A"),IF($G282="","",IFERROR(IF(ISNUMBER(SEARCH("non",LOWER($E282&amp;""))),$G282*0.85,$G282),"")))))</ns0:f>
        <ns0:v/>
      </ns0:c>
      <ns0:c r="O282" s="987" t="str">
        <ns0:f>IF(COUNTA($A282:$M282)=0,"",IF(OR(LEFT(LOWER(TRIM($F282&amp;"")),12)="subscription",LOWER(TRIM($F282&amp;""))="membership"),"",IF(OR(AND($H282&lt;&gt;"",$H282=0),LEFT(LOWER(TRIM($F282&amp;"")),9)="free game",LOWER(TRIM($F282&amp;""))="free",LOWER(TRIM($F282&amp;""))="free entry"),IF(OR(NOT(ISNUMBER($N282)),NOT(ISNUMBER($I282)),$I282=0),"N/A",IFERROR($N282/$I282,"N/A")),IF(OR($N282="",$I282="",$I282=0),"",IFERROR($N282/$I282,"")))))</ns0:f>
        <ns0:v/>
      </ns0:c>
      <ns0:c r="P282" s="987">
        <ns0:f>IF(COUNTA($A282:$M282)=0,"",IF(OR(LEFT(LOWER(TRIM($F282&amp;"")),12)="subscription",LOWER(TRIM($F282&amp;""))="membership"),"",IF(LOWER(TRIM($D282&amp;""))="estimate","N/A",IF(LOWER($L282&amp;"")="yes",0,IF(OR(AND($H282&lt;&gt;"",$H282=0),LEFT(LOWER(TRIM($F282&amp;"")),9)="free game",LOWER(TRIM($F282&amp;""))="free",LOWER(TRIM($F282&amp;""))="free entry"),IF(ISNUMBER($K282),$K282,""),IF($K282&lt;&gt;"",$K282,""))))))</ns0:f>
      </ns0:c>
      <ns0:c r="Q282" s="114">
        <ns0:f>IF(COUNTA($A282:$M282)=0,"",IF(OR($U282="Subscription",$U282=""),"",IF($U282="Estimate","N/A",IF($U282="Profit",ROUND(IFERROR($P282,0)-IFERROR($H282,0),2),0))))</ns0:f>
      </ns0:c>
      <ns0:c r="R282" s="114">
        <ns0:f>IF(COUNTA($A282:$M282)=0,"",IF(OR($U282="Subscription",$U282=""),"",IF($U282="Estimate","N/A",IF($U282="Draw",$H282,0))))</ns0:f>
      </ns0:c>
      <ns0:c r="S282" s="114">
        <ns0:f>IF(COUNTA($A282:$M282)=0,"",IF(OR($U282="Subscription",$U282=""),"",IF($U282="Estimate","N/A",IF($U282="Disqualified",$H282,0))))</ns0:f>
      </ns0:c>
      <ns0:c r="T282" s="955">
        <ns0:f>IF(COUNTA($A282:$M282)=0,"",IF(OR($U282="Subscription",$U282=""),"",IF($U282="Estimate","N/A",IF(OR($U282="Free Game",$U282="Disqualified — Free Game",$H282=0),"N/A",IF($U282="Profit",$Q282/$H282,IF($U282="Disqualified",-$S282/$H282,0))))))</ns0:f>
      </ns0:c>
      <ns0:c r="U282" s="920">
        <ns0:f>IF(COUNTA($A282:$M282)=0,"",IF(OR(LEFT(LOWER(TRIM($F282&amp;"")),12)="subscription",LOWER(TRIM($F282&amp;""))="membership"),"Subscription",IF(LOWER(TRIM($D282&amp;""))="estimate","Estimate",IF(OR(AND($H282&lt;&gt;"",$H282=0),LEFT(LOWER(TRIM($F282&amp;"")),9)="free game",LOWER(TRIM($F282&amp;""))="free",LOWER(TRIM($F282&amp;""))="free entry"),IF(LOWER($L282&amp;"")="yes","Disqualified — Free Game","Free Game"),IF(LOWER($L282&amp;"")="yes","Disqualified",IF($P282="","",IF(ROUND(IFERROR(VALUE($P282),0)-IFERROR(VALUE($H282),0),2)&gt;0,"Profit","Draw")))))))</ns0:f>
      </ns0:c>
      <ns0:c r="V282" s="956" t="str">
        <ns0:f>IF(COUNTA($A282:$M282)=0,"",IF(OR($B282="",$C282="",$U282="Subscription"),"",IFERROR(ROUNDUP(($C282-$B282)/7,0),"")))</ns0:f>
      </ns0:c>
      <ns0:c r="W282" s="114">
        <ns0:f>IF(COUNTA($A282:$M282)=0,"",IF(OR($U282="Subscription",$U282=""),"",IF($U282="Estimate","N/A",IF(OR($U282="Free Game",$U282="Disqualified — Free Game"),0,ROUND(IFERROR($Q282,0)-IFERROR($S282,0),2)))))</ns0:f>
      </ns0:c>
      <ns0:c r="X282" s="956" t="str">
        <ns0:f>IF(COUNTA($A282:$M282)=0,"",IF(OR($U282="Subscription",NOT(ISNUMBER($J282)),NOT(ISNUMBER($I282)),$J282=0,$I282=0,$I282&gt;$J282),"",$J282-$I282))</ns0:f>
      </ns0:c>
      <ns0:c r="Y282" s="955" t="str">
        <ns0:f>IF(COUNTA($A282:$M282)=0,"",IF(OR($U282="Subscription",NOT(ISNUMBER($J282)),$J282=0,$X282=""),"",$X282/$J282))</ns0:f>
      </ns0:c>
      <ns0:c r="Z282" s="957" t="str">
        <ns0:f>IF(COUNTA($A282:$M282)=0,"",Instructions!$B$29+SUM($W$5:W282))</ns0:f>
      </ns0:c>
    </ns0:row>
    <ns0:row r="283" ht="36" customHeight="1">
      <ns0:c r="A283" s="439"/>
      <ns0:c r="B283" s="453"/>
      <ns0:c r="C283" s="453"/>
      <ns0:c r="D283" s="454"/>
      <ns0:c r="E283" s="454"/>
      <ns0:c r="F283" s="454"/>
      <ns0:c r="G283" s="986"/>
      <ns0:c r="H283" s="455"/>
      <ns0:c r="I283" s="456"/>
      <ns0:c r="J283" s="456"/>
      <ns0:c r="K283" s="986"/>
      <ns0:c r="L283" s="454"/>
      <ns0:c r="M283" s="439"/>
      <ns0:c r="N283" s="987" t="str">
        <ns0:f>IF(COUNTA($A283:$M283)=0,"",IF(OR(LEFT(LOWER(TRIM($F283&amp;"")),12)="subscription",LOWER(TRIM($F283&amp;""))="membership"),"",IF(OR(AND($H283&lt;&gt;"",$H283=0),LEFT(LOWER(TRIM($F283&amp;"")),9)="free game",LOWER(TRIM($F283&amp;""))="free",LOWER(TRIM($F283&amp;""))="free entry"),IF(ISNUMBER($G283),IF(ISNUMBER(SEARCH("non",LOWER($E283&amp;""))),$G283*0.85,$G283),"N/A"),IF($G283="","",IFERROR(IF(ISNUMBER(SEARCH("non",LOWER($E283&amp;""))),$G283*0.85,$G283),"")))))</ns0:f>
        <ns0:v/>
      </ns0:c>
      <ns0:c r="O283" s="987" t="str">
        <ns0:f>IF(COUNTA($A283:$M283)=0,"",IF(OR(LEFT(LOWER(TRIM($F283&amp;"")),12)="subscription",LOWER(TRIM($F283&amp;""))="membership"),"",IF(OR(AND($H283&lt;&gt;"",$H283=0),LEFT(LOWER(TRIM($F283&amp;"")),9)="free game",LOWER(TRIM($F283&amp;""))="free",LOWER(TRIM($F283&amp;""))="free entry"),IF(OR(NOT(ISNUMBER($N283)),NOT(ISNUMBER($I283)),$I283=0),"N/A",IFERROR($N283/$I283,"N/A")),IF(OR($N283="",$I283="",$I283=0),"",IFERROR($N283/$I283,"")))))</ns0:f>
        <ns0:v/>
      </ns0:c>
      <ns0:c r="P283" s="987">
        <ns0:f>IF(COUNTA($A283:$M283)=0,"",IF(OR(LEFT(LOWER(TRIM($F283&amp;"")),12)="subscription",LOWER(TRIM($F283&amp;""))="membership"),"",IF(LOWER(TRIM($D283&amp;""))="estimate","N/A",IF(LOWER($L283&amp;"")="yes",0,IF(OR(AND($H283&lt;&gt;"",$H283=0),LEFT(LOWER(TRIM($F283&amp;"")),9)="free game",LOWER(TRIM($F283&amp;""))="free",LOWER(TRIM($F283&amp;""))="free entry"),IF(ISNUMBER($K283),$K283,""),IF($K283&lt;&gt;"",$K283,""))))))</ns0:f>
      </ns0:c>
      <ns0:c r="Q283" s="114">
        <ns0:f>IF(COUNTA($A283:$M283)=0,"",IF(OR($U283="Subscription",$U283=""),"",IF($U283="Estimate","N/A",IF($U283="Profit",ROUND(IFERROR($P283,0)-IFERROR($H283,0),2),0))))</ns0:f>
      </ns0:c>
      <ns0:c r="R283" s="114">
        <ns0:f>IF(COUNTA($A283:$M283)=0,"",IF(OR($U283="Subscription",$U283=""),"",IF($U283="Estimate","N/A",IF($U283="Draw",$H283,0))))</ns0:f>
      </ns0:c>
      <ns0:c r="S283" s="114">
        <ns0:f>IF(COUNTA($A283:$M283)=0,"",IF(OR($U283="Subscription",$U283=""),"",IF($U283="Estimate","N/A",IF($U283="Disqualified",$H283,0))))</ns0:f>
      </ns0:c>
      <ns0:c r="T283" s="955">
        <ns0:f>IF(COUNTA($A283:$M283)=0,"",IF(OR($U283="Subscription",$U283=""),"",IF($U283="Estimate","N/A",IF(OR($U283="Free Game",$U283="Disqualified — Free Game",$H283=0),"N/A",IF($U283="Profit",$Q283/$H283,IF($U283="Disqualified",-$S283/$H283,0))))))</ns0:f>
      </ns0:c>
      <ns0:c r="U283" s="920">
        <ns0:f>IF(COUNTA($A283:$M283)=0,"",IF(OR(LEFT(LOWER(TRIM($F283&amp;"")),12)="subscription",LOWER(TRIM($F283&amp;""))="membership"),"Subscription",IF(LOWER(TRIM($D283&amp;""))="estimate","Estimate",IF(OR(AND($H283&lt;&gt;"",$H283=0),LEFT(LOWER(TRIM($F283&amp;"")),9)="free game",LOWER(TRIM($F283&amp;""))="free",LOWER(TRIM($F283&amp;""))="free entry"),IF(LOWER($L283&amp;"")="yes","Disqualified — Free Game","Free Game"),IF(LOWER($L283&amp;"")="yes","Disqualified",IF($P283="","",IF(ROUND(IFERROR(VALUE($P283),0)-IFERROR(VALUE($H283),0),2)&gt;0,"Profit","Draw")))))))</ns0:f>
      </ns0:c>
      <ns0:c r="V283" s="956" t="str">
        <ns0:f>IF(COUNTA($A283:$M283)=0,"",IF(OR($B283="",$C283="",$U283="Subscription"),"",IFERROR(ROUNDUP(($C283-$B283)/7,0),"")))</ns0:f>
      </ns0:c>
      <ns0:c r="W283" s="114">
        <ns0:f>IF(COUNTA($A283:$M283)=0,"",IF(OR($U283="Subscription",$U283=""),"",IF($U283="Estimate","N/A",IF(OR($U283="Free Game",$U283="Disqualified — Free Game"),0,ROUND(IFERROR($Q283,0)-IFERROR($S283,0),2)))))</ns0:f>
      </ns0:c>
      <ns0:c r="X283" s="956" t="str">
        <ns0:f>IF(COUNTA($A283:$M283)=0,"",IF(OR($U283="Subscription",NOT(ISNUMBER($J283)),NOT(ISNUMBER($I283)),$J283=0,$I283=0,$I283&gt;$J283),"",$J283-$I283))</ns0:f>
      </ns0:c>
      <ns0:c r="Y283" s="955" t="str">
        <ns0:f>IF(COUNTA($A283:$M283)=0,"",IF(OR($U283="Subscription",NOT(ISNUMBER($J283)),$J283=0,$X283=""),"",$X283/$J283))</ns0:f>
      </ns0:c>
      <ns0:c r="Z283" s="957" t="str">
        <ns0:f>IF(COUNTA($A283:$M283)=0,"",Instructions!$B$29+SUM($W$5:W283))</ns0:f>
      </ns0:c>
    </ns0:row>
    <ns0:row r="284" ht="36" customHeight="1">
      <ns0:c r="A284" s="439"/>
      <ns0:c r="B284" s="453"/>
      <ns0:c r="C284" s="453"/>
      <ns0:c r="D284" s="454"/>
      <ns0:c r="E284" s="454"/>
      <ns0:c r="F284" s="454"/>
      <ns0:c r="G284" s="986"/>
      <ns0:c r="H284" s="455"/>
      <ns0:c r="I284" s="456"/>
      <ns0:c r="J284" s="456"/>
      <ns0:c r="K284" s="986"/>
      <ns0:c r="L284" s="454"/>
      <ns0:c r="M284" s="439"/>
      <ns0:c r="N284" s="987" t="str">
        <ns0:f>IF(COUNTA($A284:$M284)=0,"",IF(OR(LEFT(LOWER(TRIM($F284&amp;"")),12)="subscription",LOWER(TRIM($F284&amp;""))="membership"),"",IF(OR(AND($H284&lt;&gt;"",$H284=0),LEFT(LOWER(TRIM($F284&amp;"")),9)="free game",LOWER(TRIM($F284&amp;""))="free",LOWER(TRIM($F284&amp;""))="free entry"),IF(ISNUMBER($G284),IF(ISNUMBER(SEARCH("non",LOWER($E284&amp;""))),$G284*0.85,$G284),"N/A"),IF($G284="","",IFERROR(IF(ISNUMBER(SEARCH("non",LOWER($E284&amp;""))),$G284*0.85,$G284),"")))))</ns0:f>
        <ns0:v/>
      </ns0:c>
      <ns0:c r="O284" s="987" t="str">
        <ns0:f>IF(COUNTA($A284:$M284)=0,"",IF(OR(LEFT(LOWER(TRIM($F284&amp;"")),12)="subscription",LOWER(TRIM($F284&amp;""))="membership"),"",IF(OR(AND($H284&lt;&gt;"",$H284=0),LEFT(LOWER(TRIM($F284&amp;"")),9)="free game",LOWER(TRIM($F284&amp;""))="free",LOWER(TRIM($F284&amp;""))="free entry"),IF(OR(NOT(ISNUMBER($N284)),NOT(ISNUMBER($I284)),$I284=0),"N/A",IFERROR($N284/$I284,"N/A")),IF(OR($N284="",$I284="",$I284=0),"",IFERROR($N284/$I284,"")))))</ns0:f>
        <ns0:v/>
      </ns0:c>
      <ns0:c r="P284" s="987">
        <ns0:f>IF(COUNTA($A284:$M284)=0,"",IF(OR(LEFT(LOWER(TRIM($F284&amp;"")),12)="subscription",LOWER(TRIM($F284&amp;""))="membership"),"",IF(LOWER(TRIM($D284&amp;""))="estimate","N/A",IF(LOWER($L284&amp;"")="yes",0,IF(OR(AND($H284&lt;&gt;"",$H284=0),LEFT(LOWER(TRIM($F284&amp;"")),9)="free game",LOWER(TRIM($F284&amp;""))="free",LOWER(TRIM($F284&amp;""))="free entry"),IF(ISNUMBER($K284),$K284,""),IF($K284&lt;&gt;"",$K284,""))))))</ns0:f>
      </ns0:c>
      <ns0:c r="Q284" s="114">
        <ns0:f>IF(COUNTA($A284:$M284)=0,"",IF(OR($U284="Subscription",$U284=""),"",IF($U284="Estimate","N/A",IF($U284="Profit",ROUND(IFERROR($P284,0)-IFERROR($H284,0),2),0))))</ns0:f>
      </ns0:c>
      <ns0:c r="R284" s="114">
        <ns0:f>IF(COUNTA($A284:$M284)=0,"",IF(OR($U284="Subscription",$U284=""),"",IF($U284="Estimate","N/A",IF($U284="Draw",$H284,0))))</ns0:f>
      </ns0:c>
      <ns0:c r="S284" s="114">
        <ns0:f>IF(COUNTA($A284:$M284)=0,"",IF(OR($U284="Subscription",$U284=""),"",IF($U284="Estimate","N/A",IF($U284="Disqualified",$H284,0))))</ns0:f>
      </ns0:c>
      <ns0:c r="T284" s="955">
        <ns0:f>IF(COUNTA($A284:$M284)=0,"",IF(OR($U284="Subscription",$U284=""),"",IF($U284="Estimate","N/A",IF(OR($U284="Free Game",$U284="Disqualified — Free Game",$H284=0),"N/A",IF($U284="Profit",$Q284/$H284,IF($U284="Disqualified",-$S284/$H284,0))))))</ns0:f>
      </ns0:c>
      <ns0:c r="U284" s="920">
        <ns0:f>IF(COUNTA($A284:$M284)=0,"",IF(OR(LEFT(LOWER(TRIM($F284&amp;"")),12)="subscription",LOWER(TRIM($F284&amp;""))="membership"),"Subscription",IF(LOWER(TRIM($D284&amp;""))="estimate","Estimate",IF(OR(AND($H284&lt;&gt;"",$H284=0),LEFT(LOWER(TRIM($F284&amp;"")),9)="free game",LOWER(TRIM($F284&amp;""))="free",LOWER(TRIM($F284&amp;""))="free entry"),IF(LOWER($L284&amp;"")="yes","Disqualified — Free Game","Free Game"),IF(LOWER($L284&amp;"")="yes","Disqualified",IF($P284="","",IF(ROUND(IFERROR(VALUE($P284),0)-IFERROR(VALUE($H284),0),2)&gt;0,"Profit","Draw")))))))</ns0:f>
      </ns0:c>
      <ns0:c r="V284" s="956" t="str">
        <ns0:f>IF(COUNTA($A284:$M284)=0,"",IF(OR($B284="",$C284="",$U284="Subscription"),"",IFERROR(ROUNDUP(($C284-$B284)/7,0),"")))</ns0:f>
      </ns0:c>
      <ns0:c r="W284" s="114">
        <ns0:f>IF(COUNTA($A284:$M284)=0,"",IF(OR($U284="Subscription",$U284=""),"",IF($U284="Estimate","N/A",IF(OR($U284="Free Game",$U284="Disqualified — Free Game"),0,ROUND(IFERROR($Q284,0)-IFERROR($S284,0),2)))))</ns0:f>
      </ns0:c>
      <ns0:c r="X284" s="956" t="str">
        <ns0:f>IF(COUNTA($A284:$M284)=0,"",IF(OR($U284="Subscription",NOT(ISNUMBER($J284)),NOT(ISNUMBER($I284)),$J284=0,$I284=0,$I284&gt;$J284),"",$J284-$I284))</ns0:f>
      </ns0:c>
      <ns0:c r="Y284" s="955" t="str">
        <ns0:f>IF(COUNTA($A284:$M284)=0,"",IF(OR($U284="Subscription",NOT(ISNUMBER($J284)),$J284=0,$X284=""),"",$X284/$J284))</ns0:f>
      </ns0:c>
      <ns0:c r="Z284" s="957" t="str">
        <ns0:f>IF(COUNTA($A284:$M284)=0,"",Instructions!$B$29+SUM($W$5:W284))</ns0:f>
      </ns0:c>
    </ns0:row>
    <ns0:row r="285" ht="36" customHeight="1">
      <ns0:c r="A285" s="439"/>
      <ns0:c r="B285" s="453"/>
      <ns0:c r="C285" s="453"/>
      <ns0:c r="D285" s="454"/>
      <ns0:c r="E285" s="454"/>
      <ns0:c r="F285" s="454"/>
      <ns0:c r="G285" s="986"/>
      <ns0:c r="H285" s="455"/>
      <ns0:c r="I285" s="456"/>
      <ns0:c r="J285" s="456"/>
      <ns0:c r="K285" s="986"/>
      <ns0:c r="L285" s="454"/>
      <ns0:c r="M285" s="439"/>
      <ns0:c r="N285" s="987" t="str">
        <ns0:f>IF(COUNTA($A285:$M285)=0,"",IF(OR(LEFT(LOWER(TRIM($F285&amp;"")),12)="subscription",LOWER(TRIM($F285&amp;""))="membership"),"",IF(OR(AND($H285&lt;&gt;"",$H285=0),LEFT(LOWER(TRIM($F285&amp;"")),9)="free game",LOWER(TRIM($F285&amp;""))="free",LOWER(TRIM($F285&amp;""))="free entry"),IF(ISNUMBER($G285),IF(ISNUMBER(SEARCH("non",LOWER($E285&amp;""))),$G285*0.85,$G285),"N/A"),IF($G285="","",IFERROR(IF(ISNUMBER(SEARCH("non",LOWER($E285&amp;""))),$G285*0.85,$G285),"")))))</ns0:f>
        <ns0:v/>
      </ns0:c>
      <ns0:c r="O285" s="987" t="str">
        <ns0:f>IF(COUNTA($A285:$M285)=0,"",IF(OR(LEFT(LOWER(TRIM($F285&amp;"")),12)="subscription",LOWER(TRIM($F285&amp;""))="membership"),"",IF(OR(AND($H285&lt;&gt;"",$H285=0),LEFT(LOWER(TRIM($F285&amp;"")),9)="free game",LOWER(TRIM($F285&amp;""))="free",LOWER(TRIM($F285&amp;""))="free entry"),IF(OR(NOT(ISNUMBER($N285)),NOT(ISNUMBER($I285)),$I285=0),"N/A",IFERROR($N285/$I285,"N/A")),IF(OR($N285="",$I285="",$I285=0),"",IFERROR($N285/$I285,"")))))</ns0:f>
        <ns0:v/>
      </ns0:c>
      <ns0:c r="P285" s="987">
        <ns0:f>IF(COUNTA($A285:$M285)=0,"",IF(OR(LEFT(LOWER(TRIM($F285&amp;"")),12)="subscription",LOWER(TRIM($F285&amp;""))="membership"),"",IF(LOWER(TRIM($D285&amp;""))="estimate","N/A",IF(LOWER($L285&amp;"")="yes",0,IF(OR(AND($H285&lt;&gt;"",$H285=0),LEFT(LOWER(TRIM($F285&amp;"")),9)="free game",LOWER(TRIM($F285&amp;""))="free",LOWER(TRIM($F285&amp;""))="free entry"),IF(ISNUMBER($K285),$K285,""),IF($K285&lt;&gt;"",$K285,""))))))</ns0:f>
      </ns0:c>
      <ns0:c r="Q285" s="114">
        <ns0:f>IF(COUNTA($A285:$M285)=0,"",IF(OR($U285="Subscription",$U285=""),"",IF($U285="Estimate","N/A",IF($U285="Profit",ROUND(IFERROR($P285,0)-IFERROR($H285,0),2),0))))</ns0:f>
      </ns0:c>
      <ns0:c r="R285" s="114">
        <ns0:f>IF(COUNTA($A285:$M285)=0,"",IF(OR($U285="Subscription",$U285=""),"",IF($U285="Estimate","N/A",IF($U285="Draw",$H285,0))))</ns0:f>
      </ns0:c>
      <ns0:c r="S285" s="114">
        <ns0:f>IF(COUNTA($A285:$M285)=0,"",IF(OR($U285="Subscription",$U285=""),"",IF($U285="Estimate","N/A",IF($U285="Disqualified",$H285,0))))</ns0:f>
      </ns0:c>
      <ns0:c r="T285" s="955">
        <ns0:f>IF(COUNTA($A285:$M285)=0,"",IF(OR($U285="Subscription",$U285=""),"",IF($U285="Estimate","N/A",IF(OR($U285="Free Game",$U285="Disqualified — Free Game",$H285=0),"N/A",IF($U285="Profit",$Q285/$H285,IF($U285="Disqualified",-$S285/$H285,0))))))</ns0:f>
      </ns0:c>
      <ns0:c r="U285" s="920">
        <ns0:f>IF(COUNTA($A285:$M285)=0,"",IF(OR(LEFT(LOWER(TRIM($F285&amp;"")),12)="subscription",LOWER(TRIM($F285&amp;""))="membership"),"Subscription",IF(LOWER(TRIM($D285&amp;""))="estimate","Estimate",IF(OR(AND($H285&lt;&gt;"",$H285=0),LEFT(LOWER(TRIM($F285&amp;"")),9)="free game",LOWER(TRIM($F285&amp;""))="free",LOWER(TRIM($F285&amp;""))="free entry"),IF(LOWER($L285&amp;"")="yes","Disqualified — Free Game","Free Game"),IF(LOWER($L285&amp;"")="yes","Disqualified",IF($P285="","",IF(ROUND(IFERROR(VALUE($P285),0)-IFERROR(VALUE($H285),0),2)&gt;0,"Profit","Draw")))))))</ns0:f>
      </ns0:c>
      <ns0:c r="V285" s="956" t="str">
        <ns0:f>IF(COUNTA($A285:$M285)=0,"",IF(OR($B285="",$C285="",$U285="Subscription"),"",IFERROR(ROUNDUP(($C285-$B285)/7,0),"")))</ns0:f>
      </ns0:c>
      <ns0:c r="W285" s="114">
        <ns0:f>IF(COUNTA($A285:$M285)=0,"",IF(OR($U285="Subscription",$U285=""),"",IF($U285="Estimate","N/A",IF(OR($U285="Free Game",$U285="Disqualified — Free Game"),0,ROUND(IFERROR($Q285,0)-IFERROR($S285,0),2)))))</ns0:f>
      </ns0:c>
      <ns0:c r="X285" s="956" t="str">
        <ns0:f>IF(COUNTA($A285:$M285)=0,"",IF(OR($U285="Subscription",NOT(ISNUMBER($J285)),NOT(ISNUMBER($I285)),$J285=0,$I285=0,$I285&gt;$J285),"",$J285-$I285))</ns0:f>
      </ns0:c>
      <ns0:c r="Y285" s="955" t="str">
        <ns0:f>IF(COUNTA($A285:$M285)=0,"",IF(OR($U285="Subscription",NOT(ISNUMBER($J285)),$J285=0,$X285=""),"",$X285/$J285))</ns0:f>
      </ns0:c>
      <ns0:c r="Z285" s="957" t="str">
        <ns0:f>IF(COUNTA($A285:$M285)=0,"",Instructions!$B$29+SUM($W$5:W285))</ns0:f>
      </ns0:c>
    </ns0:row>
    <ns0:row r="286" ht="36" customHeight="1">
      <ns0:c r="A286" s="439"/>
      <ns0:c r="B286" s="453"/>
      <ns0:c r="C286" s="453"/>
      <ns0:c r="D286" s="454"/>
      <ns0:c r="E286" s="454"/>
      <ns0:c r="F286" s="454"/>
      <ns0:c r="G286" s="986"/>
      <ns0:c r="H286" s="455"/>
      <ns0:c r="I286" s="456"/>
      <ns0:c r="J286" s="456"/>
      <ns0:c r="K286" s="986"/>
      <ns0:c r="L286" s="454"/>
      <ns0:c r="M286" s="439"/>
      <ns0:c r="N286" s="987" t="str">
        <ns0:f>IF(COUNTA($A286:$M286)=0,"",IF(OR(LEFT(LOWER(TRIM($F286&amp;"")),12)="subscription",LOWER(TRIM($F286&amp;""))="membership"),"",IF(OR(AND($H286&lt;&gt;"",$H286=0),LEFT(LOWER(TRIM($F286&amp;"")),9)="free game",LOWER(TRIM($F286&amp;""))="free",LOWER(TRIM($F286&amp;""))="free entry"),IF(ISNUMBER($G286),IF(ISNUMBER(SEARCH("non",LOWER($E286&amp;""))),$G286*0.85,$G286),"N/A"),IF($G286="","",IFERROR(IF(ISNUMBER(SEARCH("non",LOWER($E286&amp;""))),$G286*0.85,$G286),"")))))</ns0:f>
        <ns0:v/>
      </ns0:c>
      <ns0:c r="O286" s="987" t="str">
        <ns0:f>IF(COUNTA($A286:$M286)=0,"",IF(OR(LEFT(LOWER(TRIM($F286&amp;"")),12)="subscription",LOWER(TRIM($F286&amp;""))="membership"),"",IF(OR(AND($H286&lt;&gt;"",$H286=0),LEFT(LOWER(TRIM($F286&amp;"")),9)="free game",LOWER(TRIM($F286&amp;""))="free",LOWER(TRIM($F286&amp;""))="free entry"),IF(OR(NOT(ISNUMBER($N286)),NOT(ISNUMBER($I286)),$I286=0),"N/A",IFERROR($N286/$I286,"N/A")),IF(OR($N286="",$I286="",$I286=0),"",IFERROR($N286/$I286,"")))))</ns0:f>
        <ns0:v/>
      </ns0:c>
      <ns0:c r="P286" s="987">
        <ns0:f>IF(COUNTA($A286:$M286)=0,"",IF(OR(LEFT(LOWER(TRIM($F286&amp;"")),12)="subscription",LOWER(TRIM($F286&amp;""))="membership"),"",IF(LOWER(TRIM($D286&amp;""))="estimate","N/A",IF(LOWER($L286&amp;"")="yes",0,IF(OR(AND($H286&lt;&gt;"",$H286=0),LEFT(LOWER(TRIM($F286&amp;"")),9)="free game",LOWER(TRIM($F286&amp;""))="free",LOWER(TRIM($F286&amp;""))="free entry"),IF(ISNUMBER($K286),$K286,""),IF($K286&lt;&gt;"",$K286,""))))))</ns0:f>
      </ns0:c>
      <ns0:c r="Q286" s="114">
        <ns0:f>IF(COUNTA($A286:$M286)=0,"",IF(OR($U286="Subscription",$U286=""),"",IF($U286="Estimate","N/A",IF($U286="Profit",ROUND(IFERROR($P286,0)-IFERROR($H286,0),2),0))))</ns0:f>
      </ns0:c>
      <ns0:c r="R286" s="114">
        <ns0:f>IF(COUNTA($A286:$M286)=0,"",IF(OR($U286="Subscription",$U286=""),"",IF($U286="Estimate","N/A",IF($U286="Draw",$H286,0))))</ns0:f>
      </ns0:c>
      <ns0:c r="S286" s="114">
        <ns0:f>IF(COUNTA($A286:$M286)=0,"",IF(OR($U286="Subscription",$U286=""),"",IF($U286="Estimate","N/A",IF($U286="Disqualified",$H286,0))))</ns0:f>
      </ns0:c>
      <ns0:c r="T286" s="955">
        <ns0:f>IF(COUNTA($A286:$M286)=0,"",IF(OR($U286="Subscription",$U286=""),"",IF($U286="Estimate","N/A",IF(OR($U286="Free Game",$U286="Disqualified — Free Game",$H286=0),"N/A",IF($U286="Profit",$Q286/$H286,IF($U286="Disqualified",-$S286/$H286,0))))))</ns0:f>
      </ns0:c>
      <ns0:c r="U286" s="920">
        <ns0:f>IF(COUNTA($A286:$M286)=0,"",IF(OR(LEFT(LOWER(TRIM($F286&amp;"")),12)="subscription",LOWER(TRIM($F286&amp;""))="membership"),"Subscription",IF(LOWER(TRIM($D286&amp;""))="estimate","Estimate",IF(OR(AND($H286&lt;&gt;"",$H286=0),LEFT(LOWER(TRIM($F286&amp;"")),9)="free game",LOWER(TRIM($F286&amp;""))="free",LOWER(TRIM($F286&amp;""))="free entry"),IF(LOWER($L286&amp;"")="yes","Disqualified — Free Game","Free Game"),IF(LOWER($L286&amp;"")="yes","Disqualified",IF($P286="","",IF(ROUND(IFERROR(VALUE($P286),0)-IFERROR(VALUE($H286),0),2)&gt;0,"Profit","Draw")))))))</ns0:f>
      </ns0:c>
      <ns0:c r="V286" s="956" t="str">
        <ns0:f>IF(COUNTA($A286:$M286)=0,"",IF(OR($B286="",$C286="",$U286="Subscription"),"",IFERROR(ROUNDUP(($C286-$B286)/7,0),"")))</ns0:f>
      </ns0:c>
      <ns0:c r="W286" s="114">
        <ns0:f>IF(COUNTA($A286:$M286)=0,"",IF(OR($U286="Subscription",$U286=""),"",IF($U286="Estimate","N/A",IF(OR($U286="Free Game",$U286="Disqualified — Free Game"),0,ROUND(IFERROR($Q286,0)-IFERROR($S286,0),2)))))</ns0:f>
      </ns0:c>
      <ns0:c r="X286" s="956" t="str">
        <ns0:f>IF(COUNTA($A286:$M286)=0,"",IF(OR($U286="Subscription",NOT(ISNUMBER($J286)),NOT(ISNUMBER($I286)),$J286=0,$I286=0,$I286&gt;$J286),"",$J286-$I286))</ns0:f>
      </ns0:c>
      <ns0:c r="Y286" s="955" t="str">
        <ns0:f>IF(COUNTA($A286:$M286)=0,"",IF(OR($U286="Subscription",NOT(ISNUMBER($J286)),$J286=0,$X286=""),"",$X286/$J286))</ns0:f>
      </ns0:c>
      <ns0:c r="Z286" s="957" t="str">
        <ns0:f>IF(COUNTA($A286:$M286)=0,"",Instructions!$B$29+SUM($W$5:W286))</ns0:f>
      </ns0:c>
    </ns0:row>
    <ns0:row r="287" ht="36" customHeight="1">
      <ns0:c r="A287" s="439"/>
      <ns0:c r="B287" s="453"/>
      <ns0:c r="C287" s="453"/>
      <ns0:c r="D287" s="454"/>
      <ns0:c r="E287" s="454"/>
      <ns0:c r="F287" s="454"/>
      <ns0:c r="G287" s="986"/>
      <ns0:c r="H287" s="455"/>
      <ns0:c r="I287" s="456"/>
      <ns0:c r="J287" s="456"/>
      <ns0:c r="K287" s="986"/>
      <ns0:c r="L287" s="454"/>
      <ns0:c r="M287" s="439"/>
      <ns0:c r="N287" s="987" t="str">
        <ns0:f>IF(COUNTA($A287:$M287)=0,"",IF(OR(LEFT(LOWER(TRIM($F287&amp;"")),12)="subscription",LOWER(TRIM($F287&amp;""))="membership"),"",IF(OR(AND($H287&lt;&gt;"",$H287=0),LEFT(LOWER(TRIM($F287&amp;"")),9)="free game",LOWER(TRIM($F287&amp;""))="free",LOWER(TRIM($F287&amp;""))="free entry"),IF(ISNUMBER($G287),IF(ISNUMBER(SEARCH("non",LOWER($E287&amp;""))),$G287*0.85,$G287),"N/A"),IF($G287="","",IFERROR(IF(ISNUMBER(SEARCH("non",LOWER($E287&amp;""))),$G287*0.85,$G287),"")))))</ns0:f>
        <ns0:v/>
      </ns0:c>
      <ns0:c r="O287" s="987" t="str">
        <ns0:f>IF(COUNTA($A287:$M287)=0,"",IF(OR(LEFT(LOWER(TRIM($F287&amp;"")),12)="subscription",LOWER(TRIM($F287&amp;""))="membership"),"",IF(OR(AND($H287&lt;&gt;"",$H287=0),LEFT(LOWER(TRIM($F287&amp;"")),9)="free game",LOWER(TRIM($F287&amp;""))="free",LOWER(TRIM($F287&amp;""))="free entry"),IF(OR(NOT(ISNUMBER($N287)),NOT(ISNUMBER($I287)),$I287=0),"N/A",IFERROR($N287/$I287,"N/A")),IF(OR($N287="",$I287="",$I287=0),"",IFERROR($N287/$I287,"")))))</ns0:f>
        <ns0:v/>
      </ns0:c>
      <ns0:c r="P287" s="987">
        <ns0:f>IF(COUNTA($A287:$M287)=0,"",IF(OR(LEFT(LOWER(TRIM($F287&amp;"")),12)="subscription",LOWER(TRIM($F287&amp;""))="membership"),"",IF(LOWER(TRIM($D287&amp;""))="estimate","N/A",IF(LOWER($L287&amp;"")="yes",0,IF(OR(AND($H287&lt;&gt;"",$H287=0),LEFT(LOWER(TRIM($F287&amp;"")),9)="free game",LOWER(TRIM($F287&amp;""))="free",LOWER(TRIM($F287&amp;""))="free entry"),IF(ISNUMBER($K287),$K287,""),IF($K287&lt;&gt;"",$K287,""))))))</ns0:f>
      </ns0:c>
      <ns0:c r="Q287" s="114">
        <ns0:f>IF(COUNTA($A287:$M287)=0,"",IF(OR($U287="Subscription",$U287=""),"",IF($U287="Estimate","N/A",IF($U287="Profit",ROUND(IFERROR($P287,0)-IFERROR($H287,0),2),0))))</ns0:f>
      </ns0:c>
      <ns0:c r="R287" s="114">
        <ns0:f>IF(COUNTA($A287:$M287)=0,"",IF(OR($U287="Subscription",$U287=""),"",IF($U287="Estimate","N/A",IF($U287="Draw",$H287,0))))</ns0:f>
      </ns0:c>
      <ns0:c r="S287" s="114">
        <ns0:f>IF(COUNTA($A287:$M287)=0,"",IF(OR($U287="Subscription",$U287=""),"",IF($U287="Estimate","N/A",IF($U287="Disqualified",$H287,0))))</ns0:f>
      </ns0:c>
      <ns0:c r="T287" s="955">
        <ns0:f>IF(COUNTA($A287:$M287)=0,"",IF(OR($U287="Subscription",$U287=""),"",IF($U287="Estimate","N/A",IF(OR($U287="Free Game",$U287="Disqualified — Free Game",$H287=0),"N/A",IF($U287="Profit",$Q287/$H287,IF($U287="Disqualified",-$S287/$H287,0))))))</ns0:f>
      </ns0:c>
      <ns0:c r="U287" s="920">
        <ns0:f>IF(COUNTA($A287:$M287)=0,"",IF(OR(LEFT(LOWER(TRIM($F287&amp;"")),12)="subscription",LOWER(TRIM($F287&amp;""))="membership"),"Subscription",IF(LOWER(TRIM($D287&amp;""))="estimate","Estimate",IF(OR(AND($H287&lt;&gt;"",$H287=0),LEFT(LOWER(TRIM($F287&amp;"")),9)="free game",LOWER(TRIM($F287&amp;""))="free",LOWER(TRIM($F287&amp;""))="free entry"),IF(LOWER($L287&amp;"")="yes","Disqualified — Free Game","Free Game"),IF(LOWER($L287&amp;"")="yes","Disqualified",IF($P287="","",IF(ROUND(IFERROR(VALUE($P287),0)-IFERROR(VALUE($H287),0),2)&gt;0,"Profit","Draw")))))))</ns0:f>
      </ns0:c>
      <ns0:c r="V287" s="956" t="str">
        <ns0:f>IF(COUNTA($A287:$M287)=0,"",IF(OR($B287="",$C287="",$U287="Subscription"),"",IFERROR(ROUNDUP(($C287-$B287)/7,0),"")))</ns0:f>
      </ns0:c>
      <ns0:c r="W287" s="114">
        <ns0:f>IF(COUNTA($A287:$M287)=0,"",IF(OR($U287="Subscription",$U287=""),"",IF($U287="Estimate","N/A",IF(OR($U287="Free Game",$U287="Disqualified — Free Game"),0,ROUND(IFERROR($Q287,0)-IFERROR($S287,0),2)))))</ns0:f>
      </ns0:c>
      <ns0:c r="X287" s="956" t="str">
        <ns0:f>IF(COUNTA($A287:$M287)=0,"",IF(OR($U287="Subscription",NOT(ISNUMBER($J287)),NOT(ISNUMBER($I287)),$J287=0,$I287=0,$I287&gt;$J287),"",$J287-$I287))</ns0:f>
      </ns0:c>
      <ns0:c r="Y287" s="955" t="str">
        <ns0:f>IF(COUNTA($A287:$M287)=0,"",IF(OR($U287="Subscription",NOT(ISNUMBER($J287)),$J287=0,$X287=""),"",$X287/$J287))</ns0:f>
      </ns0:c>
      <ns0:c r="Z287" s="957" t="str">
        <ns0:f>IF(COUNTA($A287:$M287)=0,"",Instructions!$B$29+SUM($W$5:W287))</ns0:f>
      </ns0:c>
    </ns0:row>
    <ns0:row r="288" ht="36" customHeight="1">
      <ns0:c r="A288" s="439"/>
      <ns0:c r="B288" s="453"/>
      <ns0:c r="C288" s="453"/>
      <ns0:c r="D288" s="454"/>
      <ns0:c r="E288" s="454"/>
      <ns0:c r="F288" s="454"/>
      <ns0:c r="G288" s="986"/>
      <ns0:c r="H288" s="455"/>
      <ns0:c r="I288" s="456"/>
      <ns0:c r="J288" s="456"/>
      <ns0:c r="K288" s="986"/>
      <ns0:c r="L288" s="454"/>
      <ns0:c r="M288" s="439"/>
      <ns0:c r="N288" s="987" t="str">
        <ns0:f>IF(COUNTA($A288:$M288)=0,"",IF(OR(LEFT(LOWER(TRIM($F288&amp;"")),12)="subscription",LOWER(TRIM($F288&amp;""))="membership"),"",IF(OR(AND($H288&lt;&gt;"",$H288=0),LEFT(LOWER(TRIM($F288&amp;"")),9)="free game",LOWER(TRIM($F288&amp;""))="free",LOWER(TRIM($F288&amp;""))="free entry"),IF(ISNUMBER($G288),IF(ISNUMBER(SEARCH("non",LOWER($E288&amp;""))),$G288*0.85,$G288),"N/A"),IF($G288="","",IFERROR(IF(ISNUMBER(SEARCH("non",LOWER($E288&amp;""))),$G288*0.85,$G288),"")))))</ns0:f>
        <ns0:v/>
      </ns0:c>
      <ns0:c r="O288" s="987" t="str">
        <ns0:f>IF(COUNTA($A288:$M288)=0,"",IF(OR(LEFT(LOWER(TRIM($F288&amp;"")),12)="subscription",LOWER(TRIM($F288&amp;""))="membership"),"",IF(OR(AND($H288&lt;&gt;"",$H288=0),LEFT(LOWER(TRIM($F288&amp;"")),9)="free game",LOWER(TRIM($F288&amp;""))="free",LOWER(TRIM($F288&amp;""))="free entry"),IF(OR(NOT(ISNUMBER($N288)),NOT(ISNUMBER($I288)),$I288=0),"N/A",IFERROR($N288/$I288,"N/A")),IF(OR($N288="",$I288="",$I288=0),"",IFERROR($N288/$I288,"")))))</ns0:f>
        <ns0:v/>
      </ns0:c>
      <ns0:c r="P288" s="987">
        <ns0:f>IF(COUNTA($A288:$M288)=0,"",IF(OR(LEFT(LOWER(TRIM($F288&amp;"")),12)="subscription",LOWER(TRIM($F288&amp;""))="membership"),"",IF(LOWER(TRIM($D288&amp;""))="estimate","N/A",IF(LOWER($L288&amp;"")="yes",0,IF(OR(AND($H288&lt;&gt;"",$H288=0),LEFT(LOWER(TRIM($F288&amp;"")),9)="free game",LOWER(TRIM($F288&amp;""))="free",LOWER(TRIM($F288&amp;""))="free entry"),IF(ISNUMBER($K288),$K288,""),IF($K288&lt;&gt;"",$K288,""))))))</ns0:f>
      </ns0:c>
      <ns0:c r="Q288" s="114">
        <ns0:f>IF(COUNTA($A288:$M288)=0,"",IF(OR($U288="Subscription",$U288=""),"",IF($U288="Estimate","N/A",IF($U288="Profit",ROUND(IFERROR($P288,0)-IFERROR($H288,0),2),0))))</ns0:f>
      </ns0:c>
      <ns0:c r="R288" s="114">
        <ns0:f>IF(COUNTA($A288:$M288)=0,"",IF(OR($U288="Subscription",$U288=""),"",IF($U288="Estimate","N/A",IF($U288="Draw",$H288,0))))</ns0:f>
      </ns0:c>
      <ns0:c r="S288" s="114">
        <ns0:f>IF(COUNTA($A288:$M288)=0,"",IF(OR($U288="Subscription",$U288=""),"",IF($U288="Estimate","N/A",IF($U288="Disqualified",$H288,0))))</ns0:f>
      </ns0:c>
      <ns0:c r="T288" s="955">
        <ns0:f>IF(COUNTA($A288:$M288)=0,"",IF(OR($U288="Subscription",$U288=""),"",IF($U288="Estimate","N/A",IF(OR($U288="Free Game",$U288="Disqualified — Free Game",$H288=0),"N/A",IF($U288="Profit",$Q288/$H288,IF($U288="Disqualified",-$S288/$H288,0))))))</ns0:f>
      </ns0:c>
      <ns0:c r="U288" s="920">
        <ns0:f>IF(COUNTA($A288:$M288)=0,"",IF(OR(LEFT(LOWER(TRIM($F288&amp;"")),12)="subscription",LOWER(TRIM($F288&amp;""))="membership"),"Subscription",IF(LOWER(TRIM($D288&amp;""))="estimate","Estimate",IF(OR(AND($H288&lt;&gt;"",$H288=0),LEFT(LOWER(TRIM($F288&amp;"")),9)="free game",LOWER(TRIM($F288&amp;""))="free",LOWER(TRIM($F288&amp;""))="free entry"),IF(LOWER($L288&amp;"")="yes","Disqualified — Free Game","Free Game"),IF(LOWER($L288&amp;"")="yes","Disqualified",IF($P288="","",IF(ROUND(IFERROR(VALUE($P288),0)-IFERROR(VALUE($H288),0),2)&gt;0,"Profit","Draw")))))))</ns0:f>
      </ns0:c>
      <ns0:c r="V288" s="956" t="str">
        <ns0:f>IF(COUNTA($A288:$M288)=0,"",IF(OR($B288="",$C288="",$U288="Subscription"),"",IFERROR(ROUNDUP(($C288-$B288)/7,0),"")))</ns0:f>
      </ns0:c>
      <ns0:c r="W288" s="114">
        <ns0:f>IF(COUNTA($A288:$M288)=0,"",IF(OR($U288="Subscription",$U288=""),"",IF($U288="Estimate","N/A",IF(OR($U288="Free Game",$U288="Disqualified — Free Game"),0,ROUND(IFERROR($Q288,0)-IFERROR($S288,0),2)))))</ns0:f>
      </ns0:c>
      <ns0:c r="X288" s="956" t="str">
        <ns0:f>IF(COUNTA($A288:$M288)=0,"",IF(OR($U288="Subscription",NOT(ISNUMBER($J288)),NOT(ISNUMBER($I288)),$J288=0,$I288=0,$I288&gt;$J288),"",$J288-$I288))</ns0:f>
      </ns0:c>
      <ns0:c r="Y288" s="955" t="str">
        <ns0:f>IF(COUNTA($A288:$M288)=0,"",IF(OR($U288="Subscription",NOT(ISNUMBER($J288)),$J288=0,$X288=""),"",$X288/$J288))</ns0:f>
      </ns0:c>
      <ns0:c r="Z288" s="957" t="str">
        <ns0:f>IF(COUNTA($A288:$M288)=0,"",Instructions!$B$29+SUM($W$5:W288))</ns0:f>
      </ns0:c>
    </ns0:row>
    <ns0:row r="289" ht="36" customHeight="1">
      <ns0:c r="A289" s="439"/>
      <ns0:c r="B289" s="453"/>
      <ns0:c r="C289" s="453"/>
      <ns0:c r="D289" s="454"/>
      <ns0:c r="E289" s="454"/>
      <ns0:c r="F289" s="454"/>
      <ns0:c r="G289" s="986"/>
      <ns0:c r="H289" s="455"/>
      <ns0:c r="I289" s="456"/>
      <ns0:c r="J289" s="456"/>
      <ns0:c r="K289" s="986"/>
      <ns0:c r="L289" s="454"/>
      <ns0:c r="M289" s="439"/>
      <ns0:c r="N289" s="987" t="str">
        <ns0:f>IF(COUNTA($A289:$M289)=0,"",IF(OR(LEFT(LOWER(TRIM($F289&amp;"")),12)="subscription",LOWER(TRIM($F289&amp;""))="membership"),"",IF(OR(AND($H289&lt;&gt;"",$H289=0),LEFT(LOWER(TRIM($F289&amp;"")),9)="free game",LOWER(TRIM($F289&amp;""))="free",LOWER(TRIM($F289&amp;""))="free entry"),IF(ISNUMBER($G289),IF(ISNUMBER(SEARCH("non",LOWER($E289&amp;""))),$G289*0.85,$G289),"N/A"),IF($G289="","",IFERROR(IF(ISNUMBER(SEARCH("non",LOWER($E289&amp;""))),$G289*0.85,$G289),"")))))</ns0:f>
        <ns0:v/>
      </ns0:c>
      <ns0:c r="O289" s="987" t="str">
        <ns0:f>IF(COUNTA($A289:$M289)=0,"",IF(OR(LEFT(LOWER(TRIM($F289&amp;"")),12)="subscription",LOWER(TRIM($F289&amp;""))="membership"),"",IF(OR(AND($H289&lt;&gt;"",$H289=0),LEFT(LOWER(TRIM($F289&amp;"")),9)="free game",LOWER(TRIM($F289&amp;""))="free",LOWER(TRIM($F289&amp;""))="free entry"),IF(OR(NOT(ISNUMBER($N289)),NOT(ISNUMBER($I289)),$I289=0),"N/A",IFERROR($N289/$I289,"N/A")),IF(OR($N289="",$I289="",$I289=0),"",IFERROR($N289/$I289,"")))))</ns0:f>
        <ns0:v/>
      </ns0:c>
      <ns0:c r="P289" s="987">
        <ns0:f>IF(COUNTA($A289:$M289)=0,"",IF(OR(LEFT(LOWER(TRIM($F289&amp;"")),12)="subscription",LOWER(TRIM($F289&amp;""))="membership"),"",IF(LOWER(TRIM($D289&amp;""))="estimate","N/A",IF(LOWER($L289&amp;"")="yes",0,IF(OR(AND($H289&lt;&gt;"",$H289=0),LEFT(LOWER(TRIM($F289&amp;"")),9)="free game",LOWER(TRIM($F289&amp;""))="free",LOWER(TRIM($F289&amp;""))="free entry"),IF(ISNUMBER($K289),$K289,""),IF($K289&lt;&gt;"",$K289,""))))))</ns0:f>
      </ns0:c>
      <ns0:c r="Q289" s="114">
        <ns0:f>IF(COUNTA($A289:$M289)=0,"",IF(OR($U289="Subscription",$U289=""),"",IF($U289="Estimate","N/A",IF($U289="Profit",ROUND(IFERROR($P289,0)-IFERROR($H289,0),2),0))))</ns0:f>
      </ns0:c>
      <ns0:c r="R289" s="114">
        <ns0:f>IF(COUNTA($A289:$M289)=0,"",IF(OR($U289="Subscription",$U289=""),"",IF($U289="Estimate","N/A",IF($U289="Draw",$H289,0))))</ns0:f>
      </ns0:c>
      <ns0:c r="S289" s="114">
        <ns0:f>IF(COUNTA($A289:$M289)=0,"",IF(OR($U289="Subscription",$U289=""),"",IF($U289="Estimate","N/A",IF($U289="Disqualified",$H289,0))))</ns0:f>
      </ns0:c>
      <ns0:c r="T289" s="955">
        <ns0:f>IF(COUNTA($A289:$M289)=0,"",IF(OR($U289="Subscription",$U289=""),"",IF($U289="Estimate","N/A",IF(OR($U289="Free Game",$U289="Disqualified — Free Game",$H289=0),"N/A",IF($U289="Profit",$Q289/$H289,IF($U289="Disqualified",-$S289/$H289,0))))))</ns0:f>
      </ns0:c>
      <ns0:c r="U289" s="920">
        <ns0:f>IF(COUNTA($A289:$M289)=0,"",IF(OR(LEFT(LOWER(TRIM($F289&amp;"")),12)="subscription",LOWER(TRIM($F289&amp;""))="membership"),"Subscription",IF(LOWER(TRIM($D289&amp;""))="estimate","Estimate",IF(OR(AND($H289&lt;&gt;"",$H289=0),LEFT(LOWER(TRIM($F289&amp;"")),9)="free game",LOWER(TRIM($F289&amp;""))="free",LOWER(TRIM($F289&amp;""))="free entry"),IF(LOWER($L289&amp;"")="yes","Disqualified — Free Game","Free Game"),IF(LOWER($L289&amp;"")="yes","Disqualified",IF($P289="","",IF(ROUND(IFERROR(VALUE($P289),0)-IFERROR(VALUE($H289),0),2)&gt;0,"Profit","Draw")))))))</ns0:f>
      </ns0:c>
      <ns0:c r="V289" s="956" t="str">
        <ns0:f>IF(COUNTA($A289:$M289)=0,"",IF(OR($B289="",$C289="",$U289="Subscription"),"",IFERROR(ROUNDUP(($C289-$B289)/7,0),"")))</ns0:f>
      </ns0:c>
      <ns0:c r="W289" s="114">
        <ns0:f>IF(COUNTA($A289:$M289)=0,"",IF(OR($U289="Subscription",$U289=""),"",IF($U289="Estimate","N/A",IF(OR($U289="Free Game",$U289="Disqualified — Free Game"),0,ROUND(IFERROR($Q289,0)-IFERROR($S289,0),2)))))</ns0:f>
      </ns0:c>
      <ns0:c r="X289" s="956" t="str">
        <ns0:f>IF(COUNTA($A289:$M289)=0,"",IF(OR($U289="Subscription",NOT(ISNUMBER($J289)),NOT(ISNUMBER($I289)),$J289=0,$I289=0,$I289&gt;$J289),"",$J289-$I289))</ns0:f>
      </ns0:c>
      <ns0:c r="Y289" s="955" t="str">
        <ns0:f>IF(COUNTA($A289:$M289)=0,"",IF(OR($U289="Subscription",NOT(ISNUMBER($J289)),$J289=0,$X289=""),"",$X289/$J289))</ns0:f>
      </ns0:c>
      <ns0:c r="Z289" s="957" t="str">
        <ns0:f>IF(COUNTA($A289:$M289)=0,"",Instructions!$B$29+SUM($W$5:W289))</ns0:f>
      </ns0:c>
    </ns0:row>
    <ns0:row r="290" ht="36" customHeight="1">
      <ns0:c r="A290" s="439"/>
      <ns0:c r="B290" s="453"/>
      <ns0:c r="C290" s="453"/>
      <ns0:c r="D290" s="454"/>
      <ns0:c r="E290" s="454"/>
      <ns0:c r="F290" s="454"/>
      <ns0:c r="G290" s="986"/>
      <ns0:c r="H290" s="455"/>
      <ns0:c r="I290" s="456"/>
      <ns0:c r="J290" s="456"/>
      <ns0:c r="K290" s="986"/>
      <ns0:c r="L290" s="454"/>
      <ns0:c r="M290" s="439"/>
      <ns0:c r="N290" s="987" t="str">
        <ns0:f>IF(COUNTA($A290:$M290)=0,"",IF(OR(LEFT(LOWER(TRIM($F290&amp;"")),12)="subscription",LOWER(TRIM($F290&amp;""))="membership"),"",IF(OR(AND($H290&lt;&gt;"",$H290=0),LEFT(LOWER(TRIM($F290&amp;"")),9)="free game",LOWER(TRIM($F290&amp;""))="free",LOWER(TRIM($F290&amp;""))="free entry"),IF(ISNUMBER($G290),IF(ISNUMBER(SEARCH("non",LOWER($E290&amp;""))),$G290*0.85,$G290),"N/A"),IF($G290="","",IFERROR(IF(ISNUMBER(SEARCH("non",LOWER($E290&amp;""))),$G290*0.85,$G290),"")))))</ns0:f>
        <ns0:v/>
      </ns0:c>
      <ns0:c r="O290" s="987" t="str">
        <ns0:f>IF(COUNTA($A290:$M290)=0,"",IF(OR(LEFT(LOWER(TRIM($F290&amp;"")),12)="subscription",LOWER(TRIM($F290&amp;""))="membership"),"",IF(OR(AND($H290&lt;&gt;"",$H290=0),LEFT(LOWER(TRIM($F290&amp;"")),9)="free game",LOWER(TRIM($F290&amp;""))="free",LOWER(TRIM($F290&amp;""))="free entry"),IF(OR(NOT(ISNUMBER($N290)),NOT(ISNUMBER($I290)),$I290=0),"N/A",IFERROR($N290/$I290,"N/A")),IF(OR($N290="",$I290="",$I290=0),"",IFERROR($N290/$I290,"")))))</ns0:f>
        <ns0:v/>
      </ns0:c>
      <ns0:c r="P290" s="987">
        <ns0:f>IF(COUNTA($A290:$M290)=0,"",IF(OR(LEFT(LOWER(TRIM($F290&amp;"")),12)="subscription",LOWER(TRIM($F290&amp;""))="membership"),"",IF(LOWER(TRIM($D290&amp;""))="estimate","N/A",IF(LOWER($L290&amp;"")="yes",0,IF(OR(AND($H290&lt;&gt;"",$H290=0),LEFT(LOWER(TRIM($F290&amp;"")),9)="free game",LOWER(TRIM($F290&amp;""))="free",LOWER(TRIM($F290&amp;""))="free entry"),IF(ISNUMBER($K290),$K290,""),IF($K290&lt;&gt;"",$K290,""))))))</ns0:f>
      </ns0:c>
      <ns0:c r="Q290" s="114">
        <ns0:f>IF(COUNTA($A290:$M290)=0,"",IF(OR($U290="Subscription",$U290=""),"",IF($U290="Estimate","N/A",IF($U290="Profit",ROUND(IFERROR($P290,0)-IFERROR($H290,0),2),0))))</ns0:f>
      </ns0:c>
      <ns0:c r="R290" s="114">
        <ns0:f>IF(COUNTA($A290:$M290)=0,"",IF(OR($U290="Subscription",$U290=""),"",IF($U290="Estimate","N/A",IF($U290="Draw",$H290,0))))</ns0:f>
      </ns0:c>
      <ns0:c r="S290" s="114">
        <ns0:f>IF(COUNTA($A290:$M290)=0,"",IF(OR($U290="Subscription",$U290=""),"",IF($U290="Estimate","N/A",IF($U290="Disqualified",$H290,0))))</ns0:f>
      </ns0:c>
      <ns0:c r="T290" s="955">
        <ns0:f>IF(COUNTA($A290:$M290)=0,"",IF(OR($U290="Subscription",$U290=""),"",IF($U290="Estimate","N/A",IF(OR($U290="Free Game",$U290="Disqualified — Free Game",$H290=0),"N/A",IF($U290="Profit",$Q290/$H290,IF($U290="Disqualified",-$S290/$H290,0))))))</ns0:f>
      </ns0:c>
      <ns0:c r="U290" s="920">
        <ns0:f>IF(COUNTA($A290:$M290)=0,"",IF(OR(LEFT(LOWER(TRIM($F290&amp;"")),12)="subscription",LOWER(TRIM($F290&amp;""))="membership"),"Subscription",IF(LOWER(TRIM($D290&amp;""))="estimate","Estimate",IF(OR(AND($H290&lt;&gt;"",$H290=0),LEFT(LOWER(TRIM($F290&amp;"")),9)="free game",LOWER(TRIM($F290&amp;""))="free",LOWER(TRIM($F290&amp;""))="free entry"),IF(LOWER($L290&amp;"")="yes","Disqualified — Free Game","Free Game"),IF(LOWER($L290&amp;"")="yes","Disqualified",IF($P290="","",IF(ROUND(IFERROR(VALUE($P290),0)-IFERROR(VALUE($H290),0),2)&gt;0,"Profit","Draw")))))))</ns0:f>
      </ns0:c>
      <ns0:c r="V290" s="956" t="str">
        <ns0:f>IF(COUNTA($A290:$M290)=0,"",IF(OR($B290="",$C290="",$U290="Subscription"),"",IFERROR(ROUNDUP(($C290-$B290)/7,0),"")))</ns0:f>
      </ns0:c>
      <ns0:c r="W290" s="114">
        <ns0:f>IF(COUNTA($A290:$M290)=0,"",IF(OR($U290="Subscription",$U290=""),"",IF($U290="Estimate","N/A",IF(OR($U290="Free Game",$U290="Disqualified — Free Game"),0,ROUND(IFERROR($Q290,0)-IFERROR($S290,0),2)))))</ns0:f>
      </ns0:c>
      <ns0:c r="X290" s="956" t="str">
        <ns0:f>IF(COUNTA($A290:$M290)=0,"",IF(OR($U290="Subscription",NOT(ISNUMBER($J290)),NOT(ISNUMBER($I290)),$J290=0,$I290=0,$I290&gt;$J290),"",$J290-$I290))</ns0:f>
      </ns0:c>
      <ns0:c r="Y290" s="955" t="str">
        <ns0:f>IF(COUNTA($A290:$M290)=0,"",IF(OR($U290="Subscription",NOT(ISNUMBER($J290)),$J290=0,$X290=""),"",$X290/$J290))</ns0:f>
      </ns0:c>
      <ns0:c r="Z290" s="957" t="str">
        <ns0:f>IF(COUNTA($A290:$M290)=0,"",Instructions!$B$29+SUM($W$5:W290))</ns0:f>
      </ns0:c>
    </ns0:row>
    <ns0:row r="291" ht="36" customHeight="1">
      <ns0:c r="A291" s="439"/>
      <ns0:c r="B291" s="453"/>
      <ns0:c r="C291" s="453"/>
      <ns0:c r="D291" s="454"/>
      <ns0:c r="E291" s="454"/>
      <ns0:c r="F291" s="454"/>
      <ns0:c r="G291" s="986"/>
      <ns0:c r="H291" s="455"/>
      <ns0:c r="I291" s="456"/>
      <ns0:c r="J291" s="456"/>
      <ns0:c r="K291" s="986"/>
      <ns0:c r="L291" s="454"/>
      <ns0:c r="M291" s="439"/>
      <ns0:c r="N291" s="987" t="str">
        <ns0:f>IF(COUNTA($A291:$M291)=0,"",IF(OR(LEFT(LOWER(TRIM($F291&amp;"")),12)="subscription",LOWER(TRIM($F291&amp;""))="membership"),"",IF(OR(AND($H291&lt;&gt;"",$H291=0),LEFT(LOWER(TRIM($F291&amp;"")),9)="free game",LOWER(TRIM($F291&amp;""))="free",LOWER(TRIM($F291&amp;""))="free entry"),IF(ISNUMBER($G291),IF(ISNUMBER(SEARCH("non",LOWER($E291&amp;""))),$G291*0.85,$G291),"N/A"),IF($G291="","",IFERROR(IF(ISNUMBER(SEARCH("non",LOWER($E291&amp;""))),$G291*0.85,$G291),"")))))</ns0:f>
        <ns0:v/>
      </ns0:c>
      <ns0:c r="O291" s="987" t="str">
        <ns0:f>IF(COUNTA($A291:$M291)=0,"",IF(OR(LEFT(LOWER(TRIM($F291&amp;"")),12)="subscription",LOWER(TRIM($F291&amp;""))="membership"),"",IF(OR(AND($H291&lt;&gt;"",$H291=0),LEFT(LOWER(TRIM($F291&amp;"")),9)="free game",LOWER(TRIM($F291&amp;""))="free",LOWER(TRIM($F291&amp;""))="free entry"),IF(OR(NOT(ISNUMBER($N291)),NOT(ISNUMBER($I291)),$I291=0),"N/A",IFERROR($N291/$I291,"N/A")),IF(OR($N291="",$I291="",$I291=0),"",IFERROR($N291/$I291,"")))))</ns0:f>
        <ns0:v/>
      </ns0:c>
      <ns0:c r="P291" s="987">
        <ns0:f>IF(COUNTA($A291:$M291)=0,"",IF(OR(LEFT(LOWER(TRIM($F291&amp;"")),12)="subscription",LOWER(TRIM($F291&amp;""))="membership"),"",IF(LOWER(TRIM($D291&amp;""))="estimate","N/A",IF(LOWER($L291&amp;"")="yes",0,IF(OR(AND($H291&lt;&gt;"",$H291=0),LEFT(LOWER(TRIM($F291&amp;"")),9)="free game",LOWER(TRIM($F291&amp;""))="free",LOWER(TRIM($F291&amp;""))="free entry"),IF(ISNUMBER($K291),$K291,""),IF($K291&lt;&gt;"",$K291,""))))))</ns0:f>
      </ns0:c>
      <ns0:c r="Q291" s="114">
        <ns0:f>IF(COUNTA($A291:$M291)=0,"",IF(OR($U291="Subscription",$U291=""),"",IF($U291="Estimate","N/A",IF($U291="Profit",ROUND(IFERROR($P291,0)-IFERROR($H291,0),2),0))))</ns0:f>
      </ns0:c>
      <ns0:c r="R291" s="114">
        <ns0:f>IF(COUNTA($A291:$M291)=0,"",IF(OR($U291="Subscription",$U291=""),"",IF($U291="Estimate","N/A",IF($U291="Draw",$H291,0))))</ns0:f>
      </ns0:c>
      <ns0:c r="S291" s="114">
        <ns0:f>IF(COUNTA($A291:$M291)=0,"",IF(OR($U291="Subscription",$U291=""),"",IF($U291="Estimate","N/A",IF($U291="Disqualified",$H291,0))))</ns0:f>
      </ns0:c>
      <ns0:c r="T291" s="955">
        <ns0:f>IF(COUNTA($A291:$M291)=0,"",IF(OR($U291="Subscription",$U291=""),"",IF($U291="Estimate","N/A",IF(OR($U291="Free Game",$U291="Disqualified — Free Game",$H291=0),"N/A",IF($U291="Profit",$Q291/$H291,IF($U291="Disqualified",-$S291/$H291,0))))))</ns0:f>
      </ns0:c>
      <ns0:c r="U291" s="920">
        <ns0:f>IF(COUNTA($A291:$M291)=0,"",IF(OR(LEFT(LOWER(TRIM($F291&amp;"")),12)="subscription",LOWER(TRIM($F291&amp;""))="membership"),"Subscription",IF(LOWER(TRIM($D291&amp;""))="estimate","Estimate",IF(OR(AND($H291&lt;&gt;"",$H291=0),LEFT(LOWER(TRIM($F291&amp;"")),9)="free game",LOWER(TRIM($F291&amp;""))="free",LOWER(TRIM($F291&amp;""))="free entry"),IF(LOWER($L291&amp;"")="yes","Disqualified — Free Game","Free Game"),IF(LOWER($L291&amp;"")="yes","Disqualified",IF($P291="","",IF(ROUND(IFERROR(VALUE($P291),0)-IFERROR(VALUE($H291),0),2)&gt;0,"Profit","Draw")))))))</ns0:f>
      </ns0:c>
      <ns0:c r="V291" s="956" t="str">
        <ns0:f>IF(COUNTA($A291:$M291)=0,"",IF(OR($B291="",$C291="",$U291="Subscription"),"",IFERROR(ROUNDUP(($C291-$B291)/7,0),"")))</ns0:f>
      </ns0:c>
      <ns0:c r="W291" s="114">
        <ns0:f>IF(COUNTA($A291:$M291)=0,"",IF(OR($U291="Subscription",$U291=""),"",IF($U291="Estimate","N/A",IF(OR($U291="Free Game",$U291="Disqualified — Free Game"),0,ROUND(IFERROR($Q291,0)-IFERROR($S291,0),2)))))</ns0:f>
      </ns0:c>
      <ns0:c r="X291" s="956" t="str">
        <ns0:f>IF(COUNTA($A291:$M291)=0,"",IF(OR($U291="Subscription",NOT(ISNUMBER($J291)),NOT(ISNUMBER($I291)),$J291=0,$I291=0,$I291&gt;$J291),"",$J291-$I291))</ns0:f>
      </ns0:c>
      <ns0:c r="Y291" s="955" t="str">
        <ns0:f>IF(COUNTA($A291:$M291)=0,"",IF(OR($U291="Subscription",NOT(ISNUMBER($J291)),$J291=0,$X291=""),"",$X291/$J291))</ns0:f>
      </ns0:c>
      <ns0:c r="Z291" s="957" t="str">
        <ns0:f>IF(COUNTA($A291:$M291)=0,"",Instructions!$B$29+SUM($W$5:W291))</ns0:f>
      </ns0:c>
    </ns0:row>
    <ns0:row r="292" ht="36" customHeight="1">
      <ns0:c r="A292" s="439"/>
      <ns0:c r="B292" s="453"/>
      <ns0:c r="C292" s="453"/>
      <ns0:c r="D292" s="454"/>
      <ns0:c r="E292" s="454"/>
      <ns0:c r="F292" s="454"/>
      <ns0:c r="G292" s="986"/>
      <ns0:c r="H292" s="455"/>
      <ns0:c r="I292" s="456"/>
      <ns0:c r="J292" s="456"/>
      <ns0:c r="K292" s="986"/>
      <ns0:c r="L292" s="454"/>
      <ns0:c r="M292" s="439"/>
      <ns0:c r="N292" s="987" t="str">
        <ns0:f>IF(COUNTA($A292:$M292)=0,"",IF(OR(LEFT(LOWER(TRIM($F292&amp;"")),12)="subscription",LOWER(TRIM($F292&amp;""))="membership"),"",IF(OR(AND($H292&lt;&gt;"",$H292=0),LEFT(LOWER(TRIM($F292&amp;"")),9)="free game",LOWER(TRIM($F292&amp;""))="free",LOWER(TRIM($F292&amp;""))="free entry"),IF(ISNUMBER($G292),IF(ISNUMBER(SEARCH("non",LOWER($E292&amp;""))),$G292*0.85,$G292),"N/A"),IF($G292="","",IFERROR(IF(ISNUMBER(SEARCH("non",LOWER($E292&amp;""))),$G292*0.85,$G292),"")))))</ns0:f>
        <ns0:v/>
      </ns0:c>
      <ns0:c r="O292" s="987" t="str">
        <ns0:f>IF(COUNTA($A292:$M292)=0,"",IF(OR(LEFT(LOWER(TRIM($F292&amp;"")),12)="subscription",LOWER(TRIM($F292&amp;""))="membership"),"",IF(OR(AND($H292&lt;&gt;"",$H292=0),LEFT(LOWER(TRIM($F292&amp;"")),9)="free game",LOWER(TRIM($F292&amp;""))="free",LOWER(TRIM($F292&amp;""))="free entry"),IF(OR(NOT(ISNUMBER($N292)),NOT(ISNUMBER($I292)),$I292=0),"N/A",IFERROR($N292/$I292,"N/A")),IF(OR($N292="",$I292="",$I292=0),"",IFERROR($N292/$I292,"")))))</ns0:f>
        <ns0:v/>
      </ns0:c>
      <ns0:c r="P292" s="987">
        <ns0:f>IF(COUNTA($A292:$M292)=0,"",IF(OR(LEFT(LOWER(TRIM($F292&amp;"")),12)="subscription",LOWER(TRIM($F292&amp;""))="membership"),"",IF(LOWER(TRIM($D292&amp;""))="estimate","N/A",IF(LOWER($L292&amp;"")="yes",0,IF(OR(AND($H292&lt;&gt;"",$H292=0),LEFT(LOWER(TRIM($F292&amp;"")),9)="free game",LOWER(TRIM($F292&amp;""))="free",LOWER(TRIM($F292&amp;""))="free entry"),IF(ISNUMBER($K292),$K292,""),IF($K292&lt;&gt;"",$K292,""))))))</ns0:f>
      </ns0:c>
      <ns0:c r="Q292" s="114">
        <ns0:f>IF(COUNTA($A292:$M292)=0,"",IF(OR($U292="Subscription",$U292=""),"",IF($U292="Estimate","N/A",IF($U292="Profit",ROUND(IFERROR($P292,0)-IFERROR($H292,0),2),0))))</ns0:f>
      </ns0:c>
      <ns0:c r="R292" s="114">
        <ns0:f>IF(COUNTA($A292:$M292)=0,"",IF(OR($U292="Subscription",$U292=""),"",IF($U292="Estimate","N/A",IF($U292="Draw",$H292,0))))</ns0:f>
      </ns0:c>
      <ns0:c r="S292" s="114">
        <ns0:f>IF(COUNTA($A292:$M292)=0,"",IF(OR($U292="Subscription",$U292=""),"",IF($U292="Estimate","N/A",IF($U292="Disqualified",$H292,0))))</ns0:f>
      </ns0:c>
      <ns0:c r="T292" s="955">
        <ns0:f>IF(COUNTA($A292:$M292)=0,"",IF(OR($U292="Subscription",$U292=""),"",IF($U292="Estimate","N/A",IF(OR($U292="Free Game",$U292="Disqualified — Free Game",$H292=0),"N/A",IF($U292="Profit",$Q292/$H292,IF($U292="Disqualified",-$S292/$H292,0))))))</ns0:f>
      </ns0:c>
      <ns0:c r="U292" s="920">
        <ns0:f>IF(COUNTA($A292:$M292)=0,"",IF(OR(LEFT(LOWER(TRIM($F292&amp;"")),12)="subscription",LOWER(TRIM($F292&amp;""))="membership"),"Subscription",IF(LOWER(TRIM($D292&amp;""))="estimate","Estimate",IF(OR(AND($H292&lt;&gt;"",$H292=0),LEFT(LOWER(TRIM($F292&amp;"")),9)="free game",LOWER(TRIM($F292&amp;""))="free",LOWER(TRIM($F292&amp;""))="free entry"),IF(LOWER($L292&amp;"")="yes","Disqualified — Free Game","Free Game"),IF(LOWER($L292&amp;"")="yes","Disqualified",IF($P292="","",IF(ROUND(IFERROR(VALUE($P292),0)-IFERROR(VALUE($H292),0),2)&gt;0,"Profit","Draw")))))))</ns0:f>
      </ns0:c>
      <ns0:c r="V292" s="956" t="str">
        <ns0:f>IF(COUNTA($A292:$M292)=0,"",IF(OR($B292="",$C292="",$U292="Subscription"),"",IFERROR(ROUNDUP(($C292-$B292)/7,0),"")))</ns0:f>
      </ns0:c>
      <ns0:c r="W292" s="114">
        <ns0:f>IF(COUNTA($A292:$M292)=0,"",IF(OR($U292="Subscription",$U292=""),"",IF($U292="Estimate","N/A",IF(OR($U292="Free Game",$U292="Disqualified — Free Game"),0,ROUND(IFERROR($Q292,0)-IFERROR($S292,0),2)))))</ns0:f>
      </ns0:c>
      <ns0:c r="X292" s="956" t="str">
        <ns0:f>IF(COUNTA($A292:$M292)=0,"",IF(OR($U292="Subscription",NOT(ISNUMBER($J292)),NOT(ISNUMBER($I292)),$J292=0,$I292=0,$I292&gt;$J292),"",$J292-$I292))</ns0:f>
      </ns0:c>
      <ns0:c r="Y292" s="955" t="str">
        <ns0:f>IF(COUNTA($A292:$M292)=0,"",IF(OR($U292="Subscription",NOT(ISNUMBER($J292)),$J292=0,$X292=""),"",$X292/$J292))</ns0:f>
      </ns0:c>
      <ns0:c r="Z292" s="957" t="str">
        <ns0:f>IF(COUNTA($A292:$M292)=0,"",Instructions!$B$29+SUM($W$5:W292))</ns0:f>
      </ns0:c>
    </ns0:row>
    <ns0:row r="293" ht="36" customHeight="1">
      <ns0:c r="A293" s="439"/>
      <ns0:c r="B293" s="453"/>
      <ns0:c r="C293" s="453"/>
      <ns0:c r="D293" s="454"/>
      <ns0:c r="E293" s="454"/>
      <ns0:c r="F293" s="454"/>
      <ns0:c r="G293" s="986"/>
      <ns0:c r="H293" s="455"/>
      <ns0:c r="I293" s="456"/>
      <ns0:c r="J293" s="456"/>
      <ns0:c r="K293" s="986"/>
      <ns0:c r="L293" s="454"/>
      <ns0:c r="M293" s="439"/>
      <ns0:c r="N293" s="987" t="str">
        <ns0:f>IF(COUNTA($A293:$M293)=0,"",IF(OR(LEFT(LOWER(TRIM($F293&amp;"")),12)="subscription",LOWER(TRIM($F293&amp;""))="membership"),"",IF(OR(AND($H293&lt;&gt;"",$H293=0),LEFT(LOWER(TRIM($F293&amp;"")),9)="free game",LOWER(TRIM($F293&amp;""))="free",LOWER(TRIM($F293&amp;""))="free entry"),IF(ISNUMBER($G293),IF(ISNUMBER(SEARCH("non",LOWER($E293&amp;""))),$G293*0.85,$G293),"N/A"),IF($G293="","",IFERROR(IF(ISNUMBER(SEARCH("non",LOWER($E293&amp;""))),$G293*0.85,$G293),"")))))</ns0:f>
        <ns0:v/>
      </ns0:c>
      <ns0:c r="O293" s="987" t="str">
        <ns0:f>IF(COUNTA($A293:$M293)=0,"",IF(OR(LEFT(LOWER(TRIM($F293&amp;"")),12)="subscription",LOWER(TRIM($F293&amp;""))="membership"),"",IF(OR(AND($H293&lt;&gt;"",$H293=0),LEFT(LOWER(TRIM($F293&amp;"")),9)="free game",LOWER(TRIM($F293&amp;""))="free",LOWER(TRIM($F293&amp;""))="free entry"),IF(OR(NOT(ISNUMBER($N293)),NOT(ISNUMBER($I293)),$I293=0),"N/A",IFERROR($N293/$I293,"N/A")),IF(OR($N293="",$I293="",$I293=0),"",IFERROR($N293/$I293,"")))))</ns0:f>
        <ns0:v/>
      </ns0:c>
      <ns0:c r="P293" s="987">
        <ns0:f>IF(COUNTA($A293:$M293)=0,"",IF(OR(LEFT(LOWER(TRIM($F293&amp;"")),12)="subscription",LOWER(TRIM($F293&amp;""))="membership"),"",IF(LOWER(TRIM($D293&amp;""))="estimate","N/A",IF(LOWER($L293&amp;"")="yes",0,IF(OR(AND($H293&lt;&gt;"",$H293=0),LEFT(LOWER(TRIM($F293&amp;"")),9)="free game",LOWER(TRIM($F293&amp;""))="free",LOWER(TRIM($F293&amp;""))="free entry"),IF(ISNUMBER($K293),$K293,""),IF($K293&lt;&gt;"",$K293,""))))))</ns0:f>
      </ns0:c>
      <ns0:c r="Q293" s="114">
        <ns0:f>IF(COUNTA($A293:$M293)=0,"",IF(OR($U293="Subscription",$U293=""),"",IF($U293="Estimate","N/A",IF($U293="Profit",ROUND(IFERROR($P293,0)-IFERROR($H293,0),2),0))))</ns0:f>
      </ns0:c>
      <ns0:c r="R293" s="114">
        <ns0:f>IF(COUNTA($A293:$M293)=0,"",IF(OR($U293="Subscription",$U293=""),"",IF($U293="Estimate","N/A",IF($U293="Draw",$H293,0))))</ns0:f>
      </ns0:c>
      <ns0:c r="S293" s="114">
        <ns0:f>IF(COUNTA($A293:$M293)=0,"",IF(OR($U293="Subscription",$U293=""),"",IF($U293="Estimate","N/A",IF($U293="Disqualified",$H293,0))))</ns0:f>
      </ns0:c>
      <ns0:c r="T293" s="955">
        <ns0:f>IF(COUNTA($A293:$M293)=0,"",IF(OR($U293="Subscription",$U293=""),"",IF($U293="Estimate","N/A",IF(OR($U293="Free Game",$U293="Disqualified — Free Game",$H293=0),"N/A",IF($U293="Profit",$Q293/$H293,IF($U293="Disqualified",-$S293/$H293,0))))))</ns0:f>
      </ns0:c>
      <ns0:c r="U293" s="920">
        <ns0:f>IF(COUNTA($A293:$M293)=0,"",IF(OR(LEFT(LOWER(TRIM($F293&amp;"")),12)="subscription",LOWER(TRIM($F293&amp;""))="membership"),"Subscription",IF(LOWER(TRIM($D293&amp;""))="estimate","Estimate",IF(OR(AND($H293&lt;&gt;"",$H293=0),LEFT(LOWER(TRIM($F293&amp;"")),9)="free game",LOWER(TRIM($F293&amp;""))="free",LOWER(TRIM($F293&amp;""))="free entry"),IF(LOWER($L293&amp;"")="yes","Disqualified — Free Game","Free Game"),IF(LOWER($L293&amp;"")="yes","Disqualified",IF($P293="","",IF(ROUND(IFERROR(VALUE($P293),0)-IFERROR(VALUE($H293),0),2)&gt;0,"Profit","Draw")))))))</ns0:f>
      </ns0:c>
      <ns0:c r="V293" s="956" t="str">
        <ns0:f>IF(COUNTA($A293:$M293)=0,"",IF(OR($B293="",$C293="",$U293="Subscription"),"",IFERROR(ROUNDUP(($C293-$B293)/7,0),"")))</ns0:f>
      </ns0:c>
      <ns0:c r="W293" s="114">
        <ns0:f>IF(COUNTA($A293:$M293)=0,"",IF(OR($U293="Subscription",$U293=""),"",IF($U293="Estimate","N/A",IF(OR($U293="Free Game",$U293="Disqualified — Free Game"),0,ROUND(IFERROR($Q293,0)-IFERROR($S293,0),2)))))</ns0:f>
      </ns0:c>
      <ns0:c r="X293" s="956" t="str">
        <ns0:f>IF(COUNTA($A293:$M293)=0,"",IF(OR($U293="Subscription",NOT(ISNUMBER($J293)),NOT(ISNUMBER($I293)),$J293=0,$I293=0,$I293&gt;$J293),"",$J293-$I293))</ns0:f>
      </ns0:c>
      <ns0:c r="Y293" s="955" t="str">
        <ns0:f>IF(COUNTA($A293:$M293)=0,"",IF(OR($U293="Subscription",NOT(ISNUMBER($J293)),$J293=0,$X293=""),"",$X293/$J293))</ns0:f>
      </ns0:c>
      <ns0:c r="Z293" s="957" t="str">
        <ns0:f>IF(COUNTA($A293:$M293)=0,"",Instructions!$B$29+SUM($W$5:W293))</ns0:f>
      </ns0:c>
    </ns0:row>
    <ns0:row r="294" ht="36" customHeight="1">
      <ns0:c r="A294" s="439"/>
      <ns0:c r="B294" s="453"/>
      <ns0:c r="C294" s="453"/>
      <ns0:c r="D294" s="454"/>
      <ns0:c r="E294" s="454"/>
      <ns0:c r="F294" s="454"/>
      <ns0:c r="G294" s="986"/>
      <ns0:c r="H294" s="455"/>
      <ns0:c r="I294" s="456"/>
      <ns0:c r="J294" s="456"/>
      <ns0:c r="K294" s="986"/>
      <ns0:c r="L294" s="454"/>
      <ns0:c r="M294" s="439"/>
      <ns0:c r="N294" s="987" t="str">
        <ns0:f>IF(COUNTA($A294:$M294)=0,"",IF(OR(LEFT(LOWER(TRIM($F294&amp;"")),12)="subscription",LOWER(TRIM($F294&amp;""))="membership"),"",IF(OR(AND($H294&lt;&gt;"",$H294=0),LEFT(LOWER(TRIM($F294&amp;"")),9)="free game",LOWER(TRIM($F294&amp;""))="free",LOWER(TRIM($F294&amp;""))="free entry"),IF(ISNUMBER($G294),IF(ISNUMBER(SEARCH("non",LOWER($E294&amp;""))),$G294*0.85,$G294),"N/A"),IF($G294="","",IFERROR(IF(ISNUMBER(SEARCH("non",LOWER($E294&amp;""))),$G294*0.85,$G294),"")))))</ns0:f>
        <ns0:v/>
      </ns0:c>
      <ns0:c r="O294" s="987" t="str">
        <ns0:f>IF(COUNTA($A294:$M294)=0,"",IF(OR(LEFT(LOWER(TRIM($F294&amp;"")),12)="subscription",LOWER(TRIM($F294&amp;""))="membership"),"",IF(OR(AND($H294&lt;&gt;"",$H294=0),LEFT(LOWER(TRIM($F294&amp;"")),9)="free game",LOWER(TRIM($F294&amp;""))="free",LOWER(TRIM($F294&amp;""))="free entry"),IF(OR(NOT(ISNUMBER($N294)),NOT(ISNUMBER($I294)),$I294=0),"N/A",IFERROR($N294/$I294,"N/A")),IF(OR($N294="",$I294="",$I294=0),"",IFERROR($N294/$I294,"")))))</ns0:f>
        <ns0:v/>
      </ns0:c>
      <ns0:c r="P294" s="987">
        <ns0:f>IF(COUNTA($A294:$M294)=0,"",IF(OR(LEFT(LOWER(TRIM($F294&amp;"")),12)="subscription",LOWER(TRIM($F294&amp;""))="membership"),"",IF(LOWER(TRIM($D294&amp;""))="estimate","N/A",IF(LOWER($L294&amp;"")="yes",0,IF(OR(AND($H294&lt;&gt;"",$H294=0),LEFT(LOWER(TRIM($F294&amp;"")),9)="free game",LOWER(TRIM($F294&amp;""))="free",LOWER(TRIM($F294&amp;""))="free entry"),IF(ISNUMBER($K294),$K294,""),IF($K294&lt;&gt;"",$K294,""))))))</ns0:f>
      </ns0:c>
      <ns0:c r="Q294" s="114">
        <ns0:f>IF(COUNTA($A294:$M294)=0,"",IF(OR($U294="Subscription",$U294=""),"",IF($U294="Estimate","N/A",IF($U294="Profit",ROUND(IFERROR($P294,0)-IFERROR($H294,0),2),0))))</ns0:f>
      </ns0:c>
      <ns0:c r="R294" s="114">
        <ns0:f>IF(COUNTA($A294:$M294)=0,"",IF(OR($U294="Subscription",$U294=""),"",IF($U294="Estimate","N/A",IF($U294="Draw",$H294,0))))</ns0:f>
      </ns0:c>
      <ns0:c r="S294" s="114">
        <ns0:f>IF(COUNTA($A294:$M294)=0,"",IF(OR($U294="Subscription",$U294=""),"",IF($U294="Estimate","N/A",IF($U294="Disqualified",$H294,0))))</ns0:f>
      </ns0:c>
      <ns0:c r="T294" s="955">
        <ns0:f>IF(COUNTA($A294:$M294)=0,"",IF(OR($U294="Subscription",$U294=""),"",IF($U294="Estimate","N/A",IF(OR($U294="Free Game",$U294="Disqualified — Free Game",$H294=0),"N/A",IF($U294="Profit",$Q294/$H294,IF($U294="Disqualified",-$S294/$H294,0))))))</ns0:f>
      </ns0:c>
      <ns0:c r="U294" s="920">
        <ns0:f>IF(COUNTA($A294:$M294)=0,"",IF(OR(LEFT(LOWER(TRIM($F294&amp;"")),12)="subscription",LOWER(TRIM($F294&amp;""))="membership"),"Subscription",IF(LOWER(TRIM($D294&amp;""))="estimate","Estimate",IF(OR(AND($H294&lt;&gt;"",$H294=0),LEFT(LOWER(TRIM($F294&amp;"")),9)="free game",LOWER(TRIM($F294&amp;""))="free",LOWER(TRIM($F294&amp;""))="free entry"),IF(LOWER($L294&amp;"")="yes","Disqualified — Free Game","Free Game"),IF(LOWER($L294&amp;"")="yes","Disqualified",IF($P294="","",IF(ROUND(IFERROR(VALUE($P294),0)-IFERROR(VALUE($H294),0),2)&gt;0,"Profit","Draw")))))))</ns0:f>
      </ns0:c>
      <ns0:c r="V294" s="956" t="str">
        <ns0:f>IF(COUNTA($A294:$M294)=0,"",IF(OR($B294="",$C294="",$U294="Subscription"),"",IFERROR(ROUNDUP(($C294-$B294)/7,0),"")))</ns0:f>
      </ns0:c>
      <ns0:c r="W294" s="114">
        <ns0:f>IF(COUNTA($A294:$M294)=0,"",IF(OR($U294="Subscription",$U294=""),"",IF($U294="Estimate","N/A",IF(OR($U294="Free Game",$U294="Disqualified — Free Game"),0,ROUND(IFERROR($Q294,0)-IFERROR($S294,0),2)))))</ns0:f>
      </ns0:c>
      <ns0:c r="X294" s="956" t="str">
        <ns0:f>IF(COUNTA($A294:$M294)=0,"",IF(OR($U294="Subscription",NOT(ISNUMBER($J294)),NOT(ISNUMBER($I294)),$J294=0,$I294=0,$I294&gt;$J294),"",$J294-$I294))</ns0:f>
      </ns0:c>
      <ns0:c r="Y294" s="955" t="str">
        <ns0:f>IF(COUNTA($A294:$M294)=0,"",IF(OR($U294="Subscription",NOT(ISNUMBER($J294)),$J294=0,$X294=""),"",$X294/$J294))</ns0:f>
      </ns0:c>
      <ns0:c r="Z294" s="957" t="str">
        <ns0:f>IF(COUNTA($A294:$M294)=0,"",Instructions!$B$29+SUM($W$5:W294))</ns0:f>
      </ns0:c>
    </ns0:row>
    <ns0:row r="295" ht="36" customHeight="1">
      <ns0:c r="A295" s="439"/>
      <ns0:c r="B295" s="453"/>
      <ns0:c r="C295" s="453"/>
      <ns0:c r="D295" s="454"/>
      <ns0:c r="E295" s="454"/>
      <ns0:c r="F295" s="454"/>
      <ns0:c r="G295" s="986"/>
      <ns0:c r="H295" s="455"/>
      <ns0:c r="I295" s="456"/>
      <ns0:c r="J295" s="456"/>
      <ns0:c r="K295" s="986"/>
      <ns0:c r="L295" s="454"/>
      <ns0:c r="M295" s="439"/>
      <ns0:c r="N295" s="987" t="str">
        <ns0:f>IF(COUNTA($A295:$M295)=0,"",IF(OR(LEFT(LOWER(TRIM($F295&amp;"")),12)="subscription",LOWER(TRIM($F295&amp;""))="membership"),"",IF(OR(AND($H295&lt;&gt;"",$H295=0),LEFT(LOWER(TRIM($F295&amp;"")),9)="free game",LOWER(TRIM($F295&amp;""))="free",LOWER(TRIM($F295&amp;""))="free entry"),IF(ISNUMBER($G295),IF(ISNUMBER(SEARCH("non",LOWER($E295&amp;""))),$G295*0.85,$G295),"N/A"),IF($G295="","",IFERROR(IF(ISNUMBER(SEARCH("non",LOWER($E295&amp;""))),$G295*0.85,$G295),"")))))</ns0:f>
        <ns0:v/>
      </ns0:c>
      <ns0:c r="O295" s="987" t="str">
        <ns0:f>IF(COUNTA($A295:$M295)=0,"",IF(OR(LEFT(LOWER(TRIM($F295&amp;"")),12)="subscription",LOWER(TRIM($F295&amp;""))="membership"),"",IF(OR(AND($H295&lt;&gt;"",$H295=0),LEFT(LOWER(TRIM($F295&amp;"")),9)="free game",LOWER(TRIM($F295&amp;""))="free",LOWER(TRIM($F295&amp;""))="free entry"),IF(OR(NOT(ISNUMBER($N295)),NOT(ISNUMBER($I295)),$I295=0),"N/A",IFERROR($N295/$I295,"N/A")),IF(OR($N295="",$I295="",$I295=0),"",IFERROR($N295/$I295,"")))))</ns0:f>
        <ns0:v/>
      </ns0:c>
      <ns0:c r="P295" s="987">
        <ns0:f>IF(COUNTA($A295:$M295)=0,"",IF(OR(LEFT(LOWER(TRIM($F295&amp;"")),12)="subscription",LOWER(TRIM($F295&amp;""))="membership"),"",IF(LOWER(TRIM($D295&amp;""))="estimate","N/A",IF(LOWER($L295&amp;"")="yes",0,IF(OR(AND($H295&lt;&gt;"",$H295=0),LEFT(LOWER(TRIM($F295&amp;"")),9)="free game",LOWER(TRIM($F295&amp;""))="free",LOWER(TRIM($F295&amp;""))="free entry"),IF(ISNUMBER($K295),$K295,""),IF($K295&lt;&gt;"",$K295,""))))))</ns0:f>
      </ns0:c>
      <ns0:c r="Q295" s="114">
        <ns0:f>IF(COUNTA($A295:$M295)=0,"",IF(OR($U295="Subscription",$U295=""),"",IF($U295="Estimate","N/A",IF($U295="Profit",ROUND(IFERROR($P295,0)-IFERROR($H295,0),2),0))))</ns0:f>
      </ns0:c>
      <ns0:c r="R295" s="114">
        <ns0:f>IF(COUNTA($A295:$M295)=0,"",IF(OR($U295="Subscription",$U295=""),"",IF($U295="Estimate","N/A",IF($U295="Draw",$H295,0))))</ns0:f>
      </ns0:c>
      <ns0:c r="S295" s="114">
        <ns0:f>IF(COUNTA($A295:$M295)=0,"",IF(OR($U295="Subscription",$U295=""),"",IF($U295="Estimate","N/A",IF($U295="Disqualified",$H295,0))))</ns0:f>
      </ns0:c>
      <ns0:c r="T295" s="955">
        <ns0:f>IF(COUNTA($A295:$M295)=0,"",IF(OR($U295="Subscription",$U295=""),"",IF($U295="Estimate","N/A",IF(OR($U295="Free Game",$U295="Disqualified — Free Game",$H295=0),"N/A",IF($U295="Profit",$Q295/$H295,IF($U295="Disqualified",-$S295/$H295,0))))))</ns0:f>
      </ns0:c>
      <ns0:c r="U295" s="920">
        <ns0:f>IF(COUNTA($A295:$M295)=0,"",IF(OR(LEFT(LOWER(TRIM($F295&amp;"")),12)="subscription",LOWER(TRIM($F295&amp;""))="membership"),"Subscription",IF(LOWER(TRIM($D295&amp;""))="estimate","Estimate",IF(OR(AND($H295&lt;&gt;"",$H295=0),LEFT(LOWER(TRIM($F295&amp;"")),9)="free game",LOWER(TRIM($F295&amp;""))="free",LOWER(TRIM($F295&amp;""))="free entry"),IF(LOWER($L295&amp;"")="yes","Disqualified — Free Game","Free Game"),IF(LOWER($L295&amp;"")="yes","Disqualified",IF($P295="","",IF(ROUND(IFERROR(VALUE($P295),0)-IFERROR(VALUE($H295),0),2)&gt;0,"Profit","Draw")))))))</ns0:f>
      </ns0:c>
      <ns0:c r="V295" s="956" t="str">
        <ns0:f>IF(COUNTA($A295:$M295)=0,"",IF(OR($B295="",$C295="",$U295="Subscription"),"",IFERROR(ROUNDUP(($C295-$B295)/7,0),"")))</ns0:f>
      </ns0:c>
      <ns0:c r="W295" s="114">
        <ns0:f>IF(COUNTA($A295:$M295)=0,"",IF(OR($U295="Subscription",$U295=""),"",IF($U295="Estimate","N/A",IF(OR($U295="Free Game",$U295="Disqualified — Free Game"),0,ROUND(IFERROR($Q295,0)-IFERROR($S295,0),2)))))</ns0:f>
      </ns0:c>
      <ns0:c r="X295" s="956" t="str">
        <ns0:f>IF(COUNTA($A295:$M295)=0,"",IF(OR($U295="Subscription",NOT(ISNUMBER($J295)),NOT(ISNUMBER($I295)),$J295=0,$I295=0,$I295&gt;$J295),"",$J295-$I295))</ns0:f>
      </ns0:c>
      <ns0:c r="Y295" s="955" t="str">
        <ns0:f>IF(COUNTA($A295:$M295)=0,"",IF(OR($U295="Subscription",NOT(ISNUMBER($J295)),$J295=0,$X295=""),"",$X295/$J295))</ns0:f>
      </ns0:c>
      <ns0:c r="Z295" s="957" t="str">
        <ns0:f>IF(COUNTA($A295:$M295)=0,"",Instructions!$B$29+SUM($W$5:W295))</ns0:f>
      </ns0:c>
    </ns0:row>
    <ns0:row r="296" ht="36" customHeight="1">
      <ns0:c r="A296" s="439"/>
      <ns0:c r="B296" s="453"/>
      <ns0:c r="C296" s="453"/>
      <ns0:c r="D296" s="454"/>
      <ns0:c r="E296" s="454"/>
      <ns0:c r="F296" s="454"/>
      <ns0:c r="G296" s="986"/>
      <ns0:c r="H296" s="455"/>
      <ns0:c r="I296" s="456"/>
      <ns0:c r="J296" s="456"/>
      <ns0:c r="K296" s="986"/>
      <ns0:c r="L296" s="454"/>
      <ns0:c r="M296" s="439"/>
      <ns0:c r="N296" s="987" t="str">
        <ns0:f>IF(COUNTA($A296:$M296)=0,"",IF(OR(LEFT(LOWER(TRIM($F296&amp;"")),12)="subscription",LOWER(TRIM($F296&amp;""))="membership"),"",IF(OR(AND($H296&lt;&gt;"",$H296=0),LEFT(LOWER(TRIM($F296&amp;"")),9)="free game",LOWER(TRIM($F296&amp;""))="free",LOWER(TRIM($F296&amp;""))="free entry"),IF(ISNUMBER($G296),IF(ISNUMBER(SEARCH("non",LOWER($E296&amp;""))),$G296*0.85,$G296),"N/A"),IF($G296="","",IFERROR(IF(ISNUMBER(SEARCH("non",LOWER($E296&amp;""))),$G296*0.85,$G296),"")))))</ns0:f>
        <ns0:v/>
      </ns0:c>
      <ns0:c r="O296" s="987" t="str">
        <ns0:f>IF(COUNTA($A296:$M296)=0,"",IF(OR(LEFT(LOWER(TRIM($F296&amp;"")),12)="subscription",LOWER(TRIM($F296&amp;""))="membership"),"",IF(OR(AND($H296&lt;&gt;"",$H296=0),LEFT(LOWER(TRIM($F296&amp;"")),9)="free game",LOWER(TRIM($F296&amp;""))="free",LOWER(TRIM($F296&amp;""))="free entry"),IF(OR(NOT(ISNUMBER($N296)),NOT(ISNUMBER($I296)),$I296=0),"N/A",IFERROR($N296/$I296,"N/A")),IF(OR($N296="",$I296="",$I296=0),"",IFERROR($N296/$I296,"")))))</ns0:f>
        <ns0:v/>
      </ns0:c>
      <ns0:c r="P296" s="987">
        <ns0:f>IF(COUNTA($A296:$M296)=0,"",IF(OR(LEFT(LOWER(TRIM($F296&amp;"")),12)="subscription",LOWER(TRIM($F296&amp;""))="membership"),"",IF(LOWER(TRIM($D296&amp;""))="estimate","N/A",IF(LOWER($L296&amp;"")="yes",0,IF(OR(AND($H296&lt;&gt;"",$H296=0),LEFT(LOWER(TRIM($F296&amp;"")),9)="free game",LOWER(TRIM($F296&amp;""))="free",LOWER(TRIM($F296&amp;""))="free entry"),IF(ISNUMBER($K296),$K296,""),IF($K296&lt;&gt;"",$K296,""))))))</ns0:f>
      </ns0:c>
      <ns0:c r="Q296" s="114">
        <ns0:f>IF(COUNTA($A296:$M296)=0,"",IF(OR($U296="Subscription",$U296=""),"",IF($U296="Estimate","N/A",IF($U296="Profit",ROUND(IFERROR($P296,0)-IFERROR($H296,0),2),0))))</ns0:f>
      </ns0:c>
      <ns0:c r="R296" s="114">
        <ns0:f>IF(COUNTA($A296:$M296)=0,"",IF(OR($U296="Subscription",$U296=""),"",IF($U296="Estimate","N/A",IF($U296="Draw",$H296,0))))</ns0:f>
      </ns0:c>
      <ns0:c r="S296" s="114">
        <ns0:f>IF(COUNTA($A296:$M296)=0,"",IF(OR($U296="Subscription",$U296=""),"",IF($U296="Estimate","N/A",IF($U296="Disqualified",$H296,0))))</ns0:f>
      </ns0:c>
      <ns0:c r="T296" s="955">
        <ns0:f>IF(COUNTA($A296:$M296)=0,"",IF(OR($U296="Subscription",$U296=""),"",IF($U296="Estimate","N/A",IF(OR($U296="Free Game",$U296="Disqualified — Free Game",$H296=0),"N/A",IF($U296="Profit",$Q296/$H296,IF($U296="Disqualified",-$S296/$H296,0))))))</ns0:f>
      </ns0:c>
      <ns0:c r="U296" s="920">
        <ns0:f>IF(COUNTA($A296:$M296)=0,"",IF(OR(LEFT(LOWER(TRIM($F296&amp;"")),12)="subscription",LOWER(TRIM($F296&amp;""))="membership"),"Subscription",IF(LOWER(TRIM($D296&amp;""))="estimate","Estimate",IF(OR(AND($H296&lt;&gt;"",$H296=0),LEFT(LOWER(TRIM($F296&amp;"")),9)="free game",LOWER(TRIM($F296&amp;""))="free",LOWER(TRIM($F296&amp;""))="free entry"),IF(LOWER($L296&amp;"")="yes","Disqualified — Free Game","Free Game"),IF(LOWER($L296&amp;"")="yes","Disqualified",IF($P296="","",IF(ROUND(IFERROR(VALUE($P296),0)-IFERROR(VALUE($H296),0),2)&gt;0,"Profit","Draw")))))))</ns0:f>
      </ns0:c>
      <ns0:c r="V296" s="956" t="str">
        <ns0:f>IF(COUNTA($A296:$M296)=0,"",IF(OR($B296="",$C296="",$U296="Subscription"),"",IFERROR(ROUNDUP(($C296-$B296)/7,0),"")))</ns0:f>
      </ns0:c>
      <ns0:c r="W296" s="114">
        <ns0:f>IF(COUNTA($A296:$M296)=0,"",IF(OR($U296="Subscription",$U296=""),"",IF($U296="Estimate","N/A",IF(OR($U296="Free Game",$U296="Disqualified — Free Game"),0,ROUND(IFERROR($Q296,0)-IFERROR($S296,0),2)))))</ns0:f>
      </ns0:c>
      <ns0:c r="X296" s="956" t="str">
        <ns0:f>IF(COUNTA($A296:$M296)=0,"",IF(OR($U296="Subscription",NOT(ISNUMBER($J296)),NOT(ISNUMBER($I296)),$J296=0,$I296=0,$I296&gt;$J296),"",$J296-$I296))</ns0:f>
      </ns0:c>
      <ns0:c r="Y296" s="955" t="str">
        <ns0:f>IF(COUNTA($A296:$M296)=0,"",IF(OR($U296="Subscription",NOT(ISNUMBER($J296)),$J296=0,$X296=""),"",$X296/$J296))</ns0:f>
      </ns0:c>
      <ns0:c r="Z296" s="957" t="str">
        <ns0:f>IF(COUNTA($A296:$M296)=0,"",Instructions!$B$29+SUM($W$5:W296))</ns0:f>
      </ns0:c>
    </ns0:row>
    <ns0:row r="297" ht="36" customHeight="1">
      <ns0:c r="A297" s="439"/>
      <ns0:c r="B297" s="453"/>
      <ns0:c r="C297" s="453"/>
      <ns0:c r="D297" s="454"/>
      <ns0:c r="E297" s="454"/>
      <ns0:c r="F297" s="454"/>
      <ns0:c r="G297" s="986"/>
      <ns0:c r="H297" s="455"/>
      <ns0:c r="I297" s="456"/>
      <ns0:c r="J297" s="456"/>
      <ns0:c r="K297" s="986"/>
      <ns0:c r="L297" s="454"/>
      <ns0:c r="M297" s="439"/>
      <ns0:c r="N297" s="987" t="str">
        <ns0:f>IF(COUNTA($A297:$M297)=0,"",IF(OR(LEFT(LOWER(TRIM($F297&amp;"")),12)="subscription",LOWER(TRIM($F297&amp;""))="membership"),"",IF(OR(AND($H297&lt;&gt;"",$H297=0),LEFT(LOWER(TRIM($F297&amp;"")),9)="free game",LOWER(TRIM($F297&amp;""))="free",LOWER(TRIM($F297&amp;""))="free entry"),IF(ISNUMBER($G297),IF(ISNUMBER(SEARCH("non",LOWER($E297&amp;""))),$G297*0.85,$G297),"N/A"),IF($G297="","",IFERROR(IF(ISNUMBER(SEARCH("non",LOWER($E297&amp;""))),$G297*0.85,$G297),"")))))</ns0:f>
        <ns0:v/>
      </ns0:c>
      <ns0:c r="O297" s="987" t="str">
        <ns0:f>IF(COUNTA($A297:$M297)=0,"",IF(OR(LEFT(LOWER(TRIM($F297&amp;"")),12)="subscription",LOWER(TRIM($F297&amp;""))="membership"),"",IF(OR(AND($H297&lt;&gt;"",$H297=0),LEFT(LOWER(TRIM($F297&amp;"")),9)="free game",LOWER(TRIM($F297&amp;""))="free",LOWER(TRIM($F297&amp;""))="free entry"),IF(OR(NOT(ISNUMBER($N297)),NOT(ISNUMBER($I297)),$I297=0),"N/A",IFERROR($N297/$I297,"N/A")),IF(OR($N297="",$I297="",$I297=0),"",IFERROR($N297/$I297,"")))))</ns0:f>
        <ns0:v/>
      </ns0:c>
      <ns0:c r="P297" s="987">
        <ns0:f>IF(COUNTA($A297:$M297)=0,"",IF(OR(LEFT(LOWER(TRIM($F297&amp;"")),12)="subscription",LOWER(TRIM($F297&amp;""))="membership"),"",IF(LOWER(TRIM($D297&amp;""))="estimate","N/A",IF(LOWER($L297&amp;"")="yes",0,IF(OR(AND($H297&lt;&gt;"",$H297=0),LEFT(LOWER(TRIM($F297&amp;"")),9)="free game",LOWER(TRIM($F297&amp;""))="free",LOWER(TRIM($F297&amp;""))="free entry"),IF(ISNUMBER($K297),$K297,""),IF($K297&lt;&gt;"",$K297,""))))))</ns0:f>
      </ns0:c>
      <ns0:c r="Q297" s="114">
        <ns0:f>IF(COUNTA($A297:$M297)=0,"",IF(OR($U297="Subscription",$U297=""),"",IF($U297="Estimate","N/A",IF($U297="Profit",ROUND(IFERROR($P297,0)-IFERROR($H297,0),2),0))))</ns0:f>
      </ns0:c>
      <ns0:c r="R297" s="114">
        <ns0:f>IF(COUNTA($A297:$M297)=0,"",IF(OR($U297="Subscription",$U297=""),"",IF($U297="Estimate","N/A",IF($U297="Draw",$H297,0))))</ns0:f>
      </ns0:c>
      <ns0:c r="S297" s="114">
        <ns0:f>IF(COUNTA($A297:$M297)=0,"",IF(OR($U297="Subscription",$U297=""),"",IF($U297="Estimate","N/A",IF($U297="Disqualified",$H297,0))))</ns0:f>
      </ns0:c>
      <ns0:c r="T297" s="955">
        <ns0:f>IF(COUNTA($A297:$M297)=0,"",IF(OR($U297="Subscription",$U297=""),"",IF($U297="Estimate","N/A",IF(OR($U297="Free Game",$U297="Disqualified — Free Game",$H297=0),"N/A",IF($U297="Profit",$Q297/$H297,IF($U297="Disqualified",-$S297/$H297,0))))))</ns0:f>
      </ns0:c>
      <ns0:c r="U297" s="920">
        <ns0:f>IF(COUNTA($A297:$M297)=0,"",IF(OR(LEFT(LOWER(TRIM($F297&amp;"")),12)="subscription",LOWER(TRIM($F297&amp;""))="membership"),"Subscription",IF(LOWER(TRIM($D297&amp;""))="estimate","Estimate",IF(OR(AND($H297&lt;&gt;"",$H297=0),LEFT(LOWER(TRIM($F297&amp;"")),9)="free game",LOWER(TRIM($F297&amp;""))="free",LOWER(TRIM($F297&amp;""))="free entry"),IF(LOWER($L297&amp;"")="yes","Disqualified — Free Game","Free Game"),IF(LOWER($L297&amp;"")="yes","Disqualified",IF($P297="","",IF(ROUND(IFERROR(VALUE($P297),0)-IFERROR(VALUE($H297),0),2)&gt;0,"Profit","Draw")))))))</ns0:f>
      </ns0:c>
      <ns0:c r="V297" s="956" t="str">
        <ns0:f>IF(COUNTA($A297:$M297)=0,"",IF(OR($B297="",$C297="",$U297="Subscription"),"",IFERROR(ROUNDUP(($C297-$B297)/7,0),"")))</ns0:f>
      </ns0:c>
      <ns0:c r="W297" s="114">
        <ns0:f>IF(COUNTA($A297:$M297)=0,"",IF(OR($U297="Subscription",$U297=""),"",IF($U297="Estimate","N/A",IF(OR($U297="Free Game",$U297="Disqualified — Free Game"),0,ROUND(IFERROR($Q297,0)-IFERROR($S297,0),2)))))</ns0:f>
      </ns0:c>
      <ns0:c r="X297" s="956" t="str">
        <ns0:f>IF(COUNTA($A297:$M297)=0,"",IF(OR($U297="Subscription",NOT(ISNUMBER($J297)),NOT(ISNUMBER($I297)),$J297=0,$I297=0,$I297&gt;$J297),"",$J297-$I297))</ns0:f>
      </ns0:c>
      <ns0:c r="Y297" s="955" t="str">
        <ns0:f>IF(COUNTA($A297:$M297)=0,"",IF(OR($U297="Subscription",NOT(ISNUMBER($J297)),$J297=0,$X297=""),"",$X297/$J297))</ns0:f>
      </ns0:c>
      <ns0:c r="Z297" s="957" t="str">
        <ns0:f>IF(COUNTA($A297:$M297)=0,"",Instructions!$B$29+SUM($W$5:W297))</ns0:f>
      </ns0:c>
    </ns0:row>
    <ns0:row r="298" ht="36" customHeight="1">
      <ns0:c r="A298" s="439"/>
      <ns0:c r="B298" s="453"/>
      <ns0:c r="C298" s="453"/>
      <ns0:c r="D298" s="454"/>
      <ns0:c r="E298" s="454"/>
      <ns0:c r="F298" s="454"/>
      <ns0:c r="G298" s="986"/>
      <ns0:c r="H298" s="455"/>
      <ns0:c r="I298" s="456"/>
      <ns0:c r="J298" s="456"/>
      <ns0:c r="K298" s="986"/>
      <ns0:c r="L298" s="454"/>
      <ns0:c r="M298" s="439"/>
      <ns0:c r="N298" s="987" t="str">
        <ns0:f>IF(COUNTA($A298:$M298)=0,"",IF(OR(LEFT(LOWER(TRIM($F298&amp;"")),12)="subscription",LOWER(TRIM($F298&amp;""))="membership"),"",IF(OR(AND($H298&lt;&gt;"",$H298=0),LEFT(LOWER(TRIM($F298&amp;"")),9)="free game",LOWER(TRIM($F298&amp;""))="free",LOWER(TRIM($F298&amp;""))="free entry"),IF(ISNUMBER($G298),IF(ISNUMBER(SEARCH("non",LOWER($E298&amp;""))),$G298*0.85,$G298),"N/A"),IF($G298="","",IFERROR(IF(ISNUMBER(SEARCH("non",LOWER($E298&amp;""))),$G298*0.85,$G298),"")))))</ns0:f>
        <ns0:v/>
      </ns0:c>
      <ns0:c r="O298" s="987" t="str">
        <ns0:f>IF(COUNTA($A298:$M298)=0,"",IF(OR(LEFT(LOWER(TRIM($F298&amp;"")),12)="subscription",LOWER(TRIM($F298&amp;""))="membership"),"",IF(OR(AND($H298&lt;&gt;"",$H298=0),LEFT(LOWER(TRIM($F298&amp;"")),9)="free game",LOWER(TRIM($F298&amp;""))="free",LOWER(TRIM($F298&amp;""))="free entry"),IF(OR(NOT(ISNUMBER($N298)),NOT(ISNUMBER($I298)),$I298=0),"N/A",IFERROR($N298/$I298,"N/A")),IF(OR($N298="",$I298="",$I298=0),"",IFERROR($N298/$I298,"")))))</ns0:f>
        <ns0:v/>
      </ns0:c>
      <ns0:c r="P298" s="987">
        <ns0:f>IF(COUNTA($A298:$M298)=0,"",IF(OR(LEFT(LOWER(TRIM($F298&amp;"")),12)="subscription",LOWER(TRIM($F298&amp;""))="membership"),"",IF(LOWER(TRIM($D298&amp;""))="estimate","N/A",IF(LOWER($L298&amp;"")="yes",0,IF(OR(AND($H298&lt;&gt;"",$H298=0),LEFT(LOWER(TRIM($F298&amp;"")),9)="free game",LOWER(TRIM($F298&amp;""))="free",LOWER(TRIM($F298&amp;""))="free entry"),IF(ISNUMBER($K298),$K298,""),IF($K298&lt;&gt;"",$K298,""))))))</ns0:f>
      </ns0:c>
      <ns0:c r="Q298" s="114">
        <ns0:f>IF(COUNTA($A298:$M298)=0,"",IF(OR($U298="Subscription",$U298=""),"",IF($U298="Estimate","N/A",IF($U298="Profit",ROUND(IFERROR($P298,0)-IFERROR($H298,0),2),0))))</ns0:f>
      </ns0:c>
      <ns0:c r="R298" s="114">
        <ns0:f>IF(COUNTA($A298:$M298)=0,"",IF(OR($U298="Subscription",$U298=""),"",IF($U298="Estimate","N/A",IF($U298="Draw",$H298,0))))</ns0:f>
      </ns0:c>
      <ns0:c r="S298" s="114">
        <ns0:f>IF(COUNTA($A298:$M298)=0,"",IF(OR($U298="Subscription",$U298=""),"",IF($U298="Estimate","N/A",IF($U298="Disqualified",$H298,0))))</ns0:f>
      </ns0:c>
      <ns0:c r="T298" s="955">
        <ns0:f>IF(COUNTA($A298:$M298)=0,"",IF(OR($U298="Subscription",$U298=""),"",IF($U298="Estimate","N/A",IF(OR($U298="Free Game",$U298="Disqualified — Free Game",$H298=0),"N/A",IF($U298="Profit",$Q298/$H298,IF($U298="Disqualified",-$S298/$H298,0))))))</ns0:f>
      </ns0:c>
      <ns0:c r="U298" s="920">
        <ns0:f>IF(COUNTA($A298:$M298)=0,"",IF(OR(LEFT(LOWER(TRIM($F298&amp;"")),12)="subscription",LOWER(TRIM($F298&amp;""))="membership"),"Subscription",IF(LOWER(TRIM($D298&amp;""))="estimate","Estimate",IF(OR(AND($H298&lt;&gt;"",$H298=0),LEFT(LOWER(TRIM($F298&amp;"")),9)="free game",LOWER(TRIM($F298&amp;""))="free",LOWER(TRIM($F298&amp;""))="free entry"),IF(LOWER($L298&amp;"")="yes","Disqualified — Free Game","Free Game"),IF(LOWER($L298&amp;"")="yes","Disqualified",IF($P298="","",IF(ROUND(IFERROR(VALUE($P298),0)-IFERROR(VALUE($H298),0),2)&gt;0,"Profit","Draw")))))))</ns0:f>
      </ns0:c>
      <ns0:c r="V298" s="956" t="str">
        <ns0:f>IF(COUNTA($A298:$M298)=0,"",IF(OR($B298="",$C298="",$U298="Subscription"),"",IFERROR(ROUNDUP(($C298-$B298)/7,0),"")))</ns0:f>
      </ns0:c>
      <ns0:c r="W298" s="114">
        <ns0:f>IF(COUNTA($A298:$M298)=0,"",IF(OR($U298="Subscription",$U298=""),"",IF($U298="Estimate","N/A",IF(OR($U298="Free Game",$U298="Disqualified — Free Game"),0,ROUND(IFERROR($Q298,0)-IFERROR($S298,0),2)))))</ns0:f>
      </ns0:c>
      <ns0:c r="X298" s="956" t="str">
        <ns0:f>IF(COUNTA($A298:$M298)=0,"",IF(OR($U298="Subscription",NOT(ISNUMBER($J298)),NOT(ISNUMBER($I298)),$J298=0,$I298=0,$I298&gt;$J298),"",$J298-$I298))</ns0:f>
      </ns0:c>
      <ns0:c r="Y298" s="955" t="str">
        <ns0:f>IF(COUNTA($A298:$M298)=0,"",IF(OR($U298="Subscription",NOT(ISNUMBER($J298)),$J298=0,$X298=""),"",$X298/$J298))</ns0:f>
      </ns0:c>
      <ns0:c r="Z298" s="957" t="str">
        <ns0:f>IF(COUNTA($A298:$M298)=0,"",Instructions!$B$29+SUM($W$5:W298))</ns0:f>
      </ns0:c>
    </ns0:row>
    <ns0:row r="299" ht="36" customHeight="1">
      <ns0:c r="A299" s="439"/>
      <ns0:c r="B299" s="453"/>
      <ns0:c r="C299" s="453"/>
      <ns0:c r="D299" s="454"/>
      <ns0:c r="E299" s="454"/>
      <ns0:c r="F299" s="454"/>
      <ns0:c r="G299" s="986"/>
      <ns0:c r="H299" s="455"/>
      <ns0:c r="I299" s="456"/>
      <ns0:c r="J299" s="456"/>
      <ns0:c r="K299" s="986"/>
      <ns0:c r="L299" s="454"/>
      <ns0:c r="M299" s="439"/>
      <ns0:c r="N299" s="987" t="str">
        <ns0:f>IF(COUNTA($A299:$M299)=0,"",IF(OR(LEFT(LOWER(TRIM($F299&amp;"")),12)="subscription",LOWER(TRIM($F299&amp;""))="membership"),"",IF(OR(AND($H299&lt;&gt;"",$H299=0),LEFT(LOWER(TRIM($F299&amp;"")),9)="free game",LOWER(TRIM($F299&amp;""))="free",LOWER(TRIM($F299&amp;""))="free entry"),IF(ISNUMBER($G299),IF(ISNUMBER(SEARCH("non",LOWER($E299&amp;""))),$G299*0.85,$G299),"N/A"),IF($G299="","",IFERROR(IF(ISNUMBER(SEARCH("non",LOWER($E299&amp;""))),$G299*0.85,$G299),"")))))</ns0:f>
        <ns0:v/>
      </ns0:c>
      <ns0:c r="O299" s="987" t="str">
        <ns0:f>IF(COUNTA($A299:$M299)=0,"",IF(OR(LEFT(LOWER(TRIM($F299&amp;"")),12)="subscription",LOWER(TRIM($F299&amp;""))="membership"),"",IF(OR(AND($H299&lt;&gt;"",$H299=0),LEFT(LOWER(TRIM($F299&amp;"")),9)="free game",LOWER(TRIM($F299&amp;""))="free",LOWER(TRIM($F299&amp;""))="free entry"),IF(OR(NOT(ISNUMBER($N299)),NOT(ISNUMBER($I299)),$I299=0),"N/A",IFERROR($N299/$I299,"N/A")),IF(OR($N299="",$I299="",$I299=0),"",IFERROR($N299/$I299,"")))))</ns0:f>
        <ns0:v/>
      </ns0:c>
      <ns0:c r="P299" s="987">
        <ns0:f>IF(COUNTA($A299:$M299)=0,"",IF(OR(LEFT(LOWER(TRIM($F299&amp;"")),12)="subscription",LOWER(TRIM($F299&amp;""))="membership"),"",IF(LOWER(TRIM($D299&amp;""))="estimate","N/A",IF(LOWER($L299&amp;"")="yes",0,IF(OR(AND($H299&lt;&gt;"",$H299=0),LEFT(LOWER(TRIM($F299&amp;"")),9)="free game",LOWER(TRIM($F299&amp;""))="free",LOWER(TRIM($F299&amp;""))="free entry"),IF(ISNUMBER($K299),$K299,""),IF($K299&lt;&gt;"",$K299,""))))))</ns0:f>
      </ns0:c>
      <ns0:c r="Q299" s="114">
        <ns0:f>IF(COUNTA($A299:$M299)=0,"",IF(OR($U299="Subscription",$U299=""),"",IF($U299="Estimate","N/A",IF($U299="Profit",ROUND(IFERROR($P299,0)-IFERROR($H299,0),2),0))))</ns0:f>
      </ns0:c>
      <ns0:c r="R299" s="114">
        <ns0:f>IF(COUNTA($A299:$M299)=0,"",IF(OR($U299="Subscription",$U299=""),"",IF($U299="Estimate","N/A",IF($U299="Draw",$H299,0))))</ns0:f>
      </ns0:c>
      <ns0:c r="S299" s="114">
        <ns0:f>IF(COUNTA($A299:$M299)=0,"",IF(OR($U299="Subscription",$U299=""),"",IF($U299="Estimate","N/A",IF($U299="Disqualified",$H299,0))))</ns0:f>
      </ns0:c>
      <ns0:c r="T299" s="955">
        <ns0:f>IF(COUNTA($A299:$M299)=0,"",IF(OR($U299="Subscription",$U299=""),"",IF($U299="Estimate","N/A",IF(OR($U299="Free Game",$U299="Disqualified — Free Game",$H299=0),"N/A",IF($U299="Profit",$Q299/$H299,IF($U299="Disqualified",-$S299/$H299,0))))))</ns0:f>
      </ns0:c>
      <ns0:c r="U299" s="920">
        <ns0:f>IF(COUNTA($A299:$M299)=0,"",IF(OR(LEFT(LOWER(TRIM($F299&amp;"")),12)="subscription",LOWER(TRIM($F299&amp;""))="membership"),"Subscription",IF(LOWER(TRIM($D299&amp;""))="estimate","Estimate",IF(OR(AND($H299&lt;&gt;"",$H299=0),LEFT(LOWER(TRIM($F299&amp;"")),9)="free game",LOWER(TRIM($F299&amp;""))="free",LOWER(TRIM($F299&amp;""))="free entry"),IF(LOWER($L299&amp;"")="yes","Disqualified — Free Game","Free Game"),IF(LOWER($L299&amp;"")="yes","Disqualified",IF($P299="","",IF(ROUND(IFERROR(VALUE($P299),0)-IFERROR(VALUE($H299),0),2)&gt;0,"Profit","Draw")))))))</ns0:f>
      </ns0:c>
      <ns0:c r="V299" s="956" t="str">
        <ns0:f>IF(COUNTA($A299:$M299)=0,"",IF(OR($B299="",$C299="",$U299="Subscription"),"",IFERROR(ROUNDUP(($C299-$B299)/7,0),"")))</ns0:f>
      </ns0:c>
      <ns0:c r="W299" s="114">
        <ns0:f>IF(COUNTA($A299:$M299)=0,"",IF(OR($U299="Subscription",$U299=""),"",IF($U299="Estimate","N/A",IF(OR($U299="Free Game",$U299="Disqualified — Free Game"),0,ROUND(IFERROR($Q299,0)-IFERROR($S299,0),2)))))</ns0:f>
      </ns0:c>
      <ns0:c r="X299" s="956" t="str">
        <ns0:f>IF(COUNTA($A299:$M299)=0,"",IF(OR($U299="Subscription",NOT(ISNUMBER($J299)),NOT(ISNUMBER($I299)),$J299=0,$I299=0,$I299&gt;$J299),"",$J299-$I299))</ns0:f>
      </ns0:c>
      <ns0:c r="Y299" s="955" t="str">
        <ns0:f>IF(COUNTA($A299:$M299)=0,"",IF(OR($U299="Subscription",NOT(ISNUMBER($J299)),$J299=0,$X299=""),"",$X299/$J299))</ns0:f>
      </ns0:c>
      <ns0:c r="Z299" s="957" t="str">
        <ns0:f>IF(COUNTA($A299:$M299)=0,"",Instructions!$B$29+SUM($W$5:W299))</ns0:f>
      </ns0:c>
    </ns0:row>
    <ns0:row r="300" ht="36" customHeight="1">
      <ns0:c r="A300" s="439"/>
      <ns0:c r="B300" s="453"/>
      <ns0:c r="C300" s="453"/>
      <ns0:c r="D300" s="454"/>
      <ns0:c r="E300" s="454"/>
      <ns0:c r="F300" s="454"/>
      <ns0:c r="G300" s="986"/>
      <ns0:c r="H300" s="455"/>
      <ns0:c r="I300" s="456"/>
      <ns0:c r="J300" s="456"/>
      <ns0:c r="K300" s="986"/>
      <ns0:c r="L300" s="454"/>
      <ns0:c r="M300" s="439"/>
      <ns0:c r="N300" s="987" t="str">
        <ns0:f>IF(COUNTA($A300:$M300)=0,"",IF(OR(LEFT(LOWER(TRIM($F300&amp;"")),12)="subscription",LOWER(TRIM($F300&amp;""))="membership"),"",IF(OR(AND($H300&lt;&gt;"",$H300=0),LEFT(LOWER(TRIM($F300&amp;"")),9)="free game",LOWER(TRIM($F300&amp;""))="free",LOWER(TRIM($F300&amp;""))="free entry"),IF(ISNUMBER($G300),IF(ISNUMBER(SEARCH("non",LOWER($E300&amp;""))),$G300*0.85,$G300),"N/A"),IF($G300="","",IFERROR(IF(ISNUMBER(SEARCH("non",LOWER($E300&amp;""))),$G300*0.85,$G300),"")))))</ns0:f>
        <ns0:v/>
      </ns0:c>
      <ns0:c r="O300" s="987" t="str">
        <ns0:f>IF(COUNTA($A300:$M300)=0,"",IF(OR(LEFT(LOWER(TRIM($F300&amp;"")),12)="subscription",LOWER(TRIM($F300&amp;""))="membership"),"",IF(OR(AND($H300&lt;&gt;"",$H300=0),LEFT(LOWER(TRIM($F300&amp;"")),9)="free game",LOWER(TRIM($F300&amp;""))="free",LOWER(TRIM($F300&amp;""))="free entry"),IF(OR(NOT(ISNUMBER($N300)),NOT(ISNUMBER($I300)),$I300=0),"N/A",IFERROR($N300/$I300,"N/A")),IF(OR($N300="",$I300="",$I300=0),"",IFERROR($N300/$I300,"")))))</ns0:f>
        <ns0:v/>
      </ns0:c>
      <ns0:c r="P300" s="987">
        <ns0:f>IF(COUNTA($A300:$M300)=0,"",IF(OR(LEFT(LOWER(TRIM($F300&amp;"")),12)="subscription",LOWER(TRIM($F300&amp;""))="membership"),"",IF(LOWER(TRIM($D300&amp;""))="estimate","N/A",IF(LOWER($L300&amp;"")="yes",0,IF(OR(AND($H300&lt;&gt;"",$H300=0),LEFT(LOWER(TRIM($F300&amp;"")),9)="free game",LOWER(TRIM($F300&amp;""))="free",LOWER(TRIM($F300&amp;""))="free entry"),IF(ISNUMBER($K300),$K300,""),IF($K300&lt;&gt;"",$K300,""))))))</ns0:f>
      </ns0:c>
      <ns0:c r="Q300" s="114">
        <ns0:f>IF(COUNTA($A300:$M300)=0,"",IF(OR($U300="Subscription",$U300=""),"",IF($U300="Estimate","N/A",IF($U300="Profit",ROUND(IFERROR($P300,0)-IFERROR($H300,0),2),0))))</ns0:f>
      </ns0:c>
      <ns0:c r="R300" s="114">
        <ns0:f>IF(COUNTA($A300:$M300)=0,"",IF(OR($U300="Subscription",$U300=""),"",IF($U300="Estimate","N/A",IF($U300="Draw",$H300,0))))</ns0:f>
      </ns0:c>
      <ns0:c r="S300" s="114">
        <ns0:f>IF(COUNTA($A300:$M300)=0,"",IF(OR($U300="Subscription",$U300=""),"",IF($U300="Estimate","N/A",IF($U300="Disqualified",$H300,0))))</ns0:f>
      </ns0:c>
      <ns0:c r="T300" s="955">
        <ns0:f>IF(COUNTA($A300:$M300)=0,"",IF(OR($U300="Subscription",$U300=""),"",IF($U300="Estimate","N/A",IF(OR($U300="Free Game",$U300="Disqualified — Free Game",$H300=0),"N/A",IF($U300="Profit",$Q300/$H300,IF($U300="Disqualified",-$S300/$H300,0))))))</ns0:f>
      </ns0:c>
      <ns0:c r="U300" s="920">
        <ns0:f>IF(COUNTA($A300:$M300)=0,"",IF(OR(LEFT(LOWER(TRIM($F300&amp;"")),12)="subscription",LOWER(TRIM($F300&amp;""))="membership"),"Subscription",IF(LOWER(TRIM($D300&amp;""))="estimate","Estimate",IF(OR(AND($H300&lt;&gt;"",$H300=0),LEFT(LOWER(TRIM($F300&amp;"")),9)="free game",LOWER(TRIM($F300&amp;""))="free",LOWER(TRIM($F300&amp;""))="free entry"),IF(LOWER($L300&amp;"")="yes","Disqualified — Free Game","Free Game"),IF(LOWER($L300&amp;"")="yes","Disqualified",IF($P300="","",IF(ROUND(IFERROR(VALUE($P300),0)-IFERROR(VALUE($H300),0),2)&gt;0,"Profit","Draw")))))))</ns0:f>
      </ns0:c>
      <ns0:c r="V300" s="956" t="str">
        <ns0:f>IF(COUNTA($A300:$M300)=0,"",IF(OR($B300="",$C300="",$U300="Subscription"),"",IFERROR(ROUNDUP(($C300-$B300)/7,0),"")))</ns0:f>
      </ns0:c>
      <ns0:c r="W300" s="114">
        <ns0:f>IF(COUNTA($A300:$M300)=0,"",IF(OR($U300="Subscription",$U300=""),"",IF($U300="Estimate","N/A",IF(OR($U300="Free Game",$U300="Disqualified — Free Game"),0,ROUND(IFERROR($Q300,0)-IFERROR($S300,0),2)))))</ns0:f>
      </ns0:c>
      <ns0:c r="X300" s="956" t="str">
        <ns0:f>IF(COUNTA($A300:$M300)=0,"",IF(OR($U300="Subscription",NOT(ISNUMBER($J300)),NOT(ISNUMBER($I300)),$J300=0,$I300=0,$I300&gt;$J300),"",$J300-$I300))</ns0:f>
      </ns0:c>
      <ns0:c r="Y300" s="955" t="str">
        <ns0:f>IF(COUNTA($A300:$M300)=0,"",IF(OR($U300="Subscription",NOT(ISNUMBER($J300)),$J300=0,$X300=""),"",$X300/$J300))</ns0:f>
      </ns0:c>
      <ns0:c r="Z300" s="957" t="str">
        <ns0:f>IF(COUNTA($A300:$M300)=0,"",Instructions!$B$29+SUM($W$5:W300))</ns0:f>
      </ns0:c>
    </ns0:row>
    <ns0:row r="301" ht="36" customHeight="1">
      <ns0:c r="A301" s="439"/>
      <ns0:c r="B301" s="453"/>
      <ns0:c r="C301" s="453"/>
      <ns0:c r="D301" s="454"/>
      <ns0:c r="E301" s="454"/>
      <ns0:c r="F301" s="454"/>
      <ns0:c r="G301" s="986"/>
      <ns0:c r="H301" s="455"/>
      <ns0:c r="I301" s="456"/>
      <ns0:c r="J301" s="456"/>
      <ns0:c r="K301" s="986"/>
      <ns0:c r="L301" s="454"/>
      <ns0:c r="M301" s="439"/>
      <ns0:c r="N301" s="987" t="str">
        <ns0:f>IF(COUNTA($A301:$M301)=0,"",IF(OR(LEFT(LOWER(TRIM($F301&amp;"")),12)="subscription",LOWER(TRIM($F301&amp;""))="membership"),"",IF(OR(AND($H301&lt;&gt;"",$H301=0),LEFT(LOWER(TRIM($F301&amp;"")),9)="free game",LOWER(TRIM($F301&amp;""))="free",LOWER(TRIM($F301&amp;""))="free entry"),IF(ISNUMBER($G301),IF(ISNUMBER(SEARCH("non",LOWER($E301&amp;""))),$G301*0.85,$G301),"N/A"),IF($G301="","",IFERROR(IF(ISNUMBER(SEARCH("non",LOWER($E301&amp;""))),$G301*0.85,$G301),"")))))</ns0:f>
        <ns0:v/>
      </ns0:c>
      <ns0:c r="O301" s="987" t="str">
        <ns0:f>IF(COUNTA($A301:$M301)=0,"",IF(OR(LEFT(LOWER(TRIM($F301&amp;"")),12)="subscription",LOWER(TRIM($F301&amp;""))="membership"),"",IF(OR(AND($H301&lt;&gt;"",$H301=0),LEFT(LOWER(TRIM($F301&amp;"")),9)="free game",LOWER(TRIM($F301&amp;""))="free",LOWER(TRIM($F301&amp;""))="free entry"),IF(OR(NOT(ISNUMBER($N301)),NOT(ISNUMBER($I301)),$I301=0),"N/A",IFERROR($N301/$I301,"N/A")),IF(OR($N301="",$I301="",$I301=0),"",IFERROR($N301/$I301,"")))))</ns0:f>
        <ns0:v/>
      </ns0:c>
      <ns0:c r="P301" s="987">
        <ns0:f>IF(COUNTA($A301:$M301)=0,"",IF(OR(LEFT(LOWER(TRIM($F301&amp;"")),12)="subscription",LOWER(TRIM($F301&amp;""))="membership"),"",IF(LOWER(TRIM($D301&amp;""))="estimate","N/A",IF(LOWER($L301&amp;"")="yes",0,IF(OR(AND($H301&lt;&gt;"",$H301=0),LEFT(LOWER(TRIM($F301&amp;"")),9)="free game",LOWER(TRIM($F301&amp;""))="free",LOWER(TRIM($F301&amp;""))="free entry"),IF(ISNUMBER($K301),$K301,""),IF($K301&lt;&gt;"",$K301,""))))))</ns0:f>
      </ns0:c>
      <ns0:c r="Q301" s="114">
        <ns0:f>IF(COUNTA($A301:$M301)=0,"",IF(OR($U301="Subscription",$U301=""),"",IF($U301="Estimate","N/A",IF($U301="Profit",ROUND(IFERROR($P301,0)-IFERROR($H301,0),2),0))))</ns0:f>
      </ns0:c>
      <ns0:c r="R301" s="114">
        <ns0:f>IF(COUNTA($A301:$M301)=0,"",IF(OR($U301="Subscription",$U301=""),"",IF($U301="Estimate","N/A",IF($U301="Draw",$H301,0))))</ns0:f>
      </ns0:c>
      <ns0:c r="S301" s="114">
        <ns0:f>IF(COUNTA($A301:$M301)=0,"",IF(OR($U301="Subscription",$U301=""),"",IF($U301="Estimate","N/A",IF($U301="Disqualified",$H301,0))))</ns0:f>
      </ns0:c>
      <ns0:c r="T301" s="955">
        <ns0:f>IF(COUNTA($A301:$M301)=0,"",IF(OR($U301="Subscription",$U301=""),"",IF($U301="Estimate","N/A",IF(OR($U301="Free Game",$U301="Disqualified — Free Game",$H301=0),"N/A",IF($U301="Profit",$Q301/$H301,IF($U301="Disqualified",-$S301/$H301,0))))))</ns0:f>
      </ns0:c>
      <ns0:c r="U301" s="920">
        <ns0:f>IF(COUNTA($A301:$M301)=0,"",IF(OR(LEFT(LOWER(TRIM($F301&amp;"")),12)="subscription",LOWER(TRIM($F301&amp;""))="membership"),"Subscription",IF(LOWER(TRIM($D301&amp;""))="estimate","Estimate",IF(OR(AND($H301&lt;&gt;"",$H301=0),LEFT(LOWER(TRIM($F301&amp;"")),9)="free game",LOWER(TRIM($F301&amp;""))="free",LOWER(TRIM($F301&amp;""))="free entry"),IF(LOWER($L301&amp;"")="yes","Disqualified — Free Game","Free Game"),IF(LOWER($L301&amp;"")="yes","Disqualified",IF($P301="","",IF(ROUND(IFERROR(VALUE($P301),0)-IFERROR(VALUE($H301),0),2)&gt;0,"Profit","Draw")))))))</ns0:f>
      </ns0:c>
      <ns0:c r="V301" s="956" t="str">
        <ns0:f>IF(COUNTA($A301:$M301)=0,"",IF(OR($B301="",$C301="",$U301="Subscription"),"",IFERROR(ROUNDUP(($C301-$B301)/7,0),"")))</ns0:f>
      </ns0:c>
      <ns0:c r="W301" s="114">
        <ns0:f>IF(COUNTA($A301:$M301)=0,"",IF(OR($U301="Subscription",$U301=""),"",IF($U301="Estimate","N/A",IF(OR($U301="Free Game",$U301="Disqualified — Free Game"),0,ROUND(IFERROR($Q301,0)-IFERROR($S301,0),2)))))</ns0:f>
      </ns0:c>
      <ns0:c r="X301" s="956" t="str">
        <ns0:f>IF(COUNTA($A301:$M301)=0,"",IF(OR($U301="Subscription",NOT(ISNUMBER($J301)),NOT(ISNUMBER($I301)),$J301=0,$I301=0,$I301&gt;$J301),"",$J301-$I301))</ns0:f>
      </ns0:c>
      <ns0:c r="Y301" s="955" t="str">
        <ns0:f>IF(COUNTA($A301:$M301)=0,"",IF(OR($U301="Subscription",NOT(ISNUMBER($J301)),$J301=0,$X301=""),"",$X301/$J301))</ns0:f>
      </ns0:c>
      <ns0:c r="Z301" s="957" t="str">
        <ns0:f>IF(COUNTA($A301:$M301)=0,"",Instructions!$B$29+SUM($W$5:W301))</ns0:f>
      </ns0:c>
    </ns0:row>
    <ns0:row r="302" ht="36" customHeight="1">
      <ns0:c r="A302" s="439"/>
      <ns0:c r="B302" s="453"/>
      <ns0:c r="C302" s="453"/>
      <ns0:c r="D302" s="454"/>
      <ns0:c r="E302" s="454"/>
      <ns0:c r="F302" s="454"/>
      <ns0:c r="G302" s="986"/>
      <ns0:c r="H302" s="455"/>
      <ns0:c r="I302" s="456"/>
      <ns0:c r="J302" s="456"/>
      <ns0:c r="K302" s="986"/>
      <ns0:c r="L302" s="454"/>
      <ns0:c r="M302" s="439"/>
      <ns0:c r="N302" s="987" t="str">
        <ns0:f>IF(COUNTA($A302:$M302)=0,"",IF(OR(LEFT(LOWER(TRIM($F302&amp;"")),12)="subscription",LOWER(TRIM($F302&amp;""))="membership"),"",IF(OR(AND($H302&lt;&gt;"",$H302=0),LEFT(LOWER(TRIM($F302&amp;"")),9)="free game",LOWER(TRIM($F302&amp;""))="free",LOWER(TRIM($F302&amp;""))="free entry"),IF(ISNUMBER($G302),IF(ISNUMBER(SEARCH("non",LOWER($E302&amp;""))),$G302*0.85,$G302),"N/A"),IF($G302="","",IFERROR(IF(ISNUMBER(SEARCH("non",LOWER($E302&amp;""))),$G302*0.85,$G302),"")))))</ns0:f>
        <ns0:v/>
      </ns0:c>
      <ns0:c r="O302" s="987" t="str">
        <ns0:f>IF(COUNTA($A302:$M302)=0,"",IF(OR(LEFT(LOWER(TRIM($F302&amp;"")),12)="subscription",LOWER(TRIM($F302&amp;""))="membership"),"",IF(OR(AND($H302&lt;&gt;"",$H302=0),LEFT(LOWER(TRIM($F302&amp;"")),9)="free game",LOWER(TRIM($F302&amp;""))="free",LOWER(TRIM($F302&amp;""))="free entry"),IF(OR(NOT(ISNUMBER($N302)),NOT(ISNUMBER($I302)),$I302=0),"N/A",IFERROR($N302/$I302,"N/A")),IF(OR($N302="",$I302="",$I302=0),"",IFERROR($N302/$I302,"")))))</ns0:f>
        <ns0:v/>
      </ns0:c>
      <ns0:c r="P302" s="987">
        <ns0:f>IF(COUNTA($A302:$M302)=0,"",IF(OR(LEFT(LOWER(TRIM($F302&amp;"")),12)="subscription",LOWER(TRIM($F302&amp;""))="membership"),"",IF(LOWER(TRIM($D302&amp;""))="estimate","N/A",IF(LOWER($L302&amp;"")="yes",0,IF(OR(AND($H302&lt;&gt;"",$H302=0),LEFT(LOWER(TRIM($F302&amp;"")),9)="free game",LOWER(TRIM($F302&amp;""))="free",LOWER(TRIM($F302&amp;""))="free entry"),IF(ISNUMBER($K302),$K302,""),IF($K302&lt;&gt;"",$K302,""))))))</ns0:f>
      </ns0:c>
      <ns0:c r="Q302" s="114">
        <ns0:f>IF(COUNTA($A302:$M302)=0,"",IF(OR($U302="Subscription",$U302=""),"",IF($U302="Estimate","N/A",IF($U302="Profit",ROUND(IFERROR($P302,0)-IFERROR($H302,0),2),0))))</ns0:f>
      </ns0:c>
      <ns0:c r="R302" s="114">
        <ns0:f>IF(COUNTA($A302:$M302)=0,"",IF(OR($U302="Subscription",$U302=""),"",IF($U302="Estimate","N/A",IF($U302="Draw",$H302,0))))</ns0:f>
      </ns0:c>
      <ns0:c r="S302" s="114">
        <ns0:f>IF(COUNTA($A302:$M302)=0,"",IF(OR($U302="Subscription",$U302=""),"",IF($U302="Estimate","N/A",IF($U302="Disqualified",$H302,0))))</ns0:f>
      </ns0:c>
      <ns0:c r="T302" s="955">
        <ns0:f>IF(COUNTA($A302:$M302)=0,"",IF(OR($U302="Subscription",$U302=""),"",IF($U302="Estimate","N/A",IF(OR($U302="Free Game",$U302="Disqualified — Free Game",$H302=0),"N/A",IF($U302="Profit",$Q302/$H302,IF($U302="Disqualified",-$S302/$H302,0))))))</ns0:f>
      </ns0:c>
      <ns0:c r="U302" s="920">
        <ns0:f>IF(COUNTA($A302:$M302)=0,"",IF(OR(LEFT(LOWER(TRIM($F302&amp;"")),12)="subscription",LOWER(TRIM($F302&amp;""))="membership"),"Subscription",IF(LOWER(TRIM($D302&amp;""))="estimate","Estimate",IF(OR(AND($H302&lt;&gt;"",$H302=0),LEFT(LOWER(TRIM($F302&amp;"")),9)="free game",LOWER(TRIM($F302&amp;""))="free",LOWER(TRIM($F302&amp;""))="free entry"),IF(LOWER($L302&amp;"")="yes","Disqualified — Free Game","Free Game"),IF(LOWER($L302&amp;"")="yes","Disqualified",IF($P302="","",IF(ROUND(IFERROR(VALUE($P302),0)-IFERROR(VALUE($H302),0),2)&gt;0,"Profit","Draw")))))))</ns0:f>
      </ns0:c>
      <ns0:c r="V302" s="956" t="str">
        <ns0:f>IF(COUNTA($A302:$M302)=0,"",IF(OR($B302="",$C302="",$U302="Subscription"),"",IFERROR(ROUNDUP(($C302-$B302)/7,0),"")))</ns0:f>
      </ns0:c>
      <ns0:c r="W302" s="114">
        <ns0:f>IF(COUNTA($A302:$M302)=0,"",IF(OR($U302="Subscription",$U302=""),"",IF($U302="Estimate","N/A",IF(OR($U302="Free Game",$U302="Disqualified — Free Game"),0,ROUND(IFERROR($Q302,0)-IFERROR($S302,0),2)))))</ns0:f>
      </ns0:c>
      <ns0:c r="X302" s="956" t="str">
        <ns0:f>IF(COUNTA($A302:$M302)=0,"",IF(OR($U302="Subscription",NOT(ISNUMBER($J302)),NOT(ISNUMBER($I302)),$J302=0,$I302=0,$I302&gt;$J302),"",$J302-$I302))</ns0:f>
      </ns0:c>
      <ns0:c r="Y302" s="955" t="str">
        <ns0:f>IF(COUNTA($A302:$M302)=0,"",IF(OR($U302="Subscription",NOT(ISNUMBER($J302)),$J302=0,$X302=""),"",$X302/$J302))</ns0:f>
      </ns0:c>
      <ns0:c r="Z302" s="957" t="str">
        <ns0:f>IF(COUNTA($A302:$M302)=0,"",Instructions!$B$29+SUM($W$5:W302))</ns0:f>
      </ns0:c>
    </ns0:row>
    <ns0:row r="303" ht="36" customHeight="1">
      <ns0:c r="A303" s="439"/>
      <ns0:c r="B303" s="453"/>
      <ns0:c r="C303" s="453"/>
      <ns0:c r="D303" s="454"/>
      <ns0:c r="E303" s="454"/>
      <ns0:c r="F303" s="454"/>
      <ns0:c r="G303" s="986"/>
      <ns0:c r="H303" s="455"/>
      <ns0:c r="I303" s="456"/>
      <ns0:c r="J303" s="456"/>
      <ns0:c r="K303" s="986"/>
      <ns0:c r="L303" s="454"/>
      <ns0:c r="M303" s="439"/>
      <ns0:c r="N303" s="987" t="str">
        <ns0:f>IF(COUNTA($A303:$M303)=0,"",IF(OR(LEFT(LOWER(TRIM($F303&amp;"")),12)="subscription",LOWER(TRIM($F303&amp;""))="membership"),"",IF(OR(AND($H303&lt;&gt;"",$H303=0),LEFT(LOWER(TRIM($F303&amp;"")),9)="free game",LOWER(TRIM($F303&amp;""))="free",LOWER(TRIM($F303&amp;""))="free entry"),IF(ISNUMBER($G303),IF(ISNUMBER(SEARCH("non",LOWER($E303&amp;""))),$G303*0.85,$G303),"N/A"),IF($G303="","",IFERROR(IF(ISNUMBER(SEARCH("non",LOWER($E303&amp;""))),$G303*0.85,$G303),"")))))</ns0:f>
        <ns0:v/>
      </ns0:c>
      <ns0:c r="O303" s="987" t="str">
        <ns0:f>IF(COUNTA($A303:$M303)=0,"",IF(OR(LEFT(LOWER(TRIM($F303&amp;"")),12)="subscription",LOWER(TRIM($F303&amp;""))="membership"),"",IF(OR(AND($H303&lt;&gt;"",$H303=0),LEFT(LOWER(TRIM($F303&amp;"")),9)="free game",LOWER(TRIM($F303&amp;""))="free",LOWER(TRIM($F303&amp;""))="free entry"),IF(OR(NOT(ISNUMBER($N303)),NOT(ISNUMBER($I303)),$I303=0),"N/A",IFERROR($N303/$I303,"N/A")),IF(OR($N303="",$I303="",$I303=0),"",IFERROR($N303/$I303,"")))))</ns0:f>
        <ns0:v/>
      </ns0:c>
      <ns0:c r="P303" s="987">
        <ns0:f>IF(COUNTA($A303:$M303)=0,"",IF(OR(LEFT(LOWER(TRIM($F303&amp;"")),12)="subscription",LOWER(TRIM($F303&amp;""))="membership"),"",IF(LOWER(TRIM($D303&amp;""))="estimate","N/A",IF(LOWER($L303&amp;"")="yes",0,IF(OR(AND($H303&lt;&gt;"",$H303=0),LEFT(LOWER(TRIM($F303&amp;"")),9)="free game",LOWER(TRIM($F303&amp;""))="free",LOWER(TRIM($F303&amp;""))="free entry"),IF(ISNUMBER($K303),$K303,""),IF($K303&lt;&gt;"",$K303,""))))))</ns0:f>
      </ns0:c>
      <ns0:c r="Q303" s="114">
        <ns0:f>IF(COUNTA($A303:$M303)=0,"",IF(OR($U303="Subscription",$U303=""),"",IF($U303="Estimate","N/A",IF($U303="Profit",ROUND(IFERROR($P303,0)-IFERROR($H303,0),2),0))))</ns0:f>
      </ns0:c>
      <ns0:c r="R303" s="114">
        <ns0:f>IF(COUNTA($A303:$M303)=0,"",IF(OR($U303="Subscription",$U303=""),"",IF($U303="Estimate","N/A",IF($U303="Draw",$H303,0))))</ns0:f>
      </ns0:c>
      <ns0:c r="S303" s="114">
        <ns0:f>IF(COUNTA($A303:$M303)=0,"",IF(OR($U303="Subscription",$U303=""),"",IF($U303="Estimate","N/A",IF($U303="Disqualified",$H303,0))))</ns0:f>
      </ns0:c>
      <ns0:c r="T303" s="955">
        <ns0:f>IF(COUNTA($A303:$M303)=0,"",IF(OR($U303="Subscription",$U303=""),"",IF($U303="Estimate","N/A",IF(OR($U303="Free Game",$U303="Disqualified — Free Game",$H303=0),"N/A",IF($U303="Profit",$Q303/$H303,IF($U303="Disqualified",-$S303/$H303,0))))))</ns0:f>
      </ns0:c>
      <ns0:c r="U303" s="920">
        <ns0:f>IF(COUNTA($A303:$M303)=0,"",IF(OR(LEFT(LOWER(TRIM($F303&amp;"")),12)="subscription",LOWER(TRIM($F303&amp;""))="membership"),"Subscription",IF(LOWER(TRIM($D303&amp;""))="estimate","Estimate",IF(OR(AND($H303&lt;&gt;"",$H303=0),LEFT(LOWER(TRIM($F303&amp;"")),9)="free game",LOWER(TRIM($F303&amp;""))="free",LOWER(TRIM($F303&amp;""))="free entry"),IF(LOWER($L303&amp;"")="yes","Disqualified — Free Game","Free Game"),IF(LOWER($L303&amp;"")="yes","Disqualified",IF($P303="","",IF(ROUND(IFERROR(VALUE($P303),0)-IFERROR(VALUE($H303),0),2)&gt;0,"Profit","Draw")))))))</ns0:f>
      </ns0:c>
      <ns0:c r="V303" s="956" t="str">
        <ns0:f>IF(COUNTA($A303:$M303)=0,"",IF(OR($B303="",$C303="",$U303="Subscription"),"",IFERROR(ROUNDUP(($C303-$B303)/7,0),"")))</ns0:f>
      </ns0:c>
      <ns0:c r="W303" s="114">
        <ns0:f>IF(COUNTA($A303:$M303)=0,"",IF(OR($U303="Subscription",$U303=""),"",IF($U303="Estimate","N/A",IF(OR($U303="Free Game",$U303="Disqualified — Free Game"),0,ROUND(IFERROR($Q303,0)-IFERROR($S303,0),2)))))</ns0:f>
      </ns0:c>
      <ns0:c r="X303" s="956" t="str">
        <ns0:f>IF(COUNTA($A303:$M303)=0,"",IF(OR($U303="Subscription",NOT(ISNUMBER($J303)),NOT(ISNUMBER($I303)),$J303=0,$I303=0,$I303&gt;$J303),"",$J303-$I303))</ns0:f>
      </ns0:c>
      <ns0:c r="Y303" s="955" t="str">
        <ns0:f>IF(COUNTA($A303:$M303)=0,"",IF(OR($U303="Subscription",NOT(ISNUMBER($J303)),$J303=0,$X303=""),"",$X303/$J303))</ns0:f>
      </ns0:c>
      <ns0:c r="Z303" s="957" t="str">
        <ns0:f>IF(COUNTA($A303:$M303)=0,"",Instructions!$B$29+SUM($W$5:W303))</ns0:f>
      </ns0:c>
    </ns0:row>
    <ns0:row r="304" ht="36" customHeight="1">
      <ns0:c r="A304" s="439"/>
      <ns0:c r="B304" s="453"/>
      <ns0:c r="C304" s="453"/>
      <ns0:c r="D304" s="454"/>
      <ns0:c r="E304" s="454"/>
      <ns0:c r="F304" s="454"/>
      <ns0:c r="G304" s="986"/>
      <ns0:c r="H304" s="455"/>
      <ns0:c r="I304" s="456"/>
      <ns0:c r="J304" s="456"/>
      <ns0:c r="K304" s="986"/>
      <ns0:c r="L304" s="454"/>
      <ns0:c r="M304" s="439"/>
      <ns0:c r="N304" s="987" t="str">
        <ns0:f>IF(COUNTA($A304:$M304)=0,"",IF(OR(LEFT(LOWER(TRIM($F304&amp;"")),12)="subscription",LOWER(TRIM($F304&amp;""))="membership"),"",IF(OR(AND($H304&lt;&gt;"",$H304=0),LEFT(LOWER(TRIM($F304&amp;"")),9)="free game",LOWER(TRIM($F304&amp;""))="free",LOWER(TRIM($F304&amp;""))="free entry"),IF(ISNUMBER($G304),IF(ISNUMBER(SEARCH("non",LOWER($E304&amp;""))),$G304*0.85,$G304),"N/A"),IF($G304="","",IFERROR(IF(ISNUMBER(SEARCH("non",LOWER($E304&amp;""))),$G304*0.85,$G304),"")))))</ns0:f>
        <ns0:v/>
      </ns0:c>
      <ns0:c r="O304" s="987" t="str">
        <ns0:f>IF(COUNTA($A304:$M304)=0,"",IF(OR(LEFT(LOWER(TRIM($F304&amp;"")),12)="subscription",LOWER(TRIM($F304&amp;""))="membership"),"",IF(OR(AND($H304&lt;&gt;"",$H304=0),LEFT(LOWER(TRIM($F304&amp;"")),9)="free game",LOWER(TRIM($F304&amp;""))="free",LOWER(TRIM($F304&amp;""))="free entry"),IF(OR(NOT(ISNUMBER($N304)),NOT(ISNUMBER($I304)),$I304=0),"N/A",IFERROR($N304/$I304,"N/A")),IF(OR($N304="",$I304="",$I304=0),"",IFERROR($N304/$I304,"")))))</ns0:f>
        <ns0:v/>
      </ns0:c>
      <ns0:c r="P304" s="987">
        <ns0:f>IF(COUNTA($A304:$M304)=0,"",IF(OR(LEFT(LOWER(TRIM($F304&amp;"")),12)="subscription",LOWER(TRIM($F304&amp;""))="membership"),"",IF(LOWER(TRIM($D304&amp;""))="estimate","N/A",IF(LOWER($L304&amp;"")="yes",0,IF(OR(AND($H304&lt;&gt;"",$H304=0),LEFT(LOWER(TRIM($F304&amp;"")),9)="free game",LOWER(TRIM($F304&amp;""))="free",LOWER(TRIM($F304&amp;""))="free entry"),IF(ISNUMBER($K304),$K304,""),IF($K304&lt;&gt;"",$K304,""))))))</ns0:f>
      </ns0:c>
      <ns0:c r="Q304" s="114">
        <ns0:f>IF(COUNTA($A304:$M304)=0,"",IF(OR($U304="Subscription",$U304=""),"",IF($U304="Estimate","N/A",IF($U304="Profit",ROUND(IFERROR($P304,0)-IFERROR($H304,0),2),0))))</ns0:f>
      </ns0:c>
      <ns0:c r="R304" s="114">
        <ns0:f>IF(COUNTA($A304:$M304)=0,"",IF(OR($U304="Subscription",$U304=""),"",IF($U304="Estimate","N/A",IF($U304="Draw",$H304,0))))</ns0:f>
      </ns0:c>
      <ns0:c r="S304" s="114">
        <ns0:f>IF(COUNTA($A304:$M304)=0,"",IF(OR($U304="Subscription",$U304=""),"",IF($U304="Estimate","N/A",IF($U304="Disqualified",$H304,0))))</ns0:f>
      </ns0:c>
      <ns0:c r="T304" s="955">
        <ns0:f>IF(COUNTA($A304:$M304)=0,"",IF(OR($U304="Subscription",$U304=""),"",IF($U304="Estimate","N/A",IF(OR($U304="Free Game",$U304="Disqualified — Free Game",$H304=0),"N/A",IF($U304="Profit",$Q304/$H304,IF($U304="Disqualified",-$S304/$H304,0))))))</ns0:f>
      </ns0:c>
      <ns0:c r="U304" s="920">
        <ns0:f>IF(COUNTA($A304:$M304)=0,"",IF(OR(LEFT(LOWER(TRIM($F304&amp;"")),12)="subscription",LOWER(TRIM($F304&amp;""))="membership"),"Subscription",IF(LOWER(TRIM($D304&amp;""))="estimate","Estimate",IF(OR(AND($H304&lt;&gt;"",$H304=0),LEFT(LOWER(TRIM($F304&amp;"")),9)="free game",LOWER(TRIM($F304&amp;""))="free",LOWER(TRIM($F304&amp;""))="free entry"),IF(LOWER($L304&amp;"")="yes","Disqualified — Free Game","Free Game"),IF(LOWER($L304&amp;"")="yes","Disqualified",IF($P304="","",IF(ROUND(IFERROR(VALUE($P304),0)-IFERROR(VALUE($H304),0),2)&gt;0,"Profit","Draw")))))))</ns0:f>
      </ns0:c>
      <ns0:c r="V304" s="956" t="str">
        <ns0:f>IF(COUNTA($A304:$M304)=0,"",IF(OR($B304="",$C304="",$U304="Subscription"),"",IFERROR(ROUNDUP(($C304-$B304)/7,0),"")))</ns0:f>
      </ns0:c>
      <ns0:c r="W304" s="114">
        <ns0:f>IF(COUNTA($A304:$M304)=0,"",IF(OR($U304="Subscription",$U304=""),"",IF($U304="Estimate","N/A",IF(OR($U304="Free Game",$U304="Disqualified — Free Game"),0,ROUND(IFERROR($Q304,0)-IFERROR($S304,0),2)))))</ns0:f>
      </ns0:c>
      <ns0:c r="X304" s="956" t="str">
        <ns0:f>IF(COUNTA($A304:$M304)=0,"",IF(OR($U304="Subscription",NOT(ISNUMBER($J304)),NOT(ISNUMBER($I304)),$J304=0,$I304=0,$I304&gt;$J304),"",$J304-$I304))</ns0:f>
      </ns0:c>
      <ns0:c r="Y304" s="955" t="str">
        <ns0:f>IF(COUNTA($A304:$M304)=0,"",IF(OR($U304="Subscription",NOT(ISNUMBER($J304)),$J304=0,$X304=""),"",$X304/$J304))</ns0:f>
      </ns0:c>
      <ns0:c r="Z304" s="957" t="str">
        <ns0:f>IF(COUNTA($A304:$M304)=0,"",Instructions!$B$29+SUM($W$5:W304))</ns0:f>
      </ns0:c>
    </ns0:row>
    <ns0:row r="305" ht="36" customHeight="1">
      <ns0:c r="A305" s="439"/>
      <ns0:c r="B305" s="453"/>
      <ns0:c r="C305" s="453"/>
      <ns0:c r="D305" s="454"/>
      <ns0:c r="E305" s="454"/>
      <ns0:c r="F305" s="454"/>
      <ns0:c r="G305" s="986"/>
      <ns0:c r="H305" s="455"/>
      <ns0:c r="I305" s="456"/>
      <ns0:c r="J305" s="456"/>
      <ns0:c r="K305" s="986"/>
      <ns0:c r="L305" s="454"/>
      <ns0:c r="M305" s="439"/>
      <ns0:c r="N305" s="987" t="str">
        <ns0:f>IF(COUNTA($A305:$M305)=0,"",IF(OR(LEFT(LOWER(TRIM($F305&amp;"")),12)="subscription",LOWER(TRIM($F305&amp;""))="membership"),"",IF(OR(AND($H305&lt;&gt;"",$H305=0),LEFT(LOWER(TRIM($F305&amp;"")),9)="free game",LOWER(TRIM($F305&amp;""))="free",LOWER(TRIM($F305&amp;""))="free entry"),IF(ISNUMBER($G305),IF(ISNUMBER(SEARCH("non",LOWER($E305&amp;""))),$G305*0.85,$G305),"N/A"),IF($G305="","",IFERROR(IF(ISNUMBER(SEARCH("non",LOWER($E305&amp;""))),$G305*0.85,$G305),"")))))</ns0:f>
        <ns0:v/>
      </ns0:c>
      <ns0:c r="O305" s="987" t="str">
        <ns0:f>IF(COUNTA($A305:$M305)=0,"",IF(OR(LEFT(LOWER(TRIM($F305&amp;"")),12)="subscription",LOWER(TRIM($F305&amp;""))="membership"),"",IF(OR(AND($H305&lt;&gt;"",$H305=0),LEFT(LOWER(TRIM($F305&amp;"")),9)="free game",LOWER(TRIM($F305&amp;""))="free",LOWER(TRIM($F305&amp;""))="free entry"),IF(OR(NOT(ISNUMBER($N305)),NOT(ISNUMBER($I305)),$I305=0),"N/A",IFERROR($N305/$I305,"N/A")),IF(OR($N305="",$I305="",$I305=0),"",IFERROR($N305/$I305,"")))))</ns0:f>
        <ns0:v/>
      </ns0:c>
      <ns0:c r="P305" s="987">
        <ns0:f>IF(COUNTA($A305:$M305)=0,"",IF(OR(LEFT(LOWER(TRIM($F305&amp;"")),12)="subscription",LOWER(TRIM($F305&amp;""))="membership"),"",IF(LOWER(TRIM($D305&amp;""))="estimate","N/A",IF(LOWER($L305&amp;"")="yes",0,IF(OR(AND($H305&lt;&gt;"",$H305=0),LEFT(LOWER(TRIM($F305&amp;"")),9)="free game",LOWER(TRIM($F305&amp;""))="free",LOWER(TRIM($F305&amp;""))="free entry"),IF(ISNUMBER($K305),$K305,""),IF($K305&lt;&gt;"",$K305,""))))))</ns0:f>
      </ns0:c>
      <ns0:c r="Q305" s="114">
        <ns0:f>IF(COUNTA($A305:$M305)=0,"",IF(OR($U305="Subscription",$U305=""),"",IF($U305="Estimate","N/A",IF($U305="Profit",ROUND(IFERROR($P305,0)-IFERROR($H305,0),2),0))))</ns0:f>
      </ns0:c>
      <ns0:c r="R305" s="114">
        <ns0:f>IF(COUNTA($A305:$M305)=0,"",IF(OR($U305="Subscription",$U305=""),"",IF($U305="Estimate","N/A",IF($U305="Draw",$H305,0))))</ns0:f>
      </ns0:c>
      <ns0:c r="S305" s="114">
        <ns0:f>IF(COUNTA($A305:$M305)=0,"",IF(OR($U305="Subscription",$U305=""),"",IF($U305="Estimate","N/A",IF($U305="Disqualified",$H305,0))))</ns0:f>
      </ns0:c>
      <ns0:c r="T305" s="955">
        <ns0:f>IF(COUNTA($A305:$M305)=0,"",IF(OR($U305="Subscription",$U305=""),"",IF($U305="Estimate","N/A",IF(OR($U305="Free Game",$U305="Disqualified — Free Game",$H305=0),"N/A",IF($U305="Profit",$Q305/$H305,IF($U305="Disqualified",-$S305/$H305,0))))))</ns0:f>
      </ns0:c>
      <ns0:c r="U305" s="920">
        <ns0:f>IF(COUNTA($A305:$M305)=0,"",IF(OR(LEFT(LOWER(TRIM($F305&amp;"")),12)="subscription",LOWER(TRIM($F305&amp;""))="membership"),"Subscription",IF(LOWER(TRIM($D305&amp;""))="estimate","Estimate",IF(OR(AND($H305&lt;&gt;"",$H305=0),LEFT(LOWER(TRIM($F305&amp;"")),9)="free game",LOWER(TRIM($F305&amp;""))="free",LOWER(TRIM($F305&amp;""))="free entry"),IF(LOWER($L305&amp;"")="yes","Disqualified — Free Game","Free Game"),IF(LOWER($L305&amp;"")="yes","Disqualified",IF($P305="","",IF(ROUND(IFERROR(VALUE($P305),0)-IFERROR(VALUE($H305),0),2)&gt;0,"Profit","Draw")))))))</ns0:f>
      </ns0:c>
      <ns0:c r="V305" s="956" t="str">
        <ns0:f>IF(COUNTA($A305:$M305)=0,"",IF(OR($B305="",$C305="",$U305="Subscription"),"",IFERROR(ROUNDUP(($C305-$B305)/7,0),"")))</ns0:f>
      </ns0:c>
      <ns0:c r="W305" s="114">
        <ns0:f>IF(COUNTA($A305:$M305)=0,"",IF(OR($U305="Subscription",$U305=""),"",IF($U305="Estimate","N/A",IF(OR($U305="Free Game",$U305="Disqualified — Free Game"),0,ROUND(IFERROR($Q305,0)-IFERROR($S305,0),2)))))</ns0:f>
      </ns0:c>
      <ns0:c r="X305" s="956" t="str">
        <ns0:f>IF(COUNTA($A305:$M305)=0,"",IF(OR($U305="Subscription",NOT(ISNUMBER($J305)),NOT(ISNUMBER($I305)),$J305=0,$I305=0,$I305&gt;$J305),"",$J305-$I305))</ns0:f>
      </ns0:c>
      <ns0:c r="Y305" s="955" t="str">
        <ns0:f>IF(COUNTA($A305:$M305)=0,"",IF(OR($U305="Subscription",NOT(ISNUMBER($J305)),$J305=0,$X305=""),"",$X305/$J305))</ns0:f>
      </ns0:c>
      <ns0:c r="Z305" s="957" t="str">
        <ns0:f>IF(COUNTA($A305:$M305)=0,"",Instructions!$B$29+SUM($W$5:W305))</ns0:f>
      </ns0:c>
    </ns0:row>
    <ns0:row r="306" ht="36" customHeight="1">
      <ns0:c r="A306" s="439"/>
      <ns0:c r="B306" s="453"/>
      <ns0:c r="C306" s="453"/>
      <ns0:c r="D306" s="454"/>
      <ns0:c r="E306" s="454"/>
      <ns0:c r="F306" s="454"/>
      <ns0:c r="G306" s="986"/>
      <ns0:c r="H306" s="455"/>
      <ns0:c r="I306" s="456"/>
      <ns0:c r="J306" s="456"/>
      <ns0:c r="K306" s="986"/>
      <ns0:c r="L306" s="454"/>
      <ns0:c r="M306" s="439"/>
      <ns0:c r="N306" s="987" t="str">
        <ns0:f>IF(COUNTA($A306:$M306)=0,"",IF(OR(LEFT(LOWER(TRIM($F306&amp;"")),12)="subscription",LOWER(TRIM($F306&amp;""))="membership"),"",IF(OR(AND($H306&lt;&gt;"",$H306=0),LEFT(LOWER(TRIM($F306&amp;"")),9)="free game",LOWER(TRIM($F306&amp;""))="free",LOWER(TRIM($F306&amp;""))="free entry"),IF(ISNUMBER($G306),IF(ISNUMBER(SEARCH("non",LOWER($E306&amp;""))),$G306*0.85,$G306),"N/A"),IF($G306="","",IFERROR(IF(ISNUMBER(SEARCH("non",LOWER($E306&amp;""))),$G306*0.85,$G306),"")))))</ns0:f>
        <ns0:v/>
      </ns0:c>
      <ns0:c r="O306" s="987" t="str">
        <ns0:f>IF(COUNTA($A306:$M306)=0,"",IF(OR(LEFT(LOWER(TRIM($F306&amp;"")),12)="subscription",LOWER(TRIM($F306&amp;""))="membership"),"",IF(OR(AND($H306&lt;&gt;"",$H306=0),LEFT(LOWER(TRIM($F306&amp;"")),9)="free game",LOWER(TRIM($F306&amp;""))="free",LOWER(TRIM($F306&amp;""))="free entry"),IF(OR(NOT(ISNUMBER($N306)),NOT(ISNUMBER($I306)),$I306=0),"N/A",IFERROR($N306/$I306,"N/A")),IF(OR($N306="",$I306="",$I306=0),"",IFERROR($N306/$I306,"")))))</ns0:f>
        <ns0:v/>
      </ns0:c>
      <ns0:c r="P306" s="987">
        <ns0:f>IF(COUNTA($A306:$M306)=0,"",IF(OR(LEFT(LOWER(TRIM($F306&amp;"")),12)="subscription",LOWER(TRIM($F306&amp;""))="membership"),"",IF(LOWER(TRIM($D306&amp;""))="estimate","N/A",IF(LOWER($L306&amp;"")="yes",0,IF(OR(AND($H306&lt;&gt;"",$H306=0),LEFT(LOWER(TRIM($F306&amp;"")),9)="free game",LOWER(TRIM($F306&amp;""))="free",LOWER(TRIM($F306&amp;""))="free entry"),IF(ISNUMBER($K306),$K306,""),IF($K306&lt;&gt;"",$K306,""))))))</ns0:f>
      </ns0:c>
      <ns0:c r="Q306" s="114">
        <ns0:f>IF(COUNTA($A306:$M306)=0,"",IF(OR($U306="Subscription",$U306=""),"",IF($U306="Estimate","N/A",IF($U306="Profit",ROUND(IFERROR($P306,0)-IFERROR($H306,0),2),0))))</ns0:f>
      </ns0:c>
      <ns0:c r="R306" s="114">
        <ns0:f>IF(COUNTA($A306:$M306)=0,"",IF(OR($U306="Subscription",$U306=""),"",IF($U306="Estimate","N/A",IF($U306="Draw",$H306,0))))</ns0:f>
      </ns0:c>
      <ns0:c r="S306" s="114">
        <ns0:f>IF(COUNTA($A306:$M306)=0,"",IF(OR($U306="Subscription",$U306=""),"",IF($U306="Estimate","N/A",IF($U306="Disqualified",$H306,0))))</ns0:f>
      </ns0:c>
      <ns0:c r="T306" s="955">
        <ns0:f>IF(COUNTA($A306:$M306)=0,"",IF(OR($U306="Subscription",$U306=""),"",IF($U306="Estimate","N/A",IF(OR($U306="Free Game",$U306="Disqualified — Free Game",$H306=0),"N/A",IF($U306="Profit",$Q306/$H306,IF($U306="Disqualified",-$S306/$H306,0))))))</ns0:f>
      </ns0:c>
      <ns0:c r="U306" s="920">
        <ns0:f>IF(COUNTA($A306:$M306)=0,"",IF(OR(LEFT(LOWER(TRIM($F306&amp;"")),12)="subscription",LOWER(TRIM($F306&amp;""))="membership"),"Subscription",IF(LOWER(TRIM($D306&amp;""))="estimate","Estimate",IF(OR(AND($H306&lt;&gt;"",$H306=0),LEFT(LOWER(TRIM($F306&amp;"")),9)="free game",LOWER(TRIM($F306&amp;""))="free",LOWER(TRIM($F306&amp;""))="free entry"),IF(LOWER($L306&amp;"")="yes","Disqualified — Free Game","Free Game"),IF(LOWER($L306&amp;"")="yes","Disqualified",IF($P306="","",IF(ROUND(IFERROR(VALUE($P306),0)-IFERROR(VALUE($H306),0),2)&gt;0,"Profit","Draw")))))))</ns0:f>
      </ns0:c>
      <ns0:c r="V306" s="956" t="str">
        <ns0:f>IF(COUNTA($A306:$M306)=0,"",IF(OR($B306="",$C306="",$U306="Subscription"),"",IFERROR(ROUNDUP(($C306-$B306)/7,0),"")))</ns0:f>
      </ns0:c>
      <ns0:c r="W306" s="114">
        <ns0:f>IF(COUNTA($A306:$M306)=0,"",IF(OR($U306="Subscription",$U306=""),"",IF($U306="Estimate","N/A",IF(OR($U306="Free Game",$U306="Disqualified — Free Game"),0,ROUND(IFERROR($Q306,0)-IFERROR($S306,0),2)))))</ns0:f>
      </ns0:c>
      <ns0:c r="X306" s="956" t="str">
        <ns0:f>IF(COUNTA($A306:$M306)=0,"",IF(OR($U306="Subscription",NOT(ISNUMBER($J306)),NOT(ISNUMBER($I306)),$J306=0,$I306=0,$I306&gt;$J306),"",$J306-$I306))</ns0:f>
      </ns0:c>
      <ns0:c r="Y306" s="955" t="str">
        <ns0:f>IF(COUNTA($A306:$M306)=0,"",IF(OR($U306="Subscription",NOT(ISNUMBER($J306)),$J306=0,$X306=""),"",$X306/$J306))</ns0:f>
      </ns0:c>
      <ns0:c r="Z306" s="957" t="str">
        <ns0:f>IF(COUNTA($A306:$M306)=0,"",Instructions!$B$29+SUM($W$5:W306))</ns0:f>
      </ns0:c>
    </ns0:row>
    <ns0:row r="307" ht="36" customHeight="1">
      <ns0:c r="A307" s="439"/>
      <ns0:c r="B307" s="453"/>
      <ns0:c r="C307" s="453"/>
      <ns0:c r="D307" s="454"/>
      <ns0:c r="E307" s="454"/>
      <ns0:c r="F307" s="454"/>
      <ns0:c r="G307" s="986"/>
      <ns0:c r="H307" s="455"/>
      <ns0:c r="I307" s="456"/>
      <ns0:c r="J307" s="456"/>
      <ns0:c r="K307" s="986"/>
      <ns0:c r="L307" s="454"/>
      <ns0:c r="M307" s="439"/>
      <ns0:c r="N307" s="987" t="str">
        <ns0:f>IF(COUNTA($A307:$M307)=0,"",IF(OR(LEFT(LOWER(TRIM($F307&amp;"")),12)="subscription",LOWER(TRIM($F307&amp;""))="membership"),"",IF(OR(AND($H307&lt;&gt;"",$H307=0),LEFT(LOWER(TRIM($F307&amp;"")),9)="free game",LOWER(TRIM($F307&amp;""))="free",LOWER(TRIM($F307&amp;""))="free entry"),IF(ISNUMBER($G307),IF(ISNUMBER(SEARCH("non",LOWER($E307&amp;""))),$G307*0.85,$G307),"N/A"),IF($G307="","",IFERROR(IF(ISNUMBER(SEARCH("non",LOWER($E307&amp;""))),$G307*0.85,$G307),"")))))</ns0:f>
        <ns0:v/>
      </ns0:c>
      <ns0:c r="O307" s="987" t="str">
        <ns0:f>IF(COUNTA($A307:$M307)=0,"",IF(OR(LEFT(LOWER(TRIM($F307&amp;"")),12)="subscription",LOWER(TRIM($F307&amp;""))="membership"),"",IF(OR(AND($H307&lt;&gt;"",$H307=0),LEFT(LOWER(TRIM($F307&amp;"")),9)="free game",LOWER(TRIM($F307&amp;""))="free",LOWER(TRIM($F307&amp;""))="free entry"),IF(OR(NOT(ISNUMBER($N307)),NOT(ISNUMBER($I307)),$I307=0),"N/A",IFERROR($N307/$I307,"N/A")),IF(OR($N307="",$I307="",$I307=0),"",IFERROR($N307/$I307,"")))))</ns0:f>
        <ns0:v/>
      </ns0:c>
      <ns0:c r="P307" s="987">
        <ns0:f>IF(COUNTA($A307:$M307)=0,"",IF(OR(LEFT(LOWER(TRIM($F307&amp;"")),12)="subscription",LOWER(TRIM($F307&amp;""))="membership"),"",IF(LOWER(TRIM($D307&amp;""))="estimate","N/A",IF(LOWER($L307&amp;"")="yes",0,IF(OR(AND($H307&lt;&gt;"",$H307=0),LEFT(LOWER(TRIM($F307&amp;"")),9)="free game",LOWER(TRIM($F307&amp;""))="free",LOWER(TRIM($F307&amp;""))="free entry"),IF(ISNUMBER($K307),$K307,""),IF($K307&lt;&gt;"",$K307,""))))))</ns0:f>
      </ns0:c>
      <ns0:c r="Q307" s="114">
        <ns0:f>IF(COUNTA($A307:$M307)=0,"",IF(OR($U307="Subscription",$U307=""),"",IF($U307="Estimate","N/A",IF($U307="Profit",ROUND(IFERROR($P307,0)-IFERROR($H307,0),2),0))))</ns0:f>
      </ns0:c>
      <ns0:c r="R307" s="114">
        <ns0:f>IF(COUNTA($A307:$M307)=0,"",IF(OR($U307="Subscription",$U307=""),"",IF($U307="Estimate","N/A",IF($U307="Draw",$H307,0))))</ns0:f>
      </ns0:c>
      <ns0:c r="S307" s="114">
        <ns0:f>IF(COUNTA($A307:$M307)=0,"",IF(OR($U307="Subscription",$U307=""),"",IF($U307="Estimate","N/A",IF($U307="Disqualified",$H307,0))))</ns0:f>
      </ns0:c>
      <ns0:c r="T307" s="955">
        <ns0:f>IF(COUNTA($A307:$M307)=0,"",IF(OR($U307="Subscription",$U307=""),"",IF($U307="Estimate","N/A",IF(OR($U307="Free Game",$U307="Disqualified — Free Game",$H307=0),"N/A",IF($U307="Profit",$Q307/$H307,IF($U307="Disqualified",-$S307/$H307,0))))))</ns0:f>
      </ns0:c>
      <ns0:c r="U307" s="920">
        <ns0:f>IF(COUNTA($A307:$M307)=0,"",IF(OR(LEFT(LOWER(TRIM($F307&amp;"")),12)="subscription",LOWER(TRIM($F307&amp;""))="membership"),"Subscription",IF(LOWER(TRIM($D307&amp;""))="estimate","Estimate",IF(OR(AND($H307&lt;&gt;"",$H307=0),LEFT(LOWER(TRIM($F307&amp;"")),9)="free game",LOWER(TRIM($F307&amp;""))="free",LOWER(TRIM($F307&amp;""))="free entry"),IF(LOWER($L307&amp;"")="yes","Disqualified — Free Game","Free Game"),IF(LOWER($L307&amp;"")="yes","Disqualified",IF($P307="","",IF(ROUND(IFERROR(VALUE($P307),0)-IFERROR(VALUE($H307),0),2)&gt;0,"Profit","Draw")))))))</ns0:f>
      </ns0:c>
      <ns0:c r="V307" s="956" t="str">
        <ns0:f>IF(COUNTA($A307:$M307)=0,"",IF(OR($B307="",$C307="",$U307="Subscription"),"",IFERROR(ROUNDUP(($C307-$B307)/7,0),"")))</ns0:f>
      </ns0:c>
      <ns0:c r="W307" s="114">
        <ns0:f>IF(COUNTA($A307:$M307)=0,"",IF(OR($U307="Subscription",$U307=""),"",IF($U307="Estimate","N/A",IF(OR($U307="Free Game",$U307="Disqualified — Free Game"),0,ROUND(IFERROR($Q307,0)-IFERROR($S307,0),2)))))</ns0:f>
      </ns0:c>
      <ns0:c r="X307" s="956" t="str">
        <ns0:f>IF(COUNTA($A307:$M307)=0,"",IF(OR($U307="Subscription",NOT(ISNUMBER($J307)),NOT(ISNUMBER($I307)),$J307=0,$I307=0,$I307&gt;$J307),"",$J307-$I307))</ns0:f>
      </ns0:c>
      <ns0:c r="Y307" s="955" t="str">
        <ns0:f>IF(COUNTA($A307:$M307)=0,"",IF(OR($U307="Subscription",NOT(ISNUMBER($J307)),$J307=0,$X307=""),"",$X307/$J307))</ns0:f>
      </ns0:c>
      <ns0:c r="Z307" s="957" t="str">
        <ns0:f>IF(COUNTA($A307:$M307)=0,"",Instructions!$B$29+SUM($W$5:W307))</ns0:f>
      </ns0:c>
    </ns0:row>
    <ns0:row r="308" ht="36" customHeight="1">
      <ns0:c r="A308" s="439"/>
      <ns0:c r="B308" s="453"/>
      <ns0:c r="C308" s="453"/>
      <ns0:c r="D308" s="454"/>
      <ns0:c r="E308" s="454"/>
      <ns0:c r="F308" s="454"/>
      <ns0:c r="G308" s="986"/>
      <ns0:c r="H308" s="455"/>
      <ns0:c r="I308" s="456"/>
      <ns0:c r="J308" s="456"/>
      <ns0:c r="K308" s="986"/>
      <ns0:c r="L308" s="454"/>
      <ns0:c r="M308" s="439"/>
      <ns0:c r="N308" s="987" t="str">
        <ns0:f>IF(COUNTA($A308:$M308)=0,"",IF(OR(LEFT(LOWER(TRIM($F308&amp;"")),12)="subscription",LOWER(TRIM($F308&amp;""))="membership"),"",IF(OR(AND($H308&lt;&gt;"",$H308=0),LEFT(LOWER(TRIM($F308&amp;"")),9)="free game",LOWER(TRIM($F308&amp;""))="free",LOWER(TRIM($F308&amp;""))="free entry"),IF(ISNUMBER($G308),IF(ISNUMBER(SEARCH("non",LOWER($E308&amp;""))),$G308*0.85,$G308),"N/A"),IF($G308="","",IFERROR(IF(ISNUMBER(SEARCH("non",LOWER($E308&amp;""))),$G308*0.85,$G308),"")))))</ns0:f>
        <ns0:v/>
      </ns0:c>
      <ns0:c r="O308" s="987" t="str">
        <ns0:f>IF(COUNTA($A308:$M308)=0,"",IF(OR(LEFT(LOWER(TRIM($F308&amp;"")),12)="subscription",LOWER(TRIM($F308&amp;""))="membership"),"",IF(OR(AND($H308&lt;&gt;"",$H308=0),LEFT(LOWER(TRIM($F308&amp;"")),9)="free game",LOWER(TRIM($F308&amp;""))="free",LOWER(TRIM($F308&amp;""))="free entry"),IF(OR(NOT(ISNUMBER($N308)),NOT(ISNUMBER($I308)),$I308=0),"N/A",IFERROR($N308/$I308,"N/A")),IF(OR($N308="",$I308="",$I308=0),"",IFERROR($N308/$I308,"")))))</ns0:f>
        <ns0:v/>
      </ns0:c>
      <ns0:c r="P308" s="987">
        <ns0:f>IF(COUNTA($A308:$M308)=0,"",IF(OR(LEFT(LOWER(TRIM($F308&amp;"")),12)="subscription",LOWER(TRIM($F308&amp;""))="membership"),"",IF(LOWER(TRIM($D308&amp;""))="estimate","N/A",IF(LOWER($L308&amp;"")="yes",0,IF(OR(AND($H308&lt;&gt;"",$H308=0),LEFT(LOWER(TRIM($F308&amp;"")),9)="free game",LOWER(TRIM($F308&amp;""))="free",LOWER(TRIM($F308&amp;""))="free entry"),IF(ISNUMBER($K308),$K308,""),IF($K308&lt;&gt;"",$K308,""))))))</ns0:f>
      </ns0:c>
      <ns0:c r="Q308" s="114">
        <ns0:f>IF(COUNTA($A308:$M308)=0,"",IF(OR($U308="Subscription",$U308=""),"",IF($U308="Estimate","N/A",IF($U308="Profit",ROUND(IFERROR($P308,0)-IFERROR($H308,0),2),0))))</ns0:f>
      </ns0:c>
      <ns0:c r="R308" s="114">
        <ns0:f>IF(COUNTA($A308:$M308)=0,"",IF(OR($U308="Subscription",$U308=""),"",IF($U308="Estimate","N/A",IF($U308="Draw",$H308,0))))</ns0:f>
      </ns0:c>
      <ns0:c r="S308" s="114">
        <ns0:f>IF(COUNTA($A308:$M308)=0,"",IF(OR($U308="Subscription",$U308=""),"",IF($U308="Estimate","N/A",IF($U308="Disqualified",$H308,0))))</ns0:f>
      </ns0:c>
      <ns0:c r="T308" s="955">
        <ns0:f>IF(COUNTA($A308:$M308)=0,"",IF(OR($U308="Subscription",$U308=""),"",IF($U308="Estimate","N/A",IF(OR($U308="Free Game",$U308="Disqualified — Free Game",$H308=0),"N/A",IF($U308="Profit",$Q308/$H308,IF($U308="Disqualified",-$S308/$H308,0))))))</ns0:f>
      </ns0:c>
      <ns0:c r="U308" s="920">
        <ns0:f>IF(COUNTA($A308:$M308)=0,"",IF(OR(LEFT(LOWER(TRIM($F308&amp;"")),12)="subscription",LOWER(TRIM($F308&amp;""))="membership"),"Subscription",IF(LOWER(TRIM($D308&amp;""))="estimate","Estimate",IF(OR(AND($H308&lt;&gt;"",$H308=0),LEFT(LOWER(TRIM($F308&amp;"")),9)="free game",LOWER(TRIM($F308&amp;""))="free",LOWER(TRIM($F308&amp;""))="free entry"),IF(LOWER($L308&amp;"")="yes","Disqualified — Free Game","Free Game"),IF(LOWER($L308&amp;"")="yes","Disqualified",IF($P308="","",IF(ROUND(IFERROR(VALUE($P308),0)-IFERROR(VALUE($H308),0),2)&gt;0,"Profit","Draw")))))))</ns0:f>
      </ns0:c>
      <ns0:c r="V308" s="956" t="str">
        <ns0:f>IF(COUNTA($A308:$M308)=0,"",IF(OR($B308="",$C308="",$U308="Subscription"),"",IFERROR(ROUNDUP(($C308-$B308)/7,0),"")))</ns0:f>
      </ns0:c>
      <ns0:c r="W308" s="114">
        <ns0:f>IF(COUNTA($A308:$M308)=0,"",IF(OR($U308="Subscription",$U308=""),"",IF($U308="Estimate","N/A",IF(OR($U308="Free Game",$U308="Disqualified — Free Game"),0,ROUND(IFERROR($Q308,0)-IFERROR($S308,0),2)))))</ns0:f>
      </ns0:c>
      <ns0:c r="X308" s="956" t="str">
        <ns0:f>IF(COUNTA($A308:$M308)=0,"",IF(OR($U308="Subscription",NOT(ISNUMBER($J308)),NOT(ISNUMBER($I308)),$J308=0,$I308=0,$I308&gt;$J308),"",$J308-$I308))</ns0:f>
      </ns0:c>
      <ns0:c r="Y308" s="955" t="str">
        <ns0:f>IF(COUNTA($A308:$M308)=0,"",IF(OR($U308="Subscription",NOT(ISNUMBER($J308)),$J308=0,$X308=""),"",$X308/$J308))</ns0:f>
      </ns0:c>
      <ns0:c r="Z308" s="957" t="str">
        <ns0:f>IF(COUNTA($A308:$M308)=0,"",Instructions!$B$29+SUM($W$5:W308))</ns0:f>
      </ns0:c>
    </ns0:row>
    <ns0:row r="309" ht="36" customHeight="1">
      <ns0:c r="A309" s="439"/>
      <ns0:c r="B309" s="453"/>
      <ns0:c r="C309" s="453"/>
      <ns0:c r="D309" s="454"/>
      <ns0:c r="E309" s="454"/>
      <ns0:c r="F309" s="454"/>
      <ns0:c r="G309" s="986"/>
      <ns0:c r="H309" s="455"/>
      <ns0:c r="I309" s="456"/>
      <ns0:c r="J309" s="456"/>
      <ns0:c r="K309" s="986"/>
      <ns0:c r="L309" s="454"/>
      <ns0:c r="M309" s="439"/>
      <ns0:c r="N309" s="987" t="str">
        <ns0:f>IF(COUNTA($A309:$M309)=0,"",IF(OR(LEFT(LOWER(TRIM($F309&amp;"")),12)="subscription",LOWER(TRIM($F309&amp;""))="membership"),"",IF(OR(AND($H309&lt;&gt;"",$H309=0),LEFT(LOWER(TRIM($F309&amp;"")),9)="free game",LOWER(TRIM($F309&amp;""))="free",LOWER(TRIM($F309&amp;""))="free entry"),IF(ISNUMBER($G309),IF(ISNUMBER(SEARCH("non",LOWER($E309&amp;""))),$G309*0.85,$G309),"N/A"),IF($G309="","",IFERROR(IF(ISNUMBER(SEARCH("non",LOWER($E309&amp;""))),$G309*0.85,$G309),"")))))</ns0:f>
        <ns0:v/>
      </ns0:c>
      <ns0:c r="O309" s="987" t="str">
        <ns0:f>IF(COUNTA($A309:$M309)=0,"",IF(OR(LEFT(LOWER(TRIM($F309&amp;"")),12)="subscription",LOWER(TRIM($F309&amp;""))="membership"),"",IF(OR(AND($H309&lt;&gt;"",$H309=0),LEFT(LOWER(TRIM($F309&amp;"")),9)="free game",LOWER(TRIM($F309&amp;""))="free",LOWER(TRIM($F309&amp;""))="free entry"),IF(OR(NOT(ISNUMBER($N309)),NOT(ISNUMBER($I309)),$I309=0),"N/A",IFERROR($N309/$I309,"N/A")),IF(OR($N309="",$I309="",$I309=0),"",IFERROR($N309/$I309,"")))))</ns0:f>
        <ns0:v/>
      </ns0:c>
      <ns0:c r="P309" s="987">
        <ns0:f>IF(COUNTA($A309:$M309)=0,"",IF(OR(LEFT(LOWER(TRIM($F309&amp;"")),12)="subscription",LOWER(TRIM($F309&amp;""))="membership"),"",IF(LOWER(TRIM($D309&amp;""))="estimate","N/A",IF(LOWER($L309&amp;"")="yes",0,IF(OR(AND($H309&lt;&gt;"",$H309=0),LEFT(LOWER(TRIM($F309&amp;"")),9)="free game",LOWER(TRIM($F309&amp;""))="free",LOWER(TRIM($F309&amp;""))="free entry"),IF(ISNUMBER($K309),$K309,""),IF($K309&lt;&gt;"",$K309,""))))))</ns0:f>
      </ns0:c>
      <ns0:c r="Q309" s="114">
        <ns0:f>IF(COUNTA($A309:$M309)=0,"",IF(OR($U309="Subscription",$U309=""),"",IF($U309="Estimate","N/A",IF($U309="Profit",ROUND(IFERROR($P309,0)-IFERROR($H309,0),2),0))))</ns0:f>
      </ns0:c>
      <ns0:c r="R309" s="114">
        <ns0:f>IF(COUNTA($A309:$M309)=0,"",IF(OR($U309="Subscription",$U309=""),"",IF($U309="Estimate","N/A",IF($U309="Draw",$H309,0))))</ns0:f>
      </ns0:c>
      <ns0:c r="S309" s="114">
        <ns0:f>IF(COUNTA($A309:$M309)=0,"",IF(OR($U309="Subscription",$U309=""),"",IF($U309="Estimate","N/A",IF($U309="Disqualified",$H309,0))))</ns0:f>
      </ns0:c>
      <ns0:c r="T309" s="955">
        <ns0:f>IF(COUNTA($A309:$M309)=0,"",IF(OR($U309="Subscription",$U309=""),"",IF($U309="Estimate","N/A",IF(OR($U309="Free Game",$U309="Disqualified — Free Game",$H309=0),"N/A",IF($U309="Profit",$Q309/$H309,IF($U309="Disqualified",-$S309/$H309,0))))))</ns0:f>
      </ns0:c>
      <ns0:c r="U309" s="920">
        <ns0:f>IF(COUNTA($A309:$M309)=0,"",IF(OR(LEFT(LOWER(TRIM($F309&amp;"")),12)="subscription",LOWER(TRIM($F309&amp;""))="membership"),"Subscription",IF(LOWER(TRIM($D309&amp;""))="estimate","Estimate",IF(OR(AND($H309&lt;&gt;"",$H309=0),LEFT(LOWER(TRIM($F309&amp;"")),9)="free game",LOWER(TRIM($F309&amp;""))="free",LOWER(TRIM($F309&amp;""))="free entry"),IF(LOWER($L309&amp;"")="yes","Disqualified — Free Game","Free Game"),IF(LOWER($L309&amp;"")="yes","Disqualified",IF($P309="","",IF(ROUND(IFERROR(VALUE($P309),0)-IFERROR(VALUE($H309),0),2)&gt;0,"Profit","Draw")))))))</ns0:f>
      </ns0:c>
      <ns0:c r="V309" s="956" t="str">
        <ns0:f>IF(COUNTA($A309:$M309)=0,"",IF(OR($B309="",$C309="",$U309="Subscription"),"",IFERROR(ROUNDUP(($C309-$B309)/7,0),"")))</ns0:f>
      </ns0:c>
      <ns0:c r="W309" s="114">
        <ns0:f>IF(COUNTA($A309:$M309)=0,"",IF(OR($U309="Subscription",$U309=""),"",IF($U309="Estimate","N/A",IF(OR($U309="Free Game",$U309="Disqualified — Free Game"),0,ROUND(IFERROR($Q309,0)-IFERROR($S309,0),2)))))</ns0:f>
      </ns0:c>
      <ns0:c r="X309" s="956" t="str">
        <ns0:f>IF(COUNTA($A309:$M309)=0,"",IF(OR($U309="Subscription",NOT(ISNUMBER($J309)),NOT(ISNUMBER($I309)),$J309=0,$I309=0,$I309&gt;$J309),"",$J309-$I309))</ns0:f>
      </ns0:c>
      <ns0:c r="Y309" s="955" t="str">
        <ns0:f>IF(COUNTA($A309:$M309)=0,"",IF(OR($U309="Subscription",NOT(ISNUMBER($J309)),$J309=0,$X309=""),"",$X309/$J309))</ns0:f>
      </ns0:c>
      <ns0:c r="Z309" s="957" t="str">
        <ns0:f>IF(COUNTA($A309:$M309)=0,"",Instructions!$B$29+SUM($W$5:W309))</ns0:f>
      </ns0:c>
    </ns0:row>
    <ns0:row r="310" ht="36" customHeight="1">
      <ns0:c r="A310" s="439"/>
      <ns0:c r="B310" s="453"/>
      <ns0:c r="C310" s="453"/>
      <ns0:c r="D310" s="454"/>
      <ns0:c r="E310" s="454"/>
      <ns0:c r="F310" s="454"/>
      <ns0:c r="G310" s="986"/>
      <ns0:c r="H310" s="455"/>
      <ns0:c r="I310" s="456"/>
      <ns0:c r="J310" s="456"/>
      <ns0:c r="K310" s="986"/>
      <ns0:c r="L310" s="454"/>
      <ns0:c r="M310" s="439"/>
      <ns0:c r="N310" s="987" t="str">
        <ns0:f>IF(COUNTA($A310:$M310)=0,"",IF(OR(LEFT(LOWER(TRIM($F310&amp;"")),12)="subscription",LOWER(TRIM($F310&amp;""))="membership"),"",IF(OR(AND($H310&lt;&gt;"",$H310=0),LEFT(LOWER(TRIM($F310&amp;"")),9)="free game",LOWER(TRIM($F310&amp;""))="free",LOWER(TRIM($F310&amp;""))="free entry"),IF(ISNUMBER($G310),IF(ISNUMBER(SEARCH("non",LOWER($E310&amp;""))),$G310*0.85,$G310),"N/A"),IF($G310="","",IFERROR(IF(ISNUMBER(SEARCH("non",LOWER($E310&amp;""))),$G310*0.85,$G310),"")))))</ns0:f>
        <ns0:v/>
      </ns0:c>
      <ns0:c r="O310" s="987" t="str">
        <ns0:f>IF(COUNTA($A310:$M310)=0,"",IF(OR(LEFT(LOWER(TRIM($F310&amp;"")),12)="subscription",LOWER(TRIM($F310&amp;""))="membership"),"",IF(OR(AND($H310&lt;&gt;"",$H310=0),LEFT(LOWER(TRIM($F310&amp;"")),9)="free game",LOWER(TRIM($F310&amp;""))="free",LOWER(TRIM($F310&amp;""))="free entry"),IF(OR(NOT(ISNUMBER($N310)),NOT(ISNUMBER($I310)),$I310=0),"N/A",IFERROR($N310/$I310,"N/A")),IF(OR($N310="",$I310="",$I310=0),"",IFERROR($N310/$I310,"")))))</ns0:f>
        <ns0:v/>
      </ns0:c>
      <ns0:c r="P310" s="987">
        <ns0:f>IF(COUNTA($A310:$M310)=0,"",IF(OR(LEFT(LOWER(TRIM($F310&amp;"")),12)="subscription",LOWER(TRIM($F310&amp;""))="membership"),"",IF(LOWER(TRIM($D310&amp;""))="estimate","N/A",IF(LOWER($L310&amp;"")="yes",0,IF(OR(AND($H310&lt;&gt;"",$H310=0),LEFT(LOWER(TRIM($F310&amp;"")),9)="free game",LOWER(TRIM($F310&amp;""))="free",LOWER(TRIM($F310&amp;""))="free entry"),IF(ISNUMBER($K310),$K310,""),IF($K310&lt;&gt;"",$K310,""))))))</ns0:f>
      </ns0:c>
      <ns0:c r="Q310" s="114">
        <ns0:f>IF(COUNTA($A310:$M310)=0,"",IF(OR($U310="Subscription",$U310=""),"",IF($U310="Estimate","N/A",IF($U310="Profit",ROUND(IFERROR($P310,0)-IFERROR($H310,0),2),0))))</ns0:f>
      </ns0:c>
      <ns0:c r="R310" s="114">
        <ns0:f>IF(COUNTA($A310:$M310)=0,"",IF(OR($U310="Subscription",$U310=""),"",IF($U310="Estimate","N/A",IF($U310="Draw",$H310,0))))</ns0:f>
      </ns0:c>
      <ns0:c r="S310" s="114">
        <ns0:f>IF(COUNTA($A310:$M310)=0,"",IF(OR($U310="Subscription",$U310=""),"",IF($U310="Estimate","N/A",IF($U310="Disqualified",$H310,0))))</ns0:f>
      </ns0:c>
      <ns0:c r="T310" s="955">
        <ns0:f>IF(COUNTA($A310:$M310)=0,"",IF(OR($U310="Subscription",$U310=""),"",IF($U310="Estimate","N/A",IF(OR($U310="Free Game",$U310="Disqualified — Free Game",$H310=0),"N/A",IF($U310="Profit",$Q310/$H310,IF($U310="Disqualified",-$S310/$H310,0))))))</ns0:f>
      </ns0:c>
      <ns0:c r="U310" s="920">
        <ns0:f>IF(COUNTA($A310:$M310)=0,"",IF(OR(LEFT(LOWER(TRIM($F310&amp;"")),12)="subscription",LOWER(TRIM($F310&amp;""))="membership"),"Subscription",IF(LOWER(TRIM($D310&amp;""))="estimate","Estimate",IF(OR(AND($H310&lt;&gt;"",$H310=0),LEFT(LOWER(TRIM($F310&amp;"")),9)="free game",LOWER(TRIM($F310&amp;""))="free",LOWER(TRIM($F310&amp;""))="free entry"),IF(LOWER($L310&amp;"")="yes","Disqualified — Free Game","Free Game"),IF(LOWER($L310&amp;"")="yes","Disqualified",IF($P310="","",IF(ROUND(IFERROR(VALUE($P310),0)-IFERROR(VALUE($H310),0),2)&gt;0,"Profit","Draw")))))))</ns0:f>
      </ns0:c>
      <ns0:c r="V310" s="956" t="str">
        <ns0:f>IF(COUNTA($A310:$M310)=0,"",IF(OR($B310="",$C310="",$U310="Subscription"),"",IFERROR(ROUNDUP(($C310-$B310)/7,0),"")))</ns0:f>
      </ns0:c>
      <ns0:c r="W310" s="114">
        <ns0:f>IF(COUNTA($A310:$M310)=0,"",IF(OR($U310="Subscription",$U310=""),"",IF($U310="Estimate","N/A",IF(OR($U310="Free Game",$U310="Disqualified — Free Game"),0,ROUND(IFERROR($Q310,0)-IFERROR($S310,0),2)))))</ns0:f>
      </ns0:c>
      <ns0:c r="X310" s="956" t="str">
        <ns0:f>IF(COUNTA($A310:$M310)=0,"",IF(OR($U310="Subscription",NOT(ISNUMBER($J310)),NOT(ISNUMBER($I310)),$J310=0,$I310=0,$I310&gt;$J310),"",$J310-$I310))</ns0:f>
      </ns0:c>
      <ns0:c r="Y310" s="955" t="str">
        <ns0:f>IF(COUNTA($A310:$M310)=0,"",IF(OR($U310="Subscription",NOT(ISNUMBER($J310)),$J310=0,$X310=""),"",$X310/$J310))</ns0:f>
      </ns0:c>
      <ns0:c r="Z310" s="957" t="str">
        <ns0:f>IF(COUNTA($A310:$M310)=0,"",Instructions!$B$29+SUM($W$5:W310))</ns0:f>
      </ns0:c>
    </ns0:row>
    <ns0:row r="311" ht="36" customHeight="1">
      <ns0:c r="A311" s="439"/>
      <ns0:c r="B311" s="453"/>
      <ns0:c r="C311" s="453"/>
      <ns0:c r="D311" s="454"/>
      <ns0:c r="E311" s="454"/>
      <ns0:c r="F311" s="454"/>
      <ns0:c r="G311" s="986"/>
      <ns0:c r="H311" s="455"/>
      <ns0:c r="I311" s="456"/>
      <ns0:c r="J311" s="456"/>
      <ns0:c r="K311" s="986"/>
      <ns0:c r="L311" s="454"/>
      <ns0:c r="M311" s="439"/>
      <ns0:c r="N311" s="987" t="str">
        <ns0:f>IF(COUNTA($A311:$M311)=0,"",IF(OR(LEFT(LOWER(TRIM($F311&amp;"")),12)="subscription",LOWER(TRIM($F311&amp;""))="membership"),"",IF(OR(AND($H311&lt;&gt;"",$H311=0),LEFT(LOWER(TRIM($F311&amp;"")),9)="free game",LOWER(TRIM($F311&amp;""))="free",LOWER(TRIM($F311&amp;""))="free entry"),IF(ISNUMBER($G311),IF(ISNUMBER(SEARCH("non",LOWER($E311&amp;""))),$G311*0.85,$G311),"N/A"),IF($G311="","",IFERROR(IF(ISNUMBER(SEARCH("non",LOWER($E311&amp;""))),$G311*0.85,$G311),"")))))</ns0:f>
        <ns0:v/>
      </ns0:c>
      <ns0:c r="O311" s="987" t="str">
        <ns0:f>IF(COUNTA($A311:$M311)=0,"",IF(OR(LEFT(LOWER(TRIM($F311&amp;"")),12)="subscription",LOWER(TRIM($F311&amp;""))="membership"),"",IF(OR(AND($H311&lt;&gt;"",$H311=0),LEFT(LOWER(TRIM($F311&amp;"")),9)="free game",LOWER(TRIM($F311&amp;""))="free",LOWER(TRIM($F311&amp;""))="free entry"),IF(OR(NOT(ISNUMBER($N311)),NOT(ISNUMBER($I311)),$I311=0),"N/A",IFERROR($N311/$I311,"N/A")),IF(OR($N311="",$I311="",$I311=0),"",IFERROR($N311/$I311,"")))))</ns0:f>
        <ns0:v/>
      </ns0:c>
      <ns0:c r="P311" s="987">
        <ns0:f>IF(COUNTA($A311:$M311)=0,"",IF(OR(LEFT(LOWER(TRIM($F311&amp;"")),12)="subscription",LOWER(TRIM($F311&amp;""))="membership"),"",IF(LOWER(TRIM($D311&amp;""))="estimate","N/A",IF(LOWER($L311&amp;"")="yes",0,IF(OR(AND($H311&lt;&gt;"",$H311=0),LEFT(LOWER(TRIM($F311&amp;"")),9)="free game",LOWER(TRIM($F311&amp;""))="free",LOWER(TRIM($F311&amp;""))="free entry"),IF(ISNUMBER($K311),$K311,""),IF($K311&lt;&gt;"",$K311,""))))))</ns0:f>
      </ns0:c>
      <ns0:c r="Q311" s="114">
        <ns0:f>IF(COUNTA($A311:$M311)=0,"",IF(OR($U311="Subscription",$U311=""),"",IF($U311="Estimate","N/A",IF($U311="Profit",ROUND(IFERROR($P311,0)-IFERROR($H311,0),2),0))))</ns0:f>
      </ns0:c>
      <ns0:c r="R311" s="114">
        <ns0:f>IF(COUNTA($A311:$M311)=0,"",IF(OR($U311="Subscription",$U311=""),"",IF($U311="Estimate","N/A",IF($U311="Draw",$H311,0))))</ns0:f>
      </ns0:c>
      <ns0:c r="S311" s="114">
        <ns0:f>IF(COUNTA($A311:$M311)=0,"",IF(OR($U311="Subscription",$U311=""),"",IF($U311="Estimate","N/A",IF($U311="Disqualified",$H311,0))))</ns0:f>
      </ns0:c>
      <ns0:c r="T311" s="955">
        <ns0:f>IF(COUNTA($A311:$M311)=0,"",IF(OR($U311="Subscription",$U311=""),"",IF($U311="Estimate","N/A",IF(OR($U311="Free Game",$U311="Disqualified — Free Game",$H311=0),"N/A",IF($U311="Profit",$Q311/$H311,IF($U311="Disqualified",-$S311/$H311,0))))))</ns0:f>
      </ns0:c>
      <ns0:c r="U311" s="920">
        <ns0:f>IF(COUNTA($A311:$M311)=0,"",IF(OR(LEFT(LOWER(TRIM($F311&amp;"")),12)="subscription",LOWER(TRIM($F311&amp;""))="membership"),"Subscription",IF(LOWER(TRIM($D311&amp;""))="estimate","Estimate",IF(OR(AND($H311&lt;&gt;"",$H311=0),LEFT(LOWER(TRIM($F311&amp;"")),9)="free game",LOWER(TRIM($F311&amp;""))="free",LOWER(TRIM($F311&amp;""))="free entry"),IF(LOWER($L311&amp;"")="yes","Disqualified — Free Game","Free Game"),IF(LOWER($L311&amp;"")="yes","Disqualified",IF($P311="","",IF(ROUND(IFERROR(VALUE($P311),0)-IFERROR(VALUE($H311),0),2)&gt;0,"Profit","Draw")))))))</ns0:f>
      </ns0:c>
      <ns0:c r="V311" s="956" t="str">
        <ns0:f>IF(COUNTA($A311:$M311)=0,"",IF(OR($B311="",$C311="",$U311="Subscription"),"",IFERROR(ROUNDUP(($C311-$B311)/7,0),"")))</ns0:f>
      </ns0:c>
      <ns0:c r="W311" s="114">
        <ns0:f>IF(COUNTA($A311:$M311)=0,"",IF(OR($U311="Subscription",$U311=""),"",IF($U311="Estimate","N/A",IF(OR($U311="Free Game",$U311="Disqualified — Free Game"),0,ROUND(IFERROR($Q311,0)-IFERROR($S311,0),2)))))</ns0:f>
      </ns0:c>
      <ns0:c r="X311" s="956" t="str">
        <ns0:f>IF(COUNTA($A311:$M311)=0,"",IF(OR($U311="Subscription",NOT(ISNUMBER($J311)),NOT(ISNUMBER($I311)),$J311=0,$I311=0,$I311&gt;$J311),"",$J311-$I311))</ns0:f>
      </ns0:c>
      <ns0:c r="Y311" s="955" t="str">
        <ns0:f>IF(COUNTA($A311:$M311)=0,"",IF(OR($U311="Subscription",NOT(ISNUMBER($J311)),$J311=0,$X311=""),"",$X311/$J311))</ns0:f>
      </ns0:c>
      <ns0:c r="Z311" s="957" t="str">
        <ns0:f>IF(COUNTA($A311:$M311)=0,"",Instructions!$B$29+SUM($W$5:W311))</ns0:f>
      </ns0:c>
    </ns0:row>
    <ns0:row r="312" ht="36" customHeight="1">
      <ns0:c r="A312" s="439"/>
      <ns0:c r="B312" s="453"/>
      <ns0:c r="C312" s="453"/>
      <ns0:c r="D312" s="454"/>
      <ns0:c r="E312" s="454"/>
      <ns0:c r="F312" s="454"/>
      <ns0:c r="G312" s="986"/>
      <ns0:c r="H312" s="455"/>
      <ns0:c r="I312" s="456"/>
      <ns0:c r="J312" s="456"/>
      <ns0:c r="K312" s="986"/>
      <ns0:c r="L312" s="454"/>
      <ns0:c r="M312" s="439"/>
      <ns0:c r="N312" s="987" t="str">
        <ns0:f>IF(COUNTA($A312:$M312)=0,"",IF(OR(LEFT(LOWER(TRIM($F312&amp;"")),12)="subscription",LOWER(TRIM($F312&amp;""))="membership"),"",IF(OR(AND($H312&lt;&gt;"",$H312=0),LEFT(LOWER(TRIM($F312&amp;"")),9)="free game",LOWER(TRIM($F312&amp;""))="free",LOWER(TRIM($F312&amp;""))="free entry"),IF(ISNUMBER($G312),IF(ISNUMBER(SEARCH("non",LOWER($E312&amp;""))),$G312*0.85,$G312),"N/A"),IF($G312="","",IFERROR(IF(ISNUMBER(SEARCH("non",LOWER($E312&amp;""))),$G312*0.85,$G312),"")))))</ns0:f>
        <ns0:v/>
      </ns0:c>
      <ns0:c r="O312" s="987" t="str">
        <ns0:f>IF(COUNTA($A312:$M312)=0,"",IF(OR(LEFT(LOWER(TRIM($F312&amp;"")),12)="subscription",LOWER(TRIM($F312&amp;""))="membership"),"",IF(OR(AND($H312&lt;&gt;"",$H312=0),LEFT(LOWER(TRIM($F312&amp;"")),9)="free game",LOWER(TRIM($F312&amp;""))="free",LOWER(TRIM($F312&amp;""))="free entry"),IF(OR(NOT(ISNUMBER($N312)),NOT(ISNUMBER($I312)),$I312=0),"N/A",IFERROR($N312/$I312,"N/A")),IF(OR($N312="",$I312="",$I312=0),"",IFERROR($N312/$I312,"")))))</ns0:f>
        <ns0:v/>
      </ns0:c>
      <ns0:c r="P312" s="987">
        <ns0:f>IF(COUNTA($A312:$M312)=0,"",IF(OR(LEFT(LOWER(TRIM($F312&amp;"")),12)="subscription",LOWER(TRIM($F312&amp;""))="membership"),"",IF(LOWER(TRIM($D312&amp;""))="estimate","N/A",IF(LOWER($L312&amp;"")="yes",0,IF(OR(AND($H312&lt;&gt;"",$H312=0),LEFT(LOWER(TRIM($F312&amp;"")),9)="free game",LOWER(TRIM($F312&amp;""))="free",LOWER(TRIM($F312&amp;""))="free entry"),IF(ISNUMBER($K312),$K312,""),IF($K312&lt;&gt;"",$K312,""))))))</ns0:f>
      </ns0:c>
      <ns0:c r="Q312" s="114">
        <ns0:f>IF(COUNTA($A312:$M312)=0,"",IF(OR($U312="Subscription",$U312=""),"",IF($U312="Estimate","N/A",IF($U312="Profit",ROUND(IFERROR($P312,0)-IFERROR($H312,0),2),0))))</ns0:f>
      </ns0:c>
      <ns0:c r="R312" s="114">
        <ns0:f>IF(COUNTA($A312:$M312)=0,"",IF(OR($U312="Subscription",$U312=""),"",IF($U312="Estimate","N/A",IF($U312="Draw",$H312,0))))</ns0:f>
      </ns0:c>
      <ns0:c r="S312" s="114">
        <ns0:f>IF(COUNTA($A312:$M312)=0,"",IF(OR($U312="Subscription",$U312=""),"",IF($U312="Estimate","N/A",IF($U312="Disqualified",$H312,0))))</ns0:f>
      </ns0:c>
      <ns0:c r="T312" s="955">
        <ns0:f>IF(COUNTA($A312:$M312)=0,"",IF(OR($U312="Subscription",$U312=""),"",IF($U312="Estimate","N/A",IF(OR($U312="Free Game",$U312="Disqualified — Free Game",$H312=0),"N/A",IF($U312="Profit",$Q312/$H312,IF($U312="Disqualified",-$S312/$H312,0))))))</ns0:f>
      </ns0:c>
      <ns0:c r="U312" s="920">
        <ns0:f>IF(COUNTA($A312:$M312)=0,"",IF(OR(LEFT(LOWER(TRIM($F312&amp;"")),12)="subscription",LOWER(TRIM($F312&amp;""))="membership"),"Subscription",IF(LOWER(TRIM($D312&amp;""))="estimate","Estimate",IF(OR(AND($H312&lt;&gt;"",$H312=0),LEFT(LOWER(TRIM($F312&amp;"")),9)="free game",LOWER(TRIM($F312&amp;""))="free",LOWER(TRIM($F312&amp;""))="free entry"),IF(LOWER($L312&amp;"")="yes","Disqualified — Free Game","Free Game"),IF(LOWER($L312&amp;"")="yes","Disqualified",IF($P312="","",IF(ROUND(IFERROR(VALUE($P312),0)-IFERROR(VALUE($H312),0),2)&gt;0,"Profit","Draw")))))))</ns0:f>
      </ns0:c>
      <ns0:c r="V312" s="956" t="str">
        <ns0:f>IF(COUNTA($A312:$M312)=0,"",IF(OR($B312="",$C312="",$U312="Subscription"),"",IFERROR(ROUNDUP(($C312-$B312)/7,0),"")))</ns0:f>
      </ns0:c>
      <ns0:c r="W312" s="114">
        <ns0:f>IF(COUNTA($A312:$M312)=0,"",IF(OR($U312="Subscription",$U312=""),"",IF($U312="Estimate","N/A",IF(OR($U312="Free Game",$U312="Disqualified — Free Game"),0,ROUND(IFERROR($Q312,0)-IFERROR($S312,0),2)))))</ns0:f>
      </ns0:c>
      <ns0:c r="X312" s="956" t="str">
        <ns0:f>IF(COUNTA($A312:$M312)=0,"",IF(OR($U312="Subscription",NOT(ISNUMBER($J312)),NOT(ISNUMBER($I312)),$J312=0,$I312=0,$I312&gt;$J312),"",$J312-$I312))</ns0:f>
      </ns0:c>
      <ns0:c r="Y312" s="955" t="str">
        <ns0:f>IF(COUNTA($A312:$M312)=0,"",IF(OR($U312="Subscription",NOT(ISNUMBER($J312)),$J312=0,$X312=""),"",$X312/$J312))</ns0:f>
      </ns0:c>
      <ns0:c r="Z312" s="957" t="str">
        <ns0:f>IF(COUNTA($A312:$M312)=0,"",Instructions!$B$29+SUM($W$5:W312))</ns0:f>
      </ns0:c>
    </ns0:row>
    <ns0:row r="313" ht="36" customHeight="1">
      <ns0:c r="A313" s="439"/>
      <ns0:c r="B313" s="453"/>
      <ns0:c r="C313" s="453"/>
      <ns0:c r="D313" s="454"/>
      <ns0:c r="E313" s="454"/>
      <ns0:c r="F313" s="454"/>
      <ns0:c r="G313" s="986"/>
      <ns0:c r="H313" s="455"/>
      <ns0:c r="I313" s="456"/>
      <ns0:c r="J313" s="456"/>
      <ns0:c r="K313" s="986"/>
      <ns0:c r="L313" s="454"/>
      <ns0:c r="M313" s="439"/>
      <ns0:c r="N313" s="987" t="str">
        <ns0:f>IF(COUNTA($A313:$M313)=0,"",IF(OR(LEFT(LOWER(TRIM($F313&amp;"")),12)="subscription",LOWER(TRIM($F313&amp;""))="membership"),"",IF(OR(AND($H313&lt;&gt;"",$H313=0),LEFT(LOWER(TRIM($F313&amp;"")),9)="free game",LOWER(TRIM($F313&amp;""))="free",LOWER(TRIM($F313&amp;""))="free entry"),IF(ISNUMBER($G313),IF(ISNUMBER(SEARCH("non",LOWER($E313&amp;""))),$G313*0.85,$G313),"N/A"),IF($G313="","",IFERROR(IF(ISNUMBER(SEARCH("non",LOWER($E313&amp;""))),$G313*0.85,$G313),"")))))</ns0:f>
        <ns0:v/>
      </ns0:c>
      <ns0:c r="O313" s="987" t="str">
        <ns0:f>IF(COUNTA($A313:$M313)=0,"",IF(OR(LEFT(LOWER(TRIM($F313&amp;"")),12)="subscription",LOWER(TRIM($F313&amp;""))="membership"),"",IF(OR(AND($H313&lt;&gt;"",$H313=0),LEFT(LOWER(TRIM($F313&amp;"")),9)="free game",LOWER(TRIM($F313&amp;""))="free",LOWER(TRIM($F313&amp;""))="free entry"),IF(OR(NOT(ISNUMBER($N313)),NOT(ISNUMBER($I313)),$I313=0),"N/A",IFERROR($N313/$I313,"N/A")),IF(OR($N313="",$I313="",$I313=0),"",IFERROR($N313/$I313,"")))))</ns0:f>
        <ns0:v/>
      </ns0:c>
      <ns0:c r="P313" s="987">
        <ns0:f>IF(COUNTA($A313:$M313)=0,"",IF(OR(LEFT(LOWER(TRIM($F313&amp;"")),12)="subscription",LOWER(TRIM($F313&amp;""))="membership"),"",IF(LOWER(TRIM($D313&amp;""))="estimate","N/A",IF(LOWER($L313&amp;"")="yes",0,IF(OR(AND($H313&lt;&gt;"",$H313=0),LEFT(LOWER(TRIM($F313&amp;"")),9)="free game",LOWER(TRIM($F313&amp;""))="free",LOWER(TRIM($F313&amp;""))="free entry"),IF(ISNUMBER($K313),$K313,""),IF($K313&lt;&gt;"",$K313,""))))))</ns0:f>
      </ns0:c>
      <ns0:c r="Q313" s="114">
        <ns0:f>IF(COUNTA($A313:$M313)=0,"",IF(OR($U313="Subscription",$U313=""),"",IF($U313="Estimate","N/A",IF($U313="Profit",ROUND(IFERROR($P313,0)-IFERROR($H313,0),2),0))))</ns0:f>
      </ns0:c>
      <ns0:c r="R313" s="114">
        <ns0:f>IF(COUNTA($A313:$M313)=0,"",IF(OR($U313="Subscription",$U313=""),"",IF($U313="Estimate","N/A",IF($U313="Draw",$H313,0))))</ns0:f>
      </ns0:c>
      <ns0:c r="S313" s="114">
        <ns0:f>IF(COUNTA($A313:$M313)=0,"",IF(OR($U313="Subscription",$U313=""),"",IF($U313="Estimate","N/A",IF($U313="Disqualified",$H313,0))))</ns0:f>
      </ns0:c>
      <ns0:c r="T313" s="955">
        <ns0:f>IF(COUNTA($A313:$M313)=0,"",IF(OR($U313="Subscription",$U313=""),"",IF($U313="Estimate","N/A",IF(OR($U313="Free Game",$U313="Disqualified — Free Game",$H313=0),"N/A",IF($U313="Profit",$Q313/$H313,IF($U313="Disqualified",-$S313/$H313,0))))))</ns0:f>
      </ns0:c>
      <ns0:c r="U313" s="920">
        <ns0:f>IF(COUNTA($A313:$M313)=0,"",IF(OR(LEFT(LOWER(TRIM($F313&amp;"")),12)="subscription",LOWER(TRIM($F313&amp;""))="membership"),"Subscription",IF(LOWER(TRIM($D313&amp;""))="estimate","Estimate",IF(OR(AND($H313&lt;&gt;"",$H313=0),LEFT(LOWER(TRIM($F313&amp;"")),9)="free game",LOWER(TRIM($F313&amp;""))="free",LOWER(TRIM($F313&amp;""))="free entry"),IF(LOWER($L313&amp;"")="yes","Disqualified — Free Game","Free Game"),IF(LOWER($L313&amp;"")="yes","Disqualified",IF($P313="","",IF(ROUND(IFERROR(VALUE($P313),0)-IFERROR(VALUE($H313),0),2)&gt;0,"Profit","Draw")))))))</ns0:f>
      </ns0:c>
      <ns0:c r="V313" s="956" t="str">
        <ns0:f>IF(COUNTA($A313:$M313)=0,"",IF(OR($B313="",$C313="",$U313="Subscription"),"",IFERROR(ROUNDUP(($C313-$B313)/7,0),"")))</ns0:f>
      </ns0:c>
      <ns0:c r="W313" s="114">
        <ns0:f>IF(COUNTA($A313:$M313)=0,"",IF(OR($U313="Subscription",$U313=""),"",IF($U313="Estimate","N/A",IF(OR($U313="Free Game",$U313="Disqualified — Free Game"),0,ROUND(IFERROR($Q313,0)-IFERROR($S313,0),2)))))</ns0:f>
      </ns0:c>
      <ns0:c r="X313" s="956" t="str">
        <ns0:f>IF(COUNTA($A313:$M313)=0,"",IF(OR($U313="Subscription",NOT(ISNUMBER($J313)),NOT(ISNUMBER($I313)),$J313=0,$I313=0,$I313&gt;$J313),"",$J313-$I313))</ns0:f>
      </ns0:c>
      <ns0:c r="Y313" s="955" t="str">
        <ns0:f>IF(COUNTA($A313:$M313)=0,"",IF(OR($U313="Subscription",NOT(ISNUMBER($J313)),$J313=0,$X313=""),"",$X313/$J313))</ns0:f>
      </ns0:c>
      <ns0:c r="Z313" s="957" t="str">
        <ns0:f>IF(COUNTA($A313:$M313)=0,"",Instructions!$B$29+SUM($W$5:W313))</ns0:f>
      </ns0:c>
    </ns0:row>
    <ns0:row r="314" ht="36" customHeight="1">
      <ns0:c r="A314" s="439"/>
      <ns0:c r="B314" s="453"/>
      <ns0:c r="C314" s="453"/>
      <ns0:c r="D314" s="454"/>
      <ns0:c r="E314" s="454"/>
      <ns0:c r="F314" s="454"/>
      <ns0:c r="G314" s="986"/>
      <ns0:c r="H314" s="455"/>
      <ns0:c r="I314" s="456"/>
      <ns0:c r="J314" s="456"/>
      <ns0:c r="K314" s="986"/>
      <ns0:c r="L314" s="454"/>
      <ns0:c r="M314" s="439"/>
      <ns0:c r="N314" s="987" t="str">
        <ns0:f>IF(COUNTA($A314:$M314)=0,"",IF(OR(LEFT(LOWER(TRIM($F314&amp;"")),12)="subscription",LOWER(TRIM($F314&amp;""))="membership"),"",IF(OR(AND($H314&lt;&gt;"",$H314=0),LEFT(LOWER(TRIM($F314&amp;"")),9)="free game",LOWER(TRIM($F314&amp;""))="free",LOWER(TRIM($F314&amp;""))="free entry"),IF(ISNUMBER($G314),IF(ISNUMBER(SEARCH("non",LOWER($E314&amp;""))),$G314*0.85,$G314),"N/A"),IF($G314="","",IFERROR(IF(ISNUMBER(SEARCH("non",LOWER($E314&amp;""))),$G314*0.85,$G314),"")))))</ns0:f>
        <ns0:v/>
      </ns0:c>
      <ns0:c r="O314" s="987" t="str">
        <ns0:f>IF(COUNTA($A314:$M314)=0,"",IF(OR(LEFT(LOWER(TRIM($F314&amp;"")),12)="subscription",LOWER(TRIM($F314&amp;""))="membership"),"",IF(OR(AND($H314&lt;&gt;"",$H314=0),LEFT(LOWER(TRIM($F314&amp;"")),9)="free game",LOWER(TRIM($F314&amp;""))="free",LOWER(TRIM($F314&amp;""))="free entry"),IF(OR(NOT(ISNUMBER($N314)),NOT(ISNUMBER($I314)),$I314=0),"N/A",IFERROR($N314/$I314,"N/A")),IF(OR($N314="",$I314="",$I314=0),"",IFERROR($N314/$I314,"")))))</ns0:f>
        <ns0:v/>
      </ns0:c>
      <ns0:c r="P314" s="987">
        <ns0:f>IF(COUNTA($A314:$M314)=0,"",IF(OR(LEFT(LOWER(TRIM($F314&amp;"")),12)="subscription",LOWER(TRIM($F314&amp;""))="membership"),"",IF(LOWER(TRIM($D314&amp;""))="estimate","N/A",IF(LOWER($L314&amp;"")="yes",0,IF(OR(AND($H314&lt;&gt;"",$H314=0),LEFT(LOWER(TRIM($F314&amp;"")),9)="free game",LOWER(TRIM($F314&amp;""))="free",LOWER(TRIM($F314&amp;""))="free entry"),IF(ISNUMBER($K314),$K314,""),IF($K314&lt;&gt;"",$K314,""))))))</ns0:f>
      </ns0:c>
      <ns0:c r="Q314" s="114">
        <ns0:f>IF(COUNTA($A314:$M314)=0,"",IF(OR($U314="Subscription",$U314=""),"",IF($U314="Estimate","N/A",IF($U314="Profit",ROUND(IFERROR($P314,0)-IFERROR($H314,0),2),0))))</ns0:f>
      </ns0:c>
      <ns0:c r="R314" s="114">
        <ns0:f>IF(COUNTA($A314:$M314)=0,"",IF(OR($U314="Subscription",$U314=""),"",IF($U314="Estimate","N/A",IF($U314="Draw",$H314,0))))</ns0:f>
      </ns0:c>
      <ns0:c r="S314" s="114">
        <ns0:f>IF(COUNTA($A314:$M314)=0,"",IF(OR($U314="Subscription",$U314=""),"",IF($U314="Estimate","N/A",IF($U314="Disqualified",$H314,0))))</ns0:f>
      </ns0:c>
      <ns0:c r="T314" s="955">
        <ns0:f>IF(COUNTA($A314:$M314)=0,"",IF(OR($U314="Subscription",$U314=""),"",IF($U314="Estimate","N/A",IF(OR($U314="Free Game",$U314="Disqualified — Free Game",$H314=0),"N/A",IF($U314="Profit",$Q314/$H314,IF($U314="Disqualified",-$S314/$H314,0))))))</ns0:f>
      </ns0:c>
      <ns0:c r="U314" s="920">
        <ns0:f>IF(COUNTA($A314:$M314)=0,"",IF(OR(LEFT(LOWER(TRIM($F314&amp;"")),12)="subscription",LOWER(TRIM($F314&amp;""))="membership"),"Subscription",IF(LOWER(TRIM($D314&amp;""))="estimate","Estimate",IF(OR(AND($H314&lt;&gt;"",$H314=0),LEFT(LOWER(TRIM($F314&amp;"")),9)="free game",LOWER(TRIM($F314&amp;""))="free",LOWER(TRIM($F314&amp;""))="free entry"),IF(LOWER($L314&amp;"")="yes","Disqualified — Free Game","Free Game"),IF(LOWER($L314&amp;"")="yes","Disqualified",IF($P314="","",IF(ROUND(IFERROR(VALUE($P314),0)-IFERROR(VALUE($H314),0),2)&gt;0,"Profit","Draw")))))))</ns0:f>
      </ns0:c>
      <ns0:c r="V314" s="956" t="str">
        <ns0:f>IF(COUNTA($A314:$M314)=0,"",IF(OR($B314="",$C314="",$U314="Subscription"),"",IFERROR(ROUNDUP(($C314-$B314)/7,0),"")))</ns0:f>
      </ns0:c>
      <ns0:c r="W314" s="114">
        <ns0:f>IF(COUNTA($A314:$M314)=0,"",IF(OR($U314="Subscription",$U314=""),"",IF($U314="Estimate","N/A",IF(OR($U314="Free Game",$U314="Disqualified — Free Game"),0,ROUND(IFERROR($Q314,0)-IFERROR($S314,0),2)))))</ns0:f>
      </ns0:c>
      <ns0:c r="X314" s="956" t="str">
        <ns0:f>IF(COUNTA($A314:$M314)=0,"",IF(OR($U314="Subscription",NOT(ISNUMBER($J314)),NOT(ISNUMBER($I314)),$J314=0,$I314=0,$I314&gt;$J314),"",$J314-$I314))</ns0:f>
      </ns0:c>
      <ns0:c r="Y314" s="955" t="str">
        <ns0:f>IF(COUNTA($A314:$M314)=0,"",IF(OR($U314="Subscription",NOT(ISNUMBER($J314)),$J314=0,$X314=""),"",$X314/$J314))</ns0:f>
      </ns0:c>
      <ns0:c r="Z314" s="957" t="str">
        <ns0:f>IF(COUNTA($A314:$M314)=0,"",Instructions!$B$29+SUM($W$5:W314))</ns0:f>
      </ns0:c>
    </ns0:row>
    <ns0:row r="315" ht="36" customHeight="1">
      <ns0:c r="A315" s="439"/>
      <ns0:c r="B315" s="453"/>
      <ns0:c r="C315" s="453"/>
      <ns0:c r="D315" s="454"/>
      <ns0:c r="E315" s="454"/>
      <ns0:c r="F315" s="454"/>
      <ns0:c r="G315" s="986"/>
      <ns0:c r="H315" s="455"/>
      <ns0:c r="I315" s="456"/>
      <ns0:c r="J315" s="456"/>
      <ns0:c r="K315" s="986"/>
      <ns0:c r="L315" s="454"/>
      <ns0:c r="M315" s="439"/>
      <ns0:c r="N315" s="987" t="str">
        <ns0:f>IF(COUNTA($A315:$M315)=0,"",IF(OR(LEFT(LOWER(TRIM($F315&amp;"")),12)="subscription",LOWER(TRIM($F315&amp;""))="membership"),"",IF(OR(AND($H315&lt;&gt;"",$H315=0),LEFT(LOWER(TRIM($F315&amp;"")),9)="free game",LOWER(TRIM($F315&amp;""))="free",LOWER(TRIM($F315&amp;""))="free entry"),IF(ISNUMBER($G315),IF(ISNUMBER(SEARCH("non",LOWER($E315&amp;""))),$G315*0.85,$G315),"N/A"),IF($G315="","",IFERROR(IF(ISNUMBER(SEARCH("non",LOWER($E315&amp;""))),$G315*0.85,$G315),"")))))</ns0:f>
        <ns0:v/>
      </ns0:c>
      <ns0:c r="O315" s="987" t="str">
        <ns0:f>IF(COUNTA($A315:$M315)=0,"",IF(OR(LEFT(LOWER(TRIM($F315&amp;"")),12)="subscription",LOWER(TRIM($F315&amp;""))="membership"),"",IF(OR(AND($H315&lt;&gt;"",$H315=0),LEFT(LOWER(TRIM($F315&amp;"")),9)="free game",LOWER(TRIM($F315&amp;""))="free",LOWER(TRIM($F315&amp;""))="free entry"),IF(OR(NOT(ISNUMBER($N315)),NOT(ISNUMBER($I315)),$I315=0),"N/A",IFERROR($N315/$I315,"N/A")),IF(OR($N315="",$I315="",$I315=0),"",IFERROR($N315/$I315,"")))))</ns0:f>
        <ns0:v/>
      </ns0:c>
      <ns0:c r="P315" s="987">
        <ns0:f>IF(COUNTA($A315:$M315)=0,"",IF(OR(LEFT(LOWER(TRIM($F315&amp;"")),12)="subscription",LOWER(TRIM($F315&amp;""))="membership"),"",IF(LOWER(TRIM($D315&amp;""))="estimate","N/A",IF(LOWER($L315&amp;"")="yes",0,IF(OR(AND($H315&lt;&gt;"",$H315=0),LEFT(LOWER(TRIM($F315&amp;"")),9)="free game",LOWER(TRIM($F315&amp;""))="free",LOWER(TRIM($F315&amp;""))="free entry"),IF(ISNUMBER($K315),$K315,""),IF($K315&lt;&gt;"",$K315,""))))))</ns0:f>
      </ns0:c>
      <ns0:c r="Q315" s="114">
        <ns0:f>IF(COUNTA($A315:$M315)=0,"",IF(OR($U315="Subscription",$U315=""),"",IF($U315="Estimate","N/A",IF($U315="Profit",ROUND(IFERROR($P315,0)-IFERROR($H315,0),2),0))))</ns0:f>
      </ns0:c>
      <ns0:c r="R315" s="114">
        <ns0:f>IF(COUNTA($A315:$M315)=0,"",IF(OR($U315="Subscription",$U315=""),"",IF($U315="Estimate","N/A",IF($U315="Draw",$H315,0))))</ns0:f>
      </ns0:c>
      <ns0:c r="S315" s="114">
        <ns0:f>IF(COUNTA($A315:$M315)=0,"",IF(OR($U315="Subscription",$U315=""),"",IF($U315="Estimate","N/A",IF($U315="Disqualified",$H315,0))))</ns0:f>
      </ns0:c>
      <ns0:c r="T315" s="955">
        <ns0:f>IF(COUNTA($A315:$M315)=0,"",IF(OR($U315="Subscription",$U315=""),"",IF($U315="Estimate","N/A",IF(OR($U315="Free Game",$U315="Disqualified — Free Game",$H315=0),"N/A",IF($U315="Profit",$Q315/$H315,IF($U315="Disqualified",-$S315/$H315,0))))))</ns0:f>
      </ns0:c>
      <ns0:c r="U315" s="920">
        <ns0:f>IF(COUNTA($A315:$M315)=0,"",IF(OR(LEFT(LOWER(TRIM($F315&amp;"")),12)="subscription",LOWER(TRIM($F315&amp;""))="membership"),"Subscription",IF(LOWER(TRIM($D315&amp;""))="estimate","Estimate",IF(OR(AND($H315&lt;&gt;"",$H315=0),LEFT(LOWER(TRIM($F315&amp;"")),9)="free game",LOWER(TRIM($F315&amp;""))="free",LOWER(TRIM($F315&amp;""))="free entry"),IF(LOWER($L315&amp;"")="yes","Disqualified — Free Game","Free Game"),IF(LOWER($L315&amp;"")="yes","Disqualified",IF($P315="","",IF(ROUND(IFERROR(VALUE($P315),0)-IFERROR(VALUE($H315),0),2)&gt;0,"Profit","Draw")))))))</ns0:f>
      </ns0:c>
      <ns0:c r="V315" s="956" t="str">
        <ns0:f>IF(COUNTA($A315:$M315)=0,"",IF(OR($B315="",$C315="",$U315="Subscription"),"",IFERROR(ROUNDUP(($C315-$B315)/7,0),"")))</ns0:f>
      </ns0:c>
      <ns0:c r="W315" s="114">
        <ns0:f>IF(COUNTA($A315:$M315)=0,"",IF(OR($U315="Subscription",$U315=""),"",IF($U315="Estimate","N/A",IF(OR($U315="Free Game",$U315="Disqualified — Free Game"),0,ROUND(IFERROR($Q315,0)-IFERROR($S315,0),2)))))</ns0:f>
      </ns0:c>
      <ns0:c r="X315" s="956" t="str">
        <ns0:f>IF(COUNTA($A315:$M315)=0,"",IF(OR($U315="Subscription",NOT(ISNUMBER($J315)),NOT(ISNUMBER($I315)),$J315=0,$I315=0,$I315&gt;$J315),"",$J315-$I315))</ns0:f>
      </ns0:c>
      <ns0:c r="Y315" s="955" t="str">
        <ns0:f>IF(COUNTA($A315:$M315)=0,"",IF(OR($U315="Subscription",NOT(ISNUMBER($J315)),$J315=0,$X315=""),"",$X315/$J315))</ns0:f>
      </ns0:c>
      <ns0:c r="Z315" s="957" t="str">
        <ns0:f>IF(COUNTA($A315:$M315)=0,"",Instructions!$B$29+SUM($W$5:W315))</ns0:f>
      </ns0:c>
    </ns0:row>
    <ns0:row r="316" ht="36" customHeight="1">
      <ns0:c r="A316" s="439"/>
      <ns0:c r="B316" s="453"/>
      <ns0:c r="C316" s="453"/>
      <ns0:c r="D316" s="454"/>
      <ns0:c r="E316" s="454"/>
      <ns0:c r="F316" s="454"/>
      <ns0:c r="G316" s="986"/>
      <ns0:c r="H316" s="455"/>
      <ns0:c r="I316" s="456"/>
      <ns0:c r="J316" s="456"/>
      <ns0:c r="K316" s="986"/>
      <ns0:c r="L316" s="454"/>
      <ns0:c r="M316" s="439"/>
      <ns0:c r="N316" s="987" t="str">
        <ns0:f>IF(COUNTA($A316:$M316)=0,"",IF(OR(LEFT(LOWER(TRIM($F316&amp;"")),12)="subscription",LOWER(TRIM($F316&amp;""))="membership"),"",IF(OR(AND($H316&lt;&gt;"",$H316=0),LEFT(LOWER(TRIM($F316&amp;"")),9)="free game",LOWER(TRIM($F316&amp;""))="free",LOWER(TRIM($F316&amp;""))="free entry"),IF(ISNUMBER($G316),IF(ISNUMBER(SEARCH("non",LOWER($E316&amp;""))),$G316*0.85,$G316),"N/A"),IF($G316="","",IFERROR(IF(ISNUMBER(SEARCH("non",LOWER($E316&amp;""))),$G316*0.85,$G316),"")))))</ns0:f>
        <ns0:v/>
      </ns0:c>
      <ns0:c r="O316" s="987" t="str">
        <ns0:f>IF(COUNTA($A316:$M316)=0,"",IF(OR(LEFT(LOWER(TRIM($F316&amp;"")),12)="subscription",LOWER(TRIM($F316&amp;""))="membership"),"",IF(OR(AND($H316&lt;&gt;"",$H316=0),LEFT(LOWER(TRIM($F316&amp;"")),9)="free game",LOWER(TRIM($F316&amp;""))="free",LOWER(TRIM($F316&amp;""))="free entry"),IF(OR(NOT(ISNUMBER($N316)),NOT(ISNUMBER($I316)),$I316=0),"N/A",IFERROR($N316/$I316,"N/A")),IF(OR($N316="",$I316="",$I316=0),"",IFERROR($N316/$I316,"")))))</ns0:f>
        <ns0:v/>
      </ns0:c>
      <ns0:c r="P316" s="987">
        <ns0:f>IF(COUNTA($A316:$M316)=0,"",IF(OR(LEFT(LOWER(TRIM($F316&amp;"")),12)="subscription",LOWER(TRIM($F316&amp;""))="membership"),"",IF(LOWER(TRIM($D316&amp;""))="estimate","N/A",IF(LOWER($L316&amp;"")="yes",0,IF(OR(AND($H316&lt;&gt;"",$H316=0),LEFT(LOWER(TRIM($F316&amp;"")),9)="free game",LOWER(TRIM($F316&amp;""))="free",LOWER(TRIM($F316&amp;""))="free entry"),IF(ISNUMBER($K316),$K316,""),IF($K316&lt;&gt;"",$K316,""))))))</ns0:f>
      </ns0:c>
      <ns0:c r="Q316" s="114">
        <ns0:f>IF(COUNTA($A316:$M316)=0,"",IF(OR($U316="Subscription",$U316=""),"",IF($U316="Estimate","N/A",IF($U316="Profit",ROUND(IFERROR($P316,0)-IFERROR($H316,0),2),0))))</ns0:f>
      </ns0:c>
      <ns0:c r="R316" s="114">
        <ns0:f>IF(COUNTA($A316:$M316)=0,"",IF(OR($U316="Subscription",$U316=""),"",IF($U316="Estimate","N/A",IF($U316="Draw",$H316,0))))</ns0:f>
      </ns0:c>
      <ns0:c r="S316" s="114">
        <ns0:f>IF(COUNTA($A316:$M316)=0,"",IF(OR($U316="Subscription",$U316=""),"",IF($U316="Estimate","N/A",IF($U316="Disqualified",$H316,0))))</ns0:f>
      </ns0:c>
      <ns0:c r="T316" s="955">
        <ns0:f>IF(COUNTA($A316:$M316)=0,"",IF(OR($U316="Subscription",$U316=""),"",IF($U316="Estimate","N/A",IF(OR($U316="Free Game",$U316="Disqualified — Free Game",$H316=0),"N/A",IF($U316="Profit",$Q316/$H316,IF($U316="Disqualified",-$S316/$H316,0))))))</ns0:f>
      </ns0:c>
      <ns0:c r="U316" s="920">
        <ns0:f>IF(COUNTA($A316:$M316)=0,"",IF(OR(LEFT(LOWER(TRIM($F316&amp;"")),12)="subscription",LOWER(TRIM($F316&amp;""))="membership"),"Subscription",IF(LOWER(TRIM($D316&amp;""))="estimate","Estimate",IF(OR(AND($H316&lt;&gt;"",$H316=0),LEFT(LOWER(TRIM($F316&amp;"")),9)="free game",LOWER(TRIM($F316&amp;""))="free",LOWER(TRIM($F316&amp;""))="free entry"),IF(LOWER($L316&amp;"")="yes","Disqualified — Free Game","Free Game"),IF(LOWER($L316&amp;"")="yes","Disqualified",IF($P316="","",IF(ROUND(IFERROR(VALUE($P316),0)-IFERROR(VALUE($H316),0),2)&gt;0,"Profit","Draw")))))))</ns0:f>
      </ns0:c>
      <ns0:c r="V316" s="956" t="str">
        <ns0:f>IF(COUNTA($A316:$M316)=0,"",IF(OR($B316="",$C316="",$U316="Subscription"),"",IFERROR(ROUNDUP(($C316-$B316)/7,0),"")))</ns0:f>
      </ns0:c>
      <ns0:c r="W316" s="114">
        <ns0:f>IF(COUNTA($A316:$M316)=0,"",IF(OR($U316="Subscription",$U316=""),"",IF($U316="Estimate","N/A",IF(OR($U316="Free Game",$U316="Disqualified — Free Game"),0,ROUND(IFERROR($Q316,0)-IFERROR($S316,0),2)))))</ns0:f>
      </ns0:c>
      <ns0:c r="X316" s="956" t="str">
        <ns0:f>IF(COUNTA($A316:$M316)=0,"",IF(OR($U316="Subscription",NOT(ISNUMBER($J316)),NOT(ISNUMBER($I316)),$J316=0,$I316=0,$I316&gt;$J316),"",$J316-$I316))</ns0:f>
      </ns0:c>
      <ns0:c r="Y316" s="955" t="str">
        <ns0:f>IF(COUNTA($A316:$M316)=0,"",IF(OR($U316="Subscription",NOT(ISNUMBER($J316)),$J316=0,$X316=""),"",$X316/$J316))</ns0:f>
      </ns0:c>
      <ns0:c r="Z316" s="957" t="str">
        <ns0:f>IF(COUNTA($A316:$M316)=0,"",Instructions!$B$29+SUM($W$5:W316))</ns0:f>
      </ns0:c>
    </ns0:row>
    <ns0:row r="317" ht="36" customHeight="1">
      <ns0:c r="A317" s="439"/>
      <ns0:c r="B317" s="453"/>
      <ns0:c r="C317" s="453"/>
      <ns0:c r="D317" s="454"/>
      <ns0:c r="E317" s="454"/>
      <ns0:c r="F317" s="454"/>
      <ns0:c r="G317" s="986"/>
      <ns0:c r="H317" s="455"/>
      <ns0:c r="I317" s="456"/>
      <ns0:c r="J317" s="456"/>
      <ns0:c r="K317" s="986"/>
      <ns0:c r="L317" s="454"/>
      <ns0:c r="M317" s="439"/>
      <ns0:c r="N317" s="987" t="str">
        <ns0:f>IF(COUNTA($A317:$M317)=0,"",IF(OR(LEFT(LOWER(TRIM($F317&amp;"")),12)="subscription",LOWER(TRIM($F317&amp;""))="membership"),"",IF(OR(AND($H317&lt;&gt;"",$H317=0),LEFT(LOWER(TRIM($F317&amp;"")),9)="free game",LOWER(TRIM($F317&amp;""))="free",LOWER(TRIM($F317&amp;""))="free entry"),IF(ISNUMBER($G317),IF(ISNUMBER(SEARCH("non",LOWER($E317&amp;""))),$G317*0.85,$G317),"N/A"),IF($G317="","",IFERROR(IF(ISNUMBER(SEARCH("non",LOWER($E317&amp;""))),$G317*0.85,$G317),"")))))</ns0:f>
        <ns0:v/>
      </ns0:c>
      <ns0:c r="O317" s="987" t="str">
        <ns0:f>IF(COUNTA($A317:$M317)=0,"",IF(OR(LEFT(LOWER(TRIM($F317&amp;"")),12)="subscription",LOWER(TRIM($F317&amp;""))="membership"),"",IF(OR(AND($H317&lt;&gt;"",$H317=0),LEFT(LOWER(TRIM($F317&amp;"")),9)="free game",LOWER(TRIM($F317&amp;""))="free",LOWER(TRIM($F317&amp;""))="free entry"),IF(OR(NOT(ISNUMBER($N317)),NOT(ISNUMBER($I317)),$I317=0),"N/A",IFERROR($N317/$I317,"N/A")),IF(OR($N317="",$I317="",$I317=0),"",IFERROR($N317/$I317,"")))))</ns0:f>
        <ns0:v/>
      </ns0:c>
      <ns0:c r="P317" s="987">
        <ns0:f>IF(COUNTA($A317:$M317)=0,"",IF(OR(LEFT(LOWER(TRIM($F317&amp;"")),12)="subscription",LOWER(TRIM($F317&amp;""))="membership"),"",IF(LOWER(TRIM($D317&amp;""))="estimate","N/A",IF(LOWER($L317&amp;"")="yes",0,IF(OR(AND($H317&lt;&gt;"",$H317=0),LEFT(LOWER(TRIM($F317&amp;"")),9)="free game",LOWER(TRIM($F317&amp;""))="free",LOWER(TRIM($F317&amp;""))="free entry"),IF(ISNUMBER($K317),$K317,""),IF($K317&lt;&gt;"",$K317,""))))))</ns0:f>
      </ns0:c>
      <ns0:c r="Q317" s="114">
        <ns0:f>IF(COUNTA($A317:$M317)=0,"",IF(OR($U317="Subscription",$U317=""),"",IF($U317="Estimate","N/A",IF($U317="Profit",ROUND(IFERROR($P317,0)-IFERROR($H317,0),2),0))))</ns0:f>
      </ns0:c>
      <ns0:c r="R317" s="114">
        <ns0:f>IF(COUNTA($A317:$M317)=0,"",IF(OR($U317="Subscription",$U317=""),"",IF($U317="Estimate","N/A",IF($U317="Draw",$H317,0))))</ns0:f>
      </ns0:c>
      <ns0:c r="S317" s="114">
        <ns0:f>IF(COUNTA($A317:$M317)=0,"",IF(OR($U317="Subscription",$U317=""),"",IF($U317="Estimate","N/A",IF($U317="Disqualified",$H317,0))))</ns0:f>
      </ns0:c>
      <ns0:c r="T317" s="955">
        <ns0:f>IF(COUNTA($A317:$M317)=0,"",IF(OR($U317="Subscription",$U317=""),"",IF($U317="Estimate","N/A",IF(OR($U317="Free Game",$U317="Disqualified — Free Game",$H317=0),"N/A",IF($U317="Profit",$Q317/$H317,IF($U317="Disqualified",-$S317/$H317,0))))))</ns0:f>
      </ns0:c>
      <ns0:c r="U317" s="920">
        <ns0:f>IF(COUNTA($A317:$M317)=0,"",IF(OR(LEFT(LOWER(TRIM($F317&amp;"")),12)="subscription",LOWER(TRIM($F317&amp;""))="membership"),"Subscription",IF(LOWER(TRIM($D317&amp;""))="estimate","Estimate",IF(OR(AND($H317&lt;&gt;"",$H317=0),LEFT(LOWER(TRIM($F317&amp;"")),9)="free game",LOWER(TRIM($F317&amp;""))="free",LOWER(TRIM($F317&amp;""))="free entry"),IF(LOWER($L317&amp;"")="yes","Disqualified — Free Game","Free Game"),IF(LOWER($L317&amp;"")="yes","Disqualified",IF($P317="","",IF(ROUND(IFERROR(VALUE($P317),0)-IFERROR(VALUE($H317),0),2)&gt;0,"Profit","Draw")))))))</ns0:f>
      </ns0:c>
      <ns0:c r="V317" s="956" t="str">
        <ns0:f>IF(COUNTA($A317:$M317)=0,"",IF(OR($B317="",$C317="",$U317="Subscription"),"",IFERROR(ROUNDUP(($C317-$B317)/7,0),"")))</ns0:f>
      </ns0:c>
      <ns0:c r="W317" s="114">
        <ns0:f>IF(COUNTA($A317:$M317)=0,"",IF(OR($U317="Subscription",$U317=""),"",IF($U317="Estimate","N/A",IF(OR($U317="Free Game",$U317="Disqualified — Free Game"),0,ROUND(IFERROR($Q317,0)-IFERROR($S317,0),2)))))</ns0:f>
      </ns0:c>
      <ns0:c r="X317" s="956" t="str">
        <ns0:f>IF(COUNTA($A317:$M317)=0,"",IF(OR($U317="Subscription",NOT(ISNUMBER($J317)),NOT(ISNUMBER($I317)),$J317=0,$I317=0,$I317&gt;$J317),"",$J317-$I317))</ns0:f>
      </ns0:c>
      <ns0:c r="Y317" s="955" t="str">
        <ns0:f>IF(COUNTA($A317:$M317)=0,"",IF(OR($U317="Subscription",NOT(ISNUMBER($J317)),$J317=0,$X317=""),"",$X317/$J317))</ns0:f>
      </ns0:c>
      <ns0:c r="Z317" s="957" t="str">
        <ns0:f>IF(COUNTA($A317:$M317)=0,"",Instructions!$B$29+SUM($W$5:W317))</ns0:f>
      </ns0:c>
    </ns0:row>
    <ns0:row r="318" ht="36" customHeight="1">
      <ns0:c r="A318" s="439"/>
      <ns0:c r="B318" s="453"/>
      <ns0:c r="C318" s="453"/>
      <ns0:c r="D318" s="454"/>
      <ns0:c r="E318" s="454"/>
      <ns0:c r="F318" s="454"/>
      <ns0:c r="G318" s="986"/>
      <ns0:c r="H318" s="455"/>
      <ns0:c r="I318" s="456"/>
      <ns0:c r="J318" s="456"/>
      <ns0:c r="K318" s="986"/>
      <ns0:c r="L318" s="454"/>
      <ns0:c r="M318" s="439"/>
      <ns0:c r="N318" s="987" t="str">
        <ns0:f>IF(COUNTA($A318:$M318)=0,"",IF(OR(LEFT(LOWER(TRIM($F318&amp;"")),12)="subscription",LOWER(TRIM($F318&amp;""))="membership"),"",IF(OR(AND($H318&lt;&gt;"",$H318=0),LEFT(LOWER(TRIM($F318&amp;"")),9)="free game",LOWER(TRIM($F318&amp;""))="free",LOWER(TRIM($F318&amp;""))="free entry"),IF(ISNUMBER($G318),IF(ISNUMBER(SEARCH("non",LOWER($E318&amp;""))),$G318*0.85,$G318),"N/A"),IF($G318="","",IFERROR(IF(ISNUMBER(SEARCH("non",LOWER($E318&amp;""))),$G318*0.85,$G318),"")))))</ns0:f>
        <ns0:v/>
      </ns0:c>
      <ns0:c r="O318" s="987" t="str">
        <ns0:f>IF(COUNTA($A318:$M318)=0,"",IF(OR(LEFT(LOWER(TRIM($F318&amp;"")),12)="subscription",LOWER(TRIM($F318&amp;""))="membership"),"",IF(OR(AND($H318&lt;&gt;"",$H318=0),LEFT(LOWER(TRIM($F318&amp;"")),9)="free game",LOWER(TRIM($F318&amp;""))="free",LOWER(TRIM($F318&amp;""))="free entry"),IF(OR(NOT(ISNUMBER($N318)),NOT(ISNUMBER($I318)),$I318=0),"N/A",IFERROR($N318/$I318,"N/A")),IF(OR($N318="",$I318="",$I318=0),"",IFERROR($N318/$I318,"")))))</ns0:f>
        <ns0:v/>
      </ns0:c>
      <ns0:c r="P318" s="987">
        <ns0:f>IF(COUNTA($A318:$M318)=0,"",IF(OR(LEFT(LOWER(TRIM($F318&amp;"")),12)="subscription",LOWER(TRIM($F318&amp;""))="membership"),"",IF(LOWER(TRIM($D318&amp;""))="estimate","N/A",IF(LOWER($L318&amp;"")="yes",0,IF(OR(AND($H318&lt;&gt;"",$H318=0),LEFT(LOWER(TRIM($F318&amp;"")),9)="free game",LOWER(TRIM($F318&amp;""))="free",LOWER(TRIM($F318&amp;""))="free entry"),IF(ISNUMBER($K318),$K318,""),IF($K318&lt;&gt;"",$K318,""))))))</ns0:f>
      </ns0:c>
      <ns0:c r="Q318" s="114">
        <ns0:f>IF(COUNTA($A318:$M318)=0,"",IF(OR($U318="Subscription",$U318=""),"",IF($U318="Estimate","N/A",IF($U318="Profit",ROUND(IFERROR($P318,0)-IFERROR($H318,0),2),0))))</ns0:f>
      </ns0:c>
      <ns0:c r="R318" s="114">
        <ns0:f>IF(COUNTA($A318:$M318)=0,"",IF(OR($U318="Subscription",$U318=""),"",IF($U318="Estimate","N/A",IF($U318="Draw",$H318,0))))</ns0:f>
      </ns0:c>
      <ns0:c r="S318" s="114">
        <ns0:f>IF(COUNTA($A318:$M318)=0,"",IF(OR($U318="Subscription",$U318=""),"",IF($U318="Estimate","N/A",IF($U318="Disqualified",$H318,0))))</ns0:f>
      </ns0:c>
      <ns0:c r="T318" s="955">
        <ns0:f>IF(COUNTA($A318:$M318)=0,"",IF(OR($U318="Subscription",$U318=""),"",IF($U318="Estimate","N/A",IF(OR($U318="Free Game",$U318="Disqualified — Free Game",$H318=0),"N/A",IF($U318="Profit",$Q318/$H318,IF($U318="Disqualified",-$S318/$H318,0))))))</ns0:f>
      </ns0:c>
      <ns0:c r="U318" s="920">
        <ns0:f>IF(COUNTA($A318:$M318)=0,"",IF(OR(LEFT(LOWER(TRIM($F318&amp;"")),12)="subscription",LOWER(TRIM($F318&amp;""))="membership"),"Subscription",IF(LOWER(TRIM($D318&amp;""))="estimate","Estimate",IF(OR(AND($H318&lt;&gt;"",$H318=0),LEFT(LOWER(TRIM($F318&amp;"")),9)="free game",LOWER(TRIM($F318&amp;""))="free",LOWER(TRIM($F318&amp;""))="free entry"),IF(LOWER($L318&amp;"")="yes","Disqualified — Free Game","Free Game"),IF(LOWER($L318&amp;"")="yes","Disqualified",IF($P318="","",IF(ROUND(IFERROR(VALUE($P318),0)-IFERROR(VALUE($H318),0),2)&gt;0,"Profit","Draw")))))))</ns0:f>
      </ns0:c>
      <ns0:c r="V318" s="956" t="str">
        <ns0:f>IF(COUNTA($A318:$M318)=0,"",IF(OR($B318="",$C318="",$U318="Subscription"),"",IFERROR(ROUNDUP(($C318-$B318)/7,0),"")))</ns0:f>
      </ns0:c>
      <ns0:c r="W318" s="114">
        <ns0:f>IF(COUNTA($A318:$M318)=0,"",IF(OR($U318="Subscription",$U318=""),"",IF($U318="Estimate","N/A",IF(OR($U318="Free Game",$U318="Disqualified — Free Game"),0,ROUND(IFERROR($Q318,0)-IFERROR($S318,0),2)))))</ns0:f>
      </ns0:c>
      <ns0:c r="X318" s="956" t="str">
        <ns0:f>IF(COUNTA($A318:$M318)=0,"",IF(OR($U318="Subscription",NOT(ISNUMBER($J318)),NOT(ISNUMBER($I318)),$J318=0,$I318=0,$I318&gt;$J318),"",$J318-$I318))</ns0:f>
      </ns0:c>
      <ns0:c r="Y318" s="955" t="str">
        <ns0:f>IF(COUNTA($A318:$M318)=0,"",IF(OR($U318="Subscription",NOT(ISNUMBER($J318)),$J318=0,$X318=""),"",$X318/$J318))</ns0:f>
      </ns0:c>
      <ns0:c r="Z318" s="957" t="str">
        <ns0:f>IF(COUNTA($A318:$M318)=0,"",Instructions!$B$29+SUM($W$5:W318))</ns0:f>
      </ns0:c>
    </ns0:row>
    <ns0:row r="319" ht="36" customHeight="1">
      <ns0:c r="A319" s="439"/>
      <ns0:c r="B319" s="453"/>
      <ns0:c r="C319" s="453"/>
      <ns0:c r="D319" s="454"/>
      <ns0:c r="E319" s="454"/>
      <ns0:c r="F319" s="454"/>
      <ns0:c r="G319" s="986"/>
      <ns0:c r="H319" s="455"/>
      <ns0:c r="I319" s="456"/>
      <ns0:c r="J319" s="456"/>
      <ns0:c r="K319" s="986"/>
      <ns0:c r="L319" s="454"/>
      <ns0:c r="M319" s="439"/>
      <ns0:c r="N319" s="987" t="str">
        <ns0:f>IF(COUNTA($A319:$M319)=0,"",IF(OR(LEFT(LOWER(TRIM($F319&amp;"")),12)="subscription",LOWER(TRIM($F319&amp;""))="membership"),"",IF(OR(AND($H319&lt;&gt;"",$H319=0),LEFT(LOWER(TRIM($F319&amp;"")),9)="free game",LOWER(TRIM($F319&amp;""))="free",LOWER(TRIM($F319&amp;""))="free entry"),IF(ISNUMBER($G319),IF(ISNUMBER(SEARCH("non",LOWER($E319&amp;""))),$G319*0.85,$G319),"N/A"),IF($G319="","",IFERROR(IF(ISNUMBER(SEARCH("non",LOWER($E319&amp;""))),$G319*0.85,$G319),"")))))</ns0:f>
        <ns0:v/>
      </ns0:c>
      <ns0:c r="O319" s="987" t="str">
        <ns0:f>IF(COUNTA($A319:$M319)=0,"",IF(OR(LEFT(LOWER(TRIM($F319&amp;"")),12)="subscription",LOWER(TRIM($F319&amp;""))="membership"),"",IF(OR(AND($H319&lt;&gt;"",$H319=0),LEFT(LOWER(TRIM($F319&amp;"")),9)="free game",LOWER(TRIM($F319&amp;""))="free",LOWER(TRIM($F319&amp;""))="free entry"),IF(OR(NOT(ISNUMBER($N319)),NOT(ISNUMBER($I319)),$I319=0),"N/A",IFERROR($N319/$I319,"N/A")),IF(OR($N319="",$I319="",$I319=0),"",IFERROR($N319/$I319,"")))))</ns0:f>
        <ns0:v/>
      </ns0:c>
      <ns0:c r="P319" s="987">
        <ns0:f>IF(COUNTA($A319:$M319)=0,"",IF(OR(LEFT(LOWER(TRIM($F319&amp;"")),12)="subscription",LOWER(TRIM($F319&amp;""))="membership"),"",IF(LOWER(TRIM($D319&amp;""))="estimate","N/A",IF(LOWER($L319&amp;"")="yes",0,IF(OR(AND($H319&lt;&gt;"",$H319=0),LEFT(LOWER(TRIM($F319&amp;"")),9)="free game",LOWER(TRIM($F319&amp;""))="free",LOWER(TRIM($F319&amp;""))="free entry"),IF(ISNUMBER($K319),$K319,""),IF($K319&lt;&gt;"",$K319,""))))))</ns0:f>
      </ns0:c>
      <ns0:c r="Q319" s="114">
        <ns0:f>IF(COUNTA($A319:$M319)=0,"",IF(OR($U319="Subscription",$U319=""),"",IF($U319="Estimate","N/A",IF($U319="Profit",ROUND(IFERROR($P319,0)-IFERROR($H319,0),2),0))))</ns0:f>
      </ns0:c>
      <ns0:c r="R319" s="114">
        <ns0:f>IF(COUNTA($A319:$M319)=0,"",IF(OR($U319="Subscription",$U319=""),"",IF($U319="Estimate","N/A",IF($U319="Draw",$H319,0))))</ns0:f>
      </ns0:c>
      <ns0:c r="S319" s="114">
        <ns0:f>IF(COUNTA($A319:$M319)=0,"",IF(OR($U319="Subscription",$U319=""),"",IF($U319="Estimate","N/A",IF($U319="Disqualified",$H319,0))))</ns0:f>
      </ns0:c>
      <ns0:c r="T319" s="955">
        <ns0:f>IF(COUNTA($A319:$M319)=0,"",IF(OR($U319="Subscription",$U319=""),"",IF($U319="Estimate","N/A",IF(OR($U319="Free Game",$U319="Disqualified — Free Game",$H319=0),"N/A",IF($U319="Profit",$Q319/$H319,IF($U319="Disqualified",-$S319/$H319,0))))))</ns0:f>
      </ns0:c>
      <ns0:c r="U319" s="920">
        <ns0:f>IF(COUNTA($A319:$M319)=0,"",IF(OR(LEFT(LOWER(TRIM($F319&amp;"")),12)="subscription",LOWER(TRIM($F319&amp;""))="membership"),"Subscription",IF(LOWER(TRIM($D319&amp;""))="estimate","Estimate",IF(OR(AND($H319&lt;&gt;"",$H319=0),LEFT(LOWER(TRIM($F319&amp;"")),9)="free game",LOWER(TRIM($F319&amp;""))="free",LOWER(TRIM($F319&amp;""))="free entry"),IF(LOWER($L319&amp;"")="yes","Disqualified — Free Game","Free Game"),IF(LOWER($L319&amp;"")="yes","Disqualified",IF($P319="","",IF(ROUND(IFERROR(VALUE($P319),0)-IFERROR(VALUE($H319),0),2)&gt;0,"Profit","Draw")))))))</ns0:f>
      </ns0:c>
      <ns0:c r="V319" s="956" t="str">
        <ns0:f>IF(COUNTA($A319:$M319)=0,"",IF(OR($B319="",$C319="",$U319="Subscription"),"",IFERROR(ROUNDUP(($C319-$B319)/7,0),"")))</ns0:f>
      </ns0:c>
      <ns0:c r="W319" s="114">
        <ns0:f>IF(COUNTA($A319:$M319)=0,"",IF(OR($U319="Subscription",$U319=""),"",IF($U319="Estimate","N/A",IF(OR($U319="Free Game",$U319="Disqualified — Free Game"),0,ROUND(IFERROR($Q319,0)-IFERROR($S319,0),2)))))</ns0:f>
      </ns0:c>
      <ns0:c r="X319" s="956" t="str">
        <ns0:f>IF(COUNTA($A319:$M319)=0,"",IF(OR($U319="Subscription",NOT(ISNUMBER($J319)),NOT(ISNUMBER($I319)),$J319=0,$I319=0,$I319&gt;$J319),"",$J319-$I319))</ns0:f>
      </ns0:c>
      <ns0:c r="Y319" s="955" t="str">
        <ns0:f>IF(COUNTA($A319:$M319)=0,"",IF(OR($U319="Subscription",NOT(ISNUMBER($J319)),$J319=0,$X319=""),"",$X319/$J319))</ns0:f>
      </ns0:c>
      <ns0:c r="Z319" s="957" t="str">
        <ns0:f>IF(COUNTA($A319:$M319)=0,"",Instructions!$B$29+SUM($W$5:W319))</ns0:f>
      </ns0:c>
    </ns0:row>
    <ns0:row r="320" ht="36" customHeight="1">
      <ns0:c r="A320" s="439"/>
      <ns0:c r="B320" s="453"/>
      <ns0:c r="C320" s="453"/>
      <ns0:c r="D320" s="454"/>
      <ns0:c r="E320" s="454"/>
      <ns0:c r="F320" s="454"/>
      <ns0:c r="G320" s="986"/>
      <ns0:c r="H320" s="455"/>
      <ns0:c r="I320" s="456"/>
      <ns0:c r="J320" s="456"/>
      <ns0:c r="K320" s="986"/>
      <ns0:c r="L320" s="454"/>
      <ns0:c r="M320" s="439"/>
      <ns0:c r="N320" s="987" t="str">
        <ns0:f>IF(COUNTA($A320:$M320)=0,"",IF(OR(LEFT(LOWER(TRIM($F320&amp;"")),12)="subscription",LOWER(TRIM($F320&amp;""))="membership"),"",IF(OR(AND($H320&lt;&gt;"",$H320=0),LEFT(LOWER(TRIM($F320&amp;"")),9)="free game",LOWER(TRIM($F320&amp;""))="free",LOWER(TRIM($F320&amp;""))="free entry"),IF(ISNUMBER($G320),IF(ISNUMBER(SEARCH("non",LOWER($E320&amp;""))),$G320*0.85,$G320),"N/A"),IF($G320="","",IFERROR(IF(ISNUMBER(SEARCH("non",LOWER($E320&amp;""))),$G320*0.85,$G320),"")))))</ns0:f>
        <ns0:v/>
      </ns0:c>
      <ns0:c r="O320" s="987" t="str">
        <ns0:f>IF(COUNTA($A320:$M320)=0,"",IF(OR(LEFT(LOWER(TRIM($F320&amp;"")),12)="subscription",LOWER(TRIM($F320&amp;""))="membership"),"",IF(OR(AND($H320&lt;&gt;"",$H320=0),LEFT(LOWER(TRIM($F320&amp;"")),9)="free game",LOWER(TRIM($F320&amp;""))="free",LOWER(TRIM($F320&amp;""))="free entry"),IF(OR(NOT(ISNUMBER($N320)),NOT(ISNUMBER($I320)),$I320=0),"N/A",IFERROR($N320/$I320,"N/A")),IF(OR($N320="",$I320="",$I320=0),"",IFERROR($N320/$I320,"")))))</ns0:f>
        <ns0:v/>
      </ns0:c>
      <ns0:c r="P320" s="987">
        <ns0:f>IF(COUNTA($A320:$M320)=0,"",IF(OR(LEFT(LOWER(TRIM($F320&amp;"")),12)="subscription",LOWER(TRIM($F320&amp;""))="membership"),"",IF(LOWER(TRIM($D320&amp;""))="estimate","N/A",IF(LOWER($L320&amp;"")="yes",0,IF(OR(AND($H320&lt;&gt;"",$H320=0),LEFT(LOWER(TRIM($F320&amp;"")),9)="free game",LOWER(TRIM($F320&amp;""))="free",LOWER(TRIM($F320&amp;""))="free entry"),IF(ISNUMBER($K320),$K320,""),IF($K320&lt;&gt;"",$K320,""))))))</ns0:f>
      </ns0:c>
      <ns0:c r="Q320" s="114">
        <ns0:f>IF(COUNTA($A320:$M320)=0,"",IF(OR($U320="Subscription",$U320=""),"",IF($U320="Estimate","N/A",IF($U320="Profit",ROUND(IFERROR($P320,0)-IFERROR($H320,0),2),0))))</ns0:f>
      </ns0:c>
      <ns0:c r="R320" s="114">
        <ns0:f>IF(COUNTA($A320:$M320)=0,"",IF(OR($U320="Subscription",$U320=""),"",IF($U320="Estimate","N/A",IF($U320="Draw",$H320,0))))</ns0:f>
      </ns0:c>
      <ns0:c r="S320" s="114">
        <ns0:f>IF(COUNTA($A320:$M320)=0,"",IF(OR($U320="Subscription",$U320=""),"",IF($U320="Estimate","N/A",IF($U320="Disqualified",$H320,0))))</ns0:f>
      </ns0:c>
      <ns0:c r="T320" s="955">
        <ns0:f>IF(COUNTA($A320:$M320)=0,"",IF(OR($U320="Subscription",$U320=""),"",IF($U320="Estimate","N/A",IF(OR($U320="Free Game",$U320="Disqualified — Free Game",$H320=0),"N/A",IF($U320="Profit",$Q320/$H320,IF($U320="Disqualified",-$S320/$H320,0))))))</ns0:f>
      </ns0:c>
      <ns0:c r="U320" s="920">
        <ns0:f>IF(COUNTA($A320:$M320)=0,"",IF(OR(LEFT(LOWER(TRIM($F320&amp;"")),12)="subscription",LOWER(TRIM($F320&amp;""))="membership"),"Subscription",IF(LOWER(TRIM($D320&amp;""))="estimate","Estimate",IF(OR(AND($H320&lt;&gt;"",$H320=0),LEFT(LOWER(TRIM($F320&amp;"")),9)="free game",LOWER(TRIM($F320&amp;""))="free",LOWER(TRIM($F320&amp;""))="free entry"),IF(LOWER($L320&amp;"")="yes","Disqualified — Free Game","Free Game"),IF(LOWER($L320&amp;"")="yes","Disqualified",IF($P320="","",IF(ROUND(IFERROR(VALUE($P320),0)-IFERROR(VALUE($H320),0),2)&gt;0,"Profit","Draw")))))))</ns0:f>
      </ns0:c>
      <ns0:c r="V320" s="956" t="str">
        <ns0:f>IF(COUNTA($A320:$M320)=0,"",IF(OR($B320="",$C320="",$U320="Subscription"),"",IFERROR(ROUNDUP(($C320-$B320)/7,0),"")))</ns0:f>
      </ns0:c>
      <ns0:c r="W320" s="114">
        <ns0:f>IF(COUNTA($A320:$M320)=0,"",IF(OR($U320="Subscription",$U320=""),"",IF($U320="Estimate","N/A",IF(OR($U320="Free Game",$U320="Disqualified — Free Game"),0,ROUND(IFERROR($Q320,0)-IFERROR($S320,0),2)))))</ns0:f>
      </ns0:c>
      <ns0:c r="X320" s="956" t="str">
        <ns0:f>IF(COUNTA($A320:$M320)=0,"",IF(OR($U320="Subscription",NOT(ISNUMBER($J320)),NOT(ISNUMBER($I320)),$J320=0,$I320=0,$I320&gt;$J320),"",$J320-$I320))</ns0:f>
      </ns0:c>
      <ns0:c r="Y320" s="955" t="str">
        <ns0:f>IF(COUNTA($A320:$M320)=0,"",IF(OR($U320="Subscription",NOT(ISNUMBER($J320)),$J320=0,$X320=""),"",$X320/$J320))</ns0:f>
      </ns0:c>
      <ns0:c r="Z320" s="957" t="str">
        <ns0:f>IF(COUNTA($A320:$M320)=0,"",Instructions!$B$29+SUM($W$5:W320))</ns0:f>
      </ns0:c>
    </ns0:row>
    <ns0:row r="321" ht="36" customHeight="1">
      <ns0:c r="A321" s="439"/>
      <ns0:c r="B321" s="453"/>
      <ns0:c r="C321" s="453"/>
      <ns0:c r="D321" s="454"/>
      <ns0:c r="E321" s="454"/>
      <ns0:c r="F321" s="454"/>
      <ns0:c r="G321" s="986"/>
      <ns0:c r="H321" s="455"/>
      <ns0:c r="I321" s="456"/>
      <ns0:c r="J321" s="456"/>
      <ns0:c r="K321" s="986"/>
      <ns0:c r="L321" s="454"/>
      <ns0:c r="M321" s="439"/>
      <ns0:c r="N321" s="987" t="str">
        <ns0:f>IF(COUNTA($A321:$M321)=0,"",IF(OR(LEFT(LOWER(TRIM($F321&amp;"")),12)="subscription",LOWER(TRIM($F321&amp;""))="membership"),"",IF(OR(AND($H321&lt;&gt;"",$H321=0),LEFT(LOWER(TRIM($F321&amp;"")),9)="free game",LOWER(TRIM($F321&amp;""))="free",LOWER(TRIM($F321&amp;""))="free entry"),IF(ISNUMBER($G321),IF(ISNUMBER(SEARCH("non",LOWER($E321&amp;""))),$G321*0.85,$G321),"N/A"),IF($G321="","",IFERROR(IF(ISNUMBER(SEARCH("non",LOWER($E321&amp;""))),$G321*0.85,$G321),"")))))</ns0:f>
        <ns0:v/>
      </ns0:c>
      <ns0:c r="O321" s="987" t="str">
        <ns0:f>IF(COUNTA($A321:$M321)=0,"",IF(OR(LEFT(LOWER(TRIM($F321&amp;"")),12)="subscription",LOWER(TRIM($F321&amp;""))="membership"),"",IF(OR(AND($H321&lt;&gt;"",$H321=0),LEFT(LOWER(TRIM($F321&amp;"")),9)="free game",LOWER(TRIM($F321&amp;""))="free",LOWER(TRIM($F321&amp;""))="free entry"),IF(OR(NOT(ISNUMBER($N321)),NOT(ISNUMBER($I321)),$I321=0),"N/A",IFERROR($N321/$I321,"N/A")),IF(OR($N321="",$I321="",$I321=0),"",IFERROR($N321/$I321,"")))))</ns0:f>
        <ns0:v/>
      </ns0:c>
      <ns0:c r="P321" s="987">
        <ns0:f>IF(COUNTA($A321:$M321)=0,"",IF(OR(LEFT(LOWER(TRIM($F321&amp;"")),12)="subscription",LOWER(TRIM($F321&amp;""))="membership"),"",IF(LOWER(TRIM($D321&amp;""))="estimate","N/A",IF(LOWER($L321&amp;"")="yes",0,IF(OR(AND($H321&lt;&gt;"",$H321=0),LEFT(LOWER(TRIM($F321&amp;"")),9)="free game",LOWER(TRIM($F321&amp;""))="free",LOWER(TRIM($F321&amp;""))="free entry"),IF(ISNUMBER($K321),$K321,""),IF($K321&lt;&gt;"",$K321,""))))))</ns0:f>
      </ns0:c>
      <ns0:c r="Q321" s="114">
        <ns0:f>IF(COUNTA($A321:$M321)=0,"",IF(OR($U321="Subscription",$U321=""),"",IF($U321="Estimate","N/A",IF($U321="Profit",ROUND(IFERROR($P321,0)-IFERROR($H321,0),2),0))))</ns0:f>
      </ns0:c>
      <ns0:c r="R321" s="114">
        <ns0:f>IF(COUNTA($A321:$M321)=0,"",IF(OR($U321="Subscription",$U321=""),"",IF($U321="Estimate","N/A",IF($U321="Draw",$H321,0))))</ns0:f>
      </ns0:c>
      <ns0:c r="S321" s="114">
        <ns0:f>IF(COUNTA($A321:$M321)=0,"",IF(OR($U321="Subscription",$U321=""),"",IF($U321="Estimate","N/A",IF($U321="Disqualified",$H321,0))))</ns0:f>
      </ns0:c>
      <ns0:c r="T321" s="955">
        <ns0:f>IF(COUNTA($A321:$M321)=0,"",IF(OR($U321="Subscription",$U321=""),"",IF($U321="Estimate","N/A",IF(OR($U321="Free Game",$U321="Disqualified — Free Game",$H321=0),"N/A",IF($U321="Profit",$Q321/$H321,IF($U321="Disqualified",-$S321/$H321,0))))))</ns0:f>
      </ns0:c>
      <ns0:c r="U321" s="920">
        <ns0:f>IF(COUNTA($A321:$M321)=0,"",IF(OR(LEFT(LOWER(TRIM($F321&amp;"")),12)="subscription",LOWER(TRIM($F321&amp;""))="membership"),"Subscription",IF(LOWER(TRIM($D321&amp;""))="estimate","Estimate",IF(OR(AND($H321&lt;&gt;"",$H321=0),LEFT(LOWER(TRIM($F321&amp;"")),9)="free game",LOWER(TRIM($F321&amp;""))="free",LOWER(TRIM($F321&amp;""))="free entry"),IF(LOWER($L321&amp;"")="yes","Disqualified — Free Game","Free Game"),IF(LOWER($L321&amp;"")="yes","Disqualified",IF($P321="","",IF(ROUND(IFERROR(VALUE($P321),0)-IFERROR(VALUE($H321),0),2)&gt;0,"Profit","Draw")))))))</ns0:f>
      </ns0:c>
      <ns0:c r="V321" s="956" t="str">
        <ns0:f>IF(COUNTA($A321:$M321)=0,"",IF(OR($B321="",$C321="",$U321="Subscription"),"",IFERROR(ROUNDUP(($C321-$B321)/7,0),"")))</ns0:f>
      </ns0:c>
      <ns0:c r="W321" s="114">
        <ns0:f>IF(COUNTA($A321:$M321)=0,"",IF(OR($U321="Subscription",$U321=""),"",IF($U321="Estimate","N/A",IF(OR($U321="Free Game",$U321="Disqualified — Free Game"),0,ROUND(IFERROR($Q321,0)-IFERROR($S321,0),2)))))</ns0:f>
      </ns0:c>
      <ns0:c r="X321" s="956" t="str">
        <ns0:f>IF(COUNTA($A321:$M321)=0,"",IF(OR($U321="Subscription",NOT(ISNUMBER($J321)),NOT(ISNUMBER($I321)),$J321=0,$I321=0,$I321&gt;$J321),"",$J321-$I321))</ns0:f>
      </ns0:c>
      <ns0:c r="Y321" s="955" t="str">
        <ns0:f>IF(COUNTA($A321:$M321)=0,"",IF(OR($U321="Subscription",NOT(ISNUMBER($J321)),$J321=0,$X321=""),"",$X321/$J321))</ns0:f>
      </ns0:c>
      <ns0:c r="Z321" s="957" t="str">
        <ns0:f>IF(COUNTA($A321:$M321)=0,"",Instructions!$B$29+SUM($W$5:W321))</ns0:f>
      </ns0:c>
    </ns0:row>
    <ns0:row r="322" ht="36" customHeight="1">
      <ns0:c r="A322" s="439"/>
      <ns0:c r="B322" s="453"/>
      <ns0:c r="C322" s="453"/>
      <ns0:c r="D322" s="454"/>
      <ns0:c r="E322" s="454"/>
      <ns0:c r="F322" s="454"/>
      <ns0:c r="G322" s="986"/>
      <ns0:c r="H322" s="455"/>
      <ns0:c r="I322" s="456"/>
      <ns0:c r="J322" s="456"/>
      <ns0:c r="K322" s="986"/>
      <ns0:c r="L322" s="454"/>
      <ns0:c r="M322" s="439"/>
      <ns0:c r="N322" s="987" t="str">
        <ns0:f>IF(COUNTA($A322:$M322)=0,"",IF(OR(LEFT(LOWER(TRIM($F322&amp;"")),12)="subscription",LOWER(TRIM($F322&amp;""))="membership"),"",IF(OR(AND($H322&lt;&gt;"",$H322=0),LEFT(LOWER(TRIM($F322&amp;"")),9)="free game",LOWER(TRIM($F322&amp;""))="free",LOWER(TRIM($F322&amp;""))="free entry"),IF(ISNUMBER($G322),IF(ISNUMBER(SEARCH("non",LOWER($E322&amp;""))),$G322*0.85,$G322),"N/A"),IF($G322="","",IFERROR(IF(ISNUMBER(SEARCH("non",LOWER($E322&amp;""))),$G322*0.85,$G322),"")))))</ns0:f>
        <ns0:v/>
      </ns0:c>
      <ns0:c r="O322" s="987" t="str">
        <ns0:f>IF(COUNTA($A322:$M322)=0,"",IF(OR(LEFT(LOWER(TRIM($F322&amp;"")),12)="subscription",LOWER(TRIM($F322&amp;""))="membership"),"",IF(OR(AND($H322&lt;&gt;"",$H322=0),LEFT(LOWER(TRIM($F322&amp;"")),9)="free game",LOWER(TRIM($F322&amp;""))="free",LOWER(TRIM($F322&amp;""))="free entry"),IF(OR(NOT(ISNUMBER($N322)),NOT(ISNUMBER($I322)),$I322=0),"N/A",IFERROR($N322/$I322,"N/A")),IF(OR($N322="",$I322="",$I322=0),"",IFERROR($N322/$I322,"")))))</ns0:f>
        <ns0:v/>
      </ns0:c>
      <ns0:c r="P322" s="987">
        <ns0:f>IF(COUNTA($A322:$M322)=0,"",IF(OR(LEFT(LOWER(TRIM($F322&amp;"")),12)="subscription",LOWER(TRIM($F322&amp;""))="membership"),"",IF(LOWER(TRIM($D322&amp;""))="estimate","N/A",IF(LOWER($L322&amp;"")="yes",0,IF(OR(AND($H322&lt;&gt;"",$H322=0),LEFT(LOWER(TRIM($F322&amp;"")),9)="free game",LOWER(TRIM($F322&amp;""))="free",LOWER(TRIM($F322&amp;""))="free entry"),IF(ISNUMBER($K322),$K322,""),IF($K322&lt;&gt;"",$K322,""))))))</ns0:f>
      </ns0:c>
      <ns0:c r="Q322" s="114">
        <ns0:f>IF(COUNTA($A322:$M322)=0,"",IF(OR($U322="Subscription",$U322=""),"",IF($U322="Estimate","N/A",IF($U322="Profit",ROUND(IFERROR($P322,0)-IFERROR($H322,0),2),0))))</ns0:f>
      </ns0:c>
      <ns0:c r="R322" s="114">
        <ns0:f>IF(COUNTA($A322:$M322)=0,"",IF(OR($U322="Subscription",$U322=""),"",IF($U322="Estimate","N/A",IF($U322="Draw",$H322,0))))</ns0:f>
      </ns0:c>
      <ns0:c r="S322" s="114">
        <ns0:f>IF(COUNTA($A322:$M322)=0,"",IF(OR($U322="Subscription",$U322=""),"",IF($U322="Estimate","N/A",IF($U322="Disqualified",$H322,0))))</ns0:f>
      </ns0:c>
      <ns0:c r="T322" s="955">
        <ns0:f>IF(COUNTA($A322:$M322)=0,"",IF(OR($U322="Subscription",$U322=""),"",IF($U322="Estimate","N/A",IF(OR($U322="Free Game",$U322="Disqualified — Free Game",$H322=0),"N/A",IF($U322="Profit",$Q322/$H322,IF($U322="Disqualified",-$S322/$H322,0))))))</ns0:f>
      </ns0:c>
      <ns0:c r="U322" s="920">
        <ns0:f>IF(COUNTA($A322:$M322)=0,"",IF(OR(LEFT(LOWER(TRIM($F322&amp;"")),12)="subscription",LOWER(TRIM($F322&amp;""))="membership"),"Subscription",IF(LOWER(TRIM($D322&amp;""))="estimate","Estimate",IF(OR(AND($H322&lt;&gt;"",$H322=0),LEFT(LOWER(TRIM($F322&amp;"")),9)="free game",LOWER(TRIM($F322&amp;""))="free",LOWER(TRIM($F322&amp;""))="free entry"),IF(LOWER($L322&amp;"")="yes","Disqualified — Free Game","Free Game"),IF(LOWER($L322&amp;"")="yes","Disqualified",IF($P322="","",IF(ROUND(IFERROR(VALUE($P322),0)-IFERROR(VALUE($H322),0),2)&gt;0,"Profit","Draw")))))))</ns0:f>
      </ns0:c>
      <ns0:c r="V322" s="956" t="str">
        <ns0:f>IF(COUNTA($A322:$M322)=0,"",IF(OR($B322="",$C322="",$U322="Subscription"),"",IFERROR(ROUNDUP(($C322-$B322)/7,0),"")))</ns0:f>
      </ns0:c>
      <ns0:c r="W322" s="114">
        <ns0:f>IF(COUNTA($A322:$M322)=0,"",IF(OR($U322="Subscription",$U322=""),"",IF($U322="Estimate","N/A",IF(OR($U322="Free Game",$U322="Disqualified — Free Game"),0,ROUND(IFERROR($Q322,0)-IFERROR($S322,0),2)))))</ns0:f>
      </ns0:c>
      <ns0:c r="X322" s="956" t="str">
        <ns0:f>IF(COUNTA($A322:$M322)=0,"",IF(OR($U322="Subscription",NOT(ISNUMBER($J322)),NOT(ISNUMBER($I322)),$J322=0,$I322=0,$I322&gt;$J322),"",$J322-$I322))</ns0:f>
      </ns0:c>
      <ns0:c r="Y322" s="955" t="str">
        <ns0:f>IF(COUNTA($A322:$M322)=0,"",IF(OR($U322="Subscription",NOT(ISNUMBER($J322)),$J322=0,$X322=""),"",$X322/$J322))</ns0:f>
      </ns0:c>
      <ns0:c r="Z322" s="957" t="str">
        <ns0:f>IF(COUNTA($A322:$M322)=0,"",Instructions!$B$29+SUM($W$5:W322))</ns0:f>
      </ns0:c>
    </ns0:row>
    <ns0:row r="323" ht="36" customHeight="1">
      <ns0:c r="A323" s="439"/>
      <ns0:c r="B323" s="453"/>
      <ns0:c r="C323" s="453"/>
      <ns0:c r="D323" s="454"/>
      <ns0:c r="E323" s="454"/>
      <ns0:c r="F323" s="454"/>
      <ns0:c r="G323" s="986"/>
      <ns0:c r="H323" s="455"/>
      <ns0:c r="I323" s="456"/>
      <ns0:c r="J323" s="456"/>
      <ns0:c r="K323" s="986"/>
      <ns0:c r="L323" s="454"/>
      <ns0:c r="M323" s="439"/>
      <ns0:c r="N323" s="987" t="str">
        <ns0:f>IF(COUNTA($A323:$M323)=0,"",IF(OR(LEFT(LOWER(TRIM($F323&amp;"")),12)="subscription",LOWER(TRIM($F323&amp;""))="membership"),"",IF(OR(AND($H323&lt;&gt;"",$H323=0),LEFT(LOWER(TRIM($F323&amp;"")),9)="free game",LOWER(TRIM($F323&amp;""))="free",LOWER(TRIM($F323&amp;""))="free entry"),IF(ISNUMBER($G323),IF(ISNUMBER(SEARCH("non",LOWER($E323&amp;""))),$G323*0.85,$G323),"N/A"),IF($G323="","",IFERROR(IF(ISNUMBER(SEARCH("non",LOWER($E323&amp;""))),$G323*0.85,$G323),"")))))</ns0:f>
        <ns0:v/>
      </ns0:c>
      <ns0:c r="O323" s="987" t="str">
        <ns0:f>IF(COUNTA($A323:$M323)=0,"",IF(OR(LEFT(LOWER(TRIM($F323&amp;"")),12)="subscription",LOWER(TRIM($F323&amp;""))="membership"),"",IF(OR(AND($H323&lt;&gt;"",$H323=0),LEFT(LOWER(TRIM($F323&amp;"")),9)="free game",LOWER(TRIM($F323&amp;""))="free",LOWER(TRIM($F323&amp;""))="free entry"),IF(OR(NOT(ISNUMBER($N323)),NOT(ISNUMBER($I323)),$I323=0),"N/A",IFERROR($N323/$I323,"N/A")),IF(OR($N323="",$I323="",$I323=0),"",IFERROR($N323/$I323,"")))))</ns0:f>
        <ns0:v/>
      </ns0:c>
      <ns0:c r="P323" s="987">
        <ns0:f>IF(COUNTA($A323:$M323)=0,"",IF(OR(LEFT(LOWER(TRIM($F323&amp;"")),12)="subscription",LOWER(TRIM($F323&amp;""))="membership"),"",IF(LOWER(TRIM($D323&amp;""))="estimate","N/A",IF(LOWER($L323&amp;"")="yes",0,IF(OR(AND($H323&lt;&gt;"",$H323=0),LEFT(LOWER(TRIM($F323&amp;"")),9)="free game",LOWER(TRIM($F323&amp;""))="free",LOWER(TRIM($F323&amp;""))="free entry"),IF(ISNUMBER($K323),$K323,""),IF($K323&lt;&gt;"",$K323,""))))))</ns0:f>
      </ns0:c>
      <ns0:c r="Q323" s="114">
        <ns0:f>IF(COUNTA($A323:$M323)=0,"",IF(OR($U323="Subscription",$U323=""),"",IF($U323="Estimate","N/A",IF($U323="Profit",ROUND(IFERROR($P323,0)-IFERROR($H323,0),2),0))))</ns0:f>
      </ns0:c>
      <ns0:c r="R323" s="114">
        <ns0:f>IF(COUNTA($A323:$M323)=0,"",IF(OR($U323="Subscription",$U323=""),"",IF($U323="Estimate","N/A",IF($U323="Draw",$H323,0))))</ns0:f>
      </ns0:c>
      <ns0:c r="S323" s="114">
        <ns0:f>IF(COUNTA($A323:$M323)=0,"",IF(OR($U323="Subscription",$U323=""),"",IF($U323="Estimate","N/A",IF($U323="Disqualified",$H323,0))))</ns0:f>
      </ns0:c>
      <ns0:c r="T323" s="955">
        <ns0:f>IF(COUNTA($A323:$M323)=0,"",IF(OR($U323="Subscription",$U323=""),"",IF($U323="Estimate","N/A",IF(OR($U323="Free Game",$U323="Disqualified — Free Game",$H323=0),"N/A",IF($U323="Profit",$Q323/$H323,IF($U323="Disqualified",-$S323/$H323,0))))))</ns0:f>
      </ns0:c>
      <ns0:c r="U323" s="920">
        <ns0:f>IF(COUNTA($A323:$M323)=0,"",IF(OR(LEFT(LOWER(TRIM($F323&amp;"")),12)="subscription",LOWER(TRIM($F323&amp;""))="membership"),"Subscription",IF(LOWER(TRIM($D323&amp;""))="estimate","Estimate",IF(OR(AND($H323&lt;&gt;"",$H323=0),LEFT(LOWER(TRIM($F323&amp;"")),9)="free game",LOWER(TRIM($F323&amp;""))="free",LOWER(TRIM($F323&amp;""))="free entry"),IF(LOWER($L323&amp;"")="yes","Disqualified — Free Game","Free Game"),IF(LOWER($L323&amp;"")="yes","Disqualified",IF($P323="","",IF(ROUND(IFERROR(VALUE($P323),0)-IFERROR(VALUE($H323),0),2)&gt;0,"Profit","Draw")))))))</ns0:f>
      </ns0:c>
      <ns0:c r="V323" s="956" t="str">
        <ns0:f>IF(COUNTA($A323:$M323)=0,"",IF(OR($B323="",$C323="",$U323="Subscription"),"",IFERROR(ROUNDUP(($C323-$B323)/7,0),"")))</ns0:f>
      </ns0:c>
      <ns0:c r="W323" s="114">
        <ns0:f>IF(COUNTA($A323:$M323)=0,"",IF(OR($U323="Subscription",$U323=""),"",IF($U323="Estimate","N/A",IF(OR($U323="Free Game",$U323="Disqualified — Free Game"),0,ROUND(IFERROR($Q323,0)-IFERROR($S323,0),2)))))</ns0:f>
      </ns0:c>
      <ns0:c r="X323" s="956" t="str">
        <ns0:f>IF(COUNTA($A323:$M323)=0,"",IF(OR($U323="Subscription",NOT(ISNUMBER($J323)),NOT(ISNUMBER($I323)),$J323=0,$I323=0,$I323&gt;$J323),"",$J323-$I323))</ns0:f>
      </ns0:c>
      <ns0:c r="Y323" s="955" t="str">
        <ns0:f>IF(COUNTA($A323:$M323)=0,"",IF(OR($U323="Subscription",NOT(ISNUMBER($J323)),$J323=0,$X323=""),"",$X323/$J323))</ns0:f>
      </ns0:c>
      <ns0:c r="Z323" s="957" t="str">
        <ns0:f>IF(COUNTA($A323:$M323)=0,"",Instructions!$B$29+SUM($W$5:W323))</ns0:f>
      </ns0:c>
    </ns0:row>
    <ns0:row r="324" ht="36" customHeight="1">
      <ns0:c r="A324" s="439"/>
      <ns0:c r="B324" s="453"/>
      <ns0:c r="C324" s="453"/>
      <ns0:c r="D324" s="454"/>
      <ns0:c r="E324" s="454"/>
      <ns0:c r="F324" s="454"/>
      <ns0:c r="G324" s="986"/>
      <ns0:c r="H324" s="455"/>
      <ns0:c r="I324" s="456"/>
      <ns0:c r="J324" s="456"/>
      <ns0:c r="K324" s="986"/>
      <ns0:c r="L324" s="454"/>
      <ns0:c r="M324" s="439"/>
      <ns0:c r="N324" s="987" t="str">
        <ns0:f>IF(COUNTA($A324:$M324)=0,"",IF(OR(LEFT(LOWER(TRIM($F324&amp;"")),12)="subscription",LOWER(TRIM($F324&amp;""))="membership"),"",IF(OR(AND($H324&lt;&gt;"",$H324=0),LEFT(LOWER(TRIM($F324&amp;"")),9)="free game",LOWER(TRIM($F324&amp;""))="free",LOWER(TRIM($F324&amp;""))="free entry"),IF(ISNUMBER($G324),IF(ISNUMBER(SEARCH("non",LOWER($E324&amp;""))),$G324*0.85,$G324),"N/A"),IF($G324="","",IFERROR(IF(ISNUMBER(SEARCH("non",LOWER($E324&amp;""))),$G324*0.85,$G324),"")))))</ns0:f>
        <ns0:v/>
      </ns0:c>
      <ns0:c r="O324" s="987" t="str">
        <ns0:f>IF(COUNTA($A324:$M324)=0,"",IF(OR(LEFT(LOWER(TRIM($F324&amp;"")),12)="subscription",LOWER(TRIM($F324&amp;""))="membership"),"",IF(OR(AND($H324&lt;&gt;"",$H324=0),LEFT(LOWER(TRIM($F324&amp;"")),9)="free game",LOWER(TRIM($F324&amp;""))="free",LOWER(TRIM($F324&amp;""))="free entry"),IF(OR(NOT(ISNUMBER($N324)),NOT(ISNUMBER($I324)),$I324=0),"N/A",IFERROR($N324/$I324,"N/A")),IF(OR($N324="",$I324="",$I324=0),"",IFERROR($N324/$I324,"")))))</ns0:f>
        <ns0:v/>
      </ns0:c>
      <ns0:c r="P324" s="987">
        <ns0:f>IF(COUNTA($A324:$M324)=0,"",IF(OR(LEFT(LOWER(TRIM($F324&amp;"")),12)="subscription",LOWER(TRIM($F324&amp;""))="membership"),"",IF(LOWER(TRIM($D324&amp;""))="estimate","N/A",IF(LOWER($L324&amp;"")="yes",0,IF(OR(AND($H324&lt;&gt;"",$H324=0),LEFT(LOWER(TRIM($F324&amp;"")),9)="free game",LOWER(TRIM($F324&amp;""))="free",LOWER(TRIM($F324&amp;""))="free entry"),IF(ISNUMBER($K324),$K324,""),IF($K324&lt;&gt;"",$K324,""))))))</ns0:f>
      </ns0:c>
      <ns0:c r="Q324" s="114">
        <ns0:f>IF(COUNTA($A324:$M324)=0,"",IF(OR($U324="Subscription",$U324=""),"",IF($U324="Estimate","N/A",IF($U324="Profit",ROUND(IFERROR($P324,0)-IFERROR($H324,0),2),0))))</ns0:f>
      </ns0:c>
      <ns0:c r="R324" s="114">
        <ns0:f>IF(COUNTA($A324:$M324)=0,"",IF(OR($U324="Subscription",$U324=""),"",IF($U324="Estimate","N/A",IF($U324="Draw",$H324,0))))</ns0:f>
      </ns0:c>
      <ns0:c r="S324" s="114">
        <ns0:f>IF(COUNTA($A324:$M324)=0,"",IF(OR($U324="Subscription",$U324=""),"",IF($U324="Estimate","N/A",IF($U324="Disqualified",$H324,0))))</ns0:f>
      </ns0:c>
      <ns0:c r="T324" s="955">
        <ns0:f>IF(COUNTA($A324:$M324)=0,"",IF(OR($U324="Subscription",$U324=""),"",IF($U324="Estimate","N/A",IF(OR($U324="Free Game",$U324="Disqualified — Free Game",$H324=0),"N/A",IF($U324="Profit",$Q324/$H324,IF($U324="Disqualified",-$S324/$H324,0))))))</ns0:f>
      </ns0:c>
      <ns0:c r="U324" s="920">
        <ns0:f>IF(COUNTA($A324:$M324)=0,"",IF(OR(LEFT(LOWER(TRIM($F324&amp;"")),12)="subscription",LOWER(TRIM($F324&amp;""))="membership"),"Subscription",IF(LOWER(TRIM($D324&amp;""))="estimate","Estimate",IF(OR(AND($H324&lt;&gt;"",$H324=0),LEFT(LOWER(TRIM($F324&amp;"")),9)="free game",LOWER(TRIM($F324&amp;""))="free",LOWER(TRIM($F324&amp;""))="free entry"),IF(LOWER($L324&amp;"")="yes","Disqualified — Free Game","Free Game"),IF(LOWER($L324&amp;"")="yes","Disqualified",IF($P324="","",IF(ROUND(IFERROR(VALUE($P324),0)-IFERROR(VALUE($H324),0),2)&gt;0,"Profit","Draw")))))))</ns0:f>
      </ns0:c>
      <ns0:c r="V324" s="956" t="str">
        <ns0:f>IF(COUNTA($A324:$M324)=0,"",IF(OR($B324="",$C324="",$U324="Subscription"),"",IFERROR(ROUNDUP(($C324-$B324)/7,0),"")))</ns0:f>
      </ns0:c>
      <ns0:c r="W324" s="114">
        <ns0:f>IF(COUNTA($A324:$M324)=0,"",IF(OR($U324="Subscription",$U324=""),"",IF($U324="Estimate","N/A",IF(OR($U324="Free Game",$U324="Disqualified — Free Game"),0,ROUND(IFERROR($Q324,0)-IFERROR($S324,0),2)))))</ns0:f>
      </ns0:c>
      <ns0:c r="X324" s="956" t="str">
        <ns0:f>IF(COUNTA($A324:$M324)=0,"",IF(OR($U324="Subscription",NOT(ISNUMBER($J324)),NOT(ISNUMBER($I324)),$J324=0,$I324=0,$I324&gt;$J324),"",$J324-$I324))</ns0:f>
      </ns0:c>
      <ns0:c r="Y324" s="955" t="str">
        <ns0:f>IF(COUNTA($A324:$M324)=0,"",IF(OR($U324="Subscription",NOT(ISNUMBER($J324)),$J324=0,$X324=""),"",$X324/$J324))</ns0:f>
      </ns0:c>
      <ns0:c r="Z324" s="957" t="str">
        <ns0:f>IF(COUNTA($A324:$M324)=0,"",Instructions!$B$29+SUM($W$5:W324))</ns0:f>
      </ns0:c>
    </ns0:row>
    <ns0:row r="325" ht="36" customHeight="1">
      <ns0:c r="A325" s="439"/>
      <ns0:c r="B325" s="453"/>
      <ns0:c r="C325" s="453"/>
      <ns0:c r="D325" s="454"/>
      <ns0:c r="E325" s="454"/>
      <ns0:c r="F325" s="454"/>
      <ns0:c r="G325" s="986"/>
      <ns0:c r="H325" s="455"/>
      <ns0:c r="I325" s="456"/>
      <ns0:c r="J325" s="456"/>
      <ns0:c r="K325" s="986"/>
      <ns0:c r="L325" s="454"/>
      <ns0:c r="M325" s="439"/>
      <ns0:c r="N325" s="987" t="str">
        <ns0:f>IF(COUNTA($A325:$M325)=0,"",IF(OR(LEFT(LOWER(TRIM($F325&amp;"")),12)="subscription",LOWER(TRIM($F325&amp;""))="membership"),"",IF(OR(AND($H325&lt;&gt;"",$H325=0),LEFT(LOWER(TRIM($F325&amp;"")),9)="free game",LOWER(TRIM($F325&amp;""))="free",LOWER(TRIM($F325&amp;""))="free entry"),IF(ISNUMBER($G325),IF(ISNUMBER(SEARCH("non",LOWER($E325&amp;""))),$G325*0.85,$G325),"N/A"),IF($G325="","",IFERROR(IF(ISNUMBER(SEARCH("non",LOWER($E325&amp;""))),$G325*0.85,$G325),"")))))</ns0:f>
        <ns0:v/>
      </ns0:c>
      <ns0:c r="O325" s="987" t="str">
        <ns0:f>IF(COUNTA($A325:$M325)=0,"",IF(OR(LEFT(LOWER(TRIM($F325&amp;"")),12)="subscription",LOWER(TRIM($F325&amp;""))="membership"),"",IF(OR(AND($H325&lt;&gt;"",$H325=0),LEFT(LOWER(TRIM($F325&amp;"")),9)="free game",LOWER(TRIM($F325&amp;""))="free",LOWER(TRIM($F325&amp;""))="free entry"),IF(OR(NOT(ISNUMBER($N325)),NOT(ISNUMBER($I325)),$I325=0),"N/A",IFERROR($N325/$I325,"N/A")),IF(OR($N325="",$I325="",$I325=0),"",IFERROR($N325/$I325,"")))))</ns0:f>
        <ns0:v/>
      </ns0:c>
      <ns0:c r="P325" s="987">
        <ns0:f>IF(COUNTA($A325:$M325)=0,"",IF(OR(LEFT(LOWER(TRIM($F325&amp;"")),12)="subscription",LOWER(TRIM($F325&amp;""))="membership"),"",IF(LOWER(TRIM($D325&amp;""))="estimate","N/A",IF(LOWER($L325&amp;"")="yes",0,IF(OR(AND($H325&lt;&gt;"",$H325=0),LEFT(LOWER(TRIM($F325&amp;"")),9)="free game",LOWER(TRIM($F325&amp;""))="free",LOWER(TRIM($F325&amp;""))="free entry"),IF(ISNUMBER($K325),$K325,""),IF($K325&lt;&gt;"",$K325,""))))))</ns0:f>
      </ns0:c>
      <ns0:c r="Q325" s="114">
        <ns0:f>IF(COUNTA($A325:$M325)=0,"",IF(OR($U325="Subscription",$U325=""),"",IF($U325="Estimate","N/A",IF($U325="Profit",ROUND(IFERROR($P325,0)-IFERROR($H325,0),2),0))))</ns0:f>
      </ns0:c>
      <ns0:c r="R325" s="114">
        <ns0:f>IF(COUNTA($A325:$M325)=0,"",IF(OR($U325="Subscription",$U325=""),"",IF($U325="Estimate","N/A",IF($U325="Draw",$H325,0))))</ns0:f>
      </ns0:c>
      <ns0:c r="S325" s="114">
        <ns0:f>IF(COUNTA($A325:$M325)=0,"",IF(OR($U325="Subscription",$U325=""),"",IF($U325="Estimate","N/A",IF($U325="Disqualified",$H325,0))))</ns0:f>
      </ns0:c>
      <ns0:c r="T325" s="955">
        <ns0:f>IF(COUNTA($A325:$M325)=0,"",IF(OR($U325="Subscription",$U325=""),"",IF($U325="Estimate","N/A",IF(OR($U325="Free Game",$U325="Disqualified — Free Game",$H325=0),"N/A",IF($U325="Profit",$Q325/$H325,IF($U325="Disqualified",-$S325/$H325,0))))))</ns0:f>
      </ns0:c>
      <ns0:c r="U325" s="920">
        <ns0:f>IF(COUNTA($A325:$M325)=0,"",IF(OR(LEFT(LOWER(TRIM($F325&amp;"")),12)="subscription",LOWER(TRIM($F325&amp;""))="membership"),"Subscription",IF(LOWER(TRIM($D325&amp;""))="estimate","Estimate",IF(OR(AND($H325&lt;&gt;"",$H325=0),LEFT(LOWER(TRIM($F325&amp;"")),9)="free game",LOWER(TRIM($F325&amp;""))="free",LOWER(TRIM($F325&amp;""))="free entry"),IF(LOWER($L325&amp;"")="yes","Disqualified — Free Game","Free Game"),IF(LOWER($L325&amp;"")="yes","Disqualified",IF($P325="","",IF(ROUND(IFERROR(VALUE($P325),0)-IFERROR(VALUE($H325),0),2)&gt;0,"Profit","Draw")))))))</ns0:f>
      </ns0:c>
      <ns0:c r="V325" s="956" t="str">
        <ns0:f>IF(COUNTA($A325:$M325)=0,"",IF(OR($B325="",$C325="",$U325="Subscription"),"",IFERROR(ROUNDUP(($C325-$B325)/7,0),"")))</ns0:f>
      </ns0:c>
      <ns0:c r="W325" s="114">
        <ns0:f>IF(COUNTA($A325:$M325)=0,"",IF(OR($U325="Subscription",$U325=""),"",IF($U325="Estimate","N/A",IF(OR($U325="Free Game",$U325="Disqualified — Free Game"),0,ROUND(IFERROR($Q325,0)-IFERROR($S325,0),2)))))</ns0:f>
      </ns0:c>
      <ns0:c r="X325" s="956" t="str">
        <ns0:f>IF(COUNTA($A325:$M325)=0,"",IF(OR($U325="Subscription",NOT(ISNUMBER($J325)),NOT(ISNUMBER($I325)),$J325=0,$I325=0,$I325&gt;$J325),"",$J325-$I325))</ns0:f>
      </ns0:c>
      <ns0:c r="Y325" s="955" t="str">
        <ns0:f>IF(COUNTA($A325:$M325)=0,"",IF(OR($U325="Subscription",NOT(ISNUMBER($J325)),$J325=0,$X325=""),"",$X325/$J325))</ns0:f>
      </ns0:c>
      <ns0:c r="Z325" s="957" t="str">
        <ns0:f>IF(COUNTA($A325:$M325)=0,"",Instructions!$B$29+SUM($W$5:W325))</ns0:f>
      </ns0:c>
    </ns0:row>
    <ns0:row r="326" ht="36" customHeight="1">
      <ns0:c r="A326" s="439"/>
      <ns0:c r="B326" s="453"/>
      <ns0:c r="C326" s="453"/>
      <ns0:c r="D326" s="454"/>
      <ns0:c r="E326" s="454"/>
      <ns0:c r="F326" s="454"/>
      <ns0:c r="G326" s="986"/>
      <ns0:c r="H326" s="455"/>
      <ns0:c r="I326" s="456"/>
      <ns0:c r="J326" s="456"/>
      <ns0:c r="K326" s="986"/>
      <ns0:c r="L326" s="454"/>
      <ns0:c r="M326" s="439"/>
      <ns0:c r="N326" s="987" t="str">
        <ns0:f>IF(COUNTA($A326:$M326)=0,"",IF(OR(LEFT(LOWER(TRIM($F326&amp;"")),12)="subscription",LOWER(TRIM($F326&amp;""))="membership"),"",IF(OR(AND($H326&lt;&gt;"",$H326=0),LEFT(LOWER(TRIM($F326&amp;"")),9)="free game",LOWER(TRIM($F326&amp;""))="free",LOWER(TRIM($F326&amp;""))="free entry"),IF(ISNUMBER($G326),IF(ISNUMBER(SEARCH("non",LOWER($E326&amp;""))),$G326*0.85,$G326),"N/A"),IF($G326="","",IFERROR(IF(ISNUMBER(SEARCH("non",LOWER($E326&amp;""))),$G326*0.85,$G326),"")))))</ns0:f>
        <ns0:v/>
      </ns0:c>
      <ns0:c r="O326" s="987" t="str">
        <ns0:f>IF(COUNTA($A326:$M326)=0,"",IF(OR(LEFT(LOWER(TRIM($F326&amp;"")),12)="subscription",LOWER(TRIM($F326&amp;""))="membership"),"",IF(OR(AND($H326&lt;&gt;"",$H326=0),LEFT(LOWER(TRIM($F326&amp;"")),9)="free game",LOWER(TRIM($F326&amp;""))="free",LOWER(TRIM($F326&amp;""))="free entry"),IF(OR(NOT(ISNUMBER($N326)),NOT(ISNUMBER($I326)),$I326=0),"N/A",IFERROR($N326/$I326,"N/A")),IF(OR($N326="",$I326="",$I326=0),"",IFERROR($N326/$I326,"")))))</ns0:f>
        <ns0:v/>
      </ns0:c>
      <ns0:c r="P326" s="987">
        <ns0:f>IF(COUNTA($A326:$M326)=0,"",IF(OR(LEFT(LOWER(TRIM($F326&amp;"")),12)="subscription",LOWER(TRIM($F326&amp;""))="membership"),"",IF(LOWER(TRIM($D326&amp;""))="estimate","N/A",IF(LOWER($L326&amp;"")="yes",0,IF(OR(AND($H326&lt;&gt;"",$H326=0),LEFT(LOWER(TRIM($F326&amp;"")),9)="free game",LOWER(TRIM($F326&amp;""))="free",LOWER(TRIM($F326&amp;""))="free entry"),IF(ISNUMBER($K326),$K326,""),IF($K326&lt;&gt;"",$K326,""))))))</ns0:f>
      </ns0:c>
      <ns0:c r="Q326" s="114">
        <ns0:f>IF(COUNTA($A326:$M326)=0,"",IF(OR($U326="Subscription",$U326=""),"",IF($U326="Estimate","N/A",IF($U326="Profit",ROUND(IFERROR($P326,0)-IFERROR($H326,0),2),0))))</ns0:f>
      </ns0:c>
      <ns0:c r="R326" s="114">
        <ns0:f>IF(COUNTA($A326:$M326)=0,"",IF(OR($U326="Subscription",$U326=""),"",IF($U326="Estimate","N/A",IF($U326="Draw",$H326,0))))</ns0:f>
      </ns0:c>
      <ns0:c r="S326" s="114">
        <ns0:f>IF(COUNTA($A326:$M326)=0,"",IF(OR($U326="Subscription",$U326=""),"",IF($U326="Estimate","N/A",IF($U326="Disqualified",$H326,0))))</ns0:f>
      </ns0:c>
      <ns0:c r="T326" s="955">
        <ns0:f>IF(COUNTA($A326:$M326)=0,"",IF(OR($U326="Subscription",$U326=""),"",IF($U326="Estimate","N/A",IF(OR($U326="Free Game",$U326="Disqualified — Free Game",$H326=0),"N/A",IF($U326="Profit",$Q326/$H326,IF($U326="Disqualified",-$S326/$H326,0))))))</ns0:f>
      </ns0:c>
      <ns0:c r="U326" s="920">
        <ns0:f>IF(COUNTA($A326:$M326)=0,"",IF(OR(LEFT(LOWER(TRIM($F326&amp;"")),12)="subscription",LOWER(TRIM($F326&amp;""))="membership"),"Subscription",IF(LOWER(TRIM($D326&amp;""))="estimate","Estimate",IF(OR(AND($H326&lt;&gt;"",$H326=0),LEFT(LOWER(TRIM($F326&amp;"")),9)="free game",LOWER(TRIM($F326&amp;""))="free",LOWER(TRIM($F326&amp;""))="free entry"),IF(LOWER($L326&amp;"")="yes","Disqualified — Free Game","Free Game"),IF(LOWER($L326&amp;"")="yes","Disqualified",IF($P326="","",IF(ROUND(IFERROR(VALUE($P326),0)-IFERROR(VALUE($H326),0),2)&gt;0,"Profit","Draw")))))))</ns0:f>
      </ns0:c>
      <ns0:c r="V326" s="956" t="str">
        <ns0:f>IF(COUNTA($A326:$M326)=0,"",IF(OR($B326="",$C326="",$U326="Subscription"),"",IFERROR(ROUNDUP(($C326-$B326)/7,0),"")))</ns0:f>
      </ns0:c>
      <ns0:c r="W326" s="114">
        <ns0:f>IF(COUNTA($A326:$M326)=0,"",IF(OR($U326="Subscription",$U326=""),"",IF($U326="Estimate","N/A",IF(OR($U326="Free Game",$U326="Disqualified — Free Game"),0,ROUND(IFERROR($Q326,0)-IFERROR($S326,0),2)))))</ns0:f>
      </ns0:c>
      <ns0:c r="X326" s="956" t="str">
        <ns0:f>IF(COUNTA($A326:$M326)=0,"",IF(OR($U326="Subscription",NOT(ISNUMBER($J326)),NOT(ISNUMBER($I326)),$J326=0,$I326=0,$I326&gt;$J326),"",$J326-$I326))</ns0:f>
      </ns0:c>
      <ns0:c r="Y326" s="955" t="str">
        <ns0:f>IF(COUNTA($A326:$M326)=0,"",IF(OR($U326="Subscription",NOT(ISNUMBER($J326)),$J326=0,$X326=""),"",$X326/$J326))</ns0:f>
      </ns0:c>
      <ns0:c r="Z326" s="957" t="str">
        <ns0:f>IF(COUNTA($A326:$M326)=0,"",Instructions!$B$29+SUM($W$5:W326))</ns0:f>
      </ns0:c>
    </ns0:row>
    <ns0:row r="327" ht="36" customHeight="1">
      <ns0:c r="A327" s="439"/>
      <ns0:c r="B327" s="453"/>
      <ns0:c r="C327" s="453"/>
      <ns0:c r="D327" s="454"/>
      <ns0:c r="E327" s="454"/>
      <ns0:c r="F327" s="454"/>
      <ns0:c r="G327" s="986"/>
      <ns0:c r="H327" s="455"/>
      <ns0:c r="I327" s="456"/>
      <ns0:c r="J327" s="456"/>
      <ns0:c r="K327" s="986"/>
      <ns0:c r="L327" s="454"/>
      <ns0:c r="M327" s="439"/>
      <ns0:c r="N327" s="987" t="str">
        <ns0:f>IF(COUNTA($A327:$M327)=0,"",IF(OR(LEFT(LOWER(TRIM($F327&amp;"")),12)="subscription",LOWER(TRIM($F327&amp;""))="membership"),"",IF(OR(AND($H327&lt;&gt;"",$H327=0),LEFT(LOWER(TRIM($F327&amp;"")),9)="free game",LOWER(TRIM($F327&amp;""))="free",LOWER(TRIM($F327&amp;""))="free entry"),IF(ISNUMBER($G327),IF(ISNUMBER(SEARCH("non",LOWER($E327&amp;""))),$G327*0.85,$G327),"N/A"),IF($G327="","",IFERROR(IF(ISNUMBER(SEARCH("non",LOWER($E327&amp;""))),$G327*0.85,$G327),"")))))</ns0:f>
        <ns0:v/>
      </ns0:c>
      <ns0:c r="O327" s="987" t="str">
        <ns0:f>IF(COUNTA($A327:$M327)=0,"",IF(OR(LEFT(LOWER(TRIM($F327&amp;"")),12)="subscription",LOWER(TRIM($F327&amp;""))="membership"),"",IF(OR(AND($H327&lt;&gt;"",$H327=0),LEFT(LOWER(TRIM($F327&amp;"")),9)="free game",LOWER(TRIM($F327&amp;""))="free",LOWER(TRIM($F327&amp;""))="free entry"),IF(OR(NOT(ISNUMBER($N327)),NOT(ISNUMBER($I327)),$I327=0),"N/A",IFERROR($N327/$I327,"N/A")),IF(OR($N327="",$I327="",$I327=0),"",IFERROR($N327/$I327,"")))))</ns0:f>
        <ns0:v/>
      </ns0:c>
      <ns0:c r="P327" s="987">
        <ns0:f>IF(COUNTA($A327:$M327)=0,"",IF(OR(LEFT(LOWER(TRIM($F327&amp;"")),12)="subscription",LOWER(TRIM($F327&amp;""))="membership"),"",IF(LOWER(TRIM($D327&amp;""))="estimate","N/A",IF(LOWER($L327&amp;"")="yes",0,IF(OR(AND($H327&lt;&gt;"",$H327=0),LEFT(LOWER(TRIM($F327&amp;"")),9)="free game",LOWER(TRIM($F327&amp;""))="free",LOWER(TRIM($F327&amp;""))="free entry"),IF(ISNUMBER($K327),$K327,""),IF($K327&lt;&gt;"",$K327,""))))))</ns0:f>
      </ns0:c>
      <ns0:c r="Q327" s="114">
        <ns0:f>IF(COUNTA($A327:$M327)=0,"",IF(OR($U327="Subscription",$U327=""),"",IF($U327="Estimate","N/A",IF($U327="Profit",ROUND(IFERROR($P327,0)-IFERROR($H327,0),2),0))))</ns0:f>
      </ns0:c>
      <ns0:c r="R327" s="114">
        <ns0:f>IF(COUNTA($A327:$M327)=0,"",IF(OR($U327="Subscription",$U327=""),"",IF($U327="Estimate","N/A",IF($U327="Draw",$H327,0))))</ns0:f>
      </ns0:c>
      <ns0:c r="S327" s="114">
        <ns0:f>IF(COUNTA($A327:$M327)=0,"",IF(OR($U327="Subscription",$U327=""),"",IF($U327="Estimate","N/A",IF($U327="Disqualified",$H327,0))))</ns0:f>
      </ns0:c>
      <ns0:c r="T327" s="955">
        <ns0:f>IF(COUNTA($A327:$M327)=0,"",IF(OR($U327="Subscription",$U327=""),"",IF($U327="Estimate","N/A",IF(OR($U327="Free Game",$U327="Disqualified — Free Game",$H327=0),"N/A",IF($U327="Profit",$Q327/$H327,IF($U327="Disqualified",-$S327/$H327,0))))))</ns0:f>
      </ns0:c>
      <ns0:c r="U327" s="920">
        <ns0:f>IF(COUNTA($A327:$M327)=0,"",IF(OR(LEFT(LOWER(TRIM($F327&amp;"")),12)="subscription",LOWER(TRIM($F327&amp;""))="membership"),"Subscription",IF(LOWER(TRIM($D327&amp;""))="estimate","Estimate",IF(OR(AND($H327&lt;&gt;"",$H327=0),LEFT(LOWER(TRIM($F327&amp;"")),9)="free game",LOWER(TRIM($F327&amp;""))="free",LOWER(TRIM($F327&amp;""))="free entry"),IF(LOWER($L327&amp;"")="yes","Disqualified — Free Game","Free Game"),IF(LOWER($L327&amp;"")="yes","Disqualified",IF($P327="","",IF(ROUND(IFERROR(VALUE($P327),0)-IFERROR(VALUE($H327),0),2)&gt;0,"Profit","Draw")))))))</ns0:f>
      </ns0:c>
      <ns0:c r="V327" s="956" t="str">
        <ns0:f>IF(COUNTA($A327:$M327)=0,"",IF(OR($B327="",$C327="",$U327="Subscription"),"",IFERROR(ROUNDUP(($C327-$B327)/7,0),"")))</ns0:f>
      </ns0:c>
      <ns0:c r="W327" s="114">
        <ns0:f>IF(COUNTA($A327:$M327)=0,"",IF(OR($U327="Subscription",$U327=""),"",IF($U327="Estimate","N/A",IF(OR($U327="Free Game",$U327="Disqualified — Free Game"),0,ROUND(IFERROR($Q327,0)-IFERROR($S327,0),2)))))</ns0:f>
      </ns0:c>
      <ns0:c r="X327" s="956" t="str">
        <ns0:f>IF(COUNTA($A327:$M327)=0,"",IF(OR($U327="Subscription",NOT(ISNUMBER($J327)),NOT(ISNUMBER($I327)),$J327=0,$I327=0,$I327&gt;$J327),"",$J327-$I327))</ns0:f>
      </ns0:c>
      <ns0:c r="Y327" s="955" t="str">
        <ns0:f>IF(COUNTA($A327:$M327)=0,"",IF(OR($U327="Subscription",NOT(ISNUMBER($J327)),$J327=0,$X327=""),"",$X327/$J327))</ns0:f>
      </ns0:c>
      <ns0:c r="Z327" s="957" t="str">
        <ns0:f>IF(COUNTA($A327:$M327)=0,"",Instructions!$B$29+SUM($W$5:W327))</ns0:f>
      </ns0:c>
    </ns0:row>
    <ns0:row r="328" ht="36" customHeight="1">
      <ns0:c r="A328" s="439"/>
      <ns0:c r="B328" s="453"/>
      <ns0:c r="C328" s="453"/>
      <ns0:c r="D328" s="454"/>
      <ns0:c r="E328" s="454"/>
      <ns0:c r="F328" s="454"/>
      <ns0:c r="G328" s="986"/>
      <ns0:c r="H328" s="455"/>
      <ns0:c r="I328" s="456"/>
      <ns0:c r="J328" s="456"/>
      <ns0:c r="K328" s="986"/>
      <ns0:c r="L328" s="454"/>
      <ns0:c r="M328" s="439"/>
      <ns0:c r="N328" s="987" t="str">
        <ns0:f>IF(COUNTA($A328:$M328)=0,"",IF(OR(LEFT(LOWER(TRIM($F328&amp;"")),12)="subscription",LOWER(TRIM($F328&amp;""))="membership"),"",IF(OR(AND($H328&lt;&gt;"",$H328=0),LEFT(LOWER(TRIM($F328&amp;"")),9)="free game",LOWER(TRIM($F328&amp;""))="free",LOWER(TRIM($F328&amp;""))="free entry"),IF(ISNUMBER($G328),IF(ISNUMBER(SEARCH("non",LOWER($E328&amp;""))),$G328*0.85,$G328),"N/A"),IF($G328="","",IFERROR(IF(ISNUMBER(SEARCH("non",LOWER($E328&amp;""))),$G328*0.85,$G328),"")))))</ns0:f>
        <ns0:v/>
      </ns0:c>
      <ns0:c r="O328" s="987" t="str">
        <ns0:f>IF(COUNTA($A328:$M328)=0,"",IF(OR(LEFT(LOWER(TRIM($F328&amp;"")),12)="subscription",LOWER(TRIM($F328&amp;""))="membership"),"",IF(OR(AND($H328&lt;&gt;"",$H328=0),LEFT(LOWER(TRIM($F328&amp;"")),9)="free game",LOWER(TRIM($F328&amp;""))="free",LOWER(TRIM($F328&amp;""))="free entry"),IF(OR(NOT(ISNUMBER($N328)),NOT(ISNUMBER($I328)),$I328=0),"N/A",IFERROR($N328/$I328,"N/A")),IF(OR($N328="",$I328="",$I328=0),"",IFERROR($N328/$I328,"")))))</ns0:f>
        <ns0:v/>
      </ns0:c>
      <ns0:c r="P328" s="987">
        <ns0:f>IF(COUNTA($A328:$M328)=0,"",IF(OR(LEFT(LOWER(TRIM($F328&amp;"")),12)="subscription",LOWER(TRIM($F328&amp;""))="membership"),"",IF(LOWER(TRIM($D328&amp;""))="estimate","N/A",IF(LOWER($L328&amp;"")="yes",0,IF(OR(AND($H328&lt;&gt;"",$H328=0),LEFT(LOWER(TRIM($F328&amp;"")),9)="free game",LOWER(TRIM($F328&amp;""))="free",LOWER(TRIM($F328&amp;""))="free entry"),IF(ISNUMBER($K328),$K328,""),IF($K328&lt;&gt;"",$K328,""))))))</ns0:f>
      </ns0:c>
      <ns0:c r="Q328" s="114">
        <ns0:f>IF(COUNTA($A328:$M328)=0,"",IF(OR($U328="Subscription",$U328=""),"",IF($U328="Estimate","N/A",IF($U328="Profit",ROUND(IFERROR($P328,0)-IFERROR($H328,0),2),0))))</ns0:f>
      </ns0:c>
      <ns0:c r="R328" s="114">
        <ns0:f>IF(COUNTA($A328:$M328)=0,"",IF(OR($U328="Subscription",$U328=""),"",IF($U328="Estimate","N/A",IF($U328="Draw",$H328,0))))</ns0:f>
      </ns0:c>
      <ns0:c r="S328" s="114">
        <ns0:f>IF(COUNTA($A328:$M328)=0,"",IF(OR($U328="Subscription",$U328=""),"",IF($U328="Estimate","N/A",IF($U328="Disqualified",$H328,0))))</ns0:f>
      </ns0:c>
      <ns0:c r="T328" s="955">
        <ns0:f>IF(COUNTA($A328:$M328)=0,"",IF(OR($U328="Subscription",$U328=""),"",IF($U328="Estimate","N/A",IF(OR($U328="Free Game",$U328="Disqualified — Free Game",$H328=0),"N/A",IF($U328="Profit",$Q328/$H328,IF($U328="Disqualified",-$S328/$H328,0))))))</ns0:f>
      </ns0:c>
      <ns0:c r="U328" s="920">
        <ns0:f>IF(COUNTA($A328:$M328)=0,"",IF(OR(LEFT(LOWER(TRIM($F328&amp;"")),12)="subscription",LOWER(TRIM($F328&amp;""))="membership"),"Subscription",IF(LOWER(TRIM($D328&amp;""))="estimate","Estimate",IF(OR(AND($H328&lt;&gt;"",$H328=0),LEFT(LOWER(TRIM($F328&amp;"")),9)="free game",LOWER(TRIM($F328&amp;""))="free",LOWER(TRIM($F328&amp;""))="free entry"),IF(LOWER($L328&amp;"")="yes","Disqualified — Free Game","Free Game"),IF(LOWER($L328&amp;"")="yes","Disqualified",IF($P328="","",IF(ROUND(IFERROR(VALUE($P328),0)-IFERROR(VALUE($H328),0),2)&gt;0,"Profit","Draw")))))))</ns0:f>
      </ns0:c>
      <ns0:c r="V328" s="956" t="str">
        <ns0:f>IF(COUNTA($A328:$M328)=0,"",IF(OR($B328="",$C328="",$U328="Subscription"),"",IFERROR(ROUNDUP(($C328-$B328)/7,0),"")))</ns0:f>
      </ns0:c>
      <ns0:c r="W328" s="114">
        <ns0:f>IF(COUNTA($A328:$M328)=0,"",IF(OR($U328="Subscription",$U328=""),"",IF($U328="Estimate","N/A",IF(OR($U328="Free Game",$U328="Disqualified — Free Game"),0,ROUND(IFERROR($Q328,0)-IFERROR($S328,0),2)))))</ns0:f>
      </ns0:c>
      <ns0:c r="X328" s="956" t="str">
        <ns0:f>IF(COUNTA($A328:$M328)=0,"",IF(OR($U328="Subscription",NOT(ISNUMBER($J328)),NOT(ISNUMBER($I328)),$J328=0,$I328=0,$I328&gt;$J328),"",$J328-$I328))</ns0:f>
      </ns0:c>
      <ns0:c r="Y328" s="955" t="str">
        <ns0:f>IF(COUNTA($A328:$M328)=0,"",IF(OR($U328="Subscription",NOT(ISNUMBER($J328)),$J328=0,$X328=""),"",$X328/$J328))</ns0:f>
      </ns0:c>
      <ns0:c r="Z328" s="957" t="str">
        <ns0:f>IF(COUNTA($A328:$M328)=0,"",Instructions!$B$29+SUM($W$5:W328))</ns0:f>
      </ns0:c>
    </ns0:row>
    <ns0:row r="329" ht="36" customHeight="1">
      <ns0:c r="A329" s="439"/>
      <ns0:c r="B329" s="453"/>
      <ns0:c r="C329" s="453"/>
      <ns0:c r="D329" s="454"/>
      <ns0:c r="E329" s="454"/>
      <ns0:c r="F329" s="454"/>
      <ns0:c r="G329" s="986"/>
      <ns0:c r="H329" s="455"/>
      <ns0:c r="I329" s="456"/>
      <ns0:c r="J329" s="456"/>
      <ns0:c r="K329" s="986"/>
      <ns0:c r="L329" s="454"/>
      <ns0:c r="M329" s="439"/>
      <ns0:c r="N329" s="987" t="str">
        <ns0:f>IF(COUNTA($A329:$M329)=0,"",IF(OR(LEFT(LOWER(TRIM($F329&amp;"")),12)="subscription",LOWER(TRIM($F329&amp;""))="membership"),"",IF(OR(AND($H329&lt;&gt;"",$H329=0),LEFT(LOWER(TRIM($F329&amp;"")),9)="free game",LOWER(TRIM($F329&amp;""))="free",LOWER(TRIM($F329&amp;""))="free entry"),IF(ISNUMBER($G329),IF(ISNUMBER(SEARCH("non",LOWER($E329&amp;""))),$G329*0.85,$G329),"N/A"),IF($G329="","",IFERROR(IF(ISNUMBER(SEARCH("non",LOWER($E329&amp;""))),$G329*0.85,$G329),"")))))</ns0:f>
        <ns0:v/>
      </ns0:c>
      <ns0:c r="O329" s="987" t="str">
        <ns0:f>IF(COUNTA($A329:$M329)=0,"",IF(OR(LEFT(LOWER(TRIM($F329&amp;"")),12)="subscription",LOWER(TRIM($F329&amp;""))="membership"),"",IF(OR(AND($H329&lt;&gt;"",$H329=0),LEFT(LOWER(TRIM($F329&amp;"")),9)="free game",LOWER(TRIM($F329&amp;""))="free",LOWER(TRIM($F329&amp;""))="free entry"),IF(OR(NOT(ISNUMBER($N329)),NOT(ISNUMBER($I329)),$I329=0),"N/A",IFERROR($N329/$I329,"N/A")),IF(OR($N329="",$I329="",$I329=0),"",IFERROR($N329/$I329,"")))))</ns0:f>
        <ns0:v/>
      </ns0:c>
      <ns0:c r="P329" s="987">
        <ns0:f>IF(COUNTA($A329:$M329)=0,"",IF(OR(LEFT(LOWER(TRIM($F329&amp;"")),12)="subscription",LOWER(TRIM($F329&amp;""))="membership"),"",IF(LOWER(TRIM($D329&amp;""))="estimate","N/A",IF(LOWER($L329&amp;"")="yes",0,IF(OR(AND($H329&lt;&gt;"",$H329=0),LEFT(LOWER(TRIM($F329&amp;"")),9)="free game",LOWER(TRIM($F329&amp;""))="free",LOWER(TRIM($F329&amp;""))="free entry"),IF(ISNUMBER($K329),$K329,""),IF($K329&lt;&gt;"",$K329,""))))))</ns0:f>
      </ns0:c>
      <ns0:c r="Q329" s="114">
        <ns0:f>IF(COUNTA($A329:$M329)=0,"",IF(OR($U329="Subscription",$U329=""),"",IF($U329="Estimate","N/A",IF($U329="Profit",ROUND(IFERROR($P329,0)-IFERROR($H329,0),2),0))))</ns0:f>
      </ns0:c>
      <ns0:c r="R329" s="114">
        <ns0:f>IF(COUNTA($A329:$M329)=0,"",IF(OR($U329="Subscription",$U329=""),"",IF($U329="Estimate","N/A",IF($U329="Draw",$H329,0))))</ns0:f>
      </ns0:c>
      <ns0:c r="S329" s="114">
        <ns0:f>IF(COUNTA($A329:$M329)=0,"",IF(OR($U329="Subscription",$U329=""),"",IF($U329="Estimate","N/A",IF($U329="Disqualified",$H329,0))))</ns0:f>
      </ns0:c>
      <ns0:c r="T329" s="955">
        <ns0:f>IF(COUNTA($A329:$M329)=0,"",IF(OR($U329="Subscription",$U329=""),"",IF($U329="Estimate","N/A",IF(OR($U329="Free Game",$U329="Disqualified — Free Game",$H329=0),"N/A",IF($U329="Profit",$Q329/$H329,IF($U329="Disqualified",-$S329/$H329,0))))))</ns0:f>
      </ns0:c>
      <ns0:c r="U329" s="920">
        <ns0:f>IF(COUNTA($A329:$M329)=0,"",IF(OR(LEFT(LOWER(TRIM($F329&amp;"")),12)="subscription",LOWER(TRIM($F329&amp;""))="membership"),"Subscription",IF(LOWER(TRIM($D329&amp;""))="estimate","Estimate",IF(OR(AND($H329&lt;&gt;"",$H329=0),LEFT(LOWER(TRIM($F329&amp;"")),9)="free game",LOWER(TRIM($F329&amp;""))="free",LOWER(TRIM($F329&amp;""))="free entry"),IF(LOWER($L329&amp;"")="yes","Disqualified — Free Game","Free Game"),IF(LOWER($L329&amp;"")="yes","Disqualified",IF($P329="","",IF(ROUND(IFERROR(VALUE($P329),0)-IFERROR(VALUE($H329),0),2)&gt;0,"Profit","Draw")))))))</ns0:f>
      </ns0:c>
      <ns0:c r="V329" s="956" t="str">
        <ns0:f>IF(COUNTA($A329:$M329)=0,"",IF(OR($B329="",$C329="",$U329="Subscription"),"",IFERROR(ROUNDUP(($C329-$B329)/7,0),"")))</ns0:f>
      </ns0:c>
      <ns0:c r="W329" s="114">
        <ns0:f>IF(COUNTA($A329:$M329)=0,"",IF(OR($U329="Subscription",$U329=""),"",IF($U329="Estimate","N/A",IF(OR($U329="Free Game",$U329="Disqualified — Free Game"),0,ROUND(IFERROR($Q329,0)-IFERROR($S329,0),2)))))</ns0:f>
      </ns0:c>
      <ns0:c r="X329" s="956" t="str">
        <ns0:f>IF(COUNTA($A329:$M329)=0,"",IF(OR($U329="Subscription",NOT(ISNUMBER($J329)),NOT(ISNUMBER($I329)),$J329=0,$I329=0,$I329&gt;$J329),"",$J329-$I329))</ns0:f>
      </ns0:c>
      <ns0:c r="Y329" s="955" t="str">
        <ns0:f>IF(COUNTA($A329:$M329)=0,"",IF(OR($U329="Subscription",NOT(ISNUMBER($J329)),$J329=0,$X329=""),"",$X329/$J329))</ns0:f>
      </ns0:c>
      <ns0:c r="Z329" s="957" t="str">
        <ns0:f>IF(COUNTA($A329:$M329)=0,"",Instructions!$B$29+SUM($W$5:W329))</ns0:f>
      </ns0:c>
    </ns0:row>
    <ns0:row r="330" ht="36" customHeight="1">
      <ns0:c r="A330" s="439"/>
      <ns0:c r="B330" s="453"/>
      <ns0:c r="C330" s="453"/>
      <ns0:c r="D330" s="454"/>
      <ns0:c r="E330" s="454"/>
      <ns0:c r="F330" s="454"/>
      <ns0:c r="G330" s="986"/>
      <ns0:c r="H330" s="455"/>
      <ns0:c r="I330" s="456"/>
      <ns0:c r="J330" s="456"/>
      <ns0:c r="K330" s="986"/>
      <ns0:c r="L330" s="454"/>
      <ns0:c r="M330" s="439"/>
      <ns0:c r="N330" s="987" t="str">
        <ns0:f>IF(COUNTA($A330:$M330)=0,"",IF(OR(LEFT(LOWER(TRIM($F330&amp;"")),12)="subscription",LOWER(TRIM($F330&amp;""))="membership"),"",IF(OR(AND($H330&lt;&gt;"",$H330=0),LEFT(LOWER(TRIM($F330&amp;"")),9)="free game",LOWER(TRIM($F330&amp;""))="free",LOWER(TRIM($F330&amp;""))="free entry"),IF(ISNUMBER($G330),IF(ISNUMBER(SEARCH("non",LOWER($E330&amp;""))),$G330*0.85,$G330),"N/A"),IF($G330="","",IFERROR(IF(ISNUMBER(SEARCH("non",LOWER($E330&amp;""))),$G330*0.85,$G330),"")))))</ns0:f>
        <ns0:v/>
      </ns0:c>
      <ns0:c r="O330" s="987" t="str">
        <ns0:f>IF(COUNTA($A330:$M330)=0,"",IF(OR(LEFT(LOWER(TRIM($F330&amp;"")),12)="subscription",LOWER(TRIM($F330&amp;""))="membership"),"",IF(OR(AND($H330&lt;&gt;"",$H330=0),LEFT(LOWER(TRIM($F330&amp;"")),9)="free game",LOWER(TRIM($F330&amp;""))="free",LOWER(TRIM($F330&amp;""))="free entry"),IF(OR(NOT(ISNUMBER($N330)),NOT(ISNUMBER($I330)),$I330=0),"N/A",IFERROR($N330/$I330,"N/A")),IF(OR($N330="",$I330="",$I330=0),"",IFERROR($N330/$I330,"")))))</ns0:f>
        <ns0:v/>
      </ns0:c>
      <ns0:c r="P330" s="987">
        <ns0:f>IF(COUNTA($A330:$M330)=0,"",IF(OR(LEFT(LOWER(TRIM($F330&amp;"")),12)="subscription",LOWER(TRIM($F330&amp;""))="membership"),"",IF(LOWER(TRIM($D330&amp;""))="estimate","N/A",IF(LOWER($L330&amp;"")="yes",0,IF(OR(AND($H330&lt;&gt;"",$H330=0),LEFT(LOWER(TRIM($F330&amp;"")),9)="free game",LOWER(TRIM($F330&amp;""))="free",LOWER(TRIM($F330&amp;""))="free entry"),IF(ISNUMBER($K330),$K330,""),IF($K330&lt;&gt;"",$K330,""))))))</ns0:f>
      </ns0:c>
      <ns0:c r="Q330" s="114">
        <ns0:f>IF(COUNTA($A330:$M330)=0,"",IF(OR($U330="Subscription",$U330=""),"",IF($U330="Estimate","N/A",IF($U330="Profit",ROUND(IFERROR($P330,0)-IFERROR($H330,0),2),0))))</ns0:f>
      </ns0:c>
      <ns0:c r="R330" s="114">
        <ns0:f>IF(COUNTA($A330:$M330)=0,"",IF(OR($U330="Subscription",$U330=""),"",IF($U330="Estimate","N/A",IF($U330="Draw",$H330,0))))</ns0:f>
      </ns0:c>
      <ns0:c r="S330" s="114">
        <ns0:f>IF(COUNTA($A330:$M330)=0,"",IF(OR($U330="Subscription",$U330=""),"",IF($U330="Estimate","N/A",IF($U330="Disqualified",$H330,0))))</ns0:f>
      </ns0:c>
      <ns0:c r="T330" s="955">
        <ns0:f>IF(COUNTA($A330:$M330)=0,"",IF(OR($U330="Subscription",$U330=""),"",IF($U330="Estimate","N/A",IF(OR($U330="Free Game",$U330="Disqualified — Free Game",$H330=0),"N/A",IF($U330="Profit",$Q330/$H330,IF($U330="Disqualified",-$S330/$H330,0))))))</ns0:f>
      </ns0:c>
      <ns0:c r="U330" s="920">
        <ns0:f>IF(COUNTA($A330:$M330)=0,"",IF(OR(LEFT(LOWER(TRIM($F330&amp;"")),12)="subscription",LOWER(TRIM($F330&amp;""))="membership"),"Subscription",IF(LOWER(TRIM($D330&amp;""))="estimate","Estimate",IF(OR(AND($H330&lt;&gt;"",$H330=0),LEFT(LOWER(TRIM($F330&amp;"")),9)="free game",LOWER(TRIM($F330&amp;""))="free",LOWER(TRIM($F330&amp;""))="free entry"),IF(LOWER($L330&amp;"")="yes","Disqualified — Free Game","Free Game"),IF(LOWER($L330&amp;"")="yes","Disqualified",IF($P330="","",IF(ROUND(IFERROR(VALUE($P330),0)-IFERROR(VALUE($H330),0),2)&gt;0,"Profit","Draw")))))))</ns0:f>
      </ns0:c>
      <ns0:c r="V330" s="956" t="str">
        <ns0:f>IF(COUNTA($A330:$M330)=0,"",IF(OR($B330="",$C330="",$U330="Subscription"),"",IFERROR(ROUNDUP(($C330-$B330)/7,0),"")))</ns0:f>
      </ns0:c>
      <ns0:c r="W330" s="114">
        <ns0:f>IF(COUNTA($A330:$M330)=0,"",IF(OR($U330="Subscription",$U330=""),"",IF($U330="Estimate","N/A",IF(OR($U330="Free Game",$U330="Disqualified — Free Game"),0,ROUND(IFERROR($Q330,0)-IFERROR($S330,0),2)))))</ns0:f>
      </ns0:c>
      <ns0:c r="X330" s="956" t="str">
        <ns0:f>IF(COUNTA($A330:$M330)=0,"",IF(OR($U330="Subscription",NOT(ISNUMBER($J330)),NOT(ISNUMBER($I330)),$J330=0,$I330=0,$I330&gt;$J330),"",$J330-$I330))</ns0:f>
      </ns0:c>
      <ns0:c r="Y330" s="955" t="str">
        <ns0:f>IF(COUNTA($A330:$M330)=0,"",IF(OR($U330="Subscription",NOT(ISNUMBER($J330)),$J330=0,$X330=""),"",$X330/$J330))</ns0:f>
      </ns0:c>
      <ns0:c r="Z330" s="957" t="str">
        <ns0:f>IF(COUNTA($A330:$M330)=0,"",Instructions!$B$29+SUM($W$5:W330))</ns0:f>
      </ns0:c>
    </ns0:row>
    <ns0:row r="331" ht="36" customHeight="1">
      <ns0:c r="A331" s="439"/>
      <ns0:c r="B331" s="453"/>
      <ns0:c r="C331" s="453"/>
      <ns0:c r="D331" s="454"/>
      <ns0:c r="E331" s="454"/>
      <ns0:c r="F331" s="454"/>
      <ns0:c r="G331" s="986"/>
      <ns0:c r="H331" s="455"/>
      <ns0:c r="I331" s="456"/>
      <ns0:c r="J331" s="456"/>
      <ns0:c r="K331" s="986"/>
      <ns0:c r="L331" s="454"/>
      <ns0:c r="M331" s="439"/>
      <ns0:c r="N331" s="987" t="str">
        <ns0:f>IF(COUNTA($A331:$M331)=0,"",IF(OR(LEFT(LOWER(TRIM($F331&amp;"")),12)="subscription",LOWER(TRIM($F331&amp;""))="membership"),"",IF(OR(AND($H331&lt;&gt;"",$H331=0),LEFT(LOWER(TRIM($F331&amp;"")),9)="free game",LOWER(TRIM($F331&amp;""))="free",LOWER(TRIM($F331&amp;""))="free entry"),IF(ISNUMBER($G331),IF(ISNUMBER(SEARCH("non",LOWER($E331&amp;""))),$G331*0.85,$G331),"N/A"),IF($G331="","",IFERROR(IF(ISNUMBER(SEARCH("non",LOWER($E331&amp;""))),$G331*0.85,$G331),"")))))</ns0:f>
        <ns0:v/>
      </ns0:c>
      <ns0:c r="O331" s="987" t="str">
        <ns0:f>IF(COUNTA($A331:$M331)=0,"",IF(OR(LEFT(LOWER(TRIM($F331&amp;"")),12)="subscription",LOWER(TRIM($F331&amp;""))="membership"),"",IF(OR(AND($H331&lt;&gt;"",$H331=0),LEFT(LOWER(TRIM($F331&amp;"")),9)="free game",LOWER(TRIM($F331&amp;""))="free",LOWER(TRIM($F331&amp;""))="free entry"),IF(OR(NOT(ISNUMBER($N331)),NOT(ISNUMBER($I331)),$I331=0),"N/A",IFERROR($N331/$I331,"N/A")),IF(OR($N331="",$I331="",$I331=0),"",IFERROR($N331/$I331,"")))))</ns0:f>
        <ns0:v/>
      </ns0:c>
      <ns0:c r="P331" s="987">
        <ns0:f>IF(COUNTA($A331:$M331)=0,"",IF(OR(LEFT(LOWER(TRIM($F331&amp;"")),12)="subscription",LOWER(TRIM($F331&amp;""))="membership"),"",IF(LOWER(TRIM($D331&amp;""))="estimate","N/A",IF(LOWER($L331&amp;"")="yes",0,IF(OR(AND($H331&lt;&gt;"",$H331=0),LEFT(LOWER(TRIM($F331&amp;"")),9)="free game",LOWER(TRIM($F331&amp;""))="free",LOWER(TRIM($F331&amp;""))="free entry"),IF(ISNUMBER($K331),$K331,""),IF($K331&lt;&gt;"",$K331,""))))))</ns0:f>
      </ns0:c>
      <ns0:c r="Q331" s="114">
        <ns0:f>IF(COUNTA($A331:$M331)=0,"",IF(OR($U331="Subscription",$U331=""),"",IF($U331="Estimate","N/A",IF($U331="Profit",ROUND(IFERROR($P331,0)-IFERROR($H331,0),2),0))))</ns0:f>
      </ns0:c>
      <ns0:c r="R331" s="114">
        <ns0:f>IF(COUNTA($A331:$M331)=0,"",IF(OR($U331="Subscription",$U331=""),"",IF($U331="Estimate","N/A",IF($U331="Draw",$H331,0))))</ns0:f>
      </ns0:c>
      <ns0:c r="S331" s="114">
        <ns0:f>IF(COUNTA($A331:$M331)=0,"",IF(OR($U331="Subscription",$U331=""),"",IF($U331="Estimate","N/A",IF($U331="Disqualified",$H331,0))))</ns0:f>
      </ns0:c>
      <ns0:c r="T331" s="955">
        <ns0:f>IF(COUNTA($A331:$M331)=0,"",IF(OR($U331="Subscription",$U331=""),"",IF($U331="Estimate","N/A",IF(OR($U331="Free Game",$U331="Disqualified — Free Game",$H331=0),"N/A",IF($U331="Profit",$Q331/$H331,IF($U331="Disqualified",-$S331/$H331,0))))))</ns0:f>
      </ns0:c>
      <ns0:c r="U331" s="920">
        <ns0:f>IF(COUNTA($A331:$M331)=0,"",IF(OR(LEFT(LOWER(TRIM($F331&amp;"")),12)="subscription",LOWER(TRIM($F331&amp;""))="membership"),"Subscription",IF(LOWER(TRIM($D331&amp;""))="estimate","Estimate",IF(OR(AND($H331&lt;&gt;"",$H331=0),LEFT(LOWER(TRIM($F331&amp;"")),9)="free game",LOWER(TRIM($F331&amp;""))="free",LOWER(TRIM($F331&amp;""))="free entry"),IF(LOWER($L331&amp;"")="yes","Disqualified — Free Game","Free Game"),IF(LOWER($L331&amp;"")="yes","Disqualified",IF($P331="","",IF(ROUND(IFERROR(VALUE($P331),0)-IFERROR(VALUE($H331),0),2)&gt;0,"Profit","Draw")))))))</ns0:f>
      </ns0:c>
      <ns0:c r="V331" s="956" t="str">
        <ns0:f>IF(COUNTA($A331:$M331)=0,"",IF(OR($B331="",$C331="",$U331="Subscription"),"",IFERROR(ROUNDUP(($C331-$B331)/7,0),"")))</ns0:f>
      </ns0:c>
      <ns0:c r="W331" s="114">
        <ns0:f>IF(COUNTA($A331:$M331)=0,"",IF(OR($U331="Subscription",$U331=""),"",IF($U331="Estimate","N/A",IF(OR($U331="Free Game",$U331="Disqualified — Free Game"),0,ROUND(IFERROR($Q331,0)-IFERROR($S331,0),2)))))</ns0:f>
      </ns0:c>
      <ns0:c r="X331" s="956" t="str">
        <ns0:f>IF(COUNTA($A331:$M331)=0,"",IF(OR($U331="Subscription",NOT(ISNUMBER($J331)),NOT(ISNUMBER($I331)),$J331=0,$I331=0,$I331&gt;$J331),"",$J331-$I331))</ns0:f>
      </ns0:c>
      <ns0:c r="Y331" s="955" t="str">
        <ns0:f>IF(COUNTA($A331:$M331)=0,"",IF(OR($U331="Subscription",NOT(ISNUMBER($J331)),$J331=0,$X331=""),"",$X331/$J331))</ns0:f>
      </ns0:c>
      <ns0:c r="Z331" s="957" t="str">
        <ns0:f>IF(COUNTA($A331:$M331)=0,"",Instructions!$B$29+SUM($W$5:W331))</ns0:f>
      </ns0:c>
    </ns0:row>
    <ns0:row r="332" ht="36" customHeight="1">
      <ns0:c r="A332" s="439"/>
      <ns0:c r="B332" s="453"/>
      <ns0:c r="C332" s="453"/>
      <ns0:c r="D332" s="454"/>
      <ns0:c r="E332" s="454"/>
      <ns0:c r="F332" s="454"/>
      <ns0:c r="G332" s="986"/>
      <ns0:c r="H332" s="455"/>
      <ns0:c r="I332" s="456"/>
      <ns0:c r="J332" s="456"/>
      <ns0:c r="K332" s="986"/>
      <ns0:c r="L332" s="454"/>
      <ns0:c r="M332" s="439"/>
      <ns0:c r="N332" s="987" t="str">
        <ns0:f>IF(COUNTA($A332:$M332)=0,"",IF(OR(LEFT(LOWER(TRIM($F332&amp;"")),12)="subscription",LOWER(TRIM($F332&amp;""))="membership"),"",IF(OR(AND($H332&lt;&gt;"",$H332=0),LEFT(LOWER(TRIM($F332&amp;"")),9)="free game",LOWER(TRIM($F332&amp;""))="free",LOWER(TRIM($F332&amp;""))="free entry"),IF(ISNUMBER($G332),IF(ISNUMBER(SEARCH("non",LOWER($E332&amp;""))),$G332*0.85,$G332),"N/A"),IF($G332="","",IFERROR(IF(ISNUMBER(SEARCH("non",LOWER($E332&amp;""))),$G332*0.85,$G332),"")))))</ns0:f>
        <ns0:v/>
      </ns0:c>
      <ns0:c r="O332" s="987" t="str">
        <ns0:f>IF(COUNTA($A332:$M332)=0,"",IF(OR(LEFT(LOWER(TRIM($F332&amp;"")),12)="subscription",LOWER(TRIM($F332&amp;""))="membership"),"",IF(OR(AND($H332&lt;&gt;"",$H332=0),LEFT(LOWER(TRIM($F332&amp;"")),9)="free game",LOWER(TRIM($F332&amp;""))="free",LOWER(TRIM($F332&amp;""))="free entry"),IF(OR(NOT(ISNUMBER($N332)),NOT(ISNUMBER($I332)),$I332=0),"N/A",IFERROR($N332/$I332,"N/A")),IF(OR($N332="",$I332="",$I332=0),"",IFERROR($N332/$I332,"")))))</ns0:f>
        <ns0:v/>
      </ns0:c>
      <ns0:c r="P332" s="987">
        <ns0:f>IF(COUNTA($A332:$M332)=0,"",IF(OR(LEFT(LOWER(TRIM($F332&amp;"")),12)="subscription",LOWER(TRIM($F332&amp;""))="membership"),"",IF(LOWER(TRIM($D332&amp;""))="estimate","N/A",IF(LOWER($L332&amp;"")="yes",0,IF(OR(AND($H332&lt;&gt;"",$H332=0),LEFT(LOWER(TRIM($F332&amp;"")),9)="free game",LOWER(TRIM($F332&amp;""))="free",LOWER(TRIM($F332&amp;""))="free entry"),IF(ISNUMBER($K332),$K332,""),IF($K332&lt;&gt;"",$K332,""))))))</ns0:f>
      </ns0:c>
      <ns0:c r="Q332" s="114">
        <ns0:f>IF(COUNTA($A332:$M332)=0,"",IF(OR($U332="Subscription",$U332=""),"",IF($U332="Estimate","N/A",IF($U332="Profit",ROUND(IFERROR($P332,0)-IFERROR($H332,0),2),0))))</ns0:f>
      </ns0:c>
      <ns0:c r="R332" s="114">
        <ns0:f>IF(COUNTA($A332:$M332)=0,"",IF(OR($U332="Subscription",$U332=""),"",IF($U332="Estimate","N/A",IF($U332="Draw",$H332,0))))</ns0:f>
      </ns0:c>
      <ns0:c r="S332" s="114">
        <ns0:f>IF(COUNTA($A332:$M332)=0,"",IF(OR($U332="Subscription",$U332=""),"",IF($U332="Estimate","N/A",IF($U332="Disqualified",$H332,0))))</ns0:f>
      </ns0:c>
      <ns0:c r="T332" s="955">
        <ns0:f>IF(COUNTA($A332:$M332)=0,"",IF(OR($U332="Subscription",$U332=""),"",IF($U332="Estimate","N/A",IF(OR($U332="Free Game",$U332="Disqualified — Free Game",$H332=0),"N/A",IF($U332="Profit",$Q332/$H332,IF($U332="Disqualified",-$S332/$H332,0))))))</ns0:f>
      </ns0:c>
      <ns0:c r="U332" s="920">
        <ns0:f>IF(COUNTA($A332:$M332)=0,"",IF(OR(LEFT(LOWER(TRIM($F332&amp;"")),12)="subscription",LOWER(TRIM($F332&amp;""))="membership"),"Subscription",IF(LOWER(TRIM($D332&amp;""))="estimate","Estimate",IF(OR(AND($H332&lt;&gt;"",$H332=0),LEFT(LOWER(TRIM($F332&amp;"")),9)="free game",LOWER(TRIM($F332&amp;""))="free",LOWER(TRIM($F332&amp;""))="free entry"),IF(LOWER($L332&amp;"")="yes","Disqualified — Free Game","Free Game"),IF(LOWER($L332&amp;"")="yes","Disqualified",IF($P332="","",IF(ROUND(IFERROR(VALUE($P332),0)-IFERROR(VALUE($H332),0),2)&gt;0,"Profit","Draw")))))))</ns0:f>
      </ns0:c>
      <ns0:c r="V332" s="956" t="str">
        <ns0:f>IF(COUNTA($A332:$M332)=0,"",IF(OR($B332="",$C332="",$U332="Subscription"),"",IFERROR(ROUNDUP(($C332-$B332)/7,0),"")))</ns0:f>
      </ns0:c>
      <ns0:c r="W332" s="114">
        <ns0:f>IF(COUNTA($A332:$M332)=0,"",IF(OR($U332="Subscription",$U332=""),"",IF($U332="Estimate","N/A",IF(OR($U332="Free Game",$U332="Disqualified — Free Game"),0,ROUND(IFERROR($Q332,0)-IFERROR($S332,0),2)))))</ns0:f>
      </ns0:c>
      <ns0:c r="X332" s="956" t="str">
        <ns0:f>IF(COUNTA($A332:$M332)=0,"",IF(OR($U332="Subscription",NOT(ISNUMBER($J332)),NOT(ISNUMBER($I332)),$J332=0,$I332=0,$I332&gt;$J332),"",$J332-$I332))</ns0:f>
      </ns0:c>
      <ns0:c r="Y332" s="955" t="str">
        <ns0:f>IF(COUNTA($A332:$M332)=0,"",IF(OR($U332="Subscription",NOT(ISNUMBER($J332)),$J332=0,$X332=""),"",$X332/$J332))</ns0:f>
      </ns0:c>
      <ns0:c r="Z332" s="957" t="str">
        <ns0:f>IF(COUNTA($A332:$M332)=0,"",Instructions!$B$29+SUM($W$5:W332))</ns0:f>
      </ns0:c>
    </ns0:row>
    <ns0:row r="333" ht="36" customHeight="1">
      <ns0:c r="A333" s="439"/>
      <ns0:c r="B333" s="453"/>
      <ns0:c r="C333" s="453"/>
      <ns0:c r="D333" s="454"/>
      <ns0:c r="E333" s="454"/>
      <ns0:c r="F333" s="454"/>
      <ns0:c r="G333" s="986"/>
      <ns0:c r="H333" s="455"/>
      <ns0:c r="I333" s="456"/>
      <ns0:c r="J333" s="456"/>
      <ns0:c r="K333" s="986"/>
      <ns0:c r="L333" s="454"/>
      <ns0:c r="M333" s="439"/>
      <ns0:c r="N333" s="987" t="str">
        <ns0:f>IF(COUNTA($A333:$M333)=0,"",IF(OR(LEFT(LOWER(TRIM($F333&amp;"")),12)="subscription",LOWER(TRIM($F333&amp;""))="membership"),"",IF(OR(AND($H333&lt;&gt;"",$H333=0),LEFT(LOWER(TRIM($F333&amp;"")),9)="free game",LOWER(TRIM($F333&amp;""))="free",LOWER(TRIM($F333&amp;""))="free entry"),IF(ISNUMBER($G333),IF(ISNUMBER(SEARCH("non",LOWER($E333&amp;""))),$G333*0.85,$G333),"N/A"),IF($G333="","",IFERROR(IF(ISNUMBER(SEARCH("non",LOWER($E333&amp;""))),$G333*0.85,$G333),"")))))</ns0:f>
        <ns0:v/>
      </ns0:c>
      <ns0:c r="O333" s="987" t="str">
        <ns0:f>IF(COUNTA($A333:$M333)=0,"",IF(OR(LEFT(LOWER(TRIM($F333&amp;"")),12)="subscription",LOWER(TRIM($F333&amp;""))="membership"),"",IF(OR(AND($H333&lt;&gt;"",$H333=0),LEFT(LOWER(TRIM($F333&amp;"")),9)="free game",LOWER(TRIM($F333&amp;""))="free",LOWER(TRIM($F333&amp;""))="free entry"),IF(OR(NOT(ISNUMBER($N333)),NOT(ISNUMBER($I333)),$I333=0),"N/A",IFERROR($N333/$I333,"N/A")),IF(OR($N333="",$I333="",$I333=0),"",IFERROR($N333/$I333,"")))))</ns0:f>
        <ns0:v/>
      </ns0:c>
      <ns0:c r="P333" s="987">
        <ns0:f>IF(COUNTA($A333:$M333)=0,"",IF(OR(LEFT(LOWER(TRIM($F333&amp;"")),12)="subscription",LOWER(TRIM($F333&amp;""))="membership"),"",IF(LOWER(TRIM($D333&amp;""))="estimate","N/A",IF(LOWER($L333&amp;"")="yes",0,IF(OR(AND($H333&lt;&gt;"",$H333=0),LEFT(LOWER(TRIM($F333&amp;"")),9)="free game",LOWER(TRIM($F333&amp;""))="free",LOWER(TRIM($F333&amp;""))="free entry"),IF(ISNUMBER($K333),$K333,""),IF($K333&lt;&gt;"",$K333,""))))))</ns0:f>
      </ns0:c>
      <ns0:c r="Q333" s="114">
        <ns0:f>IF(COUNTA($A333:$M333)=0,"",IF(OR($U333="Subscription",$U333=""),"",IF($U333="Estimate","N/A",IF($U333="Profit",ROUND(IFERROR($P333,0)-IFERROR($H333,0),2),0))))</ns0:f>
      </ns0:c>
      <ns0:c r="R333" s="114">
        <ns0:f>IF(COUNTA($A333:$M333)=0,"",IF(OR($U333="Subscription",$U333=""),"",IF($U333="Estimate","N/A",IF($U333="Draw",$H333,0))))</ns0:f>
      </ns0:c>
      <ns0:c r="S333" s="114">
        <ns0:f>IF(COUNTA($A333:$M333)=0,"",IF(OR($U333="Subscription",$U333=""),"",IF($U333="Estimate","N/A",IF($U333="Disqualified",$H333,0))))</ns0:f>
      </ns0:c>
      <ns0:c r="T333" s="955">
        <ns0:f>IF(COUNTA($A333:$M333)=0,"",IF(OR($U333="Subscription",$U333=""),"",IF($U333="Estimate","N/A",IF(OR($U333="Free Game",$U333="Disqualified — Free Game",$H333=0),"N/A",IF($U333="Profit",$Q333/$H333,IF($U333="Disqualified",-$S333/$H333,0))))))</ns0:f>
      </ns0:c>
      <ns0:c r="U333" s="920">
        <ns0:f>IF(COUNTA($A333:$M333)=0,"",IF(OR(LEFT(LOWER(TRIM($F333&amp;"")),12)="subscription",LOWER(TRIM($F333&amp;""))="membership"),"Subscription",IF(LOWER(TRIM($D333&amp;""))="estimate","Estimate",IF(OR(AND($H333&lt;&gt;"",$H333=0),LEFT(LOWER(TRIM($F333&amp;"")),9)="free game",LOWER(TRIM($F333&amp;""))="free",LOWER(TRIM($F333&amp;""))="free entry"),IF(LOWER($L333&amp;"")="yes","Disqualified — Free Game","Free Game"),IF(LOWER($L333&amp;"")="yes","Disqualified",IF($P333="","",IF(ROUND(IFERROR(VALUE($P333),0)-IFERROR(VALUE($H333),0),2)&gt;0,"Profit","Draw")))))))</ns0:f>
      </ns0:c>
      <ns0:c r="V333" s="956" t="str">
        <ns0:f>IF(COUNTA($A333:$M333)=0,"",IF(OR($B333="",$C333="",$U333="Subscription"),"",IFERROR(ROUNDUP(($C333-$B333)/7,0),"")))</ns0:f>
      </ns0:c>
      <ns0:c r="W333" s="114">
        <ns0:f>IF(COUNTA($A333:$M333)=0,"",IF(OR($U333="Subscription",$U333=""),"",IF($U333="Estimate","N/A",IF(OR($U333="Free Game",$U333="Disqualified — Free Game"),0,ROUND(IFERROR($Q333,0)-IFERROR($S333,0),2)))))</ns0:f>
      </ns0:c>
      <ns0:c r="X333" s="956" t="str">
        <ns0:f>IF(COUNTA($A333:$M333)=0,"",IF(OR($U333="Subscription",NOT(ISNUMBER($J333)),NOT(ISNUMBER($I333)),$J333=0,$I333=0,$I333&gt;$J333),"",$J333-$I333))</ns0:f>
      </ns0:c>
      <ns0:c r="Y333" s="955" t="str">
        <ns0:f>IF(COUNTA($A333:$M333)=0,"",IF(OR($U333="Subscription",NOT(ISNUMBER($J333)),$J333=0,$X333=""),"",$X333/$J333))</ns0:f>
      </ns0:c>
      <ns0:c r="Z333" s="957" t="str">
        <ns0:f>IF(COUNTA($A333:$M333)=0,"",Instructions!$B$29+SUM($W$5:W333))</ns0:f>
      </ns0:c>
    </ns0:row>
    <ns0:row r="334" ht="36" customHeight="1">
      <ns0:c r="A334" s="439"/>
      <ns0:c r="B334" s="453"/>
      <ns0:c r="C334" s="453"/>
      <ns0:c r="D334" s="454"/>
      <ns0:c r="E334" s="454"/>
      <ns0:c r="F334" s="454"/>
      <ns0:c r="G334" s="986"/>
      <ns0:c r="H334" s="455"/>
      <ns0:c r="I334" s="456"/>
      <ns0:c r="J334" s="456"/>
      <ns0:c r="K334" s="986"/>
      <ns0:c r="L334" s="454"/>
      <ns0:c r="M334" s="439"/>
      <ns0:c r="N334" s="987" t="str">
        <ns0:f>IF(COUNTA($A334:$M334)=0,"",IF(OR(LEFT(LOWER(TRIM($F334&amp;"")),12)="subscription",LOWER(TRIM($F334&amp;""))="membership"),"",IF(OR(AND($H334&lt;&gt;"",$H334=0),LEFT(LOWER(TRIM($F334&amp;"")),9)="free game",LOWER(TRIM($F334&amp;""))="free",LOWER(TRIM($F334&amp;""))="free entry"),IF(ISNUMBER($G334),IF(ISNUMBER(SEARCH("non",LOWER($E334&amp;""))),$G334*0.85,$G334),"N/A"),IF($G334="","",IFERROR(IF(ISNUMBER(SEARCH("non",LOWER($E334&amp;""))),$G334*0.85,$G334),"")))))</ns0:f>
        <ns0:v/>
      </ns0:c>
      <ns0:c r="O334" s="987" t="str">
        <ns0:f>IF(COUNTA($A334:$M334)=0,"",IF(OR(LEFT(LOWER(TRIM($F334&amp;"")),12)="subscription",LOWER(TRIM($F334&amp;""))="membership"),"",IF(OR(AND($H334&lt;&gt;"",$H334=0),LEFT(LOWER(TRIM($F334&amp;"")),9)="free game",LOWER(TRIM($F334&amp;""))="free",LOWER(TRIM($F334&amp;""))="free entry"),IF(OR(NOT(ISNUMBER($N334)),NOT(ISNUMBER($I334)),$I334=0),"N/A",IFERROR($N334/$I334,"N/A")),IF(OR($N334="",$I334="",$I334=0),"",IFERROR($N334/$I334,"")))))</ns0:f>
        <ns0:v/>
      </ns0:c>
      <ns0:c r="P334" s="987">
        <ns0:f>IF(COUNTA($A334:$M334)=0,"",IF(OR(LEFT(LOWER(TRIM($F334&amp;"")),12)="subscription",LOWER(TRIM($F334&amp;""))="membership"),"",IF(LOWER(TRIM($D334&amp;""))="estimate","N/A",IF(LOWER($L334&amp;"")="yes",0,IF(OR(AND($H334&lt;&gt;"",$H334=0),LEFT(LOWER(TRIM($F334&amp;"")),9)="free game",LOWER(TRIM($F334&amp;""))="free",LOWER(TRIM($F334&amp;""))="free entry"),IF(ISNUMBER($K334),$K334,""),IF($K334&lt;&gt;"",$K334,""))))))</ns0:f>
      </ns0:c>
      <ns0:c r="Q334" s="114">
        <ns0:f>IF(COUNTA($A334:$M334)=0,"",IF(OR($U334="Subscription",$U334=""),"",IF($U334="Estimate","N/A",IF($U334="Profit",ROUND(IFERROR($P334,0)-IFERROR($H334,0),2),0))))</ns0:f>
      </ns0:c>
      <ns0:c r="R334" s="114">
        <ns0:f>IF(COUNTA($A334:$M334)=0,"",IF(OR($U334="Subscription",$U334=""),"",IF($U334="Estimate","N/A",IF($U334="Draw",$H334,0))))</ns0:f>
      </ns0:c>
      <ns0:c r="S334" s="114">
        <ns0:f>IF(COUNTA($A334:$M334)=0,"",IF(OR($U334="Subscription",$U334=""),"",IF($U334="Estimate","N/A",IF($U334="Disqualified",$H334,0))))</ns0:f>
      </ns0:c>
      <ns0:c r="T334" s="955">
        <ns0:f>IF(COUNTA($A334:$M334)=0,"",IF(OR($U334="Subscription",$U334=""),"",IF($U334="Estimate","N/A",IF(OR($U334="Free Game",$U334="Disqualified — Free Game",$H334=0),"N/A",IF($U334="Profit",$Q334/$H334,IF($U334="Disqualified",-$S334/$H334,0))))))</ns0:f>
      </ns0:c>
      <ns0:c r="U334" s="920">
        <ns0:f>IF(COUNTA($A334:$M334)=0,"",IF(OR(LEFT(LOWER(TRIM($F334&amp;"")),12)="subscription",LOWER(TRIM($F334&amp;""))="membership"),"Subscription",IF(LOWER(TRIM($D334&amp;""))="estimate","Estimate",IF(OR(AND($H334&lt;&gt;"",$H334=0),LEFT(LOWER(TRIM($F334&amp;"")),9)="free game",LOWER(TRIM($F334&amp;""))="free",LOWER(TRIM($F334&amp;""))="free entry"),IF(LOWER($L334&amp;"")="yes","Disqualified — Free Game","Free Game"),IF(LOWER($L334&amp;"")="yes","Disqualified",IF($P334="","",IF(ROUND(IFERROR(VALUE($P334),0)-IFERROR(VALUE($H334),0),2)&gt;0,"Profit","Draw")))))))</ns0:f>
      </ns0:c>
      <ns0:c r="V334" s="956" t="str">
        <ns0:f>IF(COUNTA($A334:$M334)=0,"",IF(OR($B334="",$C334="",$U334="Subscription"),"",IFERROR(ROUNDUP(($C334-$B334)/7,0),"")))</ns0:f>
      </ns0:c>
      <ns0:c r="W334" s="114">
        <ns0:f>IF(COUNTA($A334:$M334)=0,"",IF(OR($U334="Subscription",$U334=""),"",IF($U334="Estimate","N/A",IF(OR($U334="Free Game",$U334="Disqualified — Free Game"),0,ROUND(IFERROR($Q334,0)-IFERROR($S334,0),2)))))</ns0:f>
      </ns0:c>
      <ns0:c r="X334" s="956" t="str">
        <ns0:f>IF(COUNTA($A334:$M334)=0,"",IF(OR($U334="Subscription",NOT(ISNUMBER($J334)),NOT(ISNUMBER($I334)),$J334=0,$I334=0,$I334&gt;$J334),"",$J334-$I334))</ns0:f>
      </ns0:c>
      <ns0:c r="Y334" s="955" t="str">
        <ns0:f>IF(COUNTA($A334:$M334)=0,"",IF(OR($U334="Subscription",NOT(ISNUMBER($J334)),$J334=0,$X334=""),"",$X334/$J334))</ns0:f>
      </ns0:c>
      <ns0:c r="Z334" s="957" t="str">
        <ns0:f>IF(COUNTA($A334:$M334)=0,"",Instructions!$B$29+SUM($W$5:W334))</ns0:f>
      </ns0:c>
    </ns0:row>
    <ns0:row r="335" ht="36" customHeight="1">
      <ns0:c r="A335" s="439"/>
      <ns0:c r="B335" s="453"/>
      <ns0:c r="C335" s="453"/>
      <ns0:c r="D335" s="454"/>
      <ns0:c r="E335" s="454"/>
      <ns0:c r="F335" s="454"/>
      <ns0:c r="G335" s="986"/>
      <ns0:c r="H335" s="455"/>
      <ns0:c r="I335" s="456"/>
      <ns0:c r="J335" s="456"/>
      <ns0:c r="K335" s="986"/>
      <ns0:c r="L335" s="454"/>
      <ns0:c r="M335" s="439"/>
      <ns0:c r="N335" s="987" t="str">
        <ns0:f>IF(COUNTA($A335:$M335)=0,"",IF(OR(LEFT(LOWER(TRIM($F335&amp;"")),12)="subscription",LOWER(TRIM($F335&amp;""))="membership"),"",IF(OR(AND($H335&lt;&gt;"",$H335=0),LEFT(LOWER(TRIM($F335&amp;"")),9)="free game",LOWER(TRIM($F335&amp;""))="free",LOWER(TRIM($F335&amp;""))="free entry"),IF(ISNUMBER($G335),IF(ISNUMBER(SEARCH("non",LOWER($E335&amp;""))),$G335*0.85,$G335),"N/A"),IF($G335="","",IFERROR(IF(ISNUMBER(SEARCH("non",LOWER($E335&amp;""))),$G335*0.85,$G335),"")))))</ns0:f>
        <ns0:v/>
      </ns0:c>
      <ns0:c r="O335" s="987" t="str">
        <ns0:f>IF(COUNTA($A335:$M335)=0,"",IF(OR(LEFT(LOWER(TRIM($F335&amp;"")),12)="subscription",LOWER(TRIM($F335&amp;""))="membership"),"",IF(OR(AND($H335&lt;&gt;"",$H335=0),LEFT(LOWER(TRIM($F335&amp;"")),9)="free game",LOWER(TRIM($F335&amp;""))="free",LOWER(TRIM($F335&amp;""))="free entry"),IF(OR(NOT(ISNUMBER($N335)),NOT(ISNUMBER($I335)),$I335=0),"N/A",IFERROR($N335/$I335,"N/A")),IF(OR($N335="",$I335="",$I335=0),"",IFERROR($N335/$I335,"")))))</ns0:f>
        <ns0:v/>
      </ns0:c>
      <ns0:c r="P335" s="987">
        <ns0:f>IF(COUNTA($A335:$M335)=0,"",IF(OR(LEFT(LOWER(TRIM($F335&amp;"")),12)="subscription",LOWER(TRIM($F335&amp;""))="membership"),"",IF(LOWER(TRIM($D335&amp;""))="estimate","N/A",IF(LOWER($L335&amp;"")="yes",0,IF(OR(AND($H335&lt;&gt;"",$H335=0),LEFT(LOWER(TRIM($F335&amp;"")),9)="free game",LOWER(TRIM($F335&amp;""))="free",LOWER(TRIM($F335&amp;""))="free entry"),IF(ISNUMBER($K335),$K335,""),IF($K335&lt;&gt;"",$K335,""))))))</ns0:f>
      </ns0:c>
      <ns0:c r="Q335" s="114">
        <ns0:f>IF(COUNTA($A335:$M335)=0,"",IF(OR($U335="Subscription",$U335=""),"",IF($U335="Estimate","N/A",IF($U335="Profit",ROUND(IFERROR($P335,0)-IFERROR($H335,0),2),0))))</ns0:f>
      </ns0:c>
      <ns0:c r="R335" s="114">
        <ns0:f>IF(COUNTA($A335:$M335)=0,"",IF(OR($U335="Subscription",$U335=""),"",IF($U335="Estimate","N/A",IF($U335="Draw",$H335,0))))</ns0:f>
      </ns0:c>
      <ns0:c r="S335" s="114">
        <ns0:f>IF(COUNTA($A335:$M335)=0,"",IF(OR($U335="Subscription",$U335=""),"",IF($U335="Estimate","N/A",IF($U335="Disqualified",$H335,0))))</ns0:f>
      </ns0:c>
      <ns0:c r="T335" s="955">
        <ns0:f>IF(COUNTA($A335:$M335)=0,"",IF(OR($U335="Subscription",$U335=""),"",IF($U335="Estimate","N/A",IF(OR($U335="Free Game",$U335="Disqualified — Free Game",$H335=0),"N/A",IF($U335="Profit",$Q335/$H335,IF($U335="Disqualified",-$S335/$H335,0))))))</ns0:f>
      </ns0:c>
      <ns0:c r="U335" s="920">
        <ns0:f>IF(COUNTA($A335:$M335)=0,"",IF(OR(LEFT(LOWER(TRIM($F335&amp;"")),12)="subscription",LOWER(TRIM($F335&amp;""))="membership"),"Subscription",IF(LOWER(TRIM($D335&amp;""))="estimate","Estimate",IF(OR(AND($H335&lt;&gt;"",$H335=0),LEFT(LOWER(TRIM($F335&amp;"")),9)="free game",LOWER(TRIM($F335&amp;""))="free",LOWER(TRIM($F335&amp;""))="free entry"),IF(LOWER($L335&amp;"")="yes","Disqualified — Free Game","Free Game"),IF(LOWER($L335&amp;"")="yes","Disqualified",IF($P335="","",IF(ROUND(IFERROR(VALUE($P335),0)-IFERROR(VALUE($H335),0),2)&gt;0,"Profit","Draw")))))))</ns0:f>
      </ns0:c>
      <ns0:c r="V335" s="956" t="str">
        <ns0:f>IF(COUNTA($A335:$M335)=0,"",IF(OR($B335="",$C335="",$U335="Subscription"),"",IFERROR(ROUNDUP(($C335-$B335)/7,0),"")))</ns0:f>
      </ns0:c>
      <ns0:c r="W335" s="114">
        <ns0:f>IF(COUNTA($A335:$M335)=0,"",IF(OR($U335="Subscription",$U335=""),"",IF($U335="Estimate","N/A",IF(OR($U335="Free Game",$U335="Disqualified — Free Game"),0,ROUND(IFERROR($Q335,0)-IFERROR($S335,0),2)))))</ns0:f>
      </ns0:c>
      <ns0:c r="X335" s="956" t="str">
        <ns0:f>IF(COUNTA($A335:$M335)=0,"",IF(OR($U335="Subscription",NOT(ISNUMBER($J335)),NOT(ISNUMBER($I335)),$J335=0,$I335=0,$I335&gt;$J335),"",$J335-$I335))</ns0:f>
      </ns0:c>
      <ns0:c r="Y335" s="955" t="str">
        <ns0:f>IF(COUNTA($A335:$M335)=0,"",IF(OR($U335="Subscription",NOT(ISNUMBER($J335)),$J335=0,$X335=""),"",$X335/$J335))</ns0:f>
      </ns0:c>
      <ns0:c r="Z335" s="957" t="str">
        <ns0:f>IF(COUNTA($A335:$M335)=0,"",Instructions!$B$29+SUM($W$5:W335))</ns0:f>
      </ns0:c>
    </ns0:row>
    <ns0:row r="336" ht="36" customHeight="1">
      <ns0:c r="A336" s="439"/>
      <ns0:c r="B336" s="453"/>
      <ns0:c r="C336" s="453"/>
      <ns0:c r="D336" s="454"/>
      <ns0:c r="E336" s="454"/>
      <ns0:c r="F336" s="454"/>
      <ns0:c r="G336" s="986"/>
      <ns0:c r="H336" s="455"/>
      <ns0:c r="I336" s="456"/>
      <ns0:c r="J336" s="456"/>
      <ns0:c r="K336" s="986"/>
      <ns0:c r="L336" s="454"/>
      <ns0:c r="M336" s="439"/>
      <ns0:c r="N336" s="987" t="str">
        <ns0:f>IF(COUNTA($A336:$M336)=0,"",IF(OR(LEFT(LOWER(TRIM($F336&amp;"")),12)="subscription",LOWER(TRIM($F336&amp;""))="membership"),"",IF(OR(AND($H336&lt;&gt;"",$H336=0),LEFT(LOWER(TRIM($F336&amp;"")),9)="free game",LOWER(TRIM($F336&amp;""))="free",LOWER(TRIM($F336&amp;""))="free entry"),IF(ISNUMBER($G336),IF(ISNUMBER(SEARCH("non",LOWER($E336&amp;""))),$G336*0.85,$G336),"N/A"),IF($G336="","",IFERROR(IF(ISNUMBER(SEARCH("non",LOWER($E336&amp;""))),$G336*0.85,$G336),"")))))</ns0:f>
        <ns0:v/>
      </ns0:c>
      <ns0:c r="O336" s="987" t="str">
        <ns0:f>IF(COUNTA($A336:$M336)=0,"",IF(OR(LEFT(LOWER(TRIM($F336&amp;"")),12)="subscription",LOWER(TRIM($F336&amp;""))="membership"),"",IF(OR(AND($H336&lt;&gt;"",$H336=0),LEFT(LOWER(TRIM($F336&amp;"")),9)="free game",LOWER(TRIM($F336&amp;""))="free",LOWER(TRIM($F336&amp;""))="free entry"),IF(OR(NOT(ISNUMBER($N336)),NOT(ISNUMBER($I336)),$I336=0),"N/A",IFERROR($N336/$I336,"N/A")),IF(OR($N336="",$I336="",$I336=0),"",IFERROR($N336/$I336,"")))))</ns0:f>
        <ns0:v/>
      </ns0:c>
      <ns0:c r="P336" s="987">
        <ns0:f>IF(COUNTA($A336:$M336)=0,"",IF(OR(LEFT(LOWER(TRIM($F336&amp;"")),12)="subscription",LOWER(TRIM($F336&amp;""))="membership"),"",IF(LOWER(TRIM($D336&amp;""))="estimate","N/A",IF(LOWER($L336&amp;"")="yes",0,IF(OR(AND($H336&lt;&gt;"",$H336=0),LEFT(LOWER(TRIM($F336&amp;"")),9)="free game",LOWER(TRIM($F336&amp;""))="free",LOWER(TRIM($F336&amp;""))="free entry"),IF(ISNUMBER($K336),$K336,""),IF($K336&lt;&gt;"",$K336,""))))))</ns0:f>
      </ns0:c>
      <ns0:c r="Q336" s="114">
        <ns0:f>IF(COUNTA($A336:$M336)=0,"",IF(OR($U336="Subscription",$U336=""),"",IF($U336="Estimate","N/A",IF($U336="Profit",ROUND(IFERROR($P336,0)-IFERROR($H336,0),2),0))))</ns0:f>
      </ns0:c>
      <ns0:c r="R336" s="114">
        <ns0:f>IF(COUNTA($A336:$M336)=0,"",IF(OR($U336="Subscription",$U336=""),"",IF($U336="Estimate","N/A",IF($U336="Draw",$H336,0))))</ns0:f>
      </ns0:c>
      <ns0:c r="S336" s="114">
        <ns0:f>IF(COUNTA($A336:$M336)=0,"",IF(OR($U336="Subscription",$U336=""),"",IF($U336="Estimate","N/A",IF($U336="Disqualified",$H336,0))))</ns0:f>
      </ns0:c>
      <ns0:c r="T336" s="955">
        <ns0:f>IF(COUNTA($A336:$M336)=0,"",IF(OR($U336="Subscription",$U336=""),"",IF($U336="Estimate","N/A",IF(OR($U336="Free Game",$U336="Disqualified — Free Game",$H336=0),"N/A",IF($U336="Profit",$Q336/$H336,IF($U336="Disqualified",-$S336/$H336,0))))))</ns0:f>
      </ns0:c>
      <ns0:c r="U336" s="920">
        <ns0:f>IF(COUNTA($A336:$M336)=0,"",IF(OR(LEFT(LOWER(TRIM($F336&amp;"")),12)="subscription",LOWER(TRIM($F336&amp;""))="membership"),"Subscription",IF(LOWER(TRIM($D336&amp;""))="estimate","Estimate",IF(OR(AND($H336&lt;&gt;"",$H336=0),LEFT(LOWER(TRIM($F336&amp;"")),9)="free game",LOWER(TRIM($F336&amp;""))="free",LOWER(TRIM($F336&amp;""))="free entry"),IF(LOWER($L336&amp;"")="yes","Disqualified — Free Game","Free Game"),IF(LOWER($L336&amp;"")="yes","Disqualified",IF($P336="","",IF(ROUND(IFERROR(VALUE($P336),0)-IFERROR(VALUE($H336),0),2)&gt;0,"Profit","Draw")))))))</ns0:f>
      </ns0:c>
      <ns0:c r="V336" s="956" t="str">
        <ns0:f>IF(COUNTA($A336:$M336)=0,"",IF(OR($B336="",$C336="",$U336="Subscription"),"",IFERROR(ROUNDUP(($C336-$B336)/7,0),"")))</ns0:f>
      </ns0:c>
      <ns0:c r="W336" s="114">
        <ns0:f>IF(COUNTA($A336:$M336)=0,"",IF(OR($U336="Subscription",$U336=""),"",IF($U336="Estimate","N/A",IF(OR($U336="Free Game",$U336="Disqualified — Free Game"),0,ROUND(IFERROR($Q336,0)-IFERROR($S336,0),2)))))</ns0:f>
      </ns0:c>
      <ns0:c r="X336" s="956" t="str">
        <ns0:f>IF(COUNTA($A336:$M336)=0,"",IF(OR($U336="Subscription",NOT(ISNUMBER($J336)),NOT(ISNUMBER($I336)),$J336=0,$I336=0,$I336&gt;$J336),"",$J336-$I336))</ns0:f>
      </ns0:c>
      <ns0:c r="Y336" s="955" t="str">
        <ns0:f>IF(COUNTA($A336:$M336)=0,"",IF(OR($U336="Subscription",NOT(ISNUMBER($J336)),$J336=0,$X336=""),"",$X336/$J336))</ns0:f>
      </ns0:c>
      <ns0:c r="Z336" s="957" t="str">
        <ns0:f>IF(COUNTA($A336:$M336)=0,"",Instructions!$B$29+SUM($W$5:W336))</ns0:f>
      </ns0:c>
    </ns0:row>
    <ns0:row r="337" ht="36" customHeight="1">
      <ns0:c r="A337" s="439"/>
      <ns0:c r="B337" s="453"/>
      <ns0:c r="C337" s="453"/>
      <ns0:c r="D337" s="454"/>
      <ns0:c r="E337" s="454"/>
      <ns0:c r="F337" s="454"/>
      <ns0:c r="G337" s="986"/>
      <ns0:c r="H337" s="455"/>
      <ns0:c r="I337" s="456"/>
      <ns0:c r="J337" s="456"/>
      <ns0:c r="K337" s="986"/>
      <ns0:c r="L337" s="454"/>
      <ns0:c r="M337" s="439"/>
      <ns0:c r="N337" s="987" t="str">
        <ns0:f>IF(COUNTA($A337:$M337)=0,"",IF(OR(LEFT(LOWER(TRIM($F337&amp;"")),12)="subscription",LOWER(TRIM($F337&amp;""))="membership"),"",IF(OR(AND($H337&lt;&gt;"",$H337=0),LEFT(LOWER(TRIM($F337&amp;"")),9)="free game",LOWER(TRIM($F337&amp;""))="free",LOWER(TRIM($F337&amp;""))="free entry"),IF(ISNUMBER($G337),IF(ISNUMBER(SEARCH("non",LOWER($E337&amp;""))),$G337*0.85,$G337),"N/A"),IF($G337="","",IFERROR(IF(ISNUMBER(SEARCH("non",LOWER($E337&amp;""))),$G337*0.85,$G337),"")))))</ns0:f>
        <ns0:v/>
      </ns0:c>
      <ns0:c r="O337" s="987" t="str">
        <ns0:f>IF(COUNTA($A337:$M337)=0,"",IF(OR(LEFT(LOWER(TRIM($F337&amp;"")),12)="subscription",LOWER(TRIM($F337&amp;""))="membership"),"",IF(OR(AND($H337&lt;&gt;"",$H337=0),LEFT(LOWER(TRIM($F337&amp;"")),9)="free game",LOWER(TRIM($F337&amp;""))="free",LOWER(TRIM($F337&amp;""))="free entry"),IF(OR(NOT(ISNUMBER($N337)),NOT(ISNUMBER($I337)),$I337=0),"N/A",IFERROR($N337/$I337,"N/A")),IF(OR($N337="",$I337="",$I337=0),"",IFERROR($N337/$I337,"")))))</ns0:f>
        <ns0:v/>
      </ns0:c>
      <ns0:c r="P337" s="987">
        <ns0:f>IF(COUNTA($A337:$M337)=0,"",IF(OR(LEFT(LOWER(TRIM($F337&amp;"")),12)="subscription",LOWER(TRIM($F337&amp;""))="membership"),"",IF(LOWER(TRIM($D337&amp;""))="estimate","N/A",IF(LOWER($L337&amp;"")="yes",0,IF(OR(AND($H337&lt;&gt;"",$H337=0),LEFT(LOWER(TRIM($F337&amp;"")),9)="free game",LOWER(TRIM($F337&amp;""))="free",LOWER(TRIM($F337&amp;""))="free entry"),IF(ISNUMBER($K337),$K337,""),IF($K337&lt;&gt;"",$K337,""))))))</ns0:f>
      </ns0:c>
      <ns0:c r="Q337" s="114">
        <ns0:f>IF(COUNTA($A337:$M337)=0,"",IF(OR($U337="Subscription",$U337=""),"",IF($U337="Estimate","N/A",IF($U337="Profit",ROUND(IFERROR($P337,0)-IFERROR($H337,0),2),0))))</ns0:f>
      </ns0:c>
      <ns0:c r="R337" s="114">
        <ns0:f>IF(COUNTA($A337:$M337)=0,"",IF(OR($U337="Subscription",$U337=""),"",IF($U337="Estimate","N/A",IF($U337="Draw",$H337,0))))</ns0:f>
      </ns0:c>
      <ns0:c r="S337" s="114">
        <ns0:f>IF(COUNTA($A337:$M337)=0,"",IF(OR($U337="Subscription",$U337=""),"",IF($U337="Estimate","N/A",IF($U337="Disqualified",$H337,0))))</ns0:f>
      </ns0:c>
      <ns0:c r="T337" s="955">
        <ns0:f>IF(COUNTA($A337:$M337)=0,"",IF(OR($U337="Subscription",$U337=""),"",IF($U337="Estimate","N/A",IF(OR($U337="Free Game",$U337="Disqualified — Free Game",$H337=0),"N/A",IF($U337="Profit",$Q337/$H337,IF($U337="Disqualified",-$S337/$H337,0))))))</ns0:f>
      </ns0:c>
      <ns0:c r="U337" s="920">
        <ns0:f>IF(COUNTA($A337:$M337)=0,"",IF(OR(LEFT(LOWER(TRIM($F337&amp;"")),12)="subscription",LOWER(TRIM($F337&amp;""))="membership"),"Subscription",IF(LOWER(TRIM($D337&amp;""))="estimate","Estimate",IF(OR(AND($H337&lt;&gt;"",$H337=0),LEFT(LOWER(TRIM($F337&amp;"")),9)="free game",LOWER(TRIM($F337&amp;""))="free",LOWER(TRIM($F337&amp;""))="free entry"),IF(LOWER($L337&amp;"")="yes","Disqualified — Free Game","Free Game"),IF(LOWER($L337&amp;"")="yes","Disqualified",IF($P337="","",IF(ROUND(IFERROR(VALUE($P337),0)-IFERROR(VALUE($H337),0),2)&gt;0,"Profit","Draw")))))))</ns0:f>
      </ns0:c>
      <ns0:c r="V337" s="956" t="str">
        <ns0:f>IF(COUNTA($A337:$M337)=0,"",IF(OR($B337="",$C337="",$U337="Subscription"),"",IFERROR(ROUNDUP(($C337-$B337)/7,0),"")))</ns0:f>
      </ns0:c>
      <ns0:c r="W337" s="114">
        <ns0:f>IF(COUNTA($A337:$M337)=0,"",IF(OR($U337="Subscription",$U337=""),"",IF($U337="Estimate","N/A",IF(OR($U337="Free Game",$U337="Disqualified — Free Game"),0,ROUND(IFERROR($Q337,0)-IFERROR($S337,0),2)))))</ns0:f>
      </ns0:c>
      <ns0:c r="X337" s="956" t="str">
        <ns0:f>IF(COUNTA($A337:$M337)=0,"",IF(OR($U337="Subscription",NOT(ISNUMBER($J337)),NOT(ISNUMBER($I337)),$J337=0,$I337=0,$I337&gt;$J337),"",$J337-$I337))</ns0:f>
      </ns0:c>
      <ns0:c r="Y337" s="955" t="str">
        <ns0:f>IF(COUNTA($A337:$M337)=0,"",IF(OR($U337="Subscription",NOT(ISNUMBER($J337)),$J337=0,$X337=""),"",$X337/$J337))</ns0:f>
      </ns0:c>
      <ns0:c r="Z337" s="957" t="str">
        <ns0:f>IF(COUNTA($A337:$M337)=0,"",Instructions!$B$29+SUM($W$5:W337))</ns0:f>
      </ns0:c>
    </ns0:row>
    <ns0:row r="338" ht="36" customHeight="1">
      <ns0:c r="A338" s="439"/>
      <ns0:c r="B338" s="453"/>
      <ns0:c r="C338" s="453"/>
      <ns0:c r="D338" s="454"/>
      <ns0:c r="E338" s="454"/>
      <ns0:c r="F338" s="454"/>
      <ns0:c r="G338" s="986"/>
      <ns0:c r="H338" s="455"/>
      <ns0:c r="I338" s="456"/>
      <ns0:c r="J338" s="456"/>
      <ns0:c r="K338" s="986"/>
      <ns0:c r="L338" s="454"/>
      <ns0:c r="M338" s="439"/>
      <ns0:c r="N338" s="987" t="str">
        <ns0:f>IF(COUNTA($A338:$M338)=0,"",IF(OR(LEFT(LOWER(TRIM($F338&amp;"")),12)="subscription",LOWER(TRIM($F338&amp;""))="membership"),"",IF(OR(AND($H338&lt;&gt;"",$H338=0),LEFT(LOWER(TRIM($F338&amp;"")),9)="free game",LOWER(TRIM($F338&amp;""))="free",LOWER(TRIM($F338&amp;""))="free entry"),IF(ISNUMBER($G338),IF(ISNUMBER(SEARCH("non",LOWER($E338&amp;""))),$G338*0.85,$G338),"N/A"),IF($G338="","",IFERROR(IF(ISNUMBER(SEARCH("non",LOWER($E338&amp;""))),$G338*0.85,$G338),"")))))</ns0:f>
        <ns0:v/>
      </ns0:c>
      <ns0:c r="O338" s="987" t="str">
        <ns0:f>IF(COUNTA($A338:$M338)=0,"",IF(OR(LEFT(LOWER(TRIM($F338&amp;"")),12)="subscription",LOWER(TRIM($F338&amp;""))="membership"),"",IF(OR(AND($H338&lt;&gt;"",$H338=0),LEFT(LOWER(TRIM($F338&amp;"")),9)="free game",LOWER(TRIM($F338&amp;""))="free",LOWER(TRIM($F338&amp;""))="free entry"),IF(OR(NOT(ISNUMBER($N338)),NOT(ISNUMBER($I338)),$I338=0),"N/A",IFERROR($N338/$I338,"N/A")),IF(OR($N338="",$I338="",$I338=0),"",IFERROR($N338/$I338,"")))))</ns0:f>
        <ns0:v/>
      </ns0:c>
      <ns0:c r="P338" s="987">
        <ns0:f>IF(COUNTA($A338:$M338)=0,"",IF(OR(LEFT(LOWER(TRIM($F338&amp;"")),12)="subscription",LOWER(TRIM($F338&amp;""))="membership"),"",IF(LOWER(TRIM($D338&amp;""))="estimate","N/A",IF(LOWER($L338&amp;"")="yes",0,IF(OR(AND($H338&lt;&gt;"",$H338=0),LEFT(LOWER(TRIM($F338&amp;"")),9)="free game",LOWER(TRIM($F338&amp;""))="free",LOWER(TRIM($F338&amp;""))="free entry"),IF(ISNUMBER($K338),$K338,""),IF($K338&lt;&gt;"",$K338,""))))))</ns0:f>
      </ns0:c>
      <ns0:c r="Q338" s="114">
        <ns0:f>IF(COUNTA($A338:$M338)=0,"",IF(OR($U338="Subscription",$U338=""),"",IF($U338="Estimate","N/A",IF($U338="Profit",ROUND(IFERROR($P338,0)-IFERROR($H338,0),2),0))))</ns0:f>
      </ns0:c>
      <ns0:c r="R338" s="114">
        <ns0:f>IF(COUNTA($A338:$M338)=0,"",IF(OR($U338="Subscription",$U338=""),"",IF($U338="Estimate","N/A",IF($U338="Draw",$H338,0))))</ns0:f>
      </ns0:c>
      <ns0:c r="S338" s="114">
        <ns0:f>IF(COUNTA($A338:$M338)=0,"",IF(OR($U338="Subscription",$U338=""),"",IF($U338="Estimate","N/A",IF($U338="Disqualified",$H338,0))))</ns0:f>
      </ns0:c>
      <ns0:c r="T338" s="955">
        <ns0:f>IF(COUNTA($A338:$M338)=0,"",IF(OR($U338="Subscription",$U338=""),"",IF($U338="Estimate","N/A",IF(OR($U338="Free Game",$U338="Disqualified — Free Game",$H338=0),"N/A",IF($U338="Profit",$Q338/$H338,IF($U338="Disqualified",-$S338/$H338,0))))))</ns0:f>
      </ns0:c>
      <ns0:c r="U338" s="920">
        <ns0:f>IF(COUNTA($A338:$M338)=0,"",IF(OR(LEFT(LOWER(TRIM($F338&amp;"")),12)="subscription",LOWER(TRIM($F338&amp;""))="membership"),"Subscription",IF(LOWER(TRIM($D338&amp;""))="estimate","Estimate",IF(OR(AND($H338&lt;&gt;"",$H338=0),LEFT(LOWER(TRIM($F338&amp;"")),9)="free game",LOWER(TRIM($F338&amp;""))="free",LOWER(TRIM($F338&amp;""))="free entry"),IF(LOWER($L338&amp;"")="yes","Disqualified — Free Game","Free Game"),IF(LOWER($L338&amp;"")="yes","Disqualified",IF($P338="","",IF(ROUND(IFERROR(VALUE($P338),0)-IFERROR(VALUE($H338),0),2)&gt;0,"Profit","Draw")))))))</ns0:f>
      </ns0:c>
      <ns0:c r="V338" s="956" t="str">
        <ns0:f>IF(COUNTA($A338:$M338)=0,"",IF(OR($B338="",$C338="",$U338="Subscription"),"",IFERROR(ROUNDUP(($C338-$B338)/7,0),"")))</ns0:f>
      </ns0:c>
      <ns0:c r="W338" s="114">
        <ns0:f>IF(COUNTA($A338:$M338)=0,"",IF(OR($U338="Subscription",$U338=""),"",IF($U338="Estimate","N/A",IF(OR($U338="Free Game",$U338="Disqualified — Free Game"),0,ROUND(IFERROR($Q338,0)-IFERROR($S338,0),2)))))</ns0:f>
      </ns0:c>
      <ns0:c r="X338" s="956" t="str">
        <ns0:f>IF(COUNTA($A338:$M338)=0,"",IF(OR($U338="Subscription",NOT(ISNUMBER($J338)),NOT(ISNUMBER($I338)),$J338=0,$I338=0,$I338&gt;$J338),"",$J338-$I338))</ns0:f>
      </ns0:c>
      <ns0:c r="Y338" s="955" t="str">
        <ns0:f>IF(COUNTA($A338:$M338)=0,"",IF(OR($U338="Subscription",NOT(ISNUMBER($J338)),$J338=0,$X338=""),"",$X338/$J338))</ns0:f>
      </ns0:c>
      <ns0:c r="Z338" s="957" t="str">
        <ns0:f>IF(COUNTA($A338:$M338)=0,"",Instructions!$B$29+SUM($W$5:W338))</ns0:f>
      </ns0:c>
    </ns0:row>
    <ns0:row r="339" ht="36" customHeight="1">
      <ns0:c r="A339" s="439"/>
      <ns0:c r="B339" s="453"/>
      <ns0:c r="C339" s="453"/>
      <ns0:c r="D339" s="454"/>
      <ns0:c r="E339" s="454"/>
      <ns0:c r="F339" s="454"/>
      <ns0:c r="G339" s="986"/>
      <ns0:c r="H339" s="455"/>
      <ns0:c r="I339" s="456"/>
      <ns0:c r="J339" s="456"/>
      <ns0:c r="K339" s="986"/>
      <ns0:c r="L339" s="454"/>
      <ns0:c r="M339" s="439"/>
      <ns0:c r="N339" s="987" t="str">
        <ns0:f>IF(COUNTA($A339:$M339)=0,"",IF(OR(LEFT(LOWER(TRIM($F339&amp;"")),12)="subscription",LOWER(TRIM($F339&amp;""))="membership"),"",IF(OR(AND($H339&lt;&gt;"",$H339=0),LEFT(LOWER(TRIM($F339&amp;"")),9)="free game",LOWER(TRIM($F339&amp;""))="free",LOWER(TRIM($F339&amp;""))="free entry"),IF(ISNUMBER($G339),IF(ISNUMBER(SEARCH("non",LOWER($E339&amp;""))),$G339*0.85,$G339),"N/A"),IF($G339="","",IFERROR(IF(ISNUMBER(SEARCH("non",LOWER($E339&amp;""))),$G339*0.85,$G339),"")))))</ns0:f>
        <ns0:v/>
      </ns0:c>
      <ns0:c r="O339" s="987" t="str">
        <ns0:f>IF(COUNTA($A339:$M339)=0,"",IF(OR(LEFT(LOWER(TRIM($F339&amp;"")),12)="subscription",LOWER(TRIM($F339&amp;""))="membership"),"",IF(OR(AND($H339&lt;&gt;"",$H339=0),LEFT(LOWER(TRIM($F339&amp;"")),9)="free game",LOWER(TRIM($F339&amp;""))="free",LOWER(TRIM($F339&amp;""))="free entry"),IF(OR(NOT(ISNUMBER($N339)),NOT(ISNUMBER($I339)),$I339=0),"N/A",IFERROR($N339/$I339,"N/A")),IF(OR($N339="",$I339="",$I339=0),"",IFERROR($N339/$I339,"")))))</ns0:f>
        <ns0:v/>
      </ns0:c>
      <ns0:c r="P339" s="987">
        <ns0:f>IF(COUNTA($A339:$M339)=0,"",IF(OR(LEFT(LOWER(TRIM($F339&amp;"")),12)="subscription",LOWER(TRIM($F339&amp;""))="membership"),"",IF(LOWER(TRIM($D339&amp;""))="estimate","N/A",IF(LOWER($L339&amp;"")="yes",0,IF(OR(AND($H339&lt;&gt;"",$H339=0),LEFT(LOWER(TRIM($F339&amp;"")),9)="free game",LOWER(TRIM($F339&amp;""))="free",LOWER(TRIM($F339&amp;""))="free entry"),IF(ISNUMBER($K339),$K339,""),IF($K339&lt;&gt;"",$K339,""))))))</ns0:f>
      </ns0:c>
      <ns0:c r="Q339" s="114">
        <ns0:f>IF(COUNTA($A339:$M339)=0,"",IF(OR($U339="Subscription",$U339=""),"",IF($U339="Estimate","N/A",IF($U339="Profit",ROUND(IFERROR($P339,0)-IFERROR($H339,0),2),0))))</ns0:f>
      </ns0:c>
      <ns0:c r="R339" s="114">
        <ns0:f>IF(COUNTA($A339:$M339)=0,"",IF(OR($U339="Subscription",$U339=""),"",IF($U339="Estimate","N/A",IF($U339="Draw",$H339,0))))</ns0:f>
      </ns0:c>
      <ns0:c r="S339" s="114">
        <ns0:f>IF(COUNTA($A339:$M339)=0,"",IF(OR($U339="Subscription",$U339=""),"",IF($U339="Estimate","N/A",IF($U339="Disqualified",$H339,0))))</ns0:f>
      </ns0:c>
      <ns0:c r="T339" s="955">
        <ns0:f>IF(COUNTA($A339:$M339)=0,"",IF(OR($U339="Subscription",$U339=""),"",IF($U339="Estimate","N/A",IF(OR($U339="Free Game",$U339="Disqualified — Free Game",$H339=0),"N/A",IF($U339="Profit",$Q339/$H339,IF($U339="Disqualified",-$S339/$H339,0))))))</ns0:f>
      </ns0:c>
      <ns0:c r="U339" s="920">
        <ns0:f>IF(COUNTA($A339:$M339)=0,"",IF(OR(LEFT(LOWER(TRIM($F339&amp;"")),12)="subscription",LOWER(TRIM($F339&amp;""))="membership"),"Subscription",IF(LOWER(TRIM($D339&amp;""))="estimate","Estimate",IF(OR(AND($H339&lt;&gt;"",$H339=0),LEFT(LOWER(TRIM($F339&amp;"")),9)="free game",LOWER(TRIM($F339&amp;""))="free",LOWER(TRIM($F339&amp;""))="free entry"),IF(LOWER($L339&amp;"")="yes","Disqualified — Free Game","Free Game"),IF(LOWER($L339&amp;"")="yes","Disqualified",IF($P339="","",IF(ROUND(IFERROR(VALUE($P339),0)-IFERROR(VALUE($H339),0),2)&gt;0,"Profit","Draw")))))))</ns0:f>
      </ns0:c>
      <ns0:c r="V339" s="956" t="str">
        <ns0:f>IF(COUNTA($A339:$M339)=0,"",IF(OR($B339="",$C339="",$U339="Subscription"),"",IFERROR(ROUNDUP(($C339-$B339)/7,0),"")))</ns0:f>
      </ns0:c>
      <ns0:c r="W339" s="114">
        <ns0:f>IF(COUNTA($A339:$M339)=0,"",IF(OR($U339="Subscription",$U339=""),"",IF($U339="Estimate","N/A",IF(OR($U339="Free Game",$U339="Disqualified — Free Game"),0,ROUND(IFERROR($Q339,0)-IFERROR($S339,0),2)))))</ns0:f>
      </ns0:c>
      <ns0:c r="X339" s="956" t="str">
        <ns0:f>IF(COUNTA($A339:$M339)=0,"",IF(OR($U339="Subscription",NOT(ISNUMBER($J339)),NOT(ISNUMBER($I339)),$J339=0,$I339=0,$I339&gt;$J339),"",$J339-$I339))</ns0:f>
      </ns0:c>
      <ns0:c r="Y339" s="955" t="str">
        <ns0:f>IF(COUNTA($A339:$M339)=0,"",IF(OR($U339="Subscription",NOT(ISNUMBER($J339)),$J339=0,$X339=""),"",$X339/$J339))</ns0:f>
      </ns0:c>
      <ns0:c r="Z339" s="957" t="str">
        <ns0:f>IF(COUNTA($A339:$M339)=0,"",Instructions!$B$29+SUM($W$5:W339))</ns0:f>
      </ns0:c>
    </ns0:row>
    <ns0:row r="340" ht="36" customHeight="1">
      <ns0:c r="A340" s="439"/>
      <ns0:c r="B340" s="453"/>
      <ns0:c r="C340" s="453"/>
      <ns0:c r="D340" s="454"/>
      <ns0:c r="E340" s="454"/>
      <ns0:c r="F340" s="454"/>
      <ns0:c r="G340" s="986"/>
      <ns0:c r="H340" s="455"/>
      <ns0:c r="I340" s="456"/>
      <ns0:c r="J340" s="456"/>
      <ns0:c r="K340" s="986"/>
      <ns0:c r="L340" s="454"/>
      <ns0:c r="M340" s="439"/>
      <ns0:c r="N340" s="987" t="str">
        <ns0:f>IF(COUNTA($A340:$M340)=0,"",IF(OR(LEFT(LOWER(TRIM($F340&amp;"")),12)="subscription",LOWER(TRIM($F340&amp;""))="membership"),"",IF(OR(AND($H340&lt;&gt;"",$H340=0),LEFT(LOWER(TRIM($F340&amp;"")),9)="free game",LOWER(TRIM($F340&amp;""))="free",LOWER(TRIM($F340&amp;""))="free entry"),IF(ISNUMBER($G340),IF(ISNUMBER(SEARCH("non",LOWER($E340&amp;""))),$G340*0.85,$G340),"N/A"),IF($G340="","",IFERROR(IF(ISNUMBER(SEARCH("non",LOWER($E340&amp;""))),$G340*0.85,$G340),"")))))</ns0:f>
        <ns0:v/>
      </ns0:c>
      <ns0:c r="O340" s="987" t="str">
        <ns0:f>IF(COUNTA($A340:$M340)=0,"",IF(OR(LEFT(LOWER(TRIM($F340&amp;"")),12)="subscription",LOWER(TRIM($F340&amp;""))="membership"),"",IF(OR(AND($H340&lt;&gt;"",$H340=0),LEFT(LOWER(TRIM($F340&amp;"")),9)="free game",LOWER(TRIM($F340&amp;""))="free",LOWER(TRIM($F340&amp;""))="free entry"),IF(OR(NOT(ISNUMBER($N340)),NOT(ISNUMBER($I340)),$I340=0),"N/A",IFERROR($N340/$I340,"N/A")),IF(OR($N340="",$I340="",$I340=0),"",IFERROR($N340/$I340,"")))))</ns0:f>
        <ns0:v/>
      </ns0:c>
      <ns0:c r="P340" s="987">
        <ns0:f>IF(COUNTA($A340:$M340)=0,"",IF(OR(LEFT(LOWER(TRIM($F340&amp;"")),12)="subscription",LOWER(TRIM($F340&amp;""))="membership"),"",IF(LOWER(TRIM($D340&amp;""))="estimate","N/A",IF(LOWER($L340&amp;"")="yes",0,IF(OR(AND($H340&lt;&gt;"",$H340=0),LEFT(LOWER(TRIM($F340&amp;"")),9)="free game",LOWER(TRIM($F340&amp;""))="free",LOWER(TRIM($F340&amp;""))="free entry"),IF(ISNUMBER($K340),$K340,""),IF($K340&lt;&gt;"",$K340,""))))))</ns0:f>
      </ns0:c>
      <ns0:c r="Q340" s="114">
        <ns0:f>IF(COUNTA($A340:$M340)=0,"",IF(OR($U340="Subscription",$U340=""),"",IF($U340="Estimate","N/A",IF($U340="Profit",ROUND(IFERROR($P340,0)-IFERROR($H340,0),2),0))))</ns0:f>
      </ns0:c>
      <ns0:c r="R340" s="114">
        <ns0:f>IF(COUNTA($A340:$M340)=0,"",IF(OR($U340="Subscription",$U340=""),"",IF($U340="Estimate","N/A",IF($U340="Draw",$H340,0))))</ns0:f>
      </ns0:c>
      <ns0:c r="S340" s="114">
        <ns0:f>IF(COUNTA($A340:$M340)=0,"",IF(OR($U340="Subscription",$U340=""),"",IF($U340="Estimate","N/A",IF($U340="Disqualified",$H340,0))))</ns0:f>
      </ns0:c>
      <ns0:c r="T340" s="955">
        <ns0:f>IF(COUNTA($A340:$M340)=0,"",IF(OR($U340="Subscription",$U340=""),"",IF($U340="Estimate","N/A",IF(OR($U340="Free Game",$U340="Disqualified — Free Game",$H340=0),"N/A",IF($U340="Profit",$Q340/$H340,IF($U340="Disqualified",-$S340/$H340,0))))))</ns0:f>
      </ns0:c>
      <ns0:c r="U340" s="920">
        <ns0:f>IF(COUNTA($A340:$M340)=0,"",IF(OR(LEFT(LOWER(TRIM($F340&amp;"")),12)="subscription",LOWER(TRIM($F340&amp;""))="membership"),"Subscription",IF(LOWER(TRIM($D340&amp;""))="estimate","Estimate",IF(OR(AND($H340&lt;&gt;"",$H340=0),LEFT(LOWER(TRIM($F340&amp;"")),9)="free game",LOWER(TRIM($F340&amp;""))="free",LOWER(TRIM($F340&amp;""))="free entry"),IF(LOWER($L340&amp;"")="yes","Disqualified — Free Game","Free Game"),IF(LOWER($L340&amp;"")="yes","Disqualified",IF($P340="","",IF(ROUND(IFERROR(VALUE($P340),0)-IFERROR(VALUE($H340),0),2)&gt;0,"Profit","Draw")))))))</ns0:f>
      </ns0:c>
      <ns0:c r="V340" s="956" t="str">
        <ns0:f>IF(COUNTA($A340:$M340)=0,"",IF(OR($B340="",$C340="",$U340="Subscription"),"",IFERROR(ROUNDUP(($C340-$B340)/7,0),"")))</ns0:f>
      </ns0:c>
      <ns0:c r="W340" s="114">
        <ns0:f>IF(COUNTA($A340:$M340)=0,"",IF(OR($U340="Subscription",$U340=""),"",IF($U340="Estimate","N/A",IF(OR($U340="Free Game",$U340="Disqualified — Free Game"),0,ROUND(IFERROR($Q340,0)-IFERROR($S340,0),2)))))</ns0:f>
      </ns0:c>
      <ns0:c r="X340" s="956" t="str">
        <ns0:f>IF(COUNTA($A340:$M340)=0,"",IF(OR($U340="Subscription",NOT(ISNUMBER($J340)),NOT(ISNUMBER($I340)),$J340=0,$I340=0,$I340&gt;$J340),"",$J340-$I340))</ns0:f>
      </ns0:c>
      <ns0:c r="Y340" s="955" t="str">
        <ns0:f>IF(COUNTA($A340:$M340)=0,"",IF(OR($U340="Subscription",NOT(ISNUMBER($J340)),$J340=0,$X340=""),"",$X340/$J340))</ns0:f>
      </ns0:c>
      <ns0:c r="Z340" s="957" t="str">
        <ns0:f>IF(COUNTA($A340:$M340)=0,"",Instructions!$B$29+SUM($W$5:W340))</ns0:f>
      </ns0:c>
    </ns0:row>
    <ns0:row r="341" ht="36" customHeight="1">
      <ns0:c r="A341" s="439"/>
      <ns0:c r="B341" s="453"/>
      <ns0:c r="C341" s="453"/>
      <ns0:c r="D341" s="454"/>
      <ns0:c r="E341" s="454"/>
      <ns0:c r="F341" s="454"/>
      <ns0:c r="G341" s="986"/>
      <ns0:c r="H341" s="455"/>
      <ns0:c r="I341" s="456"/>
      <ns0:c r="J341" s="456"/>
      <ns0:c r="K341" s="986"/>
      <ns0:c r="L341" s="454"/>
      <ns0:c r="M341" s="439"/>
      <ns0:c r="N341" s="987" t="str">
        <ns0:f>IF(COUNTA($A341:$M341)=0,"",IF(OR(LEFT(LOWER(TRIM($F341&amp;"")),12)="subscription",LOWER(TRIM($F341&amp;""))="membership"),"",IF(OR(AND($H341&lt;&gt;"",$H341=0),LEFT(LOWER(TRIM($F341&amp;"")),9)="free game",LOWER(TRIM($F341&amp;""))="free",LOWER(TRIM($F341&amp;""))="free entry"),IF(ISNUMBER($G341),IF(ISNUMBER(SEARCH("non",LOWER($E341&amp;""))),$G341*0.85,$G341),"N/A"),IF($G341="","",IFERROR(IF(ISNUMBER(SEARCH("non",LOWER($E341&amp;""))),$G341*0.85,$G341),"")))))</ns0:f>
        <ns0:v/>
      </ns0:c>
      <ns0:c r="O341" s="987" t="str">
        <ns0:f>IF(COUNTA($A341:$M341)=0,"",IF(OR(LEFT(LOWER(TRIM($F341&amp;"")),12)="subscription",LOWER(TRIM($F341&amp;""))="membership"),"",IF(OR(AND($H341&lt;&gt;"",$H341=0),LEFT(LOWER(TRIM($F341&amp;"")),9)="free game",LOWER(TRIM($F341&amp;""))="free",LOWER(TRIM($F341&amp;""))="free entry"),IF(OR(NOT(ISNUMBER($N341)),NOT(ISNUMBER($I341)),$I341=0),"N/A",IFERROR($N341/$I341,"N/A")),IF(OR($N341="",$I341="",$I341=0),"",IFERROR($N341/$I341,"")))))</ns0:f>
        <ns0:v/>
      </ns0:c>
      <ns0:c r="P341" s="987">
        <ns0:f>IF(COUNTA($A341:$M341)=0,"",IF(OR(LEFT(LOWER(TRIM($F341&amp;"")),12)="subscription",LOWER(TRIM($F341&amp;""))="membership"),"",IF(LOWER(TRIM($D341&amp;""))="estimate","N/A",IF(LOWER($L341&amp;"")="yes",0,IF(OR(AND($H341&lt;&gt;"",$H341=0),LEFT(LOWER(TRIM($F341&amp;"")),9)="free game",LOWER(TRIM($F341&amp;""))="free",LOWER(TRIM($F341&amp;""))="free entry"),IF(ISNUMBER($K341),$K341,""),IF($K341&lt;&gt;"",$K341,""))))))</ns0:f>
      </ns0:c>
      <ns0:c r="Q341" s="114">
        <ns0:f>IF(COUNTA($A341:$M341)=0,"",IF(OR($U341="Subscription",$U341=""),"",IF($U341="Estimate","N/A",IF($U341="Profit",ROUND(IFERROR($P341,0)-IFERROR($H341,0),2),0))))</ns0:f>
      </ns0:c>
      <ns0:c r="R341" s="114">
        <ns0:f>IF(COUNTA($A341:$M341)=0,"",IF(OR($U341="Subscription",$U341=""),"",IF($U341="Estimate","N/A",IF($U341="Draw",$H341,0))))</ns0:f>
      </ns0:c>
      <ns0:c r="S341" s="114">
        <ns0:f>IF(COUNTA($A341:$M341)=0,"",IF(OR($U341="Subscription",$U341=""),"",IF($U341="Estimate","N/A",IF($U341="Disqualified",$H341,0))))</ns0:f>
      </ns0:c>
      <ns0:c r="T341" s="955">
        <ns0:f>IF(COUNTA($A341:$M341)=0,"",IF(OR($U341="Subscription",$U341=""),"",IF($U341="Estimate","N/A",IF(OR($U341="Free Game",$U341="Disqualified — Free Game",$H341=0),"N/A",IF($U341="Profit",$Q341/$H341,IF($U341="Disqualified",-$S341/$H341,0))))))</ns0:f>
      </ns0:c>
      <ns0:c r="U341" s="920">
        <ns0:f>IF(COUNTA($A341:$M341)=0,"",IF(OR(LEFT(LOWER(TRIM($F341&amp;"")),12)="subscription",LOWER(TRIM($F341&amp;""))="membership"),"Subscription",IF(LOWER(TRIM($D341&amp;""))="estimate","Estimate",IF(OR(AND($H341&lt;&gt;"",$H341=0),LEFT(LOWER(TRIM($F341&amp;"")),9)="free game",LOWER(TRIM($F341&amp;""))="free",LOWER(TRIM($F341&amp;""))="free entry"),IF(LOWER($L341&amp;"")="yes","Disqualified — Free Game","Free Game"),IF(LOWER($L341&amp;"")="yes","Disqualified",IF($P341="","",IF(ROUND(IFERROR(VALUE($P341),0)-IFERROR(VALUE($H341),0),2)&gt;0,"Profit","Draw")))))))</ns0:f>
      </ns0:c>
      <ns0:c r="V341" s="956" t="str">
        <ns0:f>IF(COUNTA($A341:$M341)=0,"",IF(OR($B341="",$C341="",$U341="Subscription"),"",IFERROR(ROUNDUP(($C341-$B341)/7,0),"")))</ns0:f>
      </ns0:c>
      <ns0:c r="W341" s="114">
        <ns0:f>IF(COUNTA($A341:$M341)=0,"",IF(OR($U341="Subscription",$U341=""),"",IF($U341="Estimate","N/A",IF(OR($U341="Free Game",$U341="Disqualified — Free Game"),0,ROUND(IFERROR($Q341,0)-IFERROR($S341,0),2)))))</ns0:f>
      </ns0:c>
      <ns0:c r="X341" s="956" t="str">
        <ns0:f>IF(COUNTA($A341:$M341)=0,"",IF(OR($U341="Subscription",NOT(ISNUMBER($J341)),NOT(ISNUMBER($I341)),$J341=0,$I341=0,$I341&gt;$J341),"",$J341-$I341))</ns0:f>
      </ns0:c>
      <ns0:c r="Y341" s="955" t="str">
        <ns0:f>IF(COUNTA($A341:$M341)=0,"",IF(OR($U341="Subscription",NOT(ISNUMBER($J341)),$J341=0,$X341=""),"",$X341/$J341))</ns0:f>
      </ns0:c>
      <ns0:c r="Z341" s="957" t="str">
        <ns0:f>IF(COUNTA($A341:$M341)=0,"",Instructions!$B$29+SUM($W$5:W341))</ns0:f>
      </ns0:c>
    </ns0:row>
    <ns0:row r="342" ht="36" customHeight="1">
      <ns0:c r="A342" s="439"/>
      <ns0:c r="B342" s="453"/>
      <ns0:c r="C342" s="453"/>
      <ns0:c r="D342" s="454"/>
      <ns0:c r="E342" s="454"/>
      <ns0:c r="F342" s="454"/>
      <ns0:c r="G342" s="986"/>
      <ns0:c r="H342" s="455"/>
      <ns0:c r="I342" s="456"/>
      <ns0:c r="J342" s="456"/>
      <ns0:c r="K342" s="986"/>
      <ns0:c r="L342" s="454"/>
      <ns0:c r="M342" s="439"/>
      <ns0:c r="N342" s="987" t="str">
        <ns0:f>IF(COUNTA($A342:$M342)=0,"",IF(OR(LEFT(LOWER(TRIM($F342&amp;"")),12)="subscription",LOWER(TRIM($F342&amp;""))="membership"),"",IF(OR(AND($H342&lt;&gt;"",$H342=0),LEFT(LOWER(TRIM($F342&amp;"")),9)="free game",LOWER(TRIM($F342&amp;""))="free",LOWER(TRIM($F342&amp;""))="free entry"),IF(ISNUMBER($G342),IF(ISNUMBER(SEARCH("non",LOWER($E342&amp;""))),$G342*0.85,$G342),"N/A"),IF($G342="","",IFERROR(IF(ISNUMBER(SEARCH("non",LOWER($E342&amp;""))),$G342*0.85,$G342),"")))))</ns0:f>
        <ns0:v/>
      </ns0:c>
      <ns0:c r="O342" s="987" t="str">
        <ns0:f>IF(COUNTA($A342:$M342)=0,"",IF(OR(LEFT(LOWER(TRIM($F342&amp;"")),12)="subscription",LOWER(TRIM($F342&amp;""))="membership"),"",IF(OR(AND($H342&lt;&gt;"",$H342=0),LEFT(LOWER(TRIM($F342&amp;"")),9)="free game",LOWER(TRIM($F342&amp;""))="free",LOWER(TRIM($F342&amp;""))="free entry"),IF(OR(NOT(ISNUMBER($N342)),NOT(ISNUMBER($I342)),$I342=0),"N/A",IFERROR($N342/$I342,"N/A")),IF(OR($N342="",$I342="",$I342=0),"",IFERROR($N342/$I342,"")))))</ns0:f>
        <ns0:v/>
      </ns0:c>
      <ns0:c r="P342" s="987">
        <ns0:f>IF(COUNTA($A342:$M342)=0,"",IF(OR(LEFT(LOWER(TRIM($F342&amp;"")),12)="subscription",LOWER(TRIM($F342&amp;""))="membership"),"",IF(LOWER(TRIM($D342&amp;""))="estimate","N/A",IF(LOWER($L342&amp;"")="yes",0,IF(OR(AND($H342&lt;&gt;"",$H342=0),LEFT(LOWER(TRIM($F342&amp;"")),9)="free game",LOWER(TRIM($F342&amp;""))="free",LOWER(TRIM($F342&amp;""))="free entry"),IF(ISNUMBER($K342),$K342,""),IF($K342&lt;&gt;"",$K342,""))))))</ns0:f>
      </ns0:c>
      <ns0:c r="Q342" s="114">
        <ns0:f>IF(COUNTA($A342:$M342)=0,"",IF(OR($U342="Subscription",$U342=""),"",IF($U342="Estimate","N/A",IF($U342="Profit",ROUND(IFERROR($P342,0)-IFERROR($H342,0),2),0))))</ns0:f>
      </ns0:c>
      <ns0:c r="R342" s="114">
        <ns0:f>IF(COUNTA($A342:$M342)=0,"",IF(OR($U342="Subscription",$U342=""),"",IF($U342="Estimate","N/A",IF($U342="Draw",$H342,0))))</ns0:f>
      </ns0:c>
      <ns0:c r="S342" s="114">
        <ns0:f>IF(COUNTA($A342:$M342)=0,"",IF(OR($U342="Subscription",$U342=""),"",IF($U342="Estimate","N/A",IF($U342="Disqualified",$H342,0))))</ns0:f>
      </ns0:c>
      <ns0:c r="T342" s="955">
        <ns0:f>IF(COUNTA($A342:$M342)=0,"",IF(OR($U342="Subscription",$U342=""),"",IF($U342="Estimate","N/A",IF(OR($U342="Free Game",$U342="Disqualified — Free Game",$H342=0),"N/A",IF($U342="Profit",$Q342/$H342,IF($U342="Disqualified",-$S342/$H342,0))))))</ns0:f>
      </ns0:c>
      <ns0:c r="U342" s="920">
        <ns0:f>IF(COUNTA($A342:$M342)=0,"",IF(OR(LEFT(LOWER(TRIM($F342&amp;"")),12)="subscription",LOWER(TRIM($F342&amp;""))="membership"),"Subscription",IF(LOWER(TRIM($D342&amp;""))="estimate","Estimate",IF(OR(AND($H342&lt;&gt;"",$H342=0),LEFT(LOWER(TRIM($F342&amp;"")),9)="free game",LOWER(TRIM($F342&amp;""))="free",LOWER(TRIM($F342&amp;""))="free entry"),IF(LOWER($L342&amp;"")="yes","Disqualified — Free Game","Free Game"),IF(LOWER($L342&amp;"")="yes","Disqualified",IF($P342="","",IF(ROUND(IFERROR(VALUE($P342),0)-IFERROR(VALUE($H342),0),2)&gt;0,"Profit","Draw")))))))</ns0:f>
      </ns0:c>
      <ns0:c r="V342" s="956" t="str">
        <ns0:f>IF(COUNTA($A342:$M342)=0,"",IF(OR($B342="",$C342="",$U342="Subscription"),"",IFERROR(ROUNDUP(($C342-$B342)/7,0),"")))</ns0:f>
      </ns0:c>
      <ns0:c r="W342" s="114">
        <ns0:f>IF(COUNTA($A342:$M342)=0,"",IF(OR($U342="Subscription",$U342=""),"",IF($U342="Estimate","N/A",IF(OR($U342="Free Game",$U342="Disqualified — Free Game"),0,ROUND(IFERROR($Q342,0)-IFERROR($S342,0),2)))))</ns0:f>
      </ns0:c>
      <ns0:c r="X342" s="956" t="str">
        <ns0:f>IF(COUNTA($A342:$M342)=0,"",IF(OR($U342="Subscription",NOT(ISNUMBER($J342)),NOT(ISNUMBER($I342)),$J342=0,$I342=0,$I342&gt;$J342),"",$J342-$I342))</ns0:f>
      </ns0:c>
      <ns0:c r="Y342" s="955" t="str">
        <ns0:f>IF(COUNTA($A342:$M342)=0,"",IF(OR($U342="Subscription",NOT(ISNUMBER($J342)),$J342=0,$X342=""),"",$X342/$J342))</ns0:f>
      </ns0:c>
      <ns0:c r="Z342" s="957" t="str">
        <ns0:f>IF(COUNTA($A342:$M342)=0,"",Instructions!$B$29+SUM($W$5:W342))</ns0:f>
      </ns0:c>
    </ns0:row>
    <ns0:row r="343" ht="36" customHeight="1">
      <ns0:c r="A343" s="439"/>
      <ns0:c r="B343" s="453"/>
      <ns0:c r="C343" s="453"/>
      <ns0:c r="D343" s="454"/>
      <ns0:c r="E343" s="454"/>
      <ns0:c r="F343" s="454"/>
      <ns0:c r="G343" s="986"/>
      <ns0:c r="H343" s="455"/>
      <ns0:c r="I343" s="456"/>
      <ns0:c r="J343" s="456"/>
      <ns0:c r="K343" s="986"/>
      <ns0:c r="L343" s="454"/>
      <ns0:c r="M343" s="439"/>
      <ns0:c r="N343" s="987" t="str">
        <ns0:f>IF(COUNTA($A343:$M343)=0,"",IF(OR(LEFT(LOWER(TRIM($F343&amp;"")),12)="subscription",LOWER(TRIM($F343&amp;""))="membership"),"",IF(OR(AND($H343&lt;&gt;"",$H343=0),LEFT(LOWER(TRIM($F343&amp;"")),9)="free game",LOWER(TRIM($F343&amp;""))="free",LOWER(TRIM($F343&amp;""))="free entry"),IF(ISNUMBER($G343),IF(ISNUMBER(SEARCH("non",LOWER($E343&amp;""))),$G343*0.85,$G343),"N/A"),IF($G343="","",IFERROR(IF(ISNUMBER(SEARCH("non",LOWER($E343&amp;""))),$G343*0.85,$G343),"")))))</ns0:f>
        <ns0:v/>
      </ns0:c>
      <ns0:c r="O343" s="987" t="str">
        <ns0:f>IF(COUNTA($A343:$M343)=0,"",IF(OR(LEFT(LOWER(TRIM($F343&amp;"")),12)="subscription",LOWER(TRIM($F343&amp;""))="membership"),"",IF(OR(AND($H343&lt;&gt;"",$H343=0),LEFT(LOWER(TRIM($F343&amp;"")),9)="free game",LOWER(TRIM($F343&amp;""))="free",LOWER(TRIM($F343&amp;""))="free entry"),IF(OR(NOT(ISNUMBER($N343)),NOT(ISNUMBER($I343)),$I343=0),"N/A",IFERROR($N343/$I343,"N/A")),IF(OR($N343="",$I343="",$I343=0),"",IFERROR($N343/$I343,"")))))</ns0:f>
        <ns0:v/>
      </ns0:c>
      <ns0:c r="P343" s="987">
        <ns0:f>IF(COUNTA($A343:$M343)=0,"",IF(OR(LEFT(LOWER(TRIM($F343&amp;"")),12)="subscription",LOWER(TRIM($F343&amp;""))="membership"),"",IF(LOWER(TRIM($D343&amp;""))="estimate","N/A",IF(LOWER($L343&amp;"")="yes",0,IF(OR(AND($H343&lt;&gt;"",$H343=0),LEFT(LOWER(TRIM($F343&amp;"")),9)="free game",LOWER(TRIM($F343&amp;""))="free",LOWER(TRIM($F343&amp;""))="free entry"),IF(ISNUMBER($K343),$K343,""),IF($K343&lt;&gt;"",$K343,""))))))</ns0:f>
      </ns0:c>
      <ns0:c r="Q343" s="114">
        <ns0:f>IF(COUNTA($A343:$M343)=0,"",IF(OR($U343="Subscription",$U343=""),"",IF($U343="Estimate","N/A",IF($U343="Profit",ROUND(IFERROR($P343,0)-IFERROR($H343,0),2),0))))</ns0:f>
      </ns0:c>
      <ns0:c r="R343" s="114">
        <ns0:f>IF(COUNTA($A343:$M343)=0,"",IF(OR($U343="Subscription",$U343=""),"",IF($U343="Estimate","N/A",IF($U343="Draw",$H343,0))))</ns0:f>
      </ns0:c>
      <ns0:c r="S343" s="114">
        <ns0:f>IF(COUNTA($A343:$M343)=0,"",IF(OR($U343="Subscription",$U343=""),"",IF($U343="Estimate","N/A",IF($U343="Disqualified",$H343,0))))</ns0:f>
      </ns0:c>
      <ns0:c r="T343" s="955">
        <ns0:f>IF(COUNTA($A343:$M343)=0,"",IF(OR($U343="Subscription",$U343=""),"",IF($U343="Estimate","N/A",IF(OR($U343="Free Game",$U343="Disqualified — Free Game",$H343=0),"N/A",IF($U343="Profit",$Q343/$H343,IF($U343="Disqualified",-$S343/$H343,0))))))</ns0:f>
      </ns0:c>
      <ns0:c r="U343" s="920">
        <ns0:f>IF(COUNTA($A343:$M343)=0,"",IF(OR(LEFT(LOWER(TRIM($F343&amp;"")),12)="subscription",LOWER(TRIM($F343&amp;""))="membership"),"Subscription",IF(LOWER(TRIM($D343&amp;""))="estimate","Estimate",IF(OR(AND($H343&lt;&gt;"",$H343=0),LEFT(LOWER(TRIM($F343&amp;"")),9)="free game",LOWER(TRIM($F343&amp;""))="free",LOWER(TRIM($F343&amp;""))="free entry"),IF(LOWER($L343&amp;"")="yes","Disqualified — Free Game","Free Game"),IF(LOWER($L343&amp;"")="yes","Disqualified",IF($P343="","",IF(ROUND(IFERROR(VALUE($P343),0)-IFERROR(VALUE($H343),0),2)&gt;0,"Profit","Draw")))))))</ns0:f>
      </ns0:c>
      <ns0:c r="V343" s="956" t="str">
        <ns0:f>IF(COUNTA($A343:$M343)=0,"",IF(OR($B343="",$C343="",$U343="Subscription"),"",IFERROR(ROUNDUP(($C343-$B343)/7,0),"")))</ns0:f>
      </ns0:c>
      <ns0:c r="W343" s="114">
        <ns0:f>IF(COUNTA($A343:$M343)=0,"",IF(OR($U343="Subscription",$U343=""),"",IF($U343="Estimate","N/A",IF(OR($U343="Free Game",$U343="Disqualified — Free Game"),0,ROUND(IFERROR($Q343,0)-IFERROR($S343,0),2)))))</ns0:f>
      </ns0:c>
      <ns0:c r="X343" s="956" t="str">
        <ns0:f>IF(COUNTA($A343:$M343)=0,"",IF(OR($U343="Subscription",NOT(ISNUMBER($J343)),NOT(ISNUMBER($I343)),$J343=0,$I343=0,$I343&gt;$J343),"",$J343-$I343))</ns0:f>
      </ns0:c>
      <ns0:c r="Y343" s="955" t="str">
        <ns0:f>IF(COUNTA($A343:$M343)=0,"",IF(OR($U343="Subscription",NOT(ISNUMBER($J343)),$J343=0,$X343=""),"",$X343/$J343))</ns0:f>
      </ns0:c>
      <ns0:c r="Z343" s="957" t="str">
        <ns0:f>IF(COUNTA($A343:$M343)=0,"",Instructions!$B$29+SUM($W$5:W343))</ns0:f>
      </ns0:c>
    </ns0:row>
    <ns0:row r="344" ht="36" customHeight="1">
      <ns0:c r="A344" s="439"/>
      <ns0:c r="B344" s="453"/>
      <ns0:c r="C344" s="453"/>
      <ns0:c r="D344" s="454"/>
      <ns0:c r="E344" s="454"/>
      <ns0:c r="F344" s="454"/>
      <ns0:c r="G344" s="986"/>
      <ns0:c r="H344" s="455"/>
      <ns0:c r="I344" s="456"/>
      <ns0:c r="J344" s="456"/>
      <ns0:c r="K344" s="986"/>
      <ns0:c r="L344" s="454"/>
      <ns0:c r="M344" s="439"/>
      <ns0:c r="N344" s="987" t="str">
        <ns0:f>IF(COUNTA($A344:$M344)=0,"",IF(OR(LEFT(LOWER(TRIM($F344&amp;"")),12)="subscription",LOWER(TRIM($F344&amp;""))="membership"),"",IF(OR(AND($H344&lt;&gt;"",$H344=0),LEFT(LOWER(TRIM($F344&amp;"")),9)="free game",LOWER(TRIM($F344&amp;""))="free",LOWER(TRIM($F344&amp;""))="free entry"),IF(ISNUMBER($G344),IF(ISNUMBER(SEARCH("non",LOWER($E344&amp;""))),$G344*0.85,$G344),"N/A"),IF($G344="","",IFERROR(IF(ISNUMBER(SEARCH("non",LOWER($E344&amp;""))),$G344*0.85,$G344),"")))))</ns0:f>
        <ns0:v/>
      </ns0:c>
      <ns0:c r="O344" s="987" t="str">
        <ns0:f>IF(COUNTA($A344:$M344)=0,"",IF(OR(LEFT(LOWER(TRIM($F344&amp;"")),12)="subscription",LOWER(TRIM($F344&amp;""))="membership"),"",IF(OR(AND($H344&lt;&gt;"",$H344=0),LEFT(LOWER(TRIM($F344&amp;"")),9)="free game",LOWER(TRIM($F344&amp;""))="free",LOWER(TRIM($F344&amp;""))="free entry"),IF(OR(NOT(ISNUMBER($N344)),NOT(ISNUMBER($I344)),$I344=0),"N/A",IFERROR($N344/$I344,"N/A")),IF(OR($N344="",$I344="",$I344=0),"",IFERROR($N344/$I344,"")))))</ns0:f>
        <ns0:v/>
      </ns0:c>
      <ns0:c r="P344" s="987">
        <ns0:f>IF(COUNTA($A344:$M344)=0,"",IF(OR(LEFT(LOWER(TRIM($F344&amp;"")),12)="subscription",LOWER(TRIM($F344&amp;""))="membership"),"",IF(LOWER(TRIM($D344&amp;""))="estimate","N/A",IF(LOWER($L344&amp;"")="yes",0,IF(OR(AND($H344&lt;&gt;"",$H344=0),LEFT(LOWER(TRIM($F344&amp;"")),9)="free game",LOWER(TRIM($F344&amp;""))="free",LOWER(TRIM($F344&amp;""))="free entry"),IF(ISNUMBER($K344),$K344,""),IF($K344&lt;&gt;"",$K344,""))))))</ns0:f>
      </ns0:c>
      <ns0:c r="Q344" s="114">
        <ns0:f>IF(COUNTA($A344:$M344)=0,"",IF(OR($U344="Subscription",$U344=""),"",IF($U344="Estimate","N/A",IF($U344="Profit",ROUND(IFERROR($P344,0)-IFERROR($H344,0),2),0))))</ns0:f>
      </ns0:c>
      <ns0:c r="R344" s="114">
        <ns0:f>IF(COUNTA($A344:$M344)=0,"",IF(OR($U344="Subscription",$U344=""),"",IF($U344="Estimate","N/A",IF($U344="Draw",$H344,0))))</ns0:f>
      </ns0:c>
      <ns0:c r="S344" s="114">
        <ns0:f>IF(COUNTA($A344:$M344)=0,"",IF(OR($U344="Subscription",$U344=""),"",IF($U344="Estimate","N/A",IF($U344="Disqualified",$H344,0))))</ns0:f>
      </ns0:c>
      <ns0:c r="T344" s="955">
        <ns0:f>IF(COUNTA($A344:$M344)=0,"",IF(OR($U344="Subscription",$U344=""),"",IF($U344="Estimate","N/A",IF(OR($U344="Free Game",$U344="Disqualified — Free Game",$H344=0),"N/A",IF($U344="Profit",$Q344/$H344,IF($U344="Disqualified",-$S344/$H344,0))))))</ns0:f>
      </ns0:c>
      <ns0:c r="U344" s="920">
        <ns0:f>IF(COUNTA($A344:$M344)=0,"",IF(OR(LEFT(LOWER(TRIM($F344&amp;"")),12)="subscription",LOWER(TRIM($F344&amp;""))="membership"),"Subscription",IF(LOWER(TRIM($D344&amp;""))="estimate","Estimate",IF(OR(AND($H344&lt;&gt;"",$H344=0),LEFT(LOWER(TRIM($F344&amp;"")),9)="free game",LOWER(TRIM($F344&amp;""))="free",LOWER(TRIM($F344&amp;""))="free entry"),IF(LOWER($L344&amp;"")="yes","Disqualified — Free Game","Free Game"),IF(LOWER($L344&amp;"")="yes","Disqualified",IF($P344="","",IF(ROUND(IFERROR(VALUE($P344),0)-IFERROR(VALUE($H344),0),2)&gt;0,"Profit","Draw")))))))</ns0:f>
      </ns0:c>
      <ns0:c r="V344" s="956" t="str">
        <ns0:f>IF(COUNTA($A344:$M344)=0,"",IF(OR($B344="",$C344="",$U344="Subscription"),"",IFERROR(ROUNDUP(($C344-$B344)/7,0),"")))</ns0:f>
      </ns0:c>
      <ns0:c r="W344" s="114">
        <ns0:f>IF(COUNTA($A344:$M344)=0,"",IF(OR($U344="Subscription",$U344=""),"",IF($U344="Estimate","N/A",IF(OR($U344="Free Game",$U344="Disqualified — Free Game"),0,ROUND(IFERROR($Q344,0)-IFERROR($S344,0),2)))))</ns0:f>
      </ns0:c>
      <ns0:c r="X344" s="956" t="str">
        <ns0:f>IF(COUNTA($A344:$M344)=0,"",IF(OR($U344="Subscription",NOT(ISNUMBER($J344)),NOT(ISNUMBER($I344)),$J344=0,$I344=0,$I344&gt;$J344),"",$J344-$I344))</ns0:f>
      </ns0:c>
      <ns0:c r="Y344" s="955" t="str">
        <ns0:f>IF(COUNTA($A344:$M344)=0,"",IF(OR($U344="Subscription",NOT(ISNUMBER($J344)),$J344=0,$X344=""),"",$X344/$J344))</ns0:f>
      </ns0:c>
      <ns0:c r="Z344" s="957" t="str">
        <ns0:f>IF(COUNTA($A344:$M344)=0,"",Instructions!$B$29+SUM($W$5:W344))</ns0:f>
      </ns0:c>
    </ns0:row>
    <ns0:row r="345" ht="36" customHeight="1">
      <ns0:c r="A345" s="439"/>
      <ns0:c r="B345" s="453"/>
      <ns0:c r="C345" s="453"/>
      <ns0:c r="D345" s="454"/>
      <ns0:c r="E345" s="454"/>
      <ns0:c r="F345" s="454"/>
      <ns0:c r="G345" s="986"/>
      <ns0:c r="H345" s="455"/>
      <ns0:c r="I345" s="456"/>
      <ns0:c r="J345" s="456"/>
      <ns0:c r="K345" s="986"/>
      <ns0:c r="L345" s="454"/>
      <ns0:c r="M345" s="439"/>
      <ns0:c r="N345" s="987" t="str">
        <ns0:f>IF(COUNTA($A345:$M345)=0,"",IF(OR(LEFT(LOWER(TRIM($F345&amp;"")),12)="subscription",LOWER(TRIM($F345&amp;""))="membership"),"",IF(OR(AND($H345&lt;&gt;"",$H345=0),LEFT(LOWER(TRIM($F345&amp;"")),9)="free game",LOWER(TRIM($F345&amp;""))="free",LOWER(TRIM($F345&amp;""))="free entry"),IF(ISNUMBER($G345),IF(ISNUMBER(SEARCH("non",LOWER($E345&amp;""))),$G345*0.85,$G345),"N/A"),IF($G345="","",IFERROR(IF(ISNUMBER(SEARCH("non",LOWER($E345&amp;""))),$G345*0.85,$G345),"")))))</ns0:f>
        <ns0:v/>
      </ns0:c>
      <ns0:c r="O345" s="987" t="str">
        <ns0:f>IF(COUNTA($A345:$M345)=0,"",IF(OR(LEFT(LOWER(TRIM($F345&amp;"")),12)="subscription",LOWER(TRIM($F345&amp;""))="membership"),"",IF(OR(AND($H345&lt;&gt;"",$H345=0),LEFT(LOWER(TRIM($F345&amp;"")),9)="free game",LOWER(TRIM($F345&amp;""))="free",LOWER(TRIM($F345&amp;""))="free entry"),IF(OR(NOT(ISNUMBER($N345)),NOT(ISNUMBER($I345)),$I345=0),"N/A",IFERROR($N345/$I345,"N/A")),IF(OR($N345="",$I345="",$I345=0),"",IFERROR($N345/$I345,"")))))</ns0:f>
        <ns0:v/>
      </ns0:c>
      <ns0:c r="P345" s="987">
        <ns0:f>IF(COUNTA($A345:$M345)=0,"",IF(OR(LEFT(LOWER(TRIM($F345&amp;"")),12)="subscription",LOWER(TRIM($F345&amp;""))="membership"),"",IF(LOWER(TRIM($D345&amp;""))="estimate","N/A",IF(LOWER($L345&amp;"")="yes",0,IF(OR(AND($H345&lt;&gt;"",$H345=0),LEFT(LOWER(TRIM($F345&amp;"")),9)="free game",LOWER(TRIM($F345&amp;""))="free",LOWER(TRIM($F345&amp;""))="free entry"),IF(ISNUMBER($K345),$K345,""),IF($K345&lt;&gt;"",$K345,""))))))</ns0:f>
      </ns0:c>
      <ns0:c r="Q345" s="114">
        <ns0:f>IF(COUNTA($A345:$M345)=0,"",IF(OR($U345="Subscription",$U345=""),"",IF($U345="Estimate","N/A",IF($U345="Profit",ROUND(IFERROR($P345,0)-IFERROR($H345,0),2),0))))</ns0:f>
      </ns0:c>
      <ns0:c r="R345" s="114">
        <ns0:f>IF(COUNTA($A345:$M345)=0,"",IF(OR($U345="Subscription",$U345=""),"",IF($U345="Estimate","N/A",IF($U345="Draw",$H345,0))))</ns0:f>
      </ns0:c>
      <ns0:c r="S345" s="114">
        <ns0:f>IF(COUNTA($A345:$M345)=0,"",IF(OR($U345="Subscription",$U345=""),"",IF($U345="Estimate","N/A",IF($U345="Disqualified",$H345,0))))</ns0:f>
      </ns0:c>
      <ns0:c r="T345" s="955">
        <ns0:f>IF(COUNTA($A345:$M345)=0,"",IF(OR($U345="Subscription",$U345=""),"",IF($U345="Estimate","N/A",IF(OR($U345="Free Game",$U345="Disqualified — Free Game",$H345=0),"N/A",IF($U345="Profit",$Q345/$H345,IF($U345="Disqualified",-$S345/$H345,0))))))</ns0:f>
      </ns0:c>
      <ns0:c r="U345" s="920">
        <ns0:f>IF(COUNTA($A345:$M345)=0,"",IF(OR(LEFT(LOWER(TRIM($F345&amp;"")),12)="subscription",LOWER(TRIM($F345&amp;""))="membership"),"Subscription",IF(LOWER(TRIM($D345&amp;""))="estimate","Estimate",IF(OR(AND($H345&lt;&gt;"",$H345=0),LEFT(LOWER(TRIM($F345&amp;"")),9)="free game",LOWER(TRIM($F345&amp;""))="free",LOWER(TRIM($F345&amp;""))="free entry"),IF(LOWER($L345&amp;"")="yes","Disqualified — Free Game","Free Game"),IF(LOWER($L345&amp;"")="yes","Disqualified",IF($P345="","",IF(ROUND(IFERROR(VALUE($P345),0)-IFERROR(VALUE($H345),0),2)&gt;0,"Profit","Draw")))))))</ns0:f>
      </ns0:c>
      <ns0:c r="V345" s="956" t="str">
        <ns0:f>IF(COUNTA($A345:$M345)=0,"",IF(OR($B345="",$C345="",$U345="Subscription"),"",IFERROR(ROUNDUP(($C345-$B345)/7,0),"")))</ns0:f>
      </ns0:c>
      <ns0:c r="W345" s="114">
        <ns0:f>IF(COUNTA($A345:$M345)=0,"",IF(OR($U345="Subscription",$U345=""),"",IF($U345="Estimate","N/A",IF(OR($U345="Free Game",$U345="Disqualified — Free Game"),0,ROUND(IFERROR($Q345,0)-IFERROR($S345,0),2)))))</ns0:f>
      </ns0:c>
      <ns0:c r="X345" s="956" t="str">
        <ns0:f>IF(COUNTA($A345:$M345)=0,"",IF(OR($U345="Subscription",NOT(ISNUMBER($J345)),NOT(ISNUMBER($I345)),$J345=0,$I345=0,$I345&gt;$J345),"",$J345-$I345))</ns0:f>
      </ns0:c>
      <ns0:c r="Y345" s="955" t="str">
        <ns0:f>IF(COUNTA($A345:$M345)=0,"",IF(OR($U345="Subscription",NOT(ISNUMBER($J345)),$J345=0,$X345=""),"",$X345/$J345))</ns0:f>
      </ns0:c>
      <ns0:c r="Z345" s="957" t="str">
        <ns0:f>IF(COUNTA($A345:$M345)=0,"",Instructions!$B$29+SUM($W$5:W345))</ns0:f>
      </ns0:c>
    </ns0:row>
    <ns0:row r="346" ht="36" customHeight="1">
      <ns0:c r="A346" s="439"/>
      <ns0:c r="B346" s="453"/>
      <ns0:c r="C346" s="453"/>
      <ns0:c r="D346" s="454"/>
      <ns0:c r="E346" s="454"/>
      <ns0:c r="F346" s="454"/>
      <ns0:c r="G346" s="986"/>
      <ns0:c r="H346" s="455"/>
      <ns0:c r="I346" s="456"/>
      <ns0:c r="J346" s="456"/>
      <ns0:c r="K346" s="986"/>
      <ns0:c r="L346" s="454"/>
      <ns0:c r="M346" s="439"/>
      <ns0:c r="N346" s="987" t="str">
        <ns0:f>IF(COUNTA($A346:$M346)=0,"",IF(OR(LEFT(LOWER(TRIM($F346&amp;"")),12)="subscription",LOWER(TRIM($F346&amp;""))="membership"),"",IF(OR(AND($H346&lt;&gt;"",$H346=0),LEFT(LOWER(TRIM($F346&amp;"")),9)="free game",LOWER(TRIM($F346&amp;""))="free",LOWER(TRIM($F346&amp;""))="free entry"),IF(ISNUMBER($G346),IF(ISNUMBER(SEARCH("non",LOWER($E346&amp;""))),$G346*0.85,$G346),"N/A"),IF($G346="","",IFERROR(IF(ISNUMBER(SEARCH("non",LOWER($E346&amp;""))),$G346*0.85,$G346),"")))))</ns0:f>
        <ns0:v/>
      </ns0:c>
      <ns0:c r="O346" s="987" t="str">
        <ns0:f>IF(COUNTA($A346:$M346)=0,"",IF(OR(LEFT(LOWER(TRIM($F346&amp;"")),12)="subscription",LOWER(TRIM($F346&amp;""))="membership"),"",IF(OR(AND($H346&lt;&gt;"",$H346=0),LEFT(LOWER(TRIM($F346&amp;"")),9)="free game",LOWER(TRIM($F346&amp;""))="free",LOWER(TRIM($F346&amp;""))="free entry"),IF(OR(NOT(ISNUMBER($N346)),NOT(ISNUMBER($I346)),$I346=0),"N/A",IFERROR($N346/$I346,"N/A")),IF(OR($N346="",$I346="",$I346=0),"",IFERROR($N346/$I346,"")))))</ns0:f>
        <ns0:v/>
      </ns0:c>
      <ns0:c r="P346" s="987">
        <ns0:f>IF(COUNTA($A346:$M346)=0,"",IF(OR(LEFT(LOWER(TRIM($F346&amp;"")),12)="subscription",LOWER(TRIM($F346&amp;""))="membership"),"",IF(LOWER(TRIM($D346&amp;""))="estimate","N/A",IF(LOWER($L346&amp;"")="yes",0,IF(OR(AND($H346&lt;&gt;"",$H346=0),LEFT(LOWER(TRIM($F346&amp;"")),9)="free game",LOWER(TRIM($F346&amp;""))="free",LOWER(TRIM($F346&amp;""))="free entry"),IF(ISNUMBER($K346),$K346,""),IF($K346&lt;&gt;"",$K346,""))))))</ns0:f>
      </ns0:c>
      <ns0:c r="Q346" s="114">
        <ns0:f>IF(COUNTA($A346:$M346)=0,"",IF(OR($U346="Subscription",$U346=""),"",IF($U346="Estimate","N/A",IF($U346="Profit",ROUND(IFERROR($P346,0)-IFERROR($H346,0),2),0))))</ns0:f>
      </ns0:c>
      <ns0:c r="R346" s="114">
        <ns0:f>IF(COUNTA($A346:$M346)=0,"",IF(OR($U346="Subscription",$U346=""),"",IF($U346="Estimate","N/A",IF($U346="Draw",$H346,0))))</ns0:f>
      </ns0:c>
      <ns0:c r="S346" s="114">
        <ns0:f>IF(COUNTA($A346:$M346)=0,"",IF(OR($U346="Subscription",$U346=""),"",IF($U346="Estimate","N/A",IF($U346="Disqualified",$H346,0))))</ns0:f>
      </ns0:c>
      <ns0:c r="T346" s="955">
        <ns0:f>IF(COUNTA($A346:$M346)=0,"",IF(OR($U346="Subscription",$U346=""),"",IF($U346="Estimate","N/A",IF(OR($U346="Free Game",$U346="Disqualified — Free Game",$H346=0),"N/A",IF($U346="Profit",$Q346/$H346,IF($U346="Disqualified",-$S346/$H346,0))))))</ns0:f>
      </ns0:c>
      <ns0:c r="U346" s="920">
        <ns0:f>IF(COUNTA($A346:$M346)=0,"",IF(OR(LEFT(LOWER(TRIM($F346&amp;"")),12)="subscription",LOWER(TRIM($F346&amp;""))="membership"),"Subscription",IF(LOWER(TRIM($D346&amp;""))="estimate","Estimate",IF(OR(AND($H346&lt;&gt;"",$H346=0),LEFT(LOWER(TRIM($F346&amp;"")),9)="free game",LOWER(TRIM($F346&amp;""))="free",LOWER(TRIM($F346&amp;""))="free entry"),IF(LOWER($L346&amp;"")="yes","Disqualified — Free Game","Free Game"),IF(LOWER($L346&amp;"")="yes","Disqualified",IF($P346="","",IF(ROUND(IFERROR(VALUE($P346),0)-IFERROR(VALUE($H346),0),2)&gt;0,"Profit","Draw")))))))</ns0:f>
      </ns0:c>
      <ns0:c r="V346" s="956" t="str">
        <ns0:f>IF(COUNTA($A346:$M346)=0,"",IF(OR($B346="",$C346="",$U346="Subscription"),"",IFERROR(ROUNDUP(($C346-$B346)/7,0),"")))</ns0:f>
      </ns0:c>
      <ns0:c r="W346" s="114">
        <ns0:f>IF(COUNTA($A346:$M346)=0,"",IF(OR($U346="Subscription",$U346=""),"",IF($U346="Estimate","N/A",IF(OR($U346="Free Game",$U346="Disqualified — Free Game"),0,ROUND(IFERROR($Q346,0)-IFERROR($S346,0),2)))))</ns0:f>
      </ns0:c>
      <ns0:c r="X346" s="956" t="str">
        <ns0:f>IF(COUNTA($A346:$M346)=0,"",IF(OR($U346="Subscription",NOT(ISNUMBER($J346)),NOT(ISNUMBER($I346)),$J346=0,$I346=0,$I346&gt;$J346),"",$J346-$I346))</ns0:f>
      </ns0:c>
      <ns0:c r="Y346" s="955" t="str">
        <ns0:f>IF(COUNTA($A346:$M346)=0,"",IF(OR($U346="Subscription",NOT(ISNUMBER($J346)),$J346=0,$X346=""),"",$X346/$J346))</ns0:f>
      </ns0:c>
      <ns0:c r="Z346" s="957" t="str">
        <ns0:f>IF(COUNTA($A346:$M346)=0,"",Instructions!$B$29+SUM($W$5:W346))</ns0:f>
      </ns0:c>
    </ns0:row>
    <ns0:row r="347" ht="36" customHeight="1">
      <ns0:c r="A347" s="439"/>
      <ns0:c r="B347" s="453"/>
      <ns0:c r="C347" s="453"/>
      <ns0:c r="D347" s="454"/>
      <ns0:c r="E347" s="454"/>
      <ns0:c r="F347" s="454"/>
      <ns0:c r="G347" s="986"/>
      <ns0:c r="H347" s="455"/>
      <ns0:c r="I347" s="456"/>
      <ns0:c r="J347" s="456"/>
      <ns0:c r="K347" s="986"/>
      <ns0:c r="L347" s="454"/>
      <ns0:c r="M347" s="439"/>
      <ns0:c r="N347" s="987" t="str">
        <ns0:f>IF(COUNTA($A347:$M347)=0,"",IF(OR(LEFT(LOWER(TRIM($F347&amp;"")),12)="subscription",LOWER(TRIM($F347&amp;""))="membership"),"",IF(OR(AND($H347&lt;&gt;"",$H347=0),LEFT(LOWER(TRIM($F347&amp;"")),9)="free game",LOWER(TRIM($F347&amp;""))="free",LOWER(TRIM($F347&amp;""))="free entry"),IF(ISNUMBER($G347),IF(ISNUMBER(SEARCH("non",LOWER($E347&amp;""))),$G347*0.85,$G347),"N/A"),IF($G347="","",IFERROR(IF(ISNUMBER(SEARCH("non",LOWER($E347&amp;""))),$G347*0.85,$G347),"")))))</ns0:f>
        <ns0:v/>
      </ns0:c>
      <ns0:c r="O347" s="987" t="str">
        <ns0:f>IF(COUNTA($A347:$M347)=0,"",IF(OR(LEFT(LOWER(TRIM($F347&amp;"")),12)="subscription",LOWER(TRIM($F347&amp;""))="membership"),"",IF(OR(AND($H347&lt;&gt;"",$H347=0),LEFT(LOWER(TRIM($F347&amp;"")),9)="free game",LOWER(TRIM($F347&amp;""))="free",LOWER(TRIM($F347&amp;""))="free entry"),IF(OR(NOT(ISNUMBER($N347)),NOT(ISNUMBER($I347)),$I347=0),"N/A",IFERROR($N347/$I347,"N/A")),IF(OR($N347="",$I347="",$I347=0),"",IFERROR($N347/$I347,"")))))</ns0:f>
        <ns0:v/>
      </ns0:c>
      <ns0:c r="P347" s="987">
        <ns0:f>IF(COUNTA($A347:$M347)=0,"",IF(OR(LEFT(LOWER(TRIM($F347&amp;"")),12)="subscription",LOWER(TRIM($F347&amp;""))="membership"),"",IF(LOWER(TRIM($D347&amp;""))="estimate","N/A",IF(LOWER($L347&amp;"")="yes",0,IF(OR(AND($H347&lt;&gt;"",$H347=0),LEFT(LOWER(TRIM($F347&amp;"")),9)="free game",LOWER(TRIM($F347&amp;""))="free",LOWER(TRIM($F347&amp;""))="free entry"),IF(ISNUMBER($K347),$K347,""),IF($K347&lt;&gt;"",$K347,""))))))</ns0:f>
      </ns0:c>
      <ns0:c r="Q347" s="114">
        <ns0:f>IF(COUNTA($A347:$M347)=0,"",IF(OR($U347="Subscription",$U347=""),"",IF($U347="Estimate","N/A",IF($U347="Profit",ROUND(IFERROR($P347,0)-IFERROR($H347,0),2),0))))</ns0:f>
      </ns0:c>
      <ns0:c r="R347" s="114">
        <ns0:f>IF(COUNTA($A347:$M347)=0,"",IF(OR($U347="Subscription",$U347=""),"",IF($U347="Estimate","N/A",IF($U347="Draw",$H347,0))))</ns0:f>
      </ns0:c>
      <ns0:c r="S347" s="114">
        <ns0:f>IF(COUNTA($A347:$M347)=0,"",IF(OR($U347="Subscription",$U347=""),"",IF($U347="Estimate","N/A",IF($U347="Disqualified",$H347,0))))</ns0:f>
      </ns0:c>
      <ns0:c r="T347" s="955">
        <ns0:f>IF(COUNTA($A347:$M347)=0,"",IF(OR($U347="Subscription",$U347=""),"",IF($U347="Estimate","N/A",IF(OR($U347="Free Game",$U347="Disqualified — Free Game",$H347=0),"N/A",IF($U347="Profit",$Q347/$H347,IF($U347="Disqualified",-$S347/$H347,0))))))</ns0:f>
      </ns0:c>
      <ns0:c r="U347" s="920">
        <ns0:f>IF(COUNTA($A347:$M347)=0,"",IF(OR(LEFT(LOWER(TRIM($F347&amp;"")),12)="subscription",LOWER(TRIM($F347&amp;""))="membership"),"Subscription",IF(LOWER(TRIM($D347&amp;""))="estimate","Estimate",IF(OR(AND($H347&lt;&gt;"",$H347=0),LEFT(LOWER(TRIM($F347&amp;"")),9)="free game",LOWER(TRIM($F347&amp;""))="free",LOWER(TRIM($F347&amp;""))="free entry"),IF(LOWER($L347&amp;"")="yes","Disqualified — Free Game","Free Game"),IF(LOWER($L347&amp;"")="yes","Disqualified",IF($P347="","",IF(ROUND(IFERROR(VALUE($P347),0)-IFERROR(VALUE($H347),0),2)&gt;0,"Profit","Draw")))))))</ns0:f>
      </ns0:c>
      <ns0:c r="V347" s="956" t="str">
        <ns0:f>IF(COUNTA($A347:$M347)=0,"",IF(OR($B347="",$C347="",$U347="Subscription"),"",IFERROR(ROUNDUP(($C347-$B347)/7,0),"")))</ns0:f>
      </ns0:c>
      <ns0:c r="W347" s="114">
        <ns0:f>IF(COUNTA($A347:$M347)=0,"",IF(OR($U347="Subscription",$U347=""),"",IF($U347="Estimate","N/A",IF(OR($U347="Free Game",$U347="Disqualified — Free Game"),0,ROUND(IFERROR($Q347,0)-IFERROR($S347,0),2)))))</ns0:f>
      </ns0:c>
      <ns0:c r="X347" s="956" t="str">
        <ns0:f>IF(COUNTA($A347:$M347)=0,"",IF(OR($U347="Subscription",NOT(ISNUMBER($J347)),NOT(ISNUMBER($I347)),$J347=0,$I347=0,$I347&gt;$J347),"",$J347-$I347))</ns0:f>
      </ns0:c>
      <ns0:c r="Y347" s="955" t="str">
        <ns0:f>IF(COUNTA($A347:$M347)=0,"",IF(OR($U347="Subscription",NOT(ISNUMBER($J347)),$J347=0,$X347=""),"",$X347/$J347))</ns0:f>
      </ns0:c>
      <ns0:c r="Z347" s="957" t="str">
        <ns0:f>IF(COUNTA($A347:$M347)=0,"",Instructions!$B$29+SUM($W$5:W347))</ns0:f>
      </ns0:c>
    </ns0:row>
    <ns0:row r="348" ht="36" customHeight="1">
      <ns0:c r="A348" s="439"/>
      <ns0:c r="B348" s="453"/>
      <ns0:c r="C348" s="453"/>
      <ns0:c r="D348" s="454"/>
      <ns0:c r="E348" s="454"/>
      <ns0:c r="F348" s="454"/>
      <ns0:c r="G348" s="986"/>
      <ns0:c r="H348" s="455"/>
      <ns0:c r="I348" s="456"/>
      <ns0:c r="J348" s="456"/>
      <ns0:c r="K348" s="986"/>
      <ns0:c r="L348" s="454"/>
      <ns0:c r="M348" s="439"/>
      <ns0:c r="N348" s="987" t="str">
        <ns0:f>IF(COUNTA($A348:$M348)=0,"",IF(OR(LEFT(LOWER(TRIM($F348&amp;"")),12)="subscription",LOWER(TRIM($F348&amp;""))="membership"),"",IF(OR(AND($H348&lt;&gt;"",$H348=0),LEFT(LOWER(TRIM($F348&amp;"")),9)="free game",LOWER(TRIM($F348&amp;""))="free",LOWER(TRIM($F348&amp;""))="free entry"),IF(ISNUMBER($G348),IF(ISNUMBER(SEARCH("non",LOWER($E348&amp;""))),$G348*0.85,$G348),"N/A"),IF($G348="","",IFERROR(IF(ISNUMBER(SEARCH("non",LOWER($E348&amp;""))),$G348*0.85,$G348),"")))))</ns0:f>
        <ns0:v/>
      </ns0:c>
      <ns0:c r="O348" s="987" t="str">
        <ns0:f>IF(COUNTA($A348:$M348)=0,"",IF(OR(LEFT(LOWER(TRIM($F348&amp;"")),12)="subscription",LOWER(TRIM($F348&amp;""))="membership"),"",IF(OR(AND($H348&lt;&gt;"",$H348=0),LEFT(LOWER(TRIM($F348&amp;"")),9)="free game",LOWER(TRIM($F348&amp;""))="free",LOWER(TRIM($F348&amp;""))="free entry"),IF(OR(NOT(ISNUMBER($N348)),NOT(ISNUMBER($I348)),$I348=0),"N/A",IFERROR($N348/$I348,"N/A")),IF(OR($N348="",$I348="",$I348=0),"",IFERROR($N348/$I348,"")))))</ns0:f>
        <ns0:v/>
      </ns0:c>
      <ns0:c r="P348" s="987">
        <ns0:f>IF(COUNTA($A348:$M348)=0,"",IF(OR(LEFT(LOWER(TRIM($F348&amp;"")),12)="subscription",LOWER(TRIM($F348&amp;""))="membership"),"",IF(LOWER(TRIM($D348&amp;""))="estimate","N/A",IF(LOWER($L348&amp;"")="yes",0,IF(OR(AND($H348&lt;&gt;"",$H348=0),LEFT(LOWER(TRIM($F348&amp;"")),9)="free game",LOWER(TRIM($F348&amp;""))="free",LOWER(TRIM($F348&amp;""))="free entry"),IF(ISNUMBER($K348),$K348,""),IF($K348&lt;&gt;"",$K348,""))))))</ns0:f>
      </ns0:c>
      <ns0:c r="Q348" s="114">
        <ns0:f>IF(COUNTA($A348:$M348)=0,"",IF(OR($U348="Subscription",$U348=""),"",IF($U348="Estimate","N/A",IF($U348="Profit",ROUND(IFERROR($P348,0)-IFERROR($H348,0),2),0))))</ns0:f>
      </ns0:c>
      <ns0:c r="R348" s="114">
        <ns0:f>IF(COUNTA($A348:$M348)=0,"",IF(OR($U348="Subscription",$U348=""),"",IF($U348="Estimate","N/A",IF($U348="Draw",$H348,0))))</ns0:f>
      </ns0:c>
      <ns0:c r="S348" s="114">
        <ns0:f>IF(COUNTA($A348:$M348)=0,"",IF(OR($U348="Subscription",$U348=""),"",IF($U348="Estimate","N/A",IF($U348="Disqualified",$H348,0))))</ns0:f>
      </ns0:c>
      <ns0:c r="T348" s="955">
        <ns0:f>IF(COUNTA($A348:$M348)=0,"",IF(OR($U348="Subscription",$U348=""),"",IF($U348="Estimate","N/A",IF(OR($U348="Free Game",$U348="Disqualified — Free Game",$H348=0),"N/A",IF($U348="Profit",$Q348/$H348,IF($U348="Disqualified",-$S348/$H348,0))))))</ns0:f>
      </ns0:c>
      <ns0:c r="U348" s="920">
        <ns0:f>IF(COUNTA($A348:$M348)=0,"",IF(OR(LEFT(LOWER(TRIM($F348&amp;"")),12)="subscription",LOWER(TRIM($F348&amp;""))="membership"),"Subscription",IF(LOWER(TRIM($D348&amp;""))="estimate","Estimate",IF(OR(AND($H348&lt;&gt;"",$H348=0),LEFT(LOWER(TRIM($F348&amp;"")),9)="free game",LOWER(TRIM($F348&amp;""))="free",LOWER(TRIM($F348&amp;""))="free entry"),IF(LOWER($L348&amp;"")="yes","Disqualified — Free Game","Free Game"),IF(LOWER($L348&amp;"")="yes","Disqualified",IF($P348="","",IF(ROUND(IFERROR(VALUE($P348),0)-IFERROR(VALUE($H348),0),2)&gt;0,"Profit","Draw")))))))</ns0:f>
      </ns0:c>
      <ns0:c r="V348" s="956" t="str">
        <ns0:f>IF(COUNTA($A348:$M348)=0,"",IF(OR($B348="",$C348="",$U348="Subscription"),"",IFERROR(ROUNDUP(($C348-$B348)/7,0),"")))</ns0:f>
      </ns0:c>
      <ns0:c r="W348" s="114">
        <ns0:f>IF(COUNTA($A348:$M348)=0,"",IF(OR($U348="Subscription",$U348=""),"",IF($U348="Estimate","N/A",IF(OR($U348="Free Game",$U348="Disqualified — Free Game"),0,ROUND(IFERROR($Q348,0)-IFERROR($S348,0),2)))))</ns0:f>
      </ns0:c>
      <ns0:c r="X348" s="956" t="str">
        <ns0:f>IF(COUNTA($A348:$M348)=0,"",IF(OR($U348="Subscription",NOT(ISNUMBER($J348)),NOT(ISNUMBER($I348)),$J348=0,$I348=0,$I348&gt;$J348),"",$J348-$I348))</ns0:f>
      </ns0:c>
      <ns0:c r="Y348" s="955" t="str">
        <ns0:f>IF(COUNTA($A348:$M348)=0,"",IF(OR($U348="Subscription",NOT(ISNUMBER($J348)),$J348=0,$X348=""),"",$X348/$J348))</ns0:f>
      </ns0:c>
      <ns0:c r="Z348" s="957" t="str">
        <ns0:f>IF(COUNTA($A348:$M348)=0,"",Instructions!$B$29+SUM($W$5:W348))</ns0:f>
      </ns0:c>
    </ns0:row>
    <ns0:row r="349" ht="36" customHeight="1">
      <ns0:c r="A349" s="439"/>
      <ns0:c r="B349" s="453"/>
      <ns0:c r="C349" s="453"/>
      <ns0:c r="D349" s="454"/>
      <ns0:c r="E349" s="454"/>
      <ns0:c r="F349" s="454"/>
      <ns0:c r="G349" s="986"/>
      <ns0:c r="H349" s="455"/>
      <ns0:c r="I349" s="456"/>
      <ns0:c r="J349" s="456"/>
      <ns0:c r="K349" s="986"/>
      <ns0:c r="L349" s="454"/>
      <ns0:c r="M349" s="439"/>
      <ns0:c r="N349" s="987" t="str">
        <ns0:f>IF(COUNTA($A349:$M349)=0,"",IF(OR(LEFT(LOWER(TRIM($F349&amp;"")),12)="subscription",LOWER(TRIM($F349&amp;""))="membership"),"",IF(OR(AND($H349&lt;&gt;"",$H349=0),LEFT(LOWER(TRIM($F349&amp;"")),9)="free game",LOWER(TRIM($F349&amp;""))="free",LOWER(TRIM($F349&amp;""))="free entry"),IF(ISNUMBER($G349),IF(ISNUMBER(SEARCH("non",LOWER($E349&amp;""))),$G349*0.85,$G349),"N/A"),IF($G349="","",IFERROR(IF(ISNUMBER(SEARCH("non",LOWER($E349&amp;""))),$G349*0.85,$G349),"")))))</ns0:f>
        <ns0:v/>
      </ns0:c>
      <ns0:c r="O349" s="987" t="str">
        <ns0:f>IF(COUNTA($A349:$M349)=0,"",IF(OR(LEFT(LOWER(TRIM($F349&amp;"")),12)="subscription",LOWER(TRIM($F349&amp;""))="membership"),"",IF(OR(AND($H349&lt;&gt;"",$H349=0),LEFT(LOWER(TRIM($F349&amp;"")),9)="free game",LOWER(TRIM($F349&amp;""))="free",LOWER(TRIM($F349&amp;""))="free entry"),IF(OR(NOT(ISNUMBER($N349)),NOT(ISNUMBER($I349)),$I349=0),"N/A",IFERROR($N349/$I349,"N/A")),IF(OR($N349="",$I349="",$I349=0),"",IFERROR($N349/$I349,"")))))</ns0:f>
        <ns0:v/>
      </ns0:c>
      <ns0:c r="P349" s="987">
        <ns0:f>IF(COUNTA($A349:$M349)=0,"",IF(OR(LEFT(LOWER(TRIM($F349&amp;"")),12)="subscription",LOWER(TRIM($F349&amp;""))="membership"),"",IF(LOWER(TRIM($D349&amp;""))="estimate","N/A",IF(LOWER($L349&amp;"")="yes",0,IF(OR(AND($H349&lt;&gt;"",$H349=0),LEFT(LOWER(TRIM($F349&amp;"")),9)="free game",LOWER(TRIM($F349&amp;""))="free",LOWER(TRIM($F349&amp;""))="free entry"),IF(ISNUMBER($K349),$K349,""),IF($K349&lt;&gt;"",$K349,""))))))</ns0:f>
      </ns0:c>
      <ns0:c r="Q349" s="114">
        <ns0:f>IF(COUNTA($A349:$M349)=0,"",IF(OR($U349="Subscription",$U349=""),"",IF($U349="Estimate","N/A",IF($U349="Profit",ROUND(IFERROR($P349,0)-IFERROR($H349,0),2),0))))</ns0:f>
      </ns0:c>
      <ns0:c r="R349" s="114">
        <ns0:f>IF(COUNTA($A349:$M349)=0,"",IF(OR($U349="Subscription",$U349=""),"",IF($U349="Estimate","N/A",IF($U349="Draw",$H349,0))))</ns0:f>
      </ns0:c>
      <ns0:c r="S349" s="114">
        <ns0:f>IF(COUNTA($A349:$M349)=0,"",IF(OR($U349="Subscription",$U349=""),"",IF($U349="Estimate","N/A",IF($U349="Disqualified",$H349,0))))</ns0:f>
      </ns0:c>
      <ns0:c r="T349" s="955">
        <ns0:f>IF(COUNTA($A349:$M349)=0,"",IF(OR($U349="Subscription",$U349=""),"",IF($U349="Estimate","N/A",IF(OR($U349="Free Game",$U349="Disqualified — Free Game",$H349=0),"N/A",IF($U349="Profit",$Q349/$H349,IF($U349="Disqualified",-$S349/$H349,0))))))</ns0:f>
      </ns0:c>
      <ns0:c r="U349" s="920">
        <ns0:f>IF(COUNTA($A349:$M349)=0,"",IF(OR(LEFT(LOWER(TRIM($F349&amp;"")),12)="subscription",LOWER(TRIM($F349&amp;""))="membership"),"Subscription",IF(LOWER(TRIM($D349&amp;""))="estimate","Estimate",IF(OR(AND($H349&lt;&gt;"",$H349=0),LEFT(LOWER(TRIM($F349&amp;"")),9)="free game",LOWER(TRIM($F349&amp;""))="free",LOWER(TRIM($F349&amp;""))="free entry"),IF(LOWER($L349&amp;"")="yes","Disqualified — Free Game","Free Game"),IF(LOWER($L349&amp;"")="yes","Disqualified",IF($P349="","",IF(ROUND(IFERROR(VALUE($P349),0)-IFERROR(VALUE($H349),0),2)&gt;0,"Profit","Draw")))))))</ns0:f>
      </ns0:c>
      <ns0:c r="V349" s="956" t="str">
        <ns0:f>IF(COUNTA($A349:$M349)=0,"",IF(OR($B349="",$C349="",$U349="Subscription"),"",IFERROR(ROUNDUP(($C349-$B349)/7,0),"")))</ns0:f>
      </ns0:c>
      <ns0:c r="W349" s="114">
        <ns0:f>IF(COUNTA($A349:$M349)=0,"",IF(OR($U349="Subscription",$U349=""),"",IF($U349="Estimate","N/A",IF(OR($U349="Free Game",$U349="Disqualified — Free Game"),0,ROUND(IFERROR($Q349,0)-IFERROR($S349,0),2)))))</ns0:f>
      </ns0:c>
      <ns0:c r="X349" s="956" t="str">
        <ns0:f>IF(COUNTA($A349:$M349)=0,"",IF(OR($U349="Subscription",NOT(ISNUMBER($J349)),NOT(ISNUMBER($I349)),$J349=0,$I349=0,$I349&gt;$J349),"",$J349-$I349))</ns0:f>
      </ns0:c>
      <ns0:c r="Y349" s="955" t="str">
        <ns0:f>IF(COUNTA($A349:$M349)=0,"",IF(OR($U349="Subscription",NOT(ISNUMBER($J349)),$J349=0,$X349=""),"",$X349/$J349))</ns0:f>
      </ns0:c>
      <ns0:c r="Z349" s="957" t="str">
        <ns0:f>IF(COUNTA($A349:$M349)=0,"",Instructions!$B$29+SUM($W$5:W349))</ns0:f>
      </ns0:c>
    </ns0:row>
    <ns0:row r="350" ht="36" customHeight="1">
      <ns0:c r="A350" s="439"/>
      <ns0:c r="B350" s="453"/>
      <ns0:c r="C350" s="453"/>
      <ns0:c r="D350" s="454"/>
      <ns0:c r="E350" s="454"/>
      <ns0:c r="F350" s="454"/>
      <ns0:c r="G350" s="986"/>
      <ns0:c r="H350" s="455"/>
      <ns0:c r="I350" s="456"/>
      <ns0:c r="J350" s="456"/>
      <ns0:c r="K350" s="986"/>
      <ns0:c r="L350" s="454"/>
      <ns0:c r="M350" s="439"/>
      <ns0:c r="N350" s="987" t="str">
        <ns0:f>IF(COUNTA($A350:$M350)=0,"",IF(OR(LEFT(LOWER(TRIM($F350&amp;"")),12)="subscription",LOWER(TRIM($F350&amp;""))="membership"),"",IF(OR(AND($H350&lt;&gt;"",$H350=0),LEFT(LOWER(TRIM($F350&amp;"")),9)="free game",LOWER(TRIM($F350&amp;""))="free",LOWER(TRIM($F350&amp;""))="free entry"),IF(ISNUMBER($G350),IF(ISNUMBER(SEARCH("non",LOWER($E350&amp;""))),$G350*0.85,$G350),"N/A"),IF($G350="","",IFERROR(IF(ISNUMBER(SEARCH("non",LOWER($E350&amp;""))),$G350*0.85,$G350),"")))))</ns0:f>
        <ns0:v/>
      </ns0:c>
      <ns0:c r="O350" s="987" t="str">
        <ns0:f>IF(COUNTA($A350:$M350)=0,"",IF(OR(LEFT(LOWER(TRIM($F350&amp;"")),12)="subscription",LOWER(TRIM($F350&amp;""))="membership"),"",IF(OR(AND($H350&lt;&gt;"",$H350=0),LEFT(LOWER(TRIM($F350&amp;"")),9)="free game",LOWER(TRIM($F350&amp;""))="free",LOWER(TRIM($F350&amp;""))="free entry"),IF(OR(NOT(ISNUMBER($N350)),NOT(ISNUMBER($I350)),$I350=0),"N/A",IFERROR($N350/$I350,"N/A")),IF(OR($N350="",$I350="",$I350=0),"",IFERROR($N350/$I350,"")))))</ns0:f>
        <ns0:v/>
      </ns0:c>
      <ns0:c r="P350" s="987">
        <ns0:f>IF(COUNTA($A350:$M350)=0,"",IF(OR(LEFT(LOWER(TRIM($F350&amp;"")),12)="subscription",LOWER(TRIM($F350&amp;""))="membership"),"",IF(LOWER(TRIM($D350&amp;""))="estimate","N/A",IF(LOWER($L350&amp;"")="yes",0,IF(OR(AND($H350&lt;&gt;"",$H350=0),LEFT(LOWER(TRIM($F350&amp;"")),9)="free game",LOWER(TRIM($F350&amp;""))="free",LOWER(TRIM($F350&amp;""))="free entry"),IF(ISNUMBER($K350),$K350,""),IF($K350&lt;&gt;"",$K350,""))))))</ns0:f>
      </ns0:c>
      <ns0:c r="Q350" s="114">
        <ns0:f>IF(COUNTA($A350:$M350)=0,"",IF(OR($U350="Subscription",$U350=""),"",IF($U350="Estimate","N/A",IF($U350="Profit",ROUND(IFERROR($P350,0)-IFERROR($H350,0),2),0))))</ns0:f>
      </ns0:c>
      <ns0:c r="R350" s="114">
        <ns0:f>IF(COUNTA($A350:$M350)=0,"",IF(OR($U350="Subscription",$U350=""),"",IF($U350="Estimate","N/A",IF($U350="Draw",$H350,0))))</ns0:f>
      </ns0:c>
      <ns0:c r="S350" s="114">
        <ns0:f>IF(COUNTA($A350:$M350)=0,"",IF(OR($U350="Subscription",$U350=""),"",IF($U350="Estimate","N/A",IF($U350="Disqualified",$H350,0))))</ns0:f>
      </ns0:c>
      <ns0:c r="T350" s="955">
        <ns0:f>IF(COUNTA($A350:$M350)=0,"",IF(OR($U350="Subscription",$U350=""),"",IF($U350="Estimate","N/A",IF(OR($U350="Free Game",$U350="Disqualified — Free Game",$H350=0),"N/A",IF($U350="Profit",$Q350/$H350,IF($U350="Disqualified",-$S350/$H350,0))))))</ns0:f>
      </ns0:c>
      <ns0:c r="U350" s="920">
        <ns0:f>IF(COUNTA($A350:$M350)=0,"",IF(OR(LEFT(LOWER(TRIM($F350&amp;"")),12)="subscription",LOWER(TRIM($F350&amp;""))="membership"),"Subscription",IF(LOWER(TRIM($D350&amp;""))="estimate","Estimate",IF(OR(AND($H350&lt;&gt;"",$H350=0),LEFT(LOWER(TRIM($F350&amp;"")),9)="free game",LOWER(TRIM($F350&amp;""))="free",LOWER(TRIM($F350&amp;""))="free entry"),IF(LOWER($L350&amp;"")="yes","Disqualified — Free Game","Free Game"),IF(LOWER($L350&amp;"")="yes","Disqualified",IF($P350="","",IF(ROUND(IFERROR(VALUE($P350),0)-IFERROR(VALUE($H350),0),2)&gt;0,"Profit","Draw")))))))</ns0:f>
      </ns0:c>
      <ns0:c r="V350" s="956" t="str">
        <ns0:f>IF(COUNTA($A350:$M350)=0,"",IF(OR($B350="",$C350="",$U350="Subscription"),"",IFERROR(ROUNDUP(($C350-$B350)/7,0),"")))</ns0:f>
      </ns0:c>
      <ns0:c r="W350" s="114">
        <ns0:f>IF(COUNTA($A350:$M350)=0,"",IF(OR($U350="Subscription",$U350=""),"",IF($U350="Estimate","N/A",IF(OR($U350="Free Game",$U350="Disqualified — Free Game"),0,ROUND(IFERROR($Q350,0)-IFERROR($S350,0),2)))))</ns0:f>
      </ns0:c>
      <ns0:c r="X350" s="956" t="str">
        <ns0:f>IF(COUNTA($A350:$M350)=0,"",IF(OR($U350="Subscription",NOT(ISNUMBER($J350)),NOT(ISNUMBER($I350)),$J350=0,$I350=0,$I350&gt;$J350),"",$J350-$I350))</ns0:f>
      </ns0:c>
      <ns0:c r="Y350" s="955" t="str">
        <ns0:f>IF(COUNTA($A350:$M350)=0,"",IF(OR($U350="Subscription",NOT(ISNUMBER($J350)),$J350=0,$X350=""),"",$X350/$J350))</ns0:f>
      </ns0:c>
      <ns0:c r="Z350" s="957" t="str">
        <ns0:f>IF(COUNTA($A350:$M350)=0,"",Instructions!$B$29+SUM($W$5:W350))</ns0:f>
      </ns0:c>
    </ns0:row>
    <ns0:row r="351" ht="36" customHeight="1">
      <ns0:c r="A351" s="439"/>
      <ns0:c r="B351" s="453"/>
      <ns0:c r="C351" s="453"/>
      <ns0:c r="D351" s="454"/>
      <ns0:c r="E351" s="454"/>
      <ns0:c r="F351" s="454"/>
      <ns0:c r="G351" s="986"/>
      <ns0:c r="H351" s="455"/>
      <ns0:c r="I351" s="456"/>
      <ns0:c r="J351" s="456"/>
      <ns0:c r="K351" s="986"/>
      <ns0:c r="L351" s="454"/>
      <ns0:c r="M351" s="439"/>
      <ns0:c r="N351" s="987" t="str">
        <ns0:f>IF(COUNTA($A351:$M351)=0,"",IF(OR(LEFT(LOWER(TRIM($F351&amp;"")),12)="subscription",LOWER(TRIM($F351&amp;""))="membership"),"",IF(OR(AND($H351&lt;&gt;"",$H351=0),LEFT(LOWER(TRIM($F351&amp;"")),9)="free game",LOWER(TRIM($F351&amp;""))="free",LOWER(TRIM($F351&amp;""))="free entry"),IF(ISNUMBER($G351),IF(ISNUMBER(SEARCH("non",LOWER($E351&amp;""))),$G351*0.85,$G351),"N/A"),IF($G351="","",IFERROR(IF(ISNUMBER(SEARCH("non",LOWER($E351&amp;""))),$G351*0.85,$G351),"")))))</ns0:f>
        <ns0:v/>
      </ns0:c>
      <ns0:c r="O351" s="987" t="str">
        <ns0:f>IF(COUNTA($A351:$M351)=0,"",IF(OR(LEFT(LOWER(TRIM($F351&amp;"")),12)="subscription",LOWER(TRIM($F351&amp;""))="membership"),"",IF(OR(AND($H351&lt;&gt;"",$H351=0),LEFT(LOWER(TRIM($F351&amp;"")),9)="free game",LOWER(TRIM($F351&amp;""))="free",LOWER(TRIM($F351&amp;""))="free entry"),IF(OR(NOT(ISNUMBER($N351)),NOT(ISNUMBER($I351)),$I351=0),"N/A",IFERROR($N351/$I351,"N/A")),IF(OR($N351="",$I351="",$I351=0),"",IFERROR($N351/$I351,"")))))</ns0:f>
        <ns0:v/>
      </ns0:c>
      <ns0:c r="P351" s="987">
        <ns0:f>IF(COUNTA($A351:$M351)=0,"",IF(OR(LEFT(LOWER(TRIM($F351&amp;"")),12)="subscription",LOWER(TRIM($F351&amp;""))="membership"),"",IF(LOWER(TRIM($D351&amp;""))="estimate","N/A",IF(LOWER($L351&amp;"")="yes",0,IF(OR(AND($H351&lt;&gt;"",$H351=0),LEFT(LOWER(TRIM($F351&amp;"")),9)="free game",LOWER(TRIM($F351&amp;""))="free",LOWER(TRIM($F351&amp;""))="free entry"),IF(ISNUMBER($K351),$K351,""),IF($K351&lt;&gt;"",$K351,""))))))</ns0:f>
      </ns0:c>
      <ns0:c r="Q351" s="114">
        <ns0:f>IF(COUNTA($A351:$M351)=0,"",IF(OR($U351="Subscription",$U351=""),"",IF($U351="Estimate","N/A",IF($U351="Profit",ROUND(IFERROR($P351,0)-IFERROR($H351,0),2),0))))</ns0:f>
      </ns0:c>
      <ns0:c r="R351" s="114">
        <ns0:f>IF(COUNTA($A351:$M351)=0,"",IF(OR($U351="Subscription",$U351=""),"",IF($U351="Estimate","N/A",IF($U351="Draw",$H351,0))))</ns0:f>
      </ns0:c>
      <ns0:c r="S351" s="114">
        <ns0:f>IF(COUNTA($A351:$M351)=0,"",IF(OR($U351="Subscription",$U351=""),"",IF($U351="Estimate","N/A",IF($U351="Disqualified",$H351,0))))</ns0:f>
      </ns0:c>
      <ns0:c r="T351" s="955">
        <ns0:f>IF(COUNTA($A351:$M351)=0,"",IF(OR($U351="Subscription",$U351=""),"",IF($U351="Estimate","N/A",IF(OR($U351="Free Game",$U351="Disqualified — Free Game",$H351=0),"N/A",IF($U351="Profit",$Q351/$H351,IF($U351="Disqualified",-$S351/$H351,0))))))</ns0:f>
      </ns0:c>
      <ns0:c r="U351" s="920">
        <ns0:f>IF(COUNTA($A351:$M351)=0,"",IF(OR(LEFT(LOWER(TRIM($F351&amp;"")),12)="subscription",LOWER(TRIM($F351&amp;""))="membership"),"Subscription",IF(LOWER(TRIM($D351&amp;""))="estimate","Estimate",IF(OR(AND($H351&lt;&gt;"",$H351=0),LEFT(LOWER(TRIM($F351&amp;"")),9)="free game",LOWER(TRIM($F351&amp;""))="free",LOWER(TRIM($F351&amp;""))="free entry"),IF(LOWER($L351&amp;"")="yes","Disqualified — Free Game","Free Game"),IF(LOWER($L351&amp;"")="yes","Disqualified",IF($P351="","",IF(ROUND(IFERROR(VALUE($P351),0)-IFERROR(VALUE($H351),0),2)&gt;0,"Profit","Draw")))))))</ns0:f>
      </ns0:c>
      <ns0:c r="V351" s="956" t="str">
        <ns0:f>IF(COUNTA($A351:$M351)=0,"",IF(OR($B351="",$C351="",$U351="Subscription"),"",IFERROR(ROUNDUP(($C351-$B351)/7,0),"")))</ns0:f>
      </ns0:c>
      <ns0:c r="W351" s="114">
        <ns0:f>IF(COUNTA($A351:$M351)=0,"",IF(OR($U351="Subscription",$U351=""),"",IF($U351="Estimate","N/A",IF(OR($U351="Free Game",$U351="Disqualified — Free Game"),0,ROUND(IFERROR($Q351,0)-IFERROR($S351,0),2)))))</ns0:f>
      </ns0:c>
      <ns0:c r="X351" s="956" t="str">
        <ns0:f>IF(COUNTA($A351:$M351)=0,"",IF(OR($U351="Subscription",NOT(ISNUMBER($J351)),NOT(ISNUMBER($I351)),$J351=0,$I351=0,$I351&gt;$J351),"",$J351-$I351))</ns0:f>
      </ns0:c>
      <ns0:c r="Y351" s="955" t="str">
        <ns0:f>IF(COUNTA($A351:$M351)=0,"",IF(OR($U351="Subscription",NOT(ISNUMBER($J351)),$J351=0,$X351=""),"",$X351/$J351))</ns0:f>
      </ns0:c>
      <ns0:c r="Z351" s="957" t="str">
        <ns0:f>IF(COUNTA($A351:$M351)=0,"",Instructions!$B$29+SUM($W$5:W351))</ns0:f>
      </ns0:c>
    </ns0:row>
    <ns0:row r="352" ht="36" customHeight="1">
      <ns0:c r="A352" s="439"/>
      <ns0:c r="B352" s="453"/>
      <ns0:c r="C352" s="453"/>
      <ns0:c r="D352" s="454"/>
      <ns0:c r="E352" s="454"/>
      <ns0:c r="F352" s="454"/>
      <ns0:c r="G352" s="986"/>
      <ns0:c r="H352" s="455"/>
      <ns0:c r="I352" s="456"/>
      <ns0:c r="J352" s="456"/>
      <ns0:c r="K352" s="986"/>
      <ns0:c r="L352" s="454"/>
      <ns0:c r="M352" s="439"/>
      <ns0:c r="N352" s="987" t="str">
        <ns0:f>IF(COUNTA($A352:$M352)=0,"",IF(OR(LEFT(LOWER(TRIM($F352&amp;"")),12)="subscription",LOWER(TRIM($F352&amp;""))="membership"),"",IF(OR(AND($H352&lt;&gt;"",$H352=0),LEFT(LOWER(TRIM($F352&amp;"")),9)="free game",LOWER(TRIM($F352&amp;""))="free",LOWER(TRIM($F352&amp;""))="free entry"),IF(ISNUMBER($G352),IF(ISNUMBER(SEARCH("non",LOWER($E352&amp;""))),$G352*0.85,$G352),"N/A"),IF($G352="","",IFERROR(IF(ISNUMBER(SEARCH("non",LOWER($E352&amp;""))),$G352*0.85,$G352),"")))))</ns0:f>
        <ns0:v/>
      </ns0:c>
      <ns0:c r="O352" s="987" t="str">
        <ns0:f>IF(COUNTA($A352:$M352)=0,"",IF(OR(LEFT(LOWER(TRIM($F352&amp;"")),12)="subscription",LOWER(TRIM($F352&amp;""))="membership"),"",IF(OR(AND($H352&lt;&gt;"",$H352=0),LEFT(LOWER(TRIM($F352&amp;"")),9)="free game",LOWER(TRIM($F352&amp;""))="free",LOWER(TRIM($F352&amp;""))="free entry"),IF(OR(NOT(ISNUMBER($N352)),NOT(ISNUMBER($I352)),$I352=0),"N/A",IFERROR($N352/$I352,"N/A")),IF(OR($N352="",$I352="",$I352=0),"",IFERROR($N352/$I352,"")))))</ns0:f>
        <ns0:v/>
      </ns0:c>
      <ns0:c r="P352" s="987">
        <ns0:f>IF(COUNTA($A352:$M352)=0,"",IF(OR(LEFT(LOWER(TRIM($F352&amp;"")),12)="subscription",LOWER(TRIM($F352&amp;""))="membership"),"",IF(LOWER(TRIM($D352&amp;""))="estimate","N/A",IF(LOWER($L352&amp;"")="yes",0,IF(OR(AND($H352&lt;&gt;"",$H352=0),LEFT(LOWER(TRIM($F352&amp;"")),9)="free game",LOWER(TRIM($F352&amp;""))="free",LOWER(TRIM($F352&amp;""))="free entry"),IF(ISNUMBER($K352),$K352,""),IF($K352&lt;&gt;"",$K352,""))))))</ns0:f>
      </ns0:c>
      <ns0:c r="Q352" s="114">
        <ns0:f>IF(COUNTA($A352:$M352)=0,"",IF(OR($U352="Subscription",$U352=""),"",IF($U352="Estimate","N/A",IF($U352="Profit",ROUND(IFERROR($P352,0)-IFERROR($H352,0),2),0))))</ns0:f>
      </ns0:c>
      <ns0:c r="R352" s="114">
        <ns0:f>IF(COUNTA($A352:$M352)=0,"",IF(OR($U352="Subscription",$U352=""),"",IF($U352="Estimate","N/A",IF($U352="Draw",$H352,0))))</ns0:f>
      </ns0:c>
      <ns0:c r="S352" s="114">
        <ns0:f>IF(COUNTA($A352:$M352)=0,"",IF(OR($U352="Subscription",$U352=""),"",IF($U352="Estimate","N/A",IF($U352="Disqualified",$H352,0))))</ns0:f>
      </ns0:c>
      <ns0:c r="T352" s="955">
        <ns0:f>IF(COUNTA($A352:$M352)=0,"",IF(OR($U352="Subscription",$U352=""),"",IF($U352="Estimate","N/A",IF(OR($U352="Free Game",$U352="Disqualified — Free Game",$H352=0),"N/A",IF($U352="Profit",$Q352/$H352,IF($U352="Disqualified",-$S352/$H352,0))))))</ns0:f>
      </ns0:c>
      <ns0:c r="U352" s="920">
        <ns0:f>IF(COUNTA($A352:$M352)=0,"",IF(OR(LEFT(LOWER(TRIM($F352&amp;"")),12)="subscription",LOWER(TRIM($F352&amp;""))="membership"),"Subscription",IF(LOWER(TRIM($D352&amp;""))="estimate","Estimate",IF(OR(AND($H352&lt;&gt;"",$H352=0),LEFT(LOWER(TRIM($F352&amp;"")),9)="free game",LOWER(TRIM($F352&amp;""))="free",LOWER(TRIM($F352&amp;""))="free entry"),IF(LOWER($L352&amp;"")="yes","Disqualified — Free Game","Free Game"),IF(LOWER($L352&amp;"")="yes","Disqualified",IF($P352="","",IF(ROUND(IFERROR(VALUE($P352),0)-IFERROR(VALUE($H352),0),2)&gt;0,"Profit","Draw")))))))</ns0:f>
      </ns0:c>
      <ns0:c r="V352" s="956" t="str">
        <ns0:f>IF(COUNTA($A352:$M352)=0,"",IF(OR($B352="",$C352="",$U352="Subscription"),"",IFERROR(ROUNDUP(($C352-$B352)/7,0),"")))</ns0:f>
      </ns0:c>
      <ns0:c r="W352" s="114">
        <ns0:f>IF(COUNTA($A352:$M352)=0,"",IF(OR($U352="Subscription",$U352=""),"",IF($U352="Estimate","N/A",IF(OR($U352="Free Game",$U352="Disqualified — Free Game"),0,ROUND(IFERROR($Q352,0)-IFERROR($S352,0),2)))))</ns0:f>
      </ns0:c>
      <ns0:c r="X352" s="956" t="str">
        <ns0:f>IF(COUNTA($A352:$M352)=0,"",IF(OR($U352="Subscription",NOT(ISNUMBER($J352)),NOT(ISNUMBER($I352)),$J352=0,$I352=0,$I352&gt;$J352),"",$J352-$I352))</ns0:f>
      </ns0:c>
      <ns0:c r="Y352" s="955" t="str">
        <ns0:f>IF(COUNTA($A352:$M352)=0,"",IF(OR($U352="Subscription",NOT(ISNUMBER($J352)),$J352=0,$X352=""),"",$X352/$J352))</ns0:f>
      </ns0:c>
      <ns0:c r="Z352" s="957" t="str">
        <ns0:f>IF(COUNTA($A352:$M352)=0,"",Instructions!$B$29+SUM($W$5:W352))</ns0:f>
      </ns0:c>
    </ns0:row>
    <ns0:row r="353" ht="36" customHeight="1">
      <ns0:c r="A353" s="439"/>
      <ns0:c r="B353" s="453"/>
      <ns0:c r="C353" s="453"/>
      <ns0:c r="D353" s="454"/>
      <ns0:c r="E353" s="454"/>
      <ns0:c r="F353" s="454"/>
      <ns0:c r="G353" s="986"/>
      <ns0:c r="H353" s="455"/>
      <ns0:c r="I353" s="456"/>
      <ns0:c r="J353" s="456"/>
      <ns0:c r="K353" s="986"/>
      <ns0:c r="L353" s="454"/>
      <ns0:c r="M353" s="439"/>
      <ns0:c r="N353" s="987" t="str">
        <ns0:f>IF(COUNTA($A353:$M353)=0,"",IF(OR(LEFT(LOWER(TRIM($F353&amp;"")),12)="subscription",LOWER(TRIM($F353&amp;""))="membership"),"",IF(OR(AND($H353&lt;&gt;"",$H353=0),LEFT(LOWER(TRIM($F353&amp;"")),9)="free game",LOWER(TRIM($F353&amp;""))="free",LOWER(TRIM($F353&amp;""))="free entry"),IF(ISNUMBER($G353),IF(ISNUMBER(SEARCH("non",LOWER($E353&amp;""))),$G353*0.85,$G353),"N/A"),IF($G353="","",IFERROR(IF(ISNUMBER(SEARCH("non",LOWER($E353&amp;""))),$G353*0.85,$G353),"")))))</ns0:f>
        <ns0:v/>
      </ns0:c>
      <ns0:c r="O353" s="987" t="str">
        <ns0:f>IF(COUNTA($A353:$M353)=0,"",IF(OR(LEFT(LOWER(TRIM($F353&amp;"")),12)="subscription",LOWER(TRIM($F353&amp;""))="membership"),"",IF(OR(AND($H353&lt;&gt;"",$H353=0),LEFT(LOWER(TRIM($F353&amp;"")),9)="free game",LOWER(TRIM($F353&amp;""))="free",LOWER(TRIM($F353&amp;""))="free entry"),IF(OR(NOT(ISNUMBER($N353)),NOT(ISNUMBER($I353)),$I353=0),"N/A",IFERROR($N353/$I353,"N/A")),IF(OR($N353="",$I353="",$I353=0),"",IFERROR($N353/$I353,"")))))</ns0:f>
        <ns0:v/>
      </ns0:c>
      <ns0:c r="P353" s="987">
        <ns0:f>IF(COUNTA($A353:$M353)=0,"",IF(OR(LEFT(LOWER(TRIM($F353&amp;"")),12)="subscription",LOWER(TRIM($F353&amp;""))="membership"),"",IF(LOWER(TRIM($D353&amp;""))="estimate","N/A",IF(LOWER($L353&amp;"")="yes",0,IF(OR(AND($H353&lt;&gt;"",$H353=0),LEFT(LOWER(TRIM($F353&amp;"")),9)="free game",LOWER(TRIM($F353&amp;""))="free",LOWER(TRIM($F353&amp;""))="free entry"),IF(ISNUMBER($K353),$K353,""),IF($K353&lt;&gt;"",$K353,""))))))</ns0:f>
      </ns0:c>
      <ns0:c r="Q353" s="114">
        <ns0:f>IF(COUNTA($A353:$M353)=0,"",IF(OR($U353="Subscription",$U353=""),"",IF($U353="Estimate","N/A",IF($U353="Profit",ROUND(IFERROR($P353,0)-IFERROR($H353,0),2),0))))</ns0:f>
      </ns0:c>
      <ns0:c r="R353" s="114">
        <ns0:f>IF(COUNTA($A353:$M353)=0,"",IF(OR($U353="Subscription",$U353=""),"",IF($U353="Estimate","N/A",IF($U353="Draw",$H353,0))))</ns0:f>
      </ns0:c>
      <ns0:c r="S353" s="114">
        <ns0:f>IF(COUNTA($A353:$M353)=0,"",IF(OR($U353="Subscription",$U353=""),"",IF($U353="Estimate","N/A",IF($U353="Disqualified",$H353,0))))</ns0:f>
      </ns0:c>
      <ns0:c r="T353" s="955">
        <ns0:f>IF(COUNTA($A353:$M353)=0,"",IF(OR($U353="Subscription",$U353=""),"",IF($U353="Estimate","N/A",IF(OR($U353="Free Game",$U353="Disqualified — Free Game",$H353=0),"N/A",IF($U353="Profit",$Q353/$H353,IF($U353="Disqualified",-$S353/$H353,0))))))</ns0:f>
      </ns0:c>
      <ns0:c r="U353" s="920">
        <ns0:f>IF(COUNTA($A353:$M353)=0,"",IF(OR(LEFT(LOWER(TRIM($F353&amp;"")),12)="subscription",LOWER(TRIM($F353&amp;""))="membership"),"Subscription",IF(LOWER(TRIM($D353&amp;""))="estimate","Estimate",IF(OR(AND($H353&lt;&gt;"",$H353=0),LEFT(LOWER(TRIM($F353&amp;"")),9)="free game",LOWER(TRIM($F353&amp;""))="free",LOWER(TRIM($F353&amp;""))="free entry"),IF(LOWER($L353&amp;"")="yes","Disqualified — Free Game","Free Game"),IF(LOWER($L353&amp;"")="yes","Disqualified",IF($P353="","",IF(ROUND(IFERROR(VALUE($P353),0)-IFERROR(VALUE($H353),0),2)&gt;0,"Profit","Draw")))))))</ns0:f>
      </ns0:c>
      <ns0:c r="V353" s="956" t="str">
        <ns0:f>IF(COUNTA($A353:$M353)=0,"",IF(OR($B353="",$C353="",$U353="Subscription"),"",IFERROR(ROUNDUP(($C353-$B353)/7,0),"")))</ns0:f>
      </ns0:c>
      <ns0:c r="W353" s="114">
        <ns0:f>IF(COUNTA($A353:$M353)=0,"",IF(OR($U353="Subscription",$U353=""),"",IF($U353="Estimate","N/A",IF(OR($U353="Free Game",$U353="Disqualified — Free Game"),0,ROUND(IFERROR($Q353,0)-IFERROR($S353,0),2)))))</ns0:f>
      </ns0:c>
      <ns0:c r="X353" s="956" t="str">
        <ns0:f>IF(COUNTA($A353:$M353)=0,"",IF(OR($U353="Subscription",NOT(ISNUMBER($J353)),NOT(ISNUMBER($I353)),$J353=0,$I353=0,$I353&gt;$J353),"",$J353-$I353))</ns0:f>
      </ns0:c>
      <ns0:c r="Y353" s="955" t="str">
        <ns0:f>IF(COUNTA($A353:$M353)=0,"",IF(OR($U353="Subscription",NOT(ISNUMBER($J353)),$J353=0,$X353=""),"",$X353/$J353))</ns0:f>
      </ns0:c>
      <ns0:c r="Z353" s="957" t="str">
        <ns0:f>IF(COUNTA($A353:$M353)=0,"",Instructions!$B$29+SUM($W$5:W353))</ns0:f>
      </ns0:c>
    </ns0:row>
    <ns0:row r="354" ht="36" customHeight="1">
      <ns0:c r="A354" s="439"/>
      <ns0:c r="B354" s="453"/>
      <ns0:c r="C354" s="453"/>
      <ns0:c r="D354" s="454"/>
      <ns0:c r="E354" s="454"/>
      <ns0:c r="F354" s="454"/>
      <ns0:c r="G354" s="986"/>
      <ns0:c r="H354" s="455"/>
      <ns0:c r="I354" s="456"/>
      <ns0:c r="J354" s="456"/>
      <ns0:c r="K354" s="986"/>
      <ns0:c r="L354" s="454"/>
      <ns0:c r="M354" s="439"/>
      <ns0:c r="N354" s="987" t="str">
        <ns0:f>IF(COUNTA($A354:$M354)=0,"",IF(OR(LEFT(LOWER(TRIM($F354&amp;"")),12)="subscription",LOWER(TRIM($F354&amp;""))="membership"),"",IF(OR(AND($H354&lt;&gt;"",$H354=0),LEFT(LOWER(TRIM($F354&amp;"")),9)="free game",LOWER(TRIM($F354&amp;""))="free",LOWER(TRIM($F354&amp;""))="free entry"),IF(ISNUMBER($G354),IF(ISNUMBER(SEARCH("non",LOWER($E354&amp;""))),$G354*0.85,$G354),"N/A"),IF($G354="","",IFERROR(IF(ISNUMBER(SEARCH("non",LOWER($E354&amp;""))),$G354*0.85,$G354),"")))))</ns0:f>
        <ns0:v/>
      </ns0:c>
      <ns0:c r="O354" s="987" t="str">
        <ns0:f>IF(COUNTA($A354:$M354)=0,"",IF(OR(LEFT(LOWER(TRIM($F354&amp;"")),12)="subscription",LOWER(TRIM($F354&amp;""))="membership"),"",IF(OR(AND($H354&lt;&gt;"",$H354=0),LEFT(LOWER(TRIM($F354&amp;"")),9)="free game",LOWER(TRIM($F354&amp;""))="free",LOWER(TRIM($F354&amp;""))="free entry"),IF(OR(NOT(ISNUMBER($N354)),NOT(ISNUMBER($I354)),$I354=0),"N/A",IFERROR($N354/$I354,"N/A")),IF(OR($N354="",$I354="",$I354=0),"",IFERROR($N354/$I354,"")))))</ns0:f>
        <ns0:v/>
      </ns0:c>
      <ns0:c r="P354" s="987">
        <ns0:f>IF(COUNTA($A354:$M354)=0,"",IF(OR(LEFT(LOWER(TRIM($F354&amp;"")),12)="subscription",LOWER(TRIM($F354&amp;""))="membership"),"",IF(LOWER(TRIM($D354&amp;""))="estimate","N/A",IF(LOWER($L354&amp;"")="yes",0,IF(OR(AND($H354&lt;&gt;"",$H354=0),LEFT(LOWER(TRIM($F354&amp;"")),9)="free game",LOWER(TRIM($F354&amp;""))="free",LOWER(TRIM($F354&amp;""))="free entry"),IF(ISNUMBER($K354),$K354,""),IF($K354&lt;&gt;"",$K354,""))))))</ns0:f>
      </ns0:c>
      <ns0:c r="Q354" s="114">
        <ns0:f>IF(COUNTA($A354:$M354)=0,"",IF(OR($U354="Subscription",$U354=""),"",IF($U354="Estimate","N/A",IF($U354="Profit",ROUND(IFERROR($P354,0)-IFERROR($H354,0),2),0))))</ns0:f>
      </ns0:c>
      <ns0:c r="R354" s="114">
        <ns0:f>IF(COUNTA($A354:$M354)=0,"",IF(OR($U354="Subscription",$U354=""),"",IF($U354="Estimate","N/A",IF($U354="Draw",$H354,0))))</ns0:f>
      </ns0:c>
      <ns0:c r="S354" s="114">
        <ns0:f>IF(COUNTA($A354:$M354)=0,"",IF(OR($U354="Subscription",$U354=""),"",IF($U354="Estimate","N/A",IF($U354="Disqualified",$H354,0))))</ns0:f>
      </ns0:c>
      <ns0:c r="T354" s="955">
        <ns0:f>IF(COUNTA($A354:$M354)=0,"",IF(OR($U354="Subscription",$U354=""),"",IF($U354="Estimate","N/A",IF(OR($U354="Free Game",$U354="Disqualified — Free Game",$H354=0),"N/A",IF($U354="Profit",$Q354/$H354,IF($U354="Disqualified",-$S354/$H354,0))))))</ns0:f>
      </ns0:c>
      <ns0:c r="U354" s="920">
        <ns0:f>IF(COUNTA($A354:$M354)=0,"",IF(OR(LEFT(LOWER(TRIM($F354&amp;"")),12)="subscription",LOWER(TRIM($F354&amp;""))="membership"),"Subscription",IF(LOWER(TRIM($D354&amp;""))="estimate","Estimate",IF(OR(AND($H354&lt;&gt;"",$H354=0),LEFT(LOWER(TRIM($F354&amp;"")),9)="free game",LOWER(TRIM($F354&amp;""))="free",LOWER(TRIM($F354&amp;""))="free entry"),IF(LOWER($L354&amp;"")="yes","Disqualified — Free Game","Free Game"),IF(LOWER($L354&amp;"")="yes","Disqualified",IF($P354="","",IF(ROUND(IFERROR(VALUE($P354),0)-IFERROR(VALUE($H354),0),2)&gt;0,"Profit","Draw")))))))</ns0:f>
      </ns0:c>
      <ns0:c r="V354" s="956" t="str">
        <ns0:f>IF(COUNTA($A354:$M354)=0,"",IF(OR($B354="",$C354="",$U354="Subscription"),"",IFERROR(ROUNDUP(($C354-$B354)/7,0),"")))</ns0:f>
      </ns0:c>
      <ns0:c r="W354" s="114">
        <ns0:f>IF(COUNTA($A354:$M354)=0,"",IF(OR($U354="Subscription",$U354=""),"",IF($U354="Estimate","N/A",IF(OR($U354="Free Game",$U354="Disqualified — Free Game"),0,ROUND(IFERROR($Q354,0)-IFERROR($S354,0),2)))))</ns0:f>
      </ns0:c>
      <ns0:c r="X354" s="956" t="str">
        <ns0:f>IF(COUNTA($A354:$M354)=0,"",IF(OR($U354="Subscription",NOT(ISNUMBER($J354)),NOT(ISNUMBER($I354)),$J354=0,$I354=0,$I354&gt;$J354),"",$J354-$I354))</ns0:f>
      </ns0:c>
      <ns0:c r="Y354" s="955" t="str">
        <ns0:f>IF(COUNTA($A354:$M354)=0,"",IF(OR($U354="Subscription",NOT(ISNUMBER($J354)),$J354=0,$X354=""),"",$X354/$J354))</ns0:f>
      </ns0:c>
      <ns0:c r="Z354" s="957" t="str">
        <ns0:f>IF(COUNTA($A354:$M354)=0,"",Instructions!$B$29+SUM($W$5:W354))</ns0:f>
      </ns0:c>
    </ns0:row>
    <ns0:row r="355" ht="36" customHeight="1">
      <ns0:c r="A355" s="439"/>
      <ns0:c r="B355" s="453"/>
      <ns0:c r="C355" s="453"/>
      <ns0:c r="D355" s="454"/>
      <ns0:c r="E355" s="454"/>
      <ns0:c r="F355" s="454"/>
      <ns0:c r="G355" s="986"/>
      <ns0:c r="H355" s="455"/>
      <ns0:c r="I355" s="456"/>
      <ns0:c r="J355" s="456"/>
      <ns0:c r="K355" s="986"/>
      <ns0:c r="L355" s="454"/>
      <ns0:c r="M355" s="439"/>
      <ns0:c r="N355" s="987" t="str">
        <ns0:f>IF(COUNTA($A355:$M355)=0,"",IF(OR(LEFT(LOWER(TRIM($F355&amp;"")),12)="subscription",LOWER(TRIM($F355&amp;""))="membership"),"",IF(OR(AND($H355&lt;&gt;"",$H355=0),LEFT(LOWER(TRIM($F355&amp;"")),9)="free game",LOWER(TRIM($F355&amp;""))="free",LOWER(TRIM($F355&amp;""))="free entry"),IF(ISNUMBER($G355),IF(ISNUMBER(SEARCH("non",LOWER($E355&amp;""))),$G355*0.85,$G355),"N/A"),IF($G355="","",IFERROR(IF(ISNUMBER(SEARCH("non",LOWER($E355&amp;""))),$G355*0.85,$G355),"")))))</ns0:f>
        <ns0:v/>
      </ns0:c>
      <ns0:c r="O355" s="987" t="str">
        <ns0:f>IF(COUNTA($A355:$M355)=0,"",IF(OR(LEFT(LOWER(TRIM($F355&amp;"")),12)="subscription",LOWER(TRIM($F355&amp;""))="membership"),"",IF(OR(AND($H355&lt;&gt;"",$H355=0),LEFT(LOWER(TRIM($F355&amp;"")),9)="free game",LOWER(TRIM($F355&amp;""))="free",LOWER(TRIM($F355&amp;""))="free entry"),IF(OR(NOT(ISNUMBER($N355)),NOT(ISNUMBER($I355)),$I355=0),"N/A",IFERROR($N355/$I355,"N/A")),IF(OR($N355="",$I355="",$I355=0),"",IFERROR($N355/$I355,"")))))</ns0:f>
        <ns0:v/>
      </ns0:c>
      <ns0:c r="P355" s="987">
        <ns0:f>IF(COUNTA($A355:$M355)=0,"",IF(OR(LEFT(LOWER(TRIM($F355&amp;"")),12)="subscription",LOWER(TRIM($F355&amp;""))="membership"),"",IF(LOWER(TRIM($D355&amp;""))="estimate","N/A",IF(LOWER($L355&amp;"")="yes",0,IF(OR(AND($H355&lt;&gt;"",$H355=0),LEFT(LOWER(TRIM($F355&amp;"")),9)="free game",LOWER(TRIM($F355&amp;""))="free",LOWER(TRIM($F355&amp;""))="free entry"),IF(ISNUMBER($K355),$K355,""),IF($K355&lt;&gt;"",$K355,""))))))</ns0:f>
      </ns0:c>
      <ns0:c r="Q355" s="114">
        <ns0:f>IF(COUNTA($A355:$M355)=0,"",IF(OR($U355="Subscription",$U355=""),"",IF($U355="Estimate","N/A",IF($U355="Profit",ROUND(IFERROR($P355,0)-IFERROR($H355,0),2),0))))</ns0:f>
      </ns0:c>
      <ns0:c r="R355" s="114">
        <ns0:f>IF(COUNTA($A355:$M355)=0,"",IF(OR($U355="Subscription",$U355=""),"",IF($U355="Estimate","N/A",IF($U355="Draw",$H355,0))))</ns0:f>
      </ns0:c>
      <ns0:c r="S355" s="114">
        <ns0:f>IF(COUNTA($A355:$M355)=0,"",IF(OR($U355="Subscription",$U355=""),"",IF($U355="Estimate","N/A",IF($U355="Disqualified",$H355,0))))</ns0:f>
      </ns0:c>
      <ns0:c r="T355" s="955">
        <ns0:f>IF(COUNTA($A355:$M355)=0,"",IF(OR($U355="Subscription",$U355=""),"",IF($U355="Estimate","N/A",IF(OR($U355="Free Game",$U355="Disqualified — Free Game",$H355=0),"N/A",IF($U355="Profit",$Q355/$H355,IF($U355="Disqualified",-$S355/$H355,0))))))</ns0:f>
      </ns0:c>
      <ns0:c r="U355" s="920">
        <ns0:f>IF(COUNTA($A355:$M355)=0,"",IF(OR(LEFT(LOWER(TRIM($F355&amp;"")),12)="subscription",LOWER(TRIM($F355&amp;""))="membership"),"Subscription",IF(LOWER(TRIM($D355&amp;""))="estimate","Estimate",IF(OR(AND($H355&lt;&gt;"",$H355=0),LEFT(LOWER(TRIM($F355&amp;"")),9)="free game",LOWER(TRIM($F355&amp;""))="free",LOWER(TRIM($F355&amp;""))="free entry"),IF(LOWER($L355&amp;"")="yes","Disqualified — Free Game","Free Game"),IF(LOWER($L355&amp;"")="yes","Disqualified",IF($P355="","",IF(ROUND(IFERROR(VALUE($P355),0)-IFERROR(VALUE($H355),0),2)&gt;0,"Profit","Draw")))))))</ns0:f>
      </ns0:c>
      <ns0:c r="V355" s="956" t="str">
        <ns0:f>IF(COUNTA($A355:$M355)=0,"",IF(OR($B355="",$C355="",$U355="Subscription"),"",IFERROR(ROUNDUP(($C355-$B355)/7,0),"")))</ns0:f>
      </ns0:c>
      <ns0:c r="W355" s="114">
        <ns0:f>IF(COUNTA($A355:$M355)=0,"",IF(OR($U355="Subscription",$U355=""),"",IF($U355="Estimate","N/A",IF(OR($U355="Free Game",$U355="Disqualified — Free Game"),0,ROUND(IFERROR($Q355,0)-IFERROR($S355,0),2)))))</ns0:f>
      </ns0:c>
      <ns0:c r="X355" s="956" t="str">
        <ns0:f>IF(COUNTA($A355:$M355)=0,"",IF(OR($U355="Subscription",NOT(ISNUMBER($J355)),NOT(ISNUMBER($I355)),$J355=0,$I355=0,$I355&gt;$J355),"",$J355-$I355))</ns0:f>
      </ns0:c>
      <ns0:c r="Y355" s="955" t="str">
        <ns0:f>IF(COUNTA($A355:$M355)=0,"",IF(OR($U355="Subscription",NOT(ISNUMBER($J355)),$J355=0,$X355=""),"",$X355/$J355))</ns0:f>
      </ns0:c>
      <ns0:c r="Z355" s="957" t="str">
        <ns0:f>IF(COUNTA($A355:$M355)=0,"",Instructions!$B$29+SUM($W$5:W355))</ns0:f>
      </ns0:c>
    </ns0:row>
    <ns0:row r="356" ht="36" customHeight="1">
      <ns0:c r="A356" s="439"/>
      <ns0:c r="B356" s="453"/>
      <ns0:c r="C356" s="453"/>
      <ns0:c r="D356" s="454"/>
      <ns0:c r="E356" s="454"/>
      <ns0:c r="F356" s="454"/>
      <ns0:c r="G356" s="986"/>
      <ns0:c r="H356" s="455"/>
      <ns0:c r="I356" s="456"/>
      <ns0:c r="J356" s="456"/>
      <ns0:c r="K356" s="986"/>
      <ns0:c r="L356" s="454"/>
      <ns0:c r="M356" s="439"/>
      <ns0:c r="N356" s="987" t="str">
        <ns0:f>IF(COUNTA($A356:$M356)=0,"",IF(OR(LEFT(LOWER(TRIM($F356&amp;"")),12)="subscription",LOWER(TRIM($F356&amp;""))="membership"),"",IF(OR(AND($H356&lt;&gt;"",$H356=0),LEFT(LOWER(TRIM($F356&amp;"")),9)="free game",LOWER(TRIM($F356&amp;""))="free",LOWER(TRIM($F356&amp;""))="free entry"),IF(ISNUMBER($G356),IF(ISNUMBER(SEARCH("non",LOWER($E356&amp;""))),$G356*0.85,$G356),"N/A"),IF($G356="","",IFERROR(IF(ISNUMBER(SEARCH("non",LOWER($E356&amp;""))),$G356*0.85,$G356),"")))))</ns0:f>
        <ns0:v/>
      </ns0:c>
      <ns0:c r="O356" s="987" t="str">
        <ns0:f>IF(COUNTA($A356:$M356)=0,"",IF(OR(LEFT(LOWER(TRIM($F356&amp;"")),12)="subscription",LOWER(TRIM($F356&amp;""))="membership"),"",IF(OR(AND($H356&lt;&gt;"",$H356=0),LEFT(LOWER(TRIM($F356&amp;"")),9)="free game",LOWER(TRIM($F356&amp;""))="free",LOWER(TRIM($F356&amp;""))="free entry"),IF(OR(NOT(ISNUMBER($N356)),NOT(ISNUMBER($I356)),$I356=0),"N/A",IFERROR($N356/$I356,"N/A")),IF(OR($N356="",$I356="",$I356=0),"",IFERROR($N356/$I356,"")))))</ns0:f>
        <ns0:v/>
      </ns0:c>
      <ns0:c r="P356" s="987">
        <ns0:f>IF(COUNTA($A356:$M356)=0,"",IF(OR(LEFT(LOWER(TRIM($F356&amp;"")),12)="subscription",LOWER(TRIM($F356&amp;""))="membership"),"",IF(LOWER(TRIM($D356&amp;""))="estimate","N/A",IF(LOWER($L356&amp;"")="yes",0,IF(OR(AND($H356&lt;&gt;"",$H356=0),LEFT(LOWER(TRIM($F356&amp;"")),9)="free game",LOWER(TRIM($F356&amp;""))="free",LOWER(TRIM($F356&amp;""))="free entry"),IF(ISNUMBER($K356),$K356,""),IF($K356&lt;&gt;"",$K356,""))))))</ns0:f>
      </ns0:c>
      <ns0:c r="Q356" s="114">
        <ns0:f>IF(COUNTA($A356:$M356)=0,"",IF(OR($U356="Subscription",$U356=""),"",IF($U356="Estimate","N/A",IF($U356="Profit",ROUND(IFERROR($P356,0)-IFERROR($H356,0),2),0))))</ns0:f>
      </ns0:c>
      <ns0:c r="R356" s="114">
        <ns0:f>IF(COUNTA($A356:$M356)=0,"",IF(OR($U356="Subscription",$U356=""),"",IF($U356="Estimate","N/A",IF($U356="Draw",$H356,0))))</ns0:f>
      </ns0:c>
      <ns0:c r="S356" s="114">
        <ns0:f>IF(COUNTA($A356:$M356)=0,"",IF(OR($U356="Subscription",$U356=""),"",IF($U356="Estimate","N/A",IF($U356="Disqualified",$H356,0))))</ns0:f>
      </ns0:c>
      <ns0:c r="T356" s="955">
        <ns0:f>IF(COUNTA($A356:$M356)=0,"",IF(OR($U356="Subscription",$U356=""),"",IF($U356="Estimate","N/A",IF(OR($U356="Free Game",$U356="Disqualified — Free Game",$H356=0),"N/A",IF($U356="Profit",$Q356/$H356,IF($U356="Disqualified",-$S356/$H356,0))))))</ns0:f>
      </ns0:c>
      <ns0:c r="U356" s="920">
        <ns0:f>IF(COUNTA($A356:$M356)=0,"",IF(OR(LEFT(LOWER(TRIM($F356&amp;"")),12)="subscription",LOWER(TRIM($F356&amp;""))="membership"),"Subscription",IF(LOWER(TRIM($D356&amp;""))="estimate","Estimate",IF(OR(AND($H356&lt;&gt;"",$H356=0),LEFT(LOWER(TRIM($F356&amp;"")),9)="free game",LOWER(TRIM($F356&amp;""))="free",LOWER(TRIM($F356&amp;""))="free entry"),IF(LOWER($L356&amp;"")="yes","Disqualified — Free Game","Free Game"),IF(LOWER($L356&amp;"")="yes","Disqualified",IF($P356="","",IF(ROUND(IFERROR(VALUE($P356),0)-IFERROR(VALUE($H356),0),2)&gt;0,"Profit","Draw")))))))</ns0:f>
      </ns0:c>
      <ns0:c r="V356" s="956" t="str">
        <ns0:f>IF(COUNTA($A356:$M356)=0,"",IF(OR($B356="",$C356="",$U356="Subscription"),"",IFERROR(ROUNDUP(($C356-$B356)/7,0),"")))</ns0:f>
      </ns0:c>
      <ns0:c r="W356" s="114">
        <ns0:f>IF(COUNTA($A356:$M356)=0,"",IF(OR($U356="Subscription",$U356=""),"",IF($U356="Estimate","N/A",IF(OR($U356="Free Game",$U356="Disqualified — Free Game"),0,ROUND(IFERROR($Q356,0)-IFERROR($S356,0),2)))))</ns0:f>
      </ns0:c>
      <ns0:c r="X356" s="956" t="str">
        <ns0:f>IF(COUNTA($A356:$M356)=0,"",IF(OR($U356="Subscription",NOT(ISNUMBER($J356)),NOT(ISNUMBER($I356)),$J356=0,$I356=0,$I356&gt;$J356),"",$J356-$I356))</ns0:f>
      </ns0:c>
      <ns0:c r="Y356" s="955" t="str">
        <ns0:f>IF(COUNTA($A356:$M356)=0,"",IF(OR($U356="Subscription",NOT(ISNUMBER($J356)),$J356=0,$X356=""),"",$X356/$J356))</ns0:f>
      </ns0:c>
      <ns0:c r="Z356" s="957" t="str">
        <ns0:f>IF(COUNTA($A356:$M356)=0,"",Instructions!$B$29+SUM($W$5:W356))</ns0:f>
      </ns0:c>
    </ns0:row>
    <ns0:row r="357" ht="36" customHeight="1">
      <ns0:c r="A357" s="439"/>
      <ns0:c r="B357" s="453"/>
      <ns0:c r="C357" s="453"/>
      <ns0:c r="D357" s="454"/>
      <ns0:c r="E357" s="454"/>
      <ns0:c r="F357" s="454"/>
      <ns0:c r="G357" s="986"/>
      <ns0:c r="H357" s="455"/>
      <ns0:c r="I357" s="456"/>
      <ns0:c r="J357" s="456"/>
      <ns0:c r="K357" s="986"/>
      <ns0:c r="L357" s="454"/>
      <ns0:c r="M357" s="439"/>
      <ns0:c r="N357" s="987" t="str">
        <ns0:f>IF(COUNTA($A357:$M357)=0,"",IF(OR(LEFT(LOWER(TRIM($F357&amp;"")),12)="subscription",LOWER(TRIM($F357&amp;""))="membership"),"",IF(OR(AND($H357&lt;&gt;"",$H357=0),LEFT(LOWER(TRIM($F357&amp;"")),9)="free game",LOWER(TRIM($F357&amp;""))="free",LOWER(TRIM($F357&amp;""))="free entry"),IF(ISNUMBER($G357),IF(ISNUMBER(SEARCH("non",LOWER($E357&amp;""))),$G357*0.85,$G357),"N/A"),IF($G357="","",IFERROR(IF(ISNUMBER(SEARCH("non",LOWER($E357&amp;""))),$G357*0.85,$G357),"")))))</ns0:f>
        <ns0:v/>
      </ns0:c>
      <ns0:c r="O357" s="987" t="str">
        <ns0:f>IF(COUNTA($A357:$M357)=0,"",IF(OR(LEFT(LOWER(TRIM($F357&amp;"")),12)="subscription",LOWER(TRIM($F357&amp;""))="membership"),"",IF(OR(AND($H357&lt;&gt;"",$H357=0),LEFT(LOWER(TRIM($F357&amp;"")),9)="free game",LOWER(TRIM($F357&amp;""))="free",LOWER(TRIM($F357&amp;""))="free entry"),IF(OR(NOT(ISNUMBER($N357)),NOT(ISNUMBER($I357)),$I357=0),"N/A",IFERROR($N357/$I357,"N/A")),IF(OR($N357="",$I357="",$I357=0),"",IFERROR($N357/$I357,"")))))</ns0:f>
        <ns0:v/>
      </ns0:c>
      <ns0:c r="P357" s="987">
        <ns0:f>IF(COUNTA($A357:$M357)=0,"",IF(OR(LEFT(LOWER(TRIM($F357&amp;"")),12)="subscription",LOWER(TRIM($F357&amp;""))="membership"),"",IF(LOWER(TRIM($D357&amp;""))="estimate","N/A",IF(LOWER($L357&amp;"")="yes",0,IF(OR(AND($H357&lt;&gt;"",$H357=0),LEFT(LOWER(TRIM($F357&amp;"")),9)="free game",LOWER(TRIM($F357&amp;""))="free",LOWER(TRIM($F357&amp;""))="free entry"),IF(ISNUMBER($K357),$K357,""),IF($K357&lt;&gt;"",$K357,""))))))</ns0:f>
      </ns0:c>
      <ns0:c r="Q357" s="114">
        <ns0:f>IF(COUNTA($A357:$M357)=0,"",IF(OR($U357="Subscription",$U357=""),"",IF($U357="Estimate","N/A",IF($U357="Profit",ROUND(IFERROR($P357,0)-IFERROR($H357,0),2),0))))</ns0:f>
      </ns0:c>
      <ns0:c r="R357" s="114">
        <ns0:f>IF(COUNTA($A357:$M357)=0,"",IF(OR($U357="Subscription",$U357=""),"",IF($U357="Estimate","N/A",IF($U357="Draw",$H357,0))))</ns0:f>
      </ns0:c>
      <ns0:c r="S357" s="114">
        <ns0:f>IF(COUNTA($A357:$M357)=0,"",IF(OR($U357="Subscription",$U357=""),"",IF($U357="Estimate","N/A",IF($U357="Disqualified",$H357,0))))</ns0:f>
      </ns0:c>
      <ns0:c r="T357" s="955">
        <ns0:f>IF(COUNTA($A357:$M357)=0,"",IF(OR($U357="Subscription",$U357=""),"",IF($U357="Estimate","N/A",IF(OR($U357="Free Game",$U357="Disqualified — Free Game",$H357=0),"N/A",IF($U357="Profit",$Q357/$H357,IF($U357="Disqualified",-$S357/$H357,0))))))</ns0:f>
      </ns0:c>
      <ns0:c r="U357" s="920">
        <ns0:f>IF(COUNTA($A357:$M357)=0,"",IF(OR(LEFT(LOWER(TRIM($F357&amp;"")),12)="subscription",LOWER(TRIM($F357&amp;""))="membership"),"Subscription",IF(LOWER(TRIM($D357&amp;""))="estimate","Estimate",IF(OR(AND($H357&lt;&gt;"",$H357=0),LEFT(LOWER(TRIM($F357&amp;"")),9)="free game",LOWER(TRIM($F357&amp;""))="free",LOWER(TRIM($F357&amp;""))="free entry"),IF(LOWER($L357&amp;"")="yes","Disqualified — Free Game","Free Game"),IF(LOWER($L357&amp;"")="yes","Disqualified",IF($P357="","",IF(ROUND(IFERROR(VALUE($P357),0)-IFERROR(VALUE($H357),0),2)&gt;0,"Profit","Draw")))))))</ns0:f>
      </ns0:c>
      <ns0:c r="V357" s="956" t="str">
        <ns0:f>IF(COUNTA($A357:$M357)=0,"",IF(OR($B357="",$C357="",$U357="Subscription"),"",IFERROR(ROUNDUP(($C357-$B357)/7,0),"")))</ns0:f>
      </ns0:c>
      <ns0:c r="W357" s="114">
        <ns0:f>IF(COUNTA($A357:$M357)=0,"",IF(OR($U357="Subscription",$U357=""),"",IF($U357="Estimate","N/A",IF(OR($U357="Free Game",$U357="Disqualified — Free Game"),0,ROUND(IFERROR($Q357,0)-IFERROR($S357,0),2)))))</ns0:f>
      </ns0:c>
      <ns0:c r="X357" s="956" t="str">
        <ns0:f>IF(COUNTA($A357:$M357)=0,"",IF(OR($U357="Subscription",NOT(ISNUMBER($J357)),NOT(ISNUMBER($I357)),$J357=0,$I357=0,$I357&gt;$J357),"",$J357-$I357))</ns0:f>
      </ns0:c>
      <ns0:c r="Y357" s="955" t="str">
        <ns0:f>IF(COUNTA($A357:$M357)=0,"",IF(OR($U357="Subscription",NOT(ISNUMBER($J357)),$J357=0,$X357=""),"",$X357/$J357))</ns0:f>
      </ns0:c>
      <ns0:c r="Z357" s="957" t="str">
        <ns0:f>IF(COUNTA($A357:$M357)=0,"",Instructions!$B$29+SUM($W$5:W357))</ns0:f>
      </ns0:c>
    </ns0:row>
    <ns0:row r="358" ht="36" customHeight="1">
      <ns0:c r="A358" s="439"/>
      <ns0:c r="B358" s="453"/>
      <ns0:c r="C358" s="453"/>
      <ns0:c r="D358" s="454"/>
      <ns0:c r="E358" s="454"/>
      <ns0:c r="F358" s="454"/>
      <ns0:c r="G358" s="986"/>
      <ns0:c r="H358" s="455"/>
      <ns0:c r="I358" s="456"/>
      <ns0:c r="J358" s="456"/>
      <ns0:c r="K358" s="986"/>
      <ns0:c r="L358" s="454"/>
      <ns0:c r="M358" s="439"/>
      <ns0:c r="N358" s="987" t="str">
        <ns0:f>IF(COUNTA($A358:$M358)=0,"",IF(OR(LEFT(LOWER(TRIM($F358&amp;"")),12)="subscription",LOWER(TRIM($F358&amp;""))="membership"),"",IF(OR(AND($H358&lt;&gt;"",$H358=0),LEFT(LOWER(TRIM($F358&amp;"")),9)="free game",LOWER(TRIM($F358&amp;""))="free",LOWER(TRIM($F358&amp;""))="free entry"),IF(ISNUMBER($G358),IF(ISNUMBER(SEARCH("non",LOWER($E358&amp;""))),$G358*0.85,$G358),"N/A"),IF($G358="","",IFERROR(IF(ISNUMBER(SEARCH("non",LOWER($E358&amp;""))),$G358*0.85,$G358),"")))))</ns0:f>
        <ns0:v/>
      </ns0:c>
      <ns0:c r="O358" s="987" t="str">
        <ns0:f>IF(COUNTA($A358:$M358)=0,"",IF(OR(LEFT(LOWER(TRIM($F358&amp;"")),12)="subscription",LOWER(TRIM($F358&amp;""))="membership"),"",IF(OR(AND($H358&lt;&gt;"",$H358=0),LEFT(LOWER(TRIM($F358&amp;"")),9)="free game",LOWER(TRIM($F358&amp;""))="free",LOWER(TRIM($F358&amp;""))="free entry"),IF(OR(NOT(ISNUMBER($N358)),NOT(ISNUMBER($I358)),$I358=0),"N/A",IFERROR($N358/$I358,"N/A")),IF(OR($N358="",$I358="",$I358=0),"",IFERROR($N358/$I358,"")))))</ns0:f>
        <ns0:v/>
      </ns0:c>
      <ns0:c r="P358" s="987">
        <ns0:f>IF(COUNTA($A358:$M358)=0,"",IF(OR(LEFT(LOWER(TRIM($F358&amp;"")),12)="subscription",LOWER(TRIM($F358&amp;""))="membership"),"",IF(LOWER(TRIM($D358&amp;""))="estimate","N/A",IF(LOWER($L358&amp;"")="yes",0,IF(OR(AND($H358&lt;&gt;"",$H358=0),LEFT(LOWER(TRIM($F358&amp;"")),9)="free game",LOWER(TRIM($F358&amp;""))="free",LOWER(TRIM($F358&amp;""))="free entry"),IF(ISNUMBER($K358),$K358,""),IF($K358&lt;&gt;"",$K358,""))))))</ns0:f>
      </ns0:c>
      <ns0:c r="Q358" s="114">
        <ns0:f>IF(COUNTA($A358:$M358)=0,"",IF(OR($U358="Subscription",$U358=""),"",IF($U358="Estimate","N/A",IF($U358="Profit",ROUND(IFERROR($P358,0)-IFERROR($H358,0),2),0))))</ns0:f>
      </ns0:c>
      <ns0:c r="R358" s="114">
        <ns0:f>IF(COUNTA($A358:$M358)=0,"",IF(OR($U358="Subscription",$U358=""),"",IF($U358="Estimate","N/A",IF($U358="Draw",$H358,0))))</ns0:f>
      </ns0:c>
      <ns0:c r="S358" s="114">
        <ns0:f>IF(COUNTA($A358:$M358)=0,"",IF(OR($U358="Subscription",$U358=""),"",IF($U358="Estimate","N/A",IF($U358="Disqualified",$H358,0))))</ns0:f>
      </ns0:c>
      <ns0:c r="T358" s="955">
        <ns0:f>IF(COUNTA($A358:$M358)=0,"",IF(OR($U358="Subscription",$U358=""),"",IF($U358="Estimate","N/A",IF(OR($U358="Free Game",$U358="Disqualified — Free Game",$H358=0),"N/A",IF($U358="Profit",$Q358/$H358,IF($U358="Disqualified",-$S358/$H358,0))))))</ns0:f>
      </ns0:c>
      <ns0:c r="U358" s="920">
        <ns0:f>IF(COUNTA($A358:$M358)=0,"",IF(OR(LEFT(LOWER(TRIM($F358&amp;"")),12)="subscription",LOWER(TRIM($F358&amp;""))="membership"),"Subscription",IF(LOWER(TRIM($D358&amp;""))="estimate","Estimate",IF(OR(AND($H358&lt;&gt;"",$H358=0),LEFT(LOWER(TRIM($F358&amp;"")),9)="free game",LOWER(TRIM($F358&amp;""))="free",LOWER(TRIM($F358&amp;""))="free entry"),IF(LOWER($L358&amp;"")="yes","Disqualified — Free Game","Free Game"),IF(LOWER($L358&amp;"")="yes","Disqualified",IF($P358="","",IF(ROUND(IFERROR(VALUE($P358),0)-IFERROR(VALUE($H358),0),2)&gt;0,"Profit","Draw")))))))</ns0:f>
      </ns0:c>
      <ns0:c r="V358" s="956" t="str">
        <ns0:f>IF(COUNTA($A358:$M358)=0,"",IF(OR($B358="",$C358="",$U358="Subscription"),"",IFERROR(ROUNDUP(($C358-$B358)/7,0),"")))</ns0:f>
      </ns0:c>
      <ns0:c r="W358" s="114">
        <ns0:f>IF(COUNTA($A358:$M358)=0,"",IF(OR($U358="Subscription",$U358=""),"",IF($U358="Estimate","N/A",IF(OR($U358="Free Game",$U358="Disqualified — Free Game"),0,ROUND(IFERROR($Q358,0)-IFERROR($S358,0),2)))))</ns0:f>
      </ns0:c>
      <ns0:c r="X358" s="956" t="str">
        <ns0:f>IF(COUNTA($A358:$M358)=0,"",IF(OR($U358="Subscription",NOT(ISNUMBER($J358)),NOT(ISNUMBER($I358)),$J358=0,$I358=0,$I358&gt;$J358),"",$J358-$I358))</ns0:f>
      </ns0:c>
      <ns0:c r="Y358" s="955" t="str">
        <ns0:f>IF(COUNTA($A358:$M358)=0,"",IF(OR($U358="Subscription",NOT(ISNUMBER($J358)),$J358=0,$X358=""),"",$X358/$J358))</ns0:f>
      </ns0:c>
      <ns0:c r="Z358" s="957" t="str">
        <ns0:f>IF(COUNTA($A358:$M358)=0,"",Instructions!$B$29+SUM($W$5:W358))</ns0:f>
      </ns0:c>
    </ns0:row>
    <ns0:row r="359" ht="36" customHeight="1">
      <ns0:c r="A359" s="439"/>
      <ns0:c r="B359" s="453"/>
      <ns0:c r="C359" s="453"/>
      <ns0:c r="D359" s="454"/>
      <ns0:c r="E359" s="454"/>
      <ns0:c r="F359" s="454"/>
      <ns0:c r="G359" s="986"/>
      <ns0:c r="H359" s="455"/>
      <ns0:c r="I359" s="456"/>
      <ns0:c r="J359" s="456"/>
      <ns0:c r="K359" s="986"/>
      <ns0:c r="L359" s="454"/>
      <ns0:c r="M359" s="439"/>
      <ns0:c r="N359" s="987" t="str">
        <ns0:f>IF(COUNTA($A359:$M359)=0,"",IF(OR(LEFT(LOWER(TRIM($F359&amp;"")),12)="subscription",LOWER(TRIM($F359&amp;""))="membership"),"",IF(OR(AND($H359&lt;&gt;"",$H359=0),LEFT(LOWER(TRIM($F359&amp;"")),9)="free game",LOWER(TRIM($F359&amp;""))="free",LOWER(TRIM($F359&amp;""))="free entry"),IF(ISNUMBER($G359),IF(ISNUMBER(SEARCH("non",LOWER($E359&amp;""))),$G359*0.85,$G359),"N/A"),IF($G359="","",IFERROR(IF(ISNUMBER(SEARCH("non",LOWER($E359&amp;""))),$G359*0.85,$G359),"")))))</ns0:f>
        <ns0:v/>
      </ns0:c>
      <ns0:c r="O359" s="987" t="str">
        <ns0:f>IF(COUNTA($A359:$M359)=0,"",IF(OR(LEFT(LOWER(TRIM($F359&amp;"")),12)="subscription",LOWER(TRIM($F359&amp;""))="membership"),"",IF(OR(AND($H359&lt;&gt;"",$H359=0),LEFT(LOWER(TRIM($F359&amp;"")),9)="free game",LOWER(TRIM($F359&amp;""))="free",LOWER(TRIM($F359&amp;""))="free entry"),IF(OR(NOT(ISNUMBER($N359)),NOT(ISNUMBER($I359)),$I359=0),"N/A",IFERROR($N359/$I359,"N/A")),IF(OR($N359="",$I359="",$I359=0),"",IFERROR($N359/$I359,"")))))</ns0:f>
        <ns0:v/>
      </ns0:c>
      <ns0:c r="P359" s="987">
        <ns0:f>IF(COUNTA($A359:$M359)=0,"",IF(OR(LEFT(LOWER(TRIM($F359&amp;"")),12)="subscription",LOWER(TRIM($F359&amp;""))="membership"),"",IF(LOWER(TRIM($D359&amp;""))="estimate","N/A",IF(LOWER($L359&amp;"")="yes",0,IF(OR(AND($H359&lt;&gt;"",$H359=0),LEFT(LOWER(TRIM($F359&amp;"")),9)="free game",LOWER(TRIM($F359&amp;""))="free",LOWER(TRIM($F359&amp;""))="free entry"),IF(ISNUMBER($K359),$K359,""),IF($K359&lt;&gt;"",$K359,""))))))</ns0:f>
      </ns0:c>
      <ns0:c r="Q359" s="114">
        <ns0:f>IF(COUNTA($A359:$M359)=0,"",IF(OR($U359="Subscription",$U359=""),"",IF($U359="Estimate","N/A",IF($U359="Profit",ROUND(IFERROR($P359,0)-IFERROR($H359,0),2),0))))</ns0:f>
      </ns0:c>
      <ns0:c r="R359" s="114">
        <ns0:f>IF(COUNTA($A359:$M359)=0,"",IF(OR($U359="Subscription",$U359=""),"",IF($U359="Estimate","N/A",IF($U359="Draw",$H359,0))))</ns0:f>
      </ns0:c>
      <ns0:c r="S359" s="114">
        <ns0:f>IF(COUNTA($A359:$M359)=0,"",IF(OR($U359="Subscription",$U359=""),"",IF($U359="Estimate","N/A",IF($U359="Disqualified",$H359,0))))</ns0:f>
      </ns0:c>
      <ns0:c r="T359" s="955">
        <ns0:f>IF(COUNTA($A359:$M359)=0,"",IF(OR($U359="Subscription",$U359=""),"",IF($U359="Estimate","N/A",IF(OR($U359="Free Game",$U359="Disqualified — Free Game",$H359=0),"N/A",IF($U359="Profit",$Q359/$H359,IF($U359="Disqualified",-$S359/$H359,0))))))</ns0:f>
      </ns0:c>
      <ns0:c r="U359" s="920">
        <ns0:f>IF(COUNTA($A359:$M359)=0,"",IF(OR(LEFT(LOWER(TRIM($F359&amp;"")),12)="subscription",LOWER(TRIM($F359&amp;""))="membership"),"Subscription",IF(LOWER(TRIM($D359&amp;""))="estimate","Estimate",IF(OR(AND($H359&lt;&gt;"",$H359=0),LEFT(LOWER(TRIM($F359&amp;"")),9)="free game",LOWER(TRIM($F359&amp;""))="free",LOWER(TRIM($F359&amp;""))="free entry"),IF(LOWER($L359&amp;"")="yes","Disqualified — Free Game","Free Game"),IF(LOWER($L359&amp;"")="yes","Disqualified",IF($P359="","",IF(ROUND(IFERROR(VALUE($P359),0)-IFERROR(VALUE($H359),0),2)&gt;0,"Profit","Draw")))))))</ns0:f>
      </ns0:c>
      <ns0:c r="V359" s="956" t="str">
        <ns0:f>IF(COUNTA($A359:$M359)=0,"",IF(OR($B359="",$C359="",$U359="Subscription"),"",IFERROR(ROUNDUP(($C359-$B359)/7,0),"")))</ns0:f>
      </ns0:c>
      <ns0:c r="W359" s="114">
        <ns0:f>IF(COUNTA($A359:$M359)=0,"",IF(OR($U359="Subscription",$U359=""),"",IF($U359="Estimate","N/A",IF(OR($U359="Free Game",$U359="Disqualified — Free Game"),0,ROUND(IFERROR($Q359,0)-IFERROR($S359,0),2)))))</ns0:f>
      </ns0:c>
      <ns0:c r="X359" s="956" t="str">
        <ns0:f>IF(COUNTA($A359:$M359)=0,"",IF(OR($U359="Subscription",NOT(ISNUMBER($J359)),NOT(ISNUMBER($I359)),$J359=0,$I359=0,$I359&gt;$J359),"",$J359-$I359))</ns0:f>
      </ns0:c>
      <ns0:c r="Y359" s="955" t="str">
        <ns0:f>IF(COUNTA($A359:$M359)=0,"",IF(OR($U359="Subscription",NOT(ISNUMBER($J359)),$J359=0,$X359=""),"",$X359/$J359))</ns0:f>
      </ns0:c>
      <ns0:c r="Z359" s="957" t="str">
        <ns0:f>IF(COUNTA($A359:$M359)=0,"",Instructions!$B$29+SUM($W$5:W359))</ns0:f>
      </ns0:c>
    </ns0:row>
    <ns0:row r="360" ht="36" customHeight="1">
      <ns0:c r="A360" s="439"/>
      <ns0:c r="B360" s="453"/>
      <ns0:c r="C360" s="453"/>
      <ns0:c r="D360" s="454"/>
      <ns0:c r="E360" s="454"/>
      <ns0:c r="F360" s="454"/>
      <ns0:c r="G360" s="986"/>
      <ns0:c r="H360" s="455"/>
      <ns0:c r="I360" s="456"/>
      <ns0:c r="J360" s="456"/>
      <ns0:c r="K360" s="986"/>
      <ns0:c r="L360" s="454"/>
      <ns0:c r="M360" s="439"/>
      <ns0:c r="N360" s="987" t="str">
        <ns0:f>IF(COUNTA($A360:$M360)=0,"",IF(OR(LEFT(LOWER(TRIM($F360&amp;"")),12)="subscription",LOWER(TRIM($F360&amp;""))="membership"),"",IF(OR(AND($H360&lt;&gt;"",$H360=0),LEFT(LOWER(TRIM($F360&amp;"")),9)="free game",LOWER(TRIM($F360&amp;""))="free",LOWER(TRIM($F360&amp;""))="free entry"),IF(ISNUMBER($G360),IF(ISNUMBER(SEARCH("non",LOWER($E360&amp;""))),$G360*0.85,$G360),"N/A"),IF($G360="","",IFERROR(IF(ISNUMBER(SEARCH("non",LOWER($E360&amp;""))),$G360*0.85,$G360),"")))))</ns0:f>
        <ns0:v/>
      </ns0:c>
      <ns0:c r="O360" s="987" t="str">
        <ns0:f>IF(COUNTA($A360:$M360)=0,"",IF(OR(LEFT(LOWER(TRIM($F360&amp;"")),12)="subscription",LOWER(TRIM($F360&amp;""))="membership"),"",IF(OR(AND($H360&lt;&gt;"",$H360=0),LEFT(LOWER(TRIM($F360&amp;"")),9)="free game",LOWER(TRIM($F360&amp;""))="free",LOWER(TRIM($F360&amp;""))="free entry"),IF(OR(NOT(ISNUMBER($N360)),NOT(ISNUMBER($I360)),$I360=0),"N/A",IFERROR($N360/$I360,"N/A")),IF(OR($N360="",$I360="",$I360=0),"",IFERROR($N360/$I360,"")))))</ns0:f>
        <ns0:v/>
      </ns0:c>
      <ns0:c r="P360" s="987">
        <ns0:f>IF(COUNTA($A360:$M360)=0,"",IF(OR(LEFT(LOWER(TRIM($F360&amp;"")),12)="subscription",LOWER(TRIM($F360&amp;""))="membership"),"",IF(LOWER(TRIM($D360&amp;""))="estimate","N/A",IF(LOWER($L360&amp;"")="yes",0,IF(OR(AND($H360&lt;&gt;"",$H360=0),LEFT(LOWER(TRIM($F360&amp;"")),9)="free game",LOWER(TRIM($F360&amp;""))="free",LOWER(TRIM($F360&amp;""))="free entry"),IF(ISNUMBER($K360),$K360,""),IF($K360&lt;&gt;"",$K360,""))))))</ns0:f>
      </ns0:c>
      <ns0:c r="Q360" s="114">
        <ns0:f>IF(COUNTA($A360:$M360)=0,"",IF(OR($U360="Subscription",$U360=""),"",IF($U360="Estimate","N/A",IF($U360="Profit",ROUND(IFERROR($P360,0)-IFERROR($H360,0),2),0))))</ns0:f>
      </ns0:c>
      <ns0:c r="R360" s="114">
        <ns0:f>IF(COUNTA($A360:$M360)=0,"",IF(OR($U360="Subscription",$U360=""),"",IF($U360="Estimate","N/A",IF($U360="Draw",$H360,0))))</ns0:f>
      </ns0:c>
      <ns0:c r="S360" s="114">
        <ns0:f>IF(COUNTA($A360:$M360)=0,"",IF(OR($U360="Subscription",$U360=""),"",IF($U360="Estimate","N/A",IF($U360="Disqualified",$H360,0))))</ns0:f>
      </ns0:c>
      <ns0:c r="T360" s="955">
        <ns0:f>IF(COUNTA($A360:$M360)=0,"",IF(OR($U360="Subscription",$U360=""),"",IF($U360="Estimate","N/A",IF(OR($U360="Free Game",$U360="Disqualified — Free Game",$H360=0),"N/A",IF($U360="Profit",$Q360/$H360,IF($U360="Disqualified",-$S360/$H360,0))))))</ns0:f>
      </ns0:c>
      <ns0:c r="U360" s="920">
        <ns0:f>IF(COUNTA($A360:$M360)=0,"",IF(OR(LEFT(LOWER(TRIM($F360&amp;"")),12)="subscription",LOWER(TRIM($F360&amp;""))="membership"),"Subscription",IF(LOWER(TRIM($D360&amp;""))="estimate","Estimate",IF(OR(AND($H360&lt;&gt;"",$H360=0),LEFT(LOWER(TRIM($F360&amp;"")),9)="free game",LOWER(TRIM($F360&amp;""))="free",LOWER(TRIM($F360&amp;""))="free entry"),IF(LOWER($L360&amp;"")="yes","Disqualified — Free Game","Free Game"),IF(LOWER($L360&amp;"")="yes","Disqualified",IF($P360="","",IF(ROUND(IFERROR(VALUE($P360),0)-IFERROR(VALUE($H360),0),2)&gt;0,"Profit","Draw")))))))</ns0:f>
      </ns0:c>
      <ns0:c r="V360" s="956" t="str">
        <ns0:f>IF(COUNTA($A360:$M360)=0,"",IF(OR($B360="",$C360="",$U360="Subscription"),"",IFERROR(ROUNDUP(($C360-$B360)/7,0),"")))</ns0:f>
      </ns0:c>
      <ns0:c r="W360" s="114">
        <ns0:f>IF(COUNTA($A360:$M360)=0,"",IF(OR($U360="Subscription",$U360=""),"",IF($U360="Estimate","N/A",IF(OR($U360="Free Game",$U360="Disqualified — Free Game"),0,ROUND(IFERROR($Q360,0)-IFERROR($S360,0),2)))))</ns0:f>
      </ns0:c>
      <ns0:c r="X360" s="956" t="str">
        <ns0:f>IF(COUNTA($A360:$M360)=0,"",IF(OR($U360="Subscription",NOT(ISNUMBER($J360)),NOT(ISNUMBER($I360)),$J360=0,$I360=0,$I360&gt;$J360),"",$J360-$I360))</ns0:f>
      </ns0:c>
      <ns0:c r="Y360" s="955" t="str">
        <ns0:f>IF(COUNTA($A360:$M360)=0,"",IF(OR($U360="Subscription",NOT(ISNUMBER($J360)),$J360=0,$X360=""),"",$X360/$J360))</ns0:f>
      </ns0:c>
      <ns0:c r="Z360" s="957" t="str">
        <ns0:f>IF(COUNTA($A360:$M360)=0,"",Instructions!$B$29+SUM($W$5:W360))</ns0:f>
      </ns0:c>
    </ns0:row>
    <ns0:row r="361" ht="36" customHeight="1">
      <ns0:c r="A361" s="439"/>
      <ns0:c r="B361" s="453"/>
      <ns0:c r="C361" s="453"/>
      <ns0:c r="D361" s="454"/>
      <ns0:c r="E361" s="454"/>
      <ns0:c r="F361" s="454"/>
      <ns0:c r="G361" s="986"/>
      <ns0:c r="H361" s="455"/>
      <ns0:c r="I361" s="456"/>
      <ns0:c r="J361" s="456"/>
      <ns0:c r="K361" s="986"/>
      <ns0:c r="L361" s="454"/>
      <ns0:c r="M361" s="439"/>
      <ns0:c r="N361" s="987" t="str">
        <ns0:f>IF(COUNTA($A361:$M361)=0,"",IF(OR(LEFT(LOWER(TRIM($F361&amp;"")),12)="subscription",LOWER(TRIM($F361&amp;""))="membership"),"",IF(OR(AND($H361&lt;&gt;"",$H361=0),LEFT(LOWER(TRIM($F361&amp;"")),9)="free game",LOWER(TRIM($F361&amp;""))="free",LOWER(TRIM($F361&amp;""))="free entry"),IF(ISNUMBER($G361),IF(ISNUMBER(SEARCH("non",LOWER($E361&amp;""))),$G361*0.85,$G361),"N/A"),IF($G361="","",IFERROR(IF(ISNUMBER(SEARCH("non",LOWER($E361&amp;""))),$G361*0.85,$G361),"")))))</ns0:f>
        <ns0:v/>
      </ns0:c>
      <ns0:c r="O361" s="987" t="str">
        <ns0:f>IF(COUNTA($A361:$M361)=0,"",IF(OR(LEFT(LOWER(TRIM($F361&amp;"")),12)="subscription",LOWER(TRIM($F361&amp;""))="membership"),"",IF(OR(AND($H361&lt;&gt;"",$H361=0),LEFT(LOWER(TRIM($F361&amp;"")),9)="free game",LOWER(TRIM($F361&amp;""))="free",LOWER(TRIM($F361&amp;""))="free entry"),IF(OR(NOT(ISNUMBER($N361)),NOT(ISNUMBER($I361)),$I361=0),"N/A",IFERROR($N361/$I361,"N/A")),IF(OR($N361="",$I361="",$I361=0),"",IFERROR($N361/$I361,"")))))</ns0:f>
        <ns0:v/>
      </ns0:c>
      <ns0:c r="P361" s="987">
        <ns0:f>IF(COUNTA($A361:$M361)=0,"",IF(OR(LEFT(LOWER(TRIM($F361&amp;"")),12)="subscription",LOWER(TRIM($F361&amp;""))="membership"),"",IF(LOWER(TRIM($D361&amp;""))="estimate","N/A",IF(LOWER($L361&amp;"")="yes",0,IF(OR(AND($H361&lt;&gt;"",$H361=0),LEFT(LOWER(TRIM($F361&amp;"")),9)="free game",LOWER(TRIM($F361&amp;""))="free",LOWER(TRIM($F361&amp;""))="free entry"),IF(ISNUMBER($K361),$K361,""),IF($K361&lt;&gt;"",$K361,""))))))</ns0:f>
      </ns0:c>
      <ns0:c r="Q361" s="114">
        <ns0:f>IF(COUNTA($A361:$M361)=0,"",IF(OR($U361="Subscription",$U361=""),"",IF($U361="Estimate","N/A",IF($U361="Profit",ROUND(IFERROR($P361,0)-IFERROR($H361,0),2),0))))</ns0:f>
      </ns0:c>
      <ns0:c r="R361" s="114">
        <ns0:f>IF(COUNTA($A361:$M361)=0,"",IF(OR($U361="Subscription",$U361=""),"",IF($U361="Estimate","N/A",IF($U361="Draw",$H361,0))))</ns0:f>
      </ns0:c>
      <ns0:c r="S361" s="114">
        <ns0:f>IF(COUNTA($A361:$M361)=0,"",IF(OR($U361="Subscription",$U361=""),"",IF($U361="Estimate","N/A",IF($U361="Disqualified",$H361,0))))</ns0:f>
      </ns0:c>
      <ns0:c r="T361" s="955">
        <ns0:f>IF(COUNTA($A361:$M361)=0,"",IF(OR($U361="Subscription",$U361=""),"",IF($U361="Estimate","N/A",IF(OR($U361="Free Game",$U361="Disqualified — Free Game",$H361=0),"N/A",IF($U361="Profit",$Q361/$H361,IF($U361="Disqualified",-$S361/$H361,0))))))</ns0:f>
      </ns0:c>
      <ns0:c r="U361" s="920">
        <ns0:f>IF(COUNTA($A361:$M361)=0,"",IF(OR(LEFT(LOWER(TRIM($F361&amp;"")),12)="subscription",LOWER(TRIM($F361&amp;""))="membership"),"Subscription",IF(LOWER(TRIM($D361&amp;""))="estimate","Estimate",IF(OR(AND($H361&lt;&gt;"",$H361=0),LEFT(LOWER(TRIM($F361&amp;"")),9)="free game",LOWER(TRIM($F361&amp;""))="free",LOWER(TRIM($F361&amp;""))="free entry"),IF(LOWER($L361&amp;"")="yes","Disqualified — Free Game","Free Game"),IF(LOWER($L361&amp;"")="yes","Disqualified",IF($P361="","",IF(ROUND(IFERROR(VALUE($P361),0)-IFERROR(VALUE($H361),0),2)&gt;0,"Profit","Draw")))))))</ns0:f>
      </ns0:c>
      <ns0:c r="V361" s="956" t="str">
        <ns0:f>IF(COUNTA($A361:$M361)=0,"",IF(OR($B361="",$C361="",$U361="Subscription"),"",IFERROR(ROUNDUP(($C361-$B361)/7,0),"")))</ns0:f>
      </ns0:c>
      <ns0:c r="W361" s="114">
        <ns0:f>IF(COUNTA($A361:$M361)=0,"",IF(OR($U361="Subscription",$U361=""),"",IF($U361="Estimate","N/A",IF(OR($U361="Free Game",$U361="Disqualified — Free Game"),0,ROUND(IFERROR($Q361,0)-IFERROR($S361,0),2)))))</ns0:f>
      </ns0:c>
      <ns0:c r="X361" s="956" t="str">
        <ns0:f>IF(COUNTA($A361:$M361)=0,"",IF(OR($U361="Subscription",NOT(ISNUMBER($J361)),NOT(ISNUMBER($I361)),$J361=0,$I361=0,$I361&gt;$J361),"",$J361-$I361))</ns0:f>
      </ns0:c>
      <ns0:c r="Y361" s="955" t="str">
        <ns0:f>IF(COUNTA($A361:$M361)=0,"",IF(OR($U361="Subscription",NOT(ISNUMBER($J361)),$J361=0,$X361=""),"",$X361/$J361))</ns0:f>
      </ns0:c>
      <ns0:c r="Z361" s="957" t="str">
        <ns0:f>IF(COUNTA($A361:$M361)=0,"",Instructions!$B$29+SUM($W$5:W361))</ns0:f>
      </ns0:c>
    </ns0:row>
    <ns0:row r="362" ht="36" customHeight="1">
      <ns0:c r="A362" s="439"/>
      <ns0:c r="B362" s="453"/>
      <ns0:c r="C362" s="453"/>
      <ns0:c r="D362" s="454"/>
      <ns0:c r="E362" s="454"/>
      <ns0:c r="F362" s="454"/>
      <ns0:c r="G362" s="986"/>
      <ns0:c r="H362" s="455"/>
      <ns0:c r="I362" s="456"/>
      <ns0:c r="J362" s="456"/>
      <ns0:c r="K362" s="986"/>
      <ns0:c r="L362" s="454"/>
      <ns0:c r="M362" s="439"/>
      <ns0:c r="N362" s="987" t="str">
        <ns0:f>IF(COUNTA($A362:$M362)=0,"",IF(OR(LEFT(LOWER(TRIM($F362&amp;"")),12)="subscription",LOWER(TRIM($F362&amp;""))="membership"),"",IF(OR(AND($H362&lt;&gt;"",$H362=0),LEFT(LOWER(TRIM($F362&amp;"")),9)="free game",LOWER(TRIM($F362&amp;""))="free",LOWER(TRIM($F362&amp;""))="free entry"),IF(ISNUMBER($G362),IF(ISNUMBER(SEARCH("non",LOWER($E362&amp;""))),$G362*0.85,$G362),"N/A"),IF($G362="","",IFERROR(IF(ISNUMBER(SEARCH("non",LOWER($E362&amp;""))),$G362*0.85,$G362),"")))))</ns0:f>
        <ns0:v/>
      </ns0:c>
      <ns0:c r="O362" s="987" t="str">
        <ns0:f>IF(COUNTA($A362:$M362)=0,"",IF(OR(LEFT(LOWER(TRIM($F362&amp;"")),12)="subscription",LOWER(TRIM($F362&amp;""))="membership"),"",IF(OR(AND($H362&lt;&gt;"",$H362=0),LEFT(LOWER(TRIM($F362&amp;"")),9)="free game",LOWER(TRIM($F362&amp;""))="free",LOWER(TRIM($F362&amp;""))="free entry"),IF(OR(NOT(ISNUMBER($N362)),NOT(ISNUMBER($I362)),$I362=0),"N/A",IFERROR($N362/$I362,"N/A")),IF(OR($N362="",$I362="",$I362=0),"",IFERROR($N362/$I362,"")))))</ns0:f>
        <ns0:v/>
      </ns0:c>
      <ns0:c r="P362" s="987">
        <ns0:f>IF(COUNTA($A362:$M362)=0,"",IF(OR(LEFT(LOWER(TRIM($F362&amp;"")),12)="subscription",LOWER(TRIM($F362&amp;""))="membership"),"",IF(LOWER(TRIM($D362&amp;""))="estimate","N/A",IF(LOWER($L362&amp;"")="yes",0,IF(OR(AND($H362&lt;&gt;"",$H362=0),LEFT(LOWER(TRIM($F362&amp;"")),9)="free game",LOWER(TRIM($F362&amp;""))="free",LOWER(TRIM($F362&amp;""))="free entry"),IF(ISNUMBER($K362),$K362,""),IF($K362&lt;&gt;"",$K362,""))))))</ns0:f>
      </ns0:c>
      <ns0:c r="Q362" s="114">
        <ns0:f>IF(COUNTA($A362:$M362)=0,"",IF(OR($U362="Subscription",$U362=""),"",IF($U362="Estimate","N/A",IF($U362="Profit",ROUND(IFERROR($P362,0)-IFERROR($H362,0),2),0))))</ns0:f>
      </ns0:c>
      <ns0:c r="R362" s="114">
        <ns0:f>IF(COUNTA($A362:$M362)=0,"",IF(OR($U362="Subscription",$U362=""),"",IF($U362="Estimate","N/A",IF($U362="Draw",$H362,0))))</ns0:f>
      </ns0:c>
      <ns0:c r="S362" s="114">
        <ns0:f>IF(COUNTA($A362:$M362)=0,"",IF(OR($U362="Subscription",$U362=""),"",IF($U362="Estimate","N/A",IF($U362="Disqualified",$H362,0))))</ns0:f>
      </ns0:c>
      <ns0:c r="T362" s="955">
        <ns0:f>IF(COUNTA($A362:$M362)=0,"",IF(OR($U362="Subscription",$U362=""),"",IF($U362="Estimate","N/A",IF(OR($U362="Free Game",$U362="Disqualified — Free Game",$H362=0),"N/A",IF($U362="Profit",$Q362/$H362,IF($U362="Disqualified",-$S362/$H362,0))))))</ns0:f>
      </ns0:c>
      <ns0:c r="U362" s="920">
        <ns0:f>IF(COUNTA($A362:$M362)=0,"",IF(OR(LEFT(LOWER(TRIM($F362&amp;"")),12)="subscription",LOWER(TRIM($F362&amp;""))="membership"),"Subscription",IF(LOWER(TRIM($D362&amp;""))="estimate","Estimate",IF(OR(AND($H362&lt;&gt;"",$H362=0),LEFT(LOWER(TRIM($F362&amp;"")),9)="free game",LOWER(TRIM($F362&amp;""))="free",LOWER(TRIM($F362&amp;""))="free entry"),IF(LOWER($L362&amp;"")="yes","Disqualified — Free Game","Free Game"),IF(LOWER($L362&amp;"")="yes","Disqualified",IF($P362="","",IF(ROUND(IFERROR(VALUE($P362),0)-IFERROR(VALUE($H362),0),2)&gt;0,"Profit","Draw")))))))</ns0:f>
      </ns0:c>
      <ns0:c r="V362" s="956" t="str">
        <ns0:f>IF(COUNTA($A362:$M362)=0,"",IF(OR($B362="",$C362="",$U362="Subscription"),"",IFERROR(ROUNDUP(($C362-$B362)/7,0),"")))</ns0:f>
      </ns0:c>
      <ns0:c r="W362" s="114">
        <ns0:f>IF(COUNTA($A362:$M362)=0,"",IF(OR($U362="Subscription",$U362=""),"",IF($U362="Estimate","N/A",IF(OR($U362="Free Game",$U362="Disqualified — Free Game"),0,ROUND(IFERROR($Q362,0)-IFERROR($S362,0),2)))))</ns0:f>
      </ns0:c>
      <ns0:c r="X362" s="956" t="str">
        <ns0:f>IF(COUNTA($A362:$M362)=0,"",IF(OR($U362="Subscription",NOT(ISNUMBER($J362)),NOT(ISNUMBER($I362)),$J362=0,$I362=0,$I362&gt;$J362),"",$J362-$I362))</ns0:f>
      </ns0:c>
      <ns0:c r="Y362" s="955" t="str">
        <ns0:f>IF(COUNTA($A362:$M362)=0,"",IF(OR($U362="Subscription",NOT(ISNUMBER($J362)),$J362=0,$X362=""),"",$X362/$J362))</ns0:f>
      </ns0:c>
      <ns0:c r="Z362" s="957" t="str">
        <ns0:f>IF(COUNTA($A362:$M362)=0,"",Instructions!$B$29+SUM($W$5:W362))</ns0:f>
      </ns0:c>
    </ns0:row>
    <ns0:row r="363" ht="36" customHeight="1">
      <ns0:c r="A363" s="439"/>
      <ns0:c r="B363" s="453"/>
      <ns0:c r="C363" s="453"/>
      <ns0:c r="D363" s="454"/>
      <ns0:c r="E363" s="454"/>
      <ns0:c r="F363" s="454"/>
      <ns0:c r="G363" s="986"/>
      <ns0:c r="H363" s="455"/>
      <ns0:c r="I363" s="456"/>
      <ns0:c r="J363" s="456"/>
      <ns0:c r="K363" s="986"/>
      <ns0:c r="L363" s="454"/>
      <ns0:c r="M363" s="439"/>
      <ns0:c r="N363" s="987" t="str">
        <ns0:f>IF(COUNTA($A363:$M363)=0,"",IF(OR(LEFT(LOWER(TRIM($F363&amp;"")),12)="subscription",LOWER(TRIM($F363&amp;""))="membership"),"",IF(OR(AND($H363&lt;&gt;"",$H363=0),LEFT(LOWER(TRIM($F363&amp;"")),9)="free game",LOWER(TRIM($F363&amp;""))="free",LOWER(TRIM($F363&amp;""))="free entry"),IF(ISNUMBER($G363),IF(ISNUMBER(SEARCH("non",LOWER($E363&amp;""))),$G363*0.85,$G363),"N/A"),IF($G363="","",IFERROR(IF(ISNUMBER(SEARCH("non",LOWER($E363&amp;""))),$G363*0.85,$G363),"")))))</ns0:f>
        <ns0:v/>
      </ns0:c>
      <ns0:c r="O363" s="987" t="str">
        <ns0:f>IF(COUNTA($A363:$M363)=0,"",IF(OR(LEFT(LOWER(TRIM($F363&amp;"")),12)="subscription",LOWER(TRIM($F363&amp;""))="membership"),"",IF(OR(AND($H363&lt;&gt;"",$H363=0),LEFT(LOWER(TRIM($F363&amp;"")),9)="free game",LOWER(TRIM($F363&amp;""))="free",LOWER(TRIM($F363&amp;""))="free entry"),IF(OR(NOT(ISNUMBER($N363)),NOT(ISNUMBER($I363)),$I363=0),"N/A",IFERROR($N363/$I363,"N/A")),IF(OR($N363="",$I363="",$I363=0),"",IFERROR($N363/$I363,"")))))</ns0:f>
        <ns0:v/>
      </ns0:c>
      <ns0:c r="P363" s="987">
        <ns0:f>IF(COUNTA($A363:$M363)=0,"",IF(OR(LEFT(LOWER(TRIM($F363&amp;"")),12)="subscription",LOWER(TRIM($F363&amp;""))="membership"),"",IF(LOWER(TRIM($D363&amp;""))="estimate","N/A",IF(LOWER($L363&amp;"")="yes",0,IF(OR(AND($H363&lt;&gt;"",$H363=0),LEFT(LOWER(TRIM($F363&amp;"")),9)="free game",LOWER(TRIM($F363&amp;""))="free",LOWER(TRIM($F363&amp;""))="free entry"),IF(ISNUMBER($K363),$K363,""),IF($K363&lt;&gt;"",$K363,""))))))</ns0:f>
      </ns0:c>
      <ns0:c r="Q363" s="114">
        <ns0:f>IF(COUNTA($A363:$M363)=0,"",IF(OR($U363="Subscription",$U363=""),"",IF($U363="Estimate","N/A",IF($U363="Profit",ROUND(IFERROR($P363,0)-IFERROR($H363,0),2),0))))</ns0:f>
      </ns0:c>
      <ns0:c r="R363" s="114">
        <ns0:f>IF(COUNTA($A363:$M363)=0,"",IF(OR($U363="Subscription",$U363=""),"",IF($U363="Estimate","N/A",IF($U363="Draw",$H363,0))))</ns0:f>
      </ns0:c>
      <ns0:c r="S363" s="114">
        <ns0:f>IF(COUNTA($A363:$M363)=0,"",IF(OR($U363="Subscription",$U363=""),"",IF($U363="Estimate","N/A",IF($U363="Disqualified",$H363,0))))</ns0:f>
      </ns0:c>
      <ns0:c r="T363" s="955">
        <ns0:f>IF(COUNTA($A363:$M363)=0,"",IF(OR($U363="Subscription",$U363=""),"",IF($U363="Estimate","N/A",IF(OR($U363="Free Game",$U363="Disqualified — Free Game",$H363=0),"N/A",IF($U363="Profit",$Q363/$H363,IF($U363="Disqualified",-$S363/$H363,0))))))</ns0:f>
      </ns0:c>
      <ns0:c r="U363" s="920">
        <ns0:f>IF(COUNTA($A363:$M363)=0,"",IF(OR(LEFT(LOWER(TRIM($F363&amp;"")),12)="subscription",LOWER(TRIM($F363&amp;""))="membership"),"Subscription",IF(LOWER(TRIM($D363&amp;""))="estimate","Estimate",IF(OR(AND($H363&lt;&gt;"",$H363=0),LEFT(LOWER(TRIM($F363&amp;"")),9)="free game",LOWER(TRIM($F363&amp;""))="free",LOWER(TRIM($F363&amp;""))="free entry"),IF(LOWER($L363&amp;"")="yes","Disqualified — Free Game","Free Game"),IF(LOWER($L363&amp;"")="yes","Disqualified",IF($P363="","",IF(ROUND(IFERROR(VALUE($P363),0)-IFERROR(VALUE($H363),0),2)&gt;0,"Profit","Draw")))))))</ns0:f>
      </ns0:c>
      <ns0:c r="V363" s="956" t="str">
        <ns0:f>IF(COUNTA($A363:$M363)=0,"",IF(OR($B363="",$C363="",$U363="Subscription"),"",IFERROR(ROUNDUP(($C363-$B363)/7,0),"")))</ns0:f>
      </ns0:c>
      <ns0:c r="W363" s="114">
        <ns0:f>IF(COUNTA($A363:$M363)=0,"",IF(OR($U363="Subscription",$U363=""),"",IF($U363="Estimate","N/A",IF(OR($U363="Free Game",$U363="Disqualified — Free Game"),0,ROUND(IFERROR($Q363,0)-IFERROR($S363,0),2)))))</ns0:f>
      </ns0:c>
      <ns0:c r="X363" s="956" t="str">
        <ns0:f>IF(COUNTA($A363:$M363)=0,"",IF(OR($U363="Subscription",NOT(ISNUMBER($J363)),NOT(ISNUMBER($I363)),$J363=0,$I363=0,$I363&gt;$J363),"",$J363-$I363))</ns0:f>
      </ns0:c>
      <ns0:c r="Y363" s="955" t="str">
        <ns0:f>IF(COUNTA($A363:$M363)=0,"",IF(OR($U363="Subscription",NOT(ISNUMBER($J363)),$J363=0,$X363=""),"",$X363/$J363))</ns0:f>
      </ns0:c>
      <ns0:c r="Z363" s="957" t="str">
        <ns0:f>IF(COUNTA($A363:$M363)=0,"",Instructions!$B$29+SUM($W$5:W363))</ns0:f>
      </ns0:c>
    </ns0:row>
    <ns0:row r="364" ht="36" customHeight="1">
      <ns0:c r="A364" s="439"/>
      <ns0:c r="B364" s="453"/>
      <ns0:c r="C364" s="453"/>
      <ns0:c r="D364" s="454"/>
      <ns0:c r="E364" s="454"/>
      <ns0:c r="F364" s="454"/>
      <ns0:c r="G364" s="986"/>
      <ns0:c r="H364" s="455"/>
      <ns0:c r="I364" s="456"/>
      <ns0:c r="J364" s="456"/>
      <ns0:c r="K364" s="986"/>
      <ns0:c r="L364" s="454"/>
      <ns0:c r="M364" s="439"/>
      <ns0:c r="N364" s="987" t="str">
        <ns0:f>IF(COUNTA($A364:$M364)=0,"",IF(OR(LEFT(LOWER(TRIM($F364&amp;"")),12)="subscription",LOWER(TRIM($F364&amp;""))="membership"),"",IF(OR(AND($H364&lt;&gt;"",$H364=0),LEFT(LOWER(TRIM($F364&amp;"")),9)="free game",LOWER(TRIM($F364&amp;""))="free",LOWER(TRIM($F364&amp;""))="free entry"),IF(ISNUMBER($G364),IF(ISNUMBER(SEARCH("non",LOWER($E364&amp;""))),$G364*0.85,$G364),"N/A"),IF($G364="","",IFERROR(IF(ISNUMBER(SEARCH("non",LOWER($E364&amp;""))),$G364*0.85,$G364),"")))))</ns0:f>
        <ns0:v/>
      </ns0:c>
      <ns0:c r="O364" s="987" t="str">
        <ns0:f>IF(COUNTA($A364:$M364)=0,"",IF(OR(LEFT(LOWER(TRIM($F364&amp;"")),12)="subscription",LOWER(TRIM($F364&amp;""))="membership"),"",IF(OR(AND($H364&lt;&gt;"",$H364=0),LEFT(LOWER(TRIM($F364&amp;"")),9)="free game",LOWER(TRIM($F364&amp;""))="free",LOWER(TRIM($F364&amp;""))="free entry"),IF(OR(NOT(ISNUMBER($N364)),NOT(ISNUMBER($I364)),$I364=0),"N/A",IFERROR($N364/$I364,"N/A")),IF(OR($N364="",$I364="",$I364=0),"",IFERROR($N364/$I364,"")))))</ns0:f>
        <ns0:v/>
      </ns0:c>
      <ns0:c r="P364" s="987">
        <ns0:f>IF(COUNTA($A364:$M364)=0,"",IF(OR(LEFT(LOWER(TRIM($F364&amp;"")),12)="subscription",LOWER(TRIM($F364&amp;""))="membership"),"",IF(LOWER(TRIM($D364&amp;""))="estimate","N/A",IF(LOWER($L364&amp;"")="yes",0,IF(OR(AND($H364&lt;&gt;"",$H364=0),LEFT(LOWER(TRIM($F364&amp;"")),9)="free game",LOWER(TRIM($F364&amp;""))="free",LOWER(TRIM($F364&amp;""))="free entry"),IF(ISNUMBER($K364),$K364,""),IF($K364&lt;&gt;"",$K364,""))))))</ns0:f>
      </ns0:c>
      <ns0:c r="Q364" s="114">
        <ns0:f>IF(COUNTA($A364:$M364)=0,"",IF(OR($U364="Subscription",$U364=""),"",IF($U364="Estimate","N/A",IF($U364="Profit",ROUND(IFERROR($P364,0)-IFERROR($H364,0),2),0))))</ns0:f>
      </ns0:c>
      <ns0:c r="R364" s="114">
        <ns0:f>IF(COUNTA($A364:$M364)=0,"",IF(OR($U364="Subscription",$U364=""),"",IF($U364="Estimate","N/A",IF($U364="Draw",$H364,0))))</ns0:f>
      </ns0:c>
      <ns0:c r="S364" s="114">
        <ns0:f>IF(COUNTA($A364:$M364)=0,"",IF(OR($U364="Subscription",$U364=""),"",IF($U364="Estimate","N/A",IF($U364="Disqualified",$H364,0))))</ns0:f>
      </ns0:c>
      <ns0:c r="T364" s="955">
        <ns0:f>IF(COUNTA($A364:$M364)=0,"",IF(OR($U364="Subscription",$U364=""),"",IF($U364="Estimate","N/A",IF(OR($U364="Free Game",$U364="Disqualified — Free Game",$H364=0),"N/A",IF($U364="Profit",$Q364/$H364,IF($U364="Disqualified",-$S364/$H364,0))))))</ns0:f>
      </ns0:c>
      <ns0:c r="U364" s="920">
        <ns0:f>IF(COUNTA($A364:$M364)=0,"",IF(OR(LEFT(LOWER(TRIM($F364&amp;"")),12)="subscription",LOWER(TRIM($F364&amp;""))="membership"),"Subscription",IF(LOWER(TRIM($D364&amp;""))="estimate","Estimate",IF(OR(AND($H364&lt;&gt;"",$H364=0),LEFT(LOWER(TRIM($F364&amp;"")),9)="free game",LOWER(TRIM($F364&amp;""))="free",LOWER(TRIM($F364&amp;""))="free entry"),IF(LOWER($L364&amp;"")="yes","Disqualified — Free Game","Free Game"),IF(LOWER($L364&amp;"")="yes","Disqualified",IF($P364="","",IF(ROUND(IFERROR(VALUE($P364),0)-IFERROR(VALUE($H364),0),2)&gt;0,"Profit","Draw")))))))</ns0:f>
      </ns0:c>
      <ns0:c r="V364" s="956" t="str">
        <ns0:f>IF(COUNTA($A364:$M364)=0,"",IF(OR($B364="",$C364="",$U364="Subscription"),"",IFERROR(ROUNDUP(($C364-$B364)/7,0),"")))</ns0:f>
      </ns0:c>
      <ns0:c r="W364" s="114">
        <ns0:f>IF(COUNTA($A364:$M364)=0,"",IF(OR($U364="Subscription",$U364=""),"",IF($U364="Estimate","N/A",IF(OR($U364="Free Game",$U364="Disqualified — Free Game"),0,ROUND(IFERROR($Q364,0)-IFERROR($S364,0),2)))))</ns0:f>
      </ns0:c>
      <ns0:c r="X364" s="956" t="str">
        <ns0:f>IF(COUNTA($A364:$M364)=0,"",IF(OR($U364="Subscription",NOT(ISNUMBER($J364)),NOT(ISNUMBER($I364)),$J364=0,$I364=0,$I364&gt;$J364),"",$J364-$I364))</ns0:f>
      </ns0:c>
      <ns0:c r="Y364" s="955" t="str">
        <ns0:f>IF(COUNTA($A364:$M364)=0,"",IF(OR($U364="Subscription",NOT(ISNUMBER($J364)),$J364=0,$X364=""),"",$X364/$J364))</ns0:f>
      </ns0:c>
      <ns0:c r="Z364" s="957" t="str">
        <ns0:f>IF(COUNTA($A364:$M364)=0,"",Instructions!$B$29+SUM($W$5:W364))</ns0:f>
      </ns0:c>
    </ns0:row>
    <ns0:row r="365" ht="36" customHeight="1">
      <ns0:c r="A365" s="439"/>
      <ns0:c r="B365" s="453"/>
      <ns0:c r="C365" s="453"/>
      <ns0:c r="D365" s="454"/>
      <ns0:c r="E365" s="454"/>
      <ns0:c r="F365" s="454"/>
      <ns0:c r="G365" s="986"/>
      <ns0:c r="H365" s="455"/>
      <ns0:c r="I365" s="456"/>
      <ns0:c r="J365" s="456"/>
      <ns0:c r="K365" s="986"/>
      <ns0:c r="L365" s="454"/>
      <ns0:c r="M365" s="439"/>
      <ns0:c r="N365" s="987" t="str">
        <ns0:f>IF(COUNTA($A365:$M365)=0,"",IF(OR(LEFT(LOWER(TRIM($F365&amp;"")),12)="subscription",LOWER(TRIM($F365&amp;""))="membership"),"",IF(OR(AND($H365&lt;&gt;"",$H365=0),LEFT(LOWER(TRIM($F365&amp;"")),9)="free game",LOWER(TRIM($F365&amp;""))="free",LOWER(TRIM($F365&amp;""))="free entry"),IF(ISNUMBER($G365),IF(ISNUMBER(SEARCH("non",LOWER($E365&amp;""))),$G365*0.85,$G365),"N/A"),IF($G365="","",IFERROR(IF(ISNUMBER(SEARCH("non",LOWER($E365&amp;""))),$G365*0.85,$G365),"")))))</ns0:f>
        <ns0:v/>
      </ns0:c>
      <ns0:c r="O365" s="987" t="str">
        <ns0:f>IF(COUNTA($A365:$M365)=0,"",IF(OR(LEFT(LOWER(TRIM($F365&amp;"")),12)="subscription",LOWER(TRIM($F365&amp;""))="membership"),"",IF(OR(AND($H365&lt;&gt;"",$H365=0),LEFT(LOWER(TRIM($F365&amp;"")),9)="free game",LOWER(TRIM($F365&amp;""))="free",LOWER(TRIM($F365&amp;""))="free entry"),IF(OR(NOT(ISNUMBER($N365)),NOT(ISNUMBER($I365)),$I365=0),"N/A",IFERROR($N365/$I365,"N/A")),IF(OR($N365="",$I365="",$I365=0),"",IFERROR($N365/$I365,"")))))</ns0:f>
        <ns0:v/>
      </ns0:c>
      <ns0:c r="P365" s="987">
        <ns0:f>IF(COUNTA($A365:$M365)=0,"",IF(OR(LEFT(LOWER(TRIM($F365&amp;"")),12)="subscription",LOWER(TRIM($F365&amp;""))="membership"),"",IF(LOWER(TRIM($D365&amp;""))="estimate","N/A",IF(LOWER($L365&amp;"")="yes",0,IF(OR(AND($H365&lt;&gt;"",$H365=0),LEFT(LOWER(TRIM($F365&amp;"")),9)="free game",LOWER(TRIM($F365&amp;""))="free",LOWER(TRIM($F365&amp;""))="free entry"),IF(ISNUMBER($K365),$K365,""),IF($K365&lt;&gt;"",$K365,""))))))</ns0:f>
      </ns0:c>
      <ns0:c r="Q365" s="114">
        <ns0:f>IF(COUNTA($A365:$M365)=0,"",IF(OR($U365="Subscription",$U365=""),"",IF($U365="Estimate","N/A",IF($U365="Profit",ROUND(IFERROR($P365,0)-IFERROR($H365,0),2),0))))</ns0:f>
      </ns0:c>
      <ns0:c r="R365" s="114">
        <ns0:f>IF(COUNTA($A365:$M365)=0,"",IF(OR($U365="Subscription",$U365=""),"",IF($U365="Estimate","N/A",IF($U365="Draw",$H365,0))))</ns0:f>
      </ns0:c>
      <ns0:c r="S365" s="114">
        <ns0:f>IF(COUNTA($A365:$M365)=0,"",IF(OR($U365="Subscription",$U365=""),"",IF($U365="Estimate","N/A",IF($U365="Disqualified",$H365,0))))</ns0:f>
      </ns0:c>
      <ns0:c r="T365" s="955">
        <ns0:f>IF(COUNTA($A365:$M365)=0,"",IF(OR($U365="Subscription",$U365=""),"",IF($U365="Estimate","N/A",IF(OR($U365="Free Game",$U365="Disqualified — Free Game",$H365=0),"N/A",IF($U365="Profit",$Q365/$H365,IF($U365="Disqualified",-$S365/$H365,0))))))</ns0:f>
      </ns0:c>
      <ns0:c r="U365" s="920">
        <ns0:f>IF(COUNTA($A365:$M365)=0,"",IF(OR(LEFT(LOWER(TRIM($F365&amp;"")),12)="subscription",LOWER(TRIM($F365&amp;""))="membership"),"Subscription",IF(LOWER(TRIM($D365&amp;""))="estimate","Estimate",IF(OR(AND($H365&lt;&gt;"",$H365=0),LEFT(LOWER(TRIM($F365&amp;"")),9)="free game",LOWER(TRIM($F365&amp;""))="free",LOWER(TRIM($F365&amp;""))="free entry"),IF(LOWER($L365&amp;"")="yes","Disqualified — Free Game","Free Game"),IF(LOWER($L365&amp;"")="yes","Disqualified",IF($P365="","",IF(ROUND(IFERROR(VALUE($P365),0)-IFERROR(VALUE($H365),0),2)&gt;0,"Profit","Draw")))))))</ns0:f>
      </ns0:c>
      <ns0:c r="V365" s="956" t="str">
        <ns0:f>IF(COUNTA($A365:$M365)=0,"",IF(OR($B365="",$C365="",$U365="Subscription"),"",IFERROR(ROUNDUP(($C365-$B365)/7,0),"")))</ns0:f>
      </ns0:c>
      <ns0:c r="W365" s="114">
        <ns0:f>IF(COUNTA($A365:$M365)=0,"",IF(OR($U365="Subscription",$U365=""),"",IF($U365="Estimate","N/A",IF(OR($U365="Free Game",$U365="Disqualified — Free Game"),0,ROUND(IFERROR($Q365,0)-IFERROR($S365,0),2)))))</ns0:f>
      </ns0:c>
      <ns0:c r="X365" s="956" t="str">
        <ns0:f>IF(COUNTA($A365:$M365)=0,"",IF(OR($U365="Subscription",NOT(ISNUMBER($J365)),NOT(ISNUMBER($I365)),$J365=0,$I365=0,$I365&gt;$J365),"",$J365-$I365))</ns0:f>
      </ns0:c>
      <ns0:c r="Y365" s="955" t="str">
        <ns0:f>IF(COUNTA($A365:$M365)=0,"",IF(OR($U365="Subscription",NOT(ISNUMBER($J365)),$J365=0,$X365=""),"",$X365/$J365))</ns0:f>
      </ns0:c>
      <ns0:c r="Z365" s="957" t="str">
        <ns0:f>IF(COUNTA($A365:$M365)=0,"",Instructions!$B$29+SUM($W$5:W365))</ns0:f>
      </ns0:c>
    </ns0:row>
    <ns0:row r="366" ht="36" customHeight="1">
      <ns0:c r="A366" s="439"/>
      <ns0:c r="B366" s="453"/>
      <ns0:c r="C366" s="453"/>
      <ns0:c r="D366" s="454"/>
      <ns0:c r="E366" s="454"/>
      <ns0:c r="F366" s="454"/>
      <ns0:c r="G366" s="986"/>
      <ns0:c r="H366" s="455"/>
      <ns0:c r="I366" s="456"/>
      <ns0:c r="J366" s="456"/>
      <ns0:c r="K366" s="986"/>
      <ns0:c r="L366" s="454"/>
      <ns0:c r="M366" s="439"/>
      <ns0:c r="N366" s="987" t="str">
        <ns0:f>IF(COUNTA($A366:$M366)=0,"",IF(OR(LEFT(LOWER(TRIM($F366&amp;"")),12)="subscription",LOWER(TRIM($F366&amp;""))="membership"),"",IF(OR(AND($H366&lt;&gt;"",$H366=0),LEFT(LOWER(TRIM($F366&amp;"")),9)="free game",LOWER(TRIM($F366&amp;""))="free",LOWER(TRIM($F366&amp;""))="free entry"),IF(ISNUMBER($G366),IF(ISNUMBER(SEARCH("non",LOWER($E366&amp;""))),$G366*0.85,$G366),"N/A"),IF($G366="","",IFERROR(IF(ISNUMBER(SEARCH("non",LOWER($E366&amp;""))),$G366*0.85,$G366),"")))))</ns0:f>
        <ns0:v/>
      </ns0:c>
      <ns0:c r="O366" s="987" t="str">
        <ns0:f>IF(COUNTA($A366:$M366)=0,"",IF(OR(LEFT(LOWER(TRIM($F366&amp;"")),12)="subscription",LOWER(TRIM($F366&amp;""))="membership"),"",IF(OR(AND($H366&lt;&gt;"",$H366=0),LEFT(LOWER(TRIM($F366&amp;"")),9)="free game",LOWER(TRIM($F366&amp;""))="free",LOWER(TRIM($F366&amp;""))="free entry"),IF(OR(NOT(ISNUMBER($N366)),NOT(ISNUMBER($I366)),$I366=0),"N/A",IFERROR($N366/$I366,"N/A")),IF(OR($N366="",$I366="",$I366=0),"",IFERROR($N366/$I366,"")))))</ns0:f>
        <ns0:v/>
      </ns0:c>
      <ns0:c r="P366" s="987">
        <ns0:f>IF(COUNTA($A366:$M366)=0,"",IF(OR(LEFT(LOWER(TRIM($F366&amp;"")),12)="subscription",LOWER(TRIM($F366&amp;""))="membership"),"",IF(LOWER(TRIM($D366&amp;""))="estimate","N/A",IF(LOWER($L366&amp;"")="yes",0,IF(OR(AND($H366&lt;&gt;"",$H366=0),LEFT(LOWER(TRIM($F366&amp;"")),9)="free game",LOWER(TRIM($F366&amp;""))="free",LOWER(TRIM($F366&amp;""))="free entry"),IF(ISNUMBER($K366),$K366,""),IF($K366&lt;&gt;"",$K366,""))))))</ns0:f>
      </ns0:c>
      <ns0:c r="Q366" s="114">
        <ns0:f>IF(COUNTA($A366:$M366)=0,"",IF(OR($U366="Subscription",$U366=""),"",IF($U366="Estimate","N/A",IF($U366="Profit",ROUND(IFERROR($P366,0)-IFERROR($H366,0),2),0))))</ns0:f>
      </ns0:c>
      <ns0:c r="R366" s="114">
        <ns0:f>IF(COUNTA($A366:$M366)=0,"",IF(OR($U366="Subscription",$U366=""),"",IF($U366="Estimate","N/A",IF($U366="Draw",$H366,0))))</ns0:f>
      </ns0:c>
      <ns0:c r="S366" s="114">
        <ns0:f>IF(COUNTA($A366:$M366)=0,"",IF(OR($U366="Subscription",$U366=""),"",IF($U366="Estimate","N/A",IF($U366="Disqualified",$H366,0))))</ns0:f>
      </ns0:c>
      <ns0:c r="T366" s="955">
        <ns0:f>IF(COUNTA($A366:$M366)=0,"",IF(OR($U366="Subscription",$U366=""),"",IF($U366="Estimate","N/A",IF(OR($U366="Free Game",$U366="Disqualified — Free Game",$H366=0),"N/A",IF($U366="Profit",$Q366/$H366,IF($U366="Disqualified",-$S366/$H366,0))))))</ns0:f>
      </ns0:c>
      <ns0:c r="U366" s="920">
        <ns0:f>IF(COUNTA($A366:$M366)=0,"",IF(OR(LEFT(LOWER(TRIM($F366&amp;"")),12)="subscription",LOWER(TRIM($F366&amp;""))="membership"),"Subscription",IF(LOWER(TRIM($D366&amp;""))="estimate","Estimate",IF(OR(AND($H366&lt;&gt;"",$H366=0),LEFT(LOWER(TRIM($F366&amp;"")),9)="free game",LOWER(TRIM($F366&amp;""))="free",LOWER(TRIM($F366&amp;""))="free entry"),IF(LOWER($L366&amp;"")="yes","Disqualified — Free Game","Free Game"),IF(LOWER($L366&amp;"")="yes","Disqualified",IF($P366="","",IF(ROUND(IFERROR(VALUE($P366),0)-IFERROR(VALUE($H366),0),2)&gt;0,"Profit","Draw")))))))</ns0:f>
      </ns0:c>
      <ns0:c r="V366" s="956" t="str">
        <ns0:f>IF(COUNTA($A366:$M366)=0,"",IF(OR($B366="",$C366="",$U366="Subscription"),"",IFERROR(ROUNDUP(($C366-$B366)/7,0),"")))</ns0:f>
      </ns0:c>
      <ns0:c r="W366" s="114">
        <ns0:f>IF(COUNTA($A366:$M366)=0,"",IF(OR($U366="Subscription",$U366=""),"",IF($U366="Estimate","N/A",IF(OR($U366="Free Game",$U366="Disqualified — Free Game"),0,ROUND(IFERROR($Q366,0)-IFERROR($S366,0),2)))))</ns0:f>
      </ns0:c>
      <ns0:c r="X366" s="956" t="str">
        <ns0:f>IF(COUNTA($A366:$M366)=0,"",IF(OR($U366="Subscription",NOT(ISNUMBER($J366)),NOT(ISNUMBER($I366)),$J366=0,$I366=0,$I366&gt;$J366),"",$J366-$I366))</ns0:f>
      </ns0:c>
      <ns0:c r="Y366" s="955" t="str">
        <ns0:f>IF(COUNTA($A366:$M366)=0,"",IF(OR($U366="Subscription",NOT(ISNUMBER($J366)),$J366=0,$X366=""),"",$X366/$J366))</ns0:f>
      </ns0:c>
      <ns0:c r="Z366" s="957" t="str">
        <ns0:f>IF(COUNTA($A366:$M366)=0,"",Instructions!$B$29+SUM($W$5:W366))</ns0:f>
      </ns0:c>
    </ns0:row>
    <ns0:row r="367" ht="36" customHeight="1">
      <ns0:c r="A367" s="439"/>
      <ns0:c r="B367" s="453"/>
      <ns0:c r="C367" s="453"/>
      <ns0:c r="D367" s="454"/>
      <ns0:c r="E367" s="454"/>
      <ns0:c r="F367" s="454"/>
      <ns0:c r="G367" s="986"/>
      <ns0:c r="H367" s="455"/>
      <ns0:c r="I367" s="456"/>
      <ns0:c r="J367" s="456"/>
      <ns0:c r="K367" s="986"/>
      <ns0:c r="L367" s="454"/>
      <ns0:c r="M367" s="439"/>
      <ns0:c r="N367" s="987" t="str">
        <ns0:f>IF(COUNTA($A367:$M367)=0,"",IF(OR(LEFT(LOWER(TRIM($F367&amp;"")),12)="subscription",LOWER(TRIM($F367&amp;""))="membership"),"",IF(OR(AND($H367&lt;&gt;"",$H367=0),LEFT(LOWER(TRIM($F367&amp;"")),9)="free game",LOWER(TRIM($F367&amp;""))="free",LOWER(TRIM($F367&amp;""))="free entry"),IF(ISNUMBER($G367),IF(ISNUMBER(SEARCH("non",LOWER($E367&amp;""))),$G367*0.85,$G367),"N/A"),IF($G367="","",IFERROR(IF(ISNUMBER(SEARCH("non",LOWER($E367&amp;""))),$G367*0.85,$G367),"")))))</ns0:f>
        <ns0:v/>
      </ns0:c>
      <ns0:c r="O367" s="987" t="str">
        <ns0:f>IF(COUNTA($A367:$M367)=0,"",IF(OR(LEFT(LOWER(TRIM($F367&amp;"")),12)="subscription",LOWER(TRIM($F367&amp;""))="membership"),"",IF(OR(AND($H367&lt;&gt;"",$H367=0),LEFT(LOWER(TRIM($F367&amp;"")),9)="free game",LOWER(TRIM($F367&amp;""))="free",LOWER(TRIM($F367&amp;""))="free entry"),IF(OR(NOT(ISNUMBER($N367)),NOT(ISNUMBER($I367)),$I367=0),"N/A",IFERROR($N367/$I367,"N/A")),IF(OR($N367="",$I367="",$I367=0),"",IFERROR($N367/$I367,"")))))</ns0:f>
        <ns0:v/>
      </ns0:c>
      <ns0:c r="P367" s="987">
        <ns0:f>IF(COUNTA($A367:$M367)=0,"",IF(OR(LEFT(LOWER(TRIM($F367&amp;"")),12)="subscription",LOWER(TRIM($F367&amp;""))="membership"),"",IF(LOWER(TRIM($D367&amp;""))="estimate","N/A",IF(LOWER($L367&amp;"")="yes",0,IF(OR(AND($H367&lt;&gt;"",$H367=0),LEFT(LOWER(TRIM($F367&amp;"")),9)="free game",LOWER(TRIM($F367&amp;""))="free",LOWER(TRIM($F367&amp;""))="free entry"),IF(ISNUMBER($K367),$K367,""),IF($K367&lt;&gt;"",$K367,""))))))</ns0:f>
      </ns0:c>
      <ns0:c r="Q367" s="114">
        <ns0:f>IF(COUNTA($A367:$M367)=0,"",IF(OR($U367="Subscription",$U367=""),"",IF($U367="Estimate","N/A",IF($U367="Profit",ROUND(IFERROR($P367,0)-IFERROR($H367,0),2),0))))</ns0:f>
      </ns0:c>
      <ns0:c r="R367" s="114">
        <ns0:f>IF(COUNTA($A367:$M367)=0,"",IF(OR($U367="Subscription",$U367=""),"",IF($U367="Estimate","N/A",IF($U367="Draw",$H367,0))))</ns0:f>
      </ns0:c>
      <ns0:c r="S367" s="114">
        <ns0:f>IF(COUNTA($A367:$M367)=0,"",IF(OR($U367="Subscription",$U367=""),"",IF($U367="Estimate","N/A",IF($U367="Disqualified",$H367,0))))</ns0:f>
      </ns0:c>
      <ns0:c r="T367" s="955">
        <ns0:f>IF(COUNTA($A367:$M367)=0,"",IF(OR($U367="Subscription",$U367=""),"",IF($U367="Estimate","N/A",IF(OR($U367="Free Game",$U367="Disqualified — Free Game",$H367=0),"N/A",IF($U367="Profit",$Q367/$H367,IF($U367="Disqualified",-$S367/$H367,0))))))</ns0:f>
      </ns0:c>
      <ns0:c r="U367" s="920">
        <ns0:f>IF(COUNTA($A367:$M367)=0,"",IF(OR(LEFT(LOWER(TRIM($F367&amp;"")),12)="subscription",LOWER(TRIM($F367&amp;""))="membership"),"Subscription",IF(LOWER(TRIM($D367&amp;""))="estimate","Estimate",IF(OR(AND($H367&lt;&gt;"",$H367=0),LEFT(LOWER(TRIM($F367&amp;"")),9)="free game",LOWER(TRIM($F367&amp;""))="free",LOWER(TRIM($F367&amp;""))="free entry"),IF(LOWER($L367&amp;"")="yes","Disqualified — Free Game","Free Game"),IF(LOWER($L367&amp;"")="yes","Disqualified",IF($P367="","",IF(ROUND(IFERROR(VALUE($P367),0)-IFERROR(VALUE($H367),0),2)&gt;0,"Profit","Draw")))))))</ns0:f>
      </ns0:c>
      <ns0:c r="V367" s="956" t="str">
        <ns0:f>IF(COUNTA($A367:$M367)=0,"",IF(OR($B367="",$C367="",$U367="Subscription"),"",IFERROR(ROUNDUP(($C367-$B367)/7,0),"")))</ns0:f>
      </ns0:c>
      <ns0:c r="W367" s="114">
        <ns0:f>IF(COUNTA($A367:$M367)=0,"",IF(OR($U367="Subscription",$U367=""),"",IF($U367="Estimate","N/A",IF(OR($U367="Free Game",$U367="Disqualified — Free Game"),0,ROUND(IFERROR($Q367,0)-IFERROR($S367,0),2)))))</ns0:f>
      </ns0:c>
      <ns0:c r="X367" s="956" t="str">
        <ns0:f>IF(COUNTA($A367:$M367)=0,"",IF(OR($U367="Subscription",NOT(ISNUMBER($J367)),NOT(ISNUMBER($I367)),$J367=0,$I367=0,$I367&gt;$J367),"",$J367-$I367))</ns0:f>
      </ns0:c>
      <ns0:c r="Y367" s="955" t="str">
        <ns0:f>IF(COUNTA($A367:$M367)=0,"",IF(OR($U367="Subscription",NOT(ISNUMBER($J367)),$J367=0,$X367=""),"",$X367/$J367))</ns0:f>
      </ns0:c>
      <ns0:c r="Z367" s="957" t="str">
        <ns0:f>IF(COUNTA($A367:$M367)=0,"",Instructions!$B$29+SUM($W$5:W367))</ns0:f>
      </ns0:c>
    </ns0:row>
    <ns0:row r="368" ht="36" customHeight="1">
      <ns0:c r="A368" s="439"/>
      <ns0:c r="B368" s="453"/>
      <ns0:c r="C368" s="453"/>
      <ns0:c r="D368" s="454"/>
      <ns0:c r="E368" s="454"/>
      <ns0:c r="F368" s="454"/>
      <ns0:c r="G368" s="986"/>
      <ns0:c r="H368" s="455"/>
      <ns0:c r="I368" s="456"/>
      <ns0:c r="J368" s="456"/>
      <ns0:c r="K368" s="986"/>
      <ns0:c r="L368" s="454"/>
      <ns0:c r="M368" s="439"/>
      <ns0:c r="N368" s="987" t="str">
        <ns0:f>IF(COUNTA($A368:$M368)=0,"",IF(OR(LEFT(LOWER(TRIM($F368&amp;"")),12)="subscription",LOWER(TRIM($F368&amp;""))="membership"),"",IF(OR(AND($H368&lt;&gt;"",$H368=0),LEFT(LOWER(TRIM($F368&amp;"")),9)="free game",LOWER(TRIM($F368&amp;""))="free",LOWER(TRIM($F368&amp;""))="free entry"),IF(ISNUMBER($G368),IF(ISNUMBER(SEARCH("non",LOWER($E368&amp;""))),$G368*0.85,$G368),"N/A"),IF($G368="","",IFERROR(IF(ISNUMBER(SEARCH("non",LOWER($E368&amp;""))),$G368*0.85,$G368),"")))))</ns0:f>
        <ns0:v/>
      </ns0:c>
      <ns0:c r="O368" s="987" t="str">
        <ns0:f>IF(COUNTA($A368:$M368)=0,"",IF(OR(LEFT(LOWER(TRIM($F368&amp;"")),12)="subscription",LOWER(TRIM($F368&amp;""))="membership"),"",IF(OR(AND($H368&lt;&gt;"",$H368=0),LEFT(LOWER(TRIM($F368&amp;"")),9)="free game",LOWER(TRIM($F368&amp;""))="free",LOWER(TRIM($F368&amp;""))="free entry"),IF(OR(NOT(ISNUMBER($N368)),NOT(ISNUMBER($I368)),$I368=0),"N/A",IFERROR($N368/$I368,"N/A")),IF(OR($N368="",$I368="",$I368=0),"",IFERROR($N368/$I368,"")))))</ns0:f>
        <ns0:v/>
      </ns0:c>
      <ns0:c r="P368" s="987">
        <ns0:f>IF(COUNTA($A368:$M368)=0,"",IF(OR(LEFT(LOWER(TRIM($F368&amp;"")),12)="subscription",LOWER(TRIM($F368&amp;""))="membership"),"",IF(LOWER(TRIM($D368&amp;""))="estimate","N/A",IF(LOWER($L368&amp;"")="yes",0,IF(OR(AND($H368&lt;&gt;"",$H368=0),LEFT(LOWER(TRIM($F368&amp;"")),9)="free game",LOWER(TRIM($F368&amp;""))="free",LOWER(TRIM($F368&amp;""))="free entry"),IF(ISNUMBER($K368),$K368,""),IF($K368&lt;&gt;"",$K368,""))))))</ns0:f>
      </ns0:c>
      <ns0:c r="Q368" s="114">
        <ns0:f>IF(COUNTA($A368:$M368)=0,"",IF(OR($U368="Subscription",$U368=""),"",IF($U368="Estimate","N/A",IF($U368="Profit",ROUND(IFERROR($P368,0)-IFERROR($H368,0),2),0))))</ns0:f>
      </ns0:c>
      <ns0:c r="R368" s="114">
        <ns0:f>IF(COUNTA($A368:$M368)=0,"",IF(OR($U368="Subscription",$U368=""),"",IF($U368="Estimate","N/A",IF($U368="Draw",$H368,0))))</ns0:f>
      </ns0:c>
      <ns0:c r="S368" s="114">
        <ns0:f>IF(COUNTA($A368:$M368)=0,"",IF(OR($U368="Subscription",$U368=""),"",IF($U368="Estimate","N/A",IF($U368="Disqualified",$H368,0))))</ns0:f>
      </ns0:c>
      <ns0:c r="T368" s="955">
        <ns0:f>IF(COUNTA($A368:$M368)=0,"",IF(OR($U368="Subscription",$U368=""),"",IF($U368="Estimate","N/A",IF(OR($U368="Free Game",$U368="Disqualified — Free Game",$H368=0),"N/A",IF($U368="Profit",$Q368/$H368,IF($U368="Disqualified",-$S368/$H368,0))))))</ns0:f>
      </ns0:c>
      <ns0:c r="U368" s="920">
        <ns0:f>IF(COUNTA($A368:$M368)=0,"",IF(OR(LEFT(LOWER(TRIM($F368&amp;"")),12)="subscription",LOWER(TRIM($F368&amp;""))="membership"),"Subscription",IF(LOWER(TRIM($D368&amp;""))="estimate","Estimate",IF(OR(AND($H368&lt;&gt;"",$H368=0),LEFT(LOWER(TRIM($F368&amp;"")),9)="free game",LOWER(TRIM($F368&amp;""))="free",LOWER(TRIM($F368&amp;""))="free entry"),IF(LOWER($L368&amp;"")="yes","Disqualified — Free Game","Free Game"),IF(LOWER($L368&amp;"")="yes","Disqualified",IF($P368="","",IF(ROUND(IFERROR(VALUE($P368),0)-IFERROR(VALUE($H368),0),2)&gt;0,"Profit","Draw")))))))</ns0:f>
      </ns0:c>
      <ns0:c r="V368" s="956" t="str">
        <ns0:f>IF(COUNTA($A368:$M368)=0,"",IF(OR($B368="",$C368="",$U368="Subscription"),"",IFERROR(ROUNDUP(($C368-$B368)/7,0),"")))</ns0:f>
      </ns0:c>
      <ns0:c r="W368" s="114">
        <ns0:f>IF(COUNTA($A368:$M368)=0,"",IF(OR($U368="Subscription",$U368=""),"",IF($U368="Estimate","N/A",IF(OR($U368="Free Game",$U368="Disqualified — Free Game"),0,ROUND(IFERROR($Q368,0)-IFERROR($S368,0),2)))))</ns0:f>
      </ns0:c>
      <ns0:c r="X368" s="956" t="str">
        <ns0:f>IF(COUNTA($A368:$M368)=0,"",IF(OR($U368="Subscription",NOT(ISNUMBER($J368)),NOT(ISNUMBER($I368)),$J368=0,$I368=0,$I368&gt;$J368),"",$J368-$I368))</ns0:f>
      </ns0:c>
      <ns0:c r="Y368" s="955" t="str">
        <ns0:f>IF(COUNTA($A368:$M368)=0,"",IF(OR($U368="Subscription",NOT(ISNUMBER($J368)),$J368=0,$X368=""),"",$X368/$J368))</ns0:f>
      </ns0:c>
      <ns0:c r="Z368" s="957" t="str">
        <ns0:f>IF(COUNTA($A368:$M368)=0,"",Instructions!$B$29+SUM($W$5:W368))</ns0:f>
      </ns0:c>
    </ns0:row>
    <ns0:row r="369" ht="36" customHeight="1">
      <ns0:c r="A369" s="439"/>
      <ns0:c r="B369" s="453"/>
      <ns0:c r="C369" s="453"/>
      <ns0:c r="D369" s="454"/>
      <ns0:c r="E369" s="454"/>
      <ns0:c r="F369" s="454"/>
      <ns0:c r="G369" s="986"/>
      <ns0:c r="H369" s="455"/>
      <ns0:c r="I369" s="456"/>
      <ns0:c r="J369" s="456"/>
      <ns0:c r="K369" s="986"/>
      <ns0:c r="L369" s="454"/>
      <ns0:c r="M369" s="439"/>
      <ns0:c r="N369" s="987" t="str">
        <ns0:f>IF(COUNTA($A369:$M369)=0,"",IF(OR(LEFT(LOWER(TRIM($F369&amp;"")),12)="subscription",LOWER(TRIM($F369&amp;""))="membership"),"",IF(OR(AND($H369&lt;&gt;"",$H369=0),LEFT(LOWER(TRIM($F369&amp;"")),9)="free game",LOWER(TRIM($F369&amp;""))="free",LOWER(TRIM($F369&amp;""))="free entry"),IF(ISNUMBER($G369),IF(ISNUMBER(SEARCH("non",LOWER($E369&amp;""))),$G369*0.85,$G369),"N/A"),IF($G369="","",IFERROR(IF(ISNUMBER(SEARCH("non",LOWER($E369&amp;""))),$G369*0.85,$G369),"")))))</ns0:f>
        <ns0:v/>
      </ns0:c>
      <ns0:c r="O369" s="987" t="str">
        <ns0:f>IF(COUNTA($A369:$M369)=0,"",IF(OR(LEFT(LOWER(TRIM($F369&amp;"")),12)="subscription",LOWER(TRIM($F369&amp;""))="membership"),"",IF(OR(AND($H369&lt;&gt;"",$H369=0),LEFT(LOWER(TRIM($F369&amp;"")),9)="free game",LOWER(TRIM($F369&amp;""))="free",LOWER(TRIM($F369&amp;""))="free entry"),IF(OR(NOT(ISNUMBER($N369)),NOT(ISNUMBER($I369)),$I369=0),"N/A",IFERROR($N369/$I369,"N/A")),IF(OR($N369="",$I369="",$I369=0),"",IFERROR($N369/$I369,"")))))</ns0:f>
        <ns0:v/>
      </ns0:c>
      <ns0:c r="P369" s="987">
        <ns0:f>IF(COUNTA($A369:$M369)=0,"",IF(OR(LEFT(LOWER(TRIM($F369&amp;"")),12)="subscription",LOWER(TRIM($F369&amp;""))="membership"),"",IF(LOWER(TRIM($D369&amp;""))="estimate","N/A",IF(LOWER($L369&amp;"")="yes",0,IF(OR(AND($H369&lt;&gt;"",$H369=0),LEFT(LOWER(TRIM($F369&amp;"")),9)="free game",LOWER(TRIM($F369&amp;""))="free",LOWER(TRIM($F369&amp;""))="free entry"),IF(ISNUMBER($K369),$K369,""),IF($K369&lt;&gt;"",$K369,""))))))</ns0:f>
      </ns0:c>
      <ns0:c r="Q369" s="114">
        <ns0:f>IF(COUNTA($A369:$M369)=0,"",IF(OR($U369="Subscription",$U369=""),"",IF($U369="Estimate","N/A",IF($U369="Profit",ROUND(IFERROR($P369,0)-IFERROR($H369,0),2),0))))</ns0:f>
      </ns0:c>
      <ns0:c r="R369" s="114">
        <ns0:f>IF(COUNTA($A369:$M369)=0,"",IF(OR($U369="Subscription",$U369=""),"",IF($U369="Estimate","N/A",IF($U369="Draw",$H369,0))))</ns0:f>
      </ns0:c>
      <ns0:c r="S369" s="114">
        <ns0:f>IF(COUNTA($A369:$M369)=0,"",IF(OR($U369="Subscription",$U369=""),"",IF($U369="Estimate","N/A",IF($U369="Disqualified",$H369,0))))</ns0:f>
      </ns0:c>
      <ns0:c r="T369" s="955">
        <ns0:f>IF(COUNTA($A369:$M369)=0,"",IF(OR($U369="Subscription",$U369=""),"",IF($U369="Estimate","N/A",IF(OR($U369="Free Game",$U369="Disqualified — Free Game",$H369=0),"N/A",IF($U369="Profit",$Q369/$H369,IF($U369="Disqualified",-$S369/$H369,0))))))</ns0:f>
      </ns0:c>
      <ns0:c r="U369" s="920">
        <ns0:f>IF(COUNTA($A369:$M369)=0,"",IF(OR(LEFT(LOWER(TRIM($F369&amp;"")),12)="subscription",LOWER(TRIM($F369&amp;""))="membership"),"Subscription",IF(LOWER(TRIM($D369&amp;""))="estimate","Estimate",IF(OR(AND($H369&lt;&gt;"",$H369=0),LEFT(LOWER(TRIM($F369&amp;"")),9)="free game",LOWER(TRIM($F369&amp;""))="free",LOWER(TRIM($F369&amp;""))="free entry"),IF(LOWER($L369&amp;"")="yes","Disqualified — Free Game","Free Game"),IF(LOWER($L369&amp;"")="yes","Disqualified",IF($P369="","",IF(ROUND(IFERROR(VALUE($P369),0)-IFERROR(VALUE($H369),0),2)&gt;0,"Profit","Draw")))))))</ns0:f>
      </ns0:c>
      <ns0:c r="V369" s="956" t="str">
        <ns0:f>IF(COUNTA($A369:$M369)=0,"",IF(OR($B369="",$C369="",$U369="Subscription"),"",IFERROR(ROUNDUP(($C369-$B369)/7,0),"")))</ns0:f>
      </ns0:c>
      <ns0:c r="W369" s="114">
        <ns0:f>IF(COUNTA($A369:$M369)=0,"",IF(OR($U369="Subscription",$U369=""),"",IF($U369="Estimate","N/A",IF(OR($U369="Free Game",$U369="Disqualified — Free Game"),0,ROUND(IFERROR($Q369,0)-IFERROR($S369,0),2)))))</ns0:f>
      </ns0:c>
      <ns0:c r="X369" s="956" t="str">
        <ns0:f>IF(COUNTA($A369:$M369)=0,"",IF(OR($U369="Subscription",NOT(ISNUMBER($J369)),NOT(ISNUMBER($I369)),$J369=0,$I369=0,$I369&gt;$J369),"",$J369-$I369))</ns0:f>
      </ns0:c>
      <ns0:c r="Y369" s="955" t="str">
        <ns0:f>IF(COUNTA($A369:$M369)=0,"",IF(OR($U369="Subscription",NOT(ISNUMBER($J369)),$J369=0,$X369=""),"",$X369/$J369))</ns0:f>
      </ns0:c>
      <ns0:c r="Z369" s="957" t="str">
        <ns0:f>IF(COUNTA($A369:$M369)=0,"",Instructions!$B$29+SUM($W$5:W369))</ns0:f>
      </ns0:c>
    </ns0:row>
    <ns0:row r="370" ht="36" customHeight="1">
      <ns0:c r="A370" s="439"/>
      <ns0:c r="B370" s="453"/>
      <ns0:c r="C370" s="453"/>
      <ns0:c r="D370" s="454"/>
      <ns0:c r="E370" s="454"/>
      <ns0:c r="F370" s="454"/>
      <ns0:c r="G370" s="986"/>
      <ns0:c r="H370" s="455"/>
      <ns0:c r="I370" s="456"/>
      <ns0:c r="J370" s="456"/>
      <ns0:c r="K370" s="986"/>
      <ns0:c r="L370" s="454"/>
      <ns0:c r="M370" s="439"/>
      <ns0:c r="N370" s="987" t="str">
        <ns0:f>IF(COUNTA($A370:$M370)=0,"",IF(OR(LEFT(LOWER(TRIM($F370&amp;"")),12)="subscription",LOWER(TRIM($F370&amp;""))="membership"),"",IF(OR(AND($H370&lt;&gt;"",$H370=0),LEFT(LOWER(TRIM($F370&amp;"")),9)="free game",LOWER(TRIM($F370&amp;""))="free",LOWER(TRIM($F370&amp;""))="free entry"),IF(ISNUMBER($G370),IF(ISNUMBER(SEARCH("non",LOWER($E370&amp;""))),$G370*0.85,$G370),"N/A"),IF($G370="","",IFERROR(IF(ISNUMBER(SEARCH("non",LOWER($E370&amp;""))),$G370*0.85,$G370),"")))))</ns0:f>
        <ns0:v/>
      </ns0:c>
      <ns0:c r="O370" s="987" t="str">
        <ns0:f>IF(COUNTA($A370:$M370)=0,"",IF(OR(LEFT(LOWER(TRIM($F370&amp;"")),12)="subscription",LOWER(TRIM($F370&amp;""))="membership"),"",IF(OR(AND($H370&lt;&gt;"",$H370=0),LEFT(LOWER(TRIM($F370&amp;"")),9)="free game",LOWER(TRIM($F370&amp;""))="free",LOWER(TRIM($F370&amp;""))="free entry"),IF(OR(NOT(ISNUMBER($N370)),NOT(ISNUMBER($I370)),$I370=0),"N/A",IFERROR($N370/$I370,"N/A")),IF(OR($N370="",$I370="",$I370=0),"",IFERROR($N370/$I370,"")))))</ns0:f>
        <ns0:v/>
      </ns0:c>
      <ns0:c r="P370" s="987">
        <ns0:f>IF(COUNTA($A370:$M370)=0,"",IF(OR(LEFT(LOWER(TRIM($F370&amp;"")),12)="subscription",LOWER(TRIM($F370&amp;""))="membership"),"",IF(LOWER(TRIM($D370&amp;""))="estimate","N/A",IF(LOWER($L370&amp;"")="yes",0,IF(OR(AND($H370&lt;&gt;"",$H370=0),LEFT(LOWER(TRIM($F370&amp;"")),9)="free game",LOWER(TRIM($F370&amp;""))="free",LOWER(TRIM($F370&amp;""))="free entry"),IF(ISNUMBER($K370),$K370,""),IF($K370&lt;&gt;"",$K370,""))))))</ns0:f>
      </ns0:c>
      <ns0:c r="Q370" s="114">
        <ns0:f>IF(COUNTA($A370:$M370)=0,"",IF(OR($U370="Subscription",$U370=""),"",IF($U370="Estimate","N/A",IF($U370="Profit",ROUND(IFERROR($P370,0)-IFERROR($H370,0),2),0))))</ns0:f>
      </ns0:c>
      <ns0:c r="R370" s="114">
        <ns0:f>IF(COUNTA($A370:$M370)=0,"",IF(OR($U370="Subscription",$U370=""),"",IF($U370="Estimate","N/A",IF($U370="Draw",$H370,0))))</ns0:f>
      </ns0:c>
      <ns0:c r="S370" s="114">
        <ns0:f>IF(COUNTA($A370:$M370)=0,"",IF(OR($U370="Subscription",$U370=""),"",IF($U370="Estimate","N/A",IF($U370="Disqualified",$H370,0))))</ns0:f>
      </ns0:c>
      <ns0:c r="T370" s="955">
        <ns0:f>IF(COUNTA($A370:$M370)=0,"",IF(OR($U370="Subscription",$U370=""),"",IF($U370="Estimate","N/A",IF(OR($U370="Free Game",$U370="Disqualified — Free Game",$H370=0),"N/A",IF($U370="Profit",$Q370/$H370,IF($U370="Disqualified",-$S370/$H370,0))))))</ns0:f>
      </ns0:c>
      <ns0:c r="U370" s="920">
        <ns0:f>IF(COUNTA($A370:$M370)=0,"",IF(OR(LEFT(LOWER(TRIM($F370&amp;"")),12)="subscription",LOWER(TRIM($F370&amp;""))="membership"),"Subscription",IF(LOWER(TRIM($D370&amp;""))="estimate","Estimate",IF(OR(AND($H370&lt;&gt;"",$H370=0),LEFT(LOWER(TRIM($F370&amp;"")),9)="free game",LOWER(TRIM($F370&amp;""))="free",LOWER(TRIM($F370&amp;""))="free entry"),IF(LOWER($L370&amp;"")="yes","Disqualified — Free Game","Free Game"),IF(LOWER($L370&amp;"")="yes","Disqualified",IF($P370="","",IF(ROUND(IFERROR(VALUE($P370),0)-IFERROR(VALUE($H370),0),2)&gt;0,"Profit","Draw")))))))</ns0:f>
      </ns0:c>
      <ns0:c r="V370" s="956" t="str">
        <ns0:f>IF(COUNTA($A370:$M370)=0,"",IF(OR($B370="",$C370="",$U370="Subscription"),"",IFERROR(ROUNDUP(($C370-$B370)/7,0),"")))</ns0:f>
      </ns0:c>
      <ns0:c r="W370" s="114">
        <ns0:f>IF(COUNTA($A370:$M370)=0,"",IF(OR($U370="Subscription",$U370=""),"",IF($U370="Estimate","N/A",IF(OR($U370="Free Game",$U370="Disqualified — Free Game"),0,ROUND(IFERROR($Q370,0)-IFERROR($S370,0),2)))))</ns0:f>
      </ns0:c>
      <ns0:c r="X370" s="956" t="str">
        <ns0:f>IF(COUNTA($A370:$M370)=0,"",IF(OR($U370="Subscription",NOT(ISNUMBER($J370)),NOT(ISNUMBER($I370)),$J370=0,$I370=0,$I370&gt;$J370),"",$J370-$I370))</ns0:f>
      </ns0:c>
      <ns0:c r="Y370" s="955" t="str">
        <ns0:f>IF(COUNTA($A370:$M370)=0,"",IF(OR($U370="Subscription",NOT(ISNUMBER($J370)),$J370=0,$X370=""),"",$X370/$J370))</ns0:f>
      </ns0:c>
      <ns0:c r="Z370" s="957" t="str">
        <ns0:f>IF(COUNTA($A370:$M370)=0,"",Instructions!$B$29+SUM($W$5:W370))</ns0:f>
      </ns0:c>
    </ns0:row>
    <ns0:row r="371" ht="36" customHeight="1">
      <ns0:c r="A371" s="439"/>
      <ns0:c r="B371" s="453"/>
      <ns0:c r="C371" s="453"/>
      <ns0:c r="D371" s="454"/>
      <ns0:c r="E371" s="454"/>
      <ns0:c r="F371" s="454"/>
      <ns0:c r="G371" s="986"/>
      <ns0:c r="H371" s="455"/>
      <ns0:c r="I371" s="456"/>
      <ns0:c r="J371" s="456"/>
      <ns0:c r="K371" s="986"/>
      <ns0:c r="L371" s="454"/>
      <ns0:c r="M371" s="439"/>
      <ns0:c r="N371" s="987" t="str">
        <ns0:f>IF(COUNTA($A371:$M371)=0,"",IF(OR(LEFT(LOWER(TRIM($F371&amp;"")),12)="subscription",LOWER(TRIM($F371&amp;""))="membership"),"",IF(OR(AND($H371&lt;&gt;"",$H371=0),LEFT(LOWER(TRIM($F371&amp;"")),9)="free game",LOWER(TRIM($F371&amp;""))="free",LOWER(TRIM($F371&amp;""))="free entry"),IF(ISNUMBER($G371),IF(ISNUMBER(SEARCH("non",LOWER($E371&amp;""))),$G371*0.85,$G371),"N/A"),IF($G371="","",IFERROR(IF(ISNUMBER(SEARCH("non",LOWER($E371&amp;""))),$G371*0.85,$G371),"")))))</ns0:f>
        <ns0:v/>
      </ns0:c>
      <ns0:c r="O371" s="987" t="str">
        <ns0:f>IF(COUNTA($A371:$M371)=0,"",IF(OR(LEFT(LOWER(TRIM($F371&amp;"")),12)="subscription",LOWER(TRIM($F371&amp;""))="membership"),"",IF(OR(AND($H371&lt;&gt;"",$H371=0),LEFT(LOWER(TRIM($F371&amp;"")),9)="free game",LOWER(TRIM($F371&amp;""))="free",LOWER(TRIM($F371&amp;""))="free entry"),IF(OR(NOT(ISNUMBER($N371)),NOT(ISNUMBER($I371)),$I371=0),"N/A",IFERROR($N371/$I371,"N/A")),IF(OR($N371="",$I371="",$I371=0),"",IFERROR($N371/$I371,"")))))</ns0:f>
        <ns0:v/>
      </ns0:c>
      <ns0:c r="P371" s="987">
        <ns0:f>IF(COUNTA($A371:$M371)=0,"",IF(OR(LEFT(LOWER(TRIM($F371&amp;"")),12)="subscription",LOWER(TRIM($F371&amp;""))="membership"),"",IF(LOWER(TRIM($D371&amp;""))="estimate","N/A",IF(LOWER($L371&amp;"")="yes",0,IF(OR(AND($H371&lt;&gt;"",$H371=0),LEFT(LOWER(TRIM($F371&amp;"")),9)="free game",LOWER(TRIM($F371&amp;""))="free",LOWER(TRIM($F371&amp;""))="free entry"),IF(ISNUMBER($K371),$K371,""),IF($K371&lt;&gt;"",$K371,""))))))</ns0:f>
      </ns0:c>
      <ns0:c r="Q371" s="114">
        <ns0:f>IF(COUNTA($A371:$M371)=0,"",IF(OR($U371="Subscription",$U371=""),"",IF($U371="Estimate","N/A",IF($U371="Profit",ROUND(IFERROR($P371,0)-IFERROR($H371,0),2),0))))</ns0:f>
      </ns0:c>
      <ns0:c r="R371" s="114">
        <ns0:f>IF(COUNTA($A371:$M371)=0,"",IF(OR($U371="Subscription",$U371=""),"",IF($U371="Estimate","N/A",IF($U371="Draw",$H371,0))))</ns0:f>
      </ns0:c>
      <ns0:c r="S371" s="114">
        <ns0:f>IF(COUNTA($A371:$M371)=0,"",IF(OR($U371="Subscription",$U371=""),"",IF($U371="Estimate","N/A",IF($U371="Disqualified",$H371,0))))</ns0:f>
      </ns0:c>
      <ns0:c r="T371" s="955">
        <ns0:f>IF(COUNTA($A371:$M371)=0,"",IF(OR($U371="Subscription",$U371=""),"",IF($U371="Estimate","N/A",IF(OR($U371="Free Game",$U371="Disqualified — Free Game",$H371=0),"N/A",IF($U371="Profit",$Q371/$H371,IF($U371="Disqualified",-$S371/$H371,0))))))</ns0:f>
      </ns0:c>
      <ns0:c r="U371" s="920">
        <ns0:f>IF(COUNTA($A371:$M371)=0,"",IF(OR(LEFT(LOWER(TRIM($F371&amp;"")),12)="subscription",LOWER(TRIM($F371&amp;""))="membership"),"Subscription",IF(LOWER(TRIM($D371&amp;""))="estimate","Estimate",IF(OR(AND($H371&lt;&gt;"",$H371=0),LEFT(LOWER(TRIM($F371&amp;"")),9)="free game",LOWER(TRIM($F371&amp;""))="free",LOWER(TRIM($F371&amp;""))="free entry"),IF(LOWER($L371&amp;"")="yes","Disqualified — Free Game","Free Game"),IF(LOWER($L371&amp;"")="yes","Disqualified",IF($P371="","",IF(ROUND(IFERROR(VALUE($P371),0)-IFERROR(VALUE($H371),0),2)&gt;0,"Profit","Draw")))))))</ns0:f>
      </ns0:c>
      <ns0:c r="V371" s="956" t="str">
        <ns0:f>IF(COUNTA($A371:$M371)=0,"",IF(OR($B371="",$C371="",$U371="Subscription"),"",IFERROR(ROUNDUP(($C371-$B371)/7,0),"")))</ns0:f>
      </ns0:c>
      <ns0:c r="W371" s="114">
        <ns0:f>IF(COUNTA($A371:$M371)=0,"",IF(OR($U371="Subscription",$U371=""),"",IF($U371="Estimate","N/A",IF(OR($U371="Free Game",$U371="Disqualified — Free Game"),0,ROUND(IFERROR($Q371,0)-IFERROR($S371,0),2)))))</ns0:f>
      </ns0:c>
      <ns0:c r="X371" s="956" t="str">
        <ns0:f>IF(COUNTA($A371:$M371)=0,"",IF(OR($U371="Subscription",NOT(ISNUMBER($J371)),NOT(ISNUMBER($I371)),$J371=0,$I371=0,$I371&gt;$J371),"",$J371-$I371))</ns0:f>
      </ns0:c>
      <ns0:c r="Y371" s="955" t="str">
        <ns0:f>IF(COUNTA($A371:$M371)=0,"",IF(OR($U371="Subscription",NOT(ISNUMBER($J371)),$J371=0,$X371=""),"",$X371/$J371))</ns0:f>
      </ns0:c>
      <ns0:c r="Z371" s="957" t="str">
        <ns0:f>IF(COUNTA($A371:$M371)=0,"",Instructions!$B$29+SUM($W$5:W371))</ns0:f>
      </ns0:c>
    </ns0:row>
    <ns0:row r="372" ht="36" customHeight="1">
      <ns0:c r="A372" s="439"/>
      <ns0:c r="B372" s="453"/>
      <ns0:c r="C372" s="453"/>
      <ns0:c r="D372" s="454"/>
      <ns0:c r="E372" s="454"/>
      <ns0:c r="F372" s="454"/>
      <ns0:c r="G372" s="986"/>
      <ns0:c r="H372" s="455"/>
      <ns0:c r="I372" s="456"/>
      <ns0:c r="J372" s="456"/>
      <ns0:c r="K372" s="986"/>
      <ns0:c r="L372" s="454"/>
      <ns0:c r="M372" s="439"/>
      <ns0:c r="N372" s="987" t="str">
        <ns0:f>IF(COUNTA($A372:$M372)=0,"",IF(OR(LEFT(LOWER(TRIM($F372&amp;"")),12)="subscription",LOWER(TRIM($F372&amp;""))="membership"),"",IF(OR(AND($H372&lt;&gt;"",$H372=0),LEFT(LOWER(TRIM($F372&amp;"")),9)="free game",LOWER(TRIM($F372&amp;""))="free",LOWER(TRIM($F372&amp;""))="free entry"),IF(ISNUMBER($G372),IF(ISNUMBER(SEARCH("non",LOWER($E372&amp;""))),$G372*0.85,$G372),"N/A"),IF($G372="","",IFERROR(IF(ISNUMBER(SEARCH("non",LOWER($E372&amp;""))),$G372*0.85,$G372),"")))))</ns0:f>
        <ns0:v/>
      </ns0:c>
      <ns0:c r="O372" s="987" t="str">
        <ns0:f>IF(COUNTA($A372:$M372)=0,"",IF(OR(LEFT(LOWER(TRIM($F372&amp;"")),12)="subscription",LOWER(TRIM($F372&amp;""))="membership"),"",IF(OR(AND($H372&lt;&gt;"",$H372=0),LEFT(LOWER(TRIM($F372&amp;"")),9)="free game",LOWER(TRIM($F372&amp;""))="free",LOWER(TRIM($F372&amp;""))="free entry"),IF(OR(NOT(ISNUMBER($N372)),NOT(ISNUMBER($I372)),$I372=0),"N/A",IFERROR($N372/$I372,"N/A")),IF(OR($N372="",$I372="",$I372=0),"",IFERROR($N372/$I372,"")))))</ns0:f>
        <ns0:v/>
      </ns0:c>
      <ns0:c r="P372" s="987">
        <ns0:f>IF(COUNTA($A372:$M372)=0,"",IF(OR(LEFT(LOWER(TRIM($F372&amp;"")),12)="subscription",LOWER(TRIM($F372&amp;""))="membership"),"",IF(LOWER(TRIM($D372&amp;""))="estimate","N/A",IF(LOWER($L372&amp;"")="yes",0,IF(OR(AND($H372&lt;&gt;"",$H372=0),LEFT(LOWER(TRIM($F372&amp;"")),9)="free game",LOWER(TRIM($F372&amp;""))="free",LOWER(TRIM($F372&amp;""))="free entry"),IF(ISNUMBER($K372),$K372,""),IF($K372&lt;&gt;"",$K372,""))))))</ns0:f>
      </ns0:c>
      <ns0:c r="Q372" s="114">
        <ns0:f>IF(COUNTA($A372:$M372)=0,"",IF(OR($U372="Subscription",$U372=""),"",IF($U372="Estimate","N/A",IF($U372="Profit",ROUND(IFERROR($P372,0)-IFERROR($H372,0),2),0))))</ns0:f>
      </ns0:c>
      <ns0:c r="R372" s="114">
        <ns0:f>IF(COUNTA($A372:$M372)=0,"",IF(OR($U372="Subscription",$U372=""),"",IF($U372="Estimate","N/A",IF($U372="Draw",$H372,0))))</ns0:f>
      </ns0:c>
      <ns0:c r="S372" s="114">
        <ns0:f>IF(COUNTA($A372:$M372)=0,"",IF(OR($U372="Subscription",$U372=""),"",IF($U372="Estimate","N/A",IF($U372="Disqualified",$H372,0))))</ns0:f>
      </ns0:c>
      <ns0:c r="T372" s="955">
        <ns0:f>IF(COUNTA($A372:$M372)=0,"",IF(OR($U372="Subscription",$U372=""),"",IF($U372="Estimate","N/A",IF(OR($U372="Free Game",$U372="Disqualified — Free Game",$H372=0),"N/A",IF($U372="Profit",$Q372/$H372,IF($U372="Disqualified",-$S372/$H372,0))))))</ns0:f>
      </ns0:c>
      <ns0:c r="U372" s="920">
        <ns0:f>IF(COUNTA($A372:$M372)=0,"",IF(OR(LEFT(LOWER(TRIM($F372&amp;"")),12)="subscription",LOWER(TRIM($F372&amp;""))="membership"),"Subscription",IF(LOWER(TRIM($D372&amp;""))="estimate","Estimate",IF(OR(AND($H372&lt;&gt;"",$H372=0),LEFT(LOWER(TRIM($F372&amp;"")),9)="free game",LOWER(TRIM($F372&amp;""))="free",LOWER(TRIM($F372&amp;""))="free entry"),IF(LOWER($L372&amp;"")="yes","Disqualified — Free Game","Free Game"),IF(LOWER($L372&amp;"")="yes","Disqualified",IF($P372="","",IF(ROUND(IFERROR(VALUE($P372),0)-IFERROR(VALUE($H372),0),2)&gt;0,"Profit","Draw")))))))</ns0:f>
      </ns0:c>
      <ns0:c r="V372" s="956" t="str">
        <ns0:f>IF(COUNTA($A372:$M372)=0,"",IF(OR($B372="",$C372="",$U372="Subscription"),"",IFERROR(ROUNDUP(($C372-$B372)/7,0),"")))</ns0:f>
      </ns0:c>
      <ns0:c r="W372" s="114">
        <ns0:f>IF(COUNTA($A372:$M372)=0,"",IF(OR($U372="Subscription",$U372=""),"",IF($U372="Estimate","N/A",IF(OR($U372="Free Game",$U372="Disqualified — Free Game"),0,ROUND(IFERROR($Q372,0)-IFERROR($S372,0),2)))))</ns0:f>
      </ns0:c>
      <ns0:c r="X372" s="956" t="str">
        <ns0:f>IF(COUNTA($A372:$M372)=0,"",IF(OR($U372="Subscription",NOT(ISNUMBER($J372)),NOT(ISNUMBER($I372)),$J372=0,$I372=0,$I372&gt;$J372),"",$J372-$I372))</ns0:f>
      </ns0:c>
      <ns0:c r="Y372" s="955" t="str">
        <ns0:f>IF(COUNTA($A372:$M372)=0,"",IF(OR($U372="Subscription",NOT(ISNUMBER($J372)),$J372=0,$X372=""),"",$X372/$J372))</ns0:f>
      </ns0:c>
      <ns0:c r="Z372" s="957" t="str">
        <ns0:f>IF(COUNTA($A372:$M372)=0,"",Instructions!$B$29+SUM($W$5:W372))</ns0:f>
      </ns0:c>
    </ns0:row>
    <ns0:row r="373" ht="36" customHeight="1">
      <ns0:c r="A373" s="439"/>
      <ns0:c r="B373" s="453"/>
      <ns0:c r="C373" s="453"/>
      <ns0:c r="D373" s="454"/>
      <ns0:c r="E373" s="454"/>
      <ns0:c r="F373" s="454"/>
      <ns0:c r="G373" s="986"/>
      <ns0:c r="H373" s="455"/>
      <ns0:c r="I373" s="456"/>
      <ns0:c r="J373" s="456"/>
      <ns0:c r="K373" s="986"/>
      <ns0:c r="L373" s="454"/>
      <ns0:c r="M373" s="439"/>
      <ns0:c r="N373" s="987" t="str">
        <ns0:f>IF(COUNTA($A373:$M373)=0,"",IF(OR(LEFT(LOWER(TRIM($F373&amp;"")),12)="subscription",LOWER(TRIM($F373&amp;""))="membership"),"",IF(OR(AND($H373&lt;&gt;"",$H373=0),LEFT(LOWER(TRIM($F373&amp;"")),9)="free game",LOWER(TRIM($F373&amp;""))="free",LOWER(TRIM($F373&amp;""))="free entry"),IF(ISNUMBER($G373),IF(ISNUMBER(SEARCH("non",LOWER($E373&amp;""))),$G373*0.85,$G373),"N/A"),IF($G373="","",IFERROR(IF(ISNUMBER(SEARCH("non",LOWER($E373&amp;""))),$G373*0.85,$G373),"")))))</ns0:f>
        <ns0:v/>
      </ns0:c>
      <ns0:c r="O373" s="987" t="str">
        <ns0:f>IF(COUNTA($A373:$M373)=0,"",IF(OR(LEFT(LOWER(TRIM($F373&amp;"")),12)="subscription",LOWER(TRIM($F373&amp;""))="membership"),"",IF(OR(AND($H373&lt;&gt;"",$H373=0),LEFT(LOWER(TRIM($F373&amp;"")),9)="free game",LOWER(TRIM($F373&amp;""))="free",LOWER(TRIM($F373&amp;""))="free entry"),IF(OR(NOT(ISNUMBER($N373)),NOT(ISNUMBER($I373)),$I373=0),"N/A",IFERROR($N373/$I373,"N/A")),IF(OR($N373="",$I373="",$I373=0),"",IFERROR($N373/$I373,"")))))</ns0:f>
        <ns0:v/>
      </ns0:c>
      <ns0:c r="P373" s="987">
        <ns0:f>IF(COUNTA($A373:$M373)=0,"",IF(OR(LEFT(LOWER(TRIM($F373&amp;"")),12)="subscription",LOWER(TRIM($F373&amp;""))="membership"),"",IF(LOWER(TRIM($D373&amp;""))="estimate","N/A",IF(LOWER($L373&amp;"")="yes",0,IF(OR(AND($H373&lt;&gt;"",$H373=0),LEFT(LOWER(TRIM($F373&amp;"")),9)="free game",LOWER(TRIM($F373&amp;""))="free",LOWER(TRIM($F373&amp;""))="free entry"),IF(ISNUMBER($K373),$K373,""),IF($K373&lt;&gt;"",$K373,""))))))</ns0:f>
      </ns0:c>
      <ns0:c r="Q373" s="114">
        <ns0:f>IF(COUNTA($A373:$M373)=0,"",IF(OR($U373="Subscription",$U373=""),"",IF($U373="Estimate","N/A",IF($U373="Profit",ROUND(IFERROR($P373,0)-IFERROR($H373,0),2),0))))</ns0:f>
      </ns0:c>
      <ns0:c r="R373" s="114">
        <ns0:f>IF(COUNTA($A373:$M373)=0,"",IF(OR($U373="Subscription",$U373=""),"",IF($U373="Estimate","N/A",IF($U373="Draw",$H373,0))))</ns0:f>
      </ns0:c>
      <ns0:c r="S373" s="114">
        <ns0:f>IF(COUNTA($A373:$M373)=0,"",IF(OR($U373="Subscription",$U373=""),"",IF($U373="Estimate","N/A",IF($U373="Disqualified",$H373,0))))</ns0:f>
      </ns0:c>
      <ns0:c r="T373" s="955">
        <ns0:f>IF(COUNTA($A373:$M373)=0,"",IF(OR($U373="Subscription",$U373=""),"",IF($U373="Estimate","N/A",IF(OR($U373="Free Game",$U373="Disqualified — Free Game",$H373=0),"N/A",IF($U373="Profit",$Q373/$H373,IF($U373="Disqualified",-$S373/$H373,0))))))</ns0:f>
      </ns0:c>
      <ns0:c r="U373" s="920">
        <ns0:f>IF(COUNTA($A373:$M373)=0,"",IF(OR(LEFT(LOWER(TRIM($F373&amp;"")),12)="subscription",LOWER(TRIM($F373&amp;""))="membership"),"Subscription",IF(LOWER(TRIM($D373&amp;""))="estimate","Estimate",IF(OR(AND($H373&lt;&gt;"",$H373=0),LEFT(LOWER(TRIM($F373&amp;"")),9)="free game",LOWER(TRIM($F373&amp;""))="free",LOWER(TRIM($F373&amp;""))="free entry"),IF(LOWER($L373&amp;"")="yes","Disqualified — Free Game","Free Game"),IF(LOWER($L373&amp;"")="yes","Disqualified",IF($P373="","",IF(ROUND(IFERROR(VALUE($P373),0)-IFERROR(VALUE($H373),0),2)&gt;0,"Profit","Draw")))))))</ns0:f>
      </ns0:c>
      <ns0:c r="V373" s="956" t="str">
        <ns0:f>IF(COUNTA($A373:$M373)=0,"",IF(OR($B373="",$C373="",$U373="Subscription"),"",IFERROR(ROUNDUP(($C373-$B373)/7,0),"")))</ns0:f>
      </ns0:c>
      <ns0:c r="W373" s="114">
        <ns0:f>IF(COUNTA($A373:$M373)=0,"",IF(OR($U373="Subscription",$U373=""),"",IF($U373="Estimate","N/A",IF(OR($U373="Free Game",$U373="Disqualified — Free Game"),0,ROUND(IFERROR($Q373,0)-IFERROR($S373,0),2)))))</ns0:f>
      </ns0:c>
      <ns0:c r="X373" s="956" t="str">
        <ns0:f>IF(COUNTA($A373:$M373)=0,"",IF(OR($U373="Subscription",NOT(ISNUMBER($J373)),NOT(ISNUMBER($I373)),$J373=0,$I373=0,$I373&gt;$J373),"",$J373-$I373))</ns0:f>
      </ns0:c>
      <ns0:c r="Y373" s="955" t="str">
        <ns0:f>IF(COUNTA($A373:$M373)=0,"",IF(OR($U373="Subscription",NOT(ISNUMBER($J373)),$J373=0,$X373=""),"",$X373/$J373))</ns0:f>
      </ns0:c>
      <ns0:c r="Z373" s="957" t="str">
        <ns0:f>IF(COUNTA($A373:$M373)=0,"",Instructions!$B$29+SUM($W$5:W373))</ns0:f>
      </ns0:c>
    </ns0:row>
    <ns0:row r="374" ht="36" customHeight="1">
      <ns0:c r="A374" s="439"/>
      <ns0:c r="B374" s="453"/>
      <ns0:c r="C374" s="453"/>
      <ns0:c r="D374" s="454"/>
      <ns0:c r="E374" s="454"/>
      <ns0:c r="F374" s="454"/>
      <ns0:c r="G374" s="986"/>
      <ns0:c r="H374" s="455"/>
      <ns0:c r="I374" s="456"/>
      <ns0:c r="J374" s="456"/>
      <ns0:c r="K374" s="986"/>
      <ns0:c r="L374" s="454"/>
      <ns0:c r="M374" s="439"/>
      <ns0:c r="N374" s="987" t="str">
        <ns0:f>IF(COUNTA($A374:$M374)=0,"",IF(OR(LEFT(LOWER(TRIM($F374&amp;"")),12)="subscription",LOWER(TRIM($F374&amp;""))="membership"),"",IF(OR(AND($H374&lt;&gt;"",$H374=0),LEFT(LOWER(TRIM($F374&amp;"")),9)="free game",LOWER(TRIM($F374&amp;""))="free",LOWER(TRIM($F374&amp;""))="free entry"),IF(ISNUMBER($G374),IF(ISNUMBER(SEARCH("non",LOWER($E374&amp;""))),$G374*0.85,$G374),"N/A"),IF($G374="","",IFERROR(IF(ISNUMBER(SEARCH("non",LOWER($E374&amp;""))),$G374*0.85,$G374),"")))))</ns0:f>
        <ns0:v/>
      </ns0:c>
      <ns0:c r="O374" s="987" t="str">
        <ns0:f>IF(COUNTA($A374:$M374)=0,"",IF(OR(LEFT(LOWER(TRIM($F374&amp;"")),12)="subscription",LOWER(TRIM($F374&amp;""))="membership"),"",IF(OR(AND($H374&lt;&gt;"",$H374=0),LEFT(LOWER(TRIM($F374&amp;"")),9)="free game",LOWER(TRIM($F374&amp;""))="free",LOWER(TRIM($F374&amp;""))="free entry"),IF(OR(NOT(ISNUMBER($N374)),NOT(ISNUMBER($I374)),$I374=0),"N/A",IFERROR($N374/$I374,"N/A")),IF(OR($N374="",$I374="",$I374=0),"",IFERROR($N374/$I374,"")))))</ns0:f>
        <ns0:v/>
      </ns0:c>
      <ns0:c r="P374" s="987">
        <ns0:f>IF(COUNTA($A374:$M374)=0,"",IF(OR(LEFT(LOWER(TRIM($F374&amp;"")),12)="subscription",LOWER(TRIM($F374&amp;""))="membership"),"",IF(LOWER(TRIM($D374&amp;""))="estimate","N/A",IF(LOWER($L374&amp;"")="yes",0,IF(OR(AND($H374&lt;&gt;"",$H374=0),LEFT(LOWER(TRIM($F374&amp;"")),9)="free game",LOWER(TRIM($F374&amp;""))="free",LOWER(TRIM($F374&amp;""))="free entry"),IF(ISNUMBER($K374),$K374,""),IF($K374&lt;&gt;"",$K374,""))))))</ns0:f>
      </ns0:c>
      <ns0:c r="Q374" s="114">
        <ns0:f>IF(COUNTA($A374:$M374)=0,"",IF(OR($U374="Subscription",$U374=""),"",IF($U374="Estimate","N/A",IF($U374="Profit",ROUND(IFERROR($P374,0)-IFERROR($H374,0),2),0))))</ns0:f>
      </ns0:c>
      <ns0:c r="R374" s="114">
        <ns0:f>IF(COUNTA($A374:$M374)=0,"",IF(OR($U374="Subscription",$U374=""),"",IF($U374="Estimate","N/A",IF($U374="Draw",$H374,0))))</ns0:f>
      </ns0:c>
      <ns0:c r="S374" s="114">
        <ns0:f>IF(COUNTA($A374:$M374)=0,"",IF(OR($U374="Subscription",$U374=""),"",IF($U374="Estimate","N/A",IF($U374="Disqualified",$H374,0))))</ns0:f>
      </ns0:c>
      <ns0:c r="T374" s="955">
        <ns0:f>IF(COUNTA($A374:$M374)=0,"",IF(OR($U374="Subscription",$U374=""),"",IF($U374="Estimate","N/A",IF(OR($U374="Free Game",$U374="Disqualified — Free Game",$H374=0),"N/A",IF($U374="Profit",$Q374/$H374,IF($U374="Disqualified",-$S374/$H374,0))))))</ns0:f>
      </ns0:c>
      <ns0:c r="U374" s="920">
        <ns0:f>IF(COUNTA($A374:$M374)=0,"",IF(OR(LEFT(LOWER(TRIM($F374&amp;"")),12)="subscription",LOWER(TRIM($F374&amp;""))="membership"),"Subscription",IF(LOWER(TRIM($D374&amp;""))="estimate","Estimate",IF(OR(AND($H374&lt;&gt;"",$H374=0),LEFT(LOWER(TRIM($F374&amp;"")),9)="free game",LOWER(TRIM($F374&amp;""))="free",LOWER(TRIM($F374&amp;""))="free entry"),IF(LOWER($L374&amp;"")="yes","Disqualified — Free Game","Free Game"),IF(LOWER($L374&amp;"")="yes","Disqualified",IF($P374="","",IF(ROUND(IFERROR(VALUE($P374),0)-IFERROR(VALUE($H374),0),2)&gt;0,"Profit","Draw")))))))</ns0:f>
      </ns0:c>
      <ns0:c r="V374" s="956" t="str">
        <ns0:f>IF(COUNTA($A374:$M374)=0,"",IF(OR($B374="",$C374="",$U374="Subscription"),"",IFERROR(ROUNDUP(($C374-$B374)/7,0),"")))</ns0:f>
      </ns0:c>
      <ns0:c r="W374" s="114">
        <ns0:f>IF(COUNTA($A374:$M374)=0,"",IF(OR($U374="Subscription",$U374=""),"",IF($U374="Estimate","N/A",IF(OR($U374="Free Game",$U374="Disqualified — Free Game"),0,ROUND(IFERROR($Q374,0)-IFERROR($S374,0),2)))))</ns0:f>
      </ns0:c>
      <ns0:c r="X374" s="956" t="str">
        <ns0:f>IF(COUNTA($A374:$M374)=0,"",IF(OR($U374="Subscription",NOT(ISNUMBER($J374)),NOT(ISNUMBER($I374)),$J374=0,$I374=0,$I374&gt;$J374),"",$J374-$I374))</ns0:f>
      </ns0:c>
      <ns0:c r="Y374" s="955" t="str">
        <ns0:f>IF(COUNTA($A374:$M374)=0,"",IF(OR($U374="Subscription",NOT(ISNUMBER($J374)),$J374=0,$X374=""),"",$X374/$J374))</ns0:f>
      </ns0:c>
      <ns0:c r="Z374" s="957" t="str">
        <ns0:f>IF(COUNTA($A374:$M374)=0,"",Instructions!$B$29+SUM($W$5:W374))</ns0:f>
      </ns0:c>
    </ns0:row>
    <ns0:row r="375" ht="36" customHeight="1">
      <ns0:c r="A375" s="439"/>
      <ns0:c r="B375" s="453"/>
      <ns0:c r="C375" s="453"/>
      <ns0:c r="D375" s="454"/>
      <ns0:c r="E375" s="454"/>
      <ns0:c r="F375" s="454"/>
      <ns0:c r="G375" s="986"/>
      <ns0:c r="H375" s="455"/>
      <ns0:c r="I375" s="456"/>
      <ns0:c r="J375" s="456"/>
      <ns0:c r="K375" s="986"/>
      <ns0:c r="L375" s="454"/>
      <ns0:c r="M375" s="439"/>
      <ns0:c r="N375" s="987" t="str">
        <ns0:f>IF(COUNTA($A375:$M375)=0,"",IF(OR(LEFT(LOWER(TRIM($F375&amp;"")),12)="subscription",LOWER(TRIM($F375&amp;""))="membership"),"",IF(OR(AND($H375&lt;&gt;"",$H375=0),LEFT(LOWER(TRIM($F375&amp;"")),9)="free game",LOWER(TRIM($F375&amp;""))="free",LOWER(TRIM($F375&amp;""))="free entry"),IF(ISNUMBER($G375),IF(ISNUMBER(SEARCH("non",LOWER($E375&amp;""))),$G375*0.85,$G375),"N/A"),IF($G375="","",IFERROR(IF(ISNUMBER(SEARCH("non",LOWER($E375&amp;""))),$G375*0.85,$G375),"")))))</ns0:f>
        <ns0:v/>
      </ns0:c>
      <ns0:c r="O375" s="987" t="str">
        <ns0:f>IF(COUNTA($A375:$M375)=0,"",IF(OR(LEFT(LOWER(TRIM($F375&amp;"")),12)="subscription",LOWER(TRIM($F375&amp;""))="membership"),"",IF(OR(AND($H375&lt;&gt;"",$H375=0),LEFT(LOWER(TRIM($F375&amp;"")),9)="free game",LOWER(TRIM($F375&amp;""))="free",LOWER(TRIM($F375&amp;""))="free entry"),IF(OR(NOT(ISNUMBER($N375)),NOT(ISNUMBER($I375)),$I375=0),"N/A",IFERROR($N375/$I375,"N/A")),IF(OR($N375="",$I375="",$I375=0),"",IFERROR($N375/$I375,"")))))</ns0:f>
        <ns0:v/>
      </ns0:c>
      <ns0:c r="P375" s="987">
        <ns0:f>IF(COUNTA($A375:$M375)=0,"",IF(OR(LEFT(LOWER(TRIM($F375&amp;"")),12)="subscription",LOWER(TRIM($F375&amp;""))="membership"),"",IF(LOWER(TRIM($D375&amp;""))="estimate","N/A",IF(LOWER($L375&amp;"")="yes",0,IF(OR(AND($H375&lt;&gt;"",$H375=0),LEFT(LOWER(TRIM($F375&amp;"")),9)="free game",LOWER(TRIM($F375&amp;""))="free",LOWER(TRIM($F375&amp;""))="free entry"),IF(ISNUMBER($K375),$K375,""),IF($K375&lt;&gt;"",$K375,""))))))</ns0:f>
      </ns0:c>
      <ns0:c r="Q375" s="114">
        <ns0:f>IF(COUNTA($A375:$M375)=0,"",IF(OR($U375="Subscription",$U375=""),"",IF($U375="Estimate","N/A",IF($U375="Profit",ROUND(IFERROR($P375,0)-IFERROR($H375,0),2),0))))</ns0:f>
      </ns0:c>
      <ns0:c r="R375" s="114">
        <ns0:f>IF(COUNTA($A375:$M375)=0,"",IF(OR($U375="Subscription",$U375=""),"",IF($U375="Estimate","N/A",IF($U375="Draw",$H375,0))))</ns0:f>
      </ns0:c>
      <ns0:c r="S375" s="114">
        <ns0:f>IF(COUNTA($A375:$M375)=0,"",IF(OR($U375="Subscription",$U375=""),"",IF($U375="Estimate","N/A",IF($U375="Disqualified",$H375,0))))</ns0:f>
      </ns0:c>
      <ns0:c r="T375" s="955">
        <ns0:f>IF(COUNTA($A375:$M375)=0,"",IF(OR($U375="Subscription",$U375=""),"",IF($U375="Estimate","N/A",IF(OR($U375="Free Game",$U375="Disqualified — Free Game",$H375=0),"N/A",IF($U375="Profit",$Q375/$H375,IF($U375="Disqualified",-$S375/$H375,0))))))</ns0:f>
      </ns0:c>
      <ns0:c r="U375" s="920">
        <ns0:f>IF(COUNTA($A375:$M375)=0,"",IF(OR(LEFT(LOWER(TRIM($F375&amp;"")),12)="subscription",LOWER(TRIM($F375&amp;""))="membership"),"Subscription",IF(LOWER(TRIM($D375&amp;""))="estimate","Estimate",IF(OR(AND($H375&lt;&gt;"",$H375=0),LEFT(LOWER(TRIM($F375&amp;"")),9)="free game",LOWER(TRIM($F375&amp;""))="free",LOWER(TRIM($F375&amp;""))="free entry"),IF(LOWER($L375&amp;"")="yes","Disqualified — Free Game","Free Game"),IF(LOWER($L375&amp;"")="yes","Disqualified",IF($P375="","",IF(ROUND(IFERROR(VALUE($P375),0)-IFERROR(VALUE($H375),0),2)&gt;0,"Profit","Draw")))))))</ns0:f>
      </ns0:c>
      <ns0:c r="V375" s="956" t="str">
        <ns0:f>IF(COUNTA($A375:$M375)=0,"",IF(OR($B375="",$C375="",$U375="Subscription"),"",IFERROR(ROUNDUP(($C375-$B375)/7,0),"")))</ns0:f>
      </ns0:c>
      <ns0:c r="W375" s="114">
        <ns0:f>IF(COUNTA($A375:$M375)=0,"",IF(OR($U375="Subscription",$U375=""),"",IF($U375="Estimate","N/A",IF(OR($U375="Free Game",$U375="Disqualified — Free Game"),0,ROUND(IFERROR($Q375,0)-IFERROR($S375,0),2)))))</ns0:f>
      </ns0:c>
      <ns0:c r="X375" s="956" t="str">
        <ns0:f>IF(COUNTA($A375:$M375)=0,"",IF(OR($U375="Subscription",NOT(ISNUMBER($J375)),NOT(ISNUMBER($I375)),$J375=0,$I375=0,$I375&gt;$J375),"",$J375-$I375))</ns0:f>
      </ns0:c>
      <ns0:c r="Y375" s="955" t="str">
        <ns0:f>IF(COUNTA($A375:$M375)=0,"",IF(OR($U375="Subscription",NOT(ISNUMBER($J375)),$J375=0,$X375=""),"",$X375/$J375))</ns0:f>
      </ns0:c>
      <ns0:c r="Z375" s="957" t="str">
        <ns0:f>IF(COUNTA($A375:$M375)=0,"",Instructions!$B$29+SUM($W$5:W375))</ns0:f>
      </ns0:c>
    </ns0:row>
    <ns0:row r="376" ht="36" customHeight="1">
      <ns0:c r="A376" s="439"/>
      <ns0:c r="B376" s="453"/>
      <ns0:c r="C376" s="453"/>
      <ns0:c r="D376" s="454"/>
      <ns0:c r="E376" s="454"/>
      <ns0:c r="F376" s="454"/>
      <ns0:c r="G376" s="986"/>
      <ns0:c r="H376" s="455"/>
      <ns0:c r="I376" s="456"/>
      <ns0:c r="J376" s="456"/>
      <ns0:c r="K376" s="986"/>
      <ns0:c r="L376" s="454"/>
      <ns0:c r="M376" s="439"/>
      <ns0:c r="N376" s="987" t="str">
        <ns0:f>IF(COUNTA($A376:$M376)=0,"",IF(OR(LEFT(LOWER(TRIM($F376&amp;"")),12)="subscription",LOWER(TRIM($F376&amp;""))="membership"),"",IF(OR(AND($H376&lt;&gt;"",$H376=0),LEFT(LOWER(TRIM($F376&amp;"")),9)="free game",LOWER(TRIM($F376&amp;""))="free",LOWER(TRIM($F376&amp;""))="free entry"),IF(ISNUMBER($G376),IF(ISNUMBER(SEARCH("non",LOWER($E376&amp;""))),$G376*0.85,$G376),"N/A"),IF($G376="","",IFERROR(IF(ISNUMBER(SEARCH("non",LOWER($E376&amp;""))),$G376*0.85,$G376),"")))))</ns0:f>
        <ns0:v/>
      </ns0:c>
      <ns0:c r="O376" s="987" t="str">
        <ns0:f>IF(COUNTA($A376:$M376)=0,"",IF(OR(LEFT(LOWER(TRIM($F376&amp;"")),12)="subscription",LOWER(TRIM($F376&amp;""))="membership"),"",IF(OR(AND($H376&lt;&gt;"",$H376=0),LEFT(LOWER(TRIM($F376&amp;"")),9)="free game",LOWER(TRIM($F376&amp;""))="free",LOWER(TRIM($F376&amp;""))="free entry"),IF(OR(NOT(ISNUMBER($N376)),NOT(ISNUMBER($I376)),$I376=0),"N/A",IFERROR($N376/$I376,"N/A")),IF(OR($N376="",$I376="",$I376=0),"",IFERROR($N376/$I376,"")))))</ns0:f>
        <ns0:v/>
      </ns0:c>
      <ns0:c r="P376" s="987">
        <ns0:f>IF(COUNTA($A376:$M376)=0,"",IF(OR(LEFT(LOWER(TRIM($F376&amp;"")),12)="subscription",LOWER(TRIM($F376&amp;""))="membership"),"",IF(LOWER(TRIM($D376&amp;""))="estimate","N/A",IF(LOWER($L376&amp;"")="yes",0,IF(OR(AND($H376&lt;&gt;"",$H376=0),LEFT(LOWER(TRIM($F376&amp;"")),9)="free game",LOWER(TRIM($F376&amp;""))="free",LOWER(TRIM($F376&amp;""))="free entry"),IF(ISNUMBER($K376),$K376,""),IF($K376&lt;&gt;"",$K376,""))))))</ns0:f>
      </ns0:c>
      <ns0:c r="Q376" s="114">
        <ns0:f>IF(COUNTA($A376:$M376)=0,"",IF(OR($U376="Subscription",$U376=""),"",IF($U376="Estimate","N/A",IF($U376="Profit",ROUND(IFERROR($P376,0)-IFERROR($H376,0),2),0))))</ns0:f>
      </ns0:c>
      <ns0:c r="R376" s="114">
        <ns0:f>IF(COUNTA($A376:$M376)=0,"",IF(OR($U376="Subscription",$U376=""),"",IF($U376="Estimate","N/A",IF($U376="Draw",$H376,0))))</ns0:f>
      </ns0:c>
      <ns0:c r="S376" s="114">
        <ns0:f>IF(COUNTA($A376:$M376)=0,"",IF(OR($U376="Subscription",$U376=""),"",IF($U376="Estimate","N/A",IF($U376="Disqualified",$H376,0))))</ns0:f>
      </ns0:c>
      <ns0:c r="T376" s="955">
        <ns0:f>IF(COUNTA($A376:$M376)=0,"",IF(OR($U376="Subscription",$U376=""),"",IF($U376="Estimate","N/A",IF(OR($U376="Free Game",$U376="Disqualified — Free Game",$H376=0),"N/A",IF($U376="Profit",$Q376/$H376,IF($U376="Disqualified",-$S376/$H376,0))))))</ns0:f>
      </ns0:c>
      <ns0:c r="U376" s="920">
        <ns0:f>IF(COUNTA($A376:$M376)=0,"",IF(OR(LEFT(LOWER(TRIM($F376&amp;"")),12)="subscription",LOWER(TRIM($F376&amp;""))="membership"),"Subscription",IF(LOWER(TRIM($D376&amp;""))="estimate","Estimate",IF(OR(AND($H376&lt;&gt;"",$H376=0),LEFT(LOWER(TRIM($F376&amp;"")),9)="free game",LOWER(TRIM($F376&amp;""))="free",LOWER(TRIM($F376&amp;""))="free entry"),IF(LOWER($L376&amp;"")="yes","Disqualified — Free Game","Free Game"),IF(LOWER($L376&amp;"")="yes","Disqualified",IF($P376="","",IF(ROUND(IFERROR(VALUE($P376),0)-IFERROR(VALUE($H376),0),2)&gt;0,"Profit","Draw")))))))</ns0:f>
      </ns0:c>
      <ns0:c r="V376" s="956" t="str">
        <ns0:f>IF(COUNTA($A376:$M376)=0,"",IF(OR($B376="",$C376="",$U376="Subscription"),"",IFERROR(ROUNDUP(($C376-$B376)/7,0),"")))</ns0:f>
      </ns0:c>
      <ns0:c r="W376" s="114">
        <ns0:f>IF(COUNTA($A376:$M376)=0,"",IF(OR($U376="Subscription",$U376=""),"",IF($U376="Estimate","N/A",IF(OR($U376="Free Game",$U376="Disqualified — Free Game"),0,ROUND(IFERROR($Q376,0)-IFERROR($S376,0),2)))))</ns0:f>
      </ns0:c>
      <ns0:c r="X376" s="956" t="str">
        <ns0:f>IF(COUNTA($A376:$M376)=0,"",IF(OR($U376="Subscription",NOT(ISNUMBER($J376)),NOT(ISNUMBER($I376)),$J376=0,$I376=0,$I376&gt;$J376),"",$J376-$I376))</ns0:f>
      </ns0:c>
      <ns0:c r="Y376" s="955" t="str">
        <ns0:f>IF(COUNTA($A376:$M376)=0,"",IF(OR($U376="Subscription",NOT(ISNUMBER($J376)),$J376=0,$X376=""),"",$X376/$J376))</ns0:f>
      </ns0:c>
      <ns0:c r="Z376" s="957" t="str">
        <ns0:f>IF(COUNTA($A376:$M376)=0,"",Instructions!$B$29+SUM($W$5:W376))</ns0:f>
      </ns0:c>
    </ns0:row>
    <ns0:row r="377" ht="36" customHeight="1">
      <ns0:c r="A377" s="439"/>
      <ns0:c r="B377" s="453"/>
      <ns0:c r="C377" s="453"/>
      <ns0:c r="D377" s="454"/>
      <ns0:c r="E377" s="454"/>
      <ns0:c r="F377" s="454"/>
      <ns0:c r="G377" s="986"/>
      <ns0:c r="H377" s="455"/>
      <ns0:c r="I377" s="456"/>
      <ns0:c r="J377" s="456"/>
      <ns0:c r="K377" s="986"/>
      <ns0:c r="L377" s="454"/>
      <ns0:c r="M377" s="439"/>
      <ns0:c r="N377" s="987" t="str">
        <ns0:f>IF(COUNTA($A377:$M377)=0,"",IF(OR(LEFT(LOWER(TRIM($F377&amp;"")),12)="subscription",LOWER(TRIM($F377&amp;""))="membership"),"",IF(OR(AND($H377&lt;&gt;"",$H377=0),LEFT(LOWER(TRIM($F377&amp;"")),9)="free game",LOWER(TRIM($F377&amp;""))="free",LOWER(TRIM($F377&amp;""))="free entry"),IF(ISNUMBER($G377),IF(ISNUMBER(SEARCH("non",LOWER($E377&amp;""))),$G377*0.85,$G377),"N/A"),IF($G377="","",IFERROR(IF(ISNUMBER(SEARCH("non",LOWER($E377&amp;""))),$G377*0.85,$G377),"")))))</ns0:f>
        <ns0:v/>
      </ns0:c>
      <ns0:c r="O377" s="987" t="str">
        <ns0:f>IF(COUNTA($A377:$M377)=0,"",IF(OR(LEFT(LOWER(TRIM($F377&amp;"")),12)="subscription",LOWER(TRIM($F377&amp;""))="membership"),"",IF(OR(AND($H377&lt;&gt;"",$H377=0),LEFT(LOWER(TRIM($F377&amp;"")),9)="free game",LOWER(TRIM($F377&amp;""))="free",LOWER(TRIM($F377&amp;""))="free entry"),IF(OR(NOT(ISNUMBER($N377)),NOT(ISNUMBER($I377)),$I377=0),"N/A",IFERROR($N377/$I377,"N/A")),IF(OR($N377="",$I377="",$I377=0),"",IFERROR($N377/$I377,"")))))</ns0:f>
        <ns0:v/>
      </ns0:c>
      <ns0:c r="P377" s="987">
        <ns0:f>IF(COUNTA($A377:$M377)=0,"",IF(OR(LEFT(LOWER(TRIM($F377&amp;"")),12)="subscription",LOWER(TRIM($F377&amp;""))="membership"),"",IF(LOWER(TRIM($D377&amp;""))="estimate","N/A",IF(LOWER($L377&amp;"")="yes",0,IF(OR(AND($H377&lt;&gt;"",$H377=0),LEFT(LOWER(TRIM($F377&amp;"")),9)="free game",LOWER(TRIM($F377&amp;""))="free",LOWER(TRIM($F377&amp;""))="free entry"),IF(ISNUMBER($K377),$K377,""),IF($K377&lt;&gt;"",$K377,""))))))</ns0:f>
      </ns0:c>
      <ns0:c r="Q377" s="114">
        <ns0:f>IF(COUNTA($A377:$M377)=0,"",IF(OR($U377="Subscription",$U377=""),"",IF($U377="Estimate","N/A",IF($U377="Profit",ROUND(IFERROR($P377,0)-IFERROR($H377,0),2),0))))</ns0:f>
      </ns0:c>
      <ns0:c r="R377" s="114">
        <ns0:f>IF(COUNTA($A377:$M377)=0,"",IF(OR($U377="Subscription",$U377=""),"",IF($U377="Estimate","N/A",IF($U377="Draw",$H377,0))))</ns0:f>
      </ns0:c>
      <ns0:c r="S377" s="114">
        <ns0:f>IF(COUNTA($A377:$M377)=0,"",IF(OR($U377="Subscription",$U377=""),"",IF($U377="Estimate","N/A",IF($U377="Disqualified",$H377,0))))</ns0:f>
      </ns0:c>
      <ns0:c r="T377" s="955">
        <ns0:f>IF(COUNTA($A377:$M377)=0,"",IF(OR($U377="Subscription",$U377=""),"",IF($U377="Estimate","N/A",IF(OR($U377="Free Game",$U377="Disqualified — Free Game",$H377=0),"N/A",IF($U377="Profit",$Q377/$H377,IF($U377="Disqualified",-$S377/$H377,0))))))</ns0:f>
      </ns0:c>
      <ns0:c r="U377" s="920">
        <ns0:f>IF(COUNTA($A377:$M377)=0,"",IF(OR(LEFT(LOWER(TRIM($F377&amp;"")),12)="subscription",LOWER(TRIM($F377&amp;""))="membership"),"Subscription",IF(LOWER(TRIM($D377&amp;""))="estimate","Estimate",IF(OR(AND($H377&lt;&gt;"",$H377=0),LEFT(LOWER(TRIM($F377&amp;"")),9)="free game",LOWER(TRIM($F377&amp;""))="free",LOWER(TRIM($F377&amp;""))="free entry"),IF(LOWER($L377&amp;"")="yes","Disqualified — Free Game","Free Game"),IF(LOWER($L377&amp;"")="yes","Disqualified",IF($P377="","",IF(ROUND(IFERROR(VALUE($P377),0)-IFERROR(VALUE($H377),0),2)&gt;0,"Profit","Draw")))))))</ns0:f>
      </ns0:c>
      <ns0:c r="V377" s="956" t="str">
        <ns0:f>IF(COUNTA($A377:$M377)=0,"",IF(OR($B377="",$C377="",$U377="Subscription"),"",IFERROR(ROUNDUP(($C377-$B377)/7,0),"")))</ns0:f>
      </ns0:c>
      <ns0:c r="W377" s="114">
        <ns0:f>IF(COUNTA($A377:$M377)=0,"",IF(OR($U377="Subscription",$U377=""),"",IF($U377="Estimate","N/A",IF(OR($U377="Free Game",$U377="Disqualified — Free Game"),0,ROUND(IFERROR($Q377,0)-IFERROR($S377,0),2)))))</ns0:f>
      </ns0:c>
      <ns0:c r="X377" s="956" t="str">
        <ns0:f>IF(COUNTA($A377:$M377)=0,"",IF(OR($U377="Subscription",NOT(ISNUMBER($J377)),NOT(ISNUMBER($I377)),$J377=0,$I377=0,$I377&gt;$J377),"",$J377-$I377))</ns0:f>
      </ns0:c>
      <ns0:c r="Y377" s="955" t="str">
        <ns0:f>IF(COUNTA($A377:$M377)=0,"",IF(OR($U377="Subscription",NOT(ISNUMBER($J377)),$J377=0,$X377=""),"",$X377/$J377))</ns0:f>
      </ns0:c>
      <ns0:c r="Z377" s="957" t="str">
        <ns0:f>IF(COUNTA($A377:$M377)=0,"",Instructions!$B$29+SUM($W$5:W377))</ns0:f>
      </ns0:c>
    </ns0:row>
    <ns0:row r="378" ht="36" customHeight="1">
      <ns0:c r="A378" s="439"/>
      <ns0:c r="B378" s="453"/>
      <ns0:c r="C378" s="453"/>
      <ns0:c r="D378" s="454"/>
      <ns0:c r="E378" s="454"/>
      <ns0:c r="F378" s="454"/>
      <ns0:c r="G378" s="986"/>
      <ns0:c r="H378" s="455"/>
      <ns0:c r="I378" s="456"/>
      <ns0:c r="J378" s="456"/>
      <ns0:c r="K378" s="986"/>
      <ns0:c r="L378" s="454"/>
      <ns0:c r="M378" s="439"/>
      <ns0:c r="N378" s="987" t="str">
        <ns0:f>IF(COUNTA($A378:$M378)=0,"",IF(OR(LEFT(LOWER(TRIM($F378&amp;"")),12)="subscription",LOWER(TRIM($F378&amp;""))="membership"),"",IF(OR(AND($H378&lt;&gt;"",$H378=0),LEFT(LOWER(TRIM($F378&amp;"")),9)="free game",LOWER(TRIM($F378&amp;""))="free",LOWER(TRIM($F378&amp;""))="free entry"),IF(ISNUMBER($G378),IF(ISNUMBER(SEARCH("non",LOWER($E378&amp;""))),$G378*0.85,$G378),"N/A"),IF($G378="","",IFERROR(IF(ISNUMBER(SEARCH("non",LOWER($E378&amp;""))),$G378*0.85,$G378),"")))))</ns0:f>
        <ns0:v/>
      </ns0:c>
      <ns0:c r="O378" s="987" t="str">
        <ns0:f>IF(COUNTA($A378:$M378)=0,"",IF(OR(LEFT(LOWER(TRIM($F378&amp;"")),12)="subscription",LOWER(TRIM($F378&amp;""))="membership"),"",IF(OR(AND($H378&lt;&gt;"",$H378=0),LEFT(LOWER(TRIM($F378&amp;"")),9)="free game",LOWER(TRIM($F378&amp;""))="free",LOWER(TRIM($F378&amp;""))="free entry"),IF(OR(NOT(ISNUMBER($N378)),NOT(ISNUMBER($I378)),$I378=0),"N/A",IFERROR($N378/$I378,"N/A")),IF(OR($N378="",$I378="",$I378=0),"",IFERROR($N378/$I378,"")))))</ns0:f>
        <ns0:v/>
      </ns0:c>
      <ns0:c r="P378" s="987">
        <ns0:f>IF(COUNTA($A378:$M378)=0,"",IF(OR(LEFT(LOWER(TRIM($F378&amp;"")),12)="subscription",LOWER(TRIM($F378&amp;""))="membership"),"",IF(LOWER(TRIM($D378&amp;""))="estimate","N/A",IF(LOWER($L378&amp;"")="yes",0,IF(OR(AND($H378&lt;&gt;"",$H378=0),LEFT(LOWER(TRIM($F378&amp;"")),9)="free game",LOWER(TRIM($F378&amp;""))="free",LOWER(TRIM($F378&amp;""))="free entry"),IF(ISNUMBER($K378),$K378,""),IF($K378&lt;&gt;"",$K378,""))))))</ns0:f>
      </ns0:c>
      <ns0:c r="Q378" s="114">
        <ns0:f>IF(COUNTA($A378:$M378)=0,"",IF(OR($U378="Subscription",$U378=""),"",IF($U378="Estimate","N/A",IF($U378="Profit",ROUND(IFERROR($P378,0)-IFERROR($H378,0),2),0))))</ns0:f>
      </ns0:c>
      <ns0:c r="R378" s="114">
        <ns0:f>IF(COUNTA($A378:$M378)=0,"",IF(OR($U378="Subscription",$U378=""),"",IF($U378="Estimate","N/A",IF($U378="Draw",$H378,0))))</ns0:f>
      </ns0:c>
      <ns0:c r="S378" s="114">
        <ns0:f>IF(COUNTA($A378:$M378)=0,"",IF(OR($U378="Subscription",$U378=""),"",IF($U378="Estimate","N/A",IF($U378="Disqualified",$H378,0))))</ns0:f>
      </ns0:c>
      <ns0:c r="T378" s="955">
        <ns0:f>IF(COUNTA($A378:$M378)=0,"",IF(OR($U378="Subscription",$U378=""),"",IF($U378="Estimate","N/A",IF(OR($U378="Free Game",$U378="Disqualified — Free Game",$H378=0),"N/A",IF($U378="Profit",$Q378/$H378,IF($U378="Disqualified",-$S378/$H378,0))))))</ns0:f>
      </ns0:c>
      <ns0:c r="U378" s="920">
        <ns0:f>IF(COUNTA($A378:$M378)=0,"",IF(OR(LEFT(LOWER(TRIM($F378&amp;"")),12)="subscription",LOWER(TRIM($F378&amp;""))="membership"),"Subscription",IF(LOWER(TRIM($D378&amp;""))="estimate","Estimate",IF(OR(AND($H378&lt;&gt;"",$H378=0),LEFT(LOWER(TRIM($F378&amp;"")),9)="free game",LOWER(TRIM($F378&amp;""))="free",LOWER(TRIM($F378&amp;""))="free entry"),IF(LOWER($L378&amp;"")="yes","Disqualified — Free Game","Free Game"),IF(LOWER($L378&amp;"")="yes","Disqualified",IF($P378="","",IF(ROUND(IFERROR(VALUE($P378),0)-IFERROR(VALUE($H378),0),2)&gt;0,"Profit","Draw")))))))</ns0:f>
      </ns0:c>
      <ns0:c r="V378" s="956" t="str">
        <ns0:f>IF(COUNTA($A378:$M378)=0,"",IF(OR($B378="",$C378="",$U378="Subscription"),"",IFERROR(ROUNDUP(($C378-$B378)/7,0),"")))</ns0:f>
      </ns0:c>
      <ns0:c r="W378" s="114">
        <ns0:f>IF(COUNTA($A378:$M378)=0,"",IF(OR($U378="Subscription",$U378=""),"",IF($U378="Estimate","N/A",IF(OR($U378="Free Game",$U378="Disqualified — Free Game"),0,ROUND(IFERROR($Q378,0)-IFERROR($S378,0),2)))))</ns0:f>
      </ns0:c>
      <ns0:c r="X378" s="956" t="str">
        <ns0:f>IF(COUNTA($A378:$M378)=0,"",IF(OR($U378="Subscription",NOT(ISNUMBER($J378)),NOT(ISNUMBER($I378)),$J378=0,$I378=0,$I378&gt;$J378),"",$J378-$I378))</ns0:f>
      </ns0:c>
      <ns0:c r="Y378" s="955" t="str">
        <ns0:f>IF(COUNTA($A378:$M378)=0,"",IF(OR($U378="Subscription",NOT(ISNUMBER($J378)),$J378=0,$X378=""),"",$X378/$J378))</ns0:f>
      </ns0:c>
      <ns0:c r="Z378" s="957" t="str">
        <ns0:f>IF(COUNTA($A378:$M378)=0,"",Instructions!$B$29+SUM($W$5:W378))</ns0:f>
      </ns0:c>
    </ns0:row>
    <ns0:row r="379" ht="36" customHeight="1">
      <ns0:c r="A379" s="439"/>
      <ns0:c r="B379" s="453"/>
      <ns0:c r="C379" s="453"/>
      <ns0:c r="D379" s="454"/>
      <ns0:c r="E379" s="454"/>
      <ns0:c r="F379" s="454"/>
      <ns0:c r="G379" s="986"/>
      <ns0:c r="H379" s="455"/>
      <ns0:c r="I379" s="456"/>
      <ns0:c r="J379" s="456"/>
      <ns0:c r="K379" s="986"/>
      <ns0:c r="L379" s="454"/>
      <ns0:c r="M379" s="439"/>
      <ns0:c r="N379" s="987" t="str">
        <ns0:f>IF(COUNTA($A379:$M379)=0,"",IF(OR(LEFT(LOWER(TRIM($F379&amp;"")),12)="subscription",LOWER(TRIM($F379&amp;""))="membership"),"",IF(OR(AND($H379&lt;&gt;"",$H379=0),LEFT(LOWER(TRIM($F379&amp;"")),9)="free game",LOWER(TRIM($F379&amp;""))="free",LOWER(TRIM($F379&amp;""))="free entry"),IF(ISNUMBER($G379),IF(ISNUMBER(SEARCH("non",LOWER($E379&amp;""))),$G379*0.85,$G379),"N/A"),IF($G379="","",IFERROR(IF(ISNUMBER(SEARCH("non",LOWER($E379&amp;""))),$G379*0.85,$G379),"")))))</ns0:f>
        <ns0:v/>
      </ns0:c>
      <ns0:c r="O379" s="987" t="str">
        <ns0:f>IF(COUNTA($A379:$M379)=0,"",IF(OR(LEFT(LOWER(TRIM($F379&amp;"")),12)="subscription",LOWER(TRIM($F379&amp;""))="membership"),"",IF(OR(AND($H379&lt;&gt;"",$H379=0),LEFT(LOWER(TRIM($F379&amp;"")),9)="free game",LOWER(TRIM($F379&amp;""))="free",LOWER(TRIM($F379&amp;""))="free entry"),IF(OR(NOT(ISNUMBER($N379)),NOT(ISNUMBER($I379)),$I379=0),"N/A",IFERROR($N379/$I379,"N/A")),IF(OR($N379="",$I379="",$I379=0),"",IFERROR($N379/$I379,"")))))</ns0:f>
        <ns0:v/>
      </ns0:c>
      <ns0:c r="P379" s="987">
        <ns0:f>IF(COUNTA($A379:$M379)=0,"",IF(OR(LEFT(LOWER(TRIM($F379&amp;"")),12)="subscription",LOWER(TRIM($F379&amp;""))="membership"),"",IF(LOWER(TRIM($D379&amp;""))="estimate","N/A",IF(LOWER($L379&amp;"")="yes",0,IF(OR(AND($H379&lt;&gt;"",$H379=0),LEFT(LOWER(TRIM($F379&amp;"")),9)="free game",LOWER(TRIM($F379&amp;""))="free",LOWER(TRIM($F379&amp;""))="free entry"),IF(ISNUMBER($K379),$K379,""),IF($K379&lt;&gt;"",$K379,""))))))</ns0:f>
      </ns0:c>
      <ns0:c r="Q379" s="114">
        <ns0:f>IF(COUNTA($A379:$M379)=0,"",IF(OR($U379="Subscription",$U379=""),"",IF($U379="Estimate","N/A",IF($U379="Profit",ROUND(IFERROR($P379,0)-IFERROR($H379,0),2),0))))</ns0:f>
      </ns0:c>
      <ns0:c r="R379" s="114">
        <ns0:f>IF(COUNTA($A379:$M379)=0,"",IF(OR($U379="Subscription",$U379=""),"",IF($U379="Estimate","N/A",IF($U379="Draw",$H379,0))))</ns0:f>
      </ns0:c>
      <ns0:c r="S379" s="114">
        <ns0:f>IF(COUNTA($A379:$M379)=0,"",IF(OR($U379="Subscription",$U379=""),"",IF($U379="Estimate","N/A",IF($U379="Disqualified",$H379,0))))</ns0:f>
      </ns0:c>
      <ns0:c r="T379" s="955">
        <ns0:f>IF(COUNTA($A379:$M379)=0,"",IF(OR($U379="Subscription",$U379=""),"",IF($U379="Estimate","N/A",IF(OR($U379="Free Game",$U379="Disqualified — Free Game",$H379=0),"N/A",IF($U379="Profit",$Q379/$H379,IF($U379="Disqualified",-$S379/$H379,0))))))</ns0:f>
      </ns0:c>
      <ns0:c r="U379" s="920">
        <ns0:f>IF(COUNTA($A379:$M379)=0,"",IF(OR(LEFT(LOWER(TRIM($F379&amp;"")),12)="subscription",LOWER(TRIM($F379&amp;""))="membership"),"Subscription",IF(LOWER(TRIM($D379&amp;""))="estimate","Estimate",IF(OR(AND($H379&lt;&gt;"",$H379=0),LEFT(LOWER(TRIM($F379&amp;"")),9)="free game",LOWER(TRIM($F379&amp;""))="free",LOWER(TRIM($F379&amp;""))="free entry"),IF(LOWER($L379&amp;"")="yes","Disqualified — Free Game","Free Game"),IF(LOWER($L379&amp;"")="yes","Disqualified",IF($P379="","",IF(ROUND(IFERROR(VALUE($P379),0)-IFERROR(VALUE($H379),0),2)&gt;0,"Profit","Draw")))))))</ns0:f>
      </ns0:c>
      <ns0:c r="V379" s="956" t="str">
        <ns0:f>IF(COUNTA($A379:$M379)=0,"",IF(OR($B379="",$C379="",$U379="Subscription"),"",IFERROR(ROUNDUP(($C379-$B379)/7,0),"")))</ns0:f>
      </ns0:c>
      <ns0:c r="W379" s="114">
        <ns0:f>IF(COUNTA($A379:$M379)=0,"",IF(OR($U379="Subscription",$U379=""),"",IF($U379="Estimate","N/A",IF(OR($U379="Free Game",$U379="Disqualified — Free Game"),0,ROUND(IFERROR($Q379,0)-IFERROR($S379,0),2)))))</ns0:f>
      </ns0:c>
      <ns0:c r="X379" s="956" t="str">
        <ns0:f>IF(COUNTA($A379:$M379)=0,"",IF(OR($U379="Subscription",NOT(ISNUMBER($J379)),NOT(ISNUMBER($I379)),$J379=0,$I379=0,$I379&gt;$J379),"",$J379-$I379))</ns0:f>
      </ns0:c>
      <ns0:c r="Y379" s="955" t="str">
        <ns0:f>IF(COUNTA($A379:$M379)=0,"",IF(OR($U379="Subscription",NOT(ISNUMBER($J379)),$J379=0,$X379=""),"",$X379/$J379))</ns0:f>
      </ns0:c>
      <ns0:c r="Z379" s="957" t="str">
        <ns0:f>IF(COUNTA($A379:$M379)=0,"",Instructions!$B$29+SUM($W$5:W379))</ns0:f>
      </ns0:c>
    </ns0:row>
    <ns0:row r="380" ht="36" customHeight="1">
      <ns0:c r="A380" s="439"/>
      <ns0:c r="B380" s="453"/>
      <ns0:c r="C380" s="453"/>
      <ns0:c r="D380" s="454"/>
      <ns0:c r="E380" s="454"/>
      <ns0:c r="F380" s="454"/>
      <ns0:c r="G380" s="986"/>
      <ns0:c r="H380" s="455"/>
      <ns0:c r="I380" s="456"/>
      <ns0:c r="J380" s="456"/>
      <ns0:c r="K380" s="986"/>
      <ns0:c r="L380" s="454"/>
      <ns0:c r="M380" s="439"/>
      <ns0:c r="N380" s="987" t="str">
        <ns0:f>IF(COUNTA($A380:$M380)=0,"",IF(OR(LEFT(LOWER(TRIM($F380&amp;"")),12)="subscription",LOWER(TRIM($F380&amp;""))="membership"),"",IF(OR(AND($H380&lt;&gt;"",$H380=0),LEFT(LOWER(TRIM($F380&amp;"")),9)="free game",LOWER(TRIM($F380&amp;""))="free",LOWER(TRIM($F380&amp;""))="free entry"),IF(ISNUMBER($G380),IF(ISNUMBER(SEARCH("non",LOWER($E380&amp;""))),$G380*0.85,$G380),"N/A"),IF($G380="","",IFERROR(IF(ISNUMBER(SEARCH("non",LOWER($E380&amp;""))),$G380*0.85,$G380),"")))))</ns0:f>
        <ns0:v/>
      </ns0:c>
      <ns0:c r="O380" s="987" t="str">
        <ns0:f>IF(COUNTA($A380:$M380)=0,"",IF(OR(LEFT(LOWER(TRIM($F380&amp;"")),12)="subscription",LOWER(TRIM($F380&amp;""))="membership"),"",IF(OR(AND($H380&lt;&gt;"",$H380=0),LEFT(LOWER(TRIM($F380&amp;"")),9)="free game",LOWER(TRIM($F380&amp;""))="free",LOWER(TRIM($F380&amp;""))="free entry"),IF(OR(NOT(ISNUMBER($N380)),NOT(ISNUMBER($I380)),$I380=0),"N/A",IFERROR($N380/$I380,"N/A")),IF(OR($N380="",$I380="",$I380=0),"",IFERROR($N380/$I380,"")))))</ns0:f>
        <ns0:v/>
      </ns0:c>
      <ns0:c r="P380" s="987">
        <ns0:f>IF(COUNTA($A380:$M380)=0,"",IF(OR(LEFT(LOWER(TRIM($F380&amp;"")),12)="subscription",LOWER(TRIM($F380&amp;""))="membership"),"",IF(LOWER(TRIM($D380&amp;""))="estimate","N/A",IF(LOWER($L380&amp;"")="yes",0,IF(OR(AND($H380&lt;&gt;"",$H380=0),LEFT(LOWER(TRIM($F380&amp;"")),9)="free game",LOWER(TRIM($F380&amp;""))="free",LOWER(TRIM($F380&amp;""))="free entry"),IF(ISNUMBER($K380),$K380,""),IF($K380&lt;&gt;"",$K380,""))))))</ns0:f>
      </ns0:c>
      <ns0:c r="Q380" s="114">
        <ns0:f>IF(COUNTA($A380:$M380)=0,"",IF(OR($U380="Subscription",$U380=""),"",IF($U380="Estimate","N/A",IF($U380="Profit",ROUND(IFERROR($P380,0)-IFERROR($H380,0),2),0))))</ns0:f>
      </ns0:c>
      <ns0:c r="R380" s="114">
        <ns0:f>IF(COUNTA($A380:$M380)=0,"",IF(OR($U380="Subscription",$U380=""),"",IF($U380="Estimate","N/A",IF($U380="Draw",$H380,0))))</ns0:f>
      </ns0:c>
      <ns0:c r="S380" s="114">
        <ns0:f>IF(COUNTA($A380:$M380)=0,"",IF(OR($U380="Subscription",$U380=""),"",IF($U380="Estimate","N/A",IF($U380="Disqualified",$H380,0))))</ns0:f>
      </ns0:c>
      <ns0:c r="T380" s="955">
        <ns0:f>IF(COUNTA($A380:$M380)=0,"",IF(OR($U380="Subscription",$U380=""),"",IF($U380="Estimate","N/A",IF(OR($U380="Free Game",$U380="Disqualified — Free Game",$H380=0),"N/A",IF($U380="Profit",$Q380/$H380,IF($U380="Disqualified",-$S380/$H380,0))))))</ns0:f>
      </ns0:c>
      <ns0:c r="U380" s="920">
        <ns0:f>IF(COUNTA($A380:$M380)=0,"",IF(OR(LEFT(LOWER(TRIM($F380&amp;"")),12)="subscription",LOWER(TRIM($F380&amp;""))="membership"),"Subscription",IF(LOWER(TRIM($D380&amp;""))="estimate","Estimate",IF(OR(AND($H380&lt;&gt;"",$H380=0),LEFT(LOWER(TRIM($F380&amp;"")),9)="free game",LOWER(TRIM($F380&amp;""))="free",LOWER(TRIM($F380&amp;""))="free entry"),IF(LOWER($L380&amp;"")="yes","Disqualified — Free Game","Free Game"),IF(LOWER($L380&amp;"")="yes","Disqualified",IF($P380="","",IF(ROUND(IFERROR(VALUE($P380),0)-IFERROR(VALUE($H380),0),2)&gt;0,"Profit","Draw")))))))</ns0:f>
      </ns0:c>
      <ns0:c r="V380" s="956" t="str">
        <ns0:f>IF(COUNTA($A380:$M380)=0,"",IF(OR($B380="",$C380="",$U380="Subscription"),"",IFERROR(ROUNDUP(($C380-$B380)/7,0),"")))</ns0:f>
      </ns0:c>
      <ns0:c r="W380" s="114">
        <ns0:f>IF(COUNTA($A380:$M380)=0,"",IF(OR($U380="Subscription",$U380=""),"",IF($U380="Estimate","N/A",IF(OR($U380="Free Game",$U380="Disqualified — Free Game"),0,ROUND(IFERROR($Q380,0)-IFERROR($S380,0),2)))))</ns0:f>
      </ns0:c>
      <ns0:c r="X380" s="956" t="str">
        <ns0:f>IF(COUNTA($A380:$M380)=0,"",IF(OR($U380="Subscription",NOT(ISNUMBER($J380)),NOT(ISNUMBER($I380)),$J380=0,$I380=0,$I380&gt;$J380),"",$J380-$I380))</ns0:f>
      </ns0:c>
      <ns0:c r="Y380" s="955" t="str">
        <ns0:f>IF(COUNTA($A380:$M380)=0,"",IF(OR($U380="Subscription",NOT(ISNUMBER($J380)),$J380=0,$X380=""),"",$X380/$J380))</ns0:f>
      </ns0:c>
      <ns0:c r="Z380" s="957" t="str">
        <ns0:f>IF(COUNTA($A380:$M380)=0,"",Instructions!$B$29+SUM($W$5:W380))</ns0:f>
      </ns0:c>
    </ns0:row>
    <ns0:row r="381" ht="36" customHeight="1">
      <ns0:c r="A381" s="439"/>
      <ns0:c r="B381" s="453"/>
      <ns0:c r="C381" s="453"/>
      <ns0:c r="D381" s="454"/>
      <ns0:c r="E381" s="454"/>
      <ns0:c r="F381" s="454"/>
      <ns0:c r="G381" s="986"/>
      <ns0:c r="H381" s="455"/>
      <ns0:c r="I381" s="456"/>
      <ns0:c r="J381" s="456"/>
      <ns0:c r="K381" s="986"/>
      <ns0:c r="L381" s="454"/>
      <ns0:c r="M381" s="439"/>
      <ns0:c r="N381" s="987" t="str">
        <ns0:f>IF(COUNTA($A381:$M381)=0,"",IF(OR(LEFT(LOWER(TRIM($F381&amp;"")),12)="subscription",LOWER(TRIM($F381&amp;""))="membership"),"",IF(OR(AND($H381&lt;&gt;"",$H381=0),LEFT(LOWER(TRIM($F381&amp;"")),9)="free game",LOWER(TRIM($F381&amp;""))="free",LOWER(TRIM($F381&amp;""))="free entry"),IF(ISNUMBER($G381),IF(ISNUMBER(SEARCH("non",LOWER($E381&amp;""))),$G381*0.85,$G381),"N/A"),IF($G381="","",IFERROR(IF(ISNUMBER(SEARCH("non",LOWER($E381&amp;""))),$G381*0.85,$G381),"")))))</ns0:f>
        <ns0:v/>
      </ns0:c>
      <ns0:c r="O381" s="987" t="str">
        <ns0:f>IF(COUNTA($A381:$M381)=0,"",IF(OR(LEFT(LOWER(TRIM($F381&amp;"")),12)="subscription",LOWER(TRIM($F381&amp;""))="membership"),"",IF(OR(AND($H381&lt;&gt;"",$H381=0),LEFT(LOWER(TRIM($F381&amp;"")),9)="free game",LOWER(TRIM($F381&amp;""))="free",LOWER(TRIM($F381&amp;""))="free entry"),IF(OR(NOT(ISNUMBER($N381)),NOT(ISNUMBER($I381)),$I381=0),"N/A",IFERROR($N381/$I381,"N/A")),IF(OR($N381="",$I381="",$I381=0),"",IFERROR($N381/$I381,"")))))</ns0:f>
        <ns0:v/>
      </ns0:c>
      <ns0:c r="P381" s="987">
        <ns0:f>IF(COUNTA($A381:$M381)=0,"",IF(OR(LEFT(LOWER(TRIM($F381&amp;"")),12)="subscription",LOWER(TRIM($F381&amp;""))="membership"),"",IF(LOWER(TRIM($D381&amp;""))="estimate","N/A",IF(LOWER($L381&amp;"")="yes",0,IF(OR(AND($H381&lt;&gt;"",$H381=0),LEFT(LOWER(TRIM($F381&amp;"")),9)="free game",LOWER(TRIM($F381&amp;""))="free",LOWER(TRIM($F381&amp;""))="free entry"),IF(ISNUMBER($K381),$K381,""),IF($K381&lt;&gt;"",$K381,""))))))</ns0:f>
      </ns0:c>
      <ns0:c r="Q381" s="114">
        <ns0:f>IF(COUNTA($A381:$M381)=0,"",IF(OR($U381="Subscription",$U381=""),"",IF($U381="Estimate","N/A",IF($U381="Profit",ROUND(IFERROR($P381,0)-IFERROR($H381,0),2),0))))</ns0:f>
      </ns0:c>
      <ns0:c r="R381" s="114">
        <ns0:f>IF(COUNTA($A381:$M381)=0,"",IF(OR($U381="Subscription",$U381=""),"",IF($U381="Estimate","N/A",IF($U381="Draw",$H381,0))))</ns0:f>
      </ns0:c>
      <ns0:c r="S381" s="114">
        <ns0:f>IF(COUNTA($A381:$M381)=0,"",IF(OR($U381="Subscription",$U381=""),"",IF($U381="Estimate","N/A",IF($U381="Disqualified",$H381,0))))</ns0:f>
      </ns0:c>
      <ns0:c r="T381" s="955">
        <ns0:f>IF(COUNTA($A381:$M381)=0,"",IF(OR($U381="Subscription",$U381=""),"",IF($U381="Estimate","N/A",IF(OR($U381="Free Game",$U381="Disqualified — Free Game",$H381=0),"N/A",IF($U381="Profit",$Q381/$H381,IF($U381="Disqualified",-$S381/$H381,0))))))</ns0:f>
      </ns0:c>
      <ns0:c r="U381" s="920">
        <ns0:f>IF(COUNTA($A381:$M381)=0,"",IF(OR(LEFT(LOWER(TRIM($F381&amp;"")),12)="subscription",LOWER(TRIM($F381&amp;""))="membership"),"Subscription",IF(LOWER(TRIM($D381&amp;""))="estimate","Estimate",IF(OR(AND($H381&lt;&gt;"",$H381=0),LEFT(LOWER(TRIM($F381&amp;"")),9)="free game",LOWER(TRIM($F381&amp;""))="free",LOWER(TRIM($F381&amp;""))="free entry"),IF(LOWER($L381&amp;"")="yes","Disqualified — Free Game","Free Game"),IF(LOWER($L381&amp;"")="yes","Disqualified",IF($P381="","",IF(ROUND(IFERROR(VALUE($P381),0)-IFERROR(VALUE($H381),0),2)&gt;0,"Profit","Draw")))))))</ns0:f>
      </ns0:c>
      <ns0:c r="V381" s="956" t="str">
        <ns0:f>IF(COUNTA($A381:$M381)=0,"",IF(OR($B381="",$C381="",$U381="Subscription"),"",IFERROR(ROUNDUP(($C381-$B381)/7,0),"")))</ns0:f>
      </ns0:c>
      <ns0:c r="W381" s="114">
        <ns0:f>IF(COUNTA($A381:$M381)=0,"",IF(OR($U381="Subscription",$U381=""),"",IF($U381="Estimate","N/A",IF(OR($U381="Free Game",$U381="Disqualified — Free Game"),0,ROUND(IFERROR($Q381,0)-IFERROR($S381,0),2)))))</ns0:f>
      </ns0:c>
      <ns0:c r="X381" s="956" t="str">
        <ns0:f>IF(COUNTA($A381:$M381)=0,"",IF(OR($U381="Subscription",NOT(ISNUMBER($J381)),NOT(ISNUMBER($I381)),$J381=0,$I381=0,$I381&gt;$J381),"",$J381-$I381))</ns0:f>
      </ns0:c>
      <ns0:c r="Y381" s="955" t="str">
        <ns0:f>IF(COUNTA($A381:$M381)=0,"",IF(OR($U381="Subscription",NOT(ISNUMBER($J381)),$J381=0,$X381=""),"",$X381/$J381))</ns0:f>
      </ns0:c>
      <ns0:c r="Z381" s="957" t="str">
        <ns0:f>IF(COUNTA($A381:$M381)=0,"",Instructions!$B$29+SUM($W$5:W381))</ns0:f>
      </ns0:c>
    </ns0:row>
    <ns0:row r="382" ht="36" customHeight="1">
      <ns0:c r="A382" s="439"/>
      <ns0:c r="B382" s="453"/>
      <ns0:c r="C382" s="453"/>
      <ns0:c r="D382" s="454"/>
      <ns0:c r="E382" s="454"/>
      <ns0:c r="F382" s="454"/>
      <ns0:c r="G382" s="986"/>
      <ns0:c r="H382" s="455"/>
      <ns0:c r="I382" s="456"/>
      <ns0:c r="J382" s="456"/>
      <ns0:c r="K382" s="986"/>
      <ns0:c r="L382" s="454"/>
      <ns0:c r="M382" s="439"/>
      <ns0:c r="N382" s="987" t="str">
        <ns0:f>IF(COUNTA($A382:$M382)=0,"",IF(OR(LEFT(LOWER(TRIM($F382&amp;"")),12)="subscription",LOWER(TRIM($F382&amp;""))="membership"),"",IF(OR(AND($H382&lt;&gt;"",$H382=0),LEFT(LOWER(TRIM($F382&amp;"")),9)="free game",LOWER(TRIM($F382&amp;""))="free",LOWER(TRIM($F382&amp;""))="free entry"),IF(ISNUMBER($G382),IF(ISNUMBER(SEARCH("non",LOWER($E382&amp;""))),$G382*0.85,$G382),"N/A"),IF($G382="","",IFERROR(IF(ISNUMBER(SEARCH("non",LOWER($E382&amp;""))),$G382*0.85,$G382),"")))))</ns0:f>
        <ns0:v/>
      </ns0:c>
      <ns0:c r="O382" s="987" t="str">
        <ns0:f>IF(COUNTA($A382:$M382)=0,"",IF(OR(LEFT(LOWER(TRIM($F382&amp;"")),12)="subscription",LOWER(TRIM($F382&amp;""))="membership"),"",IF(OR(AND($H382&lt;&gt;"",$H382=0),LEFT(LOWER(TRIM($F382&amp;"")),9)="free game",LOWER(TRIM($F382&amp;""))="free",LOWER(TRIM($F382&amp;""))="free entry"),IF(OR(NOT(ISNUMBER($N382)),NOT(ISNUMBER($I382)),$I382=0),"N/A",IFERROR($N382/$I382,"N/A")),IF(OR($N382="",$I382="",$I382=0),"",IFERROR($N382/$I382,"")))))</ns0:f>
        <ns0:v/>
      </ns0:c>
      <ns0:c r="P382" s="987">
        <ns0:f>IF(COUNTA($A382:$M382)=0,"",IF(OR(LEFT(LOWER(TRIM($F382&amp;"")),12)="subscription",LOWER(TRIM($F382&amp;""))="membership"),"",IF(LOWER(TRIM($D382&amp;""))="estimate","N/A",IF(LOWER($L382&amp;"")="yes",0,IF(OR(AND($H382&lt;&gt;"",$H382=0),LEFT(LOWER(TRIM($F382&amp;"")),9)="free game",LOWER(TRIM($F382&amp;""))="free",LOWER(TRIM($F382&amp;""))="free entry"),IF(ISNUMBER($K382),$K382,""),IF($K382&lt;&gt;"",$K382,""))))))</ns0:f>
      </ns0:c>
      <ns0:c r="Q382" s="114">
        <ns0:f>IF(COUNTA($A382:$M382)=0,"",IF(OR($U382="Subscription",$U382=""),"",IF($U382="Estimate","N/A",IF($U382="Profit",ROUND(IFERROR($P382,0)-IFERROR($H382,0),2),0))))</ns0:f>
      </ns0:c>
      <ns0:c r="R382" s="114">
        <ns0:f>IF(COUNTA($A382:$M382)=0,"",IF(OR($U382="Subscription",$U382=""),"",IF($U382="Estimate","N/A",IF($U382="Draw",$H382,0))))</ns0:f>
      </ns0:c>
      <ns0:c r="S382" s="114">
        <ns0:f>IF(COUNTA($A382:$M382)=0,"",IF(OR($U382="Subscription",$U382=""),"",IF($U382="Estimate","N/A",IF($U382="Disqualified",$H382,0))))</ns0:f>
      </ns0:c>
      <ns0:c r="T382" s="955">
        <ns0:f>IF(COUNTA($A382:$M382)=0,"",IF(OR($U382="Subscription",$U382=""),"",IF($U382="Estimate","N/A",IF(OR($U382="Free Game",$U382="Disqualified — Free Game",$H382=0),"N/A",IF($U382="Profit",$Q382/$H382,IF($U382="Disqualified",-$S382/$H382,0))))))</ns0:f>
      </ns0:c>
      <ns0:c r="U382" s="920">
        <ns0:f>IF(COUNTA($A382:$M382)=0,"",IF(OR(LEFT(LOWER(TRIM($F382&amp;"")),12)="subscription",LOWER(TRIM($F382&amp;""))="membership"),"Subscription",IF(LOWER(TRIM($D382&amp;""))="estimate","Estimate",IF(OR(AND($H382&lt;&gt;"",$H382=0),LEFT(LOWER(TRIM($F382&amp;"")),9)="free game",LOWER(TRIM($F382&amp;""))="free",LOWER(TRIM($F382&amp;""))="free entry"),IF(LOWER($L382&amp;"")="yes","Disqualified — Free Game","Free Game"),IF(LOWER($L382&amp;"")="yes","Disqualified",IF($P382="","",IF(ROUND(IFERROR(VALUE($P382),0)-IFERROR(VALUE($H382),0),2)&gt;0,"Profit","Draw")))))))</ns0:f>
      </ns0:c>
      <ns0:c r="V382" s="956" t="str">
        <ns0:f>IF(COUNTA($A382:$M382)=0,"",IF(OR($B382="",$C382="",$U382="Subscription"),"",IFERROR(ROUNDUP(($C382-$B382)/7,0),"")))</ns0:f>
      </ns0:c>
      <ns0:c r="W382" s="114">
        <ns0:f>IF(COUNTA($A382:$M382)=0,"",IF(OR($U382="Subscription",$U382=""),"",IF($U382="Estimate","N/A",IF(OR($U382="Free Game",$U382="Disqualified — Free Game"),0,ROUND(IFERROR($Q382,0)-IFERROR($S382,0),2)))))</ns0:f>
      </ns0:c>
      <ns0:c r="X382" s="956" t="str">
        <ns0:f>IF(COUNTA($A382:$M382)=0,"",IF(OR($U382="Subscription",NOT(ISNUMBER($J382)),NOT(ISNUMBER($I382)),$J382=0,$I382=0,$I382&gt;$J382),"",$J382-$I382))</ns0:f>
      </ns0:c>
      <ns0:c r="Y382" s="955" t="str">
        <ns0:f>IF(COUNTA($A382:$M382)=0,"",IF(OR($U382="Subscription",NOT(ISNUMBER($J382)),$J382=0,$X382=""),"",$X382/$J382))</ns0:f>
      </ns0:c>
      <ns0:c r="Z382" s="957" t="str">
        <ns0:f>IF(COUNTA($A382:$M382)=0,"",Instructions!$B$29+SUM($W$5:W382))</ns0:f>
      </ns0:c>
    </ns0:row>
    <ns0:row r="383" ht="36" customHeight="1">
      <ns0:c r="A383" s="439"/>
      <ns0:c r="B383" s="453"/>
      <ns0:c r="C383" s="453"/>
      <ns0:c r="D383" s="454"/>
      <ns0:c r="E383" s="454"/>
      <ns0:c r="F383" s="454"/>
      <ns0:c r="G383" s="986"/>
      <ns0:c r="H383" s="455"/>
      <ns0:c r="I383" s="456"/>
      <ns0:c r="J383" s="456"/>
      <ns0:c r="K383" s="986"/>
      <ns0:c r="L383" s="454"/>
      <ns0:c r="M383" s="439"/>
      <ns0:c r="N383" s="987" t="str">
        <ns0:f>IF(COUNTA($A383:$M383)=0,"",IF(OR(LEFT(LOWER(TRIM($F383&amp;"")),12)="subscription",LOWER(TRIM($F383&amp;""))="membership"),"",IF(OR(AND($H383&lt;&gt;"",$H383=0),LEFT(LOWER(TRIM($F383&amp;"")),9)="free game",LOWER(TRIM($F383&amp;""))="free",LOWER(TRIM($F383&amp;""))="free entry"),IF(ISNUMBER($G383),IF(ISNUMBER(SEARCH("non",LOWER($E383&amp;""))),$G383*0.85,$G383),"N/A"),IF($G383="","",IFERROR(IF(ISNUMBER(SEARCH("non",LOWER($E383&amp;""))),$G383*0.85,$G383),"")))))</ns0:f>
        <ns0:v/>
      </ns0:c>
      <ns0:c r="O383" s="987" t="str">
        <ns0:f>IF(COUNTA($A383:$M383)=0,"",IF(OR(LEFT(LOWER(TRIM($F383&amp;"")),12)="subscription",LOWER(TRIM($F383&amp;""))="membership"),"",IF(OR(AND($H383&lt;&gt;"",$H383=0),LEFT(LOWER(TRIM($F383&amp;"")),9)="free game",LOWER(TRIM($F383&amp;""))="free",LOWER(TRIM($F383&amp;""))="free entry"),IF(OR(NOT(ISNUMBER($N383)),NOT(ISNUMBER($I383)),$I383=0),"N/A",IFERROR($N383/$I383,"N/A")),IF(OR($N383="",$I383="",$I383=0),"",IFERROR($N383/$I383,"")))))</ns0:f>
        <ns0:v/>
      </ns0:c>
      <ns0:c r="P383" s="987">
        <ns0:f>IF(COUNTA($A383:$M383)=0,"",IF(OR(LEFT(LOWER(TRIM($F383&amp;"")),12)="subscription",LOWER(TRIM($F383&amp;""))="membership"),"",IF(LOWER(TRIM($D383&amp;""))="estimate","N/A",IF(LOWER($L383&amp;"")="yes",0,IF(OR(AND($H383&lt;&gt;"",$H383=0),LEFT(LOWER(TRIM($F383&amp;"")),9)="free game",LOWER(TRIM($F383&amp;""))="free",LOWER(TRIM($F383&amp;""))="free entry"),IF(ISNUMBER($K383),$K383,""),IF($K383&lt;&gt;"",$K383,""))))))</ns0:f>
      </ns0:c>
      <ns0:c r="Q383" s="114">
        <ns0:f>IF(COUNTA($A383:$M383)=0,"",IF(OR($U383="Subscription",$U383=""),"",IF($U383="Estimate","N/A",IF($U383="Profit",ROUND(IFERROR($P383,0)-IFERROR($H383,0),2),0))))</ns0:f>
      </ns0:c>
      <ns0:c r="R383" s="114">
        <ns0:f>IF(COUNTA($A383:$M383)=0,"",IF(OR($U383="Subscription",$U383=""),"",IF($U383="Estimate","N/A",IF($U383="Draw",$H383,0))))</ns0:f>
      </ns0:c>
      <ns0:c r="S383" s="114">
        <ns0:f>IF(COUNTA($A383:$M383)=0,"",IF(OR($U383="Subscription",$U383=""),"",IF($U383="Estimate","N/A",IF($U383="Disqualified",$H383,0))))</ns0:f>
      </ns0:c>
      <ns0:c r="T383" s="955">
        <ns0:f>IF(COUNTA($A383:$M383)=0,"",IF(OR($U383="Subscription",$U383=""),"",IF($U383="Estimate","N/A",IF(OR($U383="Free Game",$U383="Disqualified — Free Game",$H383=0),"N/A",IF($U383="Profit",$Q383/$H383,IF($U383="Disqualified",-$S383/$H383,0))))))</ns0:f>
      </ns0:c>
      <ns0:c r="U383" s="920">
        <ns0:f>IF(COUNTA($A383:$M383)=0,"",IF(OR(LEFT(LOWER(TRIM($F383&amp;"")),12)="subscription",LOWER(TRIM($F383&amp;""))="membership"),"Subscription",IF(LOWER(TRIM($D383&amp;""))="estimate","Estimate",IF(OR(AND($H383&lt;&gt;"",$H383=0),LEFT(LOWER(TRIM($F383&amp;"")),9)="free game",LOWER(TRIM($F383&amp;""))="free",LOWER(TRIM($F383&amp;""))="free entry"),IF(LOWER($L383&amp;"")="yes","Disqualified — Free Game","Free Game"),IF(LOWER($L383&amp;"")="yes","Disqualified",IF($P383="","",IF(ROUND(IFERROR(VALUE($P383),0)-IFERROR(VALUE($H383),0),2)&gt;0,"Profit","Draw")))))))</ns0:f>
      </ns0:c>
      <ns0:c r="V383" s="956" t="str">
        <ns0:f>IF(COUNTA($A383:$M383)=0,"",IF(OR($B383="",$C383="",$U383="Subscription"),"",IFERROR(ROUNDUP(($C383-$B383)/7,0),"")))</ns0:f>
      </ns0:c>
      <ns0:c r="W383" s="114">
        <ns0:f>IF(COUNTA($A383:$M383)=0,"",IF(OR($U383="Subscription",$U383=""),"",IF($U383="Estimate","N/A",IF(OR($U383="Free Game",$U383="Disqualified — Free Game"),0,ROUND(IFERROR($Q383,0)-IFERROR($S383,0),2)))))</ns0:f>
      </ns0:c>
      <ns0:c r="X383" s="956" t="str">
        <ns0:f>IF(COUNTA($A383:$M383)=0,"",IF(OR($U383="Subscription",NOT(ISNUMBER($J383)),NOT(ISNUMBER($I383)),$J383=0,$I383=0,$I383&gt;$J383),"",$J383-$I383))</ns0:f>
      </ns0:c>
      <ns0:c r="Y383" s="955" t="str">
        <ns0:f>IF(COUNTA($A383:$M383)=0,"",IF(OR($U383="Subscription",NOT(ISNUMBER($J383)),$J383=0,$X383=""),"",$X383/$J383))</ns0:f>
      </ns0:c>
      <ns0:c r="Z383" s="957" t="str">
        <ns0:f>IF(COUNTA($A383:$M383)=0,"",Instructions!$B$29+SUM($W$5:W383))</ns0:f>
      </ns0:c>
    </ns0:row>
    <ns0:row r="384" ht="36" customHeight="1">
      <ns0:c r="A384" s="439"/>
      <ns0:c r="B384" s="453"/>
      <ns0:c r="C384" s="453"/>
      <ns0:c r="D384" s="454"/>
      <ns0:c r="E384" s="454"/>
      <ns0:c r="F384" s="454"/>
      <ns0:c r="G384" s="986"/>
      <ns0:c r="H384" s="455"/>
      <ns0:c r="I384" s="456"/>
      <ns0:c r="J384" s="456"/>
      <ns0:c r="K384" s="986"/>
      <ns0:c r="L384" s="454"/>
      <ns0:c r="M384" s="439"/>
      <ns0:c r="N384" s="987" t="str">
        <ns0:f>IF(COUNTA($A384:$M384)=0,"",IF(OR(LEFT(LOWER(TRIM($F384&amp;"")),12)="subscription",LOWER(TRIM($F384&amp;""))="membership"),"",IF(OR(AND($H384&lt;&gt;"",$H384=0),LEFT(LOWER(TRIM($F384&amp;"")),9)="free game",LOWER(TRIM($F384&amp;""))="free",LOWER(TRIM($F384&amp;""))="free entry"),IF(ISNUMBER($G384),IF(ISNUMBER(SEARCH("non",LOWER($E384&amp;""))),$G384*0.85,$G384),"N/A"),IF($G384="","",IFERROR(IF(ISNUMBER(SEARCH("non",LOWER($E384&amp;""))),$G384*0.85,$G384),"")))))</ns0:f>
        <ns0:v/>
      </ns0:c>
      <ns0:c r="O384" s="987" t="str">
        <ns0:f>IF(COUNTA($A384:$M384)=0,"",IF(OR(LEFT(LOWER(TRIM($F384&amp;"")),12)="subscription",LOWER(TRIM($F384&amp;""))="membership"),"",IF(OR(AND($H384&lt;&gt;"",$H384=0),LEFT(LOWER(TRIM($F384&amp;"")),9)="free game",LOWER(TRIM($F384&amp;""))="free",LOWER(TRIM($F384&amp;""))="free entry"),IF(OR(NOT(ISNUMBER($N384)),NOT(ISNUMBER($I384)),$I384=0),"N/A",IFERROR($N384/$I384,"N/A")),IF(OR($N384="",$I384="",$I384=0),"",IFERROR($N384/$I384,"")))))</ns0:f>
        <ns0:v/>
      </ns0:c>
      <ns0:c r="P384" s="987">
        <ns0:f>IF(COUNTA($A384:$M384)=0,"",IF(OR(LEFT(LOWER(TRIM($F384&amp;"")),12)="subscription",LOWER(TRIM($F384&amp;""))="membership"),"",IF(LOWER(TRIM($D384&amp;""))="estimate","N/A",IF(LOWER($L384&amp;"")="yes",0,IF(OR(AND($H384&lt;&gt;"",$H384=0),LEFT(LOWER(TRIM($F384&amp;"")),9)="free game",LOWER(TRIM($F384&amp;""))="free",LOWER(TRIM($F384&amp;""))="free entry"),IF(ISNUMBER($K384),$K384,""),IF($K384&lt;&gt;"",$K384,""))))))</ns0:f>
      </ns0:c>
      <ns0:c r="Q384" s="114">
        <ns0:f>IF(COUNTA($A384:$M384)=0,"",IF(OR($U384="Subscription",$U384=""),"",IF($U384="Estimate","N/A",IF($U384="Profit",ROUND(IFERROR($P384,0)-IFERROR($H384,0),2),0))))</ns0:f>
      </ns0:c>
      <ns0:c r="R384" s="114">
        <ns0:f>IF(COUNTA($A384:$M384)=0,"",IF(OR($U384="Subscription",$U384=""),"",IF($U384="Estimate","N/A",IF($U384="Draw",$H384,0))))</ns0:f>
      </ns0:c>
      <ns0:c r="S384" s="114">
        <ns0:f>IF(COUNTA($A384:$M384)=0,"",IF(OR($U384="Subscription",$U384=""),"",IF($U384="Estimate","N/A",IF($U384="Disqualified",$H384,0))))</ns0:f>
      </ns0:c>
      <ns0:c r="T384" s="955">
        <ns0:f>IF(COUNTA($A384:$M384)=0,"",IF(OR($U384="Subscription",$U384=""),"",IF($U384="Estimate","N/A",IF(OR($U384="Free Game",$U384="Disqualified — Free Game",$H384=0),"N/A",IF($U384="Profit",$Q384/$H384,IF($U384="Disqualified",-$S384/$H384,0))))))</ns0:f>
      </ns0:c>
      <ns0:c r="U384" s="920">
        <ns0:f>IF(COUNTA($A384:$M384)=0,"",IF(OR(LEFT(LOWER(TRIM($F384&amp;"")),12)="subscription",LOWER(TRIM($F384&amp;""))="membership"),"Subscription",IF(LOWER(TRIM($D384&amp;""))="estimate","Estimate",IF(OR(AND($H384&lt;&gt;"",$H384=0),LEFT(LOWER(TRIM($F384&amp;"")),9)="free game",LOWER(TRIM($F384&amp;""))="free",LOWER(TRIM($F384&amp;""))="free entry"),IF(LOWER($L384&amp;"")="yes","Disqualified — Free Game","Free Game"),IF(LOWER($L384&amp;"")="yes","Disqualified",IF($P384="","",IF(ROUND(IFERROR(VALUE($P384),0)-IFERROR(VALUE($H384),0),2)&gt;0,"Profit","Draw")))))))</ns0:f>
      </ns0:c>
      <ns0:c r="V384" s="956" t="str">
        <ns0:f>IF(COUNTA($A384:$M384)=0,"",IF(OR($B384="",$C384="",$U384="Subscription"),"",IFERROR(ROUNDUP(($C384-$B384)/7,0),"")))</ns0:f>
      </ns0:c>
      <ns0:c r="W384" s="114">
        <ns0:f>IF(COUNTA($A384:$M384)=0,"",IF(OR($U384="Subscription",$U384=""),"",IF($U384="Estimate","N/A",IF(OR($U384="Free Game",$U384="Disqualified — Free Game"),0,ROUND(IFERROR($Q384,0)-IFERROR($S384,0),2)))))</ns0:f>
      </ns0:c>
      <ns0:c r="X384" s="956" t="str">
        <ns0:f>IF(COUNTA($A384:$M384)=0,"",IF(OR($U384="Subscription",NOT(ISNUMBER($J384)),NOT(ISNUMBER($I384)),$J384=0,$I384=0,$I384&gt;$J384),"",$J384-$I384))</ns0:f>
      </ns0:c>
      <ns0:c r="Y384" s="955" t="str">
        <ns0:f>IF(COUNTA($A384:$M384)=0,"",IF(OR($U384="Subscription",NOT(ISNUMBER($J384)),$J384=0,$X384=""),"",$X384/$J384))</ns0:f>
      </ns0:c>
      <ns0:c r="Z384" s="957" t="str">
        <ns0:f>IF(COUNTA($A384:$M384)=0,"",Instructions!$B$29+SUM($W$5:W384))</ns0:f>
      </ns0:c>
    </ns0:row>
    <ns0:row r="385" ht="36" customHeight="1">
      <ns0:c r="A385" s="439"/>
      <ns0:c r="B385" s="453"/>
      <ns0:c r="C385" s="453"/>
      <ns0:c r="D385" s="454"/>
      <ns0:c r="E385" s="454"/>
      <ns0:c r="F385" s="454"/>
      <ns0:c r="G385" s="986"/>
      <ns0:c r="H385" s="455"/>
      <ns0:c r="I385" s="456"/>
      <ns0:c r="J385" s="456"/>
      <ns0:c r="K385" s="986"/>
      <ns0:c r="L385" s="454"/>
      <ns0:c r="M385" s="439"/>
      <ns0:c r="N385" s="987" t="str">
        <ns0:f>IF(COUNTA($A385:$M385)=0,"",IF(OR(LEFT(LOWER(TRIM($F385&amp;"")),12)="subscription",LOWER(TRIM($F385&amp;""))="membership"),"",IF(OR(AND($H385&lt;&gt;"",$H385=0),LEFT(LOWER(TRIM($F385&amp;"")),9)="free game",LOWER(TRIM($F385&amp;""))="free",LOWER(TRIM($F385&amp;""))="free entry"),IF(ISNUMBER($G385),IF(ISNUMBER(SEARCH("non",LOWER($E385&amp;""))),$G385*0.85,$G385),"N/A"),IF($G385="","",IFERROR(IF(ISNUMBER(SEARCH("non",LOWER($E385&amp;""))),$G385*0.85,$G385),"")))))</ns0:f>
        <ns0:v/>
      </ns0:c>
      <ns0:c r="O385" s="987" t="str">
        <ns0:f>IF(COUNTA($A385:$M385)=0,"",IF(OR(LEFT(LOWER(TRIM($F385&amp;"")),12)="subscription",LOWER(TRIM($F385&amp;""))="membership"),"",IF(OR(AND($H385&lt;&gt;"",$H385=0),LEFT(LOWER(TRIM($F385&amp;"")),9)="free game",LOWER(TRIM($F385&amp;""))="free",LOWER(TRIM($F385&amp;""))="free entry"),IF(OR(NOT(ISNUMBER($N385)),NOT(ISNUMBER($I385)),$I385=0),"N/A",IFERROR($N385/$I385,"N/A")),IF(OR($N385="",$I385="",$I385=0),"",IFERROR($N385/$I385,"")))))</ns0:f>
        <ns0:v/>
      </ns0:c>
      <ns0:c r="P385" s="987">
        <ns0:f>IF(COUNTA($A385:$M385)=0,"",IF(OR(LEFT(LOWER(TRIM($F385&amp;"")),12)="subscription",LOWER(TRIM($F385&amp;""))="membership"),"",IF(LOWER(TRIM($D385&amp;""))="estimate","N/A",IF(LOWER($L385&amp;"")="yes",0,IF(OR(AND($H385&lt;&gt;"",$H385=0),LEFT(LOWER(TRIM($F385&amp;"")),9)="free game",LOWER(TRIM($F385&amp;""))="free",LOWER(TRIM($F385&amp;""))="free entry"),IF(ISNUMBER($K385),$K385,""),IF($K385&lt;&gt;"",$K385,""))))))</ns0:f>
      </ns0:c>
      <ns0:c r="Q385" s="114">
        <ns0:f>IF(COUNTA($A385:$M385)=0,"",IF(OR($U385="Subscription",$U385=""),"",IF($U385="Estimate","N/A",IF($U385="Profit",ROUND(IFERROR($P385,0)-IFERROR($H385,0),2),0))))</ns0:f>
      </ns0:c>
      <ns0:c r="R385" s="114">
        <ns0:f>IF(COUNTA($A385:$M385)=0,"",IF(OR($U385="Subscription",$U385=""),"",IF($U385="Estimate","N/A",IF($U385="Draw",$H385,0))))</ns0:f>
      </ns0:c>
      <ns0:c r="S385" s="114">
        <ns0:f>IF(COUNTA($A385:$M385)=0,"",IF(OR($U385="Subscription",$U385=""),"",IF($U385="Estimate","N/A",IF($U385="Disqualified",$H385,0))))</ns0:f>
      </ns0:c>
      <ns0:c r="T385" s="955">
        <ns0:f>IF(COUNTA($A385:$M385)=0,"",IF(OR($U385="Subscription",$U385=""),"",IF($U385="Estimate","N/A",IF(OR($U385="Free Game",$U385="Disqualified — Free Game",$H385=0),"N/A",IF($U385="Profit",$Q385/$H385,IF($U385="Disqualified",-$S385/$H385,0))))))</ns0:f>
      </ns0:c>
      <ns0:c r="U385" s="920">
        <ns0:f>IF(COUNTA($A385:$M385)=0,"",IF(OR(LEFT(LOWER(TRIM($F385&amp;"")),12)="subscription",LOWER(TRIM($F385&amp;""))="membership"),"Subscription",IF(LOWER(TRIM($D385&amp;""))="estimate","Estimate",IF(OR(AND($H385&lt;&gt;"",$H385=0),LEFT(LOWER(TRIM($F385&amp;"")),9)="free game",LOWER(TRIM($F385&amp;""))="free",LOWER(TRIM($F385&amp;""))="free entry"),IF(LOWER($L385&amp;"")="yes","Disqualified — Free Game","Free Game"),IF(LOWER($L385&amp;"")="yes","Disqualified",IF($P385="","",IF(ROUND(IFERROR(VALUE($P385),0)-IFERROR(VALUE($H385),0),2)&gt;0,"Profit","Draw")))))))</ns0:f>
      </ns0:c>
      <ns0:c r="V385" s="956" t="str">
        <ns0:f>IF(COUNTA($A385:$M385)=0,"",IF(OR($B385="",$C385="",$U385="Subscription"),"",IFERROR(ROUNDUP(($C385-$B385)/7,0),"")))</ns0:f>
      </ns0:c>
      <ns0:c r="W385" s="114">
        <ns0:f>IF(COUNTA($A385:$M385)=0,"",IF(OR($U385="Subscription",$U385=""),"",IF($U385="Estimate","N/A",IF(OR($U385="Free Game",$U385="Disqualified — Free Game"),0,ROUND(IFERROR($Q385,0)-IFERROR($S385,0),2)))))</ns0:f>
      </ns0:c>
      <ns0:c r="X385" s="956" t="str">
        <ns0:f>IF(COUNTA($A385:$M385)=0,"",IF(OR($U385="Subscription",NOT(ISNUMBER($J385)),NOT(ISNUMBER($I385)),$J385=0,$I385=0,$I385&gt;$J385),"",$J385-$I385))</ns0:f>
      </ns0:c>
      <ns0:c r="Y385" s="955" t="str">
        <ns0:f>IF(COUNTA($A385:$M385)=0,"",IF(OR($U385="Subscription",NOT(ISNUMBER($J385)),$J385=0,$X385=""),"",$X385/$J385))</ns0:f>
      </ns0:c>
      <ns0:c r="Z385" s="957" t="str">
        <ns0:f>IF(COUNTA($A385:$M385)=0,"",Instructions!$B$29+SUM($W$5:W385))</ns0:f>
      </ns0:c>
    </ns0:row>
    <ns0:row r="386" ht="36" customHeight="1">
      <ns0:c r="A386" s="439"/>
      <ns0:c r="B386" s="453"/>
      <ns0:c r="C386" s="453"/>
      <ns0:c r="D386" s="454"/>
      <ns0:c r="E386" s="454"/>
      <ns0:c r="F386" s="454"/>
      <ns0:c r="G386" s="986"/>
      <ns0:c r="H386" s="455"/>
      <ns0:c r="I386" s="456"/>
      <ns0:c r="J386" s="456"/>
      <ns0:c r="K386" s="986"/>
      <ns0:c r="L386" s="454"/>
      <ns0:c r="M386" s="439"/>
      <ns0:c r="N386" s="987" t="str">
        <ns0:f>IF(COUNTA($A386:$M386)=0,"",IF(OR(LEFT(LOWER(TRIM($F386&amp;"")),12)="subscription",LOWER(TRIM($F386&amp;""))="membership"),"",IF(OR(AND($H386&lt;&gt;"",$H386=0),LEFT(LOWER(TRIM($F386&amp;"")),9)="free game",LOWER(TRIM($F386&amp;""))="free",LOWER(TRIM($F386&amp;""))="free entry"),IF(ISNUMBER($G386),IF(ISNUMBER(SEARCH("non",LOWER($E386&amp;""))),$G386*0.85,$G386),"N/A"),IF($G386="","",IFERROR(IF(ISNUMBER(SEARCH("non",LOWER($E386&amp;""))),$G386*0.85,$G386),"")))))</ns0:f>
        <ns0:v/>
      </ns0:c>
      <ns0:c r="O386" s="987" t="str">
        <ns0:f>IF(COUNTA($A386:$M386)=0,"",IF(OR(LEFT(LOWER(TRIM($F386&amp;"")),12)="subscription",LOWER(TRIM($F386&amp;""))="membership"),"",IF(OR(AND($H386&lt;&gt;"",$H386=0),LEFT(LOWER(TRIM($F386&amp;"")),9)="free game",LOWER(TRIM($F386&amp;""))="free",LOWER(TRIM($F386&amp;""))="free entry"),IF(OR(NOT(ISNUMBER($N386)),NOT(ISNUMBER($I386)),$I386=0),"N/A",IFERROR($N386/$I386,"N/A")),IF(OR($N386="",$I386="",$I386=0),"",IFERROR($N386/$I386,"")))))</ns0:f>
        <ns0:v/>
      </ns0:c>
      <ns0:c r="P386" s="987">
        <ns0:f>IF(COUNTA($A386:$M386)=0,"",IF(OR(LEFT(LOWER(TRIM($F386&amp;"")),12)="subscription",LOWER(TRIM($F386&amp;""))="membership"),"",IF(LOWER(TRIM($D386&amp;""))="estimate","N/A",IF(LOWER($L386&amp;"")="yes",0,IF(OR(AND($H386&lt;&gt;"",$H386=0),LEFT(LOWER(TRIM($F386&amp;"")),9)="free game",LOWER(TRIM($F386&amp;""))="free",LOWER(TRIM($F386&amp;""))="free entry"),IF(ISNUMBER($K386),$K386,""),IF($K386&lt;&gt;"",$K386,""))))))</ns0:f>
      </ns0:c>
      <ns0:c r="Q386" s="114">
        <ns0:f>IF(COUNTA($A386:$M386)=0,"",IF(OR($U386="Subscription",$U386=""),"",IF($U386="Estimate","N/A",IF($U386="Profit",ROUND(IFERROR($P386,0)-IFERROR($H386,0),2),0))))</ns0:f>
      </ns0:c>
      <ns0:c r="R386" s="114">
        <ns0:f>IF(COUNTA($A386:$M386)=0,"",IF(OR($U386="Subscription",$U386=""),"",IF($U386="Estimate","N/A",IF($U386="Draw",$H386,0))))</ns0:f>
      </ns0:c>
      <ns0:c r="S386" s="114">
        <ns0:f>IF(COUNTA($A386:$M386)=0,"",IF(OR($U386="Subscription",$U386=""),"",IF($U386="Estimate","N/A",IF($U386="Disqualified",$H386,0))))</ns0:f>
      </ns0:c>
      <ns0:c r="T386" s="955">
        <ns0:f>IF(COUNTA($A386:$M386)=0,"",IF(OR($U386="Subscription",$U386=""),"",IF($U386="Estimate","N/A",IF(OR($U386="Free Game",$U386="Disqualified — Free Game",$H386=0),"N/A",IF($U386="Profit",$Q386/$H386,IF($U386="Disqualified",-$S386/$H386,0))))))</ns0:f>
      </ns0:c>
      <ns0:c r="U386" s="920">
        <ns0:f>IF(COUNTA($A386:$M386)=0,"",IF(OR(LEFT(LOWER(TRIM($F386&amp;"")),12)="subscription",LOWER(TRIM($F386&amp;""))="membership"),"Subscription",IF(LOWER(TRIM($D386&amp;""))="estimate","Estimate",IF(OR(AND($H386&lt;&gt;"",$H386=0),LEFT(LOWER(TRIM($F386&amp;"")),9)="free game",LOWER(TRIM($F386&amp;""))="free",LOWER(TRIM($F386&amp;""))="free entry"),IF(LOWER($L386&amp;"")="yes","Disqualified — Free Game","Free Game"),IF(LOWER($L386&amp;"")="yes","Disqualified",IF($P386="","",IF(ROUND(IFERROR(VALUE($P386),0)-IFERROR(VALUE($H386),0),2)&gt;0,"Profit","Draw")))))))</ns0:f>
      </ns0:c>
      <ns0:c r="V386" s="956" t="str">
        <ns0:f>IF(COUNTA($A386:$M386)=0,"",IF(OR($B386="",$C386="",$U386="Subscription"),"",IFERROR(ROUNDUP(($C386-$B386)/7,0),"")))</ns0:f>
      </ns0:c>
      <ns0:c r="W386" s="114">
        <ns0:f>IF(COUNTA($A386:$M386)=0,"",IF(OR($U386="Subscription",$U386=""),"",IF($U386="Estimate","N/A",IF(OR($U386="Free Game",$U386="Disqualified — Free Game"),0,ROUND(IFERROR($Q386,0)-IFERROR($S386,0),2)))))</ns0:f>
      </ns0:c>
      <ns0:c r="X386" s="956" t="str">
        <ns0:f>IF(COUNTA($A386:$M386)=0,"",IF(OR($U386="Subscription",NOT(ISNUMBER($J386)),NOT(ISNUMBER($I386)),$J386=0,$I386=0,$I386&gt;$J386),"",$J386-$I386))</ns0:f>
      </ns0:c>
      <ns0:c r="Y386" s="955" t="str">
        <ns0:f>IF(COUNTA($A386:$M386)=0,"",IF(OR($U386="Subscription",NOT(ISNUMBER($J386)),$J386=0,$X386=""),"",$X386/$J386))</ns0:f>
      </ns0:c>
      <ns0:c r="Z386" s="957" t="str">
        <ns0:f>IF(COUNTA($A386:$M386)=0,"",Instructions!$B$29+SUM($W$5:W386))</ns0:f>
      </ns0:c>
    </ns0:row>
    <ns0:row r="387" ht="36" customHeight="1">
      <ns0:c r="A387" s="439"/>
      <ns0:c r="B387" s="453"/>
      <ns0:c r="C387" s="453"/>
      <ns0:c r="D387" s="454"/>
      <ns0:c r="E387" s="454"/>
      <ns0:c r="F387" s="454"/>
      <ns0:c r="G387" s="986"/>
      <ns0:c r="H387" s="455"/>
      <ns0:c r="I387" s="456"/>
      <ns0:c r="J387" s="456"/>
      <ns0:c r="K387" s="986"/>
      <ns0:c r="L387" s="454"/>
      <ns0:c r="M387" s="439"/>
      <ns0:c r="N387" s="987" t="str">
        <ns0:f>IF(COUNTA($A387:$M387)=0,"",IF(OR(LEFT(LOWER(TRIM($F387&amp;"")),12)="subscription",LOWER(TRIM($F387&amp;""))="membership"),"",IF(OR(AND($H387&lt;&gt;"",$H387=0),LEFT(LOWER(TRIM($F387&amp;"")),9)="free game",LOWER(TRIM($F387&amp;""))="free",LOWER(TRIM($F387&amp;""))="free entry"),IF(ISNUMBER($G387),IF(ISNUMBER(SEARCH("non",LOWER($E387&amp;""))),$G387*0.85,$G387),"N/A"),IF($G387="","",IFERROR(IF(ISNUMBER(SEARCH("non",LOWER($E387&amp;""))),$G387*0.85,$G387),"")))))</ns0:f>
        <ns0:v/>
      </ns0:c>
      <ns0:c r="O387" s="987" t="str">
        <ns0:f>IF(COUNTA($A387:$M387)=0,"",IF(OR(LEFT(LOWER(TRIM($F387&amp;"")),12)="subscription",LOWER(TRIM($F387&amp;""))="membership"),"",IF(OR(AND($H387&lt;&gt;"",$H387=0),LEFT(LOWER(TRIM($F387&amp;"")),9)="free game",LOWER(TRIM($F387&amp;""))="free",LOWER(TRIM($F387&amp;""))="free entry"),IF(OR(NOT(ISNUMBER($N387)),NOT(ISNUMBER($I387)),$I387=0),"N/A",IFERROR($N387/$I387,"N/A")),IF(OR($N387="",$I387="",$I387=0),"",IFERROR($N387/$I387,"")))))</ns0:f>
        <ns0:v/>
      </ns0:c>
      <ns0:c r="P387" s="987">
        <ns0:f>IF(COUNTA($A387:$M387)=0,"",IF(OR(LEFT(LOWER(TRIM($F387&amp;"")),12)="subscription",LOWER(TRIM($F387&amp;""))="membership"),"",IF(LOWER(TRIM($D387&amp;""))="estimate","N/A",IF(LOWER($L387&amp;"")="yes",0,IF(OR(AND($H387&lt;&gt;"",$H387=0),LEFT(LOWER(TRIM($F387&amp;"")),9)="free game",LOWER(TRIM($F387&amp;""))="free",LOWER(TRIM($F387&amp;""))="free entry"),IF(ISNUMBER($K387),$K387,""),IF($K387&lt;&gt;"",$K387,""))))))</ns0:f>
      </ns0:c>
      <ns0:c r="Q387" s="114">
        <ns0:f>IF(COUNTA($A387:$M387)=0,"",IF(OR($U387="Subscription",$U387=""),"",IF($U387="Estimate","N/A",IF($U387="Profit",ROUND(IFERROR($P387,0)-IFERROR($H387,0),2),0))))</ns0:f>
      </ns0:c>
      <ns0:c r="R387" s="114">
        <ns0:f>IF(COUNTA($A387:$M387)=0,"",IF(OR($U387="Subscription",$U387=""),"",IF($U387="Estimate","N/A",IF($U387="Draw",$H387,0))))</ns0:f>
      </ns0:c>
      <ns0:c r="S387" s="114">
        <ns0:f>IF(COUNTA($A387:$M387)=0,"",IF(OR($U387="Subscription",$U387=""),"",IF($U387="Estimate","N/A",IF($U387="Disqualified",$H387,0))))</ns0:f>
      </ns0:c>
      <ns0:c r="T387" s="955">
        <ns0:f>IF(COUNTA($A387:$M387)=0,"",IF(OR($U387="Subscription",$U387=""),"",IF($U387="Estimate","N/A",IF(OR($U387="Free Game",$U387="Disqualified — Free Game",$H387=0),"N/A",IF($U387="Profit",$Q387/$H387,IF($U387="Disqualified",-$S387/$H387,0))))))</ns0:f>
      </ns0:c>
      <ns0:c r="U387" s="920">
        <ns0:f>IF(COUNTA($A387:$M387)=0,"",IF(OR(LEFT(LOWER(TRIM($F387&amp;"")),12)="subscription",LOWER(TRIM($F387&amp;""))="membership"),"Subscription",IF(LOWER(TRIM($D387&amp;""))="estimate","Estimate",IF(OR(AND($H387&lt;&gt;"",$H387=0),LEFT(LOWER(TRIM($F387&amp;"")),9)="free game",LOWER(TRIM($F387&amp;""))="free",LOWER(TRIM($F387&amp;""))="free entry"),IF(LOWER($L387&amp;"")="yes","Disqualified — Free Game","Free Game"),IF(LOWER($L387&amp;"")="yes","Disqualified",IF($P387="","",IF(ROUND(IFERROR(VALUE($P387),0)-IFERROR(VALUE($H387),0),2)&gt;0,"Profit","Draw")))))))</ns0:f>
      </ns0:c>
      <ns0:c r="V387" s="956" t="str">
        <ns0:f>IF(COUNTA($A387:$M387)=0,"",IF(OR($B387="",$C387="",$U387="Subscription"),"",IFERROR(ROUNDUP(($C387-$B387)/7,0),"")))</ns0:f>
      </ns0:c>
      <ns0:c r="W387" s="114">
        <ns0:f>IF(COUNTA($A387:$M387)=0,"",IF(OR($U387="Subscription",$U387=""),"",IF($U387="Estimate","N/A",IF(OR($U387="Free Game",$U387="Disqualified — Free Game"),0,ROUND(IFERROR($Q387,0)-IFERROR($S387,0),2)))))</ns0:f>
      </ns0:c>
      <ns0:c r="X387" s="956" t="str">
        <ns0:f>IF(COUNTA($A387:$M387)=0,"",IF(OR($U387="Subscription",NOT(ISNUMBER($J387)),NOT(ISNUMBER($I387)),$J387=0,$I387=0,$I387&gt;$J387),"",$J387-$I387))</ns0:f>
      </ns0:c>
      <ns0:c r="Y387" s="955" t="str">
        <ns0:f>IF(COUNTA($A387:$M387)=0,"",IF(OR($U387="Subscription",NOT(ISNUMBER($J387)),$J387=0,$X387=""),"",$X387/$J387))</ns0:f>
      </ns0:c>
      <ns0:c r="Z387" s="957" t="str">
        <ns0:f>IF(COUNTA($A387:$M387)=0,"",Instructions!$B$29+SUM($W$5:W387))</ns0:f>
      </ns0:c>
    </ns0:row>
    <ns0:row r="388" ht="36" customHeight="1">
      <ns0:c r="A388" s="439"/>
      <ns0:c r="B388" s="453"/>
      <ns0:c r="C388" s="453"/>
      <ns0:c r="D388" s="454"/>
      <ns0:c r="E388" s="454"/>
      <ns0:c r="F388" s="454"/>
      <ns0:c r="G388" s="986"/>
      <ns0:c r="H388" s="455"/>
      <ns0:c r="I388" s="456"/>
      <ns0:c r="J388" s="456"/>
      <ns0:c r="K388" s="986"/>
      <ns0:c r="L388" s="454"/>
      <ns0:c r="M388" s="439"/>
      <ns0:c r="N388" s="987" t="str">
        <ns0:f>IF(COUNTA($A388:$M388)=0,"",IF(OR(LEFT(LOWER(TRIM($F388&amp;"")),12)="subscription",LOWER(TRIM($F388&amp;""))="membership"),"",IF(OR(AND($H388&lt;&gt;"",$H388=0),LEFT(LOWER(TRIM($F388&amp;"")),9)="free game",LOWER(TRIM($F388&amp;""))="free",LOWER(TRIM($F388&amp;""))="free entry"),IF(ISNUMBER($G388),IF(ISNUMBER(SEARCH("non",LOWER($E388&amp;""))),$G388*0.85,$G388),"N/A"),IF($G388="","",IFERROR(IF(ISNUMBER(SEARCH("non",LOWER($E388&amp;""))),$G388*0.85,$G388),"")))))</ns0:f>
        <ns0:v/>
      </ns0:c>
      <ns0:c r="O388" s="987" t="str">
        <ns0:f>IF(COUNTA($A388:$M388)=0,"",IF(OR(LEFT(LOWER(TRIM($F388&amp;"")),12)="subscription",LOWER(TRIM($F388&amp;""))="membership"),"",IF(OR(AND($H388&lt;&gt;"",$H388=0),LEFT(LOWER(TRIM($F388&amp;"")),9)="free game",LOWER(TRIM($F388&amp;""))="free",LOWER(TRIM($F388&amp;""))="free entry"),IF(OR(NOT(ISNUMBER($N388)),NOT(ISNUMBER($I388)),$I388=0),"N/A",IFERROR($N388/$I388,"N/A")),IF(OR($N388="",$I388="",$I388=0),"",IFERROR($N388/$I388,"")))))</ns0:f>
        <ns0:v/>
      </ns0:c>
      <ns0:c r="P388" s="987">
        <ns0:f>IF(COUNTA($A388:$M388)=0,"",IF(OR(LEFT(LOWER(TRIM($F388&amp;"")),12)="subscription",LOWER(TRIM($F388&amp;""))="membership"),"",IF(LOWER(TRIM($D388&amp;""))="estimate","N/A",IF(LOWER($L388&amp;"")="yes",0,IF(OR(AND($H388&lt;&gt;"",$H388=0),LEFT(LOWER(TRIM($F388&amp;"")),9)="free game",LOWER(TRIM($F388&amp;""))="free",LOWER(TRIM($F388&amp;""))="free entry"),IF(ISNUMBER($K388),$K388,""),IF($K388&lt;&gt;"",$K388,""))))))</ns0:f>
      </ns0:c>
      <ns0:c r="Q388" s="114">
        <ns0:f>IF(COUNTA($A388:$M388)=0,"",IF(OR($U388="Subscription",$U388=""),"",IF($U388="Estimate","N/A",IF($U388="Profit",ROUND(IFERROR($P388,0)-IFERROR($H388,0),2),0))))</ns0:f>
      </ns0:c>
      <ns0:c r="R388" s="114">
        <ns0:f>IF(COUNTA($A388:$M388)=0,"",IF(OR($U388="Subscription",$U388=""),"",IF($U388="Estimate","N/A",IF($U388="Draw",$H388,0))))</ns0:f>
      </ns0:c>
      <ns0:c r="S388" s="114">
        <ns0:f>IF(COUNTA($A388:$M388)=0,"",IF(OR($U388="Subscription",$U388=""),"",IF($U388="Estimate","N/A",IF($U388="Disqualified",$H388,0))))</ns0:f>
      </ns0:c>
      <ns0:c r="T388" s="955">
        <ns0:f>IF(COUNTA($A388:$M388)=0,"",IF(OR($U388="Subscription",$U388=""),"",IF($U388="Estimate","N/A",IF(OR($U388="Free Game",$U388="Disqualified — Free Game",$H388=0),"N/A",IF($U388="Profit",$Q388/$H388,IF($U388="Disqualified",-$S388/$H388,0))))))</ns0:f>
      </ns0:c>
      <ns0:c r="U388" s="920">
        <ns0:f>IF(COUNTA($A388:$M388)=0,"",IF(OR(LEFT(LOWER(TRIM($F388&amp;"")),12)="subscription",LOWER(TRIM($F388&amp;""))="membership"),"Subscription",IF(LOWER(TRIM($D388&amp;""))="estimate","Estimate",IF(OR(AND($H388&lt;&gt;"",$H388=0),LEFT(LOWER(TRIM($F388&amp;"")),9)="free game",LOWER(TRIM($F388&amp;""))="free",LOWER(TRIM($F388&amp;""))="free entry"),IF(LOWER($L388&amp;"")="yes","Disqualified — Free Game","Free Game"),IF(LOWER($L388&amp;"")="yes","Disqualified",IF($P388="","",IF(ROUND(IFERROR(VALUE($P388),0)-IFERROR(VALUE($H388),0),2)&gt;0,"Profit","Draw")))))))</ns0:f>
      </ns0:c>
      <ns0:c r="V388" s="956" t="str">
        <ns0:f>IF(COUNTA($A388:$M388)=0,"",IF(OR($B388="",$C388="",$U388="Subscription"),"",IFERROR(ROUNDUP(($C388-$B388)/7,0),"")))</ns0:f>
      </ns0:c>
      <ns0:c r="W388" s="114">
        <ns0:f>IF(COUNTA($A388:$M388)=0,"",IF(OR($U388="Subscription",$U388=""),"",IF($U388="Estimate","N/A",IF(OR($U388="Free Game",$U388="Disqualified — Free Game"),0,ROUND(IFERROR($Q388,0)-IFERROR($S388,0),2)))))</ns0:f>
      </ns0:c>
      <ns0:c r="X388" s="956" t="str">
        <ns0:f>IF(COUNTA($A388:$M388)=0,"",IF(OR($U388="Subscription",NOT(ISNUMBER($J388)),NOT(ISNUMBER($I388)),$J388=0,$I388=0,$I388&gt;$J388),"",$J388-$I388))</ns0:f>
      </ns0:c>
      <ns0:c r="Y388" s="955" t="str">
        <ns0:f>IF(COUNTA($A388:$M388)=0,"",IF(OR($U388="Subscription",NOT(ISNUMBER($J388)),$J388=0,$X388=""),"",$X388/$J388))</ns0:f>
      </ns0:c>
      <ns0:c r="Z388" s="957" t="str">
        <ns0:f>IF(COUNTA($A388:$M388)=0,"",Instructions!$B$29+SUM($W$5:W388))</ns0:f>
      </ns0:c>
    </ns0:row>
    <ns0:row r="389" ht="36" customHeight="1">
      <ns0:c r="A389" s="439"/>
      <ns0:c r="B389" s="453"/>
      <ns0:c r="C389" s="453"/>
      <ns0:c r="D389" s="454"/>
      <ns0:c r="E389" s="454"/>
      <ns0:c r="F389" s="454"/>
      <ns0:c r="G389" s="986"/>
      <ns0:c r="H389" s="455"/>
      <ns0:c r="I389" s="456"/>
      <ns0:c r="J389" s="456"/>
      <ns0:c r="K389" s="986"/>
      <ns0:c r="L389" s="454"/>
      <ns0:c r="M389" s="439"/>
      <ns0:c r="N389" s="987" t="str">
        <ns0:f>IF(COUNTA($A389:$M389)=0,"",IF(OR(LEFT(LOWER(TRIM($F389&amp;"")),12)="subscription",LOWER(TRIM($F389&amp;""))="membership"),"",IF(OR(AND($H389&lt;&gt;"",$H389=0),LEFT(LOWER(TRIM($F389&amp;"")),9)="free game",LOWER(TRIM($F389&amp;""))="free",LOWER(TRIM($F389&amp;""))="free entry"),IF(ISNUMBER($G389),IF(ISNUMBER(SEARCH("non",LOWER($E389&amp;""))),$G389*0.85,$G389),"N/A"),IF($G389="","",IFERROR(IF(ISNUMBER(SEARCH("non",LOWER($E389&amp;""))),$G389*0.85,$G389),"")))))</ns0:f>
        <ns0:v/>
      </ns0:c>
      <ns0:c r="O389" s="987" t="str">
        <ns0:f>IF(COUNTA($A389:$M389)=0,"",IF(OR(LEFT(LOWER(TRIM($F389&amp;"")),12)="subscription",LOWER(TRIM($F389&amp;""))="membership"),"",IF(OR(AND($H389&lt;&gt;"",$H389=0),LEFT(LOWER(TRIM($F389&amp;"")),9)="free game",LOWER(TRIM($F389&amp;""))="free",LOWER(TRIM($F389&amp;""))="free entry"),IF(OR(NOT(ISNUMBER($N389)),NOT(ISNUMBER($I389)),$I389=0),"N/A",IFERROR($N389/$I389,"N/A")),IF(OR($N389="",$I389="",$I389=0),"",IFERROR($N389/$I389,"")))))</ns0:f>
        <ns0:v/>
      </ns0:c>
      <ns0:c r="P389" s="987">
        <ns0:f>IF(COUNTA($A389:$M389)=0,"",IF(OR(LEFT(LOWER(TRIM($F389&amp;"")),12)="subscription",LOWER(TRIM($F389&amp;""))="membership"),"",IF(LOWER(TRIM($D389&amp;""))="estimate","N/A",IF(LOWER($L389&amp;"")="yes",0,IF(OR(AND($H389&lt;&gt;"",$H389=0),LEFT(LOWER(TRIM($F389&amp;"")),9)="free game",LOWER(TRIM($F389&amp;""))="free",LOWER(TRIM($F389&amp;""))="free entry"),IF(ISNUMBER($K389),$K389,""),IF($K389&lt;&gt;"",$K389,""))))))</ns0:f>
      </ns0:c>
      <ns0:c r="Q389" s="114">
        <ns0:f>IF(COUNTA($A389:$M389)=0,"",IF(OR($U389="Subscription",$U389=""),"",IF($U389="Estimate","N/A",IF($U389="Profit",ROUND(IFERROR($P389,0)-IFERROR($H389,0),2),0))))</ns0:f>
      </ns0:c>
      <ns0:c r="R389" s="114">
        <ns0:f>IF(COUNTA($A389:$M389)=0,"",IF(OR($U389="Subscription",$U389=""),"",IF($U389="Estimate","N/A",IF($U389="Draw",$H389,0))))</ns0:f>
      </ns0:c>
      <ns0:c r="S389" s="114">
        <ns0:f>IF(COUNTA($A389:$M389)=0,"",IF(OR($U389="Subscription",$U389=""),"",IF($U389="Estimate","N/A",IF($U389="Disqualified",$H389,0))))</ns0:f>
      </ns0:c>
      <ns0:c r="T389" s="955">
        <ns0:f>IF(COUNTA($A389:$M389)=0,"",IF(OR($U389="Subscription",$U389=""),"",IF($U389="Estimate","N/A",IF(OR($U389="Free Game",$U389="Disqualified — Free Game",$H389=0),"N/A",IF($U389="Profit",$Q389/$H389,IF($U389="Disqualified",-$S389/$H389,0))))))</ns0:f>
      </ns0:c>
      <ns0:c r="U389" s="920">
        <ns0:f>IF(COUNTA($A389:$M389)=0,"",IF(OR(LEFT(LOWER(TRIM($F389&amp;"")),12)="subscription",LOWER(TRIM($F389&amp;""))="membership"),"Subscription",IF(LOWER(TRIM($D389&amp;""))="estimate","Estimate",IF(OR(AND($H389&lt;&gt;"",$H389=0),LEFT(LOWER(TRIM($F389&amp;"")),9)="free game",LOWER(TRIM($F389&amp;""))="free",LOWER(TRIM($F389&amp;""))="free entry"),IF(LOWER($L389&amp;"")="yes","Disqualified — Free Game","Free Game"),IF(LOWER($L389&amp;"")="yes","Disqualified",IF($P389="","",IF(ROUND(IFERROR(VALUE($P389),0)-IFERROR(VALUE($H389),0),2)&gt;0,"Profit","Draw")))))))</ns0:f>
      </ns0:c>
      <ns0:c r="V389" s="956" t="str">
        <ns0:f>IF(COUNTA($A389:$M389)=0,"",IF(OR($B389="",$C389="",$U389="Subscription"),"",IFERROR(ROUNDUP(($C389-$B389)/7,0),"")))</ns0:f>
      </ns0:c>
      <ns0:c r="W389" s="114">
        <ns0:f>IF(COUNTA($A389:$M389)=0,"",IF(OR($U389="Subscription",$U389=""),"",IF($U389="Estimate","N/A",IF(OR($U389="Free Game",$U389="Disqualified — Free Game"),0,ROUND(IFERROR($Q389,0)-IFERROR($S389,0),2)))))</ns0:f>
      </ns0:c>
      <ns0:c r="X389" s="956" t="str">
        <ns0:f>IF(COUNTA($A389:$M389)=0,"",IF(OR($U389="Subscription",NOT(ISNUMBER($J389)),NOT(ISNUMBER($I389)),$J389=0,$I389=0,$I389&gt;$J389),"",$J389-$I389))</ns0:f>
      </ns0:c>
      <ns0:c r="Y389" s="955" t="str">
        <ns0:f>IF(COUNTA($A389:$M389)=0,"",IF(OR($U389="Subscription",NOT(ISNUMBER($J389)),$J389=0,$X389=""),"",$X389/$J389))</ns0:f>
      </ns0:c>
      <ns0:c r="Z389" s="957" t="str">
        <ns0:f>IF(COUNTA($A389:$M389)=0,"",Instructions!$B$29+SUM($W$5:W389))</ns0:f>
      </ns0:c>
    </ns0:row>
    <ns0:row r="390" ht="36" customHeight="1">
      <ns0:c r="A390" s="439"/>
      <ns0:c r="B390" s="453"/>
      <ns0:c r="C390" s="453"/>
      <ns0:c r="D390" s="454"/>
      <ns0:c r="E390" s="454"/>
      <ns0:c r="F390" s="454"/>
      <ns0:c r="G390" s="986"/>
      <ns0:c r="H390" s="455"/>
      <ns0:c r="I390" s="456"/>
      <ns0:c r="J390" s="456"/>
      <ns0:c r="K390" s="986"/>
      <ns0:c r="L390" s="454"/>
      <ns0:c r="M390" s="439"/>
      <ns0:c r="N390" s="987" t="str">
        <ns0:f>IF(COUNTA($A390:$M390)=0,"",IF(OR(LEFT(LOWER(TRIM($F390&amp;"")),12)="subscription",LOWER(TRIM($F390&amp;""))="membership"),"",IF(OR(AND($H390&lt;&gt;"",$H390=0),LEFT(LOWER(TRIM($F390&amp;"")),9)="free game",LOWER(TRIM($F390&amp;""))="free",LOWER(TRIM($F390&amp;""))="free entry"),IF(ISNUMBER($G390),IF(ISNUMBER(SEARCH("non",LOWER($E390&amp;""))),$G390*0.85,$G390),"N/A"),IF($G390="","",IFERROR(IF(ISNUMBER(SEARCH("non",LOWER($E390&amp;""))),$G390*0.85,$G390),"")))))</ns0:f>
        <ns0:v/>
      </ns0:c>
      <ns0:c r="O390" s="987" t="str">
        <ns0:f>IF(COUNTA($A390:$M390)=0,"",IF(OR(LEFT(LOWER(TRIM($F390&amp;"")),12)="subscription",LOWER(TRIM($F390&amp;""))="membership"),"",IF(OR(AND($H390&lt;&gt;"",$H390=0),LEFT(LOWER(TRIM($F390&amp;"")),9)="free game",LOWER(TRIM($F390&amp;""))="free",LOWER(TRIM($F390&amp;""))="free entry"),IF(OR(NOT(ISNUMBER($N390)),NOT(ISNUMBER($I390)),$I390=0),"N/A",IFERROR($N390/$I390,"N/A")),IF(OR($N390="",$I390="",$I390=0),"",IFERROR($N390/$I390,"")))))</ns0:f>
        <ns0:v/>
      </ns0:c>
      <ns0:c r="P390" s="987">
        <ns0:f>IF(COUNTA($A390:$M390)=0,"",IF(OR(LEFT(LOWER(TRIM($F390&amp;"")),12)="subscription",LOWER(TRIM($F390&amp;""))="membership"),"",IF(LOWER(TRIM($D390&amp;""))="estimate","N/A",IF(LOWER($L390&amp;"")="yes",0,IF(OR(AND($H390&lt;&gt;"",$H390=0),LEFT(LOWER(TRIM($F390&amp;"")),9)="free game",LOWER(TRIM($F390&amp;""))="free",LOWER(TRIM($F390&amp;""))="free entry"),IF(ISNUMBER($K390),$K390,""),IF($K390&lt;&gt;"",$K390,""))))))</ns0:f>
      </ns0:c>
      <ns0:c r="Q390" s="114">
        <ns0:f>IF(COUNTA($A390:$M390)=0,"",IF(OR($U390="Subscription",$U390=""),"",IF($U390="Estimate","N/A",IF($U390="Profit",ROUND(IFERROR($P390,0)-IFERROR($H390,0),2),0))))</ns0:f>
      </ns0:c>
      <ns0:c r="R390" s="114">
        <ns0:f>IF(COUNTA($A390:$M390)=0,"",IF(OR($U390="Subscription",$U390=""),"",IF($U390="Estimate","N/A",IF($U390="Draw",$H390,0))))</ns0:f>
      </ns0:c>
      <ns0:c r="S390" s="114">
        <ns0:f>IF(COUNTA($A390:$M390)=0,"",IF(OR($U390="Subscription",$U390=""),"",IF($U390="Estimate","N/A",IF($U390="Disqualified",$H390,0))))</ns0:f>
      </ns0:c>
      <ns0:c r="T390" s="955">
        <ns0:f>IF(COUNTA($A390:$M390)=0,"",IF(OR($U390="Subscription",$U390=""),"",IF($U390="Estimate","N/A",IF(OR($U390="Free Game",$U390="Disqualified — Free Game",$H390=0),"N/A",IF($U390="Profit",$Q390/$H390,IF($U390="Disqualified",-$S390/$H390,0))))))</ns0:f>
      </ns0:c>
      <ns0:c r="U390" s="920">
        <ns0:f>IF(COUNTA($A390:$M390)=0,"",IF(OR(LEFT(LOWER(TRIM($F390&amp;"")),12)="subscription",LOWER(TRIM($F390&amp;""))="membership"),"Subscription",IF(LOWER(TRIM($D390&amp;""))="estimate","Estimate",IF(OR(AND($H390&lt;&gt;"",$H390=0),LEFT(LOWER(TRIM($F390&amp;"")),9)="free game",LOWER(TRIM($F390&amp;""))="free",LOWER(TRIM($F390&amp;""))="free entry"),IF(LOWER($L390&amp;"")="yes","Disqualified — Free Game","Free Game"),IF(LOWER($L390&amp;"")="yes","Disqualified",IF($P390="","",IF(ROUND(IFERROR(VALUE($P390),0)-IFERROR(VALUE($H390),0),2)&gt;0,"Profit","Draw")))))))</ns0:f>
      </ns0:c>
      <ns0:c r="V390" s="956" t="str">
        <ns0:f>IF(COUNTA($A390:$M390)=0,"",IF(OR($B390="",$C390="",$U390="Subscription"),"",IFERROR(ROUNDUP(($C390-$B390)/7,0),"")))</ns0:f>
      </ns0:c>
      <ns0:c r="W390" s="114">
        <ns0:f>IF(COUNTA($A390:$M390)=0,"",IF(OR($U390="Subscription",$U390=""),"",IF($U390="Estimate","N/A",IF(OR($U390="Free Game",$U390="Disqualified — Free Game"),0,ROUND(IFERROR($Q390,0)-IFERROR($S390,0),2)))))</ns0:f>
      </ns0:c>
      <ns0:c r="X390" s="956" t="str">
        <ns0:f>IF(COUNTA($A390:$M390)=0,"",IF(OR($U390="Subscription",NOT(ISNUMBER($J390)),NOT(ISNUMBER($I390)),$J390=0,$I390=0,$I390&gt;$J390),"",$J390-$I390))</ns0:f>
      </ns0:c>
      <ns0:c r="Y390" s="955" t="str">
        <ns0:f>IF(COUNTA($A390:$M390)=0,"",IF(OR($U390="Subscription",NOT(ISNUMBER($J390)),$J390=0,$X390=""),"",$X390/$J390))</ns0:f>
      </ns0:c>
      <ns0:c r="Z390" s="957" t="str">
        <ns0:f>IF(COUNTA($A390:$M390)=0,"",Instructions!$B$29+SUM($W$5:W390))</ns0:f>
      </ns0:c>
    </ns0:row>
    <ns0:row r="391" ht="36" customHeight="1">
      <ns0:c r="A391" s="439"/>
      <ns0:c r="B391" s="453"/>
      <ns0:c r="C391" s="453"/>
      <ns0:c r="D391" s="454"/>
      <ns0:c r="E391" s="454"/>
      <ns0:c r="F391" s="454"/>
      <ns0:c r="G391" s="986"/>
      <ns0:c r="H391" s="455"/>
      <ns0:c r="I391" s="456"/>
      <ns0:c r="J391" s="456"/>
      <ns0:c r="K391" s="986"/>
      <ns0:c r="L391" s="454"/>
      <ns0:c r="M391" s="439"/>
      <ns0:c r="N391" s="987" t="str">
        <ns0:f>IF(COUNTA($A391:$M391)=0,"",IF(OR(LEFT(LOWER(TRIM($F391&amp;"")),12)="subscription",LOWER(TRIM($F391&amp;""))="membership"),"",IF(OR(AND($H391&lt;&gt;"",$H391=0),LEFT(LOWER(TRIM($F391&amp;"")),9)="free game",LOWER(TRIM($F391&amp;""))="free",LOWER(TRIM($F391&amp;""))="free entry"),IF(ISNUMBER($G391),IF(ISNUMBER(SEARCH("non",LOWER($E391&amp;""))),$G391*0.85,$G391),"N/A"),IF($G391="","",IFERROR(IF(ISNUMBER(SEARCH("non",LOWER($E391&amp;""))),$G391*0.85,$G391),"")))))</ns0:f>
        <ns0:v/>
      </ns0:c>
      <ns0:c r="O391" s="987" t="str">
        <ns0:f>IF(COUNTA($A391:$M391)=0,"",IF(OR(LEFT(LOWER(TRIM($F391&amp;"")),12)="subscription",LOWER(TRIM($F391&amp;""))="membership"),"",IF(OR(AND($H391&lt;&gt;"",$H391=0),LEFT(LOWER(TRIM($F391&amp;"")),9)="free game",LOWER(TRIM($F391&amp;""))="free",LOWER(TRIM($F391&amp;""))="free entry"),IF(OR(NOT(ISNUMBER($N391)),NOT(ISNUMBER($I391)),$I391=0),"N/A",IFERROR($N391/$I391,"N/A")),IF(OR($N391="",$I391="",$I391=0),"",IFERROR($N391/$I391,"")))))</ns0:f>
        <ns0:v/>
      </ns0:c>
      <ns0:c r="P391" s="987">
        <ns0:f>IF(COUNTA($A391:$M391)=0,"",IF(OR(LEFT(LOWER(TRIM($F391&amp;"")),12)="subscription",LOWER(TRIM($F391&amp;""))="membership"),"",IF(LOWER(TRIM($D391&amp;""))="estimate","N/A",IF(LOWER($L391&amp;"")="yes",0,IF(OR(AND($H391&lt;&gt;"",$H391=0),LEFT(LOWER(TRIM($F391&amp;"")),9)="free game",LOWER(TRIM($F391&amp;""))="free",LOWER(TRIM($F391&amp;""))="free entry"),IF(ISNUMBER($K391),$K391,""),IF($K391&lt;&gt;"",$K391,""))))))</ns0:f>
      </ns0:c>
      <ns0:c r="Q391" s="114">
        <ns0:f>IF(COUNTA($A391:$M391)=0,"",IF(OR($U391="Subscription",$U391=""),"",IF($U391="Estimate","N/A",IF($U391="Profit",ROUND(IFERROR($P391,0)-IFERROR($H391,0),2),0))))</ns0:f>
      </ns0:c>
      <ns0:c r="R391" s="114">
        <ns0:f>IF(COUNTA($A391:$M391)=0,"",IF(OR($U391="Subscription",$U391=""),"",IF($U391="Estimate","N/A",IF($U391="Draw",$H391,0))))</ns0:f>
      </ns0:c>
      <ns0:c r="S391" s="114">
        <ns0:f>IF(COUNTA($A391:$M391)=0,"",IF(OR($U391="Subscription",$U391=""),"",IF($U391="Estimate","N/A",IF($U391="Disqualified",$H391,0))))</ns0:f>
      </ns0:c>
      <ns0:c r="T391" s="955">
        <ns0:f>IF(COUNTA($A391:$M391)=0,"",IF(OR($U391="Subscription",$U391=""),"",IF($U391="Estimate","N/A",IF(OR($U391="Free Game",$U391="Disqualified — Free Game",$H391=0),"N/A",IF($U391="Profit",$Q391/$H391,IF($U391="Disqualified",-$S391/$H391,0))))))</ns0:f>
      </ns0:c>
      <ns0:c r="U391" s="920">
        <ns0:f>IF(COUNTA($A391:$M391)=0,"",IF(OR(LEFT(LOWER(TRIM($F391&amp;"")),12)="subscription",LOWER(TRIM($F391&amp;""))="membership"),"Subscription",IF(LOWER(TRIM($D391&amp;""))="estimate","Estimate",IF(OR(AND($H391&lt;&gt;"",$H391=0),LEFT(LOWER(TRIM($F391&amp;"")),9)="free game",LOWER(TRIM($F391&amp;""))="free",LOWER(TRIM($F391&amp;""))="free entry"),IF(LOWER($L391&amp;"")="yes","Disqualified — Free Game","Free Game"),IF(LOWER($L391&amp;"")="yes","Disqualified",IF($P391="","",IF(ROUND(IFERROR(VALUE($P391),0)-IFERROR(VALUE($H391),0),2)&gt;0,"Profit","Draw")))))))</ns0:f>
      </ns0:c>
      <ns0:c r="V391" s="956" t="str">
        <ns0:f>IF(COUNTA($A391:$M391)=0,"",IF(OR($B391="",$C391="",$U391="Subscription"),"",IFERROR(ROUNDUP(($C391-$B391)/7,0),"")))</ns0:f>
      </ns0:c>
      <ns0:c r="W391" s="114">
        <ns0:f>IF(COUNTA($A391:$M391)=0,"",IF(OR($U391="Subscription",$U391=""),"",IF($U391="Estimate","N/A",IF(OR($U391="Free Game",$U391="Disqualified — Free Game"),0,ROUND(IFERROR($Q391,0)-IFERROR($S391,0),2)))))</ns0:f>
      </ns0:c>
      <ns0:c r="X391" s="956" t="str">
        <ns0:f>IF(COUNTA($A391:$M391)=0,"",IF(OR($U391="Subscription",NOT(ISNUMBER($J391)),NOT(ISNUMBER($I391)),$J391=0,$I391=0,$I391&gt;$J391),"",$J391-$I391))</ns0:f>
      </ns0:c>
      <ns0:c r="Y391" s="955" t="str">
        <ns0:f>IF(COUNTA($A391:$M391)=0,"",IF(OR($U391="Subscription",NOT(ISNUMBER($J391)),$J391=0,$X391=""),"",$X391/$J391))</ns0:f>
      </ns0:c>
      <ns0:c r="Z391" s="957" t="str">
        <ns0:f>IF(COUNTA($A391:$M391)=0,"",Instructions!$B$29+SUM($W$5:W391))</ns0:f>
      </ns0:c>
    </ns0:row>
    <ns0:row r="392" ht="36" customHeight="1">
      <ns0:c r="A392" s="439"/>
      <ns0:c r="B392" s="453"/>
      <ns0:c r="C392" s="453"/>
      <ns0:c r="D392" s="454"/>
      <ns0:c r="E392" s="454"/>
      <ns0:c r="F392" s="454"/>
      <ns0:c r="G392" s="986"/>
      <ns0:c r="H392" s="455"/>
      <ns0:c r="I392" s="456"/>
      <ns0:c r="J392" s="456"/>
      <ns0:c r="K392" s="986"/>
      <ns0:c r="L392" s="454"/>
      <ns0:c r="M392" s="439"/>
      <ns0:c r="N392" s="987" t="str">
        <ns0:f>IF(COUNTA($A392:$M392)=0,"",IF(OR(LEFT(LOWER(TRIM($F392&amp;"")),12)="subscription",LOWER(TRIM($F392&amp;""))="membership"),"",IF(OR(AND($H392&lt;&gt;"",$H392=0),LEFT(LOWER(TRIM($F392&amp;"")),9)="free game",LOWER(TRIM($F392&amp;""))="free",LOWER(TRIM($F392&amp;""))="free entry"),IF(ISNUMBER($G392),IF(ISNUMBER(SEARCH("non",LOWER($E392&amp;""))),$G392*0.85,$G392),"N/A"),IF($G392="","",IFERROR(IF(ISNUMBER(SEARCH("non",LOWER($E392&amp;""))),$G392*0.85,$G392),"")))))</ns0:f>
        <ns0:v/>
      </ns0:c>
      <ns0:c r="O392" s="987" t="str">
        <ns0:f>IF(COUNTA($A392:$M392)=0,"",IF(OR(LEFT(LOWER(TRIM($F392&amp;"")),12)="subscription",LOWER(TRIM($F392&amp;""))="membership"),"",IF(OR(AND($H392&lt;&gt;"",$H392=0),LEFT(LOWER(TRIM($F392&amp;"")),9)="free game",LOWER(TRIM($F392&amp;""))="free",LOWER(TRIM($F392&amp;""))="free entry"),IF(OR(NOT(ISNUMBER($N392)),NOT(ISNUMBER($I392)),$I392=0),"N/A",IFERROR($N392/$I392,"N/A")),IF(OR($N392="",$I392="",$I392=0),"",IFERROR($N392/$I392,"")))))</ns0:f>
        <ns0:v/>
      </ns0:c>
      <ns0:c r="P392" s="987">
        <ns0:f>IF(COUNTA($A392:$M392)=0,"",IF(OR(LEFT(LOWER(TRIM($F392&amp;"")),12)="subscription",LOWER(TRIM($F392&amp;""))="membership"),"",IF(LOWER(TRIM($D392&amp;""))="estimate","N/A",IF(LOWER($L392&amp;"")="yes",0,IF(OR(AND($H392&lt;&gt;"",$H392=0),LEFT(LOWER(TRIM($F392&amp;"")),9)="free game",LOWER(TRIM($F392&amp;""))="free",LOWER(TRIM($F392&amp;""))="free entry"),IF(ISNUMBER($K392),$K392,""),IF($K392&lt;&gt;"",$K392,""))))))</ns0:f>
      </ns0:c>
      <ns0:c r="Q392" s="114">
        <ns0:f>IF(COUNTA($A392:$M392)=0,"",IF(OR($U392="Subscription",$U392=""),"",IF($U392="Estimate","N/A",IF($U392="Profit",ROUND(IFERROR($P392,0)-IFERROR($H392,0),2),0))))</ns0:f>
      </ns0:c>
      <ns0:c r="R392" s="114">
        <ns0:f>IF(COUNTA($A392:$M392)=0,"",IF(OR($U392="Subscription",$U392=""),"",IF($U392="Estimate","N/A",IF($U392="Draw",$H392,0))))</ns0:f>
      </ns0:c>
      <ns0:c r="S392" s="114">
        <ns0:f>IF(COUNTA($A392:$M392)=0,"",IF(OR($U392="Subscription",$U392=""),"",IF($U392="Estimate","N/A",IF($U392="Disqualified",$H392,0))))</ns0:f>
      </ns0:c>
      <ns0:c r="T392" s="955">
        <ns0:f>IF(COUNTA($A392:$M392)=0,"",IF(OR($U392="Subscription",$U392=""),"",IF($U392="Estimate","N/A",IF(OR($U392="Free Game",$U392="Disqualified — Free Game",$H392=0),"N/A",IF($U392="Profit",$Q392/$H392,IF($U392="Disqualified",-$S392/$H392,0))))))</ns0:f>
      </ns0:c>
      <ns0:c r="U392" s="920">
        <ns0:f>IF(COUNTA($A392:$M392)=0,"",IF(OR(LEFT(LOWER(TRIM($F392&amp;"")),12)="subscription",LOWER(TRIM($F392&amp;""))="membership"),"Subscription",IF(LOWER(TRIM($D392&amp;""))="estimate","Estimate",IF(OR(AND($H392&lt;&gt;"",$H392=0),LEFT(LOWER(TRIM($F392&amp;"")),9)="free game",LOWER(TRIM($F392&amp;""))="free",LOWER(TRIM($F392&amp;""))="free entry"),IF(LOWER($L392&amp;"")="yes","Disqualified — Free Game","Free Game"),IF(LOWER($L392&amp;"")="yes","Disqualified",IF($P392="","",IF(ROUND(IFERROR(VALUE($P392),0)-IFERROR(VALUE($H392),0),2)&gt;0,"Profit","Draw")))))))</ns0:f>
      </ns0:c>
      <ns0:c r="V392" s="956" t="str">
        <ns0:f>IF(COUNTA($A392:$M392)=0,"",IF(OR($B392="",$C392="",$U392="Subscription"),"",IFERROR(ROUNDUP(($C392-$B392)/7,0),"")))</ns0:f>
      </ns0:c>
      <ns0:c r="W392" s="114">
        <ns0:f>IF(COUNTA($A392:$M392)=0,"",IF(OR($U392="Subscription",$U392=""),"",IF($U392="Estimate","N/A",IF(OR($U392="Free Game",$U392="Disqualified — Free Game"),0,ROUND(IFERROR($Q392,0)-IFERROR($S392,0),2)))))</ns0:f>
      </ns0:c>
      <ns0:c r="X392" s="956" t="str">
        <ns0:f>IF(COUNTA($A392:$M392)=0,"",IF(OR($U392="Subscription",NOT(ISNUMBER($J392)),NOT(ISNUMBER($I392)),$J392=0,$I392=0,$I392&gt;$J392),"",$J392-$I392))</ns0:f>
      </ns0:c>
      <ns0:c r="Y392" s="955" t="str">
        <ns0:f>IF(COUNTA($A392:$M392)=0,"",IF(OR($U392="Subscription",NOT(ISNUMBER($J392)),$J392=0,$X392=""),"",$X392/$J392))</ns0:f>
      </ns0:c>
      <ns0:c r="Z392" s="957" t="str">
        <ns0:f>IF(COUNTA($A392:$M392)=0,"",Instructions!$B$29+SUM($W$5:W392))</ns0:f>
      </ns0:c>
    </ns0:row>
    <ns0:row r="393" ht="36" customHeight="1">
      <ns0:c r="A393" s="439"/>
      <ns0:c r="B393" s="453"/>
      <ns0:c r="C393" s="453"/>
      <ns0:c r="D393" s="454"/>
      <ns0:c r="E393" s="454"/>
      <ns0:c r="F393" s="454"/>
      <ns0:c r="G393" s="986"/>
      <ns0:c r="H393" s="455"/>
      <ns0:c r="I393" s="456"/>
      <ns0:c r="J393" s="456"/>
      <ns0:c r="K393" s="986"/>
      <ns0:c r="L393" s="454"/>
      <ns0:c r="M393" s="439"/>
      <ns0:c r="N393" s="987" t="str">
        <ns0:f>IF(COUNTA($A393:$M393)=0,"",IF(OR(LEFT(LOWER(TRIM($F393&amp;"")),12)="subscription",LOWER(TRIM($F393&amp;""))="membership"),"",IF(OR(AND($H393&lt;&gt;"",$H393=0),LEFT(LOWER(TRIM($F393&amp;"")),9)="free game",LOWER(TRIM($F393&amp;""))="free",LOWER(TRIM($F393&amp;""))="free entry"),IF(ISNUMBER($G393),IF(ISNUMBER(SEARCH("non",LOWER($E393&amp;""))),$G393*0.85,$G393),"N/A"),IF($G393="","",IFERROR(IF(ISNUMBER(SEARCH("non",LOWER($E393&amp;""))),$G393*0.85,$G393),"")))))</ns0:f>
        <ns0:v/>
      </ns0:c>
      <ns0:c r="O393" s="987" t="str">
        <ns0:f>IF(COUNTA($A393:$M393)=0,"",IF(OR(LEFT(LOWER(TRIM($F393&amp;"")),12)="subscription",LOWER(TRIM($F393&amp;""))="membership"),"",IF(OR(AND($H393&lt;&gt;"",$H393=0),LEFT(LOWER(TRIM($F393&amp;"")),9)="free game",LOWER(TRIM($F393&amp;""))="free",LOWER(TRIM($F393&amp;""))="free entry"),IF(OR(NOT(ISNUMBER($N393)),NOT(ISNUMBER($I393)),$I393=0),"N/A",IFERROR($N393/$I393,"N/A")),IF(OR($N393="",$I393="",$I393=0),"",IFERROR($N393/$I393,"")))))</ns0:f>
        <ns0:v/>
      </ns0:c>
      <ns0:c r="P393" s="987">
        <ns0:f>IF(COUNTA($A393:$M393)=0,"",IF(OR(LEFT(LOWER(TRIM($F393&amp;"")),12)="subscription",LOWER(TRIM($F393&amp;""))="membership"),"",IF(LOWER(TRIM($D393&amp;""))="estimate","N/A",IF(LOWER($L393&amp;"")="yes",0,IF(OR(AND($H393&lt;&gt;"",$H393=0),LEFT(LOWER(TRIM($F393&amp;"")),9)="free game",LOWER(TRIM($F393&amp;""))="free",LOWER(TRIM($F393&amp;""))="free entry"),IF(ISNUMBER($K393),$K393,""),IF($K393&lt;&gt;"",$K393,""))))))</ns0:f>
      </ns0:c>
      <ns0:c r="Q393" s="114">
        <ns0:f>IF(COUNTA($A393:$M393)=0,"",IF(OR($U393="Subscription",$U393=""),"",IF($U393="Estimate","N/A",IF($U393="Profit",ROUND(IFERROR($P393,0)-IFERROR($H393,0),2),0))))</ns0:f>
      </ns0:c>
      <ns0:c r="R393" s="114">
        <ns0:f>IF(COUNTA($A393:$M393)=0,"",IF(OR($U393="Subscription",$U393=""),"",IF($U393="Estimate","N/A",IF($U393="Draw",$H393,0))))</ns0:f>
      </ns0:c>
      <ns0:c r="S393" s="114">
        <ns0:f>IF(COUNTA($A393:$M393)=0,"",IF(OR($U393="Subscription",$U393=""),"",IF($U393="Estimate","N/A",IF($U393="Disqualified",$H393,0))))</ns0:f>
      </ns0:c>
      <ns0:c r="T393" s="955">
        <ns0:f>IF(COUNTA($A393:$M393)=0,"",IF(OR($U393="Subscription",$U393=""),"",IF($U393="Estimate","N/A",IF(OR($U393="Free Game",$U393="Disqualified — Free Game",$H393=0),"N/A",IF($U393="Profit",$Q393/$H393,IF($U393="Disqualified",-$S393/$H393,0))))))</ns0:f>
      </ns0:c>
      <ns0:c r="U393" s="920">
        <ns0:f>IF(COUNTA($A393:$M393)=0,"",IF(OR(LEFT(LOWER(TRIM($F393&amp;"")),12)="subscription",LOWER(TRIM($F393&amp;""))="membership"),"Subscription",IF(LOWER(TRIM($D393&amp;""))="estimate","Estimate",IF(OR(AND($H393&lt;&gt;"",$H393=0),LEFT(LOWER(TRIM($F393&amp;"")),9)="free game",LOWER(TRIM($F393&amp;""))="free",LOWER(TRIM($F393&amp;""))="free entry"),IF(LOWER($L393&amp;"")="yes","Disqualified — Free Game","Free Game"),IF(LOWER($L393&amp;"")="yes","Disqualified",IF($P393="","",IF(ROUND(IFERROR(VALUE($P393),0)-IFERROR(VALUE($H393),0),2)&gt;0,"Profit","Draw")))))))</ns0:f>
      </ns0:c>
      <ns0:c r="V393" s="956" t="str">
        <ns0:f>IF(COUNTA($A393:$M393)=0,"",IF(OR($B393="",$C393="",$U393="Subscription"),"",IFERROR(ROUNDUP(($C393-$B393)/7,0),"")))</ns0:f>
      </ns0:c>
      <ns0:c r="W393" s="114">
        <ns0:f>IF(COUNTA($A393:$M393)=0,"",IF(OR($U393="Subscription",$U393=""),"",IF($U393="Estimate","N/A",IF(OR($U393="Free Game",$U393="Disqualified — Free Game"),0,ROUND(IFERROR($Q393,0)-IFERROR($S393,0),2)))))</ns0:f>
      </ns0:c>
      <ns0:c r="X393" s="956" t="str">
        <ns0:f>IF(COUNTA($A393:$M393)=0,"",IF(OR($U393="Subscription",NOT(ISNUMBER($J393)),NOT(ISNUMBER($I393)),$J393=0,$I393=0,$I393&gt;$J393),"",$J393-$I393))</ns0:f>
      </ns0:c>
      <ns0:c r="Y393" s="955" t="str">
        <ns0:f>IF(COUNTA($A393:$M393)=0,"",IF(OR($U393="Subscription",NOT(ISNUMBER($J393)),$J393=0,$X393=""),"",$X393/$J393))</ns0:f>
      </ns0:c>
      <ns0:c r="Z393" s="957" t="str">
        <ns0:f>IF(COUNTA($A393:$M393)=0,"",Instructions!$B$29+SUM($W$5:W393))</ns0:f>
      </ns0:c>
    </ns0:row>
    <ns0:row r="394" ht="36" customHeight="1">
      <ns0:c r="A394" s="439"/>
      <ns0:c r="B394" s="453"/>
      <ns0:c r="C394" s="453"/>
      <ns0:c r="D394" s="454"/>
      <ns0:c r="E394" s="454"/>
      <ns0:c r="F394" s="454"/>
      <ns0:c r="G394" s="986"/>
      <ns0:c r="H394" s="455"/>
      <ns0:c r="I394" s="456"/>
      <ns0:c r="J394" s="456"/>
      <ns0:c r="K394" s="986"/>
      <ns0:c r="L394" s="454"/>
      <ns0:c r="M394" s="439"/>
      <ns0:c r="N394" s="987" t="str">
        <ns0:f>IF(COUNTA($A394:$M394)=0,"",IF(OR(LEFT(LOWER(TRIM($F394&amp;"")),12)="subscription",LOWER(TRIM($F394&amp;""))="membership"),"",IF(OR(AND($H394&lt;&gt;"",$H394=0),LEFT(LOWER(TRIM($F394&amp;"")),9)="free game",LOWER(TRIM($F394&amp;""))="free",LOWER(TRIM($F394&amp;""))="free entry"),IF(ISNUMBER($G394),IF(ISNUMBER(SEARCH("non",LOWER($E394&amp;""))),$G394*0.85,$G394),"N/A"),IF($G394="","",IFERROR(IF(ISNUMBER(SEARCH("non",LOWER($E394&amp;""))),$G394*0.85,$G394),"")))))</ns0:f>
        <ns0:v/>
      </ns0:c>
      <ns0:c r="O394" s="987" t="str">
        <ns0:f>IF(COUNTA($A394:$M394)=0,"",IF(OR(LEFT(LOWER(TRIM($F394&amp;"")),12)="subscription",LOWER(TRIM($F394&amp;""))="membership"),"",IF(OR(AND($H394&lt;&gt;"",$H394=0),LEFT(LOWER(TRIM($F394&amp;"")),9)="free game",LOWER(TRIM($F394&amp;""))="free",LOWER(TRIM($F394&amp;""))="free entry"),IF(OR(NOT(ISNUMBER($N394)),NOT(ISNUMBER($I394)),$I394=0),"N/A",IFERROR($N394/$I394,"N/A")),IF(OR($N394="",$I394="",$I394=0),"",IFERROR($N394/$I394,"")))))</ns0:f>
        <ns0:v/>
      </ns0:c>
      <ns0:c r="P394" s="987">
        <ns0:f>IF(COUNTA($A394:$M394)=0,"",IF(OR(LEFT(LOWER(TRIM($F394&amp;"")),12)="subscription",LOWER(TRIM($F394&amp;""))="membership"),"",IF(LOWER(TRIM($D394&amp;""))="estimate","N/A",IF(LOWER($L394&amp;"")="yes",0,IF(OR(AND($H394&lt;&gt;"",$H394=0),LEFT(LOWER(TRIM($F394&amp;"")),9)="free game",LOWER(TRIM($F394&amp;""))="free",LOWER(TRIM($F394&amp;""))="free entry"),IF(ISNUMBER($K394),$K394,""),IF($K394&lt;&gt;"",$K394,""))))))</ns0:f>
      </ns0:c>
      <ns0:c r="Q394" s="114">
        <ns0:f>IF(COUNTA($A394:$M394)=0,"",IF(OR($U394="Subscription",$U394=""),"",IF($U394="Estimate","N/A",IF($U394="Profit",ROUND(IFERROR($P394,0)-IFERROR($H394,0),2),0))))</ns0:f>
      </ns0:c>
      <ns0:c r="R394" s="114">
        <ns0:f>IF(COUNTA($A394:$M394)=0,"",IF(OR($U394="Subscription",$U394=""),"",IF($U394="Estimate","N/A",IF($U394="Draw",$H394,0))))</ns0:f>
      </ns0:c>
      <ns0:c r="S394" s="114">
        <ns0:f>IF(COUNTA($A394:$M394)=0,"",IF(OR($U394="Subscription",$U394=""),"",IF($U394="Estimate","N/A",IF($U394="Disqualified",$H394,0))))</ns0:f>
      </ns0:c>
      <ns0:c r="T394" s="955">
        <ns0:f>IF(COUNTA($A394:$M394)=0,"",IF(OR($U394="Subscription",$U394=""),"",IF($U394="Estimate","N/A",IF(OR($U394="Free Game",$U394="Disqualified — Free Game",$H394=0),"N/A",IF($U394="Profit",$Q394/$H394,IF($U394="Disqualified",-$S394/$H394,0))))))</ns0:f>
      </ns0:c>
      <ns0:c r="U394" s="920">
        <ns0:f>IF(COUNTA($A394:$M394)=0,"",IF(OR(LEFT(LOWER(TRIM($F394&amp;"")),12)="subscription",LOWER(TRIM($F394&amp;""))="membership"),"Subscription",IF(LOWER(TRIM($D394&amp;""))="estimate","Estimate",IF(OR(AND($H394&lt;&gt;"",$H394=0),LEFT(LOWER(TRIM($F394&amp;"")),9)="free game",LOWER(TRIM($F394&amp;""))="free",LOWER(TRIM($F394&amp;""))="free entry"),IF(LOWER($L394&amp;"")="yes","Disqualified — Free Game","Free Game"),IF(LOWER($L394&amp;"")="yes","Disqualified",IF($P394="","",IF(ROUND(IFERROR(VALUE($P394),0)-IFERROR(VALUE($H394),0),2)&gt;0,"Profit","Draw")))))))</ns0:f>
      </ns0:c>
      <ns0:c r="V394" s="956" t="str">
        <ns0:f>IF(COUNTA($A394:$M394)=0,"",IF(OR($B394="",$C394="",$U394="Subscription"),"",IFERROR(ROUNDUP(($C394-$B394)/7,0),"")))</ns0:f>
      </ns0:c>
      <ns0:c r="W394" s="114">
        <ns0:f>IF(COUNTA($A394:$M394)=0,"",IF(OR($U394="Subscription",$U394=""),"",IF($U394="Estimate","N/A",IF(OR($U394="Free Game",$U394="Disqualified — Free Game"),0,ROUND(IFERROR($Q394,0)-IFERROR($S394,0),2)))))</ns0:f>
      </ns0:c>
      <ns0:c r="X394" s="956" t="str">
        <ns0:f>IF(COUNTA($A394:$M394)=0,"",IF(OR($U394="Subscription",NOT(ISNUMBER($J394)),NOT(ISNUMBER($I394)),$J394=0,$I394=0,$I394&gt;$J394),"",$J394-$I394))</ns0:f>
      </ns0:c>
      <ns0:c r="Y394" s="955" t="str">
        <ns0:f>IF(COUNTA($A394:$M394)=0,"",IF(OR($U394="Subscription",NOT(ISNUMBER($J394)),$J394=0,$X394=""),"",$X394/$J394))</ns0:f>
      </ns0:c>
      <ns0:c r="Z394" s="957" t="str">
        <ns0:f>IF(COUNTA($A394:$M394)=0,"",Instructions!$B$29+SUM($W$5:W394))</ns0:f>
      </ns0:c>
    </ns0:row>
    <ns0:row r="395" ht="36" customHeight="1">
      <ns0:c r="A395" s="439"/>
      <ns0:c r="B395" s="453"/>
      <ns0:c r="C395" s="453"/>
      <ns0:c r="D395" s="454"/>
      <ns0:c r="E395" s="454"/>
      <ns0:c r="F395" s="454"/>
      <ns0:c r="G395" s="986"/>
      <ns0:c r="H395" s="455"/>
      <ns0:c r="I395" s="456"/>
      <ns0:c r="J395" s="456"/>
      <ns0:c r="K395" s="986"/>
      <ns0:c r="L395" s="454"/>
      <ns0:c r="M395" s="439"/>
      <ns0:c r="N395" s="987" t="str">
        <ns0:f>IF(COUNTA($A395:$M395)=0,"",IF(OR(LEFT(LOWER(TRIM($F395&amp;"")),12)="subscription",LOWER(TRIM($F395&amp;""))="membership"),"",IF(OR(AND($H395&lt;&gt;"",$H395=0),LEFT(LOWER(TRIM($F395&amp;"")),9)="free game",LOWER(TRIM($F395&amp;""))="free",LOWER(TRIM($F395&amp;""))="free entry"),IF(ISNUMBER($G395),IF(ISNUMBER(SEARCH("non",LOWER($E395&amp;""))),$G395*0.85,$G395),"N/A"),IF($G395="","",IFERROR(IF(ISNUMBER(SEARCH("non",LOWER($E395&amp;""))),$G395*0.85,$G395),"")))))</ns0:f>
        <ns0:v/>
      </ns0:c>
      <ns0:c r="O395" s="987" t="str">
        <ns0:f>IF(COUNTA($A395:$M395)=0,"",IF(OR(LEFT(LOWER(TRIM($F395&amp;"")),12)="subscription",LOWER(TRIM($F395&amp;""))="membership"),"",IF(OR(AND($H395&lt;&gt;"",$H395=0),LEFT(LOWER(TRIM($F395&amp;"")),9)="free game",LOWER(TRIM($F395&amp;""))="free",LOWER(TRIM($F395&amp;""))="free entry"),IF(OR(NOT(ISNUMBER($N395)),NOT(ISNUMBER($I395)),$I395=0),"N/A",IFERROR($N395/$I395,"N/A")),IF(OR($N395="",$I395="",$I395=0),"",IFERROR($N395/$I395,"")))))</ns0:f>
        <ns0:v/>
      </ns0:c>
      <ns0:c r="P395" s="987">
        <ns0:f>IF(COUNTA($A395:$M395)=0,"",IF(OR(LEFT(LOWER(TRIM($F395&amp;"")),12)="subscription",LOWER(TRIM($F395&amp;""))="membership"),"",IF(LOWER(TRIM($D395&amp;""))="estimate","N/A",IF(LOWER($L395&amp;"")="yes",0,IF(OR(AND($H395&lt;&gt;"",$H395=0),LEFT(LOWER(TRIM($F395&amp;"")),9)="free game",LOWER(TRIM($F395&amp;""))="free",LOWER(TRIM($F395&amp;""))="free entry"),IF(ISNUMBER($K395),$K395,""),IF($K395&lt;&gt;"",$K395,""))))))</ns0:f>
      </ns0:c>
      <ns0:c r="Q395" s="114">
        <ns0:f>IF(COUNTA($A395:$M395)=0,"",IF(OR($U395="Subscription",$U395=""),"",IF($U395="Estimate","N/A",IF($U395="Profit",ROUND(IFERROR($P395,0)-IFERROR($H395,0),2),0))))</ns0:f>
      </ns0:c>
      <ns0:c r="R395" s="114">
        <ns0:f>IF(COUNTA($A395:$M395)=0,"",IF(OR($U395="Subscription",$U395=""),"",IF($U395="Estimate","N/A",IF($U395="Draw",$H395,0))))</ns0:f>
      </ns0:c>
      <ns0:c r="S395" s="114">
        <ns0:f>IF(COUNTA($A395:$M395)=0,"",IF(OR($U395="Subscription",$U395=""),"",IF($U395="Estimate","N/A",IF($U395="Disqualified",$H395,0))))</ns0:f>
      </ns0:c>
      <ns0:c r="T395" s="955">
        <ns0:f>IF(COUNTA($A395:$M395)=0,"",IF(OR($U395="Subscription",$U395=""),"",IF($U395="Estimate","N/A",IF(OR($U395="Free Game",$U395="Disqualified — Free Game",$H395=0),"N/A",IF($U395="Profit",$Q395/$H395,IF($U395="Disqualified",-$S395/$H395,0))))))</ns0:f>
      </ns0:c>
      <ns0:c r="U395" s="920">
        <ns0:f>IF(COUNTA($A395:$M395)=0,"",IF(OR(LEFT(LOWER(TRIM($F395&amp;"")),12)="subscription",LOWER(TRIM($F395&amp;""))="membership"),"Subscription",IF(LOWER(TRIM($D395&amp;""))="estimate","Estimate",IF(OR(AND($H395&lt;&gt;"",$H395=0),LEFT(LOWER(TRIM($F395&amp;"")),9)="free game",LOWER(TRIM($F395&amp;""))="free",LOWER(TRIM($F395&amp;""))="free entry"),IF(LOWER($L395&amp;"")="yes","Disqualified — Free Game","Free Game"),IF(LOWER($L395&amp;"")="yes","Disqualified",IF($P395="","",IF(ROUND(IFERROR(VALUE($P395),0)-IFERROR(VALUE($H395),0),2)&gt;0,"Profit","Draw")))))))</ns0:f>
      </ns0:c>
      <ns0:c r="V395" s="956" t="str">
        <ns0:f>IF(COUNTA($A395:$M395)=0,"",IF(OR($B395="",$C395="",$U395="Subscription"),"",IFERROR(ROUNDUP(($C395-$B395)/7,0),"")))</ns0:f>
      </ns0:c>
      <ns0:c r="W395" s="114">
        <ns0:f>IF(COUNTA($A395:$M395)=0,"",IF(OR($U395="Subscription",$U395=""),"",IF($U395="Estimate","N/A",IF(OR($U395="Free Game",$U395="Disqualified — Free Game"),0,ROUND(IFERROR($Q395,0)-IFERROR($S395,0),2)))))</ns0:f>
      </ns0:c>
      <ns0:c r="X395" s="956" t="str">
        <ns0:f>IF(COUNTA($A395:$M395)=0,"",IF(OR($U395="Subscription",NOT(ISNUMBER($J395)),NOT(ISNUMBER($I395)),$J395=0,$I395=0,$I395&gt;$J395),"",$J395-$I395))</ns0:f>
      </ns0:c>
      <ns0:c r="Y395" s="955" t="str">
        <ns0:f>IF(COUNTA($A395:$M395)=0,"",IF(OR($U395="Subscription",NOT(ISNUMBER($J395)),$J395=0,$X395=""),"",$X395/$J395))</ns0:f>
      </ns0:c>
      <ns0:c r="Z395" s="957" t="str">
        <ns0:f>IF(COUNTA($A395:$M395)=0,"",Instructions!$B$29+SUM($W$5:W395))</ns0:f>
      </ns0:c>
    </ns0:row>
    <ns0:row r="396" ht="36" customHeight="1">
      <ns0:c r="A396" s="439"/>
      <ns0:c r="B396" s="453"/>
      <ns0:c r="C396" s="453"/>
      <ns0:c r="D396" s="454"/>
      <ns0:c r="E396" s="454"/>
      <ns0:c r="F396" s="454"/>
      <ns0:c r="G396" s="986"/>
      <ns0:c r="H396" s="455"/>
      <ns0:c r="I396" s="456"/>
      <ns0:c r="J396" s="456"/>
      <ns0:c r="K396" s="986"/>
      <ns0:c r="L396" s="454"/>
      <ns0:c r="M396" s="439"/>
      <ns0:c r="N396" s="987" t="str">
        <ns0:f>IF(COUNTA($A396:$M396)=0,"",IF(OR(LEFT(LOWER(TRIM($F396&amp;"")),12)="subscription",LOWER(TRIM($F396&amp;""))="membership"),"",IF(OR(AND($H396&lt;&gt;"",$H396=0),LEFT(LOWER(TRIM($F396&amp;"")),9)="free game",LOWER(TRIM($F396&amp;""))="free",LOWER(TRIM($F396&amp;""))="free entry"),IF(ISNUMBER($G396),IF(ISNUMBER(SEARCH("non",LOWER($E396&amp;""))),$G396*0.85,$G396),"N/A"),IF($G396="","",IFERROR(IF(ISNUMBER(SEARCH("non",LOWER($E396&amp;""))),$G396*0.85,$G396),"")))))</ns0:f>
        <ns0:v/>
      </ns0:c>
      <ns0:c r="O396" s="987" t="str">
        <ns0:f>IF(COUNTA($A396:$M396)=0,"",IF(OR(LEFT(LOWER(TRIM($F396&amp;"")),12)="subscription",LOWER(TRIM($F396&amp;""))="membership"),"",IF(OR(AND($H396&lt;&gt;"",$H396=0),LEFT(LOWER(TRIM($F396&amp;"")),9)="free game",LOWER(TRIM($F396&amp;""))="free",LOWER(TRIM($F396&amp;""))="free entry"),IF(OR(NOT(ISNUMBER($N396)),NOT(ISNUMBER($I396)),$I396=0),"N/A",IFERROR($N396/$I396,"N/A")),IF(OR($N396="",$I396="",$I396=0),"",IFERROR($N396/$I396,"")))))</ns0:f>
        <ns0:v/>
      </ns0:c>
      <ns0:c r="P396" s="987">
        <ns0:f>IF(COUNTA($A396:$M396)=0,"",IF(OR(LEFT(LOWER(TRIM($F396&amp;"")),12)="subscription",LOWER(TRIM($F396&amp;""))="membership"),"",IF(LOWER(TRIM($D396&amp;""))="estimate","N/A",IF(LOWER($L396&amp;"")="yes",0,IF(OR(AND($H396&lt;&gt;"",$H396=0),LEFT(LOWER(TRIM($F396&amp;"")),9)="free game",LOWER(TRIM($F396&amp;""))="free",LOWER(TRIM($F396&amp;""))="free entry"),IF(ISNUMBER($K396),$K396,""),IF($K396&lt;&gt;"",$K396,""))))))</ns0:f>
      </ns0:c>
      <ns0:c r="Q396" s="114">
        <ns0:f>IF(COUNTA($A396:$M396)=0,"",IF(OR($U396="Subscription",$U396=""),"",IF($U396="Estimate","N/A",IF($U396="Profit",ROUND(IFERROR($P396,0)-IFERROR($H396,0),2),0))))</ns0:f>
      </ns0:c>
      <ns0:c r="R396" s="114">
        <ns0:f>IF(COUNTA($A396:$M396)=0,"",IF(OR($U396="Subscription",$U396=""),"",IF($U396="Estimate","N/A",IF($U396="Draw",$H396,0))))</ns0:f>
      </ns0:c>
      <ns0:c r="S396" s="114">
        <ns0:f>IF(COUNTA($A396:$M396)=0,"",IF(OR($U396="Subscription",$U396=""),"",IF($U396="Estimate","N/A",IF($U396="Disqualified",$H396,0))))</ns0:f>
      </ns0:c>
      <ns0:c r="T396" s="955">
        <ns0:f>IF(COUNTA($A396:$M396)=0,"",IF(OR($U396="Subscription",$U396=""),"",IF($U396="Estimate","N/A",IF(OR($U396="Free Game",$U396="Disqualified — Free Game",$H396=0),"N/A",IF($U396="Profit",$Q396/$H396,IF($U396="Disqualified",-$S396/$H396,0))))))</ns0:f>
      </ns0:c>
      <ns0:c r="U396" s="920">
        <ns0:f>IF(COUNTA($A396:$M396)=0,"",IF(OR(LEFT(LOWER(TRIM($F396&amp;"")),12)="subscription",LOWER(TRIM($F396&amp;""))="membership"),"Subscription",IF(LOWER(TRIM($D396&amp;""))="estimate","Estimate",IF(OR(AND($H396&lt;&gt;"",$H396=0),LEFT(LOWER(TRIM($F396&amp;"")),9)="free game",LOWER(TRIM($F396&amp;""))="free",LOWER(TRIM($F396&amp;""))="free entry"),IF(LOWER($L396&amp;"")="yes","Disqualified — Free Game","Free Game"),IF(LOWER($L396&amp;"")="yes","Disqualified",IF($P396="","",IF(ROUND(IFERROR(VALUE($P396),0)-IFERROR(VALUE($H396),0),2)&gt;0,"Profit","Draw")))))))</ns0:f>
      </ns0:c>
      <ns0:c r="V396" s="956" t="str">
        <ns0:f>IF(COUNTA($A396:$M396)=0,"",IF(OR($B396="",$C396="",$U396="Subscription"),"",IFERROR(ROUNDUP(($C396-$B396)/7,0),"")))</ns0:f>
      </ns0:c>
      <ns0:c r="W396" s="114">
        <ns0:f>IF(COUNTA($A396:$M396)=0,"",IF(OR($U396="Subscription",$U396=""),"",IF($U396="Estimate","N/A",IF(OR($U396="Free Game",$U396="Disqualified — Free Game"),0,ROUND(IFERROR($Q396,0)-IFERROR($S396,0),2)))))</ns0:f>
      </ns0:c>
      <ns0:c r="X396" s="956" t="str">
        <ns0:f>IF(COUNTA($A396:$M396)=0,"",IF(OR($U396="Subscription",NOT(ISNUMBER($J396)),NOT(ISNUMBER($I396)),$J396=0,$I396=0,$I396&gt;$J396),"",$J396-$I396))</ns0:f>
      </ns0:c>
      <ns0:c r="Y396" s="955" t="str">
        <ns0:f>IF(COUNTA($A396:$M396)=0,"",IF(OR($U396="Subscription",NOT(ISNUMBER($J396)),$J396=0,$X396=""),"",$X396/$J396))</ns0:f>
      </ns0:c>
      <ns0:c r="Z396" s="957" t="str">
        <ns0:f>IF(COUNTA($A396:$M396)=0,"",Instructions!$B$29+SUM($W$5:W396))</ns0:f>
      </ns0:c>
    </ns0:row>
    <ns0:row r="397" ht="36" customHeight="1">
      <ns0:c r="A397" s="439"/>
      <ns0:c r="B397" s="453"/>
      <ns0:c r="C397" s="453"/>
      <ns0:c r="D397" s="454"/>
      <ns0:c r="E397" s="454"/>
      <ns0:c r="F397" s="454"/>
      <ns0:c r="G397" s="986"/>
      <ns0:c r="H397" s="455"/>
      <ns0:c r="I397" s="456"/>
      <ns0:c r="J397" s="456"/>
      <ns0:c r="K397" s="986"/>
      <ns0:c r="L397" s="454"/>
      <ns0:c r="M397" s="439"/>
      <ns0:c r="N397" s="987" t="str">
        <ns0:f>IF(COUNTA($A397:$M397)=0,"",IF(OR(LEFT(LOWER(TRIM($F397&amp;"")),12)="subscription",LOWER(TRIM($F397&amp;""))="membership"),"",IF(OR(AND($H397&lt;&gt;"",$H397=0),LEFT(LOWER(TRIM($F397&amp;"")),9)="free game",LOWER(TRIM($F397&amp;""))="free",LOWER(TRIM($F397&amp;""))="free entry"),IF(ISNUMBER($G397),IF(ISNUMBER(SEARCH("non",LOWER($E397&amp;""))),$G397*0.85,$G397),"N/A"),IF($G397="","",IFERROR(IF(ISNUMBER(SEARCH("non",LOWER($E397&amp;""))),$G397*0.85,$G397),"")))))</ns0:f>
        <ns0:v/>
      </ns0:c>
      <ns0:c r="O397" s="987" t="str">
        <ns0:f>IF(COUNTA($A397:$M397)=0,"",IF(OR(LEFT(LOWER(TRIM($F397&amp;"")),12)="subscription",LOWER(TRIM($F397&amp;""))="membership"),"",IF(OR(AND($H397&lt;&gt;"",$H397=0),LEFT(LOWER(TRIM($F397&amp;"")),9)="free game",LOWER(TRIM($F397&amp;""))="free",LOWER(TRIM($F397&amp;""))="free entry"),IF(OR(NOT(ISNUMBER($N397)),NOT(ISNUMBER($I397)),$I397=0),"N/A",IFERROR($N397/$I397,"N/A")),IF(OR($N397="",$I397="",$I397=0),"",IFERROR($N397/$I397,"")))))</ns0:f>
        <ns0:v/>
      </ns0:c>
      <ns0:c r="P397" s="987">
        <ns0:f>IF(COUNTA($A397:$M397)=0,"",IF(OR(LEFT(LOWER(TRIM($F397&amp;"")),12)="subscription",LOWER(TRIM($F397&amp;""))="membership"),"",IF(LOWER(TRIM($D397&amp;""))="estimate","N/A",IF(LOWER($L397&amp;"")="yes",0,IF(OR(AND($H397&lt;&gt;"",$H397=0),LEFT(LOWER(TRIM($F397&amp;"")),9)="free game",LOWER(TRIM($F397&amp;""))="free",LOWER(TRIM($F397&amp;""))="free entry"),IF(ISNUMBER($K397),$K397,""),IF($K397&lt;&gt;"",$K397,""))))))</ns0:f>
      </ns0:c>
      <ns0:c r="Q397" s="114">
        <ns0:f>IF(COUNTA($A397:$M397)=0,"",IF(OR($U397="Subscription",$U397=""),"",IF($U397="Estimate","N/A",IF($U397="Profit",ROUND(IFERROR($P397,0)-IFERROR($H397,0),2),0))))</ns0:f>
      </ns0:c>
      <ns0:c r="R397" s="114">
        <ns0:f>IF(COUNTA($A397:$M397)=0,"",IF(OR($U397="Subscription",$U397=""),"",IF($U397="Estimate","N/A",IF($U397="Draw",$H397,0))))</ns0:f>
      </ns0:c>
      <ns0:c r="S397" s="114">
        <ns0:f>IF(COUNTA($A397:$M397)=0,"",IF(OR($U397="Subscription",$U397=""),"",IF($U397="Estimate","N/A",IF($U397="Disqualified",$H397,0))))</ns0:f>
      </ns0:c>
      <ns0:c r="T397" s="955">
        <ns0:f>IF(COUNTA($A397:$M397)=0,"",IF(OR($U397="Subscription",$U397=""),"",IF($U397="Estimate","N/A",IF(OR($U397="Free Game",$U397="Disqualified — Free Game",$H397=0),"N/A",IF($U397="Profit",$Q397/$H397,IF($U397="Disqualified",-$S397/$H397,0))))))</ns0:f>
      </ns0:c>
      <ns0:c r="U397" s="920">
        <ns0:f>IF(COUNTA($A397:$M397)=0,"",IF(OR(LEFT(LOWER(TRIM($F397&amp;"")),12)="subscription",LOWER(TRIM($F397&amp;""))="membership"),"Subscription",IF(LOWER(TRIM($D397&amp;""))="estimate","Estimate",IF(OR(AND($H397&lt;&gt;"",$H397=0),LEFT(LOWER(TRIM($F397&amp;"")),9)="free game",LOWER(TRIM($F397&amp;""))="free",LOWER(TRIM($F397&amp;""))="free entry"),IF(LOWER($L397&amp;"")="yes","Disqualified — Free Game","Free Game"),IF(LOWER($L397&amp;"")="yes","Disqualified",IF($P397="","",IF(ROUND(IFERROR(VALUE($P397),0)-IFERROR(VALUE($H397),0),2)&gt;0,"Profit","Draw")))))))</ns0:f>
      </ns0:c>
      <ns0:c r="V397" s="956" t="str">
        <ns0:f>IF(COUNTA($A397:$M397)=0,"",IF(OR($B397="",$C397="",$U397="Subscription"),"",IFERROR(ROUNDUP(($C397-$B397)/7,0),"")))</ns0:f>
      </ns0:c>
      <ns0:c r="W397" s="114">
        <ns0:f>IF(COUNTA($A397:$M397)=0,"",IF(OR($U397="Subscription",$U397=""),"",IF($U397="Estimate","N/A",IF(OR($U397="Free Game",$U397="Disqualified — Free Game"),0,ROUND(IFERROR($Q397,0)-IFERROR($S397,0),2)))))</ns0:f>
      </ns0:c>
      <ns0:c r="X397" s="956" t="str">
        <ns0:f>IF(COUNTA($A397:$M397)=0,"",IF(OR($U397="Subscription",NOT(ISNUMBER($J397)),NOT(ISNUMBER($I397)),$J397=0,$I397=0,$I397&gt;$J397),"",$J397-$I397))</ns0:f>
      </ns0:c>
      <ns0:c r="Y397" s="955" t="str">
        <ns0:f>IF(COUNTA($A397:$M397)=0,"",IF(OR($U397="Subscription",NOT(ISNUMBER($J397)),$J397=0,$X397=""),"",$X397/$J397))</ns0:f>
      </ns0:c>
      <ns0:c r="Z397" s="957" t="str">
        <ns0:f>IF(COUNTA($A397:$M397)=0,"",Instructions!$B$29+SUM($W$5:W397))</ns0:f>
      </ns0:c>
    </ns0:row>
    <ns0:row r="398" ht="36" customHeight="1">
      <ns0:c r="A398" s="439"/>
      <ns0:c r="B398" s="453"/>
      <ns0:c r="C398" s="453"/>
      <ns0:c r="D398" s="454"/>
      <ns0:c r="E398" s="454"/>
      <ns0:c r="F398" s="454"/>
      <ns0:c r="G398" s="986"/>
      <ns0:c r="H398" s="455"/>
      <ns0:c r="I398" s="456"/>
      <ns0:c r="J398" s="456"/>
      <ns0:c r="K398" s="986"/>
      <ns0:c r="L398" s="454"/>
      <ns0:c r="M398" s="439"/>
      <ns0:c r="N398" s="987" t="str">
        <ns0:f>IF(COUNTA($A398:$M398)=0,"",IF(OR(LEFT(LOWER(TRIM($F398&amp;"")),12)="subscription",LOWER(TRIM($F398&amp;""))="membership"),"",IF(OR(AND($H398&lt;&gt;"",$H398=0),LEFT(LOWER(TRIM($F398&amp;"")),9)="free game",LOWER(TRIM($F398&amp;""))="free",LOWER(TRIM($F398&amp;""))="free entry"),IF(ISNUMBER($G398),IF(ISNUMBER(SEARCH("non",LOWER($E398&amp;""))),$G398*0.85,$G398),"N/A"),IF($G398="","",IFERROR(IF(ISNUMBER(SEARCH("non",LOWER($E398&amp;""))),$G398*0.85,$G398),"")))))</ns0:f>
        <ns0:v/>
      </ns0:c>
      <ns0:c r="O398" s="987" t="str">
        <ns0:f>IF(COUNTA($A398:$M398)=0,"",IF(OR(LEFT(LOWER(TRIM($F398&amp;"")),12)="subscription",LOWER(TRIM($F398&amp;""))="membership"),"",IF(OR(AND($H398&lt;&gt;"",$H398=0),LEFT(LOWER(TRIM($F398&amp;"")),9)="free game",LOWER(TRIM($F398&amp;""))="free",LOWER(TRIM($F398&amp;""))="free entry"),IF(OR(NOT(ISNUMBER($N398)),NOT(ISNUMBER($I398)),$I398=0),"N/A",IFERROR($N398/$I398,"N/A")),IF(OR($N398="",$I398="",$I398=0),"",IFERROR($N398/$I398,"")))))</ns0:f>
        <ns0:v/>
      </ns0:c>
      <ns0:c r="P398" s="987">
        <ns0:f>IF(COUNTA($A398:$M398)=0,"",IF(OR(LEFT(LOWER(TRIM($F398&amp;"")),12)="subscription",LOWER(TRIM($F398&amp;""))="membership"),"",IF(LOWER(TRIM($D398&amp;""))="estimate","N/A",IF(LOWER($L398&amp;"")="yes",0,IF(OR(AND($H398&lt;&gt;"",$H398=0),LEFT(LOWER(TRIM($F398&amp;"")),9)="free game",LOWER(TRIM($F398&amp;""))="free",LOWER(TRIM($F398&amp;""))="free entry"),IF(ISNUMBER($K398),$K398,""),IF($K398&lt;&gt;"",$K398,""))))))</ns0:f>
      </ns0:c>
      <ns0:c r="Q398" s="114">
        <ns0:f>IF(COUNTA($A398:$M398)=0,"",IF(OR($U398="Subscription",$U398=""),"",IF($U398="Estimate","N/A",IF($U398="Profit",ROUND(IFERROR($P398,0)-IFERROR($H398,0),2),0))))</ns0:f>
      </ns0:c>
      <ns0:c r="R398" s="114">
        <ns0:f>IF(COUNTA($A398:$M398)=0,"",IF(OR($U398="Subscription",$U398=""),"",IF($U398="Estimate","N/A",IF($U398="Draw",$H398,0))))</ns0:f>
      </ns0:c>
      <ns0:c r="S398" s="114">
        <ns0:f>IF(COUNTA($A398:$M398)=0,"",IF(OR($U398="Subscription",$U398=""),"",IF($U398="Estimate","N/A",IF($U398="Disqualified",$H398,0))))</ns0:f>
      </ns0:c>
      <ns0:c r="T398" s="955">
        <ns0:f>IF(COUNTA($A398:$M398)=0,"",IF(OR($U398="Subscription",$U398=""),"",IF($U398="Estimate","N/A",IF(OR($U398="Free Game",$U398="Disqualified — Free Game",$H398=0),"N/A",IF($U398="Profit",$Q398/$H398,IF($U398="Disqualified",-$S398/$H398,0))))))</ns0:f>
      </ns0:c>
      <ns0:c r="U398" s="920">
        <ns0:f>IF(COUNTA($A398:$M398)=0,"",IF(OR(LEFT(LOWER(TRIM($F398&amp;"")),12)="subscription",LOWER(TRIM($F398&amp;""))="membership"),"Subscription",IF(LOWER(TRIM($D398&amp;""))="estimate","Estimate",IF(OR(AND($H398&lt;&gt;"",$H398=0),LEFT(LOWER(TRIM($F398&amp;"")),9)="free game",LOWER(TRIM($F398&amp;""))="free",LOWER(TRIM($F398&amp;""))="free entry"),IF(LOWER($L398&amp;"")="yes","Disqualified — Free Game","Free Game"),IF(LOWER($L398&amp;"")="yes","Disqualified",IF($P398="","",IF(ROUND(IFERROR(VALUE($P398),0)-IFERROR(VALUE($H398),0),2)&gt;0,"Profit","Draw")))))))</ns0:f>
      </ns0:c>
      <ns0:c r="V398" s="956" t="str">
        <ns0:f>IF(COUNTA($A398:$M398)=0,"",IF(OR($B398="",$C398="",$U398="Subscription"),"",IFERROR(ROUNDUP(($C398-$B398)/7,0),"")))</ns0:f>
      </ns0:c>
      <ns0:c r="W398" s="114">
        <ns0:f>IF(COUNTA($A398:$M398)=0,"",IF(OR($U398="Subscription",$U398=""),"",IF($U398="Estimate","N/A",IF(OR($U398="Free Game",$U398="Disqualified — Free Game"),0,ROUND(IFERROR($Q398,0)-IFERROR($S398,0),2)))))</ns0:f>
      </ns0:c>
      <ns0:c r="X398" s="956" t="str">
        <ns0:f>IF(COUNTA($A398:$M398)=0,"",IF(OR($U398="Subscription",NOT(ISNUMBER($J398)),NOT(ISNUMBER($I398)),$J398=0,$I398=0,$I398&gt;$J398),"",$J398-$I398))</ns0:f>
      </ns0:c>
      <ns0:c r="Y398" s="955" t="str">
        <ns0:f>IF(COUNTA($A398:$M398)=0,"",IF(OR($U398="Subscription",NOT(ISNUMBER($J398)),$J398=0,$X398=""),"",$X398/$J398))</ns0:f>
      </ns0:c>
      <ns0:c r="Z398" s="957" t="str">
        <ns0:f>IF(COUNTA($A398:$M398)=0,"",Instructions!$B$29+SUM($W$5:W398))</ns0:f>
      </ns0:c>
    </ns0:row>
    <ns0:row r="399" ht="36" customHeight="1">
      <ns0:c r="A399" s="439"/>
      <ns0:c r="B399" s="453"/>
      <ns0:c r="C399" s="453"/>
      <ns0:c r="D399" s="454"/>
      <ns0:c r="E399" s="454"/>
      <ns0:c r="F399" s="454"/>
      <ns0:c r="G399" s="986"/>
      <ns0:c r="H399" s="455"/>
      <ns0:c r="I399" s="456"/>
      <ns0:c r="J399" s="456"/>
      <ns0:c r="K399" s="986"/>
      <ns0:c r="L399" s="454"/>
      <ns0:c r="M399" s="439"/>
      <ns0:c r="N399" s="987" t="str">
        <ns0:f>IF(COUNTA($A399:$M399)=0,"",IF(OR(LEFT(LOWER(TRIM($F399&amp;"")),12)="subscription",LOWER(TRIM($F399&amp;""))="membership"),"",IF(OR(AND($H399&lt;&gt;"",$H399=0),LEFT(LOWER(TRIM($F399&amp;"")),9)="free game",LOWER(TRIM($F399&amp;""))="free",LOWER(TRIM($F399&amp;""))="free entry"),IF(ISNUMBER($G399),IF(ISNUMBER(SEARCH("non",LOWER($E399&amp;""))),$G399*0.85,$G399),"N/A"),IF($G399="","",IFERROR(IF(ISNUMBER(SEARCH("non",LOWER($E399&amp;""))),$G399*0.85,$G399),"")))))</ns0:f>
        <ns0:v/>
      </ns0:c>
      <ns0:c r="O399" s="987" t="str">
        <ns0:f>IF(COUNTA($A399:$M399)=0,"",IF(OR(LEFT(LOWER(TRIM($F399&amp;"")),12)="subscription",LOWER(TRIM($F399&amp;""))="membership"),"",IF(OR(AND($H399&lt;&gt;"",$H399=0),LEFT(LOWER(TRIM($F399&amp;"")),9)="free game",LOWER(TRIM($F399&amp;""))="free",LOWER(TRIM($F399&amp;""))="free entry"),IF(OR(NOT(ISNUMBER($N399)),NOT(ISNUMBER($I399)),$I399=0),"N/A",IFERROR($N399/$I399,"N/A")),IF(OR($N399="",$I399="",$I399=0),"",IFERROR($N399/$I399,"")))))</ns0:f>
        <ns0:v/>
      </ns0:c>
      <ns0:c r="P399" s="987">
        <ns0:f>IF(COUNTA($A399:$M399)=0,"",IF(OR(LEFT(LOWER(TRIM($F399&amp;"")),12)="subscription",LOWER(TRIM($F399&amp;""))="membership"),"",IF(LOWER(TRIM($D399&amp;""))="estimate","N/A",IF(LOWER($L399&amp;"")="yes",0,IF(OR(AND($H399&lt;&gt;"",$H399=0),LEFT(LOWER(TRIM($F399&amp;"")),9)="free game",LOWER(TRIM($F399&amp;""))="free",LOWER(TRIM($F399&amp;""))="free entry"),IF(ISNUMBER($K399),$K399,""),IF($K399&lt;&gt;"",$K399,""))))))</ns0:f>
      </ns0:c>
      <ns0:c r="Q399" s="114">
        <ns0:f>IF(COUNTA($A399:$M399)=0,"",IF(OR($U399="Subscription",$U399=""),"",IF($U399="Estimate","N/A",IF($U399="Profit",ROUND(IFERROR($P399,0)-IFERROR($H399,0),2),0))))</ns0:f>
      </ns0:c>
      <ns0:c r="R399" s="114">
        <ns0:f>IF(COUNTA($A399:$M399)=0,"",IF(OR($U399="Subscription",$U399=""),"",IF($U399="Estimate","N/A",IF($U399="Draw",$H399,0))))</ns0:f>
      </ns0:c>
      <ns0:c r="S399" s="114">
        <ns0:f>IF(COUNTA($A399:$M399)=0,"",IF(OR($U399="Subscription",$U399=""),"",IF($U399="Estimate","N/A",IF($U399="Disqualified",$H399,0))))</ns0:f>
      </ns0:c>
      <ns0:c r="T399" s="955">
        <ns0:f>IF(COUNTA($A399:$M399)=0,"",IF(OR($U399="Subscription",$U399=""),"",IF($U399="Estimate","N/A",IF(OR($U399="Free Game",$U399="Disqualified — Free Game",$H399=0),"N/A",IF($U399="Profit",$Q399/$H399,IF($U399="Disqualified",-$S399/$H399,0))))))</ns0:f>
      </ns0:c>
      <ns0:c r="U399" s="920">
        <ns0:f>IF(COUNTA($A399:$M399)=0,"",IF(OR(LEFT(LOWER(TRIM($F399&amp;"")),12)="subscription",LOWER(TRIM($F399&amp;""))="membership"),"Subscription",IF(LOWER(TRIM($D399&amp;""))="estimate","Estimate",IF(OR(AND($H399&lt;&gt;"",$H399=0),LEFT(LOWER(TRIM($F399&amp;"")),9)="free game",LOWER(TRIM($F399&amp;""))="free",LOWER(TRIM($F399&amp;""))="free entry"),IF(LOWER($L399&amp;"")="yes","Disqualified — Free Game","Free Game"),IF(LOWER($L399&amp;"")="yes","Disqualified",IF($P399="","",IF(ROUND(IFERROR(VALUE($P399),0)-IFERROR(VALUE($H399),0),2)&gt;0,"Profit","Draw")))))))</ns0:f>
      </ns0:c>
      <ns0:c r="V399" s="956" t="str">
        <ns0:f>IF(COUNTA($A399:$M399)=0,"",IF(OR($B399="",$C399="",$U399="Subscription"),"",IFERROR(ROUNDUP(($C399-$B399)/7,0),"")))</ns0:f>
      </ns0:c>
      <ns0:c r="W399" s="114">
        <ns0:f>IF(COUNTA($A399:$M399)=0,"",IF(OR($U399="Subscription",$U399=""),"",IF($U399="Estimate","N/A",IF(OR($U399="Free Game",$U399="Disqualified — Free Game"),0,ROUND(IFERROR($Q399,0)-IFERROR($S399,0),2)))))</ns0:f>
      </ns0:c>
      <ns0:c r="X399" s="956" t="str">
        <ns0:f>IF(COUNTA($A399:$M399)=0,"",IF(OR($U399="Subscription",NOT(ISNUMBER($J399)),NOT(ISNUMBER($I399)),$J399=0,$I399=0,$I399&gt;$J399),"",$J399-$I399))</ns0:f>
      </ns0:c>
      <ns0:c r="Y399" s="955" t="str">
        <ns0:f>IF(COUNTA($A399:$M399)=0,"",IF(OR($U399="Subscription",NOT(ISNUMBER($J399)),$J399=0,$X399=""),"",$X399/$J399))</ns0:f>
      </ns0:c>
      <ns0:c r="Z399" s="957" t="str">
        <ns0:f>IF(COUNTA($A399:$M399)=0,"",Instructions!$B$29+SUM($W$5:W399))</ns0:f>
      </ns0:c>
    </ns0:row>
    <ns0:row r="400" ht="36" customHeight="1">
      <ns0:c r="A400" s="439"/>
      <ns0:c r="B400" s="453"/>
      <ns0:c r="C400" s="453"/>
      <ns0:c r="D400" s="454"/>
      <ns0:c r="E400" s="454"/>
      <ns0:c r="F400" s="454"/>
      <ns0:c r="G400" s="986"/>
      <ns0:c r="H400" s="455"/>
      <ns0:c r="I400" s="456"/>
      <ns0:c r="J400" s="456"/>
      <ns0:c r="K400" s="986"/>
      <ns0:c r="L400" s="454"/>
      <ns0:c r="M400" s="439"/>
      <ns0:c r="N400" s="987" t="str">
        <ns0:f>IF(COUNTA($A400:$M400)=0,"",IF(OR(LEFT(LOWER(TRIM($F400&amp;"")),12)="subscription",LOWER(TRIM($F400&amp;""))="membership"),"",IF(OR(AND($H400&lt;&gt;"",$H400=0),LEFT(LOWER(TRIM($F400&amp;"")),9)="free game",LOWER(TRIM($F400&amp;""))="free",LOWER(TRIM($F400&amp;""))="free entry"),IF(ISNUMBER($G400),IF(ISNUMBER(SEARCH("non",LOWER($E400&amp;""))),$G400*0.85,$G400),"N/A"),IF($G400="","",IFERROR(IF(ISNUMBER(SEARCH("non",LOWER($E400&amp;""))),$G400*0.85,$G400),"")))))</ns0:f>
        <ns0:v/>
      </ns0:c>
      <ns0:c r="O400" s="987" t="str">
        <ns0:f>IF(COUNTA($A400:$M400)=0,"",IF(OR(LEFT(LOWER(TRIM($F400&amp;"")),12)="subscription",LOWER(TRIM($F400&amp;""))="membership"),"",IF(OR(AND($H400&lt;&gt;"",$H400=0),LEFT(LOWER(TRIM($F400&amp;"")),9)="free game",LOWER(TRIM($F400&amp;""))="free",LOWER(TRIM($F400&amp;""))="free entry"),IF(OR(NOT(ISNUMBER($N400)),NOT(ISNUMBER($I400)),$I400=0),"N/A",IFERROR($N400/$I400,"N/A")),IF(OR($N400="",$I400="",$I400=0),"",IFERROR($N400/$I400,"")))))</ns0:f>
        <ns0:v/>
      </ns0:c>
      <ns0:c r="P400" s="987">
        <ns0:f>IF(COUNTA($A400:$M400)=0,"",IF(OR(LEFT(LOWER(TRIM($F400&amp;"")),12)="subscription",LOWER(TRIM($F400&amp;""))="membership"),"",IF(LOWER(TRIM($D400&amp;""))="estimate","N/A",IF(LOWER($L400&amp;"")="yes",0,IF(OR(AND($H400&lt;&gt;"",$H400=0),LEFT(LOWER(TRIM($F400&amp;"")),9)="free game",LOWER(TRIM($F400&amp;""))="free",LOWER(TRIM($F400&amp;""))="free entry"),IF(ISNUMBER($K400),$K400,""),IF($K400&lt;&gt;"",$K400,""))))))</ns0:f>
      </ns0:c>
      <ns0:c r="Q400" s="114">
        <ns0:f>IF(COUNTA($A400:$M400)=0,"",IF(OR($U400="Subscription",$U400=""),"",IF($U400="Estimate","N/A",IF($U400="Profit",ROUND(IFERROR($P400,0)-IFERROR($H400,0),2),0))))</ns0:f>
      </ns0:c>
      <ns0:c r="R400" s="114">
        <ns0:f>IF(COUNTA($A400:$M400)=0,"",IF(OR($U400="Subscription",$U400=""),"",IF($U400="Estimate","N/A",IF($U400="Draw",$H400,0))))</ns0:f>
      </ns0:c>
      <ns0:c r="S400" s="114">
        <ns0:f>IF(COUNTA($A400:$M400)=0,"",IF(OR($U400="Subscription",$U400=""),"",IF($U400="Estimate","N/A",IF($U400="Disqualified",$H400,0))))</ns0:f>
      </ns0:c>
      <ns0:c r="T400" s="955">
        <ns0:f>IF(COUNTA($A400:$M400)=0,"",IF(OR($U400="Subscription",$U400=""),"",IF($U400="Estimate","N/A",IF(OR($U400="Free Game",$U400="Disqualified — Free Game",$H400=0),"N/A",IF($U400="Profit",$Q400/$H400,IF($U400="Disqualified",-$S400/$H400,0))))))</ns0:f>
      </ns0:c>
      <ns0:c r="U400" s="920">
        <ns0:f>IF(COUNTA($A400:$M400)=0,"",IF(OR(LEFT(LOWER(TRIM($F400&amp;"")),12)="subscription",LOWER(TRIM($F400&amp;""))="membership"),"Subscription",IF(LOWER(TRIM($D400&amp;""))="estimate","Estimate",IF(OR(AND($H400&lt;&gt;"",$H400=0),LEFT(LOWER(TRIM($F400&amp;"")),9)="free game",LOWER(TRIM($F400&amp;""))="free",LOWER(TRIM($F400&amp;""))="free entry"),IF(LOWER($L400&amp;"")="yes","Disqualified — Free Game","Free Game"),IF(LOWER($L400&amp;"")="yes","Disqualified",IF($P400="","",IF(ROUND(IFERROR(VALUE($P400),0)-IFERROR(VALUE($H400),0),2)&gt;0,"Profit","Draw")))))))</ns0:f>
      </ns0:c>
      <ns0:c r="V400" s="956" t="str">
        <ns0:f>IF(COUNTA($A400:$M400)=0,"",IF(OR($B400="",$C400="",$U400="Subscription"),"",IFERROR(ROUNDUP(($C400-$B400)/7,0),"")))</ns0:f>
      </ns0:c>
      <ns0:c r="W400" s="114">
        <ns0:f>IF(COUNTA($A400:$M400)=0,"",IF(OR($U400="Subscription",$U400=""),"",IF($U400="Estimate","N/A",IF(OR($U400="Free Game",$U400="Disqualified — Free Game"),0,ROUND(IFERROR($Q400,0)-IFERROR($S400,0),2)))))</ns0:f>
      </ns0:c>
      <ns0:c r="X400" s="956" t="str">
        <ns0:f>IF(COUNTA($A400:$M400)=0,"",IF(OR($U400="Subscription",NOT(ISNUMBER($J400)),NOT(ISNUMBER($I400)),$J400=0,$I400=0,$I400&gt;$J400),"",$J400-$I400))</ns0:f>
      </ns0:c>
      <ns0:c r="Y400" s="955" t="str">
        <ns0:f>IF(COUNTA($A400:$M400)=0,"",IF(OR($U400="Subscription",NOT(ISNUMBER($J400)),$J400=0,$X400=""),"",$X400/$J400))</ns0:f>
      </ns0:c>
      <ns0:c r="Z400" s="957" t="str">
        <ns0:f>IF(COUNTA($A400:$M400)=0,"",Instructions!$B$29+SUM($W$5:W400))</ns0:f>
      </ns0:c>
    </ns0:row>
    <ns0:row r="401" ht="36" customHeight="1">
      <ns0:c r="A401" s="439"/>
      <ns0:c r="B401" s="453"/>
      <ns0:c r="C401" s="453"/>
      <ns0:c r="D401" s="454"/>
      <ns0:c r="E401" s="454"/>
      <ns0:c r="F401" s="454"/>
      <ns0:c r="G401" s="986"/>
      <ns0:c r="H401" s="455"/>
      <ns0:c r="I401" s="456"/>
      <ns0:c r="J401" s="456"/>
      <ns0:c r="K401" s="986"/>
      <ns0:c r="L401" s="454"/>
      <ns0:c r="M401" s="439"/>
      <ns0:c r="N401" s="987" t="str">
        <ns0:f>IF(COUNTA($A401:$M401)=0,"",IF(OR(LEFT(LOWER(TRIM($F401&amp;"")),12)="subscription",LOWER(TRIM($F401&amp;""))="membership"),"",IF(OR(AND($H401&lt;&gt;"",$H401=0),LEFT(LOWER(TRIM($F401&amp;"")),9)="free game",LOWER(TRIM($F401&amp;""))="free",LOWER(TRIM($F401&amp;""))="free entry"),IF(ISNUMBER($G401),IF(ISNUMBER(SEARCH("non",LOWER($E401&amp;""))),$G401*0.85,$G401),"N/A"),IF($G401="","",IFERROR(IF(ISNUMBER(SEARCH("non",LOWER($E401&amp;""))),$G401*0.85,$G401),"")))))</ns0:f>
        <ns0:v/>
      </ns0:c>
      <ns0:c r="O401" s="987" t="str">
        <ns0:f>IF(COUNTA($A401:$M401)=0,"",IF(OR(LEFT(LOWER(TRIM($F401&amp;"")),12)="subscription",LOWER(TRIM($F401&amp;""))="membership"),"",IF(OR(AND($H401&lt;&gt;"",$H401=0),LEFT(LOWER(TRIM($F401&amp;"")),9)="free game",LOWER(TRIM($F401&amp;""))="free",LOWER(TRIM($F401&amp;""))="free entry"),IF(OR(NOT(ISNUMBER($N401)),NOT(ISNUMBER($I401)),$I401=0),"N/A",IFERROR($N401/$I401,"N/A")),IF(OR($N401="",$I401="",$I401=0),"",IFERROR($N401/$I401,"")))))</ns0:f>
        <ns0:v/>
      </ns0:c>
      <ns0:c r="P401" s="987">
        <ns0:f>IF(COUNTA($A401:$M401)=0,"",IF(OR(LEFT(LOWER(TRIM($F401&amp;"")),12)="subscription",LOWER(TRIM($F401&amp;""))="membership"),"",IF(LOWER(TRIM($D401&amp;""))="estimate","N/A",IF(LOWER($L401&amp;"")="yes",0,IF(OR(AND($H401&lt;&gt;"",$H401=0),LEFT(LOWER(TRIM($F401&amp;"")),9)="free game",LOWER(TRIM($F401&amp;""))="free",LOWER(TRIM($F401&amp;""))="free entry"),IF(ISNUMBER($K401),$K401,""),IF($K401&lt;&gt;"",$K401,""))))))</ns0:f>
      </ns0:c>
      <ns0:c r="Q401" s="114">
        <ns0:f>IF(COUNTA($A401:$M401)=0,"",IF(OR($U401="Subscription",$U401=""),"",IF($U401="Estimate","N/A",IF($U401="Profit",ROUND(IFERROR($P401,0)-IFERROR($H401,0),2),0))))</ns0:f>
      </ns0:c>
      <ns0:c r="R401" s="114">
        <ns0:f>IF(COUNTA($A401:$M401)=0,"",IF(OR($U401="Subscription",$U401=""),"",IF($U401="Estimate","N/A",IF($U401="Draw",$H401,0))))</ns0:f>
      </ns0:c>
      <ns0:c r="S401" s="114">
        <ns0:f>IF(COUNTA($A401:$M401)=0,"",IF(OR($U401="Subscription",$U401=""),"",IF($U401="Estimate","N/A",IF($U401="Disqualified",$H401,0))))</ns0:f>
      </ns0:c>
      <ns0:c r="T401" s="955">
        <ns0:f>IF(COUNTA($A401:$M401)=0,"",IF(OR($U401="Subscription",$U401=""),"",IF($U401="Estimate","N/A",IF(OR($U401="Free Game",$U401="Disqualified — Free Game",$H401=0),"N/A",IF($U401="Profit",$Q401/$H401,IF($U401="Disqualified",-$S401/$H401,0))))))</ns0:f>
      </ns0:c>
      <ns0:c r="U401" s="920">
        <ns0:f>IF(COUNTA($A401:$M401)=0,"",IF(OR(LEFT(LOWER(TRIM($F401&amp;"")),12)="subscription",LOWER(TRIM($F401&amp;""))="membership"),"Subscription",IF(LOWER(TRIM($D401&amp;""))="estimate","Estimate",IF(OR(AND($H401&lt;&gt;"",$H401=0),LEFT(LOWER(TRIM($F401&amp;"")),9)="free game",LOWER(TRIM($F401&amp;""))="free",LOWER(TRIM($F401&amp;""))="free entry"),IF(LOWER($L401&amp;"")="yes","Disqualified — Free Game","Free Game"),IF(LOWER($L401&amp;"")="yes","Disqualified",IF($P401="","",IF(ROUND(IFERROR(VALUE($P401),0)-IFERROR(VALUE($H401),0),2)&gt;0,"Profit","Draw")))))))</ns0:f>
      </ns0:c>
      <ns0:c r="V401" s="956" t="str">
        <ns0:f>IF(COUNTA($A401:$M401)=0,"",IF(OR($B401="",$C401="",$U401="Subscription"),"",IFERROR(ROUNDUP(($C401-$B401)/7,0),"")))</ns0:f>
      </ns0:c>
      <ns0:c r="W401" s="114">
        <ns0:f>IF(COUNTA($A401:$M401)=0,"",IF(OR($U401="Subscription",$U401=""),"",IF($U401="Estimate","N/A",IF(OR($U401="Free Game",$U401="Disqualified — Free Game"),0,ROUND(IFERROR($Q401,0)-IFERROR($S401,0),2)))))</ns0:f>
      </ns0:c>
      <ns0:c r="X401" s="956" t="str">
        <ns0:f>IF(COUNTA($A401:$M401)=0,"",IF(OR($U401="Subscription",NOT(ISNUMBER($J401)),NOT(ISNUMBER($I401)),$J401=0,$I401=0,$I401&gt;$J401),"",$J401-$I401))</ns0:f>
      </ns0:c>
      <ns0:c r="Y401" s="955" t="str">
        <ns0:f>IF(COUNTA($A401:$M401)=0,"",IF(OR($U401="Subscription",NOT(ISNUMBER($J401)),$J401=0,$X401=""),"",$X401/$J401))</ns0:f>
      </ns0:c>
      <ns0:c r="Z401" s="957" t="str">
        <ns0:f>IF(COUNTA($A401:$M401)=0,"",Instructions!$B$29+SUM($W$5:W401))</ns0:f>
      </ns0:c>
    </ns0:row>
    <ns0:row r="402" ht="36" customHeight="1">
      <ns0:c r="A402" s="439"/>
      <ns0:c r="B402" s="453"/>
      <ns0:c r="C402" s="453"/>
      <ns0:c r="D402" s="454"/>
      <ns0:c r="E402" s="454"/>
      <ns0:c r="F402" s="454"/>
      <ns0:c r="G402" s="986"/>
      <ns0:c r="H402" s="455"/>
      <ns0:c r="I402" s="456"/>
      <ns0:c r="J402" s="456"/>
      <ns0:c r="K402" s="986"/>
      <ns0:c r="L402" s="454"/>
      <ns0:c r="M402" s="439"/>
      <ns0:c r="N402" s="987" t="str">
        <ns0:f>IF(COUNTA($A402:$M402)=0,"",IF(OR(LEFT(LOWER(TRIM($F402&amp;"")),12)="subscription",LOWER(TRIM($F402&amp;""))="membership"),"",IF(OR(AND($H402&lt;&gt;"",$H402=0),LEFT(LOWER(TRIM($F402&amp;"")),9)="free game",LOWER(TRIM($F402&amp;""))="free",LOWER(TRIM($F402&amp;""))="free entry"),IF(ISNUMBER($G402),IF(ISNUMBER(SEARCH("non",LOWER($E402&amp;""))),$G402*0.85,$G402),"N/A"),IF($G402="","",IFERROR(IF(ISNUMBER(SEARCH("non",LOWER($E402&amp;""))),$G402*0.85,$G402),"")))))</ns0:f>
        <ns0:v/>
      </ns0:c>
      <ns0:c r="O402" s="987" t="str">
        <ns0:f>IF(COUNTA($A402:$M402)=0,"",IF(OR(LEFT(LOWER(TRIM($F402&amp;"")),12)="subscription",LOWER(TRIM($F402&amp;""))="membership"),"",IF(OR(AND($H402&lt;&gt;"",$H402=0),LEFT(LOWER(TRIM($F402&amp;"")),9)="free game",LOWER(TRIM($F402&amp;""))="free",LOWER(TRIM($F402&amp;""))="free entry"),IF(OR(NOT(ISNUMBER($N402)),NOT(ISNUMBER($I402)),$I402=0),"N/A",IFERROR($N402/$I402,"N/A")),IF(OR($N402="",$I402="",$I402=0),"",IFERROR($N402/$I402,"")))))</ns0:f>
        <ns0:v/>
      </ns0:c>
      <ns0:c r="P402" s="987">
        <ns0:f>IF(COUNTA($A402:$M402)=0,"",IF(OR(LEFT(LOWER(TRIM($F402&amp;"")),12)="subscription",LOWER(TRIM($F402&amp;""))="membership"),"",IF(LOWER(TRIM($D402&amp;""))="estimate","N/A",IF(LOWER($L402&amp;"")="yes",0,IF(OR(AND($H402&lt;&gt;"",$H402=0),LEFT(LOWER(TRIM($F402&amp;"")),9)="free game",LOWER(TRIM($F402&amp;""))="free",LOWER(TRIM($F402&amp;""))="free entry"),IF(ISNUMBER($K402),$K402,""),IF($K402&lt;&gt;"",$K402,""))))))</ns0:f>
      </ns0:c>
      <ns0:c r="Q402" s="114">
        <ns0:f>IF(COUNTA($A402:$M402)=0,"",IF(OR($U402="Subscription",$U402=""),"",IF($U402="Estimate","N/A",IF($U402="Profit",ROUND(IFERROR($P402,0)-IFERROR($H402,0),2),0))))</ns0:f>
      </ns0:c>
      <ns0:c r="R402" s="114">
        <ns0:f>IF(COUNTA($A402:$M402)=0,"",IF(OR($U402="Subscription",$U402=""),"",IF($U402="Estimate","N/A",IF($U402="Draw",$H402,0))))</ns0:f>
      </ns0:c>
      <ns0:c r="S402" s="114">
        <ns0:f>IF(COUNTA($A402:$M402)=0,"",IF(OR($U402="Subscription",$U402=""),"",IF($U402="Estimate","N/A",IF($U402="Disqualified",$H402,0))))</ns0:f>
      </ns0:c>
      <ns0:c r="T402" s="955">
        <ns0:f>IF(COUNTA($A402:$M402)=0,"",IF(OR($U402="Subscription",$U402=""),"",IF($U402="Estimate","N/A",IF(OR($U402="Free Game",$U402="Disqualified — Free Game",$H402=0),"N/A",IF($U402="Profit",$Q402/$H402,IF($U402="Disqualified",-$S402/$H402,0))))))</ns0:f>
      </ns0:c>
      <ns0:c r="U402" s="920">
        <ns0:f>IF(COUNTA($A402:$M402)=0,"",IF(OR(LEFT(LOWER(TRIM($F402&amp;"")),12)="subscription",LOWER(TRIM($F402&amp;""))="membership"),"Subscription",IF(LOWER(TRIM($D402&amp;""))="estimate","Estimate",IF(OR(AND($H402&lt;&gt;"",$H402=0),LEFT(LOWER(TRIM($F402&amp;"")),9)="free game",LOWER(TRIM($F402&amp;""))="free",LOWER(TRIM($F402&amp;""))="free entry"),IF(LOWER($L402&amp;"")="yes","Disqualified — Free Game","Free Game"),IF(LOWER($L402&amp;"")="yes","Disqualified",IF($P402="","",IF(ROUND(IFERROR(VALUE($P402),0)-IFERROR(VALUE($H402),0),2)&gt;0,"Profit","Draw")))))))</ns0:f>
      </ns0:c>
      <ns0:c r="V402" s="956" t="str">
        <ns0:f>IF(COUNTA($A402:$M402)=0,"",IF(OR($B402="",$C402="",$U402="Subscription"),"",IFERROR(ROUNDUP(($C402-$B402)/7,0),"")))</ns0:f>
      </ns0:c>
      <ns0:c r="W402" s="114">
        <ns0:f>IF(COUNTA($A402:$M402)=0,"",IF(OR($U402="Subscription",$U402=""),"",IF($U402="Estimate","N/A",IF(OR($U402="Free Game",$U402="Disqualified — Free Game"),0,ROUND(IFERROR($Q402,0)-IFERROR($S402,0),2)))))</ns0:f>
      </ns0:c>
      <ns0:c r="X402" s="956" t="str">
        <ns0:f>IF(COUNTA($A402:$M402)=0,"",IF(OR($U402="Subscription",NOT(ISNUMBER($J402)),NOT(ISNUMBER($I402)),$J402=0,$I402=0,$I402&gt;$J402),"",$J402-$I402))</ns0:f>
      </ns0:c>
      <ns0:c r="Y402" s="955" t="str">
        <ns0:f>IF(COUNTA($A402:$M402)=0,"",IF(OR($U402="Subscription",NOT(ISNUMBER($J402)),$J402=0,$X402=""),"",$X402/$J402))</ns0:f>
      </ns0:c>
      <ns0:c r="Z402" s="957" t="str">
        <ns0:f>IF(COUNTA($A402:$M402)=0,"",Instructions!$B$29+SUM($W$5:W402))</ns0:f>
      </ns0:c>
    </ns0:row>
    <ns0:row r="403" ht="36" customHeight="1">
      <ns0:c r="A403" s="439"/>
      <ns0:c r="B403" s="453"/>
      <ns0:c r="C403" s="453"/>
      <ns0:c r="D403" s="454"/>
      <ns0:c r="E403" s="454"/>
      <ns0:c r="F403" s="454"/>
      <ns0:c r="G403" s="986"/>
      <ns0:c r="H403" s="455"/>
      <ns0:c r="I403" s="456"/>
      <ns0:c r="J403" s="456"/>
      <ns0:c r="K403" s="986"/>
      <ns0:c r="L403" s="454"/>
      <ns0:c r="M403" s="439"/>
      <ns0:c r="N403" s="987" t="str">
        <ns0:f>IF(COUNTA($A403:$M403)=0,"",IF(OR(LEFT(LOWER(TRIM($F403&amp;"")),12)="subscription",LOWER(TRIM($F403&amp;""))="membership"),"",IF(OR(AND($H403&lt;&gt;"",$H403=0),LEFT(LOWER(TRIM($F403&amp;"")),9)="free game",LOWER(TRIM($F403&amp;""))="free",LOWER(TRIM($F403&amp;""))="free entry"),IF(ISNUMBER($G403),IF(ISNUMBER(SEARCH("non",LOWER($E403&amp;""))),$G403*0.85,$G403),"N/A"),IF($G403="","",IFERROR(IF(ISNUMBER(SEARCH("non",LOWER($E403&amp;""))),$G403*0.85,$G403),"")))))</ns0:f>
        <ns0:v/>
      </ns0:c>
      <ns0:c r="O403" s="987" t="str">
        <ns0:f>IF(COUNTA($A403:$M403)=0,"",IF(OR(LEFT(LOWER(TRIM($F403&amp;"")),12)="subscription",LOWER(TRIM($F403&amp;""))="membership"),"",IF(OR(AND($H403&lt;&gt;"",$H403=0),LEFT(LOWER(TRIM($F403&amp;"")),9)="free game",LOWER(TRIM($F403&amp;""))="free",LOWER(TRIM($F403&amp;""))="free entry"),IF(OR(NOT(ISNUMBER($N403)),NOT(ISNUMBER($I403)),$I403=0),"N/A",IFERROR($N403/$I403,"N/A")),IF(OR($N403="",$I403="",$I403=0),"",IFERROR($N403/$I403,"")))))</ns0:f>
        <ns0:v/>
      </ns0:c>
      <ns0:c r="P403" s="987">
        <ns0:f>IF(COUNTA($A403:$M403)=0,"",IF(OR(LEFT(LOWER(TRIM($F403&amp;"")),12)="subscription",LOWER(TRIM($F403&amp;""))="membership"),"",IF(LOWER(TRIM($D403&amp;""))="estimate","N/A",IF(LOWER($L403&amp;"")="yes",0,IF(OR(AND($H403&lt;&gt;"",$H403=0),LEFT(LOWER(TRIM($F403&amp;"")),9)="free game",LOWER(TRIM($F403&amp;""))="free",LOWER(TRIM($F403&amp;""))="free entry"),IF(ISNUMBER($K403),$K403,""),IF($K403&lt;&gt;"",$K403,""))))))</ns0:f>
      </ns0:c>
      <ns0:c r="Q403" s="114">
        <ns0:f>IF(COUNTA($A403:$M403)=0,"",IF(OR($U403="Subscription",$U403=""),"",IF($U403="Estimate","N/A",IF($U403="Profit",ROUND(IFERROR($P403,0)-IFERROR($H403,0),2),0))))</ns0:f>
      </ns0:c>
      <ns0:c r="R403" s="114">
        <ns0:f>IF(COUNTA($A403:$M403)=0,"",IF(OR($U403="Subscription",$U403=""),"",IF($U403="Estimate","N/A",IF($U403="Draw",$H403,0))))</ns0:f>
      </ns0:c>
      <ns0:c r="S403" s="114">
        <ns0:f>IF(COUNTA($A403:$M403)=0,"",IF(OR($U403="Subscription",$U403=""),"",IF($U403="Estimate","N/A",IF($U403="Disqualified",$H403,0))))</ns0:f>
      </ns0:c>
      <ns0:c r="T403" s="955">
        <ns0:f>IF(COUNTA($A403:$M403)=0,"",IF(OR($U403="Subscription",$U403=""),"",IF($U403="Estimate","N/A",IF(OR($U403="Free Game",$U403="Disqualified — Free Game",$H403=0),"N/A",IF($U403="Profit",$Q403/$H403,IF($U403="Disqualified",-$S403/$H403,0))))))</ns0:f>
      </ns0:c>
      <ns0:c r="U403" s="920">
        <ns0:f>IF(COUNTA($A403:$M403)=0,"",IF(OR(LEFT(LOWER(TRIM($F403&amp;"")),12)="subscription",LOWER(TRIM($F403&amp;""))="membership"),"Subscription",IF(LOWER(TRIM($D403&amp;""))="estimate","Estimate",IF(OR(AND($H403&lt;&gt;"",$H403=0),LEFT(LOWER(TRIM($F403&amp;"")),9)="free game",LOWER(TRIM($F403&amp;""))="free",LOWER(TRIM($F403&amp;""))="free entry"),IF(LOWER($L403&amp;"")="yes","Disqualified — Free Game","Free Game"),IF(LOWER($L403&amp;"")="yes","Disqualified",IF($P403="","",IF(ROUND(IFERROR(VALUE($P403),0)-IFERROR(VALUE($H403),0),2)&gt;0,"Profit","Draw")))))))</ns0:f>
      </ns0:c>
      <ns0:c r="V403" s="956" t="str">
        <ns0:f>IF(COUNTA($A403:$M403)=0,"",IF(OR($B403="",$C403="",$U403="Subscription"),"",IFERROR(ROUNDUP(($C403-$B403)/7,0),"")))</ns0:f>
      </ns0:c>
      <ns0:c r="W403" s="114">
        <ns0:f>IF(COUNTA($A403:$M403)=0,"",IF(OR($U403="Subscription",$U403=""),"",IF($U403="Estimate","N/A",IF(OR($U403="Free Game",$U403="Disqualified — Free Game"),0,ROUND(IFERROR($Q403,0)-IFERROR($S403,0),2)))))</ns0:f>
      </ns0:c>
      <ns0:c r="X403" s="956" t="str">
        <ns0:f>IF(COUNTA($A403:$M403)=0,"",IF(OR($U403="Subscription",NOT(ISNUMBER($J403)),NOT(ISNUMBER($I403)),$J403=0,$I403=0,$I403&gt;$J403),"",$J403-$I403))</ns0:f>
      </ns0:c>
      <ns0:c r="Y403" s="955" t="str">
        <ns0:f>IF(COUNTA($A403:$M403)=0,"",IF(OR($U403="Subscription",NOT(ISNUMBER($J403)),$J403=0,$X403=""),"",$X403/$J403))</ns0:f>
      </ns0:c>
      <ns0:c r="Z403" s="957" t="str">
        <ns0:f>IF(COUNTA($A403:$M403)=0,"",Instructions!$B$29+SUM($W$5:W403))</ns0:f>
      </ns0:c>
    </ns0:row>
    <ns0:row r="404" ht="36" customHeight="1">
      <ns0:c r="A404" s="439"/>
      <ns0:c r="B404" s="453"/>
      <ns0:c r="C404" s="453"/>
      <ns0:c r="D404" s="454"/>
      <ns0:c r="E404" s="454"/>
      <ns0:c r="F404" s="454"/>
      <ns0:c r="G404" s="986"/>
      <ns0:c r="H404" s="455"/>
      <ns0:c r="I404" s="456"/>
      <ns0:c r="J404" s="456"/>
      <ns0:c r="K404" s="986"/>
      <ns0:c r="L404" s="454"/>
      <ns0:c r="M404" s="439"/>
      <ns0:c r="N404" s="987" t="str">
        <ns0:f>IF(COUNTA($A404:$M404)=0,"",IF(OR(LEFT(LOWER(TRIM($F404&amp;"")),12)="subscription",LOWER(TRIM($F404&amp;""))="membership"),"",IF(OR(AND($H404&lt;&gt;"",$H404=0),LEFT(LOWER(TRIM($F404&amp;"")),9)="free game",LOWER(TRIM($F404&amp;""))="free",LOWER(TRIM($F404&amp;""))="free entry"),IF(ISNUMBER($G404),IF(ISNUMBER(SEARCH("non",LOWER($E404&amp;""))),$G404*0.85,$G404),"N/A"),IF($G404="","",IFERROR(IF(ISNUMBER(SEARCH("non",LOWER($E404&amp;""))),$G404*0.85,$G404),"")))))</ns0:f>
        <ns0:v/>
      </ns0:c>
      <ns0:c r="O404" s="987" t="str">
        <ns0:f>IF(COUNTA($A404:$M404)=0,"",IF(OR(LEFT(LOWER(TRIM($F404&amp;"")),12)="subscription",LOWER(TRIM($F404&amp;""))="membership"),"",IF(OR(AND($H404&lt;&gt;"",$H404=0),LEFT(LOWER(TRIM($F404&amp;"")),9)="free game",LOWER(TRIM($F404&amp;""))="free",LOWER(TRIM($F404&amp;""))="free entry"),IF(OR(NOT(ISNUMBER($N404)),NOT(ISNUMBER($I404)),$I404=0),"N/A",IFERROR($N404/$I404,"N/A")),IF(OR($N404="",$I404="",$I404=0),"",IFERROR($N404/$I404,"")))))</ns0:f>
        <ns0:v/>
      </ns0:c>
      <ns0:c r="P404" s="987">
        <ns0:f>IF(COUNTA($A404:$M404)=0,"",IF(OR(LEFT(LOWER(TRIM($F404&amp;"")),12)="subscription",LOWER(TRIM($F404&amp;""))="membership"),"",IF(LOWER(TRIM($D404&amp;""))="estimate","N/A",IF(LOWER($L404&amp;"")="yes",0,IF(OR(AND($H404&lt;&gt;"",$H404=0),LEFT(LOWER(TRIM($F404&amp;"")),9)="free game",LOWER(TRIM($F404&amp;""))="free",LOWER(TRIM($F404&amp;""))="free entry"),IF(ISNUMBER($K404),$K404,""),IF($K404&lt;&gt;"",$K404,""))))))</ns0:f>
      </ns0:c>
      <ns0:c r="Q404" s="114">
        <ns0:f>IF(COUNTA($A404:$M404)=0,"",IF(OR($U404="Subscription",$U404=""),"",IF($U404="Estimate","N/A",IF($U404="Profit",ROUND(IFERROR($P404,0)-IFERROR($H404,0),2),0))))</ns0:f>
      </ns0:c>
      <ns0:c r="R404" s="114">
        <ns0:f>IF(COUNTA($A404:$M404)=0,"",IF(OR($U404="Subscription",$U404=""),"",IF($U404="Estimate","N/A",IF($U404="Draw",$H404,0))))</ns0:f>
      </ns0:c>
      <ns0:c r="S404" s="114">
        <ns0:f>IF(COUNTA($A404:$M404)=0,"",IF(OR($U404="Subscription",$U404=""),"",IF($U404="Estimate","N/A",IF($U404="Disqualified",$H404,0))))</ns0:f>
      </ns0:c>
      <ns0:c r="T404" s="955">
        <ns0:f>IF(COUNTA($A404:$M404)=0,"",IF(OR($U404="Subscription",$U404=""),"",IF($U404="Estimate","N/A",IF(OR($U404="Free Game",$U404="Disqualified — Free Game",$H404=0),"N/A",IF($U404="Profit",$Q404/$H404,IF($U404="Disqualified",-$S404/$H404,0))))))</ns0:f>
      </ns0:c>
      <ns0:c r="U404" s="920">
        <ns0:f>IF(COUNTA($A404:$M404)=0,"",IF(OR(LEFT(LOWER(TRIM($F404&amp;"")),12)="subscription",LOWER(TRIM($F404&amp;""))="membership"),"Subscription",IF(LOWER(TRIM($D404&amp;""))="estimate","Estimate",IF(OR(AND($H404&lt;&gt;"",$H404=0),LEFT(LOWER(TRIM($F404&amp;"")),9)="free game",LOWER(TRIM($F404&amp;""))="free",LOWER(TRIM($F404&amp;""))="free entry"),IF(LOWER($L404&amp;"")="yes","Disqualified — Free Game","Free Game"),IF(LOWER($L404&amp;"")="yes","Disqualified",IF($P404="","",IF(ROUND(IFERROR(VALUE($P404),0)-IFERROR(VALUE($H404),0),2)&gt;0,"Profit","Draw")))))))</ns0:f>
      </ns0:c>
      <ns0:c r="V404" s="956" t="str">
        <ns0:f>IF(COUNTA($A404:$M404)=0,"",IF(OR($B404="",$C404="",$U404="Subscription"),"",IFERROR(ROUNDUP(($C404-$B404)/7,0),"")))</ns0:f>
      </ns0:c>
      <ns0:c r="W404" s="114">
        <ns0:f>IF(COUNTA($A404:$M404)=0,"",IF(OR($U404="Subscription",$U404=""),"",IF($U404="Estimate","N/A",IF(OR($U404="Free Game",$U404="Disqualified — Free Game"),0,ROUND(IFERROR($Q404,0)-IFERROR($S404,0),2)))))</ns0:f>
      </ns0:c>
      <ns0:c r="X404" s="956" t="str">
        <ns0:f>IF(COUNTA($A404:$M404)=0,"",IF(OR($U404="Subscription",NOT(ISNUMBER($J404)),NOT(ISNUMBER($I404)),$J404=0,$I404=0,$I404&gt;$J404),"",$J404-$I404))</ns0:f>
      </ns0:c>
      <ns0:c r="Y404" s="955" t="str">
        <ns0:f>IF(COUNTA($A404:$M404)=0,"",IF(OR($U404="Subscription",NOT(ISNUMBER($J404)),$J404=0,$X404=""),"",$X404/$J404))</ns0:f>
      </ns0:c>
      <ns0:c r="Z404" s="957" t="str">
        <ns0:f>IF(COUNTA($A404:$M404)=0,"",Instructions!$B$29+SUM($W$5:W404))</ns0:f>
      </ns0:c>
    </ns0:row>
    <ns0:row r="405" ht="36" customHeight="1">
      <ns0:c r="A405" s="439"/>
      <ns0:c r="B405" s="453"/>
      <ns0:c r="C405" s="453"/>
      <ns0:c r="D405" s="454"/>
      <ns0:c r="E405" s="454"/>
      <ns0:c r="F405" s="454"/>
      <ns0:c r="G405" s="986"/>
      <ns0:c r="H405" s="455"/>
      <ns0:c r="I405" s="456"/>
      <ns0:c r="J405" s="456"/>
      <ns0:c r="K405" s="986"/>
      <ns0:c r="L405" s="454"/>
      <ns0:c r="M405" s="439"/>
      <ns0:c r="N405" s="987" t="str">
        <ns0:f>IF(COUNTA($A405:$M405)=0,"",IF(OR(LEFT(LOWER(TRIM($F405&amp;"")),12)="subscription",LOWER(TRIM($F405&amp;""))="membership"),"",IF(OR(AND($H405&lt;&gt;"",$H405=0),LEFT(LOWER(TRIM($F405&amp;"")),9)="free game",LOWER(TRIM($F405&amp;""))="free",LOWER(TRIM($F405&amp;""))="free entry"),IF(ISNUMBER($G405),IF(ISNUMBER(SEARCH("non",LOWER($E405&amp;""))),$G405*0.85,$G405),"N/A"),IF($G405="","",IFERROR(IF(ISNUMBER(SEARCH("non",LOWER($E405&amp;""))),$G405*0.85,$G405),"")))))</ns0:f>
        <ns0:v/>
      </ns0:c>
      <ns0:c r="O405" s="987" t="str">
        <ns0:f>IF(COUNTA($A405:$M405)=0,"",IF(OR(LEFT(LOWER(TRIM($F405&amp;"")),12)="subscription",LOWER(TRIM($F405&amp;""))="membership"),"",IF(OR(AND($H405&lt;&gt;"",$H405=0),LEFT(LOWER(TRIM($F405&amp;"")),9)="free game",LOWER(TRIM($F405&amp;""))="free",LOWER(TRIM($F405&amp;""))="free entry"),IF(OR(NOT(ISNUMBER($N405)),NOT(ISNUMBER($I405)),$I405=0),"N/A",IFERROR($N405/$I405,"N/A")),IF(OR($N405="",$I405="",$I405=0),"",IFERROR($N405/$I405,"")))))</ns0:f>
        <ns0:v/>
      </ns0:c>
      <ns0:c r="P405" s="987">
        <ns0:f>IF(COUNTA($A405:$M405)=0,"",IF(OR(LEFT(LOWER(TRIM($F405&amp;"")),12)="subscription",LOWER(TRIM($F405&amp;""))="membership"),"",IF(LOWER(TRIM($D405&amp;""))="estimate","N/A",IF(LOWER($L405&amp;"")="yes",0,IF(OR(AND($H405&lt;&gt;"",$H405=0),LEFT(LOWER(TRIM($F405&amp;"")),9)="free game",LOWER(TRIM($F405&amp;""))="free",LOWER(TRIM($F405&amp;""))="free entry"),IF(ISNUMBER($K405),$K405,""),IF($K405&lt;&gt;"",$K405,""))))))</ns0:f>
      </ns0:c>
      <ns0:c r="Q405" s="114">
        <ns0:f>IF(COUNTA($A405:$M405)=0,"",IF(OR($U405="Subscription",$U405=""),"",IF($U405="Estimate","N/A",IF($U405="Profit",ROUND(IFERROR($P405,0)-IFERROR($H405,0),2),0))))</ns0:f>
      </ns0:c>
      <ns0:c r="R405" s="114">
        <ns0:f>IF(COUNTA($A405:$M405)=0,"",IF(OR($U405="Subscription",$U405=""),"",IF($U405="Estimate","N/A",IF($U405="Draw",$H405,0))))</ns0:f>
      </ns0:c>
      <ns0:c r="S405" s="114">
        <ns0:f>IF(COUNTA($A405:$M405)=0,"",IF(OR($U405="Subscription",$U405=""),"",IF($U405="Estimate","N/A",IF($U405="Disqualified",$H405,0))))</ns0:f>
      </ns0:c>
      <ns0:c r="T405" s="955">
        <ns0:f>IF(COUNTA($A405:$M405)=0,"",IF(OR($U405="Subscription",$U405=""),"",IF($U405="Estimate","N/A",IF(OR($U405="Free Game",$U405="Disqualified — Free Game",$H405=0),"N/A",IF($U405="Profit",$Q405/$H405,IF($U405="Disqualified",-$S405/$H405,0))))))</ns0:f>
      </ns0:c>
      <ns0:c r="U405" s="920">
        <ns0:f>IF(COUNTA($A405:$M405)=0,"",IF(OR(LEFT(LOWER(TRIM($F405&amp;"")),12)="subscription",LOWER(TRIM($F405&amp;""))="membership"),"Subscription",IF(LOWER(TRIM($D405&amp;""))="estimate","Estimate",IF(OR(AND($H405&lt;&gt;"",$H405=0),LEFT(LOWER(TRIM($F405&amp;"")),9)="free game",LOWER(TRIM($F405&amp;""))="free",LOWER(TRIM($F405&amp;""))="free entry"),IF(LOWER($L405&amp;"")="yes","Disqualified — Free Game","Free Game"),IF(LOWER($L405&amp;"")="yes","Disqualified",IF($P405="","",IF(ROUND(IFERROR(VALUE($P405),0)-IFERROR(VALUE($H405),0),2)&gt;0,"Profit","Draw")))))))</ns0:f>
      </ns0:c>
      <ns0:c r="V405" s="956" t="str">
        <ns0:f>IF(COUNTA($A405:$M405)=0,"",IF(OR($B405="",$C405="",$U405="Subscription"),"",IFERROR(ROUNDUP(($C405-$B405)/7,0),"")))</ns0:f>
      </ns0:c>
      <ns0:c r="W405" s="114">
        <ns0:f>IF(COUNTA($A405:$M405)=0,"",IF(OR($U405="Subscription",$U405=""),"",IF($U405="Estimate","N/A",IF(OR($U405="Free Game",$U405="Disqualified — Free Game"),0,ROUND(IFERROR($Q405,0)-IFERROR($S405,0),2)))))</ns0:f>
      </ns0:c>
      <ns0:c r="X405" s="956" t="str">
        <ns0:f>IF(COUNTA($A405:$M405)=0,"",IF(OR($U405="Subscription",NOT(ISNUMBER($J405)),NOT(ISNUMBER($I405)),$J405=0,$I405=0,$I405&gt;$J405),"",$J405-$I405))</ns0:f>
      </ns0:c>
      <ns0:c r="Y405" s="955" t="str">
        <ns0:f>IF(COUNTA($A405:$M405)=0,"",IF(OR($U405="Subscription",NOT(ISNUMBER($J405)),$J405=0,$X405=""),"",$X405/$J405))</ns0:f>
      </ns0:c>
      <ns0:c r="Z405" s="957" t="str">
        <ns0:f>IF(COUNTA($A405:$M405)=0,"",Instructions!$B$29+SUM($W$5:W405))</ns0:f>
      </ns0:c>
    </ns0:row>
    <ns0:row r="406" ht="36" customHeight="1">
      <ns0:c r="A406" s="439"/>
      <ns0:c r="B406" s="453"/>
      <ns0:c r="C406" s="453"/>
      <ns0:c r="D406" s="454"/>
      <ns0:c r="E406" s="454"/>
      <ns0:c r="F406" s="454"/>
      <ns0:c r="G406" s="986"/>
      <ns0:c r="H406" s="455"/>
      <ns0:c r="I406" s="456"/>
      <ns0:c r="J406" s="456"/>
      <ns0:c r="K406" s="986"/>
      <ns0:c r="L406" s="454"/>
      <ns0:c r="M406" s="439"/>
      <ns0:c r="N406" s="987" t="str">
        <ns0:f>IF(COUNTA($A406:$M406)=0,"",IF(OR(LEFT(LOWER(TRIM($F406&amp;"")),12)="subscription",LOWER(TRIM($F406&amp;""))="membership"),"",IF(OR(AND($H406&lt;&gt;"",$H406=0),LEFT(LOWER(TRIM($F406&amp;"")),9)="free game",LOWER(TRIM($F406&amp;""))="free",LOWER(TRIM($F406&amp;""))="free entry"),IF(ISNUMBER($G406),IF(ISNUMBER(SEARCH("non",LOWER($E406&amp;""))),$G406*0.85,$G406),"N/A"),IF($G406="","",IFERROR(IF(ISNUMBER(SEARCH("non",LOWER($E406&amp;""))),$G406*0.85,$G406),"")))))</ns0:f>
        <ns0:v/>
      </ns0:c>
      <ns0:c r="O406" s="987" t="str">
        <ns0:f>IF(COUNTA($A406:$M406)=0,"",IF(OR(LEFT(LOWER(TRIM($F406&amp;"")),12)="subscription",LOWER(TRIM($F406&amp;""))="membership"),"",IF(OR(AND($H406&lt;&gt;"",$H406=0),LEFT(LOWER(TRIM($F406&amp;"")),9)="free game",LOWER(TRIM($F406&amp;""))="free",LOWER(TRIM($F406&amp;""))="free entry"),IF(OR(NOT(ISNUMBER($N406)),NOT(ISNUMBER($I406)),$I406=0),"N/A",IFERROR($N406/$I406,"N/A")),IF(OR($N406="",$I406="",$I406=0),"",IFERROR($N406/$I406,"")))))</ns0:f>
        <ns0:v/>
      </ns0:c>
      <ns0:c r="P406" s="987">
        <ns0:f>IF(COUNTA($A406:$M406)=0,"",IF(OR(LEFT(LOWER(TRIM($F406&amp;"")),12)="subscription",LOWER(TRIM($F406&amp;""))="membership"),"",IF(LOWER(TRIM($D406&amp;""))="estimate","N/A",IF(LOWER($L406&amp;"")="yes",0,IF(OR(AND($H406&lt;&gt;"",$H406=0),LEFT(LOWER(TRIM($F406&amp;"")),9)="free game",LOWER(TRIM($F406&amp;""))="free",LOWER(TRIM($F406&amp;""))="free entry"),IF(ISNUMBER($K406),$K406,""),IF($K406&lt;&gt;"",$K406,""))))))</ns0:f>
      </ns0:c>
      <ns0:c r="Q406" s="114">
        <ns0:f>IF(COUNTA($A406:$M406)=0,"",IF(OR($U406="Subscription",$U406=""),"",IF($U406="Estimate","N/A",IF($U406="Profit",ROUND(IFERROR($P406,0)-IFERROR($H406,0),2),0))))</ns0:f>
      </ns0:c>
      <ns0:c r="R406" s="114">
        <ns0:f>IF(COUNTA($A406:$M406)=0,"",IF(OR($U406="Subscription",$U406=""),"",IF($U406="Estimate","N/A",IF($U406="Draw",$H406,0))))</ns0:f>
      </ns0:c>
      <ns0:c r="S406" s="114">
        <ns0:f>IF(COUNTA($A406:$M406)=0,"",IF(OR($U406="Subscription",$U406=""),"",IF($U406="Estimate","N/A",IF($U406="Disqualified",$H406,0))))</ns0:f>
      </ns0:c>
      <ns0:c r="T406" s="955">
        <ns0:f>IF(COUNTA($A406:$M406)=0,"",IF(OR($U406="Subscription",$U406=""),"",IF($U406="Estimate","N/A",IF(OR($U406="Free Game",$U406="Disqualified — Free Game",$H406=0),"N/A",IF($U406="Profit",$Q406/$H406,IF($U406="Disqualified",-$S406/$H406,0))))))</ns0:f>
      </ns0:c>
      <ns0:c r="U406" s="920">
        <ns0:f>IF(COUNTA($A406:$M406)=0,"",IF(OR(LEFT(LOWER(TRIM($F406&amp;"")),12)="subscription",LOWER(TRIM($F406&amp;""))="membership"),"Subscription",IF(LOWER(TRIM($D406&amp;""))="estimate","Estimate",IF(OR(AND($H406&lt;&gt;"",$H406=0),LEFT(LOWER(TRIM($F406&amp;"")),9)="free game",LOWER(TRIM($F406&amp;""))="free",LOWER(TRIM($F406&amp;""))="free entry"),IF(LOWER($L406&amp;"")="yes","Disqualified — Free Game","Free Game"),IF(LOWER($L406&amp;"")="yes","Disqualified",IF($P406="","",IF(ROUND(IFERROR(VALUE($P406),0)-IFERROR(VALUE($H406),0),2)&gt;0,"Profit","Draw")))))))</ns0:f>
      </ns0:c>
      <ns0:c r="V406" s="956" t="str">
        <ns0:f>IF(COUNTA($A406:$M406)=0,"",IF(OR($B406="",$C406="",$U406="Subscription"),"",IFERROR(ROUNDUP(($C406-$B406)/7,0),"")))</ns0:f>
      </ns0:c>
      <ns0:c r="W406" s="114">
        <ns0:f>IF(COUNTA($A406:$M406)=0,"",IF(OR($U406="Subscription",$U406=""),"",IF($U406="Estimate","N/A",IF(OR($U406="Free Game",$U406="Disqualified — Free Game"),0,ROUND(IFERROR($Q406,0)-IFERROR($S406,0),2)))))</ns0:f>
      </ns0:c>
      <ns0:c r="X406" s="956" t="str">
        <ns0:f>IF(COUNTA($A406:$M406)=0,"",IF(OR($U406="Subscription",NOT(ISNUMBER($J406)),NOT(ISNUMBER($I406)),$J406=0,$I406=0,$I406&gt;$J406),"",$J406-$I406))</ns0:f>
      </ns0:c>
      <ns0:c r="Y406" s="955" t="str">
        <ns0:f>IF(COUNTA($A406:$M406)=0,"",IF(OR($U406="Subscription",NOT(ISNUMBER($J406)),$J406=0,$X406=""),"",$X406/$J406))</ns0:f>
      </ns0:c>
      <ns0:c r="Z406" s="957" t="str">
        <ns0:f>IF(COUNTA($A406:$M406)=0,"",Instructions!$B$29+SUM($W$5:W406))</ns0:f>
      </ns0:c>
    </ns0:row>
    <ns0:row r="407" ht="36" customHeight="1">
      <ns0:c r="A407" s="439"/>
      <ns0:c r="B407" s="453"/>
      <ns0:c r="C407" s="453"/>
      <ns0:c r="D407" s="454"/>
      <ns0:c r="E407" s="454"/>
      <ns0:c r="F407" s="454"/>
      <ns0:c r="G407" s="986"/>
      <ns0:c r="H407" s="455"/>
      <ns0:c r="I407" s="456"/>
      <ns0:c r="J407" s="456"/>
      <ns0:c r="K407" s="986"/>
      <ns0:c r="L407" s="454"/>
      <ns0:c r="M407" s="439"/>
      <ns0:c r="N407" s="987" t="str">
        <ns0:f>IF(COUNTA($A407:$M407)=0,"",IF(OR(LEFT(LOWER(TRIM($F407&amp;"")),12)="subscription",LOWER(TRIM($F407&amp;""))="membership"),"",IF(OR(AND($H407&lt;&gt;"",$H407=0),LEFT(LOWER(TRIM($F407&amp;"")),9)="free game",LOWER(TRIM($F407&amp;""))="free",LOWER(TRIM($F407&amp;""))="free entry"),IF(ISNUMBER($G407),IF(ISNUMBER(SEARCH("non",LOWER($E407&amp;""))),$G407*0.85,$G407),"N/A"),IF($G407="","",IFERROR(IF(ISNUMBER(SEARCH("non",LOWER($E407&amp;""))),$G407*0.85,$G407),"")))))</ns0:f>
        <ns0:v/>
      </ns0:c>
      <ns0:c r="O407" s="987" t="str">
        <ns0:f>IF(COUNTA($A407:$M407)=0,"",IF(OR(LEFT(LOWER(TRIM($F407&amp;"")),12)="subscription",LOWER(TRIM($F407&amp;""))="membership"),"",IF(OR(AND($H407&lt;&gt;"",$H407=0),LEFT(LOWER(TRIM($F407&amp;"")),9)="free game",LOWER(TRIM($F407&amp;""))="free",LOWER(TRIM($F407&amp;""))="free entry"),IF(OR(NOT(ISNUMBER($N407)),NOT(ISNUMBER($I407)),$I407=0),"N/A",IFERROR($N407/$I407,"N/A")),IF(OR($N407="",$I407="",$I407=0),"",IFERROR($N407/$I407,"")))))</ns0:f>
        <ns0:v/>
      </ns0:c>
      <ns0:c r="P407" s="987">
        <ns0:f>IF(COUNTA($A407:$M407)=0,"",IF(OR(LEFT(LOWER(TRIM($F407&amp;"")),12)="subscription",LOWER(TRIM($F407&amp;""))="membership"),"",IF(LOWER(TRIM($D407&amp;""))="estimate","N/A",IF(LOWER($L407&amp;"")="yes",0,IF(OR(AND($H407&lt;&gt;"",$H407=0),LEFT(LOWER(TRIM($F407&amp;"")),9)="free game",LOWER(TRIM($F407&amp;""))="free",LOWER(TRIM($F407&amp;""))="free entry"),IF(ISNUMBER($K407),$K407,""),IF($K407&lt;&gt;"",$K407,""))))))</ns0:f>
      </ns0:c>
      <ns0:c r="Q407" s="114">
        <ns0:f>IF(COUNTA($A407:$M407)=0,"",IF(OR($U407="Subscription",$U407=""),"",IF($U407="Estimate","N/A",IF($U407="Profit",ROUND(IFERROR($P407,0)-IFERROR($H407,0),2),0))))</ns0:f>
      </ns0:c>
      <ns0:c r="R407" s="114">
        <ns0:f>IF(COUNTA($A407:$M407)=0,"",IF(OR($U407="Subscription",$U407=""),"",IF($U407="Estimate","N/A",IF($U407="Draw",$H407,0))))</ns0:f>
      </ns0:c>
      <ns0:c r="S407" s="114">
        <ns0:f>IF(COUNTA($A407:$M407)=0,"",IF(OR($U407="Subscription",$U407=""),"",IF($U407="Estimate","N/A",IF($U407="Disqualified",$H407,0))))</ns0:f>
      </ns0:c>
      <ns0:c r="T407" s="955">
        <ns0:f>IF(COUNTA($A407:$M407)=0,"",IF(OR($U407="Subscription",$U407=""),"",IF($U407="Estimate","N/A",IF(OR($U407="Free Game",$U407="Disqualified — Free Game",$H407=0),"N/A",IF($U407="Profit",$Q407/$H407,IF($U407="Disqualified",-$S407/$H407,0))))))</ns0:f>
      </ns0:c>
      <ns0:c r="U407" s="920">
        <ns0:f>IF(COUNTA($A407:$M407)=0,"",IF(OR(LEFT(LOWER(TRIM($F407&amp;"")),12)="subscription",LOWER(TRIM($F407&amp;""))="membership"),"Subscription",IF(LOWER(TRIM($D407&amp;""))="estimate","Estimate",IF(OR(AND($H407&lt;&gt;"",$H407=0),LEFT(LOWER(TRIM($F407&amp;"")),9)="free game",LOWER(TRIM($F407&amp;""))="free",LOWER(TRIM($F407&amp;""))="free entry"),IF(LOWER($L407&amp;"")="yes","Disqualified — Free Game","Free Game"),IF(LOWER($L407&amp;"")="yes","Disqualified",IF($P407="","",IF(ROUND(IFERROR(VALUE($P407),0)-IFERROR(VALUE($H407),0),2)&gt;0,"Profit","Draw")))))))</ns0:f>
      </ns0:c>
      <ns0:c r="V407" s="956" t="str">
        <ns0:f>IF(COUNTA($A407:$M407)=0,"",IF(OR($B407="",$C407="",$U407="Subscription"),"",IFERROR(ROUNDUP(($C407-$B407)/7,0),"")))</ns0:f>
      </ns0:c>
      <ns0:c r="W407" s="114">
        <ns0:f>IF(COUNTA($A407:$M407)=0,"",IF(OR($U407="Subscription",$U407=""),"",IF($U407="Estimate","N/A",IF(OR($U407="Free Game",$U407="Disqualified — Free Game"),0,ROUND(IFERROR($Q407,0)-IFERROR($S407,0),2)))))</ns0:f>
      </ns0:c>
      <ns0:c r="X407" s="956" t="str">
        <ns0:f>IF(COUNTA($A407:$M407)=0,"",IF(OR($U407="Subscription",NOT(ISNUMBER($J407)),NOT(ISNUMBER($I407)),$J407=0,$I407=0,$I407&gt;$J407),"",$J407-$I407))</ns0:f>
      </ns0:c>
      <ns0:c r="Y407" s="955" t="str">
        <ns0:f>IF(COUNTA($A407:$M407)=0,"",IF(OR($U407="Subscription",NOT(ISNUMBER($J407)),$J407=0,$X407=""),"",$X407/$J407))</ns0:f>
      </ns0:c>
      <ns0:c r="Z407" s="957" t="str">
        <ns0:f>IF(COUNTA($A407:$M407)=0,"",Instructions!$B$29+SUM($W$5:W407))</ns0:f>
      </ns0:c>
    </ns0:row>
    <ns0:row r="408" ht="36" customHeight="1">
      <ns0:c r="A408" s="439"/>
      <ns0:c r="B408" s="453"/>
      <ns0:c r="C408" s="453"/>
      <ns0:c r="D408" s="454"/>
      <ns0:c r="E408" s="454"/>
      <ns0:c r="F408" s="454"/>
      <ns0:c r="G408" s="986"/>
      <ns0:c r="H408" s="455"/>
      <ns0:c r="I408" s="456"/>
      <ns0:c r="J408" s="456"/>
      <ns0:c r="K408" s="986"/>
      <ns0:c r="L408" s="454"/>
      <ns0:c r="M408" s="439"/>
      <ns0:c r="N408" s="987" t="str">
        <ns0:f>IF(COUNTA($A408:$M408)=0,"",IF(OR(LEFT(LOWER(TRIM($F408&amp;"")),12)="subscription",LOWER(TRIM($F408&amp;""))="membership"),"",IF(OR(AND($H408&lt;&gt;"",$H408=0),LEFT(LOWER(TRIM($F408&amp;"")),9)="free game",LOWER(TRIM($F408&amp;""))="free",LOWER(TRIM($F408&amp;""))="free entry"),IF(ISNUMBER($G408),IF(ISNUMBER(SEARCH("non",LOWER($E408&amp;""))),$G408*0.85,$G408),"N/A"),IF($G408="","",IFERROR(IF(ISNUMBER(SEARCH("non",LOWER($E408&amp;""))),$G408*0.85,$G408),"")))))</ns0:f>
        <ns0:v/>
      </ns0:c>
      <ns0:c r="O408" s="987" t="str">
        <ns0:f>IF(COUNTA($A408:$M408)=0,"",IF(OR(LEFT(LOWER(TRIM($F408&amp;"")),12)="subscription",LOWER(TRIM($F408&amp;""))="membership"),"",IF(OR(AND($H408&lt;&gt;"",$H408=0),LEFT(LOWER(TRIM($F408&amp;"")),9)="free game",LOWER(TRIM($F408&amp;""))="free",LOWER(TRIM($F408&amp;""))="free entry"),IF(OR(NOT(ISNUMBER($N408)),NOT(ISNUMBER($I408)),$I408=0),"N/A",IFERROR($N408/$I408,"N/A")),IF(OR($N408="",$I408="",$I408=0),"",IFERROR($N408/$I408,"")))))</ns0:f>
        <ns0:v/>
      </ns0:c>
      <ns0:c r="P408" s="987">
        <ns0:f>IF(COUNTA($A408:$M408)=0,"",IF(OR(LEFT(LOWER(TRIM($F408&amp;"")),12)="subscription",LOWER(TRIM($F408&amp;""))="membership"),"",IF(LOWER(TRIM($D408&amp;""))="estimate","N/A",IF(LOWER($L408&amp;"")="yes",0,IF(OR(AND($H408&lt;&gt;"",$H408=0),LEFT(LOWER(TRIM($F408&amp;"")),9)="free game",LOWER(TRIM($F408&amp;""))="free",LOWER(TRIM($F408&amp;""))="free entry"),IF(ISNUMBER($K408),$K408,""),IF($K408&lt;&gt;"",$K408,""))))))</ns0:f>
      </ns0:c>
      <ns0:c r="Q408" s="114">
        <ns0:f>IF(COUNTA($A408:$M408)=0,"",IF(OR($U408="Subscription",$U408=""),"",IF($U408="Estimate","N/A",IF($U408="Profit",ROUND(IFERROR($P408,0)-IFERROR($H408,0),2),0))))</ns0:f>
      </ns0:c>
      <ns0:c r="R408" s="114">
        <ns0:f>IF(COUNTA($A408:$M408)=0,"",IF(OR($U408="Subscription",$U408=""),"",IF($U408="Estimate","N/A",IF($U408="Draw",$H408,0))))</ns0:f>
      </ns0:c>
      <ns0:c r="S408" s="114">
        <ns0:f>IF(COUNTA($A408:$M408)=0,"",IF(OR($U408="Subscription",$U408=""),"",IF($U408="Estimate","N/A",IF($U408="Disqualified",$H408,0))))</ns0:f>
      </ns0:c>
      <ns0:c r="T408" s="955">
        <ns0:f>IF(COUNTA($A408:$M408)=0,"",IF(OR($U408="Subscription",$U408=""),"",IF($U408="Estimate","N/A",IF(OR($U408="Free Game",$U408="Disqualified — Free Game",$H408=0),"N/A",IF($U408="Profit",$Q408/$H408,IF($U408="Disqualified",-$S408/$H408,0))))))</ns0:f>
      </ns0:c>
      <ns0:c r="U408" s="920">
        <ns0:f>IF(COUNTA($A408:$M408)=0,"",IF(OR(LEFT(LOWER(TRIM($F408&amp;"")),12)="subscription",LOWER(TRIM($F408&amp;""))="membership"),"Subscription",IF(LOWER(TRIM($D408&amp;""))="estimate","Estimate",IF(OR(AND($H408&lt;&gt;"",$H408=0),LEFT(LOWER(TRIM($F408&amp;"")),9)="free game",LOWER(TRIM($F408&amp;""))="free",LOWER(TRIM($F408&amp;""))="free entry"),IF(LOWER($L408&amp;"")="yes","Disqualified — Free Game","Free Game"),IF(LOWER($L408&amp;"")="yes","Disqualified",IF($P408="","",IF(ROUND(IFERROR(VALUE($P408),0)-IFERROR(VALUE($H408),0),2)&gt;0,"Profit","Draw")))))))</ns0:f>
      </ns0:c>
      <ns0:c r="V408" s="956" t="str">
        <ns0:f>IF(COUNTA($A408:$M408)=0,"",IF(OR($B408="",$C408="",$U408="Subscription"),"",IFERROR(ROUNDUP(($C408-$B408)/7,0),"")))</ns0:f>
      </ns0:c>
      <ns0:c r="W408" s="114">
        <ns0:f>IF(COUNTA($A408:$M408)=0,"",IF(OR($U408="Subscription",$U408=""),"",IF($U408="Estimate","N/A",IF(OR($U408="Free Game",$U408="Disqualified — Free Game"),0,ROUND(IFERROR($Q408,0)-IFERROR($S408,0),2)))))</ns0:f>
      </ns0:c>
      <ns0:c r="X408" s="956" t="str">
        <ns0:f>IF(COUNTA($A408:$M408)=0,"",IF(OR($U408="Subscription",NOT(ISNUMBER($J408)),NOT(ISNUMBER($I408)),$J408=0,$I408=0,$I408&gt;$J408),"",$J408-$I408))</ns0:f>
      </ns0:c>
      <ns0:c r="Y408" s="955" t="str">
        <ns0:f>IF(COUNTA($A408:$M408)=0,"",IF(OR($U408="Subscription",NOT(ISNUMBER($J408)),$J408=0,$X408=""),"",$X408/$J408))</ns0:f>
      </ns0:c>
      <ns0:c r="Z408" s="957" t="str">
        <ns0:f>IF(COUNTA($A408:$M408)=0,"",Instructions!$B$29+SUM($W$5:W408))</ns0:f>
      </ns0:c>
    </ns0:row>
    <ns0:row r="409" ht="36" customHeight="1">
      <ns0:c r="A409" s="439"/>
      <ns0:c r="B409" s="453"/>
      <ns0:c r="C409" s="453"/>
      <ns0:c r="D409" s="454"/>
      <ns0:c r="E409" s="454"/>
      <ns0:c r="F409" s="454"/>
      <ns0:c r="G409" s="986"/>
      <ns0:c r="H409" s="455"/>
      <ns0:c r="I409" s="456"/>
      <ns0:c r="J409" s="456"/>
      <ns0:c r="K409" s="986"/>
      <ns0:c r="L409" s="454"/>
      <ns0:c r="M409" s="439"/>
      <ns0:c r="N409" s="987" t="str">
        <ns0:f>IF(COUNTA($A409:$M409)=0,"",IF(OR(LEFT(LOWER(TRIM($F409&amp;"")),12)="subscription",LOWER(TRIM($F409&amp;""))="membership"),"",IF(OR(AND($H409&lt;&gt;"",$H409=0),LEFT(LOWER(TRIM($F409&amp;"")),9)="free game",LOWER(TRIM($F409&amp;""))="free",LOWER(TRIM($F409&amp;""))="free entry"),IF(ISNUMBER($G409),IF(ISNUMBER(SEARCH("non",LOWER($E409&amp;""))),$G409*0.85,$G409),"N/A"),IF($G409="","",IFERROR(IF(ISNUMBER(SEARCH("non",LOWER($E409&amp;""))),$G409*0.85,$G409),"")))))</ns0:f>
        <ns0:v/>
      </ns0:c>
      <ns0:c r="O409" s="987" t="str">
        <ns0:f>IF(COUNTA($A409:$M409)=0,"",IF(OR(LEFT(LOWER(TRIM($F409&amp;"")),12)="subscription",LOWER(TRIM($F409&amp;""))="membership"),"",IF(OR(AND($H409&lt;&gt;"",$H409=0),LEFT(LOWER(TRIM($F409&amp;"")),9)="free game",LOWER(TRIM($F409&amp;""))="free",LOWER(TRIM($F409&amp;""))="free entry"),IF(OR(NOT(ISNUMBER($N409)),NOT(ISNUMBER($I409)),$I409=0),"N/A",IFERROR($N409/$I409,"N/A")),IF(OR($N409="",$I409="",$I409=0),"",IFERROR($N409/$I409,"")))))</ns0:f>
        <ns0:v/>
      </ns0:c>
      <ns0:c r="P409" s="987">
        <ns0:f>IF(COUNTA($A409:$M409)=0,"",IF(OR(LEFT(LOWER(TRIM($F409&amp;"")),12)="subscription",LOWER(TRIM($F409&amp;""))="membership"),"",IF(LOWER(TRIM($D409&amp;""))="estimate","N/A",IF(LOWER($L409&amp;"")="yes",0,IF(OR(AND($H409&lt;&gt;"",$H409=0),LEFT(LOWER(TRIM($F409&amp;"")),9)="free game",LOWER(TRIM($F409&amp;""))="free",LOWER(TRIM($F409&amp;""))="free entry"),IF(ISNUMBER($K409),$K409,""),IF($K409&lt;&gt;"",$K409,""))))))</ns0:f>
      </ns0:c>
      <ns0:c r="Q409" s="114">
        <ns0:f>IF(COUNTA($A409:$M409)=0,"",IF(OR($U409="Subscription",$U409=""),"",IF($U409="Estimate","N/A",IF($U409="Profit",ROUND(IFERROR($P409,0)-IFERROR($H409,0),2),0))))</ns0:f>
      </ns0:c>
      <ns0:c r="R409" s="114">
        <ns0:f>IF(COUNTA($A409:$M409)=0,"",IF(OR($U409="Subscription",$U409=""),"",IF($U409="Estimate","N/A",IF($U409="Draw",$H409,0))))</ns0:f>
      </ns0:c>
      <ns0:c r="S409" s="114">
        <ns0:f>IF(COUNTA($A409:$M409)=0,"",IF(OR($U409="Subscription",$U409=""),"",IF($U409="Estimate","N/A",IF($U409="Disqualified",$H409,0))))</ns0:f>
      </ns0:c>
      <ns0:c r="T409" s="955">
        <ns0:f>IF(COUNTA($A409:$M409)=0,"",IF(OR($U409="Subscription",$U409=""),"",IF($U409="Estimate","N/A",IF(OR($U409="Free Game",$U409="Disqualified — Free Game",$H409=0),"N/A",IF($U409="Profit",$Q409/$H409,IF($U409="Disqualified",-$S409/$H409,0))))))</ns0:f>
      </ns0:c>
      <ns0:c r="U409" s="920">
        <ns0:f>IF(COUNTA($A409:$M409)=0,"",IF(OR(LEFT(LOWER(TRIM($F409&amp;"")),12)="subscription",LOWER(TRIM($F409&amp;""))="membership"),"Subscription",IF(LOWER(TRIM($D409&amp;""))="estimate","Estimate",IF(OR(AND($H409&lt;&gt;"",$H409=0),LEFT(LOWER(TRIM($F409&amp;"")),9)="free game",LOWER(TRIM($F409&amp;""))="free",LOWER(TRIM($F409&amp;""))="free entry"),IF(LOWER($L409&amp;"")="yes","Disqualified — Free Game","Free Game"),IF(LOWER($L409&amp;"")="yes","Disqualified",IF($P409="","",IF(ROUND(IFERROR(VALUE($P409),0)-IFERROR(VALUE($H409),0),2)&gt;0,"Profit","Draw")))))))</ns0:f>
      </ns0:c>
      <ns0:c r="V409" s="956" t="str">
        <ns0:f>IF(COUNTA($A409:$M409)=0,"",IF(OR($B409="",$C409="",$U409="Subscription"),"",IFERROR(ROUNDUP(($C409-$B409)/7,0),"")))</ns0:f>
      </ns0:c>
      <ns0:c r="W409" s="114">
        <ns0:f>IF(COUNTA($A409:$M409)=0,"",IF(OR($U409="Subscription",$U409=""),"",IF($U409="Estimate","N/A",IF(OR($U409="Free Game",$U409="Disqualified — Free Game"),0,ROUND(IFERROR($Q409,0)-IFERROR($S409,0),2)))))</ns0:f>
      </ns0:c>
      <ns0:c r="X409" s="956" t="str">
        <ns0:f>IF(COUNTA($A409:$M409)=0,"",IF(OR($U409="Subscription",NOT(ISNUMBER($J409)),NOT(ISNUMBER($I409)),$J409=0,$I409=0,$I409&gt;$J409),"",$J409-$I409))</ns0:f>
      </ns0:c>
      <ns0:c r="Y409" s="955" t="str">
        <ns0:f>IF(COUNTA($A409:$M409)=0,"",IF(OR($U409="Subscription",NOT(ISNUMBER($J409)),$J409=0,$X409=""),"",$X409/$J409))</ns0:f>
      </ns0:c>
      <ns0:c r="Z409" s="957" t="str">
        <ns0:f>IF(COUNTA($A409:$M409)=0,"",Instructions!$B$29+SUM($W$5:W409))</ns0:f>
      </ns0:c>
    </ns0:row>
    <ns0:row r="410" ht="36" customHeight="1">
      <ns0:c r="A410" s="439"/>
      <ns0:c r="B410" s="453"/>
      <ns0:c r="C410" s="453"/>
      <ns0:c r="D410" s="454"/>
      <ns0:c r="E410" s="454"/>
      <ns0:c r="F410" s="454"/>
      <ns0:c r="G410" s="986"/>
      <ns0:c r="H410" s="455"/>
      <ns0:c r="I410" s="456"/>
      <ns0:c r="J410" s="456"/>
      <ns0:c r="K410" s="986"/>
      <ns0:c r="L410" s="454"/>
      <ns0:c r="M410" s="439"/>
      <ns0:c r="N410" s="987" t="str">
        <ns0:f>IF(COUNTA($A410:$M410)=0,"",IF(OR(LEFT(LOWER(TRIM($F410&amp;"")),12)="subscription",LOWER(TRIM($F410&amp;""))="membership"),"",IF(OR(AND($H410&lt;&gt;"",$H410=0),LEFT(LOWER(TRIM($F410&amp;"")),9)="free game",LOWER(TRIM($F410&amp;""))="free",LOWER(TRIM($F410&amp;""))="free entry"),IF(ISNUMBER($G410),IF(ISNUMBER(SEARCH("non",LOWER($E410&amp;""))),$G410*0.85,$G410),"N/A"),IF($G410="","",IFERROR(IF(ISNUMBER(SEARCH("non",LOWER($E410&amp;""))),$G410*0.85,$G410),"")))))</ns0:f>
        <ns0:v/>
      </ns0:c>
      <ns0:c r="O410" s="987" t="str">
        <ns0:f>IF(COUNTA($A410:$M410)=0,"",IF(OR(LEFT(LOWER(TRIM($F410&amp;"")),12)="subscription",LOWER(TRIM($F410&amp;""))="membership"),"",IF(OR(AND($H410&lt;&gt;"",$H410=0),LEFT(LOWER(TRIM($F410&amp;"")),9)="free game",LOWER(TRIM($F410&amp;""))="free",LOWER(TRIM($F410&amp;""))="free entry"),IF(OR(NOT(ISNUMBER($N410)),NOT(ISNUMBER($I410)),$I410=0),"N/A",IFERROR($N410/$I410,"N/A")),IF(OR($N410="",$I410="",$I410=0),"",IFERROR($N410/$I410,"")))))</ns0:f>
        <ns0:v/>
      </ns0:c>
      <ns0:c r="P410" s="987">
        <ns0:f>IF(COUNTA($A410:$M410)=0,"",IF(OR(LEFT(LOWER(TRIM($F410&amp;"")),12)="subscription",LOWER(TRIM($F410&amp;""))="membership"),"",IF(LOWER(TRIM($D410&amp;""))="estimate","N/A",IF(LOWER($L410&amp;"")="yes",0,IF(OR(AND($H410&lt;&gt;"",$H410=0),LEFT(LOWER(TRIM($F410&amp;"")),9)="free game",LOWER(TRIM($F410&amp;""))="free",LOWER(TRIM($F410&amp;""))="free entry"),IF(ISNUMBER($K410),$K410,""),IF($K410&lt;&gt;"",$K410,""))))))</ns0:f>
      </ns0:c>
      <ns0:c r="Q410" s="114">
        <ns0:f>IF(COUNTA($A410:$M410)=0,"",IF(OR($U410="Subscription",$U410=""),"",IF($U410="Estimate","N/A",IF($U410="Profit",ROUND(IFERROR($P410,0)-IFERROR($H410,0),2),0))))</ns0:f>
      </ns0:c>
      <ns0:c r="R410" s="114">
        <ns0:f>IF(COUNTA($A410:$M410)=0,"",IF(OR($U410="Subscription",$U410=""),"",IF($U410="Estimate","N/A",IF($U410="Draw",$H410,0))))</ns0:f>
      </ns0:c>
      <ns0:c r="S410" s="114">
        <ns0:f>IF(COUNTA($A410:$M410)=0,"",IF(OR($U410="Subscription",$U410=""),"",IF($U410="Estimate","N/A",IF($U410="Disqualified",$H410,0))))</ns0:f>
      </ns0:c>
      <ns0:c r="T410" s="955">
        <ns0:f>IF(COUNTA($A410:$M410)=0,"",IF(OR($U410="Subscription",$U410=""),"",IF($U410="Estimate","N/A",IF(OR($U410="Free Game",$U410="Disqualified — Free Game",$H410=0),"N/A",IF($U410="Profit",$Q410/$H410,IF($U410="Disqualified",-$S410/$H410,0))))))</ns0:f>
      </ns0:c>
      <ns0:c r="U410" s="920">
        <ns0:f>IF(COUNTA($A410:$M410)=0,"",IF(OR(LEFT(LOWER(TRIM($F410&amp;"")),12)="subscription",LOWER(TRIM($F410&amp;""))="membership"),"Subscription",IF(LOWER(TRIM($D410&amp;""))="estimate","Estimate",IF(OR(AND($H410&lt;&gt;"",$H410=0),LEFT(LOWER(TRIM($F410&amp;"")),9)="free game",LOWER(TRIM($F410&amp;""))="free",LOWER(TRIM($F410&amp;""))="free entry"),IF(LOWER($L410&amp;"")="yes","Disqualified — Free Game","Free Game"),IF(LOWER($L410&amp;"")="yes","Disqualified",IF($P410="","",IF(ROUND(IFERROR(VALUE($P410),0)-IFERROR(VALUE($H410),0),2)&gt;0,"Profit","Draw")))))))</ns0:f>
      </ns0:c>
      <ns0:c r="V410" s="956" t="str">
        <ns0:f>IF(COUNTA($A410:$M410)=0,"",IF(OR($B410="",$C410="",$U410="Subscription"),"",IFERROR(ROUNDUP(($C410-$B410)/7,0),"")))</ns0:f>
      </ns0:c>
      <ns0:c r="W410" s="114">
        <ns0:f>IF(COUNTA($A410:$M410)=0,"",IF(OR($U410="Subscription",$U410=""),"",IF($U410="Estimate","N/A",IF(OR($U410="Free Game",$U410="Disqualified — Free Game"),0,ROUND(IFERROR($Q410,0)-IFERROR($S410,0),2)))))</ns0:f>
      </ns0:c>
      <ns0:c r="X410" s="956" t="str">
        <ns0:f>IF(COUNTA($A410:$M410)=0,"",IF(OR($U410="Subscription",NOT(ISNUMBER($J410)),NOT(ISNUMBER($I410)),$J410=0,$I410=0,$I410&gt;$J410),"",$J410-$I410))</ns0:f>
      </ns0:c>
      <ns0:c r="Y410" s="955" t="str">
        <ns0:f>IF(COUNTA($A410:$M410)=0,"",IF(OR($U410="Subscription",NOT(ISNUMBER($J410)),$J410=0,$X410=""),"",$X410/$J410))</ns0:f>
      </ns0:c>
      <ns0:c r="Z410" s="957" t="str">
        <ns0:f>IF(COUNTA($A410:$M410)=0,"",Instructions!$B$29+SUM($W$5:W410))</ns0:f>
      </ns0:c>
    </ns0:row>
    <ns0:row r="411" ht="36" customHeight="1">
      <ns0:c r="A411" s="439"/>
      <ns0:c r="B411" s="453"/>
      <ns0:c r="C411" s="453"/>
      <ns0:c r="D411" s="454"/>
      <ns0:c r="E411" s="454"/>
      <ns0:c r="F411" s="454"/>
      <ns0:c r="G411" s="986"/>
      <ns0:c r="H411" s="455"/>
      <ns0:c r="I411" s="456"/>
      <ns0:c r="J411" s="456"/>
      <ns0:c r="K411" s="986"/>
      <ns0:c r="L411" s="454"/>
      <ns0:c r="M411" s="439"/>
      <ns0:c r="N411" s="987" t="str">
        <ns0:f>IF(COUNTA($A411:$M411)=0,"",IF(OR(LEFT(LOWER(TRIM($F411&amp;"")),12)="subscription",LOWER(TRIM($F411&amp;""))="membership"),"",IF(OR(AND($H411&lt;&gt;"",$H411=0),LEFT(LOWER(TRIM($F411&amp;"")),9)="free game",LOWER(TRIM($F411&amp;""))="free",LOWER(TRIM($F411&amp;""))="free entry"),IF(ISNUMBER($G411),IF(ISNUMBER(SEARCH("non",LOWER($E411&amp;""))),$G411*0.85,$G411),"N/A"),IF($G411="","",IFERROR(IF(ISNUMBER(SEARCH("non",LOWER($E411&amp;""))),$G411*0.85,$G411),"")))))</ns0:f>
        <ns0:v/>
      </ns0:c>
      <ns0:c r="O411" s="987" t="str">
        <ns0:f>IF(COUNTA($A411:$M411)=0,"",IF(OR(LEFT(LOWER(TRIM($F411&amp;"")),12)="subscription",LOWER(TRIM($F411&amp;""))="membership"),"",IF(OR(AND($H411&lt;&gt;"",$H411=0),LEFT(LOWER(TRIM($F411&amp;"")),9)="free game",LOWER(TRIM($F411&amp;""))="free",LOWER(TRIM($F411&amp;""))="free entry"),IF(OR(NOT(ISNUMBER($N411)),NOT(ISNUMBER($I411)),$I411=0),"N/A",IFERROR($N411/$I411,"N/A")),IF(OR($N411="",$I411="",$I411=0),"",IFERROR($N411/$I411,"")))))</ns0:f>
        <ns0:v/>
      </ns0:c>
      <ns0:c r="P411" s="987">
        <ns0:f>IF(COUNTA($A411:$M411)=0,"",IF(OR(LEFT(LOWER(TRIM($F411&amp;"")),12)="subscription",LOWER(TRIM($F411&amp;""))="membership"),"",IF(LOWER(TRIM($D411&amp;""))="estimate","N/A",IF(LOWER($L411&amp;"")="yes",0,IF(OR(AND($H411&lt;&gt;"",$H411=0),LEFT(LOWER(TRIM($F411&amp;"")),9)="free game",LOWER(TRIM($F411&amp;""))="free",LOWER(TRIM($F411&amp;""))="free entry"),IF(ISNUMBER($K411),$K411,""),IF($K411&lt;&gt;"",$K411,""))))))</ns0:f>
      </ns0:c>
      <ns0:c r="Q411" s="114">
        <ns0:f>IF(COUNTA($A411:$M411)=0,"",IF(OR($U411="Subscription",$U411=""),"",IF($U411="Estimate","N/A",IF($U411="Profit",ROUND(IFERROR($P411,0)-IFERROR($H411,0),2),0))))</ns0:f>
      </ns0:c>
      <ns0:c r="R411" s="114">
        <ns0:f>IF(COUNTA($A411:$M411)=0,"",IF(OR($U411="Subscription",$U411=""),"",IF($U411="Estimate","N/A",IF($U411="Draw",$H411,0))))</ns0:f>
      </ns0:c>
      <ns0:c r="S411" s="114">
        <ns0:f>IF(COUNTA($A411:$M411)=0,"",IF(OR($U411="Subscription",$U411=""),"",IF($U411="Estimate","N/A",IF($U411="Disqualified",$H411,0))))</ns0:f>
      </ns0:c>
      <ns0:c r="T411" s="955">
        <ns0:f>IF(COUNTA($A411:$M411)=0,"",IF(OR($U411="Subscription",$U411=""),"",IF($U411="Estimate","N/A",IF(OR($U411="Free Game",$U411="Disqualified — Free Game",$H411=0),"N/A",IF($U411="Profit",$Q411/$H411,IF($U411="Disqualified",-$S411/$H411,0))))))</ns0:f>
      </ns0:c>
      <ns0:c r="U411" s="920">
        <ns0:f>IF(COUNTA($A411:$M411)=0,"",IF(OR(LEFT(LOWER(TRIM($F411&amp;"")),12)="subscription",LOWER(TRIM($F411&amp;""))="membership"),"Subscription",IF(LOWER(TRIM($D411&amp;""))="estimate","Estimate",IF(OR(AND($H411&lt;&gt;"",$H411=0),LEFT(LOWER(TRIM($F411&amp;"")),9)="free game",LOWER(TRIM($F411&amp;""))="free",LOWER(TRIM($F411&amp;""))="free entry"),IF(LOWER($L411&amp;"")="yes","Disqualified — Free Game","Free Game"),IF(LOWER($L411&amp;"")="yes","Disqualified",IF($P411="","",IF(ROUND(IFERROR(VALUE($P411),0)-IFERROR(VALUE($H411),0),2)&gt;0,"Profit","Draw")))))))</ns0:f>
      </ns0:c>
      <ns0:c r="V411" s="956" t="str">
        <ns0:f>IF(COUNTA($A411:$M411)=0,"",IF(OR($B411="",$C411="",$U411="Subscription"),"",IFERROR(ROUNDUP(($C411-$B411)/7,0),"")))</ns0:f>
      </ns0:c>
      <ns0:c r="W411" s="114">
        <ns0:f>IF(COUNTA($A411:$M411)=0,"",IF(OR($U411="Subscription",$U411=""),"",IF($U411="Estimate","N/A",IF(OR($U411="Free Game",$U411="Disqualified — Free Game"),0,ROUND(IFERROR($Q411,0)-IFERROR($S411,0),2)))))</ns0:f>
      </ns0:c>
      <ns0:c r="X411" s="956" t="str">
        <ns0:f>IF(COUNTA($A411:$M411)=0,"",IF(OR($U411="Subscription",NOT(ISNUMBER($J411)),NOT(ISNUMBER($I411)),$J411=0,$I411=0,$I411&gt;$J411),"",$J411-$I411))</ns0:f>
      </ns0:c>
      <ns0:c r="Y411" s="955" t="str">
        <ns0:f>IF(COUNTA($A411:$M411)=0,"",IF(OR($U411="Subscription",NOT(ISNUMBER($J411)),$J411=0,$X411=""),"",$X411/$J411))</ns0:f>
      </ns0:c>
      <ns0:c r="Z411" s="957" t="str">
        <ns0:f>IF(COUNTA($A411:$M411)=0,"",Instructions!$B$29+SUM($W$5:W411))</ns0:f>
      </ns0:c>
    </ns0:row>
    <ns0:row r="412" ht="36" customHeight="1">
      <ns0:c r="A412" s="439"/>
      <ns0:c r="B412" s="453"/>
      <ns0:c r="C412" s="453"/>
      <ns0:c r="D412" s="454"/>
      <ns0:c r="E412" s="454"/>
      <ns0:c r="F412" s="454"/>
      <ns0:c r="G412" s="986"/>
      <ns0:c r="H412" s="455"/>
      <ns0:c r="I412" s="456"/>
      <ns0:c r="J412" s="456"/>
      <ns0:c r="K412" s="986"/>
      <ns0:c r="L412" s="454"/>
      <ns0:c r="M412" s="439"/>
      <ns0:c r="N412" s="987" t="str">
        <ns0:f>IF(COUNTA($A412:$M412)=0,"",IF(OR(LEFT(LOWER(TRIM($F412&amp;"")),12)="subscription",LOWER(TRIM($F412&amp;""))="membership"),"",IF(OR(AND($H412&lt;&gt;"",$H412=0),LEFT(LOWER(TRIM($F412&amp;"")),9)="free game",LOWER(TRIM($F412&amp;""))="free",LOWER(TRIM($F412&amp;""))="free entry"),IF(ISNUMBER($G412),IF(ISNUMBER(SEARCH("non",LOWER($E412&amp;""))),$G412*0.85,$G412),"N/A"),IF($G412="","",IFERROR(IF(ISNUMBER(SEARCH("non",LOWER($E412&amp;""))),$G412*0.85,$G412),"")))))</ns0:f>
        <ns0:v/>
      </ns0:c>
      <ns0:c r="O412" s="987" t="str">
        <ns0:f>IF(COUNTA($A412:$M412)=0,"",IF(OR(LEFT(LOWER(TRIM($F412&amp;"")),12)="subscription",LOWER(TRIM($F412&amp;""))="membership"),"",IF(OR(AND($H412&lt;&gt;"",$H412=0),LEFT(LOWER(TRIM($F412&amp;"")),9)="free game",LOWER(TRIM($F412&amp;""))="free",LOWER(TRIM($F412&amp;""))="free entry"),IF(OR(NOT(ISNUMBER($N412)),NOT(ISNUMBER($I412)),$I412=0),"N/A",IFERROR($N412/$I412,"N/A")),IF(OR($N412="",$I412="",$I412=0),"",IFERROR($N412/$I412,"")))))</ns0:f>
        <ns0:v/>
      </ns0:c>
      <ns0:c r="P412" s="987">
        <ns0:f>IF(COUNTA($A412:$M412)=0,"",IF(OR(LEFT(LOWER(TRIM($F412&amp;"")),12)="subscription",LOWER(TRIM($F412&amp;""))="membership"),"",IF(LOWER(TRIM($D412&amp;""))="estimate","N/A",IF(LOWER($L412&amp;"")="yes",0,IF(OR(AND($H412&lt;&gt;"",$H412=0),LEFT(LOWER(TRIM($F412&amp;"")),9)="free game",LOWER(TRIM($F412&amp;""))="free",LOWER(TRIM($F412&amp;""))="free entry"),IF(ISNUMBER($K412),$K412,""),IF($K412&lt;&gt;"",$K412,""))))))</ns0:f>
      </ns0:c>
      <ns0:c r="Q412" s="114">
        <ns0:f>IF(COUNTA($A412:$M412)=0,"",IF(OR($U412="Subscription",$U412=""),"",IF($U412="Estimate","N/A",IF($U412="Profit",ROUND(IFERROR($P412,0)-IFERROR($H412,0),2),0))))</ns0:f>
      </ns0:c>
      <ns0:c r="R412" s="114">
        <ns0:f>IF(COUNTA($A412:$M412)=0,"",IF(OR($U412="Subscription",$U412=""),"",IF($U412="Estimate","N/A",IF($U412="Draw",$H412,0))))</ns0:f>
      </ns0:c>
      <ns0:c r="S412" s="114">
        <ns0:f>IF(COUNTA($A412:$M412)=0,"",IF(OR($U412="Subscription",$U412=""),"",IF($U412="Estimate","N/A",IF($U412="Disqualified",$H412,0))))</ns0:f>
      </ns0:c>
      <ns0:c r="T412" s="955">
        <ns0:f>IF(COUNTA($A412:$M412)=0,"",IF(OR($U412="Subscription",$U412=""),"",IF($U412="Estimate","N/A",IF(OR($U412="Free Game",$U412="Disqualified — Free Game",$H412=0),"N/A",IF($U412="Profit",$Q412/$H412,IF($U412="Disqualified",-$S412/$H412,0))))))</ns0:f>
      </ns0:c>
      <ns0:c r="U412" s="920">
        <ns0:f>IF(COUNTA($A412:$M412)=0,"",IF(OR(LEFT(LOWER(TRIM($F412&amp;"")),12)="subscription",LOWER(TRIM($F412&amp;""))="membership"),"Subscription",IF(LOWER(TRIM($D412&amp;""))="estimate","Estimate",IF(OR(AND($H412&lt;&gt;"",$H412=0),LEFT(LOWER(TRIM($F412&amp;"")),9)="free game",LOWER(TRIM($F412&amp;""))="free",LOWER(TRIM($F412&amp;""))="free entry"),IF(LOWER($L412&amp;"")="yes","Disqualified — Free Game","Free Game"),IF(LOWER($L412&amp;"")="yes","Disqualified",IF($P412="","",IF(ROUND(IFERROR(VALUE($P412),0)-IFERROR(VALUE($H412),0),2)&gt;0,"Profit","Draw")))))))</ns0:f>
      </ns0:c>
      <ns0:c r="V412" s="956" t="str">
        <ns0:f>IF(COUNTA($A412:$M412)=0,"",IF(OR($B412="",$C412="",$U412="Subscription"),"",IFERROR(ROUNDUP(($C412-$B412)/7,0),"")))</ns0:f>
      </ns0:c>
      <ns0:c r="W412" s="114">
        <ns0:f>IF(COUNTA($A412:$M412)=0,"",IF(OR($U412="Subscription",$U412=""),"",IF($U412="Estimate","N/A",IF(OR($U412="Free Game",$U412="Disqualified — Free Game"),0,ROUND(IFERROR($Q412,0)-IFERROR($S412,0),2)))))</ns0:f>
      </ns0:c>
      <ns0:c r="X412" s="956" t="str">
        <ns0:f>IF(COUNTA($A412:$M412)=0,"",IF(OR($U412="Subscription",NOT(ISNUMBER($J412)),NOT(ISNUMBER($I412)),$J412=0,$I412=0,$I412&gt;$J412),"",$J412-$I412))</ns0:f>
      </ns0:c>
      <ns0:c r="Y412" s="955" t="str">
        <ns0:f>IF(COUNTA($A412:$M412)=0,"",IF(OR($U412="Subscription",NOT(ISNUMBER($J412)),$J412=0,$X412=""),"",$X412/$J412))</ns0:f>
      </ns0:c>
      <ns0:c r="Z412" s="957" t="str">
        <ns0:f>IF(COUNTA($A412:$M412)=0,"",Instructions!$B$29+SUM($W$5:W412))</ns0:f>
      </ns0:c>
    </ns0:row>
    <ns0:row r="413" ht="36" customHeight="1">
      <ns0:c r="A413" s="439"/>
      <ns0:c r="B413" s="453"/>
      <ns0:c r="C413" s="453"/>
      <ns0:c r="D413" s="454"/>
      <ns0:c r="E413" s="454"/>
      <ns0:c r="F413" s="454"/>
      <ns0:c r="G413" s="986"/>
      <ns0:c r="H413" s="455"/>
      <ns0:c r="I413" s="456"/>
      <ns0:c r="J413" s="456"/>
      <ns0:c r="K413" s="986"/>
      <ns0:c r="L413" s="454"/>
      <ns0:c r="M413" s="439"/>
      <ns0:c r="N413" s="987" t="str">
        <ns0:f>IF(COUNTA($A413:$M413)=0,"",IF(OR(LEFT(LOWER(TRIM($F413&amp;"")),12)="subscription",LOWER(TRIM($F413&amp;""))="membership"),"",IF(OR(AND($H413&lt;&gt;"",$H413=0),LEFT(LOWER(TRIM($F413&amp;"")),9)="free game",LOWER(TRIM($F413&amp;""))="free",LOWER(TRIM($F413&amp;""))="free entry"),IF(ISNUMBER($G413),IF(ISNUMBER(SEARCH("non",LOWER($E413&amp;""))),$G413*0.85,$G413),"N/A"),IF($G413="","",IFERROR(IF(ISNUMBER(SEARCH("non",LOWER($E413&amp;""))),$G413*0.85,$G413),"")))))</ns0:f>
        <ns0:v/>
      </ns0:c>
      <ns0:c r="O413" s="987" t="str">
        <ns0:f>IF(COUNTA($A413:$M413)=0,"",IF(OR(LEFT(LOWER(TRIM($F413&amp;"")),12)="subscription",LOWER(TRIM($F413&amp;""))="membership"),"",IF(OR(AND($H413&lt;&gt;"",$H413=0),LEFT(LOWER(TRIM($F413&amp;"")),9)="free game",LOWER(TRIM($F413&amp;""))="free",LOWER(TRIM($F413&amp;""))="free entry"),IF(OR(NOT(ISNUMBER($N413)),NOT(ISNUMBER($I413)),$I413=0),"N/A",IFERROR($N413/$I413,"N/A")),IF(OR($N413="",$I413="",$I413=0),"",IFERROR($N413/$I413,"")))))</ns0:f>
        <ns0:v/>
      </ns0:c>
      <ns0:c r="P413" s="987">
        <ns0:f>IF(COUNTA($A413:$M413)=0,"",IF(OR(LEFT(LOWER(TRIM($F413&amp;"")),12)="subscription",LOWER(TRIM($F413&amp;""))="membership"),"",IF(LOWER(TRIM($D413&amp;""))="estimate","N/A",IF(LOWER($L413&amp;"")="yes",0,IF(OR(AND($H413&lt;&gt;"",$H413=0),LEFT(LOWER(TRIM($F413&amp;"")),9)="free game",LOWER(TRIM($F413&amp;""))="free",LOWER(TRIM($F413&amp;""))="free entry"),IF(ISNUMBER($K413),$K413,""),IF($K413&lt;&gt;"",$K413,""))))))</ns0:f>
      </ns0:c>
      <ns0:c r="Q413" s="114">
        <ns0:f>IF(COUNTA($A413:$M413)=0,"",IF(OR($U413="Subscription",$U413=""),"",IF($U413="Estimate","N/A",IF($U413="Profit",ROUND(IFERROR($P413,0)-IFERROR($H413,0),2),0))))</ns0:f>
      </ns0:c>
      <ns0:c r="R413" s="114">
        <ns0:f>IF(COUNTA($A413:$M413)=0,"",IF(OR($U413="Subscription",$U413=""),"",IF($U413="Estimate","N/A",IF($U413="Draw",$H413,0))))</ns0:f>
      </ns0:c>
      <ns0:c r="S413" s="114">
        <ns0:f>IF(COUNTA($A413:$M413)=0,"",IF(OR($U413="Subscription",$U413=""),"",IF($U413="Estimate","N/A",IF($U413="Disqualified",$H413,0))))</ns0:f>
      </ns0:c>
      <ns0:c r="T413" s="955">
        <ns0:f>IF(COUNTA($A413:$M413)=0,"",IF(OR($U413="Subscription",$U413=""),"",IF($U413="Estimate","N/A",IF(OR($U413="Free Game",$U413="Disqualified — Free Game",$H413=0),"N/A",IF($U413="Profit",$Q413/$H413,IF($U413="Disqualified",-$S413/$H413,0))))))</ns0:f>
      </ns0:c>
      <ns0:c r="U413" s="920">
        <ns0:f>IF(COUNTA($A413:$M413)=0,"",IF(OR(LEFT(LOWER(TRIM($F413&amp;"")),12)="subscription",LOWER(TRIM($F413&amp;""))="membership"),"Subscription",IF(LOWER(TRIM($D413&amp;""))="estimate","Estimate",IF(OR(AND($H413&lt;&gt;"",$H413=0),LEFT(LOWER(TRIM($F413&amp;"")),9)="free game",LOWER(TRIM($F413&amp;""))="free",LOWER(TRIM($F413&amp;""))="free entry"),IF(LOWER($L413&amp;"")="yes","Disqualified — Free Game","Free Game"),IF(LOWER($L413&amp;"")="yes","Disqualified",IF($P413="","",IF(ROUND(IFERROR(VALUE($P413),0)-IFERROR(VALUE($H413),0),2)&gt;0,"Profit","Draw")))))))</ns0:f>
      </ns0:c>
      <ns0:c r="V413" s="956" t="str">
        <ns0:f>IF(COUNTA($A413:$M413)=0,"",IF(OR($B413="",$C413="",$U413="Subscription"),"",IFERROR(ROUNDUP(($C413-$B413)/7,0),"")))</ns0:f>
      </ns0:c>
      <ns0:c r="W413" s="114">
        <ns0:f>IF(COUNTA($A413:$M413)=0,"",IF(OR($U413="Subscription",$U413=""),"",IF($U413="Estimate","N/A",IF(OR($U413="Free Game",$U413="Disqualified — Free Game"),0,ROUND(IFERROR($Q413,0)-IFERROR($S413,0),2)))))</ns0:f>
      </ns0:c>
      <ns0:c r="X413" s="956" t="str">
        <ns0:f>IF(COUNTA($A413:$M413)=0,"",IF(OR($U413="Subscription",NOT(ISNUMBER($J413)),NOT(ISNUMBER($I413)),$J413=0,$I413=0,$I413&gt;$J413),"",$J413-$I413))</ns0:f>
      </ns0:c>
      <ns0:c r="Y413" s="955" t="str">
        <ns0:f>IF(COUNTA($A413:$M413)=0,"",IF(OR($U413="Subscription",NOT(ISNUMBER($J413)),$J413=0,$X413=""),"",$X413/$J413))</ns0:f>
      </ns0:c>
      <ns0:c r="Z413" s="957" t="str">
        <ns0:f>IF(COUNTA($A413:$M413)=0,"",Instructions!$B$29+SUM($W$5:W413))</ns0:f>
      </ns0:c>
    </ns0:row>
    <ns0:row r="414" ht="36" customHeight="1">
      <ns0:c r="A414" s="439"/>
      <ns0:c r="B414" s="453"/>
      <ns0:c r="C414" s="453"/>
      <ns0:c r="D414" s="454"/>
      <ns0:c r="E414" s="454"/>
      <ns0:c r="F414" s="454"/>
      <ns0:c r="G414" s="986"/>
      <ns0:c r="H414" s="455"/>
      <ns0:c r="I414" s="456"/>
      <ns0:c r="J414" s="456"/>
      <ns0:c r="K414" s="986"/>
      <ns0:c r="L414" s="454"/>
      <ns0:c r="M414" s="439"/>
      <ns0:c r="N414" s="987" t="str">
        <ns0:f>IF(COUNTA($A414:$M414)=0,"",IF(OR(LEFT(LOWER(TRIM($F414&amp;"")),12)="subscription",LOWER(TRIM($F414&amp;""))="membership"),"",IF(OR(AND($H414&lt;&gt;"",$H414=0),LEFT(LOWER(TRIM($F414&amp;"")),9)="free game",LOWER(TRIM($F414&amp;""))="free",LOWER(TRIM($F414&amp;""))="free entry"),IF(ISNUMBER($G414),IF(ISNUMBER(SEARCH("non",LOWER($E414&amp;""))),$G414*0.85,$G414),"N/A"),IF($G414="","",IFERROR(IF(ISNUMBER(SEARCH("non",LOWER($E414&amp;""))),$G414*0.85,$G414),"")))))</ns0:f>
        <ns0:v/>
      </ns0:c>
      <ns0:c r="O414" s="987" t="str">
        <ns0:f>IF(COUNTA($A414:$M414)=0,"",IF(OR(LEFT(LOWER(TRIM($F414&amp;"")),12)="subscription",LOWER(TRIM($F414&amp;""))="membership"),"",IF(OR(AND($H414&lt;&gt;"",$H414=0),LEFT(LOWER(TRIM($F414&amp;"")),9)="free game",LOWER(TRIM($F414&amp;""))="free",LOWER(TRIM($F414&amp;""))="free entry"),IF(OR(NOT(ISNUMBER($N414)),NOT(ISNUMBER($I414)),$I414=0),"N/A",IFERROR($N414/$I414,"N/A")),IF(OR($N414="",$I414="",$I414=0),"",IFERROR($N414/$I414,"")))))</ns0:f>
        <ns0:v/>
      </ns0:c>
      <ns0:c r="P414" s="987">
        <ns0:f>IF(COUNTA($A414:$M414)=0,"",IF(OR(LEFT(LOWER(TRIM($F414&amp;"")),12)="subscription",LOWER(TRIM($F414&amp;""))="membership"),"",IF(LOWER(TRIM($D414&amp;""))="estimate","N/A",IF(LOWER($L414&amp;"")="yes",0,IF(OR(AND($H414&lt;&gt;"",$H414=0),LEFT(LOWER(TRIM($F414&amp;"")),9)="free game",LOWER(TRIM($F414&amp;""))="free",LOWER(TRIM($F414&amp;""))="free entry"),IF(ISNUMBER($K414),$K414,""),IF($K414&lt;&gt;"",$K414,""))))))</ns0:f>
      </ns0:c>
      <ns0:c r="Q414" s="114">
        <ns0:f>IF(COUNTA($A414:$M414)=0,"",IF(OR($U414="Subscription",$U414=""),"",IF($U414="Estimate","N/A",IF($U414="Profit",ROUND(IFERROR($P414,0)-IFERROR($H414,0),2),0))))</ns0:f>
      </ns0:c>
      <ns0:c r="R414" s="114">
        <ns0:f>IF(COUNTA($A414:$M414)=0,"",IF(OR($U414="Subscription",$U414=""),"",IF($U414="Estimate","N/A",IF($U414="Draw",$H414,0))))</ns0:f>
      </ns0:c>
      <ns0:c r="S414" s="114">
        <ns0:f>IF(COUNTA($A414:$M414)=0,"",IF(OR($U414="Subscription",$U414=""),"",IF($U414="Estimate","N/A",IF($U414="Disqualified",$H414,0))))</ns0:f>
      </ns0:c>
      <ns0:c r="T414" s="955">
        <ns0:f>IF(COUNTA($A414:$M414)=0,"",IF(OR($U414="Subscription",$U414=""),"",IF($U414="Estimate","N/A",IF(OR($U414="Free Game",$U414="Disqualified — Free Game",$H414=0),"N/A",IF($U414="Profit",$Q414/$H414,IF($U414="Disqualified",-$S414/$H414,0))))))</ns0:f>
      </ns0:c>
      <ns0:c r="U414" s="920">
        <ns0:f>IF(COUNTA($A414:$M414)=0,"",IF(OR(LEFT(LOWER(TRIM($F414&amp;"")),12)="subscription",LOWER(TRIM($F414&amp;""))="membership"),"Subscription",IF(LOWER(TRIM($D414&amp;""))="estimate","Estimate",IF(OR(AND($H414&lt;&gt;"",$H414=0),LEFT(LOWER(TRIM($F414&amp;"")),9)="free game",LOWER(TRIM($F414&amp;""))="free",LOWER(TRIM($F414&amp;""))="free entry"),IF(LOWER($L414&amp;"")="yes","Disqualified — Free Game","Free Game"),IF(LOWER($L414&amp;"")="yes","Disqualified",IF($P414="","",IF(ROUND(IFERROR(VALUE($P414),0)-IFERROR(VALUE($H414),0),2)&gt;0,"Profit","Draw")))))))</ns0:f>
      </ns0:c>
      <ns0:c r="V414" s="956" t="str">
        <ns0:f>IF(COUNTA($A414:$M414)=0,"",IF(OR($B414="",$C414="",$U414="Subscription"),"",IFERROR(ROUNDUP(($C414-$B414)/7,0),"")))</ns0:f>
      </ns0:c>
      <ns0:c r="W414" s="114">
        <ns0:f>IF(COUNTA($A414:$M414)=0,"",IF(OR($U414="Subscription",$U414=""),"",IF($U414="Estimate","N/A",IF(OR($U414="Free Game",$U414="Disqualified — Free Game"),0,ROUND(IFERROR($Q414,0)-IFERROR($S414,0),2)))))</ns0:f>
      </ns0:c>
      <ns0:c r="X414" s="956" t="str">
        <ns0:f>IF(COUNTA($A414:$M414)=0,"",IF(OR($U414="Subscription",NOT(ISNUMBER($J414)),NOT(ISNUMBER($I414)),$J414=0,$I414=0,$I414&gt;$J414),"",$J414-$I414))</ns0:f>
      </ns0:c>
      <ns0:c r="Y414" s="955" t="str">
        <ns0:f>IF(COUNTA($A414:$M414)=0,"",IF(OR($U414="Subscription",NOT(ISNUMBER($J414)),$J414=0,$X414=""),"",$X414/$J414))</ns0:f>
      </ns0:c>
      <ns0:c r="Z414" s="957" t="str">
        <ns0:f>IF(COUNTA($A414:$M414)=0,"",Instructions!$B$29+SUM($W$5:W414))</ns0:f>
      </ns0:c>
    </ns0:row>
    <ns0:row r="415" ht="36" customHeight="1">
      <ns0:c r="A415" s="439"/>
      <ns0:c r="B415" s="453"/>
      <ns0:c r="C415" s="453"/>
      <ns0:c r="D415" s="454"/>
      <ns0:c r="E415" s="454"/>
      <ns0:c r="F415" s="454"/>
      <ns0:c r="G415" s="986"/>
      <ns0:c r="H415" s="455"/>
      <ns0:c r="I415" s="456"/>
      <ns0:c r="J415" s="456"/>
      <ns0:c r="K415" s="986"/>
      <ns0:c r="L415" s="454"/>
      <ns0:c r="M415" s="439"/>
      <ns0:c r="N415" s="987" t="str">
        <ns0:f>IF(COUNTA($A415:$M415)=0,"",IF(OR(LEFT(LOWER(TRIM($F415&amp;"")),12)="subscription",LOWER(TRIM($F415&amp;""))="membership"),"",IF(OR(AND($H415&lt;&gt;"",$H415=0),LEFT(LOWER(TRIM($F415&amp;"")),9)="free game",LOWER(TRIM($F415&amp;""))="free",LOWER(TRIM($F415&amp;""))="free entry"),IF(ISNUMBER($G415),IF(ISNUMBER(SEARCH("non",LOWER($E415&amp;""))),$G415*0.85,$G415),"N/A"),IF($G415="","",IFERROR(IF(ISNUMBER(SEARCH("non",LOWER($E415&amp;""))),$G415*0.85,$G415),"")))))</ns0:f>
        <ns0:v/>
      </ns0:c>
      <ns0:c r="O415" s="987" t="str">
        <ns0:f>IF(COUNTA($A415:$M415)=0,"",IF(OR(LEFT(LOWER(TRIM($F415&amp;"")),12)="subscription",LOWER(TRIM($F415&amp;""))="membership"),"",IF(OR(AND($H415&lt;&gt;"",$H415=0),LEFT(LOWER(TRIM($F415&amp;"")),9)="free game",LOWER(TRIM($F415&amp;""))="free",LOWER(TRIM($F415&amp;""))="free entry"),IF(OR(NOT(ISNUMBER($N415)),NOT(ISNUMBER($I415)),$I415=0),"N/A",IFERROR($N415/$I415,"N/A")),IF(OR($N415="",$I415="",$I415=0),"",IFERROR($N415/$I415,"")))))</ns0:f>
        <ns0:v/>
      </ns0:c>
      <ns0:c r="P415" s="987">
        <ns0:f>IF(COUNTA($A415:$M415)=0,"",IF(OR(LEFT(LOWER(TRIM($F415&amp;"")),12)="subscription",LOWER(TRIM($F415&amp;""))="membership"),"",IF(LOWER(TRIM($D415&amp;""))="estimate","N/A",IF(LOWER($L415&amp;"")="yes",0,IF(OR(AND($H415&lt;&gt;"",$H415=0),LEFT(LOWER(TRIM($F415&amp;"")),9)="free game",LOWER(TRIM($F415&amp;""))="free",LOWER(TRIM($F415&amp;""))="free entry"),IF(ISNUMBER($K415),$K415,""),IF($K415&lt;&gt;"",$K415,""))))))</ns0:f>
      </ns0:c>
      <ns0:c r="Q415" s="114">
        <ns0:f>IF(COUNTA($A415:$M415)=0,"",IF(OR($U415="Subscription",$U415=""),"",IF($U415="Estimate","N/A",IF($U415="Profit",ROUND(IFERROR($P415,0)-IFERROR($H415,0),2),0))))</ns0:f>
      </ns0:c>
      <ns0:c r="R415" s="114">
        <ns0:f>IF(COUNTA($A415:$M415)=0,"",IF(OR($U415="Subscription",$U415=""),"",IF($U415="Estimate","N/A",IF($U415="Draw",$H415,0))))</ns0:f>
      </ns0:c>
      <ns0:c r="S415" s="114">
        <ns0:f>IF(COUNTA($A415:$M415)=0,"",IF(OR($U415="Subscription",$U415=""),"",IF($U415="Estimate","N/A",IF($U415="Disqualified",$H415,0))))</ns0:f>
      </ns0:c>
      <ns0:c r="T415" s="955">
        <ns0:f>IF(COUNTA($A415:$M415)=0,"",IF(OR($U415="Subscription",$U415=""),"",IF($U415="Estimate","N/A",IF(OR($U415="Free Game",$U415="Disqualified — Free Game",$H415=0),"N/A",IF($U415="Profit",$Q415/$H415,IF($U415="Disqualified",-$S415/$H415,0))))))</ns0:f>
      </ns0:c>
      <ns0:c r="U415" s="920">
        <ns0:f>IF(COUNTA($A415:$M415)=0,"",IF(OR(LEFT(LOWER(TRIM($F415&amp;"")),12)="subscription",LOWER(TRIM($F415&amp;""))="membership"),"Subscription",IF(LOWER(TRIM($D415&amp;""))="estimate","Estimate",IF(OR(AND($H415&lt;&gt;"",$H415=0),LEFT(LOWER(TRIM($F415&amp;"")),9)="free game",LOWER(TRIM($F415&amp;""))="free",LOWER(TRIM($F415&amp;""))="free entry"),IF(LOWER($L415&amp;"")="yes","Disqualified — Free Game","Free Game"),IF(LOWER($L415&amp;"")="yes","Disqualified",IF($P415="","",IF(ROUND(IFERROR(VALUE($P415),0)-IFERROR(VALUE($H415),0),2)&gt;0,"Profit","Draw")))))))</ns0:f>
      </ns0:c>
      <ns0:c r="V415" s="956" t="str">
        <ns0:f>IF(COUNTA($A415:$M415)=0,"",IF(OR($B415="",$C415="",$U415="Subscription"),"",IFERROR(ROUNDUP(($C415-$B415)/7,0),"")))</ns0:f>
      </ns0:c>
      <ns0:c r="W415" s="114">
        <ns0:f>IF(COUNTA($A415:$M415)=0,"",IF(OR($U415="Subscription",$U415=""),"",IF($U415="Estimate","N/A",IF(OR($U415="Free Game",$U415="Disqualified — Free Game"),0,ROUND(IFERROR($Q415,0)-IFERROR($S415,0),2)))))</ns0:f>
      </ns0:c>
      <ns0:c r="X415" s="956" t="str">
        <ns0:f>IF(COUNTA($A415:$M415)=0,"",IF(OR($U415="Subscription",NOT(ISNUMBER($J415)),NOT(ISNUMBER($I415)),$J415=0,$I415=0,$I415&gt;$J415),"",$J415-$I415))</ns0:f>
      </ns0:c>
      <ns0:c r="Y415" s="955" t="str">
        <ns0:f>IF(COUNTA($A415:$M415)=0,"",IF(OR($U415="Subscription",NOT(ISNUMBER($J415)),$J415=0,$X415=""),"",$X415/$J415))</ns0:f>
      </ns0:c>
      <ns0:c r="Z415" s="957" t="str">
        <ns0:f>IF(COUNTA($A415:$M415)=0,"",Instructions!$B$29+SUM($W$5:W415))</ns0:f>
      </ns0:c>
    </ns0:row>
    <ns0:row r="416" ht="36" customHeight="1">
      <ns0:c r="A416" s="439"/>
      <ns0:c r="B416" s="453"/>
      <ns0:c r="C416" s="453"/>
      <ns0:c r="D416" s="454"/>
      <ns0:c r="E416" s="454"/>
      <ns0:c r="F416" s="454"/>
      <ns0:c r="G416" s="986"/>
      <ns0:c r="H416" s="455"/>
      <ns0:c r="I416" s="456"/>
      <ns0:c r="J416" s="456"/>
      <ns0:c r="K416" s="986"/>
      <ns0:c r="L416" s="454"/>
      <ns0:c r="M416" s="439"/>
      <ns0:c r="N416" s="987" t="str">
        <ns0:f>IF(COUNTA($A416:$M416)=0,"",IF(OR(LEFT(LOWER(TRIM($F416&amp;"")),12)="subscription",LOWER(TRIM($F416&amp;""))="membership"),"",IF(OR(AND($H416&lt;&gt;"",$H416=0),LEFT(LOWER(TRIM($F416&amp;"")),9)="free game",LOWER(TRIM($F416&amp;""))="free",LOWER(TRIM($F416&amp;""))="free entry"),IF(ISNUMBER($G416),IF(ISNUMBER(SEARCH("non",LOWER($E416&amp;""))),$G416*0.85,$G416),"N/A"),IF($G416="","",IFERROR(IF(ISNUMBER(SEARCH("non",LOWER($E416&amp;""))),$G416*0.85,$G416),"")))))</ns0:f>
        <ns0:v/>
      </ns0:c>
      <ns0:c r="O416" s="987" t="str">
        <ns0:f>IF(COUNTA($A416:$M416)=0,"",IF(OR(LEFT(LOWER(TRIM($F416&amp;"")),12)="subscription",LOWER(TRIM($F416&amp;""))="membership"),"",IF(OR(AND($H416&lt;&gt;"",$H416=0),LEFT(LOWER(TRIM($F416&amp;"")),9)="free game",LOWER(TRIM($F416&amp;""))="free",LOWER(TRIM($F416&amp;""))="free entry"),IF(OR(NOT(ISNUMBER($N416)),NOT(ISNUMBER($I416)),$I416=0),"N/A",IFERROR($N416/$I416,"N/A")),IF(OR($N416="",$I416="",$I416=0),"",IFERROR($N416/$I416,"")))))</ns0:f>
        <ns0:v/>
      </ns0:c>
      <ns0:c r="P416" s="987">
        <ns0:f>IF(COUNTA($A416:$M416)=0,"",IF(OR(LEFT(LOWER(TRIM($F416&amp;"")),12)="subscription",LOWER(TRIM($F416&amp;""))="membership"),"",IF(LOWER(TRIM($D416&amp;""))="estimate","N/A",IF(LOWER($L416&amp;"")="yes",0,IF(OR(AND($H416&lt;&gt;"",$H416=0),LEFT(LOWER(TRIM($F416&amp;"")),9)="free game",LOWER(TRIM($F416&amp;""))="free",LOWER(TRIM($F416&amp;""))="free entry"),IF(ISNUMBER($K416),$K416,""),IF($K416&lt;&gt;"",$K416,""))))))</ns0:f>
      </ns0:c>
      <ns0:c r="Q416" s="114">
        <ns0:f>IF(COUNTA($A416:$M416)=0,"",IF(OR($U416="Subscription",$U416=""),"",IF($U416="Estimate","N/A",IF($U416="Profit",ROUND(IFERROR($P416,0)-IFERROR($H416,0),2),0))))</ns0:f>
      </ns0:c>
      <ns0:c r="R416" s="114">
        <ns0:f>IF(COUNTA($A416:$M416)=0,"",IF(OR($U416="Subscription",$U416=""),"",IF($U416="Estimate","N/A",IF($U416="Draw",$H416,0))))</ns0:f>
      </ns0:c>
      <ns0:c r="S416" s="114">
        <ns0:f>IF(COUNTA($A416:$M416)=0,"",IF(OR($U416="Subscription",$U416=""),"",IF($U416="Estimate","N/A",IF($U416="Disqualified",$H416,0))))</ns0:f>
      </ns0:c>
      <ns0:c r="T416" s="955">
        <ns0:f>IF(COUNTA($A416:$M416)=0,"",IF(OR($U416="Subscription",$U416=""),"",IF($U416="Estimate","N/A",IF(OR($U416="Free Game",$U416="Disqualified — Free Game",$H416=0),"N/A",IF($U416="Profit",$Q416/$H416,IF($U416="Disqualified",-$S416/$H416,0))))))</ns0:f>
      </ns0:c>
      <ns0:c r="U416" s="920">
        <ns0:f>IF(COUNTA($A416:$M416)=0,"",IF(OR(LEFT(LOWER(TRIM($F416&amp;"")),12)="subscription",LOWER(TRIM($F416&amp;""))="membership"),"Subscription",IF(LOWER(TRIM($D416&amp;""))="estimate","Estimate",IF(OR(AND($H416&lt;&gt;"",$H416=0),LEFT(LOWER(TRIM($F416&amp;"")),9)="free game",LOWER(TRIM($F416&amp;""))="free",LOWER(TRIM($F416&amp;""))="free entry"),IF(LOWER($L416&amp;"")="yes","Disqualified — Free Game","Free Game"),IF(LOWER($L416&amp;"")="yes","Disqualified",IF($P416="","",IF(ROUND(IFERROR(VALUE($P416),0)-IFERROR(VALUE($H416),0),2)&gt;0,"Profit","Draw")))))))</ns0:f>
      </ns0:c>
      <ns0:c r="V416" s="956" t="str">
        <ns0:f>IF(COUNTA($A416:$M416)=0,"",IF(OR($B416="",$C416="",$U416="Subscription"),"",IFERROR(ROUNDUP(($C416-$B416)/7,0),"")))</ns0:f>
      </ns0:c>
      <ns0:c r="W416" s="114">
        <ns0:f>IF(COUNTA($A416:$M416)=0,"",IF(OR($U416="Subscription",$U416=""),"",IF($U416="Estimate","N/A",IF(OR($U416="Free Game",$U416="Disqualified — Free Game"),0,ROUND(IFERROR($Q416,0)-IFERROR($S416,0),2)))))</ns0:f>
      </ns0:c>
      <ns0:c r="X416" s="956" t="str">
        <ns0:f>IF(COUNTA($A416:$M416)=0,"",IF(OR($U416="Subscription",NOT(ISNUMBER($J416)),NOT(ISNUMBER($I416)),$J416=0,$I416=0,$I416&gt;$J416),"",$J416-$I416))</ns0:f>
      </ns0:c>
      <ns0:c r="Y416" s="955" t="str">
        <ns0:f>IF(COUNTA($A416:$M416)=0,"",IF(OR($U416="Subscription",NOT(ISNUMBER($J416)),$J416=0,$X416=""),"",$X416/$J416))</ns0:f>
      </ns0:c>
      <ns0:c r="Z416" s="957" t="str">
        <ns0:f>IF(COUNTA($A416:$M416)=0,"",Instructions!$B$29+SUM($W$5:W416))</ns0:f>
      </ns0:c>
    </ns0:row>
    <ns0:row r="417" ht="36" customHeight="1">
      <ns0:c r="A417" s="439"/>
      <ns0:c r="B417" s="453"/>
      <ns0:c r="C417" s="453"/>
      <ns0:c r="D417" s="454"/>
      <ns0:c r="E417" s="454"/>
      <ns0:c r="F417" s="454"/>
      <ns0:c r="G417" s="986"/>
      <ns0:c r="H417" s="455"/>
      <ns0:c r="I417" s="456"/>
      <ns0:c r="J417" s="456"/>
      <ns0:c r="K417" s="986"/>
      <ns0:c r="L417" s="454"/>
      <ns0:c r="M417" s="439"/>
      <ns0:c r="N417" s="987" t="str">
        <ns0:f>IF(COUNTA($A417:$M417)=0,"",IF(OR(LEFT(LOWER(TRIM($F417&amp;"")),12)="subscription",LOWER(TRIM($F417&amp;""))="membership"),"",IF(OR(AND($H417&lt;&gt;"",$H417=0),LEFT(LOWER(TRIM($F417&amp;"")),9)="free game",LOWER(TRIM($F417&amp;""))="free",LOWER(TRIM($F417&amp;""))="free entry"),IF(ISNUMBER($G417),IF(ISNUMBER(SEARCH("non",LOWER($E417&amp;""))),$G417*0.85,$G417),"N/A"),IF($G417="","",IFERROR(IF(ISNUMBER(SEARCH("non",LOWER($E417&amp;""))),$G417*0.85,$G417),"")))))</ns0:f>
        <ns0:v/>
      </ns0:c>
      <ns0:c r="O417" s="987" t="str">
        <ns0:f>IF(COUNTA($A417:$M417)=0,"",IF(OR(LEFT(LOWER(TRIM($F417&amp;"")),12)="subscription",LOWER(TRIM($F417&amp;""))="membership"),"",IF(OR(AND($H417&lt;&gt;"",$H417=0),LEFT(LOWER(TRIM($F417&amp;"")),9)="free game",LOWER(TRIM($F417&amp;""))="free",LOWER(TRIM($F417&amp;""))="free entry"),IF(OR(NOT(ISNUMBER($N417)),NOT(ISNUMBER($I417)),$I417=0),"N/A",IFERROR($N417/$I417,"N/A")),IF(OR($N417="",$I417="",$I417=0),"",IFERROR($N417/$I417,"")))))</ns0:f>
        <ns0:v/>
      </ns0:c>
      <ns0:c r="P417" s="987">
        <ns0:f>IF(COUNTA($A417:$M417)=0,"",IF(OR(LEFT(LOWER(TRIM($F417&amp;"")),12)="subscription",LOWER(TRIM($F417&amp;""))="membership"),"",IF(LOWER(TRIM($D417&amp;""))="estimate","N/A",IF(LOWER($L417&amp;"")="yes",0,IF(OR(AND($H417&lt;&gt;"",$H417=0),LEFT(LOWER(TRIM($F417&amp;"")),9)="free game",LOWER(TRIM($F417&amp;""))="free",LOWER(TRIM($F417&amp;""))="free entry"),IF(ISNUMBER($K417),$K417,""),IF($K417&lt;&gt;"",$K417,""))))))</ns0:f>
      </ns0:c>
      <ns0:c r="Q417" s="114">
        <ns0:f>IF(COUNTA($A417:$M417)=0,"",IF(OR($U417="Subscription",$U417=""),"",IF($U417="Estimate","N/A",IF($U417="Profit",ROUND(IFERROR($P417,0)-IFERROR($H417,0),2),0))))</ns0:f>
      </ns0:c>
      <ns0:c r="R417" s="114">
        <ns0:f>IF(COUNTA($A417:$M417)=0,"",IF(OR($U417="Subscription",$U417=""),"",IF($U417="Estimate","N/A",IF($U417="Draw",$H417,0))))</ns0:f>
      </ns0:c>
      <ns0:c r="S417" s="114">
        <ns0:f>IF(COUNTA($A417:$M417)=0,"",IF(OR($U417="Subscription",$U417=""),"",IF($U417="Estimate","N/A",IF($U417="Disqualified",$H417,0))))</ns0:f>
      </ns0:c>
      <ns0:c r="T417" s="955">
        <ns0:f>IF(COUNTA($A417:$M417)=0,"",IF(OR($U417="Subscription",$U417=""),"",IF($U417="Estimate","N/A",IF(OR($U417="Free Game",$U417="Disqualified — Free Game",$H417=0),"N/A",IF($U417="Profit",$Q417/$H417,IF($U417="Disqualified",-$S417/$H417,0))))))</ns0:f>
      </ns0:c>
      <ns0:c r="U417" s="920">
        <ns0:f>IF(COUNTA($A417:$M417)=0,"",IF(OR(LEFT(LOWER(TRIM($F417&amp;"")),12)="subscription",LOWER(TRIM($F417&amp;""))="membership"),"Subscription",IF(LOWER(TRIM($D417&amp;""))="estimate","Estimate",IF(OR(AND($H417&lt;&gt;"",$H417=0),LEFT(LOWER(TRIM($F417&amp;"")),9)="free game",LOWER(TRIM($F417&amp;""))="free",LOWER(TRIM($F417&amp;""))="free entry"),IF(LOWER($L417&amp;"")="yes","Disqualified — Free Game","Free Game"),IF(LOWER($L417&amp;"")="yes","Disqualified",IF($P417="","",IF(ROUND(IFERROR(VALUE($P417),0)-IFERROR(VALUE($H417),0),2)&gt;0,"Profit","Draw")))))))</ns0:f>
      </ns0:c>
      <ns0:c r="V417" s="956" t="str">
        <ns0:f>IF(COUNTA($A417:$M417)=0,"",IF(OR($B417="",$C417="",$U417="Subscription"),"",IFERROR(ROUNDUP(($C417-$B417)/7,0),"")))</ns0:f>
      </ns0:c>
      <ns0:c r="W417" s="114">
        <ns0:f>IF(COUNTA($A417:$M417)=0,"",IF(OR($U417="Subscription",$U417=""),"",IF($U417="Estimate","N/A",IF(OR($U417="Free Game",$U417="Disqualified — Free Game"),0,ROUND(IFERROR($Q417,0)-IFERROR($S417,0),2)))))</ns0:f>
      </ns0:c>
      <ns0:c r="X417" s="956" t="str">
        <ns0:f>IF(COUNTA($A417:$M417)=0,"",IF(OR($U417="Subscription",NOT(ISNUMBER($J417)),NOT(ISNUMBER($I417)),$J417=0,$I417=0,$I417&gt;$J417),"",$J417-$I417))</ns0:f>
      </ns0:c>
      <ns0:c r="Y417" s="955" t="str">
        <ns0:f>IF(COUNTA($A417:$M417)=0,"",IF(OR($U417="Subscription",NOT(ISNUMBER($J417)),$J417=0,$X417=""),"",$X417/$J417))</ns0:f>
      </ns0:c>
      <ns0:c r="Z417" s="957" t="str">
        <ns0:f>IF(COUNTA($A417:$M417)=0,"",Instructions!$B$29+SUM($W$5:W417))</ns0:f>
      </ns0:c>
    </ns0:row>
    <ns0:row r="418" ht="36" customHeight="1">
      <ns0:c r="A418" s="439"/>
      <ns0:c r="B418" s="453"/>
      <ns0:c r="C418" s="453"/>
      <ns0:c r="D418" s="454"/>
      <ns0:c r="E418" s="454"/>
      <ns0:c r="F418" s="454"/>
      <ns0:c r="G418" s="986"/>
      <ns0:c r="H418" s="455"/>
      <ns0:c r="I418" s="456"/>
      <ns0:c r="J418" s="456"/>
      <ns0:c r="K418" s="986"/>
      <ns0:c r="L418" s="454"/>
      <ns0:c r="M418" s="439"/>
      <ns0:c r="N418" s="987" t="str">
        <ns0:f>IF(COUNTA($A418:$M418)=0,"",IF(OR(LEFT(LOWER(TRIM($F418&amp;"")),12)="subscription",LOWER(TRIM($F418&amp;""))="membership"),"",IF(OR(AND($H418&lt;&gt;"",$H418=0),LEFT(LOWER(TRIM($F418&amp;"")),9)="free game",LOWER(TRIM($F418&amp;""))="free",LOWER(TRIM($F418&amp;""))="free entry"),IF(ISNUMBER($G418),IF(ISNUMBER(SEARCH("non",LOWER($E418&amp;""))),$G418*0.85,$G418),"N/A"),IF($G418="","",IFERROR(IF(ISNUMBER(SEARCH("non",LOWER($E418&amp;""))),$G418*0.85,$G418),"")))))</ns0:f>
        <ns0:v/>
      </ns0:c>
      <ns0:c r="O418" s="987" t="str">
        <ns0:f>IF(COUNTA($A418:$M418)=0,"",IF(OR(LEFT(LOWER(TRIM($F418&amp;"")),12)="subscription",LOWER(TRIM($F418&amp;""))="membership"),"",IF(OR(AND($H418&lt;&gt;"",$H418=0),LEFT(LOWER(TRIM($F418&amp;"")),9)="free game",LOWER(TRIM($F418&amp;""))="free",LOWER(TRIM($F418&amp;""))="free entry"),IF(OR(NOT(ISNUMBER($N418)),NOT(ISNUMBER($I418)),$I418=0),"N/A",IFERROR($N418/$I418,"N/A")),IF(OR($N418="",$I418="",$I418=0),"",IFERROR($N418/$I418,"")))))</ns0:f>
        <ns0:v/>
      </ns0:c>
      <ns0:c r="P418" s="987">
        <ns0:f>IF(COUNTA($A418:$M418)=0,"",IF(OR(LEFT(LOWER(TRIM($F418&amp;"")),12)="subscription",LOWER(TRIM($F418&amp;""))="membership"),"",IF(LOWER(TRIM($D418&amp;""))="estimate","N/A",IF(LOWER($L418&amp;"")="yes",0,IF(OR(AND($H418&lt;&gt;"",$H418=0),LEFT(LOWER(TRIM($F418&amp;"")),9)="free game",LOWER(TRIM($F418&amp;""))="free",LOWER(TRIM($F418&amp;""))="free entry"),IF(ISNUMBER($K418),$K418,""),IF($K418&lt;&gt;"",$K418,""))))))</ns0:f>
      </ns0:c>
      <ns0:c r="Q418" s="114">
        <ns0:f>IF(COUNTA($A418:$M418)=0,"",IF(OR($U418="Subscription",$U418=""),"",IF($U418="Estimate","N/A",IF($U418="Profit",ROUND(IFERROR($P418,0)-IFERROR($H418,0),2),0))))</ns0:f>
      </ns0:c>
      <ns0:c r="R418" s="114">
        <ns0:f>IF(COUNTA($A418:$M418)=0,"",IF(OR($U418="Subscription",$U418=""),"",IF($U418="Estimate","N/A",IF($U418="Draw",$H418,0))))</ns0:f>
      </ns0:c>
      <ns0:c r="S418" s="114">
        <ns0:f>IF(COUNTA($A418:$M418)=0,"",IF(OR($U418="Subscription",$U418=""),"",IF($U418="Estimate","N/A",IF($U418="Disqualified",$H418,0))))</ns0:f>
      </ns0:c>
      <ns0:c r="T418" s="955">
        <ns0:f>IF(COUNTA($A418:$M418)=0,"",IF(OR($U418="Subscription",$U418=""),"",IF($U418="Estimate","N/A",IF(OR($U418="Free Game",$U418="Disqualified — Free Game",$H418=0),"N/A",IF($U418="Profit",$Q418/$H418,IF($U418="Disqualified",-$S418/$H418,0))))))</ns0:f>
      </ns0:c>
      <ns0:c r="U418" s="920">
        <ns0:f>IF(COUNTA($A418:$M418)=0,"",IF(OR(LEFT(LOWER(TRIM($F418&amp;"")),12)="subscription",LOWER(TRIM($F418&amp;""))="membership"),"Subscription",IF(LOWER(TRIM($D418&amp;""))="estimate","Estimate",IF(OR(AND($H418&lt;&gt;"",$H418=0),LEFT(LOWER(TRIM($F418&amp;"")),9)="free game",LOWER(TRIM($F418&amp;""))="free",LOWER(TRIM($F418&amp;""))="free entry"),IF(LOWER($L418&amp;"")="yes","Disqualified — Free Game","Free Game"),IF(LOWER($L418&amp;"")="yes","Disqualified",IF($P418="","",IF(ROUND(IFERROR(VALUE($P418),0)-IFERROR(VALUE($H418),0),2)&gt;0,"Profit","Draw")))))))</ns0:f>
      </ns0:c>
      <ns0:c r="V418" s="956" t="str">
        <ns0:f>IF(COUNTA($A418:$M418)=0,"",IF(OR($B418="",$C418="",$U418="Subscription"),"",IFERROR(ROUNDUP(($C418-$B418)/7,0),"")))</ns0:f>
      </ns0:c>
      <ns0:c r="W418" s="114">
        <ns0:f>IF(COUNTA($A418:$M418)=0,"",IF(OR($U418="Subscription",$U418=""),"",IF($U418="Estimate","N/A",IF(OR($U418="Free Game",$U418="Disqualified — Free Game"),0,ROUND(IFERROR($Q418,0)-IFERROR($S418,0),2)))))</ns0:f>
      </ns0:c>
      <ns0:c r="X418" s="956" t="str">
        <ns0:f>IF(COUNTA($A418:$M418)=0,"",IF(OR($U418="Subscription",NOT(ISNUMBER($J418)),NOT(ISNUMBER($I418)),$J418=0,$I418=0,$I418&gt;$J418),"",$J418-$I418))</ns0:f>
      </ns0:c>
      <ns0:c r="Y418" s="955" t="str">
        <ns0:f>IF(COUNTA($A418:$M418)=0,"",IF(OR($U418="Subscription",NOT(ISNUMBER($J418)),$J418=0,$X418=""),"",$X418/$J418))</ns0:f>
      </ns0:c>
      <ns0:c r="Z418" s="957" t="str">
        <ns0:f>IF(COUNTA($A418:$M418)=0,"",Instructions!$B$29+SUM($W$5:W418))</ns0:f>
      </ns0:c>
    </ns0:row>
    <ns0:row r="419" ht="36" customHeight="1">
      <ns0:c r="A419" s="439"/>
      <ns0:c r="B419" s="453"/>
      <ns0:c r="C419" s="453"/>
      <ns0:c r="D419" s="454"/>
      <ns0:c r="E419" s="454"/>
      <ns0:c r="F419" s="454"/>
      <ns0:c r="G419" s="986"/>
      <ns0:c r="H419" s="455"/>
      <ns0:c r="I419" s="456"/>
      <ns0:c r="J419" s="456"/>
      <ns0:c r="K419" s="986"/>
      <ns0:c r="L419" s="454"/>
      <ns0:c r="M419" s="439"/>
      <ns0:c r="N419" s="987" t="str">
        <ns0:f>IF(COUNTA($A419:$M419)=0,"",IF(OR(LEFT(LOWER(TRIM($F419&amp;"")),12)="subscription",LOWER(TRIM($F419&amp;""))="membership"),"",IF(OR(AND($H419&lt;&gt;"",$H419=0),LEFT(LOWER(TRIM($F419&amp;"")),9)="free game",LOWER(TRIM($F419&amp;""))="free",LOWER(TRIM($F419&amp;""))="free entry"),IF(ISNUMBER($G419),IF(ISNUMBER(SEARCH("non",LOWER($E419&amp;""))),$G419*0.85,$G419),"N/A"),IF($G419="","",IFERROR(IF(ISNUMBER(SEARCH("non",LOWER($E419&amp;""))),$G419*0.85,$G419),"")))))</ns0:f>
        <ns0:v/>
      </ns0:c>
      <ns0:c r="O419" s="987" t="str">
        <ns0:f>IF(COUNTA($A419:$M419)=0,"",IF(OR(LEFT(LOWER(TRIM($F419&amp;"")),12)="subscription",LOWER(TRIM($F419&amp;""))="membership"),"",IF(OR(AND($H419&lt;&gt;"",$H419=0),LEFT(LOWER(TRIM($F419&amp;"")),9)="free game",LOWER(TRIM($F419&amp;""))="free",LOWER(TRIM($F419&amp;""))="free entry"),IF(OR(NOT(ISNUMBER($N419)),NOT(ISNUMBER($I419)),$I419=0),"N/A",IFERROR($N419/$I419,"N/A")),IF(OR($N419="",$I419="",$I419=0),"",IFERROR($N419/$I419,"")))))</ns0:f>
        <ns0:v/>
      </ns0:c>
      <ns0:c r="P419" s="987">
        <ns0:f>IF(COUNTA($A419:$M419)=0,"",IF(OR(LEFT(LOWER(TRIM($F419&amp;"")),12)="subscription",LOWER(TRIM($F419&amp;""))="membership"),"",IF(LOWER(TRIM($D419&amp;""))="estimate","N/A",IF(LOWER($L419&amp;"")="yes",0,IF(OR(AND($H419&lt;&gt;"",$H419=0),LEFT(LOWER(TRIM($F419&amp;"")),9)="free game",LOWER(TRIM($F419&amp;""))="free",LOWER(TRIM($F419&amp;""))="free entry"),IF(ISNUMBER($K419),$K419,""),IF($K419&lt;&gt;"",$K419,""))))))</ns0:f>
      </ns0:c>
      <ns0:c r="Q419" s="114">
        <ns0:f>IF(COUNTA($A419:$M419)=0,"",IF(OR($U419="Subscription",$U419=""),"",IF($U419="Estimate","N/A",IF($U419="Profit",ROUND(IFERROR($P419,0)-IFERROR($H419,0),2),0))))</ns0:f>
      </ns0:c>
      <ns0:c r="R419" s="114">
        <ns0:f>IF(COUNTA($A419:$M419)=0,"",IF(OR($U419="Subscription",$U419=""),"",IF($U419="Estimate","N/A",IF($U419="Draw",$H419,0))))</ns0:f>
      </ns0:c>
      <ns0:c r="S419" s="114">
        <ns0:f>IF(COUNTA($A419:$M419)=0,"",IF(OR($U419="Subscription",$U419=""),"",IF($U419="Estimate","N/A",IF($U419="Disqualified",$H419,0))))</ns0:f>
      </ns0:c>
      <ns0:c r="T419" s="955">
        <ns0:f>IF(COUNTA($A419:$M419)=0,"",IF(OR($U419="Subscription",$U419=""),"",IF($U419="Estimate","N/A",IF(OR($U419="Free Game",$U419="Disqualified — Free Game",$H419=0),"N/A",IF($U419="Profit",$Q419/$H419,IF($U419="Disqualified",-$S419/$H419,0))))))</ns0:f>
      </ns0:c>
      <ns0:c r="U419" s="920">
        <ns0:f>IF(COUNTA($A419:$M419)=0,"",IF(OR(LEFT(LOWER(TRIM($F419&amp;"")),12)="subscription",LOWER(TRIM($F419&amp;""))="membership"),"Subscription",IF(LOWER(TRIM($D419&amp;""))="estimate","Estimate",IF(OR(AND($H419&lt;&gt;"",$H419=0),LEFT(LOWER(TRIM($F419&amp;"")),9)="free game",LOWER(TRIM($F419&amp;""))="free",LOWER(TRIM($F419&amp;""))="free entry"),IF(LOWER($L419&amp;"")="yes","Disqualified — Free Game","Free Game"),IF(LOWER($L419&amp;"")="yes","Disqualified",IF($P419="","",IF(ROUND(IFERROR(VALUE($P419),0)-IFERROR(VALUE($H419),0),2)&gt;0,"Profit","Draw")))))))</ns0:f>
      </ns0:c>
      <ns0:c r="V419" s="956" t="str">
        <ns0:f>IF(COUNTA($A419:$M419)=0,"",IF(OR($B419="",$C419="",$U419="Subscription"),"",IFERROR(ROUNDUP(($C419-$B419)/7,0),"")))</ns0:f>
      </ns0:c>
      <ns0:c r="W419" s="114">
        <ns0:f>IF(COUNTA($A419:$M419)=0,"",IF(OR($U419="Subscription",$U419=""),"",IF($U419="Estimate","N/A",IF(OR($U419="Free Game",$U419="Disqualified — Free Game"),0,ROUND(IFERROR($Q419,0)-IFERROR($S419,0),2)))))</ns0:f>
      </ns0:c>
      <ns0:c r="X419" s="956" t="str">
        <ns0:f>IF(COUNTA($A419:$M419)=0,"",IF(OR($U419="Subscription",NOT(ISNUMBER($J419)),NOT(ISNUMBER($I419)),$J419=0,$I419=0,$I419&gt;$J419),"",$J419-$I419))</ns0:f>
      </ns0:c>
      <ns0:c r="Y419" s="955" t="str">
        <ns0:f>IF(COUNTA($A419:$M419)=0,"",IF(OR($U419="Subscription",NOT(ISNUMBER($J419)),$J419=0,$X419=""),"",$X419/$J419))</ns0:f>
      </ns0:c>
      <ns0:c r="Z419" s="957" t="str">
        <ns0:f>IF(COUNTA($A419:$M419)=0,"",Instructions!$B$29+SUM($W$5:W419))</ns0:f>
      </ns0:c>
    </ns0:row>
    <ns0:row r="420" ht="36" customHeight="1">
      <ns0:c r="A420" s="439"/>
      <ns0:c r="B420" s="453"/>
      <ns0:c r="C420" s="453"/>
      <ns0:c r="D420" s="454"/>
      <ns0:c r="E420" s="454"/>
      <ns0:c r="F420" s="454"/>
      <ns0:c r="G420" s="986"/>
      <ns0:c r="H420" s="455"/>
      <ns0:c r="I420" s="456"/>
      <ns0:c r="J420" s="456"/>
      <ns0:c r="K420" s="986"/>
      <ns0:c r="L420" s="454"/>
      <ns0:c r="M420" s="439"/>
      <ns0:c r="N420" s="987" t="str">
        <ns0:f>IF(COUNTA($A420:$M420)=0,"",IF(OR(LEFT(LOWER(TRIM($F420&amp;"")),12)="subscription",LOWER(TRIM($F420&amp;""))="membership"),"",IF(OR(AND($H420&lt;&gt;"",$H420=0),LEFT(LOWER(TRIM($F420&amp;"")),9)="free game",LOWER(TRIM($F420&amp;""))="free",LOWER(TRIM($F420&amp;""))="free entry"),IF(ISNUMBER($G420),IF(ISNUMBER(SEARCH("non",LOWER($E420&amp;""))),$G420*0.85,$G420),"N/A"),IF($G420="","",IFERROR(IF(ISNUMBER(SEARCH("non",LOWER($E420&amp;""))),$G420*0.85,$G420),"")))))</ns0:f>
        <ns0:v/>
      </ns0:c>
      <ns0:c r="O420" s="987" t="str">
        <ns0:f>IF(COUNTA($A420:$M420)=0,"",IF(OR(LEFT(LOWER(TRIM($F420&amp;"")),12)="subscription",LOWER(TRIM($F420&amp;""))="membership"),"",IF(OR(AND($H420&lt;&gt;"",$H420=0),LEFT(LOWER(TRIM($F420&amp;"")),9)="free game",LOWER(TRIM($F420&amp;""))="free",LOWER(TRIM($F420&amp;""))="free entry"),IF(OR(NOT(ISNUMBER($N420)),NOT(ISNUMBER($I420)),$I420=0),"N/A",IFERROR($N420/$I420,"N/A")),IF(OR($N420="",$I420="",$I420=0),"",IFERROR($N420/$I420,"")))))</ns0:f>
        <ns0:v/>
      </ns0:c>
      <ns0:c r="P420" s="987">
        <ns0:f>IF(COUNTA($A420:$M420)=0,"",IF(OR(LEFT(LOWER(TRIM($F420&amp;"")),12)="subscription",LOWER(TRIM($F420&amp;""))="membership"),"",IF(LOWER(TRIM($D420&amp;""))="estimate","N/A",IF(LOWER($L420&amp;"")="yes",0,IF(OR(AND($H420&lt;&gt;"",$H420=0),LEFT(LOWER(TRIM($F420&amp;"")),9)="free game",LOWER(TRIM($F420&amp;""))="free",LOWER(TRIM($F420&amp;""))="free entry"),IF(ISNUMBER($K420),$K420,""),IF($K420&lt;&gt;"",$K420,""))))))</ns0:f>
      </ns0:c>
      <ns0:c r="Q420" s="114">
        <ns0:f>IF(COUNTA($A420:$M420)=0,"",IF(OR($U420="Subscription",$U420=""),"",IF($U420="Estimate","N/A",IF($U420="Profit",ROUND(IFERROR($P420,0)-IFERROR($H420,0),2),0))))</ns0:f>
      </ns0:c>
      <ns0:c r="R420" s="114">
        <ns0:f>IF(COUNTA($A420:$M420)=0,"",IF(OR($U420="Subscription",$U420=""),"",IF($U420="Estimate","N/A",IF($U420="Draw",$H420,0))))</ns0:f>
      </ns0:c>
      <ns0:c r="S420" s="114">
        <ns0:f>IF(COUNTA($A420:$M420)=0,"",IF(OR($U420="Subscription",$U420=""),"",IF($U420="Estimate","N/A",IF($U420="Disqualified",$H420,0))))</ns0:f>
      </ns0:c>
      <ns0:c r="T420" s="955">
        <ns0:f>IF(COUNTA($A420:$M420)=0,"",IF(OR($U420="Subscription",$U420=""),"",IF($U420="Estimate","N/A",IF(OR($U420="Free Game",$U420="Disqualified — Free Game",$H420=0),"N/A",IF($U420="Profit",$Q420/$H420,IF($U420="Disqualified",-$S420/$H420,0))))))</ns0:f>
      </ns0:c>
      <ns0:c r="U420" s="920">
        <ns0:f>IF(COUNTA($A420:$M420)=0,"",IF(OR(LEFT(LOWER(TRIM($F420&amp;"")),12)="subscription",LOWER(TRIM($F420&amp;""))="membership"),"Subscription",IF(LOWER(TRIM($D420&amp;""))="estimate","Estimate",IF(OR(AND($H420&lt;&gt;"",$H420=0),LEFT(LOWER(TRIM($F420&amp;"")),9)="free game",LOWER(TRIM($F420&amp;""))="free",LOWER(TRIM($F420&amp;""))="free entry"),IF(LOWER($L420&amp;"")="yes","Disqualified — Free Game","Free Game"),IF(LOWER($L420&amp;"")="yes","Disqualified",IF($P420="","",IF(ROUND(IFERROR(VALUE($P420),0)-IFERROR(VALUE($H420),0),2)&gt;0,"Profit","Draw")))))))</ns0:f>
      </ns0:c>
      <ns0:c r="V420" s="956" t="str">
        <ns0:f>IF(COUNTA($A420:$M420)=0,"",IF(OR($B420="",$C420="",$U420="Subscription"),"",IFERROR(ROUNDUP(($C420-$B420)/7,0),"")))</ns0:f>
      </ns0:c>
      <ns0:c r="W420" s="114">
        <ns0:f>IF(COUNTA($A420:$M420)=0,"",IF(OR($U420="Subscription",$U420=""),"",IF($U420="Estimate","N/A",IF(OR($U420="Free Game",$U420="Disqualified — Free Game"),0,ROUND(IFERROR($Q420,0)-IFERROR($S420,0),2)))))</ns0:f>
      </ns0:c>
      <ns0:c r="X420" s="956" t="str">
        <ns0:f>IF(COUNTA($A420:$M420)=0,"",IF(OR($U420="Subscription",NOT(ISNUMBER($J420)),NOT(ISNUMBER($I420)),$J420=0,$I420=0,$I420&gt;$J420),"",$J420-$I420))</ns0:f>
      </ns0:c>
      <ns0:c r="Y420" s="955" t="str">
        <ns0:f>IF(COUNTA($A420:$M420)=0,"",IF(OR($U420="Subscription",NOT(ISNUMBER($J420)),$J420=0,$X420=""),"",$X420/$J420))</ns0:f>
      </ns0:c>
      <ns0:c r="Z420" s="957" t="str">
        <ns0:f>IF(COUNTA($A420:$M420)=0,"",Instructions!$B$29+SUM($W$5:W420))</ns0:f>
      </ns0:c>
    </ns0:row>
    <ns0:row r="421" ht="36" customHeight="1">
      <ns0:c r="A421" s="439"/>
      <ns0:c r="B421" s="453"/>
      <ns0:c r="C421" s="453"/>
      <ns0:c r="D421" s="454"/>
      <ns0:c r="E421" s="454"/>
      <ns0:c r="F421" s="454"/>
      <ns0:c r="G421" s="986"/>
      <ns0:c r="H421" s="455"/>
      <ns0:c r="I421" s="456"/>
      <ns0:c r="J421" s="456"/>
      <ns0:c r="K421" s="986"/>
      <ns0:c r="L421" s="454"/>
      <ns0:c r="M421" s="439"/>
      <ns0:c r="N421" s="987" t="str">
        <ns0:f>IF(COUNTA($A421:$M421)=0,"",IF(OR(LEFT(LOWER(TRIM($F421&amp;"")),12)="subscription",LOWER(TRIM($F421&amp;""))="membership"),"",IF(OR(AND($H421&lt;&gt;"",$H421=0),LEFT(LOWER(TRIM($F421&amp;"")),9)="free game",LOWER(TRIM($F421&amp;""))="free",LOWER(TRIM($F421&amp;""))="free entry"),IF(ISNUMBER($G421),IF(ISNUMBER(SEARCH("non",LOWER($E421&amp;""))),$G421*0.85,$G421),"N/A"),IF($G421="","",IFERROR(IF(ISNUMBER(SEARCH("non",LOWER($E421&amp;""))),$G421*0.85,$G421),"")))))</ns0:f>
        <ns0:v/>
      </ns0:c>
      <ns0:c r="O421" s="987" t="str">
        <ns0:f>IF(COUNTA($A421:$M421)=0,"",IF(OR(LEFT(LOWER(TRIM($F421&amp;"")),12)="subscription",LOWER(TRIM($F421&amp;""))="membership"),"",IF(OR(AND($H421&lt;&gt;"",$H421=0),LEFT(LOWER(TRIM($F421&amp;"")),9)="free game",LOWER(TRIM($F421&amp;""))="free",LOWER(TRIM($F421&amp;""))="free entry"),IF(OR(NOT(ISNUMBER($N421)),NOT(ISNUMBER($I421)),$I421=0),"N/A",IFERROR($N421/$I421,"N/A")),IF(OR($N421="",$I421="",$I421=0),"",IFERROR($N421/$I421,"")))))</ns0:f>
        <ns0:v/>
      </ns0:c>
      <ns0:c r="P421" s="987">
        <ns0:f>IF(COUNTA($A421:$M421)=0,"",IF(OR(LEFT(LOWER(TRIM($F421&amp;"")),12)="subscription",LOWER(TRIM($F421&amp;""))="membership"),"",IF(LOWER(TRIM($D421&amp;""))="estimate","N/A",IF(LOWER($L421&amp;"")="yes",0,IF(OR(AND($H421&lt;&gt;"",$H421=0),LEFT(LOWER(TRIM($F421&amp;"")),9)="free game",LOWER(TRIM($F421&amp;""))="free",LOWER(TRIM($F421&amp;""))="free entry"),IF(ISNUMBER($K421),$K421,""),IF($K421&lt;&gt;"",$K421,""))))))</ns0:f>
      </ns0:c>
      <ns0:c r="Q421" s="114">
        <ns0:f>IF(COUNTA($A421:$M421)=0,"",IF(OR($U421="Subscription",$U421=""),"",IF($U421="Estimate","N/A",IF($U421="Profit",ROUND(IFERROR($P421,0)-IFERROR($H421,0),2),0))))</ns0:f>
      </ns0:c>
      <ns0:c r="R421" s="114">
        <ns0:f>IF(COUNTA($A421:$M421)=0,"",IF(OR($U421="Subscription",$U421=""),"",IF($U421="Estimate","N/A",IF($U421="Draw",$H421,0))))</ns0:f>
      </ns0:c>
      <ns0:c r="S421" s="114">
        <ns0:f>IF(COUNTA($A421:$M421)=0,"",IF(OR($U421="Subscription",$U421=""),"",IF($U421="Estimate","N/A",IF($U421="Disqualified",$H421,0))))</ns0:f>
      </ns0:c>
      <ns0:c r="T421" s="955">
        <ns0:f>IF(COUNTA($A421:$M421)=0,"",IF(OR($U421="Subscription",$U421=""),"",IF($U421="Estimate","N/A",IF(OR($U421="Free Game",$U421="Disqualified — Free Game",$H421=0),"N/A",IF($U421="Profit",$Q421/$H421,IF($U421="Disqualified",-$S421/$H421,0))))))</ns0:f>
      </ns0:c>
      <ns0:c r="U421" s="920">
        <ns0:f>IF(COUNTA($A421:$M421)=0,"",IF(OR(LEFT(LOWER(TRIM($F421&amp;"")),12)="subscription",LOWER(TRIM($F421&amp;""))="membership"),"Subscription",IF(LOWER(TRIM($D421&amp;""))="estimate","Estimate",IF(OR(AND($H421&lt;&gt;"",$H421=0),LEFT(LOWER(TRIM($F421&amp;"")),9)="free game",LOWER(TRIM($F421&amp;""))="free",LOWER(TRIM($F421&amp;""))="free entry"),IF(LOWER($L421&amp;"")="yes","Disqualified — Free Game","Free Game"),IF(LOWER($L421&amp;"")="yes","Disqualified",IF($P421="","",IF(ROUND(IFERROR(VALUE($P421),0)-IFERROR(VALUE($H421),0),2)&gt;0,"Profit","Draw")))))))</ns0:f>
      </ns0:c>
      <ns0:c r="V421" s="956" t="str">
        <ns0:f>IF(COUNTA($A421:$M421)=0,"",IF(OR($B421="",$C421="",$U421="Subscription"),"",IFERROR(ROUNDUP(($C421-$B421)/7,0),"")))</ns0:f>
      </ns0:c>
      <ns0:c r="W421" s="114">
        <ns0:f>IF(COUNTA($A421:$M421)=0,"",IF(OR($U421="Subscription",$U421=""),"",IF($U421="Estimate","N/A",IF(OR($U421="Free Game",$U421="Disqualified — Free Game"),0,ROUND(IFERROR($Q421,0)-IFERROR($S421,0),2)))))</ns0:f>
      </ns0:c>
      <ns0:c r="X421" s="956" t="str">
        <ns0:f>IF(COUNTA($A421:$M421)=0,"",IF(OR($U421="Subscription",NOT(ISNUMBER($J421)),NOT(ISNUMBER($I421)),$J421=0,$I421=0,$I421&gt;$J421),"",$J421-$I421))</ns0:f>
      </ns0:c>
      <ns0:c r="Y421" s="955" t="str">
        <ns0:f>IF(COUNTA($A421:$M421)=0,"",IF(OR($U421="Subscription",NOT(ISNUMBER($J421)),$J421=0,$X421=""),"",$X421/$J421))</ns0:f>
      </ns0:c>
      <ns0:c r="Z421" s="957" t="str">
        <ns0:f>IF(COUNTA($A421:$M421)=0,"",Instructions!$B$29+SUM($W$5:W421))</ns0:f>
      </ns0:c>
    </ns0:row>
    <ns0:row r="422" ht="36" customHeight="1">
      <ns0:c r="A422" s="439"/>
      <ns0:c r="B422" s="453"/>
      <ns0:c r="C422" s="453"/>
      <ns0:c r="D422" s="454"/>
      <ns0:c r="E422" s="454"/>
      <ns0:c r="F422" s="454"/>
      <ns0:c r="G422" s="986"/>
      <ns0:c r="H422" s="455"/>
      <ns0:c r="I422" s="456"/>
      <ns0:c r="J422" s="456"/>
      <ns0:c r="K422" s="986"/>
      <ns0:c r="L422" s="454"/>
      <ns0:c r="M422" s="439"/>
      <ns0:c r="N422" s="987" t="str">
        <ns0:f>IF(COUNTA($A422:$M422)=0,"",IF(OR(LEFT(LOWER(TRIM($F422&amp;"")),12)="subscription",LOWER(TRIM($F422&amp;""))="membership"),"",IF(OR(AND($H422&lt;&gt;"",$H422=0),LEFT(LOWER(TRIM($F422&amp;"")),9)="free game",LOWER(TRIM($F422&amp;""))="free",LOWER(TRIM($F422&amp;""))="free entry"),IF(ISNUMBER($G422),IF(ISNUMBER(SEARCH("non",LOWER($E422&amp;""))),$G422*0.85,$G422),"N/A"),IF($G422="","",IFERROR(IF(ISNUMBER(SEARCH("non",LOWER($E422&amp;""))),$G422*0.85,$G422),"")))))</ns0:f>
        <ns0:v/>
      </ns0:c>
      <ns0:c r="O422" s="987" t="str">
        <ns0:f>IF(COUNTA($A422:$M422)=0,"",IF(OR(LEFT(LOWER(TRIM($F422&amp;"")),12)="subscription",LOWER(TRIM($F422&amp;""))="membership"),"",IF(OR(AND($H422&lt;&gt;"",$H422=0),LEFT(LOWER(TRIM($F422&amp;"")),9)="free game",LOWER(TRIM($F422&amp;""))="free",LOWER(TRIM($F422&amp;""))="free entry"),IF(OR(NOT(ISNUMBER($N422)),NOT(ISNUMBER($I422)),$I422=0),"N/A",IFERROR($N422/$I422,"N/A")),IF(OR($N422="",$I422="",$I422=0),"",IFERROR($N422/$I422,"")))))</ns0:f>
        <ns0:v/>
      </ns0:c>
      <ns0:c r="P422" s="987">
        <ns0:f>IF(COUNTA($A422:$M422)=0,"",IF(OR(LEFT(LOWER(TRIM($F422&amp;"")),12)="subscription",LOWER(TRIM($F422&amp;""))="membership"),"",IF(LOWER(TRIM($D422&amp;""))="estimate","N/A",IF(LOWER($L422&amp;"")="yes",0,IF(OR(AND($H422&lt;&gt;"",$H422=0),LEFT(LOWER(TRIM($F422&amp;"")),9)="free game",LOWER(TRIM($F422&amp;""))="free",LOWER(TRIM($F422&amp;""))="free entry"),IF(ISNUMBER($K422),$K422,""),IF($K422&lt;&gt;"",$K422,""))))))</ns0:f>
      </ns0:c>
      <ns0:c r="Q422" s="114">
        <ns0:f>IF(COUNTA($A422:$M422)=0,"",IF(OR($U422="Subscription",$U422=""),"",IF($U422="Estimate","N/A",IF($U422="Profit",ROUND(IFERROR($P422,0)-IFERROR($H422,0),2),0))))</ns0:f>
      </ns0:c>
      <ns0:c r="R422" s="114">
        <ns0:f>IF(COUNTA($A422:$M422)=0,"",IF(OR($U422="Subscription",$U422=""),"",IF($U422="Estimate","N/A",IF($U422="Draw",$H422,0))))</ns0:f>
      </ns0:c>
      <ns0:c r="S422" s="114">
        <ns0:f>IF(COUNTA($A422:$M422)=0,"",IF(OR($U422="Subscription",$U422=""),"",IF($U422="Estimate","N/A",IF($U422="Disqualified",$H422,0))))</ns0:f>
      </ns0:c>
      <ns0:c r="T422" s="955">
        <ns0:f>IF(COUNTA($A422:$M422)=0,"",IF(OR($U422="Subscription",$U422=""),"",IF($U422="Estimate","N/A",IF(OR($U422="Free Game",$U422="Disqualified — Free Game",$H422=0),"N/A",IF($U422="Profit",$Q422/$H422,IF($U422="Disqualified",-$S422/$H422,0))))))</ns0:f>
      </ns0:c>
      <ns0:c r="U422" s="920">
        <ns0:f>IF(COUNTA($A422:$M422)=0,"",IF(OR(LEFT(LOWER(TRIM($F422&amp;"")),12)="subscription",LOWER(TRIM($F422&amp;""))="membership"),"Subscription",IF(LOWER(TRIM($D422&amp;""))="estimate","Estimate",IF(OR(AND($H422&lt;&gt;"",$H422=0),LEFT(LOWER(TRIM($F422&amp;"")),9)="free game",LOWER(TRIM($F422&amp;""))="free",LOWER(TRIM($F422&amp;""))="free entry"),IF(LOWER($L422&amp;"")="yes","Disqualified — Free Game","Free Game"),IF(LOWER($L422&amp;"")="yes","Disqualified",IF($P422="","",IF(ROUND(IFERROR(VALUE($P422),0)-IFERROR(VALUE($H422),0),2)&gt;0,"Profit","Draw")))))))</ns0:f>
      </ns0:c>
      <ns0:c r="V422" s="956" t="str">
        <ns0:f>IF(COUNTA($A422:$M422)=0,"",IF(OR($B422="",$C422="",$U422="Subscription"),"",IFERROR(ROUNDUP(($C422-$B422)/7,0),"")))</ns0:f>
      </ns0:c>
      <ns0:c r="W422" s="114">
        <ns0:f>IF(COUNTA($A422:$M422)=0,"",IF(OR($U422="Subscription",$U422=""),"",IF($U422="Estimate","N/A",IF(OR($U422="Free Game",$U422="Disqualified — Free Game"),0,ROUND(IFERROR($Q422,0)-IFERROR($S422,0),2)))))</ns0:f>
      </ns0:c>
      <ns0:c r="X422" s="956" t="str">
        <ns0:f>IF(COUNTA($A422:$M422)=0,"",IF(OR($U422="Subscription",NOT(ISNUMBER($J422)),NOT(ISNUMBER($I422)),$J422=0,$I422=0,$I422&gt;$J422),"",$J422-$I422))</ns0:f>
      </ns0:c>
      <ns0:c r="Y422" s="955" t="str">
        <ns0:f>IF(COUNTA($A422:$M422)=0,"",IF(OR($U422="Subscription",NOT(ISNUMBER($J422)),$J422=0,$X422=""),"",$X422/$J422))</ns0:f>
      </ns0:c>
      <ns0:c r="Z422" s="957" t="str">
        <ns0:f>IF(COUNTA($A422:$M422)=0,"",Instructions!$B$29+SUM($W$5:W422))</ns0:f>
      </ns0:c>
    </ns0:row>
    <ns0:row r="423" ht="36" customHeight="1">
      <ns0:c r="A423" s="439"/>
      <ns0:c r="B423" s="453"/>
      <ns0:c r="C423" s="453"/>
      <ns0:c r="D423" s="454"/>
      <ns0:c r="E423" s="454"/>
      <ns0:c r="F423" s="454"/>
      <ns0:c r="G423" s="986"/>
      <ns0:c r="H423" s="455"/>
      <ns0:c r="I423" s="456"/>
      <ns0:c r="J423" s="456"/>
      <ns0:c r="K423" s="986"/>
      <ns0:c r="L423" s="454"/>
      <ns0:c r="M423" s="439"/>
      <ns0:c r="N423" s="987" t="str">
        <ns0:f>IF(COUNTA($A423:$M423)=0,"",IF(OR(LEFT(LOWER(TRIM($F423&amp;"")),12)="subscription",LOWER(TRIM($F423&amp;""))="membership"),"",IF(OR(AND($H423&lt;&gt;"",$H423=0),LEFT(LOWER(TRIM($F423&amp;"")),9)="free game",LOWER(TRIM($F423&amp;""))="free",LOWER(TRIM($F423&amp;""))="free entry"),IF(ISNUMBER($G423),IF(ISNUMBER(SEARCH("non",LOWER($E423&amp;""))),$G423*0.85,$G423),"N/A"),IF($G423="","",IFERROR(IF(ISNUMBER(SEARCH("non",LOWER($E423&amp;""))),$G423*0.85,$G423),"")))))</ns0:f>
        <ns0:v/>
      </ns0:c>
      <ns0:c r="O423" s="987" t="str">
        <ns0:f>IF(COUNTA($A423:$M423)=0,"",IF(OR(LEFT(LOWER(TRIM($F423&amp;"")),12)="subscription",LOWER(TRIM($F423&amp;""))="membership"),"",IF(OR(AND($H423&lt;&gt;"",$H423=0),LEFT(LOWER(TRIM($F423&amp;"")),9)="free game",LOWER(TRIM($F423&amp;""))="free",LOWER(TRIM($F423&amp;""))="free entry"),IF(OR(NOT(ISNUMBER($N423)),NOT(ISNUMBER($I423)),$I423=0),"N/A",IFERROR($N423/$I423,"N/A")),IF(OR($N423="",$I423="",$I423=0),"",IFERROR($N423/$I423,"")))))</ns0:f>
        <ns0:v/>
      </ns0:c>
      <ns0:c r="P423" s="987">
        <ns0:f>IF(COUNTA($A423:$M423)=0,"",IF(OR(LEFT(LOWER(TRIM($F423&amp;"")),12)="subscription",LOWER(TRIM($F423&amp;""))="membership"),"",IF(LOWER(TRIM($D423&amp;""))="estimate","N/A",IF(LOWER($L423&amp;"")="yes",0,IF(OR(AND($H423&lt;&gt;"",$H423=0),LEFT(LOWER(TRIM($F423&amp;"")),9)="free game",LOWER(TRIM($F423&amp;""))="free",LOWER(TRIM($F423&amp;""))="free entry"),IF(ISNUMBER($K423),$K423,""),IF($K423&lt;&gt;"",$K423,""))))))</ns0:f>
      </ns0:c>
      <ns0:c r="Q423" s="114">
        <ns0:f>IF(COUNTA($A423:$M423)=0,"",IF(OR($U423="Subscription",$U423=""),"",IF($U423="Estimate","N/A",IF($U423="Profit",ROUND(IFERROR($P423,0)-IFERROR($H423,0),2),0))))</ns0:f>
      </ns0:c>
      <ns0:c r="R423" s="114">
        <ns0:f>IF(COUNTA($A423:$M423)=0,"",IF(OR($U423="Subscription",$U423=""),"",IF($U423="Estimate","N/A",IF($U423="Draw",$H423,0))))</ns0:f>
      </ns0:c>
      <ns0:c r="S423" s="114">
        <ns0:f>IF(COUNTA($A423:$M423)=0,"",IF(OR($U423="Subscription",$U423=""),"",IF($U423="Estimate","N/A",IF($U423="Disqualified",$H423,0))))</ns0:f>
      </ns0:c>
      <ns0:c r="T423" s="955">
        <ns0:f>IF(COUNTA($A423:$M423)=0,"",IF(OR($U423="Subscription",$U423=""),"",IF($U423="Estimate","N/A",IF(OR($U423="Free Game",$U423="Disqualified — Free Game",$H423=0),"N/A",IF($U423="Profit",$Q423/$H423,IF($U423="Disqualified",-$S423/$H423,0))))))</ns0:f>
      </ns0:c>
      <ns0:c r="U423" s="920">
        <ns0:f>IF(COUNTA($A423:$M423)=0,"",IF(OR(LEFT(LOWER(TRIM($F423&amp;"")),12)="subscription",LOWER(TRIM($F423&amp;""))="membership"),"Subscription",IF(LOWER(TRIM($D423&amp;""))="estimate","Estimate",IF(OR(AND($H423&lt;&gt;"",$H423=0),LEFT(LOWER(TRIM($F423&amp;"")),9)="free game",LOWER(TRIM($F423&amp;""))="free",LOWER(TRIM($F423&amp;""))="free entry"),IF(LOWER($L423&amp;"")="yes","Disqualified — Free Game","Free Game"),IF(LOWER($L423&amp;"")="yes","Disqualified",IF($P423="","",IF(ROUND(IFERROR(VALUE($P423),0)-IFERROR(VALUE($H423),0),2)&gt;0,"Profit","Draw")))))))</ns0:f>
      </ns0:c>
      <ns0:c r="V423" s="956" t="str">
        <ns0:f>IF(COUNTA($A423:$M423)=0,"",IF(OR($B423="",$C423="",$U423="Subscription"),"",IFERROR(ROUNDUP(($C423-$B423)/7,0),"")))</ns0:f>
      </ns0:c>
      <ns0:c r="W423" s="114">
        <ns0:f>IF(COUNTA($A423:$M423)=0,"",IF(OR($U423="Subscription",$U423=""),"",IF($U423="Estimate","N/A",IF(OR($U423="Free Game",$U423="Disqualified — Free Game"),0,ROUND(IFERROR($Q423,0)-IFERROR($S423,0),2)))))</ns0:f>
      </ns0:c>
      <ns0:c r="X423" s="956" t="str">
        <ns0:f>IF(COUNTA($A423:$M423)=0,"",IF(OR($U423="Subscription",NOT(ISNUMBER($J423)),NOT(ISNUMBER($I423)),$J423=0,$I423=0,$I423&gt;$J423),"",$J423-$I423))</ns0:f>
      </ns0:c>
      <ns0:c r="Y423" s="955" t="str">
        <ns0:f>IF(COUNTA($A423:$M423)=0,"",IF(OR($U423="Subscription",NOT(ISNUMBER($J423)),$J423=0,$X423=""),"",$X423/$J423))</ns0:f>
      </ns0:c>
      <ns0:c r="Z423" s="957" t="str">
        <ns0:f>IF(COUNTA($A423:$M423)=0,"",Instructions!$B$29+SUM($W$5:W423))</ns0:f>
      </ns0:c>
    </ns0:row>
    <ns0:row r="424" ht="36" customHeight="1">
      <ns0:c r="A424" s="439"/>
      <ns0:c r="B424" s="453"/>
      <ns0:c r="C424" s="453"/>
      <ns0:c r="D424" s="454"/>
      <ns0:c r="E424" s="454"/>
      <ns0:c r="F424" s="454"/>
      <ns0:c r="G424" s="986"/>
      <ns0:c r="H424" s="455"/>
      <ns0:c r="I424" s="456"/>
      <ns0:c r="J424" s="456"/>
      <ns0:c r="K424" s="986"/>
      <ns0:c r="L424" s="454"/>
      <ns0:c r="M424" s="439"/>
      <ns0:c r="N424" s="987" t="str">
        <ns0:f>IF(COUNTA($A424:$M424)=0,"",IF(OR(LEFT(LOWER(TRIM($F424&amp;"")),12)="subscription",LOWER(TRIM($F424&amp;""))="membership"),"",IF(OR(AND($H424&lt;&gt;"",$H424=0),LEFT(LOWER(TRIM($F424&amp;"")),9)="free game",LOWER(TRIM($F424&amp;""))="free",LOWER(TRIM($F424&amp;""))="free entry"),IF(ISNUMBER($G424),IF(ISNUMBER(SEARCH("non",LOWER($E424&amp;""))),$G424*0.85,$G424),"N/A"),IF($G424="","",IFERROR(IF(ISNUMBER(SEARCH("non",LOWER($E424&amp;""))),$G424*0.85,$G424),"")))))</ns0:f>
        <ns0:v/>
      </ns0:c>
      <ns0:c r="O424" s="987" t="str">
        <ns0:f>IF(COUNTA($A424:$M424)=0,"",IF(OR(LEFT(LOWER(TRIM($F424&amp;"")),12)="subscription",LOWER(TRIM($F424&amp;""))="membership"),"",IF(OR(AND($H424&lt;&gt;"",$H424=0),LEFT(LOWER(TRIM($F424&amp;"")),9)="free game",LOWER(TRIM($F424&amp;""))="free",LOWER(TRIM($F424&amp;""))="free entry"),IF(OR(NOT(ISNUMBER($N424)),NOT(ISNUMBER($I424)),$I424=0),"N/A",IFERROR($N424/$I424,"N/A")),IF(OR($N424="",$I424="",$I424=0),"",IFERROR($N424/$I424,"")))))</ns0:f>
        <ns0:v/>
      </ns0:c>
      <ns0:c r="P424" s="987">
        <ns0:f>IF(COUNTA($A424:$M424)=0,"",IF(OR(LEFT(LOWER(TRIM($F424&amp;"")),12)="subscription",LOWER(TRIM($F424&amp;""))="membership"),"",IF(LOWER(TRIM($D424&amp;""))="estimate","N/A",IF(LOWER($L424&amp;"")="yes",0,IF(OR(AND($H424&lt;&gt;"",$H424=0),LEFT(LOWER(TRIM($F424&amp;"")),9)="free game",LOWER(TRIM($F424&amp;""))="free",LOWER(TRIM($F424&amp;""))="free entry"),IF(ISNUMBER($K424),$K424,""),IF($K424&lt;&gt;"",$K424,""))))))</ns0:f>
      </ns0:c>
      <ns0:c r="Q424" s="114">
        <ns0:f>IF(COUNTA($A424:$M424)=0,"",IF(OR($U424="Subscription",$U424=""),"",IF($U424="Estimate","N/A",IF($U424="Profit",ROUND(IFERROR($P424,0)-IFERROR($H424,0),2),0))))</ns0:f>
      </ns0:c>
      <ns0:c r="R424" s="114">
        <ns0:f>IF(COUNTA($A424:$M424)=0,"",IF(OR($U424="Subscription",$U424=""),"",IF($U424="Estimate","N/A",IF($U424="Draw",$H424,0))))</ns0:f>
      </ns0:c>
      <ns0:c r="S424" s="114">
        <ns0:f>IF(COUNTA($A424:$M424)=0,"",IF(OR($U424="Subscription",$U424=""),"",IF($U424="Estimate","N/A",IF($U424="Disqualified",$H424,0))))</ns0:f>
      </ns0:c>
      <ns0:c r="T424" s="955">
        <ns0:f>IF(COUNTA($A424:$M424)=0,"",IF(OR($U424="Subscription",$U424=""),"",IF($U424="Estimate","N/A",IF(OR($U424="Free Game",$U424="Disqualified — Free Game",$H424=0),"N/A",IF($U424="Profit",$Q424/$H424,IF($U424="Disqualified",-$S424/$H424,0))))))</ns0:f>
      </ns0:c>
      <ns0:c r="U424" s="920">
        <ns0:f>IF(COUNTA($A424:$M424)=0,"",IF(OR(LEFT(LOWER(TRIM($F424&amp;"")),12)="subscription",LOWER(TRIM($F424&amp;""))="membership"),"Subscription",IF(LOWER(TRIM($D424&amp;""))="estimate","Estimate",IF(OR(AND($H424&lt;&gt;"",$H424=0),LEFT(LOWER(TRIM($F424&amp;"")),9)="free game",LOWER(TRIM($F424&amp;""))="free",LOWER(TRIM($F424&amp;""))="free entry"),IF(LOWER($L424&amp;"")="yes","Disqualified — Free Game","Free Game"),IF(LOWER($L424&amp;"")="yes","Disqualified",IF($P424="","",IF(ROUND(IFERROR(VALUE($P424),0)-IFERROR(VALUE($H424),0),2)&gt;0,"Profit","Draw")))))))</ns0:f>
      </ns0:c>
      <ns0:c r="V424" s="956" t="str">
        <ns0:f>IF(COUNTA($A424:$M424)=0,"",IF(OR($B424="",$C424="",$U424="Subscription"),"",IFERROR(ROUNDUP(($C424-$B424)/7,0),"")))</ns0:f>
      </ns0:c>
      <ns0:c r="W424" s="114">
        <ns0:f>IF(COUNTA($A424:$M424)=0,"",IF(OR($U424="Subscription",$U424=""),"",IF($U424="Estimate","N/A",IF(OR($U424="Free Game",$U424="Disqualified — Free Game"),0,ROUND(IFERROR($Q424,0)-IFERROR($S424,0),2)))))</ns0:f>
      </ns0:c>
      <ns0:c r="X424" s="956" t="str">
        <ns0:f>IF(COUNTA($A424:$M424)=0,"",IF(OR($U424="Subscription",NOT(ISNUMBER($J424)),NOT(ISNUMBER($I424)),$J424=0,$I424=0,$I424&gt;$J424),"",$J424-$I424))</ns0:f>
      </ns0:c>
      <ns0:c r="Y424" s="955" t="str">
        <ns0:f>IF(COUNTA($A424:$M424)=0,"",IF(OR($U424="Subscription",NOT(ISNUMBER($J424)),$J424=0,$X424=""),"",$X424/$J424))</ns0:f>
      </ns0:c>
      <ns0:c r="Z424" s="957" t="str">
        <ns0:f>IF(COUNTA($A424:$M424)=0,"",Instructions!$B$29+SUM($W$5:W424))</ns0:f>
      </ns0:c>
    </ns0:row>
    <ns0:row r="425" ht="36" customHeight="1">
      <ns0:c r="A425" s="439"/>
      <ns0:c r="B425" s="453"/>
      <ns0:c r="C425" s="453"/>
      <ns0:c r="D425" s="454"/>
      <ns0:c r="E425" s="454"/>
      <ns0:c r="F425" s="454"/>
      <ns0:c r="G425" s="986"/>
      <ns0:c r="H425" s="455"/>
      <ns0:c r="I425" s="456"/>
      <ns0:c r="J425" s="456"/>
      <ns0:c r="K425" s="986"/>
      <ns0:c r="L425" s="454"/>
      <ns0:c r="M425" s="439"/>
      <ns0:c r="N425" s="987" t="str">
        <ns0:f>IF(COUNTA($A425:$M425)=0,"",IF(OR(LEFT(LOWER(TRIM($F425&amp;"")),12)="subscription",LOWER(TRIM($F425&amp;""))="membership"),"",IF(OR(AND($H425&lt;&gt;"",$H425=0),LEFT(LOWER(TRIM($F425&amp;"")),9)="free game",LOWER(TRIM($F425&amp;""))="free",LOWER(TRIM($F425&amp;""))="free entry"),IF(ISNUMBER($G425),IF(ISNUMBER(SEARCH("non",LOWER($E425&amp;""))),$G425*0.85,$G425),"N/A"),IF($G425="","",IFERROR(IF(ISNUMBER(SEARCH("non",LOWER($E425&amp;""))),$G425*0.85,$G425),"")))))</ns0:f>
        <ns0:v/>
      </ns0:c>
      <ns0:c r="O425" s="987" t="str">
        <ns0:f>IF(COUNTA($A425:$M425)=0,"",IF(OR(LEFT(LOWER(TRIM($F425&amp;"")),12)="subscription",LOWER(TRIM($F425&amp;""))="membership"),"",IF(OR(AND($H425&lt;&gt;"",$H425=0),LEFT(LOWER(TRIM($F425&amp;"")),9)="free game",LOWER(TRIM($F425&amp;""))="free",LOWER(TRIM($F425&amp;""))="free entry"),IF(OR(NOT(ISNUMBER($N425)),NOT(ISNUMBER($I425)),$I425=0),"N/A",IFERROR($N425/$I425,"N/A")),IF(OR($N425="",$I425="",$I425=0),"",IFERROR($N425/$I425,"")))))</ns0:f>
        <ns0:v/>
      </ns0:c>
      <ns0:c r="P425" s="987">
        <ns0:f>IF(COUNTA($A425:$M425)=0,"",IF(OR(LEFT(LOWER(TRIM($F425&amp;"")),12)="subscription",LOWER(TRIM($F425&amp;""))="membership"),"",IF(LOWER(TRIM($D425&amp;""))="estimate","N/A",IF(LOWER($L425&amp;"")="yes",0,IF(OR(AND($H425&lt;&gt;"",$H425=0),LEFT(LOWER(TRIM($F425&amp;"")),9)="free game",LOWER(TRIM($F425&amp;""))="free",LOWER(TRIM($F425&amp;""))="free entry"),IF(ISNUMBER($K425),$K425,""),IF($K425&lt;&gt;"",$K425,""))))))</ns0:f>
      </ns0:c>
      <ns0:c r="Q425" s="114">
        <ns0:f>IF(COUNTA($A425:$M425)=0,"",IF(OR($U425="Subscription",$U425=""),"",IF($U425="Estimate","N/A",IF($U425="Profit",ROUND(IFERROR($P425,0)-IFERROR($H425,0),2),0))))</ns0:f>
      </ns0:c>
      <ns0:c r="R425" s="114">
        <ns0:f>IF(COUNTA($A425:$M425)=0,"",IF(OR($U425="Subscription",$U425=""),"",IF($U425="Estimate","N/A",IF($U425="Draw",$H425,0))))</ns0:f>
      </ns0:c>
      <ns0:c r="S425" s="114">
        <ns0:f>IF(COUNTA($A425:$M425)=0,"",IF(OR($U425="Subscription",$U425=""),"",IF($U425="Estimate","N/A",IF($U425="Disqualified",$H425,0))))</ns0:f>
      </ns0:c>
      <ns0:c r="T425" s="955">
        <ns0:f>IF(COUNTA($A425:$M425)=0,"",IF(OR($U425="Subscription",$U425=""),"",IF($U425="Estimate","N/A",IF(OR($U425="Free Game",$U425="Disqualified — Free Game",$H425=0),"N/A",IF($U425="Profit",$Q425/$H425,IF($U425="Disqualified",-$S425/$H425,0))))))</ns0:f>
      </ns0:c>
      <ns0:c r="U425" s="920">
        <ns0:f>IF(COUNTA($A425:$M425)=0,"",IF(OR(LEFT(LOWER(TRIM($F425&amp;"")),12)="subscription",LOWER(TRIM($F425&amp;""))="membership"),"Subscription",IF(LOWER(TRIM($D425&amp;""))="estimate","Estimate",IF(OR(AND($H425&lt;&gt;"",$H425=0),LEFT(LOWER(TRIM($F425&amp;"")),9)="free game",LOWER(TRIM($F425&amp;""))="free",LOWER(TRIM($F425&amp;""))="free entry"),IF(LOWER($L425&amp;"")="yes","Disqualified — Free Game","Free Game"),IF(LOWER($L425&amp;"")="yes","Disqualified",IF($P425="","",IF(ROUND(IFERROR(VALUE($P425),0)-IFERROR(VALUE($H425),0),2)&gt;0,"Profit","Draw")))))))</ns0:f>
      </ns0:c>
      <ns0:c r="V425" s="956" t="str">
        <ns0:f>IF(COUNTA($A425:$M425)=0,"",IF(OR($B425="",$C425="",$U425="Subscription"),"",IFERROR(ROUNDUP(($C425-$B425)/7,0),"")))</ns0:f>
      </ns0:c>
      <ns0:c r="W425" s="114">
        <ns0:f>IF(COUNTA($A425:$M425)=0,"",IF(OR($U425="Subscription",$U425=""),"",IF($U425="Estimate","N/A",IF(OR($U425="Free Game",$U425="Disqualified — Free Game"),0,ROUND(IFERROR($Q425,0)-IFERROR($S425,0),2)))))</ns0:f>
      </ns0:c>
      <ns0:c r="X425" s="956" t="str">
        <ns0:f>IF(COUNTA($A425:$M425)=0,"",IF(OR($U425="Subscription",NOT(ISNUMBER($J425)),NOT(ISNUMBER($I425)),$J425=0,$I425=0,$I425&gt;$J425),"",$J425-$I425))</ns0:f>
      </ns0:c>
      <ns0:c r="Y425" s="955" t="str">
        <ns0:f>IF(COUNTA($A425:$M425)=0,"",IF(OR($U425="Subscription",NOT(ISNUMBER($J425)),$J425=0,$X425=""),"",$X425/$J425))</ns0:f>
      </ns0:c>
      <ns0:c r="Z425" s="957" t="str">
        <ns0:f>IF(COUNTA($A425:$M425)=0,"",Instructions!$B$29+SUM($W$5:W425))</ns0:f>
      </ns0:c>
    </ns0:row>
    <ns0:row r="426" ht="36" customHeight="1">
      <ns0:c r="A426" s="439"/>
      <ns0:c r="B426" s="453"/>
      <ns0:c r="C426" s="453"/>
      <ns0:c r="D426" s="454"/>
      <ns0:c r="E426" s="454"/>
      <ns0:c r="F426" s="454"/>
      <ns0:c r="G426" s="986"/>
      <ns0:c r="H426" s="455"/>
      <ns0:c r="I426" s="456"/>
      <ns0:c r="J426" s="456"/>
      <ns0:c r="K426" s="986"/>
      <ns0:c r="L426" s="454"/>
      <ns0:c r="M426" s="439"/>
      <ns0:c r="N426" s="987" t="str">
        <ns0:f>IF(COUNTA($A426:$M426)=0,"",IF(OR(LEFT(LOWER(TRIM($F426&amp;"")),12)="subscription",LOWER(TRIM($F426&amp;""))="membership"),"",IF(OR(AND($H426&lt;&gt;"",$H426=0),LEFT(LOWER(TRIM($F426&amp;"")),9)="free game",LOWER(TRIM($F426&amp;""))="free",LOWER(TRIM($F426&amp;""))="free entry"),IF(ISNUMBER($G426),IF(ISNUMBER(SEARCH("non",LOWER($E426&amp;""))),$G426*0.85,$G426),"N/A"),IF($G426="","",IFERROR(IF(ISNUMBER(SEARCH("non",LOWER($E426&amp;""))),$G426*0.85,$G426),"")))))</ns0:f>
        <ns0:v/>
      </ns0:c>
      <ns0:c r="O426" s="987" t="str">
        <ns0:f>IF(COUNTA($A426:$M426)=0,"",IF(OR(LEFT(LOWER(TRIM($F426&amp;"")),12)="subscription",LOWER(TRIM($F426&amp;""))="membership"),"",IF(OR(AND($H426&lt;&gt;"",$H426=0),LEFT(LOWER(TRIM($F426&amp;"")),9)="free game",LOWER(TRIM($F426&amp;""))="free",LOWER(TRIM($F426&amp;""))="free entry"),IF(OR(NOT(ISNUMBER($N426)),NOT(ISNUMBER($I426)),$I426=0),"N/A",IFERROR($N426/$I426,"N/A")),IF(OR($N426="",$I426="",$I426=0),"",IFERROR($N426/$I426,"")))))</ns0:f>
        <ns0:v/>
      </ns0:c>
      <ns0:c r="P426" s="987">
        <ns0:f>IF(COUNTA($A426:$M426)=0,"",IF(OR(LEFT(LOWER(TRIM($F426&amp;"")),12)="subscription",LOWER(TRIM($F426&amp;""))="membership"),"",IF(LOWER(TRIM($D426&amp;""))="estimate","N/A",IF(LOWER($L426&amp;"")="yes",0,IF(OR(AND($H426&lt;&gt;"",$H426=0),LEFT(LOWER(TRIM($F426&amp;"")),9)="free game",LOWER(TRIM($F426&amp;""))="free",LOWER(TRIM($F426&amp;""))="free entry"),IF(ISNUMBER($K426),$K426,""),IF($K426&lt;&gt;"",$K426,""))))))</ns0:f>
      </ns0:c>
      <ns0:c r="Q426" s="114">
        <ns0:f>IF(COUNTA($A426:$M426)=0,"",IF(OR($U426="Subscription",$U426=""),"",IF($U426="Estimate","N/A",IF($U426="Profit",ROUND(IFERROR($P426,0)-IFERROR($H426,0),2),0))))</ns0:f>
      </ns0:c>
      <ns0:c r="R426" s="114">
        <ns0:f>IF(COUNTA($A426:$M426)=0,"",IF(OR($U426="Subscription",$U426=""),"",IF($U426="Estimate","N/A",IF($U426="Draw",$H426,0))))</ns0:f>
      </ns0:c>
      <ns0:c r="S426" s="114">
        <ns0:f>IF(COUNTA($A426:$M426)=0,"",IF(OR($U426="Subscription",$U426=""),"",IF($U426="Estimate","N/A",IF($U426="Disqualified",$H426,0))))</ns0:f>
      </ns0:c>
      <ns0:c r="T426" s="955">
        <ns0:f>IF(COUNTA($A426:$M426)=0,"",IF(OR($U426="Subscription",$U426=""),"",IF($U426="Estimate","N/A",IF(OR($U426="Free Game",$U426="Disqualified — Free Game",$H426=0),"N/A",IF($U426="Profit",$Q426/$H426,IF($U426="Disqualified",-$S426/$H426,0))))))</ns0:f>
      </ns0:c>
      <ns0:c r="U426" s="920">
        <ns0:f>IF(COUNTA($A426:$M426)=0,"",IF(OR(LEFT(LOWER(TRIM($F426&amp;"")),12)="subscription",LOWER(TRIM($F426&amp;""))="membership"),"Subscription",IF(LOWER(TRIM($D426&amp;""))="estimate","Estimate",IF(OR(AND($H426&lt;&gt;"",$H426=0),LEFT(LOWER(TRIM($F426&amp;"")),9)="free game",LOWER(TRIM($F426&amp;""))="free",LOWER(TRIM($F426&amp;""))="free entry"),IF(LOWER($L426&amp;"")="yes","Disqualified — Free Game","Free Game"),IF(LOWER($L426&amp;"")="yes","Disqualified",IF($P426="","",IF(ROUND(IFERROR(VALUE($P426),0)-IFERROR(VALUE($H426),0),2)&gt;0,"Profit","Draw")))))))</ns0:f>
      </ns0:c>
      <ns0:c r="V426" s="956" t="str">
        <ns0:f>IF(COUNTA($A426:$M426)=0,"",IF(OR($B426="",$C426="",$U426="Subscription"),"",IFERROR(ROUNDUP(($C426-$B426)/7,0),"")))</ns0:f>
      </ns0:c>
      <ns0:c r="W426" s="114">
        <ns0:f>IF(COUNTA($A426:$M426)=0,"",IF(OR($U426="Subscription",$U426=""),"",IF($U426="Estimate","N/A",IF(OR($U426="Free Game",$U426="Disqualified — Free Game"),0,ROUND(IFERROR($Q426,0)-IFERROR($S426,0),2)))))</ns0:f>
      </ns0:c>
      <ns0:c r="X426" s="956" t="str">
        <ns0:f>IF(COUNTA($A426:$M426)=0,"",IF(OR($U426="Subscription",NOT(ISNUMBER($J426)),NOT(ISNUMBER($I426)),$J426=0,$I426=0,$I426&gt;$J426),"",$J426-$I426))</ns0:f>
      </ns0:c>
      <ns0:c r="Y426" s="955" t="str">
        <ns0:f>IF(COUNTA($A426:$M426)=0,"",IF(OR($U426="Subscription",NOT(ISNUMBER($J426)),$J426=0,$X426=""),"",$X426/$J426))</ns0:f>
      </ns0:c>
      <ns0:c r="Z426" s="957" t="str">
        <ns0:f>IF(COUNTA($A426:$M426)=0,"",Instructions!$B$29+SUM($W$5:W426))</ns0:f>
      </ns0:c>
    </ns0:row>
    <ns0:row r="427" ht="36" customHeight="1">
      <ns0:c r="A427" s="439"/>
      <ns0:c r="B427" s="453"/>
      <ns0:c r="C427" s="453"/>
      <ns0:c r="D427" s="454"/>
      <ns0:c r="E427" s="454"/>
      <ns0:c r="F427" s="454"/>
      <ns0:c r="G427" s="986"/>
      <ns0:c r="H427" s="455"/>
      <ns0:c r="I427" s="456"/>
      <ns0:c r="J427" s="456"/>
      <ns0:c r="K427" s="986"/>
      <ns0:c r="L427" s="454"/>
      <ns0:c r="M427" s="439"/>
      <ns0:c r="N427" s="987" t="str">
        <ns0:f>IF(COUNTA($A427:$M427)=0,"",IF(OR(LEFT(LOWER(TRIM($F427&amp;"")),12)="subscription",LOWER(TRIM($F427&amp;""))="membership"),"",IF(OR(AND($H427&lt;&gt;"",$H427=0),LEFT(LOWER(TRIM($F427&amp;"")),9)="free game",LOWER(TRIM($F427&amp;""))="free",LOWER(TRIM($F427&amp;""))="free entry"),IF(ISNUMBER($G427),IF(ISNUMBER(SEARCH("non",LOWER($E427&amp;""))),$G427*0.85,$G427),"N/A"),IF($G427="","",IFERROR(IF(ISNUMBER(SEARCH("non",LOWER($E427&amp;""))),$G427*0.85,$G427),"")))))</ns0:f>
        <ns0:v/>
      </ns0:c>
      <ns0:c r="O427" s="987" t="str">
        <ns0:f>IF(COUNTA($A427:$M427)=0,"",IF(OR(LEFT(LOWER(TRIM($F427&amp;"")),12)="subscription",LOWER(TRIM($F427&amp;""))="membership"),"",IF(OR(AND($H427&lt;&gt;"",$H427=0),LEFT(LOWER(TRIM($F427&amp;"")),9)="free game",LOWER(TRIM($F427&amp;""))="free",LOWER(TRIM($F427&amp;""))="free entry"),IF(OR(NOT(ISNUMBER($N427)),NOT(ISNUMBER($I427)),$I427=0),"N/A",IFERROR($N427/$I427,"N/A")),IF(OR($N427="",$I427="",$I427=0),"",IFERROR($N427/$I427,"")))))</ns0:f>
        <ns0:v/>
      </ns0:c>
      <ns0:c r="P427" s="987">
        <ns0:f>IF(COUNTA($A427:$M427)=0,"",IF(OR(LEFT(LOWER(TRIM($F427&amp;"")),12)="subscription",LOWER(TRIM($F427&amp;""))="membership"),"",IF(LOWER(TRIM($D427&amp;""))="estimate","N/A",IF(LOWER($L427&amp;"")="yes",0,IF(OR(AND($H427&lt;&gt;"",$H427=0),LEFT(LOWER(TRIM($F427&amp;"")),9)="free game",LOWER(TRIM($F427&amp;""))="free",LOWER(TRIM($F427&amp;""))="free entry"),IF(ISNUMBER($K427),$K427,""),IF($K427&lt;&gt;"",$K427,""))))))</ns0:f>
      </ns0:c>
      <ns0:c r="Q427" s="114">
        <ns0:f>IF(COUNTA($A427:$M427)=0,"",IF(OR($U427="Subscription",$U427=""),"",IF($U427="Estimate","N/A",IF($U427="Profit",ROUND(IFERROR($P427,0)-IFERROR($H427,0),2),0))))</ns0:f>
      </ns0:c>
      <ns0:c r="R427" s="114">
        <ns0:f>IF(COUNTA($A427:$M427)=0,"",IF(OR($U427="Subscription",$U427=""),"",IF($U427="Estimate","N/A",IF($U427="Draw",$H427,0))))</ns0:f>
      </ns0:c>
      <ns0:c r="S427" s="114">
        <ns0:f>IF(COUNTA($A427:$M427)=0,"",IF(OR($U427="Subscription",$U427=""),"",IF($U427="Estimate","N/A",IF($U427="Disqualified",$H427,0))))</ns0:f>
      </ns0:c>
      <ns0:c r="T427" s="955">
        <ns0:f>IF(COUNTA($A427:$M427)=0,"",IF(OR($U427="Subscription",$U427=""),"",IF($U427="Estimate","N/A",IF(OR($U427="Free Game",$U427="Disqualified — Free Game",$H427=0),"N/A",IF($U427="Profit",$Q427/$H427,IF($U427="Disqualified",-$S427/$H427,0))))))</ns0:f>
      </ns0:c>
      <ns0:c r="U427" s="920">
        <ns0:f>IF(COUNTA($A427:$M427)=0,"",IF(OR(LEFT(LOWER(TRIM($F427&amp;"")),12)="subscription",LOWER(TRIM($F427&amp;""))="membership"),"Subscription",IF(LOWER(TRIM($D427&amp;""))="estimate","Estimate",IF(OR(AND($H427&lt;&gt;"",$H427=0),LEFT(LOWER(TRIM($F427&amp;"")),9)="free game",LOWER(TRIM($F427&amp;""))="free",LOWER(TRIM($F427&amp;""))="free entry"),IF(LOWER($L427&amp;"")="yes","Disqualified — Free Game","Free Game"),IF(LOWER($L427&amp;"")="yes","Disqualified",IF($P427="","",IF(ROUND(IFERROR(VALUE($P427),0)-IFERROR(VALUE($H427),0),2)&gt;0,"Profit","Draw")))))))</ns0:f>
      </ns0:c>
      <ns0:c r="V427" s="956" t="str">
        <ns0:f>IF(COUNTA($A427:$M427)=0,"",IF(OR($B427="",$C427="",$U427="Subscription"),"",IFERROR(ROUNDUP(($C427-$B427)/7,0),"")))</ns0:f>
      </ns0:c>
      <ns0:c r="W427" s="114">
        <ns0:f>IF(COUNTA($A427:$M427)=0,"",IF(OR($U427="Subscription",$U427=""),"",IF($U427="Estimate","N/A",IF(OR($U427="Free Game",$U427="Disqualified — Free Game"),0,ROUND(IFERROR($Q427,0)-IFERROR($S427,0),2)))))</ns0:f>
      </ns0:c>
      <ns0:c r="X427" s="956" t="str">
        <ns0:f>IF(COUNTA($A427:$M427)=0,"",IF(OR($U427="Subscription",NOT(ISNUMBER($J427)),NOT(ISNUMBER($I427)),$J427=0,$I427=0,$I427&gt;$J427),"",$J427-$I427))</ns0:f>
      </ns0:c>
      <ns0:c r="Y427" s="955" t="str">
        <ns0:f>IF(COUNTA($A427:$M427)=0,"",IF(OR($U427="Subscription",NOT(ISNUMBER($J427)),$J427=0,$X427=""),"",$X427/$J427))</ns0:f>
      </ns0:c>
      <ns0:c r="Z427" s="957" t="str">
        <ns0:f>IF(COUNTA($A427:$M427)=0,"",Instructions!$B$29+SUM($W$5:W427))</ns0:f>
      </ns0:c>
    </ns0:row>
    <ns0:row r="428" ht="36" customHeight="1">
      <ns0:c r="A428" s="439"/>
      <ns0:c r="B428" s="453"/>
      <ns0:c r="C428" s="453"/>
      <ns0:c r="D428" s="454"/>
      <ns0:c r="E428" s="454"/>
      <ns0:c r="F428" s="454"/>
      <ns0:c r="G428" s="986"/>
      <ns0:c r="H428" s="455"/>
      <ns0:c r="I428" s="456"/>
      <ns0:c r="J428" s="456"/>
      <ns0:c r="K428" s="986"/>
      <ns0:c r="L428" s="454"/>
      <ns0:c r="M428" s="439"/>
      <ns0:c r="N428" s="987" t="str">
        <ns0:f>IF(COUNTA($A428:$M428)=0,"",IF(OR(LEFT(LOWER(TRIM($F428&amp;"")),12)="subscription",LOWER(TRIM($F428&amp;""))="membership"),"",IF(OR(AND($H428&lt;&gt;"",$H428=0),LEFT(LOWER(TRIM($F428&amp;"")),9)="free game",LOWER(TRIM($F428&amp;""))="free",LOWER(TRIM($F428&amp;""))="free entry"),IF(ISNUMBER($G428),IF(ISNUMBER(SEARCH("non",LOWER($E428&amp;""))),$G428*0.85,$G428),"N/A"),IF($G428="","",IFERROR(IF(ISNUMBER(SEARCH("non",LOWER($E428&amp;""))),$G428*0.85,$G428),"")))))</ns0:f>
        <ns0:v/>
      </ns0:c>
      <ns0:c r="O428" s="987" t="str">
        <ns0:f>IF(COUNTA($A428:$M428)=0,"",IF(OR(LEFT(LOWER(TRIM($F428&amp;"")),12)="subscription",LOWER(TRIM($F428&amp;""))="membership"),"",IF(OR(AND($H428&lt;&gt;"",$H428=0),LEFT(LOWER(TRIM($F428&amp;"")),9)="free game",LOWER(TRIM($F428&amp;""))="free",LOWER(TRIM($F428&amp;""))="free entry"),IF(OR(NOT(ISNUMBER($N428)),NOT(ISNUMBER($I428)),$I428=0),"N/A",IFERROR($N428/$I428,"N/A")),IF(OR($N428="",$I428="",$I428=0),"",IFERROR($N428/$I428,"")))))</ns0:f>
        <ns0:v/>
      </ns0:c>
      <ns0:c r="P428" s="987">
        <ns0:f>IF(COUNTA($A428:$M428)=0,"",IF(OR(LEFT(LOWER(TRIM($F428&amp;"")),12)="subscription",LOWER(TRIM($F428&amp;""))="membership"),"",IF(LOWER(TRIM($D428&amp;""))="estimate","N/A",IF(LOWER($L428&amp;"")="yes",0,IF(OR(AND($H428&lt;&gt;"",$H428=0),LEFT(LOWER(TRIM($F428&amp;"")),9)="free game",LOWER(TRIM($F428&amp;""))="free",LOWER(TRIM($F428&amp;""))="free entry"),IF(ISNUMBER($K428),$K428,""),IF($K428&lt;&gt;"",$K428,""))))))</ns0:f>
      </ns0:c>
      <ns0:c r="Q428" s="114">
        <ns0:f>IF(COUNTA($A428:$M428)=0,"",IF(OR($U428="Subscription",$U428=""),"",IF($U428="Estimate","N/A",IF($U428="Profit",ROUND(IFERROR($P428,0)-IFERROR($H428,0),2),0))))</ns0:f>
      </ns0:c>
      <ns0:c r="R428" s="114">
        <ns0:f>IF(COUNTA($A428:$M428)=0,"",IF(OR($U428="Subscription",$U428=""),"",IF($U428="Estimate","N/A",IF($U428="Draw",$H428,0))))</ns0:f>
      </ns0:c>
      <ns0:c r="S428" s="114">
        <ns0:f>IF(COUNTA($A428:$M428)=0,"",IF(OR($U428="Subscription",$U428=""),"",IF($U428="Estimate","N/A",IF($U428="Disqualified",$H428,0))))</ns0:f>
      </ns0:c>
      <ns0:c r="T428" s="955">
        <ns0:f>IF(COUNTA($A428:$M428)=0,"",IF(OR($U428="Subscription",$U428=""),"",IF($U428="Estimate","N/A",IF(OR($U428="Free Game",$U428="Disqualified — Free Game",$H428=0),"N/A",IF($U428="Profit",$Q428/$H428,IF($U428="Disqualified",-$S428/$H428,0))))))</ns0:f>
      </ns0:c>
      <ns0:c r="U428" s="920">
        <ns0:f>IF(COUNTA($A428:$M428)=0,"",IF(OR(LEFT(LOWER(TRIM($F428&amp;"")),12)="subscription",LOWER(TRIM($F428&amp;""))="membership"),"Subscription",IF(LOWER(TRIM($D428&amp;""))="estimate","Estimate",IF(OR(AND($H428&lt;&gt;"",$H428=0),LEFT(LOWER(TRIM($F428&amp;"")),9)="free game",LOWER(TRIM($F428&amp;""))="free",LOWER(TRIM($F428&amp;""))="free entry"),IF(LOWER($L428&amp;"")="yes","Disqualified — Free Game","Free Game"),IF(LOWER($L428&amp;"")="yes","Disqualified",IF($P428="","",IF(ROUND(IFERROR(VALUE($P428),0)-IFERROR(VALUE($H428),0),2)&gt;0,"Profit","Draw")))))))</ns0:f>
      </ns0:c>
      <ns0:c r="V428" s="956" t="str">
        <ns0:f>IF(COUNTA($A428:$M428)=0,"",IF(OR($B428="",$C428="",$U428="Subscription"),"",IFERROR(ROUNDUP(($C428-$B428)/7,0),"")))</ns0:f>
      </ns0:c>
      <ns0:c r="W428" s="114">
        <ns0:f>IF(COUNTA($A428:$M428)=0,"",IF(OR($U428="Subscription",$U428=""),"",IF($U428="Estimate","N/A",IF(OR($U428="Free Game",$U428="Disqualified — Free Game"),0,ROUND(IFERROR($Q428,0)-IFERROR($S428,0),2)))))</ns0:f>
      </ns0:c>
      <ns0:c r="X428" s="956" t="str">
        <ns0:f>IF(COUNTA($A428:$M428)=0,"",IF(OR($U428="Subscription",NOT(ISNUMBER($J428)),NOT(ISNUMBER($I428)),$J428=0,$I428=0,$I428&gt;$J428),"",$J428-$I428))</ns0:f>
      </ns0:c>
      <ns0:c r="Y428" s="955" t="str">
        <ns0:f>IF(COUNTA($A428:$M428)=0,"",IF(OR($U428="Subscription",NOT(ISNUMBER($J428)),$J428=0,$X428=""),"",$X428/$J428))</ns0:f>
      </ns0:c>
      <ns0:c r="Z428" s="957" t="str">
        <ns0:f>IF(COUNTA($A428:$M428)=0,"",Instructions!$B$29+SUM($W$5:W428))</ns0:f>
      </ns0:c>
    </ns0:row>
    <ns0:row r="429" ht="36" customHeight="1">
      <ns0:c r="A429" s="439"/>
      <ns0:c r="B429" s="453"/>
      <ns0:c r="C429" s="453"/>
      <ns0:c r="D429" s="454"/>
      <ns0:c r="E429" s="454"/>
      <ns0:c r="F429" s="454"/>
      <ns0:c r="G429" s="986"/>
      <ns0:c r="H429" s="455"/>
      <ns0:c r="I429" s="456"/>
      <ns0:c r="J429" s="456"/>
      <ns0:c r="K429" s="986"/>
      <ns0:c r="L429" s="454"/>
      <ns0:c r="M429" s="439"/>
      <ns0:c r="N429" s="987" t="str">
        <ns0:f>IF(COUNTA($A429:$M429)=0,"",IF(OR(LEFT(LOWER(TRIM($F429&amp;"")),12)="subscription",LOWER(TRIM($F429&amp;""))="membership"),"",IF(OR(AND($H429&lt;&gt;"",$H429=0),LEFT(LOWER(TRIM($F429&amp;"")),9)="free game",LOWER(TRIM($F429&amp;""))="free",LOWER(TRIM($F429&amp;""))="free entry"),IF(ISNUMBER($G429),IF(ISNUMBER(SEARCH("non",LOWER($E429&amp;""))),$G429*0.85,$G429),"N/A"),IF($G429="","",IFERROR(IF(ISNUMBER(SEARCH("non",LOWER($E429&amp;""))),$G429*0.85,$G429),"")))))</ns0:f>
        <ns0:v/>
      </ns0:c>
      <ns0:c r="O429" s="987" t="str">
        <ns0:f>IF(COUNTA($A429:$M429)=0,"",IF(OR(LEFT(LOWER(TRIM($F429&amp;"")),12)="subscription",LOWER(TRIM($F429&amp;""))="membership"),"",IF(OR(AND($H429&lt;&gt;"",$H429=0),LEFT(LOWER(TRIM($F429&amp;"")),9)="free game",LOWER(TRIM($F429&amp;""))="free",LOWER(TRIM($F429&amp;""))="free entry"),IF(OR(NOT(ISNUMBER($N429)),NOT(ISNUMBER($I429)),$I429=0),"N/A",IFERROR($N429/$I429,"N/A")),IF(OR($N429="",$I429="",$I429=0),"",IFERROR($N429/$I429,"")))))</ns0:f>
        <ns0:v/>
      </ns0:c>
      <ns0:c r="P429" s="987">
        <ns0:f>IF(COUNTA($A429:$M429)=0,"",IF(OR(LEFT(LOWER(TRIM($F429&amp;"")),12)="subscription",LOWER(TRIM($F429&amp;""))="membership"),"",IF(LOWER(TRIM($D429&amp;""))="estimate","N/A",IF(LOWER($L429&amp;"")="yes",0,IF(OR(AND($H429&lt;&gt;"",$H429=0),LEFT(LOWER(TRIM($F429&amp;"")),9)="free game",LOWER(TRIM($F429&amp;""))="free",LOWER(TRIM($F429&amp;""))="free entry"),IF(ISNUMBER($K429),$K429,""),IF($K429&lt;&gt;"",$K429,""))))))</ns0:f>
      </ns0:c>
      <ns0:c r="Q429" s="114">
        <ns0:f>IF(COUNTA($A429:$M429)=0,"",IF(OR($U429="Subscription",$U429=""),"",IF($U429="Estimate","N/A",IF($U429="Profit",ROUND(IFERROR($P429,0)-IFERROR($H429,0),2),0))))</ns0:f>
      </ns0:c>
      <ns0:c r="R429" s="114">
        <ns0:f>IF(COUNTA($A429:$M429)=0,"",IF(OR($U429="Subscription",$U429=""),"",IF($U429="Estimate","N/A",IF($U429="Draw",$H429,0))))</ns0:f>
      </ns0:c>
      <ns0:c r="S429" s="114">
        <ns0:f>IF(COUNTA($A429:$M429)=0,"",IF(OR($U429="Subscription",$U429=""),"",IF($U429="Estimate","N/A",IF($U429="Disqualified",$H429,0))))</ns0:f>
      </ns0:c>
      <ns0:c r="T429" s="955">
        <ns0:f>IF(COUNTA($A429:$M429)=0,"",IF(OR($U429="Subscription",$U429=""),"",IF($U429="Estimate","N/A",IF(OR($U429="Free Game",$U429="Disqualified — Free Game",$H429=0),"N/A",IF($U429="Profit",$Q429/$H429,IF($U429="Disqualified",-$S429/$H429,0))))))</ns0:f>
      </ns0:c>
      <ns0:c r="U429" s="920">
        <ns0:f>IF(COUNTA($A429:$M429)=0,"",IF(OR(LEFT(LOWER(TRIM($F429&amp;"")),12)="subscription",LOWER(TRIM($F429&amp;""))="membership"),"Subscription",IF(LOWER(TRIM($D429&amp;""))="estimate","Estimate",IF(OR(AND($H429&lt;&gt;"",$H429=0),LEFT(LOWER(TRIM($F429&amp;"")),9)="free game",LOWER(TRIM($F429&amp;""))="free",LOWER(TRIM($F429&amp;""))="free entry"),IF(LOWER($L429&amp;"")="yes","Disqualified — Free Game","Free Game"),IF(LOWER($L429&amp;"")="yes","Disqualified",IF($P429="","",IF(ROUND(IFERROR(VALUE($P429),0)-IFERROR(VALUE($H429),0),2)&gt;0,"Profit","Draw")))))))</ns0:f>
      </ns0:c>
      <ns0:c r="V429" s="956" t="str">
        <ns0:f>IF(COUNTA($A429:$M429)=0,"",IF(OR($B429="",$C429="",$U429="Subscription"),"",IFERROR(ROUNDUP(($C429-$B429)/7,0),"")))</ns0:f>
      </ns0:c>
      <ns0:c r="W429" s="114">
        <ns0:f>IF(COUNTA($A429:$M429)=0,"",IF(OR($U429="Subscription",$U429=""),"",IF($U429="Estimate","N/A",IF(OR($U429="Free Game",$U429="Disqualified — Free Game"),0,ROUND(IFERROR($Q429,0)-IFERROR($S429,0),2)))))</ns0:f>
      </ns0:c>
      <ns0:c r="X429" s="956" t="str">
        <ns0:f>IF(COUNTA($A429:$M429)=0,"",IF(OR($U429="Subscription",NOT(ISNUMBER($J429)),NOT(ISNUMBER($I429)),$J429=0,$I429=0,$I429&gt;$J429),"",$J429-$I429))</ns0:f>
      </ns0:c>
      <ns0:c r="Y429" s="955" t="str">
        <ns0:f>IF(COUNTA($A429:$M429)=0,"",IF(OR($U429="Subscription",NOT(ISNUMBER($J429)),$J429=0,$X429=""),"",$X429/$J429))</ns0:f>
      </ns0:c>
      <ns0:c r="Z429" s="957" t="str">
        <ns0:f>IF(COUNTA($A429:$M429)=0,"",Instructions!$B$29+SUM($W$5:W429))</ns0:f>
      </ns0:c>
    </ns0:row>
    <ns0:row r="430" ht="36" customHeight="1">
      <ns0:c r="A430" s="439"/>
      <ns0:c r="B430" s="453"/>
      <ns0:c r="C430" s="453"/>
      <ns0:c r="D430" s="454"/>
      <ns0:c r="E430" s="454"/>
      <ns0:c r="F430" s="454"/>
      <ns0:c r="G430" s="986"/>
      <ns0:c r="H430" s="455"/>
      <ns0:c r="I430" s="456"/>
      <ns0:c r="J430" s="456"/>
      <ns0:c r="K430" s="986"/>
      <ns0:c r="L430" s="454"/>
      <ns0:c r="M430" s="439"/>
      <ns0:c r="N430" s="987" t="str">
        <ns0:f>IF(COUNTA($A430:$M430)=0,"",IF(OR(LEFT(LOWER(TRIM($F430&amp;"")),12)="subscription",LOWER(TRIM($F430&amp;""))="membership"),"",IF(OR(AND($H430&lt;&gt;"",$H430=0),LEFT(LOWER(TRIM($F430&amp;"")),9)="free game",LOWER(TRIM($F430&amp;""))="free",LOWER(TRIM($F430&amp;""))="free entry"),IF(ISNUMBER($G430),IF(ISNUMBER(SEARCH("non",LOWER($E430&amp;""))),$G430*0.85,$G430),"N/A"),IF($G430="","",IFERROR(IF(ISNUMBER(SEARCH("non",LOWER($E430&amp;""))),$G430*0.85,$G430),"")))))</ns0:f>
        <ns0:v/>
      </ns0:c>
      <ns0:c r="O430" s="987" t="str">
        <ns0:f>IF(COUNTA($A430:$M430)=0,"",IF(OR(LEFT(LOWER(TRIM($F430&amp;"")),12)="subscription",LOWER(TRIM($F430&amp;""))="membership"),"",IF(OR(AND($H430&lt;&gt;"",$H430=0),LEFT(LOWER(TRIM($F430&amp;"")),9)="free game",LOWER(TRIM($F430&amp;""))="free",LOWER(TRIM($F430&amp;""))="free entry"),IF(OR(NOT(ISNUMBER($N430)),NOT(ISNUMBER($I430)),$I430=0),"N/A",IFERROR($N430/$I430,"N/A")),IF(OR($N430="",$I430="",$I430=0),"",IFERROR($N430/$I430,"")))))</ns0:f>
        <ns0:v/>
      </ns0:c>
      <ns0:c r="P430" s="987">
        <ns0:f>IF(COUNTA($A430:$M430)=0,"",IF(OR(LEFT(LOWER(TRIM($F430&amp;"")),12)="subscription",LOWER(TRIM($F430&amp;""))="membership"),"",IF(LOWER(TRIM($D430&amp;""))="estimate","N/A",IF(LOWER($L430&amp;"")="yes",0,IF(OR(AND($H430&lt;&gt;"",$H430=0),LEFT(LOWER(TRIM($F430&amp;"")),9)="free game",LOWER(TRIM($F430&amp;""))="free",LOWER(TRIM($F430&amp;""))="free entry"),IF(ISNUMBER($K430),$K430,""),IF($K430&lt;&gt;"",$K430,""))))))</ns0:f>
      </ns0:c>
      <ns0:c r="Q430" s="114">
        <ns0:f>IF(COUNTA($A430:$M430)=0,"",IF(OR($U430="Subscription",$U430=""),"",IF($U430="Estimate","N/A",IF($U430="Profit",ROUND(IFERROR($P430,0)-IFERROR($H430,0),2),0))))</ns0:f>
      </ns0:c>
      <ns0:c r="R430" s="114">
        <ns0:f>IF(COUNTA($A430:$M430)=0,"",IF(OR($U430="Subscription",$U430=""),"",IF($U430="Estimate","N/A",IF($U430="Draw",$H430,0))))</ns0:f>
      </ns0:c>
      <ns0:c r="S430" s="114">
        <ns0:f>IF(COUNTA($A430:$M430)=0,"",IF(OR($U430="Subscription",$U430=""),"",IF($U430="Estimate","N/A",IF($U430="Disqualified",$H430,0))))</ns0:f>
      </ns0:c>
      <ns0:c r="T430" s="955">
        <ns0:f>IF(COUNTA($A430:$M430)=0,"",IF(OR($U430="Subscription",$U430=""),"",IF($U430="Estimate","N/A",IF(OR($U430="Free Game",$U430="Disqualified — Free Game",$H430=0),"N/A",IF($U430="Profit",$Q430/$H430,IF($U430="Disqualified",-$S430/$H430,0))))))</ns0:f>
      </ns0:c>
      <ns0:c r="U430" s="920">
        <ns0:f>IF(COUNTA($A430:$M430)=0,"",IF(OR(LEFT(LOWER(TRIM($F430&amp;"")),12)="subscription",LOWER(TRIM($F430&amp;""))="membership"),"Subscription",IF(LOWER(TRIM($D430&amp;""))="estimate","Estimate",IF(OR(AND($H430&lt;&gt;"",$H430=0),LEFT(LOWER(TRIM($F430&amp;"")),9)="free game",LOWER(TRIM($F430&amp;""))="free",LOWER(TRIM($F430&amp;""))="free entry"),IF(LOWER($L430&amp;"")="yes","Disqualified — Free Game","Free Game"),IF(LOWER($L430&amp;"")="yes","Disqualified",IF($P430="","",IF(ROUND(IFERROR(VALUE($P430),0)-IFERROR(VALUE($H430),0),2)&gt;0,"Profit","Draw")))))))</ns0:f>
      </ns0:c>
      <ns0:c r="V430" s="956" t="str">
        <ns0:f>IF(COUNTA($A430:$M430)=0,"",IF(OR($B430="",$C430="",$U430="Subscription"),"",IFERROR(ROUNDUP(($C430-$B430)/7,0),"")))</ns0:f>
      </ns0:c>
      <ns0:c r="W430" s="114">
        <ns0:f>IF(COUNTA($A430:$M430)=0,"",IF(OR($U430="Subscription",$U430=""),"",IF($U430="Estimate","N/A",IF(OR($U430="Free Game",$U430="Disqualified — Free Game"),0,ROUND(IFERROR($Q430,0)-IFERROR($S430,0),2)))))</ns0:f>
      </ns0:c>
      <ns0:c r="X430" s="956" t="str">
        <ns0:f>IF(COUNTA($A430:$M430)=0,"",IF(OR($U430="Subscription",NOT(ISNUMBER($J430)),NOT(ISNUMBER($I430)),$J430=0,$I430=0,$I430&gt;$J430),"",$J430-$I430))</ns0:f>
      </ns0:c>
      <ns0:c r="Y430" s="955" t="str">
        <ns0:f>IF(COUNTA($A430:$M430)=0,"",IF(OR($U430="Subscription",NOT(ISNUMBER($J430)),$J430=0,$X430=""),"",$X430/$J430))</ns0:f>
      </ns0:c>
      <ns0:c r="Z430" s="957" t="str">
        <ns0:f>IF(COUNTA($A430:$M430)=0,"",Instructions!$B$29+SUM($W$5:W430))</ns0:f>
      </ns0:c>
    </ns0:row>
    <ns0:row r="431" ht="36" customHeight="1">
      <ns0:c r="A431" s="439"/>
      <ns0:c r="B431" s="453"/>
      <ns0:c r="C431" s="453"/>
      <ns0:c r="D431" s="454"/>
      <ns0:c r="E431" s="454"/>
      <ns0:c r="F431" s="454"/>
      <ns0:c r="G431" s="986"/>
      <ns0:c r="H431" s="455"/>
      <ns0:c r="I431" s="456"/>
      <ns0:c r="J431" s="456"/>
      <ns0:c r="K431" s="986"/>
      <ns0:c r="L431" s="454"/>
      <ns0:c r="M431" s="439"/>
      <ns0:c r="N431" s="987" t="str">
        <ns0:f>IF(COUNTA($A431:$M431)=0,"",IF(OR(LEFT(LOWER(TRIM($F431&amp;"")),12)="subscription",LOWER(TRIM($F431&amp;""))="membership"),"",IF(OR(AND($H431&lt;&gt;"",$H431=0),LEFT(LOWER(TRIM($F431&amp;"")),9)="free game",LOWER(TRIM($F431&amp;""))="free",LOWER(TRIM($F431&amp;""))="free entry"),IF(ISNUMBER($G431),IF(ISNUMBER(SEARCH("non",LOWER($E431&amp;""))),$G431*0.85,$G431),"N/A"),IF($G431="","",IFERROR(IF(ISNUMBER(SEARCH("non",LOWER($E431&amp;""))),$G431*0.85,$G431),"")))))</ns0:f>
        <ns0:v/>
      </ns0:c>
      <ns0:c r="O431" s="987" t="str">
        <ns0:f>IF(COUNTA($A431:$M431)=0,"",IF(OR(LEFT(LOWER(TRIM($F431&amp;"")),12)="subscription",LOWER(TRIM($F431&amp;""))="membership"),"",IF(OR(AND($H431&lt;&gt;"",$H431=0),LEFT(LOWER(TRIM($F431&amp;"")),9)="free game",LOWER(TRIM($F431&amp;""))="free",LOWER(TRIM($F431&amp;""))="free entry"),IF(OR(NOT(ISNUMBER($N431)),NOT(ISNUMBER($I431)),$I431=0),"N/A",IFERROR($N431/$I431,"N/A")),IF(OR($N431="",$I431="",$I431=0),"",IFERROR($N431/$I431,"")))))</ns0:f>
        <ns0:v/>
      </ns0:c>
      <ns0:c r="P431" s="987">
        <ns0:f>IF(COUNTA($A431:$M431)=0,"",IF(OR(LEFT(LOWER(TRIM($F431&amp;"")),12)="subscription",LOWER(TRIM($F431&amp;""))="membership"),"",IF(LOWER(TRIM($D431&amp;""))="estimate","N/A",IF(LOWER($L431&amp;"")="yes",0,IF(OR(AND($H431&lt;&gt;"",$H431=0),LEFT(LOWER(TRIM($F431&amp;"")),9)="free game",LOWER(TRIM($F431&amp;""))="free",LOWER(TRIM($F431&amp;""))="free entry"),IF(ISNUMBER($K431),$K431,""),IF($K431&lt;&gt;"",$K431,""))))))</ns0:f>
      </ns0:c>
      <ns0:c r="Q431" s="114">
        <ns0:f>IF(COUNTA($A431:$M431)=0,"",IF(OR($U431="Subscription",$U431=""),"",IF($U431="Estimate","N/A",IF($U431="Profit",ROUND(IFERROR($P431,0)-IFERROR($H431,0),2),0))))</ns0:f>
      </ns0:c>
      <ns0:c r="R431" s="114">
        <ns0:f>IF(COUNTA($A431:$M431)=0,"",IF(OR($U431="Subscription",$U431=""),"",IF($U431="Estimate","N/A",IF($U431="Draw",$H431,0))))</ns0:f>
      </ns0:c>
      <ns0:c r="S431" s="114">
        <ns0:f>IF(COUNTA($A431:$M431)=0,"",IF(OR($U431="Subscription",$U431=""),"",IF($U431="Estimate","N/A",IF($U431="Disqualified",$H431,0))))</ns0:f>
      </ns0:c>
      <ns0:c r="T431" s="955">
        <ns0:f>IF(COUNTA($A431:$M431)=0,"",IF(OR($U431="Subscription",$U431=""),"",IF($U431="Estimate","N/A",IF(OR($U431="Free Game",$U431="Disqualified — Free Game",$H431=0),"N/A",IF($U431="Profit",$Q431/$H431,IF($U431="Disqualified",-$S431/$H431,0))))))</ns0:f>
      </ns0:c>
      <ns0:c r="U431" s="920">
        <ns0:f>IF(COUNTA($A431:$M431)=0,"",IF(OR(LEFT(LOWER(TRIM($F431&amp;"")),12)="subscription",LOWER(TRIM($F431&amp;""))="membership"),"Subscription",IF(LOWER(TRIM($D431&amp;""))="estimate","Estimate",IF(OR(AND($H431&lt;&gt;"",$H431=0),LEFT(LOWER(TRIM($F431&amp;"")),9)="free game",LOWER(TRIM($F431&amp;""))="free",LOWER(TRIM($F431&amp;""))="free entry"),IF(LOWER($L431&amp;"")="yes","Disqualified — Free Game","Free Game"),IF(LOWER($L431&amp;"")="yes","Disqualified",IF($P431="","",IF(ROUND(IFERROR(VALUE($P431),0)-IFERROR(VALUE($H431),0),2)&gt;0,"Profit","Draw")))))))</ns0:f>
      </ns0:c>
      <ns0:c r="V431" s="956" t="str">
        <ns0:f>IF(COUNTA($A431:$M431)=0,"",IF(OR($B431="",$C431="",$U431="Subscription"),"",IFERROR(ROUNDUP(($C431-$B431)/7,0),"")))</ns0:f>
      </ns0:c>
      <ns0:c r="W431" s="114">
        <ns0:f>IF(COUNTA($A431:$M431)=0,"",IF(OR($U431="Subscription",$U431=""),"",IF($U431="Estimate","N/A",IF(OR($U431="Free Game",$U431="Disqualified — Free Game"),0,ROUND(IFERROR($Q431,0)-IFERROR($S431,0),2)))))</ns0:f>
      </ns0:c>
      <ns0:c r="X431" s="956" t="str">
        <ns0:f>IF(COUNTA($A431:$M431)=0,"",IF(OR($U431="Subscription",NOT(ISNUMBER($J431)),NOT(ISNUMBER($I431)),$J431=0,$I431=0,$I431&gt;$J431),"",$J431-$I431))</ns0:f>
      </ns0:c>
      <ns0:c r="Y431" s="955" t="str">
        <ns0:f>IF(COUNTA($A431:$M431)=0,"",IF(OR($U431="Subscription",NOT(ISNUMBER($J431)),$J431=0,$X431=""),"",$X431/$J431))</ns0:f>
      </ns0:c>
      <ns0:c r="Z431" s="957" t="str">
        <ns0:f>IF(COUNTA($A431:$M431)=0,"",Instructions!$B$29+SUM($W$5:W431))</ns0:f>
      </ns0:c>
    </ns0:row>
    <ns0:row r="432" ht="36" customHeight="1">
      <ns0:c r="A432" s="439"/>
      <ns0:c r="B432" s="453"/>
      <ns0:c r="C432" s="453"/>
      <ns0:c r="D432" s="454"/>
      <ns0:c r="E432" s="454"/>
      <ns0:c r="F432" s="454"/>
      <ns0:c r="G432" s="986"/>
      <ns0:c r="H432" s="455"/>
      <ns0:c r="I432" s="456"/>
      <ns0:c r="J432" s="456"/>
      <ns0:c r="K432" s="986"/>
      <ns0:c r="L432" s="454"/>
      <ns0:c r="M432" s="439"/>
      <ns0:c r="N432" s="987" t="str">
        <ns0:f>IF(COUNTA($A432:$M432)=0,"",IF(OR(LEFT(LOWER(TRIM($F432&amp;"")),12)="subscription",LOWER(TRIM($F432&amp;""))="membership"),"",IF(OR(AND($H432&lt;&gt;"",$H432=0),LEFT(LOWER(TRIM($F432&amp;"")),9)="free game",LOWER(TRIM($F432&amp;""))="free",LOWER(TRIM($F432&amp;""))="free entry"),IF(ISNUMBER($G432),IF(ISNUMBER(SEARCH("non",LOWER($E432&amp;""))),$G432*0.85,$G432),"N/A"),IF($G432="","",IFERROR(IF(ISNUMBER(SEARCH("non",LOWER($E432&amp;""))),$G432*0.85,$G432),"")))))</ns0:f>
        <ns0:v/>
      </ns0:c>
      <ns0:c r="O432" s="987" t="str">
        <ns0:f>IF(COUNTA($A432:$M432)=0,"",IF(OR(LEFT(LOWER(TRIM($F432&amp;"")),12)="subscription",LOWER(TRIM($F432&amp;""))="membership"),"",IF(OR(AND($H432&lt;&gt;"",$H432=0),LEFT(LOWER(TRIM($F432&amp;"")),9)="free game",LOWER(TRIM($F432&amp;""))="free",LOWER(TRIM($F432&amp;""))="free entry"),IF(OR(NOT(ISNUMBER($N432)),NOT(ISNUMBER($I432)),$I432=0),"N/A",IFERROR($N432/$I432,"N/A")),IF(OR($N432="",$I432="",$I432=0),"",IFERROR($N432/$I432,"")))))</ns0:f>
        <ns0:v/>
      </ns0:c>
      <ns0:c r="P432" s="987">
        <ns0:f>IF(COUNTA($A432:$M432)=0,"",IF(OR(LEFT(LOWER(TRIM($F432&amp;"")),12)="subscription",LOWER(TRIM($F432&amp;""))="membership"),"",IF(LOWER(TRIM($D432&amp;""))="estimate","N/A",IF(LOWER($L432&amp;"")="yes",0,IF(OR(AND($H432&lt;&gt;"",$H432=0),LEFT(LOWER(TRIM($F432&amp;"")),9)="free game",LOWER(TRIM($F432&amp;""))="free",LOWER(TRIM($F432&amp;""))="free entry"),IF(ISNUMBER($K432),$K432,""),IF($K432&lt;&gt;"",$K432,""))))))</ns0:f>
      </ns0:c>
      <ns0:c r="Q432" s="114">
        <ns0:f>IF(COUNTA($A432:$M432)=0,"",IF(OR($U432="Subscription",$U432=""),"",IF($U432="Estimate","N/A",IF($U432="Profit",ROUND(IFERROR($P432,0)-IFERROR($H432,0),2),0))))</ns0:f>
      </ns0:c>
      <ns0:c r="R432" s="114">
        <ns0:f>IF(COUNTA($A432:$M432)=0,"",IF(OR($U432="Subscription",$U432=""),"",IF($U432="Estimate","N/A",IF($U432="Draw",$H432,0))))</ns0:f>
      </ns0:c>
      <ns0:c r="S432" s="114">
        <ns0:f>IF(COUNTA($A432:$M432)=0,"",IF(OR($U432="Subscription",$U432=""),"",IF($U432="Estimate","N/A",IF($U432="Disqualified",$H432,0))))</ns0:f>
      </ns0:c>
      <ns0:c r="T432" s="955">
        <ns0:f>IF(COUNTA($A432:$M432)=0,"",IF(OR($U432="Subscription",$U432=""),"",IF($U432="Estimate","N/A",IF(OR($U432="Free Game",$U432="Disqualified — Free Game",$H432=0),"N/A",IF($U432="Profit",$Q432/$H432,IF($U432="Disqualified",-$S432/$H432,0))))))</ns0:f>
      </ns0:c>
      <ns0:c r="U432" s="920">
        <ns0:f>IF(COUNTA($A432:$M432)=0,"",IF(OR(LEFT(LOWER(TRIM($F432&amp;"")),12)="subscription",LOWER(TRIM($F432&amp;""))="membership"),"Subscription",IF(LOWER(TRIM($D432&amp;""))="estimate","Estimate",IF(OR(AND($H432&lt;&gt;"",$H432=0),LEFT(LOWER(TRIM($F432&amp;"")),9)="free game",LOWER(TRIM($F432&amp;""))="free",LOWER(TRIM($F432&amp;""))="free entry"),IF(LOWER($L432&amp;"")="yes","Disqualified — Free Game","Free Game"),IF(LOWER($L432&amp;"")="yes","Disqualified",IF($P432="","",IF(ROUND(IFERROR(VALUE($P432),0)-IFERROR(VALUE($H432),0),2)&gt;0,"Profit","Draw")))))))</ns0:f>
      </ns0:c>
      <ns0:c r="V432" s="956" t="str">
        <ns0:f>IF(COUNTA($A432:$M432)=0,"",IF(OR($B432="",$C432="",$U432="Subscription"),"",IFERROR(ROUNDUP(($C432-$B432)/7,0),"")))</ns0:f>
      </ns0:c>
      <ns0:c r="W432" s="114">
        <ns0:f>IF(COUNTA($A432:$M432)=0,"",IF(OR($U432="Subscription",$U432=""),"",IF($U432="Estimate","N/A",IF(OR($U432="Free Game",$U432="Disqualified — Free Game"),0,ROUND(IFERROR($Q432,0)-IFERROR($S432,0),2)))))</ns0:f>
      </ns0:c>
      <ns0:c r="X432" s="956" t="str">
        <ns0:f>IF(COUNTA($A432:$M432)=0,"",IF(OR($U432="Subscription",NOT(ISNUMBER($J432)),NOT(ISNUMBER($I432)),$J432=0,$I432=0,$I432&gt;$J432),"",$J432-$I432))</ns0:f>
      </ns0:c>
      <ns0:c r="Y432" s="955" t="str">
        <ns0:f>IF(COUNTA($A432:$M432)=0,"",IF(OR($U432="Subscription",NOT(ISNUMBER($J432)),$J432=0,$X432=""),"",$X432/$J432))</ns0:f>
      </ns0:c>
      <ns0:c r="Z432" s="957" t="str">
        <ns0:f>IF(COUNTA($A432:$M432)=0,"",Instructions!$B$29+SUM($W$5:W432))</ns0:f>
      </ns0:c>
    </ns0:row>
    <ns0:row r="433" ht="36" customHeight="1">
      <ns0:c r="A433" s="439"/>
      <ns0:c r="B433" s="453"/>
      <ns0:c r="C433" s="453"/>
      <ns0:c r="D433" s="454"/>
      <ns0:c r="E433" s="454"/>
      <ns0:c r="F433" s="454"/>
      <ns0:c r="G433" s="986"/>
      <ns0:c r="H433" s="455"/>
      <ns0:c r="I433" s="456"/>
      <ns0:c r="J433" s="456"/>
      <ns0:c r="K433" s="986"/>
      <ns0:c r="L433" s="454"/>
      <ns0:c r="M433" s="439"/>
      <ns0:c r="N433" s="987" t="str">
        <ns0:f>IF(COUNTA($A433:$M433)=0,"",IF(OR(LEFT(LOWER(TRIM($F433&amp;"")),12)="subscription",LOWER(TRIM($F433&amp;""))="membership"),"",IF(OR(AND($H433&lt;&gt;"",$H433=0),LEFT(LOWER(TRIM($F433&amp;"")),9)="free game",LOWER(TRIM($F433&amp;""))="free",LOWER(TRIM($F433&amp;""))="free entry"),IF(ISNUMBER($G433),IF(ISNUMBER(SEARCH("non",LOWER($E433&amp;""))),$G433*0.85,$G433),"N/A"),IF($G433="","",IFERROR(IF(ISNUMBER(SEARCH("non",LOWER($E433&amp;""))),$G433*0.85,$G433),"")))))</ns0:f>
        <ns0:v/>
      </ns0:c>
      <ns0:c r="O433" s="987" t="str">
        <ns0:f>IF(COUNTA($A433:$M433)=0,"",IF(OR(LEFT(LOWER(TRIM($F433&amp;"")),12)="subscription",LOWER(TRIM($F433&amp;""))="membership"),"",IF(OR(AND($H433&lt;&gt;"",$H433=0),LEFT(LOWER(TRIM($F433&amp;"")),9)="free game",LOWER(TRIM($F433&amp;""))="free",LOWER(TRIM($F433&amp;""))="free entry"),IF(OR(NOT(ISNUMBER($N433)),NOT(ISNUMBER($I433)),$I433=0),"N/A",IFERROR($N433/$I433,"N/A")),IF(OR($N433="",$I433="",$I433=0),"",IFERROR($N433/$I433,"")))))</ns0:f>
        <ns0:v/>
      </ns0:c>
      <ns0:c r="P433" s="987">
        <ns0:f>IF(COUNTA($A433:$M433)=0,"",IF(OR(LEFT(LOWER(TRIM($F433&amp;"")),12)="subscription",LOWER(TRIM($F433&amp;""))="membership"),"",IF(LOWER(TRIM($D433&amp;""))="estimate","N/A",IF(LOWER($L433&amp;"")="yes",0,IF(OR(AND($H433&lt;&gt;"",$H433=0),LEFT(LOWER(TRIM($F433&amp;"")),9)="free game",LOWER(TRIM($F433&amp;""))="free",LOWER(TRIM($F433&amp;""))="free entry"),IF(ISNUMBER($K433),$K433,""),IF($K433&lt;&gt;"",$K433,""))))))</ns0:f>
      </ns0:c>
      <ns0:c r="Q433" s="114">
        <ns0:f>IF(COUNTA($A433:$M433)=0,"",IF(OR($U433="Subscription",$U433=""),"",IF($U433="Estimate","N/A",IF($U433="Profit",ROUND(IFERROR($P433,0)-IFERROR($H433,0),2),0))))</ns0:f>
      </ns0:c>
      <ns0:c r="R433" s="114">
        <ns0:f>IF(COUNTA($A433:$M433)=0,"",IF(OR($U433="Subscription",$U433=""),"",IF($U433="Estimate","N/A",IF($U433="Draw",$H433,0))))</ns0:f>
      </ns0:c>
      <ns0:c r="S433" s="114">
        <ns0:f>IF(COUNTA($A433:$M433)=0,"",IF(OR($U433="Subscription",$U433=""),"",IF($U433="Estimate","N/A",IF($U433="Disqualified",$H433,0))))</ns0:f>
      </ns0:c>
      <ns0:c r="T433" s="955">
        <ns0:f>IF(COUNTA($A433:$M433)=0,"",IF(OR($U433="Subscription",$U433=""),"",IF($U433="Estimate","N/A",IF(OR($U433="Free Game",$U433="Disqualified — Free Game",$H433=0),"N/A",IF($U433="Profit",$Q433/$H433,IF($U433="Disqualified",-$S433/$H433,0))))))</ns0:f>
      </ns0:c>
      <ns0:c r="U433" s="920">
        <ns0:f>IF(COUNTA($A433:$M433)=0,"",IF(OR(LEFT(LOWER(TRIM($F433&amp;"")),12)="subscription",LOWER(TRIM($F433&amp;""))="membership"),"Subscription",IF(LOWER(TRIM($D433&amp;""))="estimate","Estimate",IF(OR(AND($H433&lt;&gt;"",$H433=0),LEFT(LOWER(TRIM($F433&amp;"")),9)="free game",LOWER(TRIM($F433&amp;""))="free",LOWER(TRIM($F433&amp;""))="free entry"),IF(LOWER($L433&amp;"")="yes","Disqualified — Free Game","Free Game"),IF(LOWER($L433&amp;"")="yes","Disqualified",IF($P433="","",IF(ROUND(IFERROR(VALUE($P433),0)-IFERROR(VALUE($H433),0),2)&gt;0,"Profit","Draw")))))))</ns0:f>
      </ns0:c>
      <ns0:c r="V433" s="956" t="str">
        <ns0:f>IF(COUNTA($A433:$M433)=0,"",IF(OR($B433="",$C433="",$U433="Subscription"),"",IFERROR(ROUNDUP(($C433-$B433)/7,0),"")))</ns0:f>
      </ns0:c>
      <ns0:c r="W433" s="114">
        <ns0:f>IF(COUNTA($A433:$M433)=0,"",IF(OR($U433="Subscription",$U433=""),"",IF($U433="Estimate","N/A",IF(OR($U433="Free Game",$U433="Disqualified — Free Game"),0,ROUND(IFERROR($Q433,0)-IFERROR($S433,0),2)))))</ns0:f>
      </ns0:c>
      <ns0:c r="X433" s="956" t="str">
        <ns0:f>IF(COUNTA($A433:$M433)=0,"",IF(OR($U433="Subscription",NOT(ISNUMBER($J433)),NOT(ISNUMBER($I433)),$J433=0,$I433=0,$I433&gt;$J433),"",$J433-$I433))</ns0:f>
      </ns0:c>
      <ns0:c r="Y433" s="955" t="str">
        <ns0:f>IF(COUNTA($A433:$M433)=0,"",IF(OR($U433="Subscription",NOT(ISNUMBER($J433)),$J433=0,$X433=""),"",$X433/$J433))</ns0:f>
      </ns0:c>
      <ns0:c r="Z433" s="957" t="str">
        <ns0:f>IF(COUNTA($A433:$M433)=0,"",Instructions!$B$29+SUM($W$5:W433))</ns0:f>
      </ns0:c>
    </ns0:row>
    <ns0:row r="434" ht="36" customHeight="1">
      <ns0:c r="A434" s="439"/>
      <ns0:c r="B434" s="453"/>
      <ns0:c r="C434" s="453"/>
      <ns0:c r="D434" s="454"/>
      <ns0:c r="E434" s="454"/>
      <ns0:c r="F434" s="454"/>
      <ns0:c r="G434" s="986"/>
      <ns0:c r="H434" s="455"/>
      <ns0:c r="I434" s="456"/>
      <ns0:c r="J434" s="456"/>
      <ns0:c r="K434" s="986"/>
      <ns0:c r="L434" s="454"/>
      <ns0:c r="M434" s="439"/>
      <ns0:c r="N434" s="987" t="str">
        <ns0:f>IF(COUNTA($A434:$M434)=0,"",IF(OR(LEFT(LOWER(TRIM($F434&amp;"")),12)="subscription",LOWER(TRIM($F434&amp;""))="membership"),"",IF(OR(AND($H434&lt;&gt;"",$H434=0),LEFT(LOWER(TRIM($F434&amp;"")),9)="free game",LOWER(TRIM($F434&amp;""))="free",LOWER(TRIM($F434&amp;""))="free entry"),IF(ISNUMBER($G434),IF(ISNUMBER(SEARCH("non",LOWER($E434&amp;""))),$G434*0.85,$G434),"N/A"),IF($G434="","",IFERROR(IF(ISNUMBER(SEARCH("non",LOWER($E434&amp;""))),$G434*0.85,$G434),"")))))</ns0:f>
        <ns0:v/>
      </ns0:c>
      <ns0:c r="O434" s="987" t="str">
        <ns0:f>IF(COUNTA($A434:$M434)=0,"",IF(OR(LEFT(LOWER(TRIM($F434&amp;"")),12)="subscription",LOWER(TRIM($F434&amp;""))="membership"),"",IF(OR(AND($H434&lt;&gt;"",$H434=0),LEFT(LOWER(TRIM($F434&amp;"")),9)="free game",LOWER(TRIM($F434&amp;""))="free",LOWER(TRIM($F434&amp;""))="free entry"),IF(OR(NOT(ISNUMBER($N434)),NOT(ISNUMBER($I434)),$I434=0),"N/A",IFERROR($N434/$I434,"N/A")),IF(OR($N434="",$I434="",$I434=0),"",IFERROR($N434/$I434,"")))))</ns0:f>
        <ns0:v/>
      </ns0:c>
      <ns0:c r="P434" s="987">
        <ns0:f>IF(COUNTA($A434:$M434)=0,"",IF(OR(LEFT(LOWER(TRIM($F434&amp;"")),12)="subscription",LOWER(TRIM($F434&amp;""))="membership"),"",IF(LOWER(TRIM($D434&amp;""))="estimate","N/A",IF(LOWER($L434&amp;"")="yes",0,IF(OR(AND($H434&lt;&gt;"",$H434=0),LEFT(LOWER(TRIM($F434&amp;"")),9)="free game",LOWER(TRIM($F434&amp;""))="free",LOWER(TRIM($F434&amp;""))="free entry"),IF(ISNUMBER($K434),$K434,""),IF($K434&lt;&gt;"",$K434,""))))))</ns0:f>
      </ns0:c>
      <ns0:c r="Q434" s="114">
        <ns0:f>IF(COUNTA($A434:$M434)=0,"",IF(OR($U434="Subscription",$U434=""),"",IF($U434="Estimate","N/A",IF($U434="Profit",ROUND(IFERROR($P434,0)-IFERROR($H434,0),2),0))))</ns0:f>
      </ns0:c>
      <ns0:c r="R434" s="114">
        <ns0:f>IF(COUNTA($A434:$M434)=0,"",IF(OR($U434="Subscription",$U434=""),"",IF($U434="Estimate","N/A",IF($U434="Draw",$H434,0))))</ns0:f>
      </ns0:c>
      <ns0:c r="S434" s="114">
        <ns0:f>IF(COUNTA($A434:$M434)=0,"",IF(OR($U434="Subscription",$U434=""),"",IF($U434="Estimate","N/A",IF($U434="Disqualified",$H434,0))))</ns0:f>
      </ns0:c>
      <ns0:c r="T434" s="955">
        <ns0:f>IF(COUNTA($A434:$M434)=0,"",IF(OR($U434="Subscription",$U434=""),"",IF($U434="Estimate","N/A",IF(OR($U434="Free Game",$U434="Disqualified — Free Game",$H434=0),"N/A",IF($U434="Profit",$Q434/$H434,IF($U434="Disqualified",-$S434/$H434,0))))))</ns0:f>
      </ns0:c>
      <ns0:c r="U434" s="920">
        <ns0:f>IF(COUNTA($A434:$M434)=0,"",IF(OR(LEFT(LOWER(TRIM($F434&amp;"")),12)="subscription",LOWER(TRIM($F434&amp;""))="membership"),"Subscription",IF(LOWER(TRIM($D434&amp;""))="estimate","Estimate",IF(OR(AND($H434&lt;&gt;"",$H434=0),LEFT(LOWER(TRIM($F434&amp;"")),9)="free game",LOWER(TRIM($F434&amp;""))="free",LOWER(TRIM($F434&amp;""))="free entry"),IF(LOWER($L434&amp;"")="yes","Disqualified — Free Game","Free Game"),IF(LOWER($L434&amp;"")="yes","Disqualified",IF($P434="","",IF(ROUND(IFERROR(VALUE($P434),0)-IFERROR(VALUE($H434),0),2)&gt;0,"Profit","Draw")))))))</ns0:f>
      </ns0:c>
      <ns0:c r="V434" s="956" t="str">
        <ns0:f>IF(COUNTA($A434:$M434)=0,"",IF(OR($B434="",$C434="",$U434="Subscription"),"",IFERROR(ROUNDUP(($C434-$B434)/7,0),"")))</ns0:f>
      </ns0:c>
      <ns0:c r="W434" s="114">
        <ns0:f>IF(COUNTA($A434:$M434)=0,"",IF(OR($U434="Subscription",$U434=""),"",IF($U434="Estimate","N/A",IF(OR($U434="Free Game",$U434="Disqualified — Free Game"),0,ROUND(IFERROR($Q434,0)-IFERROR($S434,0),2)))))</ns0:f>
      </ns0:c>
      <ns0:c r="X434" s="956" t="str">
        <ns0:f>IF(COUNTA($A434:$M434)=0,"",IF(OR($U434="Subscription",NOT(ISNUMBER($J434)),NOT(ISNUMBER($I434)),$J434=0,$I434=0,$I434&gt;$J434),"",$J434-$I434))</ns0:f>
      </ns0:c>
      <ns0:c r="Y434" s="955" t="str">
        <ns0:f>IF(COUNTA($A434:$M434)=0,"",IF(OR($U434="Subscription",NOT(ISNUMBER($J434)),$J434=0,$X434=""),"",$X434/$J434))</ns0:f>
      </ns0:c>
      <ns0:c r="Z434" s="957" t="str">
        <ns0:f>IF(COUNTA($A434:$M434)=0,"",Instructions!$B$29+SUM($W$5:W434))</ns0:f>
      </ns0:c>
    </ns0:row>
    <ns0:row r="435" ht="36" customHeight="1">
      <ns0:c r="A435" s="439"/>
      <ns0:c r="B435" s="453"/>
      <ns0:c r="C435" s="453"/>
      <ns0:c r="D435" s="454"/>
      <ns0:c r="E435" s="454"/>
      <ns0:c r="F435" s="454"/>
      <ns0:c r="G435" s="986"/>
      <ns0:c r="H435" s="455"/>
      <ns0:c r="I435" s="456"/>
      <ns0:c r="J435" s="456"/>
      <ns0:c r="K435" s="986"/>
      <ns0:c r="L435" s="454"/>
      <ns0:c r="M435" s="439"/>
      <ns0:c r="N435" s="987" t="str">
        <ns0:f>IF(COUNTA($A435:$M435)=0,"",IF(OR(LEFT(LOWER(TRIM($F435&amp;"")),12)="subscription",LOWER(TRIM($F435&amp;""))="membership"),"",IF(OR(AND($H435&lt;&gt;"",$H435=0),LEFT(LOWER(TRIM($F435&amp;"")),9)="free game",LOWER(TRIM($F435&amp;""))="free",LOWER(TRIM($F435&amp;""))="free entry"),IF(ISNUMBER($G435),IF(ISNUMBER(SEARCH("non",LOWER($E435&amp;""))),$G435*0.85,$G435),"N/A"),IF($G435="","",IFERROR(IF(ISNUMBER(SEARCH("non",LOWER($E435&amp;""))),$G435*0.85,$G435),"")))))</ns0:f>
        <ns0:v/>
      </ns0:c>
      <ns0:c r="O435" s="987" t="str">
        <ns0:f>IF(COUNTA($A435:$M435)=0,"",IF(OR(LEFT(LOWER(TRIM($F435&amp;"")),12)="subscription",LOWER(TRIM($F435&amp;""))="membership"),"",IF(OR(AND($H435&lt;&gt;"",$H435=0),LEFT(LOWER(TRIM($F435&amp;"")),9)="free game",LOWER(TRIM($F435&amp;""))="free",LOWER(TRIM($F435&amp;""))="free entry"),IF(OR(NOT(ISNUMBER($N435)),NOT(ISNUMBER($I435)),$I435=0),"N/A",IFERROR($N435/$I435,"N/A")),IF(OR($N435="",$I435="",$I435=0),"",IFERROR($N435/$I435,"")))))</ns0:f>
        <ns0:v/>
      </ns0:c>
      <ns0:c r="P435" s="987">
        <ns0:f>IF(COUNTA($A435:$M435)=0,"",IF(OR(LEFT(LOWER(TRIM($F435&amp;"")),12)="subscription",LOWER(TRIM($F435&amp;""))="membership"),"",IF(LOWER(TRIM($D435&amp;""))="estimate","N/A",IF(LOWER($L435&amp;"")="yes",0,IF(OR(AND($H435&lt;&gt;"",$H435=0),LEFT(LOWER(TRIM($F435&amp;"")),9)="free game",LOWER(TRIM($F435&amp;""))="free",LOWER(TRIM($F435&amp;""))="free entry"),IF(ISNUMBER($K435),$K435,""),IF($K435&lt;&gt;"",$K435,""))))))</ns0:f>
      </ns0:c>
      <ns0:c r="Q435" s="114">
        <ns0:f>IF(COUNTA($A435:$M435)=0,"",IF(OR($U435="Subscription",$U435=""),"",IF($U435="Estimate","N/A",IF($U435="Profit",ROUND(IFERROR($P435,0)-IFERROR($H435,0),2),0))))</ns0:f>
      </ns0:c>
      <ns0:c r="R435" s="114">
        <ns0:f>IF(COUNTA($A435:$M435)=0,"",IF(OR($U435="Subscription",$U435=""),"",IF($U435="Estimate","N/A",IF($U435="Draw",$H435,0))))</ns0:f>
      </ns0:c>
      <ns0:c r="S435" s="114">
        <ns0:f>IF(COUNTA($A435:$M435)=0,"",IF(OR($U435="Subscription",$U435=""),"",IF($U435="Estimate","N/A",IF($U435="Disqualified",$H435,0))))</ns0:f>
      </ns0:c>
      <ns0:c r="T435" s="955">
        <ns0:f>IF(COUNTA($A435:$M435)=0,"",IF(OR($U435="Subscription",$U435=""),"",IF($U435="Estimate","N/A",IF(OR($U435="Free Game",$U435="Disqualified — Free Game",$H435=0),"N/A",IF($U435="Profit",$Q435/$H435,IF($U435="Disqualified",-$S435/$H435,0))))))</ns0:f>
      </ns0:c>
      <ns0:c r="U435" s="920">
        <ns0:f>IF(COUNTA($A435:$M435)=0,"",IF(OR(LEFT(LOWER(TRIM($F435&amp;"")),12)="subscription",LOWER(TRIM($F435&amp;""))="membership"),"Subscription",IF(LOWER(TRIM($D435&amp;""))="estimate","Estimate",IF(OR(AND($H435&lt;&gt;"",$H435=0),LEFT(LOWER(TRIM($F435&amp;"")),9)="free game",LOWER(TRIM($F435&amp;""))="free",LOWER(TRIM($F435&amp;""))="free entry"),IF(LOWER($L435&amp;"")="yes","Disqualified — Free Game","Free Game"),IF(LOWER($L435&amp;"")="yes","Disqualified",IF($P435="","",IF(ROUND(IFERROR(VALUE($P435),0)-IFERROR(VALUE($H435),0),2)&gt;0,"Profit","Draw")))))))</ns0:f>
      </ns0:c>
      <ns0:c r="V435" s="956" t="str">
        <ns0:f>IF(COUNTA($A435:$M435)=0,"",IF(OR($B435="",$C435="",$U435="Subscription"),"",IFERROR(ROUNDUP(($C435-$B435)/7,0),"")))</ns0:f>
      </ns0:c>
      <ns0:c r="W435" s="114">
        <ns0:f>IF(COUNTA($A435:$M435)=0,"",IF(OR($U435="Subscription",$U435=""),"",IF($U435="Estimate","N/A",IF(OR($U435="Free Game",$U435="Disqualified — Free Game"),0,ROUND(IFERROR($Q435,0)-IFERROR($S435,0),2)))))</ns0:f>
      </ns0:c>
      <ns0:c r="X435" s="956" t="str">
        <ns0:f>IF(COUNTA($A435:$M435)=0,"",IF(OR($U435="Subscription",NOT(ISNUMBER($J435)),NOT(ISNUMBER($I435)),$J435=0,$I435=0,$I435&gt;$J435),"",$J435-$I435))</ns0:f>
      </ns0:c>
      <ns0:c r="Y435" s="955" t="str">
        <ns0:f>IF(COUNTA($A435:$M435)=0,"",IF(OR($U435="Subscription",NOT(ISNUMBER($J435)),$J435=0,$X435=""),"",$X435/$J435))</ns0:f>
      </ns0:c>
      <ns0:c r="Z435" s="957" t="str">
        <ns0:f>IF(COUNTA($A435:$M435)=0,"",Instructions!$B$29+SUM($W$5:W435))</ns0:f>
      </ns0:c>
    </ns0:row>
    <ns0:row r="436" ht="36" customHeight="1">
      <ns0:c r="A436" s="439"/>
      <ns0:c r="B436" s="453"/>
      <ns0:c r="C436" s="453"/>
      <ns0:c r="D436" s="454"/>
      <ns0:c r="E436" s="454"/>
      <ns0:c r="F436" s="454"/>
      <ns0:c r="G436" s="986"/>
      <ns0:c r="H436" s="455"/>
      <ns0:c r="I436" s="456"/>
      <ns0:c r="J436" s="456"/>
      <ns0:c r="K436" s="986"/>
      <ns0:c r="L436" s="454"/>
      <ns0:c r="M436" s="439"/>
      <ns0:c r="N436" s="987" t="str">
        <ns0:f>IF(COUNTA($A436:$M436)=0,"",IF(OR(LEFT(LOWER(TRIM($F436&amp;"")),12)="subscription",LOWER(TRIM($F436&amp;""))="membership"),"",IF(OR(AND($H436&lt;&gt;"",$H436=0),LEFT(LOWER(TRIM($F436&amp;"")),9)="free game",LOWER(TRIM($F436&amp;""))="free",LOWER(TRIM($F436&amp;""))="free entry"),IF(ISNUMBER($G436),IF(ISNUMBER(SEARCH("non",LOWER($E436&amp;""))),$G436*0.85,$G436),"N/A"),IF($G436="","",IFERROR(IF(ISNUMBER(SEARCH("non",LOWER($E436&amp;""))),$G436*0.85,$G436),"")))))</ns0:f>
        <ns0:v/>
      </ns0:c>
      <ns0:c r="O436" s="987" t="str">
        <ns0:f>IF(COUNTA($A436:$M436)=0,"",IF(OR(LEFT(LOWER(TRIM($F436&amp;"")),12)="subscription",LOWER(TRIM($F436&amp;""))="membership"),"",IF(OR(AND($H436&lt;&gt;"",$H436=0),LEFT(LOWER(TRIM($F436&amp;"")),9)="free game",LOWER(TRIM($F436&amp;""))="free",LOWER(TRIM($F436&amp;""))="free entry"),IF(OR(NOT(ISNUMBER($N436)),NOT(ISNUMBER($I436)),$I436=0),"N/A",IFERROR($N436/$I436,"N/A")),IF(OR($N436="",$I436="",$I436=0),"",IFERROR($N436/$I436,"")))))</ns0:f>
        <ns0:v/>
      </ns0:c>
      <ns0:c r="P436" s="987">
        <ns0:f>IF(COUNTA($A436:$M436)=0,"",IF(OR(LEFT(LOWER(TRIM($F436&amp;"")),12)="subscription",LOWER(TRIM($F436&amp;""))="membership"),"",IF(LOWER(TRIM($D436&amp;""))="estimate","N/A",IF(LOWER($L436&amp;"")="yes",0,IF(OR(AND($H436&lt;&gt;"",$H436=0),LEFT(LOWER(TRIM($F436&amp;"")),9)="free game",LOWER(TRIM($F436&amp;""))="free",LOWER(TRIM($F436&amp;""))="free entry"),IF(ISNUMBER($K436),$K436,""),IF($K436&lt;&gt;"",$K436,""))))))</ns0:f>
      </ns0:c>
      <ns0:c r="Q436" s="114">
        <ns0:f>IF(COUNTA($A436:$M436)=0,"",IF(OR($U436="Subscription",$U436=""),"",IF($U436="Estimate","N/A",IF($U436="Profit",ROUND(IFERROR($P436,0)-IFERROR($H436,0),2),0))))</ns0:f>
      </ns0:c>
      <ns0:c r="R436" s="114">
        <ns0:f>IF(COUNTA($A436:$M436)=0,"",IF(OR($U436="Subscription",$U436=""),"",IF($U436="Estimate","N/A",IF($U436="Draw",$H436,0))))</ns0:f>
      </ns0:c>
      <ns0:c r="S436" s="114">
        <ns0:f>IF(COUNTA($A436:$M436)=0,"",IF(OR($U436="Subscription",$U436=""),"",IF($U436="Estimate","N/A",IF($U436="Disqualified",$H436,0))))</ns0:f>
      </ns0:c>
      <ns0:c r="T436" s="955">
        <ns0:f>IF(COUNTA($A436:$M436)=0,"",IF(OR($U436="Subscription",$U436=""),"",IF($U436="Estimate","N/A",IF(OR($U436="Free Game",$U436="Disqualified — Free Game",$H436=0),"N/A",IF($U436="Profit",$Q436/$H436,IF($U436="Disqualified",-$S436/$H436,0))))))</ns0:f>
      </ns0:c>
      <ns0:c r="U436" s="920">
        <ns0:f>IF(COUNTA($A436:$M436)=0,"",IF(OR(LEFT(LOWER(TRIM($F436&amp;"")),12)="subscription",LOWER(TRIM($F436&amp;""))="membership"),"Subscription",IF(LOWER(TRIM($D436&amp;""))="estimate","Estimate",IF(OR(AND($H436&lt;&gt;"",$H436=0),LEFT(LOWER(TRIM($F436&amp;"")),9)="free game",LOWER(TRIM($F436&amp;""))="free",LOWER(TRIM($F436&amp;""))="free entry"),IF(LOWER($L436&amp;"")="yes","Disqualified — Free Game","Free Game"),IF(LOWER($L436&amp;"")="yes","Disqualified",IF($P436="","",IF(ROUND(IFERROR(VALUE($P436),0)-IFERROR(VALUE($H436),0),2)&gt;0,"Profit","Draw")))))))</ns0:f>
      </ns0:c>
      <ns0:c r="V436" s="956" t="str">
        <ns0:f>IF(COUNTA($A436:$M436)=0,"",IF(OR($B436="",$C436="",$U436="Subscription"),"",IFERROR(ROUNDUP(($C436-$B436)/7,0),"")))</ns0:f>
      </ns0:c>
      <ns0:c r="W436" s="114">
        <ns0:f>IF(COUNTA($A436:$M436)=0,"",IF(OR($U436="Subscription",$U436=""),"",IF($U436="Estimate","N/A",IF(OR($U436="Free Game",$U436="Disqualified — Free Game"),0,ROUND(IFERROR($Q436,0)-IFERROR($S436,0),2)))))</ns0:f>
      </ns0:c>
      <ns0:c r="X436" s="956" t="str">
        <ns0:f>IF(COUNTA($A436:$M436)=0,"",IF(OR($U436="Subscription",NOT(ISNUMBER($J436)),NOT(ISNUMBER($I436)),$J436=0,$I436=0,$I436&gt;$J436),"",$J436-$I436))</ns0:f>
      </ns0:c>
      <ns0:c r="Y436" s="955" t="str">
        <ns0:f>IF(COUNTA($A436:$M436)=0,"",IF(OR($U436="Subscription",NOT(ISNUMBER($J436)),$J436=0,$X436=""),"",$X436/$J436))</ns0:f>
      </ns0:c>
      <ns0:c r="Z436" s="957" t="str">
        <ns0:f>IF(COUNTA($A436:$M436)=0,"",Instructions!$B$29+SUM($W$5:W436))</ns0:f>
      </ns0:c>
    </ns0:row>
    <ns0:row r="437" ht="36" customHeight="1">
      <ns0:c r="A437" s="439"/>
      <ns0:c r="B437" s="453"/>
      <ns0:c r="C437" s="453"/>
      <ns0:c r="D437" s="454"/>
      <ns0:c r="E437" s="454"/>
      <ns0:c r="F437" s="454"/>
      <ns0:c r="G437" s="986"/>
      <ns0:c r="H437" s="455"/>
      <ns0:c r="I437" s="456"/>
      <ns0:c r="J437" s="456"/>
      <ns0:c r="K437" s="986"/>
      <ns0:c r="L437" s="454"/>
      <ns0:c r="M437" s="439"/>
      <ns0:c r="N437" s="987" t="str">
        <ns0:f>IF(COUNTA($A437:$M437)=0,"",IF(OR(LEFT(LOWER(TRIM($F437&amp;"")),12)="subscription",LOWER(TRIM($F437&amp;""))="membership"),"",IF(OR(AND($H437&lt;&gt;"",$H437=0),LEFT(LOWER(TRIM($F437&amp;"")),9)="free game",LOWER(TRIM($F437&amp;""))="free",LOWER(TRIM($F437&amp;""))="free entry"),IF(ISNUMBER($G437),IF(ISNUMBER(SEARCH("non",LOWER($E437&amp;""))),$G437*0.85,$G437),"N/A"),IF($G437="","",IFERROR(IF(ISNUMBER(SEARCH("non",LOWER($E437&amp;""))),$G437*0.85,$G437),"")))))</ns0:f>
        <ns0:v/>
      </ns0:c>
      <ns0:c r="O437" s="987" t="str">
        <ns0:f>IF(COUNTA($A437:$M437)=0,"",IF(OR(LEFT(LOWER(TRIM($F437&amp;"")),12)="subscription",LOWER(TRIM($F437&amp;""))="membership"),"",IF(OR(AND($H437&lt;&gt;"",$H437=0),LEFT(LOWER(TRIM($F437&amp;"")),9)="free game",LOWER(TRIM($F437&amp;""))="free",LOWER(TRIM($F437&amp;""))="free entry"),IF(OR(NOT(ISNUMBER($N437)),NOT(ISNUMBER($I437)),$I437=0),"N/A",IFERROR($N437/$I437,"N/A")),IF(OR($N437="",$I437="",$I437=0),"",IFERROR($N437/$I437,"")))))</ns0:f>
        <ns0:v/>
      </ns0:c>
      <ns0:c r="P437" s="987">
        <ns0:f>IF(COUNTA($A437:$M437)=0,"",IF(OR(LEFT(LOWER(TRIM($F437&amp;"")),12)="subscription",LOWER(TRIM($F437&amp;""))="membership"),"",IF(LOWER(TRIM($D437&amp;""))="estimate","N/A",IF(LOWER($L437&amp;"")="yes",0,IF(OR(AND($H437&lt;&gt;"",$H437=0),LEFT(LOWER(TRIM($F437&amp;"")),9)="free game",LOWER(TRIM($F437&amp;""))="free",LOWER(TRIM($F437&amp;""))="free entry"),IF(ISNUMBER($K437),$K437,""),IF($K437&lt;&gt;"",$K437,""))))))</ns0:f>
      </ns0:c>
      <ns0:c r="Q437" s="114">
        <ns0:f>IF(COUNTA($A437:$M437)=0,"",IF(OR($U437="Subscription",$U437=""),"",IF($U437="Estimate","N/A",IF($U437="Profit",ROUND(IFERROR($P437,0)-IFERROR($H437,0),2),0))))</ns0:f>
      </ns0:c>
      <ns0:c r="R437" s="114">
        <ns0:f>IF(COUNTA($A437:$M437)=0,"",IF(OR($U437="Subscription",$U437=""),"",IF($U437="Estimate","N/A",IF($U437="Draw",$H437,0))))</ns0:f>
      </ns0:c>
      <ns0:c r="S437" s="114">
        <ns0:f>IF(COUNTA($A437:$M437)=0,"",IF(OR($U437="Subscription",$U437=""),"",IF($U437="Estimate","N/A",IF($U437="Disqualified",$H437,0))))</ns0:f>
      </ns0:c>
      <ns0:c r="T437" s="955">
        <ns0:f>IF(COUNTA($A437:$M437)=0,"",IF(OR($U437="Subscription",$U437=""),"",IF($U437="Estimate","N/A",IF(OR($U437="Free Game",$U437="Disqualified — Free Game",$H437=0),"N/A",IF($U437="Profit",$Q437/$H437,IF($U437="Disqualified",-$S437/$H437,0))))))</ns0:f>
      </ns0:c>
      <ns0:c r="U437" s="920">
        <ns0:f>IF(COUNTA($A437:$M437)=0,"",IF(OR(LEFT(LOWER(TRIM($F437&amp;"")),12)="subscription",LOWER(TRIM($F437&amp;""))="membership"),"Subscription",IF(LOWER(TRIM($D437&amp;""))="estimate","Estimate",IF(OR(AND($H437&lt;&gt;"",$H437=0),LEFT(LOWER(TRIM($F437&amp;"")),9)="free game",LOWER(TRIM($F437&amp;""))="free",LOWER(TRIM($F437&amp;""))="free entry"),IF(LOWER($L437&amp;"")="yes","Disqualified — Free Game","Free Game"),IF(LOWER($L437&amp;"")="yes","Disqualified",IF($P437="","",IF(ROUND(IFERROR(VALUE($P437),0)-IFERROR(VALUE($H437),0),2)&gt;0,"Profit","Draw")))))))</ns0:f>
      </ns0:c>
      <ns0:c r="V437" s="956" t="str">
        <ns0:f>IF(COUNTA($A437:$M437)=0,"",IF(OR($B437="",$C437="",$U437="Subscription"),"",IFERROR(ROUNDUP(($C437-$B437)/7,0),"")))</ns0:f>
      </ns0:c>
      <ns0:c r="W437" s="114">
        <ns0:f>IF(COUNTA($A437:$M437)=0,"",IF(OR($U437="Subscription",$U437=""),"",IF($U437="Estimate","N/A",IF(OR($U437="Free Game",$U437="Disqualified — Free Game"),0,ROUND(IFERROR($Q437,0)-IFERROR($S437,0),2)))))</ns0:f>
      </ns0:c>
      <ns0:c r="X437" s="956" t="str">
        <ns0:f>IF(COUNTA($A437:$M437)=0,"",IF(OR($U437="Subscription",NOT(ISNUMBER($J437)),NOT(ISNUMBER($I437)),$J437=0,$I437=0,$I437&gt;$J437),"",$J437-$I437))</ns0:f>
      </ns0:c>
      <ns0:c r="Y437" s="955" t="str">
        <ns0:f>IF(COUNTA($A437:$M437)=0,"",IF(OR($U437="Subscription",NOT(ISNUMBER($J437)),$J437=0,$X437=""),"",$X437/$J437))</ns0:f>
      </ns0:c>
      <ns0:c r="Z437" s="957" t="str">
        <ns0:f>IF(COUNTA($A437:$M437)=0,"",Instructions!$B$29+SUM($W$5:W437))</ns0:f>
      </ns0:c>
    </ns0:row>
    <ns0:row r="438" ht="36" customHeight="1">
      <ns0:c r="A438" s="439"/>
      <ns0:c r="B438" s="453"/>
      <ns0:c r="C438" s="453"/>
      <ns0:c r="D438" s="454"/>
      <ns0:c r="E438" s="454"/>
      <ns0:c r="F438" s="454"/>
      <ns0:c r="G438" s="986"/>
      <ns0:c r="H438" s="455"/>
      <ns0:c r="I438" s="456"/>
      <ns0:c r="J438" s="456"/>
      <ns0:c r="K438" s="986"/>
      <ns0:c r="L438" s="454"/>
      <ns0:c r="M438" s="439"/>
      <ns0:c r="N438" s="987" t="str">
        <ns0:f>IF(COUNTA($A438:$M438)=0,"",IF(OR(LEFT(LOWER(TRIM($F438&amp;"")),12)="subscription",LOWER(TRIM($F438&amp;""))="membership"),"",IF(OR(AND($H438&lt;&gt;"",$H438=0),LEFT(LOWER(TRIM($F438&amp;"")),9)="free game",LOWER(TRIM($F438&amp;""))="free",LOWER(TRIM($F438&amp;""))="free entry"),IF(ISNUMBER($G438),IF(ISNUMBER(SEARCH("non",LOWER($E438&amp;""))),$G438*0.85,$G438),"N/A"),IF($G438="","",IFERROR(IF(ISNUMBER(SEARCH("non",LOWER($E438&amp;""))),$G438*0.85,$G438),"")))))</ns0:f>
        <ns0:v/>
      </ns0:c>
      <ns0:c r="O438" s="987" t="str">
        <ns0:f>IF(COUNTA($A438:$M438)=0,"",IF(OR(LEFT(LOWER(TRIM($F438&amp;"")),12)="subscription",LOWER(TRIM($F438&amp;""))="membership"),"",IF(OR(AND($H438&lt;&gt;"",$H438=0),LEFT(LOWER(TRIM($F438&amp;"")),9)="free game",LOWER(TRIM($F438&amp;""))="free",LOWER(TRIM($F438&amp;""))="free entry"),IF(OR(NOT(ISNUMBER($N438)),NOT(ISNUMBER($I438)),$I438=0),"N/A",IFERROR($N438/$I438,"N/A")),IF(OR($N438="",$I438="",$I438=0),"",IFERROR($N438/$I438,"")))))</ns0:f>
        <ns0:v/>
      </ns0:c>
      <ns0:c r="P438" s="987">
        <ns0:f>IF(COUNTA($A438:$M438)=0,"",IF(OR(LEFT(LOWER(TRIM($F438&amp;"")),12)="subscription",LOWER(TRIM($F438&amp;""))="membership"),"",IF(LOWER(TRIM($D438&amp;""))="estimate","N/A",IF(LOWER($L438&amp;"")="yes",0,IF(OR(AND($H438&lt;&gt;"",$H438=0),LEFT(LOWER(TRIM($F438&amp;"")),9)="free game",LOWER(TRIM($F438&amp;""))="free",LOWER(TRIM($F438&amp;""))="free entry"),IF(ISNUMBER($K438),$K438,""),IF($K438&lt;&gt;"",$K438,""))))))</ns0:f>
      </ns0:c>
      <ns0:c r="Q438" s="114">
        <ns0:f>IF(COUNTA($A438:$M438)=0,"",IF(OR($U438="Subscription",$U438=""),"",IF($U438="Estimate","N/A",IF($U438="Profit",ROUND(IFERROR($P438,0)-IFERROR($H438,0),2),0))))</ns0:f>
      </ns0:c>
      <ns0:c r="R438" s="114">
        <ns0:f>IF(COUNTA($A438:$M438)=0,"",IF(OR($U438="Subscription",$U438=""),"",IF($U438="Estimate","N/A",IF($U438="Draw",$H438,0))))</ns0:f>
      </ns0:c>
      <ns0:c r="S438" s="114">
        <ns0:f>IF(COUNTA($A438:$M438)=0,"",IF(OR($U438="Subscription",$U438=""),"",IF($U438="Estimate","N/A",IF($U438="Disqualified",$H438,0))))</ns0:f>
      </ns0:c>
      <ns0:c r="T438" s="955">
        <ns0:f>IF(COUNTA($A438:$M438)=0,"",IF(OR($U438="Subscription",$U438=""),"",IF($U438="Estimate","N/A",IF(OR($U438="Free Game",$U438="Disqualified — Free Game",$H438=0),"N/A",IF($U438="Profit",$Q438/$H438,IF($U438="Disqualified",-$S438/$H438,0))))))</ns0:f>
      </ns0:c>
      <ns0:c r="U438" s="920">
        <ns0:f>IF(COUNTA($A438:$M438)=0,"",IF(OR(LEFT(LOWER(TRIM($F438&amp;"")),12)="subscription",LOWER(TRIM($F438&amp;""))="membership"),"Subscription",IF(LOWER(TRIM($D438&amp;""))="estimate","Estimate",IF(OR(AND($H438&lt;&gt;"",$H438=0),LEFT(LOWER(TRIM($F438&amp;"")),9)="free game",LOWER(TRIM($F438&amp;""))="free",LOWER(TRIM($F438&amp;""))="free entry"),IF(LOWER($L438&amp;"")="yes","Disqualified — Free Game","Free Game"),IF(LOWER($L438&amp;"")="yes","Disqualified",IF($P438="","",IF(ROUND(IFERROR(VALUE($P438),0)-IFERROR(VALUE($H438),0),2)&gt;0,"Profit","Draw")))))))</ns0:f>
      </ns0:c>
      <ns0:c r="V438" s="956" t="str">
        <ns0:f>IF(COUNTA($A438:$M438)=0,"",IF(OR($B438="",$C438="",$U438="Subscription"),"",IFERROR(ROUNDUP(($C438-$B438)/7,0),"")))</ns0:f>
      </ns0:c>
      <ns0:c r="W438" s="114">
        <ns0:f>IF(COUNTA($A438:$M438)=0,"",IF(OR($U438="Subscription",$U438=""),"",IF($U438="Estimate","N/A",IF(OR($U438="Free Game",$U438="Disqualified — Free Game"),0,ROUND(IFERROR($Q438,0)-IFERROR($S438,0),2)))))</ns0:f>
      </ns0:c>
      <ns0:c r="X438" s="956" t="str">
        <ns0:f>IF(COUNTA($A438:$M438)=0,"",IF(OR($U438="Subscription",NOT(ISNUMBER($J438)),NOT(ISNUMBER($I438)),$J438=0,$I438=0,$I438&gt;$J438),"",$J438-$I438))</ns0:f>
      </ns0:c>
      <ns0:c r="Y438" s="955" t="str">
        <ns0:f>IF(COUNTA($A438:$M438)=0,"",IF(OR($U438="Subscription",NOT(ISNUMBER($J438)),$J438=0,$X438=""),"",$X438/$J438))</ns0:f>
      </ns0:c>
      <ns0:c r="Z438" s="957" t="str">
        <ns0:f>IF(COUNTA($A438:$M438)=0,"",Instructions!$B$29+SUM($W$5:W438))</ns0:f>
      </ns0:c>
    </ns0:row>
    <ns0:row r="439" ht="36" customHeight="1">
      <ns0:c r="A439" s="439"/>
      <ns0:c r="B439" s="453"/>
      <ns0:c r="C439" s="453"/>
      <ns0:c r="D439" s="454"/>
      <ns0:c r="E439" s="454"/>
      <ns0:c r="F439" s="454"/>
      <ns0:c r="G439" s="986"/>
      <ns0:c r="H439" s="455"/>
      <ns0:c r="I439" s="456"/>
      <ns0:c r="J439" s="456"/>
      <ns0:c r="K439" s="986"/>
      <ns0:c r="L439" s="454"/>
      <ns0:c r="M439" s="439"/>
      <ns0:c r="N439" s="987" t="str">
        <ns0:f>IF(COUNTA($A439:$M439)=0,"",IF(OR(LEFT(LOWER(TRIM($F439&amp;"")),12)="subscription",LOWER(TRIM($F439&amp;""))="membership"),"",IF(OR(AND($H439&lt;&gt;"",$H439=0),LEFT(LOWER(TRIM($F439&amp;"")),9)="free game",LOWER(TRIM($F439&amp;""))="free",LOWER(TRIM($F439&amp;""))="free entry"),IF(ISNUMBER($G439),IF(ISNUMBER(SEARCH("non",LOWER($E439&amp;""))),$G439*0.85,$G439),"N/A"),IF($G439="","",IFERROR(IF(ISNUMBER(SEARCH("non",LOWER($E439&amp;""))),$G439*0.85,$G439),"")))))</ns0:f>
        <ns0:v/>
      </ns0:c>
      <ns0:c r="O439" s="987" t="str">
        <ns0:f>IF(COUNTA($A439:$M439)=0,"",IF(OR(LEFT(LOWER(TRIM($F439&amp;"")),12)="subscription",LOWER(TRIM($F439&amp;""))="membership"),"",IF(OR(AND($H439&lt;&gt;"",$H439=0),LEFT(LOWER(TRIM($F439&amp;"")),9)="free game",LOWER(TRIM($F439&amp;""))="free",LOWER(TRIM($F439&amp;""))="free entry"),IF(OR(NOT(ISNUMBER($N439)),NOT(ISNUMBER($I439)),$I439=0),"N/A",IFERROR($N439/$I439,"N/A")),IF(OR($N439="",$I439="",$I439=0),"",IFERROR($N439/$I439,"")))))</ns0:f>
        <ns0:v/>
      </ns0:c>
      <ns0:c r="P439" s="987">
        <ns0:f>IF(COUNTA($A439:$M439)=0,"",IF(OR(LEFT(LOWER(TRIM($F439&amp;"")),12)="subscription",LOWER(TRIM($F439&amp;""))="membership"),"",IF(LOWER(TRIM($D439&amp;""))="estimate","N/A",IF(LOWER($L439&amp;"")="yes",0,IF(OR(AND($H439&lt;&gt;"",$H439=0),LEFT(LOWER(TRIM($F439&amp;"")),9)="free game",LOWER(TRIM($F439&amp;""))="free",LOWER(TRIM($F439&amp;""))="free entry"),IF(ISNUMBER($K439),$K439,""),IF($K439&lt;&gt;"",$K439,""))))))</ns0:f>
      </ns0:c>
      <ns0:c r="Q439" s="114">
        <ns0:f>IF(COUNTA($A439:$M439)=0,"",IF(OR($U439="Subscription",$U439=""),"",IF($U439="Estimate","N/A",IF($U439="Profit",ROUND(IFERROR($P439,0)-IFERROR($H439,0),2),0))))</ns0:f>
      </ns0:c>
      <ns0:c r="R439" s="114">
        <ns0:f>IF(COUNTA($A439:$M439)=0,"",IF(OR($U439="Subscription",$U439=""),"",IF($U439="Estimate","N/A",IF($U439="Draw",$H439,0))))</ns0:f>
      </ns0:c>
      <ns0:c r="S439" s="114">
        <ns0:f>IF(COUNTA($A439:$M439)=0,"",IF(OR($U439="Subscription",$U439=""),"",IF($U439="Estimate","N/A",IF($U439="Disqualified",$H439,0))))</ns0:f>
      </ns0:c>
      <ns0:c r="T439" s="955">
        <ns0:f>IF(COUNTA($A439:$M439)=0,"",IF(OR($U439="Subscription",$U439=""),"",IF($U439="Estimate","N/A",IF(OR($U439="Free Game",$U439="Disqualified — Free Game",$H439=0),"N/A",IF($U439="Profit",$Q439/$H439,IF($U439="Disqualified",-$S439/$H439,0))))))</ns0:f>
      </ns0:c>
      <ns0:c r="U439" s="920">
        <ns0:f>IF(COUNTA($A439:$M439)=0,"",IF(OR(LEFT(LOWER(TRIM($F439&amp;"")),12)="subscription",LOWER(TRIM($F439&amp;""))="membership"),"Subscription",IF(LOWER(TRIM($D439&amp;""))="estimate","Estimate",IF(OR(AND($H439&lt;&gt;"",$H439=0),LEFT(LOWER(TRIM($F439&amp;"")),9)="free game",LOWER(TRIM($F439&amp;""))="free",LOWER(TRIM($F439&amp;""))="free entry"),IF(LOWER($L439&amp;"")="yes","Disqualified — Free Game","Free Game"),IF(LOWER($L439&amp;"")="yes","Disqualified",IF($P439="","",IF(ROUND(IFERROR(VALUE($P439),0)-IFERROR(VALUE($H439),0),2)&gt;0,"Profit","Draw")))))))</ns0:f>
      </ns0:c>
      <ns0:c r="V439" s="956" t="str">
        <ns0:f>IF(COUNTA($A439:$M439)=0,"",IF(OR($B439="",$C439="",$U439="Subscription"),"",IFERROR(ROUNDUP(($C439-$B439)/7,0),"")))</ns0:f>
      </ns0:c>
      <ns0:c r="W439" s="114">
        <ns0:f>IF(COUNTA($A439:$M439)=0,"",IF(OR($U439="Subscription",$U439=""),"",IF($U439="Estimate","N/A",IF(OR($U439="Free Game",$U439="Disqualified — Free Game"),0,ROUND(IFERROR($Q439,0)-IFERROR($S439,0),2)))))</ns0:f>
      </ns0:c>
      <ns0:c r="X439" s="956" t="str">
        <ns0:f>IF(COUNTA($A439:$M439)=0,"",IF(OR($U439="Subscription",NOT(ISNUMBER($J439)),NOT(ISNUMBER($I439)),$J439=0,$I439=0,$I439&gt;$J439),"",$J439-$I439))</ns0:f>
      </ns0:c>
      <ns0:c r="Y439" s="955" t="str">
        <ns0:f>IF(COUNTA($A439:$M439)=0,"",IF(OR($U439="Subscription",NOT(ISNUMBER($J439)),$J439=0,$X439=""),"",$X439/$J439))</ns0:f>
      </ns0:c>
      <ns0:c r="Z439" s="957" t="str">
        <ns0:f>IF(COUNTA($A439:$M439)=0,"",Instructions!$B$29+SUM($W$5:W439))</ns0:f>
      </ns0:c>
    </ns0:row>
    <ns0:row r="440" ht="36" customHeight="1">
      <ns0:c r="A440" s="439"/>
      <ns0:c r="B440" s="453"/>
      <ns0:c r="C440" s="453"/>
      <ns0:c r="D440" s="454"/>
      <ns0:c r="E440" s="454"/>
      <ns0:c r="F440" s="454"/>
      <ns0:c r="G440" s="986"/>
      <ns0:c r="H440" s="455"/>
      <ns0:c r="I440" s="456"/>
      <ns0:c r="J440" s="456"/>
      <ns0:c r="K440" s="986"/>
      <ns0:c r="L440" s="454"/>
      <ns0:c r="M440" s="439"/>
      <ns0:c r="N440" s="987" t="str">
        <ns0:f>IF(COUNTA($A440:$M440)=0,"",IF(OR(LEFT(LOWER(TRIM($F440&amp;"")),12)="subscription",LOWER(TRIM($F440&amp;""))="membership"),"",IF(OR(AND($H440&lt;&gt;"",$H440=0),LEFT(LOWER(TRIM($F440&amp;"")),9)="free game",LOWER(TRIM($F440&amp;""))="free",LOWER(TRIM($F440&amp;""))="free entry"),IF(ISNUMBER($G440),IF(ISNUMBER(SEARCH("non",LOWER($E440&amp;""))),$G440*0.85,$G440),"N/A"),IF($G440="","",IFERROR(IF(ISNUMBER(SEARCH("non",LOWER($E440&amp;""))),$G440*0.85,$G440),"")))))</ns0:f>
        <ns0:v/>
      </ns0:c>
      <ns0:c r="O440" s="987" t="str">
        <ns0:f>IF(COUNTA($A440:$M440)=0,"",IF(OR(LEFT(LOWER(TRIM($F440&amp;"")),12)="subscription",LOWER(TRIM($F440&amp;""))="membership"),"",IF(OR(AND($H440&lt;&gt;"",$H440=0),LEFT(LOWER(TRIM($F440&amp;"")),9)="free game",LOWER(TRIM($F440&amp;""))="free",LOWER(TRIM($F440&amp;""))="free entry"),IF(OR(NOT(ISNUMBER($N440)),NOT(ISNUMBER($I440)),$I440=0),"N/A",IFERROR($N440/$I440,"N/A")),IF(OR($N440="",$I440="",$I440=0),"",IFERROR($N440/$I440,"")))))</ns0:f>
        <ns0:v/>
      </ns0:c>
      <ns0:c r="P440" s="987">
        <ns0:f>IF(COUNTA($A440:$M440)=0,"",IF(OR(LEFT(LOWER(TRIM($F440&amp;"")),12)="subscription",LOWER(TRIM($F440&amp;""))="membership"),"",IF(LOWER(TRIM($D440&amp;""))="estimate","N/A",IF(LOWER($L440&amp;"")="yes",0,IF(OR(AND($H440&lt;&gt;"",$H440=0),LEFT(LOWER(TRIM($F440&amp;"")),9)="free game",LOWER(TRIM($F440&amp;""))="free",LOWER(TRIM($F440&amp;""))="free entry"),IF(ISNUMBER($K440),$K440,""),IF($K440&lt;&gt;"",$K440,""))))))</ns0:f>
      </ns0:c>
      <ns0:c r="Q440" s="114">
        <ns0:f>IF(COUNTA($A440:$M440)=0,"",IF(OR($U440="Subscription",$U440=""),"",IF($U440="Estimate","N/A",IF($U440="Profit",ROUND(IFERROR($P440,0)-IFERROR($H440,0),2),0))))</ns0:f>
      </ns0:c>
      <ns0:c r="R440" s="114">
        <ns0:f>IF(COUNTA($A440:$M440)=0,"",IF(OR($U440="Subscription",$U440=""),"",IF($U440="Estimate","N/A",IF($U440="Draw",$H440,0))))</ns0:f>
      </ns0:c>
      <ns0:c r="S440" s="114">
        <ns0:f>IF(COUNTA($A440:$M440)=0,"",IF(OR($U440="Subscription",$U440=""),"",IF($U440="Estimate","N/A",IF($U440="Disqualified",$H440,0))))</ns0:f>
      </ns0:c>
      <ns0:c r="T440" s="955">
        <ns0:f>IF(COUNTA($A440:$M440)=0,"",IF(OR($U440="Subscription",$U440=""),"",IF($U440="Estimate","N/A",IF(OR($U440="Free Game",$U440="Disqualified — Free Game",$H440=0),"N/A",IF($U440="Profit",$Q440/$H440,IF($U440="Disqualified",-$S440/$H440,0))))))</ns0:f>
      </ns0:c>
      <ns0:c r="U440" s="920">
        <ns0:f>IF(COUNTA($A440:$M440)=0,"",IF(OR(LEFT(LOWER(TRIM($F440&amp;"")),12)="subscription",LOWER(TRIM($F440&amp;""))="membership"),"Subscription",IF(LOWER(TRIM($D440&amp;""))="estimate","Estimate",IF(OR(AND($H440&lt;&gt;"",$H440=0),LEFT(LOWER(TRIM($F440&amp;"")),9)="free game",LOWER(TRIM($F440&amp;""))="free",LOWER(TRIM($F440&amp;""))="free entry"),IF(LOWER($L440&amp;"")="yes","Disqualified — Free Game","Free Game"),IF(LOWER($L440&amp;"")="yes","Disqualified",IF($P440="","",IF(ROUND(IFERROR(VALUE($P440),0)-IFERROR(VALUE($H440),0),2)&gt;0,"Profit","Draw")))))))</ns0:f>
      </ns0:c>
      <ns0:c r="V440" s="956" t="str">
        <ns0:f>IF(COUNTA($A440:$M440)=0,"",IF(OR($B440="",$C440="",$U440="Subscription"),"",IFERROR(ROUNDUP(($C440-$B440)/7,0),"")))</ns0:f>
      </ns0:c>
      <ns0:c r="W440" s="114">
        <ns0:f>IF(COUNTA($A440:$M440)=0,"",IF(OR($U440="Subscription",$U440=""),"",IF($U440="Estimate","N/A",IF(OR($U440="Free Game",$U440="Disqualified — Free Game"),0,ROUND(IFERROR($Q440,0)-IFERROR($S440,0),2)))))</ns0:f>
      </ns0:c>
      <ns0:c r="X440" s="956" t="str">
        <ns0:f>IF(COUNTA($A440:$M440)=0,"",IF(OR($U440="Subscription",NOT(ISNUMBER($J440)),NOT(ISNUMBER($I440)),$J440=0,$I440=0,$I440&gt;$J440),"",$J440-$I440))</ns0:f>
      </ns0:c>
      <ns0:c r="Y440" s="955" t="str">
        <ns0:f>IF(COUNTA($A440:$M440)=0,"",IF(OR($U440="Subscription",NOT(ISNUMBER($J440)),$J440=0,$X440=""),"",$X440/$J440))</ns0:f>
      </ns0:c>
      <ns0:c r="Z440" s="957" t="str">
        <ns0:f>IF(COUNTA($A440:$M440)=0,"",Instructions!$B$29+SUM($W$5:W440))</ns0:f>
      </ns0:c>
    </ns0:row>
    <ns0:row r="441" ht="36" customHeight="1">
      <ns0:c r="A441" s="439"/>
      <ns0:c r="B441" s="453"/>
      <ns0:c r="C441" s="453"/>
      <ns0:c r="D441" s="454"/>
      <ns0:c r="E441" s="454"/>
      <ns0:c r="F441" s="454"/>
      <ns0:c r="G441" s="986"/>
      <ns0:c r="H441" s="455"/>
      <ns0:c r="I441" s="456"/>
      <ns0:c r="J441" s="456"/>
      <ns0:c r="K441" s="986"/>
      <ns0:c r="L441" s="454"/>
      <ns0:c r="M441" s="439"/>
      <ns0:c r="N441" s="987" t="str">
        <ns0:f>IF(COUNTA($A441:$M441)=0,"",IF(OR(LEFT(LOWER(TRIM($F441&amp;"")),12)="subscription",LOWER(TRIM($F441&amp;""))="membership"),"",IF(OR(AND($H441&lt;&gt;"",$H441=0),LEFT(LOWER(TRIM($F441&amp;"")),9)="free game",LOWER(TRIM($F441&amp;""))="free",LOWER(TRIM($F441&amp;""))="free entry"),IF(ISNUMBER($G441),IF(ISNUMBER(SEARCH("non",LOWER($E441&amp;""))),$G441*0.85,$G441),"N/A"),IF($G441="","",IFERROR(IF(ISNUMBER(SEARCH("non",LOWER($E441&amp;""))),$G441*0.85,$G441),"")))))</ns0:f>
        <ns0:v/>
      </ns0:c>
      <ns0:c r="O441" s="987" t="str">
        <ns0:f>IF(COUNTA($A441:$M441)=0,"",IF(OR(LEFT(LOWER(TRIM($F441&amp;"")),12)="subscription",LOWER(TRIM($F441&amp;""))="membership"),"",IF(OR(AND($H441&lt;&gt;"",$H441=0),LEFT(LOWER(TRIM($F441&amp;"")),9)="free game",LOWER(TRIM($F441&amp;""))="free",LOWER(TRIM($F441&amp;""))="free entry"),IF(OR(NOT(ISNUMBER($N441)),NOT(ISNUMBER($I441)),$I441=0),"N/A",IFERROR($N441/$I441,"N/A")),IF(OR($N441="",$I441="",$I441=0),"",IFERROR($N441/$I441,"")))))</ns0:f>
        <ns0:v/>
      </ns0:c>
      <ns0:c r="P441" s="987">
        <ns0:f>IF(COUNTA($A441:$M441)=0,"",IF(OR(LEFT(LOWER(TRIM($F441&amp;"")),12)="subscription",LOWER(TRIM($F441&amp;""))="membership"),"",IF(LOWER(TRIM($D441&amp;""))="estimate","N/A",IF(LOWER($L441&amp;"")="yes",0,IF(OR(AND($H441&lt;&gt;"",$H441=0),LEFT(LOWER(TRIM($F441&amp;"")),9)="free game",LOWER(TRIM($F441&amp;""))="free",LOWER(TRIM($F441&amp;""))="free entry"),IF(ISNUMBER($K441),$K441,""),IF($K441&lt;&gt;"",$K441,""))))))</ns0:f>
      </ns0:c>
      <ns0:c r="Q441" s="114">
        <ns0:f>IF(COUNTA($A441:$M441)=0,"",IF(OR($U441="Subscription",$U441=""),"",IF($U441="Estimate","N/A",IF($U441="Profit",ROUND(IFERROR($P441,0)-IFERROR($H441,0),2),0))))</ns0:f>
      </ns0:c>
      <ns0:c r="R441" s="114">
        <ns0:f>IF(COUNTA($A441:$M441)=0,"",IF(OR($U441="Subscription",$U441=""),"",IF($U441="Estimate","N/A",IF($U441="Draw",$H441,0))))</ns0:f>
      </ns0:c>
      <ns0:c r="S441" s="114">
        <ns0:f>IF(COUNTA($A441:$M441)=0,"",IF(OR($U441="Subscription",$U441=""),"",IF($U441="Estimate","N/A",IF($U441="Disqualified",$H441,0))))</ns0:f>
      </ns0:c>
      <ns0:c r="T441" s="955">
        <ns0:f>IF(COUNTA($A441:$M441)=0,"",IF(OR($U441="Subscription",$U441=""),"",IF($U441="Estimate","N/A",IF(OR($U441="Free Game",$U441="Disqualified — Free Game",$H441=0),"N/A",IF($U441="Profit",$Q441/$H441,IF($U441="Disqualified",-$S441/$H441,0))))))</ns0:f>
      </ns0:c>
      <ns0:c r="U441" s="920">
        <ns0:f>IF(COUNTA($A441:$M441)=0,"",IF(OR(LEFT(LOWER(TRIM($F441&amp;"")),12)="subscription",LOWER(TRIM($F441&amp;""))="membership"),"Subscription",IF(LOWER(TRIM($D441&amp;""))="estimate","Estimate",IF(OR(AND($H441&lt;&gt;"",$H441=0),LEFT(LOWER(TRIM($F441&amp;"")),9)="free game",LOWER(TRIM($F441&amp;""))="free",LOWER(TRIM($F441&amp;""))="free entry"),IF(LOWER($L441&amp;"")="yes","Disqualified — Free Game","Free Game"),IF(LOWER($L441&amp;"")="yes","Disqualified",IF($P441="","",IF(ROUND(IFERROR(VALUE($P441),0)-IFERROR(VALUE($H441),0),2)&gt;0,"Profit","Draw")))))))</ns0:f>
      </ns0:c>
      <ns0:c r="V441" s="956" t="str">
        <ns0:f>IF(COUNTA($A441:$M441)=0,"",IF(OR($B441="",$C441="",$U441="Subscription"),"",IFERROR(ROUNDUP(($C441-$B441)/7,0),"")))</ns0:f>
      </ns0:c>
      <ns0:c r="W441" s="114">
        <ns0:f>IF(COUNTA($A441:$M441)=0,"",IF(OR($U441="Subscription",$U441=""),"",IF($U441="Estimate","N/A",IF(OR($U441="Free Game",$U441="Disqualified — Free Game"),0,ROUND(IFERROR($Q441,0)-IFERROR($S441,0),2)))))</ns0:f>
      </ns0:c>
      <ns0:c r="X441" s="956" t="str">
        <ns0:f>IF(COUNTA($A441:$M441)=0,"",IF(OR($U441="Subscription",NOT(ISNUMBER($J441)),NOT(ISNUMBER($I441)),$J441=0,$I441=0,$I441&gt;$J441),"",$J441-$I441))</ns0:f>
      </ns0:c>
      <ns0:c r="Y441" s="955" t="str">
        <ns0:f>IF(COUNTA($A441:$M441)=0,"",IF(OR($U441="Subscription",NOT(ISNUMBER($J441)),$J441=0,$X441=""),"",$X441/$J441))</ns0:f>
      </ns0:c>
      <ns0:c r="Z441" s="957" t="str">
        <ns0:f>IF(COUNTA($A441:$M441)=0,"",Instructions!$B$29+SUM($W$5:W441))</ns0:f>
      </ns0:c>
    </ns0:row>
    <ns0:row r="442" ht="36" customHeight="1">
      <ns0:c r="A442" s="439"/>
      <ns0:c r="B442" s="453"/>
      <ns0:c r="C442" s="453"/>
      <ns0:c r="D442" s="454"/>
      <ns0:c r="E442" s="454"/>
      <ns0:c r="F442" s="454"/>
      <ns0:c r="G442" s="986"/>
      <ns0:c r="H442" s="455"/>
      <ns0:c r="I442" s="456"/>
      <ns0:c r="J442" s="456"/>
      <ns0:c r="K442" s="986"/>
      <ns0:c r="L442" s="454"/>
      <ns0:c r="M442" s="439"/>
      <ns0:c r="N442" s="987" t="str">
        <ns0:f>IF(COUNTA($A442:$M442)=0,"",IF(OR(LEFT(LOWER(TRIM($F442&amp;"")),12)="subscription",LOWER(TRIM($F442&amp;""))="membership"),"",IF(OR(AND($H442&lt;&gt;"",$H442=0),LEFT(LOWER(TRIM($F442&amp;"")),9)="free game",LOWER(TRIM($F442&amp;""))="free",LOWER(TRIM($F442&amp;""))="free entry"),IF(ISNUMBER($G442),IF(ISNUMBER(SEARCH("non",LOWER($E442&amp;""))),$G442*0.85,$G442),"N/A"),IF($G442="","",IFERROR(IF(ISNUMBER(SEARCH("non",LOWER($E442&amp;""))),$G442*0.85,$G442),"")))))</ns0:f>
        <ns0:v/>
      </ns0:c>
      <ns0:c r="O442" s="987" t="str">
        <ns0:f>IF(COUNTA($A442:$M442)=0,"",IF(OR(LEFT(LOWER(TRIM($F442&amp;"")),12)="subscription",LOWER(TRIM($F442&amp;""))="membership"),"",IF(OR(AND($H442&lt;&gt;"",$H442=0),LEFT(LOWER(TRIM($F442&amp;"")),9)="free game",LOWER(TRIM($F442&amp;""))="free",LOWER(TRIM($F442&amp;""))="free entry"),IF(OR(NOT(ISNUMBER($N442)),NOT(ISNUMBER($I442)),$I442=0),"N/A",IFERROR($N442/$I442,"N/A")),IF(OR($N442="",$I442="",$I442=0),"",IFERROR($N442/$I442,"")))))</ns0:f>
        <ns0:v/>
      </ns0:c>
      <ns0:c r="P442" s="987">
        <ns0:f>IF(COUNTA($A442:$M442)=0,"",IF(OR(LEFT(LOWER(TRIM($F442&amp;"")),12)="subscription",LOWER(TRIM($F442&amp;""))="membership"),"",IF(LOWER(TRIM($D442&amp;""))="estimate","N/A",IF(LOWER($L442&amp;"")="yes",0,IF(OR(AND($H442&lt;&gt;"",$H442=0),LEFT(LOWER(TRIM($F442&amp;"")),9)="free game",LOWER(TRIM($F442&amp;""))="free",LOWER(TRIM($F442&amp;""))="free entry"),IF(ISNUMBER($K442),$K442,""),IF($K442&lt;&gt;"",$K442,""))))))</ns0:f>
      </ns0:c>
      <ns0:c r="Q442" s="114">
        <ns0:f>IF(COUNTA($A442:$M442)=0,"",IF(OR($U442="Subscription",$U442=""),"",IF($U442="Estimate","N/A",IF($U442="Profit",ROUND(IFERROR($P442,0)-IFERROR($H442,0),2),0))))</ns0:f>
      </ns0:c>
      <ns0:c r="R442" s="114">
        <ns0:f>IF(COUNTA($A442:$M442)=0,"",IF(OR($U442="Subscription",$U442=""),"",IF($U442="Estimate","N/A",IF($U442="Draw",$H442,0))))</ns0:f>
      </ns0:c>
      <ns0:c r="S442" s="114">
        <ns0:f>IF(COUNTA($A442:$M442)=0,"",IF(OR($U442="Subscription",$U442=""),"",IF($U442="Estimate","N/A",IF($U442="Disqualified",$H442,0))))</ns0:f>
      </ns0:c>
      <ns0:c r="T442" s="955">
        <ns0:f>IF(COUNTA($A442:$M442)=0,"",IF(OR($U442="Subscription",$U442=""),"",IF($U442="Estimate","N/A",IF(OR($U442="Free Game",$U442="Disqualified — Free Game",$H442=0),"N/A",IF($U442="Profit",$Q442/$H442,IF($U442="Disqualified",-$S442/$H442,0))))))</ns0:f>
      </ns0:c>
      <ns0:c r="U442" s="920">
        <ns0:f>IF(COUNTA($A442:$M442)=0,"",IF(OR(LEFT(LOWER(TRIM($F442&amp;"")),12)="subscription",LOWER(TRIM($F442&amp;""))="membership"),"Subscription",IF(LOWER(TRIM($D442&amp;""))="estimate","Estimate",IF(OR(AND($H442&lt;&gt;"",$H442=0),LEFT(LOWER(TRIM($F442&amp;"")),9)="free game",LOWER(TRIM($F442&amp;""))="free",LOWER(TRIM($F442&amp;""))="free entry"),IF(LOWER($L442&amp;"")="yes","Disqualified — Free Game","Free Game"),IF(LOWER($L442&amp;"")="yes","Disqualified",IF($P442="","",IF(ROUND(IFERROR(VALUE($P442),0)-IFERROR(VALUE($H442),0),2)&gt;0,"Profit","Draw")))))))</ns0:f>
      </ns0:c>
      <ns0:c r="V442" s="956" t="str">
        <ns0:f>IF(COUNTA($A442:$M442)=0,"",IF(OR($B442="",$C442="",$U442="Subscription"),"",IFERROR(ROUNDUP(($C442-$B442)/7,0),"")))</ns0:f>
      </ns0:c>
      <ns0:c r="W442" s="114">
        <ns0:f>IF(COUNTA($A442:$M442)=0,"",IF(OR($U442="Subscription",$U442=""),"",IF($U442="Estimate","N/A",IF(OR($U442="Free Game",$U442="Disqualified — Free Game"),0,ROUND(IFERROR($Q442,0)-IFERROR($S442,0),2)))))</ns0:f>
      </ns0:c>
      <ns0:c r="X442" s="956" t="str">
        <ns0:f>IF(COUNTA($A442:$M442)=0,"",IF(OR($U442="Subscription",NOT(ISNUMBER($J442)),NOT(ISNUMBER($I442)),$J442=0,$I442=0,$I442&gt;$J442),"",$J442-$I442))</ns0:f>
      </ns0:c>
      <ns0:c r="Y442" s="955" t="str">
        <ns0:f>IF(COUNTA($A442:$M442)=0,"",IF(OR($U442="Subscription",NOT(ISNUMBER($J442)),$J442=0,$X442=""),"",$X442/$J442))</ns0:f>
      </ns0:c>
      <ns0:c r="Z442" s="957" t="str">
        <ns0:f>IF(COUNTA($A442:$M442)=0,"",Instructions!$B$29+SUM($W$5:W442))</ns0:f>
      </ns0:c>
    </ns0:row>
    <ns0:row r="443" ht="36" customHeight="1">
      <ns0:c r="A443" s="439"/>
      <ns0:c r="B443" s="453"/>
      <ns0:c r="C443" s="453"/>
      <ns0:c r="D443" s="454"/>
      <ns0:c r="E443" s="454"/>
      <ns0:c r="F443" s="454"/>
      <ns0:c r="G443" s="986"/>
      <ns0:c r="H443" s="455"/>
      <ns0:c r="I443" s="456"/>
      <ns0:c r="J443" s="456"/>
      <ns0:c r="K443" s="986"/>
      <ns0:c r="L443" s="454"/>
      <ns0:c r="M443" s="439"/>
      <ns0:c r="N443" s="987" t="str">
        <ns0:f>IF(COUNTA($A443:$M443)=0,"",IF(OR(LEFT(LOWER(TRIM($F443&amp;"")),12)="subscription",LOWER(TRIM($F443&amp;""))="membership"),"",IF(OR(AND($H443&lt;&gt;"",$H443=0),LEFT(LOWER(TRIM($F443&amp;"")),9)="free game",LOWER(TRIM($F443&amp;""))="free",LOWER(TRIM($F443&amp;""))="free entry"),IF(ISNUMBER($G443),IF(ISNUMBER(SEARCH("non",LOWER($E443&amp;""))),$G443*0.85,$G443),"N/A"),IF($G443="","",IFERROR(IF(ISNUMBER(SEARCH("non",LOWER($E443&amp;""))),$G443*0.85,$G443),"")))))</ns0:f>
        <ns0:v/>
      </ns0:c>
      <ns0:c r="O443" s="987" t="str">
        <ns0:f>IF(COUNTA($A443:$M443)=0,"",IF(OR(LEFT(LOWER(TRIM($F443&amp;"")),12)="subscription",LOWER(TRIM($F443&amp;""))="membership"),"",IF(OR(AND($H443&lt;&gt;"",$H443=0),LEFT(LOWER(TRIM($F443&amp;"")),9)="free game",LOWER(TRIM($F443&amp;""))="free",LOWER(TRIM($F443&amp;""))="free entry"),IF(OR(NOT(ISNUMBER($N443)),NOT(ISNUMBER($I443)),$I443=0),"N/A",IFERROR($N443/$I443,"N/A")),IF(OR($N443="",$I443="",$I443=0),"",IFERROR($N443/$I443,"")))))</ns0:f>
        <ns0:v/>
      </ns0:c>
      <ns0:c r="P443" s="987">
        <ns0:f>IF(COUNTA($A443:$M443)=0,"",IF(OR(LEFT(LOWER(TRIM($F443&amp;"")),12)="subscription",LOWER(TRIM($F443&amp;""))="membership"),"",IF(LOWER(TRIM($D443&amp;""))="estimate","N/A",IF(LOWER($L443&amp;"")="yes",0,IF(OR(AND($H443&lt;&gt;"",$H443=0),LEFT(LOWER(TRIM($F443&amp;"")),9)="free game",LOWER(TRIM($F443&amp;""))="free",LOWER(TRIM($F443&amp;""))="free entry"),IF(ISNUMBER($K443),$K443,""),IF($K443&lt;&gt;"",$K443,""))))))</ns0:f>
      </ns0:c>
      <ns0:c r="Q443" s="114">
        <ns0:f>IF(COUNTA($A443:$M443)=0,"",IF(OR($U443="Subscription",$U443=""),"",IF($U443="Estimate","N/A",IF($U443="Profit",ROUND(IFERROR($P443,0)-IFERROR($H443,0),2),0))))</ns0:f>
      </ns0:c>
      <ns0:c r="R443" s="114">
        <ns0:f>IF(COUNTA($A443:$M443)=0,"",IF(OR($U443="Subscription",$U443=""),"",IF($U443="Estimate","N/A",IF($U443="Draw",$H443,0))))</ns0:f>
      </ns0:c>
      <ns0:c r="S443" s="114">
        <ns0:f>IF(COUNTA($A443:$M443)=0,"",IF(OR($U443="Subscription",$U443=""),"",IF($U443="Estimate","N/A",IF($U443="Disqualified",$H443,0))))</ns0:f>
      </ns0:c>
      <ns0:c r="T443" s="955">
        <ns0:f>IF(COUNTA($A443:$M443)=0,"",IF(OR($U443="Subscription",$U443=""),"",IF($U443="Estimate","N/A",IF(OR($U443="Free Game",$U443="Disqualified — Free Game",$H443=0),"N/A",IF($U443="Profit",$Q443/$H443,IF($U443="Disqualified",-$S443/$H443,0))))))</ns0:f>
      </ns0:c>
      <ns0:c r="U443" s="920">
        <ns0:f>IF(COUNTA($A443:$M443)=0,"",IF(OR(LEFT(LOWER(TRIM($F443&amp;"")),12)="subscription",LOWER(TRIM($F443&amp;""))="membership"),"Subscription",IF(LOWER(TRIM($D443&amp;""))="estimate","Estimate",IF(OR(AND($H443&lt;&gt;"",$H443=0),LEFT(LOWER(TRIM($F443&amp;"")),9)="free game",LOWER(TRIM($F443&amp;""))="free",LOWER(TRIM($F443&amp;""))="free entry"),IF(LOWER($L443&amp;"")="yes","Disqualified — Free Game","Free Game"),IF(LOWER($L443&amp;"")="yes","Disqualified",IF($P443="","",IF(ROUND(IFERROR(VALUE($P443),0)-IFERROR(VALUE($H443),0),2)&gt;0,"Profit","Draw")))))))</ns0:f>
      </ns0:c>
      <ns0:c r="V443" s="956" t="str">
        <ns0:f>IF(COUNTA($A443:$M443)=0,"",IF(OR($B443="",$C443="",$U443="Subscription"),"",IFERROR(ROUNDUP(($C443-$B443)/7,0),"")))</ns0:f>
      </ns0:c>
      <ns0:c r="W443" s="114">
        <ns0:f>IF(COUNTA($A443:$M443)=0,"",IF(OR($U443="Subscription",$U443=""),"",IF($U443="Estimate","N/A",IF(OR($U443="Free Game",$U443="Disqualified — Free Game"),0,ROUND(IFERROR($Q443,0)-IFERROR($S443,0),2)))))</ns0:f>
      </ns0:c>
      <ns0:c r="X443" s="956" t="str">
        <ns0:f>IF(COUNTA($A443:$M443)=0,"",IF(OR($U443="Subscription",NOT(ISNUMBER($J443)),NOT(ISNUMBER($I443)),$J443=0,$I443=0,$I443&gt;$J443),"",$J443-$I443))</ns0:f>
      </ns0:c>
      <ns0:c r="Y443" s="955" t="str">
        <ns0:f>IF(COUNTA($A443:$M443)=0,"",IF(OR($U443="Subscription",NOT(ISNUMBER($J443)),$J443=0,$X443=""),"",$X443/$J443))</ns0:f>
      </ns0:c>
      <ns0:c r="Z443" s="957" t="str">
        <ns0:f>IF(COUNTA($A443:$M443)=0,"",Instructions!$B$29+SUM($W$5:W443))</ns0:f>
      </ns0:c>
    </ns0:row>
    <ns0:row r="444" ht="36" customHeight="1">
      <ns0:c r="A444" s="439"/>
      <ns0:c r="B444" s="453"/>
      <ns0:c r="C444" s="453"/>
      <ns0:c r="D444" s="454"/>
      <ns0:c r="E444" s="454"/>
      <ns0:c r="F444" s="454"/>
      <ns0:c r="G444" s="986"/>
      <ns0:c r="H444" s="455"/>
      <ns0:c r="I444" s="456"/>
      <ns0:c r="J444" s="456"/>
      <ns0:c r="K444" s="986"/>
      <ns0:c r="L444" s="454"/>
      <ns0:c r="M444" s="439"/>
      <ns0:c r="N444" s="987" t="str">
        <ns0:f>IF(COUNTA($A444:$M444)=0,"",IF(OR(LEFT(LOWER(TRIM($F444&amp;"")),12)="subscription",LOWER(TRIM($F444&amp;""))="membership"),"",IF(OR(AND($H444&lt;&gt;"",$H444=0),LEFT(LOWER(TRIM($F444&amp;"")),9)="free game",LOWER(TRIM($F444&amp;""))="free",LOWER(TRIM($F444&amp;""))="free entry"),IF(ISNUMBER($G444),IF(ISNUMBER(SEARCH("non",LOWER($E444&amp;""))),$G444*0.85,$G444),"N/A"),IF($G444="","",IFERROR(IF(ISNUMBER(SEARCH("non",LOWER($E444&amp;""))),$G444*0.85,$G444),"")))))</ns0:f>
        <ns0:v/>
      </ns0:c>
      <ns0:c r="O444" s="987" t="str">
        <ns0:f>IF(COUNTA($A444:$M444)=0,"",IF(OR(LEFT(LOWER(TRIM($F444&amp;"")),12)="subscription",LOWER(TRIM($F444&amp;""))="membership"),"",IF(OR(AND($H444&lt;&gt;"",$H444=0),LEFT(LOWER(TRIM($F444&amp;"")),9)="free game",LOWER(TRIM($F444&amp;""))="free",LOWER(TRIM($F444&amp;""))="free entry"),IF(OR(NOT(ISNUMBER($N444)),NOT(ISNUMBER($I444)),$I444=0),"N/A",IFERROR($N444/$I444,"N/A")),IF(OR($N444="",$I444="",$I444=0),"",IFERROR($N444/$I444,"")))))</ns0:f>
        <ns0:v/>
      </ns0:c>
      <ns0:c r="P444" s="987">
        <ns0:f>IF(COUNTA($A444:$M444)=0,"",IF(OR(LEFT(LOWER(TRIM($F444&amp;"")),12)="subscription",LOWER(TRIM($F444&amp;""))="membership"),"",IF(LOWER(TRIM($D444&amp;""))="estimate","N/A",IF(LOWER($L444&amp;"")="yes",0,IF(OR(AND($H444&lt;&gt;"",$H444=0),LEFT(LOWER(TRIM($F444&amp;"")),9)="free game",LOWER(TRIM($F444&amp;""))="free",LOWER(TRIM($F444&amp;""))="free entry"),IF(ISNUMBER($K444),$K444,""),IF($K444&lt;&gt;"",$K444,""))))))</ns0:f>
      </ns0:c>
      <ns0:c r="Q444" s="114">
        <ns0:f>IF(COUNTA($A444:$M444)=0,"",IF(OR($U444="Subscription",$U444=""),"",IF($U444="Estimate","N/A",IF($U444="Profit",ROUND(IFERROR($P444,0)-IFERROR($H444,0),2),0))))</ns0:f>
      </ns0:c>
      <ns0:c r="R444" s="114">
        <ns0:f>IF(COUNTA($A444:$M444)=0,"",IF(OR($U444="Subscription",$U444=""),"",IF($U444="Estimate","N/A",IF($U444="Draw",$H444,0))))</ns0:f>
      </ns0:c>
      <ns0:c r="S444" s="114">
        <ns0:f>IF(COUNTA($A444:$M444)=0,"",IF(OR($U444="Subscription",$U444=""),"",IF($U444="Estimate","N/A",IF($U444="Disqualified",$H444,0))))</ns0:f>
      </ns0:c>
      <ns0:c r="T444" s="955">
        <ns0:f>IF(COUNTA($A444:$M444)=0,"",IF(OR($U444="Subscription",$U444=""),"",IF($U444="Estimate","N/A",IF(OR($U444="Free Game",$U444="Disqualified — Free Game",$H444=0),"N/A",IF($U444="Profit",$Q444/$H444,IF($U444="Disqualified",-$S444/$H444,0))))))</ns0:f>
      </ns0:c>
      <ns0:c r="U444" s="920">
        <ns0:f>IF(COUNTA($A444:$M444)=0,"",IF(OR(LEFT(LOWER(TRIM($F444&amp;"")),12)="subscription",LOWER(TRIM($F444&amp;""))="membership"),"Subscription",IF(LOWER(TRIM($D444&amp;""))="estimate","Estimate",IF(OR(AND($H444&lt;&gt;"",$H444=0),LEFT(LOWER(TRIM($F444&amp;"")),9)="free game",LOWER(TRIM($F444&amp;""))="free",LOWER(TRIM($F444&amp;""))="free entry"),IF(LOWER($L444&amp;"")="yes","Disqualified — Free Game","Free Game"),IF(LOWER($L444&amp;"")="yes","Disqualified",IF($P444="","",IF(ROUND(IFERROR(VALUE($P444),0)-IFERROR(VALUE($H444),0),2)&gt;0,"Profit","Draw")))))))</ns0:f>
      </ns0:c>
      <ns0:c r="V444" s="956" t="str">
        <ns0:f>IF(COUNTA($A444:$M444)=0,"",IF(OR($B444="",$C444="",$U444="Subscription"),"",IFERROR(ROUNDUP(($C444-$B444)/7,0),"")))</ns0:f>
      </ns0:c>
      <ns0:c r="W444" s="114">
        <ns0:f>IF(COUNTA($A444:$M444)=0,"",IF(OR($U444="Subscription",$U444=""),"",IF($U444="Estimate","N/A",IF(OR($U444="Free Game",$U444="Disqualified — Free Game"),0,ROUND(IFERROR($Q444,0)-IFERROR($S444,0),2)))))</ns0:f>
      </ns0:c>
      <ns0:c r="X444" s="956" t="str">
        <ns0:f>IF(COUNTA($A444:$M444)=0,"",IF(OR($U444="Subscription",NOT(ISNUMBER($J444)),NOT(ISNUMBER($I444)),$J444=0,$I444=0,$I444&gt;$J444),"",$J444-$I444))</ns0:f>
      </ns0:c>
      <ns0:c r="Y444" s="955" t="str">
        <ns0:f>IF(COUNTA($A444:$M444)=0,"",IF(OR($U444="Subscription",NOT(ISNUMBER($J444)),$J444=0,$X444=""),"",$X444/$J444))</ns0:f>
      </ns0:c>
      <ns0:c r="Z444" s="957" t="str">
        <ns0:f>IF(COUNTA($A444:$M444)=0,"",Instructions!$B$29+SUM($W$5:W444))</ns0:f>
      </ns0:c>
    </ns0:row>
    <ns0:row r="445" ht="36" customHeight="1">
      <ns0:c r="A445" s="439"/>
      <ns0:c r="B445" s="453"/>
      <ns0:c r="C445" s="453"/>
      <ns0:c r="D445" s="454"/>
      <ns0:c r="E445" s="454"/>
      <ns0:c r="F445" s="454"/>
      <ns0:c r="G445" s="986"/>
      <ns0:c r="H445" s="455"/>
      <ns0:c r="I445" s="456"/>
      <ns0:c r="J445" s="456"/>
      <ns0:c r="K445" s="986"/>
      <ns0:c r="L445" s="454"/>
      <ns0:c r="M445" s="439"/>
      <ns0:c r="N445" s="987" t="str">
        <ns0:f>IF(COUNTA($A445:$M445)=0,"",IF(OR(LEFT(LOWER(TRIM($F445&amp;"")),12)="subscription",LOWER(TRIM($F445&amp;""))="membership"),"",IF(OR(AND($H445&lt;&gt;"",$H445=0),LEFT(LOWER(TRIM($F445&amp;"")),9)="free game",LOWER(TRIM($F445&amp;""))="free",LOWER(TRIM($F445&amp;""))="free entry"),IF(ISNUMBER($G445),IF(ISNUMBER(SEARCH("non",LOWER($E445&amp;""))),$G445*0.85,$G445),"N/A"),IF($G445="","",IFERROR(IF(ISNUMBER(SEARCH("non",LOWER($E445&amp;""))),$G445*0.85,$G445),"")))))</ns0:f>
        <ns0:v/>
      </ns0:c>
      <ns0:c r="O445" s="987" t="str">
        <ns0:f>IF(COUNTA($A445:$M445)=0,"",IF(OR(LEFT(LOWER(TRIM($F445&amp;"")),12)="subscription",LOWER(TRIM($F445&amp;""))="membership"),"",IF(OR(AND($H445&lt;&gt;"",$H445=0),LEFT(LOWER(TRIM($F445&amp;"")),9)="free game",LOWER(TRIM($F445&amp;""))="free",LOWER(TRIM($F445&amp;""))="free entry"),IF(OR(NOT(ISNUMBER($N445)),NOT(ISNUMBER($I445)),$I445=0),"N/A",IFERROR($N445/$I445,"N/A")),IF(OR($N445="",$I445="",$I445=0),"",IFERROR($N445/$I445,"")))))</ns0:f>
        <ns0:v/>
      </ns0:c>
      <ns0:c r="P445" s="987">
        <ns0:f>IF(COUNTA($A445:$M445)=0,"",IF(OR(LEFT(LOWER(TRIM($F445&amp;"")),12)="subscription",LOWER(TRIM($F445&amp;""))="membership"),"",IF(LOWER(TRIM($D445&amp;""))="estimate","N/A",IF(LOWER($L445&amp;"")="yes",0,IF(OR(AND($H445&lt;&gt;"",$H445=0),LEFT(LOWER(TRIM($F445&amp;"")),9)="free game",LOWER(TRIM($F445&amp;""))="free",LOWER(TRIM($F445&amp;""))="free entry"),IF(ISNUMBER($K445),$K445,""),IF($K445&lt;&gt;"",$K445,""))))))</ns0:f>
      </ns0:c>
      <ns0:c r="Q445" s="114">
        <ns0:f>IF(COUNTA($A445:$M445)=0,"",IF(OR($U445="Subscription",$U445=""),"",IF($U445="Estimate","N/A",IF($U445="Profit",ROUND(IFERROR($P445,0)-IFERROR($H445,0),2),0))))</ns0:f>
      </ns0:c>
      <ns0:c r="R445" s="114">
        <ns0:f>IF(COUNTA($A445:$M445)=0,"",IF(OR($U445="Subscription",$U445=""),"",IF($U445="Estimate","N/A",IF($U445="Draw",$H445,0))))</ns0:f>
      </ns0:c>
      <ns0:c r="S445" s="114">
        <ns0:f>IF(COUNTA($A445:$M445)=0,"",IF(OR($U445="Subscription",$U445=""),"",IF($U445="Estimate","N/A",IF($U445="Disqualified",$H445,0))))</ns0:f>
      </ns0:c>
      <ns0:c r="T445" s="955">
        <ns0:f>IF(COUNTA($A445:$M445)=0,"",IF(OR($U445="Subscription",$U445=""),"",IF($U445="Estimate","N/A",IF(OR($U445="Free Game",$U445="Disqualified — Free Game",$H445=0),"N/A",IF($U445="Profit",$Q445/$H445,IF($U445="Disqualified",-$S445/$H445,0))))))</ns0:f>
      </ns0:c>
      <ns0:c r="U445" s="920">
        <ns0:f>IF(COUNTA($A445:$M445)=0,"",IF(OR(LEFT(LOWER(TRIM($F445&amp;"")),12)="subscription",LOWER(TRIM($F445&amp;""))="membership"),"Subscription",IF(LOWER(TRIM($D445&amp;""))="estimate","Estimate",IF(OR(AND($H445&lt;&gt;"",$H445=0),LEFT(LOWER(TRIM($F445&amp;"")),9)="free game",LOWER(TRIM($F445&amp;""))="free",LOWER(TRIM($F445&amp;""))="free entry"),IF(LOWER($L445&amp;"")="yes","Disqualified — Free Game","Free Game"),IF(LOWER($L445&amp;"")="yes","Disqualified",IF($P445="","",IF(ROUND(IFERROR(VALUE($P445),0)-IFERROR(VALUE($H445),0),2)&gt;0,"Profit","Draw")))))))</ns0:f>
      </ns0:c>
      <ns0:c r="V445" s="956" t="str">
        <ns0:f>IF(COUNTA($A445:$M445)=0,"",IF(OR($B445="",$C445="",$U445="Subscription"),"",IFERROR(ROUNDUP(($C445-$B445)/7,0),"")))</ns0:f>
      </ns0:c>
      <ns0:c r="W445" s="114">
        <ns0:f>IF(COUNTA($A445:$M445)=0,"",IF(OR($U445="Subscription",$U445=""),"",IF($U445="Estimate","N/A",IF(OR($U445="Free Game",$U445="Disqualified — Free Game"),0,ROUND(IFERROR($Q445,0)-IFERROR($S445,0),2)))))</ns0:f>
      </ns0:c>
      <ns0:c r="X445" s="956" t="str">
        <ns0:f>IF(COUNTA($A445:$M445)=0,"",IF(OR($U445="Subscription",NOT(ISNUMBER($J445)),NOT(ISNUMBER($I445)),$J445=0,$I445=0,$I445&gt;$J445),"",$J445-$I445))</ns0:f>
      </ns0:c>
      <ns0:c r="Y445" s="955" t="str">
        <ns0:f>IF(COUNTA($A445:$M445)=0,"",IF(OR($U445="Subscription",NOT(ISNUMBER($J445)),$J445=0,$X445=""),"",$X445/$J445))</ns0:f>
      </ns0:c>
      <ns0:c r="Z445" s="957" t="str">
        <ns0:f>IF(COUNTA($A445:$M445)=0,"",Instructions!$B$29+SUM($W$5:W445))</ns0:f>
      </ns0:c>
    </ns0:row>
    <ns0:row r="446" ht="36" customHeight="1">
      <ns0:c r="A446" s="439"/>
      <ns0:c r="B446" s="453"/>
      <ns0:c r="C446" s="453"/>
      <ns0:c r="D446" s="454"/>
      <ns0:c r="E446" s="454"/>
      <ns0:c r="F446" s="454"/>
      <ns0:c r="G446" s="986"/>
      <ns0:c r="H446" s="455"/>
      <ns0:c r="I446" s="456"/>
      <ns0:c r="J446" s="456"/>
      <ns0:c r="K446" s="986"/>
      <ns0:c r="L446" s="454"/>
      <ns0:c r="M446" s="439"/>
      <ns0:c r="N446" s="987" t="str">
        <ns0:f>IF(COUNTA($A446:$M446)=0,"",IF(OR(LEFT(LOWER(TRIM($F446&amp;"")),12)="subscription",LOWER(TRIM($F446&amp;""))="membership"),"",IF(OR(AND($H446&lt;&gt;"",$H446=0),LEFT(LOWER(TRIM($F446&amp;"")),9)="free game",LOWER(TRIM($F446&amp;""))="free",LOWER(TRIM($F446&amp;""))="free entry"),IF(ISNUMBER($G446),IF(ISNUMBER(SEARCH("non",LOWER($E446&amp;""))),$G446*0.85,$G446),"N/A"),IF($G446="","",IFERROR(IF(ISNUMBER(SEARCH("non",LOWER($E446&amp;""))),$G446*0.85,$G446),"")))))</ns0:f>
        <ns0:v/>
      </ns0:c>
      <ns0:c r="O446" s="987" t="str">
        <ns0:f>IF(COUNTA($A446:$M446)=0,"",IF(OR(LEFT(LOWER(TRIM($F446&amp;"")),12)="subscription",LOWER(TRIM($F446&amp;""))="membership"),"",IF(OR(AND($H446&lt;&gt;"",$H446=0),LEFT(LOWER(TRIM($F446&amp;"")),9)="free game",LOWER(TRIM($F446&amp;""))="free",LOWER(TRIM($F446&amp;""))="free entry"),IF(OR(NOT(ISNUMBER($N446)),NOT(ISNUMBER($I446)),$I446=0),"N/A",IFERROR($N446/$I446,"N/A")),IF(OR($N446="",$I446="",$I446=0),"",IFERROR($N446/$I446,"")))))</ns0:f>
        <ns0:v/>
      </ns0:c>
      <ns0:c r="P446" s="987">
        <ns0:f>IF(COUNTA($A446:$M446)=0,"",IF(OR(LEFT(LOWER(TRIM($F446&amp;"")),12)="subscription",LOWER(TRIM($F446&amp;""))="membership"),"",IF(LOWER(TRIM($D446&amp;""))="estimate","N/A",IF(LOWER($L446&amp;"")="yes",0,IF(OR(AND($H446&lt;&gt;"",$H446=0),LEFT(LOWER(TRIM($F446&amp;"")),9)="free game",LOWER(TRIM($F446&amp;""))="free",LOWER(TRIM($F446&amp;""))="free entry"),IF(ISNUMBER($K446),$K446,""),IF($K446&lt;&gt;"",$K446,""))))))</ns0:f>
      </ns0:c>
      <ns0:c r="Q446" s="114">
        <ns0:f>IF(COUNTA($A446:$M446)=0,"",IF(OR($U446="Subscription",$U446=""),"",IF($U446="Estimate","N/A",IF($U446="Profit",ROUND(IFERROR($P446,0)-IFERROR($H446,0),2),0))))</ns0:f>
      </ns0:c>
      <ns0:c r="R446" s="114">
        <ns0:f>IF(COUNTA($A446:$M446)=0,"",IF(OR($U446="Subscription",$U446=""),"",IF($U446="Estimate","N/A",IF($U446="Draw",$H446,0))))</ns0:f>
      </ns0:c>
      <ns0:c r="S446" s="114">
        <ns0:f>IF(COUNTA($A446:$M446)=0,"",IF(OR($U446="Subscription",$U446=""),"",IF($U446="Estimate","N/A",IF($U446="Disqualified",$H446,0))))</ns0:f>
      </ns0:c>
      <ns0:c r="T446" s="955">
        <ns0:f>IF(COUNTA($A446:$M446)=0,"",IF(OR($U446="Subscription",$U446=""),"",IF($U446="Estimate","N/A",IF(OR($U446="Free Game",$U446="Disqualified — Free Game",$H446=0),"N/A",IF($U446="Profit",$Q446/$H446,IF($U446="Disqualified",-$S446/$H446,0))))))</ns0:f>
      </ns0:c>
      <ns0:c r="U446" s="920">
        <ns0:f>IF(COUNTA($A446:$M446)=0,"",IF(OR(LEFT(LOWER(TRIM($F446&amp;"")),12)="subscription",LOWER(TRIM($F446&amp;""))="membership"),"Subscription",IF(LOWER(TRIM($D446&amp;""))="estimate","Estimate",IF(OR(AND($H446&lt;&gt;"",$H446=0),LEFT(LOWER(TRIM($F446&amp;"")),9)="free game",LOWER(TRIM($F446&amp;""))="free",LOWER(TRIM($F446&amp;""))="free entry"),IF(LOWER($L446&amp;"")="yes","Disqualified — Free Game","Free Game"),IF(LOWER($L446&amp;"")="yes","Disqualified",IF($P446="","",IF(ROUND(IFERROR(VALUE($P446),0)-IFERROR(VALUE($H446),0),2)&gt;0,"Profit","Draw")))))))</ns0:f>
      </ns0:c>
      <ns0:c r="V446" s="956" t="str">
        <ns0:f>IF(COUNTA($A446:$M446)=0,"",IF(OR($B446="",$C446="",$U446="Subscription"),"",IFERROR(ROUNDUP(($C446-$B446)/7,0),"")))</ns0:f>
      </ns0:c>
      <ns0:c r="W446" s="114">
        <ns0:f>IF(COUNTA($A446:$M446)=0,"",IF(OR($U446="Subscription",$U446=""),"",IF($U446="Estimate","N/A",IF(OR($U446="Free Game",$U446="Disqualified — Free Game"),0,ROUND(IFERROR($Q446,0)-IFERROR($S446,0),2)))))</ns0:f>
      </ns0:c>
      <ns0:c r="X446" s="956" t="str">
        <ns0:f>IF(COUNTA($A446:$M446)=0,"",IF(OR($U446="Subscription",NOT(ISNUMBER($J446)),NOT(ISNUMBER($I446)),$J446=0,$I446=0,$I446&gt;$J446),"",$J446-$I446))</ns0:f>
      </ns0:c>
      <ns0:c r="Y446" s="955" t="str">
        <ns0:f>IF(COUNTA($A446:$M446)=0,"",IF(OR($U446="Subscription",NOT(ISNUMBER($J446)),$J446=0,$X446=""),"",$X446/$J446))</ns0:f>
      </ns0:c>
      <ns0:c r="Z446" s="957" t="str">
        <ns0:f>IF(COUNTA($A446:$M446)=0,"",Instructions!$B$29+SUM($W$5:W446))</ns0:f>
      </ns0:c>
    </ns0:row>
    <ns0:row r="447" ht="36" customHeight="1">
      <ns0:c r="A447" s="439"/>
      <ns0:c r="B447" s="453"/>
      <ns0:c r="C447" s="453"/>
      <ns0:c r="D447" s="454"/>
      <ns0:c r="E447" s="454"/>
      <ns0:c r="F447" s="454"/>
      <ns0:c r="G447" s="986"/>
      <ns0:c r="H447" s="455"/>
      <ns0:c r="I447" s="456"/>
      <ns0:c r="J447" s="456"/>
      <ns0:c r="K447" s="986"/>
      <ns0:c r="L447" s="454"/>
      <ns0:c r="M447" s="439"/>
      <ns0:c r="N447" s="987" t="str">
        <ns0:f>IF(COUNTA($A447:$M447)=0,"",IF(OR(LEFT(LOWER(TRIM($F447&amp;"")),12)="subscription",LOWER(TRIM($F447&amp;""))="membership"),"",IF(OR(AND($H447&lt;&gt;"",$H447=0),LEFT(LOWER(TRIM($F447&amp;"")),9)="free game",LOWER(TRIM($F447&amp;""))="free",LOWER(TRIM($F447&amp;""))="free entry"),IF(ISNUMBER($G447),IF(ISNUMBER(SEARCH("non",LOWER($E447&amp;""))),$G447*0.85,$G447),"N/A"),IF($G447="","",IFERROR(IF(ISNUMBER(SEARCH("non",LOWER($E447&amp;""))),$G447*0.85,$G447),"")))))</ns0:f>
        <ns0:v/>
      </ns0:c>
      <ns0:c r="O447" s="987" t="str">
        <ns0:f>IF(COUNTA($A447:$M447)=0,"",IF(OR(LEFT(LOWER(TRIM($F447&amp;"")),12)="subscription",LOWER(TRIM($F447&amp;""))="membership"),"",IF(OR(AND($H447&lt;&gt;"",$H447=0),LEFT(LOWER(TRIM($F447&amp;"")),9)="free game",LOWER(TRIM($F447&amp;""))="free",LOWER(TRIM($F447&amp;""))="free entry"),IF(OR(NOT(ISNUMBER($N447)),NOT(ISNUMBER($I447)),$I447=0),"N/A",IFERROR($N447/$I447,"N/A")),IF(OR($N447="",$I447="",$I447=0),"",IFERROR($N447/$I447,"")))))</ns0:f>
        <ns0:v/>
      </ns0:c>
      <ns0:c r="P447" s="987">
        <ns0:f>IF(COUNTA($A447:$M447)=0,"",IF(OR(LEFT(LOWER(TRIM($F447&amp;"")),12)="subscription",LOWER(TRIM($F447&amp;""))="membership"),"",IF(LOWER(TRIM($D447&amp;""))="estimate","N/A",IF(LOWER($L447&amp;"")="yes",0,IF(OR(AND($H447&lt;&gt;"",$H447=0),LEFT(LOWER(TRIM($F447&amp;"")),9)="free game",LOWER(TRIM($F447&amp;""))="free",LOWER(TRIM($F447&amp;""))="free entry"),IF(ISNUMBER($K447),$K447,""),IF($K447&lt;&gt;"",$K447,""))))))</ns0:f>
      </ns0:c>
      <ns0:c r="Q447" s="114">
        <ns0:f>IF(COUNTA($A447:$M447)=0,"",IF(OR($U447="Subscription",$U447=""),"",IF($U447="Estimate","N/A",IF($U447="Profit",ROUND(IFERROR($P447,0)-IFERROR($H447,0),2),0))))</ns0:f>
      </ns0:c>
      <ns0:c r="R447" s="114">
        <ns0:f>IF(COUNTA($A447:$M447)=0,"",IF(OR($U447="Subscription",$U447=""),"",IF($U447="Estimate","N/A",IF($U447="Draw",$H447,0))))</ns0:f>
      </ns0:c>
      <ns0:c r="S447" s="114">
        <ns0:f>IF(COUNTA($A447:$M447)=0,"",IF(OR($U447="Subscription",$U447=""),"",IF($U447="Estimate","N/A",IF($U447="Disqualified",$H447,0))))</ns0:f>
      </ns0:c>
      <ns0:c r="T447" s="955">
        <ns0:f>IF(COUNTA($A447:$M447)=0,"",IF(OR($U447="Subscription",$U447=""),"",IF($U447="Estimate","N/A",IF(OR($U447="Free Game",$U447="Disqualified — Free Game",$H447=0),"N/A",IF($U447="Profit",$Q447/$H447,IF($U447="Disqualified",-$S447/$H447,0))))))</ns0:f>
      </ns0:c>
      <ns0:c r="U447" s="920">
        <ns0:f>IF(COUNTA($A447:$M447)=0,"",IF(OR(LEFT(LOWER(TRIM($F447&amp;"")),12)="subscription",LOWER(TRIM($F447&amp;""))="membership"),"Subscription",IF(LOWER(TRIM($D447&amp;""))="estimate","Estimate",IF(OR(AND($H447&lt;&gt;"",$H447=0),LEFT(LOWER(TRIM($F447&amp;"")),9)="free game",LOWER(TRIM($F447&amp;""))="free",LOWER(TRIM($F447&amp;""))="free entry"),IF(LOWER($L447&amp;"")="yes","Disqualified — Free Game","Free Game"),IF(LOWER($L447&amp;"")="yes","Disqualified",IF($P447="","",IF(ROUND(IFERROR(VALUE($P447),0)-IFERROR(VALUE($H447),0),2)&gt;0,"Profit","Draw")))))))</ns0:f>
      </ns0:c>
      <ns0:c r="V447" s="956" t="str">
        <ns0:f>IF(COUNTA($A447:$M447)=0,"",IF(OR($B447="",$C447="",$U447="Subscription"),"",IFERROR(ROUNDUP(($C447-$B447)/7,0),"")))</ns0:f>
      </ns0:c>
      <ns0:c r="W447" s="114">
        <ns0:f>IF(COUNTA($A447:$M447)=0,"",IF(OR($U447="Subscription",$U447=""),"",IF($U447="Estimate","N/A",IF(OR($U447="Free Game",$U447="Disqualified — Free Game"),0,ROUND(IFERROR($Q447,0)-IFERROR($S447,0),2)))))</ns0:f>
      </ns0:c>
      <ns0:c r="X447" s="956" t="str">
        <ns0:f>IF(COUNTA($A447:$M447)=0,"",IF(OR($U447="Subscription",NOT(ISNUMBER($J447)),NOT(ISNUMBER($I447)),$J447=0,$I447=0,$I447&gt;$J447),"",$J447-$I447))</ns0:f>
      </ns0:c>
      <ns0:c r="Y447" s="955" t="str">
        <ns0:f>IF(COUNTA($A447:$M447)=0,"",IF(OR($U447="Subscription",NOT(ISNUMBER($J447)),$J447=0,$X447=""),"",$X447/$J447))</ns0:f>
      </ns0:c>
      <ns0:c r="Z447" s="957" t="str">
        <ns0:f>IF(COUNTA($A447:$M447)=0,"",Instructions!$B$29+SUM($W$5:W447))</ns0:f>
      </ns0:c>
    </ns0:row>
    <ns0:row r="448" ht="36" customHeight="1">
      <ns0:c r="A448" s="439"/>
      <ns0:c r="B448" s="453"/>
      <ns0:c r="C448" s="453"/>
      <ns0:c r="D448" s="454"/>
      <ns0:c r="E448" s="454"/>
      <ns0:c r="F448" s="454"/>
      <ns0:c r="G448" s="986"/>
      <ns0:c r="H448" s="455"/>
      <ns0:c r="I448" s="456"/>
      <ns0:c r="J448" s="456"/>
      <ns0:c r="K448" s="986"/>
      <ns0:c r="L448" s="454"/>
      <ns0:c r="M448" s="439"/>
      <ns0:c r="N448" s="987" t="str">
        <ns0:f>IF(COUNTA($A448:$M448)=0,"",IF(OR(LEFT(LOWER(TRIM($F448&amp;"")),12)="subscription",LOWER(TRIM($F448&amp;""))="membership"),"",IF(OR(AND($H448&lt;&gt;"",$H448=0),LEFT(LOWER(TRIM($F448&amp;"")),9)="free game",LOWER(TRIM($F448&amp;""))="free",LOWER(TRIM($F448&amp;""))="free entry"),IF(ISNUMBER($G448),IF(ISNUMBER(SEARCH("non",LOWER($E448&amp;""))),$G448*0.85,$G448),"N/A"),IF($G448="","",IFERROR(IF(ISNUMBER(SEARCH("non",LOWER($E448&amp;""))),$G448*0.85,$G448),"")))))</ns0:f>
        <ns0:v/>
      </ns0:c>
      <ns0:c r="O448" s="987" t="str">
        <ns0:f>IF(COUNTA($A448:$M448)=0,"",IF(OR(LEFT(LOWER(TRIM($F448&amp;"")),12)="subscription",LOWER(TRIM($F448&amp;""))="membership"),"",IF(OR(AND($H448&lt;&gt;"",$H448=0),LEFT(LOWER(TRIM($F448&amp;"")),9)="free game",LOWER(TRIM($F448&amp;""))="free",LOWER(TRIM($F448&amp;""))="free entry"),IF(OR(NOT(ISNUMBER($N448)),NOT(ISNUMBER($I448)),$I448=0),"N/A",IFERROR($N448/$I448,"N/A")),IF(OR($N448="",$I448="",$I448=0),"",IFERROR($N448/$I448,"")))))</ns0:f>
        <ns0:v/>
      </ns0:c>
      <ns0:c r="P448" s="987">
        <ns0:f>IF(COUNTA($A448:$M448)=0,"",IF(OR(LEFT(LOWER(TRIM($F448&amp;"")),12)="subscription",LOWER(TRIM($F448&amp;""))="membership"),"",IF(LOWER(TRIM($D448&amp;""))="estimate","N/A",IF(LOWER($L448&amp;"")="yes",0,IF(OR(AND($H448&lt;&gt;"",$H448=0),LEFT(LOWER(TRIM($F448&amp;"")),9)="free game",LOWER(TRIM($F448&amp;""))="free",LOWER(TRIM($F448&amp;""))="free entry"),IF(ISNUMBER($K448),$K448,""),IF($K448&lt;&gt;"",$K448,""))))))</ns0:f>
      </ns0:c>
      <ns0:c r="Q448" s="114">
        <ns0:f>IF(COUNTA($A448:$M448)=0,"",IF(OR($U448="Subscription",$U448=""),"",IF($U448="Estimate","N/A",IF($U448="Profit",ROUND(IFERROR($P448,0)-IFERROR($H448,0),2),0))))</ns0:f>
      </ns0:c>
      <ns0:c r="R448" s="114">
        <ns0:f>IF(COUNTA($A448:$M448)=0,"",IF(OR($U448="Subscription",$U448=""),"",IF($U448="Estimate","N/A",IF($U448="Draw",$H448,0))))</ns0:f>
      </ns0:c>
      <ns0:c r="S448" s="114">
        <ns0:f>IF(COUNTA($A448:$M448)=0,"",IF(OR($U448="Subscription",$U448=""),"",IF($U448="Estimate","N/A",IF($U448="Disqualified",$H448,0))))</ns0:f>
      </ns0:c>
      <ns0:c r="T448" s="955">
        <ns0:f>IF(COUNTA($A448:$M448)=0,"",IF(OR($U448="Subscription",$U448=""),"",IF($U448="Estimate","N/A",IF(OR($U448="Free Game",$U448="Disqualified — Free Game",$H448=0),"N/A",IF($U448="Profit",$Q448/$H448,IF($U448="Disqualified",-$S448/$H448,0))))))</ns0:f>
      </ns0:c>
      <ns0:c r="U448" s="920">
        <ns0:f>IF(COUNTA($A448:$M448)=0,"",IF(OR(LEFT(LOWER(TRIM($F448&amp;"")),12)="subscription",LOWER(TRIM($F448&amp;""))="membership"),"Subscription",IF(LOWER(TRIM($D448&amp;""))="estimate","Estimate",IF(OR(AND($H448&lt;&gt;"",$H448=0),LEFT(LOWER(TRIM($F448&amp;"")),9)="free game",LOWER(TRIM($F448&amp;""))="free",LOWER(TRIM($F448&amp;""))="free entry"),IF(LOWER($L448&amp;"")="yes","Disqualified — Free Game","Free Game"),IF(LOWER($L448&amp;"")="yes","Disqualified",IF($P448="","",IF(ROUND(IFERROR(VALUE($P448),0)-IFERROR(VALUE($H448),0),2)&gt;0,"Profit","Draw")))))))</ns0:f>
      </ns0:c>
      <ns0:c r="V448" s="956" t="str">
        <ns0:f>IF(COUNTA($A448:$M448)=0,"",IF(OR($B448="",$C448="",$U448="Subscription"),"",IFERROR(ROUNDUP(($C448-$B448)/7,0),"")))</ns0:f>
      </ns0:c>
      <ns0:c r="W448" s="114">
        <ns0:f>IF(COUNTA($A448:$M448)=0,"",IF(OR($U448="Subscription",$U448=""),"",IF($U448="Estimate","N/A",IF(OR($U448="Free Game",$U448="Disqualified — Free Game"),0,ROUND(IFERROR($Q448,0)-IFERROR($S448,0),2)))))</ns0:f>
      </ns0:c>
      <ns0:c r="X448" s="956" t="str">
        <ns0:f>IF(COUNTA($A448:$M448)=0,"",IF(OR($U448="Subscription",NOT(ISNUMBER($J448)),NOT(ISNUMBER($I448)),$J448=0,$I448=0,$I448&gt;$J448),"",$J448-$I448))</ns0:f>
      </ns0:c>
      <ns0:c r="Y448" s="955" t="str">
        <ns0:f>IF(COUNTA($A448:$M448)=0,"",IF(OR($U448="Subscription",NOT(ISNUMBER($J448)),$J448=0,$X448=""),"",$X448/$J448))</ns0:f>
      </ns0:c>
      <ns0:c r="Z448" s="957" t="str">
        <ns0:f>IF(COUNTA($A448:$M448)=0,"",Instructions!$B$29+SUM($W$5:W448))</ns0:f>
      </ns0:c>
    </ns0:row>
    <ns0:row r="449" ht="36" customHeight="1">
      <ns0:c r="A449" s="439"/>
      <ns0:c r="B449" s="453"/>
      <ns0:c r="C449" s="453"/>
      <ns0:c r="D449" s="454"/>
      <ns0:c r="E449" s="454"/>
      <ns0:c r="F449" s="454"/>
      <ns0:c r="G449" s="986"/>
      <ns0:c r="H449" s="455"/>
      <ns0:c r="I449" s="456"/>
      <ns0:c r="J449" s="456"/>
      <ns0:c r="K449" s="986"/>
      <ns0:c r="L449" s="454"/>
      <ns0:c r="M449" s="439"/>
      <ns0:c r="N449" s="987" t="str">
        <ns0:f>IF(COUNTA($A449:$M449)=0,"",IF(OR(LEFT(LOWER(TRIM($F449&amp;"")),12)="subscription",LOWER(TRIM($F449&amp;""))="membership"),"",IF(OR(AND($H449&lt;&gt;"",$H449=0),LEFT(LOWER(TRIM($F449&amp;"")),9)="free game",LOWER(TRIM($F449&amp;""))="free",LOWER(TRIM($F449&amp;""))="free entry"),IF(ISNUMBER($G449),IF(ISNUMBER(SEARCH("non",LOWER($E449&amp;""))),$G449*0.85,$G449),"N/A"),IF($G449="","",IFERROR(IF(ISNUMBER(SEARCH("non",LOWER($E449&amp;""))),$G449*0.85,$G449),"")))))</ns0:f>
        <ns0:v/>
      </ns0:c>
      <ns0:c r="O449" s="987" t="str">
        <ns0:f>IF(COUNTA($A449:$M449)=0,"",IF(OR(LEFT(LOWER(TRIM($F449&amp;"")),12)="subscription",LOWER(TRIM($F449&amp;""))="membership"),"",IF(OR(AND($H449&lt;&gt;"",$H449=0),LEFT(LOWER(TRIM($F449&amp;"")),9)="free game",LOWER(TRIM($F449&amp;""))="free",LOWER(TRIM($F449&amp;""))="free entry"),IF(OR(NOT(ISNUMBER($N449)),NOT(ISNUMBER($I449)),$I449=0),"N/A",IFERROR($N449/$I449,"N/A")),IF(OR($N449="",$I449="",$I449=0),"",IFERROR($N449/$I449,"")))))</ns0:f>
        <ns0:v/>
      </ns0:c>
      <ns0:c r="P449" s="987">
        <ns0:f>IF(COUNTA($A449:$M449)=0,"",IF(OR(LEFT(LOWER(TRIM($F449&amp;"")),12)="subscription",LOWER(TRIM($F449&amp;""))="membership"),"",IF(LOWER(TRIM($D449&amp;""))="estimate","N/A",IF(LOWER($L449&amp;"")="yes",0,IF(OR(AND($H449&lt;&gt;"",$H449=0),LEFT(LOWER(TRIM($F449&amp;"")),9)="free game",LOWER(TRIM($F449&amp;""))="free",LOWER(TRIM($F449&amp;""))="free entry"),IF(ISNUMBER($K449),$K449,""),IF($K449&lt;&gt;"",$K449,""))))))</ns0:f>
      </ns0:c>
      <ns0:c r="Q449" s="114">
        <ns0:f>IF(COUNTA($A449:$M449)=0,"",IF(OR($U449="Subscription",$U449=""),"",IF($U449="Estimate","N/A",IF($U449="Profit",ROUND(IFERROR($P449,0)-IFERROR($H449,0),2),0))))</ns0:f>
      </ns0:c>
      <ns0:c r="R449" s="114">
        <ns0:f>IF(COUNTA($A449:$M449)=0,"",IF(OR($U449="Subscription",$U449=""),"",IF($U449="Estimate","N/A",IF($U449="Draw",$H449,0))))</ns0:f>
      </ns0:c>
      <ns0:c r="S449" s="114">
        <ns0:f>IF(COUNTA($A449:$M449)=0,"",IF(OR($U449="Subscription",$U449=""),"",IF($U449="Estimate","N/A",IF($U449="Disqualified",$H449,0))))</ns0:f>
      </ns0:c>
      <ns0:c r="T449" s="955">
        <ns0:f>IF(COUNTA($A449:$M449)=0,"",IF(OR($U449="Subscription",$U449=""),"",IF($U449="Estimate","N/A",IF(OR($U449="Free Game",$U449="Disqualified — Free Game",$H449=0),"N/A",IF($U449="Profit",$Q449/$H449,IF($U449="Disqualified",-$S449/$H449,0))))))</ns0:f>
      </ns0:c>
      <ns0:c r="U449" s="920">
        <ns0:f>IF(COUNTA($A449:$M449)=0,"",IF(OR(LEFT(LOWER(TRIM($F449&amp;"")),12)="subscription",LOWER(TRIM($F449&amp;""))="membership"),"Subscription",IF(LOWER(TRIM($D449&amp;""))="estimate","Estimate",IF(OR(AND($H449&lt;&gt;"",$H449=0),LEFT(LOWER(TRIM($F449&amp;"")),9)="free game",LOWER(TRIM($F449&amp;""))="free",LOWER(TRIM($F449&amp;""))="free entry"),IF(LOWER($L449&amp;"")="yes","Disqualified — Free Game","Free Game"),IF(LOWER($L449&amp;"")="yes","Disqualified",IF($P449="","",IF(ROUND(IFERROR(VALUE($P449),0)-IFERROR(VALUE($H449),0),2)&gt;0,"Profit","Draw")))))))</ns0:f>
      </ns0:c>
      <ns0:c r="V449" s="956" t="str">
        <ns0:f>IF(COUNTA($A449:$M449)=0,"",IF(OR($B449="",$C449="",$U449="Subscription"),"",IFERROR(ROUNDUP(($C449-$B449)/7,0),"")))</ns0:f>
      </ns0:c>
      <ns0:c r="W449" s="114">
        <ns0:f>IF(COUNTA($A449:$M449)=0,"",IF(OR($U449="Subscription",$U449=""),"",IF($U449="Estimate","N/A",IF(OR($U449="Free Game",$U449="Disqualified — Free Game"),0,ROUND(IFERROR($Q449,0)-IFERROR($S449,0),2)))))</ns0:f>
      </ns0:c>
      <ns0:c r="X449" s="956" t="str">
        <ns0:f>IF(COUNTA($A449:$M449)=0,"",IF(OR($U449="Subscription",NOT(ISNUMBER($J449)),NOT(ISNUMBER($I449)),$J449=0,$I449=0,$I449&gt;$J449),"",$J449-$I449))</ns0:f>
      </ns0:c>
      <ns0:c r="Y449" s="955" t="str">
        <ns0:f>IF(COUNTA($A449:$M449)=0,"",IF(OR($U449="Subscription",NOT(ISNUMBER($J449)),$J449=0,$X449=""),"",$X449/$J449))</ns0:f>
      </ns0:c>
      <ns0:c r="Z449" s="957" t="str">
        <ns0:f>IF(COUNTA($A449:$M449)=0,"",Instructions!$B$29+SUM($W$5:W449))</ns0:f>
      </ns0:c>
    </ns0:row>
    <ns0:row r="450" ht="36" customHeight="1">
      <ns0:c r="A450" s="439"/>
      <ns0:c r="B450" s="453"/>
      <ns0:c r="C450" s="453"/>
      <ns0:c r="D450" s="454"/>
      <ns0:c r="E450" s="454"/>
      <ns0:c r="F450" s="454"/>
      <ns0:c r="G450" s="986"/>
      <ns0:c r="H450" s="455"/>
      <ns0:c r="I450" s="456"/>
      <ns0:c r="J450" s="456"/>
      <ns0:c r="K450" s="986"/>
      <ns0:c r="L450" s="454"/>
      <ns0:c r="M450" s="439"/>
      <ns0:c r="N450" s="987" t="str">
        <ns0:f>IF(COUNTA($A450:$M450)=0,"",IF(OR(LEFT(LOWER(TRIM($F450&amp;"")),12)="subscription",LOWER(TRIM($F450&amp;""))="membership"),"",IF(OR(AND($H450&lt;&gt;"",$H450=0),LEFT(LOWER(TRIM($F450&amp;"")),9)="free game",LOWER(TRIM($F450&amp;""))="free",LOWER(TRIM($F450&amp;""))="free entry"),IF(ISNUMBER($G450),IF(ISNUMBER(SEARCH("non",LOWER($E450&amp;""))),$G450*0.85,$G450),"N/A"),IF($G450="","",IFERROR(IF(ISNUMBER(SEARCH("non",LOWER($E450&amp;""))),$G450*0.85,$G450),"")))))</ns0:f>
        <ns0:v/>
      </ns0:c>
      <ns0:c r="O450" s="987" t="str">
        <ns0:f>IF(COUNTA($A450:$M450)=0,"",IF(OR(LEFT(LOWER(TRIM($F450&amp;"")),12)="subscription",LOWER(TRIM($F450&amp;""))="membership"),"",IF(OR(AND($H450&lt;&gt;"",$H450=0),LEFT(LOWER(TRIM($F450&amp;"")),9)="free game",LOWER(TRIM($F450&amp;""))="free",LOWER(TRIM($F450&amp;""))="free entry"),IF(OR(NOT(ISNUMBER($N450)),NOT(ISNUMBER($I450)),$I450=0),"N/A",IFERROR($N450/$I450,"N/A")),IF(OR($N450="",$I450="",$I450=0),"",IFERROR($N450/$I450,"")))))</ns0:f>
        <ns0:v/>
      </ns0:c>
      <ns0:c r="P450" s="987">
        <ns0:f>IF(COUNTA($A450:$M450)=0,"",IF(OR(LEFT(LOWER(TRIM($F450&amp;"")),12)="subscription",LOWER(TRIM($F450&amp;""))="membership"),"",IF(LOWER(TRIM($D450&amp;""))="estimate","N/A",IF(LOWER($L450&amp;"")="yes",0,IF(OR(AND($H450&lt;&gt;"",$H450=0),LEFT(LOWER(TRIM($F450&amp;"")),9)="free game",LOWER(TRIM($F450&amp;""))="free",LOWER(TRIM($F450&amp;""))="free entry"),IF(ISNUMBER($K450),$K450,""),IF($K450&lt;&gt;"",$K450,""))))))</ns0:f>
      </ns0:c>
      <ns0:c r="Q450" s="114">
        <ns0:f>IF(COUNTA($A450:$M450)=0,"",IF(OR($U450="Subscription",$U450=""),"",IF($U450="Estimate","N/A",IF($U450="Profit",ROUND(IFERROR($P450,0)-IFERROR($H450,0),2),0))))</ns0:f>
      </ns0:c>
      <ns0:c r="R450" s="114">
        <ns0:f>IF(COUNTA($A450:$M450)=0,"",IF(OR($U450="Subscription",$U450=""),"",IF($U450="Estimate","N/A",IF($U450="Draw",$H450,0))))</ns0:f>
      </ns0:c>
      <ns0:c r="S450" s="114">
        <ns0:f>IF(COUNTA($A450:$M450)=0,"",IF(OR($U450="Subscription",$U450=""),"",IF($U450="Estimate","N/A",IF($U450="Disqualified",$H450,0))))</ns0:f>
      </ns0:c>
      <ns0:c r="T450" s="955">
        <ns0:f>IF(COUNTA($A450:$M450)=0,"",IF(OR($U450="Subscription",$U450=""),"",IF($U450="Estimate","N/A",IF(OR($U450="Free Game",$U450="Disqualified — Free Game",$H450=0),"N/A",IF($U450="Profit",$Q450/$H450,IF($U450="Disqualified",-$S450/$H450,0))))))</ns0:f>
      </ns0:c>
      <ns0:c r="U450" s="920">
        <ns0:f>IF(COUNTA($A450:$M450)=0,"",IF(OR(LEFT(LOWER(TRIM($F450&amp;"")),12)="subscription",LOWER(TRIM($F450&amp;""))="membership"),"Subscription",IF(LOWER(TRIM($D450&amp;""))="estimate","Estimate",IF(OR(AND($H450&lt;&gt;"",$H450=0),LEFT(LOWER(TRIM($F450&amp;"")),9)="free game",LOWER(TRIM($F450&amp;""))="free",LOWER(TRIM($F450&amp;""))="free entry"),IF(LOWER($L450&amp;"")="yes","Disqualified — Free Game","Free Game"),IF(LOWER($L450&amp;"")="yes","Disqualified",IF($P450="","",IF(ROUND(IFERROR(VALUE($P450),0)-IFERROR(VALUE($H450),0),2)&gt;0,"Profit","Draw")))))))</ns0:f>
      </ns0:c>
      <ns0:c r="V450" s="956" t="str">
        <ns0:f>IF(COUNTA($A450:$M450)=0,"",IF(OR($B450="",$C450="",$U450="Subscription"),"",IFERROR(ROUNDUP(($C450-$B450)/7,0),"")))</ns0:f>
      </ns0:c>
      <ns0:c r="W450" s="114">
        <ns0:f>IF(COUNTA($A450:$M450)=0,"",IF(OR($U450="Subscription",$U450=""),"",IF($U450="Estimate","N/A",IF(OR($U450="Free Game",$U450="Disqualified — Free Game"),0,ROUND(IFERROR($Q450,0)-IFERROR($S450,0),2)))))</ns0:f>
      </ns0:c>
      <ns0:c r="X450" s="956" t="str">
        <ns0:f>IF(COUNTA($A450:$M450)=0,"",IF(OR($U450="Subscription",NOT(ISNUMBER($J450)),NOT(ISNUMBER($I450)),$J450=0,$I450=0,$I450&gt;$J450),"",$J450-$I450))</ns0:f>
      </ns0:c>
      <ns0:c r="Y450" s="955" t="str">
        <ns0:f>IF(COUNTA($A450:$M450)=0,"",IF(OR($U450="Subscription",NOT(ISNUMBER($J450)),$J450=0,$X450=""),"",$X450/$J450))</ns0:f>
      </ns0:c>
      <ns0:c r="Z450" s="957" t="str">
        <ns0:f>IF(COUNTA($A450:$M450)=0,"",Instructions!$B$29+SUM($W$5:W450))</ns0:f>
      </ns0:c>
    </ns0:row>
    <ns0:row r="451" ht="36" customHeight="1">
      <ns0:c r="A451" s="439"/>
      <ns0:c r="B451" s="453"/>
      <ns0:c r="C451" s="453"/>
      <ns0:c r="D451" s="454"/>
      <ns0:c r="E451" s="454"/>
      <ns0:c r="F451" s="454"/>
      <ns0:c r="G451" s="986"/>
      <ns0:c r="H451" s="455"/>
      <ns0:c r="I451" s="456"/>
      <ns0:c r="J451" s="456"/>
      <ns0:c r="K451" s="986"/>
      <ns0:c r="L451" s="454"/>
      <ns0:c r="M451" s="439"/>
      <ns0:c r="N451" s="987" t="str">
        <ns0:f>IF(COUNTA($A451:$M451)=0,"",IF(OR(LEFT(LOWER(TRIM($F451&amp;"")),12)="subscription",LOWER(TRIM($F451&amp;""))="membership"),"",IF(OR(AND($H451&lt;&gt;"",$H451=0),LEFT(LOWER(TRIM($F451&amp;"")),9)="free game",LOWER(TRIM($F451&amp;""))="free",LOWER(TRIM($F451&amp;""))="free entry"),IF(ISNUMBER($G451),IF(ISNUMBER(SEARCH("non",LOWER($E451&amp;""))),$G451*0.85,$G451),"N/A"),IF($G451="","",IFERROR(IF(ISNUMBER(SEARCH("non",LOWER($E451&amp;""))),$G451*0.85,$G451),"")))))</ns0:f>
        <ns0:v/>
      </ns0:c>
      <ns0:c r="O451" s="987" t="str">
        <ns0:f>IF(COUNTA($A451:$M451)=0,"",IF(OR(LEFT(LOWER(TRIM($F451&amp;"")),12)="subscription",LOWER(TRIM($F451&amp;""))="membership"),"",IF(OR(AND($H451&lt;&gt;"",$H451=0),LEFT(LOWER(TRIM($F451&amp;"")),9)="free game",LOWER(TRIM($F451&amp;""))="free",LOWER(TRIM($F451&amp;""))="free entry"),IF(OR(NOT(ISNUMBER($N451)),NOT(ISNUMBER($I451)),$I451=0),"N/A",IFERROR($N451/$I451,"N/A")),IF(OR($N451="",$I451="",$I451=0),"",IFERROR($N451/$I451,"")))))</ns0:f>
        <ns0:v/>
      </ns0:c>
      <ns0:c r="P451" s="987">
        <ns0:f>IF(COUNTA($A451:$M451)=0,"",IF(OR(LEFT(LOWER(TRIM($F451&amp;"")),12)="subscription",LOWER(TRIM($F451&amp;""))="membership"),"",IF(LOWER(TRIM($D451&amp;""))="estimate","N/A",IF(LOWER($L451&amp;"")="yes",0,IF(OR(AND($H451&lt;&gt;"",$H451=0),LEFT(LOWER(TRIM($F451&amp;"")),9)="free game",LOWER(TRIM($F451&amp;""))="free",LOWER(TRIM($F451&amp;""))="free entry"),IF(ISNUMBER($K451),$K451,""),IF($K451&lt;&gt;"",$K451,""))))))</ns0:f>
      </ns0:c>
      <ns0:c r="Q451" s="114">
        <ns0:f>IF(COUNTA($A451:$M451)=0,"",IF(OR($U451="Subscription",$U451=""),"",IF($U451="Estimate","N/A",IF($U451="Profit",ROUND(IFERROR($P451,0)-IFERROR($H451,0),2),0))))</ns0:f>
      </ns0:c>
      <ns0:c r="R451" s="114">
        <ns0:f>IF(COUNTA($A451:$M451)=0,"",IF(OR($U451="Subscription",$U451=""),"",IF($U451="Estimate","N/A",IF($U451="Draw",$H451,0))))</ns0:f>
      </ns0:c>
      <ns0:c r="S451" s="114">
        <ns0:f>IF(COUNTA($A451:$M451)=0,"",IF(OR($U451="Subscription",$U451=""),"",IF($U451="Estimate","N/A",IF($U451="Disqualified",$H451,0))))</ns0:f>
      </ns0:c>
      <ns0:c r="T451" s="955">
        <ns0:f>IF(COUNTA($A451:$M451)=0,"",IF(OR($U451="Subscription",$U451=""),"",IF($U451="Estimate","N/A",IF(OR($U451="Free Game",$U451="Disqualified — Free Game",$H451=0),"N/A",IF($U451="Profit",$Q451/$H451,IF($U451="Disqualified",-$S451/$H451,0))))))</ns0:f>
      </ns0:c>
      <ns0:c r="U451" s="920">
        <ns0:f>IF(COUNTA($A451:$M451)=0,"",IF(OR(LEFT(LOWER(TRIM($F451&amp;"")),12)="subscription",LOWER(TRIM($F451&amp;""))="membership"),"Subscription",IF(LOWER(TRIM($D451&amp;""))="estimate","Estimate",IF(OR(AND($H451&lt;&gt;"",$H451=0),LEFT(LOWER(TRIM($F451&amp;"")),9)="free game",LOWER(TRIM($F451&amp;""))="free",LOWER(TRIM($F451&amp;""))="free entry"),IF(LOWER($L451&amp;"")="yes","Disqualified — Free Game","Free Game"),IF(LOWER($L451&amp;"")="yes","Disqualified",IF($P451="","",IF(ROUND(IFERROR(VALUE($P451),0)-IFERROR(VALUE($H451),0),2)&gt;0,"Profit","Draw")))))))</ns0:f>
      </ns0:c>
      <ns0:c r="V451" s="956" t="str">
        <ns0:f>IF(COUNTA($A451:$M451)=0,"",IF(OR($B451="",$C451="",$U451="Subscription"),"",IFERROR(ROUNDUP(($C451-$B451)/7,0),"")))</ns0:f>
      </ns0:c>
      <ns0:c r="W451" s="114">
        <ns0:f>IF(COUNTA($A451:$M451)=0,"",IF(OR($U451="Subscription",$U451=""),"",IF($U451="Estimate","N/A",IF(OR($U451="Free Game",$U451="Disqualified — Free Game"),0,ROUND(IFERROR($Q451,0)-IFERROR($S451,0),2)))))</ns0:f>
      </ns0:c>
      <ns0:c r="X451" s="956" t="str">
        <ns0:f>IF(COUNTA($A451:$M451)=0,"",IF(OR($U451="Subscription",NOT(ISNUMBER($J451)),NOT(ISNUMBER($I451)),$J451=0,$I451=0,$I451&gt;$J451),"",$J451-$I451))</ns0:f>
      </ns0:c>
      <ns0:c r="Y451" s="955" t="str">
        <ns0:f>IF(COUNTA($A451:$M451)=0,"",IF(OR($U451="Subscription",NOT(ISNUMBER($J451)),$J451=0,$X451=""),"",$X451/$J451))</ns0:f>
      </ns0:c>
      <ns0:c r="Z451" s="957" t="str">
        <ns0:f>IF(COUNTA($A451:$M451)=0,"",Instructions!$B$29+SUM($W$5:W451))</ns0:f>
      </ns0:c>
    </ns0:row>
    <ns0:row r="452" ht="36" customHeight="1">
      <ns0:c r="A452" s="439"/>
      <ns0:c r="B452" s="453"/>
      <ns0:c r="C452" s="453"/>
      <ns0:c r="D452" s="454"/>
      <ns0:c r="E452" s="454"/>
      <ns0:c r="F452" s="454"/>
      <ns0:c r="G452" s="986"/>
      <ns0:c r="H452" s="455"/>
      <ns0:c r="I452" s="456"/>
      <ns0:c r="J452" s="456"/>
      <ns0:c r="K452" s="986"/>
      <ns0:c r="L452" s="454"/>
      <ns0:c r="M452" s="439"/>
      <ns0:c r="N452" s="987" t="str">
        <ns0:f>IF(COUNTA($A452:$M452)=0,"",IF(OR(LEFT(LOWER(TRIM($F452&amp;"")),12)="subscription",LOWER(TRIM($F452&amp;""))="membership"),"",IF(OR(AND($H452&lt;&gt;"",$H452=0),LEFT(LOWER(TRIM($F452&amp;"")),9)="free game",LOWER(TRIM($F452&amp;""))="free",LOWER(TRIM($F452&amp;""))="free entry"),IF(ISNUMBER($G452),IF(ISNUMBER(SEARCH("non",LOWER($E452&amp;""))),$G452*0.85,$G452),"N/A"),IF($G452="","",IFERROR(IF(ISNUMBER(SEARCH("non",LOWER($E452&amp;""))),$G452*0.85,$G452),"")))))</ns0:f>
        <ns0:v/>
      </ns0:c>
      <ns0:c r="O452" s="987" t="str">
        <ns0:f>IF(COUNTA($A452:$M452)=0,"",IF(OR(LEFT(LOWER(TRIM($F452&amp;"")),12)="subscription",LOWER(TRIM($F452&amp;""))="membership"),"",IF(OR(AND($H452&lt;&gt;"",$H452=0),LEFT(LOWER(TRIM($F452&amp;"")),9)="free game",LOWER(TRIM($F452&amp;""))="free",LOWER(TRIM($F452&amp;""))="free entry"),IF(OR(NOT(ISNUMBER($N452)),NOT(ISNUMBER($I452)),$I452=0),"N/A",IFERROR($N452/$I452,"N/A")),IF(OR($N452="",$I452="",$I452=0),"",IFERROR($N452/$I452,"")))))</ns0:f>
        <ns0:v/>
      </ns0:c>
      <ns0:c r="P452" s="987">
        <ns0:f>IF(COUNTA($A452:$M452)=0,"",IF(OR(LEFT(LOWER(TRIM($F452&amp;"")),12)="subscription",LOWER(TRIM($F452&amp;""))="membership"),"",IF(LOWER(TRIM($D452&amp;""))="estimate","N/A",IF(LOWER($L452&amp;"")="yes",0,IF(OR(AND($H452&lt;&gt;"",$H452=0),LEFT(LOWER(TRIM($F452&amp;"")),9)="free game",LOWER(TRIM($F452&amp;""))="free",LOWER(TRIM($F452&amp;""))="free entry"),IF(ISNUMBER($K452),$K452,""),IF($K452&lt;&gt;"",$K452,""))))))</ns0:f>
      </ns0:c>
      <ns0:c r="Q452" s="114">
        <ns0:f>IF(COUNTA($A452:$M452)=0,"",IF(OR($U452="Subscription",$U452=""),"",IF($U452="Estimate","N/A",IF($U452="Profit",ROUND(IFERROR($P452,0)-IFERROR($H452,0),2),0))))</ns0:f>
      </ns0:c>
      <ns0:c r="R452" s="114">
        <ns0:f>IF(COUNTA($A452:$M452)=0,"",IF(OR($U452="Subscription",$U452=""),"",IF($U452="Estimate","N/A",IF($U452="Draw",$H452,0))))</ns0:f>
      </ns0:c>
      <ns0:c r="S452" s="114">
        <ns0:f>IF(COUNTA($A452:$M452)=0,"",IF(OR($U452="Subscription",$U452=""),"",IF($U452="Estimate","N/A",IF($U452="Disqualified",$H452,0))))</ns0:f>
      </ns0:c>
      <ns0:c r="T452" s="955">
        <ns0:f>IF(COUNTA($A452:$M452)=0,"",IF(OR($U452="Subscription",$U452=""),"",IF($U452="Estimate","N/A",IF(OR($U452="Free Game",$U452="Disqualified — Free Game",$H452=0),"N/A",IF($U452="Profit",$Q452/$H452,IF($U452="Disqualified",-$S452/$H452,0))))))</ns0:f>
      </ns0:c>
      <ns0:c r="U452" s="920">
        <ns0:f>IF(COUNTA($A452:$M452)=0,"",IF(OR(LEFT(LOWER(TRIM($F452&amp;"")),12)="subscription",LOWER(TRIM($F452&amp;""))="membership"),"Subscription",IF(LOWER(TRIM($D452&amp;""))="estimate","Estimate",IF(OR(AND($H452&lt;&gt;"",$H452=0),LEFT(LOWER(TRIM($F452&amp;"")),9)="free game",LOWER(TRIM($F452&amp;""))="free",LOWER(TRIM($F452&amp;""))="free entry"),IF(LOWER($L452&amp;"")="yes","Disqualified — Free Game","Free Game"),IF(LOWER($L452&amp;"")="yes","Disqualified",IF($P452="","",IF(ROUND(IFERROR(VALUE($P452),0)-IFERROR(VALUE($H452),0),2)&gt;0,"Profit","Draw")))))))</ns0:f>
      </ns0:c>
      <ns0:c r="V452" s="956" t="str">
        <ns0:f>IF(COUNTA($A452:$M452)=0,"",IF(OR($B452="",$C452="",$U452="Subscription"),"",IFERROR(ROUNDUP(($C452-$B452)/7,0),"")))</ns0:f>
      </ns0:c>
      <ns0:c r="W452" s="114">
        <ns0:f>IF(COUNTA($A452:$M452)=0,"",IF(OR($U452="Subscription",$U452=""),"",IF($U452="Estimate","N/A",IF(OR($U452="Free Game",$U452="Disqualified — Free Game"),0,ROUND(IFERROR($Q452,0)-IFERROR($S452,0),2)))))</ns0:f>
      </ns0:c>
      <ns0:c r="X452" s="956" t="str">
        <ns0:f>IF(COUNTA($A452:$M452)=0,"",IF(OR($U452="Subscription",NOT(ISNUMBER($J452)),NOT(ISNUMBER($I452)),$J452=0,$I452=0,$I452&gt;$J452),"",$J452-$I452))</ns0:f>
      </ns0:c>
      <ns0:c r="Y452" s="955" t="str">
        <ns0:f>IF(COUNTA($A452:$M452)=0,"",IF(OR($U452="Subscription",NOT(ISNUMBER($J452)),$J452=0,$X452=""),"",$X452/$J452))</ns0:f>
      </ns0:c>
      <ns0:c r="Z452" s="957" t="str">
        <ns0:f>IF(COUNTA($A452:$M452)=0,"",Instructions!$B$29+SUM($W$5:W452))</ns0:f>
      </ns0:c>
    </ns0:row>
    <ns0:row r="453" ht="36" customHeight="1">
      <ns0:c r="A453" s="439"/>
      <ns0:c r="B453" s="453"/>
      <ns0:c r="C453" s="453"/>
      <ns0:c r="D453" s="454"/>
      <ns0:c r="E453" s="454"/>
      <ns0:c r="F453" s="454"/>
      <ns0:c r="G453" s="986"/>
      <ns0:c r="H453" s="455"/>
      <ns0:c r="I453" s="456"/>
      <ns0:c r="J453" s="456"/>
      <ns0:c r="K453" s="986"/>
      <ns0:c r="L453" s="454"/>
      <ns0:c r="M453" s="439"/>
      <ns0:c r="N453" s="987" t="str">
        <ns0:f>IF(COUNTA($A453:$M453)=0,"",IF(OR(LEFT(LOWER(TRIM($F453&amp;"")),12)="subscription",LOWER(TRIM($F453&amp;""))="membership"),"",IF(OR(AND($H453&lt;&gt;"",$H453=0),LEFT(LOWER(TRIM($F453&amp;"")),9)="free game",LOWER(TRIM($F453&amp;""))="free",LOWER(TRIM($F453&amp;""))="free entry"),IF(ISNUMBER($G453),IF(ISNUMBER(SEARCH("non",LOWER($E453&amp;""))),$G453*0.85,$G453),"N/A"),IF($G453="","",IFERROR(IF(ISNUMBER(SEARCH("non",LOWER($E453&amp;""))),$G453*0.85,$G453),"")))))</ns0:f>
        <ns0:v/>
      </ns0:c>
      <ns0:c r="O453" s="987" t="str">
        <ns0:f>IF(COUNTA($A453:$M453)=0,"",IF(OR(LEFT(LOWER(TRIM($F453&amp;"")),12)="subscription",LOWER(TRIM($F453&amp;""))="membership"),"",IF(OR(AND($H453&lt;&gt;"",$H453=0),LEFT(LOWER(TRIM($F453&amp;"")),9)="free game",LOWER(TRIM($F453&amp;""))="free",LOWER(TRIM($F453&amp;""))="free entry"),IF(OR(NOT(ISNUMBER($N453)),NOT(ISNUMBER($I453)),$I453=0),"N/A",IFERROR($N453/$I453,"N/A")),IF(OR($N453="",$I453="",$I453=0),"",IFERROR($N453/$I453,"")))))</ns0:f>
        <ns0:v/>
      </ns0:c>
      <ns0:c r="P453" s="987">
        <ns0:f>IF(COUNTA($A453:$M453)=0,"",IF(OR(LEFT(LOWER(TRIM($F453&amp;"")),12)="subscription",LOWER(TRIM($F453&amp;""))="membership"),"",IF(LOWER(TRIM($D453&amp;""))="estimate","N/A",IF(LOWER($L453&amp;"")="yes",0,IF(OR(AND($H453&lt;&gt;"",$H453=0),LEFT(LOWER(TRIM($F453&amp;"")),9)="free game",LOWER(TRIM($F453&amp;""))="free",LOWER(TRIM($F453&amp;""))="free entry"),IF(ISNUMBER($K453),$K453,""),IF($K453&lt;&gt;"",$K453,""))))))</ns0:f>
      </ns0:c>
      <ns0:c r="Q453" s="114">
        <ns0:f>IF(COUNTA($A453:$M453)=0,"",IF(OR($U453="Subscription",$U453=""),"",IF($U453="Estimate","N/A",IF($U453="Profit",ROUND(IFERROR($P453,0)-IFERROR($H453,0),2),0))))</ns0:f>
      </ns0:c>
      <ns0:c r="R453" s="114">
        <ns0:f>IF(COUNTA($A453:$M453)=0,"",IF(OR($U453="Subscription",$U453=""),"",IF($U453="Estimate","N/A",IF($U453="Draw",$H453,0))))</ns0:f>
      </ns0:c>
      <ns0:c r="S453" s="114">
        <ns0:f>IF(COUNTA($A453:$M453)=0,"",IF(OR($U453="Subscription",$U453=""),"",IF($U453="Estimate","N/A",IF($U453="Disqualified",$H453,0))))</ns0:f>
      </ns0:c>
      <ns0:c r="T453" s="955">
        <ns0:f>IF(COUNTA($A453:$M453)=0,"",IF(OR($U453="Subscription",$U453=""),"",IF($U453="Estimate","N/A",IF(OR($U453="Free Game",$U453="Disqualified — Free Game",$H453=0),"N/A",IF($U453="Profit",$Q453/$H453,IF($U453="Disqualified",-$S453/$H453,0))))))</ns0:f>
      </ns0:c>
      <ns0:c r="U453" s="920">
        <ns0:f>IF(COUNTA($A453:$M453)=0,"",IF(OR(LEFT(LOWER(TRIM($F453&amp;"")),12)="subscription",LOWER(TRIM($F453&amp;""))="membership"),"Subscription",IF(LOWER(TRIM($D453&amp;""))="estimate","Estimate",IF(OR(AND($H453&lt;&gt;"",$H453=0),LEFT(LOWER(TRIM($F453&amp;"")),9)="free game",LOWER(TRIM($F453&amp;""))="free",LOWER(TRIM($F453&amp;""))="free entry"),IF(LOWER($L453&amp;"")="yes","Disqualified — Free Game","Free Game"),IF(LOWER($L453&amp;"")="yes","Disqualified",IF($P453="","",IF(ROUND(IFERROR(VALUE($P453),0)-IFERROR(VALUE($H453),0),2)&gt;0,"Profit","Draw")))))))</ns0:f>
      </ns0:c>
      <ns0:c r="V453" s="956" t="str">
        <ns0:f>IF(COUNTA($A453:$M453)=0,"",IF(OR($B453="",$C453="",$U453="Subscription"),"",IFERROR(ROUNDUP(($C453-$B453)/7,0),"")))</ns0:f>
      </ns0:c>
      <ns0:c r="W453" s="114">
        <ns0:f>IF(COUNTA($A453:$M453)=0,"",IF(OR($U453="Subscription",$U453=""),"",IF($U453="Estimate","N/A",IF(OR($U453="Free Game",$U453="Disqualified — Free Game"),0,ROUND(IFERROR($Q453,0)-IFERROR($S453,0),2)))))</ns0:f>
      </ns0:c>
      <ns0:c r="X453" s="956" t="str">
        <ns0:f>IF(COUNTA($A453:$M453)=0,"",IF(OR($U453="Subscription",NOT(ISNUMBER($J453)),NOT(ISNUMBER($I453)),$J453=0,$I453=0,$I453&gt;$J453),"",$J453-$I453))</ns0:f>
      </ns0:c>
      <ns0:c r="Y453" s="955" t="str">
        <ns0:f>IF(COUNTA($A453:$M453)=0,"",IF(OR($U453="Subscription",NOT(ISNUMBER($J453)),$J453=0,$X453=""),"",$X453/$J453))</ns0:f>
      </ns0:c>
      <ns0:c r="Z453" s="957" t="str">
        <ns0:f>IF(COUNTA($A453:$M453)=0,"",Instructions!$B$29+SUM($W$5:W453))</ns0:f>
      </ns0:c>
    </ns0:row>
    <ns0:row r="454" ht="36" customHeight="1">
      <ns0:c r="A454" s="439"/>
      <ns0:c r="B454" s="453"/>
      <ns0:c r="C454" s="453"/>
      <ns0:c r="D454" s="454"/>
      <ns0:c r="E454" s="454"/>
      <ns0:c r="F454" s="454"/>
      <ns0:c r="G454" s="986"/>
      <ns0:c r="H454" s="455"/>
      <ns0:c r="I454" s="456"/>
      <ns0:c r="J454" s="456"/>
      <ns0:c r="K454" s="986"/>
      <ns0:c r="L454" s="454"/>
      <ns0:c r="M454" s="439"/>
      <ns0:c r="N454" s="987" t="str">
        <ns0:f>IF(COUNTA($A454:$M454)=0,"",IF(OR(LEFT(LOWER(TRIM($F454&amp;"")),12)="subscription",LOWER(TRIM($F454&amp;""))="membership"),"",IF(OR(AND($H454&lt;&gt;"",$H454=0),LEFT(LOWER(TRIM($F454&amp;"")),9)="free game",LOWER(TRIM($F454&amp;""))="free",LOWER(TRIM($F454&amp;""))="free entry"),IF(ISNUMBER($G454),IF(ISNUMBER(SEARCH("non",LOWER($E454&amp;""))),$G454*0.85,$G454),"N/A"),IF($G454="","",IFERROR(IF(ISNUMBER(SEARCH("non",LOWER($E454&amp;""))),$G454*0.85,$G454),"")))))</ns0:f>
        <ns0:v/>
      </ns0:c>
      <ns0:c r="O454" s="987" t="str">
        <ns0:f>IF(COUNTA($A454:$M454)=0,"",IF(OR(LEFT(LOWER(TRIM($F454&amp;"")),12)="subscription",LOWER(TRIM($F454&amp;""))="membership"),"",IF(OR(AND($H454&lt;&gt;"",$H454=0),LEFT(LOWER(TRIM($F454&amp;"")),9)="free game",LOWER(TRIM($F454&amp;""))="free",LOWER(TRIM($F454&amp;""))="free entry"),IF(OR(NOT(ISNUMBER($N454)),NOT(ISNUMBER($I454)),$I454=0),"N/A",IFERROR($N454/$I454,"N/A")),IF(OR($N454="",$I454="",$I454=0),"",IFERROR($N454/$I454,"")))))</ns0:f>
        <ns0:v/>
      </ns0:c>
      <ns0:c r="P454" s="987">
        <ns0:f>IF(COUNTA($A454:$M454)=0,"",IF(OR(LEFT(LOWER(TRIM($F454&amp;"")),12)="subscription",LOWER(TRIM($F454&amp;""))="membership"),"",IF(LOWER(TRIM($D454&amp;""))="estimate","N/A",IF(LOWER($L454&amp;"")="yes",0,IF(OR(AND($H454&lt;&gt;"",$H454=0),LEFT(LOWER(TRIM($F454&amp;"")),9)="free game",LOWER(TRIM($F454&amp;""))="free",LOWER(TRIM($F454&amp;""))="free entry"),IF(ISNUMBER($K454),$K454,""),IF($K454&lt;&gt;"",$K454,""))))))</ns0:f>
      </ns0:c>
      <ns0:c r="Q454" s="114">
        <ns0:f>IF(COUNTA($A454:$M454)=0,"",IF(OR($U454="Subscription",$U454=""),"",IF($U454="Estimate","N/A",IF($U454="Profit",ROUND(IFERROR($P454,0)-IFERROR($H454,0),2),0))))</ns0:f>
      </ns0:c>
      <ns0:c r="R454" s="114">
        <ns0:f>IF(COUNTA($A454:$M454)=0,"",IF(OR($U454="Subscription",$U454=""),"",IF($U454="Estimate","N/A",IF($U454="Draw",$H454,0))))</ns0:f>
      </ns0:c>
      <ns0:c r="S454" s="114">
        <ns0:f>IF(COUNTA($A454:$M454)=0,"",IF(OR($U454="Subscription",$U454=""),"",IF($U454="Estimate","N/A",IF($U454="Disqualified",$H454,0))))</ns0:f>
      </ns0:c>
      <ns0:c r="T454" s="955">
        <ns0:f>IF(COUNTA($A454:$M454)=0,"",IF(OR($U454="Subscription",$U454=""),"",IF($U454="Estimate","N/A",IF(OR($U454="Free Game",$U454="Disqualified — Free Game",$H454=0),"N/A",IF($U454="Profit",$Q454/$H454,IF($U454="Disqualified",-$S454/$H454,0))))))</ns0:f>
      </ns0:c>
      <ns0:c r="U454" s="920">
        <ns0:f>IF(COUNTA($A454:$M454)=0,"",IF(OR(LEFT(LOWER(TRIM($F454&amp;"")),12)="subscription",LOWER(TRIM($F454&amp;""))="membership"),"Subscription",IF(LOWER(TRIM($D454&amp;""))="estimate","Estimate",IF(OR(AND($H454&lt;&gt;"",$H454=0),LEFT(LOWER(TRIM($F454&amp;"")),9)="free game",LOWER(TRIM($F454&amp;""))="free",LOWER(TRIM($F454&amp;""))="free entry"),IF(LOWER($L454&amp;"")="yes","Disqualified — Free Game","Free Game"),IF(LOWER($L454&amp;"")="yes","Disqualified",IF($P454="","",IF(ROUND(IFERROR(VALUE($P454),0)-IFERROR(VALUE($H454),0),2)&gt;0,"Profit","Draw")))))))</ns0:f>
      </ns0:c>
      <ns0:c r="V454" s="956" t="str">
        <ns0:f>IF(COUNTA($A454:$M454)=0,"",IF(OR($B454="",$C454="",$U454="Subscription"),"",IFERROR(ROUNDUP(($C454-$B454)/7,0),"")))</ns0:f>
      </ns0:c>
      <ns0:c r="W454" s="114">
        <ns0:f>IF(COUNTA($A454:$M454)=0,"",IF(OR($U454="Subscription",$U454=""),"",IF($U454="Estimate","N/A",IF(OR($U454="Free Game",$U454="Disqualified — Free Game"),0,ROUND(IFERROR($Q454,0)-IFERROR($S454,0),2)))))</ns0:f>
      </ns0:c>
      <ns0:c r="X454" s="956" t="str">
        <ns0:f>IF(COUNTA($A454:$M454)=0,"",IF(OR($U454="Subscription",NOT(ISNUMBER($J454)),NOT(ISNUMBER($I454)),$J454=0,$I454=0,$I454&gt;$J454),"",$J454-$I454))</ns0:f>
      </ns0:c>
      <ns0:c r="Y454" s="955" t="str">
        <ns0:f>IF(COUNTA($A454:$M454)=0,"",IF(OR($U454="Subscription",NOT(ISNUMBER($J454)),$J454=0,$X454=""),"",$X454/$J454))</ns0:f>
      </ns0:c>
      <ns0:c r="Z454" s="957" t="str">
        <ns0:f>IF(COUNTA($A454:$M454)=0,"",Instructions!$B$29+SUM($W$5:W454))</ns0:f>
      </ns0:c>
    </ns0:row>
    <ns0:row r="455" ht="36" customHeight="1">
      <ns0:c r="A455" s="439"/>
      <ns0:c r="B455" s="453"/>
      <ns0:c r="C455" s="453"/>
      <ns0:c r="D455" s="454"/>
      <ns0:c r="E455" s="454"/>
      <ns0:c r="F455" s="454"/>
      <ns0:c r="G455" s="986"/>
      <ns0:c r="H455" s="455"/>
      <ns0:c r="I455" s="456"/>
      <ns0:c r="J455" s="456"/>
      <ns0:c r="K455" s="986"/>
      <ns0:c r="L455" s="454"/>
      <ns0:c r="M455" s="439"/>
      <ns0:c r="N455" s="987" t="str">
        <ns0:f>IF(COUNTA($A455:$M455)=0,"",IF(OR(LEFT(LOWER(TRIM($F455&amp;"")),12)="subscription",LOWER(TRIM($F455&amp;""))="membership"),"",IF(OR(AND($H455&lt;&gt;"",$H455=0),LEFT(LOWER(TRIM($F455&amp;"")),9)="free game",LOWER(TRIM($F455&amp;""))="free",LOWER(TRIM($F455&amp;""))="free entry"),IF(ISNUMBER($G455),IF(ISNUMBER(SEARCH("non",LOWER($E455&amp;""))),$G455*0.85,$G455),"N/A"),IF($G455="","",IFERROR(IF(ISNUMBER(SEARCH("non",LOWER($E455&amp;""))),$G455*0.85,$G455),"")))))</ns0:f>
        <ns0:v/>
      </ns0:c>
      <ns0:c r="O455" s="987" t="str">
        <ns0:f>IF(COUNTA($A455:$M455)=0,"",IF(OR(LEFT(LOWER(TRIM($F455&amp;"")),12)="subscription",LOWER(TRIM($F455&amp;""))="membership"),"",IF(OR(AND($H455&lt;&gt;"",$H455=0),LEFT(LOWER(TRIM($F455&amp;"")),9)="free game",LOWER(TRIM($F455&amp;""))="free",LOWER(TRIM($F455&amp;""))="free entry"),IF(OR(NOT(ISNUMBER($N455)),NOT(ISNUMBER($I455)),$I455=0),"N/A",IFERROR($N455/$I455,"N/A")),IF(OR($N455="",$I455="",$I455=0),"",IFERROR($N455/$I455,"")))))</ns0:f>
        <ns0:v/>
      </ns0:c>
      <ns0:c r="P455" s="987">
        <ns0:f>IF(COUNTA($A455:$M455)=0,"",IF(OR(LEFT(LOWER(TRIM($F455&amp;"")),12)="subscription",LOWER(TRIM($F455&amp;""))="membership"),"",IF(LOWER(TRIM($D455&amp;""))="estimate","N/A",IF(LOWER($L455&amp;"")="yes",0,IF(OR(AND($H455&lt;&gt;"",$H455=0),LEFT(LOWER(TRIM($F455&amp;"")),9)="free game",LOWER(TRIM($F455&amp;""))="free",LOWER(TRIM($F455&amp;""))="free entry"),IF(ISNUMBER($K455),$K455,""),IF($K455&lt;&gt;"",$K455,""))))))</ns0:f>
      </ns0:c>
      <ns0:c r="Q455" s="114">
        <ns0:f>IF(COUNTA($A455:$M455)=0,"",IF(OR($U455="Subscription",$U455=""),"",IF($U455="Estimate","N/A",IF($U455="Profit",ROUND(IFERROR($P455,0)-IFERROR($H455,0),2),0))))</ns0:f>
      </ns0:c>
      <ns0:c r="R455" s="114">
        <ns0:f>IF(COUNTA($A455:$M455)=0,"",IF(OR($U455="Subscription",$U455=""),"",IF($U455="Estimate","N/A",IF($U455="Draw",$H455,0))))</ns0:f>
      </ns0:c>
      <ns0:c r="S455" s="114">
        <ns0:f>IF(COUNTA($A455:$M455)=0,"",IF(OR($U455="Subscription",$U455=""),"",IF($U455="Estimate","N/A",IF($U455="Disqualified",$H455,0))))</ns0:f>
      </ns0:c>
      <ns0:c r="T455" s="955">
        <ns0:f>IF(COUNTA($A455:$M455)=0,"",IF(OR($U455="Subscription",$U455=""),"",IF($U455="Estimate","N/A",IF(OR($U455="Free Game",$U455="Disqualified — Free Game",$H455=0),"N/A",IF($U455="Profit",$Q455/$H455,IF($U455="Disqualified",-$S455/$H455,0))))))</ns0:f>
      </ns0:c>
      <ns0:c r="U455" s="920">
        <ns0:f>IF(COUNTA($A455:$M455)=0,"",IF(OR(LEFT(LOWER(TRIM($F455&amp;"")),12)="subscription",LOWER(TRIM($F455&amp;""))="membership"),"Subscription",IF(LOWER(TRIM($D455&amp;""))="estimate","Estimate",IF(OR(AND($H455&lt;&gt;"",$H455=0),LEFT(LOWER(TRIM($F455&amp;"")),9)="free game",LOWER(TRIM($F455&amp;""))="free",LOWER(TRIM($F455&amp;""))="free entry"),IF(LOWER($L455&amp;"")="yes","Disqualified — Free Game","Free Game"),IF(LOWER($L455&amp;"")="yes","Disqualified",IF($P455="","",IF(ROUND(IFERROR(VALUE($P455),0)-IFERROR(VALUE($H455),0),2)&gt;0,"Profit","Draw")))))))</ns0:f>
      </ns0:c>
      <ns0:c r="V455" s="956" t="str">
        <ns0:f>IF(COUNTA($A455:$M455)=0,"",IF(OR($B455="",$C455="",$U455="Subscription"),"",IFERROR(ROUNDUP(($C455-$B455)/7,0),"")))</ns0:f>
      </ns0:c>
      <ns0:c r="W455" s="114">
        <ns0:f>IF(COUNTA($A455:$M455)=0,"",IF(OR($U455="Subscription",$U455=""),"",IF($U455="Estimate","N/A",IF(OR($U455="Free Game",$U455="Disqualified — Free Game"),0,ROUND(IFERROR($Q455,0)-IFERROR($S455,0),2)))))</ns0:f>
      </ns0:c>
      <ns0:c r="X455" s="956" t="str">
        <ns0:f>IF(COUNTA($A455:$M455)=0,"",IF(OR($U455="Subscription",NOT(ISNUMBER($J455)),NOT(ISNUMBER($I455)),$J455=0,$I455=0,$I455&gt;$J455),"",$J455-$I455))</ns0:f>
      </ns0:c>
      <ns0:c r="Y455" s="955" t="str">
        <ns0:f>IF(COUNTA($A455:$M455)=0,"",IF(OR($U455="Subscription",NOT(ISNUMBER($J455)),$J455=0,$X455=""),"",$X455/$J455))</ns0:f>
      </ns0:c>
      <ns0:c r="Z455" s="957" t="str">
        <ns0:f>IF(COUNTA($A455:$M455)=0,"",Instructions!$B$29+SUM($W$5:W455))</ns0:f>
      </ns0:c>
    </ns0:row>
    <ns0:row r="456" ht="36" customHeight="1">
      <ns0:c r="A456" s="439"/>
      <ns0:c r="B456" s="453"/>
      <ns0:c r="C456" s="453"/>
      <ns0:c r="D456" s="454"/>
      <ns0:c r="E456" s="454"/>
      <ns0:c r="F456" s="454"/>
      <ns0:c r="G456" s="986"/>
      <ns0:c r="H456" s="455"/>
      <ns0:c r="I456" s="456"/>
      <ns0:c r="J456" s="456"/>
      <ns0:c r="K456" s="986"/>
      <ns0:c r="L456" s="454"/>
      <ns0:c r="M456" s="439"/>
      <ns0:c r="N456" s="987" t="str">
        <ns0:f>IF(COUNTA($A456:$M456)=0,"",IF(OR(LEFT(LOWER(TRIM($F456&amp;"")),12)="subscription",LOWER(TRIM($F456&amp;""))="membership"),"",IF(OR(AND($H456&lt;&gt;"",$H456=0),LEFT(LOWER(TRIM($F456&amp;"")),9)="free game",LOWER(TRIM($F456&amp;""))="free",LOWER(TRIM($F456&amp;""))="free entry"),IF(ISNUMBER($G456),IF(ISNUMBER(SEARCH("non",LOWER($E456&amp;""))),$G456*0.85,$G456),"N/A"),IF($G456="","",IFERROR(IF(ISNUMBER(SEARCH("non",LOWER($E456&amp;""))),$G456*0.85,$G456),"")))))</ns0:f>
        <ns0:v/>
      </ns0:c>
      <ns0:c r="O456" s="987" t="str">
        <ns0:f>IF(COUNTA($A456:$M456)=0,"",IF(OR(LEFT(LOWER(TRIM($F456&amp;"")),12)="subscription",LOWER(TRIM($F456&amp;""))="membership"),"",IF(OR(AND($H456&lt;&gt;"",$H456=0),LEFT(LOWER(TRIM($F456&amp;"")),9)="free game",LOWER(TRIM($F456&amp;""))="free",LOWER(TRIM($F456&amp;""))="free entry"),IF(OR(NOT(ISNUMBER($N456)),NOT(ISNUMBER($I456)),$I456=0),"N/A",IFERROR($N456/$I456,"N/A")),IF(OR($N456="",$I456="",$I456=0),"",IFERROR($N456/$I456,"")))))</ns0:f>
        <ns0:v/>
      </ns0:c>
      <ns0:c r="P456" s="987">
        <ns0:f>IF(COUNTA($A456:$M456)=0,"",IF(OR(LEFT(LOWER(TRIM($F456&amp;"")),12)="subscription",LOWER(TRIM($F456&amp;""))="membership"),"",IF(LOWER(TRIM($D456&amp;""))="estimate","N/A",IF(LOWER($L456&amp;"")="yes",0,IF(OR(AND($H456&lt;&gt;"",$H456=0),LEFT(LOWER(TRIM($F456&amp;"")),9)="free game",LOWER(TRIM($F456&amp;""))="free",LOWER(TRIM($F456&amp;""))="free entry"),IF(ISNUMBER($K456),$K456,""),IF($K456&lt;&gt;"",$K456,""))))))</ns0:f>
      </ns0:c>
      <ns0:c r="Q456" s="114">
        <ns0:f>IF(COUNTA($A456:$M456)=0,"",IF(OR($U456="Subscription",$U456=""),"",IF($U456="Estimate","N/A",IF($U456="Profit",ROUND(IFERROR($P456,0)-IFERROR($H456,0),2),0))))</ns0:f>
      </ns0:c>
      <ns0:c r="R456" s="114">
        <ns0:f>IF(COUNTA($A456:$M456)=0,"",IF(OR($U456="Subscription",$U456=""),"",IF($U456="Estimate","N/A",IF($U456="Draw",$H456,0))))</ns0:f>
      </ns0:c>
      <ns0:c r="S456" s="114">
        <ns0:f>IF(COUNTA($A456:$M456)=0,"",IF(OR($U456="Subscription",$U456=""),"",IF($U456="Estimate","N/A",IF($U456="Disqualified",$H456,0))))</ns0:f>
      </ns0:c>
      <ns0:c r="T456" s="955">
        <ns0:f>IF(COUNTA($A456:$M456)=0,"",IF(OR($U456="Subscription",$U456=""),"",IF($U456="Estimate","N/A",IF(OR($U456="Free Game",$U456="Disqualified — Free Game",$H456=0),"N/A",IF($U456="Profit",$Q456/$H456,IF($U456="Disqualified",-$S456/$H456,0))))))</ns0:f>
      </ns0:c>
      <ns0:c r="U456" s="920">
        <ns0:f>IF(COUNTA($A456:$M456)=0,"",IF(OR(LEFT(LOWER(TRIM($F456&amp;"")),12)="subscription",LOWER(TRIM($F456&amp;""))="membership"),"Subscription",IF(LOWER(TRIM($D456&amp;""))="estimate","Estimate",IF(OR(AND($H456&lt;&gt;"",$H456=0),LEFT(LOWER(TRIM($F456&amp;"")),9)="free game",LOWER(TRIM($F456&amp;""))="free",LOWER(TRIM($F456&amp;""))="free entry"),IF(LOWER($L456&amp;"")="yes","Disqualified — Free Game","Free Game"),IF(LOWER($L456&amp;"")="yes","Disqualified",IF($P456="","",IF(ROUND(IFERROR(VALUE($P456),0)-IFERROR(VALUE($H456),0),2)&gt;0,"Profit","Draw")))))))</ns0:f>
      </ns0:c>
      <ns0:c r="V456" s="956" t="str">
        <ns0:f>IF(COUNTA($A456:$M456)=0,"",IF(OR($B456="",$C456="",$U456="Subscription"),"",IFERROR(ROUNDUP(($C456-$B456)/7,0),"")))</ns0:f>
      </ns0:c>
      <ns0:c r="W456" s="114">
        <ns0:f>IF(COUNTA($A456:$M456)=0,"",IF(OR($U456="Subscription",$U456=""),"",IF($U456="Estimate","N/A",IF(OR($U456="Free Game",$U456="Disqualified — Free Game"),0,ROUND(IFERROR($Q456,0)-IFERROR($S456,0),2)))))</ns0:f>
      </ns0:c>
      <ns0:c r="X456" s="956" t="str">
        <ns0:f>IF(COUNTA($A456:$M456)=0,"",IF(OR($U456="Subscription",NOT(ISNUMBER($J456)),NOT(ISNUMBER($I456)),$J456=0,$I456=0,$I456&gt;$J456),"",$J456-$I456))</ns0:f>
      </ns0:c>
      <ns0:c r="Y456" s="955" t="str">
        <ns0:f>IF(COUNTA($A456:$M456)=0,"",IF(OR($U456="Subscription",NOT(ISNUMBER($J456)),$J456=0,$X456=""),"",$X456/$J456))</ns0:f>
      </ns0:c>
      <ns0:c r="Z456" s="957" t="str">
        <ns0:f>IF(COUNTA($A456:$M456)=0,"",Instructions!$B$29+SUM($W$5:W456))</ns0:f>
      </ns0:c>
    </ns0:row>
    <ns0:row r="457" ht="36" customHeight="1">
      <ns0:c r="A457" s="439"/>
      <ns0:c r="B457" s="453"/>
      <ns0:c r="C457" s="453"/>
      <ns0:c r="D457" s="454"/>
      <ns0:c r="E457" s="454"/>
      <ns0:c r="F457" s="454"/>
      <ns0:c r="G457" s="986"/>
      <ns0:c r="H457" s="455"/>
      <ns0:c r="I457" s="456"/>
      <ns0:c r="J457" s="456"/>
      <ns0:c r="K457" s="986"/>
      <ns0:c r="L457" s="454"/>
      <ns0:c r="M457" s="439"/>
      <ns0:c r="N457" s="987" t="str">
        <ns0:f>IF(COUNTA($A457:$M457)=0,"",IF(OR(LEFT(LOWER(TRIM($F457&amp;"")),12)="subscription",LOWER(TRIM($F457&amp;""))="membership"),"",IF(OR(AND($H457&lt;&gt;"",$H457=0),LEFT(LOWER(TRIM($F457&amp;"")),9)="free game",LOWER(TRIM($F457&amp;""))="free",LOWER(TRIM($F457&amp;""))="free entry"),IF(ISNUMBER($G457),IF(ISNUMBER(SEARCH("non",LOWER($E457&amp;""))),$G457*0.85,$G457),"N/A"),IF($G457="","",IFERROR(IF(ISNUMBER(SEARCH("non",LOWER($E457&amp;""))),$G457*0.85,$G457),"")))))</ns0:f>
        <ns0:v/>
      </ns0:c>
      <ns0:c r="O457" s="987" t="str">
        <ns0:f>IF(COUNTA($A457:$M457)=0,"",IF(OR(LEFT(LOWER(TRIM($F457&amp;"")),12)="subscription",LOWER(TRIM($F457&amp;""))="membership"),"",IF(OR(AND($H457&lt;&gt;"",$H457=0),LEFT(LOWER(TRIM($F457&amp;"")),9)="free game",LOWER(TRIM($F457&amp;""))="free",LOWER(TRIM($F457&amp;""))="free entry"),IF(OR(NOT(ISNUMBER($N457)),NOT(ISNUMBER($I457)),$I457=0),"N/A",IFERROR($N457/$I457,"N/A")),IF(OR($N457="",$I457="",$I457=0),"",IFERROR($N457/$I457,"")))))</ns0:f>
        <ns0:v/>
      </ns0:c>
      <ns0:c r="P457" s="987">
        <ns0:f>IF(COUNTA($A457:$M457)=0,"",IF(OR(LEFT(LOWER(TRIM($F457&amp;"")),12)="subscription",LOWER(TRIM($F457&amp;""))="membership"),"",IF(LOWER(TRIM($D457&amp;""))="estimate","N/A",IF(LOWER($L457&amp;"")="yes",0,IF(OR(AND($H457&lt;&gt;"",$H457=0),LEFT(LOWER(TRIM($F457&amp;"")),9)="free game",LOWER(TRIM($F457&amp;""))="free",LOWER(TRIM($F457&amp;""))="free entry"),IF(ISNUMBER($K457),$K457,""),IF($K457&lt;&gt;"",$K457,""))))))</ns0:f>
      </ns0:c>
      <ns0:c r="Q457" s="114">
        <ns0:f>IF(COUNTA($A457:$M457)=0,"",IF(OR($U457="Subscription",$U457=""),"",IF($U457="Estimate","N/A",IF($U457="Profit",ROUND(IFERROR($P457,0)-IFERROR($H457,0),2),0))))</ns0:f>
      </ns0:c>
      <ns0:c r="R457" s="114">
        <ns0:f>IF(COUNTA($A457:$M457)=0,"",IF(OR($U457="Subscription",$U457=""),"",IF($U457="Estimate","N/A",IF($U457="Draw",$H457,0))))</ns0:f>
      </ns0:c>
      <ns0:c r="S457" s="114">
        <ns0:f>IF(COUNTA($A457:$M457)=0,"",IF(OR($U457="Subscription",$U457=""),"",IF($U457="Estimate","N/A",IF($U457="Disqualified",$H457,0))))</ns0:f>
      </ns0:c>
      <ns0:c r="T457" s="955">
        <ns0:f>IF(COUNTA($A457:$M457)=0,"",IF(OR($U457="Subscription",$U457=""),"",IF($U457="Estimate","N/A",IF(OR($U457="Free Game",$U457="Disqualified — Free Game",$H457=0),"N/A",IF($U457="Profit",$Q457/$H457,IF($U457="Disqualified",-$S457/$H457,0))))))</ns0:f>
      </ns0:c>
      <ns0:c r="U457" s="920">
        <ns0:f>IF(COUNTA($A457:$M457)=0,"",IF(OR(LEFT(LOWER(TRIM($F457&amp;"")),12)="subscription",LOWER(TRIM($F457&amp;""))="membership"),"Subscription",IF(LOWER(TRIM($D457&amp;""))="estimate","Estimate",IF(OR(AND($H457&lt;&gt;"",$H457=0),LEFT(LOWER(TRIM($F457&amp;"")),9)="free game",LOWER(TRIM($F457&amp;""))="free",LOWER(TRIM($F457&amp;""))="free entry"),IF(LOWER($L457&amp;"")="yes","Disqualified — Free Game","Free Game"),IF(LOWER($L457&amp;"")="yes","Disqualified",IF($P457="","",IF(ROUND(IFERROR(VALUE($P457),0)-IFERROR(VALUE($H457),0),2)&gt;0,"Profit","Draw")))))))</ns0:f>
      </ns0:c>
      <ns0:c r="V457" s="956" t="str">
        <ns0:f>IF(COUNTA($A457:$M457)=0,"",IF(OR($B457="",$C457="",$U457="Subscription"),"",IFERROR(ROUNDUP(($C457-$B457)/7,0),"")))</ns0:f>
      </ns0:c>
      <ns0:c r="W457" s="114">
        <ns0:f>IF(COUNTA($A457:$M457)=0,"",IF(OR($U457="Subscription",$U457=""),"",IF($U457="Estimate","N/A",IF(OR($U457="Free Game",$U457="Disqualified — Free Game"),0,ROUND(IFERROR($Q457,0)-IFERROR($S457,0),2)))))</ns0:f>
      </ns0:c>
      <ns0:c r="X457" s="956" t="str">
        <ns0:f>IF(COUNTA($A457:$M457)=0,"",IF(OR($U457="Subscription",NOT(ISNUMBER($J457)),NOT(ISNUMBER($I457)),$J457=0,$I457=0,$I457&gt;$J457),"",$J457-$I457))</ns0:f>
      </ns0:c>
      <ns0:c r="Y457" s="955" t="str">
        <ns0:f>IF(COUNTA($A457:$M457)=0,"",IF(OR($U457="Subscription",NOT(ISNUMBER($J457)),$J457=0,$X457=""),"",$X457/$J457))</ns0:f>
      </ns0:c>
      <ns0:c r="Z457" s="957" t="str">
        <ns0:f>IF(COUNTA($A457:$M457)=0,"",Instructions!$B$29+SUM($W$5:W457))</ns0:f>
      </ns0:c>
    </ns0:row>
    <ns0:row r="458" ht="36" customHeight="1">
      <ns0:c r="A458" s="439"/>
      <ns0:c r="B458" s="453"/>
      <ns0:c r="C458" s="453"/>
      <ns0:c r="D458" s="454"/>
      <ns0:c r="E458" s="454"/>
      <ns0:c r="F458" s="454"/>
      <ns0:c r="G458" s="986"/>
      <ns0:c r="H458" s="455"/>
      <ns0:c r="I458" s="456"/>
      <ns0:c r="J458" s="456"/>
      <ns0:c r="K458" s="986"/>
      <ns0:c r="L458" s="454"/>
      <ns0:c r="M458" s="439"/>
      <ns0:c r="N458" s="987" t="str">
        <ns0:f>IF(COUNTA($A458:$M458)=0,"",IF(OR(LEFT(LOWER(TRIM($F458&amp;"")),12)="subscription",LOWER(TRIM($F458&amp;""))="membership"),"",IF(OR(AND($H458&lt;&gt;"",$H458=0),LEFT(LOWER(TRIM($F458&amp;"")),9)="free game",LOWER(TRIM($F458&amp;""))="free",LOWER(TRIM($F458&amp;""))="free entry"),IF(ISNUMBER($G458),IF(ISNUMBER(SEARCH("non",LOWER($E458&amp;""))),$G458*0.85,$G458),"N/A"),IF($G458="","",IFERROR(IF(ISNUMBER(SEARCH("non",LOWER($E458&amp;""))),$G458*0.85,$G458),"")))))</ns0:f>
        <ns0:v/>
      </ns0:c>
      <ns0:c r="O458" s="987" t="str">
        <ns0:f>IF(COUNTA($A458:$M458)=0,"",IF(OR(LEFT(LOWER(TRIM($F458&amp;"")),12)="subscription",LOWER(TRIM($F458&amp;""))="membership"),"",IF(OR(AND($H458&lt;&gt;"",$H458=0),LEFT(LOWER(TRIM($F458&amp;"")),9)="free game",LOWER(TRIM($F458&amp;""))="free",LOWER(TRIM($F458&amp;""))="free entry"),IF(OR(NOT(ISNUMBER($N458)),NOT(ISNUMBER($I458)),$I458=0),"N/A",IFERROR($N458/$I458,"N/A")),IF(OR($N458="",$I458="",$I458=0),"",IFERROR($N458/$I458,"")))))</ns0:f>
        <ns0:v/>
      </ns0:c>
      <ns0:c r="P458" s="987">
        <ns0:f>IF(COUNTA($A458:$M458)=0,"",IF(OR(LEFT(LOWER(TRIM($F458&amp;"")),12)="subscription",LOWER(TRIM($F458&amp;""))="membership"),"",IF(LOWER(TRIM($D458&amp;""))="estimate","N/A",IF(LOWER($L458&amp;"")="yes",0,IF(OR(AND($H458&lt;&gt;"",$H458=0),LEFT(LOWER(TRIM($F458&amp;"")),9)="free game",LOWER(TRIM($F458&amp;""))="free",LOWER(TRIM($F458&amp;""))="free entry"),IF(ISNUMBER($K458),$K458,""),IF($K458&lt;&gt;"",$K458,""))))))</ns0:f>
      </ns0:c>
      <ns0:c r="Q458" s="114">
        <ns0:f>IF(COUNTA($A458:$M458)=0,"",IF(OR($U458="Subscription",$U458=""),"",IF($U458="Estimate","N/A",IF($U458="Profit",ROUND(IFERROR($P458,0)-IFERROR($H458,0),2),0))))</ns0:f>
      </ns0:c>
      <ns0:c r="R458" s="114">
        <ns0:f>IF(COUNTA($A458:$M458)=0,"",IF(OR($U458="Subscription",$U458=""),"",IF($U458="Estimate","N/A",IF($U458="Draw",$H458,0))))</ns0:f>
      </ns0:c>
      <ns0:c r="S458" s="114">
        <ns0:f>IF(COUNTA($A458:$M458)=0,"",IF(OR($U458="Subscription",$U458=""),"",IF($U458="Estimate","N/A",IF($U458="Disqualified",$H458,0))))</ns0:f>
      </ns0:c>
      <ns0:c r="T458" s="955">
        <ns0:f>IF(COUNTA($A458:$M458)=0,"",IF(OR($U458="Subscription",$U458=""),"",IF($U458="Estimate","N/A",IF(OR($U458="Free Game",$U458="Disqualified — Free Game",$H458=0),"N/A",IF($U458="Profit",$Q458/$H458,IF($U458="Disqualified",-$S458/$H458,0))))))</ns0:f>
      </ns0:c>
      <ns0:c r="U458" s="920">
        <ns0:f>IF(COUNTA($A458:$M458)=0,"",IF(OR(LEFT(LOWER(TRIM($F458&amp;"")),12)="subscription",LOWER(TRIM($F458&amp;""))="membership"),"Subscription",IF(LOWER(TRIM($D458&amp;""))="estimate","Estimate",IF(OR(AND($H458&lt;&gt;"",$H458=0),LEFT(LOWER(TRIM($F458&amp;"")),9)="free game",LOWER(TRIM($F458&amp;""))="free",LOWER(TRIM($F458&amp;""))="free entry"),IF(LOWER($L458&amp;"")="yes","Disqualified — Free Game","Free Game"),IF(LOWER($L458&amp;"")="yes","Disqualified",IF($P458="","",IF(ROUND(IFERROR(VALUE($P458),0)-IFERROR(VALUE($H458),0),2)&gt;0,"Profit","Draw")))))))</ns0:f>
      </ns0:c>
      <ns0:c r="V458" s="956" t="str">
        <ns0:f>IF(COUNTA($A458:$M458)=0,"",IF(OR($B458="",$C458="",$U458="Subscription"),"",IFERROR(ROUNDUP(($C458-$B458)/7,0),"")))</ns0:f>
      </ns0:c>
      <ns0:c r="W458" s="114">
        <ns0:f>IF(COUNTA($A458:$M458)=0,"",IF(OR($U458="Subscription",$U458=""),"",IF($U458="Estimate","N/A",IF(OR($U458="Free Game",$U458="Disqualified — Free Game"),0,ROUND(IFERROR($Q458,0)-IFERROR($S458,0),2)))))</ns0:f>
      </ns0:c>
      <ns0:c r="X458" s="956" t="str">
        <ns0:f>IF(COUNTA($A458:$M458)=0,"",IF(OR($U458="Subscription",NOT(ISNUMBER($J458)),NOT(ISNUMBER($I458)),$J458=0,$I458=0,$I458&gt;$J458),"",$J458-$I458))</ns0:f>
      </ns0:c>
      <ns0:c r="Y458" s="955" t="str">
        <ns0:f>IF(COUNTA($A458:$M458)=0,"",IF(OR($U458="Subscription",NOT(ISNUMBER($J458)),$J458=0,$X458=""),"",$X458/$J458))</ns0:f>
      </ns0:c>
      <ns0:c r="Z458" s="957" t="str">
        <ns0:f>IF(COUNTA($A458:$M458)=0,"",Instructions!$B$29+SUM($W$5:W458))</ns0:f>
      </ns0:c>
    </ns0:row>
    <ns0:row r="459" ht="36" customHeight="1">
      <ns0:c r="A459" s="439"/>
      <ns0:c r="B459" s="453"/>
      <ns0:c r="C459" s="453"/>
      <ns0:c r="D459" s="454"/>
      <ns0:c r="E459" s="454"/>
      <ns0:c r="F459" s="454"/>
      <ns0:c r="G459" s="986"/>
      <ns0:c r="H459" s="455"/>
      <ns0:c r="I459" s="456"/>
      <ns0:c r="J459" s="456"/>
      <ns0:c r="K459" s="986"/>
      <ns0:c r="L459" s="454"/>
      <ns0:c r="M459" s="439"/>
      <ns0:c r="N459" s="987" t="str">
        <ns0:f>IF(COUNTA($A459:$M459)=0,"",IF(OR(LEFT(LOWER(TRIM($F459&amp;"")),12)="subscription",LOWER(TRIM($F459&amp;""))="membership"),"",IF(OR(AND($H459&lt;&gt;"",$H459=0),LEFT(LOWER(TRIM($F459&amp;"")),9)="free game",LOWER(TRIM($F459&amp;""))="free",LOWER(TRIM($F459&amp;""))="free entry"),IF(ISNUMBER($G459),IF(ISNUMBER(SEARCH("non",LOWER($E459&amp;""))),$G459*0.85,$G459),"N/A"),IF($G459="","",IFERROR(IF(ISNUMBER(SEARCH("non",LOWER($E459&amp;""))),$G459*0.85,$G459),"")))))</ns0:f>
        <ns0:v/>
      </ns0:c>
      <ns0:c r="O459" s="987" t="str">
        <ns0:f>IF(COUNTA($A459:$M459)=0,"",IF(OR(LEFT(LOWER(TRIM($F459&amp;"")),12)="subscription",LOWER(TRIM($F459&amp;""))="membership"),"",IF(OR(AND($H459&lt;&gt;"",$H459=0),LEFT(LOWER(TRIM($F459&amp;"")),9)="free game",LOWER(TRIM($F459&amp;""))="free",LOWER(TRIM($F459&amp;""))="free entry"),IF(OR(NOT(ISNUMBER($N459)),NOT(ISNUMBER($I459)),$I459=0),"N/A",IFERROR($N459/$I459,"N/A")),IF(OR($N459="",$I459="",$I459=0),"",IFERROR($N459/$I459,"")))))</ns0:f>
        <ns0:v/>
      </ns0:c>
      <ns0:c r="P459" s="987">
        <ns0:f>IF(COUNTA($A459:$M459)=0,"",IF(OR(LEFT(LOWER(TRIM($F459&amp;"")),12)="subscription",LOWER(TRIM($F459&amp;""))="membership"),"",IF(LOWER(TRIM($D459&amp;""))="estimate","N/A",IF(LOWER($L459&amp;"")="yes",0,IF(OR(AND($H459&lt;&gt;"",$H459=0),LEFT(LOWER(TRIM($F459&amp;"")),9)="free game",LOWER(TRIM($F459&amp;""))="free",LOWER(TRIM($F459&amp;""))="free entry"),IF(ISNUMBER($K459),$K459,""),IF($K459&lt;&gt;"",$K459,""))))))</ns0:f>
      </ns0:c>
      <ns0:c r="Q459" s="114">
        <ns0:f>IF(COUNTA($A459:$M459)=0,"",IF(OR($U459="Subscription",$U459=""),"",IF($U459="Estimate","N/A",IF($U459="Profit",ROUND(IFERROR($P459,0)-IFERROR($H459,0),2),0))))</ns0:f>
      </ns0:c>
      <ns0:c r="R459" s="114">
        <ns0:f>IF(COUNTA($A459:$M459)=0,"",IF(OR($U459="Subscription",$U459=""),"",IF($U459="Estimate","N/A",IF($U459="Draw",$H459,0))))</ns0:f>
      </ns0:c>
      <ns0:c r="S459" s="114">
        <ns0:f>IF(COUNTA($A459:$M459)=0,"",IF(OR($U459="Subscription",$U459=""),"",IF($U459="Estimate","N/A",IF($U459="Disqualified",$H459,0))))</ns0:f>
      </ns0:c>
      <ns0:c r="T459" s="955">
        <ns0:f>IF(COUNTA($A459:$M459)=0,"",IF(OR($U459="Subscription",$U459=""),"",IF($U459="Estimate","N/A",IF(OR($U459="Free Game",$U459="Disqualified — Free Game",$H459=0),"N/A",IF($U459="Profit",$Q459/$H459,IF($U459="Disqualified",-$S459/$H459,0))))))</ns0:f>
      </ns0:c>
      <ns0:c r="U459" s="920">
        <ns0:f>IF(COUNTA($A459:$M459)=0,"",IF(OR(LEFT(LOWER(TRIM($F459&amp;"")),12)="subscription",LOWER(TRIM($F459&amp;""))="membership"),"Subscription",IF(LOWER(TRIM($D459&amp;""))="estimate","Estimate",IF(OR(AND($H459&lt;&gt;"",$H459=0),LEFT(LOWER(TRIM($F459&amp;"")),9)="free game",LOWER(TRIM($F459&amp;""))="free",LOWER(TRIM($F459&amp;""))="free entry"),IF(LOWER($L459&amp;"")="yes","Disqualified — Free Game","Free Game"),IF(LOWER($L459&amp;"")="yes","Disqualified",IF($P459="","",IF(ROUND(IFERROR(VALUE($P459),0)-IFERROR(VALUE($H459),0),2)&gt;0,"Profit","Draw")))))))</ns0:f>
      </ns0:c>
      <ns0:c r="V459" s="956" t="str">
        <ns0:f>IF(COUNTA($A459:$M459)=0,"",IF(OR($B459="",$C459="",$U459="Subscription"),"",IFERROR(ROUNDUP(($C459-$B459)/7,0),"")))</ns0:f>
      </ns0:c>
      <ns0:c r="W459" s="114">
        <ns0:f>IF(COUNTA($A459:$M459)=0,"",IF(OR($U459="Subscription",$U459=""),"",IF($U459="Estimate","N/A",IF(OR($U459="Free Game",$U459="Disqualified — Free Game"),0,ROUND(IFERROR($Q459,0)-IFERROR($S459,0),2)))))</ns0:f>
      </ns0:c>
      <ns0:c r="X459" s="956" t="str">
        <ns0:f>IF(COUNTA($A459:$M459)=0,"",IF(OR($U459="Subscription",NOT(ISNUMBER($J459)),NOT(ISNUMBER($I459)),$J459=0,$I459=0,$I459&gt;$J459),"",$J459-$I459))</ns0:f>
      </ns0:c>
      <ns0:c r="Y459" s="955" t="str">
        <ns0:f>IF(COUNTA($A459:$M459)=0,"",IF(OR($U459="Subscription",NOT(ISNUMBER($J459)),$J459=0,$X459=""),"",$X459/$J459))</ns0:f>
      </ns0:c>
      <ns0:c r="Z459" s="957" t="str">
        <ns0:f>IF(COUNTA($A459:$M459)=0,"",Instructions!$B$29+SUM($W$5:W459))</ns0:f>
      </ns0:c>
    </ns0:row>
    <ns0:row r="460" ht="36" customHeight="1">
      <ns0:c r="A460" s="439"/>
      <ns0:c r="B460" s="453"/>
      <ns0:c r="C460" s="453"/>
      <ns0:c r="D460" s="454"/>
      <ns0:c r="E460" s="454"/>
      <ns0:c r="F460" s="454"/>
      <ns0:c r="G460" s="986"/>
      <ns0:c r="H460" s="455"/>
      <ns0:c r="I460" s="456"/>
      <ns0:c r="J460" s="456"/>
      <ns0:c r="K460" s="986"/>
      <ns0:c r="L460" s="454"/>
      <ns0:c r="M460" s="439"/>
      <ns0:c r="N460" s="987" t="str">
        <ns0:f>IF(COUNTA($A460:$M460)=0,"",IF(OR(LEFT(LOWER(TRIM($F460&amp;"")),12)="subscription",LOWER(TRIM($F460&amp;""))="membership"),"",IF(OR(AND($H460&lt;&gt;"",$H460=0),LEFT(LOWER(TRIM($F460&amp;"")),9)="free game",LOWER(TRIM($F460&amp;""))="free",LOWER(TRIM($F460&amp;""))="free entry"),IF(ISNUMBER($G460),IF(ISNUMBER(SEARCH("non",LOWER($E460&amp;""))),$G460*0.85,$G460),"N/A"),IF($G460="","",IFERROR(IF(ISNUMBER(SEARCH("non",LOWER($E460&amp;""))),$G460*0.85,$G460),"")))))</ns0:f>
        <ns0:v/>
      </ns0:c>
      <ns0:c r="O460" s="987" t="str">
        <ns0:f>IF(COUNTA($A460:$M460)=0,"",IF(OR(LEFT(LOWER(TRIM($F460&amp;"")),12)="subscription",LOWER(TRIM($F460&amp;""))="membership"),"",IF(OR(AND($H460&lt;&gt;"",$H460=0),LEFT(LOWER(TRIM($F460&amp;"")),9)="free game",LOWER(TRIM($F460&amp;""))="free",LOWER(TRIM($F460&amp;""))="free entry"),IF(OR(NOT(ISNUMBER($N460)),NOT(ISNUMBER($I460)),$I460=0),"N/A",IFERROR($N460/$I460,"N/A")),IF(OR($N460="",$I460="",$I460=0),"",IFERROR($N460/$I460,"")))))</ns0:f>
        <ns0:v/>
      </ns0:c>
      <ns0:c r="P460" s="987">
        <ns0:f>IF(COUNTA($A460:$M460)=0,"",IF(OR(LEFT(LOWER(TRIM($F460&amp;"")),12)="subscription",LOWER(TRIM($F460&amp;""))="membership"),"",IF(LOWER(TRIM($D460&amp;""))="estimate","N/A",IF(LOWER($L460&amp;"")="yes",0,IF(OR(AND($H460&lt;&gt;"",$H460=0),LEFT(LOWER(TRIM($F460&amp;"")),9)="free game",LOWER(TRIM($F460&amp;""))="free",LOWER(TRIM($F460&amp;""))="free entry"),IF(ISNUMBER($K460),$K460,""),IF($K460&lt;&gt;"",$K460,""))))))</ns0:f>
      </ns0:c>
      <ns0:c r="Q460" s="114">
        <ns0:f>IF(COUNTA($A460:$M460)=0,"",IF(OR($U460="Subscription",$U460=""),"",IF($U460="Estimate","N/A",IF($U460="Profit",ROUND(IFERROR($P460,0)-IFERROR($H460,0),2),0))))</ns0:f>
      </ns0:c>
      <ns0:c r="R460" s="114">
        <ns0:f>IF(COUNTA($A460:$M460)=0,"",IF(OR($U460="Subscription",$U460=""),"",IF($U460="Estimate","N/A",IF($U460="Draw",$H460,0))))</ns0:f>
      </ns0:c>
      <ns0:c r="S460" s="114">
        <ns0:f>IF(COUNTA($A460:$M460)=0,"",IF(OR($U460="Subscription",$U460=""),"",IF($U460="Estimate","N/A",IF($U460="Disqualified",$H460,0))))</ns0:f>
      </ns0:c>
      <ns0:c r="T460" s="955">
        <ns0:f>IF(COUNTA($A460:$M460)=0,"",IF(OR($U460="Subscription",$U460=""),"",IF($U460="Estimate","N/A",IF(OR($U460="Free Game",$U460="Disqualified — Free Game",$H460=0),"N/A",IF($U460="Profit",$Q460/$H460,IF($U460="Disqualified",-$S460/$H460,0))))))</ns0:f>
      </ns0:c>
      <ns0:c r="U460" s="920">
        <ns0:f>IF(COUNTA($A460:$M460)=0,"",IF(OR(LEFT(LOWER(TRIM($F460&amp;"")),12)="subscription",LOWER(TRIM($F460&amp;""))="membership"),"Subscription",IF(LOWER(TRIM($D460&amp;""))="estimate","Estimate",IF(OR(AND($H460&lt;&gt;"",$H460=0),LEFT(LOWER(TRIM($F460&amp;"")),9)="free game",LOWER(TRIM($F460&amp;""))="free",LOWER(TRIM($F460&amp;""))="free entry"),IF(LOWER($L460&amp;"")="yes","Disqualified — Free Game","Free Game"),IF(LOWER($L460&amp;"")="yes","Disqualified",IF($P460="","",IF(ROUND(IFERROR(VALUE($P460),0)-IFERROR(VALUE($H460),0),2)&gt;0,"Profit","Draw")))))))</ns0:f>
      </ns0:c>
      <ns0:c r="V460" s="956" t="str">
        <ns0:f>IF(COUNTA($A460:$M460)=0,"",IF(OR($B460="",$C460="",$U460="Subscription"),"",IFERROR(ROUNDUP(($C460-$B460)/7,0),"")))</ns0:f>
      </ns0:c>
      <ns0:c r="W460" s="114">
        <ns0:f>IF(COUNTA($A460:$M460)=0,"",IF(OR($U460="Subscription",$U460=""),"",IF($U460="Estimate","N/A",IF(OR($U460="Free Game",$U460="Disqualified — Free Game"),0,ROUND(IFERROR($Q460,0)-IFERROR($S460,0),2)))))</ns0:f>
      </ns0:c>
      <ns0:c r="X460" s="956" t="str">
        <ns0:f>IF(COUNTA($A460:$M460)=0,"",IF(OR($U460="Subscription",NOT(ISNUMBER($J460)),NOT(ISNUMBER($I460)),$J460=0,$I460=0,$I460&gt;$J460),"",$J460-$I460))</ns0:f>
      </ns0:c>
      <ns0:c r="Y460" s="955" t="str">
        <ns0:f>IF(COUNTA($A460:$M460)=0,"",IF(OR($U460="Subscription",NOT(ISNUMBER($J460)),$J460=0,$X460=""),"",$X460/$J460))</ns0:f>
      </ns0:c>
      <ns0:c r="Z460" s="957" t="str">
        <ns0:f>IF(COUNTA($A460:$M460)=0,"",Instructions!$B$29+SUM($W$5:W460))</ns0:f>
      </ns0:c>
    </ns0:row>
    <ns0:row r="461" ht="36" customHeight="1">
      <ns0:c r="A461" s="439"/>
      <ns0:c r="B461" s="453"/>
      <ns0:c r="C461" s="453"/>
      <ns0:c r="D461" s="454"/>
      <ns0:c r="E461" s="454"/>
      <ns0:c r="F461" s="454"/>
      <ns0:c r="G461" s="986"/>
      <ns0:c r="H461" s="455"/>
      <ns0:c r="I461" s="456"/>
      <ns0:c r="J461" s="456"/>
      <ns0:c r="K461" s="986"/>
      <ns0:c r="L461" s="454"/>
      <ns0:c r="M461" s="439"/>
      <ns0:c r="N461" s="987" t="str">
        <ns0:f>IF(COUNTA($A461:$M461)=0,"",IF(OR(LEFT(LOWER(TRIM($F461&amp;"")),12)="subscription",LOWER(TRIM($F461&amp;""))="membership"),"",IF(OR(AND($H461&lt;&gt;"",$H461=0),LEFT(LOWER(TRIM($F461&amp;"")),9)="free game",LOWER(TRIM($F461&amp;""))="free",LOWER(TRIM($F461&amp;""))="free entry"),IF(ISNUMBER($G461),IF(ISNUMBER(SEARCH("non",LOWER($E461&amp;""))),$G461*0.85,$G461),"N/A"),IF($G461="","",IFERROR(IF(ISNUMBER(SEARCH("non",LOWER($E461&amp;""))),$G461*0.85,$G461),"")))))</ns0:f>
        <ns0:v/>
      </ns0:c>
      <ns0:c r="O461" s="987" t="str">
        <ns0:f>IF(COUNTA($A461:$M461)=0,"",IF(OR(LEFT(LOWER(TRIM($F461&amp;"")),12)="subscription",LOWER(TRIM($F461&amp;""))="membership"),"",IF(OR(AND($H461&lt;&gt;"",$H461=0),LEFT(LOWER(TRIM($F461&amp;"")),9)="free game",LOWER(TRIM($F461&amp;""))="free",LOWER(TRIM($F461&amp;""))="free entry"),IF(OR(NOT(ISNUMBER($N461)),NOT(ISNUMBER($I461)),$I461=0),"N/A",IFERROR($N461/$I461,"N/A")),IF(OR($N461="",$I461="",$I461=0),"",IFERROR($N461/$I461,"")))))</ns0:f>
        <ns0:v/>
      </ns0:c>
      <ns0:c r="P461" s="987">
        <ns0:f>IF(COUNTA($A461:$M461)=0,"",IF(OR(LEFT(LOWER(TRIM($F461&amp;"")),12)="subscription",LOWER(TRIM($F461&amp;""))="membership"),"",IF(LOWER(TRIM($D461&amp;""))="estimate","N/A",IF(LOWER($L461&amp;"")="yes",0,IF(OR(AND($H461&lt;&gt;"",$H461=0),LEFT(LOWER(TRIM($F461&amp;"")),9)="free game",LOWER(TRIM($F461&amp;""))="free",LOWER(TRIM($F461&amp;""))="free entry"),IF(ISNUMBER($K461),$K461,""),IF($K461&lt;&gt;"",$K461,""))))))</ns0:f>
      </ns0:c>
      <ns0:c r="Q461" s="114">
        <ns0:f>IF(COUNTA($A461:$M461)=0,"",IF(OR($U461="Subscription",$U461=""),"",IF($U461="Estimate","N/A",IF($U461="Profit",ROUND(IFERROR($P461,0)-IFERROR($H461,0),2),0))))</ns0:f>
      </ns0:c>
      <ns0:c r="R461" s="114">
        <ns0:f>IF(COUNTA($A461:$M461)=0,"",IF(OR($U461="Subscription",$U461=""),"",IF($U461="Estimate","N/A",IF($U461="Draw",$H461,0))))</ns0:f>
      </ns0:c>
      <ns0:c r="S461" s="114">
        <ns0:f>IF(COUNTA($A461:$M461)=0,"",IF(OR($U461="Subscription",$U461=""),"",IF($U461="Estimate","N/A",IF($U461="Disqualified",$H461,0))))</ns0:f>
      </ns0:c>
      <ns0:c r="T461" s="955">
        <ns0:f>IF(COUNTA($A461:$M461)=0,"",IF(OR($U461="Subscription",$U461=""),"",IF($U461="Estimate","N/A",IF(OR($U461="Free Game",$U461="Disqualified — Free Game",$H461=0),"N/A",IF($U461="Profit",$Q461/$H461,IF($U461="Disqualified",-$S461/$H461,0))))))</ns0:f>
      </ns0:c>
      <ns0:c r="U461" s="920">
        <ns0:f>IF(COUNTA($A461:$M461)=0,"",IF(OR(LEFT(LOWER(TRIM($F461&amp;"")),12)="subscription",LOWER(TRIM($F461&amp;""))="membership"),"Subscription",IF(LOWER(TRIM($D461&amp;""))="estimate","Estimate",IF(OR(AND($H461&lt;&gt;"",$H461=0),LEFT(LOWER(TRIM($F461&amp;"")),9)="free game",LOWER(TRIM($F461&amp;""))="free",LOWER(TRIM($F461&amp;""))="free entry"),IF(LOWER($L461&amp;"")="yes","Disqualified — Free Game","Free Game"),IF(LOWER($L461&amp;"")="yes","Disqualified",IF($P461="","",IF(ROUND(IFERROR(VALUE($P461),0)-IFERROR(VALUE($H461),0),2)&gt;0,"Profit","Draw")))))))</ns0:f>
      </ns0:c>
      <ns0:c r="V461" s="956" t="str">
        <ns0:f>IF(COUNTA($A461:$M461)=0,"",IF(OR($B461="",$C461="",$U461="Subscription"),"",IFERROR(ROUNDUP(($C461-$B461)/7,0),"")))</ns0:f>
      </ns0:c>
      <ns0:c r="W461" s="114">
        <ns0:f>IF(COUNTA($A461:$M461)=0,"",IF(OR($U461="Subscription",$U461=""),"",IF($U461="Estimate","N/A",IF(OR($U461="Free Game",$U461="Disqualified — Free Game"),0,ROUND(IFERROR($Q461,0)-IFERROR($S461,0),2)))))</ns0:f>
      </ns0:c>
      <ns0:c r="X461" s="956" t="str">
        <ns0:f>IF(COUNTA($A461:$M461)=0,"",IF(OR($U461="Subscription",NOT(ISNUMBER($J461)),NOT(ISNUMBER($I461)),$J461=0,$I461=0,$I461&gt;$J461),"",$J461-$I461))</ns0:f>
      </ns0:c>
      <ns0:c r="Y461" s="955" t="str">
        <ns0:f>IF(COUNTA($A461:$M461)=0,"",IF(OR($U461="Subscription",NOT(ISNUMBER($J461)),$J461=0,$X461=""),"",$X461/$J461))</ns0:f>
      </ns0:c>
      <ns0:c r="Z461" s="957" t="str">
        <ns0:f>IF(COUNTA($A461:$M461)=0,"",Instructions!$B$29+SUM($W$5:W461))</ns0:f>
      </ns0:c>
    </ns0:row>
    <ns0:row r="462" ht="36" customHeight="1">
      <ns0:c r="A462" s="439"/>
      <ns0:c r="B462" s="453"/>
      <ns0:c r="C462" s="453"/>
      <ns0:c r="D462" s="454"/>
      <ns0:c r="E462" s="454"/>
      <ns0:c r="F462" s="454"/>
      <ns0:c r="G462" s="986"/>
      <ns0:c r="H462" s="455"/>
      <ns0:c r="I462" s="456"/>
      <ns0:c r="J462" s="456"/>
      <ns0:c r="K462" s="986"/>
      <ns0:c r="L462" s="454"/>
      <ns0:c r="M462" s="439"/>
      <ns0:c r="N462" s="987" t="str">
        <ns0:f>IF(COUNTA($A462:$M462)=0,"",IF(OR(LEFT(LOWER(TRIM($F462&amp;"")),12)="subscription",LOWER(TRIM($F462&amp;""))="membership"),"",IF(OR(AND($H462&lt;&gt;"",$H462=0),LEFT(LOWER(TRIM($F462&amp;"")),9)="free game",LOWER(TRIM($F462&amp;""))="free",LOWER(TRIM($F462&amp;""))="free entry"),IF(ISNUMBER($G462),IF(ISNUMBER(SEARCH("non",LOWER($E462&amp;""))),$G462*0.85,$G462),"N/A"),IF($G462="","",IFERROR(IF(ISNUMBER(SEARCH("non",LOWER($E462&amp;""))),$G462*0.85,$G462),"")))))</ns0:f>
        <ns0:v/>
      </ns0:c>
      <ns0:c r="O462" s="987" t="str">
        <ns0:f>IF(COUNTA($A462:$M462)=0,"",IF(OR(LEFT(LOWER(TRIM($F462&amp;"")),12)="subscription",LOWER(TRIM($F462&amp;""))="membership"),"",IF(OR(AND($H462&lt;&gt;"",$H462=0),LEFT(LOWER(TRIM($F462&amp;"")),9)="free game",LOWER(TRIM($F462&amp;""))="free",LOWER(TRIM($F462&amp;""))="free entry"),IF(OR(NOT(ISNUMBER($N462)),NOT(ISNUMBER($I462)),$I462=0),"N/A",IFERROR($N462/$I462,"N/A")),IF(OR($N462="",$I462="",$I462=0),"",IFERROR($N462/$I462,"")))))</ns0:f>
        <ns0:v/>
      </ns0:c>
      <ns0:c r="P462" s="987">
        <ns0:f>IF(COUNTA($A462:$M462)=0,"",IF(OR(LEFT(LOWER(TRIM($F462&amp;"")),12)="subscription",LOWER(TRIM($F462&amp;""))="membership"),"",IF(LOWER(TRIM($D462&amp;""))="estimate","N/A",IF(LOWER($L462&amp;"")="yes",0,IF(OR(AND($H462&lt;&gt;"",$H462=0),LEFT(LOWER(TRIM($F462&amp;"")),9)="free game",LOWER(TRIM($F462&amp;""))="free",LOWER(TRIM($F462&amp;""))="free entry"),IF(ISNUMBER($K462),$K462,""),IF($K462&lt;&gt;"",$K462,""))))))</ns0:f>
      </ns0:c>
      <ns0:c r="Q462" s="114">
        <ns0:f>IF(COUNTA($A462:$M462)=0,"",IF(OR($U462="Subscription",$U462=""),"",IF($U462="Estimate","N/A",IF($U462="Profit",ROUND(IFERROR($P462,0)-IFERROR($H462,0),2),0))))</ns0:f>
      </ns0:c>
      <ns0:c r="R462" s="114">
        <ns0:f>IF(COUNTA($A462:$M462)=0,"",IF(OR($U462="Subscription",$U462=""),"",IF($U462="Estimate","N/A",IF($U462="Draw",$H462,0))))</ns0:f>
      </ns0:c>
      <ns0:c r="S462" s="114">
        <ns0:f>IF(COUNTA($A462:$M462)=0,"",IF(OR($U462="Subscription",$U462=""),"",IF($U462="Estimate","N/A",IF($U462="Disqualified",$H462,0))))</ns0:f>
      </ns0:c>
      <ns0:c r="T462" s="955">
        <ns0:f>IF(COUNTA($A462:$M462)=0,"",IF(OR($U462="Subscription",$U462=""),"",IF($U462="Estimate","N/A",IF(OR($U462="Free Game",$U462="Disqualified — Free Game",$H462=0),"N/A",IF($U462="Profit",$Q462/$H462,IF($U462="Disqualified",-$S462/$H462,0))))))</ns0:f>
      </ns0:c>
      <ns0:c r="U462" s="920">
        <ns0:f>IF(COUNTA($A462:$M462)=0,"",IF(OR(LEFT(LOWER(TRIM($F462&amp;"")),12)="subscription",LOWER(TRIM($F462&amp;""))="membership"),"Subscription",IF(LOWER(TRIM($D462&amp;""))="estimate","Estimate",IF(OR(AND($H462&lt;&gt;"",$H462=0),LEFT(LOWER(TRIM($F462&amp;"")),9)="free game",LOWER(TRIM($F462&amp;""))="free",LOWER(TRIM($F462&amp;""))="free entry"),IF(LOWER($L462&amp;"")="yes","Disqualified — Free Game","Free Game"),IF(LOWER($L462&amp;"")="yes","Disqualified",IF($P462="","",IF(ROUND(IFERROR(VALUE($P462),0)-IFERROR(VALUE($H462),0),2)&gt;0,"Profit","Draw")))))))</ns0:f>
      </ns0:c>
      <ns0:c r="V462" s="956" t="str">
        <ns0:f>IF(COUNTA($A462:$M462)=0,"",IF(OR($B462="",$C462="",$U462="Subscription"),"",IFERROR(ROUNDUP(($C462-$B462)/7,0),"")))</ns0:f>
      </ns0:c>
      <ns0:c r="W462" s="114">
        <ns0:f>IF(COUNTA($A462:$M462)=0,"",IF(OR($U462="Subscription",$U462=""),"",IF($U462="Estimate","N/A",IF(OR($U462="Free Game",$U462="Disqualified — Free Game"),0,ROUND(IFERROR($Q462,0)-IFERROR($S462,0),2)))))</ns0:f>
      </ns0:c>
      <ns0:c r="X462" s="956" t="str">
        <ns0:f>IF(COUNTA($A462:$M462)=0,"",IF(OR($U462="Subscription",NOT(ISNUMBER($J462)),NOT(ISNUMBER($I462)),$J462=0,$I462=0,$I462&gt;$J462),"",$J462-$I462))</ns0:f>
      </ns0:c>
      <ns0:c r="Y462" s="955" t="str">
        <ns0:f>IF(COUNTA($A462:$M462)=0,"",IF(OR($U462="Subscription",NOT(ISNUMBER($J462)),$J462=0,$X462=""),"",$X462/$J462))</ns0:f>
      </ns0:c>
      <ns0:c r="Z462" s="957" t="str">
        <ns0:f>IF(COUNTA($A462:$M462)=0,"",Instructions!$B$29+SUM($W$5:W462))</ns0:f>
      </ns0:c>
    </ns0:row>
    <ns0:row r="463" ht="36" customHeight="1">
      <ns0:c r="A463" s="439"/>
      <ns0:c r="B463" s="453"/>
      <ns0:c r="C463" s="453"/>
      <ns0:c r="D463" s="454"/>
      <ns0:c r="E463" s="454"/>
      <ns0:c r="F463" s="454"/>
      <ns0:c r="G463" s="986"/>
      <ns0:c r="H463" s="455"/>
      <ns0:c r="I463" s="456"/>
      <ns0:c r="J463" s="456"/>
      <ns0:c r="K463" s="986"/>
      <ns0:c r="L463" s="454"/>
      <ns0:c r="M463" s="439"/>
      <ns0:c r="N463" s="987" t="str">
        <ns0:f>IF(COUNTA($A463:$M463)=0,"",IF(OR(LEFT(LOWER(TRIM($F463&amp;"")),12)="subscription",LOWER(TRIM($F463&amp;""))="membership"),"",IF(OR(AND($H463&lt;&gt;"",$H463=0),LEFT(LOWER(TRIM($F463&amp;"")),9)="free game",LOWER(TRIM($F463&amp;""))="free",LOWER(TRIM($F463&amp;""))="free entry"),IF(ISNUMBER($G463),IF(ISNUMBER(SEARCH("non",LOWER($E463&amp;""))),$G463*0.85,$G463),"N/A"),IF($G463="","",IFERROR(IF(ISNUMBER(SEARCH("non",LOWER($E463&amp;""))),$G463*0.85,$G463),"")))))</ns0:f>
        <ns0:v/>
      </ns0:c>
      <ns0:c r="O463" s="987" t="str">
        <ns0:f>IF(COUNTA($A463:$M463)=0,"",IF(OR(LEFT(LOWER(TRIM($F463&amp;"")),12)="subscription",LOWER(TRIM($F463&amp;""))="membership"),"",IF(OR(AND($H463&lt;&gt;"",$H463=0),LEFT(LOWER(TRIM($F463&amp;"")),9)="free game",LOWER(TRIM($F463&amp;""))="free",LOWER(TRIM($F463&amp;""))="free entry"),IF(OR(NOT(ISNUMBER($N463)),NOT(ISNUMBER($I463)),$I463=0),"N/A",IFERROR($N463/$I463,"N/A")),IF(OR($N463="",$I463="",$I463=0),"",IFERROR($N463/$I463,"")))))</ns0:f>
        <ns0:v/>
      </ns0:c>
      <ns0:c r="P463" s="987">
        <ns0:f>IF(COUNTA($A463:$M463)=0,"",IF(OR(LEFT(LOWER(TRIM($F463&amp;"")),12)="subscription",LOWER(TRIM($F463&amp;""))="membership"),"",IF(LOWER(TRIM($D463&amp;""))="estimate","N/A",IF(LOWER($L463&amp;"")="yes",0,IF(OR(AND($H463&lt;&gt;"",$H463=0),LEFT(LOWER(TRIM($F463&amp;"")),9)="free game",LOWER(TRIM($F463&amp;""))="free",LOWER(TRIM($F463&amp;""))="free entry"),IF(ISNUMBER($K463),$K463,""),IF($K463&lt;&gt;"",$K463,""))))))</ns0:f>
      </ns0:c>
      <ns0:c r="Q463" s="114">
        <ns0:f>IF(COUNTA($A463:$M463)=0,"",IF(OR($U463="Subscription",$U463=""),"",IF($U463="Estimate","N/A",IF($U463="Profit",ROUND(IFERROR($P463,0)-IFERROR($H463,0),2),0))))</ns0:f>
      </ns0:c>
      <ns0:c r="R463" s="114">
        <ns0:f>IF(COUNTA($A463:$M463)=0,"",IF(OR($U463="Subscription",$U463=""),"",IF($U463="Estimate","N/A",IF($U463="Draw",$H463,0))))</ns0:f>
      </ns0:c>
      <ns0:c r="S463" s="114">
        <ns0:f>IF(COUNTA($A463:$M463)=0,"",IF(OR($U463="Subscription",$U463=""),"",IF($U463="Estimate","N/A",IF($U463="Disqualified",$H463,0))))</ns0:f>
      </ns0:c>
      <ns0:c r="T463" s="955">
        <ns0:f>IF(COUNTA($A463:$M463)=0,"",IF(OR($U463="Subscription",$U463=""),"",IF($U463="Estimate","N/A",IF(OR($U463="Free Game",$U463="Disqualified — Free Game",$H463=0),"N/A",IF($U463="Profit",$Q463/$H463,IF($U463="Disqualified",-$S463/$H463,0))))))</ns0:f>
      </ns0:c>
      <ns0:c r="U463" s="920">
        <ns0:f>IF(COUNTA($A463:$M463)=0,"",IF(OR(LEFT(LOWER(TRIM($F463&amp;"")),12)="subscription",LOWER(TRIM($F463&amp;""))="membership"),"Subscription",IF(LOWER(TRIM($D463&amp;""))="estimate","Estimate",IF(OR(AND($H463&lt;&gt;"",$H463=0),LEFT(LOWER(TRIM($F463&amp;"")),9)="free game",LOWER(TRIM($F463&amp;""))="free",LOWER(TRIM($F463&amp;""))="free entry"),IF(LOWER($L463&amp;"")="yes","Disqualified — Free Game","Free Game"),IF(LOWER($L463&amp;"")="yes","Disqualified",IF($P463="","",IF(ROUND(IFERROR(VALUE($P463),0)-IFERROR(VALUE($H463),0),2)&gt;0,"Profit","Draw")))))))</ns0:f>
      </ns0:c>
      <ns0:c r="V463" s="956" t="str">
        <ns0:f>IF(COUNTA($A463:$M463)=0,"",IF(OR($B463="",$C463="",$U463="Subscription"),"",IFERROR(ROUNDUP(($C463-$B463)/7,0),"")))</ns0:f>
      </ns0:c>
      <ns0:c r="W463" s="114">
        <ns0:f>IF(COUNTA($A463:$M463)=0,"",IF(OR($U463="Subscription",$U463=""),"",IF($U463="Estimate","N/A",IF(OR($U463="Free Game",$U463="Disqualified — Free Game"),0,ROUND(IFERROR($Q463,0)-IFERROR($S463,0),2)))))</ns0:f>
      </ns0:c>
      <ns0:c r="X463" s="956" t="str">
        <ns0:f>IF(COUNTA($A463:$M463)=0,"",IF(OR($U463="Subscription",NOT(ISNUMBER($J463)),NOT(ISNUMBER($I463)),$J463=0,$I463=0,$I463&gt;$J463),"",$J463-$I463))</ns0:f>
      </ns0:c>
      <ns0:c r="Y463" s="955" t="str">
        <ns0:f>IF(COUNTA($A463:$M463)=0,"",IF(OR($U463="Subscription",NOT(ISNUMBER($J463)),$J463=0,$X463=""),"",$X463/$J463))</ns0:f>
      </ns0:c>
      <ns0:c r="Z463" s="957" t="str">
        <ns0:f>IF(COUNTA($A463:$M463)=0,"",Instructions!$B$29+SUM($W$5:W463))</ns0:f>
      </ns0:c>
    </ns0:row>
    <ns0:row r="464" ht="36" customHeight="1">
      <ns0:c r="A464" s="439"/>
      <ns0:c r="B464" s="453"/>
      <ns0:c r="C464" s="453"/>
      <ns0:c r="D464" s="454"/>
      <ns0:c r="E464" s="454"/>
      <ns0:c r="F464" s="454"/>
      <ns0:c r="G464" s="986"/>
      <ns0:c r="H464" s="455"/>
      <ns0:c r="I464" s="456"/>
      <ns0:c r="J464" s="456"/>
      <ns0:c r="K464" s="986"/>
      <ns0:c r="L464" s="454"/>
      <ns0:c r="M464" s="439"/>
      <ns0:c r="N464" s="987" t="str">
        <ns0:f>IF(COUNTA($A464:$M464)=0,"",IF(OR(LEFT(LOWER(TRIM($F464&amp;"")),12)="subscription",LOWER(TRIM($F464&amp;""))="membership"),"",IF(OR(AND($H464&lt;&gt;"",$H464=0),LEFT(LOWER(TRIM($F464&amp;"")),9)="free game",LOWER(TRIM($F464&amp;""))="free",LOWER(TRIM($F464&amp;""))="free entry"),IF(ISNUMBER($G464),IF(ISNUMBER(SEARCH("non",LOWER($E464&amp;""))),$G464*0.85,$G464),"N/A"),IF($G464="","",IFERROR(IF(ISNUMBER(SEARCH("non",LOWER($E464&amp;""))),$G464*0.85,$G464),"")))))</ns0:f>
        <ns0:v/>
      </ns0:c>
      <ns0:c r="O464" s="987" t="str">
        <ns0:f>IF(COUNTA($A464:$M464)=0,"",IF(OR(LEFT(LOWER(TRIM($F464&amp;"")),12)="subscription",LOWER(TRIM($F464&amp;""))="membership"),"",IF(OR(AND($H464&lt;&gt;"",$H464=0),LEFT(LOWER(TRIM($F464&amp;"")),9)="free game",LOWER(TRIM($F464&amp;""))="free",LOWER(TRIM($F464&amp;""))="free entry"),IF(OR(NOT(ISNUMBER($N464)),NOT(ISNUMBER($I464)),$I464=0),"N/A",IFERROR($N464/$I464,"N/A")),IF(OR($N464="",$I464="",$I464=0),"",IFERROR($N464/$I464,"")))))</ns0:f>
        <ns0:v/>
      </ns0:c>
      <ns0:c r="P464" s="987">
        <ns0:f>IF(COUNTA($A464:$M464)=0,"",IF(OR(LEFT(LOWER(TRIM($F464&amp;"")),12)="subscription",LOWER(TRIM($F464&amp;""))="membership"),"",IF(LOWER(TRIM($D464&amp;""))="estimate","N/A",IF(LOWER($L464&amp;"")="yes",0,IF(OR(AND($H464&lt;&gt;"",$H464=0),LEFT(LOWER(TRIM($F464&amp;"")),9)="free game",LOWER(TRIM($F464&amp;""))="free",LOWER(TRIM($F464&amp;""))="free entry"),IF(ISNUMBER($K464),$K464,""),IF($K464&lt;&gt;"",$K464,""))))))</ns0:f>
      </ns0:c>
      <ns0:c r="Q464" s="114">
        <ns0:f>IF(COUNTA($A464:$M464)=0,"",IF(OR($U464="Subscription",$U464=""),"",IF($U464="Estimate","N/A",IF($U464="Profit",ROUND(IFERROR($P464,0)-IFERROR($H464,0),2),0))))</ns0:f>
      </ns0:c>
      <ns0:c r="R464" s="114">
        <ns0:f>IF(COUNTA($A464:$M464)=0,"",IF(OR($U464="Subscription",$U464=""),"",IF($U464="Estimate","N/A",IF($U464="Draw",$H464,0))))</ns0:f>
      </ns0:c>
      <ns0:c r="S464" s="114">
        <ns0:f>IF(COUNTA($A464:$M464)=0,"",IF(OR($U464="Subscription",$U464=""),"",IF($U464="Estimate","N/A",IF($U464="Disqualified",$H464,0))))</ns0:f>
      </ns0:c>
      <ns0:c r="T464" s="955">
        <ns0:f>IF(COUNTA($A464:$M464)=0,"",IF(OR($U464="Subscription",$U464=""),"",IF($U464="Estimate","N/A",IF(OR($U464="Free Game",$U464="Disqualified — Free Game",$H464=0),"N/A",IF($U464="Profit",$Q464/$H464,IF($U464="Disqualified",-$S464/$H464,0))))))</ns0:f>
      </ns0:c>
      <ns0:c r="U464" s="920">
        <ns0:f>IF(COUNTA($A464:$M464)=0,"",IF(OR(LEFT(LOWER(TRIM($F464&amp;"")),12)="subscription",LOWER(TRIM($F464&amp;""))="membership"),"Subscription",IF(LOWER(TRIM($D464&amp;""))="estimate","Estimate",IF(OR(AND($H464&lt;&gt;"",$H464=0),LEFT(LOWER(TRIM($F464&amp;"")),9)="free game",LOWER(TRIM($F464&amp;""))="free",LOWER(TRIM($F464&amp;""))="free entry"),IF(LOWER($L464&amp;"")="yes","Disqualified — Free Game","Free Game"),IF(LOWER($L464&amp;"")="yes","Disqualified",IF($P464="","",IF(ROUND(IFERROR(VALUE($P464),0)-IFERROR(VALUE($H464),0),2)&gt;0,"Profit","Draw")))))))</ns0:f>
      </ns0:c>
      <ns0:c r="V464" s="956" t="str">
        <ns0:f>IF(COUNTA($A464:$M464)=0,"",IF(OR($B464="",$C464="",$U464="Subscription"),"",IFERROR(ROUNDUP(($C464-$B464)/7,0),"")))</ns0:f>
      </ns0:c>
      <ns0:c r="W464" s="114">
        <ns0:f>IF(COUNTA($A464:$M464)=0,"",IF(OR($U464="Subscription",$U464=""),"",IF($U464="Estimate","N/A",IF(OR($U464="Free Game",$U464="Disqualified — Free Game"),0,ROUND(IFERROR($Q464,0)-IFERROR($S464,0),2)))))</ns0:f>
      </ns0:c>
      <ns0:c r="X464" s="956" t="str">
        <ns0:f>IF(COUNTA($A464:$M464)=0,"",IF(OR($U464="Subscription",NOT(ISNUMBER($J464)),NOT(ISNUMBER($I464)),$J464=0,$I464=0,$I464&gt;$J464),"",$J464-$I464))</ns0:f>
      </ns0:c>
      <ns0:c r="Y464" s="955" t="str">
        <ns0:f>IF(COUNTA($A464:$M464)=0,"",IF(OR($U464="Subscription",NOT(ISNUMBER($J464)),$J464=0,$X464=""),"",$X464/$J464))</ns0:f>
      </ns0:c>
      <ns0:c r="Z464" s="957" t="str">
        <ns0:f>IF(COUNTA($A464:$M464)=0,"",Instructions!$B$29+SUM($W$5:W464))</ns0:f>
      </ns0:c>
    </ns0:row>
    <ns0:row r="465" ht="36" customHeight="1">
      <ns0:c r="A465" s="439"/>
      <ns0:c r="B465" s="453"/>
      <ns0:c r="C465" s="453"/>
      <ns0:c r="D465" s="454"/>
      <ns0:c r="E465" s="454"/>
      <ns0:c r="F465" s="454"/>
      <ns0:c r="G465" s="986"/>
      <ns0:c r="H465" s="455"/>
      <ns0:c r="I465" s="456"/>
      <ns0:c r="J465" s="456"/>
      <ns0:c r="K465" s="986"/>
      <ns0:c r="L465" s="454"/>
      <ns0:c r="M465" s="439"/>
      <ns0:c r="N465" s="987" t="str">
        <ns0:f>IF(COUNTA($A465:$M465)=0,"",IF(OR(LEFT(LOWER(TRIM($F465&amp;"")),12)="subscription",LOWER(TRIM($F465&amp;""))="membership"),"",IF(OR(AND($H465&lt;&gt;"",$H465=0),LEFT(LOWER(TRIM($F465&amp;"")),9)="free game",LOWER(TRIM($F465&amp;""))="free",LOWER(TRIM($F465&amp;""))="free entry"),IF(ISNUMBER($G465),IF(ISNUMBER(SEARCH("non",LOWER($E465&amp;""))),$G465*0.85,$G465),"N/A"),IF($G465="","",IFERROR(IF(ISNUMBER(SEARCH("non",LOWER($E465&amp;""))),$G465*0.85,$G465),"")))))</ns0:f>
        <ns0:v/>
      </ns0:c>
      <ns0:c r="O465" s="987" t="str">
        <ns0:f>IF(COUNTA($A465:$M465)=0,"",IF(OR(LEFT(LOWER(TRIM($F465&amp;"")),12)="subscription",LOWER(TRIM($F465&amp;""))="membership"),"",IF(OR(AND($H465&lt;&gt;"",$H465=0),LEFT(LOWER(TRIM($F465&amp;"")),9)="free game",LOWER(TRIM($F465&amp;""))="free",LOWER(TRIM($F465&amp;""))="free entry"),IF(OR(NOT(ISNUMBER($N465)),NOT(ISNUMBER($I465)),$I465=0),"N/A",IFERROR($N465/$I465,"N/A")),IF(OR($N465="",$I465="",$I465=0),"",IFERROR($N465/$I465,"")))))</ns0:f>
        <ns0:v/>
      </ns0:c>
      <ns0:c r="P465" s="987">
        <ns0:f>IF(COUNTA($A465:$M465)=0,"",IF(OR(LEFT(LOWER(TRIM($F465&amp;"")),12)="subscription",LOWER(TRIM($F465&amp;""))="membership"),"",IF(LOWER(TRIM($D465&amp;""))="estimate","N/A",IF(LOWER($L465&amp;"")="yes",0,IF(OR(AND($H465&lt;&gt;"",$H465=0),LEFT(LOWER(TRIM($F465&amp;"")),9)="free game",LOWER(TRIM($F465&amp;""))="free",LOWER(TRIM($F465&amp;""))="free entry"),IF(ISNUMBER($K465),$K465,""),IF($K465&lt;&gt;"",$K465,""))))))</ns0:f>
      </ns0:c>
      <ns0:c r="Q465" s="114">
        <ns0:f>IF(COUNTA($A465:$M465)=0,"",IF(OR($U465="Subscription",$U465=""),"",IF($U465="Estimate","N/A",IF($U465="Profit",ROUND(IFERROR($P465,0)-IFERROR($H465,0),2),0))))</ns0:f>
      </ns0:c>
      <ns0:c r="R465" s="114">
        <ns0:f>IF(COUNTA($A465:$M465)=0,"",IF(OR($U465="Subscription",$U465=""),"",IF($U465="Estimate","N/A",IF($U465="Draw",$H465,0))))</ns0:f>
      </ns0:c>
      <ns0:c r="S465" s="114">
        <ns0:f>IF(COUNTA($A465:$M465)=0,"",IF(OR($U465="Subscription",$U465=""),"",IF($U465="Estimate","N/A",IF($U465="Disqualified",$H465,0))))</ns0:f>
      </ns0:c>
      <ns0:c r="T465" s="955">
        <ns0:f>IF(COUNTA($A465:$M465)=0,"",IF(OR($U465="Subscription",$U465=""),"",IF($U465="Estimate","N/A",IF(OR($U465="Free Game",$U465="Disqualified — Free Game",$H465=0),"N/A",IF($U465="Profit",$Q465/$H465,IF($U465="Disqualified",-$S465/$H465,0))))))</ns0:f>
      </ns0:c>
      <ns0:c r="U465" s="920">
        <ns0:f>IF(COUNTA($A465:$M465)=0,"",IF(OR(LEFT(LOWER(TRIM($F465&amp;"")),12)="subscription",LOWER(TRIM($F465&amp;""))="membership"),"Subscription",IF(LOWER(TRIM($D465&amp;""))="estimate","Estimate",IF(OR(AND($H465&lt;&gt;"",$H465=0),LEFT(LOWER(TRIM($F465&amp;"")),9)="free game",LOWER(TRIM($F465&amp;""))="free",LOWER(TRIM($F465&amp;""))="free entry"),IF(LOWER($L465&amp;"")="yes","Disqualified — Free Game","Free Game"),IF(LOWER($L465&amp;"")="yes","Disqualified",IF($P465="","",IF(ROUND(IFERROR(VALUE($P465),0)-IFERROR(VALUE($H465),0),2)&gt;0,"Profit","Draw")))))))</ns0:f>
      </ns0:c>
      <ns0:c r="V465" s="956" t="str">
        <ns0:f>IF(COUNTA($A465:$M465)=0,"",IF(OR($B465="",$C465="",$U465="Subscription"),"",IFERROR(ROUNDUP(($C465-$B465)/7,0),"")))</ns0:f>
      </ns0:c>
      <ns0:c r="W465" s="114">
        <ns0:f>IF(COUNTA($A465:$M465)=0,"",IF(OR($U465="Subscription",$U465=""),"",IF($U465="Estimate","N/A",IF(OR($U465="Free Game",$U465="Disqualified — Free Game"),0,ROUND(IFERROR($Q465,0)-IFERROR($S465,0),2)))))</ns0:f>
      </ns0:c>
      <ns0:c r="X465" s="956" t="str">
        <ns0:f>IF(COUNTA($A465:$M465)=0,"",IF(OR($U465="Subscription",NOT(ISNUMBER($J465)),NOT(ISNUMBER($I465)),$J465=0,$I465=0,$I465&gt;$J465),"",$J465-$I465))</ns0:f>
      </ns0:c>
      <ns0:c r="Y465" s="955" t="str">
        <ns0:f>IF(COUNTA($A465:$M465)=0,"",IF(OR($U465="Subscription",NOT(ISNUMBER($J465)),$J465=0,$X465=""),"",$X465/$J465))</ns0:f>
      </ns0:c>
      <ns0:c r="Z465" s="957" t="str">
        <ns0:f>IF(COUNTA($A465:$M465)=0,"",Instructions!$B$29+SUM($W$5:W465))</ns0:f>
      </ns0:c>
    </ns0:row>
    <ns0:row r="466" ht="36" customHeight="1">
      <ns0:c r="A466" s="439"/>
      <ns0:c r="B466" s="453"/>
      <ns0:c r="C466" s="453"/>
      <ns0:c r="D466" s="454"/>
      <ns0:c r="E466" s="454"/>
      <ns0:c r="F466" s="454"/>
      <ns0:c r="G466" s="986"/>
      <ns0:c r="H466" s="455"/>
      <ns0:c r="I466" s="456"/>
      <ns0:c r="J466" s="456"/>
      <ns0:c r="K466" s="986"/>
      <ns0:c r="L466" s="454"/>
      <ns0:c r="M466" s="439"/>
      <ns0:c r="N466" s="987" t="str">
        <ns0:f>IF(COUNTA($A466:$M466)=0,"",IF(OR(LEFT(LOWER(TRIM($F466&amp;"")),12)="subscription",LOWER(TRIM($F466&amp;""))="membership"),"",IF(OR(AND($H466&lt;&gt;"",$H466=0),LEFT(LOWER(TRIM($F466&amp;"")),9)="free game",LOWER(TRIM($F466&amp;""))="free",LOWER(TRIM($F466&amp;""))="free entry"),IF(ISNUMBER($G466),IF(ISNUMBER(SEARCH("non",LOWER($E466&amp;""))),$G466*0.85,$G466),"N/A"),IF($G466="","",IFERROR(IF(ISNUMBER(SEARCH("non",LOWER($E466&amp;""))),$G466*0.85,$G466),"")))))</ns0:f>
        <ns0:v/>
      </ns0:c>
      <ns0:c r="O466" s="987" t="str">
        <ns0:f>IF(COUNTA($A466:$M466)=0,"",IF(OR(LEFT(LOWER(TRIM($F466&amp;"")),12)="subscription",LOWER(TRIM($F466&amp;""))="membership"),"",IF(OR(AND($H466&lt;&gt;"",$H466=0),LEFT(LOWER(TRIM($F466&amp;"")),9)="free game",LOWER(TRIM($F466&amp;""))="free",LOWER(TRIM($F466&amp;""))="free entry"),IF(OR(NOT(ISNUMBER($N466)),NOT(ISNUMBER($I466)),$I466=0),"N/A",IFERROR($N466/$I466,"N/A")),IF(OR($N466="",$I466="",$I466=0),"",IFERROR($N466/$I466,"")))))</ns0:f>
        <ns0:v/>
      </ns0:c>
      <ns0:c r="P466" s="987">
        <ns0:f>IF(COUNTA($A466:$M466)=0,"",IF(OR(LEFT(LOWER(TRIM($F466&amp;"")),12)="subscription",LOWER(TRIM($F466&amp;""))="membership"),"",IF(LOWER(TRIM($D466&amp;""))="estimate","N/A",IF(LOWER($L466&amp;"")="yes",0,IF(OR(AND($H466&lt;&gt;"",$H466=0),LEFT(LOWER(TRIM($F466&amp;"")),9)="free game",LOWER(TRIM($F466&amp;""))="free",LOWER(TRIM($F466&amp;""))="free entry"),IF(ISNUMBER($K466),$K466,""),IF($K466&lt;&gt;"",$K466,""))))))</ns0:f>
      </ns0:c>
      <ns0:c r="Q466" s="114">
        <ns0:f>IF(COUNTA($A466:$M466)=0,"",IF(OR($U466="Subscription",$U466=""),"",IF($U466="Estimate","N/A",IF($U466="Profit",ROUND(IFERROR($P466,0)-IFERROR($H466,0),2),0))))</ns0:f>
      </ns0:c>
      <ns0:c r="R466" s="114">
        <ns0:f>IF(COUNTA($A466:$M466)=0,"",IF(OR($U466="Subscription",$U466=""),"",IF($U466="Estimate","N/A",IF($U466="Draw",$H466,0))))</ns0:f>
      </ns0:c>
      <ns0:c r="S466" s="114">
        <ns0:f>IF(COUNTA($A466:$M466)=0,"",IF(OR($U466="Subscription",$U466=""),"",IF($U466="Estimate","N/A",IF($U466="Disqualified",$H466,0))))</ns0:f>
      </ns0:c>
      <ns0:c r="T466" s="955">
        <ns0:f>IF(COUNTA($A466:$M466)=0,"",IF(OR($U466="Subscription",$U466=""),"",IF($U466="Estimate","N/A",IF(OR($U466="Free Game",$U466="Disqualified — Free Game",$H466=0),"N/A",IF($U466="Profit",$Q466/$H466,IF($U466="Disqualified",-$S466/$H466,0))))))</ns0:f>
      </ns0:c>
      <ns0:c r="U466" s="920">
        <ns0:f>IF(COUNTA($A466:$M466)=0,"",IF(OR(LEFT(LOWER(TRIM($F466&amp;"")),12)="subscription",LOWER(TRIM($F466&amp;""))="membership"),"Subscription",IF(LOWER(TRIM($D466&amp;""))="estimate","Estimate",IF(OR(AND($H466&lt;&gt;"",$H466=0),LEFT(LOWER(TRIM($F466&amp;"")),9)="free game",LOWER(TRIM($F466&amp;""))="free",LOWER(TRIM($F466&amp;""))="free entry"),IF(LOWER($L466&amp;"")="yes","Disqualified — Free Game","Free Game"),IF(LOWER($L466&amp;"")="yes","Disqualified",IF($P466="","",IF(ROUND(IFERROR(VALUE($P466),0)-IFERROR(VALUE($H466),0),2)&gt;0,"Profit","Draw")))))))</ns0:f>
      </ns0:c>
      <ns0:c r="V466" s="956" t="str">
        <ns0:f>IF(COUNTA($A466:$M466)=0,"",IF(OR($B466="",$C466="",$U466="Subscription"),"",IFERROR(ROUNDUP(($C466-$B466)/7,0),"")))</ns0:f>
      </ns0:c>
      <ns0:c r="W466" s="114">
        <ns0:f>IF(COUNTA($A466:$M466)=0,"",IF(OR($U466="Subscription",$U466=""),"",IF($U466="Estimate","N/A",IF(OR($U466="Free Game",$U466="Disqualified — Free Game"),0,ROUND(IFERROR($Q466,0)-IFERROR($S466,0),2)))))</ns0:f>
      </ns0:c>
      <ns0:c r="X466" s="956" t="str">
        <ns0:f>IF(COUNTA($A466:$M466)=0,"",IF(OR($U466="Subscription",NOT(ISNUMBER($J466)),NOT(ISNUMBER($I466)),$J466=0,$I466=0,$I466&gt;$J466),"",$J466-$I466))</ns0:f>
      </ns0:c>
      <ns0:c r="Y466" s="955" t="str">
        <ns0:f>IF(COUNTA($A466:$M466)=0,"",IF(OR($U466="Subscription",NOT(ISNUMBER($J466)),$J466=0,$X466=""),"",$X466/$J466))</ns0:f>
      </ns0:c>
      <ns0:c r="Z466" s="957" t="str">
        <ns0:f>IF(COUNTA($A466:$M466)=0,"",Instructions!$B$29+SUM($W$5:W466))</ns0:f>
      </ns0:c>
    </ns0:row>
    <ns0:row r="467" ht="36" customHeight="1">
      <ns0:c r="A467" s="439"/>
      <ns0:c r="B467" s="453"/>
      <ns0:c r="C467" s="453"/>
      <ns0:c r="D467" s="454"/>
      <ns0:c r="E467" s="454"/>
      <ns0:c r="F467" s="454"/>
      <ns0:c r="G467" s="986"/>
      <ns0:c r="H467" s="455"/>
      <ns0:c r="I467" s="456"/>
      <ns0:c r="J467" s="456"/>
      <ns0:c r="K467" s="986"/>
      <ns0:c r="L467" s="454"/>
      <ns0:c r="M467" s="439"/>
      <ns0:c r="N467" s="987" t="str">
        <ns0:f>IF(COUNTA($A467:$M467)=0,"",IF(OR(LEFT(LOWER(TRIM($F467&amp;"")),12)="subscription",LOWER(TRIM($F467&amp;""))="membership"),"",IF(OR(AND($H467&lt;&gt;"",$H467=0),LEFT(LOWER(TRIM($F467&amp;"")),9)="free game",LOWER(TRIM($F467&amp;""))="free",LOWER(TRIM($F467&amp;""))="free entry"),IF(ISNUMBER($G467),IF(ISNUMBER(SEARCH("non",LOWER($E467&amp;""))),$G467*0.85,$G467),"N/A"),IF($G467="","",IFERROR(IF(ISNUMBER(SEARCH("non",LOWER($E467&amp;""))),$G467*0.85,$G467),"")))))</ns0:f>
        <ns0:v/>
      </ns0:c>
      <ns0:c r="O467" s="987" t="str">
        <ns0:f>IF(COUNTA($A467:$M467)=0,"",IF(OR(LEFT(LOWER(TRIM($F467&amp;"")),12)="subscription",LOWER(TRIM($F467&amp;""))="membership"),"",IF(OR(AND($H467&lt;&gt;"",$H467=0),LEFT(LOWER(TRIM($F467&amp;"")),9)="free game",LOWER(TRIM($F467&amp;""))="free",LOWER(TRIM($F467&amp;""))="free entry"),IF(OR(NOT(ISNUMBER($N467)),NOT(ISNUMBER($I467)),$I467=0),"N/A",IFERROR($N467/$I467,"N/A")),IF(OR($N467="",$I467="",$I467=0),"",IFERROR($N467/$I467,"")))))</ns0:f>
        <ns0:v/>
      </ns0:c>
      <ns0:c r="P467" s="987">
        <ns0:f>IF(COUNTA($A467:$M467)=0,"",IF(OR(LEFT(LOWER(TRIM($F467&amp;"")),12)="subscription",LOWER(TRIM($F467&amp;""))="membership"),"",IF(LOWER(TRIM($D467&amp;""))="estimate","N/A",IF(LOWER($L467&amp;"")="yes",0,IF(OR(AND($H467&lt;&gt;"",$H467=0),LEFT(LOWER(TRIM($F467&amp;"")),9)="free game",LOWER(TRIM($F467&amp;""))="free",LOWER(TRIM($F467&amp;""))="free entry"),IF(ISNUMBER($K467),$K467,""),IF($K467&lt;&gt;"",$K467,""))))))</ns0:f>
      </ns0:c>
      <ns0:c r="Q467" s="114">
        <ns0:f>IF(COUNTA($A467:$M467)=0,"",IF(OR($U467="Subscription",$U467=""),"",IF($U467="Estimate","N/A",IF($U467="Profit",ROUND(IFERROR($P467,0)-IFERROR($H467,0),2),0))))</ns0:f>
      </ns0:c>
      <ns0:c r="R467" s="114">
        <ns0:f>IF(COUNTA($A467:$M467)=0,"",IF(OR($U467="Subscription",$U467=""),"",IF($U467="Estimate","N/A",IF($U467="Draw",$H467,0))))</ns0:f>
      </ns0:c>
      <ns0:c r="S467" s="114">
        <ns0:f>IF(COUNTA($A467:$M467)=0,"",IF(OR($U467="Subscription",$U467=""),"",IF($U467="Estimate","N/A",IF($U467="Disqualified",$H467,0))))</ns0:f>
      </ns0:c>
      <ns0:c r="T467" s="955">
        <ns0:f>IF(COUNTA($A467:$M467)=0,"",IF(OR($U467="Subscription",$U467=""),"",IF($U467="Estimate","N/A",IF(OR($U467="Free Game",$U467="Disqualified — Free Game",$H467=0),"N/A",IF($U467="Profit",$Q467/$H467,IF($U467="Disqualified",-$S467/$H467,0))))))</ns0:f>
      </ns0:c>
      <ns0:c r="U467" s="920">
        <ns0:f>IF(COUNTA($A467:$M467)=0,"",IF(OR(LEFT(LOWER(TRIM($F467&amp;"")),12)="subscription",LOWER(TRIM($F467&amp;""))="membership"),"Subscription",IF(LOWER(TRIM($D467&amp;""))="estimate","Estimate",IF(OR(AND($H467&lt;&gt;"",$H467=0),LEFT(LOWER(TRIM($F467&amp;"")),9)="free game",LOWER(TRIM($F467&amp;""))="free",LOWER(TRIM($F467&amp;""))="free entry"),IF(LOWER($L467&amp;"")="yes","Disqualified — Free Game","Free Game"),IF(LOWER($L467&amp;"")="yes","Disqualified",IF($P467="","",IF(ROUND(IFERROR(VALUE($P467),0)-IFERROR(VALUE($H467),0),2)&gt;0,"Profit","Draw")))))))</ns0:f>
      </ns0:c>
      <ns0:c r="V467" s="956" t="str">
        <ns0:f>IF(COUNTA($A467:$M467)=0,"",IF(OR($B467="",$C467="",$U467="Subscription"),"",IFERROR(ROUNDUP(($C467-$B467)/7,0),"")))</ns0:f>
      </ns0:c>
      <ns0:c r="W467" s="114">
        <ns0:f>IF(COUNTA($A467:$M467)=0,"",IF(OR($U467="Subscription",$U467=""),"",IF($U467="Estimate","N/A",IF(OR($U467="Free Game",$U467="Disqualified — Free Game"),0,ROUND(IFERROR($Q467,0)-IFERROR($S467,0),2)))))</ns0:f>
      </ns0:c>
      <ns0:c r="X467" s="956" t="str">
        <ns0:f>IF(COUNTA($A467:$M467)=0,"",IF(OR($U467="Subscription",NOT(ISNUMBER($J467)),NOT(ISNUMBER($I467)),$J467=0,$I467=0,$I467&gt;$J467),"",$J467-$I467))</ns0:f>
      </ns0:c>
      <ns0:c r="Y467" s="955" t="str">
        <ns0:f>IF(COUNTA($A467:$M467)=0,"",IF(OR($U467="Subscription",NOT(ISNUMBER($J467)),$J467=0,$X467=""),"",$X467/$J467))</ns0:f>
      </ns0:c>
      <ns0:c r="Z467" s="957" t="str">
        <ns0:f>IF(COUNTA($A467:$M467)=0,"",Instructions!$B$29+SUM($W$5:W467))</ns0:f>
      </ns0:c>
    </ns0:row>
    <ns0:row r="468" ht="36" customHeight="1">
      <ns0:c r="A468" s="439"/>
      <ns0:c r="B468" s="453"/>
      <ns0:c r="C468" s="453"/>
      <ns0:c r="D468" s="454"/>
      <ns0:c r="E468" s="454"/>
      <ns0:c r="F468" s="454"/>
      <ns0:c r="G468" s="986"/>
      <ns0:c r="H468" s="455"/>
      <ns0:c r="I468" s="456"/>
      <ns0:c r="J468" s="456"/>
      <ns0:c r="K468" s="986"/>
      <ns0:c r="L468" s="454"/>
      <ns0:c r="M468" s="439"/>
      <ns0:c r="N468" s="987" t="str">
        <ns0:f>IF(COUNTA($A468:$M468)=0,"",IF(OR(LEFT(LOWER(TRIM($F468&amp;"")),12)="subscription",LOWER(TRIM($F468&amp;""))="membership"),"",IF(OR(AND($H468&lt;&gt;"",$H468=0),LEFT(LOWER(TRIM($F468&amp;"")),9)="free game",LOWER(TRIM($F468&amp;""))="free",LOWER(TRIM($F468&amp;""))="free entry"),IF(ISNUMBER($G468),IF(ISNUMBER(SEARCH("non",LOWER($E468&amp;""))),$G468*0.85,$G468),"N/A"),IF($G468="","",IFERROR(IF(ISNUMBER(SEARCH("non",LOWER($E468&amp;""))),$G468*0.85,$G468),"")))))</ns0:f>
        <ns0:v/>
      </ns0:c>
      <ns0:c r="O468" s="987" t="str">
        <ns0:f>IF(COUNTA($A468:$M468)=0,"",IF(OR(LEFT(LOWER(TRIM($F468&amp;"")),12)="subscription",LOWER(TRIM($F468&amp;""))="membership"),"",IF(OR(AND($H468&lt;&gt;"",$H468=0),LEFT(LOWER(TRIM($F468&amp;"")),9)="free game",LOWER(TRIM($F468&amp;""))="free",LOWER(TRIM($F468&amp;""))="free entry"),IF(OR(NOT(ISNUMBER($N468)),NOT(ISNUMBER($I468)),$I468=0),"N/A",IFERROR($N468/$I468,"N/A")),IF(OR($N468="",$I468="",$I468=0),"",IFERROR($N468/$I468,"")))))</ns0:f>
        <ns0:v/>
      </ns0:c>
      <ns0:c r="P468" s="987">
        <ns0:f>IF(COUNTA($A468:$M468)=0,"",IF(OR(LEFT(LOWER(TRIM($F468&amp;"")),12)="subscription",LOWER(TRIM($F468&amp;""))="membership"),"",IF(LOWER(TRIM($D468&amp;""))="estimate","N/A",IF(LOWER($L468&amp;"")="yes",0,IF(OR(AND($H468&lt;&gt;"",$H468=0),LEFT(LOWER(TRIM($F468&amp;"")),9)="free game",LOWER(TRIM($F468&amp;""))="free",LOWER(TRIM($F468&amp;""))="free entry"),IF(ISNUMBER($K468),$K468,""),IF($K468&lt;&gt;"",$K468,""))))))</ns0:f>
      </ns0:c>
      <ns0:c r="Q468" s="114">
        <ns0:f>IF(COUNTA($A468:$M468)=0,"",IF(OR($U468="Subscription",$U468=""),"",IF($U468="Estimate","N/A",IF($U468="Profit",ROUND(IFERROR($P468,0)-IFERROR($H468,0),2),0))))</ns0:f>
      </ns0:c>
      <ns0:c r="R468" s="114">
        <ns0:f>IF(COUNTA($A468:$M468)=0,"",IF(OR($U468="Subscription",$U468=""),"",IF($U468="Estimate","N/A",IF($U468="Draw",$H468,0))))</ns0:f>
      </ns0:c>
      <ns0:c r="S468" s="114">
        <ns0:f>IF(COUNTA($A468:$M468)=0,"",IF(OR($U468="Subscription",$U468=""),"",IF($U468="Estimate","N/A",IF($U468="Disqualified",$H468,0))))</ns0:f>
      </ns0:c>
      <ns0:c r="T468" s="955">
        <ns0:f>IF(COUNTA($A468:$M468)=0,"",IF(OR($U468="Subscription",$U468=""),"",IF($U468="Estimate","N/A",IF(OR($U468="Free Game",$U468="Disqualified — Free Game",$H468=0),"N/A",IF($U468="Profit",$Q468/$H468,IF($U468="Disqualified",-$S468/$H468,0))))))</ns0:f>
      </ns0:c>
      <ns0:c r="U468" s="920">
        <ns0:f>IF(COUNTA($A468:$M468)=0,"",IF(OR(LEFT(LOWER(TRIM($F468&amp;"")),12)="subscription",LOWER(TRIM($F468&amp;""))="membership"),"Subscription",IF(LOWER(TRIM($D468&amp;""))="estimate","Estimate",IF(OR(AND($H468&lt;&gt;"",$H468=0),LEFT(LOWER(TRIM($F468&amp;"")),9)="free game",LOWER(TRIM($F468&amp;""))="free",LOWER(TRIM($F468&amp;""))="free entry"),IF(LOWER($L468&amp;"")="yes","Disqualified — Free Game","Free Game"),IF(LOWER($L468&amp;"")="yes","Disqualified",IF($P468="","",IF(ROUND(IFERROR(VALUE($P468),0)-IFERROR(VALUE($H468),0),2)&gt;0,"Profit","Draw")))))))</ns0:f>
      </ns0:c>
      <ns0:c r="V468" s="956" t="str">
        <ns0:f>IF(COUNTA($A468:$M468)=0,"",IF(OR($B468="",$C468="",$U468="Subscription"),"",IFERROR(ROUNDUP(($C468-$B468)/7,0),"")))</ns0:f>
      </ns0:c>
      <ns0:c r="W468" s="114">
        <ns0:f>IF(COUNTA($A468:$M468)=0,"",IF(OR($U468="Subscription",$U468=""),"",IF($U468="Estimate","N/A",IF(OR($U468="Free Game",$U468="Disqualified — Free Game"),0,ROUND(IFERROR($Q468,0)-IFERROR($S468,0),2)))))</ns0:f>
      </ns0:c>
      <ns0:c r="X468" s="956" t="str">
        <ns0:f>IF(COUNTA($A468:$M468)=0,"",IF(OR($U468="Subscription",NOT(ISNUMBER($J468)),NOT(ISNUMBER($I468)),$J468=0,$I468=0,$I468&gt;$J468),"",$J468-$I468))</ns0:f>
      </ns0:c>
      <ns0:c r="Y468" s="955" t="str">
        <ns0:f>IF(COUNTA($A468:$M468)=0,"",IF(OR($U468="Subscription",NOT(ISNUMBER($J468)),$J468=0,$X468=""),"",$X468/$J468))</ns0:f>
      </ns0:c>
      <ns0:c r="Z468" s="957" t="str">
        <ns0:f>IF(COUNTA($A468:$M468)=0,"",Instructions!$B$29+SUM($W$5:W468))</ns0:f>
      </ns0:c>
    </ns0:row>
    <ns0:row r="469" ht="36" customHeight="1">
      <ns0:c r="A469" s="439"/>
      <ns0:c r="B469" s="453"/>
      <ns0:c r="C469" s="453"/>
      <ns0:c r="D469" s="454"/>
      <ns0:c r="E469" s="454"/>
      <ns0:c r="F469" s="454"/>
      <ns0:c r="G469" s="986"/>
      <ns0:c r="H469" s="455"/>
      <ns0:c r="I469" s="456"/>
      <ns0:c r="J469" s="456"/>
      <ns0:c r="K469" s="986"/>
      <ns0:c r="L469" s="454"/>
      <ns0:c r="M469" s="439"/>
      <ns0:c r="N469" s="987" t="str">
        <ns0:f>IF(COUNTA($A469:$M469)=0,"",IF(OR(LEFT(LOWER(TRIM($F469&amp;"")),12)="subscription",LOWER(TRIM($F469&amp;""))="membership"),"",IF(OR(AND($H469&lt;&gt;"",$H469=0),LEFT(LOWER(TRIM($F469&amp;"")),9)="free game",LOWER(TRIM($F469&amp;""))="free",LOWER(TRIM($F469&amp;""))="free entry"),IF(ISNUMBER($G469),IF(ISNUMBER(SEARCH("non",LOWER($E469&amp;""))),$G469*0.85,$G469),"N/A"),IF($G469="","",IFERROR(IF(ISNUMBER(SEARCH("non",LOWER($E469&amp;""))),$G469*0.85,$G469),"")))))</ns0:f>
        <ns0:v/>
      </ns0:c>
      <ns0:c r="O469" s="987" t="str">
        <ns0:f>IF(COUNTA($A469:$M469)=0,"",IF(OR(LEFT(LOWER(TRIM($F469&amp;"")),12)="subscription",LOWER(TRIM($F469&amp;""))="membership"),"",IF(OR(AND($H469&lt;&gt;"",$H469=0),LEFT(LOWER(TRIM($F469&amp;"")),9)="free game",LOWER(TRIM($F469&amp;""))="free",LOWER(TRIM($F469&amp;""))="free entry"),IF(OR(NOT(ISNUMBER($N469)),NOT(ISNUMBER($I469)),$I469=0),"N/A",IFERROR($N469/$I469,"N/A")),IF(OR($N469="",$I469="",$I469=0),"",IFERROR($N469/$I469,"")))))</ns0:f>
        <ns0:v/>
      </ns0:c>
      <ns0:c r="P469" s="987">
        <ns0:f>IF(COUNTA($A469:$M469)=0,"",IF(OR(LEFT(LOWER(TRIM($F469&amp;"")),12)="subscription",LOWER(TRIM($F469&amp;""))="membership"),"",IF(LOWER(TRIM($D469&amp;""))="estimate","N/A",IF(LOWER($L469&amp;"")="yes",0,IF(OR(AND($H469&lt;&gt;"",$H469=0),LEFT(LOWER(TRIM($F469&amp;"")),9)="free game",LOWER(TRIM($F469&amp;""))="free",LOWER(TRIM($F469&amp;""))="free entry"),IF(ISNUMBER($K469),$K469,""),IF($K469&lt;&gt;"",$K469,""))))))</ns0:f>
      </ns0:c>
      <ns0:c r="Q469" s="114">
        <ns0:f>IF(COUNTA($A469:$M469)=0,"",IF(OR($U469="Subscription",$U469=""),"",IF($U469="Estimate","N/A",IF($U469="Profit",ROUND(IFERROR($P469,0)-IFERROR($H469,0),2),0))))</ns0:f>
      </ns0:c>
      <ns0:c r="R469" s="114">
        <ns0:f>IF(COUNTA($A469:$M469)=0,"",IF(OR($U469="Subscription",$U469=""),"",IF($U469="Estimate","N/A",IF($U469="Draw",$H469,0))))</ns0:f>
      </ns0:c>
      <ns0:c r="S469" s="114">
        <ns0:f>IF(COUNTA($A469:$M469)=0,"",IF(OR($U469="Subscription",$U469=""),"",IF($U469="Estimate","N/A",IF($U469="Disqualified",$H469,0))))</ns0:f>
      </ns0:c>
      <ns0:c r="T469" s="955">
        <ns0:f>IF(COUNTA($A469:$M469)=0,"",IF(OR($U469="Subscription",$U469=""),"",IF($U469="Estimate","N/A",IF(OR($U469="Free Game",$U469="Disqualified — Free Game",$H469=0),"N/A",IF($U469="Profit",$Q469/$H469,IF($U469="Disqualified",-$S469/$H469,0))))))</ns0:f>
      </ns0:c>
      <ns0:c r="U469" s="920">
        <ns0:f>IF(COUNTA($A469:$M469)=0,"",IF(OR(LEFT(LOWER(TRIM($F469&amp;"")),12)="subscription",LOWER(TRIM($F469&amp;""))="membership"),"Subscription",IF(LOWER(TRIM($D469&amp;""))="estimate","Estimate",IF(OR(AND($H469&lt;&gt;"",$H469=0),LEFT(LOWER(TRIM($F469&amp;"")),9)="free game",LOWER(TRIM($F469&amp;""))="free",LOWER(TRIM($F469&amp;""))="free entry"),IF(LOWER($L469&amp;"")="yes","Disqualified — Free Game","Free Game"),IF(LOWER($L469&amp;"")="yes","Disqualified",IF($P469="","",IF(ROUND(IFERROR(VALUE($P469),0)-IFERROR(VALUE($H469),0),2)&gt;0,"Profit","Draw")))))))</ns0:f>
      </ns0:c>
      <ns0:c r="V469" s="956" t="str">
        <ns0:f>IF(COUNTA($A469:$M469)=0,"",IF(OR($B469="",$C469="",$U469="Subscription"),"",IFERROR(ROUNDUP(($C469-$B469)/7,0),"")))</ns0:f>
      </ns0:c>
      <ns0:c r="W469" s="114">
        <ns0:f>IF(COUNTA($A469:$M469)=0,"",IF(OR($U469="Subscription",$U469=""),"",IF($U469="Estimate","N/A",IF(OR($U469="Free Game",$U469="Disqualified — Free Game"),0,ROUND(IFERROR($Q469,0)-IFERROR($S469,0),2)))))</ns0:f>
      </ns0:c>
      <ns0:c r="X469" s="956" t="str">
        <ns0:f>IF(COUNTA($A469:$M469)=0,"",IF(OR($U469="Subscription",NOT(ISNUMBER($J469)),NOT(ISNUMBER($I469)),$J469=0,$I469=0,$I469&gt;$J469),"",$J469-$I469))</ns0:f>
      </ns0:c>
      <ns0:c r="Y469" s="955" t="str">
        <ns0:f>IF(COUNTA($A469:$M469)=0,"",IF(OR($U469="Subscription",NOT(ISNUMBER($J469)),$J469=0,$X469=""),"",$X469/$J469))</ns0:f>
      </ns0:c>
      <ns0:c r="Z469" s="957" t="str">
        <ns0:f>IF(COUNTA($A469:$M469)=0,"",Instructions!$B$29+SUM($W$5:W469))</ns0:f>
      </ns0:c>
    </ns0:row>
    <ns0:row r="470" ht="36" customHeight="1">
      <ns0:c r="A470" s="439"/>
      <ns0:c r="B470" s="453"/>
      <ns0:c r="C470" s="453"/>
      <ns0:c r="D470" s="454"/>
      <ns0:c r="E470" s="454"/>
      <ns0:c r="F470" s="454"/>
      <ns0:c r="G470" s="986"/>
      <ns0:c r="H470" s="455"/>
      <ns0:c r="I470" s="456"/>
      <ns0:c r="J470" s="456"/>
      <ns0:c r="K470" s="986"/>
      <ns0:c r="L470" s="454"/>
      <ns0:c r="M470" s="439"/>
      <ns0:c r="N470" s="987" t="str">
        <ns0:f>IF(COUNTA($A470:$M470)=0,"",IF(OR(LEFT(LOWER(TRIM($F470&amp;"")),12)="subscription",LOWER(TRIM($F470&amp;""))="membership"),"",IF(OR(AND($H470&lt;&gt;"",$H470=0),LEFT(LOWER(TRIM($F470&amp;"")),9)="free game",LOWER(TRIM($F470&amp;""))="free",LOWER(TRIM($F470&amp;""))="free entry"),IF(ISNUMBER($G470),IF(ISNUMBER(SEARCH("non",LOWER($E470&amp;""))),$G470*0.85,$G470),"N/A"),IF($G470="","",IFERROR(IF(ISNUMBER(SEARCH("non",LOWER($E470&amp;""))),$G470*0.85,$G470),"")))))</ns0:f>
        <ns0:v/>
      </ns0:c>
      <ns0:c r="O470" s="987" t="str">
        <ns0:f>IF(COUNTA($A470:$M470)=0,"",IF(OR(LEFT(LOWER(TRIM($F470&amp;"")),12)="subscription",LOWER(TRIM($F470&amp;""))="membership"),"",IF(OR(AND($H470&lt;&gt;"",$H470=0),LEFT(LOWER(TRIM($F470&amp;"")),9)="free game",LOWER(TRIM($F470&amp;""))="free",LOWER(TRIM($F470&amp;""))="free entry"),IF(OR(NOT(ISNUMBER($N470)),NOT(ISNUMBER($I470)),$I470=0),"N/A",IFERROR($N470/$I470,"N/A")),IF(OR($N470="",$I470="",$I470=0),"",IFERROR($N470/$I470,"")))))</ns0:f>
        <ns0:v/>
      </ns0:c>
      <ns0:c r="P470" s="987">
        <ns0:f>IF(COUNTA($A470:$M470)=0,"",IF(OR(LEFT(LOWER(TRIM($F470&amp;"")),12)="subscription",LOWER(TRIM($F470&amp;""))="membership"),"",IF(LOWER(TRIM($D470&amp;""))="estimate","N/A",IF(LOWER($L470&amp;"")="yes",0,IF(OR(AND($H470&lt;&gt;"",$H470=0),LEFT(LOWER(TRIM($F470&amp;"")),9)="free game",LOWER(TRIM($F470&amp;""))="free",LOWER(TRIM($F470&amp;""))="free entry"),IF(ISNUMBER($K470),$K470,""),IF($K470&lt;&gt;"",$K470,""))))))</ns0:f>
      </ns0:c>
      <ns0:c r="Q470" s="114">
        <ns0:f>IF(COUNTA($A470:$M470)=0,"",IF(OR($U470="Subscription",$U470=""),"",IF($U470="Estimate","N/A",IF($U470="Profit",ROUND(IFERROR($P470,0)-IFERROR($H470,0),2),0))))</ns0:f>
      </ns0:c>
      <ns0:c r="R470" s="114">
        <ns0:f>IF(COUNTA($A470:$M470)=0,"",IF(OR($U470="Subscription",$U470=""),"",IF($U470="Estimate","N/A",IF($U470="Draw",$H470,0))))</ns0:f>
      </ns0:c>
      <ns0:c r="S470" s="114">
        <ns0:f>IF(COUNTA($A470:$M470)=0,"",IF(OR($U470="Subscription",$U470=""),"",IF($U470="Estimate","N/A",IF($U470="Disqualified",$H470,0))))</ns0:f>
      </ns0:c>
      <ns0:c r="T470" s="955">
        <ns0:f>IF(COUNTA($A470:$M470)=0,"",IF(OR($U470="Subscription",$U470=""),"",IF($U470="Estimate","N/A",IF(OR($U470="Free Game",$U470="Disqualified — Free Game",$H470=0),"N/A",IF($U470="Profit",$Q470/$H470,IF($U470="Disqualified",-$S470/$H470,0))))))</ns0:f>
      </ns0:c>
      <ns0:c r="U470" s="920">
        <ns0:f>IF(COUNTA($A470:$M470)=0,"",IF(OR(LEFT(LOWER(TRIM($F470&amp;"")),12)="subscription",LOWER(TRIM($F470&amp;""))="membership"),"Subscription",IF(LOWER(TRIM($D470&amp;""))="estimate","Estimate",IF(OR(AND($H470&lt;&gt;"",$H470=0),LEFT(LOWER(TRIM($F470&amp;"")),9)="free game",LOWER(TRIM($F470&amp;""))="free",LOWER(TRIM($F470&amp;""))="free entry"),IF(LOWER($L470&amp;"")="yes","Disqualified — Free Game","Free Game"),IF(LOWER($L470&amp;"")="yes","Disqualified",IF($P470="","",IF(ROUND(IFERROR(VALUE($P470),0)-IFERROR(VALUE($H470),0),2)&gt;0,"Profit","Draw")))))))</ns0:f>
      </ns0:c>
      <ns0:c r="V470" s="956" t="str">
        <ns0:f>IF(COUNTA($A470:$M470)=0,"",IF(OR($B470="",$C470="",$U470="Subscription"),"",IFERROR(ROUNDUP(($C470-$B470)/7,0),"")))</ns0:f>
      </ns0:c>
      <ns0:c r="W470" s="114">
        <ns0:f>IF(COUNTA($A470:$M470)=0,"",IF(OR($U470="Subscription",$U470=""),"",IF($U470="Estimate","N/A",IF(OR($U470="Free Game",$U470="Disqualified — Free Game"),0,ROUND(IFERROR($Q470,0)-IFERROR($S470,0),2)))))</ns0:f>
      </ns0:c>
      <ns0:c r="X470" s="956" t="str">
        <ns0:f>IF(COUNTA($A470:$M470)=0,"",IF(OR($U470="Subscription",NOT(ISNUMBER($J470)),NOT(ISNUMBER($I470)),$J470=0,$I470=0,$I470&gt;$J470),"",$J470-$I470))</ns0:f>
      </ns0:c>
      <ns0:c r="Y470" s="955" t="str">
        <ns0:f>IF(COUNTA($A470:$M470)=0,"",IF(OR($U470="Subscription",NOT(ISNUMBER($J470)),$J470=0,$X470=""),"",$X470/$J470))</ns0:f>
      </ns0:c>
      <ns0:c r="Z470" s="957" t="str">
        <ns0:f>IF(COUNTA($A470:$M470)=0,"",Instructions!$B$29+SUM($W$5:W470))</ns0:f>
      </ns0:c>
    </ns0:row>
    <ns0:row r="471" ht="36" customHeight="1">
      <ns0:c r="A471" s="439"/>
      <ns0:c r="B471" s="453"/>
      <ns0:c r="C471" s="453"/>
      <ns0:c r="D471" s="454"/>
      <ns0:c r="E471" s="454"/>
      <ns0:c r="F471" s="454"/>
      <ns0:c r="G471" s="986"/>
      <ns0:c r="H471" s="455"/>
      <ns0:c r="I471" s="456"/>
      <ns0:c r="J471" s="456"/>
      <ns0:c r="K471" s="986"/>
      <ns0:c r="L471" s="454"/>
      <ns0:c r="M471" s="439"/>
      <ns0:c r="N471" s="987" t="str">
        <ns0:f>IF(COUNTA($A471:$M471)=0,"",IF(OR(LEFT(LOWER(TRIM($F471&amp;"")),12)="subscription",LOWER(TRIM($F471&amp;""))="membership"),"",IF(OR(AND($H471&lt;&gt;"",$H471=0),LEFT(LOWER(TRIM($F471&amp;"")),9)="free game",LOWER(TRIM($F471&amp;""))="free",LOWER(TRIM($F471&amp;""))="free entry"),IF(ISNUMBER($G471),IF(ISNUMBER(SEARCH("non",LOWER($E471&amp;""))),$G471*0.85,$G471),"N/A"),IF($G471="","",IFERROR(IF(ISNUMBER(SEARCH("non",LOWER($E471&amp;""))),$G471*0.85,$G471),"")))))</ns0:f>
        <ns0:v/>
      </ns0:c>
      <ns0:c r="O471" s="987" t="str">
        <ns0:f>IF(COUNTA($A471:$M471)=0,"",IF(OR(LEFT(LOWER(TRIM($F471&amp;"")),12)="subscription",LOWER(TRIM($F471&amp;""))="membership"),"",IF(OR(AND($H471&lt;&gt;"",$H471=0),LEFT(LOWER(TRIM($F471&amp;"")),9)="free game",LOWER(TRIM($F471&amp;""))="free",LOWER(TRIM($F471&amp;""))="free entry"),IF(OR(NOT(ISNUMBER($N471)),NOT(ISNUMBER($I471)),$I471=0),"N/A",IFERROR($N471/$I471,"N/A")),IF(OR($N471="",$I471="",$I471=0),"",IFERROR($N471/$I471,"")))))</ns0:f>
        <ns0:v/>
      </ns0:c>
      <ns0:c r="P471" s="987">
        <ns0:f>IF(COUNTA($A471:$M471)=0,"",IF(OR(LEFT(LOWER(TRIM($F471&amp;"")),12)="subscription",LOWER(TRIM($F471&amp;""))="membership"),"",IF(LOWER(TRIM($D471&amp;""))="estimate","N/A",IF(LOWER($L471&amp;"")="yes",0,IF(OR(AND($H471&lt;&gt;"",$H471=0),LEFT(LOWER(TRIM($F471&amp;"")),9)="free game",LOWER(TRIM($F471&amp;""))="free",LOWER(TRIM($F471&amp;""))="free entry"),IF(ISNUMBER($K471),$K471,""),IF($K471&lt;&gt;"",$K471,""))))))</ns0:f>
      </ns0:c>
      <ns0:c r="Q471" s="114">
        <ns0:f>IF(COUNTA($A471:$M471)=0,"",IF(OR($U471="Subscription",$U471=""),"",IF($U471="Estimate","N/A",IF($U471="Profit",ROUND(IFERROR($P471,0)-IFERROR($H471,0),2),0))))</ns0:f>
      </ns0:c>
      <ns0:c r="R471" s="114">
        <ns0:f>IF(COUNTA($A471:$M471)=0,"",IF(OR($U471="Subscription",$U471=""),"",IF($U471="Estimate","N/A",IF($U471="Draw",$H471,0))))</ns0:f>
      </ns0:c>
      <ns0:c r="S471" s="114">
        <ns0:f>IF(COUNTA($A471:$M471)=0,"",IF(OR($U471="Subscription",$U471=""),"",IF($U471="Estimate","N/A",IF($U471="Disqualified",$H471,0))))</ns0:f>
      </ns0:c>
      <ns0:c r="T471" s="955">
        <ns0:f>IF(COUNTA($A471:$M471)=0,"",IF(OR($U471="Subscription",$U471=""),"",IF($U471="Estimate","N/A",IF(OR($U471="Free Game",$U471="Disqualified — Free Game",$H471=0),"N/A",IF($U471="Profit",$Q471/$H471,IF($U471="Disqualified",-$S471/$H471,0))))))</ns0:f>
      </ns0:c>
      <ns0:c r="U471" s="920">
        <ns0:f>IF(COUNTA($A471:$M471)=0,"",IF(OR(LEFT(LOWER(TRIM($F471&amp;"")),12)="subscription",LOWER(TRIM($F471&amp;""))="membership"),"Subscription",IF(LOWER(TRIM($D471&amp;""))="estimate","Estimate",IF(OR(AND($H471&lt;&gt;"",$H471=0),LEFT(LOWER(TRIM($F471&amp;"")),9)="free game",LOWER(TRIM($F471&amp;""))="free",LOWER(TRIM($F471&amp;""))="free entry"),IF(LOWER($L471&amp;"")="yes","Disqualified — Free Game","Free Game"),IF(LOWER($L471&amp;"")="yes","Disqualified",IF($P471="","",IF(ROUND(IFERROR(VALUE($P471),0)-IFERROR(VALUE($H471),0),2)&gt;0,"Profit","Draw")))))))</ns0:f>
      </ns0:c>
      <ns0:c r="V471" s="956" t="str">
        <ns0:f>IF(COUNTA($A471:$M471)=0,"",IF(OR($B471="",$C471="",$U471="Subscription"),"",IFERROR(ROUNDUP(($C471-$B471)/7,0),"")))</ns0:f>
      </ns0:c>
      <ns0:c r="W471" s="114">
        <ns0:f>IF(COUNTA($A471:$M471)=0,"",IF(OR($U471="Subscription",$U471=""),"",IF($U471="Estimate","N/A",IF(OR($U471="Free Game",$U471="Disqualified — Free Game"),0,ROUND(IFERROR($Q471,0)-IFERROR($S471,0),2)))))</ns0:f>
      </ns0:c>
      <ns0:c r="X471" s="956" t="str">
        <ns0:f>IF(COUNTA($A471:$M471)=0,"",IF(OR($U471="Subscription",NOT(ISNUMBER($J471)),NOT(ISNUMBER($I471)),$J471=0,$I471=0,$I471&gt;$J471),"",$J471-$I471))</ns0:f>
      </ns0:c>
      <ns0:c r="Y471" s="955" t="str">
        <ns0:f>IF(COUNTA($A471:$M471)=0,"",IF(OR($U471="Subscription",NOT(ISNUMBER($J471)),$J471=0,$X471=""),"",$X471/$J471))</ns0:f>
      </ns0:c>
      <ns0:c r="Z471" s="957" t="str">
        <ns0:f>IF(COUNTA($A471:$M471)=0,"",Instructions!$B$29+SUM($W$5:W471))</ns0:f>
      </ns0:c>
    </ns0:row>
    <ns0:row r="472" ht="36" customHeight="1">
      <ns0:c r="A472" s="439"/>
      <ns0:c r="B472" s="453"/>
      <ns0:c r="C472" s="453"/>
      <ns0:c r="D472" s="454"/>
      <ns0:c r="E472" s="454"/>
      <ns0:c r="F472" s="454"/>
      <ns0:c r="G472" s="986"/>
      <ns0:c r="H472" s="455"/>
      <ns0:c r="I472" s="456"/>
      <ns0:c r="J472" s="456"/>
      <ns0:c r="K472" s="986"/>
      <ns0:c r="L472" s="454"/>
      <ns0:c r="M472" s="439"/>
      <ns0:c r="N472" s="987" t="str">
        <ns0:f>IF(COUNTA($A472:$M472)=0,"",IF(OR(LEFT(LOWER(TRIM($F472&amp;"")),12)="subscription",LOWER(TRIM($F472&amp;""))="membership"),"",IF(OR(AND($H472&lt;&gt;"",$H472=0),LEFT(LOWER(TRIM($F472&amp;"")),9)="free game",LOWER(TRIM($F472&amp;""))="free",LOWER(TRIM($F472&amp;""))="free entry"),IF(ISNUMBER($G472),IF(ISNUMBER(SEARCH("non",LOWER($E472&amp;""))),$G472*0.85,$G472),"N/A"),IF($G472="","",IFERROR(IF(ISNUMBER(SEARCH("non",LOWER($E472&amp;""))),$G472*0.85,$G472),"")))))</ns0:f>
        <ns0:v/>
      </ns0:c>
      <ns0:c r="O472" s="987" t="str">
        <ns0:f>IF(COUNTA($A472:$M472)=0,"",IF(OR(LEFT(LOWER(TRIM($F472&amp;"")),12)="subscription",LOWER(TRIM($F472&amp;""))="membership"),"",IF(OR(AND($H472&lt;&gt;"",$H472=0),LEFT(LOWER(TRIM($F472&amp;"")),9)="free game",LOWER(TRIM($F472&amp;""))="free",LOWER(TRIM($F472&amp;""))="free entry"),IF(OR(NOT(ISNUMBER($N472)),NOT(ISNUMBER($I472)),$I472=0),"N/A",IFERROR($N472/$I472,"N/A")),IF(OR($N472="",$I472="",$I472=0),"",IFERROR($N472/$I472,"")))))</ns0:f>
        <ns0:v/>
      </ns0:c>
      <ns0:c r="P472" s="987">
        <ns0:f>IF(COUNTA($A472:$M472)=0,"",IF(OR(LEFT(LOWER(TRIM($F472&amp;"")),12)="subscription",LOWER(TRIM($F472&amp;""))="membership"),"",IF(LOWER(TRIM($D472&amp;""))="estimate","N/A",IF(LOWER($L472&amp;"")="yes",0,IF(OR(AND($H472&lt;&gt;"",$H472=0),LEFT(LOWER(TRIM($F472&amp;"")),9)="free game",LOWER(TRIM($F472&amp;""))="free",LOWER(TRIM($F472&amp;""))="free entry"),IF(ISNUMBER($K472),$K472,""),IF($K472&lt;&gt;"",$K472,""))))))</ns0:f>
      </ns0:c>
      <ns0:c r="Q472" s="114">
        <ns0:f>IF(COUNTA($A472:$M472)=0,"",IF(OR($U472="Subscription",$U472=""),"",IF($U472="Estimate","N/A",IF($U472="Profit",ROUND(IFERROR($P472,0)-IFERROR($H472,0),2),0))))</ns0:f>
      </ns0:c>
      <ns0:c r="R472" s="114">
        <ns0:f>IF(COUNTA($A472:$M472)=0,"",IF(OR($U472="Subscription",$U472=""),"",IF($U472="Estimate","N/A",IF($U472="Draw",$H472,0))))</ns0:f>
      </ns0:c>
      <ns0:c r="S472" s="114">
        <ns0:f>IF(COUNTA($A472:$M472)=0,"",IF(OR($U472="Subscription",$U472=""),"",IF($U472="Estimate","N/A",IF($U472="Disqualified",$H472,0))))</ns0:f>
      </ns0:c>
      <ns0:c r="T472" s="955">
        <ns0:f>IF(COUNTA($A472:$M472)=0,"",IF(OR($U472="Subscription",$U472=""),"",IF($U472="Estimate","N/A",IF(OR($U472="Free Game",$U472="Disqualified — Free Game",$H472=0),"N/A",IF($U472="Profit",$Q472/$H472,IF($U472="Disqualified",-$S472/$H472,0))))))</ns0:f>
      </ns0:c>
      <ns0:c r="U472" s="920">
        <ns0:f>IF(COUNTA($A472:$M472)=0,"",IF(OR(LEFT(LOWER(TRIM($F472&amp;"")),12)="subscription",LOWER(TRIM($F472&amp;""))="membership"),"Subscription",IF(LOWER(TRIM($D472&amp;""))="estimate","Estimate",IF(OR(AND($H472&lt;&gt;"",$H472=0),LEFT(LOWER(TRIM($F472&amp;"")),9)="free game",LOWER(TRIM($F472&amp;""))="free",LOWER(TRIM($F472&amp;""))="free entry"),IF(LOWER($L472&amp;"")="yes","Disqualified — Free Game","Free Game"),IF(LOWER($L472&amp;"")="yes","Disqualified",IF($P472="","",IF(ROUND(IFERROR(VALUE($P472),0)-IFERROR(VALUE($H472),0),2)&gt;0,"Profit","Draw")))))))</ns0:f>
      </ns0:c>
      <ns0:c r="V472" s="956" t="str">
        <ns0:f>IF(COUNTA($A472:$M472)=0,"",IF(OR($B472="",$C472="",$U472="Subscription"),"",IFERROR(ROUNDUP(($C472-$B472)/7,0),"")))</ns0:f>
      </ns0:c>
      <ns0:c r="W472" s="114">
        <ns0:f>IF(COUNTA($A472:$M472)=0,"",IF(OR($U472="Subscription",$U472=""),"",IF($U472="Estimate","N/A",IF(OR($U472="Free Game",$U472="Disqualified — Free Game"),0,ROUND(IFERROR($Q472,0)-IFERROR($S472,0),2)))))</ns0:f>
      </ns0:c>
      <ns0:c r="X472" s="956" t="str">
        <ns0:f>IF(COUNTA($A472:$M472)=0,"",IF(OR($U472="Subscription",NOT(ISNUMBER($J472)),NOT(ISNUMBER($I472)),$J472=0,$I472=0,$I472&gt;$J472),"",$J472-$I472))</ns0:f>
      </ns0:c>
      <ns0:c r="Y472" s="955" t="str">
        <ns0:f>IF(COUNTA($A472:$M472)=0,"",IF(OR($U472="Subscription",NOT(ISNUMBER($J472)),$J472=0,$X472=""),"",$X472/$J472))</ns0:f>
      </ns0:c>
      <ns0:c r="Z472" s="957" t="str">
        <ns0:f>IF(COUNTA($A472:$M472)=0,"",Instructions!$B$29+SUM($W$5:W472))</ns0:f>
      </ns0:c>
    </ns0:row>
    <ns0:row r="473" ht="36" customHeight="1">
      <ns0:c r="A473" s="439"/>
      <ns0:c r="B473" s="453"/>
      <ns0:c r="C473" s="453"/>
      <ns0:c r="D473" s="454"/>
      <ns0:c r="E473" s="454"/>
      <ns0:c r="F473" s="454"/>
      <ns0:c r="G473" s="986"/>
      <ns0:c r="H473" s="455"/>
      <ns0:c r="I473" s="456"/>
      <ns0:c r="J473" s="456"/>
      <ns0:c r="K473" s="986"/>
      <ns0:c r="L473" s="454"/>
      <ns0:c r="M473" s="439"/>
      <ns0:c r="N473" s="987" t="str">
        <ns0:f>IF(COUNTA($A473:$M473)=0,"",IF(OR(LEFT(LOWER(TRIM($F473&amp;"")),12)="subscription",LOWER(TRIM($F473&amp;""))="membership"),"",IF(OR(AND($H473&lt;&gt;"",$H473=0),LEFT(LOWER(TRIM($F473&amp;"")),9)="free game",LOWER(TRIM($F473&amp;""))="free",LOWER(TRIM($F473&amp;""))="free entry"),IF(ISNUMBER($G473),IF(ISNUMBER(SEARCH("non",LOWER($E473&amp;""))),$G473*0.85,$G473),"N/A"),IF($G473="","",IFERROR(IF(ISNUMBER(SEARCH("non",LOWER($E473&amp;""))),$G473*0.85,$G473),"")))))</ns0:f>
        <ns0:v/>
      </ns0:c>
      <ns0:c r="O473" s="987" t="str">
        <ns0:f>IF(COUNTA($A473:$M473)=0,"",IF(OR(LEFT(LOWER(TRIM($F473&amp;"")),12)="subscription",LOWER(TRIM($F473&amp;""))="membership"),"",IF(OR(AND($H473&lt;&gt;"",$H473=0),LEFT(LOWER(TRIM($F473&amp;"")),9)="free game",LOWER(TRIM($F473&amp;""))="free",LOWER(TRIM($F473&amp;""))="free entry"),IF(OR(NOT(ISNUMBER($N473)),NOT(ISNUMBER($I473)),$I473=0),"N/A",IFERROR($N473/$I473,"N/A")),IF(OR($N473="",$I473="",$I473=0),"",IFERROR($N473/$I473,"")))))</ns0:f>
        <ns0:v/>
      </ns0:c>
      <ns0:c r="P473" s="987">
        <ns0:f>IF(COUNTA($A473:$M473)=0,"",IF(OR(LEFT(LOWER(TRIM($F473&amp;"")),12)="subscription",LOWER(TRIM($F473&amp;""))="membership"),"",IF(LOWER(TRIM($D473&amp;""))="estimate","N/A",IF(LOWER($L473&amp;"")="yes",0,IF(OR(AND($H473&lt;&gt;"",$H473=0),LEFT(LOWER(TRIM($F473&amp;"")),9)="free game",LOWER(TRIM($F473&amp;""))="free",LOWER(TRIM($F473&amp;""))="free entry"),IF(ISNUMBER($K473),$K473,""),IF($K473&lt;&gt;"",$K473,""))))))</ns0:f>
      </ns0:c>
      <ns0:c r="Q473" s="114">
        <ns0:f>IF(COUNTA($A473:$M473)=0,"",IF(OR($U473="Subscription",$U473=""),"",IF($U473="Estimate","N/A",IF($U473="Profit",ROUND(IFERROR($P473,0)-IFERROR($H473,0),2),0))))</ns0:f>
      </ns0:c>
      <ns0:c r="R473" s="114">
        <ns0:f>IF(COUNTA($A473:$M473)=0,"",IF(OR($U473="Subscription",$U473=""),"",IF($U473="Estimate","N/A",IF($U473="Draw",$H473,0))))</ns0:f>
      </ns0:c>
      <ns0:c r="S473" s="114">
        <ns0:f>IF(COUNTA($A473:$M473)=0,"",IF(OR($U473="Subscription",$U473=""),"",IF($U473="Estimate","N/A",IF($U473="Disqualified",$H473,0))))</ns0:f>
      </ns0:c>
      <ns0:c r="T473" s="955">
        <ns0:f>IF(COUNTA($A473:$M473)=0,"",IF(OR($U473="Subscription",$U473=""),"",IF($U473="Estimate","N/A",IF(OR($U473="Free Game",$U473="Disqualified — Free Game",$H473=0),"N/A",IF($U473="Profit",$Q473/$H473,IF($U473="Disqualified",-$S473/$H473,0))))))</ns0:f>
      </ns0:c>
      <ns0:c r="U473" s="920">
        <ns0:f>IF(COUNTA($A473:$M473)=0,"",IF(OR(LEFT(LOWER(TRIM($F473&amp;"")),12)="subscription",LOWER(TRIM($F473&amp;""))="membership"),"Subscription",IF(LOWER(TRIM($D473&amp;""))="estimate","Estimate",IF(OR(AND($H473&lt;&gt;"",$H473=0),LEFT(LOWER(TRIM($F473&amp;"")),9)="free game",LOWER(TRIM($F473&amp;""))="free",LOWER(TRIM($F473&amp;""))="free entry"),IF(LOWER($L473&amp;"")="yes","Disqualified — Free Game","Free Game"),IF(LOWER($L473&amp;"")="yes","Disqualified",IF($P473="","",IF(ROUND(IFERROR(VALUE($P473),0)-IFERROR(VALUE($H473),0),2)&gt;0,"Profit","Draw")))))))</ns0:f>
      </ns0:c>
      <ns0:c r="V473" s="956" t="str">
        <ns0:f>IF(COUNTA($A473:$M473)=0,"",IF(OR($B473="",$C473="",$U473="Subscription"),"",IFERROR(ROUNDUP(($C473-$B473)/7,0),"")))</ns0:f>
      </ns0:c>
      <ns0:c r="W473" s="114">
        <ns0:f>IF(COUNTA($A473:$M473)=0,"",IF(OR($U473="Subscription",$U473=""),"",IF($U473="Estimate","N/A",IF(OR($U473="Free Game",$U473="Disqualified — Free Game"),0,ROUND(IFERROR($Q473,0)-IFERROR($S473,0),2)))))</ns0:f>
      </ns0:c>
      <ns0:c r="X473" s="956" t="str">
        <ns0:f>IF(COUNTA($A473:$M473)=0,"",IF(OR($U473="Subscription",NOT(ISNUMBER($J473)),NOT(ISNUMBER($I473)),$J473=0,$I473=0,$I473&gt;$J473),"",$J473-$I473))</ns0:f>
      </ns0:c>
      <ns0:c r="Y473" s="955" t="str">
        <ns0:f>IF(COUNTA($A473:$M473)=0,"",IF(OR($U473="Subscription",NOT(ISNUMBER($J473)),$J473=0,$X473=""),"",$X473/$J473))</ns0:f>
      </ns0:c>
      <ns0:c r="Z473" s="957" t="str">
        <ns0:f>IF(COUNTA($A473:$M473)=0,"",Instructions!$B$29+SUM($W$5:W473))</ns0:f>
      </ns0:c>
    </ns0:row>
    <ns0:row r="474" ht="36" customHeight="1">
      <ns0:c r="A474" s="439"/>
      <ns0:c r="B474" s="453"/>
      <ns0:c r="C474" s="453"/>
      <ns0:c r="D474" s="454"/>
      <ns0:c r="E474" s="454"/>
      <ns0:c r="F474" s="454"/>
      <ns0:c r="G474" s="986"/>
      <ns0:c r="H474" s="455"/>
      <ns0:c r="I474" s="456"/>
      <ns0:c r="J474" s="456"/>
      <ns0:c r="K474" s="986"/>
      <ns0:c r="L474" s="454"/>
      <ns0:c r="M474" s="439"/>
      <ns0:c r="N474" s="987" t="str">
        <ns0:f>IF(COUNTA($A474:$M474)=0,"",IF(OR(LEFT(LOWER(TRIM($F474&amp;"")),12)="subscription",LOWER(TRIM($F474&amp;""))="membership"),"",IF(OR(AND($H474&lt;&gt;"",$H474=0),LEFT(LOWER(TRIM($F474&amp;"")),9)="free game",LOWER(TRIM($F474&amp;""))="free",LOWER(TRIM($F474&amp;""))="free entry"),IF(ISNUMBER($G474),IF(ISNUMBER(SEARCH("non",LOWER($E474&amp;""))),$G474*0.85,$G474),"N/A"),IF($G474="","",IFERROR(IF(ISNUMBER(SEARCH("non",LOWER($E474&amp;""))),$G474*0.85,$G474),"")))))</ns0:f>
        <ns0:v/>
      </ns0:c>
      <ns0:c r="O474" s="987" t="str">
        <ns0:f>IF(COUNTA($A474:$M474)=0,"",IF(OR(LEFT(LOWER(TRIM($F474&amp;"")),12)="subscription",LOWER(TRIM($F474&amp;""))="membership"),"",IF(OR(AND($H474&lt;&gt;"",$H474=0),LEFT(LOWER(TRIM($F474&amp;"")),9)="free game",LOWER(TRIM($F474&amp;""))="free",LOWER(TRIM($F474&amp;""))="free entry"),IF(OR(NOT(ISNUMBER($N474)),NOT(ISNUMBER($I474)),$I474=0),"N/A",IFERROR($N474/$I474,"N/A")),IF(OR($N474="",$I474="",$I474=0),"",IFERROR($N474/$I474,"")))))</ns0:f>
        <ns0:v/>
      </ns0:c>
      <ns0:c r="P474" s="987">
        <ns0:f>IF(COUNTA($A474:$M474)=0,"",IF(OR(LEFT(LOWER(TRIM($F474&amp;"")),12)="subscription",LOWER(TRIM($F474&amp;""))="membership"),"",IF(LOWER(TRIM($D474&amp;""))="estimate","N/A",IF(LOWER($L474&amp;"")="yes",0,IF(OR(AND($H474&lt;&gt;"",$H474=0),LEFT(LOWER(TRIM($F474&amp;"")),9)="free game",LOWER(TRIM($F474&amp;""))="free",LOWER(TRIM($F474&amp;""))="free entry"),IF(ISNUMBER($K474),$K474,""),IF($K474&lt;&gt;"",$K474,""))))))</ns0:f>
      </ns0:c>
      <ns0:c r="Q474" s="114">
        <ns0:f>IF(COUNTA($A474:$M474)=0,"",IF(OR($U474="Subscription",$U474=""),"",IF($U474="Estimate","N/A",IF($U474="Profit",ROUND(IFERROR($P474,0)-IFERROR($H474,0),2),0))))</ns0:f>
      </ns0:c>
      <ns0:c r="R474" s="114">
        <ns0:f>IF(COUNTA($A474:$M474)=0,"",IF(OR($U474="Subscription",$U474=""),"",IF($U474="Estimate","N/A",IF($U474="Draw",$H474,0))))</ns0:f>
      </ns0:c>
      <ns0:c r="S474" s="114">
        <ns0:f>IF(COUNTA($A474:$M474)=0,"",IF(OR($U474="Subscription",$U474=""),"",IF($U474="Estimate","N/A",IF($U474="Disqualified",$H474,0))))</ns0:f>
      </ns0:c>
      <ns0:c r="T474" s="955">
        <ns0:f>IF(COUNTA($A474:$M474)=0,"",IF(OR($U474="Subscription",$U474=""),"",IF($U474="Estimate","N/A",IF(OR($U474="Free Game",$U474="Disqualified — Free Game",$H474=0),"N/A",IF($U474="Profit",$Q474/$H474,IF($U474="Disqualified",-$S474/$H474,0))))))</ns0:f>
      </ns0:c>
      <ns0:c r="U474" s="920">
        <ns0:f>IF(COUNTA($A474:$M474)=0,"",IF(OR(LEFT(LOWER(TRIM($F474&amp;"")),12)="subscription",LOWER(TRIM($F474&amp;""))="membership"),"Subscription",IF(LOWER(TRIM($D474&amp;""))="estimate","Estimate",IF(OR(AND($H474&lt;&gt;"",$H474=0),LEFT(LOWER(TRIM($F474&amp;"")),9)="free game",LOWER(TRIM($F474&amp;""))="free",LOWER(TRIM($F474&amp;""))="free entry"),IF(LOWER($L474&amp;"")="yes","Disqualified — Free Game","Free Game"),IF(LOWER($L474&amp;"")="yes","Disqualified",IF($P474="","",IF(ROUND(IFERROR(VALUE($P474),0)-IFERROR(VALUE($H474),0),2)&gt;0,"Profit","Draw")))))))</ns0:f>
      </ns0:c>
      <ns0:c r="V474" s="956" t="str">
        <ns0:f>IF(COUNTA($A474:$M474)=0,"",IF(OR($B474="",$C474="",$U474="Subscription"),"",IFERROR(ROUNDUP(($C474-$B474)/7,0),"")))</ns0:f>
      </ns0:c>
      <ns0:c r="W474" s="114">
        <ns0:f>IF(COUNTA($A474:$M474)=0,"",IF(OR($U474="Subscription",$U474=""),"",IF($U474="Estimate","N/A",IF(OR($U474="Free Game",$U474="Disqualified — Free Game"),0,ROUND(IFERROR($Q474,0)-IFERROR($S474,0),2)))))</ns0:f>
      </ns0:c>
      <ns0:c r="X474" s="956" t="str">
        <ns0:f>IF(COUNTA($A474:$M474)=0,"",IF(OR($U474="Subscription",NOT(ISNUMBER($J474)),NOT(ISNUMBER($I474)),$J474=0,$I474=0,$I474&gt;$J474),"",$J474-$I474))</ns0:f>
      </ns0:c>
      <ns0:c r="Y474" s="955" t="str">
        <ns0:f>IF(COUNTA($A474:$M474)=0,"",IF(OR($U474="Subscription",NOT(ISNUMBER($J474)),$J474=0,$X474=""),"",$X474/$J474))</ns0:f>
      </ns0:c>
      <ns0:c r="Z474" s="957" t="str">
        <ns0:f>IF(COUNTA($A474:$M474)=0,"",Instructions!$B$29+SUM($W$5:W474))</ns0:f>
      </ns0:c>
    </ns0:row>
    <ns0:row r="475" ht="36" customHeight="1">
      <ns0:c r="A475" s="439"/>
      <ns0:c r="B475" s="453"/>
      <ns0:c r="C475" s="453"/>
      <ns0:c r="D475" s="454"/>
      <ns0:c r="E475" s="454"/>
      <ns0:c r="F475" s="454"/>
      <ns0:c r="G475" s="986"/>
      <ns0:c r="H475" s="455"/>
      <ns0:c r="I475" s="456"/>
      <ns0:c r="J475" s="456"/>
      <ns0:c r="K475" s="986"/>
      <ns0:c r="L475" s="454"/>
      <ns0:c r="M475" s="439"/>
      <ns0:c r="N475" s="987" t="str">
        <ns0:f>IF(COUNTA($A475:$M475)=0,"",IF(OR(LEFT(LOWER(TRIM($F475&amp;"")),12)="subscription",LOWER(TRIM($F475&amp;""))="membership"),"",IF(OR(AND($H475&lt;&gt;"",$H475=0),LEFT(LOWER(TRIM($F475&amp;"")),9)="free game",LOWER(TRIM($F475&amp;""))="free",LOWER(TRIM($F475&amp;""))="free entry"),IF(ISNUMBER($G475),IF(ISNUMBER(SEARCH("non",LOWER($E475&amp;""))),$G475*0.85,$G475),"N/A"),IF($G475="","",IFERROR(IF(ISNUMBER(SEARCH("non",LOWER($E475&amp;""))),$G475*0.85,$G475),"")))))</ns0:f>
        <ns0:v/>
      </ns0:c>
      <ns0:c r="O475" s="987" t="str">
        <ns0:f>IF(COUNTA($A475:$M475)=0,"",IF(OR(LEFT(LOWER(TRIM($F475&amp;"")),12)="subscription",LOWER(TRIM($F475&amp;""))="membership"),"",IF(OR(AND($H475&lt;&gt;"",$H475=0),LEFT(LOWER(TRIM($F475&amp;"")),9)="free game",LOWER(TRIM($F475&amp;""))="free",LOWER(TRIM($F475&amp;""))="free entry"),IF(OR(NOT(ISNUMBER($N475)),NOT(ISNUMBER($I475)),$I475=0),"N/A",IFERROR($N475/$I475,"N/A")),IF(OR($N475="",$I475="",$I475=0),"",IFERROR($N475/$I475,"")))))</ns0:f>
        <ns0:v/>
      </ns0:c>
      <ns0:c r="P475" s="987">
        <ns0:f>IF(COUNTA($A475:$M475)=0,"",IF(OR(LEFT(LOWER(TRIM($F475&amp;"")),12)="subscription",LOWER(TRIM($F475&amp;""))="membership"),"",IF(LOWER(TRIM($D475&amp;""))="estimate","N/A",IF(LOWER($L475&amp;"")="yes",0,IF(OR(AND($H475&lt;&gt;"",$H475=0),LEFT(LOWER(TRIM($F475&amp;"")),9)="free game",LOWER(TRIM($F475&amp;""))="free",LOWER(TRIM($F475&amp;""))="free entry"),IF(ISNUMBER($K475),$K475,""),IF($K475&lt;&gt;"",$K475,""))))))</ns0:f>
      </ns0:c>
      <ns0:c r="Q475" s="114">
        <ns0:f>IF(COUNTA($A475:$M475)=0,"",IF(OR($U475="Subscription",$U475=""),"",IF($U475="Estimate","N/A",IF($U475="Profit",ROUND(IFERROR($P475,0)-IFERROR($H475,0),2),0))))</ns0:f>
      </ns0:c>
      <ns0:c r="R475" s="114">
        <ns0:f>IF(COUNTA($A475:$M475)=0,"",IF(OR($U475="Subscription",$U475=""),"",IF($U475="Estimate","N/A",IF($U475="Draw",$H475,0))))</ns0:f>
      </ns0:c>
      <ns0:c r="S475" s="114">
        <ns0:f>IF(COUNTA($A475:$M475)=0,"",IF(OR($U475="Subscription",$U475=""),"",IF($U475="Estimate","N/A",IF($U475="Disqualified",$H475,0))))</ns0:f>
      </ns0:c>
      <ns0:c r="T475" s="955">
        <ns0:f>IF(COUNTA($A475:$M475)=0,"",IF(OR($U475="Subscription",$U475=""),"",IF($U475="Estimate","N/A",IF(OR($U475="Free Game",$U475="Disqualified — Free Game",$H475=0),"N/A",IF($U475="Profit",$Q475/$H475,IF($U475="Disqualified",-$S475/$H475,0))))))</ns0:f>
      </ns0:c>
      <ns0:c r="U475" s="920">
        <ns0:f>IF(COUNTA($A475:$M475)=0,"",IF(OR(LEFT(LOWER(TRIM($F475&amp;"")),12)="subscription",LOWER(TRIM($F475&amp;""))="membership"),"Subscription",IF(LOWER(TRIM($D475&amp;""))="estimate","Estimate",IF(OR(AND($H475&lt;&gt;"",$H475=0),LEFT(LOWER(TRIM($F475&amp;"")),9)="free game",LOWER(TRIM($F475&amp;""))="free",LOWER(TRIM($F475&amp;""))="free entry"),IF(LOWER($L475&amp;"")="yes","Disqualified — Free Game","Free Game"),IF(LOWER($L475&amp;"")="yes","Disqualified",IF($P475="","",IF(ROUND(IFERROR(VALUE($P475),0)-IFERROR(VALUE($H475),0),2)&gt;0,"Profit","Draw")))))))</ns0:f>
      </ns0:c>
      <ns0:c r="V475" s="956" t="str">
        <ns0:f>IF(COUNTA($A475:$M475)=0,"",IF(OR($B475="",$C475="",$U475="Subscription"),"",IFERROR(ROUNDUP(($C475-$B475)/7,0),"")))</ns0:f>
      </ns0:c>
      <ns0:c r="W475" s="114">
        <ns0:f>IF(COUNTA($A475:$M475)=0,"",IF(OR($U475="Subscription",$U475=""),"",IF($U475="Estimate","N/A",IF(OR($U475="Free Game",$U475="Disqualified — Free Game"),0,ROUND(IFERROR($Q475,0)-IFERROR($S475,0),2)))))</ns0:f>
      </ns0:c>
      <ns0:c r="X475" s="956" t="str">
        <ns0:f>IF(COUNTA($A475:$M475)=0,"",IF(OR($U475="Subscription",NOT(ISNUMBER($J475)),NOT(ISNUMBER($I475)),$J475=0,$I475=0,$I475&gt;$J475),"",$J475-$I475))</ns0:f>
      </ns0:c>
      <ns0:c r="Y475" s="955" t="str">
        <ns0:f>IF(COUNTA($A475:$M475)=0,"",IF(OR($U475="Subscription",NOT(ISNUMBER($J475)),$J475=0,$X475=""),"",$X475/$J475))</ns0:f>
      </ns0:c>
      <ns0:c r="Z475" s="957" t="str">
        <ns0:f>IF(COUNTA($A475:$M475)=0,"",Instructions!$B$29+SUM($W$5:W475))</ns0:f>
      </ns0:c>
    </ns0:row>
    <ns0:row r="476" ht="36" customHeight="1">
      <ns0:c r="A476" s="439"/>
      <ns0:c r="B476" s="453"/>
      <ns0:c r="C476" s="453"/>
      <ns0:c r="D476" s="454"/>
      <ns0:c r="E476" s="454"/>
      <ns0:c r="F476" s="454"/>
      <ns0:c r="G476" s="986"/>
      <ns0:c r="H476" s="455"/>
      <ns0:c r="I476" s="456"/>
      <ns0:c r="J476" s="456"/>
      <ns0:c r="K476" s="986"/>
      <ns0:c r="L476" s="454"/>
      <ns0:c r="M476" s="439"/>
      <ns0:c r="N476" s="987" t="str">
        <ns0:f>IF(COUNTA($A476:$M476)=0,"",IF(OR(LEFT(LOWER(TRIM($F476&amp;"")),12)="subscription",LOWER(TRIM($F476&amp;""))="membership"),"",IF(OR(AND($H476&lt;&gt;"",$H476=0),LEFT(LOWER(TRIM($F476&amp;"")),9)="free game",LOWER(TRIM($F476&amp;""))="free",LOWER(TRIM($F476&amp;""))="free entry"),IF(ISNUMBER($G476),IF(ISNUMBER(SEARCH("non",LOWER($E476&amp;""))),$G476*0.85,$G476),"N/A"),IF($G476="","",IFERROR(IF(ISNUMBER(SEARCH("non",LOWER($E476&amp;""))),$G476*0.85,$G476),"")))))</ns0:f>
        <ns0:v/>
      </ns0:c>
      <ns0:c r="O476" s="987" t="str">
        <ns0:f>IF(COUNTA($A476:$M476)=0,"",IF(OR(LEFT(LOWER(TRIM($F476&amp;"")),12)="subscription",LOWER(TRIM($F476&amp;""))="membership"),"",IF(OR(AND($H476&lt;&gt;"",$H476=0),LEFT(LOWER(TRIM($F476&amp;"")),9)="free game",LOWER(TRIM($F476&amp;""))="free",LOWER(TRIM($F476&amp;""))="free entry"),IF(OR(NOT(ISNUMBER($N476)),NOT(ISNUMBER($I476)),$I476=0),"N/A",IFERROR($N476/$I476,"N/A")),IF(OR($N476="",$I476="",$I476=0),"",IFERROR($N476/$I476,"")))))</ns0:f>
        <ns0:v/>
      </ns0:c>
      <ns0:c r="P476" s="987">
        <ns0:f>IF(COUNTA($A476:$M476)=0,"",IF(OR(LEFT(LOWER(TRIM($F476&amp;"")),12)="subscription",LOWER(TRIM($F476&amp;""))="membership"),"",IF(LOWER(TRIM($D476&amp;""))="estimate","N/A",IF(LOWER($L476&amp;"")="yes",0,IF(OR(AND($H476&lt;&gt;"",$H476=0),LEFT(LOWER(TRIM($F476&amp;"")),9)="free game",LOWER(TRIM($F476&amp;""))="free",LOWER(TRIM($F476&amp;""))="free entry"),IF(ISNUMBER($K476),$K476,""),IF($K476&lt;&gt;"",$K476,""))))))</ns0:f>
      </ns0:c>
      <ns0:c r="Q476" s="114">
        <ns0:f>IF(COUNTA($A476:$M476)=0,"",IF(OR($U476="Subscription",$U476=""),"",IF($U476="Estimate","N/A",IF($U476="Profit",ROUND(IFERROR($P476,0)-IFERROR($H476,0),2),0))))</ns0:f>
      </ns0:c>
      <ns0:c r="R476" s="114">
        <ns0:f>IF(COUNTA($A476:$M476)=0,"",IF(OR($U476="Subscription",$U476=""),"",IF($U476="Estimate","N/A",IF($U476="Draw",$H476,0))))</ns0:f>
      </ns0:c>
      <ns0:c r="S476" s="114">
        <ns0:f>IF(COUNTA($A476:$M476)=0,"",IF(OR($U476="Subscription",$U476=""),"",IF($U476="Estimate","N/A",IF($U476="Disqualified",$H476,0))))</ns0:f>
      </ns0:c>
      <ns0:c r="T476" s="955">
        <ns0:f>IF(COUNTA($A476:$M476)=0,"",IF(OR($U476="Subscription",$U476=""),"",IF($U476="Estimate","N/A",IF(OR($U476="Free Game",$U476="Disqualified — Free Game",$H476=0),"N/A",IF($U476="Profit",$Q476/$H476,IF($U476="Disqualified",-$S476/$H476,0))))))</ns0:f>
      </ns0:c>
      <ns0:c r="U476" s="920">
        <ns0:f>IF(COUNTA($A476:$M476)=0,"",IF(OR(LEFT(LOWER(TRIM($F476&amp;"")),12)="subscription",LOWER(TRIM($F476&amp;""))="membership"),"Subscription",IF(LOWER(TRIM($D476&amp;""))="estimate","Estimate",IF(OR(AND($H476&lt;&gt;"",$H476=0),LEFT(LOWER(TRIM($F476&amp;"")),9)="free game",LOWER(TRIM($F476&amp;""))="free",LOWER(TRIM($F476&amp;""))="free entry"),IF(LOWER($L476&amp;"")="yes","Disqualified — Free Game","Free Game"),IF(LOWER($L476&amp;"")="yes","Disqualified",IF($P476="","",IF(ROUND(IFERROR(VALUE($P476),0)-IFERROR(VALUE($H476),0),2)&gt;0,"Profit","Draw")))))))</ns0:f>
      </ns0:c>
      <ns0:c r="V476" s="956" t="str">
        <ns0:f>IF(COUNTA($A476:$M476)=0,"",IF(OR($B476="",$C476="",$U476="Subscription"),"",IFERROR(ROUNDUP(($C476-$B476)/7,0),"")))</ns0:f>
      </ns0:c>
      <ns0:c r="W476" s="114">
        <ns0:f>IF(COUNTA($A476:$M476)=0,"",IF(OR($U476="Subscription",$U476=""),"",IF($U476="Estimate","N/A",IF(OR($U476="Free Game",$U476="Disqualified — Free Game"),0,ROUND(IFERROR($Q476,0)-IFERROR($S476,0),2)))))</ns0:f>
      </ns0:c>
      <ns0:c r="X476" s="956" t="str">
        <ns0:f>IF(COUNTA($A476:$M476)=0,"",IF(OR($U476="Subscription",NOT(ISNUMBER($J476)),NOT(ISNUMBER($I476)),$J476=0,$I476=0,$I476&gt;$J476),"",$J476-$I476))</ns0:f>
      </ns0:c>
      <ns0:c r="Y476" s="955" t="str">
        <ns0:f>IF(COUNTA($A476:$M476)=0,"",IF(OR($U476="Subscription",NOT(ISNUMBER($J476)),$J476=0,$X476=""),"",$X476/$J476))</ns0:f>
      </ns0:c>
      <ns0:c r="Z476" s="957" t="str">
        <ns0:f>IF(COUNTA($A476:$M476)=0,"",Instructions!$B$29+SUM($W$5:W476))</ns0:f>
      </ns0:c>
    </ns0:row>
    <ns0:row r="477" ht="36" customHeight="1">
      <ns0:c r="A477" s="439"/>
      <ns0:c r="B477" s="453"/>
      <ns0:c r="C477" s="453"/>
      <ns0:c r="D477" s="454"/>
      <ns0:c r="E477" s="454"/>
      <ns0:c r="F477" s="454"/>
      <ns0:c r="G477" s="986"/>
      <ns0:c r="H477" s="455"/>
      <ns0:c r="I477" s="456"/>
      <ns0:c r="J477" s="456"/>
      <ns0:c r="K477" s="986"/>
      <ns0:c r="L477" s="454"/>
      <ns0:c r="M477" s="439"/>
      <ns0:c r="N477" s="987" t="str">
        <ns0:f>IF(COUNTA($A477:$M477)=0,"",IF(OR(LEFT(LOWER(TRIM($F477&amp;"")),12)="subscription",LOWER(TRIM($F477&amp;""))="membership"),"",IF(OR(AND($H477&lt;&gt;"",$H477=0),LEFT(LOWER(TRIM($F477&amp;"")),9)="free game",LOWER(TRIM($F477&amp;""))="free",LOWER(TRIM($F477&amp;""))="free entry"),IF(ISNUMBER($G477),IF(ISNUMBER(SEARCH("non",LOWER($E477&amp;""))),$G477*0.85,$G477),"N/A"),IF($G477="","",IFERROR(IF(ISNUMBER(SEARCH("non",LOWER($E477&amp;""))),$G477*0.85,$G477),"")))))</ns0:f>
        <ns0:v/>
      </ns0:c>
      <ns0:c r="O477" s="987" t="str">
        <ns0:f>IF(COUNTA($A477:$M477)=0,"",IF(OR(LEFT(LOWER(TRIM($F477&amp;"")),12)="subscription",LOWER(TRIM($F477&amp;""))="membership"),"",IF(OR(AND($H477&lt;&gt;"",$H477=0),LEFT(LOWER(TRIM($F477&amp;"")),9)="free game",LOWER(TRIM($F477&amp;""))="free",LOWER(TRIM($F477&amp;""))="free entry"),IF(OR(NOT(ISNUMBER($N477)),NOT(ISNUMBER($I477)),$I477=0),"N/A",IFERROR($N477/$I477,"N/A")),IF(OR($N477="",$I477="",$I477=0),"",IFERROR($N477/$I477,"")))))</ns0:f>
        <ns0:v/>
      </ns0:c>
      <ns0:c r="P477" s="987">
        <ns0:f>IF(COUNTA($A477:$M477)=0,"",IF(OR(LEFT(LOWER(TRIM($F477&amp;"")),12)="subscription",LOWER(TRIM($F477&amp;""))="membership"),"",IF(LOWER(TRIM($D477&amp;""))="estimate","N/A",IF(LOWER($L477&amp;"")="yes",0,IF(OR(AND($H477&lt;&gt;"",$H477=0),LEFT(LOWER(TRIM($F477&amp;"")),9)="free game",LOWER(TRIM($F477&amp;""))="free",LOWER(TRIM($F477&amp;""))="free entry"),IF(ISNUMBER($K477),$K477,""),IF($K477&lt;&gt;"",$K477,""))))))</ns0:f>
      </ns0:c>
      <ns0:c r="Q477" s="114">
        <ns0:f>IF(COUNTA($A477:$M477)=0,"",IF(OR($U477="Subscription",$U477=""),"",IF($U477="Estimate","N/A",IF($U477="Profit",ROUND(IFERROR($P477,0)-IFERROR($H477,0),2),0))))</ns0:f>
      </ns0:c>
      <ns0:c r="R477" s="114">
        <ns0:f>IF(COUNTA($A477:$M477)=0,"",IF(OR($U477="Subscription",$U477=""),"",IF($U477="Estimate","N/A",IF($U477="Draw",$H477,0))))</ns0:f>
      </ns0:c>
      <ns0:c r="S477" s="114">
        <ns0:f>IF(COUNTA($A477:$M477)=0,"",IF(OR($U477="Subscription",$U477=""),"",IF($U477="Estimate","N/A",IF($U477="Disqualified",$H477,0))))</ns0:f>
      </ns0:c>
      <ns0:c r="T477" s="955">
        <ns0:f>IF(COUNTA($A477:$M477)=0,"",IF(OR($U477="Subscription",$U477=""),"",IF($U477="Estimate","N/A",IF(OR($U477="Free Game",$U477="Disqualified — Free Game",$H477=0),"N/A",IF($U477="Profit",$Q477/$H477,IF($U477="Disqualified",-$S477/$H477,0))))))</ns0:f>
      </ns0:c>
      <ns0:c r="U477" s="920">
        <ns0:f>IF(COUNTA($A477:$M477)=0,"",IF(OR(LEFT(LOWER(TRIM($F477&amp;"")),12)="subscription",LOWER(TRIM($F477&amp;""))="membership"),"Subscription",IF(LOWER(TRIM($D477&amp;""))="estimate","Estimate",IF(OR(AND($H477&lt;&gt;"",$H477=0),LEFT(LOWER(TRIM($F477&amp;"")),9)="free game",LOWER(TRIM($F477&amp;""))="free",LOWER(TRIM($F477&amp;""))="free entry"),IF(LOWER($L477&amp;"")="yes","Disqualified — Free Game","Free Game"),IF(LOWER($L477&amp;"")="yes","Disqualified",IF($P477="","",IF(ROUND(IFERROR(VALUE($P477),0)-IFERROR(VALUE($H477),0),2)&gt;0,"Profit","Draw")))))))</ns0:f>
      </ns0:c>
      <ns0:c r="V477" s="956" t="str">
        <ns0:f>IF(COUNTA($A477:$M477)=0,"",IF(OR($B477="",$C477="",$U477="Subscription"),"",IFERROR(ROUNDUP(($C477-$B477)/7,0),"")))</ns0:f>
      </ns0:c>
      <ns0:c r="W477" s="114">
        <ns0:f>IF(COUNTA($A477:$M477)=0,"",IF(OR($U477="Subscription",$U477=""),"",IF($U477="Estimate","N/A",IF(OR($U477="Free Game",$U477="Disqualified — Free Game"),0,ROUND(IFERROR($Q477,0)-IFERROR($S477,0),2)))))</ns0:f>
      </ns0:c>
      <ns0:c r="X477" s="956" t="str">
        <ns0:f>IF(COUNTA($A477:$M477)=0,"",IF(OR($U477="Subscription",NOT(ISNUMBER($J477)),NOT(ISNUMBER($I477)),$J477=0,$I477=0,$I477&gt;$J477),"",$J477-$I477))</ns0:f>
      </ns0:c>
      <ns0:c r="Y477" s="955" t="str">
        <ns0:f>IF(COUNTA($A477:$M477)=0,"",IF(OR($U477="Subscription",NOT(ISNUMBER($J477)),$J477=0,$X477=""),"",$X477/$J477))</ns0:f>
      </ns0:c>
      <ns0:c r="Z477" s="957" t="str">
        <ns0:f>IF(COUNTA($A477:$M477)=0,"",Instructions!$B$29+SUM($W$5:W477))</ns0:f>
      </ns0:c>
    </ns0:row>
    <ns0:row r="478" ht="36" customHeight="1">
      <ns0:c r="A478" s="439"/>
      <ns0:c r="B478" s="453"/>
      <ns0:c r="C478" s="453"/>
      <ns0:c r="D478" s="454"/>
      <ns0:c r="E478" s="454"/>
      <ns0:c r="F478" s="454"/>
      <ns0:c r="G478" s="986"/>
      <ns0:c r="H478" s="455"/>
      <ns0:c r="I478" s="456"/>
      <ns0:c r="J478" s="456"/>
      <ns0:c r="K478" s="986"/>
      <ns0:c r="L478" s="454"/>
      <ns0:c r="M478" s="439"/>
      <ns0:c r="N478" s="987" t="str">
        <ns0:f>IF(COUNTA($A478:$M478)=0,"",IF(OR(LEFT(LOWER(TRIM($F478&amp;"")),12)="subscription",LOWER(TRIM($F478&amp;""))="membership"),"",IF(OR(AND($H478&lt;&gt;"",$H478=0),LEFT(LOWER(TRIM($F478&amp;"")),9)="free game",LOWER(TRIM($F478&amp;""))="free",LOWER(TRIM($F478&amp;""))="free entry"),IF(ISNUMBER($G478),IF(ISNUMBER(SEARCH("non",LOWER($E478&amp;""))),$G478*0.85,$G478),"N/A"),IF($G478="","",IFERROR(IF(ISNUMBER(SEARCH("non",LOWER($E478&amp;""))),$G478*0.85,$G478),"")))))</ns0:f>
        <ns0:v/>
      </ns0:c>
      <ns0:c r="O478" s="987" t="str">
        <ns0:f>IF(COUNTA($A478:$M478)=0,"",IF(OR(LEFT(LOWER(TRIM($F478&amp;"")),12)="subscription",LOWER(TRIM($F478&amp;""))="membership"),"",IF(OR(AND($H478&lt;&gt;"",$H478=0),LEFT(LOWER(TRIM($F478&amp;"")),9)="free game",LOWER(TRIM($F478&amp;""))="free",LOWER(TRIM($F478&amp;""))="free entry"),IF(OR(NOT(ISNUMBER($N478)),NOT(ISNUMBER($I478)),$I478=0),"N/A",IFERROR($N478/$I478,"N/A")),IF(OR($N478="",$I478="",$I478=0),"",IFERROR($N478/$I478,"")))))</ns0:f>
        <ns0:v/>
      </ns0:c>
      <ns0:c r="P478" s="987">
        <ns0:f>IF(COUNTA($A478:$M478)=0,"",IF(OR(LEFT(LOWER(TRIM($F478&amp;"")),12)="subscription",LOWER(TRIM($F478&amp;""))="membership"),"",IF(LOWER(TRIM($D478&amp;""))="estimate","N/A",IF(LOWER($L478&amp;"")="yes",0,IF(OR(AND($H478&lt;&gt;"",$H478=0),LEFT(LOWER(TRIM($F478&amp;"")),9)="free game",LOWER(TRIM($F478&amp;""))="free",LOWER(TRIM($F478&amp;""))="free entry"),IF(ISNUMBER($K478),$K478,""),IF($K478&lt;&gt;"",$K478,""))))))</ns0:f>
      </ns0:c>
      <ns0:c r="Q478" s="114">
        <ns0:f>IF(COUNTA($A478:$M478)=0,"",IF(OR($U478="Subscription",$U478=""),"",IF($U478="Estimate","N/A",IF($U478="Profit",ROUND(IFERROR($P478,0)-IFERROR($H478,0),2),0))))</ns0:f>
      </ns0:c>
      <ns0:c r="R478" s="114">
        <ns0:f>IF(COUNTA($A478:$M478)=0,"",IF(OR($U478="Subscription",$U478=""),"",IF($U478="Estimate","N/A",IF($U478="Draw",$H478,0))))</ns0:f>
      </ns0:c>
      <ns0:c r="S478" s="114">
        <ns0:f>IF(COUNTA($A478:$M478)=0,"",IF(OR($U478="Subscription",$U478=""),"",IF($U478="Estimate","N/A",IF($U478="Disqualified",$H478,0))))</ns0:f>
      </ns0:c>
      <ns0:c r="T478" s="955">
        <ns0:f>IF(COUNTA($A478:$M478)=0,"",IF(OR($U478="Subscription",$U478=""),"",IF($U478="Estimate","N/A",IF(OR($U478="Free Game",$U478="Disqualified — Free Game",$H478=0),"N/A",IF($U478="Profit",$Q478/$H478,IF($U478="Disqualified",-$S478/$H478,0))))))</ns0:f>
      </ns0:c>
      <ns0:c r="U478" s="920">
        <ns0:f>IF(COUNTA($A478:$M478)=0,"",IF(OR(LEFT(LOWER(TRIM($F478&amp;"")),12)="subscription",LOWER(TRIM($F478&amp;""))="membership"),"Subscription",IF(LOWER(TRIM($D478&amp;""))="estimate","Estimate",IF(OR(AND($H478&lt;&gt;"",$H478=0),LEFT(LOWER(TRIM($F478&amp;"")),9)="free game",LOWER(TRIM($F478&amp;""))="free",LOWER(TRIM($F478&amp;""))="free entry"),IF(LOWER($L478&amp;"")="yes","Disqualified — Free Game","Free Game"),IF(LOWER($L478&amp;"")="yes","Disqualified",IF($P478="","",IF(ROUND(IFERROR(VALUE($P478),0)-IFERROR(VALUE($H478),0),2)&gt;0,"Profit","Draw")))))))</ns0:f>
      </ns0:c>
      <ns0:c r="V478" s="956" t="str">
        <ns0:f>IF(COUNTA($A478:$M478)=0,"",IF(OR($B478="",$C478="",$U478="Subscription"),"",IFERROR(ROUNDUP(($C478-$B478)/7,0),"")))</ns0:f>
      </ns0:c>
      <ns0:c r="W478" s="114">
        <ns0:f>IF(COUNTA($A478:$M478)=0,"",IF(OR($U478="Subscription",$U478=""),"",IF($U478="Estimate","N/A",IF(OR($U478="Free Game",$U478="Disqualified — Free Game"),0,ROUND(IFERROR($Q478,0)-IFERROR($S478,0),2)))))</ns0:f>
      </ns0:c>
      <ns0:c r="X478" s="956" t="str">
        <ns0:f>IF(COUNTA($A478:$M478)=0,"",IF(OR($U478="Subscription",NOT(ISNUMBER($J478)),NOT(ISNUMBER($I478)),$J478=0,$I478=0,$I478&gt;$J478),"",$J478-$I478))</ns0:f>
      </ns0:c>
      <ns0:c r="Y478" s="955" t="str">
        <ns0:f>IF(COUNTA($A478:$M478)=0,"",IF(OR($U478="Subscription",NOT(ISNUMBER($J478)),$J478=0,$X478=""),"",$X478/$J478))</ns0:f>
      </ns0:c>
      <ns0:c r="Z478" s="957" t="str">
        <ns0:f>IF(COUNTA($A478:$M478)=0,"",Instructions!$B$29+SUM($W$5:W478))</ns0:f>
      </ns0:c>
    </ns0:row>
    <ns0:row r="479" ht="36" customHeight="1">
      <ns0:c r="A479" s="439"/>
      <ns0:c r="B479" s="453"/>
      <ns0:c r="C479" s="453"/>
      <ns0:c r="D479" s="454"/>
      <ns0:c r="E479" s="454"/>
      <ns0:c r="F479" s="454"/>
      <ns0:c r="G479" s="986"/>
      <ns0:c r="H479" s="455"/>
      <ns0:c r="I479" s="456"/>
      <ns0:c r="J479" s="456"/>
      <ns0:c r="K479" s="986"/>
      <ns0:c r="L479" s="454"/>
      <ns0:c r="M479" s="439"/>
      <ns0:c r="N479" s="987" t="str">
        <ns0:f>IF(COUNTA($A479:$M479)=0,"",IF(OR(LEFT(LOWER(TRIM($F479&amp;"")),12)="subscription",LOWER(TRIM($F479&amp;""))="membership"),"",IF(OR(AND($H479&lt;&gt;"",$H479=0),LEFT(LOWER(TRIM($F479&amp;"")),9)="free game",LOWER(TRIM($F479&amp;""))="free",LOWER(TRIM($F479&amp;""))="free entry"),IF(ISNUMBER($G479),IF(ISNUMBER(SEARCH("non",LOWER($E479&amp;""))),$G479*0.85,$G479),"N/A"),IF($G479="","",IFERROR(IF(ISNUMBER(SEARCH("non",LOWER($E479&amp;""))),$G479*0.85,$G479),"")))))</ns0:f>
        <ns0:v/>
      </ns0:c>
      <ns0:c r="O479" s="987" t="str">
        <ns0:f>IF(COUNTA($A479:$M479)=0,"",IF(OR(LEFT(LOWER(TRIM($F479&amp;"")),12)="subscription",LOWER(TRIM($F479&amp;""))="membership"),"",IF(OR(AND($H479&lt;&gt;"",$H479=0),LEFT(LOWER(TRIM($F479&amp;"")),9)="free game",LOWER(TRIM($F479&amp;""))="free",LOWER(TRIM($F479&amp;""))="free entry"),IF(OR(NOT(ISNUMBER($N479)),NOT(ISNUMBER($I479)),$I479=0),"N/A",IFERROR($N479/$I479,"N/A")),IF(OR($N479="",$I479="",$I479=0),"",IFERROR($N479/$I479,"")))))</ns0:f>
        <ns0:v/>
      </ns0:c>
      <ns0:c r="P479" s="987">
        <ns0:f>IF(COUNTA($A479:$M479)=0,"",IF(OR(LEFT(LOWER(TRIM($F479&amp;"")),12)="subscription",LOWER(TRIM($F479&amp;""))="membership"),"",IF(LOWER(TRIM($D479&amp;""))="estimate","N/A",IF(LOWER($L479&amp;"")="yes",0,IF(OR(AND($H479&lt;&gt;"",$H479=0),LEFT(LOWER(TRIM($F479&amp;"")),9)="free game",LOWER(TRIM($F479&amp;""))="free",LOWER(TRIM($F479&amp;""))="free entry"),IF(ISNUMBER($K479),$K479,""),IF($K479&lt;&gt;"",$K479,""))))))</ns0:f>
      </ns0:c>
      <ns0:c r="Q479" s="114">
        <ns0:f>IF(COUNTA($A479:$M479)=0,"",IF(OR($U479="Subscription",$U479=""),"",IF($U479="Estimate","N/A",IF($U479="Profit",ROUND(IFERROR($P479,0)-IFERROR($H479,0),2),0))))</ns0:f>
      </ns0:c>
      <ns0:c r="R479" s="114">
        <ns0:f>IF(COUNTA($A479:$M479)=0,"",IF(OR($U479="Subscription",$U479=""),"",IF($U479="Estimate","N/A",IF($U479="Draw",$H479,0))))</ns0:f>
      </ns0:c>
      <ns0:c r="S479" s="114">
        <ns0:f>IF(COUNTA($A479:$M479)=0,"",IF(OR($U479="Subscription",$U479=""),"",IF($U479="Estimate","N/A",IF($U479="Disqualified",$H479,0))))</ns0:f>
      </ns0:c>
      <ns0:c r="T479" s="955">
        <ns0:f>IF(COUNTA($A479:$M479)=0,"",IF(OR($U479="Subscription",$U479=""),"",IF($U479="Estimate","N/A",IF(OR($U479="Free Game",$U479="Disqualified — Free Game",$H479=0),"N/A",IF($U479="Profit",$Q479/$H479,IF($U479="Disqualified",-$S479/$H479,0))))))</ns0:f>
      </ns0:c>
      <ns0:c r="U479" s="920">
        <ns0:f>IF(COUNTA($A479:$M479)=0,"",IF(OR(LEFT(LOWER(TRIM($F479&amp;"")),12)="subscription",LOWER(TRIM($F479&amp;""))="membership"),"Subscription",IF(LOWER(TRIM($D479&amp;""))="estimate","Estimate",IF(OR(AND($H479&lt;&gt;"",$H479=0),LEFT(LOWER(TRIM($F479&amp;"")),9)="free game",LOWER(TRIM($F479&amp;""))="free",LOWER(TRIM($F479&amp;""))="free entry"),IF(LOWER($L479&amp;"")="yes","Disqualified — Free Game","Free Game"),IF(LOWER($L479&amp;"")="yes","Disqualified",IF($P479="","",IF(ROUND(IFERROR(VALUE($P479),0)-IFERROR(VALUE($H479),0),2)&gt;0,"Profit","Draw")))))))</ns0:f>
      </ns0:c>
      <ns0:c r="V479" s="956" t="str">
        <ns0:f>IF(COUNTA($A479:$M479)=0,"",IF(OR($B479="",$C479="",$U479="Subscription"),"",IFERROR(ROUNDUP(($C479-$B479)/7,0),"")))</ns0:f>
      </ns0:c>
      <ns0:c r="W479" s="114">
        <ns0:f>IF(COUNTA($A479:$M479)=0,"",IF(OR($U479="Subscription",$U479=""),"",IF($U479="Estimate","N/A",IF(OR($U479="Free Game",$U479="Disqualified — Free Game"),0,ROUND(IFERROR($Q479,0)-IFERROR($S479,0),2)))))</ns0:f>
      </ns0:c>
      <ns0:c r="X479" s="956" t="str">
        <ns0:f>IF(COUNTA($A479:$M479)=0,"",IF(OR($U479="Subscription",NOT(ISNUMBER($J479)),NOT(ISNUMBER($I479)),$J479=0,$I479=0,$I479&gt;$J479),"",$J479-$I479))</ns0:f>
      </ns0:c>
      <ns0:c r="Y479" s="955" t="str">
        <ns0:f>IF(COUNTA($A479:$M479)=0,"",IF(OR($U479="Subscription",NOT(ISNUMBER($J479)),$J479=0,$X479=""),"",$X479/$J479))</ns0:f>
      </ns0:c>
      <ns0:c r="Z479" s="957" t="str">
        <ns0:f>IF(COUNTA($A479:$M479)=0,"",Instructions!$B$29+SUM($W$5:W479))</ns0:f>
      </ns0:c>
    </ns0:row>
    <ns0:row r="480" ht="36" customHeight="1">
      <ns0:c r="A480" s="439"/>
      <ns0:c r="B480" s="453"/>
      <ns0:c r="C480" s="453"/>
      <ns0:c r="D480" s="454"/>
      <ns0:c r="E480" s="454"/>
      <ns0:c r="F480" s="454"/>
      <ns0:c r="G480" s="986"/>
      <ns0:c r="H480" s="455"/>
      <ns0:c r="I480" s="456"/>
      <ns0:c r="J480" s="456"/>
      <ns0:c r="K480" s="986"/>
      <ns0:c r="L480" s="454"/>
      <ns0:c r="M480" s="439"/>
      <ns0:c r="N480" s="987" t="str">
        <ns0:f>IF(COUNTA($A480:$M480)=0,"",IF(OR(LEFT(LOWER(TRIM($F480&amp;"")),12)="subscription",LOWER(TRIM($F480&amp;""))="membership"),"",IF(OR(AND($H480&lt;&gt;"",$H480=0),LEFT(LOWER(TRIM($F480&amp;"")),9)="free game",LOWER(TRIM($F480&amp;""))="free",LOWER(TRIM($F480&amp;""))="free entry"),IF(ISNUMBER($G480),IF(ISNUMBER(SEARCH("non",LOWER($E480&amp;""))),$G480*0.85,$G480),"N/A"),IF($G480="","",IFERROR(IF(ISNUMBER(SEARCH("non",LOWER($E480&amp;""))),$G480*0.85,$G480),"")))))</ns0:f>
        <ns0:v/>
      </ns0:c>
      <ns0:c r="O480" s="987" t="str">
        <ns0:f>IF(COUNTA($A480:$M480)=0,"",IF(OR(LEFT(LOWER(TRIM($F480&amp;"")),12)="subscription",LOWER(TRIM($F480&amp;""))="membership"),"",IF(OR(AND($H480&lt;&gt;"",$H480=0),LEFT(LOWER(TRIM($F480&amp;"")),9)="free game",LOWER(TRIM($F480&amp;""))="free",LOWER(TRIM($F480&amp;""))="free entry"),IF(OR(NOT(ISNUMBER($N480)),NOT(ISNUMBER($I480)),$I480=0),"N/A",IFERROR($N480/$I480,"N/A")),IF(OR($N480="",$I480="",$I480=0),"",IFERROR($N480/$I480,"")))))</ns0:f>
        <ns0:v/>
      </ns0:c>
      <ns0:c r="P480" s="987">
        <ns0:f>IF(COUNTA($A480:$M480)=0,"",IF(OR(LEFT(LOWER(TRIM($F480&amp;"")),12)="subscription",LOWER(TRIM($F480&amp;""))="membership"),"",IF(LOWER(TRIM($D480&amp;""))="estimate","N/A",IF(LOWER($L480&amp;"")="yes",0,IF(OR(AND($H480&lt;&gt;"",$H480=0),LEFT(LOWER(TRIM($F480&amp;"")),9)="free game",LOWER(TRIM($F480&amp;""))="free",LOWER(TRIM($F480&amp;""))="free entry"),IF(ISNUMBER($K480),$K480,""),IF($K480&lt;&gt;"",$K480,""))))))</ns0:f>
      </ns0:c>
      <ns0:c r="Q480" s="114">
        <ns0:f>IF(COUNTA($A480:$M480)=0,"",IF(OR($U480="Subscription",$U480=""),"",IF($U480="Estimate","N/A",IF($U480="Profit",ROUND(IFERROR($P480,0)-IFERROR($H480,0),2),0))))</ns0:f>
      </ns0:c>
      <ns0:c r="R480" s="114">
        <ns0:f>IF(COUNTA($A480:$M480)=0,"",IF(OR($U480="Subscription",$U480=""),"",IF($U480="Estimate","N/A",IF($U480="Draw",$H480,0))))</ns0:f>
      </ns0:c>
      <ns0:c r="S480" s="114">
        <ns0:f>IF(COUNTA($A480:$M480)=0,"",IF(OR($U480="Subscription",$U480=""),"",IF($U480="Estimate","N/A",IF($U480="Disqualified",$H480,0))))</ns0:f>
      </ns0:c>
      <ns0:c r="T480" s="955">
        <ns0:f>IF(COUNTA($A480:$M480)=0,"",IF(OR($U480="Subscription",$U480=""),"",IF($U480="Estimate","N/A",IF(OR($U480="Free Game",$U480="Disqualified — Free Game",$H480=0),"N/A",IF($U480="Profit",$Q480/$H480,IF($U480="Disqualified",-$S480/$H480,0))))))</ns0:f>
      </ns0:c>
      <ns0:c r="U480" s="920">
        <ns0:f>IF(COUNTA($A480:$M480)=0,"",IF(OR(LEFT(LOWER(TRIM($F480&amp;"")),12)="subscription",LOWER(TRIM($F480&amp;""))="membership"),"Subscription",IF(LOWER(TRIM($D480&amp;""))="estimate","Estimate",IF(OR(AND($H480&lt;&gt;"",$H480=0),LEFT(LOWER(TRIM($F480&amp;"")),9)="free game",LOWER(TRIM($F480&amp;""))="free",LOWER(TRIM($F480&amp;""))="free entry"),IF(LOWER($L480&amp;"")="yes","Disqualified — Free Game","Free Game"),IF(LOWER($L480&amp;"")="yes","Disqualified",IF($P480="","",IF(ROUND(IFERROR(VALUE($P480),0)-IFERROR(VALUE($H480),0),2)&gt;0,"Profit","Draw")))))))</ns0:f>
      </ns0:c>
      <ns0:c r="V480" s="956" t="str">
        <ns0:f>IF(COUNTA($A480:$M480)=0,"",IF(OR($B480="",$C480="",$U480="Subscription"),"",IFERROR(ROUNDUP(($C480-$B480)/7,0),"")))</ns0:f>
      </ns0:c>
      <ns0:c r="W480" s="114">
        <ns0:f>IF(COUNTA($A480:$M480)=0,"",IF(OR($U480="Subscription",$U480=""),"",IF($U480="Estimate","N/A",IF(OR($U480="Free Game",$U480="Disqualified — Free Game"),0,ROUND(IFERROR($Q480,0)-IFERROR($S480,0),2)))))</ns0:f>
      </ns0:c>
      <ns0:c r="X480" s="956" t="str">
        <ns0:f>IF(COUNTA($A480:$M480)=0,"",IF(OR($U480="Subscription",NOT(ISNUMBER($J480)),NOT(ISNUMBER($I480)),$J480=0,$I480=0,$I480&gt;$J480),"",$J480-$I480))</ns0:f>
      </ns0:c>
      <ns0:c r="Y480" s="955" t="str">
        <ns0:f>IF(COUNTA($A480:$M480)=0,"",IF(OR($U480="Subscription",NOT(ISNUMBER($J480)),$J480=0,$X480=""),"",$X480/$J480))</ns0:f>
      </ns0:c>
      <ns0:c r="Z480" s="957" t="str">
        <ns0:f>IF(COUNTA($A480:$M480)=0,"",Instructions!$B$29+SUM($W$5:W480))</ns0:f>
      </ns0:c>
    </ns0:row>
    <ns0:row r="481" ht="36" customHeight="1">
      <ns0:c r="A481" s="439"/>
      <ns0:c r="B481" s="453"/>
      <ns0:c r="C481" s="453"/>
      <ns0:c r="D481" s="454"/>
      <ns0:c r="E481" s="454"/>
      <ns0:c r="F481" s="454"/>
      <ns0:c r="G481" s="986"/>
      <ns0:c r="H481" s="455"/>
      <ns0:c r="I481" s="456"/>
      <ns0:c r="J481" s="456"/>
      <ns0:c r="K481" s="986"/>
      <ns0:c r="L481" s="454"/>
      <ns0:c r="M481" s="439"/>
      <ns0:c r="N481" s="987" t="str">
        <ns0:f>IF(COUNTA($A481:$M481)=0,"",IF(OR(LEFT(LOWER(TRIM($F481&amp;"")),12)="subscription",LOWER(TRIM($F481&amp;""))="membership"),"",IF(OR(AND($H481&lt;&gt;"",$H481=0),LEFT(LOWER(TRIM($F481&amp;"")),9)="free game",LOWER(TRIM($F481&amp;""))="free",LOWER(TRIM($F481&amp;""))="free entry"),IF(ISNUMBER($G481),IF(ISNUMBER(SEARCH("non",LOWER($E481&amp;""))),$G481*0.85,$G481),"N/A"),IF($G481="","",IFERROR(IF(ISNUMBER(SEARCH("non",LOWER($E481&amp;""))),$G481*0.85,$G481),"")))))</ns0:f>
        <ns0:v/>
      </ns0:c>
      <ns0:c r="O481" s="987" t="str">
        <ns0:f>IF(COUNTA($A481:$M481)=0,"",IF(OR(LEFT(LOWER(TRIM($F481&amp;"")),12)="subscription",LOWER(TRIM($F481&amp;""))="membership"),"",IF(OR(AND($H481&lt;&gt;"",$H481=0),LEFT(LOWER(TRIM($F481&amp;"")),9)="free game",LOWER(TRIM($F481&amp;""))="free",LOWER(TRIM($F481&amp;""))="free entry"),IF(OR(NOT(ISNUMBER($N481)),NOT(ISNUMBER($I481)),$I481=0),"N/A",IFERROR($N481/$I481,"N/A")),IF(OR($N481="",$I481="",$I481=0),"",IFERROR($N481/$I481,"")))))</ns0:f>
        <ns0:v/>
      </ns0:c>
      <ns0:c r="P481" s="987">
        <ns0:f>IF(COUNTA($A481:$M481)=0,"",IF(OR(LEFT(LOWER(TRIM($F481&amp;"")),12)="subscription",LOWER(TRIM($F481&amp;""))="membership"),"",IF(LOWER(TRIM($D481&amp;""))="estimate","N/A",IF(LOWER($L481&amp;"")="yes",0,IF(OR(AND($H481&lt;&gt;"",$H481=0),LEFT(LOWER(TRIM($F481&amp;"")),9)="free game",LOWER(TRIM($F481&amp;""))="free",LOWER(TRIM($F481&amp;""))="free entry"),IF(ISNUMBER($K481),$K481,""),IF($K481&lt;&gt;"",$K481,""))))))</ns0:f>
      </ns0:c>
      <ns0:c r="Q481" s="114">
        <ns0:f>IF(COUNTA($A481:$M481)=0,"",IF(OR($U481="Subscription",$U481=""),"",IF($U481="Estimate","N/A",IF($U481="Profit",ROUND(IFERROR($P481,0)-IFERROR($H481,0),2),0))))</ns0:f>
      </ns0:c>
      <ns0:c r="R481" s="114">
        <ns0:f>IF(COUNTA($A481:$M481)=0,"",IF(OR($U481="Subscription",$U481=""),"",IF($U481="Estimate","N/A",IF($U481="Draw",$H481,0))))</ns0:f>
      </ns0:c>
      <ns0:c r="S481" s="114">
        <ns0:f>IF(COUNTA($A481:$M481)=0,"",IF(OR($U481="Subscription",$U481=""),"",IF($U481="Estimate","N/A",IF($U481="Disqualified",$H481,0))))</ns0:f>
      </ns0:c>
      <ns0:c r="T481" s="955">
        <ns0:f>IF(COUNTA($A481:$M481)=0,"",IF(OR($U481="Subscription",$U481=""),"",IF($U481="Estimate","N/A",IF(OR($U481="Free Game",$U481="Disqualified — Free Game",$H481=0),"N/A",IF($U481="Profit",$Q481/$H481,IF($U481="Disqualified",-$S481/$H481,0))))))</ns0:f>
      </ns0:c>
      <ns0:c r="U481" s="920">
        <ns0:f>IF(COUNTA($A481:$M481)=0,"",IF(OR(LEFT(LOWER(TRIM($F481&amp;"")),12)="subscription",LOWER(TRIM($F481&amp;""))="membership"),"Subscription",IF(LOWER(TRIM($D481&amp;""))="estimate","Estimate",IF(OR(AND($H481&lt;&gt;"",$H481=0),LEFT(LOWER(TRIM($F481&amp;"")),9)="free game",LOWER(TRIM($F481&amp;""))="free",LOWER(TRIM($F481&amp;""))="free entry"),IF(LOWER($L481&amp;"")="yes","Disqualified — Free Game","Free Game"),IF(LOWER($L481&amp;"")="yes","Disqualified",IF($P481="","",IF(ROUND(IFERROR(VALUE($P481),0)-IFERROR(VALUE($H481),0),2)&gt;0,"Profit","Draw")))))))</ns0:f>
      </ns0:c>
      <ns0:c r="V481" s="956" t="str">
        <ns0:f>IF(COUNTA($A481:$M481)=0,"",IF(OR($B481="",$C481="",$U481="Subscription"),"",IFERROR(ROUNDUP(($C481-$B481)/7,0),"")))</ns0:f>
      </ns0:c>
      <ns0:c r="W481" s="114">
        <ns0:f>IF(COUNTA($A481:$M481)=0,"",IF(OR($U481="Subscription",$U481=""),"",IF($U481="Estimate","N/A",IF(OR($U481="Free Game",$U481="Disqualified — Free Game"),0,ROUND(IFERROR($Q481,0)-IFERROR($S481,0),2)))))</ns0:f>
      </ns0:c>
      <ns0:c r="X481" s="956" t="str">
        <ns0:f>IF(COUNTA($A481:$M481)=0,"",IF(OR($U481="Subscription",NOT(ISNUMBER($J481)),NOT(ISNUMBER($I481)),$J481=0,$I481=0,$I481&gt;$J481),"",$J481-$I481))</ns0:f>
      </ns0:c>
      <ns0:c r="Y481" s="955" t="str">
        <ns0:f>IF(COUNTA($A481:$M481)=0,"",IF(OR($U481="Subscription",NOT(ISNUMBER($J481)),$J481=0,$X481=""),"",$X481/$J481))</ns0:f>
      </ns0:c>
      <ns0:c r="Z481" s="957" t="str">
        <ns0:f>IF(COUNTA($A481:$M481)=0,"",Instructions!$B$29+SUM($W$5:W481))</ns0:f>
      </ns0:c>
    </ns0:row>
    <ns0:row r="482" ht="36" customHeight="1">
      <ns0:c r="A482" s="439"/>
      <ns0:c r="B482" s="453"/>
      <ns0:c r="C482" s="453"/>
      <ns0:c r="D482" s="454"/>
      <ns0:c r="E482" s="454"/>
      <ns0:c r="F482" s="454"/>
      <ns0:c r="G482" s="986"/>
      <ns0:c r="H482" s="455"/>
      <ns0:c r="I482" s="456"/>
      <ns0:c r="J482" s="456"/>
      <ns0:c r="K482" s="986"/>
      <ns0:c r="L482" s="454"/>
      <ns0:c r="M482" s="439"/>
      <ns0:c r="N482" s="987" t="str">
        <ns0:f>IF(COUNTA($A482:$M482)=0,"",IF(OR(LEFT(LOWER(TRIM($F482&amp;"")),12)="subscription",LOWER(TRIM($F482&amp;""))="membership"),"",IF(OR(AND($H482&lt;&gt;"",$H482=0),LEFT(LOWER(TRIM($F482&amp;"")),9)="free game",LOWER(TRIM($F482&amp;""))="free",LOWER(TRIM($F482&amp;""))="free entry"),IF(ISNUMBER($G482),IF(ISNUMBER(SEARCH("non",LOWER($E482&amp;""))),$G482*0.85,$G482),"N/A"),IF($G482="","",IFERROR(IF(ISNUMBER(SEARCH("non",LOWER($E482&amp;""))),$G482*0.85,$G482),"")))))</ns0:f>
        <ns0:v/>
      </ns0:c>
      <ns0:c r="O482" s="987" t="str">
        <ns0:f>IF(COUNTA($A482:$M482)=0,"",IF(OR(LEFT(LOWER(TRIM($F482&amp;"")),12)="subscription",LOWER(TRIM($F482&amp;""))="membership"),"",IF(OR(AND($H482&lt;&gt;"",$H482=0),LEFT(LOWER(TRIM($F482&amp;"")),9)="free game",LOWER(TRIM($F482&amp;""))="free",LOWER(TRIM($F482&amp;""))="free entry"),IF(OR(NOT(ISNUMBER($N482)),NOT(ISNUMBER($I482)),$I482=0),"N/A",IFERROR($N482/$I482,"N/A")),IF(OR($N482="",$I482="",$I482=0),"",IFERROR($N482/$I482,"")))))</ns0:f>
        <ns0:v/>
      </ns0:c>
      <ns0:c r="P482" s="987">
        <ns0:f>IF(COUNTA($A482:$M482)=0,"",IF(OR(LEFT(LOWER(TRIM($F482&amp;"")),12)="subscription",LOWER(TRIM($F482&amp;""))="membership"),"",IF(LOWER(TRIM($D482&amp;""))="estimate","N/A",IF(LOWER($L482&amp;"")="yes",0,IF(OR(AND($H482&lt;&gt;"",$H482=0),LEFT(LOWER(TRIM($F482&amp;"")),9)="free game",LOWER(TRIM($F482&amp;""))="free",LOWER(TRIM($F482&amp;""))="free entry"),IF(ISNUMBER($K482),$K482,""),IF($K482&lt;&gt;"",$K482,""))))))</ns0:f>
      </ns0:c>
      <ns0:c r="Q482" s="114">
        <ns0:f>IF(COUNTA($A482:$M482)=0,"",IF(OR($U482="Subscription",$U482=""),"",IF($U482="Estimate","N/A",IF($U482="Profit",ROUND(IFERROR($P482,0)-IFERROR($H482,0),2),0))))</ns0:f>
      </ns0:c>
      <ns0:c r="R482" s="114">
        <ns0:f>IF(COUNTA($A482:$M482)=0,"",IF(OR($U482="Subscription",$U482=""),"",IF($U482="Estimate","N/A",IF($U482="Draw",$H482,0))))</ns0:f>
      </ns0:c>
      <ns0:c r="S482" s="114">
        <ns0:f>IF(COUNTA($A482:$M482)=0,"",IF(OR($U482="Subscription",$U482=""),"",IF($U482="Estimate","N/A",IF($U482="Disqualified",$H482,0))))</ns0:f>
      </ns0:c>
      <ns0:c r="T482" s="955">
        <ns0:f>IF(COUNTA($A482:$M482)=0,"",IF(OR($U482="Subscription",$U482=""),"",IF($U482="Estimate","N/A",IF(OR($U482="Free Game",$U482="Disqualified — Free Game",$H482=0),"N/A",IF($U482="Profit",$Q482/$H482,IF($U482="Disqualified",-$S482/$H482,0))))))</ns0:f>
      </ns0:c>
      <ns0:c r="U482" s="920">
        <ns0:f>IF(COUNTA($A482:$M482)=0,"",IF(OR(LEFT(LOWER(TRIM($F482&amp;"")),12)="subscription",LOWER(TRIM($F482&amp;""))="membership"),"Subscription",IF(LOWER(TRIM($D482&amp;""))="estimate","Estimate",IF(OR(AND($H482&lt;&gt;"",$H482=0),LEFT(LOWER(TRIM($F482&amp;"")),9)="free game",LOWER(TRIM($F482&amp;""))="free",LOWER(TRIM($F482&amp;""))="free entry"),IF(LOWER($L482&amp;"")="yes","Disqualified — Free Game","Free Game"),IF(LOWER($L482&amp;"")="yes","Disqualified",IF($P482="","",IF(ROUND(IFERROR(VALUE($P482),0)-IFERROR(VALUE($H482),0),2)&gt;0,"Profit","Draw")))))))</ns0:f>
      </ns0:c>
      <ns0:c r="V482" s="956" t="str">
        <ns0:f>IF(COUNTA($A482:$M482)=0,"",IF(OR($B482="",$C482="",$U482="Subscription"),"",IFERROR(ROUNDUP(($C482-$B482)/7,0),"")))</ns0:f>
      </ns0:c>
      <ns0:c r="W482" s="114">
        <ns0:f>IF(COUNTA($A482:$M482)=0,"",IF(OR($U482="Subscription",$U482=""),"",IF($U482="Estimate","N/A",IF(OR($U482="Free Game",$U482="Disqualified — Free Game"),0,ROUND(IFERROR($Q482,0)-IFERROR($S482,0),2)))))</ns0:f>
      </ns0:c>
      <ns0:c r="X482" s="956" t="str">
        <ns0:f>IF(COUNTA($A482:$M482)=0,"",IF(OR($U482="Subscription",NOT(ISNUMBER($J482)),NOT(ISNUMBER($I482)),$J482=0,$I482=0,$I482&gt;$J482),"",$J482-$I482))</ns0:f>
      </ns0:c>
      <ns0:c r="Y482" s="955" t="str">
        <ns0:f>IF(COUNTA($A482:$M482)=0,"",IF(OR($U482="Subscription",NOT(ISNUMBER($J482)),$J482=0,$X482=""),"",$X482/$J482))</ns0:f>
      </ns0:c>
      <ns0:c r="Z482" s="957" t="str">
        <ns0:f>IF(COUNTA($A482:$M482)=0,"",Instructions!$B$29+SUM($W$5:W482))</ns0:f>
      </ns0:c>
    </ns0:row>
    <ns0:row r="483" ht="36" customHeight="1">
      <ns0:c r="A483" s="439"/>
      <ns0:c r="B483" s="453"/>
      <ns0:c r="C483" s="453"/>
      <ns0:c r="D483" s="454"/>
      <ns0:c r="E483" s="454"/>
      <ns0:c r="F483" s="454"/>
      <ns0:c r="G483" s="986"/>
      <ns0:c r="H483" s="455"/>
      <ns0:c r="I483" s="456"/>
      <ns0:c r="J483" s="456"/>
      <ns0:c r="K483" s="986"/>
      <ns0:c r="L483" s="454"/>
      <ns0:c r="M483" s="439"/>
      <ns0:c r="N483" s="987" t="str">
        <ns0:f>IF(COUNTA($A483:$M483)=0,"",IF(OR(LEFT(LOWER(TRIM($F483&amp;"")),12)="subscription",LOWER(TRIM($F483&amp;""))="membership"),"",IF(OR(AND($H483&lt;&gt;"",$H483=0),LEFT(LOWER(TRIM($F483&amp;"")),9)="free game",LOWER(TRIM($F483&amp;""))="free",LOWER(TRIM($F483&amp;""))="free entry"),IF(ISNUMBER($G483),IF(ISNUMBER(SEARCH("non",LOWER($E483&amp;""))),$G483*0.85,$G483),"N/A"),IF($G483="","",IFERROR(IF(ISNUMBER(SEARCH("non",LOWER($E483&amp;""))),$G483*0.85,$G483),"")))))</ns0:f>
        <ns0:v/>
      </ns0:c>
      <ns0:c r="O483" s="987" t="str">
        <ns0:f>IF(COUNTA($A483:$M483)=0,"",IF(OR(LEFT(LOWER(TRIM($F483&amp;"")),12)="subscription",LOWER(TRIM($F483&amp;""))="membership"),"",IF(OR(AND($H483&lt;&gt;"",$H483=0),LEFT(LOWER(TRIM($F483&amp;"")),9)="free game",LOWER(TRIM($F483&amp;""))="free",LOWER(TRIM($F483&amp;""))="free entry"),IF(OR(NOT(ISNUMBER($N483)),NOT(ISNUMBER($I483)),$I483=0),"N/A",IFERROR($N483/$I483,"N/A")),IF(OR($N483="",$I483="",$I483=0),"",IFERROR($N483/$I483,"")))))</ns0:f>
        <ns0:v/>
      </ns0:c>
      <ns0:c r="P483" s="987">
        <ns0:f>IF(COUNTA($A483:$M483)=0,"",IF(OR(LEFT(LOWER(TRIM($F483&amp;"")),12)="subscription",LOWER(TRIM($F483&amp;""))="membership"),"",IF(LOWER(TRIM($D483&amp;""))="estimate","N/A",IF(LOWER($L483&amp;"")="yes",0,IF(OR(AND($H483&lt;&gt;"",$H483=0),LEFT(LOWER(TRIM($F483&amp;"")),9)="free game",LOWER(TRIM($F483&amp;""))="free",LOWER(TRIM($F483&amp;""))="free entry"),IF(ISNUMBER($K483),$K483,""),IF($K483&lt;&gt;"",$K483,""))))))</ns0:f>
      </ns0:c>
      <ns0:c r="Q483" s="114">
        <ns0:f>IF(COUNTA($A483:$M483)=0,"",IF(OR($U483="Subscription",$U483=""),"",IF($U483="Estimate","N/A",IF($U483="Profit",ROUND(IFERROR($P483,0)-IFERROR($H483,0),2),0))))</ns0:f>
      </ns0:c>
      <ns0:c r="R483" s="114">
        <ns0:f>IF(COUNTA($A483:$M483)=0,"",IF(OR($U483="Subscription",$U483=""),"",IF($U483="Estimate","N/A",IF($U483="Draw",$H483,0))))</ns0:f>
      </ns0:c>
      <ns0:c r="S483" s="114">
        <ns0:f>IF(COUNTA($A483:$M483)=0,"",IF(OR($U483="Subscription",$U483=""),"",IF($U483="Estimate","N/A",IF($U483="Disqualified",$H483,0))))</ns0:f>
      </ns0:c>
      <ns0:c r="T483" s="955">
        <ns0:f>IF(COUNTA($A483:$M483)=0,"",IF(OR($U483="Subscription",$U483=""),"",IF($U483="Estimate","N/A",IF(OR($U483="Free Game",$U483="Disqualified — Free Game",$H483=0),"N/A",IF($U483="Profit",$Q483/$H483,IF($U483="Disqualified",-$S483/$H483,0))))))</ns0:f>
      </ns0:c>
      <ns0:c r="U483" s="920">
        <ns0:f>IF(COUNTA($A483:$M483)=0,"",IF(OR(LEFT(LOWER(TRIM($F483&amp;"")),12)="subscription",LOWER(TRIM($F483&amp;""))="membership"),"Subscription",IF(LOWER(TRIM($D483&amp;""))="estimate","Estimate",IF(OR(AND($H483&lt;&gt;"",$H483=0),LEFT(LOWER(TRIM($F483&amp;"")),9)="free game",LOWER(TRIM($F483&amp;""))="free",LOWER(TRIM($F483&amp;""))="free entry"),IF(LOWER($L483&amp;"")="yes","Disqualified — Free Game","Free Game"),IF(LOWER($L483&amp;"")="yes","Disqualified",IF($P483="","",IF(ROUND(IFERROR(VALUE($P483),0)-IFERROR(VALUE($H483),0),2)&gt;0,"Profit","Draw")))))))</ns0:f>
      </ns0:c>
      <ns0:c r="V483" s="956" t="str">
        <ns0:f>IF(COUNTA($A483:$M483)=0,"",IF(OR($B483="",$C483="",$U483="Subscription"),"",IFERROR(ROUNDUP(($C483-$B483)/7,0),"")))</ns0:f>
      </ns0:c>
      <ns0:c r="W483" s="114">
        <ns0:f>IF(COUNTA($A483:$M483)=0,"",IF(OR($U483="Subscription",$U483=""),"",IF($U483="Estimate","N/A",IF(OR($U483="Free Game",$U483="Disqualified — Free Game"),0,ROUND(IFERROR($Q483,0)-IFERROR($S483,0),2)))))</ns0:f>
      </ns0:c>
      <ns0:c r="X483" s="956" t="str">
        <ns0:f>IF(COUNTA($A483:$M483)=0,"",IF(OR($U483="Subscription",NOT(ISNUMBER($J483)),NOT(ISNUMBER($I483)),$J483=0,$I483=0,$I483&gt;$J483),"",$J483-$I483))</ns0:f>
      </ns0:c>
      <ns0:c r="Y483" s="955" t="str">
        <ns0:f>IF(COUNTA($A483:$M483)=0,"",IF(OR($U483="Subscription",NOT(ISNUMBER($J483)),$J483=0,$X483=""),"",$X483/$J483))</ns0:f>
      </ns0:c>
      <ns0:c r="Z483" s="957" t="str">
        <ns0:f>IF(COUNTA($A483:$M483)=0,"",Instructions!$B$29+SUM($W$5:W483))</ns0:f>
      </ns0:c>
    </ns0:row>
    <ns0:row r="484" ht="36" customHeight="1">
      <ns0:c r="A484" s="439"/>
      <ns0:c r="B484" s="453"/>
      <ns0:c r="C484" s="453"/>
      <ns0:c r="D484" s="454"/>
      <ns0:c r="E484" s="454"/>
      <ns0:c r="F484" s="454"/>
      <ns0:c r="G484" s="986"/>
      <ns0:c r="H484" s="455"/>
      <ns0:c r="I484" s="456"/>
      <ns0:c r="J484" s="456"/>
      <ns0:c r="K484" s="986"/>
      <ns0:c r="L484" s="454"/>
      <ns0:c r="M484" s="439"/>
      <ns0:c r="N484" s="987" t="str">
        <ns0:f>IF(COUNTA($A484:$M484)=0,"",IF(OR(LEFT(LOWER(TRIM($F484&amp;"")),12)="subscription",LOWER(TRIM($F484&amp;""))="membership"),"",IF(OR(AND($H484&lt;&gt;"",$H484=0),LEFT(LOWER(TRIM($F484&amp;"")),9)="free game",LOWER(TRIM($F484&amp;""))="free",LOWER(TRIM($F484&amp;""))="free entry"),IF(ISNUMBER($G484),IF(ISNUMBER(SEARCH("non",LOWER($E484&amp;""))),$G484*0.85,$G484),"N/A"),IF($G484="","",IFERROR(IF(ISNUMBER(SEARCH("non",LOWER($E484&amp;""))),$G484*0.85,$G484),"")))))</ns0:f>
        <ns0:v/>
      </ns0:c>
      <ns0:c r="O484" s="987" t="str">
        <ns0:f>IF(COUNTA($A484:$M484)=0,"",IF(OR(LEFT(LOWER(TRIM($F484&amp;"")),12)="subscription",LOWER(TRIM($F484&amp;""))="membership"),"",IF(OR(AND($H484&lt;&gt;"",$H484=0),LEFT(LOWER(TRIM($F484&amp;"")),9)="free game",LOWER(TRIM($F484&amp;""))="free",LOWER(TRIM($F484&amp;""))="free entry"),IF(OR(NOT(ISNUMBER($N484)),NOT(ISNUMBER($I484)),$I484=0),"N/A",IFERROR($N484/$I484,"N/A")),IF(OR($N484="",$I484="",$I484=0),"",IFERROR($N484/$I484,"")))))</ns0:f>
        <ns0:v/>
      </ns0:c>
      <ns0:c r="P484" s="987">
        <ns0:f>IF(COUNTA($A484:$M484)=0,"",IF(OR(LEFT(LOWER(TRIM($F484&amp;"")),12)="subscription",LOWER(TRIM($F484&amp;""))="membership"),"",IF(LOWER(TRIM($D484&amp;""))="estimate","N/A",IF(LOWER($L484&amp;"")="yes",0,IF(OR(AND($H484&lt;&gt;"",$H484=0),LEFT(LOWER(TRIM($F484&amp;"")),9)="free game",LOWER(TRIM($F484&amp;""))="free",LOWER(TRIM($F484&amp;""))="free entry"),IF(ISNUMBER($K484),$K484,""),IF($K484&lt;&gt;"",$K484,""))))))</ns0:f>
      </ns0:c>
      <ns0:c r="Q484" s="114">
        <ns0:f>IF(COUNTA($A484:$M484)=0,"",IF(OR($U484="Subscription",$U484=""),"",IF($U484="Estimate","N/A",IF($U484="Profit",ROUND(IFERROR($P484,0)-IFERROR($H484,0),2),0))))</ns0:f>
      </ns0:c>
      <ns0:c r="R484" s="114">
        <ns0:f>IF(COUNTA($A484:$M484)=0,"",IF(OR($U484="Subscription",$U484=""),"",IF($U484="Estimate","N/A",IF($U484="Draw",$H484,0))))</ns0:f>
      </ns0:c>
      <ns0:c r="S484" s="114">
        <ns0:f>IF(COUNTA($A484:$M484)=0,"",IF(OR($U484="Subscription",$U484=""),"",IF($U484="Estimate","N/A",IF($U484="Disqualified",$H484,0))))</ns0:f>
      </ns0:c>
      <ns0:c r="T484" s="955">
        <ns0:f>IF(COUNTA($A484:$M484)=0,"",IF(OR($U484="Subscription",$U484=""),"",IF($U484="Estimate","N/A",IF(OR($U484="Free Game",$U484="Disqualified — Free Game",$H484=0),"N/A",IF($U484="Profit",$Q484/$H484,IF($U484="Disqualified",-$S484/$H484,0))))))</ns0:f>
      </ns0:c>
      <ns0:c r="U484" s="920">
        <ns0:f>IF(COUNTA($A484:$M484)=0,"",IF(OR(LEFT(LOWER(TRIM($F484&amp;"")),12)="subscription",LOWER(TRIM($F484&amp;""))="membership"),"Subscription",IF(LOWER(TRIM($D484&amp;""))="estimate","Estimate",IF(OR(AND($H484&lt;&gt;"",$H484=0),LEFT(LOWER(TRIM($F484&amp;"")),9)="free game",LOWER(TRIM($F484&amp;""))="free",LOWER(TRIM($F484&amp;""))="free entry"),IF(LOWER($L484&amp;"")="yes","Disqualified — Free Game","Free Game"),IF(LOWER($L484&amp;"")="yes","Disqualified",IF($P484="","",IF(ROUND(IFERROR(VALUE($P484),0)-IFERROR(VALUE($H484),0),2)&gt;0,"Profit","Draw")))))))</ns0:f>
      </ns0:c>
      <ns0:c r="V484" s="956" t="str">
        <ns0:f>IF(COUNTA($A484:$M484)=0,"",IF(OR($B484="",$C484="",$U484="Subscription"),"",IFERROR(ROUNDUP(($C484-$B484)/7,0),"")))</ns0:f>
      </ns0:c>
      <ns0:c r="W484" s="114">
        <ns0:f>IF(COUNTA($A484:$M484)=0,"",IF(OR($U484="Subscription",$U484=""),"",IF($U484="Estimate","N/A",IF(OR($U484="Free Game",$U484="Disqualified — Free Game"),0,ROUND(IFERROR($Q484,0)-IFERROR($S484,0),2)))))</ns0:f>
      </ns0:c>
      <ns0:c r="X484" s="956" t="str">
        <ns0:f>IF(COUNTA($A484:$M484)=0,"",IF(OR($U484="Subscription",NOT(ISNUMBER($J484)),NOT(ISNUMBER($I484)),$J484=0,$I484=0,$I484&gt;$J484),"",$J484-$I484))</ns0:f>
      </ns0:c>
      <ns0:c r="Y484" s="955" t="str">
        <ns0:f>IF(COUNTA($A484:$M484)=0,"",IF(OR($U484="Subscription",NOT(ISNUMBER($J484)),$J484=0,$X484=""),"",$X484/$J484))</ns0:f>
      </ns0:c>
      <ns0:c r="Z484" s="957" t="str">
        <ns0:f>IF(COUNTA($A484:$M484)=0,"",Instructions!$B$29+SUM($W$5:W484))</ns0:f>
      </ns0:c>
    </ns0:row>
    <ns0:row r="485" ht="36" customHeight="1">
      <ns0:c r="A485" s="439"/>
      <ns0:c r="B485" s="453"/>
      <ns0:c r="C485" s="453"/>
      <ns0:c r="D485" s="454"/>
      <ns0:c r="E485" s="454"/>
      <ns0:c r="F485" s="454"/>
      <ns0:c r="G485" s="986"/>
      <ns0:c r="H485" s="455"/>
      <ns0:c r="I485" s="456"/>
      <ns0:c r="J485" s="456"/>
      <ns0:c r="K485" s="986"/>
      <ns0:c r="L485" s="454"/>
      <ns0:c r="M485" s="439"/>
      <ns0:c r="N485" s="987" t="str">
        <ns0:f>IF(COUNTA($A485:$M485)=0,"",IF(OR(LEFT(LOWER(TRIM($F485&amp;"")),12)="subscription",LOWER(TRIM($F485&amp;""))="membership"),"",IF(OR(AND($H485&lt;&gt;"",$H485=0),LEFT(LOWER(TRIM($F485&amp;"")),9)="free game",LOWER(TRIM($F485&amp;""))="free",LOWER(TRIM($F485&amp;""))="free entry"),IF(ISNUMBER($G485),IF(ISNUMBER(SEARCH("non",LOWER($E485&amp;""))),$G485*0.85,$G485),"N/A"),IF($G485="","",IFERROR(IF(ISNUMBER(SEARCH("non",LOWER($E485&amp;""))),$G485*0.85,$G485),"")))))</ns0:f>
        <ns0:v/>
      </ns0:c>
      <ns0:c r="O485" s="987" t="str">
        <ns0:f>IF(COUNTA($A485:$M485)=0,"",IF(OR(LEFT(LOWER(TRIM($F485&amp;"")),12)="subscription",LOWER(TRIM($F485&amp;""))="membership"),"",IF(OR(AND($H485&lt;&gt;"",$H485=0),LEFT(LOWER(TRIM($F485&amp;"")),9)="free game",LOWER(TRIM($F485&amp;""))="free",LOWER(TRIM($F485&amp;""))="free entry"),IF(OR(NOT(ISNUMBER($N485)),NOT(ISNUMBER($I485)),$I485=0),"N/A",IFERROR($N485/$I485,"N/A")),IF(OR($N485="",$I485="",$I485=0),"",IFERROR($N485/$I485,"")))))</ns0:f>
        <ns0:v/>
      </ns0:c>
      <ns0:c r="P485" s="987">
        <ns0:f>IF(COUNTA($A485:$M485)=0,"",IF(OR(LEFT(LOWER(TRIM($F485&amp;"")),12)="subscription",LOWER(TRIM($F485&amp;""))="membership"),"",IF(LOWER(TRIM($D485&amp;""))="estimate","N/A",IF(LOWER($L485&amp;"")="yes",0,IF(OR(AND($H485&lt;&gt;"",$H485=0),LEFT(LOWER(TRIM($F485&amp;"")),9)="free game",LOWER(TRIM($F485&amp;""))="free",LOWER(TRIM($F485&amp;""))="free entry"),IF(ISNUMBER($K485),$K485,""),IF($K485&lt;&gt;"",$K485,""))))))</ns0:f>
      </ns0:c>
      <ns0:c r="Q485" s="114">
        <ns0:f>IF(COUNTA($A485:$M485)=0,"",IF(OR($U485="Subscription",$U485=""),"",IF($U485="Estimate","N/A",IF($U485="Profit",ROUND(IFERROR($P485,0)-IFERROR($H485,0),2),0))))</ns0:f>
      </ns0:c>
      <ns0:c r="R485" s="114">
        <ns0:f>IF(COUNTA($A485:$M485)=0,"",IF(OR($U485="Subscription",$U485=""),"",IF($U485="Estimate","N/A",IF($U485="Draw",$H485,0))))</ns0:f>
      </ns0:c>
      <ns0:c r="S485" s="114">
        <ns0:f>IF(COUNTA($A485:$M485)=0,"",IF(OR($U485="Subscription",$U485=""),"",IF($U485="Estimate","N/A",IF($U485="Disqualified",$H485,0))))</ns0:f>
      </ns0:c>
      <ns0:c r="T485" s="955">
        <ns0:f>IF(COUNTA($A485:$M485)=0,"",IF(OR($U485="Subscription",$U485=""),"",IF($U485="Estimate","N/A",IF(OR($U485="Free Game",$U485="Disqualified — Free Game",$H485=0),"N/A",IF($U485="Profit",$Q485/$H485,IF($U485="Disqualified",-$S485/$H485,0))))))</ns0:f>
      </ns0:c>
      <ns0:c r="U485" s="920">
        <ns0:f>IF(COUNTA($A485:$M485)=0,"",IF(OR(LEFT(LOWER(TRIM($F485&amp;"")),12)="subscription",LOWER(TRIM($F485&amp;""))="membership"),"Subscription",IF(LOWER(TRIM($D485&amp;""))="estimate","Estimate",IF(OR(AND($H485&lt;&gt;"",$H485=0),LEFT(LOWER(TRIM($F485&amp;"")),9)="free game",LOWER(TRIM($F485&amp;""))="free",LOWER(TRIM($F485&amp;""))="free entry"),IF(LOWER($L485&amp;"")="yes","Disqualified — Free Game","Free Game"),IF(LOWER($L485&amp;"")="yes","Disqualified",IF($P485="","",IF(ROUND(IFERROR(VALUE($P485),0)-IFERROR(VALUE($H485),0),2)&gt;0,"Profit","Draw")))))))</ns0:f>
      </ns0:c>
      <ns0:c r="V485" s="956" t="str">
        <ns0:f>IF(COUNTA($A485:$M485)=0,"",IF(OR($B485="",$C485="",$U485="Subscription"),"",IFERROR(ROUNDUP(($C485-$B485)/7,0),"")))</ns0:f>
      </ns0:c>
      <ns0:c r="W485" s="114">
        <ns0:f>IF(COUNTA($A485:$M485)=0,"",IF(OR($U485="Subscription",$U485=""),"",IF($U485="Estimate","N/A",IF(OR($U485="Free Game",$U485="Disqualified — Free Game"),0,ROUND(IFERROR($Q485,0)-IFERROR($S485,0),2)))))</ns0:f>
      </ns0:c>
      <ns0:c r="X485" s="956" t="str">
        <ns0:f>IF(COUNTA($A485:$M485)=0,"",IF(OR($U485="Subscription",NOT(ISNUMBER($J485)),NOT(ISNUMBER($I485)),$J485=0,$I485=0,$I485&gt;$J485),"",$J485-$I485))</ns0:f>
      </ns0:c>
      <ns0:c r="Y485" s="955" t="str">
        <ns0:f>IF(COUNTA($A485:$M485)=0,"",IF(OR($U485="Subscription",NOT(ISNUMBER($J485)),$J485=0,$X485=""),"",$X485/$J485))</ns0:f>
      </ns0:c>
      <ns0:c r="Z485" s="957" t="str">
        <ns0:f>IF(COUNTA($A485:$M485)=0,"",Instructions!$B$29+SUM($W$5:W485))</ns0:f>
      </ns0:c>
    </ns0:row>
    <ns0:row r="486" ht="36" customHeight="1">
      <ns0:c r="A486" s="439"/>
      <ns0:c r="B486" s="453"/>
      <ns0:c r="C486" s="453"/>
      <ns0:c r="D486" s="454"/>
      <ns0:c r="E486" s="454"/>
      <ns0:c r="F486" s="454"/>
      <ns0:c r="G486" s="986"/>
      <ns0:c r="H486" s="455"/>
      <ns0:c r="I486" s="456"/>
      <ns0:c r="J486" s="456"/>
      <ns0:c r="K486" s="986"/>
      <ns0:c r="L486" s="454"/>
      <ns0:c r="M486" s="439"/>
      <ns0:c r="N486" s="987" t="str">
        <ns0:f>IF(COUNTA($A486:$M486)=0,"",IF(OR(LEFT(LOWER(TRIM($F486&amp;"")),12)="subscription",LOWER(TRIM($F486&amp;""))="membership"),"",IF(OR(AND($H486&lt;&gt;"",$H486=0),LEFT(LOWER(TRIM($F486&amp;"")),9)="free game",LOWER(TRIM($F486&amp;""))="free",LOWER(TRIM($F486&amp;""))="free entry"),IF(ISNUMBER($G486),IF(ISNUMBER(SEARCH("non",LOWER($E486&amp;""))),$G486*0.85,$G486),"N/A"),IF($G486="","",IFERROR(IF(ISNUMBER(SEARCH("non",LOWER($E486&amp;""))),$G486*0.85,$G486),"")))))</ns0:f>
        <ns0:v/>
      </ns0:c>
      <ns0:c r="O486" s="987" t="str">
        <ns0:f>IF(COUNTA($A486:$M486)=0,"",IF(OR(LEFT(LOWER(TRIM($F486&amp;"")),12)="subscription",LOWER(TRIM($F486&amp;""))="membership"),"",IF(OR(AND($H486&lt;&gt;"",$H486=0),LEFT(LOWER(TRIM($F486&amp;"")),9)="free game",LOWER(TRIM($F486&amp;""))="free",LOWER(TRIM($F486&amp;""))="free entry"),IF(OR(NOT(ISNUMBER($N486)),NOT(ISNUMBER($I486)),$I486=0),"N/A",IFERROR($N486/$I486,"N/A")),IF(OR($N486="",$I486="",$I486=0),"",IFERROR($N486/$I486,"")))))</ns0:f>
        <ns0:v/>
      </ns0:c>
      <ns0:c r="P486" s="987">
        <ns0:f>IF(COUNTA($A486:$M486)=0,"",IF(OR(LEFT(LOWER(TRIM($F486&amp;"")),12)="subscription",LOWER(TRIM($F486&amp;""))="membership"),"",IF(LOWER(TRIM($D486&amp;""))="estimate","N/A",IF(LOWER($L486&amp;"")="yes",0,IF(OR(AND($H486&lt;&gt;"",$H486=0),LEFT(LOWER(TRIM($F486&amp;"")),9)="free game",LOWER(TRIM($F486&amp;""))="free",LOWER(TRIM($F486&amp;""))="free entry"),IF(ISNUMBER($K486),$K486,""),IF($K486&lt;&gt;"",$K486,""))))))</ns0:f>
      </ns0:c>
      <ns0:c r="Q486" s="114">
        <ns0:f>IF(COUNTA($A486:$M486)=0,"",IF(OR($U486="Subscription",$U486=""),"",IF($U486="Estimate","N/A",IF($U486="Profit",ROUND(IFERROR($P486,0)-IFERROR($H486,0),2),0))))</ns0:f>
      </ns0:c>
      <ns0:c r="R486" s="114">
        <ns0:f>IF(COUNTA($A486:$M486)=0,"",IF(OR($U486="Subscription",$U486=""),"",IF($U486="Estimate","N/A",IF($U486="Draw",$H486,0))))</ns0:f>
      </ns0:c>
      <ns0:c r="S486" s="114">
        <ns0:f>IF(COUNTA($A486:$M486)=0,"",IF(OR($U486="Subscription",$U486=""),"",IF($U486="Estimate","N/A",IF($U486="Disqualified",$H486,0))))</ns0:f>
      </ns0:c>
      <ns0:c r="T486" s="955">
        <ns0:f>IF(COUNTA($A486:$M486)=0,"",IF(OR($U486="Subscription",$U486=""),"",IF($U486="Estimate","N/A",IF(OR($U486="Free Game",$U486="Disqualified — Free Game",$H486=0),"N/A",IF($U486="Profit",$Q486/$H486,IF($U486="Disqualified",-$S486/$H486,0))))))</ns0:f>
      </ns0:c>
      <ns0:c r="U486" s="920">
        <ns0:f>IF(COUNTA($A486:$M486)=0,"",IF(OR(LEFT(LOWER(TRIM($F486&amp;"")),12)="subscription",LOWER(TRIM($F486&amp;""))="membership"),"Subscription",IF(LOWER(TRIM($D486&amp;""))="estimate","Estimate",IF(OR(AND($H486&lt;&gt;"",$H486=0),LEFT(LOWER(TRIM($F486&amp;"")),9)="free game",LOWER(TRIM($F486&amp;""))="free",LOWER(TRIM($F486&amp;""))="free entry"),IF(LOWER($L486&amp;"")="yes","Disqualified — Free Game","Free Game"),IF(LOWER($L486&amp;"")="yes","Disqualified",IF($P486="","",IF(ROUND(IFERROR(VALUE($P486),0)-IFERROR(VALUE($H486),0),2)&gt;0,"Profit","Draw")))))))</ns0:f>
      </ns0:c>
      <ns0:c r="V486" s="956" t="str">
        <ns0:f>IF(COUNTA($A486:$M486)=0,"",IF(OR($B486="",$C486="",$U486="Subscription"),"",IFERROR(ROUNDUP(($C486-$B486)/7,0),"")))</ns0:f>
      </ns0:c>
      <ns0:c r="W486" s="114">
        <ns0:f>IF(COUNTA($A486:$M486)=0,"",IF(OR($U486="Subscription",$U486=""),"",IF($U486="Estimate","N/A",IF(OR($U486="Free Game",$U486="Disqualified — Free Game"),0,ROUND(IFERROR($Q486,0)-IFERROR($S486,0),2)))))</ns0:f>
      </ns0:c>
      <ns0:c r="X486" s="956" t="str">
        <ns0:f>IF(COUNTA($A486:$M486)=0,"",IF(OR($U486="Subscription",NOT(ISNUMBER($J486)),NOT(ISNUMBER($I486)),$J486=0,$I486=0,$I486&gt;$J486),"",$J486-$I486))</ns0:f>
      </ns0:c>
      <ns0:c r="Y486" s="955" t="str">
        <ns0:f>IF(COUNTA($A486:$M486)=0,"",IF(OR($U486="Subscription",NOT(ISNUMBER($J486)),$J486=0,$X486=""),"",$X486/$J486))</ns0:f>
      </ns0:c>
      <ns0:c r="Z486" s="957" t="str">
        <ns0:f>IF(COUNTA($A486:$M486)=0,"",Instructions!$B$29+SUM($W$5:W486))</ns0:f>
      </ns0:c>
    </ns0:row>
    <ns0:row r="487" ht="36" customHeight="1">
      <ns0:c r="A487" s="439"/>
      <ns0:c r="B487" s="453"/>
      <ns0:c r="C487" s="453"/>
      <ns0:c r="D487" s="454"/>
      <ns0:c r="E487" s="454"/>
      <ns0:c r="F487" s="454"/>
      <ns0:c r="G487" s="986"/>
      <ns0:c r="H487" s="455"/>
      <ns0:c r="I487" s="456"/>
      <ns0:c r="J487" s="456"/>
      <ns0:c r="K487" s="986"/>
      <ns0:c r="L487" s="454"/>
      <ns0:c r="M487" s="439"/>
      <ns0:c r="N487" s="987" t="str">
        <ns0:f>IF(COUNTA($A487:$M487)=0,"",IF(OR(LEFT(LOWER(TRIM($F487&amp;"")),12)="subscription",LOWER(TRIM($F487&amp;""))="membership"),"",IF(OR(AND($H487&lt;&gt;"",$H487=0),LEFT(LOWER(TRIM($F487&amp;"")),9)="free game",LOWER(TRIM($F487&amp;""))="free",LOWER(TRIM($F487&amp;""))="free entry"),IF(ISNUMBER($G487),IF(ISNUMBER(SEARCH("non",LOWER($E487&amp;""))),$G487*0.85,$G487),"N/A"),IF($G487="","",IFERROR(IF(ISNUMBER(SEARCH("non",LOWER($E487&amp;""))),$G487*0.85,$G487),"")))))</ns0:f>
        <ns0:v/>
      </ns0:c>
      <ns0:c r="O487" s="987" t="str">
        <ns0:f>IF(COUNTA($A487:$M487)=0,"",IF(OR(LEFT(LOWER(TRIM($F487&amp;"")),12)="subscription",LOWER(TRIM($F487&amp;""))="membership"),"",IF(OR(AND($H487&lt;&gt;"",$H487=0),LEFT(LOWER(TRIM($F487&amp;"")),9)="free game",LOWER(TRIM($F487&amp;""))="free",LOWER(TRIM($F487&amp;""))="free entry"),IF(OR(NOT(ISNUMBER($N487)),NOT(ISNUMBER($I487)),$I487=0),"N/A",IFERROR($N487/$I487,"N/A")),IF(OR($N487="",$I487="",$I487=0),"",IFERROR($N487/$I487,"")))))</ns0:f>
        <ns0:v/>
      </ns0:c>
      <ns0:c r="P487" s="987">
        <ns0:f>IF(COUNTA($A487:$M487)=0,"",IF(OR(LEFT(LOWER(TRIM($F487&amp;"")),12)="subscription",LOWER(TRIM($F487&amp;""))="membership"),"",IF(LOWER(TRIM($D487&amp;""))="estimate","N/A",IF(LOWER($L487&amp;"")="yes",0,IF(OR(AND($H487&lt;&gt;"",$H487=0),LEFT(LOWER(TRIM($F487&amp;"")),9)="free game",LOWER(TRIM($F487&amp;""))="free",LOWER(TRIM($F487&amp;""))="free entry"),IF(ISNUMBER($K487),$K487,""),IF($K487&lt;&gt;"",$K487,""))))))</ns0:f>
      </ns0:c>
      <ns0:c r="Q487" s="114">
        <ns0:f>IF(COUNTA($A487:$M487)=0,"",IF(OR($U487="Subscription",$U487=""),"",IF($U487="Estimate","N/A",IF($U487="Profit",ROUND(IFERROR($P487,0)-IFERROR($H487,0),2),0))))</ns0:f>
      </ns0:c>
      <ns0:c r="R487" s="114">
        <ns0:f>IF(COUNTA($A487:$M487)=0,"",IF(OR($U487="Subscription",$U487=""),"",IF($U487="Estimate","N/A",IF($U487="Draw",$H487,0))))</ns0:f>
      </ns0:c>
      <ns0:c r="S487" s="114">
        <ns0:f>IF(COUNTA($A487:$M487)=0,"",IF(OR($U487="Subscription",$U487=""),"",IF($U487="Estimate","N/A",IF($U487="Disqualified",$H487,0))))</ns0:f>
      </ns0:c>
      <ns0:c r="T487" s="955">
        <ns0:f>IF(COUNTA($A487:$M487)=0,"",IF(OR($U487="Subscription",$U487=""),"",IF($U487="Estimate","N/A",IF(OR($U487="Free Game",$U487="Disqualified — Free Game",$H487=0),"N/A",IF($U487="Profit",$Q487/$H487,IF($U487="Disqualified",-$S487/$H487,0))))))</ns0:f>
      </ns0:c>
      <ns0:c r="U487" s="920">
        <ns0:f>IF(COUNTA($A487:$M487)=0,"",IF(OR(LEFT(LOWER(TRIM($F487&amp;"")),12)="subscription",LOWER(TRIM($F487&amp;""))="membership"),"Subscription",IF(LOWER(TRIM($D487&amp;""))="estimate","Estimate",IF(OR(AND($H487&lt;&gt;"",$H487=0),LEFT(LOWER(TRIM($F487&amp;"")),9)="free game",LOWER(TRIM($F487&amp;""))="free",LOWER(TRIM($F487&amp;""))="free entry"),IF(LOWER($L487&amp;"")="yes","Disqualified — Free Game","Free Game"),IF(LOWER($L487&amp;"")="yes","Disqualified",IF($P487="","",IF(ROUND(IFERROR(VALUE($P487),0)-IFERROR(VALUE($H487),0),2)&gt;0,"Profit","Draw")))))))</ns0:f>
      </ns0:c>
      <ns0:c r="V487" s="956" t="str">
        <ns0:f>IF(COUNTA($A487:$M487)=0,"",IF(OR($B487="",$C487="",$U487="Subscription"),"",IFERROR(ROUNDUP(($C487-$B487)/7,0),"")))</ns0:f>
      </ns0:c>
      <ns0:c r="W487" s="114">
        <ns0:f>IF(COUNTA($A487:$M487)=0,"",IF(OR($U487="Subscription",$U487=""),"",IF($U487="Estimate","N/A",IF(OR($U487="Free Game",$U487="Disqualified — Free Game"),0,ROUND(IFERROR($Q487,0)-IFERROR($S487,0),2)))))</ns0:f>
      </ns0:c>
      <ns0:c r="X487" s="956" t="str">
        <ns0:f>IF(COUNTA($A487:$M487)=0,"",IF(OR($U487="Subscription",NOT(ISNUMBER($J487)),NOT(ISNUMBER($I487)),$J487=0,$I487=0,$I487&gt;$J487),"",$J487-$I487))</ns0:f>
      </ns0:c>
      <ns0:c r="Y487" s="955" t="str">
        <ns0:f>IF(COUNTA($A487:$M487)=0,"",IF(OR($U487="Subscription",NOT(ISNUMBER($J487)),$J487=0,$X487=""),"",$X487/$J487))</ns0:f>
      </ns0:c>
      <ns0:c r="Z487" s="957" t="str">
        <ns0:f>IF(COUNTA($A487:$M487)=0,"",Instructions!$B$29+SUM($W$5:W487))</ns0:f>
      </ns0:c>
    </ns0:row>
    <ns0:row r="488" ht="36" customHeight="1">
      <ns0:c r="A488" s="439"/>
      <ns0:c r="B488" s="453"/>
      <ns0:c r="C488" s="453"/>
      <ns0:c r="D488" s="454"/>
      <ns0:c r="E488" s="454"/>
      <ns0:c r="F488" s="454"/>
      <ns0:c r="G488" s="986"/>
      <ns0:c r="H488" s="455"/>
      <ns0:c r="I488" s="456"/>
      <ns0:c r="J488" s="456"/>
      <ns0:c r="K488" s="986"/>
      <ns0:c r="L488" s="454"/>
      <ns0:c r="M488" s="439"/>
      <ns0:c r="N488" s="987" t="str">
        <ns0:f>IF(COUNTA($A488:$M488)=0,"",IF(OR(LEFT(LOWER(TRIM($F488&amp;"")),12)="subscription",LOWER(TRIM($F488&amp;""))="membership"),"",IF(OR(AND($H488&lt;&gt;"",$H488=0),LEFT(LOWER(TRIM($F488&amp;"")),9)="free game",LOWER(TRIM($F488&amp;""))="free",LOWER(TRIM($F488&amp;""))="free entry"),IF(ISNUMBER($G488),IF(ISNUMBER(SEARCH("non",LOWER($E488&amp;""))),$G488*0.85,$G488),"N/A"),IF($G488="","",IFERROR(IF(ISNUMBER(SEARCH("non",LOWER($E488&amp;""))),$G488*0.85,$G488),"")))))</ns0:f>
        <ns0:v/>
      </ns0:c>
      <ns0:c r="O488" s="987" t="str">
        <ns0:f>IF(COUNTA($A488:$M488)=0,"",IF(OR(LEFT(LOWER(TRIM($F488&amp;"")),12)="subscription",LOWER(TRIM($F488&amp;""))="membership"),"",IF(OR(AND($H488&lt;&gt;"",$H488=0),LEFT(LOWER(TRIM($F488&amp;"")),9)="free game",LOWER(TRIM($F488&amp;""))="free",LOWER(TRIM($F488&amp;""))="free entry"),IF(OR(NOT(ISNUMBER($N488)),NOT(ISNUMBER($I488)),$I488=0),"N/A",IFERROR($N488/$I488,"N/A")),IF(OR($N488="",$I488="",$I488=0),"",IFERROR($N488/$I488,"")))))</ns0:f>
        <ns0:v/>
      </ns0:c>
      <ns0:c r="P488" s="987">
        <ns0:f>IF(COUNTA($A488:$M488)=0,"",IF(OR(LEFT(LOWER(TRIM($F488&amp;"")),12)="subscription",LOWER(TRIM($F488&amp;""))="membership"),"",IF(LOWER(TRIM($D488&amp;""))="estimate","N/A",IF(LOWER($L488&amp;"")="yes",0,IF(OR(AND($H488&lt;&gt;"",$H488=0),LEFT(LOWER(TRIM($F488&amp;"")),9)="free game",LOWER(TRIM($F488&amp;""))="free",LOWER(TRIM($F488&amp;""))="free entry"),IF(ISNUMBER($K488),$K488,""),IF($K488&lt;&gt;"",$K488,""))))))</ns0:f>
      </ns0:c>
      <ns0:c r="Q488" s="114">
        <ns0:f>IF(COUNTA($A488:$M488)=0,"",IF(OR($U488="Subscription",$U488=""),"",IF($U488="Estimate","N/A",IF($U488="Profit",ROUND(IFERROR($P488,0)-IFERROR($H488,0),2),0))))</ns0:f>
      </ns0:c>
      <ns0:c r="R488" s="114">
        <ns0:f>IF(COUNTA($A488:$M488)=0,"",IF(OR($U488="Subscription",$U488=""),"",IF($U488="Estimate","N/A",IF($U488="Draw",$H488,0))))</ns0:f>
      </ns0:c>
      <ns0:c r="S488" s="114">
        <ns0:f>IF(COUNTA($A488:$M488)=0,"",IF(OR($U488="Subscription",$U488=""),"",IF($U488="Estimate","N/A",IF($U488="Disqualified",$H488,0))))</ns0:f>
      </ns0:c>
      <ns0:c r="T488" s="955">
        <ns0:f>IF(COUNTA($A488:$M488)=0,"",IF(OR($U488="Subscription",$U488=""),"",IF($U488="Estimate","N/A",IF(OR($U488="Free Game",$U488="Disqualified — Free Game",$H488=0),"N/A",IF($U488="Profit",$Q488/$H488,IF($U488="Disqualified",-$S488/$H488,0))))))</ns0:f>
      </ns0:c>
      <ns0:c r="U488" s="920">
        <ns0:f>IF(COUNTA($A488:$M488)=0,"",IF(OR(LEFT(LOWER(TRIM($F488&amp;"")),12)="subscription",LOWER(TRIM($F488&amp;""))="membership"),"Subscription",IF(LOWER(TRIM($D488&amp;""))="estimate","Estimate",IF(OR(AND($H488&lt;&gt;"",$H488=0),LEFT(LOWER(TRIM($F488&amp;"")),9)="free game",LOWER(TRIM($F488&amp;""))="free",LOWER(TRIM($F488&amp;""))="free entry"),IF(LOWER($L488&amp;"")="yes","Disqualified — Free Game","Free Game"),IF(LOWER($L488&amp;"")="yes","Disqualified",IF($P488="","",IF(ROUND(IFERROR(VALUE($P488),0)-IFERROR(VALUE($H488),0),2)&gt;0,"Profit","Draw")))))))</ns0:f>
      </ns0:c>
      <ns0:c r="V488" s="956" t="str">
        <ns0:f>IF(COUNTA($A488:$M488)=0,"",IF(OR($B488="",$C488="",$U488="Subscription"),"",IFERROR(ROUNDUP(($C488-$B488)/7,0),"")))</ns0:f>
      </ns0:c>
      <ns0:c r="W488" s="114">
        <ns0:f>IF(COUNTA($A488:$M488)=0,"",IF(OR($U488="Subscription",$U488=""),"",IF($U488="Estimate","N/A",IF(OR($U488="Free Game",$U488="Disqualified — Free Game"),0,ROUND(IFERROR($Q488,0)-IFERROR($S488,0),2)))))</ns0:f>
      </ns0:c>
      <ns0:c r="X488" s="956" t="str">
        <ns0:f>IF(COUNTA($A488:$M488)=0,"",IF(OR($U488="Subscription",NOT(ISNUMBER($J488)),NOT(ISNUMBER($I488)),$J488=0,$I488=0,$I488&gt;$J488),"",$J488-$I488))</ns0:f>
      </ns0:c>
      <ns0:c r="Y488" s="955" t="str">
        <ns0:f>IF(COUNTA($A488:$M488)=0,"",IF(OR($U488="Subscription",NOT(ISNUMBER($J488)),$J488=0,$X488=""),"",$X488/$J488))</ns0:f>
      </ns0:c>
      <ns0:c r="Z488" s="957" t="str">
        <ns0:f>IF(COUNTA($A488:$M488)=0,"",Instructions!$B$29+SUM($W$5:W488))</ns0:f>
      </ns0:c>
    </ns0:row>
    <ns0:row r="489" ht="36" customHeight="1">
      <ns0:c r="A489" s="439"/>
      <ns0:c r="B489" s="453"/>
      <ns0:c r="C489" s="453"/>
      <ns0:c r="D489" s="454"/>
      <ns0:c r="E489" s="454"/>
      <ns0:c r="F489" s="454"/>
      <ns0:c r="G489" s="986"/>
      <ns0:c r="H489" s="455"/>
      <ns0:c r="I489" s="456"/>
      <ns0:c r="J489" s="456"/>
      <ns0:c r="K489" s="986"/>
      <ns0:c r="L489" s="454"/>
      <ns0:c r="M489" s="439"/>
      <ns0:c r="N489" s="987" t="str">
        <ns0:f>IF(COUNTA($A489:$M489)=0,"",IF(OR(LEFT(LOWER(TRIM($F489&amp;"")),12)="subscription",LOWER(TRIM($F489&amp;""))="membership"),"",IF(OR(AND($H489&lt;&gt;"",$H489=0),LEFT(LOWER(TRIM($F489&amp;"")),9)="free game",LOWER(TRIM($F489&amp;""))="free",LOWER(TRIM($F489&amp;""))="free entry"),IF(ISNUMBER($G489),IF(ISNUMBER(SEARCH("non",LOWER($E489&amp;""))),$G489*0.85,$G489),"N/A"),IF($G489="","",IFERROR(IF(ISNUMBER(SEARCH("non",LOWER($E489&amp;""))),$G489*0.85,$G489),"")))))</ns0:f>
        <ns0:v/>
      </ns0:c>
      <ns0:c r="O489" s="987" t="str">
        <ns0:f>IF(COUNTA($A489:$M489)=0,"",IF(OR(LEFT(LOWER(TRIM($F489&amp;"")),12)="subscription",LOWER(TRIM($F489&amp;""))="membership"),"",IF(OR(AND($H489&lt;&gt;"",$H489=0),LEFT(LOWER(TRIM($F489&amp;"")),9)="free game",LOWER(TRIM($F489&amp;""))="free",LOWER(TRIM($F489&amp;""))="free entry"),IF(OR(NOT(ISNUMBER($N489)),NOT(ISNUMBER($I489)),$I489=0),"N/A",IFERROR($N489/$I489,"N/A")),IF(OR($N489="",$I489="",$I489=0),"",IFERROR($N489/$I489,"")))))</ns0:f>
        <ns0:v/>
      </ns0:c>
      <ns0:c r="P489" s="987">
        <ns0:f>IF(COUNTA($A489:$M489)=0,"",IF(OR(LEFT(LOWER(TRIM($F489&amp;"")),12)="subscription",LOWER(TRIM($F489&amp;""))="membership"),"",IF(LOWER(TRIM($D489&amp;""))="estimate","N/A",IF(LOWER($L489&amp;"")="yes",0,IF(OR(AND($H489&lt;&gt;"",$H489=0),LEFT(LOWER(TRIM($F489&amp;"")),9)="free game",LOWER(TRIM($F489&amp;""))="free",LOWER(TRIM($F489&amp;""))="free entry"),IF(ISNUMBER($K489),$K489,""),IF($K489&lt;&gt;"",$K489,""))))))</ns0:f>
      </ns0:c>
      <ns0:c r="Q489" s="114">
        <ns0:f>IF(COUNTA($A489:$M489)=0,"",IF(OR($U489="Subscription",$U489=""),"",IF($U489="Estimate","N/A",IF($U489="Profit",ROUND(IFERROR($P489,0)-IFERROR($H489,0),2),0))))</ns0:f>
      </ns0:c>
      <ns0:c r="R489" s="114">
        <ns0:f>IF(COUNTA($A489:$M489)=0,"",IF(OR($U489="Subscription",$U489=""),"",IF($U489="Estimate","N/A",IF($U489="Draw",$H489,0))))</ns0:f>
      </ns0:c>
      <ns0:c r="S489" s="114">
        <ns0:f>IF(COUNTA($A489:$M489)=0,"",IF(OR($U489="Subscription",$U489=""),"",IF($U489="Estimate","N/A",IF($U489="Disqualified",$H489,0))))</ns0:f>
      </ns0:c>
      <ns0:c r="T489" s="955">
        <ns0:f>IF(COUNTA($A489:$M489)=0,"",IF(OR($U489="Subscription",$U489=""),"",IF($U489="Estimate","N/A",IF(OR($U489="Free Game",$U489="Disqualified — Free Game",$H489=0),"N/A",IF($U489="Profit",$Q489/$H489,IF($U489="Disqualified",-$S489/$H489,0))))))</ns0:f>
      </ns0:c>
      <ns0:c r="U489" s="920">
        <ns0:f>IF(COUNTA($A489:$M489)=0,"",IF(OR(LEFT(LOWER(TRIM($F489&amp;"")),12)="subscription",LOWER(TRIM($F489&amp;""))="membership"),"Subscription",IF(LOWER(TRIM($D489&amp;""))="estimate","Estimate",IF(OR(AND($H489&lt;&gt;"",$H489=0),LEFT(LOWER(TRIM($F489&amp;"")),9)="free game",LOWER(TRIM($F489&amp;""))="free",LOWER(TRIM($F489&amp;""))="free entry"),IF(LOWER($L489&amp;"")="yes","Disqualified — Free Game","Free Game"),IF(LOWER($L489&amp;"")="yes","Disqualified",IF($P489="","",IF(ROUND(IFERROR(VALUE($P489),0)-IFERROR(VALUE($H489),0),2)&gt;0,"Profit","Draw")))))))</ns0:f>
      </ns0:c>
      <ns0:c r="V489" s="956" t="str">
        <ns0:f>IF(COUNTA($A489:$M489)=0,"",IF(OR($B489="",$C489="",$U489="Subscription"),"",IFERROR(ROUNDUP(($C489-$B489)/7,0),"")))</ns0:f>
      </ns0:c>
      <ns0:c r="W489" s="114">
        <ns0:f>IF(COUNTA($A489:$M489)=0,"",IF(OR($U489="Subscription",$U489=""),"",IF($U489="Estimate","N/A",IF(OR($U489="Free Game",$U489="Disqualified — Free Game"),0,ROUND(IFERROR($Q489,0)-IFERROR($S489,0),2)))))</ns0:f>
      </ns0:c>
      <ns0:c r="X489" s="956" t="str">
        <ns0:f>IF(COUNTA($A489:$M489)=0,"",IF(OR($U489="Subscription",NOT(ISNUMBER($J489)),NOT(ISNUMBER($I489)),$J489=0,$I489=0,$I489&gt;$J489),"",$J489-$I489))</ns0:f>
      </ns0:c>
      <ns0:c r="Y489" s="955" t="str">
        <ns0:f>IF(COUNTA($A489:$M489)=0,"",IF(OR($U489="Subscription",NOT(ISNUMBER($J489)),$J489=0,$X489=""),"",$X489/$J489))</ns0:f>
      </ns0:c>
      <ns0:c r="Z489" s="957" t="str">
        <ns0:f>IF(COUNTA($A489:$M489)=0,"",Instructions!$B$29+SUM($W$5:W489))</ns0:f>
      </ns0:c>
    </ns0:row>
    <ns0:row r="490" ht="36" customHeight="1">
      <ns0:c r="A490" s="439"/>
      <ns0:c r="B490" s="453"/>
      <ns0:c r="C490" s="453"/>
      <ns0:c r="D490" s="454"/>
      <ns0:c r="E490" s="454"/>
      <ns0:c r="F490" s="454"/>
      <ns0:c r="G490" s="986"/>
      <ns0:c r="H490" s="455"/>
      <ns0:c r="I490" s="456"/>
      <ns0:c r="J490" s="456"/>
      <ns0:c r="K490" s="986"/>
      <ns0:c r="L490" s="454"/>
      <ns0:c r="M490" s="439"/>
      <ns0:c r="N490" s="987" t="str">
        <ns0:f>IF(COUNTA($A490:$M490)=0,"",IF(OR(LEFT(LOWER(TRIM($F490&amp;"")),12)="subscription",LOWER(TRIM($F490&amp;""))="membership"),"",IF(OR(AND($H490&lt;&gt;"",$H490=0),LEFT(LOWER(TRIM($F490&amp;"")),9)="free game",LOWER(TRIM($F490&amp;""))="free",LOWER(TRIM($F490&amp;""))="free entry"),IF(ISNUMBER($G490),IF(ISNUMBER(SEARCH("non",LOWER($E490&amp;""))),$G490*0.85,$G490),"N/A"),IF($G490="","",IFERROR(IF(ISNUMBER(SEARCH("non",LOWER($E490&amp;""))),$G490*0.85,$G490),"")))))</ns0:f>
        <ns0:v/>
      </ns0:c>
      <ns0:c r="O490" s="987" t="str">
        <ns0:f>IF(COUNTA($A490:$M490)=0,"",IF(OR(LEFT(LOWER(TRIM($F490&amp;"")),12)="subscription",LOWER(TRIM($F490&amp;""))="membership"),"",IF(OR(AND($H490&lt;&gt;"",$H490=0),LEFT(LOWER(TRIM($F490&amp;"")),9)="free game",LOWER(TRIM($F490&amp;""))="free",LOWER(TRIM($F490&amp;""))="free entry"),IF(OR(NOT(ISNUMBER($N490)),NOT(ISNUMBER($I490)),$I490=0),"N/A",IFERROR($N490/$I490,"N/A")),IF(OR($N490="",$I490="",$I490=0),"",IFERROR($N490/$I490,"")))))</ns0:f>
        <ns0:v/>
      </ns0:c>
      <ns0:c r="P490" s="987">
        <ns0:f>IF(COUNTA($A490:$M490)=0,"",IF(OR(LEFT(LOWER(TRIM($F490&amp;"")),12)="subscription",LOWER(TRIM($F490&amp;""))="membership"),"",IF(LOWER(TRIM($D490&amp;""))="estimate","N/A",IF(LOWER($L490&amp;"")="yes",0,IF(OR(AND($H490&lt;&gt;"",$H490=0),LEFT(LOWER(TRIM($F490&amp;"")),9)="free game",LOWER(TRIM($F490&amp;""))="free",LOWER(TRIM($F490&amp;""))="free entry"),IF(ISNUMBER($K490),$K490,""),IF($K490&lt;&gt;"",$K490,""))))))</ns0:f>
      </ns0:c>
      <ns0:c r="Q490" s="114">
        <ns0:f>IF(COUNTA($A490:$M490)=0,"",IF(OR($U490="Subscription",$U490=""),"",IF($U490="Estimate","N/A",IF($U490="Profit",ROUND(IFERROR($P490,0)-IFERROR($H490,0),2),0))))</ns0:f>
      </ns0:c>
      <ns0:c r="R490" s="114">
        <ns0:f>IF(COUNTA($A490:$M490)=0,"",IF(OR($U490="Subscription",$U490=""),"",IF($U490="Estimate","N/A",IF($U490="Draw",$H490,0))))</ns0:f>
      </ns0:c>
      <ns0:c r="S490" s="114">
        <ns0:f>IF(COUNTA($A490:$M490)=0,"",IF(OR($U490="Subscription",$U490=""),"",IF($U490="Estimate","N/A",IF($U490="Disqualified",$H490,0))))</ns0:f>
      </ns0:c>
      <ns0:c r="T490" s="955">
        <ns0:f>IF(COUNTA($A490:$M490)=0,"",IF(OR($U490="Subscription",$U490=""),"",IF($U490="Estimate","N/A",IF(OR($U490="Free Game",$U490="Disqualified — Free Game",$H490=0),"N/A",IF($U490="Profit",$Q490/$H490,IF($U490="Disqualified",-$S490/$H490,0))))))</ns0:f>
      </ns0:c>
      <ns0:c r="U490" s="920">
        <ns0:f>IF(COUNTA($A490:$M490)=0,"",IF(OR(LEFT(LOWER(TRIM($F490&amp;"")),12)="subscription",LOWER(TRIM($F490&amp;""))="membership"),"Subscription",IF(LOWER(TRIM($D490&amp;""))="estimate","Estimate",IF(OR(AND($H490&lt;&gt;"",$H490=0),LEFT(LOWER(TRIM($F490&amp;"")),9)="free game",LOWER(TRIM($F490&amp;""))="free",LOWER(TRIM($F490&amp;""))="free entry"),IF(LOWER($L490&amp;"")="yes","Disqualified — Free Game","Free Game"),IF(LOWER($L490&amp;"")="yes","Disqualified",IF($P490="","",IF(ROUND(IFERROR(VALUE($P490),0)-IFERROR(VALUE($H490),0),2)&gt;0,"Profit","Draw")))))))</ns0:f>
      </ns0:c>
      <ns0:c r="V490" s="956" t="str">
        <ns0:f>IF(COUNTA($A490:$M490)=0,"",IF(OR($B490="",$C490="",$U490="Subscription"),"",IFERROR(ROUNDUP(($C490-$B490)/7,0),"")))</ns0:f>
      </ns0:c>
      <ns0:c r="W490" s="114">
        <ns0:f>IF(COUNTA($A490:$M490)=0,"",IF(OR($U490="Subscription",$U490=""),"",IF($U490="Estimate","N/A",IF(OR($U490="Free Game",$U490="Disqualified — Free Game"),0,ROUND(IFERROR($Q490,0)-IFERROR($S490,0),2)))))</ns0:f>
      </ns0:c>
      <ns0:c r="X490" s="956" t="str">
        <ns0:f>IF(COUNTA($A490:$M490)=0,"",IF(OR($U490="Subscription",NOT(ISNUMBER($J490)),NOT(ISNUMBER($I490)),$J490=0,$I490=0,$I490&gt;$J490),"",$J490-$I490))</ns0:f>
      </ns0:c>
      <ns0:c r="Y490" s="955" t="str">
        <ns0:f>IF(COUNTA($A490:$M490)=0,"",IF(OR($U490="Subscription",NOT(ISNUMBER($J490)),$J490=0,$X490=""),"",$X490/$J490))</ns0:f>
      </ns0:c>
      <ns0:c r="Z490" s="957" t="str">
        <ns0:f>IF(COUNTA($A490:$M490)=0,"",Instructions!$B$29+SUM($W$5:W490))</ns0:f>
      </ns0:c>
    </ns0:row>
    <ns0:row r="491" ht="36" customHeight="1">
      <ns0:c r="A491" s="439"/>
      <ns0:c r="B491" s="453"/>
      <ns0:c r="C491" s="453"/>
      <ns0:c r="D491" s="454"/>
      <ns0:c r="E491" s="454"/>
      <ns0:c r="F491" s="454"/>
      <ns0:c r="G491" s="986"/>
      <ns0:c r="H491" s="455"/>
      <ns0:c r="I491" s="456"/>
      <ns0:c r="J491" s="456"/>
      <ns0:c r="K491" s="986"/>
      <ns0:c r="L491" s="454"/>
      <ns0:c r="M491" s="439"/>
      <ns0:c r="N491" s="987" t="str">
        <ns0:f>IF(COUNTA($A491:$M491)=0,"",IF(OR(LEFT(LOWER(TRIM($F491&amp;"")),12)="subscription",LOWER(TRIM($F491&amp;""))="membership"),"",IF(OR(AND($H491&lt;&gt;"",$H491=0),LEFT(LOWER(TRIM($F491&amp;"")),9)="free game",LOWER(TRIM($F491&amp;""))="free",LOWER(TRIM($F491&amp;""))="free entry"),IF(ISNUMBER($G491),IF(ISNUMBER(SEARCH("non",LOWER($E491&amp;""))),$G491*0.85,$G491),"N/A"),IF($G491="","",IFERROR(IF(ISNUMBER(SEARCH("non",LOWER($E491&amp;""))),$G491*0.85,$G491),"")))))</ns0:f>
        <ns0:v/>
      </ns0:c>
      <ns0:c r="O491" s="987" t="str">
        <ns0:f>IF(COUNTA($A491:$M491)=0,"",IF(OR(LEFT(LOWER(TRIM($F491&amp;"")),12)="subscription",LOWER(TRIM($F491&amp;""))="membership"),"",IF(OR(AND($H491&lt;&gt;"",$H491=0),LEFT(LOWER(TRIM($F491&amp;"")),9)="free game",LOWER(TRIM($F491&amp;""))="free",LOWER(TRIM($F491&amp;""))="free entry"),IF(OR(NOT(ISNUMBER($N491)),NOT(ISNUMBER($I491)),$I491=0),"N/A",IFERROR($N491/$I491,"N/A")),IF(OR($N491="",$I491="",$I491=0),"",IFERROR($N491/$I491,"")))))</ns0:f>
        <ns0:v/>
      </ns0:c>
      <ns0:c r="P491" s="987">
        <ns0:f>IF(COUNTA($A491:$M491)=0,"",IF(OR(LEFT(LOWER(TRIM($F491&amp;"")),12)="subscription",LOWER(TRIM($F491&amp;""))="membership"),"",IF(LOWER(TRIM($D491&amp;""))="estimate","N/A",IF(LOWER($L491&amp;"")="yes",0,IF(OR(AND($H491&lt;&gt;"",$H491=0),LEFT(LOWER(TRIM($F491&amp;"")),9)="free game",LOWER(TRIM($F491&amp;""))="free",LOWER(TRIM($F491&amp;""))="free entry"),IF(ISNUMBER($K491),$K491,""),IF($K491&lt;&gt;"",$K491,""))))))</ns0:f>
      </ns0:c>
      <ns0:c r="Q491" s="114">
        <ns0:f>IF(COUNTA($A491:$M491)=0,"",IF(OR($U491="Subscription",$U491=""),"",IF($U491="Estimate","N/A",IF($U491="Profit",ROUND(IFERROR($P491,0)-IFERROR($H491,0),2),0))))</ns0:f>
      </ns0:c>
      <ns0:c r="R491" s="114">
        <ns0:f>IF(COUNTA($A491:$M491)=0,"",IF(OR($U491="Subscription",$U491=""),"",IF($U491="Estimate","N/A",IF($U491="Draw",$H491,0))))</ns0:f>
      </ns0:c>
      <ns0:c r="S491" s="114">
        <ns0:f>IF(COUNTA($A491:$M491)=0,"",IF(OR($U491="Subscription",$U491=""),"",IF($U491="Estimate","N/A",IF($U491="Disqualified",$H491,0))))</ns0:f>
      </ns0:c>
      <ns0:c r="T491" s="955">
        <ns0:f>IF(COUNTA($A491:$M491)=0,"",IF(OR($U491="Subscription",$U491=""),"",IF($U491="Estimate","N/A",IF(OR($U491="Free Game",$U491="Disqualified — Free Game",$H491=0),"N/A",IF($U491="Profit",$Q491/$H491,IF($U491="Disqualified",-$S491/$H491,0))))))</ns0:f>
      </ns0:c>
      <ns0:c r="U491" s="920">
        <ns0:f>IF(COUNTA($A491:$M491)=0,"",IF(OR(LEFT(LOWER(TRIM($F491&amp;"")),12)="subscription",LOWER(TRIM($F491&amp;""))="membership"),"Subscription",IF(LOWER(TRIM($D491&amp;""))="estimate","Estimate",IF(OR(AND($H491&lt;&gt;"",$H491=0),LEFT(LOWER(TRIM($F491&amp;"")),9)="free game",LOWER(TRIM($F491&amp;""))="free",LOWER(TRIM($F491&amp;""))="free entry"),IF(LOWER($L491&amp;"")="yes","Disqualified — Free Game","Free Game"),IF(LOWER($L491&amp;"")="yes","Disqualified",IF($P491="","",IF(ROUND(IFERROR(VALUE($P491),0)-IFERROR(VALUE($H491),0),2)&gt;0,"Profit","Draw")))))))</ns0:f>
      </ns0:c>
      <ns0:c r="V491" s="956" t="str">
        <ns0:f>IF(COUNTA($A491:$M491)=0,"",IF(OR($B491="",$C491="",$U491="Subscription"),"",IFERROR(ROUNDUP(($C491-$B491)/7,0),"")))</ns0:f>
      </ns0:c>
      <ns0:c r="W491" s="114">
        <ns0:f>IF(COUNTA($A491:$M491)=0,"",IF(OR($U491="Subscription",$U491=""),"",IF($U491="Estimate","N/A",IF(OR($U491="Free Game",$U491="Disqualified — Free Game"),0,ROUND(IFERROR($Q491,0)-IFERROR($S491,0),2)))))</ns0:f>
      </ns0:c>
      <ns0:c r="X491" s="956" t="str">
        <ns0:f>IF(COUNTA($A491:$M491)=0,"",IF(OR($U491="Subscription",NOT(ISNUMBER($J491)),NOT(ISNUMBER($I491)),$J491=0,$I491=0,$I491&gt;$J491),"",$J491-$I491))</ns0:f>
      </ns0:c>
      <ns0:c r="Y491" s="955" t="str">
        <ns0:f>IF(COUNTA($A491:$M491)=0,"",IF(OR($U491="Subscription",NOT(ISNUMBER($J491)),$J491=0,$X491=""),"",$X491/$J491))</ns0:f>
      </ns0:c>
      <ns0:c r="Z491" s="957" t="str">
        <ns0:f>IF(COUNTA($A491:$M491)=0,"",Instructions!$B$29+SUM($W$5:W491))</ns0:f>
      </ns0:c>
    </ns0:row>
    <ns0:row r="492" ht="36" customHeight="1">
      <ns0:c r="A492" s="439"/>
      <ns0:c r="B492" s="453"/>
      <ns0:c r="C492" s="453"/>
      <ns0:c r="D492" s="454"/>
      <ns0:c r="E492" s="454"/>
      <ns0:c r="F492" s="454"/>
      <ns0:c r="G492" s="986"/>
      <ns0:c r="H492" s="455"/>
      <ns0:c r="I492" s="456"/>
      <ns0:c r="J492" s="456"/>
      <ns0:c r="K492" s="986"/>
      <ns0:c r="L492" s="454"/>
      <ns0:c r="M492" s="439"/>
      <ns0:c r="N492" s="987" t="str">
        <ns0:f>IF(COUNTA($A492:$M492)=0,"",IF(OR(LEFT(LOWER(TRIM($F492&amp;"")),12)="subscription",LOWER(TRIM($F492&amp;""))="membership"),"",IF(OR(AND($H492&lt;&gt;"",$H492=0),LEFT(LOWER(TRIM($F492&amp;"")),9)="free game",LOWER(TRIM($F492&amp;""))="free",LOWER(TRIM($F492&amp;""))="free entry"),IF(ISNUMBER($G492),IF(ISNUMBER(SEARCH("non",LOWER($E492&amp;""))),$G492*0.85,$G492),"N/A"),IF($G492="","",IFERROR(IF(ISNUMBER(SEARCH("non",LOWER($E492&amp;""))),$G492*0.85,$G492),"")))))</ns0:f>
        <ns0:v/>
      </ns0:c>
      <ns0:c r="O492" s="987" t="str">
        <ns0:f>IF(COUNTA($A492:$M492)=0,"",IF(OR(LEFT(LOWER(TRIM($F492&amp;"")),12)="subscription",LOWER(TRIM($F492&amp;""))="membership"),"",IF(OR(AND($H492&lt;&gt;"",$H492=0),LEFT(LOWER(TRIM($F492&amp;"")),9)="free game",LOWER(TRIM($F492&amp;""))="free",LOWER(TRIM($F492&amp;""))="free entry"),IF(OR(NOT(ISNUMBER($N492)),NOT(ISNUMBER($I492)),$I492=0),"N/A",IFERROR($N492/$I492,"N/A")),IF(OR($N492="",$I492="",$I492=0),"",IFERROR($N492/$I492,"")))))</ns0:f>
        <ns0:v/>
      </ns0:c>
      <ns0:c r="P492" s="987">
        <ns0:f>IF(COUNTA($A492:$M492)=0,"",IF(OR(LEFT(LOWER(TRIM($F492&amp;"")),12)="subscription",LOWER(TRIM($F492&amp;""))="membership"),"",IF(LOWER(TRIM($D492&amp;""))="estimate","N/A",IF(LOWER($L492&amp;"")="yes",0,IF(OR(AND($H492&lt;&gt;"",$H492=0),LEFT(LOWER(TRIM($F492&amp;"")),9)="free game",LOWER(TRIM($F492&amp;""))="free",LOWER(TRIM($F492&amp;""))="free entry"),IF(ISNUMBER($K492),$K492,""),IF($K492&lt;&gt;"",$K492,""))))))</ns0:f>
      </ns0:c>
      <ns0:c r="Q492" s="114">
        <ns0:f>IF(COUNTA($A492:$M492)=0,"",IF(OR($U492="Subscription",$U492=""),"",IF($U492="Estimate","N/A",IF($U492="Profit",ROUND(IFERROR($P492,0)-IFERROR($H492,0),2),0))))</ns0:f>
      </ns0:c>
      <ns0:c r="R492" s="114">
        <ns0:f>IF(COUNTA($A492:$M492)=0,"",IF(OR($U492="Subscription",$U492=""),"",IF($U492="Estimate","N/A",IF($U492="Draw",$H492,0))))</ns0:f>
      </ns0:c>
      <ns0:c r="S492" s="114">
        <ns0:f>IF(COUNTA($A492:$M492)=0,"",IF(OR($U492="Subscription",$U492=""),"",IF($U492="Estimate","N/A",IF($U492="Disqualified",$H492,0))))</ns0:f>
      </ns0:c>
      <ns0:c r="T492" s="955">
        <ns0:f>IF(COUNTA($A492:$M492)=0,"",IF(OR($U492="Subscription",$U492=""),"",IF($U492="Estimate","N/A",IF(OR($U492="Free Game",$U492="Disqualified — Free Game",$H492=0),"N/A",IF($U492="Profit",$Q492/$H492,IF($U492="Disqualified",-$S492/$H492,0))))))</ns0:f>
      </ns0:c>
      <ns0:c r="U492" s="920">
        <ns0:f>IF(COUNTA($A492:$M492)=0,"",IF(OR(LEFT(LOWER(TRIM($F492&amp;"")),12)="subscription",LOWER(TRIM($F492&amp;""))="membership"),"Subscription",IF(LOWER(TRIM($D492&amp;""))="estimate","Estimate",IF(OR(AND($H492&lt;&gt;"",$H492=0),LEFT(LOWER(TRIM($F492&amp;"")),9)="free game",LOWER(TRIM($F492&amp;""))="free",LOWER(TRIM($F492&amp;""))="free entry"),IF(LOWER($L492&amp;"")="yes","Disqualified — Free Game","Free Game"),IF(LOWER($L492&amp;"")="yes","Disqualified",IF($P492="","",IF(ROUND(IFERROR(VALUE($P492),0)-IFERROR(VALUE($H492),0),2)&gt;0,"Profit","Draw")))))))</ns0:f>
      </ns0:c>
      <ns0:c r="V492" s="956" t="str">
        <ns0:f>IF(COUNTA($A492:$M492)=0,"",IF(OR($B492="",$C492="",$U492="Subscription"),"",IFERROR(ROUNDUP(($C492-$B492)/7,0),"")))</ns0:f>
      </ns0:c>
      <ns0:c r="W492" s="114">
        <ns0:f>IF(COUNTA($A492:$M492)=0,"",IF(OR($U492="Subscription",$U492=""),"",IF($U492="Estimate","N/A",IF(OR($U492="Free Game",$U492="Disqualified — Free Game"),0,ROUND(IFERROR($Q492,0)-IFERROR($S492,0),2)))))</ns0:f>
      </ns0:c>
      <ns0:c r="X492" s="956" t="str">
        <ns0:f>IF(COUNTA($A492:$M492)=0,"",IF(OR($U492="Subscription",NOT(ISNUMBER($J492)),NOT(ISNUMBER($I492)),$J492=0,$I492=0,$I492&gt;$J492),"",$J492-$I492))</ns0:f>
      </ns0:c>
      <ns0:c r="Y492" s="955" t="str">
        <ns0:f>IF(COUNTA($A492:$M492)=0,"",IF(OR($U492="Subscription",NOT(ISNUMBER($J492)),$J492=0,$X492=""),"",$X492/$J492))</ns0:f>
      </ns0:c>
      <ns0:c r="Z492" s="957" t="str">
        <ns0:f>IF(COUNTA($A492:$M492)=0,"",Instructions!$B$29+SUM($W$5:W492))</ns0:f>
      </ns0:c>
    </ns0:row>
    <ns0:row r="493" ht="36" customHeight="1">
      <ns0:c r="A493" s="439"/>
      <ns0:c r="B493" s="453"/>
      <ns0:c r="C493" s="453"/>
      <ns0:c r="D493" s="454"/>
      <ns0:c r="E493" s="454"/>
      <ns0:c r="F493" s="454"/>
      <ns0:c r="G493" s="986"/>
      <ns0:c r="H493" s="455"/>
      <ns0:c r="I493" s="456"/>
      <ns0:c r="J493" s="456"/>
      <ns0:c r="K493" s="986"/>
      <ns0:c r="L493" s="454"/>
      <ns0:c r="M493" s="439"/>
      <ns0:c r="N493" s="987" t="str">
        <ns0:f>IF(COUNTA($A493:$M493)=0,"",IF(OR(LEFT(LOWER(TRIM($F493&amp;"")),12)="subscription",LOWER(TRIM($F493&amp;""))="membership"),"",IF(OR(AND($H493&lt;&gt;"",$H493=0),LEFT(LOWER(TRIM($F493&amp;"")),9)="free game",LOWER(TRIM($F493&amp;""))="free",LOWER(TRIM($F493&amp;""))="free entry"),IF(ISNUMBER($G493),IF(ISNUMBER(SEARCH("non",LOWER($E493&amp;""))),$G493*0.85,$G493),"N/A"),IF($G493="","",IFERROR(IF(ISNUMBER(SEARCH("non",LOWER($E493&amp;""))),$G493*0.85,$G493),"")))))</ns0:f>
        <ns0:v/>
      </ns0:c>
      <ns0:c r="O493" s="987" t="str">
        <ns0:f>IF(COUNTA($A493:$M493)=0,"",IF(OR(LEFT(LOWER(TRIM($F493&amp;"")),12)="subscription",LOWER(TRIM($F493&amp;""))="membership"),"",IF(OR(AND($H493&lt;&gt;"",$H493=0),LEFT(LOWER(TRIM($F493&amp;"")),9)="free game",LOWER(TRIM($F493&amp;""))="free",LOWER(TRIM($F493&amp;""))="free entry"),IF(OR(NOT(ISNUMBER($N493)),NOT(ISNUMBER($I493)),$I493=0),"N/A",IFERROR($N493/$I493,"N/A")),IF(OR($N493="",$I493="",$I493=0),"",IFERROR($N493/$I493,"")))))</ns0:f>
        <ns0:v/>
      </ns0:c>
      <ns0:c r="P493" s="987">
        <ns0:f>IF(COUNTA($A493:$M493)=0,"",IF(OR(LEFT(LOWER(TRIM($F493&amp;"")),12)="subscription",LOWER(TRIM($F493&amp;""))="membership"),"",IF(LOWER(TRIM($D493&amp;""))="estimate","N/A",IF(LOWER($L493&amp;"")="yes",0,IF(OR(AND($H493&lt;&gt;"",$H493=0),LEFT(LOWER(TRIM($F493&amp;"")),9)="free game",LOWER(TRIM($F493&amp;""))="free",LOWER(TRIM($F493&amp;""))="free entry"),IF(ISNUMBER($K493),$K493,""),IF($K493&lt;&gt;"",$K493,""))))))</ns0:f>
      </ns0:c>
      <ns0:c r="Q493" s="114">
        <ns0:f>IF(COUNTA($A493:$M493)=0,"",IF(OR($U493="Subscription",$U493=""),"",IF($U493="Estimate","N/A",IF($U493="Profit",ROUND(IFERROR($P493,0)-IFERROR($H493,0),2),0))))</ns0:f>
      </ns0:c>
      <ns0:c r="R493" s="114">
        <ns0:f>IF(COUNTA($A493:$M493)=0,"",IF(OR($U493="Subscription",$U493=""),"",IF($U493="Estimate","N/A",IF($U493="Draw",$H493,0))))</ns0:f>
      </ns0:c>
      <ns0:c r="S493" s="114">
        <ns0:f>IF(COUNTA($A493:$M493)=0,"",IF(OR($U493="Subscription",$U493=""),"",IF($U493="Estimate","N/A",IF($U493="Disqualified",$H493,0))))</ns0:f>
      </ns0:c>
      <ns0:c r="T493" s="955">
        <ns0:f>IF(COUNTA($A493:$M493)=0,"",IF(OR($U493="Subscription",$U493=""),"",IF($U493="Estimate","N/A",IF(OR($U493="Free Game",$U493="Disqualified — Free Game",$H493=0),"N/A",IF($U493="Profit",$Q493/$H493,IF($U493="Disqualified",-$S493/$H493,0))))))</ns0:f>
      </ns0:c>
      <ns0:c r="U493" s="920">
        <ns0:f>IF(COUNTA($A493:$M493)=0,"",IF(OR(LEFT(LOWER(TRIM($F493&amp;"")),12)="subscription",LOWER(TRIM($F493&amp;""))="membership"),"Subscription",IF(LOWER(TRIM($D493&amp;""))="estimate","Estimate",IF(OR(AND($H493&lt;&gt;"",$H493=0),LEFT(LOWER(TRIM($F493&amp;"")),9)="free game",LOWER(TRIM($F493&amp;""))="free",LOWER(TRIM($F493&amp;""))="free entry"),IF(LOWER($L493&amp;"")="yes","Disqualified — Free Game","Free Game"),IF(LOWER($L493&amp;"")="yes","Disqualified",IF($P493="","",IF(ROUND(IFERROR(VALUE($P493),0)-IFERROR(VALUE($H493),0),2)&gt;0,"Profit","Draw")))))))</ns0:f>
      </ns0:c>
      <ns0:c r="V493" s="956" t="str">
        <ns0:f>IF(COUNTA($A493:$M493)=0,"",IF(OR($B493="",$C493="",$U493="Subscription"),"",IFERROR(ROUNDUP(($C493-$B493)/7,0),"")))</ns0:f>
      </ns0:c>
      <ns0:c r="W493" s="114">
        <ns0:f>IF(COUNTA($A493:$M493)=0,"",IF(OR($U493="Subscription",$U493=""),"",IF($U493="Estimate","N/A",IF(OR($U493="Free Game",$U493="Disqualified — Free Game"),0,ROUND(IFERROR($Q493,0)-IFERROR($S493,0),2)))))</ns0:f>
      </ns0:c>
      <ns0:c r="X493" s="956" t="str">
        <ns0:f>IF(COUNTA($A493:$M493)=0,"",IF(OR($U493="Subscription",NOT(ISNUMBER($J493)),NOT(ISNUMBER($I493)),$J493=0,$I493=0,$I493&gt;$J493),"",$J493-$I493))</ns0:f>
      </ns0:c>
      <ns0:c r="Y493" s="955" t="str">
        <ns0:f>IF(COUNTA($A493:$M493)=0,"",IF(OR($U493="Subscription",NOT(ISNUMBER($J493)),$J493=0,$X493=""),"",$X493/$J493))</ns0:f>
      </ns0:c>
      <ns0:c r="Z493" s="957" t="str">
        <ns0:f>IF(COUNTA($A493:$M493)=0,"",Instructions!$B$29+SUM($W$5:W493))</ns0:f>
      </ns0:c>
    </ns0:row>
    <ns0:row r="494" ht="36" customHeight="1">
      <ns0:c r="A494" s="439"/>
      <ns0:c r="B494" s="453"/>
      <ns0:c r="C494" s="453"/>
      <ns0:c r="D494" s="454"/>
      <ns0:c r="E494" s="454"/>
      <ns0:c r="F494" s="454"/>
      <ns0:c r="G494" s="986"/>
      <ns0:c r="H494" s="455"/>
      <ns0:c r="I494" s="456"/>
      <ns0:c r="J494" s="456"/>
      <ns0:c r="K494" s="986"/>
      <ns0:c r="L494" s="454"/>
      <ns0:c r="M494" s="439"/>
      <ns0:c r="N494" s="987" t="str">
        <ns0:f>IF(COUNTA($A494:$M494)=0,"",IF(OR(LEFT(LOWER(TRIM($F494&amp;"")),12)="subscription",LOWER(TRIM($F494&amp;""))="membership"),"",IF(OR(AND($H494&lt;&gt;"",$H494=0),LEFT(LOWER(TRIM($F494&amp;"")),9)="free game",LOWER(TRIM($F494&amp;""))="free",LOWER(TRIM($F494&amp;""))="free entry"),IF(ISNUMBER($G494),IF(ISNUMBER(SEARCH("non",LOWER($E494&amp;""))),$G494*0.85,$G494),"N/A"),IF($G494="","",IFERROR(IF(ISNUMBER(SEARCH("non",LOWER($E494&amp;""))),$G494*0.85,$G494),"")))))</ns0:f>
        <ns0:v/>
      </ns0:c>
      <ns0:c r="O494" s="987" t="str">
        <ns0:f>IF(COUNTA($A494:$M494)=0,"",IF(OR(LEFT(LOWER(TRIM($F494&amp;"")),12)="subscription",LOWER(TRIM($F494&amp;""))="membership"),"",IF(OR(AND($H494&lt;&gt;"",$H494=0),LEFT(LOWER(TRIM($F494&amp;"")),9)="free game",LOWER(TRIM($F494&amp;""))="free",LOWER(TRIM($F494&amp;""))="free entry"),IF(OR(NOT(ISNUMBER($N494)),NOT(ISNUMBER($I494)),$I494=0),"N/A",IFERROR($N494/$I494,"N/A")),IF(OR($N494="",$I494="",$I494=0),"",IFERROR($N494/$I494,"")))))</ns0:f>
        <ns0:v/>
      </ns0:c>
      <ns0:c r="P494" s="987">
        <ns0:f>IF(COUNTA($A494:$M494)=0,"",IF(OR(LEFT(LOWER(TRIM($F494&amp;"")),12)="subscription",LOWER(TRIM($F494&amp;""))="membership"),"",IF(LOWER(TRIM($D494&amp;""))="estimate","N/A",IF(LOWER($L494&amp;"")="yes",0,IF(OR(AND($H494&lt;&gt;"",$H494=0),LEFT(LOWER(TRIM($F494&amp;"")),9)="free game",LOWER(TRIM($F494&amp;""))="free",LOWER(TRIM($F494&amp;""))="free entry"),IF(ISNUMBER($K494),$K494,""),IF($K494&lt;&gt;"",$K494,""))))))</ns0:f>
      </ns0:c>
      <ns0:c r="Q494" s="114">
        <ns0:f>IF(COUNTA($A494:$M494)=0,"",IF(OR($U494="Subscription",$U494=""),"",IF($U494="Estimate","N/A",IF($U494="Profit",ROUND(IFERROR($P494,0)-IFERROR($H494,0),2),0))))</ns0:f>
      </ns0:c>
      <ns0:c r="R494" s="114">
        <ns0:f>IF(COUNTA($A494:$M494)=0,"",IF(OR($U494="Subscription",$U494=""),"",IF($U494="Estimate","N/A",IF($U494="Draw",$H494,0))))</ns0:f>
      </ns0:c>
      <ns0:c r="S494" s="114">
        <ns0:f>IF(COUNTA($A494:$M494)=0,"",IF(OR($U494="Subscription",$U494=""),"",IF($U494="Estimate","N/A",IF($U494="Disqualified",$H494,0))))</ns0:f>
      </ns0:c>
      <ns0:c r="T494" s="955">
        <ns0:f>IF(COUNTA($A494:$M494)=0,"",IF(OR($U494="Subscription",$U494=""),"",IF($U494="Estimate","N/A",IF(OR($U494="Free Game",$U494="Disqualified — Free Game",$H494=0),"N/A",IF($U494="Profit",$Q494/$H494,IF($U494="Disqualified",-$S494/$H494,0))))))</ns0:f>
      </ns0:c>
      <ns0:c r="U494" s="920">
        <ns0:f>IF(COUNTA($A494:$M494)=0,"",IF(OR(LEFT(LOWER(TRIM($F494&amp;"")),12)="subscription",LOWER(TRIM($F494&amp;""))="membership"),"Subscription",IF(LOWER(TRIM($D494&amp;""))="estimate","Estimate",IF(OR(AND($H494&lt;&gt;"",$H494=0),LEFT(LOWER(TRIM($F494&amp;"")),9)="free game",LOWER(TRIM($F494&amp;""))="free",LOWER(TRIM($F494&amp;""))="free entry"),IF(LOWER($L494&amp;"")="yes","Disqualified — Free Game","Free Game"),IF(LOWER($L494&amp;"")="yes","Disqualified",IF($P494="","",IF(ROUND(IFERROR(VALUE($P494),0)-IFERROR(VALUE($H494),0),2)&gt;0,"Profit","Draw")))))))</ns0:f>
      </ns0:c>
      <ns0:c r="V494" s="956" t="str">
        <ns0:f>IF(COUNTA($A494:$M494)=0,"",IF(OR($B494="",$C494="",$U494="Subscription"),"",IFERROR(ROUNDUP(($C494-$B494)/7,0),"")))</ns0:f>
      </ns0:c>
      <ns0:c r="W494" s="114">
        <ns0:f>IF(COUNTA($A494:$M494)=0,"",IF(OR($U494="Subscription",$U494=""),"",IF($U494="Estimate","N/A",IF(OR($U494="Free Game",$U494="Disqualified — Free Game"),0,ROUND(IFERROR($Q494,0)-IFERROR($S494,0),2)))))</ns0:f>
      </ns0:c>
      <ns0:c r="X494" s="956" t="str">
        <ns0:f>IF(COUNTA($A494:$M494)=0,"",IF(OR($U494="Subscription",NOT(ISNUMBER($J494)),NOT(ISNUMBER($I494)),$J494=0,$I494=0,$I494&gt;$J494),"",$J494-$I494))</ns0:f>
      </ns0:c>
      <ns0:c r="Y494" s="955" t="str">
        <ns0:f>IF(COUNTA($A494:$M494)=0,"",IF(OR($U494="Subscription",NOT(ISNUMBER($J494)),$J494=0,$X494=""),"",$X494/$J494))</ns0:f>
      </ns0:c>
      <ns0:c r="Z494" s="957" t="str">
        <ns0:f>IF(COUNTA($A494:$M494)=0,"",Instructions!$B$29+SUM($W$5:W494))</ns0:f>
      </ns0:c>
    </ns0:row>
    <ns0:row r="495" ht="36" customHeight="1">
      <ns0:c r="A495" s="439"/>
      <ns0:c r="B495" s="453"/>
      <ns0:c r="C495" s="453"/>
      <ns0:c r="D495" s="454"/>
      <ns0:c r="E495" s="454"/>
      <ns0:c r="F495" s="454"/>
      <ns0:c r="G495" s="986"/>
      <ns0:c r="H495" s="455"/>
      <ns0:c r="I495" s="456"/>
      <ns0:c r="J495" s="456"/>
      <ns0:c r="K495" s="986"/>
      <ns0:c r="L495" s="454"/>
      <ns0:c r="M495" s="439"/>
      <ns0:c r="N495" s="987" t="str">
        <ns0:f>IF(COUNTA($A495:$M495)=0,"",IF(OR(LEFT(LOWER(TRIM($F495&amp;"")),12)="subscription",LOWER(TRIM($F495&amp;""))="membership"),"",IF(OR(AND($H495&lt;&gt;"",$H495=0),LEFT(LOWER(TRIM($F495&amp;"")),9)="free game",LOWER(TRIM($F495&amp;""))="free",LOWER(TRIM($F495&amp;""))="free entry"),IF(ISNUMBER($G495),IF(ISNUMBER(SEARCH("non",LOWER($E495&amp;""))),$G495*0.85,$G495),"N/A"),IF($G495="","",IFERROR(IF(ISNUMBER(SEARCH("non",LOWER($E495&amp;""))),$G495*0.85,$G495),"")))))</ns0:f>
        <ns0:v/>
      </ns0:c>
      <ns0:c r="O495" s="987" t="str">
        <ns0:f>IF(COUNTA($A495:$M495)=0,"",IF(OR(LEFT(LOWER(TRIM($F495&amp;"")),12)="subscription",LOWER(TRIM($F495&amp;""))="membership"),"",IF(OR(AND($H495&lt;&gt;"",$H495=0),LEFT(LOWER(TRIM($F495&amp;"")),9)="free game",LOWER(TRIM($F495&amp;""))="free",LOWER(TRIM($F495&amp;""))="free entry"),IF(OR(NOT(ISNUMBER($N495)),NOT(ISNUMBER($I495)),$I495=0),"N/A",IFERROR($N495/$I495,"N/A")),IF(OR($N495="",$I495="",$I495=0),"",IFERROR($N495/$I495,"")))))</ns0:f>
        <ns0:v/>
      </ns0:c>
      <ns0:c r="P495" s="987">
        <ns0:f>IF(COUNTA($A495:$M495)=0,"",IF(OR(LEFT(LOWER(TRIM($F495&amp;"")),12)="subscription",LOWER(TRIM($F495&amp;""))="membership"),"",IF(LOWER(TRIM($D495&amp;""))="estimate","N/A",IF(LOWER($L495&amp;"")="yes",0,IF(OR(AND($H495&lt;&gt;"",$H495=0),LEFT(LOWER(TRIM($F495&amp;"")),9)="free game",LOWER(TRIM($F495&amp;""))="free",LOWER(TRIM($F495&amp;""))="free entry"),IF(ISNUMBER($K495),$K495,""),IF($K495&lt;&gt;"",$K495,""))))))</ns0:f>
      </ns0:c>
      <ns0:c r="Q495" s="114">
        <ns0:f>IF(COUNTA($A495:$M495)=0,"",IF(OR($U495="Subscription",$U495=""),"",IF($U495="Estimate","N/A",IF($U495="Profit",ROUND(IFERROR($P495,0)-IFERROR($H495,0),2),0))))</ns0:f>
      </ns0:c>
      <ns0:c r="R495" s="114">
        <ns0:f>IF(COUNTA($A495:$M495)=0,"",IF(OR($U495="Subscription",$U495=""),"",IF($U495="Estimate","N/A",IF($U495="Draw",$H495,0))))</ns0:f>
      </ns0:c>
      <ns0:c r="S495" s="114">
        <ns0:f>IF(COUNTA($A495:$M495)=0,"",IF(OR($U495="Subscription",$U495=""),"",IF($U495="Estimate","N/A",IF($U495="Disqualified",$H495,0))))</ns0:f>
      </ns0:c>
      <ns0:c r="T495" s="955">
        <ns0:f>IF(COUNTA($A495:$M495)=0,"",IF(OR($U495="Subscription",$U495=""),"",IF($U495="Estimate","N/A",IF(OR($U495="Free Game",$U495="Disqualified — Free Game",$H495=0),"N/A",IF($U495="Profit",$Q495/$H495,IF($U495="Disqualified",-$S495/$H495,0))))))</ns0:f>
      </ns0:c>
      <ns0:c r="U495" s="920">
        <ns0:f>IF(COUNTA($A495:$M495)=0,"",IF(OR(LEFT(LOWER(TRIM($F495&amp;"")),12)="subscription",LOWER(TRIM($F495&amp;""))="membership"),"Subscription",IF(LOWER(TRIM($D495&amp;""))="estimate","Estimate",IF(OR(AND($H495&lt;&gt;"",$H495=0),LEFT(LOWER(TRIM($F495&amp;"")),9)="free game",LOWER(TRIM($F495&amp;""))="free",LOWER(TRIM($F495&amp;""))="free entry"),IF(LOWER($L495&amp;"")="yes","Disqualified — Free Game","Free Game"),IF(LOWER($L495&amp;"")="yes","Disqualified",IF($P495="","",IF(ROUND(IFERROR(VALUE($P495),0)-IFERROR(VALUE($H495),0),2)&gt;0,"Profit","Draw")))))))</ns0:f>
      </ns0:c>
      <ns0:c r="V495" s="956" t="str">
        <ns0:f>IF(COUNTA($A495:$M495)=0,"",IF(OR($B495="",$C495="",$U495="Subscription"),"",IFERROR(ROUNDUP(($C495-$B495)/7,0),"")))</ns0:f>
      </ns0:c>
      <ns0:c r="W495" s="114">
        <ns0:f>IF(COUNTA($A495:$M495)=0,"",IF(OR($U495="Subscription",$U495=""),"",IF($U495="Estimate","N/A",IF(OR($U495="Free Game",$U495="Disqualified — Free Game"),0,ROUND(IFERROR($Q495,0)-IFERROR($S495,0),2)))))</ns0:f>
      </ns0:c>
      <ns0:c r="X495" s="956" t="str">
        <ns0:f>IF(COUNTA($A495:$M495)=0,"",IF(OR($U495="Subscription",NOT(ISNUMBER($J495)),NOT(ISNUMBER($I495)),$J495=0,$I495=0,$I495&gt;$J495),"",$J495-$I495))</ns0:f>
      </ns0:c>
      <ns0:c r="Y495" s="955" t="str">
        <ns0:f>IF(COUNTA($A495:$M495)=0,"",IF(OR($U495="Subscription",NOT(ISNUMBER($J495)),$J495=0,$X495=""),"",$X495/$J495))</ns0:f>
      </ns0:c>
      <ns0:c r="Z495" s="957" t="str">
        <ns0:f>IF(COUNTA($A495:$M495)=0,"",Instructions!$B$29+SUM($W$5:W495))</ns0:f>
      </ns0:c>
    </ns0:row>
    <ns0:row r="496" ht="36" customHeight="1">
      <ns0:c r="A496" s="439"/>
      <ns0:c r="B496" s="453"/>
      <ns0:c r="C496" s="453"/>
      <ns0:c r="D496" s="454"/>
      <ns0:c r="E496" s="454"/>
      <ns0:c r="F496" s="454"/>
      <ns0:c r="G496" s="986"/>
      <ns0:c r="H496" s="455"/>
      <ns0:c r="I496" s="456"/>
      <ns0:c r="J496" s="456"/>
      <ns0:c r="K496" s="986"/>
      <ns0:c r="L496" s="454"/>
      <ns0:c r="M496" s="439"/>
      <ns0:c r="N496" s="987" t="str">
        <ns0:f>IF(COUNTA($A496:$M496)=0,"",IF(OR(LEFT(LOWER(TRIM($F496&amp;"")),12)="subscription",LOWER(TRIM($F496&amp;""))="membership"),"",IF(OR(AND($H496&lt;&gt;"",$H496=0),LEFT(LOWER(TRIM($F496&amp;"")),9)="free game",LOWER(TRIM($F496&amp;""))="free",LOWER(TRIM($F496&amp;""))="free entry"),IF(ISNUMBER($G496),IF(ISNUMBER(SEARCH("non",LOWER($E496&amp;""))),$G496*0.85,$G496),"N/A"),IF($G496="","",IFERROR(IF(ISNUMBER(SEARCH("non",LOWER($E496&amp;""))),$G496*0.85,$G496),"")))))</ns0:f>
        <ns0:v/>
      </ns0:c>
      <ns0:c r="O496" s="987" t="str">
        <ns0:f>IF(COUNTA($A496:$M496)=0,"",IF(OR(LEFT(LOWER(TRIM($F496&amp;"")),12)="subscription",LOWER(TRIM($F496&amp;""))="membership"),"",IF(OR(AND($H496&lt;&gt;"",$H496=0),LEFT(LOWER(TRIM($F496&amp;"")),9)="free game",LOWER(TRIM($F496&amp;""))="free",LOWER(TRIM($F496&amp;""))="free entry"),IF(OR(NOT(ISNUMBER($N496)),NOT(ISNUMBER($I496)),$I496=0),"N/A",IFERROR($N496/$I496,"N/A")),IF(OR($N496="",$I496="",$I496=0),"",IFERROR($N496/$I496,"")))))</ns0:f>
        <ns0:v/>
      </ns0:c>
      <ns0:c r="P496" s="987">
        <ns0:f>IF(COUNTA($A496:$M496)=0,"",IF(OR(LEFT(LOWER(TRIM($F496&amp;"")),12)="subscription",LOWER(TRIM($F496&amp;""))="membership"),"",IF(LOWER(TRIM($D496&amp;""))="estimate","N/A",IF(LOWER($L496&amp;"")="yes",0,IF(OR(AND($H496&lt;&gt;"",$H496=0),LEFT(LOWER(TRIM($F496&amp;"")),9)="free game",LOWER(TRIM($F496&amp;""))="free",LOWER(TRIM($F496&amp;""))="free entry"),IF(ISNUMBER($K496),$K496,""),IF($K496&lt;&gt;"",$K496,""))))))</ns0:f>
      </ns0:c>
      <ns0:c r="Q496" s="114">
        <ns0:f>IF(COUNTA($A496:$M496)=0,"",IF(OR($U496="Subscription",$U496=""),"",IF($U496="Estimate","N/A",IF($U496="Profit",ROUND(IFERROR($P496,0)-IFERROR($H496,0),2),0))))</ns0:f>
      </ns0:c>
      <ns0:c r="R496" s="114">
        <ns0:f>IF(COUNTA($A496:$M496)=0,"",IF(OR($U496="Subscription",$U496=""),"",IF($U496="Estimate","N/A",IF($U496="Draw",$H496,0))))</ns0:f>
      </ns0:c>
      <ns0:c r="S496" s="114">
        <ns0:f>IF(COUNTA($A496:$M496)=0,"",IF(OR($U496="Subscription",$U496=""),"",IF($U496="Estimate","N/A",IF($U496="Disqualified",$H496,0))))</ns0:f>
      </ns0:c>
      <ns0:c r="T496" s="955">
        <ns0:f>IF(COUNTA($A496:$M496)=0,"",IF(OR($U496="Subscription",$U496=""),"",IF($U496="Estimate","N/A",IF(OR($U496="Free Game",$U496="Disqualified — Free Game",$H496=0),"N/A",IF($U496="Profit",$Q496/$H496,IF($U496="Disqualified",-$S496/$H496,0))))))</ns0:f>
      </ns0:c>
      <ns0:c r="U496" s="920">
        <ns0:f>IF(COUNTA($A496:$M496)=0,"",IF(OR(LEFT(LOWER(TRIM($F496&amp;"")),12)="subscription",LOWER(TRIM($F496&amp;""))="membership"),"Subscription",IF(LOWER(TRIM($D496&amp;""))="estimate","Estimate",IF(OR(AND($H496&lt;&gt;"",$H496=0),LEFT(LOWER(TRIM($F496&amp;"")),9)="free game",LOWER(TRIM($F496&amp;""))="free",LOWER(TRIM($F496&amp;""))="free entry"),IF(LOWER($L496&amp;"")="yes","Disqualified — Free Game","Free Game"),IF(LOWER($L496&amp;"")="yes","Disqualified",IF($P496="","",IF(ROUND(IFERROR(VALUE($P496),0)-IFERROR(VALUE($H496),0),2)&gt;0,"Profit","Draw")))))))</ns0:f>
      </ns0:c>
      <ns0:c r="V496" s="956" t="str">
        <ns0:f>IF(COUNTA($A496:$M496)=0,"",IF(OR($B496="",$C496="",$U496="Subscription"),"",IFERROR(ROUNDUP(($C496-$B496)/7,0),"")))</ns0:f>
      </ns0:c>
      <ns0:c r="W496" s="114">
        <ns0:f>IF(COUNTA($A496:$M496)=0,"",IF(OR($U496="Subscription",$U496=""),"",IF($U496="Estimate","N/A",IF(OR($U496="Free Game",$U496="Disqualified — Free Game"),0,ROUND(IFERROR($Q496,0)-IFERROR($S496,0),2)))))</ns0:f>
      </ns0:c>
      <ns0:c r="X496" s="956" t="str">
        <ns0:f>IF(COUNTA($A496:$M496)=0,"",IF(OR($U496="Subscription",NOT(ISNUMBER($J496)),NOT(ISNUMBER($I496)),$J496=0,$I496=0,$I496&gt;$J496),"",$J496-$I496))</ns0:f>
      </ns0:c>
      <ns0:c r="Y496" s="955" t="str">
        <ns0:f>IF(COUNTA($A496:$M496)=0,"",IF(OR($U496="Subscription",NOT(ISNUMBER($J496)),$J496=0,$X496=""),"",$X496/$J496))</ns0:f>
      </ns0:c>
      <ns0:c r="Z496" s="957" t="str">
        <ns0:f>IF(COUNTA($A496:$M496)=0,"",Instructions!$B$29+SUM($W$5:W496))</ns0:f>
      </ns0:c>
    </ns0:row>
    <ns0:row r="497" ht="36" customHeight="1">
      <ns0:c r="A497" s="439"/>
      <ns0:c r="B497" s="453"/>
      <ns0:c r="C497" s="453"/>
      <ns0:c r="D497" s="454"/>
      <ns0:c r="E497" s="454"/>
      <ns0:c r="F497" s="454"/>
      <ns0:c r="G497" s="986"/>
      <ns0:c r="H497" s="455"/>
      <ns0:c r="I497" s="456"/>
      <ns0:c r="J497" s="456"/>
      <ns0:c r="K497" s="986"/>
      <ns0:c r="L497" s="454"/>
      <ns0:c r="M497" s="439"/>
      <ns0:c r="N497" s="987" t="str">
        <ns0:f>IF(COUNTA($A497:$M497)=0,"",IF(OR(LEFT(LOWER(TRIM($F497&amp;"")),12)="subscription",LOWER(TRIM($F497&amp;""))="membership"),"",IF(OR(AND($H497&lt;&gt;"",$H497=0),LEFT(LOWER(TRIM($F497&amp;"")),9)="free game",LOWER(TRIM($F497&amp;""))="free",LOWER(TRIM($F497&amp;""))="free entry"),IF(ISNUMBER($G497),IF(ISNUMBER(SEARCH("non",LOWER($E497&amp;""))),$G497*0.85,$G497),"N/A"),IF($G497="","",IFERROR(IF(ISNUMBER(SEARCH("non",LOWER($E497&amp;""))),$G497*0.85,$G497),"")))))</ns0:f>
        <ns0:v/>
      </ns0:c>
      <ns0:c r="O497" s="987" t="str">
        <ns0:f>IF(COUNTA($A497:$M497)=0,"",IF(OR(LEFT(LOWER(TRIM($F497&amp;"")),12)="subscription",LOWER(TRIM($F497&amp;""))="membership"),"",IF(OR(AND($H497&lt;&gt;"",$H497=0),LEFT(LOWER(TRIM($F497&amp;"")),9)="free game",LOWER(TRIM($F497&amp;""))="free",LOWER(TRIM($F497&amp;""))="free entry"),IF(OR(NOT(ISNUMBER($N497)),NOT(ISNUMBER($I497)),$I497=0),"N/A",IFERROR($N497/$I497,"N/A")),IF(OR($N497="",$I497="",$I497=0),"",IFERROR($N497/$I497,"")))))</ns0:f>
        <ns0:v/>
      </ns0:c>
      <ns0:c r="P497" s="987">
        <ns0:f>IF(COUNTA($A497:$M497)=0,"",IF(OR(LEFT(LOWER(TRIM($F497&amp;"")),12)="subscription",LOWER(TRIM($F497&amp;""))="membership"),"",IF(LOWER(TRIM($D497&amp;""))="estimate","N/A",IF(LOWER($L497&amp;"")="yes",0,IF(OR(AND($H497&lt;&gt;"",$H497=0),LEFT(LOWER(TRIM($F497&amp;"")),9)="free game",LOWER(TRIM($F497&amp;""))="free",LOWER(TRIM($F497&amp;""))="free entry"),IF(ISNUMBER($K497),$K497,""),IF($K497&lt;&gt;"",$K497,""))))))</ns0:f>
      </ns0:c>
      <ns0:c r="Q497" s="114">
        <ns0:f>IF(COUNTA($A497:$M497)=0,"",IF(OR($U497="Subscription",$U497=""),"",IF($U497="Estimate","N/A",IF($U497="Profit",ROUND(IFERROR($P497,0)-IFERROR($H497,0),2),0))))</ns0:f>
      </ns0:c>
      <ns0:c r="R497" s="114">
        <ns0:f>IF(COUNTA($A497:$M497)=0,"",IF(OR($U497="Subscription",$U497=""),"",IF($U497="Estimate","N/A",IF($U497="Draw",$H497,0))))</ns0:f>
      </ns0:c>
      <ns0:c r="S497" s="114">
        <ns0:f>IF(COUNTA($A497:$M497)=0,"",IF(OR($U497="Subscription",$U497=""),"",IF($U497="Estimate","N/A",IF($U497="Disqualified",$H497,0))))</ns0:f>
      </ns0:c>
      <ns0:c r="T497" s="955">
        <ns0:f>IF(COUNTA($A497:$M497)=0,"",IF(OR($U497="Subscription",$U497=""),"",IF($U497="Estimate","N/A",IF(OR($U497="Free Game",$U497="Disqualified — Free Game",$H497=0),"N/A",IF($U497="Profit",$Q497/$H497,IF($U497="Disqualified",-$S497/$H497,0))))))</ns0:f>
      </ns0:c>
      <ns0:c r="U497" s="920">
        <ns0:f>IF(COUNTA($A497:$M497)=0,"",IF(OR(LEFT(LOWER(TRIM($F497&amp;"")),12)="subscription",LOWER(TRIM($F497&amp;""))="membership"),"Subscription",IF(LOWER(TRIM($D497&amp;""))="estimate","Estimate",IF(OR(AND($H497&lt;&gt;"",$H497=0),LEFT(LOWER(TRIM($F497&amp;"")),9)="free game",LOWER(TRIM($F497&amp;""))="free",LOWER(TRIM($F497&amp;""))="free entry"),IF(LOWER($L497&amp;"")="yes","Disqualified — Free Game","Free Game"),IF(LOWER($L497&amp;"")="yes","Disqualified",IF($P497="","",IF(ROUND(IFERROR(VALUE($P497),0)-IFERROR(VALUE($H497),0),2)&gt;0,"Profit","Draw")))))))</ns0:f>
      </ns0:c>
      <ns0:c r="V497" s="956" t="str">
        <ns0:f>IF(COUNTA($A497:$M497)=0,"",IF(OR($B497="",$C497="",$U497="Subscription"),"",IFERROR(ROUNDUP(($C497-$B497)/7,0),"")))</ns0:f>
      </ns0:c>
      <ns0:c r="W497" s="114">
        <ns0:f>IF(COUNTA($A497:$M497)=0,"",IF(OR($U497="Subscription",$U497=""),"",IF($U497="Estimate","N/A",IF(OR($U497="Free Game",$U497="Disqualified — Free Game"),0,ROUND(IFERROR($Q497,0)-IFERROR($S497,0),2)))))</ns0:f>
      </ns0:c>
      <ns0:c r="X497" s="956" t="str">
        <ns0:f>IF(COUNTA($A497:$M497)=0,"",IF(OR($U497="Subscription",NOT(ISNUMBER($J497)),NOT(ISNUMBER($I497)),$J497=0,$I497=0,$I497&gt;$J497),"",$J497-$I497))</ns0:f>
      </ns0:c>
      <ns0:c r="Y497" s="955" t="str">
        <ns0:f>IF(COUNTA($A497:$M497)=0,"",IF(OR($U497="Subscription",NOT(ISNUMBER($J497)),$J497=0,$X497=""),"",$X497/$J497))</ns0:f>
      </ns0:c>
      <ns0:c r="Z497" s="957" t="str">
        <ns0:f>IF(COUNTA($A497:$M497)=0,"",Instructions!$B$29+SUM($W$5:W497))</ns0:f>
      </ns0:c>
    </ns0:row>
    <ns0:row r="498" ht="36" customHeight="1">
      <ns0:c r="A498" s="439"/>
      <ns0:c r="B498" s="453"/>
      <ns0:c r="C498" s="453"/>
      <ns0:c r="D498" s="454"/>
      <ns0:c r="E498" s="454"/>
      <ns0:c r="F498" s="454"/>
      <ns0:c r="G498" s="986"/>
      <ns0:c r="H498" s="455"/>
      <ns0:c r="I498" s="456"/>
      <ns0:c r="J498" s="456"/>
      <ns0:c r="K498" s="986"/>
      <ns0:c r="L498" s="454"/>
      <ns0:c r="M498" s="439"/>
      <ns0:c r="N498" s="987" t="str">
        <ns0:f>IF(COUNTA($A498:$M498)=0,"",IF(OR(LEFT(LOWER(TRIM($F498&amp;"")),12)="subscription",LOWER(TRIM($F498&amp;""))="membership"),"",IF(OR(AND($H498&lt;&gt;"",$H498=0),LEFT(LOWER(TRIM($F498&amp;"")),9)="free game",LOWER(TRIM($F498&amp;""))="free",LOWER(TRIM($F498&amp;""))="free entry"),IF(ISNUMBER($G498),IF(ISNUMBER(SEARCH("non",LOWER($E498&amp;""))),$G498*0.85,$G498),"N/A"),IF($G498="","",IFERROR(IF(ISNUMBER(SEARCH("non",LOWER($E498&amp;""))),$G498*0.85,$G498),"")))))</ns0:f>
        <ns0:v/>
      </ns0:c>
      <ns0:c r="O498" s="987" t="str">
        <ns0:f>IF(COUNTA($A498:$M498)=0,"",IF(OR(LEFT(LOWER(TRIM($F498&amp;"")),12)="subscription",LOWER(TRIM($F498&amp;""))="membership"),"",IF(OR(AND($H498&lt;&gt;"",$H498=0),LEFT(LOWER(TRIM($F498&amp;"")),9)="free game",LOWER(TRIM($F498&amp;""))="free",LOWER(TRIM($F498&amp;""))="free entry"),IF(OR(NOT(ISNUMBER($N498)),NOT(ISNUMBER($I498)),$I498=0),"N/A",IFERROR($N498/$I498,"N/A")),IF(OR($N498="",$I498="",$I498=0),"",IFERROR($N498/$I498,"")))))</ns0:f>
        <ns0:v/>
      </ns0:c>
      <ns0:c r="P498" s="987">
        <ns0:f>IF(COUNTA($A498:$M498)=0,"",IF(OR(LEFT(LOWER(TRIM($F498&amp;"")),12)="subscription",LOWER(TRIM($F498&amp;""))="membership"),"",IF(LOWER(TRIM($D498&amp;""))="estimate","N/A",IF(LOWER($L498&amp;"")="yes",0,IF(OR(AND($H498&lt;&gt;"",$H498=0),LEFT(LOWER(TRIM($F498&amp;"")),9)="free game",LOWER(TRIM($F498&amp;""))="free",LOWER(TRIM($F498&amp;""))="free entry"),IF(ISNUMBER($K498),$K498,""),IF($K498&lt;&gt;"",$K498,""))))))</ns0:f>
      </ns0:c>
      <ns0:c r="Q498" s="114">
        <ns0:f>IF(COUNTA($A498:$M498)=0,"",IF(OR($U498="Subscription",$U498=""),"",IF($U498="Estimate","N/A",IF($U498="Profit",ROUND(IFERROR($P498,0)-IFERROR($H498,0),2),0))))</ns0:f>
      </ns0:c>
      <ns0:c r="R498" s="114">
        <ns0:f>IF(COUNTA($A498:$M498)=0,"",IF(OR($U498="Subscription",$U498=""),"",IF($U498="Estimate","N/A",IF($U498="Draw",$H498,0))))</ns0:f>
      </ns0:c>
      <ns0:c r="S498" s="114">
        <ns0:f>IF(COUNTA($A498:$M498)=0,"",IF(OR($U498="Subscription",$U498=""),"",IF($U498="Estimate","N/A",IF($U498="Disqualified",$H498,0))))</ns0:f>
      </ns0:c>
      <ns0:c r="T498" s="955">
        <ns0:f>IF(COUNTA($A498:$M498)=0,"",IF(OR($U498="Subscription",$U498=""),"",IF($U498="Estimate","N/A",IF(OR($U498="Free Game",$U498="Disqualified — Free Game",$H498=0),"N/A",IF($U498="Profit",$Q498/$H498,IF($U498="Disqualified",-$S498/$H498,0))))))</ns0:f>
      </ns0:c>
      <ns0:c r="U498" s="920">
        <ns0:f>IF(COUNTA($A498:$M498)=0,"",IF(OR(LEFT(LOWER(TRIM($F498&amp;"")),12)="subscription",LOWER(TRIM($F498&amp;""))="membership"),"Subscription",IF(LOWER(TRIM($D498&amp;""))="estimate","Estimate",IF(OR(AND($H498&lt;&gt;"",$H498=0),LEFT(LOWER(TRIM($F498&amp;"")),9)="free game",LOWER(TRIM($F498&amp;""))="free",LOWER(TRIM($F498&amp;""))="free entry"),IF(LOWER($L498&amp;"")="yes","Disqualified — Free Game","Free Game"),IF(LOWER($L498&amp;"")="yes","Disqualified",IF($P498="","",IF(ROUND(IFERROR(VALUE($P498),0)-IFERROR(VALUE($H498),0),2)&gt;0,"Profit","Draw")))))))</ns0:f>
      </ns0:c>
      <ns0:c r="V498" s="956" t="str">
        <ns0:f>IF(COUNTA($A498:$M498)=0,"",IF(OR($B498="",$C498="",$U498="Subscription"),"",IFERROR(ROUNDUP(($C498-$B498)/7,0),"")))</ns0:f>
      </ns0:c>
      <ns0:c r="W498" s="114">
        <ns0:f>IF(COUNTA($A498:$M498)=0,"",IF(OR($U498="Subscription",$U498=""),"",IF($U498="Estimate","N/A",IF(OR($U498="Free Game",$U498="Disqualified — Free Game"),0,ROUND(IFERROR($Q498,0)-IFERROR($S498,0),2)))))</ns0:f>
      </ns0:c>
      <ns0:c r="X498" s="956" t="str">
        <ns0:f>IF(COUNTA($A498:$M498)=0,"",IF(OR($U498="Subscription",NOT(ISNUMBER($J498)),NOT(ISNUMBER($I498)),$J498=0,$I498=0,$I498&gt;$J498),"",$J498-$I498))</ns0:f>
      </ns0:c>
      <ns0:c r="Y498" s="955" t="str">
        <ns0:f>IF(COUNTA($A498:$M498)=0,"",IF(OR($U498="Subscription",NOT(ISNUMBER($J498)),$J498=0,$X498=""),"",$X498/$J498))</ns0:f>
      </ns0:c>
      <ns0:c r="Z498" s="957" t="str">
        <ns0:f>IF(COUNTA($A498:$M498)=0,"",Instructions!$B$29+SUM($W$5:W498))</ns0:f>
      </ns0:c>
    </ns0:row>
    <ns0:row r="499" ht="36" customHeight="1">
      <ns0:c r="A499" s="439"/>
      <ns0:c r="B499" s="453"/>
      <ns0:c r="C499" s="453"/>
      <ns0:c r="D499" s="454"/>
      <ns0:c r="E499" s="454"/>
      <ns0:c r="F499" s="454"/>
      <ns0:c r="G499" s="986"/>
      <ns0:c r="H499" s="455"/>
      <ns0:c r="I499" s="456"/>
      <ns0:c r="J499" s="456"/>
      <ns0:c r="K499" s="986"/>
      <ns0:c r="L499" s="454"/>
      <ns0:c r="M499" s="439"/>
      <ns0:c r="N499" s="987" t="str">
        <ns0:f>IF(COUNTA($A499:$M499)=0,"",IF(OR(LEFT(LOWER(TRIM($F499&amp;"")),12)="subscription",LOWER(TRIM($F499&amp;""))="membership"),"",IF(OR(AND($H499&lt;&gt;"",$H499=0),LEFT(LOWER(TRIM($F499&amp;"")),9)="free game",LOWER(TRIM($F499&amp;""))="free",LOWER(TRIM($F499&amp;""))="free entry"),IF(ISNUMBER($G499),IF(ISNUMBER(SEARCH("non",LOWER($E499&amp;""))),$G499*0.85,$G499),"N/A"),IF($G499="","",IFERROR(IF(ISNUMBER(SEARCH("non",LOWER($E499&amp;""))),$G499*0.85,$G499),"")))))</ns0:f>
        <ns0:v/>
      </ns0:c>
      <ns0:c r="O499" s="987" t="str">
        <ns0:f>IF(COUNTA($A499:$M499)=0,"",IF(OR(LEFT(LOWER(TRIM($F499&amp;"")),12)="subscription",LOWER(TRIM($F499&amp;""))="membership"),"",IF(OR(AND($H499&lt;&gt;"",$H499=0),LEFT(LOWER(TRIM($F499&amp;"")),9)="free game",LOWER(TRIM($F499&amp;""))="free",LOWER(TRIM($F499&amp;""))="free entry"),IF(OR(NOT(ISNUMBER($N499)),NOT(ISNUMBER($I499)),$I499=0),"N/A",IFERROR($N499/$I499,"N/A")),IF(OR($N499="",$I499="",$I499=0),"",IFERROR($N499/$I499,"")))))</ns0:f>
        <ns0:v/>
      </ns0:c>
      <ns0:c r="P499" s="987">
        <ns0:f>IF(COUNTA($A499:$M499)=0,"",IF(OR(LEFT(LOWER(TRIM($F499&amp;"")),12)="subscription",LOWER(TRIM($F499&amp;""))="membership"),"",IF(LOWER(TRIM($D499&amp;""))="estimate","N/A",IF(LOWER($L499&amp;"")="yes",0,IF(OR(AND($H499&lt;&gt;"",$H499=0),LEFT(LOWER(TRIM($F499&amp;"")),9)="free game",LOWER(TRIM($F499&amp;""))="free",LOWER(TRIM($F499&amp;""))="free entry"),IF(ISNUMBER($K499),$K499,""),IF($K499&lt;&gt;"",$K499,""))))))</ns0:f>
      </ns0:c>
      <ns0:c r="Q499" s="114">
        <ns0:f>IF(COUNTA($A499:$M499)=0,"",IF(OR($U499="Subscription",$U499=""),"",IF($U499="Estimate","N/A",IF($U499="Profit",ROUND(IFERROR($P499,0)-IFERROR($H499,0),2),0))))</ns0:f>
      </ns0:c>
      <ns0:c r="R499" s="114">
        <ns0:f>IF(COUNTA($A499:$M499)=0,"",IF(OR($U499="Subscription",$U499=""),"",IF($U499="Estimate","N/A",IF($U499="Draw",$H499,0))))</ns0:f>
      </ns0:c>
      <ns0:c r="S499" s="114">
        <ns0:f>IF(COUNTA($A499:$M499)=0,"",IF(OR($U499="Subscription",$U499=""),"",IF($U499="Estimate","N/A",IF($U499="Disqualified",$H499,0))))</ns0:f>
      </ns0:c>
      <ns0:c r="T499" s="955">
        <ns0:f>IF(COUNTA($A499:$M499)=0,"",IF(OR($U499="Subscription",$U499=""),"",IF($U499="Estimate","N/A",IF(OR($U499="Free Game",$U499="Disqualified — Free Game",$H499=0),"N/A",IF($U499="Profit",$Q499/$H499,IF($U499="Disqualified",-$S499/$H499,0))))))</ns0:f>
      </ns0:c>
      <ns0:c r="U499" s="920">
        <ns0:f>IF(COUNTA($A499:$M499)=0,"",IF(OR(LEFT(LOWER(TRIM($F499&amp;"")),12)="subscription",LOWER(TRIM($F499&amp;""))="membership"),"Subscription",IF(LOWER(TRIM($D499&amp;""))="estimate","Estimate",IF(OR(AND($H499&lt;&gt;"",$H499=0),LEFT(LOWER(TRIM($F499&amp;"")),9)="free game",LOWER(TRIM($F499&amp;""))="free",LOWER(TRIM($F499&amp;""))="free entry"),IF(LOWER($L499&amp;"")="yes","Disqualified — Free Game","Free Game"),IF(LOWER($L499&amp;"")="yes","Disqualified",IF($P499="","",IF(ROUND(IFERROR(VALUE($P499),0)-IFERROR(VALUE($H499),0),2)&gt;0,"Profit","Draw")))))))</ns0:f>
      </ns0:c>
      <ns0:c r="V499" s="956" t="str">
        <ns0:f>IF(COUNTA($A499:$M499)=0,"",IF(OR($B499="",$C499="",$U499="Subscription"),"",IFERROR(ROUNDUP(($C499-$B499)/7,0),"")))</ns0:f>
      </ns0:c>
      <ns0:c r="W499" s="114">
        <ns0:f>IF(COUNTA($A499:$M499)=0,"",IF(OR($U499="Subscription",$U499=""),"",IF($U499="Estimate","N/A",IF(OR($U499="Free Game",$U499="Disqualified — Free Game"),0,ROUND(IFERROR($Q499,0)-IFERROR($S499,0),2)))))</ns0:f>
      </ns0:c>
      <ns0:c r="X499" s="956" t="str">
        <ns0:f>IF(COUNTA($A499:$M499)=0,"",IF(OR($U499="Subscription",NOT(ISNUMBER($J499)),NOT(ISNUMBER($I499)),$J499=0,$I499=0,$I499&gt;$J499),"",$J499-$I499))</ns0:f>
      </ns0:c>
      <ns0:c r="Y499" s="955" t="str">
        <ns0:f>IF(COUNTA($A499:$M499)=0,"",IF(OR($U499="Subscription",NOT(ISNUMBER($J499)),$J499=0,$X499=""),"",$X499/$J499))</ns0:f>
      </ns0:c>
      <ns0:c r="Z499" s="957" t="str">
        <ns0:f>IF(COUNTA($A499:$M499)=0,"",Instructions!$B$29+SUM($W$5:W499))</ns0:f>
      </ns0:c>
    </ns0:row>
    <ns0:row r="500" ht="36" customHeight="1">
      <ns0:c r="A500" s="439"/>
      <ns0:c r="B500" s="453"/>
      <ns0:c r="C500" s="453"/>
      <ns0:c r="D500" s="454"/>
      <ns0:c r="E500" s="454"/>
      <ns0:c r="F500" s="454"/>
      <ns0:c r="G500" s="986"/>
      <ns0:c r="H500" s="455"/>
      <ns0:c r="I500" s="456"/>
      <ns0:c r="J500" s="456"/>
      <ns0:c r="K500" s="986"/>
      <ns0:c r="L500" s="454"/>
      <ns0:c r="M500" s="439"/>
      <ns0:c r="N500" s="987" t="str">
        <ns0:f>IF(COUNTA($A500:$M500)=0,"",IF(OR(LEFT(LOWER(TRIM($F500&amp;"")),12)="subscription",LOWER(TRIM($F500&amp;""))="membership"),"",IF(OR(AND($H500&lt;&gt;"",$H500=0),LEFT(LOWER(TRIM($F500&amp;"")),9)="free game",LOWER(TRIM($F500&amp;""))="free",LOWER(TRIM($F500&amp;""))="free entry"),IF(ISNUMBER($G500),IF(ISNUMBER(SEARCH("non",LOWER($E500&amp;""))),$G500*0.85,$G500),"N/A"),IF($G500="","",IFERROR(IF(ISNUMBER(SEARCH("non",LOWER($E500&amp;""))),$G500*0.85,$G500),"")))))</ns0:f>
        <ns0:v/>
      </ns0:c>
      <ns0:c r="O500" s="987" t="str">
        <ns0:f>IF(COUNTA($A500:$M500)=0,"",IF(OR(LEFT(LOWER(TRIM($F500&amp;"")),12)="subscription",LOWER(TRIM($F500&amp;""))="membership"),"",IF(OR(AND($H500&lt;&gt;"",$H500=0),LEFT(LOWER(TRIM($F500&amp;"")),9)="free game",LOWER(TRIM($F500&amp;""))="free",LOWER(TRIM($F500&amp;""))="free entry"),IF(OR(NOT(ISNUMBER($N500)),NOT(ISNUMBER($I500)),$I500=0),"N/A",IFERROR($N500/$I500,"N/A")),IF(OR($N500="",$I500="",$I500=0),"",IFERROR($N500/$I500,"")))))</ns0:f>
        <ns0:v/>
      </ns0:c>
      <ns0:c r="P500" s="987">
        <ns0:f>IF(COUNTA($A500:$M500)=0,"",IF(OR(LEFT(LOWER(TRIM($F500&amp;"")),12)="subscription",LOWER(TRIM($F500&amp;""))="membership"),"",IF(LOWER(TRIM($D500&amp;""))="estimate","N/A",IF(LOWER($L500&amp;"")="yes",0,IF(OR(AND($H500&lt;&gt;"",$H500=0),LEFT(LOWER(TRIM($F500&amp;"")),9)="free game",LOWER(TRIM($F500&amp;""))="free",LOWER(TRIM($F500&amp;""))="free entry"),IF(ISNUMBER($K500),$K500,""),IF($K500&lt;&gt;"",$K500,""))))))</ns0:f>
      </ns0:c>
      <ns0:c r="Q500" s="114">
        <ns0:f>IF(COUNTA($A500:$M500)=0,"",IF(OR($U500="Subscription",$U500=""),"",IF($U500="Estimate","N/A",IF($U500="Profit",ROUND(IFERROR($P500,0)-IFERROR($H500,0),2),0))))</ns0:f>
      </ns0:c>
      <ns0:c r="R500" s="114">
        <ns0:f>IF(COUNTA($A500:$M500)=0,"",IF(OR($U500="Subscription",$U500=""),"",IF($U500="Estimate","N/A",IF($U500="Draw",$H500,0))))</ns0:f>
      </ns0:c>
      <ns0:c r="S500" s="114">
        <ns0:f>IF(COUNTA($A500:$M500)=0,"",IF(OR($U500="Subscription",$U500=""),"",IF($U500="Estimate","N/A",IF($U500="Disqualified",$H500,0))))</ns0:f>
      </ns0:c>
      <ns0:c r="T500" s="955">
        <ns0:f>IF(COUNTA($A500:$M500)=0,"",IF(OR($U500="Subscription",$U500=""),"",IF($U500="Estimate","N/A",IF(OR($U500="Free Game",$U500="Disqualified — Free Game",$H500=0),"N/A",IF($U500="Profit",$Q500/$H500,IF($U500="Disqualified",-$S500/$H500,0))))))</ns0:f>
      </ns0:c>
      <ns0:c r="U500" s="920">
        <ns0:f>IF(COUNTA($A500:$M500)=0,"",IF(OR(LEFT(LOWER(TRIM($F500&amp;"")),12)="subscription",LOWER(TRIM($F500&amp;""))="membership"),"Subscription",IF(LOWER(TRIM($D500&amp;""))="estimate","Estimate",IF(OR(AND($H500&lt;&gt;"",$H500=0),LEFT(LOWER(TRIM($F500&amp;"")),9)="free game",LOWER(TRIM($F500&amp;""))="free",LOWER(TRIM($F500&amp;""))="free entry"),IF(LOWER($L500&amp;"")="yes","Disqualified — Free Game","Free Game"),IF(LOWER($L500&amp;"")="yes","Disqualified",IF($P500="","",IF(ROUND(IFERROR(VALUE($P500),0)-IFERROR(VALUE($H500),0),2)&gt;0,"Profit","Draw")))))))</ns0:f>
      </ns0:c>
      <ns0:c r="V500" s="956" t="str">
        <ns0:f>IF(COUNTA($A500:$M500)=0,"",IF(OR($B500="",$C500="",$U500="Subscription"),"",IFERROR(ROUNDUP(($C500-$B500)/7,0),"")))</ns0:f>
      </ns0:c>
      <ns0:c r="W500" s="114">
        <ns0:f>IF(COUNTA($A500:$M500)=0,"",IF(OR($U500="Subscription",$U500=""),"",IF($U500="Estimate","N/A",IF(OR($U500="Free Game",$U500="Disqualified — Free Game"),0,ROUND(IFERROR($Q500,0)-IFERROR($S500,0),2)))))</ns0:f>
      </ns0:c>
      <ns0:c r="X500" s="956" t="str">
        <ns0:f>IF(COUNTA($A500:$M500)=0,"",IF(OR($U500="Subscription",NOT(ISNUMBER($J500)),NOT(ISNUMBER($I500)),$J500=0,$I500=0,$I500&gt;$J500),"",$J500-$I500))</ns0:f>
      </ns0:c>
      <ns0:c r="Y500" s="955" t="str">
        <ns0:f>IF(COUNTA($A500:$M500)=0,"",IF(OR($U500="Subscription",NOT(ISNUMBER($J500)),$J500=0,$X500=""),"",$X500/$J500))</ns0:f>
      </ns0:c>
      <ns0:c r="Z500" s="957" t="str">
        <ns0:f>IF(COUNTA($A500:$M500)=0,"",Instructions!$B$29+SUM($W$5:W500))</ns0:f>
      </ns0:c>
    </ns0:row>
    <ns0:row r="501" ht="36" customHeight="1">
      <ns0:c r="A501" s="439"/>
      <ns0:c r="B501" s="453"/>
      <ns0:c r="C501" s="453"/>
      <ns0:c r="D501" s="454"/>
      <ns0:c r="E501" s="454"/>
      <ns0:c r="F501" s="454"/>
      <ns0:c r="G501" s="986"/>
      <ns0:c r="H501" s="455"/>
      <ns0:c r="I501" s="456"/>
      <ns0:c r="J501" s="456"/>
      <ns0:c r="K501" s="986"/>
      <ns0:c r="L501" s="454"/>
      <ns0:c r="M501" s="439"/>
      <ns0:c r="N501" s="988" t="str">
        <ns0:f>IF(COUNTA($A501:$M501)=0,"",IF(OR(LEFT(LOWER(TRIM($F501&amp;"")),12)="subscription",LOWER(TRIM($F501&amp;""))="membership"),"",IF(OR(AND($H501&lt;&gt;"",$H501=0),LEFT(LOWER(TRIM($F501&amp;"")),9)="free game",LOWER(TRIM($F501&amp;""))="free",LOWER(TRIM($F501&amp;""))="free entry"),IF(ISNUMBER($G501),IF(ISNUMBER(SEARCH("non",LOWER($E501&amp;""))),$G501*0.85,$G501),"N/A"),IF($G501="","",IFERROR(IF(ISNUMBER(SEARCH("non",LOWER($E501&amp;""))),$G501*0.85,$G501),"")))))</ns0:f>
        <ns0:v/>
      </ns0:c>
      <ns0:c r="O501" s="988" t="str">
        <ns0:f>IF(COUNTA($A501:$M501)=0,"",IF(OR(LEFT(LOWER(TRIM($F501&amp;"")),12)="subscription",LOWER(TRIM($F501&amp;""))="membership"),"",IF(OR(AND($H501&lt;&gt;"",$H501=0),LEFT(LOWER(TRIM($F501&amp;"")),9)="free game",LOWER(TRIM($F501&amp;""))="free",LOWER(TRIM($F501&amp;""))="free entry"),IF(OR(NOT(ISNUMBER($N501)),NOT(ISNUMBER($I501)),$I501=0),"N/A",IFERROR($N501/$I501,"N/A")),IF(OR($N501="",$I501="",$I501=0),"",IFERROR($N501/$I501,"")))))</ns0:f>
        <ns0:v/>
      </ns0:c>
      <ns0:c r="P501" s="988">
        <ns0:f>IF(COUNTA($A501:$M501)=0,"",IF(OR(LEFT(LOWER(TRIM($F501&amp;"")),12)="subscription",LOWER(TRIM($F501&amp;""))="membership"),"",IF(LOWER(TRIM($D501&amp;""))="estimate","N/A",IF(LOWER($L501&amp;"")="yes",0,IF(OR(AND($H501&lt;&gt;"",$H501=0),LEFT(LOWER(TRIM($F501&amp;"")),9)="free game",LOWER(TRIM($F501&amp;""))="free",LOWER(TRIM($F501&amp;""))="free entry"),IF(ISNUMBER($K501),$K501,""),IF($K501&lt;&gt;"",$K501,""))))))</ns0:f>
      </ns0:c>
      <ns0:c r="Q501" s="958">
        <ns0:f>IF(COUNTA($A501:$M501)=0,"",IF(OR($U501="Subscription",$U501=""),"",IF($U501="Estimate","N/A",IF($U501="Profit",ROUND(IFERROR($P501,0)-IFERROR($H501,0),2),0))))</ns0:f>
      </ns0:c>
      <ns0:c r="R501" s="958">
        <ns0:f>IF(COUNTA($A501:$M501)=0,"",IF(OR($U501="Subscription",$U501=""),"",IF($U501="Estimate","N/A",IF($U501="Draw",$H501,0))))</ns0:f>
      </ns0:c>
      <ns0:c r="S501" s="958">
        <ns0:f>IF(COUNTA($A501:$M501)=0,"",IF(OR($U501="Subscription",$U501=""),"",IF($U501="Estimate","N/A",IF($U501="Disqualified",$H501,0))))</ns0:f>
      </ns0:c>
      <ns0:c r="T501" s="959">
        <ns0:f>IF(COUNTA($A501:$M501)=0,"",IF(OR($U501="Subscription",$U501=""),"",IF($U501="Estimate","N/A",IF(OR($U501="Free Game",$U501="Disqualified — Free Game",$H501=0),"N/A",IF($U501="Profit",$Q501/$H501,IF($U501="Disqualified",-$S501/$H501,0))))))</ns0:f>
      </ns0:c>
      <ns0:c r="U501" s="920">
        <ns0:f>IF(COUNTA($A501:$M501)=0,"",IF(OR(LEFT(LOWER(TRIM($F501&amp;"")),12)="subscription",LOWER(TRIM($F501&amp;""))="membership"),"Subscription",IF(LOWER(TRIM($D501&amp;""))="estimate","Estimate",IF(OR(AND($H501&lt;&gt;"",$H501=0),LEFT(LOWER(TRIM($F501&amp;"")),9)="free game",LOWER(TRIM($F501&amp;""))="free",LOWER(TRIM($F501&amp;""))="free entry"),IF(LOWER($L501&amp;"")="yes","Disqualified — Free Game","Free Game"),IF(LOWER($L501&amp;"")="yes","Disqualified",IF($P501="","",IF(ROUND(IFERROR(VALUE($P501),0)-IFERROR(VALUE($H501),0),2)&gt;0,"Profit","Draw")))))))</ns0:f>
      </ns0:c>
      <ns0:c r="V501" s="960" t="str">
        <ns0:f>IF(COUNTA($A501:$M501)=0,"",IF(OR($B501="",$C501="",$U501="Subscription"),"",IFERROR(ROUNDUP(($C501-$B501)/7,0),"")))</ns0:f>
      </ns0:c>
      <ns0:c r="W501" s="958">
        <ns0:f>IF(COUNTA($A501:$M501)=0,"",IF(OR($U501="Subscription",$U501=""),"",IF($U501="Estimate","N/A",IF(OR($U501="Free Game",$U501="Disqualified — Free Game"),0,ROUND(IFERROR($Q501,0)-IFERROR($S501,0),2)))))</ns0:f>
      </ns0:c>
      <ns0:c r="X501" s="960" t="str">
        <ns0:f>IF(COUNTA($A501:$M501)=0,"",IF(OR($U501="Subscription",NOT(ISNUMBER($J501)),NOT(ISNUMBER($I501)),$J501=0,$I501=0,$I501&gt;$J501),"",$J501-$I501))</ns0:f>
      </ns0:c>
      <ns0:c r="Y501" s="959" t="str">
        <ns0:f>IF(COUNTA($A501:$M501)=0,"",IF(OR($U501="Subscription",NOT(ISNUMBER($J501)),$J501=0,$X501=""),"",$X501/$J501))</ns0:f>
      </ns0:c>
      <ns0:c r="Z501" s="958" t="str">
        <ns0:f>IF(COUNTA($A501:$M501)=0,"",Instructions!$B$29+SUM($W$5:W501))</ns0:f>
      </ns0:c>
    </ns0:row>
    <ns0:row r="502" ht="36" customHeight="1">
      <ns0:c r="A502" s="439"/>
      <ns0:c r="B502" s="453"/>
      <ns0:c r="C502" s="453"/>
      <ns0:c r="D502" s="454"/>
      <ns0:c r="E502" s="454"/>
      <ns0:c r="F502" s="454"/>
      <ns0:c r="G502" s="986"/>
      <ns0:c r="H502" s="455"/>
      <ns0:c r="I502" s="456"/>
      <ns0:c r="J502" s="456"/>
      <ns0:c r="K502" s="986"/>
      <ns0:c r="L502" s="454"/>
      <ns0:c r="M502" s="439"/>
      <ns0:c r="N502" s="988" t="str">
        <ns0:f>IF(COUNTA($A502:$M502)=0,"",IF(OR(LEFT(LOWER(TRIM($F502&amp;"")),12)="subscription",LOWER(TRIM($F502&amp;""))="membership"),"",IF(OR(AND($H502&lt;&gt;"",$H502=0),LEFT(LOWER(TRIM($F502&amp;"")),9)="free game",LOWER(TRIM($F502&amp;""))="free",LOWER(TRIM($F502&amp;""))="free entry"),IF(ISNUMBER($G502),IF(ISNUMBER(SEARCH("non",LOWER($E502&amp;""))),$G502*0.85,$G502),"N/A"),IF($G502="","",IFERROR(IF(ISNUMBER(SEARCH("non",LOWER($E502&amp;""))),$G502*0.85,$G502),"")))))</ns0:f>
        <ns0:v/>
      </ns0:c>
      <ns0:c r="O502" s="988" t="str">
        <ns0:f>IF(COUNTA($A502:$M502)=0,"",IF(OR(LEFT(LOWER(TRIM($F502&amp;"")),12)="subscription",LOWER(TRIM($F502&amp;""))="membership"),"",IF(OR(AND($H502&lt;&gt;"",$H502=0),LEFT(LOWER(TRIM($F502&amp;"")),9)="free game",LOWER(TRIM($F502&amp;""))="free",LOWER(TRIM($F502&amp;""))="free entry"),IF(OR(NOT(ISNUMBER($N502)),NOT(ISNUMBER($I502)),$I502=0),"N/A",IFERROR($N502/$I502,"N/A")),IF(OR($N502="",$I502="",$I502=0),"",IFERROR($N502/$I502,"")))))</ns0:f>
        <ns0:v/>
      </ns0:c>
      <ns0:c r="P502" s="988">
        <ns0:f>IF(COUNTA($A502:$M502)=0,"",IF(OR(LEFT(LOWER(TRIM($F502&amp;"")),12)="subscription",LOWER(TRIM($F502&amp;""))="membership"),"",IF(LOWER(TRIM($D502&amp;""))="estimate","N/A",IF(LOWER($L502&amp;"")="yes",0,IF(OR(AND($H502&lt;&gt;"",$H502=0),LEFT(LOWER(TRIM($F502&amp;"")),9)="free game",LOWER(TRIM($F502&amp;""))="free",LOWER(TRIM($F502&amp;""))="free entry"),IF(ISNUMBER($K502),$K502,""),IF($K502&lt;&gt;"",$K502,""))))))</ns0:f>
      </ns0:c>
      <ns0:c r="Q502" s="958">
        <ns0:f>IF(COUNTA($A502:$M502)=0,"",IF(OR($U502="Subscription",$U502=""),"",IF($U502="Estimate","N/A",IF($U502="Profit",ROUND(IFERROR($P502,0)-IFERROR($H502,0),2),0))))</ns0:f>
      </ns0:c>
      <ns0:c r="R502" s="958">
        <ns0:f>IF(COUNTA($A502:$M502)=0,"",IF(OR($U502="Subscription",$U502=""),"",IF($U502="Estimate","N/A",IF($U502="Draw",$H502,0))))</ns0:f>
      </ns0:c>
      <ns0:c r="S502" s="958">
        <ns0:f>IF(COUNTA($A502:$M502)=0,"",IF(OR($U502="Subscription",$U502=""),"",IF($U502="Estimate","N/A",IF($U502="Disqualified",$H502,0))))</ns0:f>
      </ns0:c>
      <ns0:c r="T502" s="959">
        <ns0:f>IF(COUNTA($A502:$M502)=0,"",IF(OR($U502="Subscription",$U502=""),"",IF($U502="Estimate","N/A",IF(OR($U502="Free Game",$U502="Disqualified — Free Game",$H502=0),"N/A",IF($U502="Profit",$Q502/$H502,IF($U502="Disqualified",-$S502/$H502,0))))))</ns0:f>
      </ns0:c>
      <ns0:c r="U502" s="920">
        <ns0:f>IF(COUNTA($A502:$M502)=0,"",IF(OR(LEFT(LOWER(TRIM($F502&amp;"")),12)="subscription",LOWER(TRIM($F502&amp;""))="membership"),"Subscription",IF(LOWER(TRIM($D502&amp;""))="estimate","Estimate",IF(OR(AND($H502&lt;&gt;"",$H502=0),LEFT(LOWER(TRIM($F502&amp;"")),9)="free game",LOWER(TRIM($F502&amp;""))="free",LOWER(TRIM($F502&amp;""))="free entry"),IF(LOWER($L502&amp;"")="yes","Disqualified — Free Game","Free Game"),IF(LOWER($L502&amp;"")="yes","Disqualified",IF($P502="","",IF(ROUND(IFERROR(VALUE($P502),0)-IFERROR(VALUE($H502),0),2)&gt;0,"Profit","Draw")))))))</ns0:f>
      </ns0:c>
      <ns0:c r="V502" s="960" t="str">
        <ns0:f>IF(COUNTA($A502:$M502)=0,"",IF(OR($B502="",$C502="",$U502="Subscription"),"",IFERROR(ROUNDUP(($C502-$B502)/7,0),"")))</ns0:f>
      </ns0:c>
      <ns0:c r="W502" s="958">
        <ns0:f>IF(COUNTA($A502:$M502)=0,"",IF(OR($U502="Subscription",$U502=""),"",IF($U502="Estimate","N/A",IF(OR($U502="Free Game",$U502="Disqualified — Free Game"),0,ROUND(IFERROR($Q502,0)-IFERROR($S502,0),2)))))</ns0:f>
      </ns0:c>
      <ns0:c r="X502" s="960" t="str">
        <ns0:f>IF(COUNTA($A502:$M502)=0,"",IF(OR($U502="Subscription",NOT(ISNUMBER($J502)),NOT(ISNUMBER($I502)),$J502=0,$I502=0,$I502&gt;$J502),"",$J502-$I502))</ns0:f>
      </ns0:c>
      <ns0:c r="Y502" s="959" t="str">
        <ns0:f>IF(COUNTA($A502:$M502)=0,"",IF(OR($U502="Subscription",NOT(ISNUMBER($J502)),$J502=0,$X502=""),"",$X502/$J502))</ns0:f>
      </ns0:c>
      <ns0:c r="Z502" s="958" t="str">
        <ns0:f>IF(COUNTA($A502:$M502)=0,"",Instructions!$B$29+SUM($W$5:W502))</ns0:f>
      </ns0:c>
    </ns0:row>
    <ns0:row r="503" ht="36" customHeight="1">
      <ns0:c r="A503" s="439"/>
      <ns0:c r="B503" s="453"/>
      <ns0:c r="C503" s="453"/>
      <ns0:c r="D503" s="454"/>
      <ns0:c r="E503" s="454"/>
      <ns0:c r="F503" s="454"/>
      <ns0:c r="G503" s="986"/>
      <ns0:c r="H503" s="455"/>
      <ns0:c r="I503" s="456"/>
      <ns0:c r="J503" s="456"/>
      <ns0:c r="K503" s="986"/>
      <ns0:c r="L503" s="454"/>
      <ns0:c r="M503" s="439"/>
      <ns0:c r="N503" s="988" t="str">
        <ns0:f>IF(COUNTA($A503:$M503)=0,"",IF(OR(LEFT(LOWER(TRIM($F503&amp;"")),12)="subscription",LOWER(TRIM($F503&amp;""))="membership"),"",IF(OR(AND($H503&lt;&gt;"",$H503=0),LEFT(LOWER(TRIM($F503&amp;"")),9)="free game",LOWER(TRIM($F503&amp;""))="free",LOWER(TRIM($F503&amp;""))="free entry"),IF(ISNUMBER($G503),IF(ISNUMBER(SEARCH("non",LOWER($E503&amp;""))),$G503*0.85,$G503),"N/A"),IF($G503="","",IFERROR(IF(ISNUMBER(SEARCH("non",LOWER($E503&amp;""))),$G503*0.85,$G503),"")))))</ns0:f>
        <ns0:v/>
      </ns0:c>
      <ns0:c r="O503" s="988" t="str">
        <ns0:f>IF(COUNTA($A503:$M503)=0,"",IF(OR(LEFT(LOWER(TRIM($F503&amp;"")),12)="subscription",LOWER(TRIM($F503&amp;""))="membership"),"",IF(OR(AND($H503&lt;&gt;"",$H503=0),LEFT(LOWER(TRIM($F503&amp;"")),9)="free game",LOWER(TRIM($F503&amp;""))="free",LOWER(TRIM($F503&amp;""))="free entry"),IF(OR(NOT(ISNUMBER($N503)),NOT(ISNUMBER($I503)),$I503=0),"N/A",IFERROR($N503/$I503,"N/A")),IF(OR($N503="",$I503="",$I503=0),"",IFERROR($N503/$I503,"")))))</ns0:f>
        <ns0:v/>
      </ns0:c>
      <ns0:c r="P503" s="988">
        <ns0:f>IF(COUNTA($A503:$M503)=0,"",IF(OR(LEFT(LOWER(TRIM($F503&amp;"")),12)="subscription",LOWER(TRIM($F503&amp;""))="membership"),"",IF(LOWER(TRIM($D503&amp;""))="estimate","N/A",IF(LOWER($L503&amp;"")="yes",0,IF(OR(AND($H503&lt;&gt;"",$H503=0),LEFT(LOWER(TRIM($F503&amp;"")),9)="free game",LOWER(TRIM($F503&amp;""))="free",LOWER(TRIM($F503&amp;""))="free entry"),IF(ISNUMBER($K503),$K503,""),IF($K503&lt;&gt;"",$K503,""))))))</ns0:f>
      </ns0:c>
      <ns0:c r="Q503" s="958">
        <ns0:f>IF(COUNTA($A503:$M503)=0,"",IF(OR($U503="Subscription",$U503=""),"",IF($U503="Estimate","N/A",IF($U503="Profit",ROUND(IFERROR($P503,0)-IFERROR($H503,0),2),0))))</ns0:f>
      </ns0:c>
      <ns0:c r="R503" s="958">
        <ns0:f>IF(COUNTA($A503:$M503)=0,"",IF(OR($U503="Subscription",$U503=""),"",IF($U503="Estimate","N/A",IF($U503="Draw",$H503,0))))</ns0:f>
      </ns0:c>
      <ns0:c r="S503" s="958">
        <ns0:f>IF(COUNTA($A503:$M503)=0,"",IF(OR($U503="Subscription",$U503=""),"",IF($U503="Estimate","N/A",IF($U503="Disqualified",$H503,0))))</ns0:f>
      </ns0:c>
      <ns0:c r="T503" s="959">
        <ns0:f>IF(COUNTA($A503:$M503)=0,"",IF(OR($U503="Subscription",$U503=""),"",IF($U503="Estimate","N/A",IF(OR($U503="Free Game",$U503="Disqualified — Free Game",$H503=0),"N/A",IF($U503="Profit",$Q503/$H503,IF($U503="Disqualified",-$S503/$H503,0))))))</ns0:f>
      </ns0:c>
      <ns0:c r="U503" s="920">
        <ns0:f>IF(COUNTA($A503:$M503)=0,"",IF(OR(LEFT(LOWER(TRIM($F503&amp;"")),12)="subscription",LOWER(TRIM($F503&amp;""))="membership"),"Subscription",IF(LOWER(TRIM($D503&amp;""))="estimate","Estimate",IF(OR(AND($H503&lt;&gt;"",$H503=0),LEFT(LOWER(TRIM($F503&amp;"")),9)="free game",LOWER(TRIM($F503&amp;""))="free",LOWER(TRIM($F503&amp;""))="free entry"),IF(LOWER($L503&amp;"")="yes","Disqualified — Free Game","Free Game"),IF(LOWER($L503&amp;"")="yes","Disqualified",IF($P503="","",IF(ROUND(IFERROR(VALUE($P503),0)-IFERROR(VALUE($H503),0),2)&gt;0,"Profit","Draw")))))))</ns0:f>
      </ns0:c>
      <ns0:c r="V503" s="960" t="str">
        <ns0:f>IF(COUNTA($A503:$M503)=0,"",IF(OR($B503="",$C503="",$U503="Subscription"),"",IFERROR(ROUNDUP(($C503-$B503)/7,0),"")))</ns0:f>
      </ns0:c>
      <ns0:c r="W503" s="958">
        <ns0:f>IF(COUNTA($A503:$M503)=0,"",IF(OR($U503="Subscription",$U503=""),"",IF($U503="Estimate","N/A",IF(OR($U503="Free Game",$U503="Disqualified — Free Game"),0,ROUND(IFERROR($Q503,0)-IFERROR($S503,0),2)))))</ns0:f>
      </ns0:c>
      <ns0:c r="X503" s="960" t="str">
        <ns0:f>IF(COUNTA($A503:$M503)=0,"",IF(OR($U503="Subscription",NOT(ISNUMBER($J503)),NOT(ISNUMBER($I503)),$J503=0,$I503=0,$I503&gt;$J503),"",$J503-$I503))</ns0:f>
      </ns0:c>
      <ns0:c r="Y503" s="959" t="str">
        <ns0:f>IF(COUNTA($A503:$M503)=0,"",IF(OR($U503="Subscription",NOT(ISNUMBER($J503)),$J503=0,$X503=""),"",$X503/$J503))</ns0:f>
      </ns0:c>
      <ns0:c r="Z503" s="958" t="str">
        <ns0:f>IF(COUNTA($A503:$M503)=0,"",Instructions!$B$29+SUM($W$5:W503))</ns0:f>
      </ns0:c>
    </ns0:row>
    <ns0:row r="504" ht="36" customHeight="1">
      <ns0:c r="A504" s="439"/>
      <ns0:c r="B504" s="449"/>
      <ns0:c r="C504" s="449"/>
      <ns0:c r="D504" s="450"/>
      <ns0:c r="E504" s="450"/>
      <ns0:c r="F504" s="450"/>
      <ns0:c r="G504" s="985"/>
      <ns0:c r="H504" s="451"/>
      <ns0:c r="I504" s="452"/>
      <ns0:c r="J504" s="452"/>
      <ns0:c r="K504" s="985"/>
      <ns0:c r="L504" s="450"/>
      <ns0:c r="M504" s="439"/>
      <ns0:c r="N504" s="988" t="str">
        <ns0:f>IF(COUNTA($A504:$M504)=0,"",IF(OR(LEFT(LOWER(TRIM($F504&amp;"")),12)="subscription",LOWER(TRIM($F504&amp;""))="membership"),"",IF(OR(AND($H504&lt;&gt;"",$H504=0),LEFT(LOWER(TRIM($F504&amp;"")),9)="free game",LOWER(TRIM($F504&amp;""))="free",LOWER(TRIM($F504&amp;""))="free entry"),IF(ISNUMBER($G504),IF(ISNUMBER(SEARCH("non",LOWER($E504&amp;""))),$G504*0.85,$G504),"N/A"),IF($G504="","",IFERROR(IF(ISNUMBER(SEARCH("non",LOWER($E504&amp;""))),$G504*0.85,$G504),"")))))</ns0:f>
        <ns0:v/>
      </ns0:c>
      <ns0:c r="O504" s="988" t="str">
        <ns0:f>IF(COUNTA($A504:$M504)=0,"",IF(OR(LEFT(LOWER(TRIM($F504&amp;"")),12)="subscription",LOWER(TRIM($F504&amp;""))="membership"),"",IF(OR(AND($H504&lt;&gt;"",$H504=0),LEFT(LOWER(TRIM($F504&amp;"")),9)="free game",LOWER(TRIM($F504&amp;""))="free",LOWER(TRIM($F504&amp;""))="free entry"),IF(OR(NOT(ISNUMBER($N504)),NOT(ISNUMBER($I504)),$I504=0),"N/A",IFERROR($N504/$I504,"N/A")),IF(OR($N504="",$I504="",$I504=0),"",IFERROR($N504/$I504,"")))))</ns0:f>
        <ns0:v/>
      </ns0:c>
      <ns0:c r="P504" s="988">
        <ns0:f>IF(COUNTA($A504:$M504)=0,"",IF(OR(LEFT(LOWER(TRIM($F504&amp;"")),12)="subscription",LOWER(TRIM($F504&amp;""))="membership"),"",IF(LOWER(TRIM($D504&amp;""))="estimate","N/A",IF(LOWER($L504&amp;"")="yes",0,IF(OR(AND($H504&lt;&gt;"",$H504=0),LEFT(LOWER(TRIM($F504&amp;"")),9)="free game",LOWER(TRIM($F504&amp;""))="free",LOWER(TRIM($F504&amp;""))="free entry"),IF(ISNUMBER($K504),$K504,""),IF($K504&lt;&gt;"",$K504,""))))))</ns0:f>
      </ns0:c>
      <ns0:c r="Q504" s="958">
        <ns0:f>IF(COUNTA($A504:$M504)=0,"",IF(OR($U504="Subscription",$U504=""),"",IF($U504="Estimate","N/A",IF($U504="Profit",ROUND(IFERROR($P504,0)-IFERROR($H504,0),2),0))))</ns0:f>
      </ns0:c>
      <ns0:c r="R504" s="958">
        <ns0:f>IF(COUNTA($A504:$M504)=0,"",IF(OR($U504="Subscription",$U504=""),"",IF($U504="Estimate","N/A",IF($U504="Draw",$H504,0))))</ns0:f>
      </ns0:c>
      <ns0:c r="S504" s="958">
        <ns0:f>IF(COUNTA($A504:$M504)=0,"",IF(OR($U504="Subscription",$U504=""),"",IF($U504="Estimate","N/A",IF($U504="Disqualified",$H504,0))))</ns0:f>
      </ns0:c>
      <ns0:c r="T504" s="959">
        <ns0:f>IF(COUNTA($A504:$M504)=0,"",IF(OR($U504="Subscription",$U504=""),"",IF($U504="Estimate","N/A",IF(OR($U504="Free Game",$U504="Disqualified — Free Game",$H504=0),"N/A",IF($U504="Profit",$Q504/$H504,IF($U504="Disqualified",-$S504/$H504,0))))))</ns0:f>
      </ns0:c>
      <ns0:c r="U504" s="920">
        <ns0:f>IF(COUNTA($A504:$M504)=0,"",IF(OR(LEFT(LOWER(TRIM($F504&amp;"")),12)="subscription",LOWER(TRIM($F504&amp;""))="membership"),"Subscription",IF(LOWER(TRIM($D504&amp;""))="estimate","Estimate",IF(OR(AND($H504&lt;&gt;"",$H504=0),LEFT(LOWER(TRIM($F504&amp;"")),9)="free game",LOWER(TRIM($F504&amp;""))="free",LOWER(TRIM($F504&amp;""))="free entry"),IF(LOWER($L504&amp;"")="yes","Disqualified — Free Game","Free Game"),IF(LOWER($L504&amp;"")="yes","Disqualified",IF($P504="","",IF(ROUND(IFERROR(VALUE($P504),0)-IFERROR(VALUE($H504),0),2)&gt;0,"Profit","Draw")))))))</ns0:f>
      </ns0:c>
      <ns0:c r="V504" s="960" t="str">
        <ns0:f>IF(COUNTA($A504:$M504)=0,"",IF(OR($B504="",$C504="",$U504="Subscription"),"",IFERROR(ROUNDUP(($C504-$B504)/7,0),"")))</ns0:f>
      </ns0:c>
      <ns0:c r="W504" s="958">
        <ns0:f>IF(COUNTA($A504:$M504)=0,"",IF(OR($U504="Subscription",$U504=""),"",IF($U504="Estimate","N/A",IF(OR($U504="Free Game",$U504="Disqualified — Free Game"),0,ROUND(IFERROR($Q504,0)-IFERROR($S504,0),2)))))</ns0:f>
      </ns0:c>
      <ns0:c r="X504" s="960" t="str">
        <ns0:f>IF(COUNTA($A504:$M504)=0,"",IF(OR($U504="Subscription",NOT(ISNUMBER($J504)),NOT(ISNUMBER($I504)),$J504=0,$I504=0,$I504&gt;$J504),"",$J504-$I504))</ns0:f>
      </ns0:c>
      <ns0:c r="Y504" s="959" t="str">
        <ns0:f>IF(COUNTA($A504:$M504)=0,"",IF(OR($U504="Subscription",NOT(ISNUMBER($J504)),$J504=0,$X504=""),"",$X504/$J504))</ns0:f>
      </ns0:c>
      <ns0:c r="Z504" s="958" t="str">
        <ns0:f>IF(COUNTA($A504:$M504)=0,"",Instructions!$B$29+SUM($W$5:W504))</ns0:f>
      </ns0:c>
    </ns0:row>
    <ns0:row r="505" ht="44" customHeight="1">
      <ns0:c r="A505" s="198" t="str">
        <ns0:v>END OF WORKBOOK — 500 RECORD ROWS USED. ARCHIVE THIS FILE AND BEGIN A FRESH COPY. DO NOT ENTER RECORDS BELOW THIS ROW.</ns0:v>
      </ns0:c>
      <ns0:c r="B505" s="198"/>
      <ns0:c r="C505" s="198"/>
      <ns0:c r="D505" s="198"/>
      <ns0:c r="E505" s="198"/>
      <ns0:c r="F505" s="198"/>
      <ns0:c r="G505" s="198"/>
      <ns0:c r="H505" s="198"/>
      <ns0:c r="I505" s="198"/>
      <ns0:c r="J505" s="198"/>
      <ns0:c r="K505" s="198"/>
      <ns0:c r="L505" s="198"/>
      <ns0:c r="M505" s="198"/>
      <ns0:c r="N505" s="198"/>
      <ns0:c r="O505" s="198"/>
      <ns0:c r="P505" s="198"/>
      <ns0:c r="Q505" s="198"/>
      <ns0:c r="R505" s="198"/>
      <ns0:c r="S505" s="198"/>
      <ns0:c r="T505" s="198"/>
      <ns0:c r="U505" s="198"/>
      <ns0:c r="V505" s="198"/>
      <ns0:c r="W505" s="198"/>
      <ns0:c r="X505" s="198"/>
      <ns0:c r="Y505" s="198"/>
      <ns0:c r="Z505" s="198"/>
    </ns0:row>
    <ns0:row r="506">
      <ns0:c r="A506" s="245"/>
      <ns0:c r="B506" s="245"/>
      <ns0:c r="C506" s="245"/>
      <ns0:c r="D506" s="245"/>
      <ns0:c r="E506" s="245"/>
      <ns0:c r="F506" s="245"/>
      <ns0:c r="G506" s="245"/>
      <ns0:c r="H506" s="245"/>
      <ns0:c r="I506" s="245"/>
      <ns0:c r="J506" s="245"/>
      <ns0:c r="K506" s="245"/>
      <ns0:c r="L506" s="245"/>
      <ns0:c r="M506" s="245"/>
      <ns0:c r="N506" s="245"/>
      <ns0:c r="O506" s="245"/>
      <ns0:c r="P506" s="245"/>
      <ns0:c r="Q506" s="245"/>
      <ns0:c r="R506" s="245"/>
      <ns0:c r="S506" s="245"/>
      <ns0:c r="T506" s="245"/>
      <ns0:c r="U506" s="245"/>
      <ns0:c r="V506" s="245"/>
      <ns0:c r="W506" s="245"/>
      <ns0:c r="X506" s="245"/>
      <ns0:c r="Y506" s="245"/>
      <ns0:c r="Z506" s="245"/>
    </ns0:row>
    <ns0:row r="507">
      <ns0:c r="A507" s="245"/>
      <ns0:c r="B507" s="245"/>
      <ns0:c r="C507" s="245"/>
      <ns0:c r="D507" s="245"/>
      <ns0:c r="E507" s="245"/>
      <ns0:c r="F507" s="245"/>
      <ns0:c r="G507" s="245"/>
      <ns0:c r="H507" s="245"/>
      <ns0:c r="I507" s="245"/>
      <ns0:c r="J507" s="245"/>
      <ns0:c r="K507" s="245"/>
      <ns0:c r="L507" s="245"/>
      <ns0:c r="M507" s="245"/>
      <ns0:c r="N507" s="245"/>
      <ns0:c r="O507" s="245"/>
      <ns0:c r="P507" s="245"/>
      <ns0:c r="Q507" s="245"/>
      <ns0:c r="R507" s="245"/>
      <ns0:c r="S507" s="245"/>
      <ns0:c r="T507" s="245"/>
      <ns0:c r="U507" s="245"/>
      <ns0:c r="V507" s="245"/>
      <ns0:c r="W507" s="245"/>
      <ns0:c r="X507" s="245"/>
      <ns0:c r="Y507" s="245"/>
      <ns0:c r="Z507" s="245"/>
    </ns0:row>
    <ns0:row r="508">
      <ns0:c r="A508" s="245"/>
      <ns0:c r="B508" s="245"/>
      <ns0:c r="C508" s="245"/>
      <ns0:c r="D508" s="245"/>
      <ns0:c r="E508" s="245"/>
      <ns0:c r="F508" s="245"/>
      <ns0:c r="G508" s="245"/>
      <ns0:c r="H508" s="245"/>
      <ns0:c r="I508" s="245"/>
      <ns0:c r="J508" s="245"/>
      <ns0:c r="K508" s="245"/>
      <ns0:c r="L508" s="245"/>
      <ns0:c r="M508" s="245"/>
      <ns0:c r="N508" s="245"/>
      <ns0:c r="O508" s="245"/>
      <ns0:c r="P508" s="245"/>
      <ns0:c r="Q508" s="245"/>
      <ns0:c r="R508" s="245"/>
      <ns0:c r="S508" s="245"/>
      <ns0:c r="T508" s="245"/>
      <ns0:c r="U508" s="245"/>
      <ns0:c r="V508" s="245"/>
      <ns0:c r="W508" s="245"/>
      <ns0:c r="X508" s="245"/>
      <ns0:c r="Y508" s="245"/>
      <ns0:c r="Z508" s="245"/>
    </ns0:row>
    <ns0:row r="509">
      <ns0:c r="A509" s="245"/>
      <ns0:c r="B509" s="245"/>
      <ns0:c r="C509" s="245"/>
      <ns0:c r="D509" s="245"/>
      <ns0:c r="E509" s="245"/>
      <ns0:c r="F509" s="245"/>
      <ns0:c r="G509" s="245"/>
      <ns0:c r="H509" s="245"/>
      <ns0:c r="I509" s="245"/>
      <ns0:c r="J509" s="245"/>
      <ns0:c r="K509" s="245"/>
      <ns0:c r="L509" s="245"/>
      <ns0:c r="M509" s="245"/>
      <ns0:c r="N509" s="245"/>
      <ns0:c r="O509" s="245"/>
      <ns0:c r="P509" s="245"/>
      <ns0:c r="Q509" s="245"/>
      <ns0:c r="R509" s="245"/>
      <ns0:c r="S509" s="245"/>
      <ns0:c r="T509" s="245"/>
      <ns0:c r="U509" s="245"/>
      <ns0:c r="V509" s="245"/>
      <ns0:c r="W509" s="245"/>
      <ns0:c r="X509" s="245"/>
      <ns0:c r="Y509" s="245"/>
      <ns0:c r="Z509" s="245"/>
    </ns0:row>
    <ns0:row r="510">
      <ns0:c r="A510" s="245"/>
      <ns0:c r="B510" s="245"/>
      <ns0:c r="C510" s="245"/>
      <ns0:c r="D510" s="245"/>
      <ns0:c r="E510" s="245"/>
      <ns0:c r="F510" s="245"/>
      <ns0:c r="G510" s="245"/>
      <ns0:c r="H510" s="245"/>
      <ns0:c r="I510" s="245"/>
      <ns0:c r="J510" s="245"/>
      <ns0:c r="K510" s="245"/>
      <ns0:c r="L510" s="245"/>
      <ns0:c r="M510" s="245"/>
      <ns0:c r="N510" s="245"/>
      <ns0:c r="O510" s="245"/>
      <ns0:c r="P510" s="245"/>
      <ns0:c r="Q510" s="245"/>
      <ns0:c r="R510" s="245"/>
      <ns0:c r="S510" s="245"/>
      <ns0:c r="T510" s="245"/>
      <ns0:c r="U510" s="245"/>
      <ns0:c r="V510" s="245"/>
      <ns0:c r="W510" s="245"/>
      <ns0:c r="X510" s="245"/>
      <ns0:c r="Y510" s="245"/>
      <ns0:c r="Z510" s="245"/>
    </ns0:row>
    <ns0:row r="511">
      <ns0:c r="A511" s="245"/>
      <ns0:c r="B511" s="245"/>
      <ns0:c r="C511" s="245"/>
      <ns0:c r="D511" s="245"/>
      <ns0:c r="E511" s="245"/>
      <ns0:c r="F511" s="245"/>
      <ns0:c r="G511" s="245"/>
      <ns0:c r="H511" s="245"/>
      <ns0:c r="I511" s="245"/>
      <ns0:c r="J511" s="245"/>
      <ns0:c r="K511" s="245"/>
      <ns0:c r="L511" s="245"/>
      <ns0:c r="M511" s="245"/>
      <ns0:c r="N511" s="245"/>
      <ns0:c r="O511" s="245"/>
      <ns0:c r="P511" s="245"/>
      <ns0:c r="Q511" s="245"/>
      <ns0:c r="R511" s="245"/>
      <ns0:c r="S511" s="245"/>
      <ns0:c r="T511" s="245"/>
      <ns0:c r="U511" s="245"/>
      <ns0:c r="V511" s="245"/>
      <ns0:c r="W511" s="245"/>
      <ns0:c r="X511" s="245"/>
      <ns0:c r="Y511" s="245"/>
      <ns0:c r="Z511" s="245"/>
    </ns0:row>
    <ns0:row r="512">
      <ns0:c r="A512" s="245"/>
      <ns0:c r="B512" s="245"/>
      <ns0:c r="C512" s="245"/>
      <ns0:c r="D512" s="245"/>
      <ns0:c r="E512" s="245"/>
      <ns0:c r="F512" s="245"/>
      <ns0:c r="G512" s="245"/>
      <ns0:c r="H512" s="245"/>
      <ns0:c r="I512" s="245"/>
      <ns0:c r="J512" s="245"/>
      <ns0:c r="K512" s="245"/>
      <ns0:c r="L512" s="245"/>
      <ns0:c r="M512" s="245"/>
      <ns0:c r="N512" s="245"/>
      <ns0:c r="O512" s="245"/>
      <ns0:c r="P512" s="245"/>
      <ns0:c r="Q512" s="245"/>
      <ns0:c r="R512" s="245"/>
      <ns0:c r="S512" s="245"/>
      <ns0:c r="T512" s="245"/>
      <ns0:c r="U512" s="245"/>
      <ns0:c r="V512" s="245"/>
      <ns0:c r="W512" s="245"/>
      <ns0:c r="X512" s="245"/>
      <ns0:c r="Y512" s="245"/>
      <ns0:c r="Z512" s="245"/>
    </ns0:row>
    <ns0:row r="513">
      <ns0:c r="A513" s="245"/>
      <ns0:c r="B513" s="245"/>
      <ns0:c r="C513" s="245"/>
      <ns0:c r="D513" s="245"/>
      <ns0:c r="E513" s="245"/>
      <ns0:c r="F513" s="245"/>
      <ns0:c r="G513" s="245"/>
      <ns0:c r="H513" s="245"/>
      <ns0:c r="I513" s="245"/>
      <ns0:c r="J513" s="245"/>
      <ns0:c r="K513" s="245"/>
      <ns0:c r="L513" s="245"/>
      <ns0:c r="M513" s="245"/>
      <ns0:c r="N513" s="245"/>
      <ns0:c r="O513" s="245"/>
      <ns0:c r="P513" s="245"/>
      <ns0:c r="Q513" s="245"/>
      <ns0:c r="R513" s="245"/>
      <ns0:c r="S513" s="245"/>
      <ns0:c r="T513" s="245"/>
      <ns0:c r="U513" s="245"/>
      <ns0:c r="V513" s="245"/>
      <ns0:c r="W513" s="245"/>
      <ns0:c r="X513" s="245"/>
      <ns0:c r="Y513" s="245"/>
      <ns0:c r="Z513" s="245"/>
    </ns0:row>
    <ns0:row r="514">
      <ns0:c r="A514" s="245"/>
      <ns0:c r="B514" s="245"/>
      <ns0:c r="C514" s="245"/>
      <ns0:c r="D514" s="245"/>
      <ns0:c r="E514" s="245"/>
      <ns0:c r="F514" s="245"/>
      <ns0:c r="G514" s="245"/>
      <ns0:c r="H514" s="245"/>
      <ns0:c r="I514" s="245"/>
      <ns0:c r="J514" s="245"/>
      <ns0:c r="K514" s="245"/>
      <ns0:c r="L514" s="245"/>
      <ns0:c r="M514" s="245"/>
      <ns0:c r="N514" s="245"/>
      <ns0:c r="O514" s="245"/>
      <ns0:c r="P514" s="245"/>
      <ns0:c r="Q514" s="245"/>
      <ns0:c r="R514" s="245"/>
      <ns0:c r="S514" s="245"/>
      <ns0:c r="T514" s="245"/>
      <ns0:c r="U514" s="245"/>
      <ns0:c r="V514" s="245"/>
      <ns0:c r="W514" s="245"/>
      <ns0:c r="X514" s="245"/>
      <ns0:c r="Y514" s="245"/>
      <ns0:c r="Z514" s="245"/>
    </ns0:row>
    <ns0:row r="515">
      <ns0:c r="A515" s="245"/>
      <ns0:c r="B515" s="245"/>
      <ns0:c r="C515" s="245"/>
      <ns0:c r="D515" s="245"/>
      <ns0:c r="E515" s="245"/>
      <ns0:c r="F515" s="245"/>
      <ns0:c r="G515" s="245"/>
      <ns0:c r="H515" s="245"/>
      <ns0:c r="I515" s="245"/>
      <ns0:c r="J515" s="245"/>
      <ns0:c r="K515" s="245"/>
      <ns0:c r="L515" s="245"/>
      <ns0:c r="M515" s="245"/>
      <ns0:c r="N515" s="245"/>
      <ns0:c r="O515" s="245"/>
      <ns0:c r="P515" s="245"/>
      <ns0:c r="Q515" s="245"/>
      <ns0:c r="R515" s="245"/>
      <ns0:c r="S515" s="245"/>
      <ns0:c r="T515" s="245"/>
      <ns0:c r="U515" s="245"/>
      <ns0:c r="V515" s="245"/>
      <ns0:c r="W515" s="245"/>
      <ns0:c r="X515" s="245"/>
      <ns0:c r="Y515" s="245"/>
      <ns0:c r="Z515" s="245"/>
    </ns0:row>
    <ns0:row r="516">
      <ns0:c r="A516" s="245"/>
      <ns0:c r="B516" s="245"/>
      <ns0:c r="C516" s="245"/>
      <ns0:c r="D516" s="245"/>
      <ns0:c r="E516" s="245"/>
      <ns0:c r="F516" s="245"/>
      <ns0:c r="G516" s="245"/>
      <ns0:c r="H516" s="245"/>
      <ns0:c r="I516" s="245"/>
      <ns0:c r="J516" s="245"/>
      <ns0:c r="K516" s="245"/>
      <ns0:c r="L516" s="245"/>
      <ns0:c r="M516" s="245"/>
      <ns0:c r="N516" s="245"/>
      <ns0:c r="O516" s="245"/>
      <ns0:c r="P516" s="245"/>
      <ns0:c r="Q516" s="245"/>
      <ns0:c r="R516" s="245"/>
      <ns0:c r="S516" s="245"/>
      <ns0:c r="T516" s="245"/>
      <ns0:c r="U516" s="245"/>
      <ns0:c r="V516" s="245"/>
      <ns0:c r="W516" s="245"/>
      <ns0:c r="X516" s="245"/>
      <ns0:c r="Y516" s="245"/>
      <ns0:c r="Z516" s="245"/>
    </ns0:row>
    <ns0:row r="517">
      <ns0:c r="A517" s="245"/>
      <ns0:c r="B517" s="245"/>
      <ns0:c r="C517" s="245"/>
      <ns0:c r="D517" s="245"/>
      <ns0:c r="E517" s="245"/>
      <ns0:c r="F517" s="245"/>
      <ns0:c r="G517" s="245"/>
      <ns0:c r="H517" s="245"/>
      <ns0:c r="I517" s="245"/>
      <ns0:c r="J517" s="245"/>
      <ns0:c r="K517" s="245"/>
      <ns0:c r="L517" s="245"/>
      <ns0:c r="M517" s="245"/>
      <ns0:c r="N517" s="245"/>
      <ns0:c r="O517" s="245"/>
      <ns0:c r="P517" s="245"/>
      <ns0:c r="Q517" s="245"/>
      <ns0:c r="R517" s="245"/>
      <ns0:c r="S517" s="245"/>
      <ns0:c r="T517" s="245"/>
      <ns0:c r="U517" s="245"/>
      <ns0:c r="V517" s="245"/>
      <ns0:c r="W517" s="245"/>
      <ns0:c r="X517" s="245"/>
      <ns0:c r="Y517" s="245"/>
      <ns0:c r="Z517" s="245"/>
    </ns0:row>
    <ns0:row r="518">
      <ns0:c r="A518" s="245"/>
      <ns0:c r="B518" s="245"/>
      <ns0:c r="C518" s="245"/>
      <ns0:c r="D518" s="245"/>
      <ns0:c r="E518" s="245"/>
      <ns0:c r="F518" s="245"/>
      <ns0:c r="G518" s="245"/>
      <ns0:c r="H518" s="245"/>
      <ns0:c r="I518" s="245"/>
      <ns0:c r="J518" s="245"/>
      <ns0:c r="K518" s="245"/>
      <ns0:c r="L518" s="245"/>
      <ns0:c r="M518" s="245"/>
      <ns0:c r="N518" s="245"/>
      <ns0:c r="O518" s="245"/>
      <ns0:c r="P518" s="245"/>
      <ns0:c r="Q518" s="245"/>
      <ns0:c r="R518" s="245"/>
      <ns0:c r="S518" s="245"/>
      <ns0:c r="T518" s="245"/>
      <ns0:c r="U518" s="245"/>
      <ns0:c r="V518" s="245"/>
      <ns0:c r="W518" s="245"/>
      <ns0:c r="X518" s="245"/>
      <ns0:c r="Y518" s="245"/>
      <ns0:c r="Z518" s="245"/>
    </ns0:row>
    <ns0:row r="519">
      <ns0:c r="A519" s="245"/>
      <ns0:c r="B519" s="245"/>
      <ns0:c r="C519" s="245"/>
      <ns0:c r="D519" s="245"/>
      <ns0:c r="E519" s="245"/>
      <ns0:c r="F519" s="245"/>
      <ns0:c r="G519" s="245"/>
      <ns0:c r="H519" s="245"/>
      <ns0:c r="I519" s="245"/>
      <ns0:c r="J519" s="245"/>
      <ns0:c r="K519" s="245"/>
      <ns0:c r="L519" s="245"/>
      <ns0:c r="M519" s="245"/>
      <ns0:c r="N519" s="245"/>
      <ns0:c r="O519" s="245"/>
      <ns0:c r="P519" s="245"/>
      <ns0:c r="Q519" s="245"/>
      <ns0:c r="R519" s="245"/>
      <ns0:c r="S519" s="245"/>
      <ns0:c r="T519" s="245"/>
      <ns0:c r="U519" s="245"/>
      <ns0:c r="V519" s="245"/>
      <ns0:c r="W519" s="245"/>
      <ns0:c r="X519" s="245"/>
      <ns0:c r="Y519" s="245"/>
      <ns0:c r="Z519" s="245"/>
    </ns0:row>
    <ns0:row r="520">
      <ns0:c r="A520" s="245"/>
      <ns0:c r="B520" s="245"/>
      <ns0:c r="C520" s="245"/>
      <ns0:c r="D520" s="245"/>
      <ns0:c r="E520" s="245"/>
      <ns0:c r="F520" s="245"/>
      <ns0:c r="G520" s="245"/>
      <ns0:c r="H520" s="245"/>
      <ns0:c r="I520" s="245"/>
      <ns0:c r="J520" s="245"/>
      <ns0:c r="K520" s="245"/>
      <ns0:c r="L520" s="245"/>
      <ns0:c r="M520" s="245"/>
      <ns0:c r="N520" s="245"/>
      <ns0:c r="O520" s="245"/>
      <ns0:c r="P520" s="245"/>
      <ns0:c r="Q520" s="245"/>
      <ns0:c r="R520" s="245"/>
      <ns0:c r="S520" s="245"/>
      <ns0:c r="T520" s="245"/>
      <ns0:c r="U520" s="245"/>
      <ns0:c r="V520" s="245"/>
      <ns0:c r="W520" s="245"/>
      <ns0:c r="X520" s="245"/>
      <ns0:c r="Y520" s="245"/>
      <ns0:c r="Z520" s="245"/>
    </ns0:row>
    <ns0:row r="521">
      <ns0:c r="A521" s="245"/>
      <ns0:c r="B521" s="245"/>
      <ns0:c r="C521" s="245"/>
      <ns0:c r="D521" s="245"/>
      <ns0:c r="E521" s="245"/>
      <ns0:c r="F521" s="245"/>
      <ns0:c r="G521" s="245"/>
      <ns0:c r="H521" s="245"/>
      <ns0:c r="I521" s="245"/>
      <ns0:c r="J521" s="245"/>
      <ns0:c r="K521" s="245"/>
      <ns0:c r="L521" s="245"/>
      <ns0:c r="M521" s="245"/>
      <ns0:c r="N521" s="245"/>
      <ns0:c r="O521" s="245"/>
      <ns0:c r="P521" s="245"/>
      <ns0:c r="Q521" s="245"/>
      <ns0:c r="R521" s="245"/>
      <ns0:c r="S521" s="245"/>
      <ns0:c r="T521" s="245"/>
      <ns0:c r="U521" s="245"/>
      <ns0:c r="V521" s="245"/>
      <ns0:c r="W521" s="245"/>
      <ns0:c r="X521" s="245"/>
      <ns0:c r="Y521" s="245"/>
      <ns0:c r="Z521" s="245"/>
    </ns0:row>
    <ns0:row r="522">
      <ns0:c r="A522" s="245"/>
      <ns0:c r="B522" s="245"/>
      <ns0:c r="C522" s="245"/>
      <ns0:c r="D522" s="245"/>
      <ns0:c r="E522" s="245"/>
      <ns0:c r="F522" s="245"/>
      <ns0:c r="G522" s="245"/>
      <ns0:c r="H522" s="245"/>
      <ns0:c r="I522" s="245"/>
      <ns0:c r="J522" s="245"/>
      <ns0:c r="K522" s="245"/>
      <ns0:c r="L522" s="245"/>
      <ns0:c r="M522" s="245"/>
      <ns0:c r="N522" s="245"/>
      <ns0:c r="O522" s="245"/>
      <ns0:c r="P522" s="245"/>
      <ns0:c r="Q522" s="245"/>
      <ns0:c r="R522" s="245"/>
      <ns0:c r="S522" s="245"/>
      <ns0:c r="T522" s="245"/>
      <ns0:c r="U522" s="245"/>
      <ns0:c r="V522" s="245"/>
      <ns0:c r="W522" s="245"/>
      <ns0:c r="X522" s="245"/>
      <ns0:c r="Y522" s="245"/>
      <ns0:c r="Z522" s="245"/>
    </ns0:row>
    <ns0:row r="523">
      <ns0:c r="A523" s="245"/>
      <ns0:c r="B523" s="245"/>
      <ns0:c r="C523" s="245"/>
      <ns0:c r="D523" s="245"/>
      <ns0:c r="E523" s="245"/>
      <ns0:c r="F523" s="245"/>
      <ns0:c r="G523" s="245"/>
      <ns0:c r="H523" s="245"/>
      <ns0:c r="I523" s="245"/>
      <ns0:c r="J523" s="245"/>
      <ns0:c r="K523" s="245"/>
      <ns0:c r="L523" s="245"/>
      <ns0:c r="M523" s="245"/>
      <ns0:c r="N523" s="245"/>
      <ns0:c r="O523" s="245"/>
      <ns0:c r="P523" s="245"/>
      <ns0:c r="Q523" s="245"/>
      <ns0:c r="R523" s="245"/>
      <ns0:c r="S523" s="245"/>
      <ns0:c r="T523" s="245"/>
      <ns0:c r="U523" s="245"/>
      <ns0:c r="V523" s="245"/>
      <ns0:c r="W523" s="245"/>
      <ns0:c r="X523" s="245"/>
      <ns0:c r="Y523" s="245"/>
      <ns0:c r="Z523" s="245"/>
    </ns0:row>
    <ns0:row r="524">
      <ns0:c r="A524" s="245"/>
      <ns0:c r="B524" s="245"/>
      <ns0:c r="C524" s="245"/>
      <ns0:c r="D524" s="245"/>
      <ns0:c r="E524" s="245"/>
      <ns0:c r="F524" s="245"/>
      <ns0:c r="G524" s="245"/>
      <ns0:c r="H524" s="245"/>
      <ns0:c r="I524" s="245"/>
      <ns0:c r="J524" s="245"/>
      <ns0:c r="K524" s="245"/>
      <ns0:c r="L524" s="245"/>
      <ns0:c r="M524" s="245"/>
      <ns0:c r="N524" s="245"/>
      <ns0:c r="O524" s="245"/>
      <ns0:c r="P524" s="245"/>
      <ns0:c r="Q524" s="245"/>
      <ns0:c r="R524" s="245"/>
      <ns0:c r="S524" s="245"/>
      <ns0:c r="T524" s="245"/>
      <ns0:c r="U524" s="245"/>
      <ns0:c r="V524" s="245"/>
      <ns0:c r="W524" s="245"/>
      <ns0:c r="X524" s="245"/>
      <ns0:c r="Y524" s="245"/>
      <ns0:c r="Z524" s="245"/>
    </ns0:row>
    <ns0:row r="525">
      <ns0:c r="A525" s="245"/>
      <ns0:c r="B525" s="245"/>
      <ns0:c r="C525" s="245"/>
      <ns0:c r="D525" s="245"/>
      <ns0:c r="E525" s="245"/>
      <ns0:c r="F525" s="245"/>
      <ns0:c r="G525" s="245"/>
      <ns0:c r="H525" s="245"/>
      <ns0:c r="I525" s="245"/>
      <ns0:c r="J525" s="245"/>
      <ns0:c r="K525" s="245"/>
      <ns0:c r="L525" s="245"/>
      <ns0:c r="M525" s="245"/>
      <ns0:c r="N525" s="245"/>
      <ns0:c r="O525" s="245"/>
      <ns0:c r="P525" s="245"/>
      <ns0:c r="Q525" s="245"/>
      <ns0:c r="R525" s="245"/>
      <ns0:c r="S525" s="245"/>
      <ns0:c r="T525" s="245"/>
      <ns0:c r="U525" s="245"/>
      <ns0:c r="V525" s="245"/>
      <ns0:c r="W525" s="245"/>
      <ns0:c r="X525" s="245"/>
      <ns0:c r="Y525" s="245"/>
      <ns0:c r="Z525" s="245"/>
    </ns0:row>
    <ns0:row r="526">
      <ns0:c r="A526" s="245"/>
      <ns0:c r="B526" s="245"/>
      <ns0:c r="C526" s="245"/>
      <ns0:c r="D526" s="245"/>
      <ns0:c r="E526" s="245"/>
      <ns0:c r="F526" s="245"/>
      <ns0:c r="G526" s="245"/>
      <ns0:c r="H526" s="245"/>
      <ns0:c r="I526" s="245"/>
      <ns0:c r="J526" s="245"/>
      <ns0:c r="K526" s="245"/>
      <ns0:c r="L526" s="245"/>
      <ns0:c r="M526" s="245"/>
      <ns0:c r="N526" s="245"/>
      <ns0:c r="O526" s="245"/>
      <ns0:c r="P526" s="245"/>
      <ns0:c r="Q526" s="245"/>
      <ns0:c r="R526" s="245"/>
      <ns0:c r="S526" s="245"/>
      <ns0:c r="T526" s="245"/>
      <ns0:c r="U526" s="245"/>
      <ns0:c r="V526" s="245"/>
      <ns0:c r="W526" s="245"/>
      <ns0:c r="X526" s="245"/>
      <ns0:c r="Y526" s="245"/>
      <ns0:c r="Z526" s="245"/>
    </ns0:row>
    <ns0:row r="527">
      <ns0:c r="A527" s="245"/>
      <ns0:c r="B527" s="245"/>
      <ns0:c r="C527" s="245"/>
      <ns0:c r="D527" s="245"/>
      <ns0:c r="E527" s="245"/>
      <ns0:c r="F527" s="245"/>
      <ns0:c r="G527" s="245"/>
      <ns0:c r="H527" s="245"/>
      <ns0:c r="I527" s="245"/>
      <ns0:c r="J527" s="245"/>
      <ns0:c r="K527" s="245"/>
      <ns0:c r="L527" s="245"/>
      <ns0:c r="M527" s="245"/>
      <ns0:c r="N527" s="245"/>
      <ns0:c r="O527" s="245"/>
      <ns0:c r="P527" s="245"/>
      <ns0:c r="Q527" s="245"/>
      <ns0:c r="R527" s="245"/>
      <ns0:c r="S527" s="245"/>
      <ns0:c r="T527" s="245"/>
      <ns0:c r="U527" s="245"/>
      <ns0:c r="V527" s="245"/>
      <ns0:c r="W527" s="245"/>
      <ns0:c r="X527" s="245"/>
      <ns0:c r="Y527" s="245"/>
      <ns0:c r="Z527" s="245"/>
    </ns0:row>
    <ns0:row r="528">
      <ns0:c r="A528" s="245"/>
      <ns0:c r="B528" s="245"/>
      <ns0:c r="C528" s="245"/>
      <ns0:c r="D528" s="245"/>
      <ns0:c r="E528" s="245"/>
      <ns0:c r="F528" s="245"/>
      <ns0:c r="G528" s="245"/>
      <ns0:c r="H528" s="245"/>
      <ns0:c r="I528" s="245"/>
      <ns0:c r="J528" s="245"/>
      <ns0:c r="K528" s="245"/>
      <ns0:c r="L528" s="245"/>
      <ns0:c r="M528" s="245"/>
      <ns0:c r="N528" s="245"/>
      <ns0:c r="O528" s="245"/>
      <ns0:c r="P528" s="245"/>
      <ns0:c r="Q528" s="245"/>
      <ns0:c r="R528" s="245"/>
      <ns0:c r="S528" s="245"/>
      <ns0:c r="T528" s="245"/>
      <ns0:c r="U528" s="245"/>
      <ns0:c r="V528" s="245"/>
      <ns0:c r="W528" s="245"/>
      <ns0:c r="X528" s="245"/>
      <ns0:c r="Y528" s="245"/>
      <ns0:c r="Z528" s="245"/>
    </ns0:row>
    <ns0:row r="529">
      <ns0:c r="A529" s="245"/>
      <ns0:c r="B529" s="245"/>
      <ns0:c r="C529" s="245"/>
      <ns0:c r="D529" s="245"/>
      <ns0:c r="E529" s="245"/>
      <ns0:c r="F529" s="245"/>
      <ns0:c r="G529" s="245"/>
      <ns0:c r="H529" s="245"/>
      <ns0:c r="I529" s="245"/>
      <ns0:c r="J529" s="245"/>
      <ns0:c r="K529" s="245"/>
      <ns0:c r="L529" s="245"/>
      <ns0:c r="M529" s="245"/>
      <ns0:c r="N529" s="245"/>
      <ns0:c r="O529" s="245"/>
      <ns0:c r="P529" s="245"/>
      <ns0:c r="Q529" s="245"/>
      <ns0:c r="R529" s="245"/>
      <ns0:c r="S529" s="245"/>
      <ns0:c r="T529" s="245"/>
      <ns0:c r="U529" s="245"/>
      <ns0:c r="V529" s="245"/>
      <ns0:c r="W529" s="245"/>
      <ns0:c r="X529" s="245"/>
      <ns0:c r="Y529" s="245"/>
      <ns0:c r="Z529" s="245"/>
    </ns0:row>
    <ns0:row r="530">
      <ns0:c r="A530" s="245"/>
      <ns0:c r="B530" s="245"/>
      <ns0:c r="C530" s="245"/>
      <ns0:c r="D530" s="245"/>
      <ns0:c r="E530" s="245"/>
      <ns0:c r="F530" s="245"/>
      <ns0:c r="G530" s="245"/>
      <ns0:c r="H530" s="245"/>
      <ns0:c r="I530" s="245"/>
      <ns0:c r="J530" s="245"/>
      <ns0:c r="K530" s="245"/>
      <ns0:c r="L530" s="245"/>
      <ns0:c r="M530" s="245"/>
      <ns0:c r="N530" s="245"/>
      <ns0:c r="O530" s="245"/>
      <ns0:c r="P530" s="245"/>
      <ns0:c r="Q530" s="245"/>
      <ns0:c r="R530" s="245"/>
      <ns0:c r="S530" s="245"/>
      <ns0:c r="T530" s="245"/>
      <ns0:c r="U530" s="245"/>
      <ns0:c r="V530" s="245"/>
      <ns0:c r="W530" s="245"/>
      <ns0:c r="X530" s="245"/>
      <ns0:c r="Y530" s="245"/>
      <ns0:c r="Z530" s="245"/>
    </ns0:row>
    <ns0:row r="531">
      <ns0:c r="A531" s="245"/>
      <ns0:c r="B531" s="245"/>
      <ns0:c r="C531" s="245"/>
      <ns0:c r="D531" s="245"/>
      <ns0:c r="E531" s="245"/>
      <ns0:c r="F531" s="245"/>
      <ns0:c r="G531" s="245"/>
      <ns0:c r="H531" s="245"/>
      <ns0:c r="I531" s="245"/>
      <ns0:c r="J531" s="245"/>
      <ns0:c r="K531" s="245"/>
      <ns0:c r="L531" s="245"/>
      <ns0:c r="M531" s="245"/>
      <ns0:c r="N531" s="245"/>
      <ns0:c r="O531" s="245"/>
      <ns0:c r="P531" s="245"/>
      <ns0:c r="Q531" s="245"/>
      <ns0:c r="R531" s="245"/>
      <ns0:c r="S531" s="245"/>
      <ns0:c r="T531" s="245"/>
      <ns0:c r="U531" s="245"/>
      <ns0:c r="V531" s="245"/>
      <ns0:c r="W531" s="245"/>
      <ns0:c r="X531" s="245"/>
      <ns0:c r="Y531" s="245"/>
      <ns0:c r="Z531" s="245"/>
    </ns0:row>
    <ns0:row r="532">
      <ns0:c r="A532" s="245"/>
      <ns0:c r="B532" s="245"/>
      <ns0:c r="C532" s="245"/>
      <ns0:c r="D532" s="245"/>
      <ns0:c r="E532" s="245"/>
      <ns0:c r="F532" s="245"/>
      <ns0:c r="G532" s="245"/>
      <ns0:c r="H532" s="245"/>
      <ns0:c r="I532" s="245"/>
      <ns0:c r="J532" s="245"/>
      <ns0:c r="K532" s="245"/>
      <ns0:c r="L532" s="245"/>
      <ns0:c r="M532" s="245"/>
      <ns0:c r="N532" s="245"/>
      <ns0:c r="O532" s="245"/>
      <ns0:c r="P532" s="245"/>
      <ns0:c r="Q532" s="245"/>
      <ns0:c r="R532" s="245"/>
      <ns0:c r="S532" s="245"/>
      <ns0:c r="T532" s="245"/>
      <ns0:c r="U532" s="245"/>
      <ns0:c r="V532" s="245"/>
      <ns0:c r="W532" s="245"/>
      <ns0:c r="X532" s="245"/>
      <ns0:c r="Y532" s="245"/>
      <ns0:c r="Z532" s="245"/>
    </ns0:row>
    <ns0:row r="533">
      <ns0:c r="A533" s="245"/>
      <ns0:c r="B533" s="245"/>
      <ns0:c r="C533" s="245"/>
      <ns0:c r="D533" s="245"/>
      <ns0:c r="E533" s="245"/>
      <ns0:c r="F533" s="245"/>
      <ns0:c r="G533" s="245"/>
      <ns0:c r="H533" s="245"/>
      <ns0:c r="I533" s="245"/>
      <ns0:c r="J533" s="245"/>
      <ns0:c r="K533" s="245"/>
      <ns0:c r="L533" s="245"/>
      <ns0:c r="M533" s="245"/>
      <ns0:c r="N533" s="245"/>
      <ns0:c r="O533" s="245"/>
      <ns0:c r="P533" s="245"/>
      <ns0:c r="Q533" s="245"/>
      <ns0:c r="R533" s="245"/>
      <ns0:c r="S533" s="245"/>
      <ns0:c r="T533" s="245"/>
      <ns0:c r="U533" s="245"/>
      <ns0:c r="V533" s="245"/>
      <ns0:c r="W533" s="245"/>
      <ns0:c r="X533" s="245"/>
      <ns0:c r="Y533" s="245"/>
      <ns0:c r="Z533" s="245"/>
    </ns0:row>
    <ns0:row r="534">
      <ns0:c r="A534" s="245"/>
      <ns0:c r="B534" s="245"/>
      <ns0:c r="C534" s="245"/>
      <ns0:c r="D534" s="245"/>
      <ns0:c r="E534" s="245"/>
      <ns0:c r="F534" s="245"/>
      <ns0:c r="G534" s="245"/>
      <ns0:c r="H534" s="245"/>
      <ns0:c r="I534" s="245"/>
      <ns0:c r="J534" s="245"/>
      <ns0:c r="K534" s="245"/>
      <ns0:c r="L534" s="245"/>
      <ns0:c r="M534" s="245"/>
      <ns0:c r="N534" s="245"/>
      <ns0:c r="O534" s="245"/>
      <ns0:c r="P534" s="245"/>
      <ns0:c r="Q534" s="245"/>
      <ns0:c r="R534" s="245"/>
      <ns0:c r="S534" s="245"/>
      <ns0:c r="T534" s="245"/>
      <ns0:c r="U534" s="245"/>
      <ns0:c r="V534" s="245"/>
      <ns0:c r="W534" s="245"/>
      <ns0:c r="X534" s="245"/>
      <ns0:c r="Y534" s="245"/>
      <ns0:c r="Z534" s="245"/>
    </ns0:row>
    <ns0:row r="535">
      <ns0:c r="A535" s="245"/>
      <ns0:c r="B535" s="245"/>
      <ns0:c r="C535" s="245"/>
      <ns0:c r="D535" s="245"/>
      <ns0:c r="E535" s="245"/>
      <ns0:c r="F535" s="245"/>
      <ns0:c r="G535" s="245"/>
      <ns0:c r="H535" s="245"/>
      <ns0:c r="I535" s="245"/>
      <ns0:c r="J535" s="245"/>
      <ns0:c r="K535" s="245"/>
      <ns0:c r="L535" s="245"/>
      <ns0:c r="M535" s="245"/>
      <ns0:c r="N535" s="245"/>
      <ns0:c r="O535" s="245"/>
      <ns0:c r="P535" s="245"/>
      <ns0:c r="Q535" s="245"/>
      <ns0:c r="R535" s="245"/>
      <ns0:c r="S535" s="245"/>
      <ns0:c r="T535" s="245"/>
      <ns0:c r="U535" s="245"/>
      <ns0:c r="V535" s="245"/>
      <ns0:c r="W535" s="245"/>
      <ns0:c r="X535" s="245"/>
      <ns0:c r="Y535" s="245"/>
      <ns0:c r="Z535" s="245"/>
    </ns0:row>
    <ns0:row r="536">
      <ns0:c r="A536" s="245"/>
      <ns0:c r="B536" s="245"/>
      <ns0:c r="C536" s="245"/>
      <ns0:c r="D536" s="245"/>
      <ns0:c r="E536" s="245"/>
      <ns0:c r="F536" s="245"/>
      <ns0:c r="G536" s="245"/>
      <ns0:c r="H536" s="245"/>
      <ns0:c r="I536" s="245"/>
      <ns0:c r="J536" s="245"/>
      <ns0:c r="K536" s="245"/>
      <ns0:c r="L536" s="245"/>
      <ns0:c r="M536" s="245"/>
      <ns0:c r="N536" s="245"/>
      <ns0:c r="O536" s="245"/>
      <ns0:c r="P536" s="245"/>
      <ns0:c r="Q536" s="245"/>
      <ns0:c r="R536" s="245"/>
      <ns0:c r="S536" s="245"/>
      <ns0:c r="T536" s="245"/>
      <ns0:c r="U536" s="245"/>
      <ns0:c r="V536" s="245"/>
      <ns0:c r="W536" s="245"/>
      <ns0:c r="X536" s="245"/>
      <ns0:c r="Y536" s="245"/>
      <ns0:c r="Z536" s="245"/>
    </ns0:row>
    <ns0:row r="537">
      <ns0:c r="A537" s="245"/>
      <ns0:c r="B537" s="245"/>
      <ns0:c r="C537" s="245"/>
      <ns0:c r="D537" s="245"/>
      <ns0:c r="E537" s="245"/>
      <ns0:c r="F537" s="245"/>
      <ns0:c r="G537" s="245"/>
      <ns0:c r="H537" s="245"/>
      <ns0:c r="I537" s="245"/>
      <ns0:c r="J537" s="245"/>
      <ns0:c r="K537" s="245"/>
      <ns0:c r="L537" s="245"/>
      <ns0:c r="M537" s="245"/>
      <ns0:c r="N537" s="245"/>
      <ns0:c r="O537" s="245"/>
      <ns0:c r="P537" s="245"/>
      <ns0:c r="Q537" s="245"/>
      <ns0:c r="R537" s="245"/>
      <ns0:c r="S537" s="245"/>
      <ns0:c r="T537" s="245"/>
      <ns0:c r="U537" s="245"/>
      <ns0:c r="V537" s="245"/>
      <ns0:c r="W537" s="245"/>
      <ns0:c r="X537" s="245"/>
      <ns0:c r="Y537" s="245"/>
      <ns0:c r="Z537" s="245"/>
    </ns0:row>
    <ns0:row r="538">
      <ns0:c r="A538" s="245"/>
      <ns0:c r="B538" s="245"/>
      <ns0:c r="C538" s="245"/>
      <ns0:c r="D538" s="245"/>
      <ns0:c r="E538" s="245"/>
      <ns0:c r="F538" s="245"/>
      <ns0:c r="G538" s="245"/>
      <ns0:c r="H538" s="245"/>
      <ns0:c r="I538" s="245"/>
      <ns0:c r="J538" s="245"/>
      <ns0:c r="K538" s="245"/>
      <ns0:c r="L538" s="245"/>
      <ns0:c r="M538" s="245"/>
      <ns0:c r="N538" s="245"/>
      <ns0:c r="O538" s="245"/>
      <ns0:c r="P538" s="245"/>
      <ns0:c r="Q538" s="245"/>
      <ns0:c r="R538" s="245"/>
      <ns0:c r="S538" s="245"/>
      <ns0:c r="T538" s="245"/>
      <ns0:c r="U538" s="245"/>
      <ns0:c r="V538" s="245"/>
      <ns0:c r="W538" s="245"/>
      <ns0:c r="X538" s="245"/>
      <ns0:c r="Y538" s="245"/>
      <ns0:c r="Z538" s="245"/>
    </ns0:row>
    <ns0:row r="539">
      <ns0:c r="A539" s="245"/>
      <ns0:c r="B539" s="245"/>
      <ns0:c r="C539" s="245"/>
      <ns0:c r="D539" s="245"/>
      <ns0:c r="E539" s="245"/>
      <ns0:c r="F539" s="245"/>
      <ns0:c r="G539" s="245"/>
      <ns0:c r="H539" s="245"/>
      <ns0:c r="I539" s="245"/>
      <ns0:c r="J539" s="245"/>
      <ns0:c r="K539" s="245"/>
      <ns0:c r="L539" s="245"/>
      <ns0:c r="M539" s="245"/>
      <ns0:c r="N539" s="245"/>
      <ns0:c r="O539" s="245"/>
      <ns0:c r="P539" s="245"/>
      <ns0:c r="Q539" s="245"/>
      <ns0:c r="R539" s="245"/>
      <ns0:c r="S539" s="245"/>
      <ns0:c r="T539" s="245"/>
      <ns0:c r="U539" s="245"/>
      <ns0:c r="V539" s="245"/>
      <ns0:c r="W539" s="245"/>
      <ns0:c r="X539" s="245"/>
      <ns0:c r="Y539" s="245"/>
      <ns0:c r="Z539" s="245"/>
    </ns0:row>
    <ns0:row r="540">
      <ns0:c r="A540" s="245"/>
      <ns0:c r="B540" s="245"/>
      <ns0:c r="C540" s="245"/>
      <ns0:c r="D540" s="245"/>
      <ns0:c r="E540" s="245"/>
      <ns0:c r="F540" s="245"/>
      <ns0:c r="G540" s="245"/>
      <ns0:c r="H540" s="245"/>
      <ns0:c r="I540" s="245"/>
      <ns0:c r="J540" s="245"/>
      <ns0:c r="K540" s="245"/>
      <ns0:c r="L540" s="245"/>
      <ns0:c r="M540" s="245"/>
      <ns0:c r="N540" s="245"/>
      <ns0:c r="O540" s="245"/>
      <ns0:c r="P540" s="245"/>
      <ns0:c r="Q540" s="245"/>
      <ns0:c r="R540" s="245"/>
      <ns0:c r="S540" s="245"/>
      <ns0:c r="T540" s="245"/>
      <ns0:c r="U540" s="245"/>
      <ns0:c r="V540" s="245"/>
      <ns0:c r="W540" s="245"/>
      <ns0:c r="X540" s="245"/>
      <ns0:c r="Y540" s="245"/>
      <ns0:c r="Z540" s="245"/>
    </ns0:row>
    <ns0:row r="541">
      <ns0:c r="A541" s="245"/>
      <ns0:c r="B541" s="245"/>
      <ns0:c r="C541" s="245"/>
      <ns0:c r="D541" s="245"/>
      <ns0:c r="E541" s="245"/>
      <ns0:c r="F541" s="245"/>
      <ns0:c r="G541" s="245"/>
      <ns0:c r="H541" s="245"/>
      <ns0:c r="I541" s="245"/>
      <ns0:c r="J541" s="245"/>
      <ns0:c r="K541" s="245"/>
      <ns0:c r="L541" s="245"/>
      <ns0:c r="M541" s="245"/>
      <ns0:c r="N541" s="245"/>
      <ns0:c r="O541" s="245"/>
      <ns0:c r="P541" s="245"/>
      <ns0:c r="Q541" s="245"/>
      <ns0:c r="R541" s="245"/>
      <ns0:c r="S541" s="245"/>
      <ns0:c r="T541" s="245"/>
      <ns0:c r="U541" s="245"/>
      <ns0:c r="V541" s="245"/>
      <ns0:c r="W541" s="245"/>
      <ns0:c r="X541" s="245"/>
      <ns0:c r="Y541" s="245"/>
      <ns0:c r="Z541" s="245"/>
    </ns0:row>
    <ns0:row r="542">
      <ns0:c r="A542" s="245"/>
      <ns0:c r="B542" s="245"/>
      <ns0:c r="C542" s="245"/>
      <ns0:c r="D542" s="245"/>
      <ns0:c r="E542" s="245"/>
      <ns0:c r="F542" s="245"/>
      <ns0:c r="G542" s="245"/>
      <ns0:c r="H542" s="245"/>
      <ns0:c r="I542" s="245"/>
      <ns0:c r="J542" s="245"/>
      <ns0:c r="K542" s="245"/>
      <ns0:c r="L542" s="245"/>
      <ns0:c r="M542" s="245"/>
      <ns0:c r="N542" s="245"/>
      <ns0:c r="O542" s="245"/>
      <ns0:c r="P542" s="245"/>
      <ns0:c r="Q542" s="245"/>
      <ns0:c r="R542" s="245"/>
      <ns0:c r="S542" s="245"/>
      <ns0:c r="T542" s="245"/>
      <ns0:c r="U542" s="245"/>
      <ns0:c r="V542" s="245"/>
      <ns0:c r="W542" s="245"/>
      <ns0:c r="X542" s="245"/>
      <ns0:c r="Y542" s="245"/>
      <ns0:c r="Z542" s="245"/>
    </ns0:row>
    <ns0:row r="543">
      <ns0:c r="A543" s="245"/>
      <ns0:c r="B543" s="245"/>
      <ns0:c r="C543" s="245"/>
      <ns0:c r="D543" s="245"/>
      <ns0:c r="E543" s="245"/>
      <ns0:c r="F543" s="245"/>
      <ns0:c r="G543" s="245"/>
      <ns0:c r="H543" s="245"/>
      <ns0:c r="I543" s="245"/>
      <ns0:c r="J543" s="245"/>
      <ns0:c r="K543" s="245"/>
      <ns0:c r="L543" s="245"/>
      <ns0:c r="M543" s="245"/>
      <ns0:c r="N543" s="245"/>
      <ns0:c r="O543" s="245"/>
      <ns0:c r="P543" s="245"/>
      <ns0:c r="Q543" s="245"/>
      <ns0:c r="R543" s="245"/>
      <ns0:c r="S543" s="245"/>
      <ns0:c r="T543" s="245"/>
      <ns0:c r="U543" s="245"/>
      <ns0:c r="V543" s="245"/>
      <ns0:c r="W543" s="245"/>
      <ns0:c r="X543" s="245"/>
      <ns0:c r="Y543" s="245"/>
      <ns0:c r="Z543" s="245"/>
    </ns0:row>
    <ns0:row r="544">
      <ns0:c r="A544" s="245"/>
      <ns0:c r="B544" s="245"/>
      <ns0:c r="C544" s="245"/>
      <ns0:c r="D544" s="245"/>
      <ns0:c r="E544" s="245"/>
      <ns0:c r="F544" s="245"/>
      <ns0:c r="G544" s="245"/>
      <ns0:c r="H544" s="245"/>
      <ns0:c r="I544" s="245"/>
      <ns0:c r="J544" s="245"/>
      <ns0:c r="K544" s="245"/>
      <ns0:c r="L544" s="245"/>
      <ns0:c r="M544" s="245"/>
      <ns0:c r="N544" s="245"/>
      <ns0:c r="O544" s="245"/>
      <ns0:c r="P544" s="245"/>
      <ns0:c r="Q544" s="245"/>
      <ns0:c r="R544" s="245"/>
      <ns0:c r="S544" s="245"/>
      <ns0:c r="T544" s="245"/>
      <ns0:c r="U544" s="245"/>
      <ns0:c r="V544" s="245"/>
      <ns0:c r="W544" s="245"/>
      <ns0:c r="X544" s="245"/>
      <ns0:c r="Y544" s="245"/>
      <ns0:c r="Z544" s="245"/>
    </ns0:row>
    <ns0:row r="545">
      <ns0:c r="A545" s="245"/>
      <ns0:c r="B545" s="245"/>
      <ns0:c r="C545" s="245"/>
      <ns0:c r="D545" s="245"/>
      <ns0:c r="E545" s="245"/>
      <ns0:c r="F545" s="245"/>
      <ns0:c r="G545" s="245"/>
      <ns0:c r="H545" s="245"/>
      <ns0:c r="I545" s="245"/>
      <ns0:c r="J545" s="245"/>
      <ns0:c r="K545" s="245"/>
      <ns0:c r="L545" s="245"/>
      <ns0:c r="M545" s="245"/>
      <ns0:c r="N545" s="245"/>
      <ns0:c r="O545" s="245"/>
      <ns0:c r="P545" s="245"/>
      <ns0:c r="Q545" s="245"/>
      <ns0:c r="R545" s="245"/>
      <ns0:c r="S545" s="245"/>
      <ns0:c r="T545" s="245"/>
      <ns0:c r="U545" s="245"/>
      <ns0:c r="V545" s="245"/>
      <ns0:c r="W545" s="245"/>
      <ns0:c r="X545" s="245"/>
      <ns0:c r="Y545" s="245"/>
      <ns0:c r="Z545" s="245"/>
    </ns0:row>
    <ns0:row r="546">
      <ns0:c r="A546" s="245"/>
      <ns0:c r="B546" s="245"/>
      <ns0:c r="C546" s="245"/>
      <ns0:c r="D546" s="245"/>
      <ns0:c r="E546" s="245"/>
      <ns0:c r="F546" s="245"/>
      <ns0:c r="G546" s="245"/>
      <ns0:c r="H546" s="245"/>
      <ns0:c r="I546" s="245"/>
      <ns0:c r="J546" s="245"/>
      <ns0:c r="K546" s="245"/>
      <ns0:c r="L546" s="245"/>
      <ns0:c r="M546" s="245"/>
      <ns0:c r="N546" s="245"/>
      <ns0:c r="O546" s="245"/>
      <ns0:c r="P546" s="245"/>
      <ns0:c r="Q546" s="245"/>
      <ns0:c r="R546" s="245"/>
      <ns0:c r="S546" s="245"/>
      <ns0:c r="T546" s="245"/>
      <ns0:c r="U546" s="245"/>
      <ns0:c r="V546" s="245"/>
      <ns0:c r="W546" s="245"/>
      <ns0:c r="X546" s="245"/>
      <ns0:c r="Y546" s="245"/>
      <ns0:c r="Z546" s="245"/>
    </ns0:row>
    <ns0:row r="547">
      <ns0:c r="A547" s="245"/>
      <ns0:c r="B547" s="245"/>
      <ns0:c r="C547" s="245"/>
      <ns0:c r="D547" s="245"/>
      <ns0:c r="E547" s="245"/>
      <ns0:c r="F547" s="245"/>
      <ns0:c r="G547" s="245"/>
      <ns0:c r="H547" s="245"/>
      <ns0:c r="I547" s="245"/>
      <ns0:c r="J547" s="245"/>
      <ns0:c r="K547" s="245"/>
      <ns0:c r="L547" s="245"/>
      <ns0:c r="M547" s="245"/>
      <ns0:c r="N547" s="245"/>
      <ns0:c r="O547" s="245"/>
      <ns0:c r="P547" s="245"/>
      <ns0:c r="Q547" s="245"/>
      <ns0:c r="R547" s="245"/>
      <ns0:c r="S547" s="245"/>
      <ns0:c r="T547" s="245"/>
      <ns0:c r="U547" s="245"/>
      <ns0:c r="V547" s="245"/>
      <ns0:c r="W547" s="245"/>
      <ns0:c r="X547" s="245"/>
      <ns0:c r="Y547" s="245"/>
      <ns0:c r="Z547" s="245"/>
    </ns0:row>
    <ns0:row r="548">
      <ns0:c r="A548" s="245"/>
      <ns0:c r="B548" s="245"/>
      <ns0:c r="C548" s="245"/>
      <ns0:c r="D548" s="245"/>
      <ns0:c r="E548" s="245"/>
      <ns0:c r="F548" s="245"/>
      <ns0:c r="G548" s="245"/>
      <ns0:c r="H548" s="245"/>
      <ns0:c r="I548" s="245"/>
      <ns0:c r="J548" s="245"/>
      <ns0:c r="K548" s="245"/>
      <ns0:c r="L548" s="245"/>
      <ns0:c r="M548" s="245"/>
      <ns0:c r="N548" s="245"/>
      <ns0:c r="O548" s="245"/>
      <ns0:c r="P548" s="245"/>
      <ns0:c r="Q548" s="245"/>
      <ns0:c r="R548" s="245"/>
      <ns0:c r="S548" s="245"/>
      <ns0:c r="T548" s="245"/>
      <ns0:c r="U548" s="245"/>
      <ns0:c r="V548" s="245"/>
      <ns0:c r="W548" s="245"/>
      <ns0:c r="X548" s="245"/>
      <ns0:c r="Y548" s="245"/>
      <ns0:c r="Z548" s="245"/>
    </ns0:row>
    <ns0:row r="549">
      <ns0:c r="A549" s="245"/>
      <ns0:c r="B549" s="245"/>
      <ns0:c r="C549" s="245"/>
      <ns0:c r="D549" s="245"/>
      <ns0:c r="E549" s="245"/>
      <ns0:c r="F549" s="245"/>
      <ns0:c r="G549" s="245"/>
      <ns0:c r="H549" s="245"/>
      <ns0:c r="I549" s="245"/>
      <ns0:c r="J549" s="245"/>
      <ns0:c r="K549" s="245"/>
      <ns0:c r="L549" s="245"/>
      <ns0:c r="M549" s="245"/>
      <ns0:c r="N549" s="245"/>
      <ns0:c r="O549" s="245"/>
      <ns0:c r="P549" s="245"/>
      <ns0:c r="Q549" s="245"/>
      <ns0:c r="R549" s="245"/>
      <ns0:c r="S549" s="245"/>
      <ns0:c r="T549" s="245"/>
      <ns0:c r="U549" s="245"/>
      <ns0:c r="V549" s="245"/>
      <ns0:c r="W549" s="245"/>
      <ns0:c r="X549" s="245"/>
      <ns0:c r="Y549" s="245"/>
      <ns0:c r="Z549" s="245"/>
    </ns0:row>
    <ns0:row r="550">
      <ns0:c r="A550" s="245"/>
      <ns0:c r="B550" s="245"/>
      <ns0:c r="C550" s="245"/>
      <ns0:c r="D550" s="245"/>
      <ns0:c r="E550" s="245"/>
      <ns0:c r="F550" s="245"/>
      <ns0:c r="G550" s="245"/>
      <ns0:c r="H550" s="245"/>
      <ns0:c r="I550" s="245"/>
      <ns0:c r="J550" s="245"/>
      <ns0:c r="K550" s="245"/>
      <ns0:c r="L550" s="245"/>
      <ns0:c r="M550" s="245"/>
      <ns0:c r="N550" s="245"/>
      <ns0:c r="O550" s="245"/>
      <ns0:c r="P550" s="245"/>
      <ns0:c r="Q550" s="245"/>
      <ns0:c r="R550" s="245"/>
      <ns0:c r="S550" s="245"/>
      <ns0:c r="T550" s="245"/>
      <ns0:c r="U550" s="245"/>
      <ns0:c r="V550" s="245"/>
      <ns0:c r="W550" s="245"/>
      <ns0:c r="X550" s="245"/>
      <ns0:c r="Y550" s="245"/>
      <ns0:c r="Z550" s="245"/>
    </ns0:row>
    <ns0:row r="551">
      <ns0:c r="A551" s="245"/>
      <ns0:c r="B551" s="245"/>
      <ns0:c r="C551" s="245"/>
      <ns0:c r="D551" s="245"/>
      <ns0:c r="E551" s="245"/>
      <ns0:c r="F551" s="245"/>
      <ns0:c r="G551" s="245"/>
      <ns0:c r="H551" s="245"/>
      <ns0:c r="I551" s="245"/>
      <ns0:c r="J551" s="245"/>
      <ns0:c r="K551" s="245"/>
      <ns0:c r="L551" s="245"/>
      <ns0:c r="M551" s="245"/>
      <ns0:c r="N551" s="245"/>
      <ns0:c r="O551" s="245"/>
      <ns0:c r="P551" s="245"/>
      <ns0:c r="Q551" s="245"/>
      <ns0:c r="R551" s="245"/>
      <ns0:c r="S551" s="245"/>
      <ns0:c r="T551" s="245"/>
      <ns0:c r="U551" s="245"/>
      <ns0:c r="V551" s="245"/>
      <ns0:c r="W551" s="245"/>
      <ns0:c r="X551" s="245"/>
      <ns0:c r="Y551" s="245"/>
      <ns0:c r="Z551" s="245"/>
    </ns0:row>
    <ns0:row r="552">
      <ns0:c r="A552" s="245"/>
      <ns0:c r="B552" s="245"/>
      <ns0:c r="C552" s="245"/>
      <ns0:c r="D552" s="245"/>
      <ns0:c r="E552" s="245"/>
      <ns0:c r="F552" s="245"/>
      <ns0:c r="G552" s="245"/>
      <ns0:c r="H552" s="245"/>
      <ns0:c r="I552" s="245"/>
      <ns0:c r="J552" s="245"/>
      <ns0:c r="K552" s="245"/>
      <ns0:c r="L552" s="245"/>
      <ns0:c r="M552" s="245"/>
      <ns0:c r="N552" s="245"/>
      <ns0:c r="O552" s="245"/>
      <ns0:c r="P552" s="245"/>
      <ns0:c r="Q552" s="245"/>
      <ns0:c r="R552" s="245"/>
      <ns0:c r="S552" s="245"/>
      <ns0:c r="T552" s="245"/>
      <ns0:c r="U552" s="245"/>
      <ns0:c r="V552" s="245"/>
      <ns0:c r="W552" s="245"/>
      <ns0:c r="X552" s="245"/>
      <ns0:c r="Y552" s="245"/>
      <ns0:c r="Z552" s="245"/>
    </ns0:row>
    <ns0:row r="553">
      <ns0:c r="A553" s="245"/>
      <ns0:c r="B553" s="245"/>
      <ns0:c r="C553" s="245"/>
      <ns0:c r="D553" s="245"/>
      <ns0:c r="E553" s="245"/>
      <ns0:c r="F553" s="245"/>
      <ns0:c r="G553" s="245"/>
      <ns0:c r="H553" s="245"/>
      <ns0:c r="I553" s="245"/>
      <ns0:c r="J553" s="245"/>
      <ns0:c r="K553" s="245"/>
      <ns0:c r="L553" s="245"/>
      <ns0:c r="M553" s="245"/>
      <ns0:c r="N553" s="245"/>
      <ns0:c r="O553" s="245"/>
      <ns0:c r="P553" s="245"/>
      <ns0:c r="Q553" s="245"/>
      <ns0:c r="R553" s="245"/>
      <ns0:c r="S553" s="245"/>
      <ns0:c r="T553" s="245"/>
      <ns0:c r="U553" s="245"/>
      <ns0:c r="V553" s="245"/>
      <ns0:c r="W553" s="245"/>
      <ns0:c r="X553" s="245"/>
      <ns0:c r="Y553" s="245"/>
      <ns0:c r="Z553" s="245"/>
    </ns0:row>
    <ns0:row r="554">
      <ns0:c r="A554" s="245"/>
      <ns0:c r="B554" s="245"/>
      <ns0:c r="C554" s="245"/>
      <ns0:c r="D554" s="245"/>
      <ns0:c r="E554" s="245"/>
      <ns0:c r="F554" s="245"/>
      <ns0:c r="G554" s="245"/>
      <ns0:c r="H554" s="245"/>
      <ns0:c r="I554" s="245"/>
      <ns0:c r="J554" s="245"/>
      <ns0:c r="K554" s="245"/>
      <ns0:c r="L554" s="245"/>
      <ns0:c r="M554" s="245"/>
      <ns0:c r="N554" s="245"/>
      <ns0:c r="O554" s="245"/>
      <ns0:c r="P554" s="245"/>
      <ns0:c r="Q554" s="245"/>
      <ns0:c r="R554" s="245"/>
      <ns0:c r="S554" s="245"/>
      <ns0:c r="T554" s="245"/>
      <ns0:c r="U554" s="245"/>
      <ns0:c r="V554" s="245"/>
      <ns0:c r="W554" s="245"/>
      <ns0:c r="X554" s="245"/>
      <ns0:c r="Y554" s="245"/>
      <ns0:c r="Z554" s="245"/>
    </ns0:row>
    <ns0:row r="555">
      <ns0:c r="A555" s="245"/>
      <ns0:c r="B555" s="245"/>
      <ns0:c r="C555" s="245"/>
      <ns0:c r="D555" s="245"/>
      <ns0:c r="E555" s="245"/>
      <ns0:c r="F555" s="245"/>
      <ns0:c r="G555" s="245"/>
      <ns0:c r="H555" s="245"/>
      <ns0:c r="I555" s="245"/>
      <ns0:c r="J555" s="245"/>
      <ns0:c r="K555" s="245"/>
      <ns0:c r="L555" s="245"/>
      <ns0:c r="M555" s="245"/>
      <ns0:c r="N555" s="245"/>
      <ns0:c r="O555" s="245"/>
      <ns0:c r="P555" s="245"/>
      <ns0:c r="Q555" s="245"/>
      <ns0:c r="R555" s="245"/>
      <ns0:c r="S555" s="245"/>
      <ns0:c r="T555" s="245"/>
      <ns0:c r="U555" s="245"/>
      <ns0:c r="V555" s="245"/>
      <ns0:c r="W555" s="245"/>
      <ns0:c r="X555" s="245"/>
      <ns0:c r="Y555" s="245"/>
      <ns0:c r="Z555" s="245"/>
    </ns0:row>
    <ns0:row r="556">
      <ns0:c r="A556" s="245"/>
      <ns0:c r="B556" s="245"/>
      <ns0:c r="C556" s="245"/>
      <ns0:c r="D556" s="245"/>
      <ns0:c r="E556" s="245"/>
      <ns0:c r="F556" s="245"/>
      <ns0:c r="G556" s="245"/>
      <ns0:c r="H556" s="245"/>
      <ns0:c r="I556" s="245"/>
      <ns0:c r="J556" s="245"/>
      <ns0:c r="K556" s="245"/>
      <ns0:c r="L556" s="245"/>
      <ns0:c r="M556" s="245"/>
      <ns0:c r="N556" s="245"/>
      <ns0:c r="O556" s="245"/>
      <ns0:c r="P556" s="245"/>
      <ns0:c r="Q556" s="245"/>
      <ns0:c r="R556" s="245"/>
      <ns0:c r="S556" s="245"/>
      <ns0:c r="T556" s="245"/>
      <ns0:c r="U556" s="245"/>
      <ns0:c r="V556" s="245"/>
      <ns0:c r="W556" s="245"/>
      <ns0:c r="X556" s="245"/>
      <ns0:c r="Y556" s="245"/>
      <ns0:c r="Z556" s="245"/>
    </ns0:row>
    <ns0:row r="557">
      <ns0:c r="A557" s="245"/>
      <ns0:c r="B557" s="245"/>
      <ns0:c r="C557" s="245"/>
      <ns0:c r="D557" s="245"/>
      <ns0:c r="E557" s="245"/>
      <ns0:c r="F557" s="245"/>
      <ns0:c r="G557" s="245"/>
      <ns0:c r="H557" s="245"/>
      <ns0:c r="I557" s="245"/>
      <ns0:c r="J557" s="245"/>
      <ns0:c r="K557" s="245"/>
      <ns0:c r="L557" s="245"/>
      <ns0:c r="M557" s="245"/>
      <ns0:c r="N557" s="245"/>
      <ns0:c r="O557" s="245"/>
      <ns0:c r="P557" s="245"/>
      <ns0:c r="Q557" s="245"/>
      <ns0:c r="R557" s="245"/>
      <ns0:c r="S557" s="245"/>
      <ns0:c r="T557" s="245"/>
      <ns0:c r="U557" s="245"/>
      <ns0:c r="V557" s="245"/>
      <ns0:c r="W557" s="245"/>
      <ns0:c r="X557" s="245"/>
      <ns0:c r="Y557" s="245"/>
      <ns0:c r="Z557" s="245"/>
    </ns0:row>
    <ns0:row r="558">
      <ns0:c r="A558" s="245"/>
      <ns0:c r="B558" s="245"/>
      <ns0:c r="C558" s="245"/>
      <ns0:c r="D558" s="245"/>
      <ns0:c r="E558" s="245"/>
      <ns0:c r="F558" s="245"/>
      <ns0:c r="G558" s="245"/>
      <ns0:c r="H558" s="245"/>
      <ns0:c r="I558" s="245"/>
      <ns0:c r="J558" s="245"/>
      <ns0:c r="K558" s="245"/>
      <ns0:c r="L558" s="245"/>
      <ns0:c r="M558" s="245"/>
      <ns0:c r="N558" s="245"/>
      <ns0:c r="O558" s="245"/>
      <ns0:c r="P558" s="245"/>
      <ns0:c r="Q558" s="245"/>
      <ns0:c r="R558" s="245"/>
      <ns0:c r="S558" s="245"/>
      <ns0:c r="T558" s="245"/>
      <ns0:c r="U558" s="245"/>
      <ns0:c r="V558" s="245"/>
      <ns0:c r="W558" s="245"/>
      <ns0:c r="X558" s="245"/>
      <ns0:c r="Y558" s="245"/>
      <ns0:c r="Z558" s="245"/>
    </ns0:row>
    <ns0:row r="559">
      <ns0:c r="A559" s="245"/>
      <ns0:c r="B559" s="245"/>
      <ns0:c r="C559" s="245"/>
      <ns0:c r="D559" s="245"/>
      <ns0:c r="E559" s="245"/>
      <ns0:c r="F559" s="245"/>
      <ns0:c r="G559" s="245"/>
      <ns0:c r="H559" s="245"/>
      <ns0:c r="I559" s="245"/>
      <ns0:c r="J559" s="245"/>
      <ns0:c r="K559" s="245"/>
      <ns0:c r="L559" s="245"/>
      <ns0:c r="M559" s="245"/>
      <ns0:c r="N559" s="245"/>
      <ns0:c r="O559" s="245"/>
      <ns0:c r="P559" s="245"/>
      <ns0:c r="Q559" s="245"/>
      <ns0:c r="R559" s="245"/>
      <ns0:c r="S559" s="245"/>
      <ns0:c r="T559" s="245"/>
      <ns0:c r="U559" s="245"/>
      <ns0:c r="V559" s="245"/>
      <ns0:c r="W559" s="245"/>
      <ns0:c r="X559" s="245"/>
      <ns0:c r="Y559" s="245"/>
      <ns0:c r="Z559" s="245"/>
    </ns0:row>
    <ns0:row r="560">
      <ns0:c r="A560" s="245"/>
      <ns0:c r="B560" s="245"/>
      <ns0:c r="C560" s="245"/>
      <ns0:c r="D560" s="245"/>
      <ns0:c r="E560" s="245"/>
      <ns0:c r="F560" s="245"/>
      <ns0:c r="G560" s="245"/>
      <ns0:c r="H560" s="245"/>
      <ns0:c r="I560" s="245"/>
      <ns0:c r="J560" s="245"/>
      <ns0:c r="K560" s="245"/>
      <ns0:c r="L560" s="245"/>
      <ns0:c r="M560" s="245"/>
      <ns0:c r="N560" s="245"/>
      <ns0:c r="O560" s="245"/>
      <ns0:c r="P560" s="245"/>
      <ns0:c r="Q560" s="245"/>
      <ns0:c r="R560" s="245"/>
      <ns0:c r="S560" s="245"/>
      <ns0:c r="T560" s="245"/>
      <ns0:c r="U560" s="245"/>
      <ns0:c r="V560" s="245"/>
      <ns0:c r="W560" s="245"/>
      <ns0:c r="X560" s="245"/>
      <ns0:c r="Y560" s="245"/>
      <ns0:c r="Z560" s="245"/>
    </ns0:row>
    <ns0:row r="561">
      <ns0:c r="A561" s="245"/>
      <ns0:c r="B561" s="245"/>
      <ns0:c r="C561" s="245"/>
      <ns0:c r="D561" s="245"/>
      <ns0:c r="E561" s="245"/>
      <ns0:c r="F561" s="245"/>
      <ns0:c r="G561" s="245"/>
      <ns0:c r="H561" s="245"/>
      <ns0:c r="I561" s="245"/>
      <ns0:c r="J561" s="245"/>
      <ns0:c r="K561" s="245"/>
      <ns0:c r="L561" s="245"/>
      <ns0:c r="M561" s="245"/>
      <ns0:c r="N561" s="245"/>
      <ns0:c r="O561" s="245"/>
      <ns0:c r="P561" s="245"/>
      <ns0:c r="Q561" s="245"/>
      <ns0:c r="R561" s="245"/>
      <ns0:c r="S561" s="245"/>
      <ns0:c r="T561" s="245"/>
      <ns0:c r="U561" s="245"/>
      <ns0:c r="V561" s="245"/>
      <ns0:c r="W561" s="245"/>
      <ns0:c r="X561" s="245"/>
      <ns0:c r="Y561" s="245"/>
      <ns0:c r="Z561" s="245"/>
    </ns0:row>
    <ns0:row r="562">
      <ns0:c r="A562" s="245"/>
      <ns0:c r="B562" s="245"/>
      <ns0:c r="C562" s="245"/>
      <ns0:c r="D562" s="245"/>
      <ns0:c r="E562" s="245"/>
      <ns0:c r="F562" s="245"/>
      <ns0:c r="G562" s="245"/>
      <ns0:c r="H562" s="245"/>
      <ns0:c r="I562" s="245"/>
      <ns0:c r="J562" s="245"/>
      <ns0:c r="K562" s="245"/>
      <ns0:c r="L562" s="245"/>
      <ns0:c r="M562" s="245"/>
      <ns0:c r="N562" s="245"/>
      <ns0:c r="O562" s="245"/>
      <ns0:c r="P562" s="245"/>
      <ns0:c r="Q562" s="245"/>
      <ns0:c r="R562" s="245"/>
      <ns0:c r="S562" s="245"/>
      <ns0:c r="T562" s="245"/>
      <ns0:c r="U562" s="245"/>
      <ns0:c r="V562" s="245"/>
      <ns0:c r="W562" s="245"/>
      <ns0:c r="X562" s="245"/>
      <ns0:c r="Y562" s="245"/>
      <ns0:c r="Z562" s="245"/>
    </ns0:row>
    <ns0:row r="563">
      <ns0:c r="A563" s="245"/>
      <ns0:c r="B563" s="245"/>
      <ns0:c r="C563" s="245"/>
      <ns0:c r="D563" s="245"/>
      <ns0:c r="E563" s="245"/>
      <ns0:c r="F563" s="245"/>
      <ns0:c r="G563" s="245"/>
      <ns0:c r="H563" s="245"/>
      <ns0:c r="I563" s="245"/>
      <ns0:c r="J563" s="245"/>
      <ns0:c r="K563" s="245"/>
      <ns0:c r="L563" s="245"/>
      <ns0:c r="M563" s="245"/>
      <ns0:c r="N563" s="245"/>
      <ns0:c r="O563" s="245"/>
      <ns0:c r="P563" s="245"/>
      <ns0:c r="Q563" s="245"/>
      <ns0:c r="R563" s="245"/>
      <ns0:c r="S563" s="245"/>
      <ns0:c r="T563" s="245"/>
      <ns0:c r="U563" s="245"/>
      <ns0:c r="V563" s="245"/>
      <ns0:c r="W563" s="245"/>
      <ns0:c r="X563" s="245"/>
      <ns0:c r="Y563" s="245"/>
      <ns0:c r="Z563" s="245"/>
    </ns0:row>
    <ns0:row r="564">
      <ns0:c r="A564" s="245"/>
      <ns0:c r="B564" s="245"/>
      <ns0:c r="C564" s="245"/>
      <ns0:c r="D564" s="245"/>
      <ns0:c r="E564" s="245"/>
      <ns0:c r="F564" s="245"/>
      <ns0:c r="G564" s="245"/>
      <ns0:c r="H564" s="245"/>
      <ns0:c r="I564" s="245"/>
      <ns0:c r="J564" s="245"/>
      <ns0:c r="K564" s="245"/>
      <ns0:c r="L564" s="245"/>
      <ns0:c r="M564" s="245"/>
      <ns0:c r="N564" s="245"/>
      <ns0:c r="O564" s="245"/>
      <ns0:c r="P564" s="245"/>
      <ns0:c r="Q564" s="245"/>
      <ns0:c r="R564" s="245"/>
      <ns0:c r="S564" s="245"/>
      <ns0:c r="T564" s="245"/>
      <ns0:c r="U564" s="245"/>
      <ns0:c r="V564" s="245"/>
      <ns0:c r="W564" s="245"/>
      <ns0:c r="X564" s="245"/>
      <ns0:c r="Y564" s="245"/>
      <ns0:c r="Z564" s="245"/>
    </ns0:row>
    <ns0:row r="565">
      <ns0:c r="A565" s="245"/>
      <ns0:c r="B565" s="245"/>
      <ns0:c r="C565" s="245"/>
      <ns0:c r="D565" s="245"/>
      <ns0:c r="E565" s="245"/>
      <ns0:c r="F565" s="245"/>
      <ns0:c r="G565" s="245"/>
      <ns0:c r="H565" s="245"/>
      <ns0:c r="I565" s="245"/>
      <ns0:c r="J565" s="245"/>
      <ns0:c r="K565" s="245"/>
      <ns0:c r="L565" s="245"/>
      <ns0:c r="M565" s="245"/>
      <ns0:c r="N565" s="245"/>
      <ns0:c r="O565" s="245"/>
      <ns0:c r="P565" s="245"/>
      <ns0:c r="Q565" s="245"/>
      <ns0:c r="R565" s="245"/>
      <ns0:c r="S565" s="245"/>
      <ns0:c r="T565" s="245"/>
      <ns0:c r="U565" s="245"/>
      <ns0:c r="V565" s="245"/>
      <ns0:c r="W565" s="245"/>
      <ns0:c r="X565" s="245"/>
      <ns0:c r="Y565" s="245"/>
      <ns0:c r="Z565" s="245"/>
    </ns0:row>
    <ns0:row r="566">
      <ns0:c r="A566" s="245"/>
      <ns0:c r="B566" s="245"/>
      <ns0:c r="C566" s="245"/>
      <ns0:c r="D566" s="245"/>
      <ns0:c r="E566" s="245"/>
      <ns0:c r="F566" s="245"/>
      <ns0:c r="G566" s="245"/>
      <ns0:c r="H566" s="245"/>
      <ns0:c r="I566" s="245"/>
      <ns0:c r="J566" s="245"/>
      <ns0:c r="K566" s="245"/>
      <ns0:c r="L566" s="245"/>
      <ns0:c r="M566" s="245"/>
      <ns0:c r="N566" s="245"/>
      <ns0:c r="O566" s="245"/>
      <ns0:c r="P566" s="245"/>
      <ns0:c r="Q566" s="245"/>
      <ns0:c r="R566" s="245"/>
      <ns0:c r="S566" s="245"/>
      <ns0:c r="T566" s="245"/>
      <ns0:c r="U566" s="245"/>
      <ns0:c r="V566" s="245"/>
      <ns0:c r="W566" s="245"/>
      <ns0:c r="X566" s="245"/>
      <ns0:c r="Y566" s="245"/>
      <ns0:c r="Z566" s="245"/>
    </ns0:row>
    <ns0:row r="567">
      <ns0:c r="A567" s="245"/>
      <ns0:c r="B567" s="245"/>
      <ns0:c r="C567" s="245"/>
      <ns0:c r="D567" s="245"/>
      <ns0:c r="E567" s="245"/>
      <ns0:c r="F567" s="245"/>
      <ns0:c r="G567" s="245"/>
      <ns0:c r="H567" s="245"/>
      <ns0:c r="I567" s="245"/>
      <ns0:c r="J567" s="245"/>
      <ns0:c r="K567" s="245"/>
      <ns0:c r="L567" s="245"/>
      <ns0:c r="M567" s="245"/>
      <ns0:c r="N567" s="245"/>
      <ns0:c r="O567" s="245"/>
      <ns0:c r="P567" s="245"/>
      <ns0:c r="Q567" s="245"/>
      <ns0:c r="R567" s="245"/>
      <ns0:c r="S567" s="245"/>
      <ns0:c r="T567" s="245"/>
      <ns0:c r="U567" s="245"/>
      <ns0:c r="V567" s="245"/>
      <ns0:c r="W567" s="245"/>
      <ns0:c r="X567" s="245"/>
      <ns0:c r="Y567" s="245"/>
      <ns0:c r="Z567" s="245"/>
    </ns0:row>
    <ns0:row r="568">
      <ns0:c r="A568" s="245"/>
      <ns0:c r="B568" s="245"/>
      <ns0:c r="C568" s="245"/>
      <ns0:c r="D568" s="245"/>
      <ns0:c r="E568" s="245"/>
      <ns0:c r="F568" s="245"/>
      <ns0:c r="G568" s="245"/>
      <ns0:c r="H568" s="245"/>
      <ns0:c r="I568" s="245"/>
      <ns0:c r="J568" s="245"/>
      <ns0:c r="K568" s="245"/>
      <ns0:c r="L568" s="245"/>
      <ns0:c r="M568" s="245"/>
      <ns0:c r="N568" s="245"/>
      <ns0:c r="O568" s="245"/>
      <ns0:c r="P568" s="245"/>
      <ns0:c r="Q568" s="245"/>
      <ns0:c r="R568" s="245"/>
      <ns0:c r="S568" s="245"/>
      <ns0:c r="T568" s="245"/>
      <ns0:c r="U568" s="245"/>
      <ns0:c r="V568" s="245"/>
      <ns0:c r="W568" s="245"/>
      <ns0:c r="X568" s="245"/>
      <ns0:c r="Y568" s="245"/>
      <ns0:c r="Z568" s="245"/>
    </ns0:row>
    <ns0:row r="569">
      <ns0:c r="A569" s="245"/>
      <ns0:c r="B569" s="245"/>
      <ns0:c r="C569" s="245"/>
      <ns0:c r="D569" s="245"/>
      <ns0:c r="E569" s="245"/>
      <ns0:c r="F569" s="245"/>
      <ns0:c r="G569" s="245"/>
      <ns0:c r="H569" s="245"/>
      <ns0:c r="I569" s="245"/>
      <ns0:c r="J569" s="245"/>
      <ns0:c r="K569" s="245"/>
      <ns0:c r="L569" s="245"/>
      <ns0:c r="M569" s="245"/>
      <ns0:c r="N569" s="245"/>
      <ns0:c r="O569" s="245"/>
      <ns0:c r="P569" s="245"/>
      <ns0:c r="Q569" s="245"/>
      <ns0:c r="R569" s="245"/>
      <ns0:c r="S569" s="245"/>
      <ns0:c r="T569" s="245"/>
      <ns0:c r="U569" s="245"/>
      <ns0:c r="V569" s="245"/>
      <ns0:c r="W569" s="245"/>
      <ns0:c r="X569" s="245"/>
      <ns0:c r="Y569" s="245"/>
      <ns0:c r="Z569" s="245"/>
    </ns0:row>
    <ns0:row r="570">
      <ns0:c r="A570" s="245"/>
      <ns0:c r="B570" s="245"/>
      <ns0:c r="C570" s="245"/>
      <ns0:c r="D570" s="245"/>
      <ns0:c r="E570" s="245"/>
      <ns0:c r="F570" s="245"/>
      <ns0:c r="G570" s="245"/>
      <ns0:c r="H570" s="245"/>
      <ns0:c r="I570" s="245"/>
      <ns0:c r="J570" s="245"/>
      <ns0:c r="K570" s="245"/>
      <ns0:c r="L570" s="245"/>
      <ns0:c r="M570" s="245"/>
      <ns0:c r="N570" s="245"/>
      <ns0:c r="O570" s="245"/>
      <ns0:c r="P570" s="245"/>
      <ns0:c r="Q570" s="245"/>
      <ns0:c r="R570" s="245"/>
      <ns0:c r="S570" s="245"/>
      <ns0:c r="T570" s="245"/>
      <ns0:c r="U570" s="245"/>
      <ns0:c r="V570" s="245"/>
      <ns0:c r="W570" s="245"/>
      <ns0:c r="X570" s="245"/>
      <ns0:c r="Y570" s="245"/>
      <ns0:c r="Z570" s="245"/>
    </ns0:row>
    <ns0:row r="571">
      <ns0:c r="A571" s="245"/>
      <ns0:c r="B571" s="245"/>
      <ns0:c r="C571" s="245"/>
      <ns0:c r="D571" s="245"/>
      <ns0:c r="E571" s="245"/>
      <ns0:c r="F571" s="245"/>
      <ns0:c r="G571" s="245"/>
      <ns0:c r="H571" s="245"/>
      <ns0:c r="I571" s="245"/>
      <ns0:c r="J571" s="245"/>
      <ns0:c r="K571" s="245"/>
      <ns0:c r="L571" s="245"/>
      <ns0:c r="M571" s="245"/>
      <ns0:c r="N571" s="245"/>
      <ns0:c r="O571" s="245"/>
      <ns0:c r="P571" s="245"/>
      <ns0:c r="Q571" s="245"/>
      <ns0:c r="R571" s="245"/>
      <ns0:c r="S571" s="245"/>
      <ns0:c r="T571" s="245"/>
      <ns0:c r="U571" s="245"/>
      <ns0:c r="V571" s="245"/>
      <ns0:c r="W571" s="245"/>
      <ns0:c r="X571" s="245"/>
      <ns0:c r="Y571" s="245"/>
      <ns0:c r="Z571" s="245"/>
    </ns0:row>
    <ns0:row r="572">
      <ns0:c r="A572" s="245"/>
      <ns0:c r="B572" s="245"/>
      <ns0:c r="C572" s="245"/>
      <ns0:c r="D572" s="245"/>
      <ns0:c r="E572" s="245"/>
      <ns0:c r="F572" s="245"/>
      <ns0:c r="G572" s="245"/>
      <ns0:c r="H572" s="245"/>
      <ns0:c r="I572" s="245"/>
      <ns0:c r="J572" s="245"/>
      <ns0:c r="K572" s="245"/>
      <ns0:c r="L572" s="245"/>
      <ns0:c r="M572" s="245"/>
      <ns0:c r="N572" s="245"/>
      <ns0:c r="O572" s="245"/>
      <ns0:c r="P572" s="245"/>
      <ns0:c r="Q572" s="245"/>
      <ns0:c r="R572" s="245"/>
      <ns0:c r="S572" s="245"/>
      <ns0:c r="T572" s="245"/>
      <ns0:c r="U572" s="245"/>
      <ns0:c r="V572" s="245"/>
      <ns0:c r="W572" s="245"/>
      <ns0:c r="X572" s="245"/>
      <ns0:c r="Y572" s="245"/>
      <ns0:c r="Z572" s="245"/>
    </ns0:row>
    <ns0:row r="573">
      <ns0:c r="A573" s="245"/>
      <ns0:c r="B573" s="245"/>
      <ns0:c r="C573" s="245"/>
      <ns0:c r="D573" s="245"/>
      <ns0:c r="E573" s="245"/>
      <ns0:c r="F573" s="245"/>
      <ns0:c r="G573" s="245"/>
      <ns0:c r="H573" s="245"/>
      <ns0:c r="I573" s="245"/>
      <ns0:c r="J573" s="245"/>
      <ns0:c r="K573" s="245"/>
      <ns0:c r="L573" s="245"/>
      <ns0:c r="M573" s="245"/>
      <ns0:c r="N573" s="245"/>
      <ns0:c r="O573" s="245"/>
      <ns0:c r="P573" s="245"/>
      <ns0:c r="Q573" s="245"/>
      <ns0:c r="R573" s="245"/>
      <ns0:c r="S573" s="245"/>
      <ns0:c r="T573" s="245"/>
      <ns0:c r="U573" s="245"/>
      <ns0:c r="V573" s="245"/>
      <ns0:c r="W573" s="245"/>
      <ns0:c r="X573" s="245"/>
      <ns0:c r="Y573" s="245"/>
      <ns0:c r="Z573" s="245"/>
    </ns0:row>
    <ns0:row r="574">
      <ns0:c r="A574" s="245"/>
      <ns0:c r="B574" s="245"/>
      <ns0:c r="C574" s="245"/>
      <ns0:c r="D574" s="245"/>
      <ns0:c r="E574" s="245"/>
      <ns0:c r="F574" s="245"/>
      <ns0:c r="G574" s="245"/>
      <ns0:c r="H574" s="245"/>
      <ns0:c r="I574" s="245"/>
      <ns0:c r="J574" s="245"/>
      <ns0:c r="K574" s="245"/>
      <ns0:c r="L574" s="245"/>
      <ns0:c r="M574" s="245"/>
      <ns0:c r="N574" s="245"/>
      <ns0:c r="O574" s="245"/>
      <ns0:c r="P574" s="245"/>
      <ns0:c r="Q574" s="245"/>
      <ns0:c r="R574" s="245"/>
      <ns0:c r="S574" s="245"/>
      <ns0:c r="T574" s="245"/>
      <ns0:c r="U574" s="245"/>
      <ns0:c r="V574" s="245"/>
      <ns0:c r="W574" s="245"/>
      <ns0:c r="X574" s="245"/>
      <ns0:c r="Y574" s="245"/>
      <ns0:c r="Z574" s="245"/>
    </ns0:row>
    <ns0:row r="575">
      <ns0:c r="A575" s="245"/>
      <ns0:c r="B575" s="245"/>
      <ns0:c r="C575" s="245"/>
      <ns0:c r="D575" s="245"/>
      <ns0:c r="E575" s="245"/>
      <ns0:c r="F575" s="245"/>
      <ns0:c r="G575" s="245"/>
      <ns0:c r="H575" s="245"/>
      <ns0:c r="I575" s="245"/>
      <ns0:c r="J575" s="245"/>
      <ns0:c r="K575" s="245"/>
      <ns0:c r="L575" s="245"/>
      <ns0:c r="M575" s="245"/>
      <ns0:c r="N575" s="245"/>
      <ns0:c r="O575" s="245"/>
      <ns0:c r="P575" s="245"/>
      <ns0:c r="Q575" s="245"/>
      <ns0:c r="R575" s="245"/>
      <ns0:c r="S575" s="245"/>
      <ns0:c r="T575" s="245"/>
      <ns0:c r="U575" s="245"/>
      <ns0:c r="V575" s="245"/>
      <ns0:c r="W575" s="245"/>
      <ns0:c r="X575" s="245"/>
      <ns0:c r="Y575" s="245"/>
      <ns0:c r="Z575" s="245"/>
    </ns0:row>
    <ns0:row r="576">
      <ns0:c r="A576" s="245"/>
      <ns0:c r="B576" s="245"/>
      <ns0:c r="C576" s="245"/>
      <ns0:c r="D576" s="245"/>
      <ns0:c r="E576" s="245"/>
      <ns0:c r="F576" s="245"/>
      <ns0:c r="G576" s="245"/>
      <ns0:c r="H576" s="245"/>
      <ns0:c r="I576" s="245"/>
      <ns0:c r="J576" s="245"/>
      <ns0:c r="K576" s="245"/>
      <ns0:c r="L576" s="245"/>
      <ns0:c r="M576" s="245"/>
      <ns0:c r="N576" s="245"/>
      <ns0:c r="O576" s="245"/>
      <ns0:c r="P576" s="245"/>
      <ns0:c r="Q576" s="245"/>
      <ns0:c r="R576" s="245"/>
      <ns0:c r="S576" s="245"/>
      <ns0:c r="T576" s="245"/>
      <ns0:c r="U576" s="245"/>
      <ns0:c r="V576" s="245"/>
      <ns0:c r="W576" s="245"/>
      <ns0:c r="X576" s="245"/>
      <ns0:c r="Y576" s="245"/>
      <ns0:c r="Z576" s="245"/>
    </ns0:row>
    <ns0:row r="577">
      <ns0:c r="A577" s="245"/>
      <ns0:c r="B577" s="245"/>
      <ns0:c r="C577" s="245"/>
      <ns0:c r="D577" s="245"/>
      <ns0:c r="E577" s="245"/>
      <ns0:c r="F577" s="245"/>
      <ns0:c r="G577" s="245"/>
      <ns0:c r="H577" s="245"/>
      <ns0:c r="I577" s="245"/>
      <ns0:c r="J577" s="245"/>
      <ns0:c r="K577" s="245"/>
      <ns0:c r="L577" s="245"/>
      <ns0:c r="M577" s="245"/>
      <ns0:c r="N577" s="245"/>
      <ns0:c r="O577" s="245"/>
      <ns0:c r="P577" s="245"/>
      <ns0:c r="Q577" s="245"/>
      <ns0:c r="R577" s="245"/>
      <ns0:c r="S577" s="245"/>
      <ns0:c r="T577" s="245"/>
      <ns0:c r="U577" s="245"/>
      <ns0:c r="V577" s="245"/>
      <ns0:c r="W577" s="245"/>
      <ns0:c r="X577" s="245"/>
      <ns0:c r="Y577" s="245"/>
      <ns0:c r="Z577" s="245"/>
    </ns0:row>
    <ns0:row r="578">
      <ns0:c r="A578" s="245"/>
      <ns0:c r="B578" s="245"/>
      <ns0:c r="C578" s="245"/>
      <ns0:c r="D578" s="245"/>
      <ns0:c r="E578" s="245"/>
      <ns0:c r="F578" s="245"/>
      <ns0:c r="G578" s="245"/>
      <ns0:c r="H578" s="245"/>
      <ns0:c r="I578" s="245"/>
      <ns0:c r="J578" s="245"/>
      <ns0:c r="K578" s="245"/>
      <ns0:c r="L578" s="245"/>
      <ns0:c r="M578" s="245"/>
      <ns0:c r="N578" s="245"/>
      <ns0:c r="O578" s="245"/>
      <ns0:c r="P578" s="245"/>
      <ns0:c r="Q578" s="245"/>
      <ns0:c r="R578" s="245"/>
      <ns0:c r="S578" s="245"/>
      <ns0:c r="T578" s="245"/>
      <ns0:c r="U578" s="245"/>
      <ns0:c r="V578" s="245"/>
      <ns0:c r="W578" s="245"/>
      <ns0:c r="X578" s="245"/>
      <ns0:c r="Y578" s="245"/>
      <ns0:c r="Z578" s="245"/>
    </ns0:row>
    <ns0:row r="579">
      <ns0:c r="A579" s="245"/>
      <ns0:c r="B579" s="245"/>
      <ns0:c r="C579" s="245"/>
      <ns0:c r="D579" s="245"/>
      <ns0:c r="E579" s="245"/>
      <ns0:c r="F579" s="245"/>
      <ns0:c r="G579" s="245"/>
      <ns0:c r="H579" s="245"/>
      <ns0:c r="I579" s="245"/>
      <ns0:c r="J579" s="245"/>
      <ns0:c r="K579" s="245"/>
      <ns0:c r="L579" s="245"/>
      <ns0:c r="M579" s="245"/>
      <ns0:c r="N579" s="245"/>
      <ns0:c r="O579" s="245"/>
      <ns0:c r="P579" s="245"/>
      <ns0:c r="Q579" s="245"/>
      <ns0:c r="R579" s="245"/>
      <ns0:c r="S579" s="245"/>
      <ns0:c r="T579" s="245"/>
      <ns0:c r="U579" s="245"/>
      <ns0:c r="V579" s="245"/>
      <ns0:c r="W579" s="245"/>
      <ns0:c r="X579" s="245"/>
      <ns0:c r="Y579" s="245"/>
      <ns0:c r="Z579" s="245"/>
    </ns0:row>
    <ns0:row r="580">
      <ns0:c r="A580" s="245"/>
      <ns0:c r="B580" s="245"/>
      <ns0:c r="C580" s="245"/>
      <ns0:c r="D580" s="245"/>
      <ns0:c r="E580" s="245"/>
      <ns0:c r="F580" s="245"/>
      <ns0:c r="G580" s="245"/>
      <ns0:c r="H580" s="245"/>
      <ns0:c r="I580" s="245"/>
      <ns0:c r="J580" s="245"/>
      <ns0:c r="K580" s="245"/>
      <ns0:c r="L580" s="245"/>
      <ns0:c r="M580" s="245"/>
      <ns0:c r="N580" s="245"/>
      <ns0:c r="O580" s="245"/>
      <ns0:c r="P580" s="245"/>
      <ns0:c r="Q580" s="245"/>
      <ns0:c r="R580" s="245"/>
      <ns0:c r="S580" s="245"/>
      <ns0:c r="T580" s="245"/>
      <ns0:c r="U580" s="245"/>
      <ns0:c r="V580" s="245"/>
      <ns0:c r="W580" s="245"/>
      <ns0:c r="X580" s="245"/>
      <ns0:c r="Y580" s="245"/>
      <ns0:c r="Z580" s="245"/>
    </ns0:row>
    <ns0:row r="581">
      <ns0:c r="A581" s="245"/>
      <ns0:c r="B581" s="245"/>
      <ns0:c r="C581" s="245"/>
      <ns0:c r="D581" s="245"/>
      <ns0:c r="E581" s="245"/>
      <ns0:c r="F581" s="245"/>
      <ns0:c r="G581" s="245"/>
      <ns0:c r="H581" s="245"/>
      <ns0:c r="I581" s="245"/>
      <ns0:c r="J581" s="245"/>
      <ns0:c r="K581" s="245"/>
      <ns0:c r="L581" s="245"/>
      <ns0:c r="M581" s="245"/>
      <ns0:c r="N581" s="245"/>
      <ns0:c r="O581" s="245"/>
      <ns0:c r="P581" s="245"/>
      <ns0:c r="Q581" s="245"/>
      <ns0:c r="R581" s="245"/>
      <ns0:c r="S581" s="245"/>
      <ns0:c r="T581" s="245"/>
      <ns0:c r="U581" s="245"/>
      <ns0:c r="V581" s="245"/>
      <ns0:c r="W581" s="245"/>
      <ns0:c r="X581" s="245"/>
      <ns0:c r="Y581" s="245"/>
      <ns0:c r="Z581" s="245"/>
    </ns0:row>
    <ns0:row r="582">
      <ns0:c r="A582" s="245"/>
      <ns0:c r="B582" s="245"/>
      <ns0:c r="C582" s="245"/>
      <ns0:c r="D582" s="245"/>
      <ns0:c r="E582" s="245"/>
      <ns0:c r="F582" s="245"/>
      <ns0:c r="G582" s="245"/>
      <ns0:c r="H582" s="245"/>
      <ns0:c r="I582" s="245"/>
      <ns0:c r="J582" s="245"/>
      <ns0:c r="K582" s="245"/>
      <ns0:c r="L582" s="245"/>
      <ns0:c r="M582" s="245"/>
      <ns0:c r="N582" s="245"/>
      <ns0:c r="O582" s="245"/>
      <ns0:c r="P582" s="245"/>
      <ns0:c r="Q582" s="245"/>
      <ns0:c r="R582" s="245"/>
      <ns0:c r="S582" s="245"/>
      <ns0:c r="T582" s="245"/>
      <ns0:c r="U582" s="245"/>
      <ns0:c r="V582" s="245"/>
      <ns0:c r="W582" s="245"/>
      <ns0:c r="X582" s="245"/>
      <ns0:c r="Y582" s="245"/>
      <ns0:c r="Z582" s="245"/>
    </ns0:row>
    <ns0:row r="583">
      <ns0:c r="A583" s="245"/>
      <ns0:c r="B583" s="245"/>
      <ns0:c r="C583" s="245"/>
      <ns0:c r="D583" s="245"/>
      <ns0:c r="E583" s="245"/>
      <ns0:c r="F583" s="245"/>
      <ns0:c r="G583" s="245"/>
      <ns0:c r="H583" s="245"/>
      <ns0:c r="I583" s="245"/>
      <ns0:c r="J583" s="245"/>
      <ns0:c r="K583" s="245"/>
      <ns0:c r="L583" s="245"/>
      <ns0:c r="M583" s="245"/>
      <ns0:c r="N583" s="245"/>
      <ns0:c r="O583" s="245"/>
      <ns0:c r="P583" s="245"/>
      <ns0:c r="Q583" s="245"/>
      <ns0:c r="R583" s="245"/>
      <ns0:c r="S583" s="245"/>
      <ns0:c r="T583" s="245"/>
      <ns0:c r="U583" s="245"/>
      <ns0:c r="V583" s="245"/>
      <ns0:c r="W583" s="245"/>
      <ns0:c r="X583" s="245"/>
      <ns0:c r="Y583" s="245"/>
      <ns0:c r="Z583" s="245"/>
    </ns0:row>
    <ns0:row r="584">
      <ns0:c r="A584" s="245"/>
      <ns0:c r="B584" s="245"/>
      <ns0:c r="C584" s="245"/>
      <ns0:c r="D584" s="245"/>
      <ns0:c r="E584" s="245"/>
      <ns0:c r="F584" s="245"/>
      <ns0:c r="G584" s="245"/>
      <ns0:c r="H584" s="245"/>
      <ns0:c r="I584" s="245"/>
      <ns0:c r="J584" s="245"/>
      <ns0:c r="K584" s="245"/>
      <ns0:c r="L584" s="245"/>
      <ns0:c r="M584" s="245"/>
      <ns0:c r="N584" s="245"/>
      <ns0:c r="O584" s="245"/>
      <ns0:c r="P584" s="245"/>
      <ns0:c r="Q584" s="245"/>
      <ns0:c r="R584" s="245"/>
      <ns0:c r="S584" s="245"/>
      <ns0:c r="T584" s="245"/>
      <ns0:c r="U584" s="245"/>
      <ns0:c r="V584" s="245"/>
      <ns0:c r="W584" s="245"/>
      <ns0:c r="X584" s="245"/>
      <ns0:c r="Y584" s="245"/>
      <ns0:c r="Z584" s="245"/>
    </ns0:row>
    <ns0:row r="585">
      <ns0:c r="A585" s="245"/>
      <ns0:c r="B585" s="245"/>
      <ns0:c r="C585" s="245"/>
      <ns0:c r="D585" s="245"/>
      <ns0:c r="E585" s="245"/>
      <ns0:c r="F585" s="245"/>
      <ns0:c r="G585" s="245"/>
      <ns0:c r="H585" s="245"/>
      <ns0:c r="I585" s="245"/>
      <ns0:c r="J585" s="245"/>
      <ns0:c r="K585" s="245"/>
      <ns0:c r="L585" s="245"/>
      <ns0:c r="M585" s="245"/>
      <ns0:c r="N585" s="245"/>
      <ns0:c r="O585" s="245"/>
      <ns0:c r="P585" s="245"/>
      <ns0:c r="Q585" s="245"/>
      <ns0:c r="R585" s="245"/>
      <ns0:c r="S585" s="245"/>
      <ns0:c r="T585" s="245"/>
      <ns0:c r="U585" s="245"/>
      <ns0:c r="V585" s="245"/>
      <ns0:c r="W585" s="245"/>
      <ns0:c r="X585" s="245"/>
      <ns0:c r="Y585" s="245"/>
      <ns0:c r="Z585" s="245"/>
    </ns0:row>
    <ns0:row r="586">
      <ns0:c r="A586" s="245"/>
      <ns0:c r="B586" s="245"/>
      <ns0:c r="C586" s="245"/>
      <ns0:c r="D586" s="245"/>
      <ns0:c r="E586" s="245"/>
      <ns0:c r="F586" s="245"/>
      <ns0:c r="G586" s="245"/>
      <ns0:c r="H586" s="245"/>
      <ns0:c r="I586" s="245"/>
      <ns0:c r="J586" s="245"/>
      <ns0:c r="K586" s="245"/>
      <ns0:c r="L586" s="245"/>
      <ns0:c r="M586" s="245"/>
      <ns0:c r="N586" s="245"/>
      <ns0:c r="O586" s="245"/>
      <ns0:c r="P586" s="245"/>
      <ns0:c r="Q586" s="245"/>
      <ns0:c r="R586" s="245"/>
      <ns0:c r="S586" s="245"/>
      <ns0:c r="T586" s="245"/>
      <ns0:c r="U586" s="245"/>
      <ns0:c r="V586" s="245"/>
      <ns0:c r="W586" s="245"/>
      <ns0:c r="X586" s="245"/>
      <ns0:c r="Y586" s="245"/>
      <ns0:c r="Z586" s="245"/>
    </ns0:row>
    <ns0:row r="587">
      <ns0:c r="A587" s="245"/>
      <ns0:c r="B587" s="245"/>
      <ns0:c r="C587" s="245"/>
      <ns0:c r="D587" s="245"/>
      <ns0:c r="E587" s="245"/>
      <ns0:c r="F587" s="245"/>
      <ns0:c r="G587" s="245"/>
      <ns0:c r="H587" s="245"/>
      <ns0:c r="I587" s="245"/>
      <ns0:c r="J587" s="245"/>
      <ns0:c r="K587" s="245"/>
      <ns0:c r="L587" s="245"/>
      <ns0:c r="M587" s="245"/>
      <ns0:c r="N587" s="245"/>
      <ns0:c r="O587" s="245"/>
      <ns0:c r="P587" s="245"/>
      <ns0:c r="Q587" s="245"/>
      <ns0:c r="R587" s="245"/>
      <ns0:c r="S587" s="245"/>
      <ns0:c r="T587" s="245"/>
      <ns0:c r="U587" s="245"/>
      <ns0:c r="V587" s="245"/>
      <ns0:c r="W587" s="245"/>
      <ns0:c r="X587" s="245"/>
      <ns0:c r="Y587" s="245"/>
      <ns0:c r="Z587" s="245"/>
    </ns0:row>
    <ns0:row r="588">
      <ns0:c r="A588" s="245"/>
      <ns0:c r="B588" s="245"/>
      <ns0:c r="C588" s="245"/>
      <ns0:c r="D588" s="245"/>
      <ns0:c r="E588" s="245"/>
      <ns0:c r="F588" s="245"/>
      <ns0:c r="G588" s="245"/>
      <ns0:c r="H588" s="245"/>
      <ns0:c r="I588" s="245"/>
      <ns0:c r="J588" s="245"/>
      <ns0:c r="K588" s="245"/>
      <ns0:c r="L588" s="245"/>
      <ns0:c r="M588" s="245"/>
      <ns0:c r="N588" s="245"/>
      <ns0:c r="O588" s="245"/>
      <ns0:c r="P588" s="245"/>
      <ns0:c r="Q588" s="245"/>
      <ns0:c r="R588" s="245"/>
      <ns0:c r="S588" s="245"/>
      <ns0:c r="T588" s="245"/>
      <ns0:c r="U588" s="245"/>
      <ns0:c r="V588" s="245"/>
      <ns0:c r="W588" s="245"/>
      <ns0:c r="X588" s="245"/>
      <ns0:c r="Y588" s="245"/>
      <ns0:c r="Z588" s="245"/>
    </ns0:row>
    <ns0:row r="589">
      <ns0:c r="A589" s="245"/>
      <ns0:c r="B589" s="245"/>
      <ns0:c r="C589" s="245"/>
      <ns0:c r="D589" s="245"/>
      <ns0:c r="E589" s="245"/>
      <ns0:c r="F589" s="245"/>
      <ns0:c r="G589" s="245"/>
      <ns0:c r="H589" s="245"/>
      <ns0:c r="I589" s="245"/>
      <ns0:c r="J589" s="245"/>
      <ns0:c r="K589" s="245"/>
      <ns0:c r="L589" s="245"/>
      <ns0:c r="M589" s="245"/>
      <ns0:c r="N589" s="245"/>
      <ns0:c r="O589" s="245"/>
      <ns0:c r="P589" s="245"/>
      <ns0:c r="Q589" s="245"/>
      <ns0:c r="R589" s="245"/>
      <ns0:c r="S589" s="245"/>
      <ns0:c r="T589" s="245"/>
      <ns0:c r="U589" s="245"/>
      <ns0:c r="V589" s="245"/>
      <ns0:c r="W589" s="245"/>
      <ns0:c r="X589" s="245"/>
      <ns0:c r="Y589" s="245"/>
      <ns0:c r="Z589" s="245"/>
    </ns0:row>
    <ns0:row r="590">
      <ns0:c r="A590" s="245"/>
      <ns0:c r="B590" s="245"/>
      <ns0:c r="C590" s="245"/>
      <ns0:c r="D590" s="245"/>
      <ns0:c r="E590" s="245"/>
      <ns0:c r="F590" s="245"/>
      <ns0:c r="G590" s="245"/>
      <ns0:c r="H590" s="245"/>
      <ns0:c r="I590" s="245"/>
      <ns0:c r="J590" s="245"/>
      <ns0:c r="K590" s="245"/>
      <ns0:c r="L590" s="245"/>
      <ns0:c r="M590" s="245"/>
      <ns0:c r="N590" s="245"/>
      <ns0:c r="O590" s="245"/>
      <ns0:c r="P590" s="245"/>
      <ns0:c r="Q590" s="245"/>
      <ns0:c r="R590" s="245"/>
      <ns0:c r="S590" s="245"/>
      <ns0:c r="T590" s="245"/>
      <ns0:c r="U590" s="245"/>
      <ns0:c r="V590" s="245"/>
      <ns0:c r="W590" s="245"/>
      <ns0:c r="X590" s="245"/>
      <ns0:c r="Y590" s="245"/>
      <ns0:c r="Z590" s="245"/>
    </ns0:row>
    <ns0:row r="591">
      <ns0:c r="A591" s="245"/>
      <ns0:c r="B591" s="245"/>
      <ns0:c r="C591" s="245"/>
      <ns0:c r="D591" s="245"/>
      <ns0:c r="E591" s="245"/>
      <ns0:c r="F591" s="245"/>
      <ns0:c r="G591" s="245"/>
      <ns0:c r="H591" s="245"/>
      <ns0:c r="I591" s="245"/>
      <ns0:c r="J591" s="245"/>
      <ns0:c r="K591" s="245"/>
      <ns0:c r="L591" s="245"/>
      <ns0:c r="M591" s="245"/>
      <ns0:c r="N591" s="245"/>
      <ns0:c r="O591" s="245"/>
      <ns0:c r="P591" s="245"/>
      <ns0:c r="Q591" s="245"/>
      <ns0:c r="R591" s="245"/>
      <ns0:c r="S591" s="245"/>
      <ns0:c r="T591" s="245"/>
      <ns0:c r="U591" s="245"/>
      <ns0:c r="V591" s="245"/>
      <ns0:c r="W591" s="245"/>
      <ns0:c r="X591" s="245"/>
      <ns0:c r="Y591" s="245"/>
      <ns0:c r="Z591" s="245"/>
    </ns0:row>
    <ns0:row r="592">
      <ns0:c r="A592" s="245"/>
      <ns0:c r="B592" s="245"/>
      <ns0:c r="C592" s="245"/>
      <ns0:c r="D592" s="245"/>
      <ns0:c r="E592" s="245"/>
      <ns0:c r="F592" s="245"/>
      <ns0:c r="G592" s="245"/>
      <ns0:c r="H592" s="245"/>
      <ns0:c r="I592" s="245"/>
      <ns0:c r="J592" s="245"/>
      <ns0:c r="K592" s="245"/>
      <ns0:c r="L592" s="245"/>
      <ns0:c r="M592" s="245"/>
      <ns0:c r="N592" s="245"/>
      <ns0:c r="O592" s="245"/>
      <ns0:c r="P592" s="245"/>
      <ns0:c r="Q592" s="245"/>
      <ns0:c r="R592" s="245"/>
      <ns0:c r="S592" s="245"/>
      <ns0:c r="T592" s="245"/>
      <ns0:c r="U592" s="245"/>
      <ns0:c r="V592" s="245"/>
      <ns0:c r="W592" s="245"/>
      <ns0:c r="X592" s="245"/>
      <ns0:c r="Y592" s="245"/>
      <ns0:c r="Z592" s="245"/>
    </ns0:row>
    <ns0:row r="593">
      <ns0:c r="A593" s="245"/>
      <ns0:c r="B593" s="245"/>
      <ns0:c r="C593" s="245"/>
      <ns0:c r="D593" s="245"/>
      <ns0:c r="E593" s="245"/>
      <ns0:c r="F593" s="245"/>
      <ns0:c r="G593" s="245"/>
      <ns0:c r="H593" s="245"/>
      <ns0:c r="I593" s="245"/>
      <ns0:c r="J593" s="245"/>
      <ns0:c r="K593" s="245"/>
      <ns0:c r="L593" s="245"/>
      <ns0:c r="M593" s="245"/>
      <ns0:c r="N593" s="245"/>
      <ns0:c r="O593" s="245"/>
      <ns0:c r="P593" s="245"/>
      <ns0:c r="Q593" s="245"/>
      <ns0:c r="R593" s="245"/>
      <ns0:c r="S593" s="245"/>
      <ns0:c r="T593" s="245"/>
      <ns0:c r="U593" s="245"/>
      <ns0:c r="V593" s="245"/>
      <ns0:c r="W593" s="245"/>
      <ns0:c r="X593" s="245"/>
      <ns0:c r="Y593" s="245"/>
      <ns0:c r="Z593" s="245"/>
    </ns0:row>
    <ns0:row r="594">
      <ns0:c r="A594" s="245"/>
      <ns0:c r="B594" s="245"/>
      <ns0:c r="C594" s="245"/>
      <ns0:c r="D594" s="245"/>
      <ns0:c r="E594" s="245"/>
      <ns0:c r="F594" s="245"/>
      <ns0:c r="G594" s="245"/>
      <ns0:c r="H594" s="245"/>
      <ns0:c r="I594" s="245"/>
      <ns0:c r="J594" s="245"/>
      <ns0:c r="K594" s="245"/>
      <ns0:c r="L594" s="245"/>
      <ns0:c r="M594" s="245"/>
      <ns0:c r="N594" s="245"/>
      <ns0:c r="O594" s="245"/>
      <ns0:c r="P594" s="245"/>
      <ns0:c r="Q594" s="245"/>
      <ns0:c r="R594" s="245"/>
      <ns0:c r="S594" s="245"/>
      <ns0:c r="T594" s="245"/>
      <ns0:c r="U594" s="245"/>
      <ns0:c r="V594" s="245"/>
      <ns0:c r="W594" s="245"/>
      <ns0:c r="X594" s="245"/>
      <ns0:c r="Y594" s="245"/>
      <ns0:c r="Z594" s="245"/>
    </ns0:row>
    <ns0:row r="595">
      <ns0:c r="A595" s="245"/>
      <ns0:c r="B595" s="245"/>
      <ns0:c r="C595" s="245"/>
      <ns0:c r="D595" s="245"/>
      <ns0:c r="E595" s="245"/>
      <ns0:c r="F595" s="245"/>
      <ns0:c r="G595" s="245"/>
      <ns0:c r="H595" s="245"/>
      <ns0:c r="I595" s="245"/>
      <ns0:c r="J595" s="245"/>
      <ns0:c r="K595" s="245"/>
      <ns0:c r="L595" s="245"/>
      <ns0:c r="M595" s="245"/>
      <ns0:c r="N595" s="245"/>
      <ns0:c r="O595" s="245"/>
      <ns0:c r="P595" s="245"/>
      <ns0:c r="Q595" s="245"/>
      <ns0:c r="R595" s="245"/>
      <ns0:c r="S595" s="245"/>
      <ns0:c r="T595" s="245"/>
      <ns0:c r="U595" s="245"/>
      <ns0:c r="V595" s="245"/>
      <ns0:c r="W595" s="245"/>
      <ns0:c r="X595" s="245"/>
      <ns0:c r="Y595" s="245"/>
      <ns0:c r="Z595" s="245"/>
    </ns0:row>
    <ns0:row r="596">
      <ns0:c r="A596" s="245"/>
      <ns0:c r="B596" s="245"/>
      <ns0:c r="C596" s="245"/>
      <ns0:c r="D596" s="245"/>
      <ns0:c r="E596" s="245"/>
      <ns0:c r="F596" s="245"/>
      <ns0:c r="G596" s="245"/>
      <ns0:c r="H596" s="245"/>
      <ns0:c r="I596" s="245"/>
      <ns0:c r="J596" s="245"/>
      <ns0:c r="K596" s="245"/>
      <ns0:c r="L596" s="245"/>
      <ns0:c r="M596" s="245"/>
      <ns0:c r="N596" s="245"/>
      <ns0:c r="O596" s="245"/>
      <ns0:c r="P596" s="245"/>
      <ns0:c r="Q596" s="245"/>
      <ns0:c r="R596" s="245"/>
      <ns0:c r="S596" s="245"/>
      <ns0:c r="T596" s="245"/>
      <ns0:c r="U596" s="245"/>
      <ns0:c r="V596" s="245"/>
      <ns0:c r="W596" s="245"/>
      <ns0:c r="X596" s="245"/>
      <ns0:c r="Y596" s="245"/>
      <ns0:c r="Z596" s="245"/>
    </ns0:row>
    <ns0:row r="597">
      <ns0:c r="A597" s="245"/>
      <ns0:c r="B597" s="245"/>
      <ns0:c r="C597" s="245"/>
      <ns0:c r="D597" s="245"/>
      <ns0:c r="E597" s="245"/>
      <ns0:c r="F597" s="245"/>
      <ns0:c r="G597" s="245"/>
      <ns0:c r="H597" s="245"/>
      <ns0:c r="I597" s="245"/>
      <ns0:c r="J597" s="245"/>
      <ns0:c r="K597" s="245"/>
      <ns0:c r="L597" s="245"/>
      <ns0:c r="M597" s="245"/>
      <ns0:c r="N597" s="245"/>
      <ns0:c r="O597" s="245"/>
      <ns0:c r="P597" s="245"/>
      <ns0:c r="Q597" s="245"/>
      <ns0:c r="R597" s="245"/>
      <ns0:c r="S597" s="245"/>
      <ns0:c r="T597" s="245"/>
      <ns0:c r="U597" s="245"/>
      <ns0:c r="V597" s="245"/>
      <ns0:c r="W597" s="245"/>
      <ns0:c r="X597" s="245"/>
      <ns0:c r="Y597" s="245"/>
      <ns0:c r="Z597" s="245"/>
    </ns0:row>
    <ns0:row r="598">
      <ns0:c r="A598" s="245"/>
      <ns0:c r="B598" s="245"/>
      <ns0:c r="C598" s="245"/>
      <ns0:c r="D598" s="245"/>
      <ns0:c r="E598" s="245"/>
      <ns0:c r="F598" s="245"/>
      <ns0:c r="G598" s="245"/>
      <ns0:c r="H598" s="245"/>
      <ns0:c r="I598" s="245"/>
      <ns0:c r="J598" s="245"/>
      <ns0:c r="K598" s="245"/>
      <ns0:c r="L598" s="245"/>
      <ns0:c r="M598" s="245"/>
      <ns0:c r="N598" s="245"/>
      <ns0:c r="O598" s="245"/>
      <ns0:c r="P598" s="245"/>
      <ns0:c r="Q598" s="245"/>
      <ns0:c r="R598" s="245"/>
      <ns0:c r="S598" s="245"/>
      <ns0:c r="T598" s="245"/>
      <ns0:c r="U598" s="245"/>
      <ns0:c r="V598" s="245"/>
      <ns0:c r="W598" s="245"/>
      <ns0:c r="X598" s="245"/>
      <ns0:c r="Y598" s="245"/>
      <ns0:c r="Z598" s="245"/>
    </ns0:row>
    <ns0:row r="599">
      <ns0:c r="A599" s="245"/>
      <ns0:c r="B599" s="245"/>
      <ns0:c r="C599" s="245"/>
      <ns0:c r="D599" s="245"/>
      <ns0:c r="E599" s="245"/>
      <ns0:c r="F599" s="245"/>
      <ns0:c r="G599" s="245"/>
      <ns0:c r="H599" s="245"/>
      <ns0:c r="I599" s="245"/>
      <ns0:c r="J599" s="245"/>
      <ns0:c r="K599" s="245"/>
      <ns0:c r="L599" s="245"/>
      <ns0:c r="M599" s="245"/>
      <ns0:c r="N599" s="245"/>
      <ns0:c r="O599" s="245"/>
      <ns0:c r="P599" s="245"/>
      <ns0:c r="Q599" s="245"/>
      <ns0:c r="R599" s="245"/>
      <ns0:c r="S599" s="245"/>
      <ns0:c r="T599" s="245"/>
      <ns0:c r="U599" s="245"/>
      <ns0:c r="V599" s="245"/>
      <ns0:c r="W599" s="245"/>
      <ns0:c r="X599" s="245"/>
      <ns0:c r="Y599" s="245"/>
      <ns0:c r="Z599" s="245"/>
    </ns0:row>
    <ns0:row r="600">
      <ns0:c r="A600" s="245"/>
      <ns0:c r="B600" s="245"/>
      <ns0:c r="C600" s="245"/>
      <ns0:c r="D600" s="245"/>
      <ns0:c r="E600" s="245"/>
      <ns0:c r="F600" s="245"/>
      <ns0:c r="G600" s="245"/>
      <ns0:c r="H600" s="245"/>
      <ns0:c r="I600" s="245"/>
      <ns0:c r="J600" s="245"/>
      <ns0:c r="K600" s="245"/>
      <ns0:c r="L600" s="245"/>
      <ns0:c r="M600" s="245"/>
      <ns0:c r="N600" s="245"/>
      <ns0:c r="O600" s="245"/>
      <ns0:c r="P600" s="245"/>
      <ns0:c r="Q600" s="245"/>
      <ns0:c r="R600" s="245"/>
      <ns0:c r="S600" s="245"/>
      <ns0:c r="T600" s="245"/>
      <ns0:c r="U600" s="245"/>
      <ns0:c r="V600" s="245"/>
      <ns0:c r="W600" s="245"/>
      <ns0:c r="X600" s="245"/>
      <ns0:c r="Y600" s="245"/>
      <ns0:c r="Z600" s="245"/>
    </ns0:row>
    <ns0:row r="601">
      <ns0:c r="A601" s="245"/>
      <ns0:c r="B601" s="245"/>
      <ns0:c r="C601" s="245"/>
      <ns0:c r="D601" s="245"/>
      <ns0:c r="E601" s="245"/>
      <ns0:c r="F601" s="245"/>
      <ns0:c r="G601" s="245"/>
      <ns0:c r="H601" s="245"/>
      <ns0:c r="I601" s="245"/>
      <ns0:c r="J601" s="245"/>
      <ns0:c r="K601" s="245"/>
      <ns0:c r="L601" s="245"/>
      <ns0:c r="M601" s="245"/>
      <ns0:c r="N601" s="245"/>
      <ns0:c r="O601" s="245"/>
      <ns0:c r="P601" s="245"/>
      <ns0:c r="Q601" s="245"/>
      <ns0:c r="R601" s="245"/>
      <ns0:c r="S601" s="245"/>
      <ns0:c r="T601" s="245"/>
      <ns0:c r="U601" s="245"/>
      <ns0:c r="V601" s="245"/>
      <ns0:c r="W601" s="245"/>
      <ns0:c r="X601" s="245"/>
      <ns0:c r="Y601" s="245"/>
      <ns0:c r="Z601" s="245"/>
    </ns0:row>
    <ns0:row r="602">
      <ns0:c r="A602" s="245"/>
      <ns0:c r="B602" s="245"/>
      <ns0:c r="C602" s="245"/>
      <ns0:c r="D602" s="245"/>
      <ns0:c r="E602" s="245"/>
      <ns0:c r="F602" s="245"/>
      <ns0:c r="G602" s="245"/>
      <ns0:c r="H602" s="245"/>
      <ns0:c r="I602" s="245"/>
      <ns0:c r="J602" s="245"/>
      <ns0:c r="K602" s="245"/>
      <ns0:c r="L602" s="245"/>
      <ns0:c r="M602" s="245"/>
      <ns0:c r="N602" s="245"/>
      <ns0:c r="O602" s="245"/>
      <ns0:c r="P602" s="245"/>
      <ns0:c r="Q602" s="245"/>
      <ns0:c r="R602" s="245"/>
      <ns0:c r="S602" s="245"/>
      <ns0:c r="T602" s="245"/>
      <ns0:c r="U602" s="245"/>
      <ns0:c r="V602" s="245"/>
      <ns0:c r="W602" s="245"/>
      <ns0:c r="X602" s="245"/>
      <ns0:c r="Y602" s="245"/>
      <ns0:c r="Z602" s="245"/>
    </ns0:row>
    <ns0:row r="603">
      <ns0:c r="A603" s="245"/>
      <ns0:c r="B603" s="245"/>
      <ns0:c r="C603" s="245"/>
      <ns0:c r="D603" s="245"/>
      <ns0:c r="E603" s="245"/>
      <ns0:c r="F603" s="245"/>
      <ns0:c r="G603" s="245"/>
      <ns0:c r="H603" s="245"/>
      <ns0:c r="I603" s="245"/>
      <ns0:c r="J603" s="245"/>
      <ns0:c r="K603" s="245"/>
      <ns0:c r="L603" s="245"/>
      <ns0:c r="M603" s="245"/>
      <ns0:c r="N603" s="245"/>
      <ns0:c r="O603" s="245"/>
      <ns0:c r="P603" s="245"/>
      <ns0:c r="Q603" s="245"/>
      <ns0:c r="R603" s="245"/>
      <ns0:c r="S603" s="245"/>
      <ns0:c r="T603" s="245"/>
      <ns0:c r="U603" s="245"/>
      <ns0:c r="V603" s="245"/>
      <ns0:c r="W603" s="245"/>
      <ns0:c r="X603" s="245"/>
      <ns0:c r="Y603" s="245"/>
      <ns0:c r="Z603" s="245"/>
    </ns0:row>
    <ns0:row r="604">
      <ns0:c r="A604" s="245"/>
      <ns0:c r="B604" s="245"/>
      <ns0:c r="C604" s="245"/>
      <ns0:c r="D604" s="245"/>
      <ns0:c r="E604" s="245"/>
      <ns0:c r="F604" s="245"/>
      <ns0:c r="G604" s="245"/>
      <ns0:c r="H604" s="245"/>
      <ns0:c r="I604" s="245"/>
      <ns0:c r="J604" s="245"/>
      <ns0:c r="K604" s="245"/>
      <ns0:c r="L604" s="245"/>
      <ns0:c r="M604" s="245"/>
      <ns0:c r="N604" s="245"/>
      <ns0:c r="O604" s="245"/>
      <ns0:c r="P604" s="245"/>
      <ns0:c r="Q604" s="245"/>
      <ns0:c r="R604" s="245"/>
      <ns0:c r="S604" s="245"/>
      <ns0:c r="T604" s="245"/>
      <ns0:c r="U604" s="245"/>
      <ns0:c r="V604" s="245"/>
      <ns0:c r="W604" s="245"/>
      <ns0:c r="X604" s="245"/>
      <ns0:c r="Y604" s="245"/>
      <ns0:c r="Z604" s="245"/>
    </ns0:row>
    <ns0:row r="605">
      <ns0:c r="A605" s="245"/>
      <ns0:c r="B605" s="245"/>
      <ns0:c r="C605" s="245"/>
      <ns0:c r="D605" s="245"/>
      <ns0:c r="E605" s="245"/>
      <ns0:c r="F605" s="245"/>
      <ns0:c r="G605" s="245"/>
      <ns0:c r="H605" s="245"/>
      <ns0:c r="I605" s="245"/>
      <ns0:c r="J605" s="245"/>
      <ns0:c r="K605" s="245"/>
      <ns0:c r="L605" s="245"/>
      <ns0:c r="M605" s="245"/>
      <ns0:c r="N605" s="245"/>
      <ns0:c r="O605" s="245"/>
      <ns0:c r="P605" s="245"/>
      <ns0:c r="Q605" s="245"/>
      <ns0:c r="R605" s="245"/>
      <ns0:c r="S605" s="245"/>
      <ns0:c r="T605" s="245"/>
      <ns0:c r="U605" s="245"/>
      <ns0:c r="V605" s="245"/>
      <ns0:c r="W605" s="245"/>
      <ns0:c r="X605" s="245"/>
      <ns0:c r="Y605" s="245"/>
      <ns0:c r="Z605" s="245"/>
    </ns0:row>
    <ns0:row r="606">
      <ns0:c r="A606" s="245"/>
      <ns0:c r="B606" s="245"/>
      <ns0:c r="C606" s="245"/>
      <ns0:c r="D606" s="245"/>
      <ns0:c r="E606" s="245"/>
      <ns0:c r="F606" s="245"/>
      <ns0:c r="G606" s="245"/>
      <ns0:c r="H606" s="245"/>
      <ns0:c r="I606" s="245"/>
      <ns0:c r="J606" s="245"/>
      <ns0:c r="K606" s="245"/>
      <ns0:c r="L606" s="245"/>
      <ns0:c r="M606" s="245"/>
      <ns0:c r="N606" s="245"/>
      <ns0:c r="O606" s="245"/>
      <ns0:c r="P606" s="245"/>
      <ns0:c r="Q606" s="245"/>
      <ns0:c r="R606" s="245"/>
      <ns0:c r="S606" s="245"/>
      <ns0:c r="T606" s="245"/>
      <ns0:c r="U606" s="245"/>
      <ns0:c r="V606" s="245"/>
      <ns0:c r="W606" s="245"/>
      <ns0:c r="X606" s="245"/>
      <ns0:c r="Y606" s="245"/>
      <ns0:c r="Z606" s="245"/>
    </ns0:row>
    <ns0:row r="607">
      <ns0:c r="A607" s="245"/>
      <ns0:c r="B607" s="245"/>
      <ns0:c r="C607" s="245"/>
      <ns0:c r="D607" s="245"/>
      <ns0:c r="E607" s="245"/>
      <ns0:c r="F607" s="245"/>
      <ns0:c r="G607" s="245"/>
      <ns0:c r="H607" s="245"/>
      <ns0:c r="I607" s="245"/>
      <ns0:c r="J607" s="245"/>
      <ns0:c r="K607" s="245"/>
      <ns0:c r="L607" s="245"/>
      <ns0:c r="M607" s="245"/>
      <ns0:c r="N607" s="245"/>
      <ns0:c r="O607" s="245"/>
      <ns0:c r="P607" s="245"/>
      <ns0:c r="Q607" s="245"/>
      <ns0:c r="R607" s="245"/>
      <ns0:c r="S607" s="245"/>
      <ns0:c r="T607" s="245"/>
      <ns0:c r="U607" s="245"/>
      <ns0:c r="V607" s="245"/>
      <ns0:c r="W607" s="245"/>
      <ns0:c r="X607" s="245"/>
      <ns0:c r="Y607" s="245"/>
      <ns0:c r="Z607" s="245"/>
    </ns0:row>
    <ns0:row r="608">
      <ns0:c r="A608" s="245"/>
      <ns0:c r="B608" s="245"/>
      <ns0:c r="C608" s="245"/>
      <ns0:c r="D608" s="245"/>
      <ns0:c r="E608" s="245"/>
      <ns0:c r="F608" s="245"/>
      <ns0:c r="G608" s="245"/>
      <ns0:c r="H608" s="245"/>
      <ns0:c r="I608" s="245"/>
      <ns0:c r="J608" s="245"/>
      <ns0:c r="K608" s="245"/>
      <ns0:c r="L608" s="245"/>
      <ns0:c r="M608" s="245"/>
      <ns0:c r="N608" s="245"/>
      <ns0:c r="O608" s="245"/>
      <ns0:c r="P608" s="245"/>
      <ns0:c r="Q608" s="245"/>
      <ns0:c r="R608" s="245"/>
      <ns0:c r="S608" s="245"/>
      <ns0:c r="T608" s="245"/>
      <ns0:c r="U608" s="245"/>
      <ns0:c r="V608" s="245"/>
      <ns0:c r="W608" s="245"/>
      <ns0:c r="X608" s="245"/>
      <ns0:c r="Y608" s="245"/>
      <ns0:c r="Z608" s="245"/>
    </ns0:row>
    <ns0:row r="609">
      <ns0:c r="A609" s="245"/>
      <ns0:c r="B609" s="245"/>
      <ns0:c r="C609" s="245"/>
      <ns0:c r="D609" s="245"/>
      <ns0:c r="E609" s="245"/>
      <ns0:c r="F609" s="245"/>
      <ns0:c r="G609" s="245"/>
      <ns0:c r="H609" s="245"/>
      <ns0:c r="I609" s="245"/>
      <ns0:c r="J609" s="245"/>
      <ns0:c r="K609" s="245"/>
      <ns0:c r="L609" s="245"/>
      <ns0:c r="M609" s="245"/>
      <ns0:c r="N609" s="245"/>
      <ns0:c r="O609" s="245"/>
      <ns0:c r="P609" s="245"/>
      <ns0:c r="Q609" s="245"/>
      <ns0:c r="R609" s="245"/>
      <ns0:c r="S609" s="245"/>
      <ns0:c r="T609" s="245"/>
      <ns0:c r="U609" s="245"/>
      <ns0:c r="V609" s="245"/>
      <ns0:c r="W609" s="245"/>
      <ns0:c r="X609" s="245"/>
      <ns0:c r="Y609" s="245"/>
      <ns0:c r="Z609" s="245"/>
    </ns0:row>
    <ns0:row r="610">
      <ns0:c r="A610" s="245"/>
      <ns0:c r="B610" s="245"/>
      <ns0:c r="C610" s="245"/>
      <ns0:c r="D610" s="245"/>
      <ns0:c r="E610" s="245"/>
      <ns0:c r="F610" s="245"/>
      <ns0:c r="G610" s="245"/>
      <ns0:c r="H610" s="245"/>
      <ns0:c r="I610" s="245"/>
      <ns0:c r="J610" s="245"/>
      <ns0:c r="K610" s="245"/>
      <ns0:c r="L610" s="245"/>
      <ns0:c r="M610" s="245"/>
      <ns0:c r="N610" s="245"/>
      <ns0:c r="O610" s="245"/>
      <ns0:c r="P610" s="245"/>
      <ns0:c r="Q610" s="245"/>
      <ns0:c r="R610" s="245"/>
      <ns0:c r="S610" s="245"/>
      <ns0:c r="T610" s="245"/>
      <ns0:c r="U610" s="245"/>
      <ns0:c r="V610" s="245"/>
      <ns0:c r="W610" s="245"/>
      <ns0:c r="X610" s="245"/>
      <ns0:c r="Y610" s="245"/>
      <ns0:c r="Z610" s="245"/>
    </ns0:row>
    <ns0:row r="611">
      <ns0:c r="A611" s="245"/>
      <ns0:c r="B611" s="245"/>
      <ns0:c r="C611" s="245"/>
      <ns0:c r="D611" s="245"/>
      <ns0:c r="E611" s="245"/>
      <ns0:c r="F611" s="245"/>
      <ns0:c r="G611" s="245"/>
      <ns0:c r="H611" s="245"/>
      <ns0:c r="I611" s="245"/>
      <ns0:c r="J611" s="245"/>
      <ns0:c r="K611" s="245"/>
      <ns0:c r="L611" s="245"/>
      <ns0:c r="M611" s="245"/>
      <ns0:c r="N611" s="245"/>
      <ns0:c r="O611" s="245"/>
      <ns0:c r="P611" s="245"/>
      <ns0:c r="Q611" s="245"/>
      <ns0:c r="R611" s="245"/>
      <ns0:c r="S611" s="245"/>
      <ns0:c r="T611" s="245"/>
      <ns0:c r="U611" s="245"/>
      <ns0:c r="V611" s="245"/>
      <ns0:c r="W611" s="245"/>
      <ns0:c r="X611" s="245"/>
      <ns0:c r="Y611" s="245"/>
      <ns0:c r="Z611" s="245"/>
    </ns0:row>
    <ns0:row r="612">
      <ns0:c r="A612" s="245"/>
      <ns0:c r="B612" s="245"/>
      <ns0:c r="C612" s="245"/>
      <ns0:c r="D612" s="245"/>
      <ns0:c r="E612" s="245"/>
      <ns0:c r="F612" s="245"/>
      <ns0:c r="G612" s="245"/>
      <ns0:c r="H612" s="245"/>
      <ns0:c r="I612" s="245"/>
      <ns0:c r="J612" s="245"/>
      <ns0:c r="K612" s="245"/>
      <ns0:c r="L612" s="245"/>
      <ns0:c r="M612" s="245"/>
      <ns0:c r="N612" s="245"/>
      <ns0:c r="O612" s="245"/>
      <ns0:c r="P612" s="245"/>
      <ns0:c r="Q612" s="245"/>
      <ns0:c r="R612" s="245"/>
      <ns0:c r="S612" s="245"/>
      <ns0:c r="T612" s="245"/>
      <ns0:c r="U612" s="245"/>
      <ns0:c r="V612" s="245"/>
      <ns0:c r="W612" s="245"/>
      <ns0:c r="X612" s="245"/>
      <ns0:c r="Y612" s="245"/>
      <ns0:c r="Z612" s="245"/>
    </ns0:row>
    <ns0:row r="613">
      <ns0:c r="A613" s="245"/>
      <ns0:c r="B613" s="245"/>
      <ns0:c r="C613" s="245"/>
      <ns0:c r="D613" s="245"/>
      <ns0:c r="E613" s="245"/>
      <ns0:c r="F613" s="245"/>
      <ns0:c r="G613" s="245"/>
      <ns0:c r="H613" s="245"/>
      <ns0:c r="I613" s="245"/>
      <ns0:c r="J613" s="245"/>
      <ns0:c r="K613" s="245"/>
      <ns0:c r="L613" s="245"/>
      <ns0:c r="M613" s="245"/>
      <ns0:c r="N613" s="245"/>
      <ns0:c r="O613" s="245"/>
      <ns0:c r="P613" s="245"/>
      <ns0:c r="Q613" s="245"/>
      <ns0:c r="R613" s="245"/>
      <ns0:c r="S613" s="245"/>
      <ns0:c r="T613" s="245"/>
      <ns0:c r="U613" s="245"/>
      <ns0:c r="V613" s="245"/>
      <ns0:c r="W613" s="245"/>
      <ns0:c r="X613" s="245"/>
      <ns0:c r="Y613" s="245"/>
      <ns0:c r="Z613" s="245"/>
    </ns0:row>
    <ns0:row r="614">
      <ns0:c r="A614" s="245"/>
      <ns0:c r="B614" s="245"/>
      <ns0:c r="C614" s="245"/>
      <ns0:c r="D614" s="245"/>
      <ns0:c r="E614" s="245"/>
      <ns0:c r="F614" s="245"/>
      <ns0:c r="G614" s="245"/>
      <ns0:c r="H614" s="245"/>
      <ns0:c r="I614" s="245"/>
      <ns0:c r="J614" s="245"/>
      <ns0:c r="K614" s="245"/>
      <ns0:c r="L614" s="245"/>
      <ns0:c r="M614" s="245"/>
      <ns0:c r="N614" s="245"/>
      <ns0:c r="O614" s="245"/>
      <ns0:c r="P614" s="245"/>
      <ns0:c r="Q614" s="245"/>
      <ns0:c r="R614" s="245"/>
      <ns0:c r="S614" s="245"/>
      <ns0:c r="T614" s="245"/>
      <ns0:c r="U614" s="245"/>
      <ns0:c r="V614" s="245"/>
      <ns0:c r="W614" s="245"/>
      <ns0:c r="X614" s="245"/>
      <ns0:c r="Y614" s="245"/>
      <ns0:c r="Z614" s="245"/>
    </ns0:row>
    <ns0:row r="615">
      <ns0:c r="A615" s="245"/>
      <ns0:c r="B615" s="245"/>
      <ns0:c r="C615" s="245"/>
      <ns0:c r="D615" s="245"/>
      <ns0:c r="E615" s="245"/>
      <ns0:c r="F615" s="245"/>
      <ns0:c r="G615" s="245"/>
      <ns0:c r="H615" s="245"/>
      <ns0:c r="I615" s="245"/>
      <ns0:c r="J615" s="245"/>
      <ns0:c r="K615" s="245"/>
      <ns0:c r="L615" s="245"/>
      <ns0:c r="M615" s="245"/>
      <ns0:c r="N615" s="245"/>
      <ns0:c r="O615" s="245"/>
      <ns0:c r="P615" s="245"/>
      <ns0:c r="Q615" s="245"/>
      <ns0:c r="R615" s="245"/>
      <ns0:c r="S615" s="245"/>
      <ns0:c r="T615" s="245"/>
      <ns0:c r="U615" s="245"/>
      <ns0:c r="V615" s="245"/>
      <ns0:c r="W615" s="245"/>
      <ns0:c r="X615" s="245"/>
      <ns0:c r="Y615" s="245"/>
      <ns0:c r="Z615" s="245"/>
    </ns0:row>
    <ns0:row r="616">
      <ns0:c r="A616" s="245"/>
      <ns0:c r="B616" s="245"/>
      <ns0:c r="C616" s="245"/>
      <ns0:c r="D616" s="245"/>
      <ns0:c r="E616" s="245"/>
      <ns0:c r="F616" s="245"/>
      <ns0:c r="G616" s="245"/>
      <ns0:c r="H616" s="245"/>
      <ns0:c r="I616" s="245"/>
      <ns0:c r="J616" s="245"/>
      <ns0:c r="K616" s="245"/>
      <ns0:c r="L616" s="245"/>
      <ns0:c r="M616" s="245"/>
      <ns0:c r="N616" s="245"/>
      <ns0:c r="O616" s="245"/>
      <ns0:c r="P616" s="245"/>
      <ns0:c r="Q616" s="245"/>
      <ns0:c r="R616" s="245"/>
      <ns0:c r="S616" s="245"/>
      <ns0:c r="T616" s="245"/>
      <ns0:c r="U616" s="245"/>
      <ns0:c r="V616" s="245"/>
      <ns0:c r="W616" s="245"/>
      <ns0:c r="X616" s="245"/>
      <ns0:c r="Y616" s="245"/>
      <ns0:c r="Z616" s="245"/>
    </ns0:row>
    <ns0:row r="617">
      <ns0:c r="A617" s="245"/>
      <ns0:c r="B617" s="245"/>
      <ns0:c r="C617" s="245"/>
      <ns0:c r="D617" s="245"/>
      <ns0:c r="E617" s="245"/>
      <ns0:c r="F617" s="245"/>
      <ns0:c r="G617" s="245"/>
      <ns0:c r="H617" s="245"/>
      <ns0:c r="I617" s="245"/>
      <ns0:c r="J617" s="245"/>
      <ns0:c r="K617" s="245"/>
      <ns0:c r="L617" s="245"/>
      <ns0:c r="M617" s="245"/>
      <ns0:c r="N617" s="245"/>
      <ns0:c r="O617" s="245"/>
      <ns0:c r="P617" s="245"/>
      <ns0:c r="Q617" s="245"/>
      <ns0:c r="R617" s="245"/>
      <ns0:c r="S617" s="245"/>
      <ns0:c r="T617" s="245"/>
      <ns0:c r="U617" s="245"/>
      <ns0:c r="V617" s="245"/>
      <ns0:c r="W617" s="245"/>
      <ns0:c r="X617" s="245"/>
      <ns0:c r="Y617" s="245"/>
      <ns0:c r="Z617" s="245"/>
    </ns0:row>
    <ns0:row r="618">
      <ns0:c r="A618" s="245"/>
      <ns0:c r="B618" s="245"/>
      <ns0:c r="C618" s="245"/>
      <ns0:c r="D618" s="245"/>
      <ns0:c r="E618" s="245"/>
      <ns0:c r="F618" s="245"/>
      <ns0:c r="G618" s="245"/>
      <ns0:c r="H618" s="245"/>
      <ns0:c r="I618" s="245"/>
      <ns0:c r="J618" s="245"/>
      <ns0:c r="K618" s="245"/>
      <ns0:c r="L618" s="245"/>
      <ns0:c r="M618" s="245"/>
      <ns0:c r="N618" s="245"/>
      <ns0:c r="O618" s="245"/>
      <ns0:c r="P618" s="245"/>
      <ns0:c r="Q618" s="245"/>
      <ns0:c r="R618" s="245"/>
      <ns0:c r="S618" s="245"/>
      <ns0:c r="T618" s="245"/>
      <ns0:c r="U618" s="245"/>
      <ns0:c r="V618" s="245"/>
      <ns0:c r="W618" s="245"/>
      <ns0:c r="X618" s="245"/>
      <ns0:c r="Y618" s="245"/>
      <ns0:c r="Z618" s="245"/>
    </ns0:row>
    <ns0:row r="619">
      <ns0:c r="A619" s="245"/>
      <ns0:c r="B619" s="245"/>
      <ns0:c r="C619" s="245"/>
      <ns0:c r="D619" s="245"/>
      <ns0:c r="E619" s="245"/>
      <ns0:c r="F619" s="245"/>
      <ns0:c r="G619" s="245"/>
      <ns0:c r="H619" s="245"/>
      <ns0:c r="I619" s="245"/>
      <ns0:c r="J619" s="245"/>
      <ns0:c r="K619" s="245"/>
      <ns0:c r="L619" s="245"/>
      <ns0:c r="M619" s="245"/>
      <ns0:c r="N619" s="245"/>
      <ns0:c r="O619" s="245"/>
      <ns0:c r="P619" s="245"/>
      <ns0:c r="Q619" s="245"/>
      <ns0:c r="R619" s="245"/>
      <ns0:c r="S619" s="245"/>
      <ns0:c r="T619" s="245"/>
      <ns0:c r="U619" s="245"/>
      <ns0:c r="V619" s="245"/>
      <ns0:c r="W619" s="245"/>
      <ns0:c r="X619" s="245"/>
      <ns0:c r="Y619" s="245"/>
      <ns0:c r="Z619" s="245"/>
    </ns0:row>
    <ns0:row r="620">
      <ns0:c r="A620" s="245"/>
      <ns0:c r="B620" s="245"/>
      <ns0:c r="C620" s="245"/>
      <ns0:c r="D620" s="245"/>
      <ns0:c r="E620" s="245"/>
      <ns0:c r="F620" s="245"/>
      <ns0:c r="G620" s="245"/>
      <ns0:c r="H620" s="245"/>
      <ns0:c r="I620" s="245"/>
      <ns0:c r="J620" s="245"/>
      <ns0:c r="K620" s="245"/>
      <ns0:c r="L620" s="245"/>
      <ns0:c r="M620" s="245"/>
      <ns0:c r="N620" s="245"/>
      <ns0:c r="O620" s="245"/>
      <ns0:c r="P620" s="245"/>
      <ns0:c r="Q620" s="245"/>
      <ns0:c r="R620" s="245"/>
      <ns0:c r="S620" s="245"/>
      <ns0:c r="T620" s="245"/>
      <ns0:c r="U620" s="245"/>
      <ns0:c r="V620" s="245"/>
      <ns0:c r="W620" s="245"/>
      <ns0:c r="X620" s="245"/>
      <ns0:c r="Y620" s="245"/>
      <ns0:c r="Z620" s="245"/>
    </ns0:row>
    <ns0:row r="621">
      <ns0:c r="A621" s="245"/>
      <ns0:c r="B621" s="245"/>
      <ns0:c r="C621" s="245"/>
      <ns0:c r="D621" s="245"/>
      <ns0:c r="E621" s="245"/>
      <ns0:c r="F621" s="245"/>
      <ns0:c r="G621" s="245"/>
      <ns0:c r="H621" s="245"/>
      <ns0:c r="I621" s="245"/>
      <ns0:c r="J621" s="245"/>
      <ns0:c r="K621" s="245"/>
      <ns0:c r="L621" s="245"/>
      <ns0:c r="M621" s="245"/>
      <ns0:c r="N621" s="245"/>
      <ns0:c r="O621" s="245"/>
      <ns0:c r="P621" s="245"/>
      <ns0:c r="Q621" s="245"/>
      <ns0:c r="R621" s="245"/>
      <ns0:c r="S621" s="245"/>
      <ns0:c r="T621" s="245"/>
      <ns0:c r="U621" s="245"/>
      <ns0:c r="V621" s="245"/>
      <ns0:c r="W621" s="245"/>
      <ns0:c r="X621" s="245"/>
      <ns0:c r="Y621" s="245"/>
      <ns0:c r="Z621" s="245"/>
    </ns0:row>
    <ns0:row r="622">
      <ns0:c r="A622" s="245"/>
      <ns0:c r="B622" s="245"/>
      <ns0:c r="C622" s="245"/>
      <ns0:c r="D622" s="245"/>
      <ns0:c r="E622" s="245"/>
      <ns0:c r="F622" s="245"/>
      <ns0:c r="G622" s="245"/>
      <ns0:c r="H622" s="245"/>
      <ns0:c r="I622" s="245"/>
      <ns0:c r="J622" s="245"/>
      <ns0:c r="K622" s="245"/>
      <ns0:c r="L622" s="245"/>
      <ns0:c r="M622" s="245"/>
      <ns0:c r="N622" s="245"/>
      <ns0:c r="O622" s="245"/>
      <ns0:c r="P622" s="245"/>
      <ns0:c r="Q622" s="245"/>
      <ns0:c r="R622" s="245"/>
      <ns0:c r="S622" s="245"/>
      <ns0:c r="T622" s="245"/>
      <ns0:c r="U622" s="245"/>
      <ns0:c r="V622" s="245"/>
      <ns0:c r="W622" s="245"/>
      <ns0:c r="X622" s="245"/>
      <ns0:c r="Y622" s="245"/>
      <ns0:c r="Z622" s="245"/>
    </ns0:row>
    <ns0:row r="623">
      <ns0:c r="A623" s="245"/>
      <ns0:c r="B623" s="245"/>
      <ns0:c r="C623" s="245"/>
      <ns0:c r="D623" s="245"/>
      <ns0:c r="E623" s="245"/>
      <ns0:c r="F623" s="245"/>
      <ns0:c r="G623" s="245"/>
      <ns0:c r="H623" s="245"/>
      <ns0:c r="I623" s="245"/>
      <ns0:c r="J623" s="245"/>
      <ns0:c r="K623" s="245"/>
      <ns0:c r="L623" s="245"/>
      <ns0:c r="M623" s="245"/>
      <ns0:c r="N623" s="245"/>
      <ns0:c r="O623" s="245"/>
      <ns0:c r="P623" s="245"/>
      <ns0:c r="Q623" s="245"/>
      <ns0:c r="R623" s="245"/>
      <ns0:c r="S623" s="245"/>
      <ns0:c r="T623" s="245"/>
      <ns0:c r="U623" s="245"/>
      <ns0:c r="V623" s="245"/>
      <ns0:c r="W623" s="245"/>
      <ns0:c r="X623" s="245"/>
      <ns0:c r="Y623" s="245"/>
      <ns0:c r="Z623" s="245"/>
    </ns0:row>
    <ns0:row r="624">
      <ns0:c r="A624" s="245"/>
      <ns0:c r="B624" s="245"/>
      <ns0:c r="C624" s="245"/>
      <ns0:c r="D624" s="245"/>
      <ns0:c r="E624" s="245"/>
      <ns0:c r="F624" s="245"/>
      <ns0:c r="G624" s="245"/>
      <ns0:c r="H624" s="245"/>
      <ns0:c r="I624" s="245"/>
      <ns0:c r="J624" s="245"/>
      <ns0:c r="K624" s="245"/>
      <ns0:c r="L624" s="245"/>
      <ns0:c r="M624" s="245"/>
      <ns0:c r="N624" s="245"/>
      <ns0:c r="O624" s="245"/>
      <ns0:c r="P624" s="245"/>
      <ns0:c r="Q624" s="245"/>
      <ns0:c r="R624" s="245"/>
      <ns0:c r="S624" s="245"/>
      <ns0:c r="T624" s="245"/>
      <ns0:c r="U624" s="245"/>
      <ns0:c r="V624" s="245"/>
      <ns0:c r="W624" s="245"/>
      <ns0:c r="X624" s="245"/>
      <ns0:c r="Y624" s="245"/>
      <ns0:c r="Z624" s="245"/>
    </ns0:row>
    <ns0:row r="625">
      <ns0:c r="A625" s="245"/>
      <ns0:c r="B625" s="245"/>
      <ns0:c r="C625" s="245"/>
      <ns0:c r="D625" s="245"/>
      <ns0:c r="E625" s="245"/>
      <ns0:c r="F625" s="245"/>
      <ns0:c r="G625" s="245"/>
      <ns0:c r="H625" s="245"/>
      <ns0:c r="I625" s="245"/>
      <ns0:c r="J625" s="245"/>
      <ns0:c r="K625" s="245"/>
      <ns0:c r="L625" s="245"/>
      <ns0:c r="M625" s="245"/>
      <ns0:c r="N625" s="245"/>
      <ns0:c r="O625" s="245"/>
      <ns0:c r="P625" s="245"/>
      <ns0:c r="Q625" s="245"/>
      <ns0:c r="R625" s="245"/>
      <ns0:c r="S625" s="245"/>
      <ns0:c r="T625" s="245"/>
      <ns0:c r="U625" s="245"/>
      <ns0:c r="V625" s="245"/>
      <ns0:c r="W625" s="245"/>
      <ns0:c r="X625" s="245"/>
      <ns0:c r="Y625" s="245"/>
      <ns0:c r="Z625" s="245"/>
    </ns0:row>
    <ns0:row r="626">
      <ns0:c r="A626" s="245"/>
      <ns0:c r="B626" s="245"/>
      <ns0:c r="C626" s="245"/>
      <ns0:c r="D626" s="245"/>
      <ns0:c r="E626" s="245"/>
      <ns0:c r="F626" s="245"/>
      <ns0:c r="G626" s="245"/>
      <ns0:c r="H626" s="245"/>
      <ns0:c r="I626" s="245"/>
      <ns0:c r="J626" s="245"/>
      <ns0:c r="K626" s="245"/>
      <ns0:c r="L626" s="245"/>
      <ns0:c r="M626" s="245"/>
      <ns0:c r="N626" s="245"/>
      <ns0:c r="O626" s="245"/>
      <ns0:c r="P626" s="245"/>
      <ns0:c r="Q626" s="245"/>
      <ns0:c r="R626" s="245"/>
      <ns0:c r="S626" s="245"/>
      <ns0:c r="T626" s="245"/>
      <ns0:c r="U626" s="245"/>
      <ns0:c r="V626" s="245"/>
      <ns0:c r="W626" s="245"/>
      <ns0:c r="X626" s="245"/>
      <ns0:c r="Y626" s="245"/>
      <ns0:c r="Z626" s="245"/>
    </ns0:row>
    <ns0:row r="627">
      <ns0:c r="A627" s="245"/>
      <ns0:c r="B627" s="245"/>
      <ns0:c r="C627" s="245"/>
      <ns0:c r="D627" s="245"/>
      <ns0:c r="E627" s="245"/>
      <ns0:c r="F627" s="245"/>
      <ns0:c r="G627" s="245"/>
      <ns0:c r="H627" s="245"/>
      <ns0:c r="I627" s="245"/>
      <ns0:c r="J627" s="245"/>
      <ns0:c r="K627" s="245"/>
      <ns0:c r="L627" s="245"/>
      <ns0:c r="M627" s="245"/>
      <ns0:c r="N627" s="245"/>
      <ns0:c r="O627" s="245"/>
      <ns0:c r="P627" s="245"/>
      <ns0:c r="Q627" s="245"/>
      <ns0:c r="R627" s="245"/>
      <ns0:c r="S627" s="245"/>
      <ns0:c r="T627" s="245"/>
      <ns0:c r="U627" s="245"/>
      <ns0:c r="V627" s="245"/>
      <ns0:c r="W627" s="245"/>
      <ns0:c r="X627" s="245"/>
      <ns0:c r="Y627" s="245"/>
      <ns0:c r="Z627" s="245"/>
    </ns0:row>
    <ns0:row r="628">
      <ns0:c r="A628" s="245"/>
      <ns0:c r="B628" s="245"/>
      <ns0:c r="C628" s="245"/>
      <ns0:c r="D628" s="245"/>
      <ns0:c r="E628" s="245"/>
      <ns0:c r="F628" s="245"/>
      <ns0:c r="G628" s="245"/>
      <ns0:c r="H628" s="245"/>
      <ns0:c r="I628" s="245"/>
      <ns0:c r="J628" s="245"/>
      <ns0:c r="K628" s="245"/>
      <ns0:c r="L628" s="245"/>
      <ns0:c r="M628" s="245"/>
      <ns0:c r="N628" s="245"/>
      <ns0:c r="O628" s="245"/>
      <ns0:c r="P628" s="245"/>
      <ns0:c r="Q628" s="245"/>
      <ns0:c r="R628" s="245"/>
      <ns0:c r="S628" s="245"/>
      <ns0:c r="T628" s="245"/>
      <ns0:c r="U628" s="245"/>
      <ns0:c r="V628" s="245"/>
      <ns0:c r="W628" s="245"/>
      <ns0:c r="X628" s="245"/>
      <ns0:c r="Y628" s="245"/>
      <ns0:c r="Z628" s="245"/>
    </ns0:row>
    <ns0:row r="629">
      <ns0:c r="A629" s="245"/>
      <ns0:c r="B629" s="245"/>
      <ns0:c r="C629" s="245"/>
      <ns0:c r="D629" s="245"/>
      <ns0:c r="E629" s="245"/>
      <ns0:c r="F629" s="245"/>
      <ns0:c r="G629" s="245"/>
      <ns0:c r="H629" s="245"/>
      <ns0:c r="I629" s="245"/>
      <ns0:c r="J629" s="245"/>
      <ns0:c r="K629" s="245"/>
      <ns0:c r="L629" s="245"/>
      <ns0:c r="M629" s="245"/>
      <ns0:c r="N629" s="245"/>
      <ns0:c r="O629" s="245"/>
      <ns0:c r="P629" s="245"/>
      <ns0:c r="Q629" s="245"/>
      <ns0:c r="R629" s="245"/>
      <ns0:c r="S629" s="245"/>
      <ns0:c r="T629" s="245"/>
      <ns0:c r="U629" s="245"/>
      <ns0:c r="V629" s="245"/>
      <ns0:c r="W629" s="245"/>
      <ns0:c r="X629" s="245"/>
      <ns0:c r="Y629" s="245"/>
      <ns0:c r="Z629" s="245"/>
    </ns0:row>
    <ns0:row r="630">
      <ns0:c r="A630" s="245"/>
      <ns0:c r="B630" s="245"/>
      <ns0:c r="C630" s="245"/>
      <ns0:c r="D630" s="245"/>
      <ns0:c r="E630" s="245"/>
      <ns0:c r="F630" s="245"/>
      <ns0:c r="G630" s="245"/>
      <ns0:c r="H630" s="245"/>
      <ns0:c r="I630" s="245"/>
      <ns0:c r="J630" s="245"/>
      <ns0:c r="K630" s="245"/>
      <ns0:c r="L630" s="245"/>
      <ns0:c r="M630" s="245"/>
      <ns0:c r="N630" s="245"/>
      <ns0:c r="O630" s="245"/>
      <ns0:c r="P630" s="245"/>
      <ns0:c r="Q630" s="245"/>
      <ns0:c r="R630" s="245"/>
      <ns0:c r="S630" s="245"/>
      <ns0:c r="T630" s="245"/>
      <ns0:c r="U630" s="245"/>
      <ns0:c r="V630" s="245"/>
      <ns0:c r="W630" s="245"/>
      <ns0:c r="X630" s="245"/>
      <ns0:c r="Y630" s="245"/>
      <ns0:c r="Z630" s="245"/>
    </ns0:row>
    <ns0:row r="631">
      <ns0:c r="A631" s="245"/>
      <ns0:c r="B631" s="245"/>
      <ns0:c r="C631" s="245"/>
      <ns0:c r="D631" s="245"/>
      <ns0:c r="E631" s="245"/>
      <ns0:c r="F631" s="245"/>
      <ns0:c r="G631" s="245"/>
      <ns0:c r="H631" s="245"/>
      <ns0:c r="I631" s="245"/>
      <ns0:c r="J631" s="245"/>
      <ns0:c r="K631" s="245"/>
      <ns0:c r="L631" s="245"/>
      <ns0:c r="M631" s="245"/>
      <ns0:c r="N631" s="245"/>
      <ns0:c r="O631" s="245"/>
      <ns0:c r="P631" s="245"/>
      <ns0:c r="Q631" s="245"/>
      <ns0:c r="R631" s="245"/>
      <ns0:c r="S631" s="245"/>
      <ns0:c r="T631" s="245"/>
      <ns0:c r="U631" s="245"/>
      <ns0:c r="V631" s="245"/>
      <ns0:c r="W631" s="245"/>
      <ns0:c r="X631" s="245"/>
      <ns0:c r="Y631" s="245"/>
      <ns0:c r="Z631" s="245"/>
    </ns0:row>
    <ns0:row r="632">
      <ns0:c r="A632" s="245"/>
      <ns0:c r="B632" s="245"/>
      <ns0:c r="C632" s="245"/>
      <ns0:c r="D632" s="245"/>
      <ns0:c r="E632" s="245"/>
      <ns0:c r="F632" s="245"/>
      <ns0:c r="G632" s="245"/>
      <ns0:c r="H632" s="245"/>
      <ns0:c r="I632" s="245"/>
      <ns0:c r="J632" s="245"/>
      <ns0:c r="K632" s="245"/>
      <ns0:c r="L632" s="245"/>
      <ns0:c r="M632" s="245"/>
      <ns0:c r="N632" s="245"/>
      <ns0:c r="O632" s="245"/>
      <ns0:c r="P632" s="245"/>
      <ns0:c r="Q632" s="245"/>
      <ns0:c r="R632" s="245"/>
      <ns0:c r="S632" s="245"/>
      <ns0:c r="T632" s="245"/>
      <ns0:c r="U632" s="245"/>
      <ns0:c r="V632" s="245"/>
      <ns0:c r="W632" s="245"/>
      <ns0:c r="X632" s="245"/>
      <ns0:c r="Y632" s="245"/>
      <ns0:c r="Z632" s="245"/>
    </ns0:row>
    <ns0:row r="633">
      <ns0:c r="A633" s="245"/>
      <ns0:c r="B633" s="245"/>
      <ns0:c r="C633" s="245"/>
      <ns0:c r="D633" s="245"/>
      <ns0:c r="E633" s="245"/>
      <ns0:c r="F633" s="245"/>
      <ns0:c r="G633" s="245"/>
      <ns0:c r="H633" s="245"/>
      <ns0:c r="I633" s="245"/>
      <ns0:c r="J633" s="245"/>
      <ns0:c r="K633" s="245"/>
      <ns0:c r="L633" s="245"/>
      <ns0:c r="M633" s="245"/>
      <ns0:c r="N633" s="245"/>
      <ns0:c r="O633" s="245"/>
      <ns0:c r="P633" s="245"/>
      <ns0:c r="Q633" s="245"/>
      <ns0:c r="R633" s="245"/>
      <ns0:c r="S633" s="245"/>
      <ns0:c r="T633" s="245"/>
      <ns0:c r="U633" s="245"/>
      <ns0:c r="V633" s="245"/>
      <ns0:c r="W633" s="245"/>
      <ns0:c r="X633" s="245"/>
      <ns0:c r="Y633" s="245"/>
      <ns0:c r="Z633" s="245"/>
    </ns0:row>
    <ns0:row r="634">
      <ns0:c r="A634" s="245"/>
      <ns0:c r="B634" s="245"/>
      <ns0:c r="C634" s="245"/>
      <ns0:c r="D634" s="245"/>
      <ns0:c r="E634" s="245"/>
      <ns0:c r="F634" s="245"/>
      <ns0:c r="G634" s="245"/>
      <ns0:c r="H634" s="245"/>
      <ns0:c r="I634" s="245"/>
      <ns0:c r="J634" s="245"/>
      <ns0:c r="K634" s="245"/>
      <ns0:c r="L634" s="245"/>
      <ns0:c r="M634" s="245"/>
      <ns0:c r="N634" s="245"/>
      <ns0:c r="O634" s="245"/>
      <ns0:c r="P634" s="245"/>
      <ns0:c r="Q634" s="245"/>
      <ns0:c r="R634" s="245"/>
      <ns0:c r="S634" s="245"/>
      <ns0:c r="T634" s="245"/>
      <ns0:c r="U634" s="245"/>
      <ns0:c r="V634" s="245"/>
      <ns0:c r="W634" s="245"/>
      <ns0:c r="X634" s="245"/>
      <ns0:c r="Y634" s="245"/>
      <ns0:c r="Z634" s="245"/>
    </ns0:row>
    <ns0:row r="635">
      <ns0:c r="A635" s="245"/>
      <ns0:c r="B635" s="245"/>
      <ns0:c r="C635" s="245"/>
      <ns0:c r="D635" s="245"/>
      <ns0:c r="E635" s="245"/>
      <ns0:c r="F635" s="245"/>
      <ns0:c r="G635" s="245"/>
      <ns0:c r="H635" s="245"/>
      <ns0:c r="I635" s="245"/>
      <ns0:c r="J635" s="245"/>
      <ns0:c r="K635" s="245"/>
      <ns0:c r="L635" s="245"/>
      <ns0:c r="M635" s="245"/>
      <ns0:c r="N635" s="245"/>
      <ns0:c r="O635" s="245"/>
      <ns0:c r="P635" s="245"/>
      <ns0:c r="Q635" s="245"/>
      <ns0:c r="R635" s="245"/>
      <ns0:c r="S635" s="245"/>
      <ns0:c r="T635" s="245"/>
      <ns0:c r="U635" s="245"/>
      <ns0:c r="V635" s="245"/>
      <ns0:c r="W635" s="245"/>
      <ns0:c r="X635" s="245"/>
      <ns0:c r="Y635" s="245"/>
      <ns0:c r="Z635" s="245"/>
    </ns0:row>
    <ns0:row r="636">
      <ns0:c r="A636" s="245"/>
      <ns0:c r="B636" s="245"/>
      <ns0:c r="C636" s="245"/>
      <ns0:c r="D636" s="245"/>
      <ns0:c r="E636" s="245"/>
      <ns0:c r="F636" s="245"/>
      <ns0:c r="G636" s="245"/>
      <ns0:c r="H636" s="245"/>
      <ns0:c r="I636" s="245"/>
      <ns0:c r="J636" s="245"/>
      <ns0:c r="K636" s="245"/>
      <ns0:c r="L636" s="245"/>
      <ns0:c r="M636" s="245"/>
      <ns0:c r="N636" s="245"/>
      <ns0:c r="O636" s="245"/>
      <ns0:c r="P636" s="245"/>
      <ns0:c r="Q636" s="245"/>
      <ns0:c r="R636" s="245"/>
      <ns0:c r="S636" s="245"/>
      <ns0:c r="T636" s="245"/>
      <ns0:c r="U636" s="245"/>
      <ns0:c r="V636" s="245"/>
      <ns0:c r="W636" s="245"/>
      <ns0:c r="X636" s="245"/>
      <ns0:c r="Y636" s="245"/>
      <ns0:c r="Z636" s="245"/>
    </ns0:row>
    <ns0:row r="637">
      <ns0:c r="A637" s="245"/>
      <ns0:c r="B637" s="245"/>
      <ns0:c r="C637" s="245"/>
      <ns0:c r="D637" s="245"/>
      <ns0:c r="E637" s="245"/>
      <ns0:c r="F637" s="245"/>
      <ns0:c r="G637" s="245"/>
      <ns0:c r="H637" s="245"/>
      <ns0:c r="I637" s="245"/>
      <ns0:c r="J637" s="245"/>
      <ns0:c r="K637" s="245"/>
      <ns0:c r="L637" s="245"/>
      <ns0:c r="M637" s="245"/>
      <ns0:c r="N637" s="245"/>
      <ns0:c r="O637" s="245"/>
      <ns0:c r="P637" s="245"/>
      <ns0:c r="Q637" s="245"/>
      <ns0:c r="R637" s="245"/>
      <ns0:c r="S637" s="245"/>
      <ns0:c r="T637" s="245"/>
      <ns0:c r="U637" s="245"/>
      <ns0:c r="V637" s="245"/>
      <ns0:c r="W637" s="245"/>
      <ns0:c r="X637" s="245"/>
      <ns0:c r="Y637" s="245"/>
      <ns0:c r="Z637" s="245"/>
    </ns0:row>
    <ns0:row r="638">
      <ns0:c r="A638" s="245"/>
      <ns0:c r="B638" s="245"/>
      <ns0:c r="C638" s="245"/>
      <ns0:c r="D638" s="245"/>
      <ns0:c r="E638" s="245"/>
      <ns0:c r="F638" s="245"/>
      <ns0:c r="G638" s="245"/>
      <ns0:c r="H638" s="245"/>
      <ns0:c r="I638" s="245"/>
      <ns0:c r="J638" s="245"/>
      <ns0:c r="K638" s="245"/>
      <ns0:c r="L638" s="245"/>
      <ns0:c r="M638" s="245"/>
      <ns0:c r="N638" s="245"/>
      <ns0:c r="O638" s="245"/>
      <ns0:c r="P638" s="245"/>
      <ns0:c r="Q638" s="245"/>
      <ns0:c r="R638" s="245"/>
      <ns0:c r="S638" s="245"/>
      <ns0:c r="T638" s="245"/>
      <ns0:c r="U638" s="245"/>
      <ns0:c r="V638" s="245"/>
      <ns0:c r="W638" s="245"/>
      <ns0:c r="X638" s="245"/>
      <ns0:c r="Y638" s="245"/>
      <ns0:c r="Z638" s="245"/>
    </ns0:row>
    <ns0:row r="639">
      <ns0:c r="A639" s="245"/>
      <ns0:c r="B639" s="245"/>
      <ns0:c r="C639" s="245"/>
      <ns0:c r="D639" s="245"/>
      <ns0:c r="E639" s="245"/>
      <ns0:c r="F639" s="245"/>
      <ns0:c r="G639" s="245"/>
      <ns0:c r="H639" s="245"/>
      <ns0:c r="I639" s="245"/>
      <ns0:c r="J639" s="245"/>
      <ns0:c r="K639" s="245"/>
      <ns0:c r="L639" s="245"/>
      <ns0:c r="M639" s="245"/>
      <ns0:c r="N639" s="245"/>
      <ns0:c r="O639" s="245"/>
      <ns0:c r="P639" s="245"/>
      <ns0:c r="Q639" s="245"/>
      <ns0:c r="R639" s="245"/>
      <ns0:c r="S639" s="245"/>
      <ns0:c r="T639" s="245"/>
      <ns0:c r="U639" s="245"/>
      <ns0:c r="V639" s="245"/>
      <ns0:c r="W639" s="245"/>
      <ns0:c r="X639" s="245"/>
      <ns0:c r="Y639" s="245"/>
      <ns0:c r="Z639" s="245"/>
    </ns0:row>
    <ns0:row r="640">
      <ns0:c r="A640" s="245"/>
      <ns0:c r="B640" s="245"/>
      <ns0:c r="C640" s="245"/>
      <ns0:c r="D640" s="245"/>
      <ns0:c r="E640" s="245"/>
      <ns0:c r="F640" s="245"/>
      <ns0:c r="G640" s="245"/>
      <ns0:c r="H640" s="245"/>
      <ns0:c r="I640" s="245"/>
      <ns0:c r="J640" s="245"/>
      <ns0:c r="K640" s="245"/>
      <ns0:c r="L640" s="245"/>
      <ns0:c r="M640" s="245"/>
      <ns0:c r="N640" s="245"/>
      <ns0:c r="O640" s="245"/>
      <ns0:c r="P640" s="245"/>
      <ns0:c r="Q640" s="245"/>
      <ns0:c r="R640" s="245"/>
      <ns0:c r="S640" s="245"/>
      <ns0:c r="T640" s="245"/>
      <ns0:c r="U640" s="245"/>
      <ns0:c r="V640" s="245"/>
      <ns0:c r="W640" s="245"/>
      <ns0:c r="X640" s="245"/>
      <ns0:c r="Y640" s="245"/>
      <ns0:c r="Z640" s="245"/>
    </ns0:row>
    <ns0:row r="641">
      <ns0:c r="A641" s="245"/>
      <ns0:c r="B641" s="245"/>
      <ns0:c r="C641" s="245"/>
      <ns0:c r="D641" s="245"/>
      <ns0:c r="E641" s="245"/>
      <ns0:c r="F641" s="245"/>
      <ns0:c r="G641" s="245"/>
      <ns0:c r="H641" s="245"/>
      <ns0:c r="I641" s="245"/>
      <ns0:c r="J641" s="245"/>
      <ns0:c r="K641" s="245"/>
      <ns0:c r="L641" s="245"/>
      <ns0:c r="M641" s="245"/>
      <ns0:c r="N641" s="245"/>
      <ns0:c r="O641" s="245"/>
      <ns0:c r="P641" s="245"/>
      <ns0:c r="Q641" s="245"/>
      <ns0:c r="R641" s="245"/>
      <ns0:c r="S641" s="245"/>
      <ns0:c r="T641" s="245"/>
      <ns0:c r="U641" s="245"/>
      <ns0:c r="V641" s="245"/>
      <ns0:c r="W641" s="245"/>
      <ns0:c r="X641" s="245"/>
      <ns0:c r="Y641" s="245"/>
      <ns0:c r="Z641" s="245"/>
    </ns0:row>
    <ns0:row r="642">
      <ns0:c r="A642" s="245"/>
      <ns0:c r="B642" s="245"/>
      <ns0:c r="C642" s="245"/>
      <ns0:c r="D642" s="245"/>
      <ns0:c r="E642" s="245"/>
      <ns0:c r="F642" s="245"/>
      <ns0:c r="G642" s="245"/>
      <ns0:c r="H642" s="245"/>
      <ns0:c r="I642" s="245"/>
      <ns0:c r="J642" s="245"/>
      <ns0:c r="K642" s="245"/>
      <ns0:c r="L642" s="245"/>
      <ns0:c r="M642" s="245"/>
      <ns0:c r="N642" s="245"/>
      <ns0:c r="O642" s="245"/>
      <ns0:c r="P642" s="245"/>
      <ns0:c r="Q642" s="245"/>
      <ns0:c r="R642" s="245"/>
      <ns0:c r="S642" s="245"/>
      <ns0:c r="T642" s="245"/>
      <ns0:c r="U642" s="245"/>
      <ns0:c r="V642" s="245"/>
      <ns0:c r="W642" s="245"/>
      <ns0:c r="X642" s="245"/>
      <ns0:c r="Y642" s="245"/>
      <ns0:c r="Z642" s="245"/>
    </ns0:row>
    <ns0:row r="643">
      <ns0:c r="A643" s="245"/>
      <ns0:c r="B643" s="245"/>
      <ns0:c r="C643" s="245"/>
      <ns0:c r="D643" s="245"/>
      <ns0:c r="E643" s="245"/>
      <ns0:c r="F643" s="245"/>
      <ns0:c r="G643" s="245"/>
      <ns0:c r="H643" s="245"/>
      <ns0:c r="I643" s="245"/>
      <ns0:c r="J643" s="245"/>
      <ns0:c r="K643" s="245"/>
      <ns0:c r="L643" s="245"/>
      <ns0:c r="M643" s="245"/>
      <ns0:c r="N643" s="245"/>
      <ns0:c r="O643" s="245"/>
      <ns0:c r="P643" s="245"/>
      <ns0:c r="Q643" s="245"/>
      <ns0:c r="R643" s="245"/>
      <ns0:c r="S643" s="245"/>
      <ns0:c r="T643" s="245"/>
      <ns0:c r="U643" s="245"/>
      <ns0:c r="V643" s="245"/>
      <ns0:c r="W643" s="245"/>
      <ns0:c r="X643" s="245"/>
      <ns0:c r="Y643" s="245"/>
      <ns0:c r="Z643" s="245"/>
    </ns0:row>
    <ns0:row r="644">
      <ns0:c r="A644" s="245"/>
      <ns0:c r="B644" s="245"/>
      <ns0:c r="C644" s="245"/>
      <ns0:c r="D644" s="245"/>
      <ns0:c r="E644" s="245"/>
      <ns0:c r="F644" s="245"/>
      <ns0:c r="G644" s="245"/>
      <ns0:c r="H644" s="245"/>
      <ns0:c r="I644" s="245"/>
      <ns0:c r="J644" s="245"/>
      <ns0:c r="K644" s="245"/>
      <ns0:c r="L644" s="245"/>
      <ns0:c r="M644" s="245"/>
      <ns0:c r="N644" s="245"/>
      <ns0:c r="O644" s="245"/>
      <ns0:c r="P644" s="245"/>
      <ns0:c r="Q644" s="245"/>
      <ns0:c r="R644" s="245"/>
      <ns0:c r="S644" s="245"/>
      <ns0:c r="T644" s="245"/>
      <ns0:c r="U644" s="245"/>
      <ns0:c r="V644" s="245"/>
      <ns0:c r="W644" s="245"/>
      <ns0:c r="X644" s="245"/>
      <ns0:c r="Y644" s="245"/>
      <ns0:c r="Z644" s="245"/>
    </ns0:row>
    <ns0:row r="645">
      <ns0:c r="A645" s="245"/>
      <ns0:c r="B645" s="245"/>
      <ns0:c r="C645" s="245"/>
      <ns0:c r="D645" s="245"/>
      <ns0:c r="E645" s="245"/>
      <ns0:c r="F645" s="245"/>
      <ns0:c r="G645" s="245"/>
      <ns0:c r="H645" s="245"/>
      <ns0:c r="I645" s="245"/>
      <ns0:c r="J645" s="245"/>
      <ns0:c r="K645" s="245"/>
      <ns0:c r="L645" s="245"/>
      <ns0:c r="M645" s="245"/>
      <ns0:c r="N645" s="245"/>
      <ns0:c r="O645" s="245"/>
      <ns0:c r="P645" s="245"/>
      <ns0:c r="Q645" s="245"/>
      <ns0:c r="R645" s="245"/>
      <ns0:c r="S645" s="245"/>
      <ns0:c r="T645" s="245"/>
      <ns0:c r="U645" s="245"/>
      <ns0:c r="V645" s="245"/>
      <ns0:c r="W645" s="245"/>
      <ns0:c r="X645" s="245"/>
      <ns0:c r="Y645" s="245"/>
      <ns0:c r="Z645" s="245"/>
    </ns0:row>
    <ns0:row r="646">
      <ns0:c r="A646" s="245"/>
      <ns0:c r="B646" s="245"/>
      <ns0:c r="C646" s="245"/>
      <ns0:c r="D646" s="245"/>
      <ns0:c r="E646" s="245"/>
      <ns0:c r="F646" s="245"/>
      <ns0:c r="G646" s="245"/>
      <ns0:c r="H646" s="245"/>
      <ns0:c r="I646" s="245"/>
      <ns0:c r="J646" s="245"/>
      <ns0:c r="K646" s="245"/>
      <ns0:c r="L646" s="245"/>
      <ns0:c r="M646" s="245"/>
      <ns0:c r="N646" s="245"/>
      <ns0:c r="O646" s="245"/>
      <ns0:c r="P646" s="245"/>
      <ns0:c r="Q646" s="245"/>
      <ns0:c r="R646" s="245"/>
      <ns0:c r="S646" s="245"/>
      <ns0:c r="T646" s="245"/>
      <ns0:c r="U646" s="245"/>
      <ns0:c r="V646" s="245"/>
      <ns0:c r="W646" s="245"/>
      <ns0:c r="X646" s="245"/>
      <ns0:c r="Y646" s="245"/>
      <ns0:c r="Z646" s="245"/>
    </ns0:row>
    <ns0:row r="647">
      <ns0:c r="A647" s="245"/>
      <ns0:c r="B647" s="245"/>
      <ns0:c r="C647" s="245"/>
      <ns0:c r="D647" s="245"/>
      <ns0:c r="E647" s="245"/>
      <ns0:c r="F647" s="245"/>
      <ns0:c r="G647" s="245"/>
      <ns0:c r="H647" s="245"/>
      <ns0:c r="I647" s="245"/>
      <ns0:c r="J647" s="245"/>
      <ns0:c r="K647" s="245"/>
      <ns0:c r="L647" s="245"/>
      <ns0:c r="M647" s="245"/>
      <ns0:c r="N647" s="245"/>
      <ns0:c r="O647" s="245"/>
      <ns0:c r="P647" s="245"/>
      <ns0:c r="Q647" s="245"/>
      <ns0:c r="R647" s="245"/>
      <ns0:c r="S647" s="245"/>
      <ns0:c r="T647" s="245"/>
      <ns0:c r="U647" s="245"/>
      <ns0:c r="V647" s="245"/>
      <ns0:c r="W647" s="245"/>
      <ns0:c r="X647" s="245"/>
      <ns0:c r="Y647" s="245"/>
      <ns0:c r="Z647" s="245"/>
    </ns0:row>
    <ns0:row r="648">
      <ns0:c r="A648" s="245"/>
      <ns0:c r="B648" s="245"/>
      <ns0:c r="C648" s="245"/>
      <ns0:c r="D648" s="245"/>
      <ns0:c r="E648" s="245"/>
      <ns0:c r="F648" s="245"/>
      <ns0:c r="G648" s="245"/>
      <ns0:c r="H648" s="245"/>
      <ns0:c r="I648" s="245"/>
      <ns0:c r="J648" s="245"/>
      <ns0:c r="K648" s="245"/>
      <ns0:c r="L648" s="245"/>
      <ns0:c r="M648" s="245"/>
      <ns0:c r="N648" s="245"/>
      <ns0:c r="O648" s="245"/>
      <ns0:c r="P648" s="245"/>
      <ns0:c r="Q648" s="245"/>
      <ns0:c r="R648" s="245"/>
      <ns0:c r="S648" s="245"/>
      <ns0:c r="T648" s="245"/>
      <ns0:c r="U648" s="245"/>
      <ns0:c r="V648" s="245"/>
      <ns0:c r="W648" s="245"/>
      <ns0:c r="X648" s="245"/>
      <ns0:c r="Y648" s="245"/>
      <ns0:c r="Z648" s="245"/>
    </ns0:row>
    <ns0:row r="649">
      <ns0:c r="A649" s="245"/>
      <ns0:c r="B649" s="245"/>
      <ns0:c r="C649" s="245"/>
      <ns0:c r="D649" s="245"/>
      <ns0:c r="E649" s="245"/>
      <ns0:c r="F649" s="245"/>
      <ns0:c r="G649" s="245"/>
      <ns0:c r="H649" s="245"/>
      <ns0:c r="I649" s="245"/>
      <ns0:c r="J649" s="245"/>
      <ns0:c r="K649" s="245"/>
      <ns0:c r="L649" s="245"/>
      <ns0:c r="M649" s="245"/>
      <ns0:c r="N649" s="245"/>
      <ns0:c r="O649" s="245"/>
      <ns0:c r="P649" s="245"/>
      <ns0:c r="Q649" s="245"/>
      <ns0:c r="R649" s="245"/>
      <ns0:c r="S649" s="245"/>
      <ns0:c r="T649" s="245"/>
      <ns0:c r="U649" s="245"/>
      <ns0:c r="V649" s="245"/>
      <ns0:c r="W649" s="245"/>
      <ns0:c r="X649" s="245"/>
      <ns0:c r="Y649" s="245"/>
      <ns0:c r="Z649" s="245"/>
    </ns0:row>
    <ns0:row r="650">
      <ns0:c r="A650" s="245"/>
      <ns0:c r="B650" s="245"/>
      <ns0:c r="C650" s="245"/>
      <ns0:c r="D650" s="245"/>
      <ns0:c r="E650" s="245"/>
      <ns0:c r="F650" s="245"/>
      <ns0:c r="G650" s="245"/>
      <ns0:c r="H650" s="245"/>
      <ns0:c r="I650" s="245"/>
      <ns0:c r="J650" s="245"/>
      <ns0:c r="K650" s="245"/>
      <ns0:c r="L650" s="245"/>
      <ns0:c r="M650" s="245"/>
      <ns0:c r="N650" s="245"/>
      <ns0:c r="O650" s="245"/>
      <ns0:c r="P650" s="245"/>
      <ns0:c r="Q650" s="245"/>
      <ns0:c r="R650" s="245"/>
      <ns0:c r="S650" s="245"/>
      <ns0:c r="T650" s="245"/>
      <ns0:c r="U650" s="245"/>
      <ns0:c r="V650" s="245"/>
      <ns0:c r="W650" s="245"/>
      <ns0:c r="X650" s="245"/>
      <ns0:c r="Y650" s="245"/>
      <ns0:c r="Z650" s="245"/>
    </ns0:row>
    <ns0:row r="651">
      <ns0:c r="A651" s="245"/>
      <ns0:c r="B651" s="245"/>
      <ns0:c r="C651" s="245"/>
      <ns0:c r="D651" s="245"/>
      <ns0:c r="E651" s="245"/>
      <ns0:c r="F651" s="245"/>
      <ns0:c r="G651" s="245"/>
      <ns0:c r="H651" s="245"/>
      <ns0:c r="I651" s="245"/>
      <ns0:c r="J651" s="245"/>
      <ns0:c r="K651" s="245"/>
      <ns0:c r="L651" s="245"/>
      <ns0:c r="M651" s="245"/>
      <ns0:c r="N651" s="245"/>
      <ns0:c r="O651" s="245"/>
      <ns0:c r="P651" s="245"/>
      <ns0:c r="Q651" s="245"/>
      <ns0:c r="R651" s="245"/>
      <ns0:c r="S651" s="245"/>
      <ns0:c r="T651" s="245"/>
      <ns0:c r="U651" s="245"/>
      <ns0:c r="V651" s="245"/>
      <ns0:c r="W651" s="245"/>
      <ns0:c r="X651" s="245"/>
      <ns0:c r="Y651" s="245"/>
      <ns0:c r="Z651" s="245"/>
    </ns0:row>
    <ns0:row r="652">
      <ns0:c r="A652" s="245"/>
      <ns0:c r="B652" s="245"/>
      <ns0:c r="C652" s="245"/>
      <ns0:c r="D652" s="245"/>
      <ns0:c r="E652" s="245"/>
      <ns0:c r="F652" s="245"/>
      <ns0:c r="G652" s="245"/>
      <ns0:c r="H652" s="245"/>
      <ns0:c r="I652" s="245"/>
      <ns0:c r="J652" s="245"/>
      <ns0:c r="K652" s="245"/>
      <ns0:c r="L652" s="245"/>
      <ns0:c r="M652" s="245"/>
      <ns0:c r="N652" s="245"/>
      <ns0:c r="O652" s="245"/>
      <ns0:c r="P652" s="245"/>
      <ns0:c r="Q652" s="245"/>
      <ns0:c r="R652" s="245"/>
      <ns0:c r="S652" s="245"/>
      <ns0:c r="T652" s="245"/>
      <ns0:c r="U652" s="245"/>
      <ns0:c r="V652" s="245"/>
      <ns0:c r="W652" s="245"/>
      <ns0:c r="X652" s="245"/>
      <ns0:c r="Y652" s="245"/>
      <ns0:c r="Z652" s="245"/>
    </ns0:row>
    <ns0:row r="653">
      <ns0:c r="A653" s="245"/>
      <ns0:c r="B653" s="245"/>
      <ns0:c r="C653" s="245"/>
      <ns0:c r="D653" s="245"/>
      <ns0:c r="E653" s="245"/>
      <ns0:c r="F653" s="245"/>
      <ns0:c r="G653" s="245"/>
      <ns0:c r="H653" s="245"/>
      <ns0:c r="I653" s="245"/>
      <ns0:c r="J653" s="245"/>
      <ns0:c r="K653" s="245"/>
      <ns0:c r="L653" s="245"/>
      <ns0:c r="M653" s="245"/>
      <ns0:c r="N653" s="245"/>
      <ns0:c r="O653" s="245"/>
      <ns0:c r="P653" s="245"/>
      <ns0:c r="Q653" s="245"/>
      <ns0:c r="R653" s="245"/>
      <ns0:c r="S653" s="245"/>
      <ns0:c r="T653" s="245"/>
      <ns0:c r="U653" s="245"/>
      <ns0:c r="V653" s="245"/>
      <ns0:c r="W653" s="245"/>
      <ns0:c r="X653" s="245"/>
      <ns0:c r="Y653" s="245"/>
      <ns0:c r="Z653" s="245"/>
    </ns0:row>
    <ns0:row r="654">
      <ns0:c r="A654" s="245"/>
      <ns0:c r="B654" s="245"/>
      <ns0:c r="C654" s="245"/>
      <ns0:c r="D654" s="245"/>
      <ns0:c r="E654" s="245"/>
      <ns0:c r="F654" s="245"/>
      <ns0:c r="G654" s="245"/>
      <ns0:c r="H654" s="245"/>
      <ns0:c r="I654" s="245"/>
      <ns0:c r="J654" s="245"/>
      <ns0:c r="K654" s="245"/>
      <ns0:c r="L654" s="245"/>
      <ns0:c r="M654" s="245"/>
      <ns0:c r="N654" s="245"/>
      <ns0:c r="O654" s="245"/>
      <ns0:c r="P654" s="245"/>
      <ns0:c r="Q654" s="245"/>
      <ns0:c r="R654" s="245"/>
      <ns0:c r="S654" s="245"/>
      <ns0:c r="T654" s="245"/>
      <ns0:c r="U654" s="245"/>
      <ns0:c r="V654" s="245"/>
      <ns0:c r="W654" s="245"/>
      <ns0:c r="X654" s="245"/>
      <ns0:c r="Y654" s="245"/>
      <ns0:c r="Z654" s="245"/>
    </ns0:row>
    <ns0:row r="655">
      <ns0:c r="A655" s="245"/>
      <ns0:c r="B655" s="245"/>
      <ns0:c r="C655" s="245"/>
      <ns0:c r="D655" s="245"/>
      <ns0:c r="E655" s="245"/>
      <ns0:c r="F655" s="245"/>
      <ns0:c r="G655" s="245"/>
      <ns0:c r="H655" s="245"/>
      <ns0:c r="I655" s="245"/>
      <ns0:c r="J655" s="245"/>
      <ns0:c r="K655" s="245"/>
      <ns0:c r="L655" s="245"/>
      <ns0:c r="M655" s="245"/>
      <ns0:c r="N655" s="245"/>
      <ns0:c r="O655" s="245"/>
      <ns0:c r="P655" s="245"/>
      <ns0:c r="Q655" s="245"/>
      <ns0:c r="R655" s="245"/>
      <ns0:c r="S655" s="245"/>
      <ns0:c r="T655" s="245"/>
      <ns0:c r="U655" s="245"/>
      <ns0:c r="V655" s="245"/>
      <ns0:c r="W655" s="245"/>
      <ns0:c r="X655" s="245"/>
      <ns0:c r="Y655" s="245"/>
      <ns0:c r="Z655" s="245"/>
    </ns0:row>
    <ns0:row r="656">
      <ns0:c r="A656" s="245"/>
      <ns0:c r="B656" s="245"/>
      <ns0:c r="C656" s="245"/>
      <ns0:c r="D656" s="245"/>
      <ns0:c r="E656" s="245"/>
      <ns0:c r="F656" s="245"/>
      <ns0:c r="G656" s="245"/>
      <ns0:c r="H656" s="245"/>
      <ns0:c r="I656" s="245"/>
      <ns0:c r="J656" s="245"/>
      <ns0:c r="K656" s="245"/>
      <ns0:c r="L656" s="245"/>
      <ns0:c r="M656" s="245"/>
      <ns0:c r="N656" s="245"/>
      <ns0:c r="O656" s="245"/>
      <ns0:c r="P656" s="245"/>
      <ns0:c r="Q656" s="245"/>
      <ns0:c r="R656" s="245"/>
      <ns0:c r="S656" s="245"/>
      <ns0:c r="T656" s="245"/>
      <ns0:c r="U656" s="245"/>
      <ns0:c r="V656" s="245"/>
      <ns0:c r="W656" s="245"/>
      <ns0:c r="X656" s="245"/>
      <ns0:c r="Y656" s="245"/>
      <ns0:c r="Z656" s="245"/>
    </ns0:row>
    <ns0:row r="657">
      <ns0:c r="A657" s="245"/>
      <ns0:c r="B657" s="245"/>
      <ns0:c r="C657" s="245"/>
      <ns0:c r="D657" s="245"/>
      <ns0:c r="E657" s="245"/>
      <ns0:c r="F657" s="245"/>
      <ns0:c r="G657" s="245"/>
      <ns0:c r="H657" s="245"/>
      <ns0:c r="I657" s="245"/>
      <ns0:c r="J657" s="245"/>
      <ns0:c r="K657" s="245"/>
      <ns0:c r="L657" s="245"/>
      <ns0:c r="M657" s="245"/>
      <ns0:c r="N657" s="245"/>
      <ns0:c r="O657" s="245"/>
      <ns0:c r="P657" s="245"/>
      <ns0:c r="Q657" s="245"/>
      <ns0:c r="R657" s="245"/>
      <ns0:c r="S657" s="245"/>
      <ns0:c r="T657" s="245"/>
      <ns0:c r="U657" s="245"/>
      <ns0:c r="V657" s="245"/>
      <ns0:c r="W657" s="245"/>
      <ns0:c r="X657" s="245"/>
      <ns0:c r="Y657" s="245"/>
      <ns0:c r="Z657" s="245"/>
    </ns0:row>
    <ns0:row r="658">
      <ns0:c r="A658" s="245"/>
      <ns0:c r="B658" s="245"/>
      <ns0:c r="C658" s="245"/>
      <ns0:c r="D658" s="245"/>
      <ns0:c r="E658" s="245"/>
      <ns0:c r="F658" s="245"/>
      <ns0:c r="G658" s="245"/>
      <ns0:c r="H658" s="245"/>
      <ns0:c r="I658" s="245"/>
      <ns0:c r="J658" s="245"/>
      <ns0:c r="K658" s="245"/>
      <ns0:c r="L658" s="245"/>
      <ns0:c r="M658" s="245"/>
      <ns0:c r="N658" s="245"/>
      <ns0:c r="O658" s="245"/>
      <ns0:c r="P658" s="245"/>
      <ns0:c r="Q658" s="245"/>
      <ns0:c r="R658" s="245"/>
      <ns0:c r="S658" s="245"/>
      <ns0:c r="T658" s="245"/>
      <ns0:c r="U658" s="245"/>
      <ns0:c r="V658" s="245"/>
      <ns0:c r="W658" s="245"/>
      <ns0:c r="X658" s="245"/>
      <ns0:c r="Y658" s="245"/>
      <ns0:c r="Z658" s="245"/>
    </ns0:row>
    <ns0:row r="659">
      <ns0:c r="A659" s="245"/>
      <ns0:c r="B659" s="245"/>
      <ns0:c r="C659" s="245"/>
      <ns0:c r="D659" s="245"/>
      <ns0:c r="E659" s="245"/>
      <ns0:c r="F659" s="245"/>
      <ns0:c r="G659" s="245"/>
      <ns0:c r="H659" s="245"/>
      <ns0:c r="I659" s="245"/>
      <ns0:c r="J659" s="245"/>
      <ns0:c r="K659" s="245"/>
      <ns0:c r="L659" s="245"/>
      <ns0:c r="M659" s="245"/>
      <ns0:c r="N659" s="245"/>
      <ns0:c r="O659" s="245"/>
      <ns0:c r="P659" s="245"/>
      <ns0:c r="Q659" s="245"/>
      <ns0:c r="R659" s="245"/>
      <ns0:c r="S659" s="245"/>
      <ns0:c r="T659" s="245"/>
      <ns0:c r="U659" s="245"/>
      <ns0:c r="V659" s="245"/>
      <ns0:c r="W659" s="245"/>
      <ns0:c r="X659" s="245"/>
      <ns0:c r="Y659" s="245"/>
      <ns0:c r="Z659" s="245"/>
    </ns0:row>
    <ns0:row r="660">
      <ns0:c r="A660" s="245"/>
      <ns0:c r="B660" s="245"/>
      <ns0:c r="C660" s="245"/>
      <ns0:c r="D660" s="245"/>
      <ns0:c r="E660" s="245"/>
      <ns0:c r="F660" s="245"/>
      <ns0:c r="G660" s="245"/>
      <ns0:c r="H660" s="245"/>
      <ns0:c r="I660" s="245"/>
      <ns0:c r="J660" s="245"/>
      <ns0:c r="K660" s="245"/>
      <ns0:c r="L660" s="245"/>
      <ns0:c r="M660" s="245"/>
      <ns0:c r="N660" s="245"/>
      <ns0:c r="O660" s="245"/>
      <ns0:c r="P660" s="245"/>
      <ns0:c r="Q660" s="245"/>
      <ns0:c r="R660" s="245"/>
      <ns0:c r="S660" s="245"/>
      <ns0:c r="T660" s="245"/>
      <ns0:c r="U660" s="245"/>
      <ns0:c r="V660" s="245"/>
      <ns0:c r="W660" s="245"/>
      <ns0:c r="X660" s="245"/>
      <ns0:c r="Y660" s="245"/>
      <ns0:c r="Z660" s="245"/>
    </ns0:row>
    <ns0:row r="661">
      <ns0:c r="A661" s="245"/>
      <ns0:c r="B661" s="245"/>
      <ns0:c r="C661" s="245"/>
      <ns0:c r="D661" s="245"/>
      <ns0:c r="E661" s="245"/>
      <ns0:c r="F661" s="245"/>
      <ns0:c r="G661" s="245"/>
      <ns0:c r="H661" s="245"/>
      <ns0:c r="I661" s="245"/>
      <ns0:c r="J661" s="245"/>
      <ns0:c r="K661" s="245"/>
      <ns0:c r="L661" s="245"/>
      <ns0:c r="M661" s="245"/>
      <ns0:c r="N661" s="245"/>
      <ns0:c r="O661" s="245"/>
      <ns0:c r="P661" s="245"/>
      <ns0:c r="Q661" s="245"/>
      <ns0:c r="R661" s="245"/>
      <ns0:c r="S661" s="245"/>
      <ns0:c r="T661" s="245"/>
      <ns0:c r="U661" s="245"/>
      <ns0:c r="V661" s="245"/>
      <ns0:c r="W661" s="245"/>
      <ns0:c r="X661" s="245"/>
      <ns0:c r="Y661" s="245"/>
      <ns0:c r="Z661" s="245"/>
    </ns0:row>
    <ns0:row r="662">
      <ns0:c r="A662" s="245"/>
      <ns0:c r="B662" s="245"/>
      <ns0:c r="C662" s="245"/>
      <ns0:c r="D662" s="245"/>
      <ns0:c r="E662" s="245"/>
      <ns0:c r="F662" s="245"/>
      <ns0:c r="G662" s="245"/>
      <ns0:c r="H662" s="245"/>
      <ns0:c r="I662" s="245"/>
      <ns0:c r="J662" s="245"/>
      <ns0:c r="K662" s="245"/>
      <ns0:c r="L662" s="245"/>
      <ns0:c r="M662" s="245"/>
      <ns0:c r="N662" s="245"/>
      <ns0:c r="O662" s="245"/>
      <ns0:c r="P662" s="245"/>
      <ns0:c r="Q662" s="245"/>
      <ns0:c r="R662" s="245"/>
      <ns0:c r="S662" s="245"/>
      <ns0:c r="T662" s="245"/>
      <ns0:c r="U662" s="245"/>
      <ns0:c r="V662" s="245"/>
      <ns0:c r="W662" s="245"/>
      <ns0:c r="X662" s="245"/>
      <ns0:c r="Y662" s="245"/>
      <ns0:c r="Z662" s="245"/>
    </ns0:row>
    <ns0:row r="663">
      <ns0:c r="A663" s="245"/>
      <ns0:c r="B663" s="245"/>
      <ns0:c r="C663" s="245"/>
      <ns0:c r="D663" s="245"/>
      <ns0:c r="E663" s="245"/>
      <ns0:c r="F663" s="245"/>
      <ns0:c r="G663" s="245"/>
      <ns0:c r="H663" s="245"/>
      <ns0:c r="I663" s="245"/>
      <ns0:c r="J663" s="245"/>
      <ns0:c r="K663" s="245"/>
      <ns0:c r="L663" s="245"/>
      <ns0:c r="M663" s="245"/>
      <ns0:c r="N663" s="245"/>
      <ns0:c r="O663" s="245"/>
      <ns0:c r="P663" s="245"/>
      <ns0:c r="Q663" s="245"/>
      <ns0:c r="R663" s="245"/>
      <ns0:c r="S663" s="245"/>
      <ns0:c r="T663" s="245"/>
      <ns0:c r="U663" s="245"/>
      <ns0:c r="V663" s="245"/>
      <ns0:c r="W663" s="245"/>
      <ns0:c r="X663" s="245"/>
      <ns0:c r="Y663" s="245"/>
      <ns0:c r="Z663" s="245"/>
    </ns0:row>
    <ns0:row r="664">
      <ns0:c r="A664" s="245"/>
      <ns0:c r="B664" s="245"/>
      <ns0:c r="C664" s="245"/>
      <ns0:c r="D664" s="245"/>
      <ns0:c r="E664" s="245"/>
      <ns0:c r="F664" s="245"/>
      <ns0:c r="G664" s="245"/>
      <ns0:c r="H664" s="245"/>
      <ns0:c r="I664" s="245"/>
      <ns0:c r="J664" s="245"/>
      <ns0:c r="K664" s="245"/>
      <ns0:c r="L664" s="245"/>
      <ns0:c r="M664" s="245"/>
      <ns0:c r="N664" s="245"/>
      <ns0:c r="O664" s="245"/>
      <ns0:c r="P664" s="245"/>
      <ns0:c r="Q664" s="245"/>
      <ns0:c r="R664" s="245"/>
      <ns0:c r="S664" s="245"/>
      <ns0:c r="T664" s="245"/>
      <ns0:c r="U664" s="245"/>
      <ns0:c r="V664" s="245"/>
      <ns0:c r="W664" s="245"/>
      <ns0:c r="X664" s="245"/>
      <ns0:c r="Y664" s="245"/>
      <ns0:c r="Z664" s="245"/>
    </ns0:row>
    <ns0:row r="665">
      <ns0:c r="A665" s="245"/>
      <ns0:c r="B665" s="245"/>
      <ns0:c r="C665" s="245"/>
      <ns0:c r="D665" s="245"/>
      <ns0:c r="E665" s="245"/>
      <ns0:c r="F665" s="245"/>
      <ns0:c r="G665" s="245"/>
      <ns0:c r="H665" s="245"/>
      <ns0:c r="I665" s="245"/>
      <ns0:c r="J665" s="245"/>
      <ns0:c r="K665" s="245"/>
      <ns0:c r="L665" s="245"/>
      <ns0:c r="M665" s="245"/>
      <ns0:c r="N665" s="245"/>
      <ns0:c r="O665" s="245"/>
      <ns0:c r="P665" s="245"/>
      <ns0:c r="Q665" s="245"/>
      <ns0:c r="R665" s="245"/>
      <ns0:c r="S665" s="245"/>
      <ns0:c r="T665" s="245"/>
      <ns0:c r="U665" s="245"/>
      <ns0:c r="V665" s="245"/>
      <ns0:c r="W665" s="245"/>
      <ns0:c r="X665" s="245"/>
      <ns0:c r="Y665" s="245"/>
      <ns0:c r="Z665" s="245"/>
    </ns0:row>
    <ns0:row r="666">
      <ns0:c r="A666" s="245"/>
      <ns0:c r="B666" s="245"/>
      <ns0:c r="C666" s="245"/>
      <ns0:c r="D666" s="245"/>
      <ns0:c r="E666" s="245"/>
      <ns0:c r="F666" s="245"/>
      <ns0:c r="G666" s="245"/>
      <ns0:c r="H666" s="245"/>
      <ns0:c r="I666" s="245"/>
      <ns0:c r="J666" s="245"/>
      <ns0:c r="K666" s="245"/>
      <ns0:c r="L666" s="245"/>
      <ns0:c r="M666" s="245"/>
      <ns0:c r="N666" s="245"/>
      <ns0:c r="O666" s="245"/>
      <ns0:c r="P666" s="245"/>
      <ns0:c r="Q666" s="245"/>
      <ns0:c r="R666" s="245"/>
      <ns0:c r="S666" s="245"/>
      <ns0:c r="T666" s="245"/>
      <ns0:c r="U666" s="245"/>
      <ns0:c r="V666" s="245"/>
      <ns0:c r="W666" s="245"/>
      <ns0:c r="X666" s="245"/>
      <ns0:c r="Y666" s="245"/>
      <ns0:c r="Z666" s="245"/>
    </ns0:row>
    <ns0:row r="667">
      <ns0:c r="A667" s="245"/>
      <ns0:c r="B667" s="245"/>
      <ns0:c r="C667" s="245"/>
      <ns0:c r="D667" s="245"/>
      <ns0:c r="E667" s="245"/>
      <ns0:c r="F667" s="245"/>
      <ns0:c r="G667" s="245"/>
      <ns0:c r="H667" s="245"/>
      <ns0:c r="I667" s="245"/>
      <ns0:c r="J667" s="245"/>
      <ns0:c r="K667" s="245"/>
      <ns0:c r="L667" s="245"/>
      <ns0:c r="M667" s="245"/>
      <ns0:c r="N667" s="245"/>
      <ns0:c r="O667" s="245"/>
      <ns0:c r="P667" s="245"/>
      <ns0:c r="Q667" s="245"/>
      <ns0:c r="R667" s="245"/>
      <ns0:c r="S667" s="245"/>
      <ns0:c r="T667" s="245"/>
      <ns0:c r="U667" s="245"/>
      <ns0:c r="V667" s="245"/>
      <ns0:c r="W667" s="245"/>
      <ns0:c r="X667" s="245"/>
      <ns0:c r="Y667" s="245"/>
      <ns0:c r="Z667" s="245"/>
    </ns0:row>
    <ns0:row r="668">
      <ns0:c r="A668" s="245"/>
      <ns0:c r="B668" s="245"/>
      <ns0:c r="C668" s="245"/>
      <ns0:c r="D668" s="245"/>
      <ns0:c r="E668" s="245"/>
      <ns0:c r="F668" s="245"/>
      <ns0:c r="G668" s="245"/>
      <ns0:c r="H668" s="245"/>
      <ns0:c r="I668" s="245"/>
      <ns0:c r="J668" s="245"/>
      <ns0:c r="K668" s="245"/>
      <ns0:c r="L668" s="245"/>
      <ns0:c r="M668" s="245"/>
      <ns0:c r="N668" s="245"/>
      <ns0:c r="O668" s="245"/>
      <ns0:c r="P668" s="245"/>
      <ns0:c r="Q668" s="245"/>
      <ns0:c r="R668" s="245"/>
      <ns0:c r="S668" s="245"/>
      <ns0:c r="T668" s="245"/>
      <ns0:c r="U668" s="245"/>
      <ns0:c r="V668" s="245"/>
      <ns0:c r="W668" s="245"/>
      <ns0:c r="X668" s="245"/>
      <ns0:c r="Y668" s="245"/>
      <ns0:c r="Z668" s="245"/>
    </ns0:row>
    <ns0:row r="669">
      <ns0:c r="A669" s="245"/>
      <ns0:c r="B669" s="245"/>
      <ns0:c r="C669" s="245"/>
      <ns0:c r="D669" s="245"/>
      <ns0:c r="E669" s="245"/>
      <ns0:c r="F669" s="245"/>
      <ns0:c r="G669" s="245"/>
      <ns0:c r="H669" s="245"/>
      <ns0:c r="I669" s="245"/>
      <ns0:c r="J669" s="245"/>
      <ns0:c r="K669" s="245"/>
      <ns0:c r="L669" s="245"/>
      <ns0:c r="M669" s="245"/>
      <ns0:c r="N669" s="245"/>
      <ns0:c r="O669" s="245"/>
      <ns0:c r="P669" s="245"/>
      <ns0:c r="Q669" s="245"/>
      <ns0:c r="R669" s="245"/>
      <ns0:c r="S669" s="245"/>
      <ns0:c r="T669" s="245"/>
      <ns0:c r="U669" s="245"/>
      <ns0:c r="V669" s="245"/>
      <ns0:c r="W669" s="245"/>
      <ns0:c r="X669" s="245"/>
      <ns0:c r="Y669" s="245"/>
      <ns0:c r="Z669" s="245"/>
    </ns0:row>
    <ns0:row r="670">
      <ns0:c r="A670" s="245"/>
      <ns0:c r="B670" s="245"/>
      <ns0:c r="C670" s="245"/>
      <ns0:c r="D670" s="245"/>
      <ns0:c r="E670" s="245"/>
      <ns0:c r="F670" s="245"/>
      <ns0:c r="G670" s="245"/>
      <ns0:c r="H670" s="245"/>
      <ns0:c r="I670" s="245"/>
      <ns0:c r="J670" s="245"/>
      <ns0:c r="K670" s="245"/>
      <ns0:c r="L670" s="245"/>
      <ns0:c r="M670" s="245"/>
      <ns0:c r="N670" s="245"/>
      <ns0:c r="O670" s="245"/>
      <ns0:c r="P670" s="245"/>
      <ns0:c r="Q670" s="245"/>
      <ns0:c r="R670" s="245"/>
      <ns0:c r="S670" s="245"/>
      <ns0:c r="T670" s="245"/>
      <ns0:c r="U670" s="245"/>
      <ns0:c r="V670" s="245"/>
      <ns0:c r="W670" s="245"/>
      <ns0:c r="X670" s="245"/>
      <ns0:c r="Y670" s="245"/>
      <ns0:c r="Z670" s="245"/>
    </ns0:row>
    <ns0:row r="671">
      <ns0:c r="A671" s="245"/>
      <ns0:c r="B671" s="245"/>
      <ns0:c r="C671" s="245"/>
      <ns0:c r="D671" s="245"/>
      <ns0:c r="E671" s="245"/>
      <ns0:c r="F671" s="245"/>
      <ns0:c r="G671" s="245"/>
      <ns0:c r="H671" s="245"/>
      <ns0:c r="I671" s="245"/>
      <ns0:c r="J671" s="245"/>
      <ns0:c r="K671" s="245"/>
      <ns0:c r="L671" s="245"/>
      <ns0:c r="M671" s="245"/>
      <ns0:c r="N671" s="245"/>
      <ns0:c r="O671" s="245"/>
      <ns0:c r="P671" s="245"/>
      <ns0:c r="Q671" s="245"/>
      <ns0:c r="R671" s="245"/>
      <ns0:c r="S671" s="245"/>
      <ns0:c r="T671" s="245"/>
      <ns0:c r="U671" s="245"/>
      <ns0:c r="V671" s="245"/>
      <ns0:c r="W671" s="245"/>
      <ns0:c r="X671" s="245"/>
      <ns0:c r="Y671" s="245"/>
      <ns0:c r="Z671" s="245"/>
    </ns0:row>
    <ns0:row r="672">
      <ns0:c r="A672" s="245"/>
      <ns0:c r="B672" s="245"/>
      <ns0:c r="C672" s="245"/>
      <ns0:c r="D672" s="245"/>
      <ns0:c r="E672" s="245"/>
      <ns0:c r="F672" s="245"/>
      <ns0:c r="G672" s="245"/>
      <ns0:c r="H672" s="245"/>
      <ns0:c r="I672" s="245"/>
      <ns0:c r="J672" s="245"/>
      <ns0:c r="K672" s="245"/>
      <ns0:c r="L672" s="245"/>
      <ns0:c r="M672" s="245"/>
      <ns0:c r="N672" s="245"/>
      <ns0:c r="O672" s="245"/>
      <ns0:c r="P672" s="245"/>
      <ns0:c r="Q672" s="245"/>
      <ns0:c r="R672" s="245"/>
      <ns0:c r="S672" s="245"/>
      <ns0:c r="T672" s="245"/>
      <ns0:c r="U672" s="245"/>
      <ns0:c r="V672" s="245"/>
      <ns0:c r="W672" s="245"/>
      <ns0:c r="X672" s="245"/>
      <ns0:c r="Y672" s="245"/>
      <ns0:c r="Z672" s="245"/>
    </ns0:row>
    <ns0:row r="673">
      <ns0:c r="A673" s="245"/>
      <ns0:c r="B673" s="245"/>
      <ns0:c r="C673" s="245"/>
      <ns0:c r="D673" s="245"/>
      <ns0:c r="E673" s="245"/>
      <ns0:c r="F673" s="245"/>
      <ns0:c r="G673" s="245"/>
      <ns0:c r="H673" s="245"/>
      <ns0:c r="I673" s="245"/>
      <ns0:c r="J673" s="245"/>
      <ns0:c r="K673" s="245"/>
      <ns0:c r="L673" s="245"/>
      <ns0:c r="M673" s="245"/>
      <ns0:c r="N673" s="245"/>
      <ns0:c r="O673" s="245"/>
      <ns0:c r="P673" s="245"/>
      <ns0:c r="Q673" s="245"/>
      <ns0:c r="R673" s="245"/>
      <ns0:c r="S673" s="245"/>
      <ns0:c r="T673" s="245"/>
      <ns0:c r="U673" s="245"/>
      <ns0:c r="V673" s="245"/>
      <ns0:c r="W673" s="245"/>
      <ns0:c r="X673" s="245"/>
      <ns0:c r="Y673" s="245"/>
      <ns0:c r="Z673" s="245"/>
    </ns0:row>
    <ns0:row r="674">
      <ns0:c r="A674" s="245"/>
      <ns0:c r="B674" s="245"/>
      <ns0:c r="C674" s="245"/>
      <ns0:c r="D674" s="245"/>
      <ns0:c r="E674" s="245"/>
      <ns0:c r="F674" s="245"/>
      <ns0:c r="G674" s="245"/>
      <ns0:c r="H674" s="245"/>
      <ns0:c r="I674" s="245"/>
      <ns0:c r="J674" s="245"/>
      <ns0:c r="K674" s="245"/>
      <ns0:c r="L674" s="245"/>
      <ns0:c r="M674" s="245"/>
      <ns0:c r="N674" s="245"/>
      <ns0:c r="O674" s="245"/>
      <ns0:c r="P674" s="245"/>
      <ns0:c r="Q674" s="245"/>
      <ns0:c r="R674" s="245"/>
      <ns0:c r="S674" s="245"/>
      <ns0:c r="T674" s="245"/>
      <ns0:c r="U674" s="245"/>
      <ns0:c r="V674" s="245"/>
      <ns0:c r="W674" s="245"/>
      <ns0:c r="X674" s="245"/>
      <ns0:c r="Y674" s="245"/>
      <ns0:c r="Z674" s="245"/>
    </ns0:row>
    <ns0:row r="675">
      <ns0:c r="A675" s="245"/>
      <ns0:c r="B675" s="245"/>
      <ns0:c r="C675" s="245"/>
      <ns0:c r="D675" s="245"/>
      <ns0:c r="E675" s="245"/>
      <ns0:c r="F675" s="245"/>
      <ns0:c r="G675" s="245"/>
      <ns0:c r="H675" s="245"/>
      <ns0:c r="I675" s="245"/>
      <ns0:c r="J675" s="245"/>
      <ns0:c r="K675" s="245"/>
      <ns0:c r="L675" s="245"/>
      <ns0:c r="M675" s="245"/>
      <ns0:c r="N675" s="245"/>
      <ns0:c r="O675" s="245"/>
      <ns0:c r="P675" s="245"/>
      <ns0:c r="Q675" s="245"/>
      <ns0:c r="R675" s="245"/>
      <ns0:c r="S675" s="245"/>
      <ns0:c r="T675" s="245"/>
      <ns0:c r="U675" s="245"/>
      <ns0:c r="V675" s="245"/>
      <ns0:c r="W675" s="245"/>
      <ns0:c r="X675" s="245"/>
      <ns0:c r="Y675" s="245"/>
      <ns0:c r="Z675" s="245"/>
    </ns0:row>
    <ns0:row r="676">
      <ns0:c r="A676" s="245"/>
      <ns0:c r="B676" s="245"/>
      <ns0:c r="C676" s="245"/>
      <ns0:c r="D676" s="245"/>
      <ns0:c r="E676" s="245"/>
      <ns0:c r="F676" s="245"/>
      <ns0:c r="G676" s="245"/>
      <ns0:c r="H676" s="245"/>
      <ns0:c r="I676" s="245"/>
      <ns0:c r="J676" s="245"/>
      <ns0:c r="K676" s="245"/>
      <ns0:c r="L676" s="245"/>
      <ns0:c r="M676" s="245"/>
      <ns0:c r="N676" s="245"/>
      <ns0:c r="O676" s="245"/>
      <ns0:c r="P676" s="245"/>
      <ns0:c r="Q676" s="245"/>
      <ns0:c r="R676" s="245"/>
      <ns0:c r="S676" s="245"/>
      <ns0:c r="T676" s="245"/>
      <ns0:c r="U676" s="245"/>
      <ns0:c r="V676" s="245"/>
      <ns0:c r="W676" s="245"/>
      <ns0:c r="X676" s="245"/>
      <ns0:c r="Y676" s="245"/>
      <ns0:c r="Z676" s="245"/>
    </ns0:row>
    <ns0:row r="677">
      <ns0:c r="A677" s="245"/>
      <ns0:c r="B677" s="245"/>
      <ns0:c r="C677" s="245"/>
      <ns0:c r="D677" s="245"/>
      <ns0:c r="E677" s="245"/>
      <ns0:c r="F677" s="245"/>
      <ns0:c r="G677" s="245"/>
      <ns0:c r="H677" s="245"/>
      <ns0:c r="I677" s="245"/>
      <ns0:c r="J677" s="245"/>
      <ns0:c r="K677" s="245"/>
      <ns0:c r="L677" s="245"/>
      <ns0:c r="M677" s="245"/>
      <ns0:c r="N677" s="245"/>
      <ns0:c r="O677" s="245"/>
      <ns0:c r="P677" s="245"/>
      <ns0:c r="Q677" s="245"/>
      <ns0:c r="R677" s="245"/>
      <ns0:c r="S677" s="245"/>
      <ns0:c r="T677" s="245"/>
      <ns0:c r="U677" s="245"/>
      <ns0:c r="V677" s="245"/>
      <ns0:c r="W677" s="245"/>
      <ns0:c r="X677" s="245"/>
      <ns0:c r="Y677" s="245"/>
      <ns0:c r="Z677" s="245"/>
    </ns0:row>
    <ns0:row r="678">
      <ns0:c r="A678" s="245"/>
      <ns0:c r="B678" s="245"/>
      <ns0:c r="C678" s="245"/>
      <ns0:c r="D678" s="245"/>
      <ns0:c r="E678" s="245"/>
      <ns0:c r="F678" s="245"/>
      <ns0:c r="G678" s="245"/>
      <ns0:c r="H678" s="245"/>
      <ns0:c r="I678" s="245"/>
      <ns0:c r="J678" s="245"/>
      <ns0:c r="K678" s="245"/>
      <ns0:c r="L678" s="245"/>
      <ns0:c r="M678" s="245"/>
      <ns0:c r="N678" s="245"/>
      <ns0:c r="O678" s="245"/>
      <ns0:c r="P678" s="245"/>
      <ns0:c r="Q678" s="245"/>
      <ns0:c r="R678" s="245"/>
      <ns0:c r="S678" s="245"/>
      <ns0:c r="T678" s="245"/>
      <ns0:c r="U678" s="245"/>
      <ns0:c r="V678" s="245"/>
      <ns0:c r="W678" s="245"/>
      <ns0:c r="X678" s="245"/>
      <ns0:c r="Y678" s="245"/>
      <ns0:c r="Z678" s="245"/>
    </ns0:row>
    <ns0:row r="679">
      <ns0:c r="A679" s="245"/>
      <ns0:c r="B679" s="245"/>
      <ns0:c r="C679" s="245"/>
      <ns0:c r="D679" s="245"/>
      <ns0:c r="E679" s="245"/>
      <ns0:c r="F679" s="245"/>
      <ns0:c r="G679" s="245"/>
      <ns0:c r="H679" s="245"/>
      <ns0:c r="I679" s="245"/>
      <ns0:c r="J679" s="245"/>
      <ns0:c r="K679" s="245"/>
      <ns0:c r="L679" s="245"/>
      <ns0:c r="M679" s="245"/>
      <ns0:c r="N679" s="245"/>
      <ns0:c r="O679" s="245"/>
      <ns0:c r="P679" s="245"/>
      <ns0:c r="Q679" s="245"/>
      <ns0:c r="R679" s="245"/>
      <ns0:c r="S679" s="245"/>
      <ns0:c r="T679" s="245"/>
      <ns0:c r="U679" s="245"/>
      <ns0:c r="V679" s="245"/>
      <ns0:c r="W679" s="245"/>
      <ns0:c r="X679" s="245"/>
      <ns0:c r="Y679" s="245"/>
      <ns0:c r="Z679" s="245"/>
    </ns0:row>
    <ns0:row r="680">
      <ns0:c r="A680" s="245"/>
      <ns0:c r="B680" s="245"/>
      <ns0:c r="C680" s="245"/>
      <ns0:c r="D680" s="245"/>
      <ns0:c r="E680" s="245"/>
      <ns0:c r="F680" s="245"/>
      <ns0:c r="G680" s="245"/>
      <ns0:c r="H680" s="245"/>
      <ns0:c r="I680" s="245"/>
      <ns0:c r="J680" s="245"/>
      <ns0:c r="K680" s="245"/>
      <ns0:c r="L680" s="245"/>
      <ns0:c r="M680" s="245"/>
      <ns0:c r="N680" s="245"/>
      <ns0:c r="O680" s="245"/>
      <ns0:c r="P680" s="245"/>
      <ns0:c r="Q680" s="245"/>
      <ns0:c r="R680" s="245"/>
      <ns0:c r="S680" s="245"/>
      <ns0:c r="T680" s="245"/>
      <ns0:c r="U680" s="245"/>
      <ns0:c r="V680" s="245"/>
      <ns0:c r="W680" s="245"/>
      <ns0:c r="X680" s="245"/>
      <ns0:c r="Y680" s="245"/>
      <ns0:c r="Z680" s="245"/>
    </ns0:row>
    <ns0:row r="681">
      <ns0:c r="A681" s="245"/>
      <ns0:c r="B681" s="245"/>
      <ns0:c r="C681" s="245"/>
      <ns0:c r="D681" s="245"/>
      <ns0:c r="E681" s="245"/>
      <ns0:c r="F681" s="245"/>
      <ns0:c r="G681" s="245"/>
      <ns0:c r="H681" s="245"/>
      <ns0:c r="I681" s="245"/>
      <ns0:c r="J681" s="245"/>
      <ns0:c r="K681" s="245"/>
      <ns0:c r="L681" s="245"/>
      <ns0:c r="M681" s="245"/>
      <ns0:c r="N681" s="245"/>
      <ns0:c r="O681" s="245"/>
      <ns0:c r="P681" s="245"/>
      <ns0:c r="Q681" s="245"/>
      <ns0:c r="R681" s="245"/>
      <ns0:c r="S681" s="245"/>
      <ns0:c r="T681" s="245"/>
      <ns0:c r="U681" s="245"/>
      <ns0:c r="V681" s="245"/>
      <ns0:c r="W681" s="245"/>
      <ns0:c r="X681" s="245"/>
      <ns0:c r="Y681" s="245"/>
      <ns0:c r="Z681" s="245"/>
    </ns0:row>
    <ns0:row r="682">
      <ns0:c r="A682" s="245"/>
      <ns0:c r="B682" s="245"/>
      <ns0:c r="C682" s="245"/>
      <ns0:c r="D682" s="245"/>
      <ns0:c r="E682" s="245"/>
      <ns0:c r="F682" s="245"/>
      <ns0:c r="G682" s="245"/>
      <ns0:c r="H682" s="245"/>
      <ns0:c r="I682" s="245"/>
      <ns0:c r="J682" s="245"/>
      <ns0:c r="K682" s="245"/>
      <ns0:c r="L682" s="245"/>
      <ns0:c r="M682" s="245"/>
      <ns0:c r="N682" s="245"/>
      <ns0:c r="O682" s="245"/>
      <ns0:c r="P682" s="245"/>
      <ns0:c r="Q682" s="245"/>
      <ns0:c r="R682" s="245"/>
      <ns0:c r="S682" s="245"/>
      <ns0:c r="T682" s="245"/>
      <ns0:c r="U682" s="245"/>
      <ns0:c r="V682" s="245"/>
      <ns0:c r="W682" s="245"/>
      <ns0:c r="X682" s="245"/>
      <ns0:c r="Y682" s="245"/>
      <ns0:c r="Z682" s="245"/>
    </ns0:row>
    <ns0:row r="683">
      <ns0:c r="A683" s="245"/>
      <ns0:c r="B683" s="245"/>
      <ns0:c r="C683" s="245"/>
      <ns0:c r="D683" s="245"/>
      <ns0:c r="E683" s="245"/>
      <ns0:c r="F683" s="245"/>
      <ns0:c r="G683" s="245"/>
      <ns0:c r="H683" s="245"/>
      <ns0:c r="I683" s="245"/>
      <ns0:c r="J683" s="245"/>
      <ns0:c r="K683" s="245"/>
      <ns0:c r="L683" s="245"/>
      <ns0:c r="M683" s="245"/>
      <ns0:c r="N683" s="245"/>
      <ns0:c r="O683" s="245"/>
      <ns0:c r="P683" s="245"/>
      <ns0:c r="Q683" s="245"/>
      <ns0:c r="R683" s="245"/>
      <ns0:c r="S683" s="245"/>
      <ns0:c r="T683" s="245"/>
      <ns0:c r="U683" s="245"/>
      <ns0:c r="V683" s="245"/>
      <ns0:c r="W683" s="245"/>
      <ns0:c r="X683" s="245"/>
      <ns0:c r="Y683" s="245"/>
      <ns0:c r="Z683" s="245"/>
    </ns0:row>
    <ns0:row r="684">
      <ns0:c r="A684" s="245"/>
      <ns0:c r="B684" s="245"/>
      <ns0:c r="C684" s="245"/>
      <ns0:c r="D684" s="245"/>
      <ns0:c r="E684" s="245"/>
      <ns0:c r="F684" s="245"/>
      <ns0:c r="G684" s="245"/>
      <ns0:c r="H684" s="245"/>
      <ns0:c r="I684" s="245"/>
      <ns0:c r="J684" s="245"/>
      <ns0:c r="K684" s="245"/>
      <ns0:c r="L684" s="245"/>
      <ns0:c r="M684" s="245"/>
      <ns0:c r="N684" s="245"/>
      <ns0:c r="O684" s="245"/>
      <ns0:c r="P684" s="245"/>
      <ns0:c r="Q684" s="245"/>
      <ns0:c r="R684" s="245"/>
      <ns0:c r="S684" s="245"/>
      <ns0:c r="T684" s="245"/>
      <ns0:c r="U684" s="245"/>
      <ns0:c r="V684" s="245"/>
      <ns0:c r="W684" s="245"/>
      <ns0:c r="X684" s="245"/>
      <ns0:c r="Y684" s="245"/>
      <ns0:c r="Z684" s="245"/>
    </ns0:row>
    <ns0:row r="685">
      <ns0:c r="A685" s="245"/>
      <ns0:c r="B685" s="245"/>
      <ns0:c r="C685" s="245"/>
      <ns0:c r="D685" s="245"/>
      <ns0:c r="E685" s="245"/>
      <ns0:c r="F685" s="245"/>
      <ns0:c r="G685" s="245"/>
      <ns0:c r="H685" s="245"/>
      <ns0:c r="I685" s="245"/>
      <ns0:c r="J685" s="245"/>
      <ns0:c r="K685" s="245"/>
      <ns0:c r="L685" s="245"/>
      <ns0:c r="M685" s="245"/>
      <ns0:c r="N685" s="245"/>
      <ns0:c r="O685" s="245"/>
      <ns0:c r="P685" s="245"/>
      <ns0:c r="Q685" s="245"/>
      <ns0:c r="R685" s="245"/>
      <ns0:c r="S685" s="245"/>
      <ns0:c r="T685" s="245"/>
      <ns0:c r="U685" s="245"/>
      <ns0:c r="V685" s="245"/>
      <ns0:c r="W685" s="245"/>
      <ns0:c r="X685" s="245"/>
      <ns0:c r="Y685" s="245"/>
      <ns0:c r="Z685" s="245"/>
    </ns0:row>
    <ns0:row r="686">
      <ns0:c r="A686" s="245"/>
      <ns0:c r="B686" s="245"/>
      <ns0:c r="C686" s="245"/>
      <ns0:c r="D686" s="245"/>
      <ns0:c r="E686" s="245"/>
      <ns0:c r="F686" s="245"/>
      <ns0:c r="G686" s="245"/>
      <ns0:c r="H686" s="245"/>
      <ns0:c r="I686" s="245"/>
      <ns0:c r="J686" s="245"/>
      <ns0:c r="K686" s="245"/>
      <ns0:c r="L686" s="245"/>
      <ns0:c r="M686" s="245"/>
      <ns0:c r="N686" s="245"/>
      <ns0:c r="O686" s="245"/>
      <ns0:c r="P686" s="245"/>
      <ns0:c r="Q686" s="245"/>
      <ns0:c r="R686" s="245"/>
      <ns0:c r="S686" s="245"/>
      <ns0:c r="T686" s="245"/>
      <ns0:c r="U686" s="245"/>
      <ns0:c r="V686" s="245"/>
      <ns0:c r="W686" s="245"/>
      <ns0:c r="X686" s="245"/>
      <ns0:c r="Y686" s="245"/>
      <ns0:c r="Z686" s="245"/>
    </ns0:row>
    <ns0:row r="687">
      <ns0:c r="A687" s="245"/>
      <ns0:c r="B687" s="245"/>
      <ns0:c r="C687" s="245"/>
      <ns0:c r="D687" s="245"/>
      <ns0:c r="E687" s="245"/>
      <ns0:c r="F687" s="245"/>
      <ns0:c r="G687" s="245"/>
      <ns0:c r="H687" s="245"/>
      <ns0:c r="I687" s="245"/>
      <ns0:c r="J687" s="245"/>
      <ns0:c r="K687" s="245"/>
      <ns0:c r="L687" s="245"/>
      <ns0:c r="M687" s="245"/>
      <ns0:c r="N687" s="245"/>
      <ns0:c r="O687" s="245"/>
      <ns0:c r="P687" s="245"/>
      <ns0:c r="Q687" s="245"/>
      <ns0:c r="R687" s="245"/>
      <ns0:c r="S687" s="245"/>
      <ns0:c r="T687" s="245"/>
      <ns0:c r="U687" s="245"/>
      <ns0:c r="V687" s="245"/>
      <ns0:c r="W687" s="245"/>
      <ns0:c r="X687" s="245"/>
      <ns0:c r="Y687" s="245"/>
      <ns0:c r="Z687" s="245"/>
    </ns0:row>
    <ns0:row r="688">
      <ns0:c r="A688" s="245"/>
      <ns0:c r="B688" s="245"/>
      <ns0:c r="C688" s="245"/>
      <ns0:c r="D688" s="245"/>
      <ns0:c r="E688" s="245"/>
      <ns0:c r="F688" s="245"/>
      <ns0:c r="G688" s="245"/>
      <ns0:c r="H688" s="245"/>
      <ns0:c r="I688" s="245"/>
      <ns0:c r="J688" s="245"/>
      <ns0:c r="K688" s="245"/>
      <ns0:c r="L688" s="245"/>
      <ns0:c r="M688" s="245"/>
      <ns0:c r="N688" s="245"/>
      <ns0:c r="O688" s="245"/>
      <ns0:c r="P688" s="245"/>
      <ns0:c r="Q688" s="245"/>
      <ns0:c r="R688" s="245"/>
      <ns0:c r="S688" s="245"/>
      <ns0:c r="T688" s="245"/>
      <ns0:c r="U688" s="245"/>
      <ns0:c r="V688" s="245"/>
      <ns0:c r="W688" s="245"/>
      <ns0:c r="X688" s="245"/>
      <ns0:c r="Y688" s="245"/>
      <ns0:c r="Z688" s="245"/>
    </ns0:row>
    <ns0:row r="689">
      <ns0:c r="A689" s="245"/>
      <ns0:c r="B689" s="245"/>
      <ns0:c r="C689" s="245"/>
      <ns0:c r="D689" s="245"/>
      <ns0:c r="E689" s="245"/>
      <ns0:c r="F689" s="245"/>
      <ns0:c r="G689" s="245"/>
      <ns0:c r="H689" s="245"/>
      <ns0:c r="I689" s="245"/>
      <ns0:c r="J689" s="245"/>
      <ns0:c r="K689" s="245"/>
      <ns0:c r="L689" s="245"/>
      <ns0:c r="M689" s="245"/>
      <ns0:c r="N689" s="245"/>
      <ns0:c r="O689" s="245"/>
      <ns0:c r="P689" s="245"/>
      <ns0:c r="Q689" s="245"/>
      <ns0:c r="R689" s="245"/>
      <ns0:c r="S689" s="245"/>
      <ns0:c r="T689" s="245"/>
      <ns0:c r="U689" s="245"/>
      <ns0:c r="V689" s="245"/>
      <ns0:c r="W689" s="245"/>
      <ns0:c r="X689" s="245"/>
      <ns0:c r="Y689" s="245"/>
      <ns0:c r="Z689" s="245"/>
    </ns0:row>
    <ns0:row r="690">
      <ns0:c r="A690" s="245"/>
      <ns0:c r="B690" s="245"/>
      <ns0:c r="C690" s="245"/>
      <ns0:c r="D690" s="245"/>
      <ns0:c r="E690" s="245"/>
      <ns0:c r="F690" s="245"/>
      <ns0:c r="G690" s="245"/>
      <ns0:c r="H690" s="245"/>
      <ns0:c r="I690" s="245"/>
      <ns0:c r="J690" s="245"/>
      <ns0:c r="K690" s="245"/>
      <ns0:c r="L690" s="245"/>
      <ns0:c r="M690" s="245"/>
      <ns0:c r="N690" s="245"/>
      <ns0:c r="O690" s="245"/>
      <ns0:c r="P690" s="245"/>
      <ns0:c r="Q690" s="245"/>
      <ns0:c r="R690" s="245"/>
      <ns0:c r="S690" s="245"/>
      <ns0:c r="T690" s="245"/>
      <ns0:c r="U690" s="245"/>
      <ns0:c r="V690" s="245"/>
      <ns0:c r="W690" s="245"/>
      <ns0:c r="X690" s="245"/>
      <ns0:c r="Y690" s="245"/>
      <ns0:c r="Z690" s="245"/>
    </ns0:row>
    <ns0:row r="691">
      <ns0:c r="A691" s="245"/>
      <ns0:c r="B691" s="245"/>
      <ns0:c r="C691" s="245"/>
      <ns0:c r="D691" s="245"/>
      <ns0:c r="E691" s="245"/>
      <ns0:c r="F691" s="245"/>
      <ns0:c r="G691" s="245"/>
      <ns0:c r="H691" s="245"/>
      <ns0:c r="I691" s="245"/>
      <ns0:c r="J691" s="245"/>
      <ns0:c r="K691" s="245"/>
      <ns0:c r="L691" s="245"/>
      <ns0:c r="M691" s="245"/>
      <ns0:c r="N691" s="245"/>
      <ns0:c r="O691" s="245"/>
      <ns0:c r="P691" s="245"/>
      <ns0:c r="Q691" s="245"/>
      <ns0:c r="R691" s="245"/>
      <ns0:c r="S691" s="245"/>
      <ns0:c r="T691" s="245"/>
      <ns0:c r="U691" s="245"/>
      <ns0:c r="V691" s="245"/>
      <ns0:c r="W691" s="245"/>
      <ns0:c r="X691" s="245"/>
      <ns0:c r="Y691" s="245"/>
      <ns0:c r="Z691" s="245"/>
    </ns0:row>
    <ns0:row r="692">
      <ns0:c r="A692" s="245"/>
      <ns0:c r="B692" s="245"/>
      <ns0:c r="C692" s="245"/>
      <ns0:c r="D692" s="245"/>
      <ns0:c r="E692" s="245"/>
      <ns0:c r="F692" s="245"/>
      <ns0:c r="G692" s="245"/>
      <ns0:c r="H692" s="245"/>
      <ns0:c r="I692" s="245"/>
      <ns0:c r="J692" s="245"/>
      <ns0:c r="K692" s="245"/>
      <ns0:c r="L692" s="245"/>
      <ns0:c r="M692" s="245"/>
      <ns0:c r="N692" s="245"/>
      <ns0:c r="O692" s="245"/>
      <ns0:c r="P692" s="245"/>
      <ns0:c r="Q692" s="245"/>
      <ns0:c r="R692" s="245"/>
      <ns0:c r="S692" s="245"/>
      <ns0:c r="T692" s="245"/>
      <ns0:c r="U692" s="245"/>
      <ns0:c r="V692" s="245"/>
      <ns0:c r="W692" s="245"/>
      <ns0:c r="X692" s="245"/>
      <ns0:c r="Y692" s="245"/>
      <ns0:c r="Z692" s="245"/>
    </ns0:row>
    <ns0:row r="693">
      <ns0:c r="A693" s="245"/>
      <ns0:c r="B693" s="245"/>
      <ns0:c r="C693" s="245"/>
      <ns0:c r="D693" s="245"/>
      <ns0:c r="E693" s="245"/>
      <ns0:c r="F693" s="245"/>
      <ns0:c r="G693" s="245"/>
      <ns0:c r="H693" s="245"/>
      <ns0:c r="I693" s="245"/>
      <ns0:c r="J693" s="245"/>
      <ns0:c r="K693" s="245"/>
      <ns0:c r="L693" s="245"/>
      <ns0:c r="M693" s="245"/>
      <ns0:c r="N693" s="245"/>
      <ns0:c r="O693" s="245"/>
      <ns0:c r="P693" s="245"/>
      <ns0:c r="Q693" s="245"/>
      <ns0:c r="R693" s="245"/>
      <ns0:c r="S693" s="245"/>
      <ns0:c r="T693" s="245"/>
      <ns0:c r="U693" s="245"/>
      <ns0:c r="V693" s="245"/>
      <ns0:c r="W693" s="245"/>
      <ns0:c r="X693" s="245"/>
      <ns0:c r="Y693" s="245"/>
      <ns0:c r="Z693" s="245"/>
    </ns0:row>
    <ns0:row r="694">
      <ns0:c r="A694" s="245"/>
      <ns0:c r="B694" s="245"/>
      <ns0:c r="C694" s="245"/>
      <ns0:c r="D694" s="245"/>
      <ns0:c r="E694" s="245"/>
      <ns0:c r="F694" s="245"/>
      <ns0:c r="G694" s="245"/>
      <ns0:c r="H694" s="245"/>
      <ns0:c r="I694" s="245"/>
      <ns0:c r="J694" s="245"/>
      <ns0:c r="K694" s="245"/>
      <ns0:c r="L694" s="245"/>
      <ns0:c r="M694" s="245"/>
      <ns0:c r="N694" s="245"/>
      <ns0:c r="O694" s="245"/>
      <ns0:c r="P694" s="245"/>
      <ns0:c r="Q694" s="245"/>
      <ns0:c r="R694" s="245"/>
      <ns0:c r="S694" s="245"/>
      <ns0:c r="T694" s="245"/>
      <ns0:c r="U694" s="245"/>
      <ns0:c r="V694" s="245"/>
      <ns0:c r="W694" s="245"/>
      <ns0:c r="X694" s="245"/>
      <ns0:c r="Y694" s="245"/>
      <ns0:c r="Z694" s="245"/>
    </ns0:row>
    <ns0:row r="695">
      <ns0:c r="A695" s="245"/>
      <ns0:c r="B695" s="245"/>
      <ns0:c r="C695" s="245"/>
      <ns0:c r="D695" s="245"/>
      <ns0:c r="E695" s="245"/>
      <ns0:c r="F695" s="245"/>
      <ns0:c r="G695" s="245"/>
      <ns0:c r="H695" s="245"/>
      <ns0:c r="I695" s="245"/>
      <ns0:c r="J695" s="245"/>
      <ns0:c r="K695" s="245"/>
      <ns0:c r="L695" s="245"/>
      <ns0:c r="M695" s="245"/>
      <ns0:c r="N695" s="245"/>
      <ns0:c r="O695" s="245"/>
      <ns0:c r="P695" s="245"/>
      <ns0:c r="Q695" s="245"/>
      <ns0:c r="R695" s="245"/>
      <ns0:c r="S695" s="245"/>
      <ns0:c r="T695" s="245"/>
      <ns0:c r="U695" s="245"/>
      <ns0:c r="V695" s="245"/>
      <ns0:c r="W695" s="245"/>
      <ns0:c r="X695" s="245"/>
      <ns0:c r="Y695" s="245"/>
      <ns0:c r="Z695" s="245"/>
    </ns0:row>
    <ns0:row r="696">
      <ns0:c r="A696" s="245"/>
      <ns0:c r="B696" s="245"/>
      <ns0:c r="C696" s="245"/>
      <ns0:c r="D696" s="245"/>
      <ns0:c r="E696" s="245"/>
      <ns0:c r="F696" s="245"/>
      <ns0:c r="G696" s="245"/>
      <ns0:c r="H696" s="245"/>
      <ns0:c r="I696" s="245"/>
      <ns0:c r="J696" s="245"/>
      <ns0:c r="K696" s="245"/>
      <ns0:c r="L696" s="245"/>
      <ns0:c r="M696" s="245"/>
      <ns0:c r="N696" s="245"/>
      <ns0:c r="O696" s="245"/>
      <ns0:c r="P696" s="245"/>
      <ns0:c r="Q696" s="245"/>
      <ns0:c r="R696" s="245"/>
      <ns0:c r="S696" s="245"/>
      <ns0:c r="T696" s="245"/>
      <ns0:c r="U696" s="245"/>
      <ns0:c r="V696" s="245"/>
      <ns0:c r="W696" s="245"/>
      <ns0:c r="X696" s="245"/>
      <ns0:c r="Y696" s="245"/>
      <ns0:c r="Z696" s="245"/>
    </ns0:row>
    <ns0:row r="697">
      <ns0:c r="A697" s="245"/>
      <ns0:c r="B697" s="245"/>
      <ns0:c r="C697" s="245"/>
      <ns0:c r="D697" s="245"/>
      <ns0:c r="E697" s="245"/>
      <ns0:c r="F697" s="245"/>
      <ns0:c r="G697" s="245"/>
      <ns0:c r="H697" s="245"/>
      <ns0:c r="I697" s="245"/>
      <ns0:c r="J697" s="245"/>
      <ns0:c r="K697" s="245"/>
      <ns0:c r="L697" s="245"/>
      <ns0:c r="M697" s="245"/>
      <ns0:c r="N697" s="245"/>
      <ns0:c r="O697" s="245"/>
      <ns0:c r="P697" s="245"/>
      <ns0:c r="Q697" s="245"/>
      <ns0:c r="R697" s="245"/>
      <ns0:c r="S697" s="245"/>
      <ns0:c r="T697" s="245"/>
      <ns0:c r="U697" s="245"/>
      <ns0:c r="V697" s="245"/>
      <ns0:c r="W697" s="245"/>
      <ns0:c r="X697" s="245"/>
      <ns0:c r="Y697" s="245"/>
      <ns0:c r="Z697" s="245"/>
    </ns0:row>
    <ns0:row r="698">
      <ns0:c r="A698" s="245"/>
      <ns0:c r="B698" s="245"/>
      <ns0:c r="C698" s="245"/>
      <ns0:c r="D698" s="245"/>
      <ns0:c r="E698" s="245"/>
      <ns0:c r="F698" s="245"/>
      <ns0:c r="G698" s="245"/>
      <ns0:c r="H698" s="245"/>
      <ns0:c r="I698" s="245"/>
      <ns0:c r="J698" s="245"/>
      <ns0:c r="K698" s="245"/>
      <ns0:c r="L698" s="245"/>
      <ns0:c r="M698" s="245"/>
      <ns0:c r="N698" s="245"/>
      <ns0:c r="O698" s="245"/>
      <ns0:c r="P698" s="245"/>
      <ns0:c r="Q698" s="245"/>
      <ns0:c r="R698" s="245"/>
      <ns0:c r="S698" s="245"/>
      <ns0:c r="T698" s="245"/>
      <ns0:c r="U698" s="245"/>
      <ns0:c r="V698" s="245"/>
      <ns0:c r="W698" s="245"/>
      <ns0:c r="X698" s="245"/>
      <ns0:c r="Y698" s="245"/>
      <ns0:c r="Z698" s="245"/>
    </ns0:row>
    <ns0:row r="699">
      <ns0:c r="A699" s="245"/>
      <ns0:c r="B699" s="245"/>
      <ns0:c r="C699" s="245"/>
      <ns0:c r="D699" s="245"/>
      <ns0:c r="E699" s="245"/>
      <ns0:c r="F699" s="245"/>
      <ns0:c r="G699" s="245"/>
      <ns0:c r="H699" s="245"/>
      <ns0:c r="I699" s="245"/>
      <ns0:c r="J699" s="245"/>
      <ns0:c r="K699" s="245"/>
      <ns0:c r="L699" s="245"/>
      <ns0:c r="M699" s="245"/>
      <ns0:c r="N699" s="245"/>
      <ns0:c r="O699" s="245"/>
      <ns0:c r="P699" s="245"/>
      <ns0:c r="Q699" s="245"/>
      <ns0:c r="R699" s="245"/>
      <ns0:c r="S699" s="245"/>
      <ns0:c r="T699" s="245"/>
      <ns0:c r="U699" s="245"/>
      <ns0:c r="V699" s="245"/>
      <ns0:c r="W699" s="245"/>
      <ns0:c r="X699" s="245"/>
      <ns0:c r="Y699" s="245"/>
      <ns0:c r="Z699" s="245"/>
    </ns0:row>
    <ns0:row r="700">
      <ns0:c r="A700" s="245"/>
      <ns0:c r="B700" s="245"/>
      <ns0:c r="C700" s="245"/>
      <ns0:c r="D700" s="245"/>
      <ns0:c r="E700" s="245"/>
      <ns0:c r="F700" s="245"/>
      <ns0:c r="G700" s="245"/>
      <ns0:c r="H700" s="245"/>
      <ns0:c r="I700" s="245"/>
      <ns0:c r="J700" s="245"/>
      <ns0:c r="K700" s="245"/>
      <ns0:c r="L700" s="245"/>
      <ns0:c r="M700" s="245"/>
      <ns0:c r="N700" s="245"/>
      <ns0:c r="O700" s="245"/>
      <ns0:c r="P700" s="245"/>
      <ns0:c r="Q700" s="245"/>
      <ns0:c r="R700" s="245"/>
      <ns0:c r="S700" s="245"/>
      <ns0:c r="T700" s="245"/>
      <ns0:c r="U700" s="245"/>
      <ns0:c r="V700" s="245"/>
      <ns0:c r="W700" s="245"/>
      <ns0:c r="X700" s="245"/>
      <ns0:c r="Y700" s="245"/>
      <ns0:c r="Z700" s="245"/>
    </ns0:row>
    <ns0:row r="701">
      <ns0:c r="A701" s="245"/>
      <ns0:c r="B701" s="245"/>
      <ns0:c r="C701" s="245"/>
      <ns0:c r="D701" s="245"/>
      <ns0:c r="E701" s="245"/>
      <ns0:c r="F701" s="245"/>
      <ns0:c r="G701" s="245"/>
      <ns0:c r="H701" s="245"/>
      <ns0:c r="I701" s="245"/>
      <ns0:c r="J701" s="245"/>
      <ns0:c r="K701" s="245"/>
      <ns0:c r="L701" s="245"/>
      <ns0:c r="M701" s="245"/>
      <ns0:c r="N701" s="245"/>
      <ns0:c r="O701" s="245"/>
      <ns0:c r="P701" s="245"/>
      <ns0:c r="Q701" s="245"/>
      <ns0:c r="R701" s="245"/>
      <ns0:c r="S701" s="245"/>
      <ns0:c r="T701" s="245"/>
      <ns0:c r="U701" s="245"/>
      <ns0:c r="V701" s="245"/>
      <ns0:c r="W701" s="245"/>
      <ns0:c r="X701" s="245"/>
      <ns0:c r="Y701" s="245"/>
      <ns0:c r="Z701" s="245"/>
    </ns0:row>
    <ns0:row r="702">
      <ns0:c r="A702" s="245"/>
      <ns0:c r="B702" s="245"/>
      <ns0:c r="C702" s="245"/>
      <ns0:c r="D702" s="245"/>
      <ns0:c r="E702" s="245"/>
      <ns0:c r="F702" s="245"/>
      <ns0:c r="G702" s="245"/>
      <ns0:c r="H702" s="245"/>
      <ns0:c r="I702" s="245"/>
      <ns0:c r="J702" s="245"/>
      <ns0:c r="K702" s="245"/>
      <ns0:c r="L702" s="245"/>
      <ns0:c r="M702" s="245"/>
      <ns0:c r="N702" s="245"/>
      <ns0:c r="O702" s="245"/>
      <ns0:c r="P702" s="245"/>
      <ns0:c r="Q702" s="245"/>
      <ns0:c r="R702" s="245"/>
      <ns0:c r="S702" s="245"/>
      <ns0:c r="T702" s="245"/>
      <ns0:c r="U702" s="245"/>
      <ns0:c r="V702" s="245"/>
      <ns0:c r="W702" s="245"/>
      <ns0:c r="X702" s="245"/>
      <ns0:c r="Y702" s="245"/>
      <ns0:c r="Z702" s="245"/>
    </ns0:row>
    <ns0:row r="703">
      <ns0:c r="A703" s="245"/>
      <ns0:c r="B703" s="245"/>
      <ns0:c r="C703" s="245"/>
      <ns0:c r="D703" s="245"/>
      <ns0:c r="E703" s="245"/>
      <ns0:c r="F703" s="245"/>
      <ns0:c r="G703" s="245"/>
      <ns0:c r="H703" s="245"/>
      <ns0:c r="I703" s="245"/>
      <ns0:c r="J703" s="245"/>
      <ns0:c r="K703" s="245"/>
      <ns0:c r="L703" s="245"/>
      <ns0:c r="M703" s="245"/>
      <ns0:c r="N703" s="245"/>
      <ns0:c r="O703" s="245"/>
      <ns0:c r="P703" s="245"/>
      <ns0:c r="Q703" s="245"/>
      <ns0:c r="R703" s="245"/>
      <ns0:c r="S703" s="245"/>
      <ns0:c r="T703" s="245"/>
      <ns0:c r="U703" s="245"/>
      <ns0:c r="V703" s="245"/>
      <ns0:c r="W703" s="245"/>
      <ns0:c r="X703" s="245"/>
      <ns0:c r="Y703" s="245"/>
      <ns0:c r="Z703" s="245"/>
    </ns0:row>
    <ns0:row r="704">
      <ns0:c r="A704" s="245"/>
      <ns0:c r="B704" s="245"/>
      <ns0:c r="C704" s="245"/>
      <ns0:c r="D704" s="245"/>
      <ns0:c r="E704" s="245"/>
      <ns0:c r="F704" s="245"/>
      <ns0:c r="G704" s="245"/>
      <ns0:c r="H704" s="245"/>
      <ns0:c r="I704" s="245"/>
      <ns0:c r="J704" s="245"/>
      <ns0:c r="K704" s="245"/>
      <ns0:c r="L704" s="245"/>
      <ns0:c r="M704" s="245"/>
      <ns0:c r="N704" s="245"/>
      <ns0:c r="O704" s="245"/>
      <ns0:c r="P704" s="245"/>
      <ns0:c r="Q704" s="245"/>
      <ns0:c r="R704" s="245"/>
      <ns0:c r="S704" s="245"/>
      <ns0:c r="T704" s="245"/>
      <ns0:c r="U704" s="245"/>
      <ns0:c r="V704" s="245"/>
      <ns0:c r="W704" s="245"/>
      <ns0:c r="X704" s="245"/>
      <ns0:c r="Y704" s="245"/>
      <ns0:c r="Z704" s="245"/>
    </ns0:row>
    <ns0:row r="705">
      <ns0:c r="A705" s="245"/>
      <ns0:c r="B705" s="245"/>
      <ns0:c r="C705" s="245"/>
      <ns0:c r="D705" s="245"/>
      <ns0:c r="E705" s="245"/>
      <ns0:c r="F705" s="245"/>
      <ns0:c r="G705" s="245"/>
      <ns0:c r="H705" s="245"/>
      <ns0:c r="I705" s="245"/>
      <ns0:c r="J705" s="245"/>
      <ns0:c r="K705" s="245"/>
      <ns0:c r="L705" s="245"/>
      <ns0:c r="M705" s="245"/>
      <ns0:c r="N705" s="245"/>
      <ns0:c r="O705" s="245"/>
      <ns0:c r="P705" s="245"/>
      <ns0:c r="Q705" s="245"/>
      <ns0:c r="R705" s="245"/>
      <ns0:c r="S705" s="245"/>
      <ns0:c r="T705" s="245"/>
      <ns0:c r="U705" s="245"/>
      <ns0:c r="V705" s="245"/>
      <ns0:c r="W705" s="245"/>
      <ns0:c r="X705" s="245"/>
      <ns0:c r="Y705" s="245"/>
      <ns0:c r="Z705" s="245"/>
    </ns0:row>
    <ns0:row r="706">
      <ns0:c r="A706" s="245"/>
      <ns0:c r="B706" s="245"/>
      <ns0:c r="C706" s="245"/>
      <ns0:c r="D706" s="245"/>
      <ns0:c r="E706" s="245"/>
      <ns0:c r="F706" s="245"/>
      <ns0:c r="G706" s="245"/>
      <ns0:c r="H706" s="245"/>
      <ns0:c r="I706" s="245"/>
      <ns0:c r="J706" s="245"/>
      <ns0:c r="K706" s="245"/>
      <ns0:c r="L706" s="245"/>
      <ns0:c r="M706" s="245"/>
      <ns0:c r="N706" s="245"/>
      <ns0:c r="O706" s="245"/>
      <ns0:c r="P706" s="245"/>
      <ns0:c r="Q706" s="245"/>
      <ns0:c r="R706" s="245"/>
      <ns0:c r="S706" s="245"/>
      <ns0:c r="T706" s="245"/>
      <ns0:c r="U706" s="245"/>
      <ns0:c r="V706" s="245"/>
      <ns0:c r="W706" s="245"/>
      <ns0:c r="X706" s="245"/>
      <ns0:c r="Y706" s="245"/>
      <ns0:c r="Z706" s="245"/>
    </ns0:row>
    <ns0:row r="707">
      <ns0:c r="A707" s="245"/>
      <ns0:c r="B707" s="245"/>
      <ns0:c r="C707" s="245"/>
      <ns0:c r="D707" s="245"/>
      <ns0:c r="E707" s="245"/>
      <ns0:c r="F707" s="245"/>
      <ns0:c r="G707" s="245"/>
      <ns0:c r="H707" s="245"/>
      <ns0:c r="I707" s="245"/>
      <ns0:c r="J707" s="245"/>
      <ns0:c r="K707" s="245"/>
      <ns0:c r="L707" s="245"/>
      <ns0:c r="M707" s="245"/>
      <ns0:c r="N707" s="245"/>
      <ns0:c r="O707" s="245"/>
      <ns0:c r="P707" s="245"/>
      <ns0:c r="Q707" s="245"/>
      <ns0:c r="R707" s="245"/>
      <ns0:c r="S707" s="245"/>
      <ns0:c r="T707" s="245"/>
      <ns0:c r="U707" s="245"/>
      <ns0:c r="V707" s="245"/>
      <ns0:c r="W707" s="245"/>
      <ns0:c r="X707" s="245"/>
      <ns0:c r="Y707" s="245"/>
      <ns0:c r="Z707" s="245"/>
    </ns0:row>
    <ns0:row r="708">
      <ns0:c r="A708" s="245"/>
      <ns0:c r="B708" s="245"/>
      <ns0:c r="C708" s="245"/>
      <ns0:c r="D708" s="245"/>
      <ns0:c r="E708" s="245"/>
      <ns0:c r="F708" s="245"/>
      <ns0:c r="G708" s="245"/>
      <ns0:c r="H708" s="245"/>
      <ns0:c r="I708" s="245"/>
      <ns0:c r="J708" s="245"/>
      <ns0:c r="K708" s="245"/>
      <ns0:c r="L708" s="245"/>
      <ns0:c r="M708" s="245"/>
      <ns0:c r="N708" s="245"/>
      <ns0:c r="O708" s="245"/>
      <ns0:c r="P708" s="245"/>
      <ns0:c r="Q708" s="245"/>
      <ns0:c r="R708" s="245"/>
      <ns0:c r="S708" s="245"/>
      <ns0:c r="T708" s="245"/>
      <ns0:c r="U708" s="245"/>
      <ns0:c r="V708" s="245"/>
      <ns0:c r="W708" s="245"/>
      <ns0:c r="X708" s="245"/>
      <ns0:c r="Y708" s="245"/>
      <ns0:c r="Z708" s="245"/>
    </ns0:row>
    <ns0:row r="709">
      <ns0:c r="A709" s="245"/>
      <ns0:c r="B709" s="245"/>
      <ns0:c r="C709" s="245"/>
      <ns0:c r="D709" s="245"/>
      <ns0:c r="E709" s="245"/>
      <ns0:c r="F709" s="245"/>
      <ns0:c r="G709" s="245"/>
      <ns0:c r="H709" s="245"/>
      <ns0:c r="I709" s="245"/>
      <ns0:c r="J709" s="245"/>
      <ns0:c r="K709" s="245"/>
      <ns0:c r="L709" s="245"/>
      <ns0:c r="M709" s="245"/>
      <ns0:c r="N709" s="245"/>
      <ns0:c r="O709" s="245"/>
      <ns0:c r="P709" s="245"/>
      <ns0:c r="Q709" s="245"/>
      <ns0:c r="R709" s="245"/>
      <ns0:c r="S709" s="245"/>
      <ns0:c r="T709" s="245"/>
      <ns0:c r="U709" s="245"/>
      <ns0:c r="V709" s="245"/>
      <ns0:c r="W709" s="245"/>
      <ns0:c r="X709" s="245"/>
      <ns0:c r="Y709" s="245"/>
      <ns0:c r="Z709" s="245"/>
    </ns0:row>
    <ns0:row r="710">
      <ns0:c r="A710" s="245"/>
      <ns0:c r="B710" s="245"/>
      <ns0:c r="C710" s="245"/>
      <ns0:c r="D710" s="245"/>
      <ns0:c r="E710" s="245"/>
      <ns0:c r="F710" s="245"/>
      <ns0:c r="G710" s="245"/>
      <ns0:c r="H710" s="245"/>
      <ns0:c r="I710" s="245"/>
      <ns0:c r="J710" s="245"/>
      <ns0:c r="K710" s="245"/>
      <ns0:c r="L710" s="245"/>
      <ns0:c r="M710" s="245"/>
      <ns0:c r="N710" s="245"/>
      <ns0:c r="O710" s="245"/>
      <ns0:c r="P710" s="245"/>
      <ns0:c r="Q710" s="245"/>
      <ns0:c r="R710" s="245"/>
      <ns0:c r="S710" s="245"/>
      <ns0:c r="T710" s="245"/>
      <ns0:c r="U710" s="245"/>
      <ns0:c r="V710" s="245"/>
      <ns0:c r="W710" s="245"/>
      <ns0:c r="X710" s="245"/>
      <ns0:c r="Y710" s="245"/>
      <ns0:c r="Z710" s="245"/>
    </ns0:row>
    <ns0:row r="711">
      <ns0:c r="A711" s="245"/>
      <ns0:c r="B711" s="245"/>
      <ns0:c r="C711" s="245"/>
      <ns0:c r="D711" s="245"/>
      <ns0:c r="E711" s="245"/>
      <ns0:c r="F711" s="245"/>
      <ns0:c r="G711" s="245"/>
      <ns0:c r="H711" s="245"/>
      <ns0:c r="I711" s="245"/>
      <ns0:c r="J711" s="245"/>
      <ns0:c r="K711" s="245"/>
      <ns0:c r="L711" s="245"/>
      <ns0:c r="M711" s="245"/>
      <ns0:c r="N711" s="245"/>
      <ns0:c r="O711" s="245"/>
      <ns0:c r="P711" s="245"/>
      <ns0:c r="Q711" s="245"/>
      <ns0:c r="R711" s="245"/>
      <ns0:c r="S711" s="245"/>
      <ns0:c r="T711" s="245"/>
      <ns0:c r="U711" s="245"/>
      <ns0:c r="V711" s="245"/>
      <ns0:c r="W711" s="245"/>
      <ns0:c r="X711" s="245"/>
      <ns0:c r="Y711" s="245"/>
      <ns0:c r="Z711" s="245"/>
    </ns0:row>
    <ns0:row r="712">
      <ns0:c r="A712" s="245"/>
      <ns0:c r="B712" s="245"/>
      <ns0:c r="C712" s="245"/>
      <ns0:c r="D712" s="245"/>
      <ns0:c r="E712" s="245"/>
      <ns0:c r="F712" s="245"/>
      <ns0:c r="G712" s="245"/>
      <ns0:c r="H712" s="245"/>
      <ns0:c r="I712" s="245"/>
      <ns0:c r="J712" s="245"/>
      <ns0:c r="K712" s="245"/>
      <ns0:c r="L712" s="245"/>
      <ns0:c r="M712" s="245"/>
      <ns0:c r="N712" s="245"/>
      <ns0:c r="O712" s="245"/>
      <ns0:c r="P712" s="245"/>
      <ns0:c r="Q712" s="245"/>
      <ns0:c r="R712" s="245"/>
      <ns0:c r="S712" s="245"/>
      <ns0:c r="T712" s="245"/>
      <ns0:c r="U712" s="245"/>
      <ns0:c r="V712" s="245"/>
      <ns0:c r="W712" s="245"/>
      <ns0:c r="X712" s="245"/>
      <ns0:c r="Y712" s="245"/>
      <ns0:c r="Z712" s="245"/>
    </ns0:row>
    <ns0:row r="713">
      <ns0:c r="A713" s="245"/>
      <ns0:c r="B713" s="245"/>
      <ns0:c r="C713" s="245"/>
      <ns0:c r="D713" s="245"/>
      <ns0:c r="E713" s="245"/>
      <ns0:c r="F713" s="245"/>
      <ns0:c r="G713" s="245"/>
      <ns0:c r="H713" s="245"/>
      <ns0:c r="I713" s="245"/>
      <ns0:c r="J713" s="245"/>
      <ns0:c r="K713" s="245"/>
      <ns0:c r="L713" s="245"/>
      <ns0:c r="M713" s="245"/>
      <ns0:c r="N713" s="245"/>
      <ns0:c r="O713" s="245"/>
      <ns0:c r="P713" s="245"/>
      <ns0:c r="Q713" s="245"/>
      <ns0:c r="R713" s="245"/>
      <ns0:c r="S713" s="245"/>
      <ns0:c r="T713" s="245"/>
      <ns0:c r="U713" s="245"/>
      <ns0:c r="V713" s="245"/>
      <ns0:c r="W713" s="245"/>
      <ns0:c r="X713" s="245"/>
      <ns0:c r="Y713" s="245"/>
      <ns0:c r="Z713" s="245"/>
    </ns0:row>
    <ns0:row r="714">
      <ns0:c r="A714" s="245"/>
      <ns0:c r="B714" s="245"/>
      <ns0:c r="C714" s="245"/>
      <ns0:c r="D714" s="245"/>
      <ns0:c r="E714" s="245"/>
      <ns0:c r="F714" s="245"/>
      <ns0:c r="G714" s="245"/>
      <ns0:c r="H714" s="245"/>
      <ns0:c r="I714" s="245"/>
      <ns0:c r="J714" s="245"/>
      <ns0:c r="K714" s="245"/>
      <ns0:c r="L714" s="245"/>
      <ns0:c r="M714" s="245"/>
      <ns0:c r="N714" s="245"/>
      <ns0:c r="O714" s="245"/>
      <ns0:c r="P714" s="245"/>
      <ns0:c r="Q714" s="245"/>
      <ns0:c r="R714" s="245"/>
      <ns0:c r="S714" s="245"/>
      <ns0:c r="T714" s="245"/>
      <ns0:c r="U714" s="245"/>
      <ns0:c r="V714" s="245"/>
      <ns0:c r="W714" s="245"/>
      <ns0:c r="X714" s="245"/>
      <ns0:c r="Y714" s="245"/>
      <ns0:c r="Z714" s="245"/>
    </ns0:row>
    <ns0:row r="715">
      <ns0:c r="A715" s="245"/>
      <ns0:c r="B715" s="245"/>
      <ns0:c r="C715" s="245"/>
      <ns0:c r="D715" s="245"/>
      <ns0:c r="E715" s="245"/>
      <ns0:c r="F715" s="245"/>
      <ns0:c r="G715" s="245"/>
      <ns0:c r="H715" s="245"/>
      <ns0:c r="I715" s="245"/>
      <ns0:c r="J715" s="245"/>
      <ns0:c r="K715" s="245"/>
      <ns0:c r="L715" s="245"/>
      <ns0:c r="M715" s="245"/>
      <ns0:c r="N715" s="245"/>
      <ns0:c r="O715" s="245"/>
      <ns0:c r="P715" s="245"/>
      <ns0:c r="Q715" s="245"/>
      <ns0:c r="R715" s="245"/>
      <ns0:c r="S715" s="245"/>
      <ns0:c r="T715" s="245"/>
      <ns0:c r="U715" s="245"/>
      <ns0:c r="V715" s="245"/>
      <ns0:c r="W715" s="245"/>
      <ns0:c r="X715" s="245"/>
      <ns0:c r="Y715" s="245"/>
      <ns0:c r="Z715" s="245"/>
    </ns0:row>
    <ns0:row r="716">
      <ns0:c r="A716" s="245"/>
      <ns0:c r="B716" s="245"/>
      <ns0:c r="C716" s="245"/>
      <ns0:c r="D716" s="245"/>
      <ns0:c r="E716" s="245"/>
      <ns0:c r="F716" s="245"/>
      <ns0:c r="G716" s="245"/>
      <ns0:c r="H716" s="245"/>
      <ns0:c r="I716" s="245"/>
      <ns0:c r="J716" s="245"/>
      <ns0:c r="K716" s="245"/>
      <ns0:c r="L716" s="245"/>
      <ns0:c r="M716" s="245"/>
      <ns0:c r="N716" s="245"/>
      <ns0:c r="O716" s="245"/>
      <ns0:c r="P716" s="245"/>
      <ns0:c r="Q716" s="245"/>
      <ns0:c r="R716" s="245"/>
      <ns0:c r="S716" s="245"/>
      <ns0:c r="T716" s="245"/>
      <ns0:c r="U716" s="245"/>
      <ns0:c r="V716" s="245"/>
      <ns0:c r="W716" s="245"/>
      <ns0:c r="X716" s="245"/>
      <ns0:c r="Y716" s="245"/>
      <ns0:c r="Z716" s="245"/>
    </ns0:row>
    <ns0:row r="717">
      <ns0:c r="A717" s="245"/>
      <ns0:c r="B717" s="245"/>
      <ns0:c r="C717" s="245"/>
      <ns0:c r="D717" s="245"/>
      <ns0:c r="E717" s="245"/>
      <ns0:c r="F717" s="245"/>
      <ns0:c r="G717" s="245"/>
      <ns0:c r="H717" s="245"/>
      <ns0:c r="I717" s="245"/>
      <ns0:c r="J717" s="245"/>
      <ns0:c r="K717" s="245"/>
      <ns0:c r="L717" s="245"/>
      <ns0:c r="M717" s="245"/>
      <ns0:c r="N717" s="245"/>
      <ns0:c r="O717" s="245"/>
      <ns0:c r="P717" s="245"/>
      <ns0:c r="Q717" s="245"/>
      <ns0:c r="R717" s="245"/>
      <ns0:c r="S717" s="245"/>
      <ns0:c r="T717" s="245"/>
      <ns0:c r="U717" s="245"/>
      <ns0:c r="V717" s="245"/>
      <ns0:c r="W717" s="245"/>
      <ns0:c r="X717" s="245"/>
      <ns0:c r="Y717" s="245"/>
      <ns0:c r="Z717" s="245"/>
    </ns0:row>
    <ns0:row r="718">
      <ns0:c r="A718" s="245"/>
      <ns0:c r="B718" s="245"/>
      <ns0:c r="C718" s="245"/>
      <ns0:c r="D718" s="245"/>
      <ns0:c r="E718" s="245"/>
      <ns0:c r="F718" s="245"/>
      <ns0:c r="G718" s="245"/>
      <ns0:c r="H718" s="245"/>
      <ns0:c r="I718" s="245"/>
      <ns0:c r="J718" s="245"/>
      <ns0:c r="K718" s="245"/>
      <ns0:c r="L718" s="245"/>
      <ns0:c r="M718" s="245"/>
      <ns0:c r="N718" s="245"/>
      <ns0:c r="O718" s="245"/>
      <ns0:c r="P718" s="245"/>
      <ns0:c r="Q718" s="245"/>
      <ns0:c r="R718" s="245"/>
      <ns0:c r="S718" s="245"/>
      <ns0:c r="T718" s="245"/>
      <ns0:c r="U718" s="245"/>
      <ns0:c r="V718" s="245"/>
      <ns0:c r="W718" s="245"/>
      <ns0:c r="X718" s="245"/>
      <ns0:c r="Y718" s="245"/>
      <ns0:c r="Z718" s="245"/>
    </ns0:row>
    <ns0:row r="719">
      <ns0:c r="A719" s="245"/>
      <ns0:c r="B719" s="245"/>
      <ns0:c r="C719" s="245"/>
      <ns0:c r="D719" s="245"/>
      <ns0:c r="E719" s="245"/>
      <ns0:c r="F719" s="245"/>
      <ns0:c r="G719" s="245"/>
      <ns0:c r="H719" s="245"/>
      <ns0:c r="I719" s="245"/>
      <ns0:c r="J719" s="245"/>
      <ns0:c r="K719" s="245"/>
      <ns0:c r="L719" s="245"/>
      <ns0:c r="M719" s="245"/>
      <ns0:c r="N719" s="245"/>
      <ns0:c r="O719" s="245"/>
      <ns0:c r="P719" s="245"/>
      <ns0:c r="Q719" s="245"/>
      <ns0:c r="R719" s="245"/>
      <ns0:c r="S719" s="245"/>
      <ns0:c r="T719" s="245"/>
      <ns0:c r="U719" s="245"/>
      <ns0:c r="V719" s="245"/>
      <ns0:c r="W719" s="245"/>
      <ns0:c r="X719" s="245"/>
      <ns0:c r="Y719" s="245"/>
      <ns0:c r="Z719" s="245"/>
    </ns0:row>
    <ns0:row r="720">
      <ns0:c r="A720" s="245"/>
      <ns0:c r="B720" s="245"/>
      <ns0:c r="C720" s="245"/>
      <ns0:c r="D720" s="245"/>
      <ns0:c r="E720" s="245"/>
      <ns0:c r="F720" s="245"/>
      <ns0:c r="G720" s="245"/>
      <ns0:c r="H720" s="245"/>
      <ns0:c r="I720" s="245"/>
      <ns0:c r="J720" s="245"/>
      <ns0:c r="K720" s="245"/>
      <ns0:c r="L720" s="245"/>
      <ns0:c r="M720" s="245"/>
      <ns0:c r="N720" s="245"/>
      <ns0:c r="O720" s="245"/>
      <ns0:c r="P720" s="245"/>
      <ns0:c r="Q720" s="245"/>
      <ns0:c r="R720" s="245"/>
      <ns0:c r="S720" s="245"/>
      <ns0:c r="T720" s="245"/>
      <ns0:c r="U720" s="245"/>
      <ns0:c r="V720" s="245"/>
      <ns0:c r="W720" s="245"/>
      <ns0:c r="X720" s="245"/>
      <ns0:c r="Y720" s="245"/>
      <ns0:c r="Z720" s="245"/>
    </ns0:row>
    <ns0:row r="721">
      <ns0:c r="A721" s="245"/>
      <ns0:c r="B721" s="245"/>
      <ns0:c r="C721" s="245"/>
      <ns0:c r="D721" s="245"/>
      <ns0:c r="E721" s="245"/>
      <ns0:c r="F721" s="245"/>
      <ns0:c r="G721" s="245"/>
      <ns0:c r="H721" s="245"/>
      <ns0:c r="I721" s="245"/>
      <ns0:c r="J721" s="245"/>
      <ns0:c r="K721" s="245"/>
      <ns0:c r="L721" s="245"/>
      <ns0:c r="M721" s="245"/>
      <ns0:c r="N721" s="245"/>
      <ns0:c r="O721" s="245"/>
      <ns0:c r="P721" s="245"/>
      <ns0:c r="Q721" s="245"/>
      <ns0:c r="R721" s="245"/>
      <ns0:c r="S721" s="245"/>
      <ns0:c r="T721" s="245"/>
      <ns0:c r="U721" s="245"/>
      <ns0:c r="V721" s="245"/>
      <ns0:c r="W721" s="245"/>
      <ns0:c r="X721" s="245"/>
      <ns0:c r="Y721" s="245"/>
      <ns0:c r="Z721" s="245"/>
    </ns0:row>
    <ns0:row r="722">
      <ns0:c r="A722" s="245"/>
      <ns0:c r="B722" s="245"/>
      <ns0:c r="C722" s="245"/>
      <ns0:c r="D722" s="245"/>
      <ns0:c r="E722" s="245"/>
      <ns0:c r="F722" s="245"/>
      <ns0:c r="G722" s="245"/>
      <ns0:c r="H722" s="245"/>
      <ns0:c r="I722" s="245"/>
      <ns0:c r="J722" s="245"/>
      <ns0:c r="K722" s="245"/>
      <ns0:c r="L722" s="245"/>
      <ns0:c r="M722" s="245"/>
      <ns0:c r="N722" s="245"/>
      <ns0:c r="O722" s="245"/>
      <ns0:c r="P722" s="245"/>
      <ns0:c r="Q722" s="245"/>
      <ns0:c r="R722" s="245"/>
      <ns0:c r="S722" s="245"/>
      <ns0:c r="T722" s="245"/>
      <ns0:c r="U722" s="245"/>
      <ns0:c r="V722" s="245"/>
      <ns0:c r="W722" s="245"/>
      <ns0:c r="X722" s="245"/>
      <ns0:c r="Y722" s="245"/>
      <ns0:c r="Z722" s="245"/>
    </ns0:row>
    <ns0:row r="723">
      <ns0:c r="A723" s="245"/>
      <ns0:c r="B723" s="245"/>
      <ns0:c r="C723" s="245"/>
      <ns0:c r="D723" s="245"/>
      <ns0:c r="E723" s="245"/>
      <ns0:c r="F723" s="245"/>
      <ns0:c r="G723" s="245"/>
      <ns0:c r="H723" s="245"/>
      <ns0:c r="I723" s="245"/>
      <ns0:c r="J723" s="245"/>
      <ns0:c r="K723" s="245"/>
      <ns0:c r="L723" s="245"/>
      <ns0:c r="M723" s="245"/>
      <ns0:c r="N723" s="245"/>
      <ns0:c r="O723" s="245"/>
      <ns0:c r="P723" s="245"/>
      <ns0:c r="Q723" s="245"/>
      <ns0:c r="R723" s="245"/>
      <ns0:c r="S723" s="245"/>
      <ns0:c r="T723" s="245"/>
      <ns0:c r="U723" s="245"/>
      <ns0:c r="V723" s="245"/>
      <ns0:c r="W723" s="245"/>
      <ns0:c r="X723" s="245"/>
      <ns0:c r="Y723" s="245"/>
      <ns0:c r="Z723" s="245"/>
    </ns0:row>
    <ns0:row r="724">
      <ns0:c r="A724" s="245"/>
      <ns0:c r="B724" s="245"/>
      <ns0:c r="C724" s="245"/>
      <ns0:c r="D724" s="245"/>
      <ns0:c r="E724" s="245"/>
      <ns0:c r="F724" s="245"/>
      <ns0:c r="G724" s="245"/>
      <ns0:c r="H724" s="245"/>
      <ns0:c r="I724" s="245"/>
      <ns0:c r="J724" s="245"/>
      <ns0:c r="K724" s="245"/>
      <ns0:c r="L724" s="245"/>
      <ns0:c r="M724" s="245"/>
      <ns0:c r="N724" s="245"/>
      <ns0:c r="O724" s="245"/>
      <ns0:c r="P724" s="245"/>
      <ns0:c r="Q724" s="245"/>
      <ns0:c r="R724" s="245"/>
      <ns0:c r="S724" s="245"/>
      <ns0:c r="T724" s="245"/>
      <ns0:c r="U724" s="245"/>
      <ns0:c r="V724" s="245"/>
      <ns0:c r="W724" s="245"/>
      <ns0:c r="X724" s="245"/>
      <ns0:c r="Y724" s="245"/>
      <ns0:c r="Z724" s="245"/>
    </ns0:row>
    <ns0:row r="725">
      <ns0:c r="A725" s="245"/>
      <ns0:c r="B725" s="245"/>
      <ns0:c r="C725" s="245"/>
      <ns0:c r="D725" s="245"/>
      <ns0:c r="E725" s="245"/>
      <ns0:c r="F725" s="245"/>
      <ns0:c r="G725" s="245"/>
      <ns0:c r="H725" s="245"/>
      <ns0:c r="I725" s="245"/>
      <ns0:c r="J725" s="245"/>
      <ns0:c r="K725" s="245"/>
      <ns0:c r="L725" s="245"/>
      <ns0:c r="M725" s="245"/>
      <ns0:c r="N725" s="245"/>
      <ns0:c r="O725" s="245"/>
      <ns0:c r="P725" s="245"/>
      <ns0:c r="Q725" s="245"/>
      <ns0:c r="R725" s="245"/>
      <ns0:c r="S725" s="245"/>
      <ns0:c r="T725" s="245"/>
      <ns0:c r="U725" s="245"/>
      <ns0:c r="V725" s="245"/>
      <ns0:c r="W725" s="245"/>
      <ns0:c r="X725" s="245"/>
      <ns0:c r="Y725" s="245"/>
      <ns0:c r="Z725" s="245"/>
    </ns0:row>
    <ns0:row r="726">
      <ns0:c r="A726" s="245"/>
      <ns0:c r="B726" s="245"/>
      <ns0:c r="C726" s="245"/>
      <ns0:c r="D726" s="245"/>
      <ns0:c r="E726" s="245"/>
      <ns0:c r="F726" s="245"/>
      <ns0:c r="G726" s="245"/>
      <ns0:c r="H726" s="245"/>
      <ns0:c r="I726" s="245"/>
      <ns0:c r="J726" s="245"/>
      <ns0:c r="K726" s="245"/>
      <ns0:c r="L726" s="245"/>
      <ns0:c r="M726" s="245"/>
      <ns0:c r="N726" s="245"/>
      <ns0:c r="O726" s="245"/>
      <ns0:c r="P726" s="245"/>
      <ns0:c r="Q726" s="245"/>
      <ns0:c r="R726" s="245"/>
      <ns0:c r="S726" s="245"/>
      <ns0:c r="T726" s="245"/>
      <ns0:c r="U726" s="245"/>
      <ns0:c r="V726" s="245"/>
      <ns0:c r="W726" s="245"/>
      <ns0:c r="X726" s="245"/>
      <ns0:c r="Y726" s="245"/>
      <ns0:c r="Z726" s="245"/>
    </ns0:row>
    <ns0:row r="727">
      <ns0:c r="A727" s="245"/>
      <ns0:c r="B727" s="245"/>
      <ns0:c r="C727" s="245"/>
      <ns0:c r="D727" s="245"/>
      <ns0:c r="E727" s="245"/>
      <ns0:c r="F727" s="245"/>
      <ns0:c r="G727" s="245"/>
      <ns0:c r="H727" s="245"/>
      <ns0:c r="I727" s="245"/>
      <ns0:c r="J727" s="245"/>
      <ns0:c r="K727" s="245"/>
      <ns0:c r="L727" s="245"/>
      <ns0:c r="M727" s="245"/>
      <ns0:c r="N727" s="245"/>
      <ns0:c r="O727" s="245"/>
      <ns0:c r="P727" s="245"/>
      <ns0:c r="Q727" s="245"/>
      <ns0:c r="R727" s="245"/>
      <ns0:c r="S727" s="245"/>
      <ns0:c r="T727" s="245"/>
      <ns0:c r="U727" s="245"/>
      <ns0:c r="V727" s="245"/>
      <ns0:c r="W727" s="245"/>
      <ns0:c r="X727" s="245"/>
      <ns0:c r="Y727" s="245"/>
      <ns0:c r="Z727" s="245"/>
    </ns0:row>
    <ns0:row r="728">
      <ns0:c r="A728" s="245"/>
      <ns0:c r="B728" s="245"/>
      <ns0:c r="C728" s="245"/>
      <ns0:c r="D728" s="245"/>
      <ns0:c r="E728" s="245"/>
      <ns0:c r="F728" s="245"/>
      <ns0:c r="G728" s="245"/>
      <ns0:c r="H728" s="245"/>
      <ns0:c r="I728" s="245"/>
      <ns0:c r="J728" s="245"/>
      <ns0:c r="K728" s="245"/>
      <ns0:c r="L728" s="245"/>
      <ns0:c r="M728" s="245"/>
      <ns0:c r="N728" s="245"/>
      <ns0:c r="O728" s="245"/>
      <ns0:c r="P728" s="245"/>
      <ns0:c r="Q728" s="245"/>
      <ns0:c r="R728" s="245"/>
      <ns0:c r="S728" s="245"/>
      <ns0:c r="T728" s="245"/>
      <ns0:c r="U728" s="245"/>
      <ns0:c r="V728" s="245"/>
      <ns0:c r="W728" s="245"/>
      <ns0:c r="X728" s="245"/>
      <ns0:c r="Y728" s="245"/>
      <ns0:c r="Z728" s="245"/>
    </ns0:row>
    <ns0:row r="729">
      <ns0:c r="A729" s="245"/>
      <ns0:c r="B729" s="245"/>
      <ns0:c r="C729" s="245"/>
      <ns0:c r="D729" s="245"/>
      <ns0:c r="E729" s="245"/>
      <ns0:c r="F729" s="245"/>
      <ns0:c r="G729" s="245"/>
      <ns0:c r="H729" s="245"/>
      <ns0:c r="I729" s="245"/>
      <ns0:c r="J729" s="245"/>
      <ns0:c r="K729" s="245"/>
      <ns0:c r="L729" s="245"/>
      <ns0:c r="M729" s="245"/>
      <ns0:c r="N729" s="245"/>
      <ns0:c r="O729" s="245"/>
      <ns0:c r="P729" s="245"/>
      <ns0:c r="Q729" s="245"/>
      <ns0:c r="R729" s="245"/>
      <ns0:c r="S729" s="245"/>
      <ns0:c r="T729" s="245"/>
      <ns0:c r="U729" s="245"/>
      <ns0:c r="V729" s="245"/>
      <ns0:c r="W729" s="245"/>
      <ns0:c r="X729" s="245"/>
      <ns0:c r="Y729" s="245"/>
      <ns0:c r="Z729" s="245"/>
    </ns0:row>
    <ns0:row r="730">
      <ns0:c r="A730" s="245"/>
      <ns0:c r="B730" s="245"/>
      <ns0:c r="C730" s="245"/>
      <ns0:c r="D730" s="245"/>
      <ns0:c r="E730" s="245"/>
      <ns0:c r="F730" s="245"/>
      <ns0:c r="G730" s="245"/>
      <ns0:c r="H730" s="245"/>
      <ns0:c r="I730" s="245"/>
      <ns0:c r="J730" s="245"/>
      <ns0:c r="K730" s="245"/>
      <ns0:c r="L730" s="245"/>
      <ns0:c r="M730" s="245"/>
      <ns0:c r="N730" s="245"/>
      <ns0:c r="O730" s="245"/>
      <ns0:c r="P730" s="245"/>
      <ns0:c r="Q730" s="245"/>
      <ns0:c r="R730" s="245"/>
      <ns0:c r="S730" s="245"/>
      <ns0:c r="T730" s="245"/>
      <ns0:c r="U730" s="245"/>
      <ns0:c r="V730" s="245"/>
      <ns0:c r="W730" s="245"/>
      <ns0:c r="X730" s="245"/>
      <ns0:c r="Y730" s="245"/>
      <ns0:c r="Z730" s="245"/>
    </ns0:row>
    <ns0:row r="731">
      <ns0:c r="A731" s="245"/>
      <ns0:c r="B731" s="245"/>
      <ns0:c r="C731" s="245"/>
      <ns0:c r="D731" s="245"/>
      <ns0:c r="E731" s="245"/>
      <ns0:c r="F731" s="245"/>
      <ns0:c r="G731" s="245"/>
      <ns0:c r="H731" s="245"/>
      <ns0:c r="I731" s="245"/>
      <ns0:c r="J731" s="245"/>
      <ns0:c r="K731" s="245"/>
      <ns0:c r="L731" s="245"/>
      <ns0:c r="M731" s="245"/>
      <ns0:c r="N731" s="245"/>
      <ns0:c r="O731" s="245"/>
      <ns0:c r="P731" s="245"/>
      <ns0:c r="Q731" s="245"/>
      <ns0:c r="R731" s="245"/>
      <ns0:c r="S731" s="245"/>
      <ns0:c r="T731" s="245"/>
      <ns0:c r="U731" s="245"/>
      <ns0:c r="V731" s="245"/>
      <ns0:c r="W731" s="245"/>
      <ns0:c r="X731" s="245"/>
      <ns0:c r="Y731" s="245"/>
      <ns0:c r="Z731" s="245"/>
    </ns0:row>
    <ns0:row r="732">
      <ns0:c r="A732" s="245"/>
      <ns0:c r="B732" s="245"/>
      <ns0:c r="C732" s="245"/>
      <ns0:c r="D732" s="245"/>
      <ns0:c r="E732" s="245"/>
      <ns0:c r="F732" s="245"/>
      <ns0:c r="G732" s="245"/>
      <ns0:c r="H732" s="245"/>
      <ns0:c r="I732" s="245"/>
      <ns0:c r="J732" s="245"/>
      <ns0:c r="K732" s="245"/>
      <ns0:c r="L732" s="245"/>
      <ns0:c r="M732" s="245"/>
      <ns0:c r="N732" s="245"/>
      <ns0:c r="O732" s="245"/>
      <ns0:c r="P732" s="245"/>
      <ns0:c r="Q732" s="245"/>
      <ns0:c r="R732" s="245"/>
      <ns0:c r="S732" s="245"/>
      <ns0:c r="T732" s="245"/>
      <ns0:c r="U732" s="245"/>
      <ns0:c r="V732" s="245"/>
      <ns0:c r="W732" s="245"/>
      <ns0:c r="X732" s="245"/>
      <ns0:c r="Y732" s="245"/>
      <ns0:c r="Z732" s="245"/>
    </ns0:row>
    <ns0:row r="733">
      <ns0:c r="A733" s="245"/>
      <ns0:c r="B733" s="245"/>
      <ns0:c r="C733" s="245"/>
      <ns0:c r="D733" s="245"/>
      <ns0:c r="E733" s="245"/>
      <ns0:c r="F733" s="245"/>
      <ns0:c r="G733" s="245"/>
      <ns0:c r="H733" s="245"/>
      <ns0:c r="I733" s="245"/>
      <ns0:c r="J733" s="245"/>
      <ns0:c r="K733" s="245"/>
      <ns0:c r="L733" s="245"/>
      <ns0:c r="M733" s="245"/>
      <ns0:c r="N733" s="245"/>
      <ns0:c r="O733" s="245"/>
      <ns0:c r="P733" s="245"/>
      <ns0:c r="Q733" s="245"/>
      <ns0:c r="R733" s="245"/>
      <ns0:c r="S733" s="245"/>
      <ns0:c r="T733" s="245"/>
      <ns0:c r="U733" s="245"/>
      <ns0:c r="V733" s="245"/>
      <ns0:c r="W733" s="245"/>
      <ns0:c r="X733" s="245"/>
      <ns0:c r="Y733" s="245"/>
      <ns0:c r="Z733" s="245"/>
    </ns0:row>
    <ns0:row r="734">
      <ns0:c r="A734" s="245"/>
      <ns0:c r="B734" s="245"/>
      <ns0:c r="C734" s="245"/>
      <ns0:c r="D734" s="245"/>
      <ns0:c r="E734" s="245"/>
      <ns0:c r="F734" s="245"/>
      <ns0:c r="G734" s="245"/>
      <ns0:c r="H734" s="245"/>
      <ns0:c r="I734" s="245"/>
      <ns0:c r="J734" s="245"/>
      <ns0:c r="K734" s="245"/>
      <ns0:c r="L734" s="245"/>
      <ns0:c r="M734" s="245"/>
      <ns0:c r="N734" s="245"/>
      <ns0:c r="O734" s="245"/>
      <ns0:c r="P734" s="245"/>
      <ns0:c r="Q734" s="245"/>
      <ns0:c r="R734" s="245"/>
      <ns0:c r="S734" s="245"/>
      <ns0:c r="T734" s="245"/>
      <ns0:c r="U734" s="245"/>
      <ns0:c r="V734" s="245"/>
      <ns0:c r="W734" s="245"/>
      <ns0:c r="X734" s="245"/>
      <ns0:c r="Y734" s="245"/>
      <ns0:c r="Z734" s="245"/>
    </ns0:row>
    <ns0:row r="735">
      <ns0:c r="A735" s="245"/>
      <ns0:c r="B735" s="245"/>
      <ns0:c r="C735" s="245"/>
      <ns0:c r="D735" s="245"/>
      <ns0:c r="E735" s="245"/>
      <ns0:c r="F735" s="245"/>
      <ns0:c r="G735" s="245"/>
      <ns0:c r="H735" s="245"/>
      <ns0:c r="I735" s="245"/>
      <ns0:c r="J735" s="245"/>
      <ns0:c r="K735" s="245"/>
      <ns0:c r="L735" s="245"/>
      <ns0:c r="M735" s="245"/>
      <ns0:c r="N735" s="245"/>
      <ns0:c r="O735" s="245"/>
      <ns0:c r="P735" s="245"/>
      <ns0:c r="Q735" s="245"/>
      <ns0:c r="R735" s="245"/>
      <ns0:c r="S735" s="245"/>
      <ns0:c r="T735" s="245"/>
      <ns0:c r="U735" s="245"/>
      <ns0:c r="V735" s="245"/>
      <ns0:c r="W735" s="245"/>
      <ns0:c r="X735" s="245"/>
      <ns0:c r="Y735" s="245"/>
      <ns0:c r="Z735" s="245"/>
    </ns0:row>
    <ns0:row r="736">
      <ns0:c r="A736" s="245"/>
      <ns0:c r="B736" s="245"/>
      <ns0:c r="C736" s="245"/>
      <ns0:c r="D736" s="245"/>
      <ns0:c r="E736" s="245"/>
      <ns0:c r="F736" s="245"/>
      <ns0:c r="G736" s="245"/>
      <ns0:c r="H736" s="245"/>
      <ns0:c r="I736" s="245"/>
      <ns0:c r="J736" s="245"/>
      <ns0:c r="K736" s="245"/>
      <ns0:c r="L736" s="245"/>
      <ns0:c r="M736" s="245"/>
      <ns0:c r="N736" s="245"/>
      <ns0:c r="O736" s="245"/>
      <ns0:c r="P736" s="245"/>
      <ns0:c r="Q736" s="245"/>
      <ns0:c r="R736" s="245"/>
      <ns0:c r="S736" s="245"/>
      <ns0:c r="T736" s="245"/>
      <ns0:c r="U736" s="245"/>
      <ns0:c r="V736" s="245"/>
      <ns0:c r="W736" s="245"/>
      <ns0:c r="X736" s="245"/>
      <ns0:c r="Y736" s="245"/>
      <ns0:c r="Z736" s="245"/>
    </ns0:row>
    <ns0:row r="737">
      <ns0:c r="A737" s="245"/>
      <ns0:c r="B737" s="245"/>
      <ns0:c r="C737" s="245"/>
      <ns0:c r="D737" s="245"/>
      <ns0:c r="E737" s="245"/>
      <ns0:c r="F737" s="245"/>
      <ns0:c r="G737" s="245"/>
      <ns0:c r="H737" s="245"/>
      <ns0:c r="I737" s="245"/>
      <ns0:c r="J737" s="245"/>
      <ns0:c r="K737" s="245"/>
      <ns0:c r="L737" s="245"/>
      <ns0:c r="M737" s="245"/>
      <ns0:c r="N737" s="245"/>
      <ns0:c r="O737" s="245"/>
      <ns0:c r="P737" s="245"/>
      <ns0:c r="Q737" s="245"/>
      <ns0:c r="R737" s="245"/>
      <ns0:c r="S737" s="245"/>
      <ns0:c r="T737" s="245"/>
      <ns0:c r="U737" s="245"/>
      <ns0:c r="V737" s="245"/>
      <ns0:c r="W737" s="245"/>
      <ns0:c r="X737" s="245"/>
      <ns0:c r="Y737" s="245"/>
      <ns0:c r="Z737" s="245"/>
    </ns0:row>
    <ns0:row r="738">
      <ns0:c r="A738" s="245"/>
      <ns0:c r="B738" s="245"/>
      <ns0:c r="C738" s="245"/>
      <ns0:c r="D738" s="245"/>
      <ns0:c r="E738" s="245"/>
      <ns0:c r="F738" s="245"/>
      <ns0:c r="G738" s="245"/>
      <ns0:c r="H738" s="245"/>
      <ns0:c r="I738" s="245"/>
      <ns0:c r="J738" s="245"/>
      <ns0:c r="K738" s="245"/>
      <ns0:c r="L738" s="245"/>
      <ns0:c r="M738" s="245"/>
      <ns0:c r="N738" s="245"/>
      <ns0:c r="O738" s="245"/>
      <ns0:c r="P738" s="245"/>
      <ns0:c r="Q738" s="245"/>
      <ns0:c r="R738" s="245"/>
      <ns0:c r="S738" s="245"/>
      <ns0:c r="T738" s="245"/>
      <ns0:c r="U738" s="245"/>
      <ns0:c r="V738" s="245"/>
      <ns0:c r="W738" s="245"/>
      <ns0:c r="X738" s="245"/>
      <ns0:c r="Y738" s="245"/>
      <ns0:c r="Z738" s="245"/>
    </ns0:row>
    <ns0:row r="739">
      <ns0:c r="A739" s="245"/>
      <ns0:c r="B739" s="245"/>
      <ns0:c r="C739" s="245"/>
      <ns0:c r="D739" s="245"/>
      <ns0:c r="E739" s="245"/>
      <ns0:c r="F739" s="245"/>
      <ns0:c r="G739" s="245"/>
      <ns0:c r="H739" s="245"/>
      <ns0:c r="I739" s="245"/>
      <ns0:c r="J739" s="245"/>
      <ns0:c r="K739" s="245"/>
      <ns0:c r="L739" s="245"/>
      <ns0:c r="M739" s="245"/>
      <ns0:c r="N739" s="245"/>
      <ns0:c r="O739" s="245"/>
      <ns0:c r="P739" s="245"/>
      <ns0:c r="Q739" s="245"/>
      <ns0:c r="R739" s="245"/>
      <ns0:c r="S739" s="245"/>
      <ns0:c r="T739" s="245"/>
      <ns0:c r="U739" s="245"/>
      <ns0:c r="V739" s="245"/>
      <ns0:c r="W739" s="245"/>
      <ns0:c r="X739" s="245"/>
      <ns0:c r="Y739" s="245"/>
      <ns0:c r="Z739" s="245"/>
    </ns0:row>
    <ns0:row r="740">
      <ns0:c r="A740" s="245"/>
      <ns0:c r="B740" s="245"/>
      <ns0:c r="C740" s="245"/>
      <ns0:c r="D740" s="245"/>
      <ns0:c r="E740" s="245"/>
      <ns0:c r="F740" s="245"/>
      <ns0:c r="G740" s="245"/>
      <ns0:c r="H740" s="245"/>
      <ns0:c r="I740" s="245"/>
      <ns0:c r="J740" s="245"/>
      <ns0:c r="K740" s="245"/>
      <ns0:c r="L740" s="245"/>
      <ns0:c r="M740" s="245"/>
      <ns0:c r="N740" s="245"/>
      <ns0:c r="O740" s="245"/>
      <ns0:c r="P740" s="245"/>
      <ns0:c r="Q740" s="245"/>
      <ns0:c r="R740" s="245"/>
      <ns0:c r="S740" s="245"/>
      <ns0:c r="T740" s="245"/>
      <ns0:c r="U740" s="245"/>
      <ns0:c r="V740" s="245"/>
      <ns0:c r="W740" s="245"/>
      <ns0:c r="X740" s="245"/>
      <ns0:c r="Y740" s="245"/>
      <ns0:c r="Z740" s="245"/>
    </ns0:row>
    <ns0:row r="741">
      <ns0:c r="A741" s="245"/>
      <ns0:c r="B741" s="245"/>
      <ns0:c r="C741" s="245"/>
      <ns0:c r="D741" s="245"/>
      <ns0:c r="E741" s="245"/>
      <ns0:c r="F741" s="245"/>
      <ns0:c r="G741" s="245"/>
      <ns0:c r="H741" s="245"/>
      <ns0:c r="I741" s="245"/>
      <ns0:c r="J741" s="245"/>
      <ns0:c r="K741" s="245"/>
      <ns0:c r="L741" s="245"/>
      <ns0:c r="M741" s="245"/>
      <ns0:c r="N741" s="245"/>
      <ns0:c r="O741" s="245"/>
      <ns0:c r="P741" s="245"/>
      <ns0:c r="Q741" s="245"/>
      <ns0:c r="R741" s="245"/>
      <ns0:c r="S741" s="245"/>
      <ns0:c r="T741" s="245"/>
      <ns0:c r="U741" s="245"/>
      <ns0:c r="V741" s="245"/>
      <ns0:c r="W741" s="245"/>
      <ns0:c r="X741" s="245"/>
      <ns0:c r="Y741" s="245"/>
      <ns0:c r="Z741" s="245"/>
    </ns0:row>
    <ns0:row r="742">
      <ns0:c r="A742" s="245"/>
      <ns0:c r="B742" s="245"/>
      <ns0:c r="C742" s="245"/>
      <ns0:c r="D742" s="245"/>
      <ns0:c r="E742" s="245"/>
      <ns0:c r="F742" s="245"/>
      <ns0:c r="G742" s="245"/>
      <ns0:c r="H742" s="245"/>
      <ns0:c r="I742" s="245"/>
      <ns0:c r="J742" s="245"/>
      <ns0:c r="K742" s="245"/>
      <ns0:c r="L742" s="245"/>
      <ns0:c r="M742" s="245"/>
      <ns0:c r="N742" s="245"/>
      <ns0:c r="O742" s="245"/>
      <ns0:c r="P742" s="245"/>
      <ns0:c r="Q742" s="245"/>
      <ns0:c r="R742" s="245"/>
      <ns0:c r="S742" s="245"/>
      <ns0:c r="T742" s="245"/>
      <ns0:c r="U742" s="245"/>
      <ns0:c r="V742" s="245"/>
      <ns0:c r="W742" s="245"/>
      <ns0:c r="X742" s="245"/>
      <ns0:c r="Y742" s="245"/>
      <ns0:c r="Z742" s="245"/>
    </ns0:row>
    <ns0:row r="743">
      <ns0:c r="A743" s="245"/>
      <ns0:c r="B743" s="245"/>
      <ns0:c r="C743" s="245"/>
      <ns0:c r="D743" s="245"/>
      <ns0:c r="E743" s="245"/>
      <ns0:c r="F743" s="245"/>
      <ns0:c r="G743" s="245"/>
      <ns0:c r="H743" s="245"/>
      <ns0:c r="I743" s="245"/>
      <ns0:c r="J743" s="245"/>
      <ns0:c r="K743" s="245"/>
      <ns0:c r="L743" s="245"/>
      <ns0:c r="M743" s="245"/>
      <ns0:c r="N743" s="245"/>
      <ns0:c r="O743" s="245"/>
      <ns0:c r="P743" s="245"/>
      <ns0:c r="Q743" s="245"/>
      <ns0:c r="R743" s="245"/>
      <ns0:c r="S743" s="245"/>
      <ns0:c r="T743" s="245"/>
      <ns0:c r="U743" s="245"/>
      <ns0:c r="V743" s="245"/>
      <ns0:c r="W743" s="245"/>
      <ns0:c r="X743" s="245"/>
      <ns0:c r="Y743" s="245"/>
      <ns0:c r="Z743" s="245"/>
    </ns0:row>
    <ns0:row r="744">
      <ns0:c r="A744" s="245"/>
      <ns0:c r="B744" s="245"/>
      <ns0:c r="C744" s="245"/>
      <ns0:c r="D744" s="245"/>
      <ns0:c r="E744" s="245"/>
      <ns0:c r="F744" s="245"/>
      <ns0:c r="G744" s="245"/>
      <ns0:c r="H744" s="245"/>
      <ns0:c r="I744" s="245"/>
      <ns0:c r="J744" s="245"/>
      <ns0:c r="K744" s="245"/>
      <ns0:c r="L744" s="245"/>
      <ns0:c r="M744" s="245"/>
      <ns0:c r="N744" s="245"/>
      <ns0:c r="O744" s="245"/>
      <ns0:c r="P744" s="245"/>
      <ns0:c r="Q744" s="245"/>
      <ns0:c r="R744" s="245"/>
      <ns0:c r="S744" s="245"/>
      <ns0:c r="T744" s="245"/>
      <ns0:c r="U744" s="245"/>
      <ns0:c r="V744" s="245"/>
      <ns0:c r="W744" s="245"/>
      <ns0:c r="X744" s="245"/>
      <ns0:c r="Y744" s="245"/>
      <ns0:c r="Z744" s="245"/>
    </ns0:row>
    <ns0:row r="745">
      <ns0:c r="A745" s="245"/>
      <ns0:c r="B745" s="245"/>
      <ns0:c r="C745" s="245"/>
      <ns0:c r="D745" s="245"/>
      <ns0:c r="E745" s="245"/>
      <ns0:c r="F745" s="245"/>
      <ns0:c r="G745" s="245"/>
      <ns0:c r="H745" s="245"/>
      <ns0:c r="I745" s="245"/>
      <ns0:c r="J745" s="245"/>
      <ns0:c r="K745" s="245"/>
      <ns0:c r="L745" s="245"/>
      <ns0:c r="M745" s="245"/>
      <ns0:c r="N745" s="245"/>
      <ns0:c r="O745" s="245"/>
      <ns0:c r="P745" s="245"/>
      <ns0:c r="Q745" s="245"/>
      <ns0:c r="R745" s="245"/>
      <ns0:c r="S745" s="245"/>
      <ns0:c r="T745" s="245"/>
      <ns0:c r="U745" s="245"/>
      <ns0:c r="V745" s="245"/>
      <ns0:c r="W745" s="245"/>
      <ns0:c r="X745" s="245"/>
      <ns0:c r="Y745" s="245"/>
      <ns0:c r="Z745" s="245"/>
    </ns0:row>
    <ns0:row r="746">
      <ns0:c r="A746" s="245"/>
      <ns0:c r="B746" s="245"/>
      <ns0:c r="C746" s="245"/>
      <ns0:c r="D746" s="245"/>
      <ns0:c r="E746" s="245"/>
      <ns0:c r="F746" s="245"/>
      <ns0:c r="G746" s="245"/>
      <ns0:c r="H746" s="245"/>
      <ns0:c r="I746" s="245"/>
      <ns0:c r="J746" s="245"/>
      <ns0:c r="K746" s="245"/>
      <ns0:c r="L746" s="245"/>
      <ns0:c r="M746" s="245"/>
      <ns0:c r="N746" s="245"/>
      <ns0:c r="O746" s="245"/>
      <ns0:c r="P746" s="245"/>
      <ns0:c r="Q746" s="245"/>
      <ns0:c r="R746" s="245"/>
      <ns0:c r="S746" s="245"/>
      <ns0:c r="T746" s="245"/>
      <ns0:c r="U746" s="245"/>
      <ns0:c r="V746" s="245"/>
      <ns0:c r="W746" s="245"/>
      <ns0:c r="X746" s="245"/>
      <ns0:c r="Y746" s="245"/>
      <ns0:c r="Z746" s="245"/>
    </ns0:row>
    <ns0:row r="747">
      <ns0:c r="A747" s="245"/>
      <ns0:c r="B747" s="245"/>
      <ns0:c r="C747" s="245"/>
      <ns0:c r="D747" s="245"/>
      <ns0:c r="E747" s="245"/>
      <ns0:c r="F747" s="245"/>
      <ns0:c r="G747" s="245"/>
      <ns0:c r="H747" s="245"/>
      <ns0:c r="I747" s="245"/>
      <ns0:c r="J747" s="245"/>
      <ns0:c r="K747" s="245"/>
      <ns0:c r="L747" s="245"/>
      <ns0:c r="M747" s="245"/>
      <ns0:c r="N747" s="245"/>
      <ns0:c r="O747" s="245"/>
      <ns0:c r="P747" s="245"/>
      <ns0:c r="Q747" s="245"/>
      <ns0:c r="R747" s="245"/>
      <ns0:c r="S747" s="245"/>
      <ns0:c r="T747" s="245"/>
      <ns0:c r="U747" s="245"/>
      <ns0:c r="V747" s="245"/>
      <ns0:c r="W747" s="245"/>
      <ns0:c r="X747" s="245"/>
      <ns0:c r="Y747" s="245"/>
      <ns0:c r="Z747" s="245"/>
    </ns0:row>
    <ns0:row r="748">
      <ns0:c r="A748" s="245"/>
      <ns0:c r="B748" s="245"/>
      <ns0:c r="C748" s="245"/>
      <ns0:c r="D748" s="245"/>
      <ns0:c r="E748" s="245"/>
      <ns0:c r="F748" s="245"/>
      <ns0:c r="G748" s="245"/>
      <ns0:c r="H748" s="245"/>
      <ns0:c r="I748" s="245"/>
      <ns0:c r="J748" s="245"/>
      <ns0:c r="K748" s="245"/>
      <ns0:c r="L748" s="245"/>
      <ns0:c r="M748" s="245"/>
      <ns0:c r="N748" s="245"/>
      <ns0:c r="O748" s="245"/>
      <ns0:c r="P748" s="245"/>
      <ns0:c r="Q748" s="245"/>
      <ns0:c r="R748" s="245"/>
      <ns0:c r="S748" s="245"/>
      <ns0:c r="T748" s="245"/>
      <ns0:c r="U748" s="245"/>
      <ns0:c r="V748" s="245"/>
      <ns0:c r="W748" s="245"/>
      <ns0:c r="X748" s="245"/>
      <ns0:c r="Y748" s="245"/>
      <ns0:c r="Z748" s="245"/>
    </ns0:row>
    <ns0:row r="749">
      <ns0:c r="A749" s="245"/>
      <ns0:c r="B749" s="245"/>
      <ns0:c r="C749" s="245"/>
      <ns0:c r="D749" s="245"/>
      <ns0:c r="E749" s="245"/>
      <ns0:c r="F749" s="245"/>
      <ns0:c r="G749" s="245"/>
      <ns0:c r="H749" s="245"/>
      <ns0:c r="I749" s="245"/>
      <ns0:c r="J749" s="245"/>
      <ns0:c r="K749" s="245"/>
      <ns0:c r="L749" s="245"/>
      <ns0:c r="M749" s="245"/>
      <ns0:c r="N749" s="245"/>
      <ns0:c r="O749" s="245"/>
      <ns0:c r="P749" s="245"/>
      <ns0:c r="Q749" s="245"/>
      <ns0:c r="R749" s="245"/>
      <ns0:c r="S749" s="245"/>
      <ns0:c r="T749" s="245"/>
      <ns0:c r="U749" s="245"/>
      <ns0:c r="V749" s="245"/>
      <ns0:c r="W749" s="245"/>
      <ns0:c r="X749" s="245"/>
      <ns0:c r="Y749" s="245"/>
      <ns0:c r="Z749" s="245"/>
    </ns0:row>
    <ns0:row r="750">
      <ns0:c r="A750" s="245"/>
      <ns0:c r="B750" s="245"/>
      <ns0:c r="C750" s="245"/>
      <ns0:c r="D750" s="245"/>
      <ns0:c r="E750" s="245"/>
      <ns0:c r="F750" s="245"/>
      <ns0:c r="G750" s="245"/>
      <ns0:c r="H750" s="245"/>
      <ns0:c r="I750" s="245"/>
      <ns0:c r="J750" s="245"/>
      <ns0:c r="K750" s="245"/>
      <ns0:c r="L750" s="245"/>
      <ns0:c r="M750" s="245"/>
      <ns0:c r="N750" s="245"/>
      <ns0:c r="O750" s="245"/>
      <ns0:c r="P750" s="245"/>
      <ns0:c r="Q750" s="245"/>
      <ns0:c r="R750" s="245"/>
      <ns0:c r="S750" s="245"/>
      <ns0:c r="T750" s="245"/>
      <ns0:c r="U750" s="245"/>
      <ns0:c r="V750" s="245"/>
      <ns0:c r="W750" s="245"/>
      <ns0:c r="X750" s="245"/>
      <ns0:c r="Y750" s="245"/>
      <ns0:c r="Z750" s="245"/>
    </ns0:row>
    <ns0:row r="751">
      <ns0:c r="A751" s="245"/>
      <ns0:c r="B751" s="245"/>
      <ns0:c r="C751" s="245"/>
      <ns0:c r="D751" s="245"/>
      <ns0:c r="E751" s="245"/>
      <ns0:c r="F751" s="245"/>
      <ns0:c r="G751" s="245"/>
      <ns0:c r="H751" s="245"/>
      <ns0:c r="I751" s="245"/>
      <ns0:c r="J751" s="245"/>
      <ns0:c r="K751" s="245"/>
      <ns0:c r="L751" s="245"/>
      <ns0:c r="M751" s="245"/>
      <ns0:c r="N751" s="245"/>
      <ns0:c r="O751" s="245"/>
      <ns0:c r="P751" s="245"/>
      <ns0:c r="Q751" s="245"/>
      <ns0:c r="R751" s="245"/>
      <ns0:c r="S751" s="245"/>
      <ns0:c r="T751" s="245"/>
      <ns0:c r="U751" s="245"/>
      <ns0:c r="V751" s="245"/>
      <ns0:c r="W751" s="245"/>
      <ns0:c r="X751" s="245"/>
      <ns0:c r="Y751" s="245"/>
      <ns0:c r="Z751" s="245"/>
    </ns0:row>
    <ns0:row r="752">
      <ns0:c r="A752" s="245"/>
      <ns0:c r="B752" s="245"/>
      <ns0:c r="C752" s="245"/>
      <ns0:c r="D752" s="245"/>
      <ns0:c r="E752" s="245"/>
      <ns0:c r="F752" s="245"/>
      <ns0:c r="G752" s="245"/>
      <ns0:c r="H752" s="245"/>
      <ns0:c r="I752" s="245"/>
      <ns0:c r="J752" s="245"/>
      <ns0:c r="K752" s="245"/>
      <ns0:c r="L752" s="245"/>
      <ns0:c r="M752" s="245"/>
      <ns0:c r="N752" s="245"/>
      <ns0:c r="O752" s="245"/>
      <ns0:c r="P752" s="245"/>
      <ns0:c r="Q752" s="245"/>
      <ns0:c r="R752" s="245"/>
      <ns0:c r="S752" s="245"/>
      <ns0:c r="T752" s="245"/>
      <ns0:c r="U752" s="245"/>
      <ns0:c r="V752" s="245"/>
      <ns0:c r="W752" s="245"/>
      <ns0:c r="X752" s="245"/>
      <ns0:c r="Y752" s="245"/>
      <ns0:c r="Z752" s="245"/>
    </ns0:row>
    <ns0:row r="753">
      <ns0:c r="A753" s="245"/>
      <ns0:c r="B753" s="245"/>
      <ns0:c r="C753" s="245"/>
      <ns0:c r="D753" s="245"/>
      <ns0:c r="E753" s="245"/>
      <ns0:c r="F753" s="245"/>
      <ns0:c r="G753" s="245"/>
      <ns0:c r="H753" s="245"/>
      <ns0:c r="I753" s="245"/>
      <ns0:c r="J753" s="245"/>
      <ns0:c r="K753" s="245"/>
      <ns0:c r="L753" s="245"/>
      <ns0:c r="M753" s="245"/>
      <ns0:c r="N753" s="245"/>
      <ns0:c r="O753" s="245"/>
      <ns0:c r="P753" s="245"/>
      <ns0:c r="Q753" s="245"/>
      <ns0:c r="R753" s="245"/>
      <ns0:c r="S753" s="245"/>
      <ns0:c r="T753" s="245"/>
      <ns0:c r="U753" s="245"/>
      <ns0:c r="V753" s="245"/>
      <ns0:c r="W753" s="245"/>
      <ns0:c r="X753" s="245"/>
      <ns0:c r="Y753" s="245"/>
      <ns0:c r="Z753" s="245"/>
    </ns0:row>
    <ns0:row r="754">
      <ns0:c r="A754" s="245"/>
      <ns0:c r="B754" s="245"/>
      <ns0:c r="C754" s="245"/>
      <ns0:c r="D754" s="245"/>
      <ns0:c r="E754" s="245"/>
      <ns0:c r="F754" s="245"/>
      <ns0:c r="G754" s="245"/>
      <ns0:c r="H754" s="245"/>
      <ns0:c r="I754" s="245"/>
      <ns0:c r="J754" s="245"/>
      <ns0:c r="K754" s="245"/>
      <ns0:c r="L754" s="245"/>
      <ns0:c r="M754" s="245"/>
      <ns0:c r="N754" s="245"/>
      <ns0:c r="O754" s="245"/>
      <ns0:c r="P754" s="245"/>
      <ns0:c r="Q754" s="245"/>
      <ns0:c r="R754" s="245"/>
      <ns0:c r="S754" s="245"/>
      <ns0:c r="T754" s="245"/>
      <ns0:c r="U754" s="245"/>
      <ns0:c r="V754" s="245"/>
      <ns0:c r="W754" s="245"/>
      <ns0:c r="X754" s="245"/>
      <ns0:c r="Y754" s="245"/>
      <ns0:c r="Z754" s="245"/>
    </ns0:row>
    <ns0:row r="755">
      <ns0:c r="A755" s="245"/>
      <ns0:c r="B755" s="245"/>
      <ns0:c r="C755" s="245"/>
      <ns0:c r="D755" s="245"/>
      <ns0:c r="E755" s="245"/>
      <ns0:c r="F755" s="245"/>
      <ns0:c r="G755" s="245"/>
      <ns0:c r="H755" s="245"/>
      <ns0:c r="I755" s="245"/>
      <ns0:c r="J755" s="245"/>
      <ns0:c r="K755" s="245"/>
      <ns0:c r="L755" s="245"/>
      <ns0:c r="M755" s="245"/>
      <ns0:c r="N755" s="245"/>
      <ns0:c r="O755" s="245"/>
      <ns0:c r="P755" s="245"/>
      <ns0:c r="Q755" s="245"/>
      <ns0:c r="R755" s="245"/>
      <ns0:c r="S755" s="245"/>
      <ns0:c r="T755" s="245"/>
      <ns0:c r="U755" s="245"/>
      <ns0:c r="V755" s="245"/>
      <ns0:c r="W755" s="245"/>
      <ns0:c r="X755" s="245"/>
      <ns0:c r="Y755" s="245"/>
      <ns0:c r="Z755" s="245"/>
    </ns0:row>
    <ns0:row r="756">
      <ns0:c r="A756" s="245"/>
      <ns0:c r="B756" s="245"/>
      <ns0:c r="C756" s="245"/>
      <ns0:c r="D756" s="245"/>
      <ns0:c r="E756" s="245"/>
      <ns0:c r="F756" s="245"/>
      <ns0:c r="G756" s="245"/>
      <ns0:c r="H756" s="245"/>
      <ns0:c r="I756" s="245"/>
      <ns0:c r="J756" s="245"/>
      <ns0:c r="K756" s="245"/>
      <ns0:c r="L756" s="245"/>
      <ns0:c r="M756" s="245"/>
      <ns0:c r="N756" s="245"/>
      <ns0:c r="O756" s="245"/>
      <ns0:c r="P756" s="245"/>
      <ns0:c r="Q756" s="245"/>
      <ns0:c r="R756" s="245"/>
      <ns0:c r="S756" s="245"/>
      <ns0:c r="T756" s="245"/>
      <ns0:c r="U756" s="245"/>
      <ns0:c r="V756" s="245"/>
      <ns0:c r="W756" s="245"/>
      <ns0:c r="X756" s="245"/>
      <ns0:c r="Y756" s="245"/>
      <ns0:c r="Z756" s="245"/>
    </ns0:row>
    <ns0:row r="757">
      <ns0:c r="A757" s="245"/>
      <ns0:c r="B757" s="245"/>
      <ns0:c r="C757" s="245"/>
      <ns0:c r="D757" s="245"/>
      <ns0:c r="E757" s="245"/>
      <ns0:c r="F757" s="245"/>
      <ns0:c r="G757" s="245"/>
      <ns0:c r="H757" s="245"/>
      <ns0:c r="I757" s="245"/>
      <ns0:c r="J757" s="245"/>
      <ns0:c r="K757" s="245"/>
      <ns0:c r="L757" s="245"/>
      <ns0:c r="M757" s="245"/>
      <ns0:c r="N757" s="245"/>
      <ns0:c r="O757" s="245"/>
      <ns0:c r="P757" s="245"/>
      <ns0:c r="Q757" s="245"/>
      <ns0:c r="R757" s="245"/>
      <ns0:c r="S757" s="245"/>
      <ns0:c r="T757" s="245"/>
      <ns0:c r="U757" s="245"/>
      <ns0:c r="V757" s="245"/>
      <ns0:c r="W757" s="245"/>
      <ns0:c r="X757" s="245"/>
      <ns0:c r="Y757" s="245"/>
      <ns0:c r="Z757" s="245"/>
    </ns0:row>
    <ns0:row r="758">
      <ns0:c r="A758" s="245"/>
      <ns0:c r="B758" s="245"/>
      <ns0:c r="C758" s="245"/>
      <ns0:c r="D758" s="245"/>
      <ns0:c r="E758" s="245"/>
      <ns0:c r="F758" s="245"/>
      <ns0:c r="G758" s="245"/>
      <ns0:c r="H758" s="245"/>
      <ns0:c r="I758" s="245"/>
      <ns0:c r="J758" s="245"/>
      <ns0:c r="K758" s="245"/>
      <ns0:c r="L758" s="245"/>
      <ns0:c r="M758" s="245"/>
      <ns0:c r="N758" s="245"/>
      <ns0:c r="O758" s="245"/>
      <ns0:c r="P758" s="245"/>
      <ns0:c r="Q758" s="245"/>
      <ns0:c r="R758" s="245"/>
      <ns0:c r="S758" s="245"/>
      <ns0:c r="T758" s="245"/>
      <ns0:c r="U758" s="245"/>
      <ns0:c r="V758" s="245"/>
      <ns0:c r="W758" s="245"/>
      <ns0:c r="X758" s="245"/>
      <ns0:c r="Y758" s="245"/>
      <ns0:c r="Z758" s="245"/>
    </ns0:row>
    <ns0:row r="759">
      <ns0:c r="A759" s="245"/>
      <ns0:c r="B759" s="245"/>
      <ns0:c r="C759" s="245"/>
      <ns0:c r="D759" s="245"/>
      <ns0:c r="E759" s="245"/>
      <ns0:c r="F759" s="245"/>
      <ns0:c r="G759" s="245"/>
      <ns0:c r="H759" s="245"/>
      <ns0:c r="I759" s="245"/>
      <ns0:c r="J759" s="245"/>
      <ns0:c r="K759" s="245"/>
      <ns0:c r="L759" s="245"/>
      <ns0:c r="M759" s="245"/>
      <ns0:c r="N759" s="245"/>
      <ns0:c r="O759" s="245"/>
      <ns0:c r="P759" s="245"/>
      <ns0:c r="Q759" s="245"/>
      <ns0:c r="R759" s="245"/>
      <ns0:c r="S759" s="245"/>
      <ns0:c r="T759" s="245"/>
      <ns0:c r="U759" s="245"/>
      <ns0:c r="V759" s="245"/>
      <ns0:c r="W759" s="245"/>
      <ns0:c r="X759" s="245"/>
      <ns0:c r="Y759" s="245"/>
      <ns0:c r="Z759" s="245"/>
    </ns0:row>
    <ns0:row r="760">
      <ns0:c r="A760" s="245"/>
      <ns0:c r="B760" s="245"/>
      <ns0:c r="C760" s="245"/>
      <ns0:c r="D760" s="245"/>
      <ns0:c r="E760" s="245"/>
      <ns0:c r="F760" s="245"/>
      <ns0:c r="G760" s="245"/>
      <ns0:c r="H760" s="245"/>
      <ns0:c r="I760" s="245"/>
      <ns0:c r="J760" s="245"/>
      <ns0:c r="K760" s="245"/>
      <ns0:c r="L760" s="245"/>
      <ns0:c r="M760" s="245"/>
      <ns0:c r="N760" s="245"/>
      <ns0:c r="O760" s="245"/>
      <ns0:c r="P760" s="245"/>
      <ns0:c r="Q760" s="245"/>
      <ns0:c r="R760" s="245"/>
      <ns0:c r="S760" s="245"/>
      <ns0:c r="T760" s="245"/>
      <ns0:c r="U760" s="245"/>
      <ns0:c r="V760" s="245"/>
      <ns0:c r="W760" s="245"/>
      <ns0:c r="X760" s="245"/>
      <ns0:c r="Y760" s="245"/>
      <ns0:c r="Z760" s="245"/>
    </ns0:row>
    <ns0:row r="761">
      <ns0:c r="A761" s="245"/>
      <ns0:c r="B761" s="245"/>
      <ns0:c r="C761" s="245"/>
      <ns0:c r="D761" s="245"/>
      <ns0:c r="E761" s="245"/>
      <ns0:c r="F761" s="245"/>
      <ns0:c r="G761" s="245"/>
      <ns0:c r="H761" s="245"/>
      <ns0:c r="I761" s="245"/>
      <ns0:c r="J761" s="245"/>
      <ns0:c r="K761" s="245"/>
      <ns0:c r="L761" s="245"/>
      <ns0:c r="M761" s="245"/>
      <ns0:c r="N761" s="245"/>
      <ns0:c r="O761" s="245"/>
      <ns0:c r="P761" s="245"/>
      <ns0:c r="Q761" s="245"/>
      <ns0:c r="R761" s="245"/>
      <ns0:c r="S761" s="245"/>
      <ns0:c r="T761" s="245"/>
      <ns0:c r="U761" s="245"/>
      <ns0:c r="V761" s="245"/>
      <ns0:c r="W761" s="245"/>
      <ns0:c r="X761" s="245"/>
      <ns0:c r="Y761" s="245"/>
      <ns0:c r="Z761" s="245"/>
    </ns0:row>
    <ns0:row r="762">
      <ns0:c r="A762" s="245"/>
      <ns0:c r="B762" s="245"/>
      <ns0:c r="C762" s="245"/>
      <ns0:c r="D762" s="245"/>
      <ns0:c r="E762" s="245"/>
      <ns0:c r="F762" s="245"/>
      <ns0:c r="G762" s="245"/>
      <ns0:c r="H762" s="245"/>
      <ns0:c r="I762" s="245"/>
      <ns0:c r="J762" s="245"/>
      <ns0:c r="K762" s="245"/>
      <ns0:c r="L762" s="245"/>
      <ns0:c r="M762" s="245"/>
      <ns0:c r="N762" s="245"/>
      <ns0:c r="O762" s="245"/>
      <ns0:c r="P762" s="245"/>
      <ns0:c r="Q762" s="245"/>
      <ns0:c r="R762" s="245"/>
      <ns0:c r="S762" s="245"/>
      <ns0:c r="T762" s="245"/>
      <ns0:c r="U762" s="245"/>
      <ns0:c r="V762" s="245"/>
      <ns0:c r="W762" s="245"/>
      <ns0:c r="X762" s="245"/>
      <ns0:c r="Y762" s="245"/>
      <ns0:c r="Z762" s="245"/>
    </ns0:row>
    <ns0:row r="763">
      <ns0:c r="A763" s="245"/>
      <ns0:c r="B763" s="245"/>
      <ns0:c r="C763" s="245"/>
      <ns0:c r="D763" s="245"/>
      <ns0:c r="E763" s="245"/>
      <ns0:c r="F763" s="245"/>
      <ns0:c r="G763" s="245"/>
      <ns0:c r="H763" s="245"/>
      <ns0:c r="I763" s="245"/>
      <ns0:c r="J763" s="245"/>
      <ns0:c r="K763" s="245"/>
      <ns0:c r="L763" s="245"/>
      <ns0:c r="M763" s="245"/>
      <ns0:c r="N763" s="245"/>
      <ns0:c r="O763" s="245"/>
      <ns0:c r="P763" s="245"/>
      <ns0:c r="Q763" s="245"/>
      <ns0:c r="R763" s="245"/>
      <ns0:c r="S763" s="245"/>
      <ns0:c r="T763" s="245"/>
      <ns0:c r="U763" s="245"/>
      <ns0:c r="V763" s="245"/>
      <ns0:c r="W763" s="245"/>
      <ns0:c r="X763" s="245"/>
      <ns0:c r="Y763" s="245"/>
      <ns0:c r="Z763" s="245"/>
    </ns0:row>
    <ns0:row r="764">
      <ns0:c r="A764" s="245"/>
      <ns0:c r="B764" s="245"/>
      <ns0:c r="C764" s="245"/>
      <ns0:c r="D764" s="245"/>
      <ns0:c r="E764" s="245"/>
      <ns0:c r="F764" s="245"/>
      <ns0:c r="G764" s="245"/>
      <ns0:c r="H764" s="245"/>
      <ns0:c r="I764" s="245"/>
      <ns0:c r="J764" s="245"/>
      <ns0:c r="K764" s="245"/>
      <ns0:c r="L764" s="245"/>
      <ns0:c r="M764" s="245"/>
      <ns0:c r="N764" s="245"/>
      <ns0:c r="O764" s="245"/>
      <ns0:c r="P764" s="245"/>
      <ns0:c r="Q764" s="245"/>
      <ns0:c r="R764" s="245"/>
      <ns0:c r="S764" s="245"/>
      <ns0:c r="T764" s="245"/>
      <ns0:c r="U764" s="245"/>
      <ns0:c r="V764" s="245"/>
      <ns0:c r="W764" s="245"/>
      <ns0:c r="X764" s="245"/>
      <ns0:c r="Y764" s="245"/>
      <ns0:c r="Z764" s="245"/>
    </ns0:row>
    <ns0:row r="765">
      <ns0:c r="A765" s="245"/>
      <ns0:c r="B765" s="245"/>
      <ns0:c r="C765" s="245"/>
      <ns0:c r="D765" s="245"/>
      <ns0:c r="E765" s="245"/>
      <ns0:c r="F765" s="245"/>
      <ns0:c r="G765" s="245"/>
      <ns0:c r="H765" s="245"/>
      <ns0:c r="I765" s="245"/>
      <ns0:c r="J765" s="245"/>
      <ns0:c r="K765" s="245"/>
      <ns0:c r="L765" s="245"/>
      <ns0:c r="M765" s="245"/>
      <ns0:c r="N765" s="245"/>
      <ns0:c r="O765" s="245"/>
      <ns0:c r="P765" s="245"/>
      <ns0:c r="Q765" s="245"/>
      <ns0:c r="R765" s="245"/>
      <ns0:c r="S765" s="245"/>
      <ns0:c r="T765" s="245"/>
      <ns0:c r="U765" s="245"/>
      <ns0:c r="V765" s="245"/>
      <ns0:c r="W765" s="245"/>
      <ns0:c r="X765" s="245"/>
      <ns0:c r="Y765" s="245"/>
      <ns0:c r="Z765" s="245"/>
    </ns0:row>
    <ns0:row r="766">
      <ns0:c r="A766" s="245"/>
      <ns0:c r="B766" s="245"/>
      <ns0:c r="C766" s="245"/>
      <ns0:c r="D766" s="245"/>
      <ns0:c r="E766" s="245"/>
      <ns0:c r="F766" s="245"/>
      <ns0:c r="G766" s="245"/>
      <ns0:c r="H766" s="245"/>
      <ns0:c r="I766" s="245"/>
      <ns0:c r="J766" s="245"/>
      <ns0:c r="K766" s="245"/>
      <ns0:c r="L766" s="245"/>
      <ns0:c r="M766" s="245"/>
      <ns0:c r="N766" s="245"/>
      <ns0:c r="O766" s="245"/>
      <ns0:c r="P766" s="245"/>
      <ns0:c r="Q766" s="245"/>
      <ns0:c r="R766" s="245"/>
      <ns0:c r="S766" s="245"/>
      <ns0:c r="T766" s="245"/>
      <ns0:c r="U766" s="245"/>
      <ns0:c r="V766" s="245"/>
      <ns0:c r="W766" s="245"/>
      <ns0:c r="X766" s="245"/>
      <ns0:c r="Y766" s="245"/>
      <ns0:c r="Z766" s="245"/>
    </ns0:row>
    <ns0:row r="767">
      <ns0:c r="A767" s="245"/>
      <ns0:c r="B767" s="245"/>
      <ns0:c r="C767" s="245"/>
      <ns0:c r="D767" s="245"/>
      <ns0:c r="E767" s="245"/>
      <ns0:c r="F767" s="245"/>
      <ns0:c r="G767" s="245"/>
      <ns0:c r="H767" s="245"/>
      <ns0:c r="I767" s="245"/>
      <ns0:c r="J767" s="245"/>
      <ns0:c r="K767" s="245"/>
      <ns0:c r="L767" s="245"/>
      <ns0:c r="M767" s="245"/>
      <ns0:c r="N767" s="245"/>
      <ns0:c r="O767" s="245"/>
      <ns0:c r="P767" s="245"/>
      <ns0:c r="Q767" s="245"/>
      <ns0:c r="R767" s="245"/>
      <ns0:c r="S767" s="245"/>
      <ns0:c r="T767" s="245"/>
      <ns0:c r="U767" s="245"/>
      <ns0:c r="V767" s="245"/>
      <ns0:c r="W767" s="245"/>
      <ns0:c r="X767" s="245"/>
      <ns0:c r="Y767" s="245"/>
      <ns0:c r="Z767" s="245"/>
    </ns0:row>
    <ns0:row r="768">
      <ns0:c r="A768" s="245"/>
      <ns0:c r="B768" s="245"/>
      <ns0:c r="C768" s="245"/>
      <ns0:c r="D768" s="245"/>
      <ns0:c r="E768" s="245"/>
      <ns0:c r="F768" s="245"/>
      <ns0:c r="G768" s="245"/>
      <ns0:c r="H768" s="245"/>
      <ns0:c r="I768" s="245"/>
      <ns0:c r="J768" s="245"/>
      <ns0:c r="K768" s="245"/>
      <ns0:c r="L768" s="245"/>
      <ns0:c r="M768" s="245"/>
      <ns0:c r="N768" s="245"/>
      <ns0:c r="O768" s="245"/>
      <ns0:c r="P768" s="245"/>
      <ns0:c r="Q768" s="245"/>
      <ns0:c r="R768" s="245"/>
      <ns0:c r="S768" s="245"/>
      <ns0:c r="T768" s="245"/>
      <ns0:c r="U768" s="245"/>
      <ns0:c r="V768" s="245"/>
      <ns0:c r="W768" s="245"/>
      <ns0:c r="X768" s="245"/>
      <ns0:c r="Y768" s="245"/>
      <ns0:c r="Z768" s="245"/>
    </ns0:row>
    <ns0:row r="769">
      <ns0:c r="A769" s="245"/>
      <ns0:c r="B769" s="245"/>
      <ns0:c r="C769" s="245"/>
      <ns0:c r="D769" s="245"/>
      <ns0:c r="E769" s="245"/>
      <ns0:c r="F769" s="245"/>
      <ns0:c r="G769" s="245"/>
      <ns0:c r="H769" s="245"/>
      <ns0:c r="I769" s="245"/>
      <ns0:c r="J769" s="245"/>
      <ns0:c r="K769" s="245"/>
      <ns0:c r="L769" s="245"/>
      <ns0:c r="M769" s="245"/>
      <ns0:c r="N769" s="245"/>
      <ns0:c r="O769" s="245"/>
      <ns0:c r="P769" s="245"/>
      <ns0:c r="Q769" s="245"/>
      <ns0:c r="R769" s="245"/>
      <ns0:c r="S769" s="245"/>
      <ns0:c r="T769" s="245"/>
      <ns0:c r="U769" s="245"/>
      <ns0:c r="V769" s="245"/>
      <ns0:c r="W769" s="245"/>
      <ns0:c r="X769" s="245"/>
      <ns0:c r="Y769" s="245"/>
      <ns0:c r="Z769" s="245"/>
    </ns0:row>
    <ns0:row r="770">
      <ns0:c r="A770" s="245"/>
      <ns0:c r="B770" s="245"/>
      <ns0:c r="C770" s="245"/>
      <ns0:c r="D770" s="245"/>
      <ns0:c r="E770" s="245"/>
      <ns0:c r="F770" s="245"/>
      <ns0:c r="G770" s="245"/>
      <ns0:c r="H770" s="245"/>
      <ns0:c r="I770" s="245"/>
      <ns0:c r="J770" s="245"/>
      <ns0:c r="K770" s="245"/>
      <ns0:c r="L770" s="245"/>
      <ns0:c r="M770" s="245"/>
      <ns0:c r="N770" s="245"/>
      <ns0:c r="O770" s="245"/>
      <ns0:c r="P770" s="245"/>
      <ns0:c r="Q770" s="245"/>
      <ns0:c r="R770" s="245"/>
      <ns0:c r="S770" s="245"/>
      <ns0:c r="T770" s="245"/>
      <ns0:c r="U770" s="245"/>
      <ns0:c r="V770" s="245"/>
      <ns0:c r="W770" s="245"/>
      <ns0:c r="X770" s="245"/>
      <ns0:c r="Y770" s="245"/>
      <ns0:c r="Z770" s="245"/>
    </ns0:row>
    <ns0:row r="771">
      <ns0:c r="A771" s="245"/>
      <ns0:c r="B771" s="245"/>
      <ns0:c r="C771" s="245"/>
      <ns0:c r="D771" s="245"/>
      <ns0:c r="E771" s="245"/>
      <ns0:c r="F771" s="245"/>
      <ns0:c r="G771" s="245"/>
      <ns0:c r="H771" s="245"/>
      <ns0:c r="I771" s="245"/>
      <ns0:c r="J771" s="245"/>
      <ns0:c r="K771" s="245"/>
      <ns0:c r="L771" s="245"/>
      <ns0:c r="M771" s="245"/>
      <ns0:c r="N771" s="245"/>
      <ns0:c r="O771" s="245"/>
      <ns0:c r="P771" s="245"/>
      <ns0:c r="Q771" s="245"/>
      <ns0:c r="R771" s="245"/>
      <ns0:c r="S771" s="245"/>
      <ns0:c r="T771" s="245"/>
      <ns0:c r="U771" s="245"/>
      <ns0:c r="V771" s="245"/>
      <ns0:c r="W771" s="245"/>
      <ns0:c r="X771" s="245"/>
      <ns0:c r="Y771" s="245"/>
      <ns0:c r="Z771" s="245"/>
    </ns0:row>
    <ns0:row r="772">
      <ns0:c r="A772" s="245"/>
      <ns0:c r="B772" s="245"/>
      <ns0:c r="C772" s="245"/>
      <ns0:c r="D772" s="245"/>
      <ns0:c r="E772" s="245"/>
      <ns0:c r="F772" s="245"/>
      <ns0:c r="G772" s="245"/>
      <ns0:c r="H772" s="245"/>
      <ns0:c r="I772" s="245"/>
      <ns0:c r="J772" s="245"/>
      <ns0:c r="K772" s="245"/>
      <ns0:c r="L772" s="245"/>
      <ns0:c r="M772" s="245"/>
      <ns0:c r="N772" s="245"/>
      <ns0:c r="O772" s="245"/>
      <ns0:c r="P772" s="245"/>
      <ns0:c r="Q772" s="245"/>
      <ns0:c r="R772" s="245"/>
      <ns0:c r="S772" s="245"/>
      <ns0:c r="T772" s="245"/>
      <ns0:c r="U772" s="245"/>
      <ns0:c r="V772" s="245"/>
      <ns0:c r="W772" s="245"/>
      <ns0:c r="X772" s="245"/>
      <ns0:c r="Y772" s="245"/>
      <ns0:c r="Z772" s="245"/>
    </ns0:row>
    <ns0:row r="773">
      <ns0:c r="A773" s="245"/>
      <ns0:c r="B773" s="245"/>
      <ns0:c r="C773" s="245"/>
      <ns0:c r="D773" s="245"/>
      <ns0:c r="E773" s="245"/>
      <ns0:c r="F773" s="245"/>
      <ns0:c r="G773" s="245"/>
      <ns0:c r="H773" s="245"/>
      <ns0:c r="I773" s="245"/>
      <ns0:c r="J773" s="245"/>
      <ns0:c r="K773" s="245"/>
      <ns0:c r="L773" s="245"/>
      <ns0:c r="M773" s="245"/>
      <ns0:c r="N773" s="245"/>
      <ns0:c r="O773" s="245"/>
      <ns0:c r="P773" s="245"/>
      <ns0:c r="Q773" s="245"/>
      <ns0:c r="R773" s="245"/>
      <ns0:c r="S773" s="245"/>
      <ns0:c r="T773" s="245"/>
      <ns0:c r="U773" s="245"/>
      <ns0:c r="V773" s="245"/>
      <ns0:c r="W773" s="245"/>
      <ns0:c r="X773" s="245"/>
      <ns0:c r="Y773" s="245"/>
      <ns0:c r="Z773" s="245"/>
    </ns0:row>
    <ns0:row r="774">
      <ns0:c r="A774" s="245"/>
      <ns0:c r="B774" s="245"/>
      <ns0:c r="C774" s="245"/>
      <ns0:c r="D774" s="245"/>
      <ns0:c r="E774" s="245"/>
      <ns0:c r="F774" s="245"/>
      <ns0:c r="G774" s="245"/>
      <ns0:c r="H774" s="245"/>
      <ns0:c r="I774" s="245"/>
      <ns0:c r="J774" s="245"/>
      <ns0:c r="K774" s="245"/>
      <ns0:c r="L774" s="245"/>
      <ns0:c r="M774" s="245"/>
      <ns0:c r="N774" s="245"/>
      <ns0:c r="O774" s="245"/>
      <ns0:c r="P774" s="245"/>
      <ns0:c r="Q774" s="245"/>
      <ns0:c r="R774" s="245"/>
      <ns0:c r="S774" s="245"/>
      <ns0:c r="T774" s="245"/>
      <ns0:c r="U774" s="245"/>
      <ns0:c r="V774" s="245"/>
      <ns0:c r="W774" s="245"/>
      <ns0:c r="X774" s="245"/>
      <ns0:c r="Y774" s="245"/>
      <ns0:c r="Z774" s="245"/>
    </ns0:row>
    <ns0:row r="775">
      <ns0:c r="A775" s="245"/>
      <ns0:c r="B775" s="245"/>
      <ns0:c r="C775" s="245"/>
      <ns0:c r="D775" s="245"/>
      <ns0:c r="E775" s="245"/>
      <ns0:c r="F775" s="245"/>
      <ns0:c r="G775" s="245"/>
      <ns0:c r="H775" s="245"/>
      <ns0:c r="I775" s="245"/>
      <ns0:c r="J775" s="245"/>
      <ns0:c r="K775" s="245"/>
      <ns0:c r="L775" s="245"/>
      <ns0:c r="M775" s="245"/>
      <ns0:c r="N775" s="245"/>
      <ns0:c r="O775" s="245"/>
      <ns0:c r="P775" s="245"/>
      <ns0:c r="Q775" s="245"/>
      <ns0:c r="R775" s="245"/>
      <ns0:c r="S775" s="245"/>
      <ns0:c r="T775" s="245"/>
      <ns0:c r="U775" s="245"/>
      <ns0:c r="V775" s="245"/>
      <ns0:c r="W775" s="245"/>
      <ns0:c r="X775" s="245"/>
      <ns0:c r="Y775" s="245"/>
      <ns0:c r="Z775" s="245"/>
    </ns0:row>
    <ns0:row r="776">
      <ns0:c r="A776" s="245"/>
      <ns0:c r="B776" s="245"/>
      <ns0:c r="C776" s="245"/>
      <ns0:c r="D776" s="245"/>
      <ns0:c r="E776" s="245"/>
      <ns0:c r="F776" s="245"/>
      <ns0:c r="G776" s="245"/>
      <ns0:c r="H776" s="245"/>
      <ns0:c r="I776" s="245"/>
      <ns0:c r="J776" s="245"/>
      <ns0:c r="K776" s="245"/>
      <ns0:c r="L776" s="245"/>
      <ns0:c r="M776" s="245"/>
      <ns0:c r="N776" s="245"/>
      <ns0:c r="O776" s="245"/>
      <ns0:c r="P776" s="245"/>
      <ns0:c r="Q776" s="245"/>
      <ns0:c r="R776" s="245"/>
      <ns0:c r="S776" s="245"/>
      <ns0:c r="T776" s="245"/>
      <ns0:c r="U776" s="245"/>
      <ns0:c r="V776" s="245"/>
      <ns0:c r="W776" s="245"/>
      <ns0:c r="X776" s="245"/>
      <ns0:c r="Y776" s="245"/>
      <ns0:c r="Z776" s="245"/>
    </ns0:row>
    <ns0:row r="777">
      <ns0:c r="A777" s="245"/>
      <ns0:c r="B777" s="245"/>
      <ns0:c r="C777" s="245"/>
      <ns0:c r="D777" s="245"/>
      <ns0:c r="E777" s="245"/>
      <ns0:c r="F777" s="245"/>
      <ns0:c r="G777" s="245"/>
      <ns0:c r="H777" s="245"/>
      <ns0:c r="I777" s="245"/>
      <ns0:c r="J777" s="245"/>
      <ns0:c r="K777" s="245"/>
      <ns0:c r="L777" s="245"/>
      <ns0:c r="M777" s="245"/>
      <ns0:c r="N777" s="245"/>
      <ns0:c r="O777" s="245"/>
      <ns0:c r="P777" s="245"/>
      <ns0:c r="Q777" s="245"/>
      <ns0:c r="R777" s="245"/>
      <ns0:c r="S777" s="245"/>
      <ns0:c r="T777" s="245"/>
      <ns0:c r="U777" s="245"/>
      <ns0:c r="V777" s="245"/>
      <ns0:c r="W777" s="245"/>
      <ns0:c r="X777" s="245"/>
      <ns0:c r="Y777" s="245"/>
      <ns0:c r="Z777" s="245"/>
    </ns0:row>
    <ns0:row r="778">
      <ns0:c r="A778" s="245"/>
      <ns0:c r="B778" s="245"/>
      <ns0:c r="C778" s="245"/>
      <ns0:c r="D778" s="245"/>
      <ns0:c r="E778" s="245"/>
      <ns0:c r="F778" s="245"/>
      <ns0:c r="G778" s="245"/>
      <ns0:c r="H778" s="245"/>
      <ns0:c r="I778" s="245"/>
      <ns0:c r="J778" s="245"/>
      <ns0:c r="K778" s="245"/>
      <ns0:c r="L778" s="245"/>
      <ns0:c r="M778" s="245"/>
      <ns0:c r="N778" s="245"/>
      <ns0:c r="O778" s="245"/>
      <ns0:c r="P778" s="245"/>
      <ns0:c r="Q778" s="245"/>
      <ns0:c r="R778" s="245"/>
      <ns0:c r="S778" s="245"/>
      <ns0:c r="T778" s="245"/>
      <ns0:c r="U778" s="245"/>
      <ns0:c r="V778" s="245"/>
      <ns0:c r="W778" s="245"/>
      <ns0:c r="X778" s="245"/>
      <ns0:c r="Y778" s="245"/>
      <ns0:c r="Z778" s="245"/>
    </ns0:row>
    <ns0:row r="779">
      <ns0:c r="A779" s="245"/>
      <ns0:c r="B779" s="245"/>
      <ns0:c r="C779" s="245"/>
      <ns0:c r="D779" s="245"/>
      <ns0:c r="E779" s="245"/>
      <ns0:c r="F779" s="245"/>
      <ns0:c r="G779" s="245"/>
      <ns0:c r="H779" s="245"/>
      <ns0:c r="I779" s="245"/>
      <ns0:c r="J779" s="245"/>
      <ns0:c r="K779" s="245"/>
      <ns0:c r="L779" s="245"/>
      <ns0:c r="M779" s="245"/>
      <ns0:c r="N779" s="245"/>
      <ns0:c r="O779" s="245"/>
      <ns0:c r="P779" s="245"/>
      <ns0:c r="Q779" s="245"/>
      <ns0:c r="R779" s="245"/>
      <ns0:c r="S779" s="245"/>
      <ns0:c r="T779" s="245"/>
      <ns0:c r="U779" s="245"/>
      <ns0:c r="V779" s="245"/>
      <ns0:c r="W779" s="245"/>
      <ns0:c r="X779" s="245"/>
      <ns0:c r="Y779" s="245"/>
      <ns0:c r="Z779" s="245"/>
    </ns0:row>
    <ns0:row r="780">
      <ns0:c r="A780" s="245"/>
      <ns0:c r="B780" s="245"/>
      <ns0:c r="C780" s="245"/>
      <ns0:c r="D780" s="245"/>
      <ns0:c r="E780" s="245"/>
      <ns0:c r="F780" s="245"/>
      <ns0:c r="G780" s="245"/>
      <ns0:c r="H780" s="245"/>
      <ns0:c r="I780" s="245"/>
      <ns0:c r="J780" s="245"/>
      <ns0:c r="K780" s="245"/>
      <ns0:c r="L780" s="245"/>
      <ns0:c r="M780" s="245"/>
      <ns0:c r="N780" s="245"/>
      <ns0:c r="O780" s="245"/>
      <ns0:c r="P780" s="245"/>
      <ns0:c r="Q780" s="245"/>
      <ns0:c r="R780" s="245"/>
      <ns0:c r="S780" s="245"/>
      <ns0:c r="T780" s="245"/>
      <ns0:c r="U780" s="245"/>
      <ns0:c r="V780" s="245"/>
      <ns0:c r="W780" s="245"/>
      <ns0:c r="X780" s="245"/>
      <ns0:c r="Y780" s="245"/>
      <ns0:c r="Z780" s="245"/>
    </ns0:row>
    <ns0:row r="781">
      <ns0:c r="A781" s="245"/>
      <ns0:c r="B781" s="245"/>
      <ns0:c r="C781" s="245"/>
      <ns0:c r="D781" s="245"/>
      <ns0:c r="E781" s="245"/>
      <ns0:c r="F781" s="245"/>
      <ns0:c r="G781" s="245"/>
      <ns0:c r="H781" s="245"/>
      <ns0:c r="I781" s="245"/>
      <ns0:c r="J781" s="245"/>
      <ns0:c r="K781" s="245"/>
      <ns0:c r="L781" s="245"/>
      <ns0:c r="M781" s="245"/>
      <ns0:c r="N781" s="245"/>
      <ns0:c r="O781" s="245"/>
      <ns0:c r="P781" s="245"/>
      <ns0:c r="Q781" s="245"/>
      <ns0:c r="R781" s="245"/>
      <ns0:c r="S781" s="245"/>
      <ns0:c r="T781" s="245"/>
      <ns0:c r="U781" s="245"/>
      <ns0:c r="V781" s="245"/>
      <ns0:c r="W781" s="245"/>
      <ns0:c r="X781" s="245"/>
      <ns0:c r="Y781" s="245"/>
      <ns0:c r="Z781" s="245"/>
    </ns0:row>
    <ns0:row r="782">
      <ns0:c r="A782" s="245"/>
      <ns0:c r="B782" s="245"/>
      <ns0:c r="C782" s="245"/>
      <ns0:c r="D782" s="245"/>
      <ns0:c r="E782" s="245"/>
      <ns0:c r="F782" s="245"/>
      <ns0:c r="G782" s="245"/>
      <ns0:c r="H782" s="245"/>
      <ns0:c r="I782" s="245"/>
      <ns0:c r="J782" s="245"/>
      <ns0:c r="K782" s="245"/>
      <ns0:c r="L782" s="245"/>
      <ns0:c r="M782" s="245"/>
      <ns0:c r="N782" s="245"/>
      <ns0:c r="O782" s="245"/>
      <ns0:c r="P782" s="245"/>
      <ns0:c r="Q782" s="245"/>
      <ns0:c r="R782" s="245"/>
      <ns0:c r="S782" s="245"/>
      <ns0:c r="T782" s="245"/>
      <ns0:c r="U782" s="245"/>
      <ns0:c r="V782" s="245"/>
      <ns0:c r="W782" s="245"/>
      <ns0:c r="X782" s="245"/>
      <ns0:c r="Y782" s="245"/>
      <ns0:c r="Z782" s="245"/>
    </ns0:row>
    <ns0:row r="783">
      <ns0:c r="A783" s="245"/>
      <ns0:c r="B783" s="245"/>
      <ns0:c r="C783" s="245"/>
      <ns0:c r="D783" s="245"/>
      <ns0:c r="E783" s="245"/>
      <ns0:c r="F783" s="245"/>
      <ns0:c r="G783" s="245"/>
      <ns0:c r="H783" s="245"/>
      <ns0:c r="I783" s="245"/>
      <ns0:c r="J783" s="245"/>
      <ns0:c r="K783" s="245"/>
      <ns0:c r="L783" s="245"/>
      <ns0:c r="M783" s="245"/>
      <ns0:c r="N783" s="245"/>
      <ns0:c r="O783" s="245"/>
      <ns0:c r="P783" s="245"/>
      <ns0:c r="Q783" s="245"/>
      <ns0:c r="R783" s="245"/>
      <ns0:c r="S783" s="245"/>
      <ns0:c r="T783" s="245"/>
      <ns0:c r="U783" s="245"/>
      <ns0:c r="V783" s="245"/>
      <ns0:c r="W783" s="245"/>
      <ns0:c r="X783" s="245"/>
      <ns0:c r="Y783" s="245"/>
      <ns0:c r="Z783" s="245"/>
    </ns0:row>
    <ns0:row r="784">
      <ns0:c r="A784" s="245"/>
      <ns0:c r="B784" s="245"/>
      <ns0:c r="C784" s="245"/>
      <ns0:c r="D784" s="245"/>
      <ns0:c r="E784" s="245"/>
      <ns0:c r="F784" s="245"/>
      <ns0:c r="G784" s="245"/>
      <ns0:c r="H784" s="245"/>
      <ns0:c r="I784" s="245"/>
      <ns0:c r="J784" s="245"/>
      <ns0:c r="K784" s="245"/>
      <ns0:c r="L784" s="245"/>
      <ns0:c r="M784" s="245"/>
      <ns0:c r="N784" s="245"/>
      <ns0:c r="O784" s="245"/>
      <ns0:c r="P784" s="245"/>
      <ns0:c r="Q784" s="245"/>
      <ns0:c r="R784" s="245"/>
      <ns0:c r="S784" s="245"/>
      <ns0:c r="T784" s="245"/>
      <ns0:c r="U784" s="245"/>
      <ns0:c r="V784" s="245"/>
      <ns0:c r="W784" s="245"/>
      <ns0:c r="X784" s="245"/>
      <ns0:c r="Y784" s="245"/>
      <ns0:c r="Z784" s="245"/>
    </ns0:row>
    <ns0:row r="785">
      <ns0:c r="A785" s="245"/>
      <ns0:c r="B785" s="245"/>
      <ns0:c r="C785" s="245"/>
      <ns0:c r="D785" s="245"/>
      <ns0:c r="E785" s="245"/>
      <ns0:c r="F785" s="245"/>
      <ns0:c r="G785" s="245"/>
      <ns0:c r="H785" s="245"/>
      <ns0:c r="I785" s="245"/>
      <ns0:c r="J785" s="245"/>
      <ns0:c r="K785" s="245"/>
      <ns0:c r="L785" s="245"/>
      <ns0:c r="M785" s="245"/>
      <ns0:c r="N785" s="245"/>
      <ns0:c r="O785" s="245"/>
      <ns0:c r="P785" s="245"/>
      <ns0:c r="Q785" s="245"/>
      <ns0:c r="R785" s="245"/>
      <ns0:c r="S785" s="245"/>
      <ns0:c r="T785" s="245"/>
      <ns0:c r="U785" s="245"/>
      <ns0:c r="V785" s="245"/>
      <ns0:c r="W785" s="245"/>
      <ns0:c r="X785" s="245"/>
      <ns0:c r="Y785" s="245"/>
      <ns0:c r="Z785" s="245"/>
    </ns0:row>
    <ns0:row r="786">
      <ns0:c r="A786" s="245"/>
      <ns0:c r="B786" s="245"/>
      <ns0:c r="C786" s="245"/>
      <ns0:c r="D786" s="245"/>
      <ns0:c r="E786" s="245"/>
      <ns0:c r="F786" s="245"/>
      <ns0:c r="G786" s="245"/>
      <ns0:c r="H786" s="245"/>
      <ns0:c r="I786" s="245"/>
      <ns0:c r="J786" s="245"/>
      <ns0:c r="K786" s="245"/>
      <ns0:c r="L786" s="245"/>
      <ns0:c r="M786" s="245"/>
      <ns0:c r="N786" s="245"/>
      <ns0:c r="O786" s="245"/>
      <ns0:c r="P786" s="245"/>
      <ns0:c r="Q786" s="245"/>
      <ns0:c r="R786" s="245"/>
      <ns0:c r="S786" s="245"/>
      <ns0:c r="T786" s="245"/>
      <ns0:c r="U786" s="245"/>
      <ns0:c r="V786" s="245"/>
      <ns0:c r="W786" s="245"/>
      <ns0:c r="X786" s="245"/>
      <ns0:c r="Y786" s="245"/>
      <ns0:c r="Z786" s="245"/>
    </ns0:row>
    <ns0:row r="787">
      <ns0:c r="A787" s="245"/>
      <ns0:c r="B787" s="245"/>
      <ns0:c r="C787" s="245"/>
      <ns0:c r="D787" s="245"/>
      <ns0:c r="E787" s="245"/>
      <ns0:c r="F787" s="245"/>
      <ns0:c r="G787" s="245"/>
      <ns0:c r="H787" s="245"/>
      <ns0:c r="I787" s="245"/>
      <ns0:c r="J787" s="245"/>
      <ns0:c r="K787" s="245"/>
      <ns0:c r="L787" s="245"/>
      <ns0:c r="M787" s="245"/>
      <ns0:c r="N787" s="245"/>
      <ns0:c r="O787" s="245"/>
      <ns0:c r="P787" s="245"/>
      <ns0:c r="Q787" s="245"/>
      <ns0:c r="R787" s="245"/>
      <ns0:c r="S787" s="245"/>
      <ns0:c r="T787" s="245"/>
      <ns0:c r="U787" s="245"/>
      <ns0:c r="V787" s="245"/>
      <ns0:c r="W787" s="245"/>
      <ns0:c r="X787" s="245"/>
      <ns0:c r="Y787" s="245"/>
      <ns0:c r="Z787" s="245"/>
    </ns0:row>
    <ns0:row r="788">
      <ns0:c r="A788" s="245"/>
      <ns0:c r="B788" s="245"/>
      <ns0:c r="C788" s="245"/>
      <ns0:c r="D788" s="245"/>
      <ns0:c r="E788" s="245"/>
      <ns0:c r="F788" s="245"/>
      <ns0:c r="G788" s="245"/>
      <ns0:c r="H788" s="245"/>
      <ns0:c r="I788" s="245"/>
      <ns0:c r="J788" s="245"/>
      <ns0:c r="K788" s="245"/>
      <ns0:c r="L788" s="245"/>
      <ns0:c r="M788" s="245"/>
      <ns0:c r="N788" s="245"/>
      <ns0:c r="O788" s="245"/>
      <ns0:c r="P788" s="245"/>
      <ns0:c r="Q788" s="245"/>
      <ns0:c r="R788" s="245"/>
      <ns0:c r="S788" s="245"/>
      <ns0:c r="T788" s="245"/>
      <ns0:c r="U788" s="245"/>
      <ns0:c r="V788" s="245"/>
      <ns0:c r="W788" s="245"/>
      <ns0:c r="X788" s="245"/>
      <ns0:c r="Y788" s="245"/>
      <ns0:c r="Z788" s="245"/>
    </ns0:row>
    <ns0:row r="789">
      <ns0:c r="A789" s="245"/>
      <ns0:c r="B789" s="245"/>
      <ns0:c r="C789" s="245"/>
      <ns0:c r="D789" s="245"/>
      <ns0:c r="E789" s="245"/>
      <ns0:c r="F789" s="245"/>
      <ns0:c r="G789" s="245"/>
      <ns0:c r="H789" s="245"/>
      <ns0:c r="I789" s="245"/>
      <ns0:c r="J789" s="245"/>
      <ns0:c r="K789" s="245"/>
      <ns0:c r="L789" s="245"/>
      <ns0:c r="M789" s="245"/>
      <ns0:c r="N789" s="245"/>
      <ns0:c r="O789" s="245"/>
      <ns0:c r="P789" s="245"/>
      <ns0:c r="Q789" s="245"/>
      <ns0:c r="R789" s="245"/>
      <ns0:c r="S789" s="245"/>
      <ns0:c r="T789" s="245"/>
      <ns0:c r="U789" s="245"/>
      <ns0:c r="V789" s="245"/>
      <ns0:c r="W789" s="245"/>
      <ns0:c r="X789" s="245"/>
      <ns0:c r="Y789" s="245"/>
      <ns0:c r="Z789" s="245"/>
    </ns0:row>
    <ns0:row r="790">
      <ns0:c r="A790" s="245"/>
      <ns0:c r="B790" s="245"/>
      <ns0:c r="C790" s="245"/>
      <ns0:c r="D790" s="245"/>
      <ns0:c r="E790" s="245"/>
      <ns0:c r="F790" s="245"/>
      <ns0:c r="G790" s="245"/>
      <ns0:c r="H790" s="245"/>
      <ns0:c r="I790" s="245"/>
      <ns0:c r="J790" s="245"/>
      <ns0:c r="K790" s="245"/>
      <ns0:c r="L790" s="245"/>
      <ns0:c r="M790" s="245"/>
      <ns0:c r="N790" s="245"/>
      <ns0:c r="O790" s="245"/>
      <ns0:c r="P790" s="245"/>
      <ns0:c r="Q790" s="245"/>
      <ns0:c r="R790" s="245"/>
      <ns0:c r="S790" s="245"/>
      <ns0:c r="T790" s="245"/>
      <ns0:c r="U790" s="245"/>
      <ns0:c r="V790" s="245"/>
      <ns0:c r="W790" s="245"/>
      <ns0:c r="X790" s="245"/>
      <ns0:c r="Y790" s="245"/>
      <ns0:c r="Z790" s="245"/>
    </ns0:row>
    <ns0:row r="791">
      <ns0:c r="A791" s="245"/>
      <ns0:c r="B791" s="245"/>
      <ns0:c r="C791" s="245"/>
      <ns0:c r="D791" s="245"/>
      <ns0:c r="E791" s="245"/>
      <ns0:c r="F791" s="245"/>
      <ns0:c r="G791" s="245"/>
      <ns0:c r="H791" s="245"/>
      <ns0:c r="I791" s="245"/>
      <ns0:c r="J791" s="245"/>
      <ns0:c r="K791" s="245"/>
      <ns0:c r="L791" s="245"/>
      <ns0:c r="M791" s="245"/>
      <ns0:c r="N791" s="245"/>
      <ns0:c r="O791" s="245"/>
      <ns0:c r="P791" s="245"/>
      <ns0:c r="Q791" s="245"/>
      <ns0:c r="R791" s="245"/>
      <ns0:c r="S791" s="245"/>
      <ns0:c r="T791" s="245"/>
      <ns0:c r="U791" s="245"/>
      <ns0:c r="V791" s="245"/>
      <ns0:c r="W791" s="245"/>
      <ns0:c r="X791" s="245"/>
      <ns0:c r="Y791" s="245"/>
      <ns0:c r="Z791" s="245"/>
    </ns0:row>
    <ns0:row r="792">
      <ns0:c r="A792" s="245"/>
      <ns0:c r="B792" s="245"/>
      <ns0:c r="C792" s="245"/>
      <ns0:c r="D792" s="245"/>
      <ns0:c r="E792" s="245"/>
      <ns0:c r="F792" s="245"/>
      <ns0:c r="G792" s="245"/>
      <ns0:c r="H792" s="245"/>
      <ns0:c r="I792" s="245"/>
      <ns0:c r="J792" s="245"/>
      <ns0:c r="K792" s="245"/>
      <ns0:c r="L792" s="245"/>
      <ns0:c r="M792" s="245"/>
      <ns0:c r="N792" s="245"/>
      <ns0:c r="O792" s="245"/>
      <ns0:c r="P792" s="245"/>
      <ns0:c r="Q792" s="245"/>
      <ns0:c r="R792" s="245"/>
      <ns0:c r="S792" s="245"/>
      <ns0:c r="T792" s="245"/>
      <ns0:c r="U792" s="245"/>
      <ns0:c r="V792" s="245"/>
      <ns0:c r="W792" s="245"/>
      <ns0:c r="X792" s="245"/>
      <ns0:c r="Y792" s="245"/>
      <ns0:c r="Z792" s="245"/>
    </ns0:row>
    <ns0:row r="793">
      <ns0:c r="A793" s="245"/>
      <ns0:c r="B793" s="245"/>
      <ns0:c r="C793" s="245"/>
      <ns0:c r="D793" s="245"/>
      <ns0:c r="E793" s="245"/>
      <ns0:c r="F793" s="245"/>
      <ns0:c r="G793" s="245"/>
      <ns0:c r="H793" s="245"/>
      <ns0:c r="I793" s="245"/>
      <ns0:c r="J793" s="245"/>
      <ns0:c r="K793" s="245"/>
      <ns0:c r="L793" s="245"/>
      <ns0:c r="M793" s="245"/>
      <ns0:c r="N793" s="245"/>
      <ns0:c r="O793" s="245"/>
      <ns0:c r="P793" s="245"/>
      <ns0:c r="Q793" s="245"/>
      <ns0:c r="R793" s="245"/>
      <ns0:c r="S793" s="245"/>
      <ns0:c r="T793" s="245"/>
      <ns0:c r="U793" s="245"/>
      <ns0:c r="V793" s="245"/>
      <ns0:c r="W793" s="245"/>
      <ns0:c r="X793" s="245"/>
      <ns0:c r="Y793" s="245"/>
      <ns0:c r="Z793" s="245"/>
    </ns0:row>
    <ns0:row r="794">
      <ns0:c r="A794" s="245"/>
      <ns0:c r="B794" s="245"/>
      <ns0:c r="C794" s="245"/>
      <ns0:c r="D794" s="245"/>
      <ns0:c r="E794" s="245"/>
      <ns0:c r="F794" s="245"/>
      <ns0:c r="G794" s="245"/>
      <ns0:c r="H794" s="245"/>
      <ns0:c r="I794" s="245"/>
      <ns0:c r="J794" s="245"/>
      <ns0:c r="K794" s="245"/>
      <ns0:c r="L794" s="245"/>
      <ns0:c r="M794" s="245"/>
      <ns0:c r="N794" s="245"/>
      <ns0:c r="O794" s="245"/>
      <ns0:c r="P794" s="245"/>
      <ns0:c r="Q794" s="245"/>
      <ns0:c r="R794" s="245"/>
      <ns0:c r="S794" s="245"/>
      <ns0:c r="T794" s="245"/>
      <ns0:c r="U794" s="245"/>
      <ns0:c r="V794" s="245"/>
      <ns0:c r="W794" s="245"/>
      <ns0:c r="X794" s="245"/>
      <ns0:c r="Y794" s="245"/>
      <ns0:c r="Z794" s="245"/>
    </ns0:row>
    <ns0:row r="795">
      <ns0:c r="A795" s="245"/>
      <ns0:c r="B795" s="245"/>
      <ns0:c r="C795" s="245"/>
      <ns0:c r="D795" s="245"/>
      <ns0:c r="E795" s="245"/>
      <ns0:c r="F795" s="245"/>
      <ns0:c r="G795" s="245"/>
      <ns0:c r="H795" s="245"/>
      <ns0:c r="I795" s="245"/>
      <ns0:c r="J795" s="245"/>
      <ns0:c r="K795" s="245"/>
      <ns0:c r="L795" s="245"/>
      <ns0:c r="M795" s="245"/>
      <ns0:c r="N795" s="245"/>
      <ns0:c r="O795" s="245"/>
      <ns0:c r="P795" s="245"/>
      <ns0:c r="Q795" s="245"/>
      <ns0:c r="R795" s="245"/>
      <ns0:c r="S795" s="245"/>
      <ns0:c r="T795" s="245"/>
      <ns0:c r="U795" s="245"/>
      <ns0:c r="V795" s="245"/>
      <ns0:c r="W795" s="245"/>
      <ns0:c r="X795" s="245"/>
      <ns0:c r="Y795" s="245"/>
      <ns0:c r="Z795" s="245"/>
    </ns0:row>
    <ns0:row r="796">
      <ns0:c r="A796" s="245"/>
      <ns0:c r="B796" s="245"/>
      <ns0:c r="C796" s="245"/>
      <ns0:c r="D796" s="245"/>
      <ns0:c r="E796" s="245"/>
      <ns0:c r="F796" s="245"/>
      <ns0:c r="G796" s="245"/>
      <ns0:c r="H796" s="245"/>
      <ns0:c r="I796" s="245"/>
      <ns0:c r="J796" s="245"/>
      <ns0:c r="K796" s="245"/>
      <ns0:c r="L796" s="245"/>
      <ns0:c r="M796" s="245"/>
      <ns0:c r="N796" s="245"/>
      <ns0:c r="O796" s="245"/>
      <ns0:c r="P796" s="245"/>
      <ns0:c r="Q796" s="245"/>
      <ns0:c r="R796" s="245"/>
      <ns0:c r="S796" s="245"/>
      <ns0:c r="T796" s="245"/>
      <ns0:c r="U796" s="245"/>
      <ns0:c r="V796" s="245"/>
      <ns0:c r="W796" s="245"/>
      <ns0:c r="X796" s="245"/>
      <ns0:c r="Y796" s="245"/>
      <ns0:c r="Z796" s="245"/>
    </ns0:row>
    <ns0:row r="797">
      <ns0:c r="A797" s="245"/>
      <ns0:c r="B797" s="245"/>
      <ns0:c r="C797" s="245"/>
      <ns0:c r="D797" s="245"/>
      <ns0:c r="E797" s="245"/>
      <ns0:c r="F797" s="245"/>
      <ns0:c r="G797" s="245"/>
      <ns0:c r="H797" s="245"/>
      <ns0:c r="I797" s="245"/>
      <ns0:c r="J797" s="245"/>
      <ns0:c r="K797" s="245"/>
      <ns0:c r="L797" s="245"/>
      <ns0:c r="M797" s="245"/>
      <ns0:c r="N797" s="245"/>
      <ns0:c r="O797" s="245"/>
      <ns0:c r="P797" s="245"/>
      <ns0:c r="Q797" s="245"/>
      <ns0:c r="R797" s="245"/>
      <ns0:c r="S797" s="245"/>
      <ns0:c r="T797" s="245"/>
      <ns0:c r="U797" s="245"/>
      <ns0:c r="V797" s="245"/>
      <ns0:c r="W797" s="245"/>
      <ns0:c r="X797" s="245"/>
      <ns0:c r="Y797" s="245"/>
      <ns0:c r="Z797" s="245"/>
    </ns0:row>
    <ns0:row r="798">
      <ns0:c r="A798" s="245"/>
      <ns0:c r="B798" s="245"/>
      <ns0:c r="C798" s="245"/>
      <ns0:c r="D798" s="245"/>
      <ns0:c r="E798" s="245"/>
      <ns0:c r="F798" s="245"/>
      <ns0:c r="G798" s="245"/>
      <ns0:c r="H798" s="245"/>
      <ns0:c r="I798" s="245"/>
      <ns0:c r="J798" s="245"/>
      <ns0:c r="K798" s="245"/>
      <ns0:c r="L798" s="245"/>
      <ns0:c r="M798" s="245"/>
      <ns0:c r="N798" s="245"/>
      <ns0:c r="O798" s="245"/>
      <ns0:c r="P798" s="245"/>
      <ns0:c r="Q798" s="245"/>
      <ns0:c r="R798" s="245"/>
      <ns0:c r="S798" s="245"/>
      <ns0:c r="T798" s="245"/>
      <ns0:c r="U798" s="245"/>
      <ns0:c r="V798" s="245"/>
      <ns0:c r="W798" s="245"/>
      <ns0:c r="X798" s="245"/>
      <ns0:c r="Y798" s="245"/>
      <ns0:c r="Z798" s="245"/>
    </ns0:row>
    <ns0:row r="799">
      <ns0:c r="A799" s="245"/>
      <ns0:c r="B799" s="245"/>
      <ns0:c r="C799" s="245"/>
      <ns0:c r="D799" s="245"/>
      <ns0:c r="E799" s="245"/>
      <ns0:c r="F799" s="245"/>
      <ns0:c r="G799" s="245"/>
      <ns0:c r="H799" s="245"/>
      <ns0:c r="I799" s="245"/>
      <ns0:c r="J799" s="245"/>
      <ns0:c r="K799" s="245"/>
      <ns0:c r="L799" s="245"/>
      <ns0:c r="M799" s="245"/>
      <ns0:c r="N799" s="245"/>
      <ns0:c r="O799" s="245"/>
      <ns0:c r="P799" s="245"/>
      <ns0:c r="Q799" s="245"/>
      <ns0:c r="R799" s="245"/>
      <ns0:c r="S799" s="245"/>
      <ns0:c r="T799" s="245"/>
      <ns0:c r="U799" s="245"/>
      <ns0:c r="V799" s="245"/>
      <ns0:c r="W799" s="245"/>
      <ns0:c r="X799" s="245"/>
      <ns0:c r="Y799" s="245"/>
      <ns0:c r="Z799" s="245"/>
    </ns0:row>
    <ns0:row r="800">
      <ns0:c r="A800" s="245"/>
      <ns0:c r="B800" s="245"/>
      <ns0:c r="C800" s="245"/>
      <ns0:c r="D800" s="245"/>
      <ns0:c r="E800" s="245"/>
      <ns0:c r="F800" s="245"/>
      <ns0:c r="G800" s="245"/>
      <ns0:c r="H800" s="245"/>
      <ns0:c r="I800" s="245"/>
      <ns0:c r="J800" s="245"/>
      <ns0:c r="K800" s="245"/>
      <ns0:c r="L800" s="245"/>
      <ns0:c r="M800" s="245"/>
      <ns0:c r="N800" s="245"/>
      <ns0:c r="O800" s="245"/>
      <ns0:c r="P800" s="245"/>
      <ns0:c r="Q800" s="245"/>
      <ns0:c r="R800" s="245"/>
      <ns0:c r="S800" s="245"/>
      <ns0:c r="T800" s="245"/>
      <ns0:c r="U800" s="245"/>
      <ns0:c r="V800" s="245"/>
      <ns0:c r="W800" s="245"/>
      <ns0:c r="X800" s="245"/>
      <ns0:c r="Y800" s="245"/>
      <ns0:c r="Z800" s="245"/>
    </ns0:row>
    <ns0:row r="801">
      <ns0:c r="A801" s="245"/>
      <ns0:c r="B801" s="245"/>
      <ns0:c r="C801" s="245"/>
      <ns0:c r="D801" s="245"/>
      <ns0:c r="E801" s="245"/>
      <ns0:c r="F801" s="245"/>
      <ns0:c r="G801" s="245"/>
      <ns0:c r="H801" s="245"/>
      <ns0:c r="I801" s="245"/>
      <ns0:c r="J801" s="245"/>
      <ns0:c r="K801" s="245"/>
      <ns0:c r="L801" s="245"/>
      <ns0:c r="M801" s="245"/>
      <ns0:c r="N801" s="245"/>
      <ns0:c r="O801" s="245"/>
      <ns0:c r="P801" s="245"/>
      <ns0:c r="Q801" s="245"/>
      <ns0:c r="R801" s="245"/>
      <ns0:c r="S801" s="245"/>
      <ns0:c r="T801" s="245"/>
      <ns0:c r="U801" s="245"/>
      <ns0:c r="V801" s="245"/>
      <ns0:c r="W801" s="245"/>
      <ns0:c r="X801" s="245"/>
      <ns0:c r="Y801" s="245"/>
      <ns0:c r="Z801" s="245"/>
    </ns0:row>
    <ns0:row r="802">
      <ns0:c r="A802" s="245"/>
      <ns0:c r="B802" s="245"/>
      <ns0:c r="C802" s="245"/>
      <ns0:c r="D802" s="245"/>
      <ns0:c r="E802" s="245"/>
      <ns0:c r="F802" s="245"/>
      <ns0:c r="G802" s="245"/>
      <ns0:c r="H802" s="245"/>
      <ns0:c r="I802" s="245"/>
      <ns0:c r="J802" s="245"/>
      <ns0:c r="K802" s="245"/>
      <ns0:c r="L802" s="245"/>
      <ns0:c r="M802" s="245"/>
      <ns0:c r="N802" s="245"/>
      <ns0:c r="O802" s="245"/>
      <ns0:c r="P802" s="245"/>
      <ns0:c r="Q802" s="245"/>
      <ns0:c r="R802" s="245"/>
      <ns0:c r="S802" s="245"/>
      <ns0:c r="T802" s="245"/>
      <ns0:c r="U802" s="245"/>
      <ns0:c r="V802" s="245"/>
      <ns0:c r="W802" s="245"/>
      <ns0:c r="X802" s="245"/>
      <ns0:c r="Y802" s="245"/>
      <ns0:c r="Z802" s="245"/>
    </ns0:row>
    <ns0:row r="803">
      <ns0:c r="A803" s="245"/>
      <ns0:c r="B803" s="245"/>
      <ns0:c r="C803" s="245"/>
      <ns0:c r="D803" s="245"/>
      <ns0:c r="E803" s="245"/>
      <ns0:c r="F803" s="245"/>
      <ns0:c r="G803" s="245"/>
      <ns0:c r="H803" s="245"/>
      <ns0:c r="I803" s="245"/>
      <ns0:c r="J803" s="245"/>
      <ns0:c r="K803" s="245"/>
      <ns0:c r="L803" s="245"/>
      <ns0:c r="M803" s="245"/>
      <ns0:c r="N803" s="245"/>
      <ns0:c r="O803" s="245"/>
      <ns0:c r="P803" s="245"/>
      <ns0:c r="Q803" s="245"/>
      <ns0:c r="R803" s="245"/>
      <ns0:c r="S803" s="245"/>
      <ns0:c r="T803" s="245"/>
      <ns0:c r="U803" s="245"/>
      <ns0:c r="V803" s="245"/>
      <ns0:c r="W803" s="245"/>
      <ns0:c r="X803" s="245"/>
      <ns0:c r="Y803" s="245"/>
      <ns0:c r="Z803" s="245"/>
    </ns0:row>
    <ns0:row r="804">
      <ns0:c r="A804" s="245"/>
      <ns0:c r="B804" s="245"/>
      <ns0:c r="C804" s="245"/>
      <ns0:c r="D804" s="245"/>
      <ns0:c r="E804" s="245"/>
      <ns0:c r="F804" s="245"/>
      <ns0:c r="G804" s="245"/>
      <ns0:c r="H804" s="245"/>
      <ns0:c r="I804" s="245"/>
      <ns0:c r="J804" s="245"/>
      <ns0:c r="K804" s="245"/>
      <ns0:c r="L804" s="245"/>
      <ns0:c r="M804" s="245"/>
      <ns0:c r="N804" s="245"/>
      <ns0:c r="O804" s="245"/>
      <ns0:c r="P804" s="245"/>
      <ns0:c r="Q804" s="245"/>
      <ns0:c r="R804" s="245"/>
      <ns0:c r="S804" s="245"/>
      <ns0:c r="T804" s="245"/>
      <ns0:c r="U804" s="245"/>
      <ns0:c r="V804" s="245"/>
      <ns0:c r="W804" s="245"/>
      <ns0:c r="X804" s="245"/>
      <ns0:c r="Y804" s="245"/>
      <ns0:c r="Z804" s="245"/>
    </ns0:row>
    <ns0:row r="805">
      <ns0:c r="A805" s="245"/>
      <ns0:c r="B805" s="245"/>
      <ns0:c r="C805" s="245"/>
      <ns0:c r="D805" s="245"/>
      <ns0:c r="E805" s="245"/>
      <ns0:c r="F805" s="245"/>
      <ns0:c r="G805" s="245"/>
      <ns0:c r="H805" s="245"/>
      <ns0:c r="I805" s="245"/>
      <ns0:c r="J805" s="245"/>
      <ns0:c r="K805" s="245"/>
      <ns0:c r="L805" s="245"/>
      <ns0:c r="M805" s="245"/>
      <ns0:c r="N805" s="245"/>
      <ns0:c r="O805" s="245"/>
      <ns0:c r="P805" s="245"/>
      <ns0:c r="Q805" s="245"/>
      <ns0:c r="R805" s="245"/>
      <ns0:c r="S805" s="245"/>
      <ns0:c r="T805" s="245"/>
      <ns0:c r="U805" s="245"/>
      <ns0:c r="V805" s="245"/>
      <ns0:c r="W805" s="245"/>
      <ns0:c r="X805" s="245"/>
      <ns0:c r="Y805" s="245"/>
      <ns0:c r="Z805" s="245"/>
    </ns0:row>
    <ns0:row r="806">
      <ns0:c r="A806" s="245"/>
      <ns0:c r="B806" s="245"/>
      <ns0:c r="C806" s="245"/>
      <ns0:c r="D806" s="245"/>
      <ns0:c r="E806" s="245"/>
      <ns0:c r="F806" s="245"/>
      <ns0:c r="G806" s="245"/>
      <ns0:c r="H806" s="245"/>
      <ns0:c r="I806" s="245"/>
      <ns0:c r="J806" s="245"/>
      <ns0:c r="K806" s="245"/>
      <ns0:c r="L806" s="245"/>
      <ns0:c r="M806" s="245"/>
      <ns0:c r="N806" s="245"/>
      <ns0:c r="O806" s="245"/>
      <ns0:c r="P806" s="245"/>
      <ns0:c r="Q806" s="245"/>
      <ns0:c r="R806" s="245"/>
      <ns0:c r="S806" s="245"/>
      <ns0:c r="T806" s="245"/>
      <ns0:c r="U806" s="245"/>
      <ns0:c r="V806" s="245"/>
      <ns0:c r="W806" s="245"/>
      <ns0:c r="X806" s="245"/>
      <ns0:c r="Y806" s="245"/>
      <ns0:c r="Z806" s="245"/>
    </ns0:row>
    <ns0:row r="807">
      <ns0:c r="A807" s="245"/>
      <ns0:c r="B807" s="245"/>
      <ns0:c r="C807" s="245"/>
      <ns0:c r="D807" s="245"/>
      <ns0:c r="E807" s="245"/>
      <ns0:c r="F807" s="245"/>
      <ns0:c r="G807" s="245"/>
      <ns0:c r="H807" s="245"/>
      <ns0:c r="I807" s="245"/>
      <ns0:c r="J807" s="245"/>
      <ns0:c r="K807" s="245"/>
      <ns0:c r="L807" s="245"/>
      <ns0:c r="M807" s="245"/>
      <ns0:c r="N807" s="245"/>
      <ns0:c r="O807" s="245"/>
      <ns0:c r="P807" s="245"/>
      <ns0:c r="Q807" s="245"/>
      <ns0:c r="R807" s="245"/>
      <ns0:c r="S807" s="245"/>
      <ns0:c r="T807" s="245"/>
      <ns0:c r="U807" s="245"/>
      <ns0:c r="V807" s="245"/>
      <ns0:c r="W807" s="245"/>
      <ns0:c r="X807" s="245"/>
      <ns0:c r="Y807" s="245"/>
      <ns0:c r="Z807" s="245"/>
    </ns0:row>
    <ns0:row r="808">
      <ns0:c r="A808" s="245"/>
      <ns0:c r="B808" s="245"/>
      <ns0:c r="C808" s="245"/>
      <ns0:c r="D808" s="245"/>
      <ns0:c r="E808" s="245"/>
      <ns0:c r="F808" s="245"/>
      <ns0:c r="G808" s="245"/>
      <ns0:c r="H808" s="245"/>
      <ns0:c r="I808" s="245"/>
      <ns0:c r="J808" s="245"/>
      <ns0:c r="K808" s="245"/>
      <ns0:c r="L808" s="245"/>
      <ns0:c r="M808" s="245"/>
      <ns0:c r="N808" s="245"/>
      <ns0:c r="O808" s="245"/>
      <ns0:c r="P808" s="245"/>
      <ns0:c r="Q808" s="245"/>
      <ns0:c r="R808" s="245"/>
      <ns0:c r="S808" s="245"/>
      <ns0:c r="T808" s="245"/>
      <ns0:c r="U808" s="245"/>
      <ns0:c r="V808" s="245"/>
      <ns0:c r="W808" s="245"/>
      <ns0:c r="X808" s="245"/>
      <ns0:c r="Y808" s="245"/>
      <ns0:c r="Z808" s="245"/>
    </ns0:row>
    <ns0:row r="809">
      <ns0:c r="A809" s="245"/>
      <ns0:c r="B809" s="245"/>
      <ns0:c r="C809" s="245"/>
      <ns0:c r="D809" s="245"/>
      <ns0:c r="E809" s="245"/>
      <ns0:c r="F809" s="245"/>
      <ns0:c r="G809" s="245"/>
      <ns0:c r="H809" s="245"/>
      <ns0:c r="I809" s="245"/>
      <ns0:c r="J809" s="245"/>
      <ns0:c r="K809" s="245"/>
      <ns0:c r="L809" s="245"/>
      <ns0:c r="M809" s="245"/>
      <ns0:c r="N809" s="245"/>
      <ns0:c r="O809" s="245"/>
      <ns0:c r="P809" s="245"/>
      <ns0:c r="Q809" s="245"/>
      <ns0:c r="R809" s="245"/>
      <ns0:c r="S809" s="245"/>
      <ns0:c r="T809" s="245"/>
      <ns0:c r="U809" s="245"/>
      <ns0:c r="V809" s="245"/>
      <ns0:c r="W809" s="245"/>
      <ns0:c r="X809" s="245"/>
      <ns0:c r="Y809" s="245"/>
      <ns0:c r="Z809" s="245"/>
    </ns0:row>
    <ns0:row r="810">
      <ns0:c r="A810" s="245"/>
      <ns0:c r="B810" s="245"/>
      <ns0:c r="C810" s="245"/>
      <ns0:c r="D810" s="245"/>
      <ns0:c r="E810" s="245"/>
      <ns0:c r="F810" s="245"/>
      <ns0:c r="G810" s="245"/>
      <ns0:c r="H810" s="245"/>
      <ns0:c r="I810" s="245"/>
      <ns0:c r="J810" s="245"/>
      <ns0:c r="K810" s="245"/>
      <ns0:c r="L810" s="245"/>
      <ns0:c r="M810" s="245"/>
      <ns0:c r="N810" s="245"/>
      <ns0:c r="O810" s="245"/>
      <ns0:c r="P810" s="245"/>
      <ns0:c r="Q810" s="245"/>
      <ns0:c r="R810" s="245"/>
      <ns0:c r="S810" s="245"/>
      <ns0:c r="T810" s="245"/>
      <ns0:c r="U810" s="245"/>
      <ns0:c r="V810" s="245"/>
      <ns0:c r="W810" s="245"/>
      <ns0:c r="X810" s="245"/>
      <ns0:c r="Y810" s="245"/>
      <ns0:c r="Z810" s="245"/>
    </ns0:row>
    <ns0:row r="811">
      <ns0:c r="A811" s="245"/>
      <ns0:c r="B811" s="245"/>
      <ns0:c r="C811" s="245"/>
      <ns0:c r="D811" s="245"/>
      <ns0:c r="E811" s="245"/>
      <ns0:c r="F811" s="245"/>
      <ns0:c r="G811" s="245"/>
      <ns0:c r="H811" s="245"/>
      <ns0:c r="I811" s="245"/>
      <ns0:c r="J811" s="245"/>
      <ns0:c r="K811" s="245"/>
      <ns0:c r="L811" s="245"/>
      <ns0:c r="M811" s="245"/>
      <ns0:c r="N811" s="245"/>
      <ns0:c r="O811" s="245"/>
      <ns0:c r="P811" s="245"/>
      <ns0:c r="Q811" s="245"/>
      <ns0:c r="R811" s="245"/>
      <ns0:c r="S811" s="245"/>
      <ns0:c r="T811" s="245"/>
      <ns0:c r="U811" s="245"/>
      <ns0:c r="V811" s="245"/>
      <ns0:c r="W811" s="245"/>
      <ns0:c r="X811" s="245"/>
      <ns0:c r="Y811" s="245"/>
      <ns0:c r="Z811" s="245"/>
    </ns0:row>
    <ns0:row r="812">
      <ns0:c r="A812" s="245"/>
      <ns0:c r="B812" s="245"/>
      <ns0:c r="C812" s="245"/>
      <ns0:c r="D812" s="245"/>
      <ns0:c r="E812" s="245"/>
      <ns0:c r="F812" s="245"/>
      <ns0:c r="G812" s="245"/>
      <ns0:c r="H812" s="245"/>
      <ns0:c r="I812" s="245"/>
      <ns0:c r="J812" s="245"/>
      <ns0:c r="K812" s="245"/>
      <ns0:c r="L812" s="245"/>
      <ns0:c r="M812" s="245"/>
      <ns0:c r="N812" s="245"/>
      <ns0:c r="O812" s="245"/>
      <ns0:c r="P812" s="245"/>
      <ns0:c r="Q812" s="245"/>
      <ns0:c r="R812" s="245"/>
      <ns0:c r="S812" s="245"/>
      <ns0:c r="T812" s="245"/>
      <ns0:c r="U812" s="245"/>
      <ns0:c r="V812" s="245"/>
      <ns0:c r="W812" s="245"/>
      <ns0:c r="X812" s="245"/>
      <ns0:c r="Y812" s="245"/>
      <ns0:c r="Z812" s="245"/>
    </ns0:row>
    <ns0:row r="813">
      <ns0:c r="A813" s="245"/>
      <ns0:c r="B813" s="245"/>
      <ns0:c r="C813" s="245"/>
      <ns0:c r="D813" s="245"/>
      <ns0:c r="E813" s="245"/>
      <ns0:c r="F813" s="245"/>
      <ns0:c r="G813" s="245"/>
      <ns0:c r="H813" s="245"/>
      <ns0:c r="I813" s="245"/>
      <ns0:c r="J813" s="245"/>
      <ns0:c r="K813" s="245"/>
      <ns0:c r="L813" s="245"/>
      <ns0:c r="M813" s="245"/>
      <ns0:c r="N813" s="245"/>
      <ns0:c r="O813" s="245"/>
      <ns0:c r="P813" s="245"/>
      <ns0:c r="Q813" s="245"/>
      <ns0:c r="R813" s="245"/>
      <ns0:c r="S813" s="245"/>
      <ns0:c r="T813" s="245"/>
      <ns0:c r="U813" s="245"/>
      <ns0:c r="V813" s="245"/>
      <ns0:c r="W813" s="245"/>
      <ns0:c r="X813" s="245"/>
      <ns0:c r="Y813" s="245"/>
      <ns0:c r="Z813" s="245"/>
    </ns0:row>
    <ns0:row r="814">
      <ns0:c r="A814" s="245"/>
      <ns0:c r="B814" s="245"/>
      <ns0:c r="C814" s="245"/>
      <ns0:c r="D814" s="245"/>
      <ns0:c r="E814" s="245"/>
      <ns0:c r="F814" s="245"/>
      <ns0:c r="G814" s="245"/>
      <ns0:c r="H814" s="245"/>
      <ns0:c r="I814" s="245"/>
      <ns0:c r="J814" s="245"/>
      <ns0:c r="K814" s="245"/>
      <ns0:c r="L814" s="245"/>
      <ns0:c r="M814" s="245"/>
      <ns0:c r="N814" s="245"/>
      <ns0:c r="O814" s="245"/>
      <ns0:c r="P814" s="245"/>
      <ns0:c r="Q814" s="245"/>
      <ns0:c r="R814" s="245"/>
      <ns0:c r="S814" s="245"/>
      <ns0:c r="T814" s="245"/>
      <ns0:c r="U814" s="245"/>
      <ns0:c r="V814" s="245"/>
      <ns0:c r="W814" s="245"/>
      <ns0:c r="X814" s="245"/>
      <ns0:c r="Y814" s="245"/>
      <ns0:c r="Z814" s="245"/>
    </ns0:row>
    <ns0:row r="815">
      <ns0:c r="A815" s="245"/>
      <ns0:c r="B815" s="245"/>
      <ns0:c r="C815" s="245"/>
      <ns0:c r="D815" s="245"/>
      <ns0:c r="E815" s="245"/>
      <ns0:c r="F815" s="245"/>
      <ns0:c r="G815" s="245"/>
      <ns0:c r="H815" s="245"/>
      <ns0:c r="I815" s="245"/>
      <ns0:c r="J815" s="245"/>
      <ns0:c r="K815" s="245"/>
      <ns0:c r="L815" s="245"/>
      <ns0:c r="M815" s="245"/>
      <ns0:c r="N815" s="245"/>
      <ns0:c r="O815" s="245"/>
      <ns0:c r="P815" s="245"/>
      <ns0:c r="Q815" s="245"/>
      <ns0:c r="R815" s="245"/>
      <ns0:c r="S815" s="245"/>
      <ns0:c r="T815" s="245"/>
      <ns0:c r="U815" s="245"/>
      <ns0:c r="V815" s="245"/>
      <ns0:c r="W815" s="245"/>
      <ns0:c r="X815" s="245"/>
      <ns0:c r="Y815" s="245"/>
      <ns0:c r="Z815" s="245"/>
    </ns0:row>
    <ns0:row r="816">
      <ns0:c r="A816" s="245"/>
      <ns0:c r="B816" s="245"/>
      <ns0:c r="C816" s="245"/>
      <ns0:c r="D816" s="245"/>
      <ns0:c r="E816" s="245"/>
      <ns0:c r="F816" s="245"/>
      <ns0:c r="G816" s="245"/>
      <ns0:c r="H816" s="245"/>
      <ns0:c r="I816" s="245"/>
      <ns0:c r="J816" s="245"/>
      <ns0:c r="K816" s="245"/>
      <ns0:c r="L816" s="245"/>
      <ns0:c r="M816" s="245"/>
      <ns0:c r="N816" s="245"/>
      <ns0:c r="O816" s="245"/>
      <ns0:c r="P816" s="245"/>
      <ns0:c r="Q816" s="245"/>
      <ns0:c r="R816" s="245"/>
      <ns0:c r="S816" s="245"/>
      <ns0:c r="T816" s="245"/>
      <ns0:c r="U816" s="245"/>
      <ns0:c r="V816" s="245"/>
      <ns0:c r="W816" s="245"/>
      <ns0:c r="X816" s="245"/>
      <ns0:c r="Y816" s="245"/>
      <ns0:c r="Z816" s="245"/>
    </ns0:row>
    <ns0:row r="817">
      <ns0:c r="A817" s="245"/>
      <ns0:c r="B817" s="245"/>
      <ns0:c r="C817" s="245"/>
      <ns0:c r="D817" s="245"/>
      <ns0:c r="E817" s="245"/>
      <ns0:c r="F817" s="245"/>
      <ns0:c r="G817" s="245"/>
      <ns0:c r="H817" s="245"/>
      <ns0:c r="I817" s="245"/>
      <ns0:c r="J817" s="245"/>
      <ns0:c r="K817" s="245"/>
      <ns0:c r="L817" s="245"/>
      <ns0:c r="M817" s="245"/>
      <ns0:c r="N817" s="245"/>
      <ns0:c r="O817" s="245"/>
      <ns0:c r="P817" s="245"/>
      <ns0:c r="Q817" s="245"/>
      <ns0:c r="R817" s="245"/>
      <ns0:c r="S817" s="245"/>
      <ns0:c r="T817" s="245"/>
      <ns0:c r="U817" s="245"/>
      <ns0:c r="V817" s="245"/>
      <ns0:c r="W817" s="245"/>
      <ns0:c r="X817" s="245"/>
      <ns0:c r="Y817" s="245"/>
      <ns0:c r="Z817" s="245"/>
    </ns0:row>
    <ns0:row r="818">
      <ns0:c r="A818" s="245"/>
      <ns0:c r="B818" s="245"/>
      <ns0:c r="C818" s="245"/>
      <ns0:c r="D818" s="245"/>
      <ns0:c r="E818" s="245"/>
      <ns0:c r="F818" s="245"/>
      <ns0:c r="G818" s="245"/>
      <ns0:c r="H818" s="245"/>
      <ns0:c r="I818" s="245"/>
      <ns0:c r="J818" s="245"/>
      <ns0:c r="K818" s="245"/>
      <ns0:c r="L818" s="245"/>
      <ns0:c r="M818" s="245"/>
      <ns0:c r="N818" s="245"/>
      <ns0:c r="O818" s="245"/>
      <ns0:c r="P818" s="245"/>
      <ns0:c r="Q818" s="245"/>
      <ns0:c r="R818" s="245"/>
      <ns0:c r="S818" s="245"/>
      <ns0:c r="T818" s="245"/>
      <ns0:c r="U818" s="245"/>
      <ns0:c r="V818" s="245"/>
      <ns0:c r="W818" s="245"/>
      <ns0:c r="X818" s="245"/>
      <ns0:c r="Y818" s="245"/>
      <ns0:c r="Z818" s="245"/>
    </ns0:row>
    <ns0:row r="819">
      <ns0:c r="A819" s="245"/>
      <ns0:c r="B819" s="245"/>
      <ns0:c r="C819" s="245"/>
      <ns0:c r="D819" s="245"/>
      <ns0:c r="E819" s="245"/>
      <ns0:c r="F819" s="245"/>
      <ns0:c r="G819" s="245"/>
      <ns0:c r="H819" s="245"/>
      <ns0:c r="I819" s="245"/>
      <ns0:c r="J819" s="245"/>
      <ns0:c r="K819" s="245"/>
      <ns0:c r="L819" s="245"/>
      <ns0:c r="M819" s="245"/>
      <ns0:c r="N819" s="245"/>
      <ns0:c r="O819" s="245"/>
      <ns0:c r="P819" s="245"/>
      <ns0:c r="Q819" s="245"/>
      <ns0:c r="R819" s="245"/>
      <ns0:c r="S819" s="245"/>
      <ns0:c r="T819" s="245"/>
      <ns0:c r="U819" s="245"/>
      <ns0:c r="V819" s="245"/>
      <ns0:c r="W819" s="245"/>
      <ns0:c r="X819" s="245"/>
      <ns0:c r="Y819" s="245"/>
      <ns0:c r="Z819" s="245"/>
    </ns0:row>
    <ns0:row r="820">
      <ns0:c r="A820" s="245"/>
      <ns0:c r="B820" s="245"/>
      <ns0:c r="C820" s="245"/>
      <ns0:c r="D820" s="245"/>
      <ns0:c r="E820" s="245"/>
      <ns0:c r="F820" s="245"/>
      <ns0:c r="G820" s="245"/>
      <ns0:c r="H820" s="245"/>
      <ns0:c r="I820" s="245"/>
      <ns0:c r="J820" s="245"/>
      <ns0:c r="K820" s="245"/>
      <ns0:c r="L820" s="245"/>
      <ns0:c r="M820" s="245"/>
      <ns0:c r="N820" s="245"/>
      <ns0:c r="O820" s="245"/>
      <ns0:c r="P820" s="245"/>
      <ns0:c r="Q820" s="245"/>
      <ns0:c r="R820" s="245"/>
      <ns0:c r="S820" s="245"/>
      <ns0:c r="T820" s="245"/>
      <ns0:c r="U820" s="245"/>
      <ns0:c r="V820" s="245"/>
      <ns0:c r="W820" s="245"/>
      <ns0:c r="X820" s="245"/>
      <ns0:c r="Y820" s="245"/>
      <ns0:c r="Z820" s="245"/>
    </ns0:row>
    <ns0:row r="821">
      <ns0:c r="A821" s="245"/>
      <ns0:c r="B821" s="245"/>
      <ns0:c r="C821" s="245"/>
      <ns0:c r="D821" s="245"/>
      <ns0:c r="E821" s="245"/>
      <ns0:c r="F821" s="245"/>
      <ns0:c r="G821" s="245"/>
      <ns0:c r="H821" s="245"/>
      <ns0:c r="I821" s="245"/>
      <ns0:c r="J821" s="245"/>
      <ns0:c r="K821" s="245"/>
      <ns0:c r="L821" s="245"/>
      <ns0:c r="M821" s="245"/>
      <ns0:c r="N821" s="245"/>
      <ns0:c r="O821" s="245"/>
      <ns0:c r="P821" s="245"/>
      <ns0:c r="Q821" s="245"/>
      <ns0:c r="R821" s="245"/>
      <ns0:c r="S821" s="245"/>
      <ns0:c r="T821" s="245"/>
      <ns0:c r="U821" s="245"/>
      <ns0:c r="V821" s="245"/>
      <ns0:c r="W821" s="245"/>
      <ns0:c r="X821" s="245"/>
      <ns0:c r="Y821" s="245"/>
      <ns0:c r="Z821" s="245"/>
    </ns0:row>
    <ns0:row r="822">
      <ns0:c r="A822" s="245"/>
      <ns0:c r="B822" s="245"/>
      <ns0:c r="C822" s="245"/>
      <ns0:c r="D822" s="245"/>
      <ns0:c r="E822" s="245"/>
      <ns0:c r="F822" s="245"/>
      <ns0:c r="G822" s="245"/>
      <ns0:c r="H822" s="245"/>
      <ns0:c r="I822" s="245"/>
      <ns0:c r="J822" s="245"/>
      <ns0:c r="K822" s="245"/>
      <ns0:c r="L822" s="245"/>
      <ns0:c r="M822" s="245"/>
      <ns0:c r="N822" s="245"/>
      <ns0:c r="O822" s="245"/>
      <ns0:c r="P822" s="245"/>
      <ns0:c r="Q822" s="245"/>
      <ns0:c r="R822" s="245"/>
      <ns0:c r="S822" s="245"/>
      <ns0:c r="T822" s="245"/>
      <ns0:c r="U822" s="245"/>
      <ns0:c r="V822" s="245"/>
      <ns0:c r="W822" s="245"/>
      <ns0:c r="X822" s="245"/>
      <ns0:c r="Y822" s="245"/>
      <ns0:c r="Z822" s="245"/>
    </ns0:row>
    <ns0:row r="823">
      <ns0:c r="A823" s="245"/>
      <ns0:c r="B823" s="245"/>
      <ns0:c r="C823" s="245"/>
      <ns0:c r="D823" s="245"/>
      <ns0:c r="E823" s="245"/>
      <ns0:c r="F823" s="245"/>
      <ns0:c r="G823" s="245"/>
      <ns0:c r="H823" s="245"/>
      <ns0:c r="I823" s="245"/>
      <ns0:c r="J823" s="245"/>
      <ns0:c r="K823" s="245"/>
      <ns0:c r="L823" s="245"/>
      <ns0:c r="M823" s="245"/>
      <ns0:c r="N823" s="245"/>
      <ns0:c r="O823" s="245"/>
      <ns0:c r="P823" s="245"/>
      <ns0:c r="Q823" s="245"/>
      <ns0:c r="R823" s="245"/>
      <ns0:c r="S823" s="245"/>
      <ns0:c r="T823" s="245"/>
      <ns0:c r="U823" s="245"/>
      <ns0:c r="V823" s="245"/>
      <ns0:c r="W823" s="245"/>
      <ns0:c r="X823" s="245"/>
      <ns0:c r="Y823" s="245"/>
      <ns0:c r="Z823" s="245"/>
    </ns0:row>
    <ns0:row r="824">
      <ns0:c r="A824" s="245"/>
      <ns0:c r="B824" s="245"/>
      <ns0:c r="C824" s="245"/>
      <ns0:c r="D824" s="245"/>
      <ns0:c r="E824" s="245"/>
      <ns0:c r="F824" s="245"/>
      <ns0:c r="G824" s="245"/>
      <ns0:c r="H824" s="245"/>
      <ns0:c r="I824" s="245"/>
      <ns0:c r="J824" s="245"/>
      <ns0:c r="K824" s="245"/>
      <ns0:c r="L824" s="245"/>
      <ns0:c r="M824" s="245"/>
      <ns0:c r="N824" s="245"/>
      <ns0:c r="O824" s="245"/>
      <ns0:c r="P824" s="245"/>
      <ns0:c r="Q824" s="245"/>
      <ns0:c r="R824" s="245"/>
      <ns0:c r="S824" s="245"/>
      <ns0:c r="T824" s="245"/>
      <ns0:c r="U824" s="245"/>
      <ns0:c r="V824" s="245"/>
      <ns0:c r="W824" s="245"/>
      <ns0:c r="X824" s="245"/>
      <ns0:c r="Y824" s="245"/>
      <ns0:c r="Z824" s="245"/>
    </ns0:row>
    <ns0:row r="825">
      <ns0:c r="A825" s="245"/>
      <ns0:c r="B825" s="245"/>
      <ns0:c r="C825" s="245"/>
      <ns0:c r="D825" s="245"/>
      <ns0:c r="E825" s="245"/>
      <ns0:c r="F825" s="245"/>
      <ns0:c r="G825" s="245"/>
      <ns0:c r="H825" s="245"/>
      <ns0:c r="I825" s="245"/>
      <ns0:c r="J825" s="245"/>
      <ns0:c r="K825" s="245"/>
      <ns0:c r="L825" s="245"/>
      <ns0:c r="M825" s="245"/>
      <ns0:c r="N825" s="245"/>
      <ns0:c r="O825" s="245"/>
      <ns0:c r="P825" s="245"/>
      <ns0:c r="Q825" s="245"/>
      <ns0:c r="R825" s="245"/>
      <ns0:c r="S825" s="245"/>
      <ns0:c r="T825" s="245"/>
      <ns0:c r="U825" s="245"/>
      <ns0:c r="V825" s="245"/>
      <ns0:c r="W825" s="245"/>
      <ns0:c r="X825" s="245"/>
      <ns0:c r="Y825" s="245"/>
      <ns0:c r="Z825" s="245"/>
    </ns0:row>
    <ns0:row r="826">
      <ns0:c r="A826" s="245"/>
      <ns0:c r="B826" s="245"/>
      <ns0:c r="C826" s="245"/>
      <ns0:c r="D826" s="245"/>
      <ns0:c r="E826" s="245"/>
      <ns0:c r="F826" s="245"/>
      <ns0:c r="G826" s="245"/>
      <ns0:c r="H826" s="245"/>
      <ns0:c r="I826" s="245"/>
      <ns0:c r="J826" s="245"/>
      <ns0:c r="K826" s="245"/>
      <ns0:c r="L826" s="245"/>
      <ns0:c r="M826" s="245"/>
      <ns0:c r="N826" s="245"/>
      <ns0:c r="O826" s="245"/>
      <ns0:c r="P826" s="245"/>
      <ns0:c r="Q826" s="245"/>
      <ns0:c r="R826" s="245"/>
      <ns0:c r="S826" s="245"/>
      <ns0:c r="T826" s="245"/>
      <ns0:c r="U826" s="245"/>
      <ns0:c r="V826" s="245"/>
      <ns0:c r="W826" s="245"/>
      <ns0:c r="X826" s="245"/>
      <ns0:c r="Y826" s="245"/>
      <ns0:c r="Z826" s="245"/>
    </ns0:row>
    <ns0:row r="827">
      <ns0:c r="A827" s="245"/>
      <ns0:c r="B827" s="245"/>
      <ns0:c r="C827" s="245"/>
      <ns0:c r="D827" s="245"/>
      <ns0:c r="E827" s="245"/>
      <ns0:c r="F827" s="245"/>
      <ns0:c r="G827" s="245"/>
      <ns0:c r="H827" s="245"/>
      <ns0:c r="I827" s="245"/>
      <ns0:c r="J827" s="245"/>
      <ns0:c r="K827" s="245"/>
      <ns0:c r="L827" s="245"/>
      <ns0:c r="M827" s="245"/>
      <ns0:c r="N827" s="245"/>
      <ns0:c r="O827" s="245"/>
      <ns0:c r="P827" s="245"/>
      <ns0:c r="Q827" s="245"/>
      <ns0:c r="R827" s="245"/>
      <ns0:c r="S827" s="245"/>
      <ns0:c r="T827" s="245"/>
      <ns0:c r="U827" s="245"/>
      <ns0:c r="V827" s="245"/>
      <ns0:c r="W827" s="245"/>
      <ns0:c r="X827" s="245"/>
      <ns0:c r="Y827" s="245"/>
      <ns0:c r="Z827" s="245"/>
    </ns0:row>
    <ns0:row r="828">
      <ns0:c r="A828" s="245"/>
      <ns0:c r="B828" s="245"/>
      <ns0:c r="C828" s="245"/>
      <ns0:c r="D828" s="245"/>
      <ns0:c r="E828" s="245"/>
      <ns0:c r="F828" s="245"/>
      <ns0:c r="G828" s="245"/>
      <ns0:c r="H828" s="245"/>
      <ns0:c r="I828" s="245"/>
      <ns0:c r="J828" s="245"/>
      <ns0:c r="K828" s="245"/>
      <ns0:c r="L828" s="245"/>
      <ns0:c r="M828" s="245"/>
      <ns0:c r="N828" s="245"/>
      <ns0:c r="O828" s="245"/>
      <ns0:c r="P828" s="245"/>
      <ns0:c r="Q828" s="245"/>
      <ns0:c r="R828" s="245"/>
      <ns0:c r="S828" s="245"/>
      <ns0:c r="T828" s="245"/>
      <ns0:c r="U828" s="245"/>
      <ns0:c r="V828" s="245"/>
      <ns0:c r="W828" s="245"/>
      <ns0:c r="X828" s="245"/>
      <ns0:c r="Y828" s="245"/>
      <ns0:c r="Z828" s="245"/>
    </ns0:row>
    <ns0:row r="829">
      <ns0:c r="A829" s="245"/>
      <ns0:c r="B829" s="245"/>
      <ns0:c r="C829" s="245"/>
      <ns0:c r="D829" s="245"/>
      <ns0:c r="E829" s="245"/>
      <ns0:c r="F829" s="245"/>
      <ns0:c r="G829" s="245"/>
      <ns0:c r="H829" s="245"/>
      <ns0:c r="I829" s="245"/>
      <ns0:c r="J829" s="245"/>
      <ns0:c r="K829" s="245"/>
      <ns0:c r="L829" s="245"/>
      <ns0:c r="M829" s="245"/>
      <ns0:c r="N829" s="245"/>
      <ns0:c r="O829" s="245"/>
      <ns0:c r="P829" s="245"/>
      <ns0:c r="Q829" s="245"/>
      <ns0:c r="R829" s="245"/>
      <ns0:c r="S829" s="245"/>
      <ns0:c r="T829" s="245"/>
      <ns0:c r="U829" s="245"/>
      <ns0:c r="V829" s="245"/>
      <ns0:c r="W829" s="245"/>
      <ns0:c r="X829" s="245"/>
      <ns0:c r="Y829" s="245"/>
      <ns0:c r="Z829" s="245"/>
    </ns0:row>
    <ns0:row r="830">
      <ns0:c r="A830" s="245"/>
      <ns0:c r="B830" s="245"/>
      <ns0:c r="C830" s="245"/>
      <ns0:c r="D830" s="245"/>
      <ns0:c r="E830" s="245"/>
      <ns0:c r="F830" s="245"/>
      <ns0:c r="G830" s="245"/>
      <ns0:c r="H830" s="245"/>
      <ns0:c r="I830" s="245"/>
      <ns0:c r="J830" s="245"/>
      <ns0:c r="K830" s="245"/>
      <ns0:c r="L830" s="245"/>
      <ns0:c r="M830" s="245"/>
      <ns0:c r="N830" s="245"/>
      <ns0:c r="O830" s="245"/>
      <ns0:c r="P830" s="245"/>
      <ns0:c r="Q830" s="245"/>
      <ns0:c r="R830" s="245"/>
      <ns0:c r="S830" s="245"/>
      <ns0:c r="T830" s="245"/>
      <ns0:c r="U830" s="245"/>
      <ns0:c r="V830" s="245"/>
      <ns0:c r="W830" s="245"/>
      <ns0:c r="X830" s="245"/>
      <ns0:c r="Y830" s="245"/>
      <ns0:c r="Z830" s="245"/>
    </ns0:row>
    <ns0:row r="831">
      <ns0:c r="A831" s="245"/>
      <ns0:c r="B831" s="245"/>
      <ns0:c r="C831" s="245"/>
      <ns0:c r="D831" s="245"/>
      <ns0:c r="E831" s="245"/>
      <ns0:c r="F831" s="245"/>
      <ns0:c r="G831" s="245"/>
      <ns0:c r="H831" s="245"/>
      <ns0:c r="I831" s="245"/>
      <ns0:c r="J831" s="245"/>
      <ns0:c r="K831" s="245"/>
      <ns0:c r="L831" s="245"/>
      <ns0:c r="M831" s="245"/>
      <ns0:c r="N831" s="245"/>
      <ns0:c r="O831" s="245"/>
      <ns0:c r="P831" s="245"/>
      <ns0:c r="Q831" s="245"/>
      <ns0:c r="R831" s="245"/>
      <ns0:c r="S831" s="245"/>
      <ns0:c r="T831" s="245"/>
      <ns0:c r="U831" s="245"/>
      <ns0:c r="V831" s="245"/>
      <ns0:c r="W831" s="245"/>
      <ns0:c r="X831" s="245"/>
      <ns0:c r="Y831" s="245"/>
      <ns0:c r="Z831" s="245"/>
    </ns0:row>
    <ns0:row r="832">
      <ns0:c r="A832" s="245"/>
      <ns0:c r="B832" s="245"/>
      <ns0:c r="C832" s="245"/>
      <ns0:c r="D832" s="245"/>
      <ns0:c r="E832" s="245"/>
      <ns0:c r="F832" s="245"/>
      <ns0:c r="G832" s="245"/>
      <ns0:c r="H832" s="245"/>
      <ns0:c r="I832" s="245"/>
      <ns0:c r="J832" s="245"/>
      <ns0:c r="K832" s="245"/>
      <ns0:c r="L832" s="245"/>
      <ns0:c r="M832" s="245"/>
      <ns0:c r="N832" s="245"/>
      <ns0:c r="O832" s="245"/>
      <ns0:c r="P832" s="245"/>
      <ns0:c r="Q832" s="245"/>
      <ns0:c r="R832" s="245"/>
      <ns0:c r="S832" s="245"/>
      <ns0:c r="T832" s="245"/>
      <ns0:c r="U832" s="245"/>
      <ns0:c r="V832" s="245"/>
      <ns0:c r="W832" s="245"/>
      <ns0:c r="X832" s="245"/>
      <ns0:c r="Y832" s="245"/>
      <ns0:c r="Z832" s="245"/>
    </ns0:row>
    <ns0:row r="833">
      <ns0:c r="A833" s="245"/>
      <ns0:c r="B833" s="245"/>
      <ns0:c r="C833" s="245"/>
      <ns0:c r="D833" s="245"/>
      <ns0:c r="E833" s="245"/>
      <ns0:c r="F833" s="245"/>
      <ns0:c r="G833" s="245"/>
      <ns0:c r="H833" s="245"/>
      <ns0:c r="I833" s="245"/>
      <ns0:c r="J833" s="245"/>
      <ns0:c r="K833" s="245"/>
      <ns0:c r="L833" s="245"/>
      <ns0:c r="M833" s="245"/>
      <ns0:c r="N833" s="245"/>
      <ns0:c r="O833" s="245"/>
      <ns0:c r="P833" s="245"/>
      <ns0:c r="Q833" s="245"/>
      <ns0:c r="R833" s="245"/>
      <ns0:c r="S833" s="245"/>
      <ns0:c r="T833" s="245"/>
      <ns0:c r="U833" s="245"/>
      <ns0:c r="V833" s="245"/>
      <ns0:c r="W833" s="245"/>
      <ns0:c r="X833" s="245"/>
      <ns0:c r="Y833" s="245"/>
      <ns0:c r="Z833" s="245"/>
    </ns0:row>
    <ns0:row r="834">
      <ns0:c r="A834" s="245"/>
      <ns0:c r="B834" s="245"/>
      <ns0:c r="C834" s="245"/>
      <ns0:c r="D834" s="245"/>
      <ns0:c r="E834" s="245"/>
      <ns0:c r="F834" s="245"/>
      <ns0:c r="G834" s="245"/>
      <ns0:c r="H834" s="245"/>
      <ns0:c r="I834" s="245"/>
      <ns0:c r="J834" s="245"/>
      <ns0:c r="K834" s="245"/>
      <ns0:c r="L834" s="245"/>
      <ns0:c r="M834" s="245"/>
      <ns0:c r="N834" s="245"/>
      <ns0:c r="O834" s="245"/>
      <ns0:c r="P834" s="245"/>
      <ns0:c r="Q834" s="245"/>
      <ns0:c r="R834" s="245"/>
      <ns0:c r="S834" s="245"/>
      <ns0:c r="T834" s="245"/>
      <ns0:c r="U834" s="245"/>
      <ns0:c r="V834" s="245"/>
      <ns0:c r="W834" s="245"/>
      <ns0:c r="X834" s="245"/>
      <ns0:c r="Y834" s="245"/>
      <ns0:c r="Z834" s="245"/>
    </ns0:row>
    <ns0:row r="835">
      <ns0:c r="A835" s="245"/>
      <ns0:c r="B835" s="245"/>
      <ns0:c r="C835" s="245"/>
      <ns0:c r="D835" s="245"/>
      <ns0:c r="E835" s="245"/>
      <ns0:c r="F835" s="245"/>
      <ns0:c r="G835" s="245"/>
      <ns0:c r="H835" s="245"/>
      <ns0:c r="I835" s="245"/>
      <ns0:c r="J835" s="245"/>
      <ns0:c r="K835" s="245"/>
      <ns0:c r="L835" s="245"/>
      <ns0:c r="M835" s="245"/>
      <ns0:c r="N835" s="245"/>
      <ns0:c r="O835" s="245"/>
      <ns0:c r="P835" s="245"/>
      <ns0:c r="Q835" s="245"/>
      <ns0:c r="R835" s="245"/>
      <ns0:c r="S835" s="245"/>
      <ns0:c r="T835" s="245"/>
      <ns0:c r="U835" s="245"/>
      <ns0:c r="V835" s="245"/>
      <ns0:c r="W835" s="245"/>
      <ns0:c r="X835" s="245"/>
      <ns0:c r="Y835" s="245"/>
      <ns0:c r="Z835" s="245"/>
    </ns0:row>
    <ns0:row r="836">
      <ns0:c r="A836" s="245"/>
      <ns0:c r="B836" s="245"/>
      <ns0:c r="C836" s="245"/>
      <ns0:c r="D836" s="245"/>
      <ns0:c r="E836" s="245"/>
      <ns0:c r="F836" s="245"/>
      <ns0:c r="G836" s="245"/>
      <ns0:c r="H836" s="245"/>
      <ns0:c r="I836" s="245"/>
      <ns0:c r="J836" s="245"/>
      <ns0:c r="K836" s="245"/>
      <ns0:c r="L836" s="245"/>
      <ns0:c r="M836" s="245"/>
      <ns0:c r="N836" s="245"/>
      <ns0:c r="O836" s="245"/>
      <ns0:c r="P836" s="245"/>
      <ns0:c r="Q836" s="245"/>
      <ns0:c r="R836" s="245"/>
      <ns0:c r="S836" s="245"/>
      <ns0:c r="T836" s="245"/>
      <ns0:c r="U836" s="245"/>
      <ns0:c r="V836" s="245"/>
      <ns0:c r="W836" s="245"/>
      <ns0:c r="X836" s="245"/>
      <ns0:c r="Y836" s="245"/>
      <ns0:c r="Z836" s="245"/>
    </ns0:row>
    <ns0:row r="837">
      <ns0:c r="A837" s="245"/>
      <ns0:c r="B837" s="245"/>
      <ns0:c r="C837" s="245"/>
      <ns0:c r="D837" s="245"/>
      <ns0:c r="E837" s="245"/>
      <ns0:c r="F837" s="245"/>
      <ns0:c r="G837" s="245"/>
      <ns0:c r="H837" s="245"/>
      <ns0:c r="I837" s="245"/>
      <ns0:c r="J837" s="245"/>
      <ns0:c r="K837" s="245"/>
      <ns0:c r="L837" s="245"/>
      <ns0:c r="M837" s="245"/>
      <ns0:c r="N837" s="245"/>
      <ns0:c r="O837" s="245"/>
      <ns0:c r="P837" s="245"/>
      <ns0:c r="Q837" s="245"/>
      <ns0:c r="R837" s="245"/>
      <ns0:c r="S837" s="245"/>
      <ns0:c r="T837" s="245"/>
      <ns0:c r="U837" s="245"/>
      <ns0:c r="V837" s="245"/>
      <ns0:c r="W837" s="245"/>
      <ns0:c r="X837" s="245"/>
      <ns0:c r="Y837" s="245"/>
      <ns0:c r="Z837" s="245"/>
    </ns0:row>
    <ns0:row r="838">
      <ns0:c r="A838" s="245"/>
      <ns0:c r="B838" s="245"/>
      <ns0:c r="C838" s="245"/>
      <ns0:c r="D838" s="245"/>
      <ns0:c r="E838" s="245"/>
      <ns0:c r="F838" s="245"/>
      <ns0:c r="G838" s="245"/>
      <ns0:c r="H838" s="245"/>
      <ns0:c r="I838" s="245"/>
      <ns0:c r="J838" s="245"/>
      <ns0:c r="K838" s="245"/>
      <ns0:c r="L838" s="245"/>
      <ns0:c r="M838" s="245"/>
      <ns0:c r="N838" s="245"/>
      <ns0:c r="O838" s="245"/>
      <ns0:c r="P838" s="245"/>
      <ns0:c r="Q838" s="245"/>
      <ns0:c r="R838" s="245"/>
      <ns0:c r="S838" s="245"/>
      <ns0:c r="T838" s="245"/>
      <ns0:c r="U838" s="245"/>
      <ns0:c r="V838" s="245"/>
      <ns0:c r="W838" s="245"/>
      <ns0:c r="X838" s="245"/>
      <ns0:c r="Y838" s="245"/>
      <ns0:c r="Z838" s="245"/>
    </ns0:row>
    <ns0:row r="839">
      <ns0:c r="A839" s="245"/>
      <ns0:c r="B839" s="245"/>
      <ns0:c r="C839" s="245"/>
      <ns0:c r="D839" s="245"/>
      <ns0:c r="E839" s="245"/>
      <ns0:c r="F839" s="245"/>
      <ns0:c r="G839" s="245"/>
      <ns0:c r="H839" s="245"/>
      <ns0:c r="I839" s="245"/>
      <ns0:c r="J839" s="245"/>
      <ns0:c r="K839" s="245"/>
      <ns0:c r="L839" s="245"/>
      <ns0:c r="M839" s="245"/>
      <ns0:c r="N839" s="245"/>
      <ns0:c r="O839" s="245"/>
      <ns0:c r="P839" s="245"/>
      <ns0:c r="Q839" s="245"/>
      <ns0:c r="R839" s="245"/>
      <ns0:c r="S839" s="245"/>
      <ns0:c r="T839" s="245"/>
      <ns0:c r="U839" s="245"/>
      <ns0:c r="V839" s="245"/>
      <ns0:c r="W839" s="245"/>
      <ns0:c r="X839" s="245"/>
      <ns0:c r="Y839" s="245"/>
      <ns0:c r="Z839" s="245"/>
    </ns0:row>
    <ns0:row r="840">
      <ns0:c r="A840" s="245"/>
      <ns0:c r="B840" s="245"/>
      <ns0:c r="C840" s="245"/>
      <ns0:c r="D840" s="245"/>
      <ns0:c r="E840" s="245"/>
      <ns0:c r="F840" s="245"/>
      <ns0:c r="G840" s="245"/>
      <ns0:c r="H840" s="245"/>
      <ns0:c r="I840" s="245"/>
      <ns0:c r="J840" s="245"/>
      <ns0:c r="K840" s="245"/>
      <ns0:c r="L840" s="245"/>
      <ns0:c r="M840" s="245"/>
      <ns0:c r="N840" s="245"/>
      <ns0:c r="O840" s="245"/>
      <ns0:c r="P840" s="245"/>
      <ns0:c r="Q840" s="245"/>
      <ns0:c r="R840" s="245"/>
      <ns0:c r="S840" s="245"/>
      <ns0:c r="T840" s="245"/>
      <ns0:c r="U840" s="245"/>
      <ns0:c r="V840" s="245"/>
      <ns0:c r="W840" s="245"/>
      <ns0:c r="X840" s="245"/>
      <ns0:c r="Y840" s="245"/>
      <ns0:c r="Z840" s="245"/>
    </ns0:row>
    <ns0:row r="841">
      <ns0:c r="A841" s="245"/>
      <ns0:c r="B841" s="245"/>
      <ns0:c r="C841" s="245"/>
      <ns0:c r="D841" s="245"/>
      <ns0:c r="E841" s="245"/>
      <ns0:c r="F841" s="245"/>
      <ns0:c r="G841" s="245"/>
      <ns0:c r="H841" s="245"/>
      <ns0:c r="I841" s="245"/>
      <ns0:c r="J841" s="245"/>
      <ns0:c r="K841" s="245"/>
      <ns0:c r="L841" s="245"/>
      <ns0:c r="M841" s="245"/>
      <ns0:c r="N841" s="245"/>
      <ns0:c r="O841" s="245"/>
      <ns0:c r="P841" s="245"/>
      <ns0:c r="Q841" s="245"/>
      <ns0:c r="R841" s="245"/>
      <ns0:c r="S841" s="245"/>
      <ns0:c r="T841" s="245"/>
      <ns0:c r="U841" s="245"/>
      <ns0:c r="V841" s="245"/>
      <ns0:c r="W841" s="245"/>
      <ns0:c r="X841" s="245"/>
      <ns0:c r="Y841" s="245"/>
      <ns0:c r="Z841" s="245"/>
    </ns0:row>
    <ns0:row r="842">
      <ns0:c r="A842" s="245"/>
      <ns0:c r="B842" s="245"/>
      <ns0:c r="C842" s="245"/>
      <ns0:c r="D842" s="245"/>
      <ns0:c r="E842" s="245"/>
      <ns0:c r="F842" s="245"/>
      <ns0:c r="G842" s="245"/>
      <ns0:c r="H842" s="245"/>
      <ns0:c r="I842" s="245"/>
      <ns0:c r="J842" s="245"/>
      <ns0:c r="K842" s="245"/>
      <ns0:c r="L842" s="245"/>
      <ns0:c r="M842" s="245"/>
      <ns0:c r="N842" s="245"/>
      <ns0:c r="O842" s="245"/>
      <ns0:c r="P842" s="245"/>
      <ns0:c r="Q842" s="245"/>
      <ns0:c r="R842" s="245"/>
      <ns0:c r="S842" s="245"/>
      <ns0:c r="T842" s="245"/>
      <ns0:c r="U842" s="245"/>
      <ns0:c r="V842" s="245"/>
      <ns0:c r="W842" s="245"/>
      <ns0:c r="X842" s="245"/>
      <ns0:c r="Y842" s="245"/>
      <ns0:c r="Z842" s="245"/>
    </ns0:row>
    <ns0:row r="843">
      <ns0:c r="A843" s="245"/>
      <ns0:c r="B843" s="245"/>
      <ns0:c r="C843" s="245"/>
      <ns0:c r="D843" s="245"/>
      <ns0:c r="E843" s="245"/>
      <ns0:c r="F843" s="245"/>
      <ns0:c r="G843" s="245"/>
      <ns0:c r="H843" s="245"/>
      <ns0:c r="I843" s="245"/>
      <ns0:c r="J843" s="245"/>
      <ns0:c r="K843" s="245"/>
      <ns0:c r="L843" s="245"/>
      <ns0:c r="M843" s="245"/>
      <ns0:c r="N843" s="245"/>
      <ns0:c r="O843" s="245"/>
      <ns0:c r="P843" s="245"/>
      <ns0:c r="Q843" s="245"/>
      <ns0:c r="R843" s="245"/>
      <ns0:c r="S843" s="245"/>
      <ns0:c r="T843" s="245"/>
      <ns0:c r="U843" s="245"/>
      <ns0:c r="V843" s="245"/>
      <ns0:c r="W843" s="245"/>
      <ns0:c r="X843" s="245"/>
      <ns0:c r="Y843" s="245"/>
      <ns0:c r="Z843" s="245"/>
    </ns0:row>
    <ns0:row r="844">
      <ns0:c r="A844" s="245"/>
      <ns0:c r="B844" s="245"/>
      <ns0:c r="C844" s="245"/>
      <ns0:c r="D844" s="245"/>
      <ns0:c r="E844" s="245"/>
      <ns0:c r="F844" s="245"/>
      <ns0:c r="G844" s="245"/>
      <ns0:c r="H844" s="245"/>
      <ns0:c r="I844" s="245"/>
      <ns0:c r="J844" s="245"/>
      <ns0:c r="K844" s="245"/>
      <ns0:c r="L844" s="245"/>
      <ns0:c r="M844" s="245"/>
      <ns0:c r="N844" s="245"/>
      <ns0:c r="O844" s="245"/>
      <ns0:c r="P844" s="245"/>
      <ns0:c r="Q844" s="245"/>
      <ns0:c r="R844" s="245"/>
      <ns0:c r="S844" s="245"/>
      <ns0:c r="T844" s="245"/>
      <ns0:c r="U844" s="245"/>
      <ns0:c r="V844" s="245"/>
      <ns0:c r="W844" s="245"/>
      <ns0:c r="X844" s="245"/>
      <ns0:c r="Y844" s="245"/>
      <ns0:c r="Z844" s="245"/>
    </ns0:row>
    <ns0:row r="845">
      <ns0:c r="A845" s="245"/>
      <ns0:c r="B845" s="245"/>
      <ns0:c r="C845" s="245"/>
      <ns0:c r="D845" s="245"/>
      <ns0:c r="E845" s="245"/>
      <ns0:c r="F845" s="245"/>
      <ns0:c r="G845" s="245"/>
      <ns0:c r="H845" s="245"/>
      <ns0:c r="I845" s="245"/>
      <ns0:c r="J845" s="245"/>
      <ns0:c r="K845" s="245"/>
      <ns0:c r="L845" s="245"/>
      <ns0:c r="M845" s="245"/>
      <ns0:c r="N845" s="245"/>
      <ns0:c r="O845" s="245"/>
      <ns0:c r="P845" s="245"/>
      <ns0:c r="Q845" s="245"/>
      <ns0:c r="R845" s="245"/>
      <ns0:c r="S845" s="245"/>
      <ns0:c r="T845" s="245"/>
      <ns0:c r="U845" s="245"/>
      <ns0:c r="V845" s="245"/>
      <ns0:c r="W845" s="245"/>
      <ns0:c r="X845" s="245"/>
      <ns0:c r="Y845" s="245"/>
      <ns0:c r="Z845" s="245"/>
    </ns0:row>
    <ns0:row r="846">
      <ns0:c r="A846" s="245"/>
      <ns0:c r="B846" s="245"/>
      <ns0:c r="C846" s="245"/>
      <ns0:c r="D846" s="245"/>
      <ns0:c r="E846" s="245"/>
      <ns0:c r="F846" s="245"/>
      <ns0:c r="G846" s="245"/>
      <ns0:c r="H846" s="245"/>
      <ns0:c r="I846" s="245"/>
      <ns0:c r="J846" s="245"/>
      <ns0:c r="K846" s="245"/>
      <ns0:c r="L846" s="245"/>
      <ns0:c r="M846" s="245"/>
      <ns0:c r="N846" s="245"/>
      <ns0:c r="O846" s="245"/>
      <ns0:c r="P846" s="245"/>
      <ns0:c r="Q846" s="245"/>
      <ns0:c r="R846" s="245"/>
      <ns0:c r="S846" s="245"/>
      <ns0:c r="T846" s="245"/>
      <ns0:c r="U846" s="245"/>
      <ns0:c r="V846" s="245"/>
      <ns0:c r="W846" s="245"/>
      <ns0:c r="X846" s="245"/>
      <ns0:c r="Y846" s="245"/>
      <ns0:c r="Z846" s="245"/>
    </ns0:row>
    <ns0:row r="847">
      <ns0:c r="A847" s="245"/>
      <ns0:c r="B847" s="245"/>
      <ns0:c r="C847" s="245"/>
      <ns0:c r="D847" s="245"/>
      <ns0:c r="E847" s="245"/>
      <ns0:c r="F847" s="245"/>
      <ns0:c r="G847" s="245"/>
      <ns0:c r="H847" s="245"/>
      <ns0:c r="I847" s="245"/>
      <ns0:c r="J847" s="245"/>
      <ns0:c r="K847" s="245"/>
      <ns0:c r="L847" s="245"/>
      <ns0:c r="M847" s="245"/>
      <ns0:c r="N847" s="245"/>
      <ns0:c r="O847" s="245"/>
      <ns0:c r="P847" s="245"/>
      <ns0:c r="Q847" s="245"/>
      <ns0:c r="R847" s="245"/>
      <ns0:c r="S847" s="245"/>
      <ns0:c r="T847" s="245"/>
      <ns0:c r="U847" s="245"/>
      <ns0:c r="V847" s="245"/>
      <ns0:c r="W847" s="245"/>
      <ns0:c r="X847" s="245"/>
      <ns0:c r="Y847" s="245"/>
      <ns0:c r="Z847" s="245"/>
    </ns0:row>
    <ns0:row r="848">
      <ns0:c r="A848" s="245"/>
      <ns0:c r="B848" s="245"/>
      <ns0:c r="C848" s="245"/>
      <ns0:c r="D848" s="245"/>
      <ns0:c r="E848" s="245"/>
      <ns0:c r="F848" s="245"/>
      <ns0:c r="G848" s="245"/>
      <ns0:c r="H848" s="245"/>
      <ns0:c r="I848" s="245"/>
      <ns0:c r="J848" s="245"/>
      <ns0:c r="K848" s="245"/>
      <ns0:c r="L848" s="245"/>
      <ns0:c r="M848" s="245"/>
      <ns0:c r="N848" s="245"/>
      <ns0:c r="O848" s="245"/>
      <ns0:c r="P848" s="245"/>
      <ns0:c r="Q848" s="245"/>
      <ns0:c r="R848" s="245"/>
      <ns0:c r="S848" s="245"/>
      <ns0:c r="T848" s="245"/>
      <ns0:c r="U848" s="245"/>
      <ns0:c r="V848" s="245"/>
      <ns0:c r="W848" s="245"/>
      <ns0:c r="X848" s="245"/>
      <ns0:c r="Y848" s="245"/>
      <ns0:c r="Z848" s="245"/>
    </ns0:row>
    <ns0:row r="849">
      <ns0:c r="A849" s="245"/>
      <ns0:c r="B849" s="245"/>
      <ns0:c r="C849" s="245"/>
      <ns0:c r="D849" s="245"/>
      <ns0:c r="E849" s="245"/>
      <ns0:c r="F849" s="245"/>
      <ns0:c r="G849" s="245"/>
      <ns0:c r="H849" s="245"/>
      <ns0:c r="I849" s="245"/>
      <ns0:c r="J849" s="245"/>
      <ns0:c r="K849" s="245"/>
      <ns0:c r="L849" s="245"/>
      <ns0:c r="M849" s="245"/>
      <ns0:c r="N849" s="245"/>
      <ns0:c r="O849" s="245"/>
      <ns0:c r="P849" s="245"/>
      <ns0:c r="Q849" s="245"/>
      <ns0:c r="R849" s="245"/>
      <ns0:c r="S849" s="245"/>
      <ns0:c r="T849" s="245"/>
      <ns0:c r="U849" s="245"/>
      <ns0:c r="V849" s="245"/>
      <ns0:c r="W849" s="245"/>
      <ns0:c r="X849" s="245"/>
      <ns0:c r="Y849" s="245"/>
      <ns0:c r="Z849" s="245"/>
    </ns0:row>
    <ns0:row r="850">
      <ns0:c r="A850" s="245"/>
      <ns0:c r="B850" s="245"/>
      <ns0:c r="C850" s="245"/>
      <ns0:c r="D850" s="245"/>
      <ns0:c r="E850" s="245"/>
      <ns0:c r="F850" s="245"/>
      <ns0:c r="G850" s="245"/>
      <ns0:c r="H850" s="245"/>
      <ns0:c r="I850" s="245"/>
      <ns0:c r="J850" s="245"/>
      <ns0:c r="K850" s="245"/>
      <ns0:c r="L850" s="245"/>
      <ns0:c r="M850" s="245"/>
      <ns0:c r="N850" s="245"/>
      <ns0:c r="O850" s="245"/>
      <ns0:c r="P850" s="245"/>
      <ns0:c r="Q850" s="245"/>
      <ns0:c r="R850" s="245"/>
      <ns0:c r="S850" s="245"/>
      <ns0:c r="T850" s="245"/>
      <ns0:c r="U850" s="245"/>
      <ns0:c r="V850" s="245"/>
      <ns0:c r="W850" s="245"/>
      <ns0:c r="X850" s="245"/>
      <ns0:c r="Y850" s="245"/>
      <ns0:c r="Z850" s="245"/>
    </ns0:row>
    <ns0:row r="851">
      <ns0:c r="A851" s="245"/>
      <ns0:c r="B851" s="245"/>
      <ns0:c r="C851" s="245"/>
      <ns0:c r="D851" s="245"/>
      <ns0:c r="E851" s="245"/>
      <ns0:c r="F851" s="245"/>
      <ns0:c r="G851" s="245"/>
      <ns0:c r="H851" s="245"/>
      <ns0:c r="I851" s="245"/>
      <ns0:c r="J851" s="245"/>
      <ns0:c r="K851" s="245"/>
      <ns0:c r="L851" s="245"/>
      <ns0:c r="M851" s="245"/>
      <ns0:c r="N851" s="245"/>
      <ns0:c r="O851" s="245"/>
      <ns0:c r="P851" s="245"/>
      <ns0:c r="Q851" s="245"/>
      <ns0:c r="R851" s="245"/>
      <ns0:c r="S851" s="245"/>
      <ns0:c r="T851" s="245"/>
      <ns0:c r="U851" s="245"/>
      <ns0:c r="V851" s="245"/>
      <ns0:c r="W851" s="245"/>
      <ns0:c r="X851" s="245"/>
      <ns0:c r="Y851" s="245"/>
      <ns0:c r="Z851" s="245"/>
    </ns0:row>
    <ns0:row r="852">
      <ns0:c r="A852" s="245"/>
      <ns0:c r="B852" s="245"/>
      <ns0:c r="C852" s="245"/>
      <ns0:c r="D852" s="245"/>
      <ns0:c r="E852" s="245"/>
      <ns0:c r="F852" s="245"/>
      <ns0:c r="G852" s="245"/>
      <ns0:c r="H852" s="245"/>
      <ns0:c r="I852" s="245"/>
      <ns0:c r="J852" s="245"/>
      <ns0:c r="K852" s="245"/>
      <ns0:c r="L852" s="245"/>
      <ns0:c r="M852" s="245"/>
      <ns0:c r="N852" s="245"/>
      <ns0:c r="O852" s="245"/>
      <ns0:c r="P852" s="245"/>
      <ns0:c r="Q852" s="245"/>
      <ns0:c r="R852" s="245"/>
      <ns0:c r="S852" s="245"/>
      <ns0:c r="T852" s="245"/>
      <ns0:c r="U852" s="245"/>
      <ns0:c r="V852" s="245"/>
      <ns0:c r="W852" s="245"/>
      <ns0:c r="X852" s="245"/>
      <ns0:c r="Y852" s="245"/>
      <ns0:c r="Z852" s="245"/>
    </ns0:row>
    <ns0:row r="853">
      <ns0:c r="A853" s="245"/>
      <ns0:c r="B853" s="245"/>
      <ns0:c r="C853" s="245"/>
      <ns0:c r="D853" s="245"/>
      <ns0:c r="E853" s="245"/>
      <ns0:c r="F853" s="245"/>
      <ns0:c r="G853" s="245"/>
      <ns0:c r="H853" s="245"/>
      <ns0:c r="I853" s="245"/>
      <ns0:c r="J853" s="245"/>
      <ns0:c r="K853" s="245"/>
      <ns0:c r="L853" s="245"/>
      <ns0:c r="M853" s="245"/>
      <ns0:c r="N853" s="245"/>
      <ns0:c r="O853" s="245"/>
      <ns0:c r="P853" s="245"/>
      <ns0:c r="Q853" s="245"/>
      <ns0:c r="R853" s="245"/>
      <ns0:c r="S853" s="245"/>
      <ns0:c r="T853" s="245"/>
      <ns0:c r="U853" s="245"/>
      <ns0:c r="V853" s="245"/>
      <ns0:c r="W853" s="245"/>
      <ns0:c r="X853" s="245"/>
      <ns0:c r="Y853" s="245"/>
      <ns0:c r="Z853" s="245"/>
    </ns0:row>
    <ns0:row r="854">
      <ns0:c r="A854" s="245"/>
      <ns0:c r="B854" s="245"/>
      <ns0:c r="C854" s="245"/>
      <ns0:c r="D854" s="245"/>
      <ns0:c r="E854" s="245"/>
      <ns0:c r="F854" s="245"/>
      <ns0:c r="G854" s="245"/>
      <ns0:c r="H854" s="245"/>
      <ns0:c r="I854" s="245"/>
      <ns0:c r="J854" s="245"/>
      <ns0:c r="K854" s="245"/>
      <ns0:c r="L854" s="245"/>
      <ns0:c r="M854" s="245"/>
      <ns0:c r="N854" s="245"/>
      <ns0:c r="O854" s="245"/>
      <ns0:c r="P854" s="245"/>
      <ns0:c r="Q854" s="245"/>
      <ns0:c r="R854" s="245"/>
      <ns0:c r="S854" s="245"/>
      <ns0:c r="T854" s="245"/>
      <ns0:c r="U854" s="245"/>
      <ns0:c r="V854" s="245"/>
      <ns0:c r="W854" s="245"/>
      <ns0:c r="X854" s="245"/>
      <ns0:c r="Y854" s="245"/>
      <ns0:c r="Z854" s="245"/>
    </ns0:row>
    <ns0:row r="855">
      <ns0:c r="A855" s="245"/>
      <ns0:c r="B855" s="245"/>
      <ns0:c r="C855" s="245"/>
      <ns0:c r="D855" s="245"/>
      <ns0:c r="E855" s="245"/>
      <ns0:c r="F855" s="245"/>
      <ns0:c r="G855" s="245"/>
      <ns0:c r="H855" s="245"/>
      <ns0:c r="I855" s="245"/>
      <ns0:c r="J855" s="245"/>
      <ns0:c r="K855" s="245"/>
      <ns0:c r="L855" s="245"/>
      <ns0:c r="M855" s="245"/>
      <ns0:c r="N855" s="245"/>
      <ns0:c r="O855" s="245"/>
      <ns0:c r="P855" s="245"/>
      <ns0:c r="Q855" s="245"/>
      <ns0:c r="R855" s="245"/>
      <ns0:c r="S855" s="245"/>
      <ns0:c r="T855" s="245"/>
      <ns0:c r="U855" s="245"/>
      <ns0:c r="V855" s="245"/>
      <ns0:c r="W855" s="245"/>
      <ns0:c r="X855" s="245"/>
      <ns0:c r="Y855" s="245"/>
      <ns0:c r="Z855" s="245"/>
    </ns0:row>
    <ns0:row r="856">
      <ns0:c r="A856" s="245"/>
      <ns0:c r="B856" s="245"/>
      <ns0:c r="C856" s="245"/>
      <ns0:c r="D856" s="245"/>
      <ns0:c r="E856" s="245"/>
      <ns0:c r="F856" s="245"/>
      <ns0:c r="G856" s="245"/>
      <ns0:c r="H856" s="245"/>
      <ns0:c r="I856" s="245"/>
      <ns0:c r="J856" s="245"/>
      <ns0:c r="K856" s="245"/>
      <ns0:c r="L856" s="245"/>
      <ns0:c r="M856" s="245"/>
      <ns0:c r="N856" s="245"/>
      <ns0:c r="O856" s="245"/>
      <ns0:c r="P856" s="245"/>
      <ns0:c r="Q856" s="245"/>
      <ns0:c r="R856" s="245"/>
      <ns0:c r="S856" s="245"/>
      <ns0:c r="T856" s="245"/>
      <ns0:c r="U856" s="245"/>
      <ns0:c r="V856" s="245"/>
      <ns0:c r="W856" s="245"/>
      <ns0:c r="X856" s="245"/>
      <ns0:c r="Y856" s="245"/>
      <ns0:c r="Z856" s="245"/>
    </ns0:row>
    <ns0:row r="857">
      <ns0:c r="A857" s="245"/>
      <ns0:c r="B857" s="245"/>
      <ns0:c r="C857" s="245"/>
      <ns0:c r="D857" s="245"/>
      <ns0:c r="E857" s="245"/>
      <ns0:c r="F857" s="245"/>
      <ns0:c r="G857" s="245"/>
      <ns0:c r="H857" s="245"/>
      <ns0:c r="I857" s="245"/>
      <ns0:c r="J857" s="245"/>
      <ns0:c r="K857" s="245"/>
      <ns0:c r="L857" s="245"/>
      <ns0:c r="M857" s="245"/>
      <ns0:c r="N857" s="245"/>
      <ns0:c r="O857" s="245"/>
      <ns0:c r="P857" s="245"/>
      <ns0:c r="Q857" s="245"/>
      <ns0:c r="R857" s="245"/>
      <ns0:c r="S857" s="245"/>
      <ns0:c r="T857" s="245"/>
      <ns0:c r="U857" s="245"/>
      <ns0:c r="V857" s="245"/>
      <ns0:c r="W857" s="245"/>
      <ns0:c r="X857" s="245"/>
      <ns0:c r="Y857" s="245"/>
      <ns0:c r="Z857" s="245"/>
    </ns0:row>
    <ns0:row r="858">
      <ns0:c r="A858" s="245"/>
      <ns0:c r="B858" s="245"/>
      <ns0:c r="C858" s="245"/>
      <ns0:c r="D858" s="245"/>
      <ns0:c r="E858" s="245"/>
      <ns0:c r="F858" s="245"/>
      <ns0:c r="G858" s="245"/>
      <ns0:c r="H858" s="245"/>
      <ns0:c r="I858" s="245"/>
      <ns0:c r="J858" s="245"/>
      <ns0:c r="K858" s="245"/>
      <ns0:c r="L858" s="245"/>
      <ns0:c r="M858" s="245"/>
      <ns0:c r="N858" s="245"/>
      <ns0:c r="O858" s="245"/>
      <ns0:c r="P858" s="245"/>
      <ns0:c r="Q858" s="245"/>
      <ns0:c r="R858" s="245"/>
      <ns0:c r="S858" s="245"/>
      <ns0:c r="T858" s="245"/>
      <ns0:c r="U858" s="245"/>
      <ns0:c r="V858" s="245"/>
      <ns0:c r="W858" s="245"/>
      <ns0:c r="X858" s="245"/>
      <ns0:c r="Y858" s="245"/>
      <ns0:c r="Z858" s="245"/>
    </ns0:row>
    <ns0:row r="859">
      <ns0:c r="A859" s="245"/>
      <ns0:c r="B859" s="245"/>
      <ns0:c r="C859" s="245"/>
      <ns0:c r="D859" s="245"/>
      <ns0:c r="E859" s="245"/>
      <ns0:c r="F859" s="245"/>
      <ns0:c r="G859" s="245"/>
      <ns0:c r="H859" s="245"/>
      <ns0:c r="I859" s="245"/>
      <ns0:c r="J859" s="245"/>
      <ns0:c r="K859" s="245"/>
      <ns0:c r="L859" s="245"/>
      <ns0:c r="M859" s="245"/>
      <ns0:c r="N859" s="245"/>
      <ns0:c r="O859" s="245"/>
      <ns0:c r="P859" s="245"/>
      <ns0:c r="Q859" s="245"/>
      <ns0:c r="R859" s="245"/>
      <ns0:c r="S859" s="245"/>
      <ns0:c r="T859" s="245"/>
      <ns0:c r="U859" s="245"/>
      <ns0:c r="V859" s="245"/>
      <ns0:c r="W859" s="245"/>
      <ns0:c r="X859" s="245"/>
      <ns0:c r="Y859" s="245"/>
      <ns0:c r="Z859" s="245"/>
    </ns0:row>
    <ns0:row r="860">
      <ns0:c r="A860" s="245"/>
      <ns0:c r="B860" s="245"/>
      <ns0:c r="C860" s="245"/>
      <ns0:c r="D860" s="245"/>
      <ns0:c r="E860" s="245"/>
      <ns0:c r="F860" s="245"/>
      <ns0:c r="G860" s="245"/>
      <ns0:c r="H860" s="245"/>
      <ns0:c r="I860" s="245"/>
      <ns0:c r="J860" s="245"/>
      <ns0:c r="K860" s="245"/>
      <ns0:c r="L860" s="245"/>
      <ns0:c r="M860" s="245"/>
      <ns0:c r="N860" s="245"/>
      <ns0:c r="O860" s="245"/>
      <ns0:c r="P860" s="245"/>
      <ns0:c r="Q860" s="245"/>
      <ns0:c r="R860" s="245"/>
      <ns0:c r="S860" s="245"/>
      <ns0:c r="T860" s="245"/>
      <ns0:c r="U860" s="245"/>
      <ns0:c r="V860" s="245"/>
      <ns0:c r="W860" s="245"/>
      <ns0:c r="X860" s="245"/>
      <ns0:c r="Y860" s="245"/>
      <ns0:c r="Z860" s="245"/>
    </ns0:row>
    <ns0:row r="861">
      <ns0:c r="A861" s="245"/>
      <ns0:c r="B861" s="245"/>
      <ns0:c r="C861" s="245"/>
      <ns0:c r="D861" s="245"/>
      <ns0:c r="E861" s="245"/>
      <ns0:c r="F861" s="245"/>
      <ns0:c r="G861" s="245"/>
      <ns0:c r="H861" s="245"/>
      <ns0:c r="I861" s="245"/>
      <ns0:c r="J861" s="245"/>
      <ns0:c r="K861" s="245"/>
      <ns0:c r="L861" s="245"/>
      <ns0:c r="M861" s="245"/>
      <ns0:c r="N861" s="245"/>
      <ns0:c r="O861" s="245"/>
      <ns0:c r="P861" s="245"/>
      <ns0:c r="Q861" s="245"/>
      <ns0:c r="R861" s="245"/>
      <ns0:c r="S861" s="245"/>
      <ns0:c r="T861" s="245"/>
      <ns0:c r="U861" s="245"/>
      <ns0:c r="V861" s="245"/>
      <ns0:c r="W861" s="245"/>
      <ns0:c r="X861" s="245"/>
      <ns0:c r="Y861" s="245"/>
      <ns0:c r="Z861" s="245"/>
    </ns0:row>
    <ns0:row r="862">
      <ns0:c r="A862" s="245"/>
      <ns0:c r="B862" s="245"/>
      <ns0:c r="C862" s="245"/>
      <ns0:c r="D862" s="245"/>
      <ns0:c r="E862" s="245"/>
      <ns0:c r="F862" s="245"/>
      <ns0:c r="G862" s="245"/>
      <ns0:c r="H862" s="245"/>
      <ns0:c r="I862" s="245"/>
      <ns0:c r="J862" s="245"/>
      <ns0:c r="K862" s="245"/>
      <ns0:c r="L862" s="245"/>
      <ns0:c r="M862" s="245"/>
      <ns0:c r="N862" s="245"/>
      <ns0:c r="O862" s="245"/>
      <ns0:c r="P862" s="245"/>
      <ns0:c r="Q862" s="245"/>
      <ns0:c r="R862" s="245"/>
      <ns0:c r="S862" s="245"/>
      <ns0:c r="T862" s="245"/>
      <ns0:c r="U862" s="245"/>
      <ns0:c r="V862" s="245"/>
      <ns0:c r="W862" s="245"/>
      <ns0:c r="X862" s="245"/>
      <ns0:c r="Y862" s="245"/>
      <ns0:c r="Z862" s="245"/>
    </ns0:row>
    <ns0:row r="863">
      <ns0:c r="A863" s="245"/>
      <ns0:c r="B863" s="245"/>
      <ns0:c r="C863" s="245"/>
      <ns0:c r="D863" s="245"/>
      <ns0:c r="E863" s="245"/>
      <ns0:c r="F863" s="245"/>
      <ns0:c r="G863" s="245"/>
      <ns0:c r="H863" s="245"/>
      <ns0:c r="I863" s="245"/>
      <ns0:c r="J863" s="245"/>
      <ns0:c r="K863" s="245"/>
      <ns0:c r="L863" s="245"/>
      <ns0:c r="M863" s="245"/>
      <ns0:c r="N863" s="245"/>
      <ns0:c r="O863" s="245"/>
      <ns0:c r="P863" s="245"/>
      <ns0:c r="Q863" s="245"/>
      <ns0:c r="R863" s="245"/>
      <ns0:c r="S863" s="245"/>
      <ns0:c r="T863" s="245"/>
      <ns0:c r="U863" s="245"/>
      <ns0:c r="V863" s="245"/>
      <ns0:c r="W863" s="245"/>
      <ns0:c r="X863" s="245"/>
      <ns0:c r="Y863" s="245"/>
      <ns0:c r="Z863" s="245"/>
    </ns0:row>
    <ns0:row r="864">
      <ns0:c r="A864" s="245"/>
      <ns0:c r="B864" s="245"/>
      <ns0:c r="C864" s="245"/>
      <ns0:c r="D864" s="245"/>
      <ns0:c r="E864" s="245"/>
      <ns0:c r="F864" s="245"/>
      <ns0:c r="G864" s="245"/>
      <ns0:c r="H864" s="245"/>
      <ns0:c r="I864" s="245"/>
      <ns0:c r="J864" s="245"/>
      <ns0:c r="K864" s="245"/>
      <ns0:c r="L864" s="245"/>
      <ns0:c r="M864" s="245"/>
      <ns0:c r="N864" s="245"/>
      <ns0:c r="O864" s="245"/>
      <ns0:c r="P864" s="245"/>
      <ns0:c r="Q864" s="245"/>
      <ns0:c r="R864" s="245"/>
      <ns0:c r="S864" s="245"/>
      <ns0:c r="T864" s="245"/>
      <ns0:c r="U864" s="245"/>
      <ns0:c r="V864" s="245"/>
      <ns0:c r="W864" s="245"/>
      <ns0:c r="X864" s="245"/>
      <ns0:c r="Y864" s="245"/>
      <ns0:c r="Z864" s="245"/>
    </ns0:row>
    <ns0:row r="865">
      <ns0:c r="A865" s="245"/>
      <ns0:c r="B865" s="245"/>
      <ns0:c r="C865" s="245"/>
      <ns0:c r="D865" s="245"/>
      <ns0:c r="E865" s="245"/>
      <ns0:c r="F865" s="245"/>
      <ns0:c r="G865" s="245"/>
      <ns0:c r="H865" s="245"/>
      <ns0:c r="I865" s="245"/>
      <ns0:c r="J865" s="245"/>
      <ns0:c r="K865" s="245"/>
      <ns0:c r="L865" s="245"/>
      <ns0:c r="M865" s="245"/>
      <ns0:c r="N865" s="245"/>
      <ns0:c r="O865" s="245"/>
      <ns0:c r="P865" s="245"/>
      <ns0:c r="Q865" s="245"/>
      <ns0:c r="R865" s="245"/>
      <ns0:c r="S865" s="245"/>
      <ns0:c r="T865" s="245"/>
      <ns0:c r="U865" s="245"/>
      <ns0:c r="V865" s="245"/>
      <ns0:c r="W865" s="245"/>
      <ns0:c r="X865" s="245"/>
      <ns0:c r="Y865" s="245"/>
      <ns0:c r="Z865" s="245"/>
    </ns0:row>
    <ns0:row r="866">
      <ns0:c r="A866" s="245"/>
      <ns0:c r="B866" s="245"/>
      <ns0:c r="C866" s="245"/>
      <ns0:c r="D866" s="245"/>
      <ns0:c r="E866" s="245"/>
      <ns0:c r="F866" s="245"/>
      <ns0:c r="G866" s="245"/>
      <ns0:c r="H866" s="245"/>
      <ns0:c r="I866" s="245"/>
      <ns0:c r="J866" s="245"/>
      <ns0:c r="K866" s="245"/>
      <ns0:c r="L866" s="245"/>
      <ns0:c r="M866" s="245"/>
      <ns0:c r="N866" s="245"/>
      <ns0:c r="O866" s="245"/>
      <ns0:c r="P866" s="245"/>
      <ns0:c r="Q866" s="245"/>
      <ns0:c r="R866" s="245"/>
      <ns0:c r="S866" s="245"/>
      <ns0:c r="T866" s="245"/>
      <ns0:c r="U866" s="245"/>
      <ns0:c r="V866" s="245"/>
      <ns0:c r="W866" s="245"/>
      <ns0:c r="X866" s="245"/>
      <ns0:c r="Y866" s="245"/>
      <ns0:c r="Z866" s="245"/>
    </ns0:row>
    <ns0:row r="867">
      <ns0:c r="A867" s="245"/>
      <ns0:c r="B867" s="245"/>
      <ns0:c r="C867" s="245"/>
      <ns0:c r="D867" s="245"/>
      <ns0:c r="E867" s="245"/>
      <ns0:c r="F867" s="245"/>
      <ns0:c r="G867" s="245"/>
      <ns0:c r="H867" s="245"/>
      <ns0:c r="I867" s="245"/>
      <ns0:c r="J867" s="245"/>
      <ns0:c r="K867" s="245"/>
      <ns0:c r="L867" s="245"/>
      <ns0:c r="M867" s="245"/>
      <ns0:c r="N867" s="245"/>
      <ns0:c r="O867" s="245"/>
      <ns0:c r="P867" s="245"/>
      <ns0:c r="Q867" s="245"/>
      <ns0:c r="R867" s="245"/>
      <ns0:c r="S867" s="245"/>
      <ns0:c r="T867" s="245"/>
      <ns0:c r="U867" s="245"/>
      <ns0:c r="V867" s="245"/>
      <ns0:c r="W867" s="245"/>
      <ns0:c r="X867" s="245"/>
      <ns0:c r="Y867" s="245"/>
      <ns0:c r="Z867" s="245"/>
    </ns0:row>
    <ns0:row r="868">
      <ns0:c r="A868" s="245"/>
      <ns0:c r="B868" s="245"/>
      <ns0:c r="C868" s="245"/>
      <ns0:c r="D868" s="245"/>
      <ns0:c r="E868" s="245"/>
      <ns0:c r="F868" s="245"/>
      <ns0:c r="G868" s="245"/>
      <ns0:c r="H868" s="245"/>
      <ns0:c r="I868" s="245"/>
      <ns0:c r="J868" s="245"/>
      <ns0:c r="K868" s="245"/>
      <ns0:c r="L868" s="245"/>
      <ns0:c r="M868" s="245"/>
      <ns0:c r="N868" s="245"/>
      <ns0:c r="O868" s="245"/>
      <ns0:c r="P868" s="245"/>
      <ns0:c r="Q868" s="245"/>
      <ns0:c r="R868" s="245"/>
      <ns0:c r="S868" s="245"/>
      <ns0:c r="T868" s="245"/>
      <ns0:c r="U868" s="245"/>
      <ns0:c r="V868" s="245"/>
      <ns0:c r="W868" s="245"/>
      <ns0:c r="X868" s="245"/>
      <ns0:c r="Y868" s="245"/>
      <ns0:c r="Z868" s="245"/>
    </ns0:row>
    <ns0:row r="869">
      <ns0:c r="A869" s="245"/>
      <ns0:c r="B869" s="245"/>
      <ns0:c r="C869" s="245"/>
      <ns0:c r="D869" s="245"/>
      <ns0:c r="E869" s="245"/>
      <ns0:c r="F869" s="245"/>
      <ns0:c r="G869" s="245"/>
      <ns0:c r="H869" s="245"/>
      <ns0:c r="I869" s="245"/>
      <ns0:c r="J869" s="245"/>
      <ns0:c r="K869" s="245"/>
      <ns0:c r="L869" s="245"/>
      <ns0:c r="M869" s="245"/>
      <ns0:c r="N869" s="245"/>
      <ns0:c r="O869" s="245"/>
      <ns0:c r="P869" s="245"/>
      <ns0:c r="Q869" s="245"/>
      <ns0:c r="R869" s="245"/>
      <ns0:c r="S869" s="245"/>
      <ns0:c r="T869" s="245"/>
      <ns0:c r="U869" s="245"/>
      <ns0:c r="V869" s="245"/>
      <ns0:c r="W869" s="245"/>
      <ns0:c r="X869" s="245"/>
      <ns0:c r="Y869" s="245"/>
      <ns0:c r="Z869" s="245"/>
    </ns0:row>
    <ns0:row r="870">
      <ns0:c r="A870" s="245"/>
      <ns0:c r="B870" s="245"/>
      <ns0:c r="C870" s="245"/>
      <ns0:c r="D870" s="245"/>
      <ns0:c r="E870" s="245"/>
      <ns0:c r="F870" s="245"/>
      <ns0:c r="G870" s="245"/>
      <ns0:c r="H870" s="245"/>
      <ns0:c r="I870" s="245"/>
      <ns0:c r="J870" s="245"/>
      <ns0:c r="K870" s="245"/>
      <ns0:c r="L870" s="245"/>
      <ns0:c r="M870" s="245"/>
      <ns0:c r="N870" s="245"/>
      <ns0:c r="O870" s="245"/>
      <ns0:c r="P870" s="245"/>
      <ns0:c r="Q870" s="245"/>
      <ns0:c r="R870" s="245"/>
      <ns0:c r="S870" s="245"/>
      <ns0:c r="T870" s="245"/>
      <ns0:c r="U870" s="245"/>
      <ns0:c r="V870" s="245"/>
      <ns0:c r="W870" s="245"/>
      <ns0:c r="X870" s="245"/>
      <ns0:c r="Y870" s="245"/>
      <ns0:c r="Z870" s="245"/>
    </ns0:row>
    <ns0:row r="871">
      <ns0:c r="A871" s="245"/>
      <ns0:c r="B871" s="245"/>
      <ns0:c r="C871" s="245"/>
      <ns0:c r="D871" s="245"/>
      <ns0:c r="E871" s="245"/>
      <ns0:c r="F871" s="245"/>
      <ns0:c r="G871" s="245"/>
      <ns0:c r="H871" s="245"/>
      <ns0:c r="I871" s="245"/>
      <ns0:c r="J871" s="245"/>
      <ns0:c r="K871" s="245"/>
      <ns0:c r="L871" s="245"/>
      <ns0:c r="M871" s="245"/>
      <ns0:c r="N871" s="245"/>
      <ns0:c r="O871" s="245"/>
      <ns0:c r="P871" s="245"/>
      <ns0:c r="Q871" s="245"/>
      <ns0:c r="R871" s="245"/>
      <ns0:c r="S871" s="245"/>
      <ns0:c r="T871" s="245"/>
      <ns0:c r="U871" s="245"/>
      <ns0:c r="V871" s="245"/>
      <ns0:c r="W871" s="245"/>
      <ns0:c r="X871" s="245"/>
      <ns0:c r="Y871" s="245"/>
      <ns0:c r="Z871" s="245"/>
    </ns0:row>
    <ns0:row r="872">
      <ns0:c r="A872" s="245"/>
      <ns0:c r="B872" s="245"/>
      <ns0:c r="C872" s="245"/>
      <ns0:c r="D872" s="245"/>
      <ns0:c r="E872" s="245"/>
      <ns0:c r="F872" s="245"/>
      <ns0:c r="G872" s="245"/>
      <ns0:c r="H872" s="245"/>
      <ns0:c r="I872" s="245"/>
      <ns0:c r="J872" s="245"/>
      <ns0:c r="K872" s="245"/>
      <ns0:c r="L872" s="245"/>
      <ns0:c r="M872" s="245"/>
      <ns0:c r="N872" s="245"/>
      <ns0:c r="O872" s="245"/>
      <ns0:c r="P872" s="245"/>
      <ns0:c r="Q872" s="245"/>
      <ns0:c r="R872" s="245"/>
      <ns0:c r="S872" s="245"/>
      <ns0:c r="T872" s="245"/>
      <ns0:c r="U872" s="245"/>
      <ns0:c r="V872" s="245"/>
      <ns0:c r="W872" s="245"/>
      <ns0:c r="X872" s="245"/>
      <ns0:c r="Y872" s="245"/>
      <ns0:c r="Z872" s="245"/>
    </ns0:row>
    <ns0:row r="873">
      <ns0:c r="A873" s="245"/>
      <ns0:c r="B873" s="245"/>
      <ns0:c r="C873" s="245"/>
      <ns0:c r="D873" s="245"/>
      <ns0:c r="E873" s="245"/>
      <ns0:c r="F873" s="245"/>
      <ns0:c r="G873" s="245"/>
      <ns0:c r="H873" s="245"/>
      <ns0:c r="I873" s="245"/>
      <ns0:c r="J873" s="245"/>
      <ns0:c r="K873" s="245"/>
      <ns0:c r="L873" s="245"/>
      <ns0:c r="M873" s="245"/>
      <ns0:c r="N873" s="245"/>
      <ns0:c r="O873" s="245"/>
      <ns0:c r="P873" s="245"/>
      <ns0:c r="Q873" s="245"/>
      <ns0:c r="R873" s="245"/>
      <ns0:c r="S873" s="245"/>
      <ns0:c r="T873" s="245"/>
      <ns0:c r="U873" s="245"/>
      <ns0:c r="V873" s="245"/>
      <ns0:c r="W873" s="245"/>
      <ns0:c r="X873" s="245"/>
      <ns0:c r="Y873" s="245"/>
      <ns0:c r="Z873" s="245"/>
    </ns0:row>
    <ns0:row r="874">
      <ns0:c r="A874" s="245"/>
      <ns0:c r="B874" s="245"/>
      <ns0:c r="C874" s="245"/>
      <ns0:c r="D874" s="245"/>
      <ns0:c r="E874" s="245"/>
      <ns0:c r="F874" s="245"/>
      <ns0:c r="G874" s="245"/>
      <ns0:c r="H874" s="245"/>
      <ns0:c r="I874" s="245"/>
      <ns0:c r="J874" s="245"/>
      <ns0:c r="K874" s="245"/>
      <ns0:c r="L874" s="245"/>
      <ns0:c r="M874" s="245"/>
      <ns0:c r="N874" s="245"/>
      <ns0:c r="O874" s="245"/>
      <ns0:c r="P874" s="245"/>
      <ns0:c r="Q874" s="245"/>
      <ns0:c r="R874" s="245"/>
      <ns0:c r="S874" s="245"/>
      <ns0:c r="T874" s="245"/>
      <ns0:c r="U874" s="245"/>
      <ns0:c r="V874" s="245"/>
      <ns0:c r="W874" s="245"/>
      <ns0:c r="X874" s="245"/>
      <ns0:c r="Y874" s="245"/>
      <ns0:c r="Z874" s="245"/>
    </ns0:row>
    <ns0:row r="875">
      <ns0:c r="A875" s="245"/>
      <ns0:c r="B875" s="245"/>
      <ns0:c r="C875" s="245"/>
      <ns0:c r="D875" s="245"/>
      <ns0:c r="E875" s="245"/>
      <ns0:c r="F875" s="245"/>
      <ns0:c r="G875" s="245"/>
      <ns0:c r="H875" s="245"/>
      <ns0:c r="I875" s="245"/>
      <ns0:c r="J875" s="245"/>
      <ns0:c r="K875" s="245"/>
      <ns0:c r="L875" s="245"/>
      <ns0:c r="M875" s="245"/>
      <ns0:c r="N875" s="245"/>
      <ns0:c r="O875" s="245"/>
      <ns0:c r="P875" s="245"/>
      <ns0:c r="Q875" s="245"/>
      <ns0:c r="R875" s="245"/>
      <ns0:c r="S875" s="245"/>
      <ns0:c r="T875" s="245"/>
      <ns0:c r="U875" s="245"/>
      <ns0:c r="V875" s="245"/>
      <ns0:c r="W875" s="245"/>
      <ns0:c r="X875" s="245"/>
      <ns0:c r="Y875" s="245"/>
      <ns0:c r="Z875" s="245"/>
    </ns0:row>
    <ns0:row r="876">
      <ns0:c r="A876" s="245"/>
      <ns0:c r="B876" s="245"/>
      <ns0:c r="C876" s="245"/>
      <ns0:c r="D876" s="245"/>
      <ns0:c r="E876" s="245"/>
      <ns0:c r="F876" s="245"/>
      <ns0:c r="G876" s="245"/>
      <ns0:c r="H876" s="245"/>
      <ns0:c r="I876" s="245"/>
      <ns0:c r="J876" s="245"/>
      <ns0:c r="K876" s="245"/>
      <ns0:c r="L876" s="245"/>
      <ns0:c r="M876" s="245"/>
      <ns0:c r="N876" s="245"/>
      <ns0:c r="O876" s="245"/>
      <ns0:c r="P876" s="245"/>
      <ns0:c r="Q876" s="245"/>
      <ns0:c r="R876" s="245"/>
      <ns0:c r="S876" s="245"/>
      <ns0:c r="T876" s="245"/>
      <ns0:c r="U876" s="245"/>
      <ns0:c r="V876" s="245"/>
      <ns0:c r="W876" s="245"/>
      <ns0:c r="X876" s="245"/>
      <ns0:c r="Y876" s="245"/>
      <ns0:c r="Z876" s="245"/>
    </ns0:row>
    <ns0:row r="877">
      <ns0:c r="A877" s="245"/>
      <ns0:c r="B877" s="245"/>
      <ns0:c r="C877" s="245"/>
      <ns0:c r="D877" s="245"/>
      <ns0:c r="E877" s="245"/>
      <ns0:c r="F877" s="245"/>
      <ns0:c r="G877" s="245"/>
      <ns0:c r="H877" s="245"/>
      <ns0:c r="I877" s="245"/>
      <ns0:c r="J877" s="245"/>
      <ns0:c r="K877" s="245"/>
      <ns0:c r="L877" s="245"/>
      <ns0:c r="M877" s="245"/>
      <ns0:c r="N877" s="245"/>
      <ns0:c r="O877" s="245"/>
      <ns0:c r="P877" s="245"/>
      <ns0:c r="Q877" s="245"/>
      <ns0:c r="R877" s="245"/>
      <ns0:c r="S877" s="245"/>
      <ns0:c r="T877" s="245"/>
      <ns0:c r="U877" s="245"/>
      <ns0:c r="V877" s="245"/>
      <ns0:c r="W877" s="245"/>
      <ns0:c r="X877" s="245"/>
      <ns0:c r="Y877" s="245"/>
      <ns0:c r="Z877" s="245"/>
    </ns0:row>
    <ns0:row r="878">
      <ns0:c r="A878" s="245"/>
      <ns0:c r="B878" s="245"/>
      <ns0:c r="C878" s="245"/>
      <ns0:c r="D878" s="245"/>
      <ns0:c r="E878" s="245"/>
      <ns0:c r="F878" s="245"/>
      <ns0:c r="G878" s="245"/>
      <ns0:c r="H878" s="245"/>
      <ns0:c r="I878" s="245"/>
      <ns0:c r="J878" s="245"/>
      <ns0:c r="K878" s="245"/>
      <ns0:c r="L878" s="245"/>
      <ns0:c r="M878" s="245"/>
      <ns0:c r="N878" s="245"/>
      <ns0:c r="O878" s="245"/>
      <ns0:c r="P878" s="245"/>
      <ns0:c r="Q878" s="245"/>
      <ns0:c r="R878" s="245"/>
      <ns0:c r="S878" s="245"/>
      <ns0:c r="T878" s="245"/>
      <ns0:c r="U878" s="245"/>
      <ns0:c r="V878" s="245"/>
      <ns0:c r="W878" s="245"/>
      <ns0:c r="X878" s="245"/>
      <ns0:c r="Y878" s="245"/>
      <ns0:c r="Z878" s="245"/>
    </ns0:row>
    <ns0:row r="879">
      <ns0:c r="A879" s="245"/>
      <ns0:c r="B879" s="245"/>
      <ns0:c r="C879" s="245"/>
      <ns0:c r="D879" s="245"/>
      <ns0:c r="E879" s="245"/>
      <ns0:c r="F879" s="245"/>
      <ns0:c r="G879" s="245"/>
      <ns0:c r="H879" s="245"/>
      <ns0:c r="I879" s="245"/>
      <ns0:c r="J879" s="245"/>
      <ns0:c r="K879" s="245"/>
      <ns0:c r="L879" s="245"/>
      <ns0:c r="M879" s="245"/>
      <ns0:c r="N879" s="245"/>
      <ns0:c r="O879" s="245"/>
      <ns0:c r="P879" s="245"/>
      <ns0:c r="Q879" s="245"/>
      <ns0:c r="R879" s="245"/>
      <ns0:c r="S879" s="245"/>
      <ns0:c r="T879" s="245"/>
      <ns0:c r="U879" s="245"/>
      <ns0:c r="V879" s="245"/>
      <ns0:c r="W879" s="245"/>
      <ns0:c r="X879" s="245"/>
      <ns0:c r="Y879" s="245"/>
      <ns0:c r="Z879" s="245"/>
    </ns0:row>
    <ns0:row r="880">
      <ns0:c r="A880" s="245"/>
      <ns0:c r="B880" s="245"/>
      <ns0:c r="C880" s="245"/>
      <ns0:c r="D880" s="245"/>
      <ns0:c r="E880" s="245"/>
      <ns0:c r="F880" s="245"/>
      <ns0:c r="G880" s="245"/>
      <ns0:c r="H880" s="245"/>
      <ns0:c r="I880" s="245"/>
      <ns0:c r="J880" s="245"/>
      <ns0:c r="K880" s="245"/>
      <ns0:c r="L880" s="245"/>
      <ns0:c r="M880" s="245"/>
      <ns0:c r="N880" s="245"/>
      <ns0:c r="O880" s="245"/>
      <ns0:c r="P880" s="245"/>
      <ns0:c r="Q880" s="245"/>
      <ns0:c r="R880" s="245"/>
      <ns0:c r="S880" s="245"/>
      <ns0:c r="T880" s="245"/>
      <ns0:c r="U880" s="245"/>
      <ns0:c r="V880" s="245"/>
      <ns0:c r="W880" s="245"/>
      <ns0:c r="X880" s="245"/>
      <ns0:c r="Y880" s="245"/>
      <ns0:c r="Z880" s="245"/>
    </ns0:row>
    <ns0:row r="881">
      <ns0:c r="A881" s="245"/>
      <ns0:c r="B881" s="245"/>
      <ns0:c r="C881" s="245"/>
      <ns0:c r="D881" s="245"/>
      <ns0:c r="E881" s="245"/>
      <ns0:c r="F881" s="245"/>
      <ns0:c r="G881" s="245"/>
      <ns0:c r="H881" s="245"/>
      <ns0:c r="I881" s="245"/>
      <ns0:c r="J881" s="245"/>
      <ns0:c r="K881" s="245"/>
      <ns0:c r="L881" s="245"/>
      <ns0:c r="M881" s="245"/>
      <ns0:c r="N881" s="245"/>
      <ns0:c r="O881" s="245"/>
      <ns0:c r="P881" s="245"/>
      <ns0:c r="Q881" s="245"/>
      <ns0:c r="R881" s="245"/>
      <ns0:c r="S881" s="245"/>
      <ns0:c r="T881" s="245"/>
      <ns0:c r="U881" s="245"/>
      <ns0:c r="V881" s="245"/>
      <ns0:c r="W881" s="245"/>
      <ns0:c r="X881" s="245"/>
      <ns0:c r="Y881" s="245"/>
      <ns0:c r="Z881" s="245"/>
    </ns0:row>
    <ns0:row r="882">
      <ns0:c r="A882" s="245"/>
      <ns0:c r="B882" s="245"/>
      <ns0:c r="C882" s="245"/>
      <ns0:c r="D882" s="245"/>
      <ns0:c r="E882" s="245"/>
      <ns0:c r="F882" s="245"/>
      <ns0:c r="G882" s="245"/>
      <ns0:c r="H882" s="245"/>
      <ns0:c r="I882" s="245"/>
      <ns0:c r="J882" s="245"/>
      <ns0:c r="K882" s="245"/>
      <ns0:c r="L882" s="245"/>
      <ns0:c r="M882" s="245"/>
      <ns0:c r="N882" s="245"/>
      <ns0:c r="O882" s="245"/>
      <ns0:c r="P882" s="245"/>
      <ns0:c r="Q882" s="245"/>
      <ns0:c r="R882" s="245"/>
      <ns0:c r="S882" s="245"/>
      <ns0:c r="T882" s="245"/>
      <ns0:c r="U882" s="245"/>
      <ns0:c r="V882" s="245"/>
      <ns0:c r="W882" s="245"/>
      <ns0:c r="X882" s="245"/>
      <ns0:c r="Y882" s="245"/>
      <ns0:c r="Z882" s="245"/>
    </ns0:row>
    <ns0:row r="883">
      <ns0:c r="A883" s="245"/>
      <ns0:c r="B883" s="245"/>
      <ns0:c r="C883" s="245"/>
      <ns0:c r="D883" s="245"/>
      <ns0:c r="E883" s="245"/>
      <ns0:c r="F883" s="245"/>
      <ns0:c r="G883" s="245"/>
      <ns0:c r="H883" s="245"/>
      <ns0:c r="I883" s="245"/>
      <ns0:c r="J883" s="245"/>
      <ns0:c r="K883" s="245"/>
      <ns0:c r="L883" s="245"/>
      <ns0:c r="M883" s="245"/>
      <ns0:c r="N883" s="245"/>
      <ns0:c r="O883" s="245"/>
      <ns0:c r="P883" s="245"/>
      <ns0:c r="Q883" s="245"/>
      <ns0:c r="R883" s="245"/>
      <ns0:c r="S883" s="245"/>
      <ns0:c r="T883" s="245"/>
      <ns0:c r="U883" s="245"/>
      <ns0:c r="V883" s="245"/>
      <ns0:c r="W883" s="245"/>
      <ns0:c r="X883" s="245"/>
      <ns0:c r="Y883" s="245"/>
      <ns0:c r="Z883" s="245"/>
    </ns0:row>
    <ns0:row r="884">
      <ns0:c r="A884" s="245"/>
      <ns0:c r="B884" s="245"/>
      <ns0:c r="C884" s="245"/>
      <ns0:c r="D884" s="245"/>
      <ns0:c r="E884" s="245"/>
      <ns0:c r="F884" s="245"/>
      <ns0:c r="G884" s="245"/>
      <ns0:c r="H884" s="245"/>
      <ns0:c r="I884" s="245"/>
      <ns0:c r="J884" s="245"/>
      <ns0:c r="K884" s="245"/>
      <ns0:c r="L884" s="245"/>
      <ns0:c r="M884" s="245"/>
      <ns0:c r="N884" s="245"/>
      <ns0:c r="O884" s="245"/>
      <ns0:c r="P884" s="245"/>
      <ns0:c r="Q884" s="245"/>
      <ns0:c r="R884" s="245"/>
      <ns0:c r="S884" s="245"/>
      <ns0:c r="T884" s="245"/>
      <ns0:c r="U884" s="245"/>
      <ns0:c r="V884" s="245"/>
      <ns0:c r="W884" s="245"/>
      <ns0:c r="X884" s="245"/>
      <ns0:c r="Y884" s="245"/>
      <ns0:c r="Z884" s="245"/>
    </ns0:row>
    <ns0:row r="885">
      <ns0:c r="A885" s="245"/>
      <ns0:c r="B885" s="245"/>
      <ns0:c r="C885" s="245"/>
      <ns0:c r="D885" s="245"/>
      <ns0:c r="E885" s="245"/>
      <ns0:c r="F885" s="245"/>
      <ns0:c r="G885" s="245"/>
      <ns0:c r="H885" s="245"/>
      <ns0:c r="I885" s="245"/>
      <ns0:c r="J885" s="245"/>
      <ns0:c r="K885" s="245"/>
      <ns0:c r="L885" s="245"/>
      <ns0:c r="M885" s="245"/>
      <ns0:c r="N885" s="245"/>
      <ns0:c r="O885" s="245"/>
      <ns0:c r="P885" s="245"/>
      <ns0:c r="Q885" s="245"/>
      <ns0:c r="R885" s="245"/>
      <ns0:c r="S885" s="245"/>
      <ns0:c r="T885" s="245"/>
      <ns0:c r="U885" s="245"/>
      <ns0:c r="V885" s="245"/>
      <ns0:c r="W885" s="245"/>
      <ns0:c r="X885" s="245"/>
      <ns0:c r="Y885" s="245"/>
      <ns0:c r="Z885" s="245"/>
    </ns0:row>
    <ns0:row r="886">
      <ns0:c r="A886" s="245"/>
      <ns0:c r="B886" s="245"/>
      <ns0:c r="C886" s="245"/>
      <ns0:c r="D886" s="245"/>
      <ns0:c r="E886" s="245"/>
      <ns0:c r="F886" s="245"/>
      <ns0:c r="G886" s="245"/>
      <ns0:c r="H886" s="245"/>
      <ns0:c r="I886" s="245"/>
      <ns0:c r="J886" s="245"/>
      <ns0:c r="K886" s="245"/>
      <ns0:c r="L886" s="245"/>
      <ns0:c r="M886" s="245"/>
      <ns0:c r="N886" s="245"/>
      <ns0:c r="O886" s="245"/>
      <ns0:c r="P886" s="245"/>
      <ns0:c r="Q886" s="245"/>
      <ns0:c r="R886" s="245"/>
      <ns0:c r="S886" s="245"/>
      <ns0:c r="T886" s="245"/>
      <ns0:c r="U886" s="245"/>
      <ns0:c r="V886" s="245"/>
      <ns0:c r="W886" s="245"/>
      <ns0:c r="X886" s="245"/>
      <ns0:c r="Y886" s="245"/>
      <ns0:c r="Z886" s="245"/>
    </ns0:row>
    <ns0:row r="887">
      <ns0:c r="A887" s="245"/>
      <ns0:c r="B887" s="245"/>
      <ns0:c r="C887" s="245"/>
      <ns0:c r="D887" s="245"/>
      <ns0:c r="E887" s="245"/>
      <ns0:c r="F887" s="245"/>
      <ns0:c r="G887" s="245"/>
      <ns0:c r="H887" s="245"/>
      <ns0:c r="I887" s="245"/>
      <ns0:c r="J887" s="245"/>
      <ns0:c r="K887" s="245"/>
      <ns0:c r="L887" s="245"/>
      <ns0:c r="M887" s="245"/>
      <ns0:c r="N887" s="245"/>
      <ns0:c r="O887" s="245"/>
      <ns0:c r="P887" s="245"/>
      <ns0:c r="Q887" s="245"/>
      <ns0:c r="R887" s="245"/>
      <ns0:c r="S887" s="245"/>
      <ns0:c r="T887" s="245"/>
      <ns0:c r="U887" s="245"/>
      <ns0:c r="V887" s="245"/>
      <ns0:c r="W887" s="245"/>
      <ns0:c r="X887" s="245"/>
      <ns0:c r="Y887" s="245"/>
      <ns0:c r="Z887" s="245"/>
    </ns0:row>
    <ns0:row r="888">
      <ns0:c r="A888" s="245"/>
      <ns0:c r="B888" s="245"/>
      <ns0:c r="C888" s="245"/>
      <ns0:c r="D888" s="245"/>
      <ns0:c r="E888" s="245"/>
      <ns0:c r="F888" s="245"/>
      <ns0:c r="G888" s="245"/>
      <ns0:c r="H888" s="245"/>
      <ns0:c r="I888" s="245"/>
      <ns0:c r="J888" s="245"/>
      <ns0:c r="K888" s="245"/>
      <ns0:c r="L888" s="245"/>
      <ns0:c r="M888" s="245"/>
      <ns0:c r="N888" s="245"/>
      <ns0:c r="O888" s="245"/>
      <ns0:c r="P888" s="245"/>
      <ns0:c r="Q888" s="245"/>
      <ns0:c r="R888" s="245"/>
      <ns0:c r="S888" s="245"/>
      <ns0:c r="T888" s="245"/>
      <ns0:c r="U888" s="245"/>
      <ns0:c r="V888" s="245"/>
      <ns0:c r="W888" s="245"/>
      <ns0:c r="X888" s="245"/>
      <ns0:c r="Y888" s="245"/>
      <ns0:c r="Z888" s="245"/>
    </ns0:row>
    <ns0:row r="889">
      <ns0:c r="A889" s="245"/>
      <ns0:c r="B889" s="245"/>
      <ns0:c r="C889" s="245"/>
      <ns0:c r="D889" s="245"/>
      <ns0:c r="E889" s="245"/>
      <ns0:c r="F889" s="245"/>
      <ns0:c r="G889" s="245"/>
      <ns0:c r="H889" s="245"/>
      <ns0:c r="I889" s="245"/>
      <ns0:c r="J889" s="245"/>
      <ns0:c r="K889" s="245"/>
      <ns0:c r="L889" s="245"/>
      <ns0:c r="M889" s="245"/>
      <ns0:c r="N889" s="245"/>
      <ns0:c r="O889" s="245"/>
      <ns0:c r="P889" s="245"/>
      <ns0:c r="Q889" s="245"/>
      <ns0:c r="R889" s="245"/>
      <ns0:c r="S889" s="245"/>
      <ns0:c r="T889" s="245"/>
      <ns0:c r="U889" s="245"/>
      <ns0:c r="V889" s="245"/>
      <ns0:c r="W889" s="245"/>
      <ns0:c r="X889" s="245"/>
      <ns0:c r="Y889" s="245"/>
      <ns0:c r="Z889" s="245"/>
    </ns0:row>
    <ns0:row r="890">
      <ns0:c r="A890" s="245"/>
      <ns0:c r="B890" s="245"/>
      <ns0:c r="C890" s="245"/>
      <ns0:c r="D890" s="245"/>
      <ns0:c r="E890" s="245"/>
      <ns0:c r="F890" s="245"/>
      <ns0:c r="G890" s="245"/>
      <ns0:c r="H890" s="245"/>
      <ns0:c r="I890" s="245"/>
      <ns0:c r="J890" s="245"/>
      <ns0:c r="K890" s="245"/>
      <ns0:c r="L890" s="245"/>
      <ns0:c r="M890" s="245"/>
      <ns0:c r="N890" s="245"/>
      <ns0:c r="O890" s="245"/>
      <ns0:c r="P890" s="245"/>
      <ns0:c r="Q890" s="245"/>
      <ns0:c r="R890" s="245"/>
      <ns0:c r="S890" s="245"/>
      <ns0:c r="T890" s="245"/>
      <ns0:c r="U890" s="245"/>
      <ns0:c r="V890" s="245"/>
      <ns0:c r="W890" s="245"/>
      <ns0:c r="X890" s="245"/>
      <ns0:c r="Y890" s="245"/>
      <ns0:c r="Z890" s="245"/>
    </ns0:row>
    <ns0:row r="891">
      <ns0:c r="A891" s="245"/>
      <ns0:c r="B891" s="245"/>
      <ns0:c r="C891" s="245"/>
      <ns0:c r="D891" s="245"/>
      <ns0:c r="E891" s="245"/>
      <ns0:c r="F891" s="245"/>
      <ns0:c r="G891" s="245"/>
      <ns0:c r="H891" s="245"/>
      <ns0:c r="I891" s="245"/>
      <ns0:c r="J891" s="245"/>
      <ns0:c r="K891" s="245"/>
      <ns0:c r="L891" s="245"/>
      <ns0:c r="M891" s="245"/>
      <ns0:c r="N891" s="245"/>
      <ns0:c r="O891" s="245"/>
      <ns0:c r="P891" s="245"/>
      <ns0:c r="Q891" s="245"/>
      <ns0:c r="R891" s="245"/>
      <ns0:c r="S891" s="245"/>
      <ns0:c r="T891" s="245"/>
      <ns0:c r="U891" s="245"/>
      <ns0:c r="V891" s="245"/>
      <ns0:c r="W891" s="245"/>
      <ns0:c r="X891" s="245"/>
      <ns0:c r="Y891" s="245"/>
      <ns0:c r="Z891" s="245"/>
    </ns0:row>
    <ns0:row r="892">
      <ns0:c r="A892" s="245"/>
      <ns0:c r="B892" s="245"/>
      <ns0:c r="C892" s="245"/>
      <ns0:c r="D892" s="245"/>
      <ns0:c r="E892" s="245"/>
      <ns0:c r="F892" s="245"/>
      <ns0:c r="G892" s="245"/>
      <ns0:c r="H892" s="245"/>
      <ns0:c r="I892" s="245"/>
      <ns0:c r="J892" s="245"/>
      <ns0:c r="K892" s="245"/>
      <ns0:c r="L892" s="245"/>
      <ns0:c r="M892" s="245"/>
      <ns0:c r="N892" s="245"/>
      <ns0:c r="O892" s="245"/>
      <ns0:c r="P892" s="245"/>
      <ns0:c r="Q892" s="245"/>
      <ns0:c r="R892" s="245"/>
      <ns0:c r="S892" s="245"/>
      <ns0:c r="T892" s="245"/>
      <ns0:c r="U892" s="245"/>
      <ns0:c r="V892" s="245"/>
      <ns0:c r="W892" s="245"/>
      <ns0:c r="X892" s="245"/>
      <ns0:c r="Y892" s="245"/>
      <ns0:c r="Z892" s="245"/>
    </ns0:row>
    <ns0:row r="893">
      <ns0:c r="A893" s="245"/>
      <ns0:c r="B893" s="245"/>
      <ns0:c r="C893" s="245"/>
      <ns0:c r="D893" s="245"/>
      <ns0:c r="E893" s="245"/>
      <ns0:c r="F893" s="245"/>
      <ns0:c r="G893" s="245"/>
      <ns0:c r="H893" s="245"/>
      <ns0:c r="I893" s="245"/>
      <ns0:c r="J893" s="245"/>
      <ns0:c r="K893" s="245"/>
      <ns0:c r="L893" s="245"/>
      <ns0:c r="M893" s="245"/>
      <ns0:c r="N893" s="245"/>
      <ns0:c r="O893" s="245"/>
      <ns0:c r="P893" s="245"/>
      <ns0:c r="Q893" s="245"/>
      <ns0:c r="R893" s="245"/>
      <ns0:c r="S893" s="245"/>
      <ns0:c r="T893" s="245"/>
      <ns0:c r="U893" s="245"/>
      <ns0:c r="V893" s="245"/>
      <ns0:c r="W893" s="245"/>
      <ns0:c r="X893" s="245"/>
      <ns0:c r="Y893" s="245"/>
      <ns0:c r="Z893" s="245"/>
    </ns0:row>
    <ns0:row r="894">
      <ns0:c r="A894" s="245"/>
      <ns0:c r="B894" s="245"/>
      <ns0:c r="C894" s="245"/>
      <ns0:c r="D894" s="245"/>
      <ns0:c r="E894" s="245"/>
      <ns0:c r="F894" s="245"/>
      <ns0:c r="G894" s="245"/>
      <ns0:c r="H894" s="245"/>
      <ns0:c r="I894" s="245"/>
      <ns0:c r="J894" s="245"/>
      <ns0:c r="K894" s="245"/>
      <ns0:c r="L894" s="245"/>
      <ns0:c r="M894" s="245"/>
      <ns0:c r="N894" s="245"/>
      <ns0:c r="O894" s="245"/>
      <ns0:c r="P894" s="245"/>
      <ns0:c r="Q894" s="245"/>
      <ns0:c r="R894" s="245"/>
      <ns0:c r="S894" s="245"/>
      <ns0:c r="T894" s="245"/>
      <ns0:c r="U894" s="245"/>
      <ns0:c r="V894" s="245"/>
      <ns0:c r="W894" s="245"/>
      <ns0:c r="X894" s="245"/>
      <ns0:c r="Y894" s="245"/>
      <ns0:c r="Z894" s="245"/>
    </ns0:row>
    <ns0:row r="895">
      <ns0:c r="A895" s="245"/>
      <ns0:c r="B895" s="245"/>
      <ns0:c r="C895" s="245"/>
      <ns0:c r="D895" s="245"/>
      <ns0:c r="E895" s="245"/>
      <ns0:c r="F895" s="245"/>
      <ns0:c r="G895" s="245"/>
      <ns0:c r="H895" s="245"/>
      <ns0:c r="I895" s="245"/>
      <ns0:c r="J895" s="245"/>
      <ns0:c r="K895" s="245"/>
      <ns0:c r="L895" s="245"/>
      <ns0:c r="M895" s="245"/>
      <ns0:c r="N895" s="245"/>
      <ns0:c r="O895" s="245"/>
      <ns0:c r="P895" s="245"/>
      <ns0:c r="Q895" s="245"/>
      <ns0:c r="R895" s="245"/>
      <ns0:c r="S895" s="245"/>
      <ns0:c r="T895" s="245"/>
      <ns0:c r="U895" s="245"/>
      <ns0:c r="V895" s="245"/>
      <ns0:c r="W895" s="245"/>
      <ns0:c r="X895" s="245"/>
      <ns0:c r="Y895" s="245"/>
      <ns0:c r="Z895" s="245"/>
    </ns0:row>
    <ns0:row r="896">
      <ns0:c r="A896" s="245"/>
      <ns0:c r="B896" s="245"/>
      <ns0:c r="C896" s="245"/>
      <ns0:c r="D896" s="245"/>
      <ns0:c r="E896" s="245"/>
      <ns0:c r="F896" s="245"/>
      <ns0:c r="G896" s="245"/>
      <ns0:c r="H896" s="245"/>
      <ns0:c r="I896" s="245"/>
      <ns0:c r="J896" s="245"/>
      <ns0:c r="K896" s="245"/>
      <ns0:c r="L896" s="245"/>
      <ns0:c r="M896" s="245"/>
      <ns0:c r="N896" s="245"/>
      <ns0:c r="O896" s="245"/>
      <ns0:c r="P896" s="245"/>
      <ns0:c r="Q896" s="245"/>
      <ns0:c r="R896" s="245"/>
      <ns0:c r="S896" s="245"/>
      <ns0:c r="T896" s="245"/>
      <ns0:c r="U896" s="245"/>
      <ns0:c r="V896" s="245"/>
      <ns0:c r="W896" s="245"/>
      <ns0:c r="X896" s="245"/>
      <ns0:c r="Y896" s="245"/>
      <ns0:c r="Z896" s="245"/>
    </ns0:row>
    <ns0:row r="897">
      <ns0:c r="A897" s="245"/>
      <ns0:c r="B897" s="245"/>
      <ns0:c r="C897" s="245"/>
      <ns0:c r="D897" s="245"/>
      <ns0:c r="E897" s="245"/>
      <ns0:c r="F897" s="245"/>
      <ns0:c r="G897" s="245"/>
      <ns0:c r="H897" s="245"/>
      <ns0:c r="I897" s="245"/>
      <ns0:c r="J897" s="245"/>
      <ns0:c r="K897" s="245"/>
      <ns0:c r="L897" s="245"/>
      <ns0:c r="M897" s="245"/>
      <ns0:c r="N897" s="245"/>
      <ns0:c r="O897" s="245"/>
      <ns0:c r="P897" s="245"/>
      <ns0:c r="Q897" s="245"/>
      <ns0:c r="R897" s="245"/>
      <ns0:c r="S897" s="245"/>
      <ns0:c r="T897" s="245"/>
      <ns0:c r="U897" s="245"/>
      <ns0:c r="V897" s="245"/>
      <ns0:c r="W897" s="245"/>
      <ns0:c r="X897" s="245"/>
      <ns0:c r="Y897" s="245"/>
      <ns0:c r="Z897" s="245"/>
    </ns0:row>
    <ns0:row r="898">
      <ns0:c r="A898" s="245"/>
      <ns0:c r="B898" s="245"/>
      <ns0:c r="C898" s="245"/>
      <ns0:c r="D898" s="245"/>
      <ns0:c r="E898" s="245"/>
      <ns0:c r="F898" s="245"/>
      <ns0:c r="G898" s="245"/>
      <ns0:c r="H898" s="245"/>
      <ns0:c r="I898" s="245"/>
      <ns0:c r="J898" s="245"/>
      <ns0:c r="K898" s="245"/>
      <ns0:c r="L898" s="245"/>
      <ns0:c r="M898" s="245"/>
      <ns0:c r="N898" s="245"/>
      <ns0:c r="O898" s="245"/>
      <ns0:c r="P898" s="245"/>
      <ns0:c r="Q898" s="245"/>
      <ns0:c r="R898" s="245"/>
      <ns0:c r="S898" s="245"/>
      <ns0:c r="T898" s="245"/>
      <ns0:c r="U898" s="245"/>
      <ns0:c r="V898" s="245"/>
      <ns0:c r="W898" s="245"/>
      <ns0:c r="X898" s="245"/>
      <ns0:c r="Y898" s="245"/>
      <ns0:c r="Z898" s="245"/>
    </ns0:row>
    <ns0:row r="899">
      <ns0:c r="A899" s="245"/>
      <ns0:c r="B899" s="245"/>
      <ns0:c r="C899" s="245"/>
      <ns0:c r="D899" s="245"/>
      <ns0:c r="E899" s="245"/>
      <ns0:c r="F899" s="245"/>
      <ns0:c r="G899" s="245"/>
      <ns0:c r="H899" s="245"/>
      <ns0:c r="I899" s="245"/>
      <ns0:c r="J899" s="245"/>
      <ns0:c r="K899" s="245"/>
      <ns0:c r="L899" s="245"/>
      <ns0:c r="M899" s="245"/>
      <ns0:c r="N899" s="245"/>
      <ns0:c r="O899" s="245"/>
      <ns0:c r="P899" s="245"/>
      <ns0:c r="Q899" s="245"/>
      <ns0:c r="R899" s="245"/>
      <ns0:c r="S899" s="245"/>
      <ns0:c r="T899" s="245"/>
      <ns0:c r="U899" s="245"/>
      <ns0:c r="V899" s="245"/>
      <ns0:c r="W899" s="245"/>
      <ns0:c r="X899" s="245"/>
      <ns0:c r="Y899" s="245"/>
      <ns0:c r="Z899" s="245"/>
    </ns0:row>
    <ns0:row r="900">
      <ns0:c r="A900" s="245"/>
      <ns0:c r="B900" s="245"/>
      <ns0:c r="C900" s="245"/>
      <ns0:c r="D900" s="245"/>
      <ns0:c r="E900" s="245"/>
      <ns0:c r="F900" s="245"/>
      <ns0:c r="G900" s="245"/>
      <ns0:c r="H900" s="245"/>
      <ns0:c r="I900" s="245"/>
      <ns0:c r="J900" s="245"/>
      <ns0:c r="K900" s="245"/>
      <ns0:c r="L900" s="245"/>
      <ns0:c r="M900" s="245"/>
      <ns0:c r="N900" s="245"/>
      <ns0:c r="O900" s="245"/>
      <ns0:c r="P900" s="245"/>
      <ns0:c r="Q900" s="245"/>
      <ns0:c r="R900" s="245"/>
      <ns0:c r="S900" s="245"/>
      <ns0:c r="T900" s="245"/>
      <ns0:c r="U900" s="245"/>
      <ns0:c r="V900" s="245"/>
      <ns0:c r="W900" s="245"/>
      <ns0:c r="X900" s="245"/>
      <ns0:c r="Y900" s="245"/>
      <ns0:c r="Z900" s="245"/>
    </ns0:row>
    <ns0:row r="901">
      <ns0:c r="A901" s="245"/>
      <ns0:c r="B901" s="245"/>
      <ns0:c r="C901" s="245"/>
      <ns0:c r="D901" s="245"/>
      <ns0:c r="E901" s="245"/>
      <ns0:c r="F901" s="245"/>
      <ns0:c r="G901" s="245"/>
      <ns0:c r="H901" s="245"/>
      <ns0:c r="I901" s="245"/>
      <ns0:c r="J901" s="245"/>
      <ns0:c r="K901" s="245"/>
      <ns0:c r="L901" s="245"/>
      <ns0:c r="M901" s="245"/>
      <ns0:c r="N901" s="245"/>
      <ns0:c r="O901" s="245"/>
      <ns0:c r="P901" s="245"/>
      <ns0:c r="Q901" s="245"/>
      <ns0:c r="R901" s="245"/>
      <ns0:c r="S901" s="245"/>
      <ns0:c r="T901" s="245"/>
      <ns0:c r="U901" s="245"/>
      <ns0:c r="V901" s="245"/>
      <ns0:c r="W901" s="245"/>
      <ns0:c r="X901" s="245"/>
      <ns0:c r="Y901" s="245"/>
      <ns0:c r="Z901" s="245"/>
    </ns0:row>
    <ns0:row r="902">
      <ns0:c r="A902" s="245"/>
      <ns0:c r="B902" s="245"/>
      <ns0:c r="C902" s="245"/>
      <ns0:c r="D902" s="245"/>
      <ns0:c r="E902" s="245"/>
      <ns0:c r="F902" s="245"/>
      <ns0:c r="G902" s="245"/>
      <ns0:c r="H902" s="245"/>
      <ns0:c r="I902" s="245"/>
      <ns0:c r="J902" s="245"/>
      <ns0:c r="K902" s="245"/>
      <ns0:c r="L902" s="245"/>
      <ns0:c r="M902" s="245"/>
      <ns0:c r="N902" s="245"/>
      <ns0:c r="O902" s="245"/>
      <ns0:c r="P902" s="245"/>
      <ns0:c r="Q902" s="245"/>
      <ns0:c r="R902" s="245"/>
      <ns0:c r="S902" s="245"/>
      <ns0:c r="T902" s="245"/>
      <ns0:c r="U902" s="245"/>
      <ns0:c r="V902" s="245"/>
      <ns0:c r="W902" s="245"/>
      <ns0:c r="X902" s="245"/>
      <ns0:c r="Y902" s="245"/>
      <ns0:c r="Z902" s="245"/>
    </ns0:row>
    <ns0:row r="903">
      <ns0:c r="A903" s="245"/>
      <ns0:c r="B903" s="245"/>
      <ns0:c r="C903" s="245"/>
      <ns0:c r="D903" s="245"/>
      <ns0:c r="E903" s="245"/>
      <ns0:c r="F903" s="245"/>
      <ns0:c r="G903" s="245"/>
      <ns0:c r="H903" s="245"/>
      <ns0:c r="I903" s="245"/>
      <ns0:c r="J903" s="245"/>
      <ns0:c r="K903" s="245"/>
      <ns0:c r="L903" s="245"/>
      <ns0:c r="M903" s="245"/>
      <ns0:c r="N903" s="245"/>
      <ns0:c r="O903" s="245"/>
      <ns0:c r="P903" s="245"/>
      <ns0:c r="Q903" s="245"/>
      <ns0:c r="R903" s="245"/>
      <ns0:c r="S903" s="245"/>
      <ns0:c r="T903" s="245"/>
      <ns0:c r="U903" s="245"/>
      <ns0:c r="V903" s="245"/>
      <ns0:c r="W903" s="245"/>
      <ns0:c r="X903" s="245"/>
      <ns0:c r="Y903" s="245"/>
      <ns0:c r="Z903" s="245"/>
    </ns0:row>
    <ns0:row r="904">
      <ns0:c r="A904" s="245"/>
      <ns0:c r="B904" s="245"/>
      <ns0:c r="C904" s="245"/>
      <ns0:c r="D904" s="245"/>
      <ns0:c r="E904" s="245"/>
      <ns0:c r="F904" s="245"/>
      <ns0:c r="G904" s="245"/>
      <ns0:c r="H904" s="245"/>
      <ns0:c r="I904" s="245"/>
      <ns0:c r="J904" s="245"/>
      <ns0:c r="K904" s="245"/>
      <ns0:c r="L904" s="245"/>
      <ns0:c r="M904" s="245"/>
      <ns0:c r="N904" s="245"/>
      <ns0:c r="O904" s="245"/>
      <ns0:c r="P904" s="245"/>
      <ns0:c r="Q904" s="245"/>
      <ns0:c r="R904" s="245"/>
      <ns0:c r="S904" s="245"/>
      <ns0:c r="T904" s="245"/>
      <ns0:c r="U904" s="245"/>
      <ns0:c r="V904" s="245"/>
      <ns0:c r="W904" s="245"/>
      <ns0:c r="X904" s="245"/>
      <ns0:c r="Y904" s="245"/>
      <ns0:c r="Z904" s="245"/>
    </ns0:row>
    <ns0:row r="905">
      <ns0:c r="A905" s="245"/>
      <ns0:c r="B905" s="245"/>
      <ns0:c r="C905" s="245"/>
      <ns0:c r="D905" s="245"/>
      <ns0:c r="E905" s="245"/>
      <ns0:c r="F905" s="245"/>
      <ns0:c r="G905" s="245"/>
      <ns0:c r="H905" s="245"/>
      <ns0:c r="I905" s="245"/>
      <ns0:c r="J905" s="245"/>
      <ns0:c r="K905" s="245"/>
      <ns0:c r="L905" s="245"/>
      <ns0:c r="M905" s="245"/>
      <ns0:c r="N905" s="245"/>
      <ns0:c r="O905" s="245"/>
      <ns0:c r="P905" s="245"/>
      <ns0:c r="Q905" s="245"/>
      <ns0:c r="R905" s="245"/>
      <ns0:c r="S905" s="245"/>
      <ns0:c r="T905" s="245"/>
      <ns0:c r="U905" s="245"/>
      <ns0:c r="V905" s="245"/>
      <ns0:c r="W905" s="245"/>
      <ns0:c r="X905" s="245"/>
      <ns0:c r="Y905" s="245"/>
      <ns0:c r="Z905" s="245"/>
    </ns0:row>
    <ns0:row r="906">
      <ns0:c r="A906" s="245"/>
      <ns0:c r="B906" s="245"/>
      <ns0:c r="C906" s="245"/>
      <ns0:c r="D906" s="245"/>
      <ns0:c r="E906" s="245"/>
      <ns0:c r="F906" s="245"/>
      <ns0:c r="G906" s="245"/>
      <ns0:c r="H906" s="245"/>
      <ns0:c r="I906" s="245"/>
      <ns0:c r="J906" s="245"/>
      <ns0:c r="K906" s="245"/>
      <ns0:c r="L906" s="245"/>
      <ns0:c r="M906" s="245"/>
      <ns0:c r="N906" s="245"/>
      <ns0:c r="O906" s="245"/>
      <ns0:c r="P906" s="245"/>
      <ns0:c r="Q906" s="245"/>
      <ns0:c r="R906" s="245"/>
      <ns0:c r="S906" s="245"/>
      <ns0:c r="T906" s="245"/>
      <ns0:c r="U906" s="245"/>
      <ns0:c r="V906" s="245"/>
      <ns0:c r="W906" s="245"/>
      <ns0:c r="X906" s="245"/>
      <ns0:c r="Y906" s="245"/>
      <ns0:c r="Z906" s="245"/>
    </ns0:row>
    <ns0:row r="907">
      <ns0:c r="A907" s="245"/>
      <ns0:c r="B907" s="245"/>
      <ns0:c r="C907" s="245"/>
      <ns0:c r="D907" s="245"/>
      <ns0:c r="E907" s="245"/>
      <ns0:c r="F907" s="245"/>
      <ns0:c r="G907" s="245"/>
      <ns0:c r="H907" s="245"/>
      <ns0:c r="I907" s="245"/>
      <ns0:c r="J907" s="245"/>
      <ns0:c r="K907" s="245"/>
      <ns0:c r="L907" s="245"/>
      <ns0:c r="M907" s="245"/>
      <ns0:c r="N907" s="245"/>
      <ns0:c r="O907" s="245"/>
      <ns0:c r="P907" s="245"/>
      <ns0:c r="Q907" s="245"/>
      <ns0:c r="R907" s="245"/>
      <ns0:c r="S907" s="245"/>
      <ns0:c r="T907" s="245"/>
      <ns0:c r="U907" s="245"/>
      <ns0:c r="V907" s="245"/>
      <ns0:c r="W907" s="245"/>
      <ns0:c r="X907" s="245"/>
      <ns0:c r="Y907" s="245"/>
      <ns0:c r="Z907" s="245"/>
    </ns0:row>
    <ns0:row r="908">
      <ns0:c r="A908" s="245"/>
      <ns0:c r="B908" s="245"/>
      <ns0:c r="C908" s="245"/>
      <ns0:c r="D908" s="245"/>
      <ns0:c r="E908" s="245"/>
      <ns0:c r="F908" s="245"/>
      <ns0:c r="G908" s="245"/>
      <ns0:c r="H908" s="245"/>
      <ns0:c r="I908" s="245"/>
      <ns0:c r="J908" s="245"/>
      <ns0:c r="K908" s="245"/>
      <ns0:c r="L908" s="245"/>
      <ns0:c r="M908" s="245"/>
      <ns0:c r="N908" s="245"/>
      <ns0:c r="O908" s="245"/>
      <ns0:c r="P908" s="245"/>
      <ns0:c r="Q908" s="245"/>
      <ns0:c r="R908" s="245"/>
      <ns0:c r="S908" s="245"/>
      <ns0:c r="T908" s="245"/>
      <ns0:c r="U908" s="245"/>
      <ns0:c r="V908" s="245"/>
      <ns0:c r="W908" s="245"/>
      <ns0:c r="X908" s="245"/>
      <ns0:c r="Y908" s="245"/>
      <ns0:c r="Z908" s="245"/>
    </ns0:row>
    <ns0:row r="909">
      <ns0:c r="A909" s="245"/>
      <ns0:c r="B909" s="245"/>
      <ns0:c r="C909" s="245"/>
      <ns0:c r="D909" s="245"/>
      <ns0:c r="E909" s="245"/>
      <ns0:c r="F909" s="245"/>
      <ns0:c r="G909" s="245"/>
      <ns0:c r="H909" s="245"/>
      <ns0:c r="I909" s="245"/>
      <ns0:c r="J909" s="245"/>
      <ns0:c r="K909" s="245"/>
      <ns0:c r="L909" s="245"/>
      <ns0:c r="M909" s="245"/>
      <ns0:c r="N909" s="245"/>
      <ns0:c r="O909" s="245"/>
      <ns0:c r="P909" s="245"/>
      <ns0:c r="Q909" s="245"/>
      <ns0:c r="R909" s="245"/>
      <ns0:c r="S909" s="245"/>
      <ns0:c r="T909" s="245"/>
      <ns0:c r="U909" s="245"/>
      <ns0:c r="V909" s="245"/>
      <ns0:c r="W909" s="245"/>
      <ns0:c r="X909" s="245"/>
      <ns0:c r="Y909" s="245"/>
      <ns0:c r="Z909" s="245"/>
    </ns0:row>
    <ns0:row r="910">
      <ns0:c r="A910" s="245"/>
      <ns0:c r="B910" s="245"/>
      <ns0:c r="C910" s="245"/>
      <ns0:c r="D910" s="245"/>
      <ns0:c r="E910" s="245"/>
      <ns0:c r="F910" s="245"/>
      <ns0:c r="G910" s="245"/>
      <ns0:c r="H910" s="245"/>
      <ns0:c r="I910" s="245"/>
      <ns0:c r="J910" s="245"/>
      <ns0:c r="K910" s="245"/>
      <ns0:c r="L910" s="245"/>
      <ns0:c r="M910" s="245"/>
      <ns0:c r="N910" s="245"/>
      <ns0:c r="O910" s="245"/>
      <ns0:c r="P910" s="245"/>
      <ns0:c r="Q910" s="245"/>
      <ns0:c r="R910" s="245"/>
      <ns0:c r="S910" s="245"/>
      <ns0:c r="T910" s="245"/>
      <ns0:c r="U910" s="245"/>
      <ns0:c r="V910" s="245"/>
      <ns0:c r="W910" s="245"/>
      <ns0:c r="X910" s="245"/>
      <ns0:c r="Y910" s="245"/>
      <ns0:c r="Z910" s="245"/>
    </ns0:row>
    <ns0:row r="911">
      <ns0:c r="A911" s="245"/>
      <ns0:c r="B911" s="245"/>
      <ns0:c r="C911" s="245"/>
      <ns0:c r="D911" s="245"/>
      <ns0:c r="E911" s="245"/>
      <ns0:c r="F911" s="245"/>
      <ns0:c r="G911" s="245"/>
      <ns0:c r="H911" s="245"/>
      <ns0:c r="I911" s="245"/>
      <ns0:c r="J911" s="245"/>
      <ns0:c r="K911" s="245"/>
      <ns0:c r="L911" s="245"/>
      <ns0:c r="M911" s="245"/>
      <ns0:c r="N911" s="245"/>
      <ns0:c r="O911" s="245"/>
      <ns0:c r="P911" s="245"/>
      <ns0:c r="Q911" s="245"/>
      <ns0:c r="R911" s="245"/>
      <ns0:c r="S911" s="245"/>
      <ns0:c r="T911" s="245"/>
      <ns0:c r="U911" s="245"/>
      <ns0:c r="V911" s="245"/>
      <ns0:c r="W911" s="245"/>
      <ns0:c r="X911" s="245"/>
      <ns0:c r="Y911" s="245"/>
      <ns0:c r="Z911" s="245"/>
    </ns0:row>
    <ns0:row r="912">
      <ns0:c r="A912" s="245"/>
      <ns0:c r="B912" s="245"/>
      <ns0:c r="C912" s="245"/>
      <ns0:c r="D912" s="245"/>
      <ns0:c r="E912" s="245"/>
      <ns0:c r="F912" s="245"/>
      <ns0:c r="G912" s="245"/>
      <ns0:c r="H912" s="245"/>
      <ns0:c r="I912" s="245"/>
      <ns0:c r="J912" s="245"/>
      <ns0:c r="K912" s="245"/>
      <ns0:c r="L912" s="245"/>
      <ns0:c r="M912" s="245"/>
      <ns0:c r="N912" s="245"/>
      <ns0:c r="O912" s="245"/>
      <ns0:c r="P912" s="245"/>
      <ns0:c r="Q912" s="245"/>
      <ns0:c r="R912" s="245"/>
      <ns0:c r="S912" s="245"/>
      <ns0:c r="T912" s="245"/>
      <ns0:c r="U912" s="245"/>
      <ns0:c r="V912" s="245"/>
      <ns0:c r="W912" s="245"/>
      <ns0:c r="X912" s="245"/>
      <ns0:c r="Y912" s="245"/>
      <ns0:c r="Z912" s="245"/>
    </ns0:row>
    <ns0:row r="913">
      <ns0:c r="A913" s="245"/>
      <ns0:c r="B913" s="245"/>
      <ns0:c r="C913" s="245"/>
      <ns0:c r="D913" s="245"/>
      <ns0:c r="E913" s="245"/>
      <ns0:c r="F913" s="245"/>
      <ns0:c r="G913" s="245"/>
      <ns0:c r="H913" s="245"/>
      <ns0:c r="I913" s="245"/>
      <ns0:c r="J913" s="245"/>
      <ns0:c r="K913" s="245"/>
      <ns0:c r="L913" s="245"/>
      <ns0:c r="M913" s="245"/>
      <ns0:c r="N913" s="245"/>
      <ns0:c r="O913" s="245"/>
      <ns0:c r="P913" s="245"/>
      <ns0:c r="Q913" s="245"/>
      <ns0:c r="R913" s="245"/>
      <ns0:c r="S913" s="245"/>
      <ns0:c r="T913" s="245"/>
      <ns0:c r="U913" s="245"/>
      <ns0:c r="V913" s="245"/>
      <ns0:c r="W913" s="245"/>
      <ns0:c r="X913" s="245"/>
      <ns0:c r="Y913" s="245"/>
      <ns0:c r="Z913" s="245"/>
    </ns0:row>
    <ns0:row r="914">
      <ns0:c r="A914" s="245"/>
      <ns0:c r="B914" s="245"/>
      <ns0:c r="C914" s="245"/>
      <ns0:c r="D914" s="245"/>
      <ns0:c r="E914" s="245"/>
      <ns0:c r="F914" s="245"/>
      <ns0:c r="G914" s="245"/>
      <ns0:c r="H914" s="245"/>
      <ns0:c r="I914" s="245"/>
      <ns0:c r="J914" s="245"/>
      <ns0:c r="K914" s="245"/>
      <ns0:c r="L914" s="245"/>
      <ns0:c r="M914" s="245"/>
      <ns0:c r="N914" s="245"/>
      <ns0:c r="O914" s="245"/>
      <ns0:c r="P914" s="245"/>
      <ns0:c r="Q914" s="245"/>
      <ns0:c r="R914" s="245"/>
      <ns0:c r="S914" s="245"/>
      <ns0:c r="T914" s="245"/>
      <ns0:c r="U914" s="245"/>
      <ns0:c r="V914" s="245"/>
      <ns0:c r="W914" s="245"/>
      <ns0:c r="X914" s="245"/>
      <ns0:c r="Y914" s="245"/>
      <ns0:c r="Z914" s="245"/>
    </ns0:row>
    <ns0:row r="915">
      <ns0:c r="A915" s="245"/>
      <ns0:c r="B915" s="245"/>
      <ns0:c r="C915" s="245"/>
      <ns0:c r="D915" s="245"/>
      <ns0:c r="E915" s="245"/>
      <ns0:c r="F915" s="245"/>
      <ns0:c r="G915" s="245"/>
      <ns0:c r="H915" s="245"/>
      <ns0:c r="I915" s="245"/>
      <ns0:c r="J915" s="245"/>
      <ns0:c r="K915" s="245"/>
      <ns0:c r="L915" s="245"/>
      <ns0:c r="M915" s="245"/>
      <ns0:c r="N915" s="245"/>
      <ns0:c r="O915" s="245"/>
      <ns0:c r="P915" s="245"/>
      <ns0:c r="Q915" s="245"/>
      <ns0:c r="R915" s="245"/>
      <ns0:c r="S915" s="245"/>
      <ns0:c r="T915" s="245"/>
      <ns0:c r="U915" s="245"/>
      <ns0:c r="V915" s="245"/>
      <ns0:c r="W915" s="245"/>
      <ns0:c r="X915" s="245"/>
      <ns0:c r="Y915" s="245"/>
      <ns0:c r="Z915" s="245"/>
    </ns0:row>
    <ns0:row r="916">
      <ns0:c r="A916" s="245"/>
      <ns0:c r="B916" s="245"/>
      <ns0:c r="C916" s="245"/>
      <ns0:c r="D916" s="245"/>
      <ns0:c r="E916" s="245"/>
      <ns0:c r="F916" s="245"/>
      <ns0:c r="G916" s="245"/>
      <ns0:c r="H916" s="245"/>
      <ns0:c r="I916" s="245"/>
      <ns0:c r="J916" s="245"/>
      <ns0:c r="K916" s="245"/>
      <ns0:c r="L916" s="245"/>
      <ns0:c r="M916" s="245"/>
      <ns0:c r="N916" s="245"/>
      <ns0:c r="O916" s="245"/>
      <ns0:c r="P916" s="245"/>
      <ns0:c r="Q916" s="245"/>
      <ns0:c r="R916" s="245"/>
      <ns0:c r="S916" s="245"/>
      <ns0:c r="T916" s="245"/>
      <ns0:c r="U916" s="245"/>
      <ns0:c r="V916" s="245"/>
      <ns0:c r="W916" s="245"/>
      <ns0:c r="X916" s="245"/>
      <ns0:c r="Y916" s="245"/>
      <ns0:c r="Z916" s="245"/>
    </ns0:row>
    <ns0:row r="917">
      <ns0:c r="A917" s="245"/>
      <ns0:c r="B917" s="245"/>
      <ns0:c r="C917" s="245"/>
      <ns0:c r="D917" s="245"/>
      <ns0:c r="E917" s="245"/>
      <ns0:c r="F917" s="245"/>
      <ns0:c r="G917" s="245"/>
      <ns0:c r="H917" s="245"/>
      <ns0:c r="I917" s="245"/>
      <ns0:c r="J917" s="245"/>
      <ns0:c r="K917" s="245"/>
      <ns0:c r="L917" s="245"/>
      <ns0:c r="M917" s="245"/>
      <ns0:c r="N917" s="245"/>
      <ns0:c r="O917" s="245"/>
      <ns0:c r="P917" s="245"/>
      <ns0:c r="Q917" s="245"/>
      <ns0:c r="R917" s="245"/>
      <ns0:c r="S917" s="245"/>
      <ns0:c r="T917" s="245"/>
      <ns0:c r="U917" s="245"/>
      <ns0:c r="V917" s="245"/>
      <ns0:c r="W917" s="245"/>
      <ns0:c r="X917" s="245"/>
      <ns0:c r="Y917" s="245"/>
      <ns0:c r="Z917" s="245"/>
    </ns0:row>
    <ns0:row r="918">
      <ns0:c r="A918" s="245"/>
      <ns0:c r="B918" s="245"/>
      <ns0:c r="C918" s="245"/>
      <ns0:c r="D918" s="245"/>
      <ns0:c r="E918" s="245"/>
      <ns0:c r="F918" s="245"/>
      <ns0:c r="G918" s="245"/>
      <ns0:c r="H918" s="245"/>
      <ns0:c r="I918" s="245"/>
      <ns0:c r="J918" s="245"/>
      <ns0:c r="K918" s="245"/>
      <ns0:c r="L918" s="245"/>
      <ns0:c r="M918" s="245"/>
      <ns0:c r="N918" s="245"/>
      <ns0:c r="O918" s="245"/>
      <ns0:c r="P918" s="245"/>
      <ns0:c r="Q918" s="245"/>
      <ns0:c r="R918" s="245"/>
      <ns0:c r="S918" s="245"/>
      <ns0:c r="T918" s="245"/>
      <ns0:c r="U918" s="245"/>
      <ns0:c r="V918" s="245"/>
      <ns0:c r="W918" s="245"/>
      <ns0:c r="X918" s="245"/>
      <ns0:c r="Y918" s="245"/>
      <ns0:c r="Z918" s="245"/>
    </ns0:row>
    <ns0:row r="919">
      <ns0:c r="A919" s="245"/>
      <ns0:c r="B919" s="245"/>
      <ns0:c r="C919" s="245"/>
      <ns0:c r="D919" s="245"/>
      <ns0:c r="E919" s="245"/>
      <ns0:c r="F919" s="245"/>
      <ns0:c r="G919" s="245"/>
      <ns0:c r="H919" s="245"/>
      <ns0:c r="I919" s="245"/>
      <ns0:c r="J919" s="245"/>
      <ns0:c r="K919" s="245"/>
      <ns0:c r="L919" s="245"/>
      <ns0:c r="M919" s="245"/>
      <ns0:c r="N919" s="245"/>
      <ns0:c r="O919" s="245"/>
      <ns0:c r="P919" s="245"/>
      <ns0:c r="Q919" s="245"/>
      <ns0:c r="R919" s="245"/>
      <ns0:c r="S919" s="245"/>
      <ns0:c r="T919" s="245"/>
      <ns0:c r="U919" s="245"/>
      <ns0:c r="V919" s="245"/>
      <ns0:c r="W919" s="245"/>
      <ns0:c r="X919" s="245"/>
      <ns0:c r="Y919" s="245"/>
      <ns0:c r="Z919" s="245"/>
    </ns0:row>
    <ns0:row r="920">
      <ns0:c r="A920" s="245"/>
      <ns0:c r="B920" s="245"/>
      <ns0:c r="C920" s="245"/>
      <ns0:c r="D920" s="245"/>
      <ns0:c r="E920" s="245"/>
      <ns0:c r="F920" s="245"/>
      <ns0:c r="G920" s="245"/>
      <ns0:c r="H920" s="245"/>
      <ns0:c r="I920" s="245"/>
      <ns0:c r="J920" s="245"/>
      <ns0:c r="K920" s="245"/>
      <ns0:c r="L920" s="245"/>
      <ns0:c r="M920" s="245"/>
      <ns0:c r="N920" s="245"/>
      <ns0:c r="O920" s="245"/>
      <ns0:c r="P920" s="245"/>
      <ns0:c r="Q920" s="245"/>
      <ns0:c r="R920" s="245"/>
      <ns0:c r="S920" s="245"/>
      <ns0:c r="T920" s="245"/>
      <ns0:c r="U920" s="245"/>
      <ns0:c r="V920" s="245"/>
      <ns0:c r="W920" s="245"/>
      <ns0:c r="X920" s="245"/>
      <ns0:c r="Y920" s="245"/>
      <ns0:c r="Z920" s="245"/>
    </ns0:row>
    <ns0:row r="921">
      <ns0:c r="A921" s="245"/>
      <ns0:c r="B921" s="245"/>
      <ns0:c r="C921" s="245"/>
      <ns0:c r="D921" s="245"/>
      <ns0:c r="E921" s="245"/>
      <ns0:c r="F921" s="245"/>
      <ns0:c r="G921" s="245"/>
      <ns0:c r="H921" s="245"/>
      <ns0:c r="I921" s="245"/>
      <ns0:c r="J921" s="245"/>
      <ns0:c r="K921" s="245"/>
      <ns0:c r="L921" s="245"/>
      <ns0:c r="M921" s="245"/>
      <ns0:c r="N921" s="245"/>
      <ns0:c r="O921" s="245"/>
      <ns0:c r="P921" s="245"/>
      <ns0:c r="Q921" s="245"/>
      <ns0:c r="R921" s="245"/>
      <ns0:c r="S921" s="245"/>
      <ns0:c r="T921" s="245"/>
      <ns0:c r="U921" s="245"/>
      <ns0:c r="V921" s="245"/>
      <ns0:c r="W921" s="245"/>
      <ns0:c r="X921" s="245"/>
      <ns0:c r="Y921" s="245"/>
      <ns0:c r="Z921" s="245"/>
    </ns0:row>
    <ns0:row r="922">
      <ns0:c r="A922" s="245"/>
      <ns0:c r="B922" s="245"/>
      <ns0:c r="C922" s="245"/>
      <ns0:c r="D922" s="245"/>
      <ns0:c r="E922" s="245"/>
      <ns0:c r="F922" s="245"/>
      <ns0:c r="G922" s="245"/>
      <ns0:c r="H922" s="245"/>
      <ns0:c r="I922" s="245"/>
      <ns0:c r="J922" s="245"/>
      <ns0:c r="K922" s="245"/>
      <ns0:c r="L922" s="245"/>
      <ns0:c r="M922" s="245"/>
      <ns0:c r="N922" s="245"/>
      <ns0:c r="O922" s="245"/>
      <ns0:c r="P922" s="245"/>
      <ns0:c r="Q922" s="245"/>
      <ns0:c r="R922" s="245"/>
      <ns0:c r="S922" s="245"/>
      <ns0:c r="T922" s="245"/>
      <ns0:c r="U922" s="245"/>
      <ns0:c r="V922" s="245"/>
      <ns0:c r="W922" s="245"/>
      <ns0:c r="X922" s="245"/>
      <ns0:c r="Y922" s="245"/>
      <ns0:c r="Z922" s="245"/>
    </ns0:row>
    <ns0:row r="923">
      <ns0:c r="A923" s="245"/>
      <ns0:c r="B923" s="245"/>
      <ns0:c r="C923" s="245"/>
      <ns0:c r="D923" s="245"/>
      <ns0:c r="E923" s="245"/>
      <ns0:c r="F923" s="245"/>
      <ns0:c r="G923" s="245"/>
      <ns0:c r="H923" s="245"/>
      <ns0:c r="I923" s="245"/>
      <ns0:c r="J923" s="245"/>
      <ns0:c r="K923" s="245"/>
      <ns0:c r="L923" s="245"/>
      <ns0:c r="M923" s="245"/>
      <ns0:c r="N923" s="245"/>
      <ns0:c r="O923" s="245"/>
      <ns0:c r="P923" s="245"/>
      <ns0:c r="Q923" s="245"/>
      <ns0:c r="R923" s="245"/>
      <ns0:c r="S923" s="245"/>
      <ns0:c r="T923" s="245"/>
      <ns0:c r="U923" s="245"/>
      <ns0:c r="V923" s="245"/>
      <ns0:c r="W923" s="245"/>
      <ns0:c r="X923" s="245"/>
      <ns0:c r="Y923" s="245"/>
      <ns0:c r="Z923" s="245"/>
    </ns0:row>
    <ns0:row r="924">
      <ns0:c r="A924" s="245"/>
      <ns0:c r="B924" s="245"/>
      <ns0:c r="C924" s="245"/>
      <ns0:c r="D924" s="245"/>
      <ns0:c r="E924" s="245"/>
      <ns0:c r="F924" s="245"/>
      <ns0:c r="G924" s="245"/>
      <ns0:c r="H924" s="245"/>
      <ns0:c r="I924" s="245"/>
      <ns0:c r="J924" s="245"/>
      <ns0:c r="K924" s="245"/>
      <ns0:c r="L924" s="245"/>
      <ns0:c r="M924" s="245"/>
      <ns0:c r="N924" s="245"/>
      <ns0:c r="O924" s="245"/>
      <ns0:c r="P924" s="245"/>
      <ns0:c r="Q924" s="245"/>
      <ns0:c r="R924" s="245"/>
      <ns0:c r="S924" s="245"/>
      <ns0:c r="T924" s="245"/>
      <ns0:c r="U924" s="245"/>
      <ns0:c r="V924" s="245"/>
      <ns0:c r="W924" s="245"/>
      <ns0:c r="X924" s="245"/>
      <ns0:c r="Y924" s="245"/>
      <ns0:c r="Z924" s="245"/>
    </ns0:row>
    <ns0:row r="925">
      <ns0:c r="A925" s="245"/>
      <ns0:c r="B925" s="245"/>
      <ns0:c r="C925" s="245"/>
      <ns0:c r="D925" s="245"/>
      <ns0:c r="E925" s="245"/>
      <ns0:c r="F925" s="245"/>
      <ns0:c r="G925" s="245"/>
      <ns0:c r="H925" s="245"/>
      <ns0:c r="I925" s="245"/>
      <ns0:c r="J925" s="245"/>
      <ns0:c r="K925" s="245"/>
      <ns0:c r="L925" s="245"/>
      <ns0:c r="M925" s="245"/>
      <ns0:c r="N925" s="245"/>
      <ns0:c r="O925" s="245"/>
      <ns0:c r="P925" s="245"/>
      <ns0:c r="Q925" s="245"/>
      <ns0:c r="R925" s="245"/>
      <ns0:c r="S925" s="245"/>
      <ns0:c r="T925" s="245"/>
      <ns0:c r="U925" s="245"/>
      <ns0:c r="V925" s="245"/>
      <ns0:c r="W925" s="245"/>
      <ns0:c r="X925" s="245"/>
      <ns0:c r="Y925" s="245"/>
      <ns0:c r="Z925" s="245"/>
    </ns0:row>
    <ns0:row r="926">
      <ns0:c r="A926" s="245"/>
      <ns0:c r="B926" s="245"/>
      <ns0:c r="C926" s="245"/>
      <ns0:c r="D926" s="245"/>
      <ns0:c r="E926" s="245"/>
      <ns0:c r="F926" s="245"/>
      <ns0:c r="G926" s="245"/>
      <ns0:c r="H926" s="245"/>
      <ns0:c r="I926" s="245"/>
      <ns0:c r="J926" s="245"/>
      <ns0:c r="K926" s="245"/>
      <ns0:c r="L926" s="245"/>
      <ns0:c r="M926" s="245"/>
      <ns0:c r="N926" s="245"/>
      <ns0:c r="O926" s="245"/>
      <ns0:c r="P926" s="245"/>
      <ns0:c r="Q926" s="245"/>
      <ns0:c r="R926" s="245"/>
      <ns0:c r="S926" s="245"/>
      <ns0:c r="T926" s="245"/>
      <ns0:c r="U926" s="245"/>
      <ns0:c r="V926" s="245"/>
      <ns0:c r="W926" s="245"/>
      <ns0:c r="X926" s="245"/>
      <ns0:c r="Y926" s="245"/>
      <ns0:c r="Z926" s="245"/>
    </ns0:row>
    <ns0:row r="927">
      <ns0:c r="A927" s="245"/>
      <ns0:c r="B927" s="245"/>
      <ns0:c r="C927" s="245"/>
      <ns0:c r="D927" s="245"/>
      <ns0:c r="E927" s="245"/>
      <ns0:c r="F927" s="245"/>
      <ns0:c r="G927" s="245"/>
      <ns0:c r="H927" s="245"/>
      <ns0:c r="I927" s="245"/>
      <ns0:c r="J927" s="245"/>
      <ns0:c r="K927" s="245"/>
      <ns0:c r="L927" s="245"/>
      <ns0:c r="M927" s="245"/>
      <ns0:c r="N927" s="245"/>
      <ns0:c r="O927" s="245"/>
      <ns0:c r="P927" s="245"/>
      <ns0:c r="Q927" s="245"/>
      <ns0:c r="R927" s="245"/>
      <ns0:c r="S927" s="245"/>
      <ns0:c r="T927" s="245"/>
      <ns0:c r="U927" s="245"/>
      <ns0:c r="V927" s="245"/>
      <ns0:c r="W927" s="245"/>
      <ns0:c r="X927" s="245"/>
      <ns0:c r="Y927" s="245"/>
      <ns0:c r="Z927" s="245"/>
    </ns0:row>
    <ns0:row r="928">
      <ns0:c r="A928" s="245"/>
      <ns0:c r="B928" s="245"/>
      <ns0:c r="C928" s="245"/>
      <ns0:c r="D928" s="245"/>
      <ns0:c r="E928" s="245"/>
      <ns0:c r="F928" s="245"/>
      <ns0:c r="G928" s="245"/>
      <ns0:c r="H928" s="245"/>
      <ns0:c r="I928" s="245"/>
      <ns0:c r="J928" s="245"/>
      <ns0:c r="K928" s="245"/>
      <ns0:c r="L928" s="245"/>
      <ns0:c r="M928" s="245"/>
      <ns0:c r="N928" s="245"/>
      <ns0:c r="O928" s="245"/>
      <ns0:c r="P928" s="245"/>
      <ns0:c r="Q928" s="245"/>
      <ns0:c r="R928" s="245"/>
      <ns0:c r="S928" s="245"/>
      <ns0:c r="T928" s="245"/>
      <ns0:c r="U928" s="245"/>
      <ns0:c r="V928" s="245"/>
      <ns0:c r="W928" s="245"/>
      <ns0:c r="X928" s="245"/>
      <ns0:c r="Y928" s="245"/>
      <ns0:c r="Z928" s="245"/>
    </ns0:row>
    <ns0:row r="929">
      <ns0:c r="A929" s="245"/>
      <ns0:c r="B929" s="245"/>
      <ns0:c r="C929" s="245"/>
      <ns0:c r="D929" s="245"/>
      <ns0:c r="E929" s="245"/>
      <ns0:c r="F929" s="245"/>
      <ns0:c r="G929" s="245"/>
      <ns0:c r="H929" s="245"/>
      <ns0:c r="I929" s="245"/>
      <ns0:c r="J929" s="245"/>
      <ns0:c r="K929" s="245"/>
      <ns0:c r="L929" s="245"/>
      <ns0:c r="M929" s="245"/>
      <ns0:c r="N929" s="245"/>
      <ns0:c r="O929" s="245"/>
      <ns0:c r="P929" s="245"/>
      <ns0:c r="Q929" s="245"/>
      <ns0:c r="R929" s="245"/>
      <ns0:c r="S929" s="245"/>
      <ns0:c r="T929" s="245"/>
      <ns0:c r="U929" s="245"/>
      <ns0:c r="V929" s="245"/>
      <ns0:c r="W929" s="245"/>
      <ns0:c r="X929" s="245"/>
      <ns0:c r="Y929" s="245"/>
      <ns0:c r="Z929" s="245"/>
    </ns0:row>
    <ns0:row r="930">
      <ns0:c r="A930" s="245"/>
      <ns0:c r="B930" s="245"/>
      <ns0:c r="C930" s="245"/>
      <ns0:c r="D930" s="245"/>
      <ns0:c r="E930" s="245"/>
      <ns0:c r="F930" s="245"/>
      <ns0:c r="G930" s="245"/>
      <ns0:c r="H930" s="245"/>
      <ns0:c r="I930" s="245"/>
      <ns0:c r="J930" s="245"/>
      <ns0:c r="K930" s="245"/>
      <ns0:c r="L930" s="245"/>
      <ns0:c r="M930" s="245"/>
      <ns0:c r="N930" s="245"/>
      <ns0:c r="O930" s="245"/>
      <ns0:c r="P930" s="245"/>
      <ns0:c r="Q930" s="245"/>
      <ns0:c r="R930" s="245"/>
      <ns0:c r="S930" s="245"/>
      <ns0:c r="T930" s="245"/>
      <ns0:c r="U930" s="245"/>
      <ns0:c r="V930" s="245"/>
      <ns0:c r="W930" s="245"/>
      <ns0:c r="X930" s="245"/>
      <ns0:c r="Y930" s="245"/>
      <ns0:c r="Z930" s="245"/>
    </ns0:row>
    <ns0:row r="931">
      <ns0:c r="A931" s="245"/>
      <ns0:c r="B931" s="245"/>
      <ns0:c r="C931" s="245"/>
      <ns0:c r="D931" s="245"/>
      <ns0:c r="E931" s="245"/>
      <ns0:c r="F931" s="245"/>
      <ns0:c r="G931" s="245"/>
      <ns0:c r="H931" s="245"/>
      <ns0:c r="I931" s="245"/>
      <ns0:c r="J931" s="245"/>
      <ns0:c r="K931" s="245"/>
      <ns0:c r="L931" s="245"/>
      <ns0:c r="M931" s="245"/>
      <ns0:c r="N931" s="245"/>
      <ns0:c r="O931" s="245"/>
      <ns0:c r="P931" s="245"/>
      <ns0:c r="Q931" s="245"/>
      <ns0:c r="R931" s="245"/>
      <ns0:c r="S931" s="245"/>
      <ns0:c r="T931" s="245"/>
      <ns0:c r="U931" s="245"/>
      <ns0:c r="V931" s="245"/>
      <ns0:c r="W931" s="245"/>
      <ns0:c r="X931" s="245"/>
      <ns0:c r="Y931" s="245"/>
      <ns0:c r="Z931" s="245"/>
    </ns0:row>
    <ns0:row r="932">
      <ns0:c r="A932" s="245"/>
      <ns0:c r="B932" s="245"/>
      <ns0:c r="C932" s="245"/>
      <ns0:c r="D932" s="245"/>
      <ns0:c r="E932" s="245"/>
      <ns0:c r="F932" s="245"/>
      <ns0:c r="G932" s="245"/>
      <ns0:c r="H932" s="245"/>
      <ns0:c r="I932" s="245"/>
      <ns0:c r="J932" s="245"/>
      <ns0:c r="K932" s="245"/>
      <ns0:c r="L932" s="245"/>
      <ns0:c r="M932" s="245"/>
      <ns0:c r="N932" s="245"/>
      <ns0:c r="O932" s="245"/>
      <ns0:c r="P932" s="245"/>
      <ns0:c r="Q932" s="245"/>
      <ns0:c r="R932" s="245"/>
      <ns0:c r="S932" s="245"/>
      <ns0:c r="T932" s="245"/>
      <ns0:c r="U932" s="245"/>
      <ns0:c r="V932" s="245"/>
      <ns0:c r="W932" s="245"/>
      <ns0:c r="X932" s="245"/>
      <ns0:c r="Y932" s="245"/>
      <ns0:c r="Z932" s="245"/>
    </ns0:row>
    <ns0:row r="933">
      <ns0:c r="A933" s="245"/>
      <ns0:c r="B933" s="245"/>
      <ns0:c r="C933" s="245"/>
      <ns0:c r="D933" s="245"/>
      <ns0:c r="E933" s="245"/>
      <ns0:c r="F933" s="245"/>
      <ns0:c r="G933" s="245"/>
      <ns0:c r="H933" s="245"/>
      <ns0:c r="I933" s="245"/>
      <ns0:c r="J933" s="245"/>
      <ns0:c r="K933" s="245"/>
      <ns0:c r="L933" s="245"/>
      <ns0:c r="M933" s="245"/>
      <ns0:c r="N933" s="245"/>
      <ns0:c r="O933" s="245"/>
      <ns0:c r="P933" s="245"/>
      <ns0:c r="Q933" s="245"/>
      <ns0:c r="R933" s="245"/>
      <ns0:c r="S933" s="245"/>
      <ns0:c r="T933" s="245"/>
      <ns0:c r="U933" s="245"/>
      <ns0:c r="V933" s="245"/>
      <ns0:c r="W933" s="245"/>
      <ns0:c r="X933" s="245"/>
      <ns0:c r="Y933" s="245"/>
      <ns0:c r="Z933" s="245"/>
    </ns0:row>
    <ns0:row r="934">
      <ns0:c r="A934" s="245"/>
      <ns0:c r="B934" s="245"/>
      <ns0:c r="C934" s="245"/>
      <ns0:c r="D934" s="245"/>
      <ns0:c r="E934" s="245"/>
      <ns0:c r="F934" s="245"/>
      <ns0:c r="G934" s="245"/>
      <ns0:c r="H934" s="245"/>
      <ns0:c r="I934" s="245"/>
      <ns0:c r="J934" s="245"/>
      <ns0:c r="K934" s="245"/>
      <ns0:c r="L934" s="245"/>
      <ns0:c r="M934" s="245"/>
      <ns0:c r="N934" s="245"/>
      <ns0:c r="O934" s="245"/>
      <ns0:c r="P934" s="245"/>
      <ns0:c r="Q934" s="245"/>
      <ns0:c r="R934" s="245"/>
      <ns0:c r="S934" s="245"/>
      <ns0:c r="T934" s="245"/>
      <ns0:c r="U934" s="245"/>
      <ns0:c r="V934" s="245"/>
      <ns0:c r="W934" s="245"/>
      <ns0:c r="X934" s="245"/>
      <ns0:c r="Y934" s="245"/>
      <ns0:c r="Z934" s="245"/>
    </ns0:row>
    <ns0:row r="935">
      <ns0:c r="A935" s="245"/>
      <ns0:c r="B935" s="245"/>
      <ns0:c r="C935" s="245"/>
      <ns0:c r="D935" s="245"/>
      <ns0:c r="E935" s="245"/>
      <ns0:c r="F935" s="245"/>
      <ns0:c r="G935" s="245"/>
      <ns0:c r="H935" s="245"/>
      <ns0:c r="I935" s="245"/>
      <ns0:c r="J935" s="245"/>
      <ns0:c r="K935" s="245"/>
      <ns0:c r="L935" s="245"/>
      <ns0:c r="M935" s="245"/>
      <ns0:c r="N935" s="245"/>
      <ns0:c r="O935" s="245"/>
      <ns0:c r="P935" s="245"/>
      <ns0:c r="Q935" s="245"/>
      <ns0:c r="R935" s="245"/>
      <ns0:c r="S935" s="245"/>
      <ns0:c r="T935" s="245"/>
      <ns0:c r="U935" s="245"/>
      <ns0:c r="V935" s="245"/>
      <ns0:c r="W935" s="245"/>
      <ns0:c r="X935" s="245"/>
      <ns0:c r="Y935" s="245"/>
      <ns0:c r="Z935" s="245"/>
    </ns0:row>
    <ns0:row r="936">
      <ns0:c r="A936" s="245"/>
      <ns0:c r="B936" s="245"/>
      <ns0:c r="C936" s="245"/>
      <ns0:c r="D936" s="245"/>
      <ns0:c r="E936" s="245"/>
      <ns0:c r="F936" s="245"/>
      <ns0:c r="G936" s="245"/>
      <ns0:c r="H936" s="245"/>
      <ns0:c r="I936" s="245"/>
      <ns0:c r="J936" s="245"/>
      <ns0:c r="K936" s="245"/>
      <ns0:c r="L936" s="245"/>
      <ns0:c r="M936" s="245"/>
      <ns0:c r="N936" s="245"/>
      <ns0:c r="O936" s="245"/>
      <ns0:c r="P936" s="245"/>
      <ns0:c r="Q936" s="245"/>
      <ns0:c r="R936" s="245"/>
      <ns0:c r="S936" s="245"/>
      <ns0:c r="T936" s="245"/>
      <ns0:c r="U936" s="245"/>
      <ns0:c r="V936" s="245"/>
      <ns0:c r="W936" s="245"/>
      <ns0:c r="X936" s="245"/>
      <ns0:c r="Y936" s="245"/>
      <ns0:c r="Z936" s="245"/>
    </ns0:row>
    <ns0:row r="937">
      <ns0:c r="A937" s="245"/>
      <ns0:c r="B937" s="245"/>
      <ns0:c r="C937" s="245"/>
      <ns0:c r="D937" s="245"/>
      <ns0:c r="E937" s="245"/>
      <ns0:c r="F937" s="245"/>
      <ns0:c r="G937" s="245"/>
      <ns0:c r="H937" s="245"/>
      <ns0:c r="I937" s="245"/>
      <ns0:c r="J937" s="245"/>
      <ns0:c r="K937" s="245"/>
      <ns0:c r="L937" s="245"/>
      <ns0:c r="M937" s="245"/>
      <ns0:c r="N937" s="245"/>
      <ns0:c r="O937" s="245"/>
      <ns0:c r="P937" s="245"/>
      <ns0:c r="Q937" s="245"/>
      <ns0:c r="R937" s="245"/>
      <ns0:c r="S937" s="245"/>
      <ns0:c r="T937" s="245"/>
      <ns0:c r="U937" s="245"/>
      <ns0:c r="V937" s="245"/>
      <ns0:c r="W937" s="245"/>
      <ns0:c r="X937" s="245"/>
      <ns0:c r="Y937" s="245"/>
      <ns0:c r="Z937" s="245"/>
    </ns0:row>
    <ns0:row r="938">
      <ns0:c r="A938" s="245"/>
      <ns0:c r="B938" s="245"/>
      <ns0:c r="C938" s="245"/>
      <ns0:c r="D938" s="245"/>
      <ns0:c r="E938" s="245"/>
      <ns0:c r="F938" s="245"/>
      <ns0:c r="G938" s="245"/>
      <ns0:c r="H938" s="245"/>
      <ns0:c r="I938" s="245"/>
      <ns0:c r="J938" s="245"/>
      <ns0:c r="K938" s="245"/>
      <ns0:c r="L938" s="245"/>
      <ns0:c r="M938" s="245"/>
      <ns0:c r="N938" s="245"/>
      <ns0:c r="O938" s="245"/>
      <ns0:c r="P938" s="245"/>
      <ns0:c r="Q938" s="245"/>
      <ns0:c r="R938" s="245"/>
      <ns0:c r="S938" s="245"/>
      <ns0:c r="T938" s="245"/>
      <ns0:c r="U938" s="245"/>
      <ns0:c r="V938" s="245"/>
      <ns0:c r="W938" s="245"/>
      <ns0:c r="X938" s="245"/>
      <ns0:c r="Y938" s="245"/>
      <ns0:c r="Z938" s="245"/>
    </ns0:row>
    <ns0:row r="939">
      <ns0:c r="A939" s="245"/>
      <ns0:c r="B939" s="245"/>
      <ns0:c r="C939" s="245"/>
      <ns0:c r="D939" s="245"/>
      <ns0:c r="E939" s="245"/>
      <ns0:c r="F939" s="245"/>
      <ns0:c r="G939" s="245"/>
      <ns0:c r="H939" s="245"/>
      <ns0:c r="I939" s="245"/>
      <ns0:c r="J939" s="245"/>
      <ns0:c r="K939" s="245"/>
      <ns0:c r="L939" s="245"/>
      <ns0:c r="M939" s="245"/>
      <ns0:c r="N939" s="245"/>
      <ns0:c r="O939" s="245"/>
      <ns0:c r="P939" s="245"/>
      <ns0:c r="Q939" s="245"/>
      <ns0:c r="R939" s="245"/>
      <ns0:c r="S939" s="245"/>
      <ns0:c r="T939" s="245"/>
      <ns0:c r="U939" s="245"/>
      <ns0:c r="V939" s="245"/>
      <ns0:c r="W939" s="245"/>
      <ns0:c r="X939" s="245"/>
      <ns0:c r="Y939" s="245"/>
      <ns0:c r="Z939" s="245"/>
    </ns0:row>
    <ns0:row r="940">
      <ns0:c r="A940" s="245"/>
      <ns0:c r="B940" s="245"/>
      <ns0:c r="C940" s="245"/>
      <ns0:c r="D940" s="245"/>
      <ns0:c r="E940" s="245"/>
      <ns0:c r="F940" s="245"/>
      <ns0:c r="G940" s="245"/>
      <ns0:c r="H940" s="245"/>
      <ns0:c r="I940" s="245"/>
      <ns0:c r="J940" s="245"/>
      <ns0:c r="K940" s="245"/>
      <ns0:c r="L940" s="245"/>
      <ns0:c r="M940" s="245"/>
      <ns0:c r="N940" s="245"/>
      <ns0:c r="O940" s="245"/>
      <ns0:c r="P940" s="245"/>
      <ns0:c r="Q940" s="245"/>
      <ns0:c r="R940" s="245"/>
      <ns0:c r="S940" s="245"/>
      <ns0:c r="T940" s="245"/>
      <ns0:c r="U940" s="245"/>
      <ns0:c r="V940" s="245"/>
      <ns0:c r="W940" s="245"/>
      <ns0:c r="X940" s="245"/>
      <ns0:c r="Y940" s="245"/>
      <ns0:c r="Z940" s="245"/>
    </ns0:row>
    <ns0:row r="941">
      <ns0:c r="A941" s="245"/>
      <ns0:c r="B941" s="245"/>
      <ns0:c r="C941" s="245"/>
      <ns0:c r="D941" s="245"/>
      <ns0:c r="E941" s="245"/>
      <ns0:c r="F941" s="245"/>
      <ns0:c r="G941" s="245"/>
      <ns0:c r="H941" s="245"/>
      <ns0:c r="I941" s="245"/>
      <ns0:c r="J941" s="245"/>
      <ns0:c r="K941" s="245"/>
      <ns0:c r="L941" s="245"/>
      <ns0:c r="M941" s="245"/>
      <ns0:c r="N941" s="245"/>
      <ns0:c r="O941" s="245"/>
      <ns0:c r="P941" s="245"/>
      <ns0:c r="Q941" s="245"/>
      <ns0:c r="R941" s="245"/>
      <ns0:c r="S941" s="245"/>
      <ns0:c r="T941" s="245"/>
      <ns0:c r="U941" s="245"/>
      <ns0:c r="V941" s="245"/>
      <ns0:c r="W941" s="245"/>
      <ns0:c r="X941" s="245"/>
      <ns0:c r="Y941" s="245"/>
      <ns0:c r="Z941" s="245"/>
    </ns0:row>
    <ns0:row r="942">
      <ns0:c r="A942" s="245"/>
      <ns0:c r="B942" s="245"/>
      <ns0:c r="C942" s="245"/>
      <ns0:c r="D942" s="245"/>
      <ns0:c r="E942" s="245"/>
      <ns0:c r="F942" s="245"/>
      <ns0:c r="G942" s="245"/>
      <ns0:c r="H942" s="245"/>
      <ns0:c r="I942" s="245"/>
      <ns0:c r="J942" s="245"/>
      <ns0:c r="K942" s="245"/>
      <ns0:c r="L942" s="245"/>
      <ns0:c r="M942" s="245"/>
      <ns0:c r="N942" s="245"/>
      <ns0:c r="O942" s="245"/>
      <ns0:c r="P942" s="245"/>
      <ns0:c r="Q942" s="245"/>
      <ns0:c r="R942" s="245"/>
      <ns0:c r="S942" s="245"/>
      <ns0:c r="T942" s="245"/>
      <ns0:c r="U942" s="245"/>
      <ns0:c r="V942" s="245"/>
      <ns0:c r="W942" s="245"/>
      <ns0:c r="X942" s="245"/>
      <ns0:c r="Y942" s="245"/>
      <ns0:c r="Z942" s="245"/>
    </ns0:row>
    <ns0:row r="943">
      <ns0:c r="A943" s="245"/>
      <ns0:c r="B943" s="245"/>
      <ns0:c r="C943" s="245"/>
      <ns0:c r="D943" s="245"/>
      <ns0:c r="E943" s="245"/>
      <ns0:c r="F943" s="245"/>
      <ns0:c r="G943" s="245"/>
      <ns0:c r="H943" s="245"/>
      <ns0:c r="I943" s="245"/>
      <ns0:c r="J943" s="245"/>
      <ns0:c r="K943" s="245"/>
      <ns0:c r="L943" s="245"/>
      <ns0:c r="M943" s="245"/>
      <ns0:c r="N943" s="245"/>
      <ns0:c r="O943" s="245"/>
      <ns0:c r="P943" s="245"/>
      <ns0:c r="Q943" s="245"/>
      <ns0:c r="R943" s="245"/>
      <ns0:c r="S943" s="245"/>
      <ns0:c r="T943" s="245"/>
      <ns0:c r="U943" s="245"/>
      <ns0:c r="V943" s="245"/>
      <ns0:c r="W943" s="245"/>
      <ns0:c r="X943" s="245"/>
      <ns0:c r="Y943" s="245"/>
      <ns0:c r="Z943" s="245"/>
    </ns0:row>
    <ns0:row r="944">
      <ns0:c r="A944" s="245"/>
      <ns0:c r="B944" s="245"/>
      <ns0:c r="C944" s="245"/>
      <ns0:c r="D944" s="245"/>
      <ns0:c r="E944" s="245"/>
      <ns0:c r="F944" s="245"/>
      <ns0:c r="G944" s="245"/>
      <ns0:c r="H944" s="245"/>
      <ns0:c r="I944" s="245"/>
      <ns0:c r="J944" s="245"/>
      <ns0:c r="K944" s="245"/>
      <ns0:c r="L944" s="245"/>
      <ns0:c r="M944" s="245"/>
      <ns0:c r="N944" s="245"/>
      <ns0:c r="O944" s="245"/>
      <ns0:c r="P944" s="245"/>
      <ns0:c r="Q944" s="245"/>
      <ns0:c r="R944" s="245"/>
      <ns0:c r="S944" s="245"/>
      <ns0:c r="T944" s="245"/>
      <ns0:c r="U944" s="245"/>
      <ns0:c r="V944" s="245"/>
      <ns0:c r="W944" s="245"/>
      <ns0:c r="X944" s="245"/>
      <ns0:c r="Y944" s="245"/>
      <ns0:c r="Z944" s="245"/>
    </ns0:row>
    <ns0:row r="945">
      <ns0:c r="A945" s="245"/>
      <ns0:c r="B945" s="245"/>
      <ns0:c r="C945" s="245"/>
      <ns0:c r="D945" s="245"/>
      <ns0:c r="E945" s="245"/>
      <ns0:c r="F945" s="245"/>
      <ns0:c r="G945" s="245"/>
      <ns0:c r="H945" s="245"/>
      <ns0:c r="I945" s="245"/>
      <ns0:c r="J945" s="245"/>
      <ns0:c r="K945" s="245"/>
      <ns0:c r="L945" s="245"/>
      <ns0:c r="M945" s="245"/>
      <ns0:c r="N945" s="245"/>
      <ns0:c r="O945" s="245"/>
      <ns0:c r="P945" s="245"/>
      <ns0:c r="Q945" s="245"/>
      <ns0:c r="R945" s="245"/>
      <ns0:c r="S945" s="245"/>
      <ns0:c r="T945" s="245"/>
      <ns0:c r="U945" s="245"/>
      <ns0:c r="V945" s="245"/>
      <ns0:c r="W945" s="245"/>
      <ns0:c r="X945" s="245"/>
      <ns0:c r="Y945" s="245"/>
      <ns0:c r="Z945" s="245"/>
    </ns0:row>
    <ns0:row r="946">
      <ns0:c r="A946" s="245"/>
      <ns0:c r="B946" s="245"/>
      <ns0:c r="C946" s="245"/>
      <ns0:c r="D946" s="245"/>
      <ns0:c r="E946" s="245"/>
      <ns0:c r="F946" s="245"/>
      <ns0:c r="G946" s="245"/>
      <ns0:c r="H946" s="245"/>
      <ns0:c r="I946" s="245"/>
      <ns0:c r="J946" s="245"/>
      <ns0:c r="K946" s="245"/>
      <ns0:c r="L946" s="245"/>
      <ns0:c r="M946" s="245"/>
      <ns0:c r="N946" s="245"/>
      <ns0:c r="O946" s="245"/>
      <ns0:c r="P946" s="245"/>
      <ns0:c r="Q946" s="245"/>
      <ns0:c r="R946" s="245"/>
      <ns0:c r="S946" s="245"/>
      <ns0:c r="T946" s="245"/>
      <ns0:c r="U946" s="245"/>
      <ns0:c r="V946" s="245"/>
      <ns0:c r="W946" s="245"/>
      <ns0:c r="X946" s="245"/>
      <ns0:c r="Y946" s="245"/>
      <ns0:c r="Z946" s="245"/>
    </ns0:row>
    <ns0:row r="947">
      <ns0:c r="A947" s="245"/>
      <ns0:c r="B947" s="245"/>
      <ns0:c r="C947" s="245"/>
      <ns0:c r="D947" s="245"/>
      <ns0:c r="E947" s="245"/>
      <ns0:c r="F947" s="245"/>
      <ns0:c r="G947" s="245"/>
      <ns0:c r="H947" s="245"/>
      <ns0:c r="I947" s="245"/>
      <ns0:c r="J947" s="245"/>
      <ns0:c r="K947" s="245"/>
      <ns0:c r="L947" s="245"/>
      <ns0:c r="M947" s="245"/>
      <ns0:c r="N947" s="245"/>
      <ns0:c r="O947" s="245"/>
      <ns0:c r="P947" s="245"/>
      <ns0:c r="Q947" s="245"/>
      <ns0:c r="R947" s="245"/>
      <ns0:c r="S947" s="245"/>
      <ns0:c r="T947" s="245"/>
      <ns0:c r="U947" s="245"/>
      <ns0:c r="V947" s="245"/>
      <ns0:c r="W947" s="245"/>
      <ns0:c r="X947" s="245"/>
      <ns0:c r="Y947" s="245"/>
      <ns0:c r="Z947" s="245"/>
    </ns0:row>
    <ns0:row r="948">
      <ns0:c r="A948" s="245"/>
      <ns0:c r="B948" s="245"/>
      <ns0:c r="C948" s="245"/>
      <ns0:c r="D948" s="245"/>
      <ns0:c r="E948" s="245"/>
      <ns0:c r="F948" s="245"/>
      <ns0:c r="G948" s="245"/>
      <ns0:c r="H948" s="245"/>
      <ns0:c r="I948" s="245"/>
      <ns0:c r="J948" s="245"/>
      <ns0:c r="K948" s="245"/>
      <ns0:c r="L948" s="245"/>
      <ns0:c r="M948" s="245"/>
      <ns0:c r="N948" s="245"/>
      <ns0:c r="O948" s="245"/>
      <ns0:c r="P948" s="245"/>
      <ns0:c r="Q948" s="245"/>
      <ns0:c r="R948" s="245"/>
      <ns0:c r="S948" s="245"/>
      <ns0:c r="T948" s="245"/>
      <ns0:c r="U948" s="245"/>
      <ns0:c r="V948" s="245"/>
      <ns0:c r="W948" s="245"/>
      <ns0:c r="X948" s="245"/>
      <ns0:c r="Y948" s="245"/>
      <ns0:c r="Z948" s="245"/>
    </ns0:row>
    <ns0:row r="949">
      <ns0:c r="A949" s="245"/>
      <ns0:c r="B949" s="245"/>
      <ns0:c r="C949" s="245"/>
      <ns0:c r="D949" s="245"/>
      <ns0:c r="E949" s="245"/>
      <ns0:c r="F949" s="245"/>
      <ns0:c r="G949" s="245"/>
      <ns0:c r="H949" s="245"/>
      <ns0:c r="I949" s="245"/>
      <ns0:c r="J949" s="245"/>
      <ns0:c r="K949" s="245"/>
      <ns0:c r="L949" s="245"/>
      <ns0:c r="M949" s="245"/>
      <ns0:c r="N949" s="245"/>
      <ns0:c r="O949" s="245"/>
      <ns0:c r="P949" s="245"/>
      <ns0:c r="Q949" s="245"/>
      <ns0:c r="R949" s="245"/>
      <ns0:c r="S949" s="245"/>
      <ns0:c r="T949" s="245"/>
      <ns0:c r="U949" s="245"/>
      <ns0:c r="V949" s="245"/>
      <ns0:c r="W949" s="245"/>
      <ns0:c r="X949" s="245"/>
      <ns0:c r="Y949" s="245"/>
      <ns0:c r="Z949" s="245"/>
    </ns0:row>
    <ns0:row r="950">
      <ns0:c r="A950" s="245"/>
      <ns0:c r="B950" s="245"/>
      <ns0:c r="C950" s="245"/>
      <ns0:c r="D950" s="245"/>
      <ns0:c r="E950" s="245"/>
      <ns0:c r="F950" s="245"/>
      <ns0:c r="G950" s="245"/>
      <ns0:c r="H950" s="245"/>
      <ns0:c r="I950" s="245"/>
      <ns0:c r="J950" s="245"/>
      <ns0:c r="K950" s="245"/>
      <ns0:c r="L950" s="245"/>
      <ns0:c r="M950" s="245"/>
      <ns0:c r="N950" s="245"/>
      <ns0:c r="O950" s="245"/>
      <ns0:c r="P950" s="245"/>
      <ns0:c r="Q950" s="245"/>
      <ns0:c r="R950" s="245"/>
      <ns0:c r="S950" s="245"/>
      <ns0:c r="T950" s="245"/>
      <ns0:c r="U950" s="245"/>
      <ns0:c r="V950" s="245"/>
      <ns0:c r="W950" s="245"/>
      <ns0:c r="X950" s="245"/>
      <ns0:c r="Y950" s="245"/>
      <ns0:c r="Z950" s="245"/>
    </ns0:row>
    <ns0:row r="951">
      <ns0:c r="A951" s="245"/>
      <ns0:c r="B951" s="245"/>
      <ns0:c r="C951" s="245"/>
      <ns0:c r="D951" s="245"/>
      <ns0:c r="E951" s="245"/>
      <ns0:c r="F951" s="245"/>
      <ns0:c r="G951" s="245"/>
      <ns0:c r="H951" s="245"/>
      <ns0:c r="I951" s="245"/>
      <ns0:c r="J951" s="245"/>
      <ns0:c r="K951" s="245"/>
      <ns0:c r="L951" s="245"/>
      <ns0:c r="M951" s="245"/>
      <ns0:c r="N951" s="245"/>
      <ns0:c r="O951" s="245"/>
      <ns0:c r="P951" s="245"/>
      <ns0:c r="Q951" s="245"/>
      <ns0:c r="R951" s="245"/>
      <ns0:c r="S951" s="245"/>
      <ns0:c r="T951" s="245"/>
      <ns0:c r="U951" s="245"/>
      <ns0:c r="V951" s="245"/>
      <ns0:c r="W951" s="245"/>
      <ns0:c r="X951" s="245"/>
      <ns0:c r="Y951" s="245"/>
      <ns0:c r="Z951" s="245"/>
    </ns0:row>
    <ns0:row r="952">
      <ns0:c r="A952" s="245"/>
      <ns0:c r="B952" s="245"/>
      <ns0:c r="C952" s="245"/>
      <ns0:c r="D952" s="245"/>
      <ns0:c r="E952" s="245"/>
      <ns0:c r="F952" s="245"/>
      <ns0:c r="G952" s="245"/>
      <ns0:c r="H952" s="245"/>
      <ns0:c r="I952" s="245"/>
      <ns0:c r="J952" s="245"/>
      <ns0:c r="K952" s="245"/>
      <ns0:c r="L952" s="245"/>
      <ns0:c r="M952" s="245"/>
      <ns0:c r="N952" s="245"/>
      <ns0:c r="O952" s="245"/>
      <ns0:c r="P952" s="245"/>
      <ns0:c r="Q952" s="245"/>
      <ns0:c r="R952" s="245"/>
      <ns0:c r="S952" s="245"/>
      <ns0:c r="T952" s="245"/>
      <ns0:c r="U952" s="245"/>
      <ns0:c r="V952" s="245"/>
      <ns0:c r="W952" s="245"/>
      <ns0:c r="X952" s="245"/>
      <ns0:c r="Y952" s="245"/>
      <ns0:c r="Z952" s="245"/>
    </ns0:row>
    <ns0:row r="953">
      <ns0:c r="A953" s="245"/>
      <ns0:c r="B953" s="245"/>
      <ns0:c r="C953" s="245"/>
      <ns0:c r="D953" s="245"/>
      <ns0:c r="E953" s="245"/>
      <ns0:c r="F953" s="245"/>
      <ns0:c r="G953" s="245"/>
      <ns0:c r="H953" s="245"/>
      <ns0:c r="I953" s="245"/>
      <ns0:c r="J953" s="245"/>
      <ns0:c r="K953" s="245"/>
      <ns0:c r="L953" s="245"/>
      <ns0:c r="M953" s="245"/>
      <ns0:c r="N953" s="245"/>
      <ns0:c r="O953" s="245"/>
      <ns0:c r="P953" s="245"/>
      <ns0:c r="Q953" s="245"/>
      <ns0:c r="R953" s="245"/>
      <ns0:c r="S953" s="245"/>
      <ns0:c r="T953" s="245"/>
      <ns0:c r="U953" s="245"/>
      <ns0:c r="V953" s="245"/>
      <ns0:c r="W953" s="245"/>
      <ns0:c r="X953" s="245"/>
      <ns0:c r="Y953" s="245"/>
      <ns0:c r="Z953" s="245"/>
    </ns0:row>
    <ns0:row r="954">
      <ns0:c r="A954" s="245"/>
      <ns0:c r="B954" s="245"/>
      <ns0:c r="C954" s="245"/>
      <ns0:c r="D954" s="245"/>
      <ns0:c r="E954" s="245"/>
      <ns0:c r="F954" s="245"/>
      <ns0:c r="G954" s="245"/>
      <ns0:c r="H954" s="245"/>
      <ns0:c r="I954" s="245"/>
      <ns0:c r="J954" s="245"/>
      <ns0:c r="K954" s="245"/>
      <ns0:c r="L954" s="245"/>
      <ns0:c r="M954" s="245"/>
      <ns0:c r="N954" s="245"/>
      <ns0:c r="O954" s="245"/>
      <ns0:c r="P954" s="245"/>
      <ns0:c r="Q954" s="245"/>
      <ns0:c r="R954" s="245"/>
      <ns0:c r="S954" s="245"/>
      <ns0:c r="T954" s="245"/>
      <ns0:c r="U954" s="245"/>
      <ns0:c r="V954" s="245"/>
      <ns0:c r="W954" s="245"/>
      <ns0:c r="X954" s="245"/>
      <ns0:c r="Y954" s="245"/>
      <ns0:c r="Z954" s="245"/>
    </ns0:row>
    <ns0:row r="955">
      <ns0:c r="A955" s="245"/>
      <ns0:c r="B955" s="245"/>
      <ns0:c r="C955" s="245"/>
      <ns0:c r="D955" s="245"/>
      <ns0:c r="E955" s="245"/>
      <ns0:c r="F955" s="245"/>
      <ns0:c r="G955" s="245"/>
      <ns0:c r="H955" s="245"/>
      <ns0:c r="I955" s="245"/>
      <ns0:c r="J955" s="245"/>
      <ns0:c r="K955" s="245"/>
      <ns0:c r="L955" s="245"/>
      <ns0:c r="M955" s="245"/>
      <ns0:c r="N955" s="245"/>
      <ns0:c r="O955" s="245"/>
      <ns0:c r="P955" s="245"/>
      <ns0:c r="Q955" s="245"/>
      <ns0:c r="R955" s="245"/>
      <ns0:c r="S955" s="245"/>
      <ns0:c r="T955" s="245"/>
      <ns0:c r="U955" s="245"/>
      <ns0:c r="V955" s="245"/>
      <ns0:c r="W955" s="245"/>
      <ns0:c r="X955" s="245"/>
      <ns0:c r="Y955" s="245"/>
      <ns0:c r="Z955" s="245"/>
    </ns0:row>
    <ns0:row r="956">
      <ns0:c r="A956" s="245"/>
      <ns0:c r="B956" s="245"/>
      <ns0:c r="C956" s="245"/>
      <ns0:c r="D956" s="245"/>
      <ns0:c r="E956" s="245"/>
      <ns0:c r="F956" s="245"/>
      <ns0:c r="G956" s="245"/>
      <ns0:c r="H956" s="245"/>
      <ns0:c r="I956" s="245"/>
      <ns0:c r="J956" s="245"/>
      <ns0:c r="K956" s="245"/>
      <ns0:c r="L956" s="245"/>
      <ns0:c r="M956" s="245"/>
      <ns0:c r="N956" s="245"/>
      <ns0:c r="O956" s="245"/>
      <ns0:c r="P956" s="245"/>
      <ns0:c r="Q956" s="245"/>
      <ns0:c r="R956" s="245"/>
      <ns0:c r="S956" s="245"/>
      <ns0:c r="T956" s="245"/>
      <ns0:c r="U956" s="245"/>
      <ns0:c r="V956" s="245"/>
      <ns0:c r="W956" s="245"/>
      <ns0:c r="X956" s="245"/>
      <ns0:c r="Y956" s="245"/>
      <ns0:c r="Z956" s="245"/>
    </ns0:row>
    <ns0:row r="957">
      <ns0:c r="A957" s="245"/>
      <ns0:c r="B957" s="245"/>
      <ns0:c r="C957" s="245"/>
      <ns0:c r="D957" s="245"/>
      <ns0:c r="E957" s="245"/>
      <ns0:c r="F957" s="245"/>
      <ns0:c r="G957" s="245"/>
      <ns0:c r="H957" s="245"/>
      <ns0:c r="I957" s="245"/>
      <ns0:c r="J957" s="245"/>
      <ns0:c r="K957" s="245"/>
      <ns0:c r="L957" s="245"/>
      <ns0:c r="M957" s="245"/>
      <ns0:c r="N957" s="245"/>
      <ns0:c r="O957" s="245"/>
      <ns0:c r="P957" s="245"/>
      <ns0:c r="Q957" s="245"/>
      <ns0:c r="R957" s="245"/>
      <ns0:c r="S957" s="245"/>
      <ns0:c r="T957" s="245"/>
      <ns0:c r="U957" s="245"/>
      <ns0:c r="V957" s="245"/>
      <ns0:c r="W957" s="245"/>
      <ns0:c r="X957" s="245"/>
      <ns0:c r="Y957" s="245"/>
      <ns0:c r="Z957" s="245"/>
    </ns0:row>
    <ns0:row r="958">
      <ns0:c r="A958" s="245"/>
      <ns0:c r="B958" s="245"/>
      <ns0:c r="C958" s="245"/>
      <ns0:c r="D958" s="245"/>
      <ns0:c r="E958" s="245"/>
      <ns0:c r="F958" s="245"/>
      <ns0:c r="G958" s="245"/>
      <ns0:c r="H958" s="245"/>
      <ns0:c r="I958" s="245"/>
      <ns0:c r="J958" s="245"/>
      <ns0:c r="K958" s="245"/>
      <ns0:c r="L958" s="245"/>
      <ns0:c r="M958" s="245"/>
      <ns0:c r="N958" s="245"/>
      <ns0:c r="O958" s="245"/>
      <ns0:c r="P958" s="245"/>
      <ns0:c r="Q958" s="245"/>
      <ns0:c r="R958" s="245"/>
      <ns0:c r="S958" s="245"/>
      <ns0:c r="T958" s="245"/>
      <ns0:c r="U958" s="245"/>
      <ns0:c r="V958" s="245"/>
      <ns0:c r="W958" s="245"/>
      <ns0:c r="X958" s="245"/>
      <ns0:c r="Y958" s="245"/>
      <ns0:c r="Z958" s="245"/>
    </ns0:row>
    <ns0:row r="959">
      <ns0:c r="A959" s="245"/>
      <ns0:c r="B959" s="245"/>
      <ns0:c r="C959" s="245"/>
      <ns0:c r="D959" s="245"/>
      <ns0:c r="E959" s="245"/>
      <ns0:c r="F959" s="245"/>
      <ns0:c r="G959" s="245"/>
      <ns0:c r="H959" s="245"/>
      <ns0:c r="I959" s="245"/>
      <ns0:c r="J959" s="245"/>
      <ns0:c r="K959" s="245"/>
      <ns0:c r="L959" s="245"/>
      <ns0:c r="M959" s="245"/>
      <ns0:c r="N959" s="245"/>
      <ns0:c r="O959" s="245"/>
      <ns0:c r="P959" s="245"/>
      <ns0:c r="Q959" s="245"/>
      <ns0:c r="R959" s="245"/>
      <ns0:c r="S959" s="245"/>
      <ns0:c r="T959" s="245"/>
      <ns0:c r="U959" s="245"/>
      <ns0:c r="V959" s="245"/>
      <ns0:c r="W959" s="245"/>
      <ns0:c r="X959" s="245"/>
      <ns0:c r="Y959" s="245"/>
      <ns0:c r="Z959" s="245"/>
    </ns0:row>
    <ns0:row r="960">
      <ns0:c r="A960" s="245"/>
      <ns0:c r="B960" s="245"/>
      <ns0:c r="C960" s="245"/>
      <ns0:c r="D960" s="245"/>
      <ns0:c r="E960" s="245"/>
      <ns0:c r="F960" s="245"/>
      <ns0:c r="G960" s="245"/>
      <ns0:c r="H960" s="245"/>
      <ns0:c r="I960" s="245"/>
      <ns0:c r="J960" s="245"/>
      <ns0:c r="K960" s="245"/>
      <ns0:c r="L960" s="245"/>
      <ns0:c r="M960" s="245"/>
      <ns0:c r="N960" s="245"/>
      <ns0:c r="O960" s="245"/>
      <ns0:c r="P960" s="245"/>
      <ns0:c r="Q960" s="245"/>
      <ns0:c r="R960" s="245"/>
      <ns0:c r="S960" s="245"/>
      <ns0:c r="T960" s="245"/>
      <ns0:c r="U960" s="245"/>
      <ns0:c r="V960" s="245"/>
      <ns0:c r="W960" s="245"/>
      <ns0:c r="X960" s="245"/>
      <ns0:c r="Y960" s="245"/>
      <ns0:c r="Z960" s="245"/>
    </ns0:row>
    <ns0:row r="961">
      <ns0:c r="A961" s="245"/>
      <ns0:c r="B961" s="245"/>
      <ns0:c r="C961" s="245"/>
      <ns0:c r="D961" s="245"/>
      <ns0:c r="E961" s="245"/>
      <ns0:c r="F961" s="245"/>
      <ns0:c r="G961" s="245"/>
      <ns0:c r="H961" s="245"/>
      <ns0:c r="I961" s="245"/>
      <ns0:c r="J961" s="245"/>
      <ns0:c r="K961" s="245"/>
      <ns0:c r="L961" s="245"/>
      <ns0:c r="M961" s="245"/>
      <ns0:c r="N961" s="245"/>
      <ns0:c r="O961" s="245"/>
      <ns0:c r="P961" s="245"/>
      <ns0:c r="Q961" s="245"/>
      <ns0:c r="R961" s="245"/>
      <ns0:c r="S961" s="245"/>
      <ns0:c r="T961" s="245"/>
      <ns0:c r="U961" s="245"/>
      <ns0:c r="V961" s="245"/>
      <ns0:c r="W961" s="245"/>
      <ns0:c r="X961" s="245"/>
      <ns0:c r="Y961" s="245"/>
      <ns0:c r="Z961" s="245"/>
    </ns0:row>
    <ns0:row r="962">
      <ns0:c r="A962" s="245"/>
      <ns0:c r="B962" s="245"/>
      <ns0:c r="C962" s="245"/>
      <ns0:c r="D962" s="245"/>
      <ns0:c r="E962" s="245"/>
      <ns0:c r="F962" s="245"/>
      <ns0:c r="G962" s="245"/>
      <ns0:c r="H962" s="245"/>
      <ns0:c r="I962" s="245"/>
      <ns0:c r="J962" s="245"/>
      <ns0:c r="K962" s="245"/>
      <ns0:c r="L962" s="245"/>
      <ns0:c r="M962" s="245"/>
      <ns0:c r="N962" s="245"/>
      <ns0:c r="O962" s="245"/>
      <ns0:c r="P962" s="245"/>
      <ns0:c r="Q962" s="245"/>
      <ns0:c r="R962" s="245"/>
      <ns0:c r="S962" s="245"/>
      <ns0:c r="T962" s="245"/>
      <ns0:c r="U962" s="245"/>
      <ns0:c r="V962" s="245"/>
      <ns0:c r="W962" s="245"/>
      <ns0:c r="X962" s="245"/>
      <ns0:c r="Y962" s="245"/>
      <ns0:c r="Z962" s="245"/>
    </ns0:row>
    <ns0:row r="963">
      <ns0:c r="A963" s="245"/>
      <ns0:c r="B963" s="245"/>
      <ns0:c r="C963" s="245"/>
      <ns0:c r="D963" s="245"/>
      <ns0:c r="E963" s="245"/>
      <ns0:c r="F963" s="245"/>
      <ns0:c r="G963" s="245"/>
      <ns0:c r="H963" s="245"/>
      <ns0:c r="I963" s="245"/>
      <ns0:c r="J963" s="245"/>
      <ns0:c r="K963" s="245"/>
      <ns0:c r="L963" s="245"/>
      <ns0:c r="M963" s="245"/>
      <ns0:c r="N963" s="245"/>
      <ns0:c r="O963" s="245"/>
      <ns0:c r="P963" s="245"/>
      <ns0:c r="Q963" s="245"/>
      <ns0:c r="R963" s="245"/>
      <ns0:c r="S963" s="245"/>
      <ns0:c r="T963" s="245"/>
      <ns0:c r="U963" s="245"/>
      <ns0:c r="V963" s="245"/>
      <ns0:c r="W963" s="245"/>
      <ns0:c r="X963" s="245"/>
      <ns0:c r="Y963" s="245"/>
      <ns0:c r="Z963" s="245"/>
    </ns0:row>
    <ns0:row r="964">
      <ns0:c r="A964" s="245"/>
      <ns0:c r="B964" s="245"/>
      <ns0:c r="C964" s="245"/>
      <ns0:c r="D964" s="245"/>
      <ns0:c r="E964" s="245"/>
      <ns0:c r="F964" s="245"/>
      <ns0:c r="G964" s="245"/>
      <ns0:c r="H964" s="245"/>
      <ns0:c r="I964" s="245"/>
      <ns0:c r="J964" s="245"/>
      <ns0:c r="K964" s="245"/>
      <ns0:c r="L964" s="245"/>
      <ns0:c r="M964" s="245"/>
      <ns0:c r="N964" s="245"/>
      <ns0:c r="O964" s="245"/>
      <ns0:c r="P964" s="245"/>
      <ns0:c r="Q964" s="245"/>
      <ns0:c r="R964" s="245"/>
      <ns0:c r="S964" s="245"/>
      <ns0:c r="T964" s="245"/>
      <ns0:c r="U964" s="245"/>
      <ns0:c r="V964" s="245"/>
      <ns0:c r="W964" s="245"/>
      <ns0:c r="X964" s="245"/>
      <ns0:c r="Y964" s="245"/>
      <ns0:c r="Z964" s="245"/>
    </ns0:row>
    <ns0:row r="965">
      <ns0:c r="A965" s="245"/>
      <ns0:c r="B965" s="245"/>
      <ns0:c r="C965" s="245"/>
      <ns0:c r="D965" s="245"/>
      <ns0:c r="E965" s="245"/>
      <ns0:c r="F965" s="245"/>
      <ns0:c r="G965" s="245"/>
      <ns0:c r="H965" s="245"/>
      <ns0:c r="I965" s="245"/>
      <ns0:c r="J965" s="245"/>
      <ns0:c r="K965" s="245"/>
      <ns0:c r="L965" s="245"/>
      <ns0:c r="M965" s="245"/>
      <ns0:c r="N965" s="245"/>
      <ns0:c r="O965" s="245"/>
      <ns0:c r="P965" s="245"/>
      <ns0:c r="Q965" s="245"/>
      <ns0:c r="R965" s="245"/>
      <ns0:c r="S965" s="245"/>
      <ns0:c r="T965" s="245"/>
      <ns0:c r="U965" s="245"/>
      <ns0:c r="V965" s="245"/>
      <ns0:c r="W965" s="245"/>
      <ns0:c r="X965" s="245"/>
      <ns0:c r="Y965" s="245"/>
      <ns0:c r="Z965" s="245"/>
    </ns0:row>
    <ns0:row r="966">
      <ns0:c r="A966" s="245"/>
      <ns0:c r="B966" s="245"/>
      <ns0:c r="C966" s="245"/>
      <ns0:c r="D966" s="245"/>
      <ns0:c r="E966" s="245"/>
      <ns0:c r="F966" s="245"/>
      <ns0:c r="G966" s="245"/>
      <ns0:c r="H966" s="245"/>
      <ns0:c r="I966" s="245"/>
      <ns0:c r="J966" s="245"/>
      <ns0:c r="K966" s="245"/>
      <ns0:c r="L966" s="245"/>
      <ns0:c r="M966" s="245"/>
      <ns0:c r="N966" s="245"/>
      <ns0:c r="O966" s="245"/>
      <ns0:c r="P966" s="245"/>
      <ns0:c r="Q966" s="245"/>
      <ns0:c r="R966" s="245"/>
      <ns0:c r="S966" s="245"/>
      <ns0:c r="T966" s="245"/>
      <ns0:c r="U966" s="245"/>
      <ns0:c r="V966" s="245"/>
      <ns0:c r="W966" s="245"/>
      <ns0:c r="X966" s="245"/>
      <ns0:c r="Y966" s="245"/>
      <ns0:c r="Z966" s="245"/>
    </ns0:row>
    <ns0:row r="967">
      <ns0:c r="A967" s="245"/>
      <ns0:c r="B967" s="245"/>
      <ns0:c r="C967" s="245"/>
      <ns0:c r="D967" s="245"/>
      <ns0:c r="E967" s="245"/>
      <ns0:c r="F967" s="245"/>
      <ns0:c r="G967" s="245"/>
      <ns0:c r="H967" s="245"/>
      <ns0:c r="I967" s="245"/>
      <ns0:c r="J967" s="245"/>
      <ns0:c r="K967" s="245"/>
      <ns0:c r="L967" s="245"/>
      <ns0:c r="M967" s="245"/>
      <ns0:c r="N967" s="245"/>
      <ns0:c r="O967" s="245"/>
      <ns0:c r="P967" s="245"/>
      <ns0:c r="Q967" s="245"/>
      <ns0:c r="R967" s="245"/>
      <ns0:c r="S967" s="245"/>
      <ns0:c r="T967" s="245"/>
      <ns0:c r="U967" s="245"/>
      <ns0:c r="V967" s="245"/>
      <ns0:c r="W967" s="245"/>
      <ns0:c r="X967" s="245"/>
      <ns0:c r="Y967" s="245"/>
      <ns0:c r="Z967" s="245"/>
    </ns0:row>
    <ns0:row r="968">
      <ns0:c r="A968" s="245"/>
      <ns0:c r="B968" s="245"/>
      <ns0:c r="C968" s="245"/>
      <ns0:c r="D968" s="245"/>
      <ns0:c r="E968" s="245"/>
      <ns0:c r="F968" s="245"/>
      <ns0:c r="G968" s="245"/>
      <ns0:c r="H968" s="245"/>
      <ns0:c r="I968" s="245"/>
      <ns0:c r="J968" s="245"/>
      <ns0:c r="K968" s="245"/>
      <ns0:c r="L968" s="245"/>
      <ns0:c r="M968" s="245"/>
      <ns0:c r="N968" s="245"/>
      <ns0:c r="O968" s="245"/>
      <ns0:c r="P968" s="245"/>
      <ns0:c r="Q968" s="245"/>
      <ns0:c r="R968" s="245"/>
      <ns0:c r="S968" s="245"/>
      <ns0:c r="T968" s="245"/>
      <ns0:c r="U968" s="245"/>
      <ns0:c r="V968" s="245"/>
      <ns0:c r="W968" s="245"/>
      <ns0:c r="X968" s="245"/>
      <ns0:c r="Y968" s="245"/>
      <ns0:c r="Z968" s="245"/>
    </ns0:row>
    <ns0:row r="969">
      <ns0:c r="A969" s="245"/>
      <ns0:c r="B969" s="245"/>
      <ns0:c r="C969" s="245"/>
      <ns0:c r="D969" s="245"/>
      <ns0:c r="E969" s="245"/>
      <ns0:c r="F969" s="245"/>
      <ns0:c r="G969" s="245"/>
      <ns0:c r="H969" s="245"/>
      <ns0:c r="I969" s="245"/>
      <ns0:c r="J969" s="245"/>
      <ns0:c r="K969" s="245"/>
      <ns0:c r="L969" s="245"/>
      <ns0:c r="M969" s="245"/>
      <ns0:c r="N969" s="245"/>
      <ns0:c r="O969" s="245"/>
      <ns0:c r="P969" s="245"/>
      <ns0:c r="Q969" s="245"/>
      <ns0:c r="R969" s="245"/>
      <ns0:c r="S969" s="245"/>
      <ns0:c r="T969" s="245"/>
      <ns0:c r="U969" s="245"/>
      <ns0:c r="V969" s="245"/>
      <ns0:c r="W969" s="245"/>
      <ns0:c r="X969" s="245"/>
      <ns0:c r="Y969" s="245"/>
      <ns0:c r="Z969" s="245"/>
    </ns0:row>
    <ns0:row r="970">
      <ns0:c r="A970" s="245"/>
      <ns0:c r="B970" s="245"/>
      <ns0:c r="C970" s="245"/>
      <ns0:c r="D970" s="245"/>
      <ns0:c r="E970" s="245"/>
      <ns0:c r="F970" s="245"/>
      <ns0:c r="G970" s="245"/>
      <ns0:c r="H970" s="245"/>
      <ns0:c r="I970" s="245"/>
      <ns0:c r="J970" s="245"/>
      <ns0:c r="K970" s="245"/>
      <ns0:c r="L970" s="245"/>
      <ns0:c r="M970" s="245"/>
      <ns0:c r="N970" s="245"/>
      <ns0:c r="O970" s="245"/>
      <ns0:c r="P970" s="245"/>
      <ns0:c r="Q970" s="245"/>
      <ns0:c r="R970" s="245"/>
      <ns0:c r="S970" s="245"/>
      <ns0:c r="T970" s="245"/>
      <ns0:c r="U970" s="245"/>
      <ns0:c r="V970" s="245"/>
      <ns0:c r="W970" s="245"/>
      <ns0:c r="X970" s="245"/>
      <ns0:c r="Y970" s="245"/>
      <ns0:c r="Z970" s="245"/>
    </ns0:row>
    <ns0:row r="971">
      <ns0:c r="A971" s="245"/>
      <ns0:c r="B971" s="245"/>
      <ns0:c r="C971" s="245"/>
      <ns0:c r="D971" s="245"/>
      <ns0:c r="E971" s="245"/>
      <ns0:c r="F971" s="245"/>
      <ns0:c r="G971" s="245"/>
      <ns0:c r="H971" s="245"/>
      <ns0:c r="I971" s="245"/>
      <ns0:c r="J971" s="245"/>
      <ns0:c r="K971" s="245"/>
      <ns0:c r="L971" s="245"/>
      <ns0:c r="M971" s="245"/>
      <ns0:c r="N971" s="245"/>
      <ns0:c r="O971" s="245"/>
      <ns0:c r="P971" s="245"/>
      <ns0:c r="Q971" s="245"/>
      <ns0:c r="R971" s="245"/>
      <ns0:c r="S971" s="245"/>
      <ns0:c r="T971" s="245"/>
      <ns0:c r="U971" s="245"/>
      <ns0:c r="V971" s="245"/>
      <ns0:c r="W971" s="245"/>
      <ns0:c r="X971" s="245"/>
      <ns0:c r="Y971" s="245"/>
      <ns0:c r="Z971" s="245"/>
    </ns0:row>
    <ns0:row r="972">
      <ns0:c r="A972" s="245"/>
      <ns0:c r="B972" s="245"/>
      <ns0:c r="C972" s="245"/>
      <ns0:c r="D972" s="245"/>
      <ns0:c r="E972" s="245"/>
      <ns0:c r="F972" s="245"/>
      <ns0:c r="G972" s="245"/>
      <ns0:c r="H972" s="245"/>
      <ns0:c r="I972" s="245"/>
      <ns0:c r="J972" s="245"/>
      <ns0:c r="K972" s="245"/>
      <ns0:c r="L972" s="245"/>
      <ns0:c r="M972" s="245"/>
      <ns0:c r="N972" s="245"/>
      <ns0:c r="O972" s="245"/>
      <ns0:c r="P972" s="245"/>
      <ns0:c r="Q972" s="245"/>
      <ns0:c r="R972" s="245"/>
      <ns0:c r="S972" s="245"/>
      <ns0:c r="T972" s="245"/>
      <ns0:c r="U972" s="245"/>
      <ns0:c r="V972" s="245"/>
      <ns0:c r="W972" s="245"/>
      <ns0:c r="X972" s="245"/>
      <ns0:c r="Y972" s="245"/>
      <ns0:c r="Z972" s="245"/>
    </ns0:row>
    <ns0:row r="973">
      <ns0:c r="A973" s="245"/>
      <ns0:c r="B973" s="245"/>
      <ns0:c r="C973" s="245"/>
      <ns0:c r="D973" s="245"/>
      <ns0:c r="E973" s="245"/>
      <ns0:c r="F973" s="245"/>
      <ns0:c r="G973" s="245"/>
      <ns0:c r="H973" s="245"/>
      <ns0:c r="I973" s="245"/>
      <ns0:c r="J973" s="245"/>
      <ns0:c r="K973" s="245"/>
      <ns0:c r="L973" s="245"/>
      <ns0:c r="M973" s="245"/>
      <ns0:c r="N973" s="245"/>
      <ns0:c r="O973" s="245"/>
      <ns0:c r="P973" s="245"/>
      <ns0:c r="Q973" s="245"/>
      <ns0:c r="R973" s="245"/>
      <ns0:c r="S973" s="245"/>
      <ns0:c r="T973" s="245"/>
      <ns0:c r="U973" s="245"/>
      <ns0:c r="V973" s="245"/>
      <ns0:c r="W973" s="245"/>
      <ns0:c r="X973" s="245"/>
      <ns0:c r="Y973" s="245"/>
      <ns0:c r="Z973" s="245"/>
    </ns0:row>
    <ns0:row r="974">
      <ns0:c r="A974" s="245"/>
      <ns0:c r="B974" s="245"/>
      <ns0:c r="C974" s="245"/>
      <ns0:c r="D974" s="245"/>
      <ns0:c r="E974" s="245"/>
      <ns0:c r="F974" s="245"/>
      <ns0:c r="G974" s="245"/>
      <ns0:c r="H974" s="245"/>
      <ns0:c r="I974" s="245"/>
      <ns0:c r="J974" s="245"/>
      <ns0:c r="K974" s="245"/>
      <ns0:c r="L974" s="245"/>
      <ns0:c r="M974" s="245"/>
      <ns0:c r="N974" s="245"/>
      <ns0:c r="O974" s="245"/>
      <ns0:c r="P974" s="245"/>
      <ns0:c r="Q974" s="245"/>
      <ns0:c r="R974" s="245"/>
      <ns0:c r="S974" s="245"/>
      <ns0:c r="T974" s="245"/>
      <ns0:c r="U974" s="245"/>
      <ns0:c r="V974" s="245"/>
      <ns0:c r="W974" s="245"/>
      <ns0:c r="X974" s="245"/>
      <ns0:c r="Y974" s="245"/>
      <ns0:c r="Z974" s="245"/>
    </ns0:row>
    <ns0:row r="975">
      <ns0:c r="A975" s="245"/>
      <ns0:c r="B975" s="245"/>
      <ns0:c r="C975" s="245"/>
      <ns0:c r="D975" s="245"/>
      <ns0:c r="E975" s="245"/>
      <ns0:c r="F975" s="245"/>
      <ns0:c r="G975" s="245"/>
      <ns0:c r="H975" s="245"/>
      <ns0:c r="I975" s="245"/>
      <ns0:c r="J975" s="245"/>
      <ns0:c r="K975" s="245"/>
      <ns0:c r="L975" s="245"/>
      <ns0:c r="M975" s="245"/>
      <ns0:c r="N975" s="245"/>
      <ns0:c r="O975" s="245"/>
      <ns0:c r="P975" s="245"/>
      <ns0:c r="Q975" s="245"/>
      <ns0:c r="R975" s="245"/>
      <ns0:c r="S975" s="245"/>
      <ns0:c r="T975" s="245"/>
      <ns0:c r="U975" s="245"/>
      <ns0:c r="V975" s="245"/>
      <ns0:c r="W975" s="245"/>
      <ns0:c r="X975" s="245"/>
      <ns0:c r="Y975" s="245"/>
      <ns0:c r="Z975" s="245"/>
    </ns0:row>
    <ns0:row r="976">
      <ns0:c r="A976" s="245"/>
      <ns0:c r="B976" s="245"/>
      <ns0:c r="C976" s="245"/>
      <ns0:c r="D976" s="245"/>
      <ns0:c r="E976" s="245"/>
      <ns0:c r="F976" s="245"/>
      <ns0:c r="G976" s="245"/>
      <ns0:c r="H976" s="245"/>
      <ns0:c r="I976" s="245"/>
      <ns0:c r="J976" s="245"/>
      <ns0:c r="K976" s="245"/>
      <ns0:c r="L976" s="245"/>
      <ns0:c r="M976" s="245"/>
      <ns0:c r="N976" s="245"/>
      <ns0:c r="O976" s="245"/>
      <ns0:c r="P976" s="245"/>
      <ns0:c r="Q976" s="245"/>
      <ns0:c r="R976" s="245"/>
      <ns0:c r="S976" s="245"/>
      <ns0:c r="T976" s="245"/>
      <ns0:c r="U976" s="245"/>
      <ns0:c r="V976" s="245"/>
      <ns0:c r="W976" s="245"/>
      <ns0:c r="X976" s="245"/>
      <ns0:c r="Y976" s="245"/>
      <ns0:c r="Z976" s="245"/>
    </ns0:row>
    <ns0:row r="977">
      <ns0:c r="A977" s="245"/>
      <ns0:c r="B977" s="245"/>
      <ns0:c r="C977" s="245"/>
      <ns0:c r="D977" s="245"/>
      <ns0:c r="E977" s="245"/>
      <ns0:c r="F977" s="245"/>
      <ns0:c r="G977" s="245"/>
      <ns0:c r="H977" s="245"/>
      <ns0:c r="I977" s="245"/>
      <ns0:c r="J977" s="245"/>
      <ns0:c r="K977" s="245"/>
      <ns0:c r="L977" s="245"/>
      <ns0:c r="M977" s="245"/>
      <ns0:c r="N977" s="245"/>
      <ns0:c r="O977" s="245"/>
      <ns0:c r="P977" s="245"/>
      <ns0:c r="Q977" s="245"/>
      <ns0:c r="R977" s="245"/>
      <ns0:c r="S977" s="245"/>
      <ns0:c r="T977" s="245"/>
      <ns0:c r="U977" s="245"/>
      <ns0:c r="V977" s="245"/>
      <ns0:c r="W977" s="245"/>
      <ns0:c r="X977" s="245"/>
      <ns0:c r="Y977" s="245"/>
      <ns0:c r="Z977" s="245"/>
    </ns0:row>
    <ns0:row r="978">
      <ns0:c r="A978" s="245"/>
      <ns0:c r="B978" s="245"/>
      <ns0:c r="C978" s="245"/>
      <ns0:c r="D978" s="245"/>
      <ns0:c r="E978" s="245"/>
      <ns0:c r="F978" s="245"/>
      <ns0:c r="G978" s="245"/>
      <ns0:c r="H978" s="245"/>
      <ns0:c r="I978" s="245"/>
      <ns0:c r="J978" s="245"/>
      <ns0:c r="K978" s="245"/>
      <ns0:c r="L978" s="245"/>
      <ns0:c r="M978" s="245"/>
      <ns0:c r="N978" s="245"/>
      <ns0:c r="O978" s="245"/>
      <ns0:c r="P978" s="245"/>
      <ns0:c r="Q978" s="245"/>
      <ns0:c r="R978" s="245"/>
      <ns0:c r="S978" s="245"/>
      <ns0:c r="T978" s="245"/>
      <ns0:c r="U978" s="245"/>
      <ns0:c r="V978" s="245"/>
      <ns0:c r="W978" s="245"/>
      <ns0:c r="X978" s="245"/>
      <ns0:c r="Y978" s="245"/>
      <ns0:c r="Z978" s="245"/>
    </ns0:row>
    <ns0:row r="979">
      <ns0:c r="A979" s="245"/>
      <ns0:c r="B979" s="245"/>
      <ns0:c r="C979" s="245"/>
      <ns0:c r="D979" s="245"/>
      <ns0:c r="E979" s="245"/>
      <ns0:c r="F979" s="245"/>
      <ns0:c r="G979" s="245"/>
      <ns0:c r="H979" s="245"/>
      <ns0:c r="I979" s="245"/>
      <ns0:c r="J979" s="245"/>
      <ns0:c r="K979" s="245"/>
      <ns0:c r="L979" s="245"/>
      <ns0:c r="M979" s="245"/>
      <ns0:c r="N979" s="245"/>
      <ns0:c r="O979" s="245"/>
      <ns0:c r="P979" s="245"/>
      <ns0:c r="Q979" s="245"/>
      <ns0:c r="R979" s="245"/>
      <ns0:c r="S979" s="245"/>
      <ns0:c r="T979" s="245"/>
      <ns0:c r="U979" s="245"/>
      <ns0:c r="V979" s="245"/>
      <ns0:c r="W979" s="245"/>
      <ns0:c r="X979" s="245"/>
      <ns0:c r="Y979" s="245"/>
      <ns0:c r="Z979" s="245"/>
    </ns0:row>
    <ns0:row r="980">
      <ns0:c r="A980" s="245"/>
      <ns0:c r="B980" s="245"/>
      <ns0:c r="C980" s="245"/>
      <ns0:c r="D980" s="245"/>
      <ns0:c r="E980" s="245"/>
      <ns0:c r="F980" s="245"/>
      <ns0:c r="G980" s="245"/>
      <ns0:c r="H980" s="245"/>
      <ns0:c r="I980" s="245"/>
      <ns0:c r="J980" s="245"/>
      <ns0:c r="K980" s="245"/>
      <ns0:c r="L980" s="245"/>
      <ns0:c r="M980" s="245"/>
      <ns0:c r="N980" s="245"/>
      <ns0:c r="O980" s="245"/>
      <ns0:c r="P980" s="245"/>
      <ns0:c r="Q980" s="245"/>
      <ns0:c r="R980" s="245"/>
      <ns0:c r="S980" s="245"/>
      <ns0:c r="T980" s="245"/>
      <ns0:c r="U980" s="245"/>
      <ns0:c r="V980" s="245"/>
      <ns0:c r="W980" s="245"/>
      <ns0:c r="X980" s="245"/>
      <ns0:c r="Y980" s="245"/>
      <ns0:c r="Z980" s="245"/>
    </ns0:row>
    <ns0:row r="981">
      <ns0:c r="A981" s="245"/>
      <ns0:c r="B981" s="245"/>
      <ns0:c r="C981" s="245"/>
      <ns0:c r="D981" s="245"/>
      <ns0:c r="E981" s="245"/>
      <ns0:c r="F981" s="245"/>
      <ns0:c r="G981" s="245"/>
      <ns0:c r="H981" s="245"/>
      <ns0:c r="I981" s="245"/>
      <ns0:c r="J981" s="245"/>
      <ns0:c r="K981" s="245"/>
      <ns0:c r="L981" s="245"/>
      <ns0:c r="M981" s="245"/>
      <ns0:c r="N981" s="245"/>
      <ns0:c r="O981" s="245"/>
      <ns0:c r="P981" s="245"/>
      <ns0:c r="Q981" s="245"/>
      <ns0:c r="R981" s="245"/>
      <ns0:c r="S981" s="245"/>
      <ns0:c r="T981" s="245"/>
      <ns0:c r="U981" s="245"/>
      <ns0:c r="V981" s="245"/>
      <ns0:c r="W981" s="245"/>
      <ns0:c r="X981" s="245"/>
      <ns0:c r="Y981" s="245"/>
      <ns0:c r="Z981" s="245"/>
    </ns0:row>
    <ns0:row r="982">
      <ns0:c r="A982" s="245"/>
      <ns0:c r="B982" s="245"/>
      <ns0:c r="C982" s="245"/>
      <ns0:c r="D982" s="245"/>
      <ns0:c r="E982" s="245"/>
      <ns0:c r="F982" s="245"/>
      <ns0:c r="G982" s="245"/>
      <ns0:c r="H982" s="245"/>
      <ns0:c r="I982" s="245"/>
      <ns0:c r="J982" s="245"/>
      <ns0:c r="K982" s="245"/>
      <ns0:c r="L982" s="245"/>
      <ns0:c r="M982" s="245"/>
      <ns0:c r="N982" s="245"/>
      <ns0:c r="O982" s="245"/>
      <ns0:c r="P982" s="245"/>
      <ns0:c r="Q982" s="245"/>
      <ns0:c r="R982" s="245"/>
      <ns0:c r="S982" s="245"/>
      <ns0:c r="T982" s="245"/>
      <ns0:c r="U982" s="245"/>
      <ns0:c r="V982" s="245"/>
      <ns0:c r="W982" s="245"/>
      <ns0:c r="X982" s="245"/>
      <ns0:c r="Y982" s="245"/>
      <ns0:c r="Z982" s="245"/>
    </ns0:row>
    <ns0:row r="983">
      <ns0:c r="A983" s="245"/>
      <ns0:c r="B983" s="245"/>
      <ns0:c r="C983" s="245"/>
      <ns0:c r="D983" s="245"/>
      <ns0:c r="E983" s="245"/>
      <ns0:c r="F983" s="245"/>
      <ns0:c r="G983" s="245"/>
      <ns0:c r="H983" s="245"/>
      <ns0:c r="I983" s="245"/>
      <ns0:c r="J983" s="245"/>
      <ns0:c r="K983" s="245"/>
      <ns0:c r="L983" s="245"/>
      <ns0:c r="M983" s="245"/>
      <ns0:c r="N983" s="245"/>
      <ns0:c r="O983" s="245"/>
      <ns0:c r="P983" s="245"/>
      <ns0:c r="Q983" s="245"/>
      <ns0:c r="R983" s="245"/>
      <ns0:c r="S983" s="245"/>
      <ns0:c r="T983" s="245"/>
      <ns0:c r="U983" s="245"/>
      <ns0:c r="V983" s="245"/>
      <ns0:c r="W983" s="245"/>
      <ns0:c r="X983" s="245"/>
      <ns0:c r="Y983" s="245"/>
      <ns0:c r="Z983" s="245"/>
    </ns0:row>
    <ns0:row r="984">
      <ns0:c r="A984" s="245"/>
      <ns0:c r="B984" s="245"/>
      <ns0:c r="C984" s="245"/>
      <ns0:c r="D984" s="245"/>
      <ns0:c r="E984" s="245"/>
      <ns0:c r="F984" s="245"/>
      <ns0:c r="G984" s="245"/>
      <ns0:c r="H984" s="245"/>
      <ns0:c r="I984" s="245"/>
      <ns0:c r="J984" s="245"/>
      <ns0:c r="K984" s="245"/>
      <ns0:c r="L984" s="245"/>
      <ns0:c r="M984" s="245"/>
      <ns0:c r="N984" s="245"/>
      <ns0:c r="O984" s="245"/>
      <ns0:c r="P984" s="245"/>
      <ns0:c r="Q984" s="245"/>
      <ns0:c r="R984" s="245"/>
      <ns0:c r="S984" s="245"/>
      <ns0:c r="T984" s="245"/>
      <ns0:c r="U984" s="245"/>
      <ns0:c r="V984" s="245"/>
      <ns0:c r="W984" s="245"/>
      <ns0:c r="X984" s="245"/>
      <ns0:c r="Y984" s="245"/>
      <ns0:c r="Z984" s="245"/>
    </ns0:row>
    <ns0:row r="985">
      <ns0:c r="A985" s="245"/>
      <ns0:c r="B985" s="245"/>
      <ns0:c r="C985" s="245"/>
      <ns0:c r="D985" s="245"/>
      <ns0:c r="E985" s="245"/>
      <ns0:c r="F985" s="245"/>
      <ns0:c r="G985" s="245"/>
      <ns0:c r="H985" s="245"/>
      <ns0:c r="I985" s="245"/>
      <ns0:c r="J985" s="245"/>
      <ns0:c r="K985" s="245"/>
      <ns0:c r="L985" s="245"/>
      <ns0:c r="M985" s="245"/>
      <ns0:c r="N985" s="245"/>
      <ns0:c r="O985" s="245"/>
      <ns0:c r="P985" s="245"/>
      <ns0:c r="Q985" s="245"/>
      <ns0:c r="R985" s="245"/>
      <ns0:c r="S985" s="245"/>
      <ns0:c r="T985" s="245"/>
      <ns0:c r="U985" s="245"/>
      <ns0:c r="V985" s="245"/>
      <ns0:c r="W985" s="245"/>
      <ns0:c r="X985" s="245"/>
      <ns0:c r="Y985" s="245"/>
      <ns0:c r="Z985" s="245"/>
    </ns0:row>
    <ns0:row r="986">
      <ns0:c r="A986" s="245"/>
      <ns0:c r="B986" s="245"/>
      <ns0:c r="C986" s="245"/>
      <ns0:c r="D986" s="245"/>
      <ns0:c r="E986" s="245"/>
      <ns0:c r="F986" s="245"/>
      <ns0:c r="G986" s="245"/>
      <ns0:c r="H986" s="245"/>
      <ns0:c r="I986" s="245"/>
      <ns0:c r="J986" s="245"/>
      <ns0:c r="K986" s="245"/>
      <ns0:c r="L986" s="245"/>
      <ns0:c r="M986" s="245"/>
      <ns0:c r="N986" s="245"/>
      <ns0:c r="O986" s="245"/>
      <ns0:c r="P986" s="245"/>
      <ns0:c r="Q986" s="245"/>
      <ns0:c r="R986" s="245"/>
      <ns0:c r="S986" s="245"/>
      <ns0:c r="T986" s="245"/>
      <ns0:c r="U986" s="245"/>
      <ns0:c r="V986" s="245"/>
      <ns0:c r="W986" s="245"/>
      <ns0:c r="X986" s="245"/>
      <ns0:c r="Y986" s="245"/>
      <ns0:c r="Z986" s="245"/>
    </ns0:row>
    <ns0:row r="987">
      <ns0:c r="A987" s="245"/>
      <ns0:c r="B987" s="245"/>
      <ns0:c r="C987" s="245"/>
      <ns0:c r="D987" s="245"/>
      <ns0:c r="E987" s="245"/>
      <ns0:c r="F987" s="245"/>
      <ns0:c r="G987" s="245"/>
      <ns0:c r="H987" s="245"/>
      <ns0:c r="I987" s="245"/>
      <ns0:c r="J987" s="245"/>
      <ns0:c r="K987" s="245"/>
      <ns0:c r="L987" s="245"/>
      <ns0:c r="M987" s="245"/>
      <ns0:c r="N987" s="245"/>
      <ns0:c r="O987" s="245"/>
      <ns0:c r="P987" s="245"/>
      <ns0:c r="Q987" s="245"/>
      <ns0:c r="R987" s="245"/>
      <ns0:c r="S987" s="245"/>
      <ns0:c r="T987" s="245"/>
      <ns0:c r="U987" s="245"/>
      <ns0:c r="V987" s="245"/>
      <ns0:c r="W987" s="245"/>
      <ns0:c r="X987" s="245"/>
      <ns0:c r="Y987" s="245"/>
      <ns0:c r="Z987" s="245"/>
    </ns0:row>
    <ns0:row r="988">
      <ns0:c r="A988" s="245"/>
      <ns0:c r="B988" s="245"/>
      <ns0:c r="C988" s="245"/>
      <ns0:c r="D988" s="245"/>
      <ns0:c r="E988" s="245"/>
      <ns0:c r="F988" s="245"/>
      <ns0:c r="G988" s="245"/>
      <ns0:c r="H988" s="245"/>
      <ns0:c r="I988" s="245"/>
      <ns0:c r="J988" s="245"/>
      <ns0:c r="K988" s="245"/>
      <ns0:c r="L988" s="245"/>
      <ns0:c r="M988" s="245"/>
      <ns0:c r="N988" s="245"/>
      <ns0:c r="O988" s="245"/>
      <ns0:c r="P988" s="245"/>
      <ns0:c r="Q988" s="245"/>
      <ns0:c r="R988" s="245"/>
      <ns0:c r="S988" s="245"/>
      <ns0:c r="T988" s="245"/>
      <ns0:c r="U988" s="245"/>
      <ns0:c r="V988" s="245"/>
      <ns0:c r="W988" s="245"/>
      <ns0:c r="X988" s="245"/>
      <ns0:c r="Y988" s="245"/>
      <ns0:c r="Z988" s="245"/>
    </ns0:row>
    <ns0:row r="989">
      <ns0:c r="A989" s="245"/>
      <ns0:c r="B989" s="245"/>
      <ns0:c r="C989" s="245"/>
      <ns0:c r="D989" s="245"/>
      <ns0:c r="E989" s="245"/>
      <ns0:c r="F989" s="245"/>
      <ns0:c r="G989" s="245"/>
      <ns0:c r="H989" s="245"/>
      <ns0:c r="I989" s="245"/>
      <ns0:c r="J989" s="245"/>
      <ns0:c r="K989" s="245"/>
      <ns0:c r="L989" s="245"/>
      <ns0:c r="M989" s="245"/>
      <ns0:c r="N989" s="245"/>
      <ns0:c r="O989" s="245"/>
      <ns0:c r="P989" s="245"/>
      <ns0:c r="Q989" s="245"/>
      <ns0:c r="R989" s="245"/>
      <ns0:c r="S989" s="245"/>
      <ns0:c r="T989" s="245"/>
      <ns0:c r="U989" s="245"/>
      <ns0:c r="V989" s="245"/>
      <ns0:c r="W989" s="245"/>
      <ns0:c r="X989" s="245"/>
      <ns0:c r="Y989" s="245"/>
      <ns0:c r="Z989" s="245"/>
    </ns0:row>
    <ns0:row r="990">
      <ns0:c r="A990" s="245"/>
      <ns0:c r="B990" s="245"/>
      <ns0:c r="C990" s="245"/>
      <ns0:c r="D990" s="245"/>
      <ns0:c r="E990" s="245"/>
      <ns0:c r="F990" s="245"/>
      <ns0:c r="G990" s="245"/>
      <ns0:c r="H990" s="245"/>
      <ns0:c r="I990" s="245"/>
      <ns0:c r="J990" s="245"/>
      <ns0:c r="K990" s="245"/>
      <ns0:c r="L990" s="245"/>
      <ns0:c r="M990" s="245"/>
      <ns0:c r="N990" s="245"/>
      <ns0:c r="O990" s="245"/>
      <ns0:c r="P990" s="245"/>
      <ns0:c r="Q990" s="245"/>
      <ns0:c r="R990" s="245"/>
      <ns0:c r="S990" s="245"/>
      <ns0:c r="T990" s="245"/>
      <ns0:c r="U990" s="245"/>
      <ns0:c r="V990" s="245"/>
      <ns0:c r="W990" s="245"/>
      <ns0:c r="X990" s="245"/>
      <ns0:c r="Y990" s="245"/>
      <ns0:c r="Z990" s="245"/>
    </ns0:row>
    <ns0:row r="991">
      <ns0:c r="A991" s="245"/>
      <ns0:c r="B991" s="245"/>
      <ns0:c r="C991" s="245"/>
      <ns0:c r="D991" s="245"/>
      <ns0:c r="E991" s="245"/>
      <ns0:c r="F991" s="245"/>
      <ns0:c r="G991" s="245"/>
      <ns0:c r="H991" s="245"/>
      <ns0:c r="I991" s="245"/>
      <ns0:c r="J991" s="245"/>
      <ns0:c r="K991" s="245"/>
      <ns0:c r="L991" s="245"/>
      <ns0:c r="M991" s="245"/>
      <ns0:c r="N991" s="245"/>
      <ns0:c r="O991" s="245"/>
      <ns0:c r="P991" s="245"/>
      <ns0:c r="Q991" s="245"/>
      <ns0:c r="R991" s="245"/>
      <ns0:c r="S991" s="245"/>
      <ns0:c r="T991" s="245"/>
      <ns0:c r="U991" s="245"/>
      <ns0:c r="V991" s="245"/>
      <ns0:c r="W991" s="245"/>
      <ns0:c r="X991" s="245"/>
      <ns0:c r="Y991" s="245"/>
      <ns0:c r="Z991" s="245"/>
    </ns0:row>
    <ns0:row r="992">
      <ns0:c r="A992" s="245"/>
      <ns0:c r="B992" s="245"/>
      <ns0:c r="C992" s="245"/>
      <ns0:c r="D992" s="245"/>
      <ns0:c r="E992" s="245"/>
      <ns0:c r="F992" s="245"/>
      <ns0:c r="G992" s="245"/>
      <ns0:c r="H992" s="245"/>
      <ns0:c r="I992" s="245"/>
      <ns0:c r="J992" s="245"/>
      <ns0:c r="K992" s="245"/>
      <ns0:c r="L992" s="245"/>
      <ns0:c r="M992" s="245"/>
      <ns0:c r="N992" s="245"/>
      <ns0:c r="O992" s="245"/>
      <ns0:c r="P992" s="245"/>
      <ns0:c r="Q992" s="245"/>
      <ns0:c r="R992" s="245"/>
      <ns0:c r="S992" s="245"/>
      <ns0:c r="T992" s="245"/>
      <ns0:c r="U992" s="245"/>
      <ns0:c r="V992" s="245"/>
      <ns0:c r="W992" s="245"/>
      <ns0:c r="X992" s="245"/>
      <ns0:c r="Y992" s="245"/>
      <ns0:c r="Z992" s="245"/>
    </ns0:row>
    <ns0:row r="993">
      <ns0:c r="A993" s="245"/>
      <ns0:c r="B993" s="245"/>
      <ns0:c r="C993" s="245"/>
      <ns0:c r="D993" s="245"/>
      <ns0:c r="E993" s="245"/>
      <ns0:c r="F993" s="245"/>
      <ns0:c r="G993" s="245"/>
      <ns0:c r="H993" s="245"/>
      <ns0:c r="I993" s="245"/>
      <ns0:c r="J993" s="245"/>
      <ns0:c r="K993" s="245"/>
      <ns0:c r="L993" s="245"/>
      <ns0:c r="M993" s="245"/>
      <ns0:c r="N993" s="245"/>
      <ns0:c r="O993" s="245"/>
      <ns0:c r="P993" s="245"/>
      <ns0:c r="Q993" s="245"/>
      <ns0:c r="R993" s="245"/>
      <ns0:c r="S993" s="245"/>
      <ns0:c r="T993" s="245"/>
      <ns0:c r="U993" s="245"/>
      <ns0:c r="V993" s="245"/>
      <ns0:c r="W993" s="245"/>
      <ns0:c r="X993" s="245"/>
      <ns0:c r="Y993" s="245"/>
      <ns0:c r="Z993" s="245"/>
    </ns0:row>
    <ns0:row r="994">
      <ns0:c r="A994" s="245"/>
      <ns0:c r="B994" s="245"/>
      <ns0:c r="C994" s="245"/>
      <ns0:c r="D994" s="245"/>
      <ns0:c r="E994" s="245"/>
      <ns0:c r="F994" s="245"/>
      <ns0:c r="G994" s="245"/>
      <ns0:c r="H994" s="245"/>
      <ns0:c r="I994" s="245"/>
      <ns0:c r="J994" s="245"/>
      <ns0:c r="K994" s="245"/>
      <ns0:c r="L994" s="245"/>
      <ns0:c r="M994" s="245"/>
      <ns0:c r="N994" s="245"/>
      <ns0:c r="O994" s="245"/>
      <ns0:c r="P994" s="245"/>
      <ns0:c r="Q994" s="245"/>
      <ns0:c r="R994" s="245"/>
      <ns0:c r="S994" s="245"/>
      <ns0:c r="T994" s="245"/>
      <ns0:c r="U994" s="245"/>
      <ns0:c r="V994" s="245"/>
      <ns0:c r="W994" s="245"/>
      <ns0:c r="X994" s="245"/>
      <ns0:c r="Y994" s="245"/>
      <ns0:c r="Z994" s="245"/>
    </ns0:row>
    <ns0:row r="995">
      <ns0:c r="A995" s="245"/>
      <ns0:c r="B995" s="245"/>
      <ns0:c r="C995" s="245"/>
      <ns0:c r="D995" s="245"/>
      <ns0:c r="E995" s="245"/>
      <ns0:c r="F995" s="245"/>
      <ns0:c r="G995" s="245"/>
      <ns0:c r="H995" s="245"/>
      <ns0:c r="I995" s="245"/>
      <ns0:c r="J995" s="245"/>
      <ns0:c r="K995" s="245"/>
      <ns0:c r="L995" s="245"/>
      <ns0:c r="M995" s="245"/>
      <ns0:c r="N995" s="245"/>
      <ns0:c r="O995" s="245"/>
      <ns0:c r="P995" s="245"/>
      <ns0:c r="Q995" s="245"/>
      <ns0:c r="R995" s="245"/>
      <ns0:c r="S995" s="245"/>
      <ns0:c r="T995" s="245"/>
      <ns0:c r="U995" s="245"/>
      <ns0:c r="V995" s="245"/>
      <ns0:c r="W995" s="245"/>
      <ns0:c r="X995" s="245"/>
      <ns0:c r="Y995" s="245"/>
      <ns0:c r="Z995" s="245"/>
    </ns0:row>
    <ns0:row r="996">
      <ns0:c r="A996" s="245"/>
      <ns0:c r="B996" s="245"/>
      <ns0:c r="C996" s="245"/>
      <ns0:c r="D996" s="245"/>
      <ns0:c r="E996" s="245"/>
      <ns0:c r="F996" s="245"/>
      <ns0:c r="G996" s="245"/>
      <ns0:c r="H996" s="245"/>
      <ns0:c r="I996" s="245"/>
      <ns0:c r="J996" s="245"/>
      <ns0:c r="K996" s="245"/>
      <ns0:c r="L996" s="245"/>
      <ns0:c r="M996" s="245"/>
      <ns0:c r="N996" s="245"/>
      <ns0:c r="O996" s="245"/>
      <ns0:c r="P996" s="245"/>
      <ns0:c r="Q996" s="245"/>
      <ns0:c r="R996" s="245"/>
      <ns0:c r="S996" s="245"/>
      <ns0:c r="T996" s="245"/>
      <ns0:c r="U996" s="245"/>
      <ns0:c r="V996" s="245"/>
      <ns0:c r="W996" s="245"/>
      <ns0:c r="X996" s="245"/>
      <ns0:c r="Y996" s="245"/>
      <ns0:c r="Z996" s="245"/>
    </ns0:row>
    <ns0:row r="997">
      <ns0:c r="A997" s="245"/>
      <ns0:c r="B997" s="245"/>
      <ns0:c r="C997" s="245"/>
      <ns0:c r="D997" s="245"/>
      <ns0:c r="E997" s="245"/>
      <ns0:c r="F997" s="245"/>
      <ns0:c r="G997" s="245"/>
      <ns0:c r="H997" s="245"/>
      <ns0:c r="I997" s="245"/>
      <ns0:c r="J997" s="245"/>
      <ns0:c r="K997" s="245"/>
      <ns0:c r="L997" s="245"/>
      <ns0:c r="M997" s="245"/>
      <ns0:c r="N997" s="245"/>
      <ns0:c r="O997" s="245"/>
      <ns0:c r="P997" s="245"/>
      <ns0:c r="Q997" s="245"/>
      <ns0:c r="R997" s="245"/>
      <ns0:c r="S997" s="245"/>
      <ns0:c r="T997" s="245"/>
      <ns0:c r="U997" s="245"/>
      <ns0:c r="V997" s="245"/>
      <ns0:c r="W997" s="245"/>
      <ns0:c r="X997" s="245"/>
      <ns0:c r="Y997" s="245"/>
      <ns0:c r="Z997" s="245"/>
    </ns0:row>
    <ns0:row r="998">
      <ns0:c r="A998" s="245"/>
      <ns0:c r="B998" s="245"/>
      <ns0:c r="C998" s="245"/>
      <ns0:c r="D998" s="245"/>
      <ns0:c r="E998" s="245"/>
      <ns0:c r="F998" s="245"/>
      <ns0:c r="G998" s="245"/>
      <ns0:c r="H998" s="245"/>
      <ns0:c r="I998" s="245"/>
      <ns0:c r="J998" s="245"/>
      <ns0:c r="K998" s="245"/>
      <ns0:c r="L998" s="245"/>
      <ns0:c r="M998" s="245"/>
      <ns0:c r="N998" s="245"/>
      <ns0:c r="O998" s="245"/>
      <ns0:c r="P998" s="245"/>
      <ns0:c r="Q998" s="245"/>
      <ns0:c r="R998" s="245"/>
      <ns0:c r="S998" s="245"/>
      <ns0:c r="T998" s="245"/>
      <ns0:c r="U998" s="245"/>
      <ns0:c r="V998" s="245"/>
      <ns0:c r="W998" s="245"/>
      <ns0:c r="X998" s="245"/>
      <ns0:c r="Y998" s="245"/>
      <ns0:c r="Z998" s="245"/>
    </ns0:row>
    <ns0:row r="999">
      <ns0:c r="A999" s="245"/>
      <ns0:c r="B999" s="245"/>
      <ns0:c r="C999" s="245"/>
      <ns0:c r="D999" s="245"/>
      <ns0:c r="E999" s="245"/>
      <ns0:c r="F999" s="245"/>
      <ns0:c r="G999" s="245"/>
      <ns0:c r="H999" s="245"/>
      <ns0:c r="I999" s="245"/>
      <ns0:c r="J999" s="245"/>
      <ns0:c r="K999" s="245"/>
      <ns0:c r="L999" s="245"/>
      <ns0:c r="M999" s="245"/>
      <ns0:c r="N999" s="245"/>
      <ns0:c r="O999" s="245"/>
      <ns0:c r="P999" s="245"/>
      <ns0:c r="Q999" s="245"/>
      <ns0:c r="R999" s="245"/>
      <ns0:c r="S999" s="245"/>
      <ns0:c r="T999" s="245"/>
      <ns0:c r="U999" s="245"/>
      <ns0:c r="V999" s="245"/>
      <ns0:c r="W999" s="245"/>
      <ns0:c r="X999" s="245"/>
      <ns0:c r="Y999" s="245"/>
      <ns0:c r="Z999" s="245"/>
    </ns0:row>
    <ns0:row r="1000">
      <ns0:c r="A1000" s="245"/>
      <ns0:c r="B1000" s="245"/>
      <ns0:c r="C1000" s="245"/>
      <ns0:c r="D1000" s="245"/>
      <ns0:c r="E1000" s="245"/>
      <ns0:c r="F1000" s="245"/>
      <ns0:c r="G1000" s="245"/>
      <ns0:c r="H1000" s="245"/>
      <ns0:c r="I1000" s="245"/>
      <ns0:c r="J1000" s="245"/>
      <ns0:c r="K1000" s="245"/>
      <ns0:c r="L1000" s="245"/>
      <ns0:c r="M1000" s="245"/>
      <ns0:c r="N1000" s="245"/>
      <ns0:c r="O1000" s="245"/>
      <ns0:c r="P1000" s="245"/>
      <ns0:c r="Q1000" s="245"/>
      <ns0:c r="R1000" s="245"/>
      <ns0:c r="S1000" s="245"/>
      <ns0:c r="T1000" s="245"/>
      <ns0:c r="U1000" s="245"/>
      <ns0:c r="V1000" s="245"/>
      <ns0:c r="W1000" s="245"/>
      <ns0:c r="X1000" s="245"/>
      <ns0:c r="Y1000" s="245"/>
      <ns0:c r="Z1000" s="245"/>
    </ns0:row>
  </ns0:sheetData>
  <ns0:mergeCells>
    <ns0:mergeCell ref="A1:Z1"/>
    <ns0:mergeCell ref="A2:Z2"/>
    <ns0:mergeCell ref="A3:M3"/>
    <ns0:mergeCell ref="N3:Z3"/>
    <ns0:mergeCell ref="A505:Z505"/>
  </ns0:mergeCells>
  <ns0:conditionalFormatting sqref="Z5:Z500">
    <ns0:cfRule type="expression" dxfId="0" priority="1">
      <ns0:formula>$U5="Profit"</ns0:formula>
    </ns0:cfRule>
    <ns0:cfRule type="expression" dxfId="1" priority="2">
      <ns0:formula>$U5="Draw"</ns0:formula>
    </ns0:cfRule>
    <ns0:cfRule type="expression" dxfId="2" priority="3">
      <ns0:formula>$U5="Free Game"</ns0:formula>
    </ns0:cfRule>
    <ns0:cfRule type="expression" dxfId="3" priority="4">
      <ns0:formula>$U5="Subscription"</ns0:formula>
    </ns0:cfRule>
    <ns0:cfRule type="expression" dxfId="4" priority="5">
      <ns0:formula>$U5="Disqualified"</ns0:formula>
    </ns0:cfRule>
  </ns0:conditionalFormatting>
  <ns0:conditionalFormatting sqref="Z5:Z504">
    <ns0:cfRule type="expression" dxfId="35" priority="11">
      <ns0:formula>$U5="Profit"</ns0:formula>
    </ns0:cfRule>
    <ns0:cfRule type="expression" dxfId="36" priority="12">
      <ns0:formula>$U5="Draw"</ns0:formula>
    </ns0:cfRule>
    <ns0:cfRule type="expression" dxfId="37" priority="13">
      <ns0:formula>OR($U5="Free Game",$U5="Disqualified — Free Game")</ns0:formula>
    </ns0:cfRule>
    <ns0:cfRule type="expression" dxfId="38" priority="14">
      <ns0:formula>$U5="Subscription"</ns0:formula>
    </ns0:cfRule>
    <ns0:cfRule type="expression" dxfId="39" priority="15">
      <ns0:formula>$U5="Disqualified"</ns0:formula>
    </ns0:cfRule>
  </ns0:conditionalFormatting>
  <ns0:dataValidations count="7">
    <ns0:dataValidation type="list" sqref="D5:D500">
      <ns0:formula1>"Estimate,Finalized,N/A"</ns0:formula1>
    </ns0:dataValidation>
    <ns0:dataValidation type="list" sqref="E5:E500">
      <ns0:formula1>"Member,Non-Member,N/A"</ns0:formula1>
    </ns0:dataValidation>
    <ns0:dataValidation type="list" sqref="L5:L500">
      <ns0:formula1>"No,Yes,N/A"</ns0:formula1>
    </ns0:dataValidation>
    <ns0:dataValidation type="list" sqref="D5:D504">
      <ns0:formula1>"Estimate,Finalized"</ns0:formula1>
    </ns0:dataValidation>
    <ns0:dataValidation type="list" sqref="E5:E504">
      <ns0:formula1>"Member,Non-Member"</ns0:formula1>
    </ns0:dataValidation>
    <ns0:dataValidation type="list" allowBlank="1" showDropDown="0" sqref="F5:F504">
      <ns0:formula1>"Cash,Points,Hybrid,Free Game — completed challenge/chips,Subscription — membership charge only"</ns0:formula1>
    </ns0:dataValidation>
    <ns0:dataValidation type="list" sqref="L5:L504">
      <ns0:formula1>"Yes,No"</ns0:formula1>
    </ns0:dataValidation>
  </ns0:dataValidations>
  <ns0:pageMargins left="0.7" right="0.7" top="0.75" bottom="0.75" header="0.3" footer="0.3"/>
  <ns0:tableParts count="1">
    <ns0:tablePart r:id="rId1"/>
  </ns0:tableParts>
</ns0:worksheet>
</file>

<file path=xl/worksheets/sheet3.xml><?xml version="1.0" encoding="utf-8"?>
<worksheet xmlns="http://schemas.openxmlformats.org/spreadsheetml/2006/main">
  <sheetViews>
    <sheetView workbookViewId="0">
      <pane ySplit="4" topLeftCell="A5" activePane="bottomLeft" state="frozen"/>
      <selection pane="bottomLeft" activeCell="A5" sqref="A5"/>
    </sheetView>
  </sheetViews>
  <sheetFormatPr defaultRowHeight="15"/>
  <cols>
    <col min="1" max="1" width="12" hidden="0" customWidth="1"/>
    <col min="2" max="2" width="18" hidden="0" customWidth="1"/>
    <col min="3" max="3" width="24" hidden="0" customWidth="1"/>
    <col min="4" max="4" width="18" hidden="0" customWidth="1"/>
    <col min="5" max="5" width="22" hidden="0" customWidth="1"/>
    <col min="6" max="6" width="30" hidden="0" customWidth="1"/>
    <col min="7" max="7" width="34" hidden="0" customWidth="1"/>
    <col min="9" max="9" width="24" hidden="0" customWidth="1"/>
    <col min="10" max="10" width="12" hidden="0" customWidth="1"/>
    <col min="8" max="8" width="2" customWidth="1" hidden="1"/>
  </cols>
  <sheetData>
    <row r="1" ht="22" hidden="0" customHeight="1">
      <c r="A1" s="961" t="str">
        <v>Record Review — Game Index and Field Review — v252</v>
      </c>
      <c r="B1" s="961"/>
      <c r="C1" s="961"/>
      <c r="D1" s="961"/>
      <c r="E1" s="961"/>
      <c r="F1" s="961"/>
      <c r="G1" s="982"/>
      <c r="H1" s="982"/>
      <c r="I1" s="104"/>
      <c r="J1" s="104"/>
    </row>
    <row r="2" ht="44" hidden="0" customHeight="1">
      <c r="A2" s="76" t="str">
        <v>Formula-driven view only — do not type or paste into Record Review. Enter or edit records in Game Records A–M. Blank rows are expected until matching non-subscription games exist. Selecting a prepared cell may show a formula in the formula bar; the worksheet cell should display its calculated result or remain blank.</v>
      </c>
      <c r="B2" s="76"/>
      <c r="C2" s="76"/>
      <c r="D2" s="76"/>
      <c r="E2" s="76"/>
      <c r="F2" s="76"/>
      <c r="G2" s="982"/>
      <c r="H2" s="982"/>
      <c r="I2" s="104"/>
      <c r="J2" s="104"/>
    </row>
    <row r="3" ht="12" hidden="0" customHeight="1">
      <c r="A3" s="476"/>
      <c r="B3" s="476"/>
      <c r="C3" s="476"/>
      <c r="D3" s="476"/>
      <c r="E3" s="476"/>
      <c r="F3" s="476"/>
      <c r="G3" s="476"/>
      <c r="H3" s="476"/>
      <c r="I3" s="104"/>
      <c r="J3" s="104"/>
    </row>
    <row r="4" ht="32" hidden="0" customHeight="1">
      <c r="A4" s="310" t="str">
        <v>Game #</v>
      </c>
      <c r="B4" s="310" t="str">
        <v>Game Records ID</v>
      </c>
      <c r="C4" s="310" t="str">
        <v>Game Name</v>
      </c>
      <c r="D4" s="310" t="str">
        <v>Calculated Result</v>
      </c>
      <c r="E4" s="310" t="str">
        <v>Review Status</v>
      </c>
      <c r="F4" s="310" t="str">
        <v>What to Review</v>
      </c>
      <c r="G4" s="310" t="str">
        <v>Notes from Game Records</v>
      </c>
      <c r="H4" s="476"/>
      <c r="I4" s="104"/>
      <c r="J4" s="104"/>
    </row>
    <row r="5" ht="24" hidden="0" customHeight="1">
      <c r="A5" s="332" t="str">
        <f>IF($H5="","",ROWS($A$5:A5))</f>
        <v/>
      </c>
      <c r="B5" s="332" t="str">
        <f>IF($H5="","","G-"&amp;TEXT($A5,"0000"))</f>
        <v/>
      </c>
      <c r="C5" s="331" t="str">
        <f>IF($H5="","",IFERROR(INDEX('Game Records'!$A:$A,$H5),""))</f>
        <v/>
      </c>
      <c r="D5" s="331" t="str">
        <f>IF($H5="","",IFERROR(INDEX('Game Records'!$U:$U,$H5),""))</f>
        <v/>
      </c>
      <c r="E5" s="331" t="str">
        <f>IF($H5="","",IF($F5="","No Highlighted Fields","Highlighted Fields Present"))</f>
        <v/>
      </c>
      <c r="F5" s="331" t="str">
        <f>IF($H5="","",IF(OR(NOT(ISFORMULA(INDEX('Game Records'!$N:$N,$H5))),NOT(ISFORMULA(INDEX('Game Records'!$O:$O,$H5))),NOT(ISFORMULA(INDEX('Game Records'!$P:$P,$H5))),NOT(ISFORMULA(INDEX('Game Records'!$Q:$Q,$H5))),NOT(ISFORMULA(INDEX('Game Records'!$R:$R,$H5))),NOT(ISFORMULA(INDEX('Game Records'!$S:$S,$H5))),NOT(ISFORMULA(INDEX('Game Records'!$T:$T,$H5))),NOT(ISFORMULA(INDEX('Game Records'!$U:$U,$H5))),NOT(ISFORMULA(INDEX('Game Records'!$V:$V,$H5))),NOT(ISFORMULA(INDEX('Game Records'!$W:$W,$H5))),NOT(ISFORMULA(INDEX('Game Records'!$X:$X,$H5))),NOT(ISFORMULA(INDEX('Game Records'!$Y:$Y,$H5))),NOT(ISFORMULA(INDEX('Game Records'!$Z:$Z,$H5)))),"Formula columns missing; ","")&amp;IF(INDEX('Game Records'!$B:$B,$H5)="","Start Date; ","")&amp;IF(INDEX('Game Records'!$C:$C,$H5)="","End Date; ","")&amp;IF(AND(INDEX('Game Records'!$U:$U,$H5)&lt;&gt;"Subscription",INDEX('Game Records'!$U:$U,$H5)&lt;&gt;"Free Game",INDEX('Game Records'!$U:$U,$H5)&lt;&gt;"Disqualified — Free Game",OR(INDEX('Game Records'!$D:$D,$H5)="",LOWER(INDEX('Game Records'!$D:$D,$H5)&amp;"")="n/a")),"Entry Mode; ","")&amp;IF(AND(INDEX('Game Records'!$U:$U,$H5)&lt;&gt;"Subscription",INDEX('Game Records'!$U:$U,$H5)&lt;&gt;"Free Game",INDEX('Game Records'!$U:$U,$H5)&lt;&gt;"Disqualified — Free Game",OR(INDEX('Game Records'!$E:$E,$H5)="",LOWER(INDEX('Game Records'!$E:$E,$H5)&amp;"")="n/a")),"Game Type; ","")&amp;IF(INDEX('Game Records'!$F:$F,$H5)="","Payment Type; ","")&amp;IF(AND(INDEX('Game Records'!$U:$U,$H5)&lt;&gt;"Subscription",INDEX('Game Records'!$U:$U,$H5)&lt;&gt;"Free Game",INDEX('Game Records'!$U:$U,$H5)&lt;&gt;"Disqualified — Free Game",INDEX('Game Records'!$G:$G,$H5)=""),"Gross Pot; ","")&amp;IF(AND(INDEX('Game Records'!$U:$U,$H5)&lt;&gt;"Free Game",INDEX('Game Records'!$U:$U,$H5)&lt;&gt;"Disqualified — Free Game",INDEX('Game Records'!$H:$H,$H5)=""),"Entry Fee; ","")&amp;IF(AND(INDEX('Game Records'!$U:$U,$H5)&lt;&gt;"Subscription",INDEX('Game Records'!$U:$U,$H5)&lt;&gt;"Free Game",INDEX('Game Records'!$U:$U,$H5)&lt;&gt;"Disqualified — Free Game",INDEX('Game Records'!$I:$I,$H5)=""),"Eligible Players; ","")&amp;IF(AND(INDEX('Game Records'!$U:$U,$H5)&lt;&gt;"Subscription",INDEX('Game Records'!$U:$U,$H5)&lt;&gt;"Free Game",INDEX('Game Records'!$U:$U,$H5)&lt;&gt;"Disqualified — Free Game",INDEX('Game Records'!$J:$J,$H5)=""),"Total Players; ","")&amp;IF(AND(LOWER(INDEX('Game Records'!$D:$D,$H5)&amp;"")="finalized",LOWER(INDEX('Game Records'!$L:$L,$H5)&amp;"")&lt;&gt;"yes",INDEX('Game Records'!$U:$U,$H5)&lt;&gt;"Subscription",INDEX('Game Records'!$U:$U,$H5)&lt;&gt;"Free Game",INDEX('Game Records'!$U:$U,$H5)&lt;&gt;"Disqualified — Free Game",INDEX('Game Records'!$K:$K,$H5)=""),"Final Earned; ","")&amp;IF(AND(LOWER(INDEX('Game Records'!$D:$D,$H5)&amp;"")="finalized",INDEX('Game Records'!$U:$U,$H5)&lt;&gt;"Subscription",INDEX('Game Records'!$U:$U,$H5)&lt;&gt;"Free Game",INDEX('Game Records'!$U:$U,$H5)&lt;&gt;"Disqualified — Free Game",OR(INDEX('Game Records'!$L:$L,$H5)="",LOWER(INDEX('Game Records'!$L:$L,$H5)&amp;"")="n/a")),"Disqualified Status; ","")&amp;IF(AND(OR(LOWER(TRIM(INDEX('Game Records'!$F:$F,$H5)&amp;""))="free game",INDEX('Game Records'!$U:$U,$H5)="Free Game",INDEX('Game Records'!$U:$U,$H5)="Disqualified — Free Game"),N(INDEX('Game Records'!$H:$H,$H5))&lt;&gt;0),"Free Game has a non-zero Entry Fee. Free Game records require a $0 Entry Fee; ",""))</f>
        <v/>
      </c>
      <c r="G5" s="331" t="str">
        <f>IF($H5="","",IFERROR(INDEX('Game Records'!$M:$M,$H5),""))</f>
        <v/>
      </c>
      <c r="H5" s="104" t="str">
        <f>IFERROR(MATCH(1,INDEX((('Game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 s="310" t="str">
        <v>Review Totals</v>
      </c>
      <c r="J5" s="310"/>
    </row>
    <row r="6" ht="24" hidden="0" customHeight="1">
      <c r="A6" s="332" t="str">
        <f>IF($H6="","",ROWS($A$5:A6))</f>
        <v/>
      </c>
      <c r="B6" s="332" t="str">
        <f>IF($H6="","","G-"&amp;TEXT($A6,"0000"))</f>
        <v/>
      </c>
      <c r="C6" s="331" t="str">
        <f>IF($H6="","",IFERROR(INDEX('Game Records'!$A:$A,$H6),""))</f>
        <v/>
      </c>
      <c r="D6" s="331" t="str">
        <f>IF($H6="","",IFERROR(INDEX('Game Records'!$U:$U,$H6),""))</f>
        <v/>
      </c>
      <c r="E6" s="331" t="str">
        <f>IF($H6="","",IF($F6="","No Highlighted Fields","Highlighted Fields Present"))</f>
        <v/>
      </c>
      <c r="F6" s="331" t="str">
        <f>IF($H6="","",IF(OR(NOT(ISFORMULA(INDEX('Game Records'!$N:$N,$H6))),NOT(ISFORMULA(INDEX('Game Records'!$O:$O,$H6))),NOT(ISFORMULA(INDEX('Game Records'!$P:$P,$H6))),NOT(ISFORMULA(INDEX('Game Records'!$Q:$Q,$H6))),NOT(ISFORMULA(INDEX('Game Records'!$R:$R,$H6))),NOT(ISFORMULA(INDEX('Game Records'!$S:$S,$H6))),NOT(ISFORMULA(INDEX('Game Records'!$T:$T,$H6))),NOT(ISFORMULA(INDEX('Game Records'!$U:$U,$H6))),NOT(ISFORMULA(INDEX('Game Records'!$V:$V,$H6))),NOT(ISFORMULA(INDEX('Game Records'!$W:$W,$H6))),NOT(ISFORMULA(INDEX('Game Records'!$X:$X,$H6))),NOT(ISFORMULA(INDEX('Game Records'!$Y:$Y,$H6))),NOT(ISFORMULA(INDEX('Game Records'!$Z:$Z,$H6)))),"Formula columns missing; ","")&amp;IF(INDEX('Game Records'!$B:$B,$H6)="","Start Date; ","")&amp;IF(INDEX('Game Records'!$C:$C,$H6)="","End Date; ","")&amp;IF(AND(INDEX('Game Records'!$U:$U,$H6)&lt;&gt;"Subscription",INDEX('Game Records'!$U:$U,$H6)&lt;&gt;"Free Game",INDEX('Game Records'!$U:$U,$H6)&lt;&gt;"Disqualified — Free Game",OR(INDEX('Game Records'!$D:$D,$H6)="",LOWER(INDEX('Game Records'!$D:$D,$H6)&amp;"")="n/a")),"Entry Mode; ","")&amp;IF(AND(INDEX('Game Records'!$U:$U,$H6)&lt;&gt;"Subscription",INDEX('Game Records'!$U:$U,$H6)&lt;&gt;"Free Game",INDEX('Game Records'!$U:$U,$H6)&lt;&gt;"Disqualified — Free Game",OR(INDEX('Game Records'!$E:$E,$H6)="",LOWER(INDEX('Game Records'!$E:$E,$H6)&amp;"")="n/a")),"Game Type; ","")&amp;IF(INDEX('Game Records'!$F:$F,$H6)="","Payment Type; ","")&amp;IF(AND(INDEX('Game Records'!$U:$U,$H6)&lt;&gt;"Subscription",INDEX('Game Records'!$U:$U,$H6)&lt;&gt;"Free Game",INDEX('Game Records'!$U:$U,$H6)&lt;&gt;"Disqualified — Free Game",INDEX('Game Records'!$G:$G,$H6)=""),"Gross Pot; ","")&amp;IF(AND(INDEX('Game Records'!$U:$U,$H6)&lt;&gt;"Free Game",INDEX('Game Records'!$U:$U,$H6)&lt;&gt;"Disqualified — Free Game",INDEX('Game Records'!$H:$H,$H6)=""),"Entry Fee; ","")&amp;IF(AND(INDEX('Game Records'!$U:$U,$H6)&lt;&gt;"Subscription",INDEX('Game Records'!$U:$U,$H6)&lt;&gt;"Free Game",INDEX('Game Records'!$U:$U,$H6)&lt;&gt;"Disqualified — Free Game",INDEX('Game Records'!$I:$I,$H6)=""),"Eligible Players; ","")&amp;IF(AND(INDEX('Game Records'!$U:$U,$H6)&lt;&gt;"Subscription",INDEX('Game Records'!$U:$U,$H6)&lt;&gt;"Free Game",INDEX('Game Records'!$U:$U,$H6)&lt;&gt;"Disqualified — Free Game",INDEX('Game Records'!$J:$J,$H6)=""),"Total Players; ","")&amp;IF(AND(LOWER(INDEX('Game Records'!$D:$D,$H6)&amp;"")="finalized",LOWER(INDEX('Game Records'!$L:$L,$H6)&amp;"")&lt;&gt;"yes",INDEX('Game Records'!$U:$U,$H6)&lt;&gt;"Subscription",INDEX('Game Records'!$U:$U,$H6)&lt;&gt;"Free Game",INDEX('Game Records'!$U:$U,$H6)&lt;&gt;"Disqualified — Free Game",INDEX('Game Records'!$K:$K,$H6)=""),"Final Earned; ","")&amp;IF(AND(LOWER(INDEX('Game Records'!$D:$D,$H6)&amp;"")="finalized",INDEX('Game Records'!$U:$U,$H6)&lt;&gt;"Subscription",INDEX('Game Records'!$U:$U,$H6)&lt;&gt;"Free Game",INDEX('Game Records'!$U:$U,$H6)&lt;&gt;"Disqualified — Free Game",OR(INDEX('Game Records'!$L:$L,$H6)="",LOWER(INDEX('Game Records'!$L:$L,$H6)&amp;"")="n/a")),"Disqualified Status; ","")&amp;IF(AND(OR(LOWER(TRIM(INDEX('Game Records'!$F:$F,$H6)&amp;""))="free game",INDEX('Game Records'!$U:$U,$H6)="Free Game",INDEX('Game Records'!$U:$U,$H6)="Disqualified — Free Game"),N(INDEX('Game Records'!$H:$H,$H6))&lt;&gt;0),"Free Game has a non-zero Entry Fee. Free Game records require a $0 Entry Fee; ",""))</f>
        <v/>
      </c>
      <c r="G6" s="331" t="str">
        <f>IF($H6="","",IFERROR(INDEX('Game Records'!$M:$M,$H6),""))</f>
        <v/>
      </c>
      <c r="H6" s="104" t="str">
        <f>IF($H5="","",IFERROR(MATCH(1,INDEX((ROW('Game Records'!$U$5:$U$504)&gt;$H5)*(('Game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 s="980" t="str">
        <v>Total Games</v>
      </c>
      <c r="J6" s="981" t="n">
        <f>COUNT($A$5:$A$504)</f>
        <v>0</v>
      </c>
    </row>
    <row r="7" ht="24" hidden="0" customHeight="1">
      <c r="A7" s="332" t="str">
        <f>IF($H7="","",ROWS($A$5:A7))</f>
        <v/>
      </c>
      <c r="B7" s="332" t="str">
        <f>IF($H7="","","G-"&amp;TEXT($A7,"0000"))</f>
        <v/>
      </c>
      <c r="C7" s="331" t="str">
        <f>IF($H7="","",IFERROR(INDEX('Game Records'!$A:$A,$H7),""))</f>
        <v/>
      </c>
      <c r="D7" s="331" t="str">
        <f>IF($H7="","",IFERROR(INDEX('Game Records'!$U:$U,$H7),""))</f>
        <v/>
      </c>
      <c r="E7" s="331" t="str">
        <f>IF($H7="","",IF($F7="","No Highlighted Fields","Highlighted Fields Present"))</f>
        <v/>
      </c>
      <c r="F7" s="331" t="str">
        <f>IF($H7="","",IF(OR(NOT(ISFORMULA(INDEX('Game Records'!$N:$N,$H7))),NOT(ISFORMULA(INDEX('Game Records'!$O:$O,$H7))),NOT(ISFORMULA(INDEX('Game Records'!$P:$P,$H7))),NOT(ISFORMULA(INDEX('Game Records'!$Q:$Q,$H7))),NOT(ISFORMULA(INDEX('Game Records'!$R:$R,$H7))),NOT(ISFORMULA(INDEX('Game Records'!$S:$S,$H7))),NOT(ISFORMULA(INDEX('Game Records'!$T:$T,$H7))),NOT(ISFORMULA(INDEX('Game Records'!$U:$U,$H7))),NOT(ISFORMULA(INDEX('Game Records'!$V:$V,$H7))),NOT(ISFORMULA(INDEX('Game Records'!$W:$W,$H7))),NOT(ISFORMULA(INDEX('Game Records'!$X:$X,$H7))),NOT(ISFORMULA(INDEX('Game Records'!$Y:$Y,$H7))),NOT(ISFORMULA(INDEX('Game Records'!$Z:$Z,$H7)))),"Formula columns missing; ","")&amp;IF(INDEX('Game Records'!$B:$B,$H7)="","Start Date; ","")&amp;IF(INDEX('Game Records'!$C:$C,$H7)="","End Date; ","")&amp;IF(AND(INDEX('Game Records'!$U:$U,$H7)&lt;&gt;"Subscription",INDEX('Game Records'!$U:$U,$H7)&lt;&gt;"Free Game",INDEX('Game Records'!$U:$U,$H7)&lt;&gt;"Disqualified — Free Game",OR(INDEX('Game Records'!$D:$D,$H7)="",LOWER(INDEX('Game Records'!$D:$D,$H7)&amp;"")="n/a")),"Entry Mode; ","")&amp;IF(AND(INDEX('Game Records'!$U:$U,$H7)&lt;&gt;"Subscription",INDEX('Game Records'!$U:$U,$H7)&lt;&gt;"Free Game",INDEX('Game Records'!$U:$U,$H7)&lt;&gt;"Disqualified — Free Game",OR(INDEX('Game Records'!$E:$E,$H7)="",LOWER(INDEX('Game Records'!$E:$E,$H7)&amp;"")="n/a")),"Game Type; ","")&amp;IF(INDEX('Game Records'!$F:$F,$H7)="","Payment Type; ","")&amp;IF(AND(INDEX('Game Records'!$U:$U,$H7)&lt;&gt;"Subscription",INDEX('Game Records'!$U:$U,$H7)&lt;&gt;"Free Game",INDEX('Game Records'!$U:$U,$H7)&lt;&gt;"Disqualified — Free Game",INDEX('Game Records'!$G:$G,$H7)=""),"Gross Pot; ","")&amp;IF(AND(INDEX('Game Records'!$U:$U,$H7)&lt;&gt;"Free Game",INDEX('Game Records'!$U:$U,$H7)&lt;&gt;"Disqualified — Free Game",INDEX('Game Records'!$H:$H,$H7)=""),"Entry Fee; ","")&amp;IF(AND(INDEX('Game Records'!$U:$U,$H7)&lt;&gt;"Subscription",INDEX('Game Records'!$U:$U,$H7)&lt;&gt;"Free Game",INDEX('Game Records'!$U:$U,$H7)&lt;&gt;"Disqualified — Free Game",INDEX('Game Records'!$I:$I,$H7)=""),"Eligible Players; ","")&amp;IF(AND(INDEX('Game Records'!$U:$U,$H7)&lt;&gt;"Subscription",INDEX('Game Records'!$U:$U,$H7)&lt;&gt;"Free Game",INDEX('Game Records'!$U:$U,$H7)&lt;&gt;"Disqualified — Free Game",INDEX('Game Records'!$J:$J,$H7)=""),"Total Players; ","")&amp;IF(AND(LOWER(INDEX('Game Records'!$D:$D,$H7)&amp;"")="finalized",LOWER(INDEX('Game Records'!$L:$L,$H7)&amp;"")&lt;&gt;"yes",INDEX('Game Records'!$U:$U,$H7)&lt;&gt;"Subscription",INDEX('Game Records'!$U:$U,$H7)&lt;&gt;"Free Game",INDEX('Game Records'!$U:$U,$H7)&lt;&gt;"Disqualified — Free Game",INDEX('Game Records'!$K:$K,$H7)=""),"Final Earned; ","")&amp;IF(AND(LOWER(INDEX('Game Records'!$D:$D,$H7)&amp;"")="finalized",INDEX('Game Records'!$U:$U,$H7)&lt;&gt;"Subscription",INDEX('Game Records'!$U:$U,$H7)&lt;&gt;"Free Game",INDEX('Game Records'!$U:$U,$H7)&lt;&gt;"Disqualified — Free Game",OR(INDEX('Game Records'!$L:$L,$H7)="",LOWER(INDEX('Game Records'!$L:$L,$H7)&amp;"")="n/a")),"Disqualified Status; ","")&amp;IF(AND(OR(LOWER(TRIM(INDEX('Game Records'!$F:$F,$H7)&amp;""))="free game",INDEX('Game Records'!$U:$U,$H7)="Free Game",INDEX('Game Records'!$U:$U,$H7)="Disqualified — Free Game"),N(INDEX('Game Records'!$H:$H,$H7))&lt;&gt;0),"Free Game has a non-zero Entry Fee. Free Game records require a $0 Entry Fee; ",""))</f>
        <v/>
      </c>
      <c r="G7" s="331" t="str">
        <f>IF($H7="","",IFERROR(INDEX('Game Records'!$M:$M,$H7),""))</f>
        <v/>
      </c>
      <c r="H7" s="104" t="str">
        <f>IF($H6="","",IFERROR(MATCH(1,INDEX((ROW('Game Records'!$U$5:$U$504)&gt;$H6)*(('Game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 s="980" t="str">
        <v>Profit Games</v>
      </c>
      <c r="J7" s="981" t="n">
        <f>COUNTIF('Game Records'!$U$5:$U$504,"Profit")</f>
        <v>0</v>
      </c>
    </row>
    <row r="8" ht="24" hidden="0" customHeight="1">
      <c r="A8" s="332" t="str">
        <f>IF($H8="","",ROWS($A$5:A8))</f>
        <v/>
      </c>
      <c r="B8" s="332" t="str">
        <f>IF($H8="","","G-"&amp;TEXT($A8,"0000"))</f>
        <v/>
      </c>
      <c r="C8" s="331" t="str">
        <f>IF($H8="","",IFERROR(INDEX('Game Records'!$A:$A,$H8),""))</f>
        <v/>
      </c>
      <c r="D8" s="331" t="str">
        <f>IF($H8="","",IFERROR(INDEX('Game Records'!$U:$U,$H8),""))</f>
        <v/>
      </c>
      <c r="E8" s="331" t="str">
        <f>IF($H8="","",IF($F8="","No Highlighted Fields","Highlighted Fields Present"))</f>
        <v/>
      </c>
      <c r="F8" s="331" t="str">
        <f>IF($H8="","",IF(OR(NOT(ISFORMULA(INDEX('Game Records'!$N:$N,$H8))),NOT(ISFORMULA(INDEX('Game Records'!$O:$O,$H8))),NOT(ISFORMULA(INDEX('Game Records'!$P:$P,$H8))),NOT(ISFORMULA(INDEX('Game Records'!$Q:$Q,$H8))),NOT(ISFORMULA(INDEX('Game Records'!$R:$R,$H8))),NOT(ISFORMULA(INDEX('Game Records'!$S:$S,$H8))),NOT(ISFORMULA(INDEX('Game Records'!$T:$T,$H8))),NOT(ISFORMULA(INDEX('Game Records'!$U:$U,$H8))),NOT(ISFORMULA(INDEX('Game Records'!$V:$V,$H8))),NOT(ISFORMULA(INDEX('Game Records'!$W:$W,$H8))),NOT(ISFORMULA(INDEX('Game Records'!$X:$X,$H8))),NOT(ISFORMULA(INDEX('Game Records'!$Y:$Y,$H8))),NOT(ISFORMULA(INDEX('Game Records'!$Z:$Z,$H8)))),"Formula columns missing; ","")&amp;IF(INDEX('Game Records'!$B:$B,$H8)="","Start Date; ","")&amp;IF(INDEX('Game Records'!$C:$C,$H8)="","End Date; ","")&amp;IF(AND(INDEX('Game Records'!$U:$U,$H8)&lt;&gt;"Subscription",INDEX('Game Records'!$U:$U,$H8)&lt;&gt;"Free Game",INDEX('Game Records'!$U:$U,$H8)&lt;&gt;"Disqualified — Free Game",OR(INDEX('Game Records'!$D:$D,$H8)="",LOWER(INDEX('Game Records'!$D:$D,$H8)&amp;"")="n/a")),"Entry Mode; ","")&amp;IF(AND(INDEX('Game Records'!$U:$U,$H8)&lt;&gt;"Subscription",INDEX('Game Records'!$U:$U,$H8)&lt;&gt;"Free Game",INDEX('Game Records'!$U:$U,$H8)&lt;&gt;"Disqualified — Free Game",OR(INDEX('Game Records'!$E:$E,$H8)="",LOWER(INDEX('Game Records'!$E:$E,$H8)&amp;"")="n/a")),"Game Type; ","")&amp;IF(INDEX('Game Records'!$F:$F,$H8)="","Payment Type; ","")&amp;IF(AND(INDEX('Game Records'!$U:$U,$H8)&lt;&gt;"Subscription",INDEX('Game Records'!$U:$U,$H8)&lt;&gt;"Free Game",INDEX('Game Records'!$U:$U,$H8)&lt;&gt;"Disqualified — Free Game",INDEX('Game Records'!$G:$G,$H8)=""),"Gross Pot; ","")&amp;IF(AND(INDEX('Game Records'!$U:$U,$H8)&lt;&gt;"Free Game",INDEX('Game Records'!$U:$U,$H8)&lt;&gt;"Disqualified — Free Game",INDEX('Game Records'!$H:$H,$H8)=""),"Entry Fee; ","")&amp;IF(AND(INDEX('Game Records'!$U:$U,$H8)&lt;&gt;"Subscription",INDEX('Game Records'!$U:$U,$H8)&lt;&gt;"Free Game",INDEX('Game Records'!$U:$U,$H8)&lt;&gt;"Disqualified — Free Game",INDEX('Game Records'!$I:$I,$H8)=""),"Eligible Players; ","")&amp;IF(AND(INDEX('Game Records'!$U:$U,$H8)&lt;&gt;"Subscription",INDEX('Game Records'!$U:$U,$H8)&lt;&gt;"Free Game",INDEX('Game Records'!$U:$U,$H8)&lt;&gt;"Disqualified — Free Game",INDEX('Game Records'!$J:$J,$H8)=""),"Total Players; ","")&amp;IF(AND(LOWER(INDEX('Game Records'!$D:$D,$H8)&amp;"")="finalized",LOWER(INDEX('Game Records'!$L:$L,$H8)&amp;"")&lt;&gt;"yes",INDEX('Game Records'!$U:$U,$H8)&lt;&gt;"Subscription",INDEX('Game Records'!$U:$U,$H8)&lt;&gt;"Free Game",INDEX('Game Records'!$U:$U,$H8)&lt;&gt;"Disqualified — Free Game",INDEX('Game Records'!$K:$K,$H8)=""),"Final Earned; ","")&amp;IF(AND(LOWER(INDEX('Game Records'!$D:$D,$H8)&amp;"")="finalized",INDEX('Game Records'!$U:$U,$H8)&lt;&gt;"Subscription",INDEX('Game Records'!$U:$U,$H8)&lt;&gt;"Free Game",INDEX('Game Records'!$U:$U,$H8)&lt;&gt;"Disqualified — Free Game",OR(INDEX('Game Records'!$L:$L,$H8)="",LOWER(INDEX('Game Records'!$L:$L,$H8)&amp;"")="n/a")),"Disqualified Status; ","")&amp;IF(AND(OR(LOWER(TRIM(INDEX('Game Records'!$F:$F,$H8)&amp;""))="free game",INDEX('Game Records'!$U:$U,$H8)="Free Game",INDEX('Game Records'!$U:$U,$H8)="Disqualified — Free Game"),N(INDEX('Game Records'!$H:$H,$H8))&lt;&gt;0),"Free Game has a non-zero Entry Fee. Free Game records require a $0 Entry Fee; ",""))</f>
        <v/>
      </c>
      <c r="G8" s="331" t="str">
        <f>IF($H8="","",IFERROR(INDEX('Game Records'!$M:$M,$H8),""))</f>
        <v/>
      </c>
      <c r="H8" s="104" t="str">
        <f>IF($H7="","",IFERROR(MATCH(1,INDEX((ROW('Game Records'!$U$5:$U$504)&gt;$H7)*(('Game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 s="980" t="str">
        <v>Draw Games</v>
      </c>
      <c r="J8" s="981" t="n">
        <f>COUNTIF('Game Records'!$U$5:$U$504,"Draw")</f>
        <v>0</v>
      </c>
    </row>
    <row r="9" ht="24" hidden="0" customHeight="1">
      <c r="A9" s="332" t="str">
        <f>IF($H9="","",ROWS($A$5:A9))</f>
        <v/>
      </c>
      <c r="B9" s="332" t="str">
        <f>IF($H9="","","G-"&amp;TEXT($A9,"0000"))</f>
        <v/>
      </c>
      <c r="C9" s="331" t="str">
        <f>IF($H9="","",IFERROR(INDEX('Game Records'!$A:$A,$H9),""))</f>
        <v/>
      </c>
      <c r="D9" s="331" t="str">
        <f>IF($H9="","",IFERROR(INDEX('Game Records'!$U:$U,$H9),""))</f>
        <v/>
      </c>
      <c r="E9" s="331" t="str">
        <f>IF($H9="","",IF($F9="","No Highlighted Fields","Highlighted Fields Present"))</f>
        <v/>
      </c>
      <c r="F9" s="331" t="str">
        <f>IF($H9="","",IF(OR(NOT(ISFORMULA(INDEX('Game Records'!$N:$N,$H9))),NOT(ISFORMULA(INDEX('Game Records'!$O:$O,$H9))),NOT(ISFORMULA(INDEX('Game Records'!$P:$P,$H9))),NOT(ISFORMULA(INDEX('Game Records'!$Q:$Q,$H9))),NOT(ISFORMULA(INDEX('Game Records'!$R:$R,$H9))),NOT(ISFORMULA(INDEX('Game Records'!$S:$S,$H9))),NOT(ISFORMULA(INDEX('Game Records'!$T:$T,$H9))),NOT(ISFORMULA(INDEX('Game Records'!$U:$U,$H9))),NOT(ISFORMULA(INDEX('Game Records'!$V:$V,$H9))),NOT(ISFORMULA(INDEX('Game Records'!$W:$W,$H9))),NOT(ISFORMULA(INDEX('Game Records'!$X:$X,$H9))),NOT(ISFORMULA(INDEX('Game Records'!$Y:$Y,$H9))),NOT(ISFORMULA(INDEX('Game Records'!$Z:$Z,$H9)))),"Formula columns missing; ","")&amp;IF(INDEX('Game Records'!$B:$B,$H9)="","Start Date; ","")&amp;IF(INDEX('Game Records'!$C:$C,$H9)="","End Date; ","")&amp;IF(AND(INDEX('Game Records'!$U:$U,$H9)&lt;&gt;"Subscription",INDEX('Game Records'!$U:$U,$H9)&lt;&gt;"Free Game",INDEX('Game Records'!$U:$U,$H9)&lt;&gt;"Disqualified — Free Game",OR(INDEX('Game Records'!$D:$D,$H9)="",LOWER(INDEX('Game Records'!$D:$D,$H9)&amp;"")="n/a")),"Entry Mode; ","")&amp;IF(AND(INDEX('Game Records'!$U:$U,$H9)&lt;&gt;"Subscription",INDEX('Game Records'!$U:$U,$H9)&lt;&gt;"Free Game",INDEX('Game Records'!$U:$U,$H9)&lt;&gt;"Disqualified — Free Game",OR(INDEX('Game Records'!$E:$E,$H9)="",LOWER(INDEX('Game Records'!$E:$E,$H9)&amp;"")="n/a")),"Game Type; ","")&amp;IF(INDEX('Game Records'!$F:$F,$H9)="","Payment Type; ","")&amp;IF(AND(INDEX('Game Records'!$U:$U,$H9)&lt;&gt;"Subscription",INDEX('Game Records'!$U:$U,$H9)&lt;&gt;"Free Game",INDEX('Game Records'!$U:$U,$H9)&lt;&gt;"Disqualified — Free Game",INDEX('Game Records'!$G:$G,$H9)=""),"Gross Pot; ","")&amp;IF(AND(INDEX('Game Records'!$U:$U,$H9)&lt;&gt;"Free Game",INDEX('Game Records'!$U:$U,$H9)&lt;&gt;"Disqualified — Free Game",INDEX('Game Records'!$H:$H,$H9)=""),"Entry Fee; ","")&amp;IF(AND(INDEX('Game Records'!$U:$U,$H9)&lt;&gt;"Subscription",INDEX('Game Records'!$U:$U,$H9)&lt;&gt;"Free Game",INDEX('Game Records'!$U:$U,$H9)&lt;&gt;"Disqualified — Free Game",INDEX('Game Records'!$I:$I,$H9)=""),"Eligible Players; ","")&amp;IF(AND(INDEX('Game Records'!$U:$U,$H9)&lt;&gt;"Subscription",INDEX('Game Records'!$U:$U,$H9)&lt;&gt;"Free Game",INDEX('Game Records'!$U:$U,$H9)&lt;&gt;"Disqualified — Free Game",INDEX('Game Records'!$J:$J,$H9)=""),"Total Players; ","")&amp;IF(AND(LOWER(INDEX('Game Records'!$D:$D,$H9)&amp;"")="finalized",LOWER(INDEX('Game Records'!$L:$L,$H9)&amp;"")&lt;&gt;"yes",INDEX('Game Records'!$U:$U,$H9)&lt;&gt;"Subscription",INDEX('Game Records'!$U:$U,$H9)&lt;&gt;"Free Game",INDEX('Game Records'!$U:$U,$H9)&lt;&gt;"Disqualified — Free Game",INDEX('Game Records'!$K:$K,$H9)=""),"Final Earned; ","")&amp;IF(AND(LOWER(INDEX('Game Records'!$D:$D,$H9)&amp;"")="finalized",INDEX('Game Records'!$U:$U,$H9)&lt;&gt;"Subscription",INDEX('Game Records'!$U:$U,$H9)&lt;&gt;"Free Game",INDEX('Game Records'!$U:$U,$H9)&lt;&gt;"Disqualified — Free Game",OR(INDEX('Game Records'!$L:$L,$H9)="",LOWER(INDEX('Game Records'!$L:$L,$H9)&amp;"")="n/a")),"Disqualified Status; ","")&amp;IF(AND(OR(LOWER(TRIM(INDEX('Game Records'!$F:$F,$H9)&amp;""))="free game",INDEX('Game Records'!$U:$U,$H9)="Free Game",INDEX('Game Records'!$U:$U,$H9)="Disqualified — Free Game"),N(INDEX('Game Records'!$H:$H,$H9))&lt;&gt;0),"Free Game has a non-zero Entry Fee. Free Game records require a $0 Entry Fee; ",""))</f>
        <v/>
      </c>
      <c r="G9" s="331" t="str">
        <f>IF($H9="","",IFERROR(INDEX('Game Records'!$M:$M,$H9),""))</f>
        <v/>
      </c>
      <c r="H9" s="104" t="str">
        <f>IF($H8="","",IFERROR(MATCH(1,INDEX((ROW('Game Records'!$U$5:$U$504)&gt;$H8)*(('Game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 s="980" t="str">
        <v>Disqualified Games</v>
      </c>
      <c r="J9" s="981" t="n">
        <f>COUNTIF('Game Records'!$U$5:$U$504,"Disqualified")</f>
        <v>0</v>
      </c>
    </row>
    <row r="10" ht="24" hidden="0" customHeight="1">
      <c r="A10" s="332" t="str">
        <f>IF($H10="","",ROWS($A$5:A10))</f>
        <v/>
      </c>
      <c r="B10" s="332" t="str">
        <f>IF($H10="","","G-"&amp;TEXT($A10,"0000"))</f>
        <v/>
      </c>
      <c r="C10" s="331" t="str">
        <f>IF($H10="","",IFERROR(INDEX('Game Records'!$A:$A,$H10),""))</f>
        <v/>
      </c>
      <c r="D10" s="331" t="str">
        <f>IF($H10="","",IFERROR(INDEX('Game Records'!$U:$U,$H10),""))</f>
        <v/>
      </c>
      <c r="E10" s="331" t="str">
        <f>IF($H10="","",IF($F10="","No Highlighted Fields","Highlighted Fields Present"))</f>
        <v/>
      </c>
      <c r="F10" s="331" t="str">
        <f>IF($H10="","",IF(OR(NOT(ISFORMULA(INDEX('Game Records'!$N:$N,$H10))),NOT(ISFORMULA(INDEX('Game Records'!$O:$O,$H10))),NOT(ISFORMULA(INDEX('Game Records'!$P:$P,$H10))),NOT(ISFORMULA(INDEX('Game Records'!$Q:$Q,$H10))),NOT(ISFORMULA(INDEX('Game Records'!$R:$R,$H10))),NOT(ISFORMULA(INDEX('Game Records'!$S:$S,$H10))),NOT(ISFORMULA(INDEX('Game Records'!$T:$T,$H10))),NOT(ISFORMULA(INDEX('Game Records'!$U:$U,$H10))),NOT(ISFORMULA(INDEX('Game Records'!$V:$V,$H10))),NOT(ISFORMULA(INDEX('Game Records'!$W:$W,$H10))),NOT(ISFORMULA(INDEX('Game Records'!$X:$X,$H10))),NOT(ISFORMULA(INDEX('Game Records'!$Y:$Y,$H10))),NOT(ISFORMULA(INDEX('Game Records'!$Z:$Z,$H10)))),"Formula columns missing; ","")&amp;IF(INDEX('Game Records'!$B:$B,$H10)="","Start Date; ","")&amp;IF(INDEX('Game Records'!$C:$C,$H10)="","End Date; ","")&amp;IF(AND(INDEX('Game Records'!$U:$U,$H10)&lt;&gt;"Subscription",INDEX('Game Records'!$U:$U,$H10)&lt;&gt;"Free Game",INDEX('Game Records'!$U:$U,$H10)&lt;&gt;"Disqualified — Free Game",OR(INDEX('Game Records'!$D:$D,$H10)="",LOWER(INDEX('Game Records'!$D:$D,$H10)&amp;"")="n/a")),"Entry Mode; ","")&amp;IF(AND(INDEX('Game Records'!$U:$U,$H10)&lt;&gt;"Subscription",INDEX('Game Records'!$U:$U,$H10)&lt;&gt;"Free Game",INDEX('Game Records'!$U:$U,$H10)&lt;&gt;"Disqualified — Free Game",OR(INDEX('Game Records'!$E:$E,$H10)="",LOWER(INDEX('Game Records'!$E:$E,$H10)&amp;"")="n/a")),"Game Type; ","")&amp;IF(INDEX('Game Records'!$F:$F,$H10)="","Payment Type; ","")&amp;IF(AND(INDEX('Game Records'!$U:$U,$H10)&lt;&gt;"Subscription",INDEX('Game Records'!$U:$U,$H10)&lt;&gt;"Free Game",INDEX('Game Records'!$U:$U,$H10)&lt;&gt;"Disqualified — Free Game",INDEX('Game Records'!$G:$G,$H10)=""),"Gross Pot; ","")&amp;IF(AND(INDEX('Game Records'!$U:$U,$H10)&lt;&gt;"Free Game",INDEX('Game Records'!$U:$U,$H10)&lt;&gt;"Disqualified — Free Game",INDEX('Game Records'!$H:$H,$H10)=""),"Entry Fee; ","")&amp;IF(AND(INDEX('Game Records'!$U:$U,$H10)&lt;&gt;"Subscription",INDEX('Game Records'!$U:$U,$H10)&lt;&gt;"Free Game",INDEX('Game Records'!$U:$U,$H10)&lt;&gt;"Disqualified — Free Game",INDEX('Game Records'!$I:$I,$H10)=""),"Eligible Players; ","")&amp;IF(AND(INDEX('Game Records'!$U:$U,$H10)&lt;&gt;"Subscription",INDEX('Game Records'!$U:$U,$H10)&lt;&gt;"Free Game",INDEX('Game Records'!$U:$U,$H10)&lt;&gt;"Disqualified — Free Game",INDEX('Game Records'!$J:$J,$H10)=""),"Total Players; ","")&amp;IF(AND(LOWER(INDEX('Game Records'!$D:$D,$H10)&amp;"")="finalized",LOWER(INDEX('Game Records'!$L:$L,$H10)&amp;"")&lt;&gt;"yes",INDEX('Game Records'!$U:$U,$H10)&lt;&gt;"Subscription",INDEX('Game Records'!$U:$U,$H10)&lt;&gt;"Free Game",INDEX('Game Records'!$U:$U,$H10)&lt;&gt;"Disqualified — Free Game",INDEX('Game Records'!$K:$K,$H10)=""),"Final Earned; ","")&amp;IF(AND(LOWER(INDEX('Game Records'!$D:$D,$H10)&amp;"")="finalized",INDEX('Game Records'!$U:$U,$H10)&lt;&gt;"Subscription",INDEX('Game Records'!$U:$U,$H10)&lt;&gt;"Free Game",INDEX('Game Records'!$U:$U,$H10)&lt;&gt;"Disqualified — Free Game",OR(INDEX('Game Records'!$L:$L,$H10)="",LOWER(INDEX('Game Records'!$L:$L,$H10)&amp;"")="n/a")),"Disqualified Status; ","")&amp;IF(AND(OR(LOWER(TRIM(INDEX('Game Records'!$F:$F,$H10)&amp;""))="free game",INDEX('Game Records'!$U:$U,$H10)="Free Game",INDEX('Game Records'!$U:$U,$H10)="Disqualified — Free Game"),N(INDEX('Game Records'!$H:$H,$H10))&lt;&gt;0),"Free Game has a non-zero Entry Fee. Free Game records require a $0 Entry Fee; ",""))</f>
        <v/>
      </c>
      <c r="G10" s="331" t="str">
        <f>IF($H10="","",IFERROR(INDEX('Game Records'!$M:$M,$H10),""))</f>
        <v/>
      </c>
      <c r="H10" s="104" t="str">
        <f>IF($H9="","",IFERROR(MATCH(1,INDEX((ROW('Game Records'!$U$5:$U$504)&gt;$H9)*(('Game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 s="980" t="str">
        <v>Free Games</v>
      </c>
      <c r="J10" s="981" t="n">
        <f>COUNTIF('Game Records'!$U$5:$U$504,"Free Game")+COUNTIF('Game Records'!$U$5:$U$504,"Disqualified — Free Game")</f>
        <v>0</v>
      </c>
    </row>
    <row r="11" ht="24" hidden="0" customHeight="1">
      <c r="A11" s="332" t="str">
        <f>IF($H11="","",ROWS($A$5:A11))</f>
        <v/>
      </c>
      <c r="B11" s="332" t="str">
        <f>IF($H11="","","G-"&amp;TEXT($A11,"0000"))</f>
        <v/>
      </c>
      <c r="C11" s="331" t="str">
        <f>IF($H11="","",IFERROR(INDEX('Game Records'!$A:$A,$H11),""))</f>
        <v/>
      </c>
      <c r="D11" s="331" t="str">
        <f>IF($H11="","",IFERROR(INDEX('Game Records'!$U:$U,$H11),""))</f>
        <v/>
      </c>
      <c r="E11" s="331" t="str">
        <f>IF($H11="","",IF($F11="","No Highlighted Fields","Highlighted Fields Present"))</f>
        <v/>
      </c>
      <c r="F11" s="331" t="str">
        <f>IF($H11="","",IF(OR(NOT(ISFORMULA(INDEX('Game Records'!$N:$N,$H11))),NOT(ISFORMULA(INDEX('Game Records'!$O:$O,$H11))),NOT(ISFORMULA(INDEX('Game Records'!$P:$P,$H11))),NOT(ISFORMULA(INDEX('Game Records'!$Q:$Q,$H11))),NOT(ISFORMULA(INDEX('Game Records'!$R:$R,$H11))),NOT(ISFORMULA(INDEX('Game Records'!$S:$S,$H11))),NOT(ISFORMULA(INDEX('Game Records'!$T:$T,$H11))),NOT(ISFORMULA(INDEX('Game Records'!$U:$U,$H11))),NOT(ISFORMULA(INDEX('Game Records'!$V:$V,$H11))),NOT(ISFORMULA(INDEX('Game Records'!$W:$W,$H11))),NOT(ISFORMULA(INDEX('Game Records'!$X:$X,$H11))),NOT(ISFORMULA(INDEX('Game Records'!$Y:$Y,$H11))),NOT(ISFORMULA(INDEX('Game Records'!$Z:$Z,$H11)))),"Formula columns missing; ","")&amp;IF(INDEX('Game Records'!$B:$B,$H11)="","Start Date; ","")&amp;IF(INDEX('Game Records'!$C:$C,$H11)="","End Date; ","")&amp;IF(AND(INDEX('Game Records'!$U:$U,$H11)&lt;&gt;"Subscription",INDEX('Game Records'!$U:$U,$H11)&lt;&gt;"Free Game",INDEX('Game Records'!$U:$U,$H11)&lt;&gt;"Disqualified — Free Game",OR(INDEX('Game Records'!$D:$D,$H11)="",LOWER(INDEX('Game Records'!$D:$D,$H11)&amp;"")="n/a")),"Entry Mode; ","")&amp;IF(AND(INDEX('Game Records'!$U:$U,$H11)&lt;&gt;"Subscription",INDEX('Game Records'!$U:$U,$H11)&lt;&gt;"Free Game",INDEX('Game Records'!$U:$U,$H11)&lt;&gt;"Disqualified — Free Game",OR(INDEX('Game Records'!$E:$E,$H11)="",LOWER(INDEX('Game Records'!$E:$E,$H11)&amp;"")="n/a")),"Game Type; ","")&amp;IF(INDEX('Game Records'!$F:$F,$H11)="","Payment Type; ","")&amp;IF(AND(INDEX('Game Records'!$U:$U,$H11)&lt;&gt;"Subscription",INDEX('Game Records'!$U:$U,$H11)&lt;&gt;"Free Game",INDEX('Game Records'!$U:$U,$H11)&lt;&gt;"Disqualified — Free Game",INDEX('Game Records'!$G:$G,$H11)=""),"Gross Pot; ","")&amp;IF(AND(INDEX('Game Records'!$U:$U,$H11)&lt;&gt;"Free Game",INDEX('Game Records'!$U:$U,$H11)&lt;&gt;"Disqualified — Free Game",INDEX('Game Records'!$H:$H,$H11)=""),"Entry Fee; ","")&amp;IF(AND(INDEX('Game Records'!$U:$U,$H11)&lt;&gt;"Subscription",INDEX('Game Records'!$U:$U,$H11)&lt;&gt;"Free Game",INDEX('Game Records'!$U:$U,$H11)&lt;&gt;"Disqualified — Free Game",INDEX('Game Records'!$I:$I,$H11)=""),"Eligible Players; ","")&amp;IF(AND(INDEX('Game Records'!$U:$U,$H11)&lt;&gt;"Subscription",INDEX('Game Records'!$U:$U,$H11)&lt;&gt;"Free Game",INDEX('Game Records'!$U:$U,$H11)&lt;&gt;"Disqualified — Free Game",INDEX('Game Records'!$J:$J,$H11)=""),"Total Players; ","")&amp;IF(AND(LOWER(INDEX('Game Records'!$D:$D,$H11)&amp;"")="finalized",LOWER(INDEX('Game Records'!$L:$L,$H11)&amp;"")&lt;&gt;"yes",INDEX('Game Records'!$U:$U,$H11)&lt;&gt;"Subscription",INDEX('Game Records'!$U:$U,$H11)&lt;&gt;"Free Game",INDEX('Game Records'!$U:$U,$H11)&lt;&gt;"Disqualified — Free Game",INDEX('Game Records'!$K:$K,$H11)=""),"Final Earned; ","")&amp;IF(AND(LOWER(INDEX('Game Records'!$D:$D,$H11)&amp;"")="finalized",INDEX('Game Records'!$U:$U,$H11)&lt;&gt;"Subscription",INDEX('Game Records'!$U:$U,$H11)&lt;&gt;"Free Game",INDEX('Game Records'!$U:$U,$H11)&lt;&gt;"Disqualified — Free Game",OR(INDEX('Game Records'!$L:$L,$H11)="",LOWER(INDEX('Game Records'!$L:$L,$H11)&amp;"")="n/a")),"Disqualified Status; ","")&amp;IF(AND(OR(LOWER(TRIM(INDEX('Game Records'!$F:$F,$H11)&amp;""))="free game",INDEX('Game Records'!$U:$U,$H11)="Free Game",INDEX('Game Records'!$U:$U,$H11)="Disqualified — Free Game"),N(INDEX('Game Records'!$H:$H,$H11))&lt;&gt;0),"Free Game has a non-zero Entry Fee. Free Game records require a $0 Entry Fee; ",""))</f>
        <v/>
      </c>
      <c r="G11" s="331" t="str">
        <f>IF($H11="","",IFERROR(INDEX('Game Records'!$M:$M,$H11),""))</f>
        <v/>
      </c>
      <c r="H11" s="104" t="str">
        <f>IF($H10="","",IFERROR(MATCH(1,INDEX((ROW('Game Records'!$U$5:$U$504)&gt;$H10)*(('Game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 s="980" t="str">
        <v>Points Games</v>
      </c>
      <c r="J11" s="981" t="n">
        <f>COUNTIF('Game Records'!$F$5:$F$504,"Points")</f>
        <v>0</v>
      </c>
    </row>
    <row r="12" ht="24" hidden="0" customHeight="1">
      <c r="A12" s="332" t="str">
        <f>IF($H12="","",ROWS($A$5:A12))</f>
        <v/>
      </c>
      <c r="B12" s="332" t="str">
        <f>IF($H12="","","G-"&amp;TEXT($A12,"0000"))</f>
        <v/>
      </c>
      <c r="C12" s="331" t="str">
        <f>IF($H12="","",IFERROR(INDEX('Game Records'!$A:$A,$H12),""))</f>
        <v/>
      </c>
      <c r="D12" s="331" t="str">
        <f>IF($H12="","",IFERROR(INDEX('Game Records'!$U:$U,$H12),""))</f>
        <v/>
      </c>
      <c r="E12" s="331" t="str">
        <f>IF($H12="","",IF($F12="","No Highlighted Fields","Highlighted Fields Present"))</f>
        <v/>
      </c>
      <c r="F12" s="331" t="str">
        <f>IF($H12="","",IF(OR(NOT(ISFORMULA(INDEX('Game Records'!$N:$N,$H12))),NOT(ISFORMULA(INDEX('Game Records'!$O:$O,$H12))),NOT(ISFORMULA(INDEX('Game Records'!$P:$P,$H12))),NOT(ISFORMULA(INDEX('Game Records'!$Q:$Q,$H12))),NOT(ISFORMULA(INDEX('Game Records'!$R:$R,$H12))),NOT(ISFORMULA(INDEX('Game Records'!$S:$S,$H12))),NOT(ISFORMULA(INDEX('Game Records'!$T:$T,$H12))),NOT(ISFORMULA(INDEX('Game Records'!$U:$U,$H12))),NOT(ISFORMULA(INDEX('Game Records'!$V:$V,$H12))),NOT(ISFORMULA(INDEX('Game Records'!$W:$W,$H12))),NOT(ISFORMULA(INDEX('Game Records'!$X:$X,$H12))),NOT(ISFORMULA(INDEX('Game Records'!$Y:$Y,$H12))),NOT(ISFORMULA(INDEX('Game Records'!$Z:$Z,$H12)))),"Formula columns missing; ","")&amp;IF(INDEX('Game Records'!$B:$B,$H12)="","Start Date; ","")&amp;IF(INDEX('Game Records'!$C:$C,$H12)="","End Date; ","")&amp;IF(AND(INDEX('Game Records'!$U:$U,$H12)&lt;&gt;"Subscription",INDEX('Game Records'!$U:$U,$H12)&lt;&gt;"Free Game",INDEX('Game Records'!$U:$U,$H12)&lt;&gt;"Disqualified — Free Game",OR(INDEX('Game Records'!$D:$D,$H12)="",LOWER(INDEX('Game Records'!$D:$D,$H12)&amp;"")="n/a")),"Entry Mode; ","")&amp;IF(AND(INDEX('Game Records'!$U:$U,$H12)&lt;&gt;"Subscription",INDEX('Game Records'!$U:$U,$H12)&lt;&gt;"Free Game",INDEX('Game Records'!$U:$U,$H12)&lt;&gt;"Disqualified — Free Game",OR(INDEX('Game Records'!$E:$E,$H12)="",LOWER(INDEX('Game Records'!$E:$E,$H12)&amp;"")="n/a")),"Game Type; ","")&amp;IF(INDEX('Game Records'!$F:$F,$H12)="","Payment Type; ","")&amp;IF(AND(INDEX('Game Records'!$U:$U,$H12)&lt;&gt;"Subscription",INDEX('Game Records'!$U:$U,$H12)&lt;&gt;"Free Game",INDEX('Game Records'!$U:$U,$H12)&lt;&gt;"Disqualified — Free Game",INDEX('Game Records'!$G:$G,$H12)=""),"Gross Pot; ","")&amp;IF(AND(INDEX('Game Records'!$U:$U,$H12)&lt;&gt;"Free Game",INDEX('Game Records'!$U:$U,$H12)&lt;&gt;"Disqualified — Free Game",INDEX('Game Records'!$H:$H,$H12)=""),"Entry Fee; ","")&amp;IF(AND(INDEX('Game Records'!$U:$U,$H12)&lt;&gt;"Subscription",INDEX('Game Records'!$U:$U,$H12)&lt;&gt;"Free Game",INDEX('Game Records'!$U:$U,$H12)&lt;&gt;"Disqualified — Free Game",INDEX('Game Records'!$I:$I,$H12)=""),"Eligible Players; ","")&amp;IF(AND(INDEX('Game Records'!$U:$U,$H12)&lt;&gt;"Subscription",INDEX('Game Records'!$U:$U,$H12)&lt;&gt;"Free Game",INDEX('Game Records'!$U:$U,$H12)&lt;&gt;"Disqualified — Free Game",INDEX('Game Records'!$J:$J,$H12)=""),"Total Players; ","")&amp;IF(AND(LOWER(INDEX('Game Records'!$D:$D,$H12)&amp;"")="finalized",LOWER(INDEX('Game Records'!$L:$L,$H12)&amp;"")&lt;&gt;"yes",INDEX('Game Records'!$U:$U,$H12)&lt;&gt;"Subscription",INDEX('Game Records'!$U:$U,$H12)&lt;&gt;"Free Game",INDEX('Game Records'!$U:$U,$H12)&lt;&gt;"Disqualified — Free Game",INDEX('Game Records'!$K:$K,$H12)=""),"Final Earned; ","")&amp;IF(AND(LOWER(INDEX('Game Records'!$D:$D,$H12)&amp;"")="finalized",INDEX('Game Records'!$U:$U,$H12)&lt;&gt;"Subscription",INDEX('Game Records'!$U:$U,$H12)&lt;&gt;"Free Game",INDEX('Game Records'!$U:$U,$H12)&lt;&gt;"Disqualified — Free Game",OR(INDEX('Game Records'!$L:$L,$H12)="",LOWER(INDEX('Game Records'!$L:$L,$H12)&amp;"")="n/a")),"Disqualified Status; ","")&amp;IF(AND(OR(LOWER(TRIM(INDEX('Game Records'!$F:$F,$H12)&amp;""))="free game",INDEX('Game Records'!$U:$U,$H12)="Free Game",INDEX('Game Records'!$U:$U,$H12)="Disqualified — Free Game"),N(INDEX('Game Records'!$H:$H,$H12))&lt;&gt;0),"Free Game has a non-zero Entry Fee. Free Game records require a $0 Entry Fee; ",""))</f>
        <v/>
      </c>
      <c r="G12" s="331" t="str">
        <f>IF($H12="","",IFERROR(INDEX('Game Records'!$M:$M,$H12),""))</f>
        <v/>
      </c>
      <c r="H12" s="104" t="str">
        <f>IF($H11="","",IFERROR(MATCH(1,INDEX((ROW('Game Records'!$U$5:$U$504)&gt;$H11)*(('Game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 s="980" t="str">
        <v>Cash / Hybrid Games</v>
      </c>
      <c r="J12" s="981" t="n">
        <f>COUNTIF('Game Records'!$F$5:$F$504,"Cash")+COUNTIF('Game Records'!$F$5:$F$504,"Hybrid")</f>
        <v>0</v>
      </c>
    </row>
    <row r="13" ht="24" hidden="0" customHeight="1">
      <c r="A13" s="332" t="str">
        <f>IF($H13="","",ROWS($A$5:A13))</f>
        <v/>
      </c>
      <c r="B13" s="332" t="str">
        <f>IF($H13="","","G-"&amp;TEXT($A13,"0000"))</f>
        <v/>
      </c>
      <c r="C13" s="331" t="str">
        <f>IF($H13="","",IFERROR(INDEX('Game Records'!$A:$A,$H13),""))</f>
        <v/>
      </c>
      <c r="D13" s="331" t="str">
        <f>IF($H13="","",IFERROR(INDEX('Game Records'!$U:$U,$H13),""))</f>
        <v/>
      </c>
      <c r="E13" s="331" t="str">
        <f>IF($H13="","",IF($F13="","No Highlighted Fields","Highlighted Fields Present"))</f>
        <v/>
      </c>
      <c r="F13" s="331" t="str">
        <f>IF($H13="","",IF(OR(NOT(ISFORMULA(INDEX('Game Records'!$N:$N,$H13))),NOT(ISFORMULA(INDEX('Game Records'!$O:$O,$H13))),NOT(ISFORMULA(INDEX('Game Records'!$P:$P,$H13))),NOT(ISFORMULA(INDEX('Game Records'!$Q:$Q,$H13))),NOT(ISFORMULA(INDEX('Game Records'!$R:$R,$H13))),NOT(ISFORMULA(INDEX('Game Records'!$S:$S,$H13))),NOT(ISFORMULA(INDEX('Game Records'!$T:$T,$H13))),NOT(ISFORMULA(INDEX('Game Records'!$U:$U,$H13))),NOT(ISFORMULA(INDEX('Game Records'!$V:$V,$H13))),NOT(ISFORMULA(INDEX('Game Records'!$W:$W,$H13))),NOT(ISFORMULA(INDEX('Game Records'!$X:$X,$H13))),NOT(ISFORMULA(INDEX('Game Records'!$Y:$Y,$H13))),NOT(ISFORMULA(INDEX('Game Records'!$Z:$Z,$H13)))),"Formula columns missing; ","")&amp;IF(INDEX('Game Records'!$B:$B,$H13)="","Start Date; ","")&amp;IF(INDEX('Game Records'!$C:$C,$H13)="","End Date; ","")&amp;IF(AND(INDEX('Game Records'!$U:$U,$H13)&lt;&gt;"Subscription",INDEX('Game Records'!$U:$U,$H13)&lt;&gt;"Free Game",INDEX('Game Records'!$U:$U,$H13)&lt;&gt;"Disqualified — Free Game",OR(INDEX('Game Records'!$D:$D,$H13)="",LOWER(INDEX('Game Records'!$D:$D,$H13)&amp;"")="n/a")),"Entry Mode; ","")&amp;IF(AND(INDEX('Game Records'!$U:$U,$H13)&lt;&gt;"Subscription",INDEX('Game Records'!$U:$U,$H13)&lt;&gt;"Free Game",INDEX('Game Records'!$U:$U,$H13)&lt;&gt;"Disqualified — Free Game",OR(INDEX('Game Records'!$E:$E,$H13)="",LOWER(INDEX('Game Records'!$E:$E,$H13)&amp;"")="n/a")),"Game Type; ","")&amp;IF(INDEX('Game Records'!$F:$F,$H13)="","Payment Type; ","")&amp;IF(AND(INDEX('Game Records'!$U:$U,$H13)&lt;&gt;"Subscription",INDEX('Game Records'!$U:$U,$H13)&lt;&gt;"Free Game",INDEX('Game Records'!$U:$U,$H13)&lt;&gt;"Disqualified — Free Game",INDEX('Game Records'!$G:$G,$H13)=""),"Gross Pot; ","")&amp;IF(AND(INDEX('Game Records'!$U:$U,$H13)&lt;&gt;"Free Game",INDEX('Game Records'!$U:$U,$H13)&lt;&gt;"Disqualified — Free Game",INDEX('Game Records'!$H:$H,$H13)=""),"Entry Fee; ","")&amp;IF(AND(INDEX('Game Records'!$U:$U,$H13)&lt;&gt;"Subscription",INDEX('Game Records'!$U:$U,$H13)&lt;&gt;"Free Game",INDEX('Game Records'!$U:$U,$H13)&lt;&gt;"Disqualified — Free Game",INDEX('Game Records'!$I:$I,$H13)=""),"Eligible Players; ","")&amp;IF(AND(INDEX('Game Records'!$U:$U,$H13)&lt;&gt;"Subscription",INDEX('Game Records'!$U:$U,$H13)&lt;&gt;"Free Game",INDEX('Game Records'!$U:$U,$H13)&lt;&gt;"Disqualified — Free Game",INDEX('Game Records'!$J:$J,$H13)=""),"Total Players; ","")&amp;IF(AND(LOWER(INDEX('Game Records'!$D:$D,$H13)&amp;"")="finalized",LOWER(INDEX('Game Records'!$L:$L,$H13)&amp;"")&lt;&gt;"yes",INDEX('Game Records'!$U:$U,$H13)&lt;&gt;"Subscription",INDEX('Game Records'!$U:$U,$H13)&lt;&gt;"Free Game",INDEX('Game Records'!$U:$U,$H13)&lt;&gt;"Disqualified — Free Game",INDEX('Game Records'!$K:$K,$H13)=""),"Final Earned; ","")&amp;IF(AND(LOWER(INDEX('Game Records'!$D:$D,$H13)&amp;"")="finalized",INDEX('Game Records'!$U:$U,$H13)&lt;&gt;"Subscription",INDEX('Game Records'!$U:$U,$H13)&lt;&gt;"Free Game",INDEX('Game Records'!$U:$U,$H13)&lt;&gt;"Disqualified — Free Game",OR(INDEX('Game Records'!$L:$L,$H13)="",LOWER(INDEX('Game Records'!$L:$L,$H13)&amp;"")="n/a")),"Disqualified Status; ","")&amp;IF(AND(OR(LOWER(TRIM(INDEX('Game Records'!$F:$F,$H13)&amp;""))="free game",INDEX('Game Records'!$U:$U,$H13)="Free Game",INDEX('Game Records'!$U:$U,$H13)="Disqualified — Free Game"),N(INDEX('Game Records'!$H:$H,$H13))&lt;&gt;0),"Free Game has a non-zero Entry Fee. Free Game records require a $0 Entry Fee; ",""))</f>
        <v/>
      </c>
      <c r="G13" s="331" t="str">
        <f>IF($H13="","",IFERROR(INDEX('Game Records'!$M:$M,$H13),""))</f>
        <v/>
      </c>
      <c r="H13" s="104" t="str">
        <f>IF($H12="","",IFERROR(MATCH(1,INDEX((ROW('Game Records'!$U$5:$U$504)&gt;$H12)*(('Game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 s="104"/>
      <c r="J13" s="104"/>
    </row>
    <row r="14" ht="24" hidden="0" customHeight="1">
      <c r="A14" s="332" t="str">
        <f>IF($H14="","",ROWS($A$5:A14))</f>
        <v/>
      </c>
      <c r="B14" s="332" t="str">
        <f>IF($H14="","","G-"&amp;TEXT($A14,"0000"))</f>
        <v/>
      </c>
      <c r="C14" s="331" t="str">
        <f>IF($H14="","",IFERROR(INDEX('Game Records'!$A:$A,$H14),""))</f>
        <v/>
      </c>
      <c r="D14" s="331" t="str">
        <f>IF($H14="","",IFERROR(INDEX('Game Records'!$U:$U,$H14),""))</f>
        <v/>
      </c>
      <c r="E14" s="331" t="str">
        <f>IF($H14="","",IF($F14="","No Highlighted Fields","Highlighted Fields Present"))</f>
        <v/>
      </c>
      <c r="F14" s="331" t="str">
        <f>IF($H14="","",IF(OR(NOT(ISFORMULA(INDEX('Game Records'!$N:$N,$H14))),NOT(ISFORMULA(INDEX('Game Records'!$O:$O,$H14))),NOT(ISFORMULA(INDEX('Game Records'!$P:$P,$H14))),NOT(ISFORMULA(INDEX('Game Records'!$Q:$Q,$H14))),NOT(ISFORMULA(INDEX('Game Records'!$R:$R,$H14))),NOT(ISFORMULA(INDEX('Game Records'!$S:$S,$H14))),NOT(ISFORMULA(INDEX('Game Records'!$T:$T,$H14))),NOT(ISFORMULA(INDEX('Game Records'!$U:$U,$H14))),NOT(ISFORMULA(INDEX('Game Records'!$V:$V,$H14))),NOT(ISFORMULA(INDEX('Game Records'!$W:$W,$H14))),NOT(ISFORMULA(INDEX('Game Records'!$X:$X,$H14))),NOT(ISFORMULA(INDEX('Game Records'!$Y:$Y,$H14))),NOT(ISFORMULA(INDEX('Game Records'!$Z:$Z,$H14)))),"Formula columns missing; ","")&amp;IF(INDEX('Game Records'!$B:$B,$H14)="","Start Date; ","")&amp;IF(INDEX('Game Records'!$C:$C,$H14)="","End Date; ","")&amp;IF(AND(INDEX('Game Records'!$U:$U,$H14)&lt;&gt;"Subscription",INDEX('Game Records'!$U:$U,$H14)&lt;&gt;"Free Game",INDEX('Game Records'!$U:$U,$H14)&lt;&gt;"Disqualified — Free Game",OR(INDEX('Game Records'!$D:$D,$H14)="",LOWER(INDEX('Game Records'!$D:$D,$H14)&amp;"")="n/a")),"Entry Mode; ","")&amp;IF(AND(INDEX('Game Records'!$U:$U,$H14)&lt;&gt;"Subscription",INDEX('Game Records'!$U:$U,$H14)&lt;&gt;"Free Game",INDEX('Game Records'!$U:$U,$H14)&lt;&gt;"Disqualified — Free Game",OR(INDEX('Game Records'!$E:$E,$H14)="",LOWER(INDEX('Game Records'!$E:$E,$H14)&amp;"")="n/a")),"Game Type; ","")&amp;IF(INDEX('Game Records'!$F:$F,$H14)="","Payment Type; ","")&amp;IF(AND(INDEX('Game Records'!$U:$U,$H14)&lt;&gt;"Subscription",INDEX('Game Records'!$U:$U,$H14)&lt;&gt;"Free Game",INDEX('Game Records'!$U:$U,$H14)&lt;&gt;"Disqualified — Free Game",INDEX('Game Records'!$G:$G,$H14)=""),"Gross Pot; ","")&amp;IF(AND(INDEX('Game Records'!$U:$U,$H14)&lt;&gt;"Free Game",INDEX('Game Records'!$U:$U,$H14)&lt;&gt;"Disqualified — Free Game",INDEX('Game Records'!$H:$H,$H14)=""),"Entry Fee; ","")&amp;IF(AND(INDEX('Game Records'!$U:$U,$H14)&lt;&gt;"Subscription",INDEX('Game Records'!$U:$U,$H14)&lt;&gt;"Free Game",INDEX('Game Records'!$U:$U,$H14)&lt;&gt;"Disqualified — Free Game",INDEX('Game Records'!$I:$I,$H14)=""),"Eligible Players; ","")&amp;IF(AND(INDEX('Game Records'!$U:$U,$H14)&lt;&gt;"Subscription",INDEX('Game Records'!$U:$U,$H14)&lt;&gt;"Free Game",INDEX('Game Records'!$U:$U,$H14)&lt;&gt;"Disqualified — Free Game",INDEX('Game Records'!$J:$J,$H14)=""),"Total Players; ","")&amp;IF(AND(LOWER(INDEX('Game Records'!$D:$D,$H14)&amp;"")="finalized",LOWER(INDEX('Game Records'!$L:$L,$H14)&amp;"")&lt;&gt;"yes",INDEX('Game Records'!$U:$U,$H14)&lt;&gt;"Subscription",INDEX('Game Records'!$U:$U,$H14)&lt;&gt;"Free Game",INDEX('Game Records'!$U:$U,$H14)&lt;&gt;"Disqualified — Free Game",INDEX('Game Records'!$K:$K,$H14)=""),"Final Earned; ","")&amp;IF(AND(LOWER(INDEX('Game Records'!$D:$D,$H14)&amp;"")="finalized",INDEX('Game Records'!$U:$U,$H14)&lt;&gt;"Subscription",INDEX('Game Records'!$U:$U,$H14)&lt;&gt;"Free Game",INDEX('Game Records'!$U:$U,$H14)&lt;&gt;"Disqualified — Free Game",OR(INDEX('Game Records'!$L:$L,$H14)="",LOWER(INDEX('Game Records'!$L:$L,$H14)&amp;"")="n/a")),"Disqualified Status; ","")&amp;IF(AND(OR(LOWER(TRIM(INDEX('Game Records'!$F:$F,$H14)&amp;""))="free game",INDEX('Game Records'!$U:$U,$H14)="Free Game",INDEX('Game Records'!$U:$U,$H14)="Disqualified — Free Game"),N(INDEX('Game Records'!$H:$H,$H14))&lt;&gt;0),"Free Game has a non-zero Entry Fee. Free Game records require a $0 Entry Fee; ",""))</f>
        <v/>
      </c>
      <c r="G14" s="331" t="str">
        <f>IF($H14="","",IFERROR(INDEX('Game Records'!$M:$M,$H14),""))</f>
        <v/>
      </c>
      <c r="H14" s="104" t="str">
        <f>IF($H13="","",IFERROR(MATCH(1,INDEX((ROW('Game Records'!$U$5:$U$504)&gt;$H13)*(('Game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 s="104"/>
      <c r="J14" s="104"/>
    </row>
    <row r="15" ht="24" hidden="0" customHeight="1">
      <c r="A15" s="332" t="str">
        <f>IF($H15="","",ROWS($A$5:A15))</f>
        <v/>
      </c>
      <c r="B15" s="332" t="str">
        <f>IF($H15="","","G-"&amp;TEXT($A15,"0000"))</f>
        <v/>
      </c>
      <c r="C15" s="331" t="str">
        <f>IF($H15="","",IFERROR(INDEX('Game Records'!$A:$A,$H15),""))</f>
        <v/>
      </c>
      <c r="D15" s="331" t="str">
        <f>IF($H15="","",IFERROR(INDEX('Game Records'!$U:$U,$H15),""))</f>
        <v/>
      </c>
      <c r="E15" s="331" t="str">
        <f>IF($H15="","",IF($F15="","No Highlighted Fields","Highlighted Fields Present"))</f>
        <v/>
      </c>
      <c r="F15" s="331" t="str">
        <f>IF($H15="","",IF(OR(NOT(ISFORMULA(INDEX('Game Records'!$N:$N,$H15))),NOT(ISFORMULA(INDEX('Game Records'!$O:$O,$H15))),NOT(ISFORMULA(INDEX('Game Records'!$P:$P,$H15))),NOT(ISFORMULA(INDEX('Game Records'!$Q:$Q,$H15))),NOT(ISFORMULA(INDEX('Game Records'!$R:$R,$H15))),NOT(ISFORMULA(INDEX('Game Records'!$S:$S,$H15))),NOT(ISFORMULA(INDEX('Game Records'!$T:$T,$H15))),NOT(ISFORMULA(INDEX('Game Records'!$U:$U,$H15))),NOT(ISFORMULA(INDEX('Game Records'!$V:$V,$H15))),NOT(ISFORMULA(INDEX('Game Records'!$W:$W,$H15))),NOT(ISFORMULA(INDEX('Game Records'!$X:$X,$H15))),NOT(ISFORMULA(INDEX('Game Records'!$Y:$Y,$H15))),NOT(ISFORMULA(INDEX('Game Records'!$Z:$Z,$H15)))),"Formula columns missing; ","")&amp;IF(INDEX('Game Records'!$B:$B,$H15)="","Start Date; ","")&amp;IF(INDEX('Game Records'!$C:$C,$H15)="","End Date; ","")&amp;IF(AND(INDEX('Game Records'!$U:$U,$H15)&lt;&gt;"Subscription",INDEX('Game Records'!$U:$U,$H15)&lt;&gt;"Free Game",INDEX('Game Records'!$U:$U,$H15)&lt;&gt;"Disqualified — Free Game",OR(INDEX('Game Records'!$D:$D,$H15)="",LOWER(INDEX('Game Records'!$D:$D,$H15)&amp;"")="n/a")),"Entry Mode; ","")&amp;IF(AND(INDEX('Game Records'!$U:$U,$H15)&lt;&gt;"Subscription",INDEX('Game Records'!$U:$U,$H15)&lt;&gt;"Free Game",INDEX('Game Records'!$U:$U,$H15)&lt;&gt;"Disqualified — Free Game",OR(INDEX('Game Records'!$E:$E,$H15)="",LOWER(INDEX('Game Records'!$E:$E,$H15)&amp;"")="n/a")),"Game Type; ","")&amp;IF(INDEX('Game Records'!$F:$F,$H15)="","Payment Type; ","")&amp;IF(AND(INDEX('Game Records'!$U:$U,$H15)&lt;&gt;"Subscription",INDEX('Game Records'!$U:$U,$H15)&lt;&gt;"Free Game",INDEX('Game Records'!$U:$U,$H15)&lt;&gt;"Disqualified — Free Game",INDEX('Game Records'!$G:$G,$H15)=""),"Gross Pot; ","")&amp;IF(AND(INDEX('Game Records'!$U:$U,$H15)&lt;&gt;"Free Game",INDEX('Game Records'!$U:$U,$H15)&lt;&gt;"Disqualified — Free Game",INDEX('Game Records'!$H:$H,$H15)=""),"Entry Fee; ","")&amp;IF(AND(INDEX('Game Records'!$U:$U,$H15)&lt;&gt;"Subscription",INDEX('Game Records'!$U:$U,$H15)&lt;&gt;"Free Game",INDEX('Game Records'!$U:$U,$H15)&lt;&gt;"Disqualified — Free Game",INDEX('Game Records'!$I:$I,$H15)=""),"Eligible Players; ","")&amp;IF(AND(INDEX('Game Records'!$U:$U,$H15)&lt;&gt;"Subscription",INDEX('Game Records'!$U:$U,$H15)&lt;&gt;"Free Game",INDEX('Game Records'!$U:$U,$H15)&lt;&gt;"Disqualified — Free Game",INDEX('Game Records'!$J:$J,$H15)=""),"Total Players; ","")&amp;IF(AND(LOWER(INDEX('Game Records'!$D:$D,$H15)&amp;"")="finalized",LOWER(INDEX('Game Records'!$L:$L,$H15)&amp;"")&lt;&gt;"yes",INDEX('Game Records'!$U:$U,$H15)&lt;&gt;"Subscription",INDEX('Game Records'!$U:$U,$H15)&lt;&gt;"Free Game",INDEX('Game Records'!$U:$U,$H15)&lt;&gt;"Disqualified — Free Game",INDEX('Game Records'!$K:$K,$H15)=""),"Final Earned; ","")&amp;IF(AND(LOWER(INDEX('Game Records'!$D:$D,$H15)&amp;"")="finalized",INDEX('Game Records'!$U:$U,$H15)&lt;&gt;"Subscription",INDEX('Game Records'!$U:$U,$H15)&lt;&gt;"Free Game",INDEX('Game Records'!$U:$U,$H15)&lt;&gt;"Disqualified — Free Game",OR(INDEX('Game Records'!$L:$L,$H15)="",LOWER(INDEX('Game Records'!$L:$L,$H15)&amp;"")="n/a")),"Disqualified Status; ","")&amp;IF(AND(OR(LOWER(TRIM(INDEX('Game Records'!$F:$F,$H15)&amp;""))="free game",INDEX('Game Records'!$U:$U,$H15)="Free Game",INDEX('Game Records'!$U:$U,$H15)="Disqualified — Free Game"),N(INDEX('Game Records'!$H:$H,$H15))&lt;&gt;0),"Free Game has a non-zero Entry Fee. Free Game records require a $0 Entry Fee; ",""))</f>
        <v/>
      </c>
      <c r="G15" s="331" t="str">
        <f>IF($H15="","",IFERROR(INDEX('Game Records'!$M:$M,$H15),""))</f>
        <v/>
      </c>
      <c r="H15" s="104" t="str">
        <f>IF($H14="","",IFERROR(MATCH(1,INDEX((ROW('Game Records'!$U$5:$U$504)&gt;$H14)*(('Game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 s="104"/>
      <c r="J15" s="104"/>
    </row>
    <row r="16" ht="24" hidden="0" customHeight="1">
      <c r="A16" s="332" t="str">
        <f>IF($H16="","",ROWS($A$5:A16))</f>
        <v/>
      </c>
      <c r="B16" s="332" t="str">
        <f>IF($H16="","","G-"&amp;TEXT($A16,"0000"))</f>
        <v/>
      </c>
      <c r="C16" s="331" t="str">
        <f>IF($H16="","",IFERROR(INDEX('Game Records'!$A:$A,$H16),""))</f>
        <v/>
      </c>
      <c r="D16" s="331" t="str">
        <f>IF($H16="","",IFERROR(INDEX('Game Records'!$U:$U,$H16),""))</f>
        <v/>
      </c>
      <c r="E16" s="331" t="str">
        <f>IF($H16="","",IF($F16="","No Highlighted Fields","Highlighted Fields Present"))</f>
        <v/>
      </c>
      <c r="F16" s="331" t="str">
        <f>IF($H16="","",IF(OR(NOT(ISFORMULA(INDEX('Game Records'!$N:$N,$H16))),NOT(ISFORMULA(INDEX('Game Records'!$O:$O,$H16))),NOT(ISFORMULA(INDEX('Game Records'!$P:$P,$H16))),NOT(ISFORMULA(INDEX('Game Records'!$Q:$Q,$H16))),NOT(ISFORMULA(INDEX('Game Records'!$R:$R,$H16))),NOT(ISFORMULA(INDEX('Game Records'!$S:$S,$H16))),NOT(ISFORMULA(INDEX('Game Records'!$T:$T,$H16))),NOT(ISFORMULA(INDEX('Game Records'!$U:$U,$H16))),NOT(ISFORMULA(INDEX('Game Records'!$V:$V,$H16))),NOT(ISFORMULA(INDEX('Game Records'!$W:$W,$H16))),NOT(ISFORMULA(INDEX('Game Records'!$X:$X,$H16))),NOT(ISFORMULA(INDEX('Game Records'!$Y:$Y,$H16))),NOT(ISFORMULA(INDEX('Game Records'!$Z:$Z,$H16)))),"Formula columns missing; ","")&amp;IF(INDEX('Game Records'!$B:$B,$H16)="","Start Date; ","")&amp;IF(INDEX('Game Records'!$C:$C,$H16)="","End Date; ","")&amp;IF(AND(INDEX('Game Records'!$U:$U,$H16)&lt;&gt;"Subscription",INDEX('Game Records'!$U:$U,$H16)&lt;&gt;"Free Game",INDEX('Game Records'!$U:$U,$H16)&lt;&gt;"Disqualified — Free Game",OR(INDEX('Game Records'!$D:$D,$H16)="",LOWER(INDEX('Game Records'!$D:$D,$H16)&amp;"")="n/a")),"Entry Mode; ","")&amp;IF(AND(INDEX('Game Records'!$U:$U,$H16)&lt;&gt;"Subscription",INDEX('Game Records'!$U:$U,$H16)&lt;&gt;"Free Game",INDEX('Game Records'!$U:$U,$H16)&lt;&gt;"Disqualified — Free Game",OR(INDEX('Game Records'!$E:$E,$H16)="",LOWER(INDEX('Game Records'!$E:$E,$H16)&amp;"")="n/a")),"Game Type; ","")&amp;IF(INDEX('Game Records'!$F:$F,$H16)="","Payment Type; ","")&amp;IF(AND(INDEX('Game Records'!$U:$U,$H16)&lt;&gt;"Subscription",INDEX('Game Records'!$U:$U,$H16)&lt;&gt;"Free Game",INDEX('Game Records'!$U:$U,$H16)&lt;&gt;"Disqualified — Free Game",INDEX('Game Records'!$G:$G,$H16)=""),"Gross Pot; ","")&amp;IF(AND(INDEX('Game Records'!$U:$U,$H16)&lt;&gt;"Free Game",INDEX('Game Records'!$U:$U,$H16)&lt;&gt;"Disqualified — Free Game",INDEX('Game Records'!$H:$H,$H16)=""),"Entry Fee; ","")&amp;IF(AND(INDEX('Game Records'!$U:$U,$H16)&lt;&gt;"Subscription",INDEX('Game Records'!$U:$U,$H16)&lt;&gt;"Free Game",INDEX('Game Records'!$U:$U,$H16)&lt;&gt;"Disqualified — Free Game",INDEX('Game Records'!$I:$I,$H16)=""),"Eligible Players; ","")&amp;IF(AND(INDEX('Game Records'!$U:$U,$H16)&lt;&gt;"Subscription",INDEX('Game Records'!$U:$U,$H16)&lt;&gt;"Free Game",INDEX('Game Records'!$U:$U,$H16)&lt;&gt;"Disqualified — Free Game",INDEX('Game Records'!$J:$J,$H16)=""),"Total Players; ","")&amp;IF(AND(LOWER(INDEX('Game Records'!$D:$D,$H16)&amp;"")="finalized",LOWER(INDEX('Game Records'!$L:$L,$H16)&amp;"")&lt;&gt;"yes",INDEX('Game Records'!$U:$U,$H16)&lt;&gt;"Subscription",INDEX('Game Records'!$U:$U,$H16)&lt;&gt;"Free Game",INDEX('Game Records'!$U:$U,$H16)&lt;&gt;"Disqualified — Free Game",INDEX('Game Records'!$K:$K,$H16)=""),"Final Earned; ","")&amp;IF(AND(LOWER(INDEX('Game Records'!$D:$D,$H16)&amp;"")="finalized",INDEX('Game Records'!$U:$U,$H16)&lt;&gt;"Subscription",INDEX('Game Records'!$U:$U,$H16)&lt;&gt;"Free Game",INDEX('Game Records'!$U:$U,$H16)&lt;&gt;"Disqualified — Free Game",OR(INDEX('Game Records'!$L:$L,$H16)="",LOWER(INDEX('Game Records'!$L:$L,$H16)&amp;"")="n/a")),"Disqualified Status; ","")&amp;IF(AND(OR(LOWER(TRIM(INDEX('Game Records'!$F:$F,$H16)&amp;""))="free game",INDEX('Game Records'!$U:$U,$H16)="Free Game",INDEX('Game Records'!$U:$U,$H16)="Disqualified — Free Game"),N(INDEX('Game Records'!$H:$H,$H16))&lt;&gt;0),"Free Game has a non-zero Entry Fee. Free Game records require a $0 Entry Fee; ",""))</f>
        <v/>
      </c>
      <c r="G16" s="331" t="str">
        <f>IF($H16="","",IFERROR(INDEX('Game Records'!$M:$M,$H16),""))</f>
        <v/>
      </c>
      <c r="H16" s="104" t="str">
        <f>IF($H15="","",IFERROR(MATCH(1,INDEX((ROW('Game Records'!$U$5:$U$504)&gt;$H15)*(('Game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 s="104"/>
      <c r="J16" s="104"/>
    </row>
    <row r="17" ht="24" hidden="0" customHeight="1">
      <c r="A17" s="332" t="str">
        <f>IF($H17="","",ROWS($A$5:A17))</f>
        <v/>
      </c>
      <c r="B17" s="332" t="str">
        <f>IF($H17="","","G-"&amp;TEXT($A17,"0000"))</f>
        <v/>
      </c>
      <c r="C17" s="331" t="str">
        <f>IF($H17="","",IFERROR(INDEX('Game Records'!$A:$A,$H17),""))</f>
        <v/>
      </c>
      <c r="D17" s="331" t="str">
        <f>IF($H17="","",IFERROR(INDEX('Game Records'!$U:$U,$H17),""))</f>
        <v/>
      </c>
      <c r="E17" s="331" t="str">
        <f>IF($H17="","",IF($F17="","No Highlighted Fields","Highlighted Fields Present"))</f>
        <v/>
      </c>
      <c r="F17" s="331" t="str">
        <f>IF($H17="","",IF(OR(NOT(ISFORMULA(INDEX('Game Records'!$N:$N,$H17))),NOT(ISFORMULA(INDEX('Game Records'!$O:$O,$H17))),NOT(ISFORMULA(INDEX('Game Records'!$P:$P,$H17))),NOT(ISFORMULA(INDEX('Game Records'!$Q:$Q,$H17))),NOT(ISFORMULA(INDEX('Game Records'!$R:$R,$H17))),NOT(ISFORMULA(INDEX('Game Records'!$S:$S,$H17))),NOT(ISFORMULA(INDEX('Game Records'!$T:$T,$H17))),NOT(ISFORMULA(INDEX('Game Records'!$U:$U,$H17))),NOT(ISFORMULA(INDEX('Game Records'!$V:$V,$H17))),NOT(ISFORMULA(INDEX('Game Records'!$W:$W,$H17))),NOT(ISFORMULA(INDEX('Game Records'!$X:$X,$H17))),NOT(ISFORMULA(INDEX('Game Records'!$Y:$Y,$H17))),NOT(ISFORMULA(INDEX('Game Records'!$Z:$Z,$H17)))),"Formula columns missing; ","")&amp;IF(INDEX('Game Records'!$B:$B,$H17)="","Start Date; ","")&amp;IF(INDEX('Game Records'!$C:$C,$H17)="","End Date; ","")&amp;IF(AND(INDEX('Game Records'!$U:$U,$H17)&lt;&gt;"Subscription",INDEX('Game Records'!$U:$U,$H17)&lt;&gt;"Free Game",INDEX('Game Records'!$U:$U,$H17)&lt;&gt;"Disqualified — Free Game",OR(INDEX('Game Records'!$D:$D,$H17)="",LOWER(INDEX('Game Records'!$D:$D,$H17)&amp;"")="n/a")),"Entry Mode; ","")&amp;IF(AND(INDEX('Game Records'!$U:$U,$H17)&lt;&gt;"Subscription",INDEX('Game Records'!$U:$U,$H17)&lt;&gt;"Free Game",INDEX('Game Records'!$U:$U,$H17)&lt;&gt;"Disqualified — Free Game",OR(INDEX('Game Records'!$E:$E,$H17)="",LOWER(INDEX('Game Records'!$E:$E,$H17)&amp;"")="n/a")),"Game Type; ","")&amp;IF(INDEX('Game Records'!$F:$F,$H17)="","Payment Type; ","")&amp;IF(AND(INDEX('Game Records'!$U:$U,$H17)&lt;&gt;"Subscription",INDEX('Game Records'!$U:$U,$H17)&lt;&gt;"Free Game",INDEX('Game Records'!$U:$U,$H17)&lt;&gt;"Disqualified — Free Game",INDEX('Game Records'!$G:$G,$H17)=""),"Gross Pot; ","")&amp;IF(AND(INDEX('Game Records'!$U:$U,$H17)&lt;&gt;"Free Game",INDEX('Game Records'!$U:$U,$H17)&lt;&gt;"Disqualified — Free Game",INDEX('Game Records'!$H:$H,$H17)=""),"Entry Fee; ","")&amp;IF(AND(INDEX('Game Records'!$U:$U,$H17)&lt;&gt;"Subscription",INDEX('Game Records'!$U:$U,$H17)&lt;&gt;"Free Game",INDEX('Game Records'!$U:$U,$H17)&lt;&gt;"Disqualified — Free Game",INDEX('Game Records'!$I:$I,$H17)=""),"Eligible Players; ","")&amp;IF(AND(INDEX('Game Records'!$U:$U,$H17)&lt;&gt;"Subscription",INDEX('Game Records'!$U:$U,$H17)&lt;&gt;"Free Game",INDEX('Game Records'!$U:$U,$H17)&lt;&gt;"Disqualified — Free Game",INDEX('Game Records'!$J:$J,$H17)=""),"Total Players; ","")&amp;IF(AND(LOWER(INDEX('Game Records'!$D:$D,$H17)&amp;"")="finalized",LOWER(INDEX('Game Records'!$L:$L,$H17)&amp;"")&lt;&gt;"yes",INDEX('Game Records'!$U:$U,$H17)&lt;&gt;"Subscription",INDEX('Game Records'!$U:$U,$H17)&lt;&gt;"Free Game",INDEX('Game Records'!$U:$U,$H17)&lt;&gt;"Disqualified — Free Game",INDEX('Game Records'!$K:$K,$H17)=""),"Final Earned; ","")&amp;IF(AND(LOWER(INDEX('Game Records'!$D:$D,$H17)&amp;"")="finalized",INDEX('Game Records'!$U:$U,$H17)&lt;&gt;"Subscription",INDEX('Game Records'!$U:$U,$H17)&lt;&gt;"Free Game",INDEX('Game Records'!$U:$U,$H17)&lt;&gt;"Disqualified — Free Game",OR(INDEX('Game Records'!$L:$L,$H17)="",LOWER(INDEX('Game Records'!$L:$L,$H17)&amp;"")="n/a")),"Disqualified Status; ","")&amp;IF(AND(OR(LOWER(TRIM(INDEX('Game Records'!$F:$F,$H17)&amp;""))="free game",INDEX('Game Records'!$U:$U,$H17)="Free Game",INDEX('Game Records'!$U:$U,$H17)="Disqualified — Free Game"),N(INDEX('Game Records'!$H:$H,$H17))&lt;&gt;0),"Free Game has a non-zero Entry Fee. Free Game records require a $0 Entry Fee; ",""))</f>
        <v/>
      </c>
      <c r="G17" s="331" t="str">
        <f>IF($H17="","",IFERROR(INDEX('Game Records'!$M:$M,$H17),""))</f>
        <v/>
      </c>
      <c r="H17" s="104" t="str">
        <f>IF($H16="","",IFERROR(MATCH(1,INDEX((ROW('Game Records'!$U$5:$U$504)&gt;$H16)*(('Game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 s="104"/>
      <c r="J17" s="104"/>
    </row>
    <row r="18" ht="24" hidden="0" customHeight="1">
      <c r="A18" s="332" t="str">
        <f>IF($H18="","",ROWS($A$5:A18))</f>
        <v/>
      </c>
      <c r="B18" s="332" t="str">
        <f>IF($H18="","","G-"&amp;TEXT($A18,"0000"))</f>
        <v/>
      </c>
      <c r="C18" s="331" t="str">
        <f>IF($H18="","",IFERROR(INDEX('Game Records'!$A:$A,$H18),""))</f>
        <v/>
      </c>
      <c r="D18" s="331" t="str">
        <f>IF($H18="","",IFERROR(INDEX('Game Records'!$U:$U,$H18),""))</f>
        <v/>
      </c>
      <c r="E18" s="331" t="str">
        <f>IF($H18="","",IF($F18="","No Highlighted Fields","Highlighted Fields Present"))</f>
        <v/>
      </c>
      <c r="F18" s="331" t="str">
        <f>IF($H18="","",IF(OR(NOT(ISFORMULA(INDEX('Game Records'!$N:$N,$H18))),NOT(ISFORMULA(INDEX('Game Records'!$O:$O,$H18))),NOT(ISFORMULA(INDEX('Game Records'!$P:$P,$H18))),NOT(ISFORMULA(INDEX('Game Records'!$Q:$Q,$H18))),NOT(ISFORMULA(INDEX('Game Records'!$R:$R,$H18))),NOT(ISFORMULA(INDEX('Game Records'!$S:$S,$H18))),NOT(ISFORMULA(INDEX('Game Records'!$T:$T,$H18))),NOT(ISFORMULA(INDEX('Game Records'!$U:$U,$H18))),NOT(ISFORMULA(INDEX('Game Records'!$V:$V,$H18))),NOT(ISFORMULA(INDEX('Game Records'!$W:$W,$H18))),NOT(ISFORMULA(INDEX('Game Records'!$X:$X,$H18))),NOT(ISFORMULA(INDEX('Game Records'!$Y:$Y,$H18))),NOT(ISFORMULA(INDEX('Game Records'!$Z:$Z,$H18)))),"Formula columns missing; ","")&amp;IF(INDEX('Game Records'!$B:$B,$H18)="","Start Date; ","")&amp;IF(INDEX('Game Records'!$C:$C,$H18)="","End Date; ","")&amp;IF(AND(INDEX('Game Records'!$U:$U,$H18)&lt;&gt;"Subscription",INDEX('Game Records'!$U:$U,$H18)&lt;&gt;"Free Game",INDEX('Game Records'!$U:$U,$H18)&lt;&gt;"Disqualified — Free Game",OR(INDEX('Game Records'!$D:$D,$H18)="",LOWER(INDEX('Game Records'!$D:$D,$H18)&amp;"")="n/a")),"Entry Mode; ","")&amp;IF(AND(INDEX('Game Records'!$U:$U,$H18)&lt;&gt;"Subscription",INDEX('Game Records'!$U:$U,$H18)&lt;&gt;"Free Game",INDEX('Game Records'!$U:$U,$H18)&lt;&gt;"Disqualified — Free Game",OR(INDEX('Game Records'!$E:$E,$H18)="",LOWER(INDEX('Game Records'!$E:$E,$H18)&amp;"")="n/a")),"Game Type; ","")&amp;IF(INDEX('Game Records'!$F:$F,$H18)="","Payment Type; ","")&amp;IF(AND(INDEX('Game Records'!$U:$U,$H18)&lt;&gt;"Subscription",INDEX('Game Records'!$U:$U,$H18)&lt;&gt;"Free Game",INDEX('Game Records'!$U:$U,$H18)&lt;&gt;"Disqualified — Free Game",INDEX('Game Records'!$G:$G,$H18)=""),"Gross Pot; ","")&amp;IF(AND(INDEX('Game Records'!$U:$U,$H18)&lt;&gt;"Free Game",INDEX('Game Records'!$U:$U,$H18)&lt;&gt;"Disqualified — Free Game",INDEX('Game Records'!$H:$H,$H18)=""),"Entry Fee; ","")&amp;IF(AND(INDEX('Game Records'!$U:$U,$H18)&lt;&gt;"Subscription",INDEX('Game Records'!$U:$U,$H18)&lt;&gt;"Free Game",INDEX('Game Records'!$U:$U,$H18)&lt;&gt;"Disqualified — Free Game",INDEX('Game Records'!$I:$I,$H18)=""),"Eligible Players; ","")&amp;IF(AND(INDEX('Game Records'!$U:$U,$H18)&lt;&gt;"Subscription",INDEX('Game Records'!$U:$U,$H18)&lt;&gt;"Free Game",INDEX('Game Records'!$U:$U,$H18)&lt;&gt;"Disqualified — Free Game",INDEX('Game Records'!$J:$J,$H18)=""),"Total Players; ","")&amp;IF(AND(LOWER(INDEX('Game Records'!$D:$D,$H18)&amp;"")="finalized",LOWER(INDEX('Game Records'!$L:$L,$H18)&amp;"")&lt;&gt;"yes",INDEX('Game Records'!$U:$U,$H18)&lt;&gt;"Subscription",INDEX('Game Records'!$U:$U,$H18)&lt;&gt;"Free Game",INDEX('Game Records'!$U:$U,$H18)&lt;&gt;"Disqualified — Free Game",INDEX('Game Records'!$K:$K,$H18)=""),"Final Earned; ","")&amp;IF(AND(LOWER(INDEX('Game Records'!$D:$D,$H18)&amp;"")="finalized",INDEX('Game Records'!$U:$U,$H18)&lt;&gt;"Subscription",INDEX('Game Records'!$U:$U,$H18)&lt;&gt;"Free Game",INDEX('Game Records'!$U:$U,$H18)&lt;&gt;"Disqualified — Free Game",OR(INDEX('Game Records'!$L:$L,$H18)="",LOWER(INDEX('Game Records'!$L:$L,$H18)&amp;"")="n/a")),"Disqualified Status; ","")&amp;IF(AND(OR(LOWER(TRIM(INDEX('Game Records'!$F:$F,$H18)&amp;""))="free game",INDEX('Game Records'!$U:$U,$H18)="Free Game",INDEX('Game Records'!$U:$U,$H18)="Disqualified — Free Game"),N(INDEX('Game Records'!$H:$H,$H18))&lt;&gt;0),"Free Game has a non-zero Entry Fee. Free Game records require a $0 Entry Fee; ",""))</f>
        <v/>
      </c>
      <c r="G18" s="331" t="str">
        <f>IF($H18="","",IFERROR(INDEX('Game Records'!$M:$M,$H18),""))</f>
        <v/>
      </c>
      <c r="H18" s="104" t="str">
        <f>IF($H17="","",IFERROR(MATCH(1,INDEX((ROW('Game Records'!$U$5:$U$504)&gt;$H17)*(('Game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 s="104"/>
      <c r="J18" s="104"/>
    </row>
    <row r="19" ht="24" hidden="0" customHeight="1">
      <c r="A19" s="332" t="str">
        <f>IF($H19="","",ROWS($A$5:A19))</f>
        <v/>
      </c>
      <c r="B19" s="332" t="str">
        <f>IF($H19="","","G-"&amp;TEXT($A19,"0000"))</f>
        <v/>
      </c>
      <c r="C19" s="331" t="str">
        <f>IF($H19="","",IFERROR(INDEX('Game Records'!$A:$A,$H19),""))</f>
        <v/>
      </c>
      <c r="D19" s="331" t="str">
        <f>IF($H19="","",IFERROR(INDEX('Game Records'!$U:$U,$H19),""))</f>
        <v/>
      </c>
      <c r="E19" s="331" t="str">
        <f>IF($H19="","",IF($F19="","No Highlighted Fields","Highlighted Fields Present"))</f>
        <v/>
      </c>
      <c r="F19" s="331" t="str">
        <f>IF($H19="","",IF(OR(NOT(ISFORMULA(INDEX('Game Records'!$N:$N,$H19))),NOT(ISFORMULA(INDEX('Game Records'!$O:$O,$H19))),NOT(ISFORMULA(INDEX('Game Records'!$P:$P,$H19))),NOT(ISFORMULA(INDEX('Game Records'!$Q:$Q,$H19))),NOT(ISFORMULA(INDEX('Game Records'!$R:$R,$H19))),NOT(ISFORMULA(INDEX('Game Records'!$S:$S,$H19))),NOT(ISFORMULA(INDEX('Game Records'!$T:$T,$H19))),NOT(ISFORMULA(INDEX('Game Records'!$U:$U,$H19))),NOT(ISFORMULA(INDEX('Game Records'!$V:$V,$H19))),NOT(ISFORMULA(INDEX('Game Records'!$W:$W,$H19))),NOT(ISFORMULA(INDEX('Game Records'!$X:$X,$H19))),NOT(ISFORMULA(INDEX('Game Records'!$Y:$Y,$H19))),NOT(ISFORMULA(INDEX('Game Records'!$Z:$Z,$H19)))),"Formula columns missing; ","")&amp;IF(INDEX('Game Records'!$B:$B,$H19)="","Start Date; ","")&amp;IF(INDEX('Game Records'!$C:$C,$H19)="","End Date; ","")&amp;IF(AND(INDEX('Game Records'!$U:$U,$H19)&lt;&gt;"Subscription",INDEX('Game Records'!$U:$U,$H19)&lt;&gt;"Free Game",INDEX('Game Records'!$U:$U,$H19)&lt;&gt;"Disqualified — Free Game",OR(INDEX('Game Records'!$D:$D,$H19)="",LOWER(INDEX('Game Records'!$D:$D,$H19)&amp;"")="n/a")),"Entry Mode; ","")&amp;IF(AND(INDEX('Game Records'!$U:$U,$H19)&lt;&gt;"Subscription",INDEX('Game Records'!$U:$U,$H19)&lt;&gt;"Free Game",INDEX('Game Records'!$U:$U,$H19)&lt;&gt;"Disqualified — Free Game",OR(INDEX('Game Records'!$E:$E,$H19)="",LOWER(INDEX('Game Records'!$E:$E,$H19)&amp;"")="n/a")),"Game Type; ","")&amp;IF(INDEX('Game Records'!$F:$F,$H19)="","Payment Type; ","")&amp;IF(AND(INDEX('Game Records'!$U:$U,$H19)&lt;&gt;"Subscription",INDEX('Game Records'!$U:$U,$H19)&lt;&gt;"Free Game",INDEX('Game Records'!$U:$U,$H19)&lt;&gt;"Disqualified — Free Game",INDEX('Game Records'!$G:$G,$H19)=""),"Gross Pot; ","")&amp;IF(AND(INDEX('Game Records'!$U:$U,$H19)&lt;&gt;"Free Game",INDEX('Game Records'!$U:$U,$H19)&lt;&gt;"Disqualified — Free Game",INDEX('Game Records'!$H:$H,$H19)=""),"Entry Fee; ","")&amp;IF(AND(INDEX('Game Records'!$U:$U,$H19)&lt;&gt;"Subscription",INDEX('Game Records'!$U:$U,$H19)&lt;&gt;"Free Game",INDEX('Game Records'!$U:$U,$H19)&lt;&gt;"Disqualified — Free Game",INDEX('Game Records'!$I:$I,$H19)=""),"Eligible Players; ","")&amp;IF(AND(INDEX('Game Records'!$U:$U,$H19)&lt;&gt;"Subscription",INDEX('Game Records'!$U:$U,$H19)&lt;&gt;"Free Game",INDEX('Game Records'!$U:$U,$H19)&lt;&gt;"Disqualified — Free Game",INDEX('Game Records'!$J:$J,$H19)=""),"Total Players; ","")&amp;IF(AND(LOWER(INDEX('Game Records'!$D:$D,$H19)&amp;"")="finalized",LOWER(INDEX('Game Records'!$L:$L,$H19)&amp;"")&lt;&gt;"yes",INDEX('Game Records'!$U:$U,$H19)&lt;&gt;"Subscription",INDEX('Game Records'!$U:$U,$H19)&lt;&gt;"Free Game",INDEX('Game Records'!$U:$U,$H19)&lt;&gt;"Disqualified — Free Game",INDEX('Game Records'!$K:$K,$H19)=""),"Final Earned; ","")&amp;IF(AND(LOWER(INDEX('Game Records'!$D:$D,$H19)&amp;"")="finalized",INDEX('Game Records'!$U:$U,$H19)&lt;&gt;"Subscription",INDEX('Game Records'!$U:$U,$H19)&lt;&gt;"Free Game",INDEX('Game Records'!$U:$U,$H19)&lt;&gt;"Disqualified — Free Game",OR(INDEX('Game Records'!$L:$L,$H19)="",LOWER(INDEX('Game Records'!$L:$L,$H19)&amp;"")="n/a")),"Disqualified Status; ","")&amp;IF(AND(OR(LOWER(TRIM(INDEX('Game Records'!$F:$F,$H19)&amp;""))="free game",INDEX('Game Records'!$U:$U,$H19)="Free Game",INDEX('Game Records'!$U:$U,$H19)="Disqualified — Free Game"),N(INDEX('Game Records'!$H:$H,$H19))&lt;&gt;0),"Free Game has a non-zero Entry Fee. Free Game records require a $0 Entry Fee; ",""))</f>
        <v/>
      </c>
      <c r="G19" s="331" t="str">
        <f>IF($H19="","",IFERROR(INDEX('Game Records'!$M:$M,$H19),""))</f>
        <v/>
      </c>
      <c r="H19" s="104" t="str">
        <f>IF($H18="","",IFERROR(MATCH(1,INDEX((ROW('Game Records'!$U$5:$U$504)&gt;$H18)*(('Game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 s="104"/>
      <c r="J19" s="104"/>
    </row>
    <row r="20" ht="24" hidden="0" customHeight="1">
      <c r="A20" s="332" t="str">
        <f>IF($H20="","",ROWS($A$5:A20))</f>
        <v/>
      </c>
      <c r="B20" s="332" t="str">
        <f>IF($H20="","","G-"&amp;TEXT($A20,"0000"))</f>
        <v/>
      </c>
      <c r="C20" s="331" t="str">
        <f>IF($H20="","",IFERROR(INDEX('Game Records'!$A:$A,$H20),""))</f>
        <v/>
      </c>
      <c r="D20" s="331" t="str">
        <f>IF($H20="","",IFERROR(INDEX('Game Records'!$U:$U,$H20),""))</f>
        <v/>
      </c>
      <c r="E20" s="331" t="str">
        <f>IF($H20="","",IF($F20="","No Highlighted Fields","Highlighted Fields Present"))</f>
        <v/>
      </c>
      <c r="F20" s="331" t="str">
        <f>IF($H20="","",IF(OR(NOT(ISFORMULA(INDEX('Game Records'!$N:$N,$H20))),NOT(ISFORMULA(INDEX('Game Records'!$O:$O,$H20))),NOT(ISFORMULA(INDEX('Game Records'!$P:$P,$H20))),NOT(ISFORMULA(INDEX('Game Records'!$Q:$Q,$H20))),NOT(ISFORMULA(INDEX('Game Records'!$R:$R,$H20))),NOT(ISFORMULA(INDEX('Game Records'!$S:$S,$H20))),NOT(ISFORMULA(INDEX('Game Records'!$T:$T,$H20))),NOT(ISFORMULA(INDEX('Game Records'!$U:$U,$H20))),NOT(ISFORMULA(INDEX('Game Records'!$V:$V,$H20))),NOT(ISFORMULA(INDEX('Game Records'!$W:$W,$H20))),NOT(ISFORMULA(INDEX('Game Records'!$X:$X,$H20))),NOT(ISFORMULA(INDEX('Game Records'!$Y:$Y,$H20))),NOT(ISFORMULA(INDEX('Game Records'!$Z:$Z,$H20)))),"Formula columns missing; ","")&amp;IF(INDEX('Game Records'!$B:$B,$H20)="","Start Date; ","")&amp;IF(INDEX('Game Records'!$C:$C,$H20)="","End Date; ","")&amp;IF(AND(INDEX('Game Records'!$U:$U,$H20)&lt;&gt;"Subscription",INDEX('Game Records'!$U:$U,$H20)&lt;&gt;"Free Game",INDEX('Game Records'!$U:$U,$H20)&lt;&gt;"Disqualified — Free Game",OR(INDEX('Game Records'!$D:$D,$H20)="",LOWER(INDEX('Game Records'!$D:$D,$H20)&amp;"")="n/a")),"Entry Mode; ","")&amp;IF(AND(INDEX('Game Records'!$U:$U,$H20)&lt;&gt;"Subscription",INDEX('Game Records'!$U:$U,$H20)&lt;&gt;"Free Game",INDEX('Game Records'!$U:$U,$H20)&lt;&gt;"Disqualified — Free Game",OR(INDEX('Game Records'!$E:$E,$H20)="",LOWER(INDEX('Game Records'!$E:$E,$H20)&amp;"")="n/a")),"Game Type; ","")&amp;IF(INDEX('Game Records'!$F:$F,$H20)="","Payment Type; ","")&amp;IF(AND(INDEX('Game Records'!$U:$U,$H20)&lt;&gt;"Subscription",INDEX('Game Records'!$U:$U,$H20)&lt;&gt;"Free Game",INDEX('Game Records'!$U:$U,$H20)&lt;&gt;"Disqualified — Free Game",INDEX('Game Records'!$G:$G,$H20)=""),"Gross Pot; ","")&amp;IF(AND(INDEX('Game Records'!$U:$U,$H20)&lt;&gt;"Free Game",INDEX('Game Records'!$U:$U,$H20)&lt;&gt;"Disqualified — Free Game",INDEX('Game Records'!$H:$H,$H20)=""),"Entry Fee; ","")&amp;IF(AND(INDEX('Game Records'!$U:$U,$H20)&lt;&gt;"Subscription",INDEX('Game Records'!$U:$U,$H20)&lt;&gt;"Free Game",INDEX('Game Records'!$U:$U,$H20)&lt;&gt;"Disqualified — Free Game",INDEX('Game Records'!$I:$I,$H20)=""),"Eligible Players; ","")&amp;IF(AND(INDEX('Game Records'!$U:$U,$H20)&lt;&gt;"Subscription",INDEX('Game Records'!$U:$U,$H20)&lt;&gt;"Free Game",INDEX('Game Records'!$U:$U,$H20)&lt;&gt;"Disqualified — Free Game",INDEX('Game Records'!$J:$J,$H20)=""),"Total Players; ","")&amp;IF(AND(LOWER(INDEX('Game Records'!$D:$D,$H20)&amp;"")="finalized",LOWER(INDEX('Game Records'!$L:$L,$H20)&amp;"")&lt;&gt;"yes",INDEX('Game Records'!$U:$U,$H20)&lt;&gt;"Subscription",INDEX('Game Records'!$U:$U,$H20)&lt;&gt;"Free Game",INDEX('Game Records'!$U:$U,$H20)&lt;&gt;"Disqualified — Free Game",INDEX('Game Records'!$K:$K,$H20)=""),"Final Earned; ","")&amp;IF(AND(LOWER(INDEX('Game Records'!$D:$D,$H20)&amp;"")="finalized",INDEX('Game Records'!$U:$U,$H20)&lt;&gt;"Subscription",INDEX('Game Records'!$U:$U,$H20)&lt;&gt;"Free Game",INDEX('Game Records'!$U:$U,$H20)&lt;&gt;"Disqualified — Free Game",OR(INDEX('Game Records'!$L:$L,$H20)="",LOWER(INDEX('Game Records'!$L:$L,$H20)&amp;"")="n/a")),"Disqualified Status; ","")&amp;IF(AND(OR(LOWER(TRIM(INDEX('Game Records'!$F:$F,$H20)&amp;""))="free game",INDEX('Game Records'!$U:$U,$H20)="Free Game",INDEX('Game Records'!$U:$U,$H20)="Disqualified — Free Game"),N(INDEX('Game Records'!$H:$H,$H20))&lt;&gt;0),"Free Game has a non-zero Entry Fee. Free Game records require a $0 Entry Fee; ",""))</f>
        <v/>
      </c>
      <c r="G20" s="331" t="str">
        <f>IF($H20="","",IFERROR(INDEX('Game Records'!$M:$M,$H20),""))</f>
        <v/>
      </c>
      <c r="H20" s="104" t="str">
        <f>IF($H19="","",IFERROR(MATCH(1,INDEX((ROW('Game Records'!$U$5:$U$504)&gt;$H19)*(('Game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0" s="104"/>
      <c r="J20" s="104"/>
    </row>
    <row r="21" ht="24" hidden="0" customHeight="1">
      <c r="A21" s="332" t="str">
        <f>IF($H21="","",ROWS($A$5:A21))</f>
        <v/>
      </c>
      <c r="B21" s="332" t="str">
        <f>IF($H21="","","G-"&amp;TEXT($A21,"0000"))</f>
        <v/>
      </c>
      <c r="C21" s="331" t="str">
        <f>IF($H21="","",IFERROR(INDEX('Game Records'!$A:$A,$H21),""))</f>
        <v/>
      </c>
      <c r="D21" s="331" t="str">
        <f>IF($H21="","",IFERROR(INDEX('Game Records'!$U:$U,$H21),""))</f>
        <v/>
      </c>
      <c r="E21" s="331" t="str">
        <f>IF($H21="","",IF($F21="","No Highlighted Fields","Highlighted Fields Present"))</f>
        <v/>
      </c>
      <c r="F21" s="331" t="str">
        <f>IF($H21="","",IF(OR(NOT(ISFORMULA(INDEX('Game Records'!$N:$N,$H21))),NOT(ISFORMULA(INDEX('Game Records'!$O:$O,$H21))),NOT(ISFORMULA(INDEX('Game Records'!$P:$P,$H21))),NOT(ISFORMULA(INDEX('Game Records'!$Q:$Q,$H21))),NOT(ISFORMULA(INDEX('Game Records'!$R:$R,$H21))),NOT(ISFORMULA(INDEX('Game Records'!$S:$S,$H21))),NOT(ISFORMULA(INDEX('Game Records'!$T:$T,$H21))),NOT(ISFORMULA(INDEX('Game Records'!$U:$U,$H21))),NOT(ISFORMULA(INDEX('Game Records'!$V:$V,$H21))),NOT(ISFORMULA(INDEX('Game Records'!$W:$W,$H21))),NOT(ISFORMULA(INDEX('Game Records'!$X:$X,$H21))),NOT(ISFORMULA(INDEX('Game Records'!$Y:$Y,$H21))),NOT(ISFORMULA(INDEX('Game Records'!$Z:$Z,$H21)))),"Formula columns missing; ","")&amp;IF(INDEX('Game Records'!$B:$B,$H21)="","Start Date; ","")&amp;IF(INDEX('Game Records'!$C:$C,$H21)="","End Date; ","")&amp;IF(AND(INDEX('Game Records'!$U:$U,$H21)&lt;&gt;"Subscription",INDEX('Game Records'!$U:$U,$H21)&lt;&gt;"Free Game",INDEX('Game Records'!$U:$U,$H21)&lt;&gt;"Disqualified — Free Game",OR(INDEX('Game Records'!$D:$D,$H21)="",LOWER(INDEX('Game Records'!$D:$D,$H21)&amp;"")="n/a")),"Entry Mode; ","")&amp;IF(AND(INDEX('Game Records'!$U:$U,$H21)&lt;&gt;"Subscription",INDEX('Game Records'!$U:$U,$H21)&lt;&gt;"Free Game",INDEX('Game Records'!$U:$U,$H21)&lt;&gt;"Disqualified — Free Game",OR(INDEX('Game Records'!$E:$E,$H21)="",LOWER(INDEX('Game Records'!$E:$E,$H21)&amp;"")="n/a")),"Game Type; ","")&amp;IF(INDEX('Game Records'!$F:$F,$H21)="","Payment Type; ","")&amp;IF(AND(INDEX('Game Records'!$U:$U,$H21)&lt;&gt;"Subscription",INDEX('Game Records'!$U:$U,$H21)&lt;&gt;"Free Game",INDEX('Game Records'!$U:$U,$H21)&lt;&gt;"Disqualified — Free Game",INDEX('Game Records'!$G:$G,$H21)=""),"Gross Pot; ","")&amp;IF(AND(INDEX('Game Records'!$U:$U,$H21)&lt;&gt;"Free Game",INDEX('Game Records'!$U:$U,$H21)&lt;&gt;"Disqualified — Free Game",INDEX('Game Records'!$H:$H,$H21)=""),"Entry Fee; ","")&amp;IF(AND(INDEX('Game Records'!$U:$U,$H21)&lt;&gt;"Subscription",INDEX('Game Records'!$U:$U,$H21)&lt;&gt;"Free Game",INDEX('Game Records'!$U:$U,$H21)&lt;&gt;"Disqualified — Free Game",INDEX('Game Records'!$I:$I,$H21)=""),"Eligible Players; ","")&amp;IF(AND(INDEX('Game Records'!$U:$U,$H21)&lt;&gt;"Subscription",INDEX('Game Records'!$U:$U,$H21)&lt;&gt;"Free Game",INDEX('Game Records'!$U:$U,$H21)&lt;&gt;"Disqualified — Free Game",INDEX('Game Records'!$J:$J,$H21)=""),"Total Players; ","")&amp;IF(AND(LOWER(INDEX('Game Records'!$D:$D,$H21)&amp;"")="finalized",LOWER(INDEX('Game Records'!$L:$L,$H21)&amp;"")&lt;&gt;"yes",INDEX('Game Records'!$U:$U,$H21)&lt;&gt;"Subscription",INDEX('Game Records'!$U:$U,$H21)&lt;&gt;"Free Game",INDEX('Game Records'!$U:$U,$H21)&lt;&gt;"Disqualified — Free Game",INDEX('Game Records'!$K:$K,$H21)=""),"Final Earned; ","")&amp;IF(AND(LOWER(INDEX('Game Records'!$D:$D,$H21)&amp;"")="finalized",INDEX('Game Records'!$U:$U,$H21)&lt;&gt;"Subscription",INDEX('Game Records'!$U:$U,$H21)&lt;&gt;"Free Game",INDEX('Game Records'!$U:$U,$H21)&lt;&gt;"Disqualified — Free Game",OR(INDEX('Game Records'!$L:$L,$H21)="",LOWER(INDEX('Game Records'!$L:$L,$H21)&amp;"")="n/a")),"Disqualified Status; ","")&amp;IF(AND(OR(LOWER(TRIM(INDEX('Game Records'!$F:$F,$H21)&amp;""))="free game",INDEX('Game Records'!$U:$U,$H21)="Free Game",INDEX('Game Records'!$U:$U,$H21)="Disqualified — Free Game"),N(INDEX('Game Records'!$H:$H,$H21))&lt;&gt;0),"Free Game has a non-zero Entry Fee. Free Game records require a $0 Entry Fee; ",""))</f>
        <v/>
      </c>
      <c r="G21" s="331" t="str">
        <f>IF($H21="","",IFERROR(INDEX('Game Records'!$M:$M,$H21),""))</f>
        <v/>
      </c>
      <c r="H21" s="104" t="str">
        <f>IF($H20="","",IFERROR(MATCH(1,INDEX((ROW('Game Records'!$U$5:$U$504)&gt;$H20)*(('Game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1" s="104"/>
      <c r="J21" s="104"/>
    </row>
    <row r="22" ht="24" hidden="0" customHeight="1">
      <c r="A22" s="332" t="str">
        <f>IF($H22="","",ROWS($A$5:A22))</f>
        <v/>
      </c>
      <c r="B22" s="332" t="str">
        <f>IF($H22="","","G-"&amp;TEXT($A22,"0000"))</f>
        <v/>
      </c>
      <c r="C22" s="331" t="str">
        <f>IF($H22="","",IFERROR(INDEX('Game Records'!$A:$A,$H22),""))</f>
        <v/>
      </c>
      <c r="D22" s="331" t="str">
        <f>IF($H22="","",IFERROR(INDEX('Game Records'!$U:$U,$H22),""))</f>
        <v/>
      </c>
      <c r="E22" s="331" t="str">
        <f>IF($H22="","",IF($F22="","No Highlighted Fields","Highlighted Fields Present"))</f>
        <v/>
      </c>
      <c r="F22" s="331" t="str">
        <f>IF($H22="","",IF(OR(NOT(ISFORMULA(INDEX('Game Records'!$N:$N,$H22))),NOT(ISFORMULA(INDEX('Game Records'!$O:$O,$H22))),NOT(ISFORMULA(INDEX('Game Records'!$P:$P,$H22))),NOT(ISFORMULA(INDEX('Game Records'!$Q:$Q,$H22))),NOT(ISFORMULA(INDEX('Game Records'!$R:$R,$H22))),NOT(ISFORMULA(INDEX('Game Records'!$S:$S,$H22))),NOT(ISFORMULA(INDEX('Game Records'!$T:$T,$H22))),NOT(ISFORMULA(INDEX('Game Records'!$U:$U,$H22))),NOT(ISFORMULA(INDEX('Game Records'!$V:$V,$H22))),NOT(ISFORMULA(INDEX('Game Records'!$W:$W,$H22))),NOT(ISFORMULA(INDEX('Game Records'!$X:$X,$H22))),NOT(ISFORMULA(INDEX('Game Records'!$Y:$Y,$H22))),NOT(ISFORMULA(INDEX('Game Records'!$Z:$Z,$H22)))),"Formula columns missing; ","")&amp;IF(INDEX('Game Records'!$B:$B,$H22)="","Start Date; ","")&amp;IF(INDEX('Game Records'!$C:$C,$H22)="","End Date; ","")&amp;IF(AND(INDEX('Game Records'!$U:$U,$H22)&lt;&gt;"Subscription",INDEX('Game Records'!$U:$U,$H22)&lt;&gt;"Free Game",INDEX('Game Records'!$U:$U,$H22)&lt;&gt;"Disqualified — Free Game",OR(INDEX('Game Records'!$D:$D,$H22)="",LOWER(INDEX('Game Records'!$D:$D,$H22)&amp;"")="n/a")),"Entry Mode; ","")&amp;IF(AND(INDEX('Game Records'!$U:$U,$H22)&lt;&gt;"Subscription",INDEX('Game Records'!$U:$U,$H22)&lt;&gt;"Free Game",INDEX('Game Records'!$U:$U,$H22)&lt;&gt;"Disqualified — Free Game",OR(INDEX('Game Records'!$E:$E,$H22)="",LOWER(INDEX('Game Records'!$E:$E,$H22)&amp;"")="n/a")),"Game Type; ","")&amp;IF(INDEX('Game Records'!$F:$F,$H22)="","Payment Type; ","")&amp;IF(AND(INDEX('Game Records'!$U:$U,$H22)&lt;&gt;"Subscription",INDEX('Game Records'!$U:$U,$H22)&lt;&gt;"Free Game",INDEX('Game Records'!$U:$U,$H22)&lt;&gt;"Disqualified — Free Game",INDEX('Game Records'!$G:$G,$H22)=""),"Gross Pot; ","")&amp;IF(AND(INDEX('Game Records'!$U:$U,$H22)&lt;&gt;"Free Game",INDEX('Game Records'!$U:$U,$H22)&lt;&gt;"Disqualified — Free Game",INDEX('Game Records'!$H:$H,$H22)=""),"Entry Fee; ","")&amp;IF(AND(INDEX('Game Records'!$U:$U,$H22)&lt;&gt;"Subscription",INDEX('Game Records'!$U:$U,$H22)&lt;&gt;"Free Game",INDEX('Game Records'!$U:$U,$H22)&lt;&gt;"Disqualified — Free Game",INDEX('Game Records'!$I:$I,$H22)=""),"Eligible Players; ","")&amp;IF(AND(INDEX('Game Records'!$U:$U,$H22)&lt;&gt;"Subscription",INDEX('Game Records'!$U:$U,$H22)&lt;&gt;"Free Game",INDEX('Game Records'!$U:$U,$H22)&lt;&gt;"Disqualified — Free Game",INDEX('Game Records'!$J:$J,$H22)=""),"Total Players; ","")&amp;IF(AND(LOWER(INDEX('Game Records'!$D:$D,$H22)&amp;"")="finalized",LOWER(INDEX('Game Records'!$L:$L,$H22)&amp;"")&lt;&gt;"yes",INDEX('Game Records'!$U:$U,$H22)&lt;&gt;"Subscription",INDEX('Game Records'!$U:$U,$H22)&lt;&gt;"Free Game",INDEX('Game Records'!$U:$U,$H22)&lt;&gt;"Disqualified — Free Game",INDEX('Game Records'!$K:$K,$H22)=""),"Final Earned; ","")&amp;IF(AND(LOWER(INDEX('Game Records'!$D:$D,$H22)&amp;"")="finalized",INDEX('Game Records'!$U:$U,$H22)&lt;&gt;"Subscription",INDEX('Game Records'!$U:$U,$H22)&lt;&gt;"Free Game",INDEX('Game Records'!$U:$U,$H22)&lt;&gt;"Disqualified — Free Game",OR(INDEX('Game Records'!$L:$L,$H22)="",LOWER(INDEX('Game Records'!$L:$L,$H22)&amp;"")="n/a")),"Disqualified Status; ","")&amp;IF(AND(OR(LOWER(TRIM(INDEX('Game Records'!$F:$F,$H22)&amp;""))="free game",INDEX('Game Records'!$U:$U,$H22)="Free Game",INDEX('Game Records'!$U:$U,$H22)="Disqualified — Free Game"),N(INDEX('Game Records'!$H:$H,$H22))&lt;&gt;0),"Free Game has a non-zero Entry Fee. Free Game records require a $0 Entry Fee; ",""))</f>
        <v/>
      </c>
      <c r="G22" s="331" t="str">
        <f>IF($H22="","",IFERROR(INDEX('Game Records'!$M:$M,$H22),""))</f>
        <v/>
      </c>
      <c r="H22" s="104" t="str">
        <f>IF($H21="","",IFERROR(MATCH(1,INDEX((ROW('Game Records'!$U$5:$U$504)&gt;$H21)*(('Game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2" s="104"/>
      <c r="J22" s="104"/>
    </row>
    <row r="23" ht="24" hidden="0" customHeight="1">
      <c r="A23" s="332" t="str">
        <f>IF($H23="","",ROWS($A$5:A23))</f>
        <v/>
      </c>
      <c r="B23" s="332" t="str">
        <f>IF($H23="","","G-"&amp;TEXT($A23,"0000"))</f>
        <v/>
      </c>
      <c r="C23" s="331" t="str">
        <f>IF($H23="","",IFERROR(INDEX('Game Records'!$A:$A,$H23),""))</f>
        <v/>
      </c>
      <c r="D23" s="331" t="str">
        <f>IF($H23="","",IFERROR(INDEX('Game Records'!$U:$U,$H23),""))</f>
        <v/>
      </c>
      <c r="E23" s="331" t="str">
        <f>IF($H23="","",IF($F23="","No Highlighted Fields","Highlighted Fields Present"))</f>
        <v/>
      </c>
      <c r="F23" s="331" t="str">
        <f>IF($H23="","",IF(OR(NOT(ISFORMULA(INDEX('Game Records'!$N:$N,$H23))),NOT(ISFORMULA(INDEX('Game Records'!$O:$O,$H23))),NOT(ISFORMULA(INDEX('Game Records'!$P:$P,$H23))),NOT(ISFORMULA(INDEX('Game Records'!$Q:$Q,$H23))),NOT(ISFORMULA(INDEX('Game Records'!$R:$R,$H23))),NOT(ISFORMULA(INDEX('Game Records'!$S:$S,$H23))),NOT(ISFORMULA(INDEX('Game Records'!$T:$T,$H23))),NOT(ISFORMULA(INDEX('Game Records'!$U:$U,$H23))),NOT(ISFORMULA(INDEX('Game Records'!$V:$V,$H23))),NOT(ISFORMULA(INDEX('Game Records'!$W:$W,$H23))),NOT(ISFORMULA(INDEX('Game Records'!$X:$X,$H23))),NOT(ISFORMULA(INDEX('Game Records'!$Y:$Y,$H23))),NOT(ISFORMULA(INDEX('Game Records'!$Z:$Z,$H23)))),"Formula columns missing; ","")&amp;IF(INDEX('Game Records'!$B:$B,$H23)="","Start Date; ","")&amp;IF(INDEX('Game Records'!$C:$C,$H23)="","End Date; ","")&amp;IF(AND(INDEX('Game Records'!$U:$U,$H23)&lt;&gt;"Subscription",INDEX('Game Records'!$U:$U,$H23)&lt;&gt;"Free Game",INDEX('Game Records'!$U:$U,$H23)&lt;&gt;"Disqualified — Free Game",OR(INDEX('Game Records'!$D:$D,$H23)="",LOWER(INDEX('Game Records'!$D:$D,$H23)&amp;"")="n/a")),"Entry Mode; ","")&amp;IF(AND(INDEX('Game Records'!$U:$U,$H23)&lt;&gt;"Subscription",INDEX('Game Records'!$U:$U,$H23)&lt;&gt;"Free Game",INDEX('Game Records'!$U:$U,$H23)&lt;&gt;"Disqualified — Free Game",OR(INDEX('Game Records'!$E:$E,$H23)="",LOWER(INDEX('Game Records'!$E:$E,$H23)&amp;"")="n/a")),"Game Type; ","")&amp;IF(INDEX('Game Records'!$F:$F,$H23)="","Payment Type; ","")&amp;IF(AND(INDEX('Game Records'!$U:$U,$H23)&lt;&gt;"Subscription",INDEX('Game Records'!$U:$U,$H23)&lt;&gt;"Free Game",INDEX('Game Records'!$U:$U,$H23)&lt;&gt;"Disqualified — Free Game",INDEX('Game Records'!$G:$G,$H23)=""),"Gross Pot; ","")&amp;IF(AND(INDEX('Game Records'!$U:$U,$H23)&lt;&gt;"Free Game",INDEX('Game Records'!$U:$U,$H23)&lt;&gt;"Disqualified — Free Game",INDEX('Game Records'!$H:$H,$H23)=""),"Entry Fee; ","")&amp;IF(AND(INDEX('Game Records'!$U:$U,$H23)&lt;&gt;"Subscription",INDEX('Game Records'!$U:$U,$H23)&lt;&gt;"Free Game",INDEX('Game Records'!$U:$U,$H23)&lt;&gt;"Disqualified — Free Game",INDEX('Game Records'!$I:$I,$H23)=""),"Eligible Players; ","")&amp;IF(AND(INDEX('Game Records'!$U:$U,$H23)&lt;&gt;"Subscription",INDEX('Game Records'!$U:$U,$H23)&lt;&gt;"Free Game",INDEX('Game Records'!$U:$U,$H23)&lt;&gt;"Disqualified — Free Game",INDEX('Game Records'!$J:$J,$H23)=""),"Total Players; ","")&amp;IF(AND(LOWER(INDEX('Game Records'!$D:$D,$H23)&amp;"")="finalized",LOWER(INDEX('Game Records'!$L:$L,$H23)&amp;"")&lt;&gt;"yes",INDEX('Game Records'!$U:$U,$H23)&lt;&gt;"Subscription",INDEX('Game Records'!$U:$U,$H23)&lt;&gt;"Free Game",INDEX('Game Records'!$U:$U,$H23)&lt;&gt;"Disqualified — Free Game",INDEX('Game Records'!$K:$K,$H23)=""),"Final Earned; ","")&amp;IF(AND(LOWER(INDEX('Game Records'!$D:$D,$H23)&amp;"")="finalized",INDEX('Game Records'!$U:$U,$H23)&lt;&gt;"Subscription",INDEX('Game Records'!$U:$U,$H23)&lt;&gt;"Free Game",INDEX('Game Records'!$U:$U,$H23)&lt;&gt;"Disqualified — Free Game",OR(INDEX('Game Records'!$L:$L,$H23)="",LOWER(INDEX('Game Records'!$L:$L,$H23)&amp;"")="n/a")),"Disqualified Status; ","")&amp;IF(AND(OR(LOWER(TRIM(INDEX('Game Records'!$F:$F,$H23)&amp;""))="free game",INDEX('Game Records'!$U:$U,$H23)="Free Game",INDEX('Game Records'!$U:$U,$H23)="Disqualified — Free Game"),N(INDEX('Game Records'!$H:$H,$H23))&lt;&gt;0),"Free Game has a non-zero Entry Fee. Free Game records require a $0 Entry Fee; ",""))</f>
        <v/>
      </c>
      <c r="G23" s="331" t="str">
        <f>IF($H23="","",IFERROR(INDEX('Game Records'!$M:$M,$H23),""))</f>
        <v/>
      </c>
      <c r="H23" s="104" t="str">
        <f>IF($H22="","",IFERROR(MATCH(1,INDEX((ROW('Game Records'!$U$5:$U$504)&gt;$H22)*(('Game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3" s="104"/>
      <c r="J23" s="104"/>
    </row>
    <row r="24" ht="24" hidden="0" customHeight="1">
      <c r="A24" s="332" t="str">
        <f>IF($H24="","",ROWS($A$5:A24))</f>
        <v/>
      </c>
      <c r="B24" s="332" t="str">
        <f>IF($H24="","","G-"&amp;TEXT($A24,"0000"))</f>
        <v/>
      </c>
      <c r="C24" s="331" t="str">
        <f>IF($H24="","",IFERROR(INDEX('Game Records'!$A:$A,$H24),""))</f>
        <v/>
      </c>
      <c r="D24" s="331" t="str">
        <f>IF($H24="","",IFERROR(INDEX('Game Records'!$U:$U,$H24),""))</f>
        <v/>
      </c>
      <c r="E24" s="331" t="str">
        <f>IF($H24="","",IF($F24="","No Highlighted Fields","Highlighted Fields Present"))</f>
        <v/>
      </c>
      <c r="F24" s="331" t="str">
        <f>IF($H24="","",IF(OR(NOT(ISFORMULA(INDEX('Game Records'!$N:$N,$H24))),NOT(ISFORMULA(INDEX('Game Records'!$O:$O,$H24))),NOT(ISFORMULA(INDEX('Game Records'!$P:$P,$H24))),NOT(ISFORMULA(INDEX('Game Records'!$Q:$Q,$H24))),NOT(ISFORMULA(INDEX('Game Records'!$R:$R,$H24))),NOT(ISFORMULA(INDEX('Game Records'!$S:$S,$H24))),NOT(ISFORMULA(INDEX('Game Records'!$T:$T,$H24))),NOT(ISFORMULA(INDEX('Game Records'!$U:$U,$H24))),NOT(ISFORMULA(INDEX('Game Records'!$V:$V,$H24))),NOT(ISFORMULA(INDEX('Game Records'!$W:$W,$H24))),NOT(ISFORMULA(INDEX('Game Records'!$X:$X,$H24))),NOT(ISFORMULA(INDEX('Game Records'!$Y:$Y,$H24))),NOT(ISFORMULA(INDEX('Game Records'!$Z:$Z,$H24)))),"Formula columns missing; ","")&amp;IF(INDEX('Game Records'!$B:$B,$H24)="","Start Date; ","")&amp;IF(INDEX('Game Records'!$C:$C,$H24)="","End Date; ","")&amp;IF(AND(INDEX('Game Records'!$U:$U,$H24)&lt;&gt;"Subscription",INDEX('Game Records'!$U:$U,$H24)&lt;&gt;"Free Game",INDEX('Game Records'!$U:$U,$H24)&lt;&gt;"Disqualified — Free Game",OR(INDEX('Game Records'!$D:$D,$H24)="",LOWER(INDEX('Game Records'!$D:$D,$H24)&amp;"")="n/a")),"Entry Mode; ","")&amp;IF(AND(INDEX('Game Records'!$U:$U,$H24)&lt;&gt;"Subscription",INDEX('Game Records'!$U:$U,$H24)&lt;&gt;"Free Game",INDEX('Game Records'!$U:$U,$H24)&lt;&gt;"Disqualified — Free Game",OR(INDEX('Game Records'!$E:$E,$H24)="",LOWER(INDEX('Game Records'!$E:$E,$H24)&amp;"")="n/a")),"Game Type; ","")&amp;IF(INDEX('Game Records'!$F:$F,$H24)="","Payment Type; ","")&amp;IF(AND(INDEX('Game Records'!$U:$U,$H24)&lt;&gt;"Subscription",INDEX('Game Records'!$U:$U,$H24)&lt;&gt;"Free Game",INDEX('Game Records'!$U:$U,$H24)&lt;&gt;"Disqualified — Free Game",INDEX('Game Records'!$G:$G,$H24)=""),"Gross Pot; ","")&amp;IF(AND(INDEX('Game Records'!$U:$U,$H24)&lt;&gt;"Free Game",INDEX('Game Records'!$U:$U,$H24)&lt;&gt;"Disqualified — Free Game",INDEX('Game Records'!$H:$H,$H24)=""),"Entry Fee; ","")&amp;IF(AND(INDEX('Game Records'!$U:$U,$H24)&lt;&gt;"Subscription",INDEX('Game Records'!$U:$U,$H24)&lt;&gt;"Free Game",INDEX('Game Records'!$U:$U,$H24)&lt;&gt;"Disqualified — Free Game",INDEX('Game Records'!$I:$I,$H24)=""),"Eligible Players; ","")&amp;IF(AND(INDEX('Game Records'!$U:$U,$H24)&lt;&gt;"Subscription",INDEX('Game Records'!$U:$U,$H24)&lt;&gt;"Free Game",INDEX('Game Records'!$U:$U,$H24)&lt;&gt;"Disqualified — Free Game",INDEX('Game Records'!$J:$J,$H24)=""),"Total Players; ","")&amp;IF(AND(LOWER(INDEX('Game Records'!$D:$D,$H24)&amp;"")="finalized",LOWER(INDEX('Game Records'!$L:$L,$H24)&amp;"")&lt;&gt;"yes",INDEX('Game Records'!$U:$U,$H24)&lt;&gt;"Subscription",INDEX('Game Records'!$U:$U,$H24)&lt;&gt;"Free Game",INDEX('Game Records'!$U:$U,$H24)&lt;&gt;"Disqualified — Free Game",INDEX('Game Records'!$K:$K,$H24)=""),"Final Earned; ","")&amp;IF(AND(LOWER(INDEX('Game Records'!$D:$D,$H24)&amp;"")="finalized",INDEX('Game Records'!$U:$U,$H24)&lt;&gt;"Subscription",INDEX('Game Records'!$U:$U,$H24)&lt;&gt;"Free Game",INDEX('Game Records'!$U:$U,$H24)&lt;&gt;"Disqualified — Free Game",OR(INDEX('Game Records'!$L:$L,$H24)="",LOWER(INDEX('Game Records'!$L:$L,$H24)&amp;"")="n/a")),"Disqualified Status; ","")&amp;IF(AND(OR(LOWER(TRIM(INDEX('Game Records'!$F:$F,$H24)&amp;""))="free game",INDEX('Game Records'!$U:$U,$H24)="Free Game",INDEX('Game Records'!$U:$U,$H24)="Disqualified — Free Game"),N(INDEX('Game Records'!$H:$H,$H24))&lt;&gt;0),"Free Game has a non-zero Entry Fee. Free Game records require a $0 Entry Fee; ",""))</f>
        <v/>
      </c>
      <c r="G24" s="331" t="str">
        <f>IF($H24="","",IFERROR(INDEX('Game Records'!$M:$M,$H24),""))</f>
        <v/>
      </c>
      <c r="H24" s="104" t="str">
        <f>IF($H23="","",IFERROR(MATCH(1,INDEX((ROW('Game Records'!$U$5:$U$504)&gt;$H23)*(('Game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4" s="104"/>
      <c r="J24" s="104"/>
    </row>
    <row r="25" ht="24" hidden="0" customHeight="1">
      <c r="A25" s="332" t="str">
        <f>IF($H25="","",ROWS($A$5:A25))</f>
        <v/>
      </c>
      <c r="B25" s="332" t="str">
        <f>IF($H25="","","G-"&amp;TEXT($A25,"0000"))</f>
        <v/>
      </c>
      <c r="C25" s="331" t="str">
        <f>IF($H25="","",IFERROR(INDEX('Game Records'!$A:$A,$H25),""))</f>
        <v/>
      </c>
      <c r="D25" s="331" t="str">
        <f>IF($H25="","",IFERROR(INDEX('Game Records'!$U:$U,$H25),""))</f>
        <v/>
      </c>
      <c r="E25" s="331" t="str">
        <f>IF($H25="","",IF($F25="","No Highlighted Fields","Highlighted Fields Present"))</f>
        <v/>
      </c>
      <c r="F25" s="331" t="str">
        <f>IF($H25="","",IF(OR(NOT(ISFORMULA(INDEX('Game Records'!$N:$N,$H25))),NOT(ISFORMULA(INDEX('Game Records'!$O:$O,$H25))),NOT(ISFORMULA(INDEX('Game Records'!$P:$P,$H25))),NOT(ISFORMULA(INDEX('Game Records'!$Q:$Q,$H25))),NOT(ISFORMULA(INDEX('Game Records'!$R:$R,$H25))),NOT(ISFORMULA(INDEX('Game Records'!$S:$S,$H25))),NOT(ISFORMULA(INDEX('Game Records'!$T:$T,$H25))),NOT(ISFORMULA(INDEX('Game Records'!$U:$U,$H25))),NOT(ISFORMULA(INDEX('Game Records'!$V:$V,$H25))),NOT(ISFORMULA(INDEX('Game Records'!$W:$W,$H25))),NOT(ISFORMULA(INDEX('Game Records'!$X:$X,$H25))),NOT(ISFORMULA(INDEX('Game Records'!$Y:$Y,$H25))),NOT(ISFORMULA(INDEX('Game Records'!$Z:$Z,$H25)))),"Formula columns missing; ","")&amp;IF(INDEX('Game Records'!$B:$B,$H25)="","Start Date; ","")&amp;IF(INDEX('Game Records'!$C:$C,$H25)="","End Date; ","")&amp;IF(AND(INDEX('Game Records'!$U:$U,$H25)&lt;&gt;"Subscription",INDEX('Game Records'!$U:$U,$H25)&lt;&gt;"Free Game",INDEX('Game Records'!$U:$U,$H25)&lt;&gt;"Disqualified — Free Game",OR(INDEX('Game Records'!$D:$D,$H25)="",LOWER(INDEX('Game Records'!$D:$D,$H25)&amp;"")="n/a")),"Entry Mode; ","")&amp;IF(AND(INDEX('Game Records'!$U:$U,$H25)&lt;&gt;"Subscription",INDEX('Game Records'!$U:$U,$H25)&lt;&gt;"Free Game",INDEX('Game Records'!$U:$U,$H25)&lt;&gt;"Disqualified — Free Game",OR(INDEX('Game Records'!$E:$E,$H25)="",LOWER(INDEX('Game Records'!$E:$E,$H25)&amp;"")="n/a")),"Game Type; ","")&amp;IF(INDEX('Game Records'!$F:$F,$H25)="","Payment Type; ","")&amp;IF(AND(INDEX('Game Records'!$U:$U,$H25)&lt;&gt;"Subscription",INDEX('Game Records'!$U:$U,$H25)&lt;&gt;"Free Game",INDEX('Game Records'!$U:$U,$H25)&lt;&gt;"Disqualified — Free Game",INDEX('Game Records'!$G:$G,$H25)=""),"Gross Pot; ","")&amp;IF(AND(INDEX('Game Records'!$U:$U,$H25)&lt;&gt;"Free Game",INDEX('Game Records'!$U:$U,$H25)&lt;&gt;"Disqualified — Free Game",INDEX('Game Records'!$H:$H,$H25)=""),"Entry Fee; ","")&amp;IF(AND(INDEX('Game Records'!$U:$U,$H25)&lt;&gt;"Subscription",INDEX('Game Records'!$U:$U,$H25)&lt;&gt;"Free Game",INDEX('Game Records'!$U:$U,$H25)&lt;&gt;"Disqualified — Free Game",INDEX('Game Records'!$I:$I,$H25)=""),"Eligible Players; ","")&amp;IF(AND(INDEX('Game Records'!$U:$U,$H25)&lt;&gt;"Subscription",INDEX('Game Records'!$U:$U,$H25)&lt;&gt;"Free Game",INDEX('Game Records'!$U:$U,$H25)&lt;&gt;"Disqualified — Free Game",INDEX('Game Records'!$J:$J,$H25)=""),"Total Players; ","")&amp;IF(AND(LOWER(INDEX('Game Records'!$D:$D,$H25)&amp;"")="finalized",LOWER(INDEX('Game Records'!$L:$L,$H25)&amp;"")&lt;&gt;"yes",INDEX('Game Records'!$U:$U,$H25)&lt;&gt;"Subscription",INDEX('Game Records'!$U:$U,$H25)&lt;&gt;"Free Game",INDEX('Game Records'!$U:$U,$H25)&lt;&gt;"Disqualified — Free Game",INDEX('Game Records'!$K:$K,$H25)=""),"Final Earned; ","")&amp;IF(AND(LOWER(INDEX('Game Records'!$D:$D,$H25)&amp;"")="finalized",INDEX('Game Records'!$U:$U,$H25)&lt;&gt;"Subscription",INDEX('Game Records'!$U:$U,$H25)&lt;&gt;"Free Game",INDEX('Game Records'!$U:$U,$H25)&lt;&gt;"Disqualified — Free Game",OR(INDEX('Game Records'!$L:$L,$H25)="",LOWER(INDEX('Game Records'!$L:$L,$H25)&amp;"")="n/a")),"Disqualified Status; ","")&amp;IF(AND(OR(LOWER(TRIM(INDEX('Game Records'!$F:$F,$H25)&amp;""))="free game",INDEX('Game Records'!$U:$U,$H25)="Free Game",INDEX('Game Records'!$U:$U,$H25)="Disqualified — Free Game"),N(INDEX('Game Records'!$H:$H,$H25))&lt;&gt;0),"Free Game has a non-zero Entry Fee. Free Game records require a $0 Entry Fee; ",""))</f>
        <v/>
      </c>
      <c r="G25" s="331" t="str">
        <f>IF($H25="","",IFERROR(INDEX('Game Records'!$M:$M,$H25),""))</f>
        <v/>
      </c>
      <c r="H25" s="104" t="str">
        <f>IF($H24="","",IFERROR(MATCH(1,INDEX((ROW('Game Records'!$U$5:$U$504)&gt;$H24)*(('Game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5" s="104"/>
      <c r="J25" s="104"/>
    </row>
    <row r="26" ht="24" hidden="0" customHeight="1">
      <c r="A26" s="332" t="str">
        <f>IF($H26="","",ROWS($A$5:A26))</f>
        <v/>
      </c>
      <c r="B26" s="332" t="str">
        <f>IF($H26="","","G-"&amp;TEXT($A26,"0000"))</f>
        <v/>
      </c>
      <c r="C26" s="331" t="str">
        <f>IF($H26="","",IFERROR(INDEX('Game Records'!$A:$A,$H26),""))</f>
        <v/>
      </c>
      <c r="D26" s="331" t="str">
        <f>IF($H26="","",IFERROR(INDEX('Game Records'!$U:$U,$H26),""))</f>
        <v/>
      </c>
      <c r="E26" s="331" t="str">
        <f>IF($H26="","",IF($F26="","No Highlighted Fields","Highlighted Fields Present"))</f>
        <v/>
      </c>
      <c r="F26" s="331" t="str">
        <f>IF($H26="","",IF(OR(NOT(ISFORMULA(INDEX('Game Records'!$N:$N,$H26))),NOT(ISFORMULA(INDEX('Game Records'!$O:$O,$H26))),NOT(ISFORMULA(INDEX('Game Records'!$P:$P,$H26))),NOT(ISFORMULA(INDEX('Game Records'!$Q:$Q,$H26))),NOT(ISFORMULA(INDEX('Game Records'!$R:$R,$H26))),NOT(ISFORMULA(INDEX('Game Records'!$S:$S,$H26))),NOT(ISFORMULA(INDEX('Game Records'!$T:$T,$H26))),NOT(ISFORMULA(INDEX('Game Records'!$U:$U,$H26))),NOT(ISFORMULA(INDEX('Game Records'!$V:$V,$H26))),NOT(ISFORMULA(INDEX('Game Records'!$W:$W,$H26))),NOT(ISFORMULA(INDEX('Game Records'!$X:$X,$H26))),NOT(ISFORMULA(INDEX('Game Records'!$Y:$Y,$H26))),NOT(ISFORMULA(INDEX('Game Records'!$Z:$Z,$H26)))),"Formula columns missing; ","")&amp;IF(INDEX('Game Records'!$B:$B,$H26)="","Start Date; ","")&amp;IF(INDEX('Game Records'!$C:$C,$H26)="","End Date; ","")&amp;IF(AND(INDEX('Game Records'!$U:$U,$H26)&lt;&gt;"Subscription",INDEX('Game Records'!$U:$U,$H26)&lt;&gt;"Free Game",INDEX('Game Records'!$U:$U,$H26)&lt;&gt;"Disqualified — Free Game",OR(INDEX('Game Records'!$D:$D,$H26)="",LOWER(INDEX('Game Records'!$D:$D,$H26)&amp;"")="n/a")),"Entry Mode; ","")&amp;IF(AND(INDEX('Game Records'!$U:$U,$H26)&lt;&gt;"Subscription",INDEX('Game Records'!$U:$U,$H26)&lt;&gt;"Free Game",INDEX('Game Records'!$U:$U,$H26)&lt;&gt;"Disqualified — Free Game",OR(INDEX('Game Records'!$E:$E,$H26)="",LOWER(INDEX('Game Records'!$E:$E,$H26)&amp;"")="n/a")),"Game Type; ","")&amp;IF(INDEX('Game Records'!$F:$F,$H26)="","Payment Type; ","")&amp;IF(AND(INDEX('Game Records'!$U:$U,$H26)&lt;&gt;"Subscription",INDEX('Game Records'!$U:$U,$H26)&lt;&gt;"Free Game",INDEX('Game Records'!$U:$U,$H26)&lt;&gt;"Disqualified — Free Game",INDEX('Game Records'!$G:$G,$H26)=""),"Gross Pot; ","")&amp;IF(AND(INDEX('Game Records'!$U:$U,$H26)&lt;&gt;"Free Game",INDEX('Game Records'!$U:$U,$H26)&lt;&gt;"Disqualified — Free Game",INDEX('Game Records'!$H:$H,$H26)=""),"Entry Fee; ","")&amp;IF(AND(INDEX('Game Records'!$U:$U,$H26)&lt;&gt;"Subscription",INDEX('Game Records'!$U:$U,$H26)&lt;&gt;"Free Game",INDEX('Game Records'!$U:$U,$H26)&lt;&gt;"Disqualified — Free Game",INDEX('Game Records'!$I:$I,$H26)=""),"Eligible Players; ","")&amp;IF(AND(INDEX('Game Records'!$U:$U,$H26)&lt;&gt;"Subscription",INDEX('Game Records'!$U:$U,$H26)&lt;&gt;"Free Game",INDEX('Game Records'!$U:$U,$H26)&lt;&gt;"Disqualified — Free Game",INDEX('Game Records'!$J:$J,$H26)=""),"Total Players; ","")&amp;IF(AND(LOWER(INDEX('Game Records'!$D:$D,$H26)&amp;"")="finalized",LOWER(INDEX('Game Records'!$L:$L,$H26)&amp;"")&lt;&gt;"yes",INDEX('Game Records'!$U:$U,$H26)&lt;&gt;"Subscription",INDEX('Game Records'!$U:$U,$H26)&lt;&gt;"Free Game",INDEX('Game Records'!$U:$U,$H26)&lt;&gt;"Disqualified — Free Game",INDEX('Game Records'!$K:$K,$H26)=""),"Final Earned; ","")&amp;IF(AND(LOWER(INDEX('Game Records'!$D:$D,$H26)&amp;"")="finalized",INDEX('Game Records'!$U:$U,$H26)&lt;&gt;"Subscription",INDEX('Game Records'!$U:$U,$H26)&lt;&gt;"Free Game",INDEX('Game Records'!$U:$U,$H26)&lt;&gt;"Disqualified — Free Game",OR(INDEX('Game Records'!$L:$L,$H26)="",LOWER(INDEX('Game Records'!$L:$L,$H26)&amp;"")="n/a")),"Disqualified Status; ","")&amp;IF(AND(OR(LOWER(TRIM(INDEX('Game Records'!$F:$F,$H26)&amp;""))="free game",INDEX('Game Records'!$U:$U,$H26)="Free Game",INDEX('Game Records'!$U:$U,$H26)="Disqualified — Free Game"),N(INDEX('Game Records'!$H:$H,$H26))&lt;&gt;0),"Free Game has a non-zero Entry Fee. Free Game records require a $0 Entry Fee; ",""))</f>
        <v/>
      </c>
      <c r="G26" s="331" t="str">
        <f>IF($H26="","",IFERROR(INDEX('Game Records'!$M:$M,$H26),""))</f>
        <v/>
      </c>
      <c r="H26" s="104" t="str">
        <f>IF($H25="","",IFERROR(MATCH(1,INDEX((ROW('Game Records'!$U$5:$U$504)&gt;$H25)*(('Game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6" s="104"/>
      <c r="J26" s="104"/>
    </row>
    <row r="27" ht="24" hidden="0" customHeight="1">
      <c r="A27" s="332" t="str">
        <f>IF($H27="","",ROWS($A$5:A27))</f>
        <v/>
      </c>
      <c r="B27" s="332" t="str">
        <f>IF($H27="","","G-"&amp;TEXT($A27,"0000"))</f>
        <v/>
      </c>
      <c r="C27" s="331" t="str">
        <f>IF($H27="","",IFERROR(INDEX('Game Records'!$A:$A,$H27),""))</f>
        <v/>
      </c>
      <c r="D27" s="331" t="str">
        <f>IF($H27="","",IFERROR(INDEX('Game Records'!$U:$U,$H27),""))</f>
        <v/>
      </c>
      <c r="E27" s="331" t="str">
        <f>IF($H27="","",IF($F27="","No Highlighted Fields","Highlighted Fields Present"))</f>
        <v/>
      </c>
      <c r="F27" s="331" t="str">
        <f>IF($H27="","",IF(OR(NOT(ISFORMULA(INDEX('Game Records'!$N:$N,$H27))),NOT(ISFORMULA(INDEX('Game Records'!$O:$O,$H27))),NOT(ISFORMULA(INDEX('Game Records'!$P:$P,$H27))),NOT(ISFORMULA(INDEX('Game Records'!$Q:$Q,$H27))),NOT(ISFORMULA(INDEX('Game Records'!$R:$R,$H27))),NOT(ISFORMULA(INDEX('Game Records'!$S:$S,$H27))),NOT(ISFORMULA(INDEX('Game Records'!$T:$T,$H27))),NOT(ISFORMULA(INDEX('Game Records'!$U:$U,$H27))),NOT(ISFORMULA(INDEX('Game Records'!$V:$V,$H27))),NOT(ISFORMULA(INDEX('Game Records'!$W:$W,$H27))),NOT(ISFORMULA(INDEX('Game Records'!$X:$X,$H27))),NOT(ISFORMULA(INDEX('Game Records'!$Y:$Y,$H27))),NOT(ISFORMULA(INDEX('Game Records'!$Z:$Z,$H27)))),"Formula columns missing; ","")&amp;IF(INDEX('Game Records'!$B:$B,$H27)="","Start Date; ","")&amp;IF(INDEX('Game Records'!$C:$C,$H27)="","End Date; ","")&amp;IF(AND(INDEX('Game Records'!$U:$U,$H27)&lt;&gt;"Subscription",INDEX('Game Records'!$U:$U,$H27)&lt;&gt;"Free Game",INDEX('Game Records'!$U:$U,$H27)&lt;&gt;"Disqualified — Free Game",OR(INDEX('Game Records'!$D:$D,$H27)="",LOWER(INDEX('Game Records'!$D:$D,$H27)&amp;"")="n/a")),"Entry Mode; ","")&amp;IF(AND(INDEX('Game Records'!$U:$U,$H27)&lt;&gt;"Subscription",INDEX('Game Records'!$U:$U,$H27)&lt;&gt;"Free Game",INDEX('Game Records'!$U:$U,$H27)&lt;&gt;"Disqualified — Free Game",OR(INDEX('Game Records'!$E:$E,$H27)="",LOWER(INDEX('Game Records'!$E:$E,$H27)&amp;"")="n/a")),"Game Type; ","")&amp;IF(INDEX('Game Records'!$F:$F,$H27)="","Payment Type; ","")&amp;IF(AND(INDEX('Game Records'!$U:$U,$H27)&lt;&gt;"Subscription",INDEX('Game Records'!$U:$U,$H27)&lt;&gt;"Free Game",INDEX('Game Records'!$U:$U,$H27)&lt;&gt;"Disqualified — Free Game",INDEX('Game Records'!$G:$G,$H27)=""),"Gross Pot; ","")&amp;IF(AND(INDEX('Game Records'!$U:$U,$H27)&lt;&gt;"Free Game",INDEX('Game Records'!$U:$U,$H27)&lt;&gt;"Disqualified — Free Game",INDEX('Game Records'!$H:$H,$H27)=""),"Entry Fee; ","")&amp;IF(AND(INDEX('Game Records'!$U:$U,$H27)&lt;&gt;"Subscription",INDEX('Game Records'!$U:$U,$H27)&lt;&gt;"Free Game",INDEX('Game Records'!$U:$U,$H27)&lt;&gt;"Disqualified — Free Game",INDEX('Game Records'!$I:$I,$H27)=""),"Eligible Players; ","")&amp;IF(AND(INDEX('Game Records'!$U:$U,$H27)&lt;&gt;"Subscription",INDEX('Game Records'!$U:$U,$H27)&lt;&gt;"Free Game",INDEX('Game Records'!$U:$U,$H27)&lt;&gt;"Disqualified — Free Game",INDEX('Game Records'!$J:$J,$H27)=""),"Total Players; ","")&amp;IF(AND(LOWER(INDEX('Game Records'!$D:$D,$H27)&amp;"")="finalized",LOWER(INDEX('Game Records'!$L:$L,$H27)&amp;"")&lt;&gt;"yes",INDEX('Game Records'!$U:$U,$H27)&lt;&gt;"Subscription",INDEX('Game Records'!$U:$U,$H27)&lt;&gt;"Free Game",INDEX('Game Records'!$U:$U,$H27)&lt;&gt;"Disqualified — Free Game",INDEX('Game Records'!$K:$K,$H27)=""),"Final Earned; ","")&amp;IF(AND(LOWER(INDEX('Game Records'!$D:$D,$H27)&amp;"")="finalized",INDEX('Game Records'!$U:$U,$H27)&lt;&gt;"Subscription",INDEX('Game Records'!$U:$U,$H27)&lt;&gt;"Free Game",INDEX('Game Records'!$U:$U,$H27)&lt;&gt;"Disqualified — Free Game",OR(INDEX('Game Records'!$L:$L,$H27)="",LOWER(INDEX('Game Records'!$L:$L,$H27)&amp;"")="n/a")),"Disqualified Status; ","")&amp;IF(AND(OR(LOWER(TRIM(INDEX('Game Records'!$F:$F,$H27)&amp;""))="free game",INDEX('Game Records'!$U:$U,$H27)="Free Game",INDEX('Game Records'!$U:$U,$H27)="Disqualified — Free Game"),N(INDEX('Game Records'!$H:$H,$H27))&lt;&gt;0),"Free Game has a non-zero Entry Fee. Free Game records require a $0 Entry Fee; ",""))</f>
        <v/>
      </c>
      <c r="G27" s="331" t="str">
        <f>IF($H27="","",IFERROR(INDEX('Game Records'!$M:$M,$H27),""))</f>
        <v/>
      </c>
      <c r="H27" s="104" t="str">
        <f>IF($H26="","",IFERROR(MATCH(1,INDEX((ROW('Game Records'!$U$5:$U$504)&gt;$H26)*(('Game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7" s="104"/>
      <c r="J27" s="104"/>
    </row>
    <row r="28" ht="24" hidden="0" customHeight="1">
      <c r="A28" s="332" t="str">
        <f>IF($H28="","",ROWS($A$5:A28))</f>
        <v/>
      </c>
      <c r="B28" s="332" t="str">
        <f>IF($H28="","","G-"&amp;TEXT($A28,"0000"))</f>
        <v/>
      </c>
      <c r="C28" s="331" t="str">
        <f>IF($H28="","",IFERROR(INDEX('Game Records'!$A:$A,$H28),""))</f>
        <v/>
      </c>
      <c r="D28" s="331" t="str">
        <f>IF($H28="","",IFERROR(INDEX('Game Records'!$U:$U,$H28),""))</f>
        <v/>
      </c>
      <c r="E28" s="331" t="str">
        <f>IF($H28="","",IF($F28="","No Highlighted Fields","Highlighted Fields Present"))</f>
        <v/>
      </c>
      <c r="F28" s="331" t="str">
        <f>IF($H28="","",IF(OR(NOT(ISFORMULA(INDEX('Game Records'!$N:$N,$H28))),NOT(ISFORMULA(INDEX('Game Records'!$O:$O,$H28))),NOT(ISFORMULA(INDEX('Game Records'!$P:$P,$H28))),NOT(ISFORMULA(INDEX('Game Records'!$Q:$Q,$H28))),NOT(ISFORMULA(INDEX('Game Records'!$R:$R,$H28))),NOT(ISFORMULA(INDEX('Game Records'!$S:$S,$H28))),NOT(ISFORMULA(INDEX('Game Records'!$T:$T,$H28))),NOT(ISFORMULA(INDEX('Game Records'!$U:$U,$H28))),NOT(ISFORMULA(INDEX('Game Records'!$V:$V,$H28))),NOT(ISFORMULA(INDEX('Game Records'!$W:$W,$H28))),NOT(ISFORMULA(INDEX('Game Records'!$X:$X,$H28))),NOT(ISFORMULA(INDEX('Game Records'!$Y:$Y,$H28))),NOT(ISFORMULA(INDEX('Game Records'!$Z:$Z,$H28)))),"Formula columns missing; ","")&amp;IF(INDEX('Game Records'!$B:$B,$H28)="","Start Date; ","")&amp;IF(INDEX('Game Records'!$C:$C,$H28)="","End Date; ","")&amp;IF(AND(INDEX('Game Records'!$U:$U,$H28)&lt;&gt;"Subscription",INDEX('Game Records'!$U:$U,$H28)&lt;&gt;"Free Game",INDEX('Game Records'!$U:$U,$H28)&lt;&gt;"Disqualified — Free Game",OR(INDEX('Game Records'!$D:$D,$H28)="",LOWER(INDEX('Game Records'!$D:$D,$H28)&amp;"")="n/a")),"Entry Mode; ","")&amp;IF(AND(INDEX('Game Records'!$U:$U,$H28)&lt;&gt;"Subscription",INDEX('Game Records'!$U:$U,$H28)&lt;&gt;"Free Game",INDEX('Game Records'!$U:$U,$H28)&lt;&gt;"Disqualified — Free Game",OR(INDEX('Game Records'!$E:$E,$H28)="",LOWER(INDEX('Game Records'!$E:$E,$H28)&amp;"")="n/a")),"Game Type; ","")&amp;IF(INDEX('Game Records'!$F:$F,$H28)="","Payment Type; ","")&amp;IF(AND(INDEX('Game Records'!$U:$U,$H28)&lt;&gt;"Subscription",INDEX('Game Records'!$U:$U,$H28)&lt;&gt;"Free Game",INDEX('Game Records'!$U:$U,$H28)&lt;&gt;"Disqualified — Free Game",INDEX('Game Records'!$G:$G,$H28)=""),"Gross Pot; ","")&amp;IF(AND(INDEX('Game Records'!$U:$U,$H28)&lt;&gt;"Free Game",INDEX('Game Records'!$U:$U,$H28)&lt;&gt;"Disqualified — Free Game",INDEX('Game Records'!$H:$H,$H28)=""),"Entry Fee; ","")&amp;IF(AND(INDEX('Game Records'!$U:$U,$H28)&lt;&gt;"Subscription",INDEX('Game Records'!$U:$U,$H28)&lt;&gt;"Free Game",INDEX('Game Records'!$U:$U,$H28)&lt;&gt;"Disqualified — Free Game",INDEX('Game Records'!$I:$I,$H28)=""),"Eligible Players; ","")&amp;IF(AND(INDEX('Game Records'!$U:$U,$H28)&lt;&gt;"Subscription",INDEX('Game Records'!$U:$U,$H28)&lt;&gt;"Free Game",INDEX('Game Records'!$U:$U,$H28)&lt;&gt;"Disqualified — Free Game",INDEX('Game Records'!$J:$J,$H28)=""),"Total Players; ","")&amp;IF(AND(LOWER(INDEX('Game Records'!$D:$D,$H28)&amp;"")="finalized",LOWER(INDEX('Game Records'!$L:$L,$H28)&amp;"")&lt;&gt;"yes",INDEX('Game Records'!$U:$U,$H28)&lt;&gt;"Subscription",INDEX('Game Records'!$U:$U,$H28)&lt;&gt;"Free Game",INDEX('Game Records'!$U:$U,$H28)&lt;&gt;"Disqualified — Free Game",INDEX('Game Records'!$K:$K,$H28)=""),"Final Earned; ","")&amp;IF(AND(LOWER(INDEX('Game Records'!$D:$D,$H28)&amp;"")="finalized",INDEX('Game Records'!$U:$U,$H28)&lt;&gt;"Subscription",INDEX('Game Records'!$U:$U,$H28)&lt;&gt;"Free Game",INDEX('Game Records'!$U:$U,$H28)&lt;&gt;"Disqualified — Free Game",OR(INDEX('Game Records'!$L:$L,$H28)="",LOWER(INDEX('Game Records'!$L:$L,$H28)&amp;"")="n/a")),"Disqualified Status; ","")&amp;IF(AND(OR(LOWER(TRIM(INDEX('Game Records'!$F:$F,$H28)&amp;""))="free game",INDEX('Game Records'!$U:$U,$H28)="Free Game",INDEX('Game Records'!$U:$U,$H28)="Disqualified — Free Game"),N(INDEX('Game Records'!$H:$H,$H28))&lt;&gt;0),"Free Game has a non-zero Entry Fee. Free Game records require a $0 Entry Fee; ",""))</f>
        <v/>
      </c>
      <c r="G28" s="331" t="str">
        <f>IF($H28="","",IFERROR(INDEX('Game Records'!$M:$M,$H28),""))</f>
        <v/>
      </c>
      <c r="H28" s="104" t="str">
        <f>IF($H27="","",IFERROR(MATCH(1,INDEX((ROW('Game Records'!$U$5:$U$504)&gt;$H27)*(('Game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8" s="104"/>
      <c r="J28" s="104"/>
    </row>
    <row r="29" ht="24" hidden="0" customHeight="1">
      <c r="A29" s="332" t="str">
        <f>IF($H29="","",ROWS($A$5:A29))</f>
        <v/>
      </c>
      <c r="B29" s="332" t="str">
        <f>IF($H29="","","G-"&amp;TEXT($A29,"0000"))</f>
        <v/>
      </c>
      <c r="C29" s="331" t="str">
        <f>IF($H29="","",IFERROR(INDEX('Game Records'!$A:$A,$H29),""))</f>
        <v/>
      </c>
      <c r="D29" s="331" t="str">
        <f>IF($H29="","",IFERROR(INDEX('Game Records'!$U:$U,$H29),""))</f>
        <v/>
      </c>
      <c r="E29" s="331" t="str">
        <f>IF($H29="","",IF($F29="","No Highlighted Fields","Highlighted Fields Present"))</f>
        <v/>
      </c>
      <c r="F29" s="331" t="str">
        <f>IF($H29="","",IF(OR(NOT(ISFORMULA(INDEX('Game Records'!$N:$N,$H29))),NOT(ISFORMULA(INDEX('Game Records'!$O:$O,$H29))),NOT(ISFORMULA(INDEX('Game Records'!$P:$P,$H29))),NOT(ISFORMULA(INDEX('Game Records'!$Q:$Q,$H29))),NOT(ISFORMULA(INDEX('Game Records'!$R:$R,$H29))),NOT(ISFORMULA(INDEX('Game Records'!$S:$S,$H29))),NOT(ISFORMULA(INDEX('Game Records'!$T:$T,$H29))),NOT(ISFORMULA(INDEX('Game Records'!$U:$U,$H29))),NOT(ISFORMULA(INDEX('Game Records'!$V:$V,$H29))),NOT(ISFORMULA(INDEX('Game Records'!$W:$W,$H29))),NOT(ISFORMULA(INDEX('Game Records'!$X:$X,$H29))),NOT(ISFORMULA(INDEX('Game Records'!$Y:$Y,$H29))),NOT(ISFORMULA(INDEX('Game Records'!$Z:$Z,$H29)))),"Formula columns missing; ","")&amp;IF(INDEX('Game Records'!$B:$B,$H29)="","Start Date; ","")&amp;IF(INDEX('Game Records'!$C:$C,$H29)="","End Date; ","")&amp;IF(AND(INDEX('Game Records'!$U:$U,$H29)&lt;&gt;"Subscription",INDEX('Game Records'!$U:$U,$H29)&lt;&gt;"Free Game",INDEX('Game Records'!$U:$U,$H29)&lt;&gt;"Disqualified — Free Game",OR(INDEX('Game Records'!$D:$D,$H29)="",LOWER(INDEX('Game Records'!$D:$D,$H29)&amp;"")="n/a")),"Entry Mode; ","")&amp;IF(AND(INDEX('Game Records'!$U:$U,$H29)&lt;&gt;"Subscription",INDEX('Game Records'!$U:$U,$H29)&lt;&gt;"Free Game",INDEX('Game Records'!$U:$U,$H29)&lt;&gt;"Disqualified — Free Game",OR(INDEX('Game Records'!$E:$E,$H29)="",LOWER(INDEX('Game Records'!$E:$E,$H29)&amp;"")="n/a")),"Game Type; ","")&amp;IF(INDEX('Game Records'!$F:$F,$H29)="","Payment Type; ","")&amp;IF(AND(INDEX('Game Records'!$U:$U,$H29)&lt;&gt;"Subscription",INDEX('Game Records'!$U:$U,$H29)&lt;&gt;"Free Game",INDEX('Game Records'!$U:$U,$H29)&lt;&gt;"Disqualified — Free Game",INDEX('Game Records'!$G:$G,$H29)=""),"Gross Pot; ","")&amp;IF(AND(INDEX('Game Records'!$U:$U,$H29)&lt;&gt;"Free Game",INDEX('Game Records'!$U:$U,$H29)&lt;&gt;"Disqualified — Free Game",INDEX('Game Records'!$H:$H,$H29)=""),"Entry Fee; ","")&amp;IF(AND(INDEX('Game Records'!$U:$U,$H29)&lt;&gt;"Subscription",INDEX('Game Records'!$U:$U,$H29)&lt;&gt;"Free Game",INDEX('Game Records'!$U:$U,$H29)&lt;&gt;"Disqualified — Free Game",INDEX('Game Records'!$I:$I,$H29)=""),"Eligible Players; ","")&amp;IF(AND(INDEX('Game Records'!$U:$U,$H29)&lt;&gt;"Subscription",INDEX('Game Records'!$U:$U,$H29)&lt;&gt;"Free Game",INDEX('Game Records'!$U:$U,$H29)&lt;&gt;"Disqualified — Free Game",INDEX('Game Records'!$J:$J,$H29)=""),"Total Players; ","")&amp;IF(AND(LOWER(INDEX('Game Records'!$D:$D,$H29)&amp;"")="finalized",LOWER(INDEX('Game Records'!$L:$L,$H29)&amp;"")&lt;&gt;"yes",INDEX('Game Records'!$U:$U,$H29)&lt;&gt;"Subscription",INDEX('Game Records'!$U:$U,$H29)&lt;&gt;"Free Game",INDEX('Game Records'!$U:$U,$H29)&lt;&gt;"Disqualified — Free Game",INDEX('Game Records'!$K:$K,$H29)=""),"Final Earned; ","")&amp;IF(AND(LOWER(INDEX('Game Records'!$D:$D,$H29)&amp;"")="finalized",INDEX('Game Records'!$U:$U,$H29)&lt;&gt;"Subscription",INDEX('Game Records'!$U:$U,$H29)&lt;&gt;"Free Game",INDEX('Game Records'!$U:$U,$H29)&lt;&gt;"Disqualified — Free Game",OR(INDEX('Game Records'!$L:$L,$H29)="",LOWER(INDEX('Game Records'!$L:$L,$H29)&amp;"")="n/a")),"Disqualified Status; ","")&amp;IF(AND(OR(LOWER(TRIM(INDEX('Game Records'!$F:$F,$H29)&amp;""))="free game",INDEX('Game Records'!$U:$U,$H29)="Free Game",INDEX('Game Records'!$U:$U,$H29)="Disqualified — Free Game"),N(INDEX('Game Records'!$H:$H,$H29))&lt;&gt;0),"Free Game has a non-zero Entry Fee. Free Game records require a $0 Entry Fee; ",""))</f>
        <v/>
      </c>
      <c r="G29" s="331" t="str">
        <f>IF($H29="","",IFERROR(INDEX('Game Records'!$M:$M,$H29),""))</f>
        <v/>
      </c>
      <c r="H29" s="104" t="str">
        <f>IF($H28="","",IFERROR(MATCH(1,INDEX((ROW('Game Records'!$U$5:$U$504)&gt;$H28)*(('Game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9" s="104"/>
      <c r="J29" s="104"/>
    </row>
    <row r="30" ht="24" hidden="0" customHeight="1">
      <c r="A30" s="332" t="str">
        <f>IF($H30="","",ROWS($A$5:A30))</f>
        <v/>
      </c>
      <c r="B30" s="332" t="str">
        <f>IF($H30="","","G-"&amp;TEXT($A30,"0000"))</f>
        <v/>
      </c>
      <c r="C30" s="331" t="str">
        <f>IF($H30="","",IFERROR(INDEX('Game Records'!$A:$A,$H30),""))</f>
        <v/>
      </c>
      <c r="D30" s="331" t="str">
        <f>IF($H30="","",IFERROR(INDEX('Game Records'!$U:$U,$H30),""))</f>
        <v/>
      </c>
      <c r="E30" s="331" t="str">
        <f>IF($H30="","",IF($F30="","No Highlighted Fields","Highlighted Fields Present"))</f>
        <v/>
      </c>
      <c r="F30" s="331" t="str">
        <f>IF($H30="","",IF(OR(NOT(ISFORMULA(INDEX('Game Records'!$N:$N,$H30))),NOT(ISFORMULA(INDEX('Game Records'!$O:$O,$H30))),NOT(ISFORMULA(INDEX('Game Records'!$P:$P,$H30))),NOT(ISFORMULA(INDEX('Game Records'!$Q:$Q,$H30))),NOT(ISFORMULA(INDEX('Game Records'!$R:$R,$H30))),NOT(ISFORMULA(INDEX('Game Records'!$S:$S,$H30))),NOT(ISFORMULA(INDEX('Game Records'!$T:$T,$H30))),NOT(ISFORMULA(INDEX('Game Records'!$U:$U,$H30))),NOT(ISFORMULA(INDEX('Game Records'!$V:$V,$H30))),NOT(ISFORMULA(INDEX('Game Records'!$W:$W,$H30))),NOT(ISFORMULA(INDEX('Game Records'!$X:$X,$H30))),NOT(ISFORMULA(INDEX('Game Records'!$Y:$Y,$H30))),NOT(ISFORMULA(INDEX('Game Records'!$Z:$Z,$H30)))),"Formula columns missing; ","")&amp;IF(INDEX('Game Records'!$B:$B,$H30)="","Start Date; ","")&amp;IF(INDEX('Game Records'!$C:$C,$H30)="","End Date; ","")&amp;IF(AND(INDEX('Game Records'!$U:$U,$H30)&lt;&gt;"Subscription",INDEX('Game Records'!$U:$U,$H30)&lt;&gt;"Free Game",INDEX('Game Records'!$U:$U,$H30)&lt;&gt;"Disqualified — Free Game",OR(INDEX('Game Records'!$D:$D,$H30)="",LOWER(INDEX('Game Records'!$D:$D,$H30)&amp;"")="n/a")),"Entry Mode; ","")&amp;IF(AND(INDEX('Game Records'!$U:$U,$H30)&lt;&gt;"Subscription",INDEX('Game Records'!$U:$U,$H30)&lt;&gt;"Free Game",INDEX('Game Records'!$U:$U,$H30)&lt;&gt;"Disqualified — Free Game",OR(INDEX('Game Records'!$E:$E,$H30)="",LOWER(INDEX('Game Records'!$E:$E,$H30)&amp;"")="n/a")),"Game Type; ","")&amp;IF(INDEX('Game Records'!$F:$F,$H30)="","Payment Type; ","")&amp;IF(AND(INDEX('Game Records'!$U:$U,$H30)&lt;&gt;"Subscription",INDEX('Game Records'!$U:$U,$H30)&lt;&gt;"Free Game",INDEX('Game Records'!$U:$U,$H30)&lt;&gt;"Disqualified — Free Game",INDEX('Game Records'!$G:$G,$H30)=""),"Gross Pot; ","")&amp;IF(AND(INDEX('Game Records'!$U:$U,$H30)&lt;&gt;"Free Game",INDEX('Game Records'!$U:$U,$H30)&lt;&gt;"Disqualified — Free Game",INDEX('Game Records'!$H:$H,$H30)=""),"Entry Fee; ","")&amp;IF(AND(INDEX('Game Records'!$U:$U,$H30)&lt;&gt;"Subscription",INDEX('Game Records'!$U:$U,$H30)&lt;&gt;"Free Game",INDEX('Game Records'!$U:$U,$H30)&lt;&gt;"Disqualified — Free Game",INDEX('Game Records'!$I:$I,$H30)=""),"Eligible Players; ","")&amp;IF(AND(INDEX('Game Records'!$U:$U,$H30)&lt;&gt;"Subscription",INDEX('Game Records'!$U:$U,$H30)&lt;&gt;"Free Game",INDEX('Game Records'!$U:$U,$H30)&lt;&gt;"Disqualified — Free Game",INDEX('Game Records'!$J:$J,$H30)=""),"Total Players; ","")&amp;IF(AND(LOWER(INDEX('Game Records'!$D:$D,$H30)&amp;"")="finalized",LOWER(INDEX('Game Records'!$L:$L,$H30)&amp;"")&lt;&gt;"yes",INDEX('Game Records'!$U:$U,$H30)&lt;&gt;"Subscription",INDEX('Game Records'!$U:$U,$H30)&lt;&gt;"Free Game",INDEX('Game Records'!$U:$U,$H30)&lt;&gt;"Disqualified — Free Game",INDEX('Game Records'!$K:$K,$H30)=""),"Final Earned; ","")&amp;IF(AND(LOWER(INDEX('Game Records'!$D:$D,$H30)&amp;"")="finalized",INDEX('Game Records'!$U:$U,$H30)&lt;&gt;"Subscription",INDEX('Game Records'!$U:$U,$H30)&lt;&gt;"Free Game",INDEX('Game Records'!$U:$U,$H30)&lt;&gt;"Disqualified — Free Game",OR(INDEX('Game Records'!$L:$L,$H30)="",LOWER(INDEX('Game Records'!$L:$L,$H30)&amp;"")="n/a")),"Disqualified Status; ","")&amp;IF(AND(OR(LOWER(TRIM(INDEX('Game Records'!$F:$F,$H30)&amp;""))="free game",INDEX('Game Records'!$U:$U,$H30)="Free Game",INDEX('Game Records'!$U:$U,$H30)="Disqualified — Free Game"),N(INDEX('Game Records'!$H:$H,$H30))&lt;&gt;0),"Free Game has a non-zero Entry Fee. Free Game records require a $0 Entry Fee; ",""))</f>
        <v/>
      </c>
      <c r="G30" s="331" t="str">
        <f>IF($H30="","",IFERROR(INDEX('Game Records'!$M:$M,$H30),""))</f>
        <v/>
      </c>
      <c r="H30" s="104" t="str">
        <f>IF($H29="","",IFERROR(MATCH(1,INDEX((ROW('Game Records'!$U$5:$U$504)&gt;$H29)*(('Game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0" s="104"/>
      <c r="J30" s="104"/>
    </row>
    <row r="31" ht="24" hidden="0" customHeight="1">
      <c r="A31" s="332" t="str">
        <f>IF($H31="","",ROWS($A$5:A31))</f>
        <v/>
      </c>
      <c r="B31" s="332" t="str">
        <f>IF($H31="","","G-"&amp;TEXT($A31,"0000"))</f>
        <v/>
      </c>
      <c r="C31" s="331" t="str">
        <f>IF($H31="","",IFERROR(INDEX('Game Records'!$A:$A,$H31),""))</f>
        <v/>
      </c>
      <c r="D31" s="331" t="str">
        <f>IF($H31="","",IFERROR(INDEX('Game Records'!$U:$U,$H31),""))</f>
        <v/>
      </c>
      <c r="E31" s="331" t="str">
        <f>IF($H31="","",IF($F31="","No Highlighted Fields","Highlighted Fields Present"))</f>
        <v/>
      </c>
      <c r="F31" s="331" t="str">
        <f>IF($H31="","",IF(OR(NOT(ISFORMULA(INDEX('Game Records'!$N:$N,$H31))),NOT(ISFORMULA(INDEX('Game Records'!$O:$O,$H31))),NOT(ISFORMULA(INDEX('Game Records'!$P:$P,$H31))),NOT(ISFORMULA(INDEX('Game Records'!$Q:$Q,$H31))),NOT(ISFORMULA(INDEX('Game Records'!$R:$R,$H31))),NOT(ISFORMULA(INDEX('Game Records'!$S:$S,$H31))),NOT(ISFORMULA(INDEX('Game Records'!$T:$T,$H31))),NOT(ISFORMULA(INDEX('Game Records'!$U:$U,$H31))),NOT(ISFORMULA(INDEX('Game Records'!$V:$V,$H31))),NOT(ISFORMULA(INDEX('Game Records'!$W:$W,$H31))),NOT(ISFORMULA(INDEX('Game Records'!$X:$X,$H31))),NOT(ISFORMULA(INDEX('Game Records'!$Y:$Y,$H31))),NOT(ISFORMULA(INDEX('Game Records'!$Z:$Z,$H31)))),"Formula columns missing; ","")&amp;IF(INDEX('Game Records'!$B:$B,$H31)="","Start Date; ","")&amp;IF(INDEX('Game Records'!$C:$C,$H31)="","End Date; ","")&amp;IF(AND(INDEX('Game Records'!$U:$U,$H31)&lt;&gt;"Subscription",INDEX('Game Records'!$U:$U,$H31)&lt;&gt;"Free Game",INDEX('Game Records'!$U:$U,$H31)&lt;&gt;"Disqualified — Free Game",OR(INDEX('Game Records'!$D:$D,$H31)="",LOWER(INDEX('Game Records'!$D:$D,$H31)&amp;"")="n/a")),"Entry Mode; ","")&amp;IF(AND(INDEX('Game Records'!$U:$U,$H31)&lt;&gt;"Subscription",INDEX('Game Records'!$U:$U,$H31)&lt;&gt;"Free Game",INDEX('Game Records'!$U:$U,$H31)&lt;&gt;"Disqualified — Free Game",OR(INDEX('Game Records'!$E:$E,$H31)="",LOWER(INDEX('Game Records'!$E:$E,$H31)&amp;"")="n/a")),"Game Type; ","")&amp;IF(INDEX('Game Records'!$F:$F,$H31)="","Payment Type; ","")&amp;IF(AND(INDEX('Game Records'!$U:$U,$H31)&lt;&gt;"Subscription",INDEX('Game Records'!$U:$U,$H31)&lt;&gt;"Free Game",INDEX('Game Records'!$U:$U,$H31)&lt;&gt;"Disqualified — Free Game",INDEX('Game Records'!$G:$G,$H31)=""),"Gross Pot; ","")&amp;IF(AND(INDEX('Game Records'!$U:$U,$H31)&lt;&gt;"Free Game",INDEX('Game Records'!$U:$U,$H31)&lt;&gt;"Disqualified — Free Game",INDEX('Game Records'!$H:$H,$H31)=""),"Entry Fee; ","")&amp;IF(AND(INDEX('Game Records'!$U:$U,$H31)&lt;&gt;"Subscription",INDEX('Game Records'!$U:$U,$H31)&lt;&gt;"Free Game",INDEX('Game Records'!$U:$U,$H31)&lt;&gt;"Disqualified — Free Game",INDEX('Game Records'!$I:$I,$H31)=""),"Eligible Players; ","")&amp;IF(AND(INDEX('Game Records'!$U:$U,$H31)&lt;&gt;"Subscription",INDEX('Game Records'!$U:$U,$H31)&lt;&gt;"Free Game",INDEX('Game Records'!$U:$U,$H31)&lt;&gt;"Disqualified — Free Game",INDEX('Game Records'!$J:$J,$H31)=""),"Total Players; ","")&amp;IF(AND(LOWER(INDEX('Game Records'!$D:$D,$H31)&amp;"")="finalized",LOWER(INDEX('Game Records'!$L:$L,$H31)&amp;"")&lt;&gt;"yes",INDEX('Game Records'!$U:$U,$H31)&lt;&gt;"Subscription",INDEX('Game Records'!$U:$U,$H31)&lt;&gt;"Free Game",INDEX('Game Records'!$U:$U,$H31)&lt;&gt;"Disqualified — Free Game",INDEX('Game Records'!$K:$K,$H31)=""),"Final Earned; ","")&amp;IF(AND(LOWER(INDEX('Game Records'!$D:$D,$H31)&amp;"")="finalized",INDEX('Game Records'!$U:$U,$H31)&lt;&gt;"Subscription",INDEX('Game Records'!$U:$U,$H31)&lt;&gt;"Free Game",INDEX('Game Records'!$U:$U,$H31)&lt;&gt;"Disqualified — Free Game",OR(INDEX('Game Records'!$L:$L,$H31)="",LOWER(INDEX('Game Records'!$L:$L,$H31)&amp;"")="n/a")),"Disqualified Status; ","")&amp;IF(AND(OR(LOWER(TRIM(INDEX('Game Records'!$F:$F,$H31)&amp;""))="free game",INDEX('Game Records'!$U:$U,$H31)="Free Game",INDEX('Game Records'!$U:$U,$H31)="Disqualified — Free Game"),N(INDEX('Game Records'!$H:$H,$H31))&lt;&gt;0),"Free Game has a non-zero Entry Fee. Free Game records require a $0 Entry Fee; ",""))</f>
        <v/>
      </c>
      <c r="G31" s="331" t="str">
        <f>IF($H31="","",IFERROR(INDEX('Game Records'!$M:$M,$H31),""))</f>
        <v/>
      </c>
      <c r="H31" s="104" t="str">
        <f>IF($H30="","",IFERROR(MATCH(1,INDEX((ROW('Game Records'!$U$5:$U$504)&gt;$H30)*(('Game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1" s="104"/>
      <c r="J31" s="104"/>
    </row>
    <row r="32" ht="24" hidden="0" customHeight="1">
      <c r="A32" s="332" t="str">
        <f>IF($H32="","",ROWS($A$5:A32))</f>
        <v/>
      </c>
      <c r="B32" s="332" t="str">
        <f>IF($H32="","","G-"&amp;TEXT($A32,"0000"))</f>
        <v/>
      </c>
      <c r="C32" s="331" t="str">
        <f>IF($H32="","",IFERROR(INDEX('Game Records'!$A:$A,$H32),""))</f>
        <v/>
      </c>
      <c r="D32" s="331" t="str">
        <f>IF($H32="","",IFERROR(INDEX('Game Records'!$U:$U,$H32),""))</f>
        <v/>
      </c>
      <c r="E32" s="331" t="str">
        <f>IF($H32="","",IF($F32="","No Highlighted Fields","Highlighted Fields Present"))</f>
        <v/>
      </c>
      <c r="F32" s="331" t="str">
        <f>IF($H32="","",IF(OR(NOT(ISFORMULA(INDEX('Game Records'!$N:$N,$H32))),NOT(ISFORMULA(INDEX('Game Records'!$O:$O,$H32))),NOT(ISFORMULA(INDEX('Game Records'!$P:$P,$H32))),NOT(ISFORMULA(INDEX('Game Records'!$Q:$Q,$H32))),NOT(ISFORMULA(INDEX('Game Records'!$R:$R,$H32))),NOT(ISFORMULA(INDEX('Game Records'!$S:$S,$H32))),NOT(ISFORMULA(INDEX('Game Records'!$T:$T,$H32))),NOT(ISFORMULA(INDEX('Game Records'!$U:$U,$H32))),NOT(ISFORMULA(INDEX('Game Records'!$V:$V,$H32))),NOT(ISFORMULA(INDEX('Game Records'!$W:$W,$H32))),NOT(ISFORMULA(INDEX('Game Records'!$X:$X,$H32))),NOT(ISFORMULA(INDEX('Game Records'!$Y:$Y,$H32))),NOT(ISFORMULA(INDEX('Game Records'!$Z:$Z,$H32)))),"Formula columns missing; ","")&amp;IF(INDEX('Game Records'!$B:$B,$H32)="","Start Date; ","")&amp;IF(INDEX('Game Records'!$C:$C,$H32)="","End Date; ","")&amp;IF(AND(INDEX('Game Records'!$U:$U,$H32)&lt;&gt;"Subscription",INDEX('Game Records'!$U:$U,$H32)&lt;&gt;"Free Game",INDEX('Game Records'!$U:$U,$H32)&lt;&gt;"Disqualified — Free Game",OR(INDEX('Game Records'!$D:$D,$H32)="",LOWER(INDEX('Game Records'!$D:$D,$H32)&amp;"")="n/a")),"Entry Mode; ","")&amp;IF(AND(INDEX('Game Records'!$U:$U,$H32)&lt;&gt;"Subscription",INDEX('Game Records'!$U:$U,$H32)&lt;&gt;"Free Game",INDEX('Game Records'!$U:$U,$H32)&lt;&gt;"Disqualified — Free Game",OR(INDEX('Game Records'!$E:$E,$H32)="",LOWER(INDEX('Game Records'!$E:$E,$H32)&amp;"")="n/a")),"Game Type; ","")&amp;IF(INDEX('Game Records'!$F:$F,$H32)="","Payment Type; ","")&amp;IF(AND(INDEX('Game Records'!$U:$U,$H32)&lt;&gt;"Subscription",INDEX('Game Records'!$U:$U,$H32)&lt;&gt;"Free Game",INDEX('Game Records'!$U:$U,$H32)&lt;&gt;"Disqualified — Free Game",INDEX('Game Records'!$G:$G,$H32)=""),"Gross Pot; ","")&amp;IF(AND(INDEX('Game Records'!$U:$U,$H32)&lt;&gt;"Free Game",INDEX('Game Records'!$U:$U,$H32)&lt;&gt;"Disqualified — Free Game",INDEX('Game Records'!$H:$H,$H32)=""),"Entry Fee; ","")&amp;IF(AND(INDEX('Game Records'!$U:$U,$H32)&lt;&gt;"Subscription",INDEX('Game Records'!$U:$U,$H32)&lt;&gt;"Free Game",INDEX('Game Records'!$U:$U,$H32)&lt;&gt;"Disqualified — Free Game",INDEX('Game Records'!$I:$I,$H32)=""),"Eligible Players; ","")&amp;IF(AND(INDEX('Game Records'!$U:$U,$H32)&lt;&gt;"Subscription",INDEX('Game Records'!$U:$U,$H32)&lt;&gt;"Free Game",INDEX('Game Records'!$U:$U,$H32)&lt;&gt;"Disqualified — Free Game",INDEX('Game Records'!$J:$J,$H32)=""),"Total Players; ","")&amp;IF(AND(LOWER(INDEX('Game Records'!$D:$D,$H32)&amp;"")="finalized",LOWER(INDEX('Game Records'!$L:$L,$H32)&amp;"")&lt;&gt;"yes",INDEX('Game Records'!$U:$U,$H32)&lt;&gt;"Subscription",INDEX('Game Records'!$U:$U,$H32)&lt;&gt;"Free Game",INDEX('Game Records'!$U:$U,$H32)&lt;&gt;"Disqualified — Free Game",INDEX('Game Records'!$K:$K,$H32)=""),"Final Earned; ","")&amp;IF(AND(LOWER(INDEX('Game Records'!$D:$D,$H32)&amp;"")="finalized",INDEX('Game Records'!$U:$U,$H32)&lt;&gt;"Subscription",INDEX('Game Records'!$U:$U,$H32)&lt;&gt;"Free Game",INDEX('Game Records'!$U:$U,$H32)&lt;&gt;"Disqualified — Free Game",OR(INDEX('Game Records'!$L:$L,$H32)="",LOWER(INDEX('Game Records'!$L:$L,$H32)&amp;"")="n/a")),"Disqualified Status; ","")&amp;IF(AND(OR(LOWER(TRIM(INDEX('Game Records'!$F:$F,$H32)&amp;""))="free game",INDEX('Game Records'!$U:$U,$H32)="Free Game",INDEX('Game Records'!$U:$U,$H32)="Disqualified — Free Game"),N(INDEX('Game Records'!$H:$H,$H32))&lt;&gt;0),"Free Game has a non-zero Entry Fee. Free Game records require a $0 Entry Fee; ",""))</f>
        <v/>
      </c>
      <c r="G32" s="331" t="str">
        <f>IF($H32="","",IFERROR(INDEX('Game Records'!$M:$M,$H32),""))</f>
        <v/>
      </c>
      <c r="H32" s="104" t="str">
        <f>IF($H31="","",IFERROR(MATCH(1,INDEX((ROW('Game Records'!$U$5:$U$504)&gt;$H31)*(('Game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2" s="104"/>
      <c r="J32" s="104"/>
    </row>
    <row r="33" ht="24" hidden="0" customHeight="1">
      <c r="A33" s="332" t="str">
        <f>IF($H33="","",ROWS($A$5:A33))</f>
        <v/>
      </c>
      <c r="B33" s="332" t="str">
        <f>IF($H33="","","G-"&amp;TEXT($A33,"0000"))</f>
        <v/>
      </c>
      <c r="C33" s="331" t="str">
        <f>IF($H33="","",IFERROR(INDEX('Game Records'!$A:$A,$H33),""))</f>
        <v/>
      </c>
      <c r="D33" s="331" t="str">
        <f>IF($H33="","",IFERROR(INDEX('Game Records'!$U:$U,$H33),""))</f>
        <v/>
      </c>
      <c r="E33" s="331" t="str">
        <f>IF($H33="","",IF($F33="","No Highlighted Fields","Highlighted Fields Present"))</f>
        <v/>
      </c>
      <c r="F33" s="331" t="str">
        <f>IF($H33="","",IF(OR(NOT(ISFORMULA(INDEX('Game Records'!$N:$N,$H33))),NOT(ISFORMULA(INDEX('Game Records'!$O:$O,$H33))),NOT(ISFORMULA(INDEX('Game Records'!$P:$P,$H33))),NOT(ISFORMULA(INDEX('Game Records'!$Q:$Q,$H33))),NOT(ISFORMULA(INDEX('Game Records'!$R:$R,$H33))),NOT(ISFORMULA(INDEX('Game Records'!$S:$S,$H33))),NOT(ISFORMULA(INDEX('Game Records'!$T:$T,$H33))),NOT(ISFORMULA(INDEX('Game Records'!$U:$U,$H33))),NOT(ISFORMULA(INDEX('Game Records'!$V:$V,$H33))),NOT(ISFORMULA(INDEX('Game Records'!$W:$W,$H33))),NOT(ISFORMULA(INDEX('Game Records'!$X:$X,$H33))),NOT(ISFORMULA(INDEX('Game Records'!$Y:$Y,$H33))),NOT(ISFORMULA(INDEX('Game Records'!$Z:$Z,$H33)))),"Formula columns missing; ","")&amp;IF(INDEX('Game Records'!$B:$B,$H33)="","Start Date; ","")&amp;IF(INDEX('Game Records'!$C:$C,$H33)="","End Date; ","")&amp;IF(AND(INDEX('Game Records'!$U:$U,$H33)&lt;&gt;"Subscription",INDEX('Game Records'!$U:$U,$H33)&lt;&gt;"Free Game",INDEX('Game Records'!$U:$U,$H33)&lt;&gt;"Disqualified — Free Game",OR(INDEX('Game Records'!$D:$D,$H33)="",LOWER(INDEX('Game Records'!$D:$D,$H33)&amp;"")="n/a")),"Entry Mode; ","")&amp;IF(AND(INDEX('Game Records'!$U:$U,$H33)&lt;&gt;"Subscription",INDEX('Game Records'!$U:$U,$H33)&lt;&gt;"Free Game",INDEX('Game Records'!$U:$U,$H33)&lt;&gt;"Disqualified — Free Game",OR(INDEX('Game Records'!$E:$E,$H33)="",LOWER(INDEX('Game Records'!$E:$E,$H33)&amp;"")="n/a")),"Game Type; ","")&amp;IF(INDEX('Game Records'!$F:$F,$H33)="","Payment Type; ","")&amp;IF(AND(INDEX('Game Records'!$U:$U,$H33)&lt;&gt;"Subscription",INDEX('Game Records'!$U:$U,$H33)&lt;&gt;"Free Game",INDEX('Game Records'!$U:$U,$H33)&lt;&gt;"Disqualified — Free Game",INDEX('Game Records'!$G:$G,$H33)=""),"Gross Pot; ","")&amp;IF(AND(INDEX('Game Records'!$U:$U,$H33)&lt;&gt;"Free Game",INDEX('Game Records'!$U:$U,$H33)&lt;&gt;"Disqualified — Free Game",INDEX('Game Records'!$H:$H,$H33)=""),"Entry Fee; ","")&amp;IF(AND(INDEX('Game Records'!$U:$U,$H33)&lt;&gt;"Subscription",INDEX('Game Records'!$U:$U,$H33)&lt;&gt;"Free Game",INDEX('Game Records'!$U:$U,$H33)&lt;&gt;"Disqualified — Free Game",INDEX('Game Records'!$I:$I,$H33)=""),"Eligible Players; ","")&amp;IF(AND(INDEX('Game Records'!$U:$U,$H33)&lt;&gt;"Subscription",INDEX('Game Records'!$U:$U,$H33)&lt;&gt;"Free Game",INDEX('Game Records'!$U:$U,$H33)&lt;&gt;"Disqualified — Free Game",INDEX('Game Records'!$J:$J,$H33)=""),"Total Players; ","")&amp;IF(AND(LOWER(INDEX('Game Records'!$D:$D,$H33)&amp;"")="finalized",LOWER(INDEX('Game Records'!$L:$L,$H33)&amp;"")&lt;&gt;"yes",INDEX('Game Records'!$U:$U,$H33)&lt;&gt;"Subscription",INDEX('Game Records'!$U:$U,$H33)&lt;&gt;"Free Game",INDEX('Game Records'!$U:$U,$H33)&lt;&gt;"Disqualified — Free Game",INDEX('Game Records'!$K:$K,$H33)=""),"Final Earned; ","")&amp;IF(AND(LOWER(INDEX('Game Records'!$D:$D,$H33)&amp;"")="finalized",INDEX('Game Records'!$U:$U,$H33)&lt;&gt;"Subscription",INDEX('Game Records'!$U:$U,$H33)&lt;&gt;"Free Game",INDEX('Game Records'!$U:$U,$H33)&lt;&gt;"Disqualified — Free Game",OR(INDEX('Game Records'!$L:$L,$H33)="",LOWER(INDEX('Game Records'!$L:$L,$H33)&amp;"")="n/a")),"Disqualified Status; ","")&amp;IF(AND(OR(LOWER(TRIM(INDEX('Game Records'!$F:$F,$H33)&amp;""))="free game",INDEX('Game Records'!$U:$U,$H33)="Free Game",INDEX('Game Records'!$U:$U,$H33)="Disqualified — Free Game"),N(INDEX('Game Records'!$H:$H,$H33))&lt;&gt;0),"Free Game has a non-zero Entry Fee. Free Game records require a $0 Entry Fee; ",""))</f>
        <v/>
      </c>
      <c r="G33" s="331" t="str">
        <f>IF($H33="","",IFERROR(INDEX('Game Records'!$M:$M,$H33),""))</f>
        <v/>
      </c>
      <c r="H33" s="104" t="str">
        <f>IF($H32="","",IFERROR(MATCH(1,INDEX((ROW('Game Records'!$U$5:$U$504)&gt;$H32)*(('Game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3" s="104"/>
      <c r="J33" s="104"/>
    </row>
    <row r="34" ht="24" hidden="0" customHeight="1">
      <c r="A34" s="332" t="str">
        <f>IF($H34="","",ROWS($A$5:A34))</f>
        <v/>
      </c>
      <c r="B34" s="332" t="str">
        <f>IF($H34="","","G-"&amp;TEXT($A34,"0000"))</f>
        <v/>
      </c>
      <c r="C34" s="331" t="str">
        <f>IF($H34="","",IFERROR(INDEX('Game Records'!$A:$A,$H34),""))</f>
        <v/>
      </c>
      <c r="D34" s="331" t="str">
        <f>IF($H34="","",IFERROR(INDEX('Game Records'!$U:$U,$H34),""))</f>
        <v/>
      </c>
      <c r="E34" s="331" t="str">
        <f>IF($H34="","",IF($F34="","No Highlighted Fields","Highlighted Fields Present"))</f>
        <v/>
      </c>
      <c r="F34" s="331" t="str">
        <f>IF($H34="","",IF(OR(NOT(ISFORMULA(INDEX('Game Records'!$N:$N,$H34))),NOT(ISFORMULA(INDEX('Game Records'!$O:$O,$H34))),NOT(ISFORMULA(INDEX('Game Records'!$P:$P,$H34))),NOT(ISFORMULA(INDEX('Game Records'!$Q:$Q,$H34))),NOT(ISFORMULA(INDEX('Game Records'!$R:$R,$H34))),NOT(ISFORMULA(INDEX('Game Records'!$S:$S,$H34))),NOT(ISFORMULA(INDEX('Game Records'!$T:$T,$H34))),NOT(ISFORMULA(INDEX('Game Records'!$U:$U,$H34))),NOT(ISFORMULA(INDEX('Game Records'!$V:$V,$H34))),NOT(ISFORMULA(INDEX('Game Records'!$W:$W,$H34))),NOT(ISFORMULA(INDEX('Game Records'!$X:$X,$H34))),NOT(ISFORMULA(INDEX('Game Records'!$Y:$Y,$H34))),NOT(ISFORMULA(INDEX('Game Records'!$Z:$Z,$H34)))),"Formula columns missing; ","")&amp;IF(INDEX('Game Records'!$B:$B,$H34)="","Start Date; ","")&amp;IF(INDEX('Game Records'!$C:$C,$H34)="","End Date; ","")&amp;IF(AND(INDEX('Game Records'!$U:$U,$H34)&lt;&gt;"Subscription",INDEX('Game Records'!$U:$U,$H34)&lt;&gt;"Free Game",INDEX('Game Records'!$U:$U,$H34)&lt;&gt;"Disqualified — Free Game",OR(INDEX('Game Records'!$D:$D,$H34)="",LOWER(INDEX('Game Records'!$D:$D,$H34)&amp;"")="n/a")),"Entry Mode; ","")&amp;IF(AND(INDEX('Game Records'!$U:$U,$H34)&lt;&gt;"Subscription",INDEX('Game Records'!$U:$U,$H34)&lt;&gt;"Free Game",INDEX('Game Records'!$U:$U,$H34)&lt;&gt;"Disqualified — Free Game",OR(INDEX('Game Records'!$E:$E,$H34)="",LOWER(INDEX('Game Records'!$E:$E,$H34)&amp;"")="n/a")),"Game Type; ","")&amp;IF(INDEX('Game Records'!$F:$F,$H34)="","Payment Type; ","")&amp;IF(AND(INDEX('Game Records'!$U:$U,$H34)&lt;&gt;"Subscription",INDEX('Game Records'!$U:$U,$H34)&lt;&gt;"Free Game",INDEX('Game Records'!$U:$U,$H34)&lt;&gt;"Disqualified — Free Game",INDEX('Game Records'!$G:$G,$H34)=""),"Gross Pot; ","")&amp;IF(AND(INDEX('Game Records'!$U:$U,$H34)&lt;&gt;"Free Game",INDEX('Game Records'!$U:$U,$H34)&lt;&gt;"Disqualified — Free Game",INDEX('Game Records'!$H:$H,$H34)=""),"Entry Fee; ","")&amp;IF(AND(INDEX('Game Records'!$U:$U,$H34)&lt;&gt;"Subscription",INDEX('Game Records'!$U:$U,$H34)&lt;&gt;"Free Game",INDEX('Game Records'!$U:$U,$H34)&lt;&gt;"Disqualified — Free Game",INDEX('Game Records'!$I:$I,$H34)=""),"Eligible Players; ","")&amp;IF(AND(INDEX('Game Records'!$U:$U,$H34)&lt;&gt;"Subscription",INDEX('Game Records'!$U:$U,$H34)&lt;&gt;"Free Game",INDEX('Game Records'!$U:$U,$H34)&lt;&gt;"Disqualified — Free Game",INDEX('Game Records'!$J:$J,$H34)=""),"Total Players; ","")&amp;IF(AND(LOWER(INDEX('Game Records'!$D:$D,$H34)&amp;"")="finalized",LOWER(INDEX('Game Records'!$L:$L,$H34)&amp;"")&lt;&gt;"yes",INDEX('Game Records'!$U:$U,$H34)&lt;&gt;"Subscription",INDEX('Game Records'!$U:$U,$H34)&lt;&gt;"Free Game",INDEX('Game Records'!$U:$U,$H34)&lt;&gt;"Disqualified — Free Game",INDEX('Game Records'!$K:$K,$H34)=""),"Final Earned; ","")&amp;IF(AND(LOWER(INDEX('Game Records'!$D:$D,$H34)&amp;"")="finalized",INDEX('Game Records'!$U:$U,$H34)&lt;&gt;"Subscription",INDEX('Game Records'!$U:$U,$H34)&lt;&gt;"Free Game",INDEX('Game Records'!$U:$U,$H34)&lt;&gt;"Disqualified — Free Game",OR(INDEX('Game Records'!$L:$L,$H34)="",LOWER(INDEX('Game Records'!$L:$L,$H34)&amp;"")="n/a")),"Disqualified Status; ","")&amp;IF(AND(OR(LOWER(TRIM(INDEX('Game Records'!$F:$F,$H34)&amp;""))="free game",INDEX('Game Records'!$U:$U,$H34)="Free Game",INDEX('Game Records'!$U:$U,$H34)="Disqualified — Free Game"),N(INDEX('Game Records'!$H:$H,$H34))&lt;&gt;0),"Free Game has a non-zero Entry Fee. Free Game records require a $0 Entry Fee; ",""))</f>
        <v/>
      </c>
      <c r="G34" s="331" t="str">
        <f>IF($H34="","",IFERROR(INDEX('Game Records'!$M:$M,$H34),""))</f>
        <v/>
      </c>
      <c r="H34" s="104" t="str">
        <f>IF($H33="","",IFERROR(MATCH(1,INDEX((ROW('Game Records'!$U$5:$U$504)&gt;$H33)*(('Game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4" s="104"/>
      <c r="J34" s="104"/>
    </row>
    <row r="35" ht="24" hidden="0" customHeight="1">
      <c r="A35" s="332" t="str">
        <f>IF($H35="","",ROWS($A$5:A35))</f>
        <v/>
      </c>
      <c r="B35" s="332" t="str">
        <f>IF($H35="","","G-"&amp;TEXT($A35,"0000"))</f>
        <v/>
      </c>
      <c r="C35" s="331" t="str">
        <f>IF($H35="","",IFERROR(INDEX('Game Records'!$A:$A,$H35),""))</f>
        <v/>
      </c>
      <c r="D35" s="331" t="str">
        <f>IF($H35="","",IFERROR(INDEX('Game Records'!$U:$U,$H35),""))</f>
        <v/>
      </c>
      <c r="E35" s="331" t="str">
        <f>IF($H35="","",IF($F35="","No Highlighted Fields","Highlighted Fields Present"))</f>
        <v/>
      </c>
      <c r="F35" s="331" t="str">
        <f>IF($H35="","",IF(OR(NOT(ISFORMULA(INDEX('Game Records'!$N:$N,$H35))),NOT(ISFORMULA(INDEX('Game Records'!$O:$O,$H35))),NOT(ISFORMULA(INDEX('Game Records'!$P:$P,$H35))),NOT(ISFORMULA(INDEX('Game Records'!$Q:$Q,$H35))),NOT(ISFORMULA(INDEX('Game Records'!$R:$R,$H35))),NOT(ISFORMULA(INDEX('Game Records'!$S:$S,$H35))),NOT(ISFORMULA(INDEX('Game Records'!$T:$T,$H35))),NOT(ISFORMULA(INDEX('Game Records'!$U:$U,$H35))),NOT(ISFORMULA(INDEX('Game Records'!$V:$V,$H35))),NOT(ISFORMULA(INDEX('Game Records'!$W:$W,$H35))),NOT(ISFORMULA(INDEX('Game Records'!$X:$X,$H35))),NOT(ISFORMULA(INDEX('Game Records'!$Y:$Y,$H35))),NOT(ISFORMULA(INDEX('Game Records'!$Z:$Z,$H35)))),"Formula columns missing; ","")&amp;IF(INDEX('Game Records'!$B:$B,$H35)="","Start Date; ","")&amp;IF(INDEX('Game Records'!$C:$C,$H35)="","End Date; ","")&amp;IF(AND(INDEX('Game Records'!$U:$U,$H35)&lt;&gt;"Subscription",INDEX('Game Records'!$U:$U,$H35)&lt;&gt;"Free Game",INDEX('Game Records'!$U:$U,$H35)&lt;&gt;"Disqualified — Free Game",OR(INDEX('Game Records'!$D:$D,$H35)="",LOWER(INDEX('Game Records'!$D:$D,$H35)&amp;"")="n/a")),"Entry Mode; ","")&amp;IF(AND(INDEX('Game Records'!$U:$U,$H35)&lt;&gt;"Subscription",INDEX('Game Records'!$U:$U,$H35)&lt;&gt;"Free Game",INDEX('Game Records'!$U:$U,$H35)&lt;&gt;"Disqualified — Free Game",OR(INDEX('Game Records'!$E:$E,$H35)="",LOWER(INDEX('Game Records'!$E:$E,$H35)&amp;"")="n/a")),"Game Type; ","")&amp;IF(INDEX('Game Records'!$F:$F,$H35)="","Payment Type; ","")&amp;IF(AND(INDEX('Game Records'!$U:$U,$H35)&lt;&gt;"Subscription",INDEX('Game Records'!$U:$U,$H35)&lt;&gt;"Free Game",INDEX('Game Records'!$U:$U,$H35)&lt;&gt;"Disqualified — Free Game",INDEX('Game Records'!$G:$G,$H35)=""),"Gross Pot; ","")&amp;IF(AND(INDEX('Game Records'!$U:$U,$H35)&lt;&gt;"Free Game",INDEX('Game Records'!$U:$U,$H35)&lt;&gt;"Disqualified — Free Game",INDEX('Game Records'!$H:$H,$H35)=""),"Entry Fee; ","")&amp;IF(AND(INDEX('Game Records'!$U:$U,$H35)&lt;&gt;"Subscription",INDEX('Game Records'!$U:$U,$H35)&lt;&gt;"Free Game",INDEX('Game Records'!$U:$U,$H35)&lt;&gt;"Disqualified — Free Game",INDEX('Game Records'!$I:$I,$H35)=""),"Eligible Players; ","")&amp;IF(AND(INDEX('Game Records'!$U:$U,$H35)&lt;&gt;"Subscription",INDEX('Game Records'!$U:$U,$H35)&lt;&gt;"Free Game",INDEX('Game Records'!$U:$U,$H35)&lt;&gt;"Disqualified — Free Game",INDEX('Game Records'!$J:$J,$H35)=""),"Total Players; ","")&amp;IF(AND(LOWER(INDEX('Game Records'!$D:$D,$H35)&amp;"")="finalized",LOWER(INDEX('Game Records'!$L:$L,$H35)&amp;"")&lt;&gt;"yes",INDEX('Game Records'!$U:$U,$H35)&lt;&gt;"Subscription",INDEX('Game Records'!$U:$U,$H35)&lt;&gt;"Free Game",INDEX('Game Records'!$U:$U,$H35)&lt;&gt;"Disqualified — Free Game",INDEX('Game Records'!$K:$K,$H35)=""),"Final Earned; ","")&amp;IF(AND(LOWER(INDEX('Game Records'!$D:$D,$H35)&amp;"")="finalized",INDEX('Game Records'!$U:$U,$H35)&lt;&gt;"Subscription",INDEX('Game Records'!$U:$U,$H35)&lt;&gt;"Free Game",INDEX('Game Records'!$U:$U,$H35)&lt;&gt;"Disqualified — Free Game",OR(INDEX('Game Records'!$L:$L,$H35)="",LOWER(INDEX('Game Records'!$L:$L,$H35)&amp;"")="n/a")),"Disqualified Status; ","")&amp;IF(AND(OR(LOWER(TRIM(INDEX('Game Records'!$F:$F,$H35)&amp;""))="free game",INDEX('Game Records'!$U:$U,$H35)="Free Game",INDEX('Game Records'!$U:$U,$H35)="Disqualified — Free Game"),N(INDEX('Game Records'!$H:$H,$H35))&lt;&gt;0),"Free Game has a non-zero Entry Fee. Free Game records require a $0 Entry Fee; ",""))</f>
        <v/>
      </c>
      <c r="G35" s="331" t="str">
        <f>IF($H35="","",IFERROR(INDEX('Game Records'!$M:$M,$H35),""))</f>
        <v/>
      </c>
      <c r="H35" s="104" t="str">
        <f>IF($H34="","",IFERROR(MATCH(1,INDEX((ROW('Game Records'!$U$5:$U$504)&gt;$H34)*(('Game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5" s="104"/>
      <c r="J35" s="104"/>
    </row>
    <row r="36" ht="24" hidden="0" customHeight="1">
      <c r="A36" s="332" t="str">
        <f>IF($H36="","",ROWS($A$5:A36))</f>
        <v/>
      </c>
      <c r="B36" s="332" t="str">
        <f>IF($H36="","","G-"&amp;TEXT($A36,"0000"))</f>
        <v/>
      </c>
      <c r="C36" s="331" t="str">
        <f>IF($H36="","",IFERROR(INDEX('Game Records'!$A:$A,$H36),""))</f>
        <v/>
      </c>
      <c r="D36" s="331" t="str">
        <f>IF($H36="","",IFERROR(INDEX('Game Records'!$U:$U,$H36),""))</f>
        <v/>
      </c>
      <c r="E36" s="331" t="str">
        <f>IF($H36="","",IF($F36="","No Highlighted Fields","Highlighted Fields Present"))</f>
        <v/>
      </c>
      <c r="F36" s="331" t="str">
        <f>IF($H36="","",IF(OR(NOT(ISFORMULA(INDEX('Game Records'!$N:$N,$H36))),NOT(ISFORMULA(INDEX('Game Records'!$O:$O,$H36))),NOT(ISFORMULA(INDEX('Game Records'!$P:$P,$H36))),NOT(ISFORMULA(INDEX('Game Records'!$Q:$Q,$H36))),NOT(ISFORMULA(INDEX('Game Records'!$R:$R,$H36))),NOT(ISFORMULA(INDEX('Game Records'!$S:$S,$H36))),NOT(ISFORMULA(INDEX('Game Records'!$T:$T,$H36))),NOT(ISFORMULA(INDEX('Game Records'!$U:$U,$H36))),NOT(ISFORMULA(INDEX('Game Records'!$V:$V,$H36))),NOT(ISFORMULA(INDEX('Game Records'!$W:$W,$H36))),NOT(ISFORMULA(INDEX('Game Records'!$X:$X,$H36))),NOT(ISFORMULA(INDEX('Game Records'!$Y:$Y,$H36))),NOT(ISFORMULA(INDEX('Game Records'!$Z:$Z,$H36)))),"Formula columns missing; ","")&amp;IF(INDEX('Game Records'!$B:$B,$H36)="","Start Date; ","")&amp;IF(INDEX('Game Records'!$C:$C,$H36)="","End Date; ","")&amp;IF(AND(INDEX('Game Records'!$U:$U,$H36)&lt;&gt;"Subscription",INDEX('Game Records'!$U:$U,$H36)&lt;&gt;"Free Game",INDEX('Game Records'!$U:$U,$H36)&lt;&gt;"Disqualified — Free Game",OR(INDEX('Game Records'!$D:$D,$H36)="",LOWER(INDEX('Game Records'!$D:$D,$H36)&amp;"")="n/a")),"Entry Mode; ","")&amp;IF(AND(INDEX('Game Records'!$U:$U,$H36)&lt;&gt;"Subscription",INDEX('Game Records'!$U:$U,$H36)&lt;&gt;"Free Game",INDEX('Game Records'!$U:$U,$H36)&lt;&gt;"Disqualified — Free Game",OR(INDEX('Game Records'!$E:$E,$H36)="",LOWER(INDEX('Game Records'!$E:$E,$H36)&amp;"")="n/a")),"Game Type; ","")&amp;IF(INDEX('Game Records'!$F:$F,$H36)="","Payment Type; ","")&amp;IF(AND(INDEX('Game Records'!$U:$U,$H36)&lt;&gt;"Subscription",INDEX('Game Records'!$U:$U,$H36)&lt;&gt;"Free Game",INDEX('Game Records'!$U:$U,$H36)&lt;&gt;"Disqualified — Free Game",INDEX('Game Records'!$G:$G,$H36)=""),"Gross Pot; ","")&amp;IF(AND(INDEX('Game Records'!$U:$U,$H36)&lt;&gt;"Free Game",INDEX('Game Records'!$U:$U,$H36)&lt;&gt;"Disqualified — Free Game",INDEX('Game Records'!$H:$H,$H36)=""),"Entry Fee; ","")&amp;IF(AND(INDEX('Game Records'!$U:$U,$H36)&lt;&gt;"Subscription",INDEX('Game Records'!$U:$U,$H36)&lt;&gt;"Free Game",INDEX('Game Records'!$U:$U,$H36)&lt;&gt;"Disqualified — Free Game",INDEX('Game Records'!$I:$I,$H36)=""),"Eligible Players; ","")&amp;IF(AND(INDEX('Game Records'!$U:$U,$H36)&lt;&gt;"Subscription",INDEX('Game Records'!$U:$U,$H36)&lt;&gt;"Free Game",INDEX('Game Records'!$U:$U,$H36)&lt;&gt;"Disqualified — Free Game",INDEX('Game Records'!$J:$J,$H36)=""),"Total Players; ","")&amp;IF(AND(LOWER(INDEX('Game Records'!$D:$D,$H36)&amp;"")="finalized",LOWER(INDEX('Game Records'!$L:$L,$H36)&amp;"")&lt;&gt;"yes",INDEX('Game Records'!$U:$U,$H36)&lt;&gt;"Subscription",INDEX('Game Records'!$U:$U,$H36)&lt;&gt;"Free Game",INDEX('Game Records'!$U:$U,$H36)&lt;&gt;"Disqualified — Free Game",INDEX('Game Records'!$K:$K,$H36)=""),"Final Earned; ","")&amp;IF(AND(LOWER(INDEX('Game Records'!$D:$D,$H36)&amp;"")="finalized",INDEX('Game Records'!$U:$U,$H36)&lt;&gt;"Subscription",INDEX('Game Records'!$U:$U,$H36)&lt;&gt;"Free Game",INDEX('Game Records'!$U:$U,$H36)&lt;&gt;"Disqualified — Free Game",OR(INDEX('Game Records'!$L:$L,$H36)="",LOWER(INDEX('Game Records'!$L:$L,$H36)&amp;"")="n/a")),"Disqualified Status; ","")&amp;IF(AND(OR(LOWER(TRIM(INDEX('Game Records'!$F:$F,$H36)&amp;""))="free game",INDEX('Game Records'!$U:$U,$H36)="Free Game",INDEX('Game Records'!$U:$U,$H36)="Disqualified — Free Game"),N(INDEX('Game Records'!$H:$H,$H36))&lt;&gt;0),"Free Game has a non-zero Entry Fee. Free Game records require a $0 Entry Fee; ",""))</f>
        <v/>
      </c>
      <c r="G36" s="331" t="str">
        <f>IF($H36="","",IFERROR(INDEX('Game Records'!$M:$M,$H36),""))</f>
        <v/>
      </c>
      <c r="H36" s="104" t="str">
        <f>IF($H35="","",IFERROR(MATCH(1,INDEX((ROW('Game Records'!$U$5:$U$504)&gt;$H35)*(('Game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6" s="104"/>
      <c r="J36" s="104"/>
    </row>
    <row r="37" ht="24" hidden="0" customHeight="1">
      <c r="A37" s="332" t="str">
        <f>IF($H37="","",ROWS($A$5:A37))</f>
        <v/>
      </c>
      <c r="B37" s="332" t="str">
        <f>IF($H37="","","G-"&amp;TEXT($A37,"0000"))</f>
        <v/>
      </c>
      <c r="C37" s="331" t="str">
        <f>IF($H37="","",IFERROR(INDEX('Game Records'!$A:$A,$H37),""))</f>
        <v/>
      </c>
      <c r="D37" s="331" t="str">
        <f>IF($H37="","",IFERROR(INDEX('Game Records'!$U:$U,$H37),""))</f>
        <v/>
      </c>
      <c r="E37" s="331" t="str">
        <f>IF($H37="","",IF($F37="","No Highlighted Fields","Highlighted Fields Present"))</f>
        <v/>
      </c>
      <c r="F37" s="331" t="str">
        <f>IF($H37="","",IF(OR(NOT(ISFORMULA(INDEX('Game Records'!$N:$N,$H37))),NOT(ISFORMULA(INDEX('Game Records'!$O:$O,$H37))),NOT(ISFORMULA(INDEX('Game Records'!$P:$P,$H37))),NOT(ISFORMULA(INDEX('Game Records'!$Q:$Q,$H37))),NOT(ISFORMULA(INDEX('Game Records'!$R:$R,$H37))),NOT(ISFORMULA(INDEX('Game Records'!$S:$S,$H37))),NOT(ISFORMULA(INDEX('Game Records'!$T:$T,$H37))),NOT(ISFORMULA(INDEX('Game Records'!$U:$U,$H37))),NOT(ISFORMULA(INDEX('Game Records'!$V:$V,$H37))),NOT(ISFORMULA(INDEX('Game Records'!$W:$W,$H37))),NOT(ISFORMULA(INDEX('Game Records'!$X:$X,$H37))),NOT(ISFORMULA(INDEX('Game Records'!$Y:$Y,$H37))),NOT(ISFORMULA(INDEX('Game Records'!$Z:$Z,$H37)))),"Formula columns missing; ","")&amp;IF(INDEX('Game Records'!$B:$B,$H37)="","Start Date; ","")&amp;IF(INDEX('Game Records'!$C:$C,$H37)="","End Date; ","")&amp;IF(AND(INDEX('Game Records'!$U:$U,$H37)&lt;&gt;"Subscription",INDEX('Game Records'!$U:$U,$H37)&lt;&gt;"Free Game",INDEX('Game Records'!$U:$U,$H37)&lt;&gt;"Disqualified — Free Game",OR(INDEX('Game Records'!$D:$D,$H37)="",LOWER(INDEX('Game Records'!$D:$D,$H37)&amp;"")="n/a")),"Entry Mode; ","")&amp;IF(AND(INDEX('Game Records'!$U:$U,$H37)&lt;&gt;"Subscription",INDEX('Game Records'!$U:$U,$H37)&lt;&gt;"Free Game",INDEX('Game Records'!$U:$U,$H37)&lt;&gt;"Disqualified — Free Game",OR(INDEX('Game Records'!$E:$E,$H37)="",LOWER(INDEX('Game Records'!$E:$E,$H37)&amp;"")="n/a")),"Game Type; ","")&amp;IF(INDEX('Game Records'!$F:$F,$H37)="","Payment Type; ","")&amp;IF(AND(INDEX('Game Records'!$U:$U,$H37)&lt;&gt;"Subscription",INDEX('Game Records'!$U:$U,$H37)&lt;&gt;"Free Game",INDEX('Game Records'!$U:$U,$H37)&lt;&gt;"Disqualified — Free Game",INDEX('Game Records'!$G:$G,$H37)=""),"Gross Pot; ","")&amp;IF(AND(INDEX('Game Records'!$U:$U,$H37)&lt;&gt;"Free Game",INDEX('Game Records'!$U:$U,$H37)&lt;&gt;"Disqualified — Free Game",INDEX('Game Records'!$H:$H,$H37)=""),"Entry Fee; ","")&amp;IF(AND(INDEX('Game Records'!$U:$U,$H37)&lt;&gt;"Subscription",INDEX('Game Records'!$U:$U,$H37)&lt;&gt;"Free Game",INDEX('Game Records'!$U:$U,$H37)&lt;&gt;"Disqualified — Free Game",INDEX('Game Records'!$I:$I,$H37)=""),"Eligible Players; ","")&amp;IF(AND(INDEX('Game Records'!$U:$U,$H37)&lt;&gt;"Subscription",INDEX('Game Records'!$U:$U,$H37)&lt;&gt;"Free Game",INDEX('Game Records'!$U:$U,$H37)&lt;&gt;"Disqualified — Free Game",INDEX('Game Records'!$J:$J,$H37)=""),"Total Players; ","")&amp;IF(AND(LOWER(INDEX('Game Records'!$D:$D,$H37)&amp;"")="finalized",LOWER(INDEX('Game Records'!$L:$L,$H37)&amp;"")&lt;&gt;"yes",INDEX('Game Records'!$U:$U,$H37)&lt;&gt;"Subscription",INDEX('Game Records'!$U:$U,$H37)&lt;&gt;"Free Game",INDEX('Game Records'!$U:$U,$H37)&lt;&gt;"Disqualified — Free Game",INDEX('Game Records'!$K:$K,$H37)=""),"Final Earned; ","")&amp;IF(AND(LOWER(INDEX('Game Records'!$D:$D,$H37)&amp;"")="finalized",INDEX('Game Records'!$U:$U,$H37)&lt;&gt;"Subscription",INDEX('Game Records'!$U:$U,$H37)&lt;&gt;"Free Game",INDEX('Game Records'!$U:$U,$H37)&lt;&gt;"Disqualified — Free Game",OR(INDEX('Game Records'!$L:$L,$H37)="",LOWER(INDEX('Game Records'!$L:$L,$H37)&amp;"")="n/a")),"Disqualified Status; ","")&amp;IF(AND(OR(LOWER(TRIM(INDEX('Game Records'!$F:$F,$H37)&amp;""))="free game",INDEX('Game Records'!$U:$U,$H37)="Free Game",INDEX('Game Records'!$U:$U,$H37)="Disqualified — Free Game"),N(INDEX('Game Records'!$H:$H,$H37))&lt;&gt;0),"Free Game has a non-zero Entry Fee. Free Game records require a $0 Entry Fee; ",""))</f>
        <v/>
      </c>
      <c r="G37" s="331" t="str">
        <f>IF($H37="","",IFERROR(INDEX('Game Records'!$M:$M,$H37),""))</f>
        <v/>
      </c>
      <c r="H37" s="104" t="str">
        <f>IF($H36="","",IFERROR(MATCH(1,INDEX((ROW('Game Records'!$U$5:$U$504)&gt;$H36)*(('Game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7" s="104"/>
      <c r="J37" s="104"/>
    </row>
    <row r="38" ht="24" hidden="0" customHeight="1">
      <c r="A38" s="332" t="str">
        <f>IF($H38="","",ROWS($A$5:A38))</f>
        <v/>
      </c>
      <c r="B38" s="332" t="str">
        <f>IF($H38="","","G-"&amp;TEXT($A38,"0000"))</f>
        <v/>
      </c>
      <c r="C38" s="331" t="str">
        <f>IF($H38="","",IFERROR(INDEX('Game Records'!$A:$A,$H38),""))</f>
        <v/>
      </c>
      <c r="D38" s="331" t="str">
        <f>IF($H38="","",IFERROR(INDEX('Game Records'!$U:$U,$H38),""))</f>
        <v/>
      </c>
      <c r="E38" s="331" t="str">
        <f>IF($H38="","",IF($F38="","No Highlighted Fields","Highlighted Fields Present"))</f>
        <v/>
      </c>
      <c r="F38" s="331" t="str">
        <f>IF($H38="","",IF(OR(NOT(ISFORMULA(INDEX('Game Records'!$N:$N,$H38))),NOT(ISFORMULA(INDEX('Game Records'!$O:$O,$H38))),NOT(ISFORMULA(INDEX('Game Records'!$P:$P,$H38))),NOT(ISFORMULA(INDEX('Game Records'!$Q:$Q,$H38))),NOT(ISFORMULA(INDEX('Game Records'!$R:$R,$H38))),NOT(ISFORMULA(INDEX('Game Records'!$S:$S,$H38))),NOT(ISFORMULA(INDEX('Game Records'!$T:$T,$H38))),NOT(ISFORMULA(INDEX('Game Records'!$U:$U,$H38))),NOT(ISFORMULA(INDEX('Game Records'!$V:$V,$H38))),NOT(ISFORMULA(INDEX('Game Records'!$W:$W,$H38))),NOT(ISFORMULA(INDEX('Game Records'!$X:$X,$H38))),NOT(ISFORMULA(INDEX('Game Records'!$Y:$Y,$H38))),NOT(ISFORMULA(INDEX('Game Records'!$Z:$Z,$H38)))),"Formula columns missing; ","")&amp;IF(INDEX('Game Records'!$B:$B,$H38)="","Start Date; ","")&amp;IF(INDEX('Game Records'!$C:$C,$H38)="","End Date; ","")&amp;IF(AND(INDEX('Game Records'!$U:$U,$H38)&lt;&gt;"Subscription",INDEX('Game Records'!$U:$U,$H38)&lt;&gt;"Free Game",INDEX('Game Records'!$U:$U,$H38)&lt;&gt;"Disqualified — Free Game",OR(INDEX('Game Records'!$D:$D,$H38)="",LOWER(INDEX('Game Records'!$D:$D,$H38)&amp;"")="n/a")),"Entry Mode; ","")&amp;IF(AND(INDEX('Game Records'!$U:$U,$H38)&lt;&gt;"Subscription",INDEX('Game Records'!$U:$U,$H38)&lt;&gt;"Free Game",INDEX('Game Records'!$U:$U,$H38)&lt;&gt;"Disqualified — Free Game",OR(INDEX('Game Records'!$E:$E,$H38)="",LOWER(INDEX('Game Records'!$E:$E,$H38)&amp;"")="n/a")),"Game Type; ","")&amp;IF(INDEX('Game Records'!$F:$F,$H38)="","Payment Type; ","")&amp;IF(AND(INDEX('Game Records'!$U:$U,$H38)&lt;&gt;"Subscription",INDEX('Game Records'!$U:$U,$H38)&lt;&gt;"Free Game",INDEX('Game Records'!$U:$U,$H38)&lt;&gt;"Disqualified — Free Game",INDEX('Game Records'!$G:$G,$H38)=""),"Gross Pot; ","")&amp;IF(AND(INDEX('Game Records'!$U:$U,$H38)&lt;&gt;"Free Game",INDEX('Game Records'!$U:$U,$H38)&lt;&gt;"Disqualified — Free Game",INDEX('Game Records'!$H:$H,$H38)=""),"Entry Fee; ","")&amp;IF(AND(INDEX('Game Records'!$U:$U,$H38)&lt;&gt;"Subscription",INDEX('Game Records'!$U:$U,$H38)&lt;&gt;"Free Game",INDEX('Game Records'!$U:$U,$H38)&lt;&gt;"Disqualified — Free Game",INDEX('Game Records'!$I:$I,$H38)=""),"Eligible Players; ","")&amp;IF(AND(INDEX('Game Records'!$U:$U,$H38)&lt;&gt;"Subscription",INDEX('Game Records'!$U:$U,$H38)&lt;&gt;"Free Game",INDEX('Game Records'!$U:$U,$H38)&lt;&gt;"Disqualified — Free Game",INDEX('Game Records'!$J:$J,$H38)=""),"Total Players; ","")&amp;IF(AND(LOWER(INDEX('Game Records'!$D:$D,$H38)&amp;"")="finalized",LOWER(INDEX('Game Records'!$L:$L,$H38)&amp;"")&lt;&gt;"yes",INDEX('Game Records'!$U:$U,$H38)&lt;&gt;"Subscription",INDEX('Game Records'!$U:$U,$H38)&lt;&gt;"Free Game",INDEX('Game Records'!$U:$U,$H38)&lt;&gt;"Disqualified — Free Game",INDEX('Game Records'!$K:$K,$H38)=""),"Final Earned; ","")&amp;IF(AND(LOWER(INDEX('Game Records'!$D:$D,$H38)&amp;"")="finalized",INDEX('Game Records'!$U:$U,$H38)&lt;&gt;"Subscription",INDEX('Game Records'!$U:$U,$H38)&lt;&gt;"Free Game",INDEX('Game Records'!$U:$U,$H38)&lt;&gt;"Disqualified — Free Game",OR(INDEX('Game Records'!$L:$L,$H38)="",LOWER(INDEX('Game Records'!$L:$L,$H38)&amp;"")="n/a")),"Disqualified Status; ","")&amp;IF(AND(OR(LOWER(TRIM(INDEX('Game Records'!$F:$F,$H38)&amp;""))="free game",INDEX('Game Records'!$U:$U,$H38)="Free Game",INDEX('Game Records'!$U:$U,$H38)="Disqualified — Free Game"),N(INDEX('Game Records'!$H:$H,$H38))&lt;&gt;0),"Free Game has a non-zero Entry Fee. Free Game records require a $0 Entry Fee; ",""))</f>
        <v/>
      </c>
      <c r="G38" s="331" t="str">
        <f>IF($H38="","",IFERROR(INDEX('Game Records'!$M:$M,$H38),""))</f>
        <v/>
      </c>
      <c r="H38" s="104" t="str">
        <f>IF($H37="","",IFERROR(MATCH(1,INDEX((ROW('Game Records'!$U$5:$U$504)&gt;$H37)*(('Game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8" s="104"/>
      <c r="J38" s="104"/>
    </row>
    <row r="39" ht="24" hidden="0" customHeight="1">
      <c r="A39" s="332" t="str">
        <f>IF($H39="","",ROWS($A$5:A39))</f>
        <v/>
      </c>
      <c r="B39" s="332" t="str">
        <f>IF($H39="","","G-"&amp;TEXT($A39,"0000"))</f>
        <v/>
      </c>
      <c r="C39" s="331" t="str">
        <f>IF($H39="","",IFERROR(INDEX('Game Records'!$A:$A,$H39),""))</f>
        <v/>
      </c>
      <c r="D39" s="331" t="str">
        <f>IF($H39="","",IFERROR(INDEX('Game Records'!$U:$U,$H39),""))</f>
        <v/>
      </c>
      <c r="E39" s="331" t="str">
        <f>IF($H39="","",IF($F39="","No Highlighted Fields","Highlighted Fields Present"))</f>
        <v/>
      </c>
      <c r="F39" s="331" t="str">
        <f>IF($H39="","",IF(OR(NOT(ISFORMULA(INDEX('Game Records'!$N:$N,$H39))),NOT(ISFORMULA(INDEX('Game Records'!$O:$O,$H39))),NOT(ISFORMULA(INDEX('Game Records'!$P:$P,$H39))),NOT(ISFORMULA(INDEX('Game Records'!$Q:$Q,$H39))),NOT(ISFORMULA(INDEX('Game Records'!$R:$R,$H39))),NOT(ISFORMULA(INDEX('Game Records'!$S:$S,$H39))),NOT(ISFORMULA(INDEX('Game Records'!$T:$T,$H39))),NOT(ISFORMULA(INDEX('Game Records'!$U:$U,$H39))),NOT(ISFORMULA(INDEX('Game Records'!$V:$V,$H39))),NOT(ISFORMULA(INDEX('Game Records'!$W:$W,$H39))),NOT(ISFORMULA(INDEX('Game Records'!$X:$X,$H39))),NOT(ISFORMULA(INDEX('Game Records'!$Y:$Y,$H39))),NOT(ISFORMULA(INDEX('Game Records'!$Z:$Z,$H39)))),"Formula columns missing; ","")&amp;IF(INDEX('Game Records'!$B:$B,$H39)="","Start Date; ","")&amp;IF(INDEX('Game Records'!$C:$C,$H39)="","End Date; ","")&amp;IF(AND(INDEX('Game Records'!$U:$U,$H39)&lt;&gt;"Subscription",INDEX('Game Records'!$U:$U,$H39)&lt;&gt;"Free Game",INDEX('Game Records'!$U:$U,$H39)&lt;&gt;"Disqualified — Free Game",OR(INDEX('Game Records'!$D:$D,$H39)="",LOWER(INDEX('Game Records'!$D:$D,$H39)&amp;"")="n/a")),"Entry Mode; ","")&amp;IF(AND(INDEX('Game Records'!$U:$U,$H39)&lt;&gt;"Subscription",INDEX('Game Records'!$U:$U,$H39)&lt;&gt;"Free Game",INDEX('Game Records'!$U:$U,$H39)&lt;&gt;"Disqualified — Free Game",OR(INDEX('Game Records'!$E:$E,$H39)="",LOWER(INDEX('Game Records'!$E:$E,$H39)&amp;"")="n/a")),"Game Type; ","")&amp;IF(INDEX('Game Records'!$F:$F,$H39)="","Payment Type; ","")&amp;IF(AND(INDEX('Game Records'!$U:$U,$H39)&lt;&gt;"Subscription",INDEX('Game Records'!$U:$U,$H39)&lt;&gt;"Free Game",INDEX('Game Records'!$U:$U,$H39)&lt;&gt;"Disqualified — Free Game",INDEX('Game Records'!$G:$G,$H39)=""),"Gross Pot; ","")&amp;IF(AND(INDEX('Game Records'!$U:$U,$H39)&lt;&gt;"Free Game",INDEX('Game Records'!$U:$U,$H39)&lt;&gt;"Disqualified — Free Game",INDEX('Game Records'!$H:$H,$H39)=""),"Entry Fee; ","")&amp;IF(AND(INDEX('Game Records'!$U:$U,$H39)&lt;&gt;"Subscription",INDEX('Game Records'!$U:$U,$H39)&lt;&gt;"Free Game",INDEX('Game Records'!$U:$U,$H39)&lt;&gt;"Disqualified — Free Game",INDEX('Game Records'!$I:$I,$H39)=""),"Eligible Players; ","")&amp;IF(AND(INDEX('Game Records'!$U:$U,$H39)&lt;&gt;"Subscription",INDEX('Game Records'!$U:$U,$H39)&lt;&gt;"Free Game",INDEX('Game Records'!$U:$U,$H39)&lt;&gt;"Disqualified — Free Game",INDEX('Game Records'!$J:$J,$H39)=""),"Total Players; ","")&amp;IF(AND(LOWER(INDEX('Game Records'!$D:$D,$H39)&amp;"")="finalized",LOWER(INDEX('Game Records'!$L:$L,$H39)&amp;"")&lt;&gt;"yes",INDEX('Game Records'!$U:$U,$H39)&lt;&gt;"Subscription",INDEX('Game Records'!$U:$U,$H39)&lt;&gt;"Free Game",INDEX('Game Records'!$U:$U,$H39)&lt;&gt;"Disqualified — Free Game",INDEX('Game Records'!$K:$K,$H39)=""),"Final Earned; ","")&amp;IF(AND(LOWER(INDEX('Game Records'!$D:$D,$H39)&amp;"")="finalized",INDEX('Game Records'!$U:$U,$H39)&lt;&gt;"Subscription",INDEX('Game Records'!$U:$U,$H39)&lt;&gt;"Free Game",INDEX('Game Records'!$U:$U,$H39)&lt;&gt;"Disqualified — Free Game",OR(INDEX('Game Records'!$L:$L,$H39)="",LOWER(INDEX('Game Records'!$L:$L,$H39)&amp;"")="n/a")),"Disqualified Status; ","")&amp;IF(AND(OR(LOWER(TRIM(INDEX('Game Records'!$F:$F,$H39)&amp;""))="free game",INDEX('Game Records'!$U:$U,$H39)="Free Game",INDEX('Game Records'!$U:$U,$H39)="Disqualified — Free Game"),N(INDEX('Game Records'!$H:$H,$H39))&lt;&gt;0),"Free Game has a non-zero Entry Fee. Free Game records require a $0 Entry Fee; ",""))</f>
        <v/>
      </c>
      <c r="G39" s="331" t="str">
        <f>IF($H39="","",IFERROR(INDEX('Game Records'!$M:$M,$H39),""))</f>
        <v/>
      </c>
      <c r="H39" s="104" t="str">
        <f>IF($H38="","",IFERROR(MATCH(1,INDEX((ROW('Game Records'!$U$5:$U$504)&gt;$H38)*(('Game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9" s="104"/>
      <c r="J39" s="104"/>
    </row>
    <row r="40" ht="24" hidden="0" customHeight="1">
      <c r="A40" s="332" t="str">
        <f>IF($H40="","",ROWS($A$5:A40))</f>
        <v/>
      </c>
      <c r="B40" s="332" t="str">
        <f>IF($H40="","","G-"&amp;TEXT($A40,"0000"))</f>
        <v/>
      </c>
      <c r="C40" s="331" t="str">
        <f>IF($H40="","",IFERROR(INDEX('Game Records'!$A:$A,$H40),""))</f>
        <v/>
      </c>
      <c r="D40" s="331" t="str">
        <f>IF($H40="","",IFERROR(INDEX('Game Records'!$U:$U,$H40),""))</f>
        <v/>
      </c>
      <c r="E40" s="331" t="str">
        <f>IF($H40="","",IF($F40="","No Highlighted Fields","Highlighted Fields Present"))</f>
        <v/>
      </c>
      <c r="F40" s="331" t="str">
        <f>IF($H40="","",IF(OR(NOT(ISFORMULA(INDEX('Game Records'!$N:$N,$H40))),NOT(ISFORMULA(INDEX('Game Records'!$O:$O,$H40))),NOT(ISFORMULA(INDEX('Game Records'!$P:$P,$H40))),NOT(ISFORMULA(INDEX('Game Records'!$Q:$Q,$H40))),NOT(ISFORMULA(INDEX('Game Records'!$R:$R,$H40))),NOT(ISFORMULA(INDEX('Game Records'!$S:$S,$H40))),NOT(ISFORMULA(INDEX('Game Records'!$T:$T,$H40))),NOT(ISFORMULA(INDEX('Game Records'!$U:$U,$H40))),NOT(ISFORMULA(INDEX('Game Records'!$V:$V,$H40))),NOT(ISFORMULA(INDEX('Game Records'!$W:$W,$H40))),NOT(ISFORMULA(INDEX('Game Records'!$X:$X,$H40))),NOT(ISFORMULA(INDEX('Game Records'!$Y:$Y,$H40))),NOT(ISFORMULA(INDEX('Game Records'!$Z:$Z,$H40)))),"Formula columns missing; ","")&amp;IF(INDEX('Game Records'!$B:$B,$H40)="","Start Date; ","")&amp;IF(INDEX('Game Records'!$C:$C,$H40)="","End Date; ","")&amp;IF(AND(INDEX('Game Records'!$U:$U,$H40)&lt;&gt;"Subscription",INDEX('Game Records'!$U:$U,$H40)&lt;&gt;"Free Game",INDEX('Game Records'!$U:$U,$H40)&lt;&gt;"Disqualified — Free Game",OR(INDEX('Game Records'!$D:$D,$H40)="",LOWER(INDEX('Game Records'!$D:$D,$H40)&amp;"")="n/a")),"Entry Mode; ","")&amp;IF(AND(INDEX('Game Records'!$U:$U,$H40)&lt;&gt;"Subscription",INDEX('Game Records'!$U:$U,$H40)&lt;&gt;"Free Game",INDEX('Game Records'!$U:$U,$H40)&lt;&gt;"Disqualified — Free Game",OR(INDEX('Game Records'!$E:$E,$H40)="",LOWER(INDEX('Game Records'!$E:$E,$H40)&amp;"")="n/a")),"Game Type; ","")&amp;IF(INDEX('Game Records'!$F:$F,$H40)="","Payment Type; ","")&amp;IF(AND(INDEX('Game Records'!$U:$U,$H40)&lt;&gt;"Subscription",INDEX('Game Records'!$U:$U,$H40)&lt;&gt;"Free Game",INDEX('Game Records'!$U:$U,$H40)&lt;&gt;"Disqualified — Free Game",INDEX('Game Records'!$G:$G,$H40)=""),"Gross Pot; ","")&amp;IF(AND(INDEX('Game Records'!$U:$U,$H40)&lt;&gt;"Free Game",INDEX('Game Records'!$U:$U,$H40)&lt;&gt;"Disqualified — Free Game",INDEX('Game Records'!$H:$H,$H40)=""),"Entry Fee; ","")&amp;IF(AND(INDEX('Game Records'!$U:$U,$H40)&lt;&gt;"Subscription",INDEX('Game Records'!$U:$U,$H40)&lt;&gt;"Free Game",INDEX('Game Records'!$U:$U,$H40)&lt;&gt;"Disqualified — Free Game",INDEX('Game Records'!$I:$I,$H40)=""),"Eligible Players; ","")&amp;IF(AND(INDEX('Game Records'!$U:$U,$H40)&lt;&gt;"Subscription",INDEX('Game Records'!$U:$U,$H40)&lt;&gt;"Free Game",INDEX('Game Records'!$U:$U,$H40)&lt;&gt;"Disqualified — Free Game",INDEX('Game Records'!$J:$J,$H40)=""),"Total Players; ","")&amp;IF(AND(LOWER(INDEX('Game Records'!$D:$D,$H40)&amp;"")="finalized",LOWER(INDEX('Game Records'!$L:$L,$H40)&amp;"")&lt;&gt;"yes",INDEX('Game Records'!$U:$U,$H40)&lt;&gt;"Subscription",INDEX('Game Records'!$U:$U,$H40)&lt;&gt;"Free Game",INDEX('Game Records'!$U:$U,$H40)&lt;&gt;"Disqualified — Free Game",INDEX('Game Records'!$K:$K,$H40)=""),"Final Earned; ","")&amp;IF(AND(LOWER(INDEX('Game Records'!$D:$D,$H40)&amp;"")="finalized",INDEX('Game Records'!$U:$U,$H40)&lt;&gt;"Subscription",INDEX('Game Records'!$U:$U,$H40)&lt;&gt;"Free Game",INDEX('Game Records'!$U:$U,$H40)&lt;&gt;"Disqualified — Free Game",OR(INDEX('Game Records'!$L:$L,$H40)="",LOWER(INDEX('Game Records'!$L:$L,$H40)&amp;"")="n/a")),"Disqualified Status; ","")&amp;IF(AND(OR(LOWER(TRIM(INDEX('Game Records'!$F:$F,$H40)&amp;""))="free game",INDEX('Game Records'!$U:$U,$H40)="Free Game",INDEX('Game Records'!$U:$U,$H40)="Disqualified — Free Game"),N(INDEX('Game Records'!$H:$H,$H40))&lt;&gt;0),"Free Game has a non-zero Entry Fee. Free Game records require a $0 Entry Fee; ",""))</f>
        <v/>
      </c>
      <c r="G40" s="331" t="str">
        <f>IF($H40="","",IFERROR(INDEX('Game Records'!$M:$M,$H40),""))</f>
        <v/>
      </c>
      <c r="H40" s="104" t="str">
        <f>IF($H39="","",IFERROR(MATCH(1,INDEX((ROW('Game Records'!$U$5:$U$504)&gt;$H39)*(('Game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0" s="104"/>
      <c r="J40" s="104"/>
    </row>
    <row r="41" ht="24" hidden="0" customHeight="1">
      <c r="A41" s="332" t="str">
        <f>IF($H41="","",ROWS($A$5:A41))</f>
        <v/>
      </c>
      <c r="B41" s="332" t="str">
        <f>IF($H41="","","G-"&amp;TEXT($A41,"0000"))</f>
        <v/>
      </c>
      <c r="C41" s="331" t="str">
        <f>IF($H41="","",IFERROR(INDEX('Game Records'!$A:$A,$H41),""))</f>
        <v/>
      </c>
      <c r="D41" s="331" t="str">
        <f>IF($H41="","",IFERROR(INDEX('Game Records'!$U:$U,$H41),""))</f>
        <v/>
      </c>
      <c r="E41" s="331" t="str">
        <f>IF($H41="","",IF($F41="","No Highlighted Fields","Highlighted Fields Present"))</f>
        <v/>
      </c>
      <c r="F41" s="331" t="str">
        <f>IF($H41="","",IF(OR(NOT(ISFORMULA(INDEX('Game Records'!$N:$N,$H41))),NOT(ISFORMULA(INDEX('Game Records'!$O:$O,$H41))),NOT(ISFORMULA(INDEX('Game Records'!$P:$P,$H41))),NOT(ISFORMULA(INDEX('Game Records'!$Q:$Q,$H41))),NOT(ISFORMULA(INDEX('Game Records'!$R:$R,$H41))),NOT(ISFORMULA(INDEX('Game Records'!$S:$S,$H41))),NOT(ISFORMULA(INDEX('Game Records'!$T:$T,$H41))),NOT(ISFORMULA(INDEX('Game Records'!$U:$U,$H41))),NOT(ISFORMULA(INDEX('Game Records'!$V:$V,$H41))),NOT(ISFORMULA(INDEX('Game Records'!$W:$W,$H41))),NOT(ISFORMULA(INDEX('Game Records'!$X:$X,$H41))),NOT(ISFORMULA(INDEX('Game Records'!$Y:$Y,$H41))),NOT(ISFORMULA(INDEX('Game Records'!$Z:$Z,$H41)))),"Formula columns missing; ","")&amp;IF(INDEX('Game Records'!$B:$B,$H41)="","Start Date; ","")&amp;IF(INDEX('Game Records'!$C:$C,$H41)="","End Date; ","")&amp;IF(AND(INDEX('Game Records'!$U:$U,$H41)&lt;&gt;"Subscription",INDEX('Game Records'!$U:$U,$H41)&lt;&gt;"Free Game",INDEX('Game Records'!$U:$U,$H41)&lt;&gt;"Disqualified — Free Game",OR(INDEX('Game Records'!$D:$D,$H41)="",LOWER(INDEX('Game Records'!$D:$D,$H41)&amp;"")="n/a")),"Entry Mode; ","")&amp;IF(AND(INDEX('Game Records'!$U:$U,$H41)&lt;&gt;"Subscription",INDEX('Game Records'!$U:$U,$H41)&lt;&gt;"Free Game",INDEX('Game Records'!$U:$U,$H41)&lt;&gt;"Disqualified — Free Game",OR(INDEX('Game Records'!$E:$E,$H41)="",LOWER(INDEX('Game Records'!$E:$E,$H41)&amp;"")="n/a")),"Game Type; ","")&amp;IF(INDEX('Game Records'!$F:$F,$H41)="","Payment Type; ","")&amp;IF(AND(INDEX('Game Records'!$U:$U,$H41)&lt;&gt;"Subscription",INDEX('Game Records'!$U:$U,$H41)&lt;&gt;"Free Game",INDEX('Game Records'!$U:$U,$H41)&lt;&gt;"Disqualified — Free Game",INDEX('Game Records'!$G:$G,$H41)=""),"Gross Pot; ","")&amp;IF(AND(INDEX('Game Records'!$U:$U,$H41)&lt;&gt;"Free Game",INDEX('Game Records'!$U:$U,$H41)&lt;&gt;"Disqualified — Free Game",INDEX('Game Records'!$H:$H,$H41)=""),"Entry Fee; ","")&amp;IF(AND(INDEX('Game Records'!$U:$U,$H41)&lt;&gt;"Subscription",INDEX('Game Records'!$U:$U,$H41)&lt;&gt;"Free Game",INDEX('Game Records'!$U:$U,$H41)&lt;&gt;"Disqualified — Free Game",INDEX('Game Records'!$I:$I,$H41)=""),"Eligible Players; ","")&amp;IF(AND(INDEX('Game Records'!$U:$U,$H41)&lt;&gt;"Subscription",INDEX('Game Records'!$U:$U,$H41)&lt;&gt;"Free Game",INDEX('Game Records'!$U:$U,$H41)&lt;&gt;"Disqualified — Free Game",INDEX('Game Records'!$J:$J,$H41)=""),"Total Players; ","")&amp;IF(AND(LOWER(INDEX('Game Records'!$D:$D,$H41)&amp;"")="finalized",LOWER(INDEX('Game Records'!$L:$L,$H41)&amp;"")&lt;&gt;"yes",INDEX('Game Records'!$U:$U,$H41)&lt;&gt;"Subscription",INDEX('Game Records'!$U:$U,$H41)&lt;&gt;"Free Game",INDEX('Game Records'!$U:$U,$H41)&lt;&gt;"Disqualified — Free Game",INDEX('Game Records'!$K:$K,$H41)=""),"Final Earned; ","")&amp;IF(AND(LOWER(INDEX('Game Records'!$D:$D,$H41)&amp;"")="finalized",INDEX('Game Records'!$U:$U,$H41)&lt;&gt;"Subscription",INDEX('Game Records'!$U:$U,$H41)&lt;&gt;"Free Game",INDEX('Game Records'!$U:$U,$H41)&lt;&gt;"Disqualified — Free Game",OR(INDEX('Game Records'!$L:$L,$H41)="",LOWER(INDEX('Game Records'!$L:$L,$H41)&amp;"")="n/a")),"Disqualified Status; ","")&amp;IF(AND(OR(LOWER(TRIM(INDEX('Game Records'!$F:$F,$H41)&amp;""))="free game",INDEX('Game Records'!$U:$U,$H41)="Free Game",INDEX('Game Records'!$U:$U,$H41)="Disqualified — Free Game"),N(INDEX('Game Records'!$H:$H,$H41))&lt;&gt;0),"Free Game has a non-zero Entry Fee. Free Game records require a $0 Entry Fee; ",""))</f>
        <v/>
      </c>
      <c r="G41" s="331" t="str">
        <f>IF($H41="","",IFERROR(INDEX('Game Records'!$M:$M,$H41),""))</f>
        <v/>
      </c>
      <c r="H41" s="104" t="str">
        <f>IF($H40="","",IFERROR(MATCH(1,INDEX((ROW('Game Records'!$U$5:$U$504)&gt;$H40)*(('Game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1" s="104"/>
      <c r="J41" s="104"/>
    </row>
    <row r="42" ht="24" hidden="0" customHeight="1">
      <c r="A42" s="332" t="str">
        <f>IF($H42="","",ROWS($A$5:A42))</f>
        <v/>
      </c>
      <c r="B42" s="332" t="str">
        <f>IF($H42="","","G-"&amp;TEXT($A42,"0000"))</f>
        <v/>
      </c>
      <c r="C42" s="331" t="str">
        <f>IF($H42="","",IFERROR(INDEX('Game Records'!$A:$A,$H42),""))</f>
        <v/>
      </c>
      <c r="D42" s="331" t="str">
        <f>IF($H42="","",IFERROR(INDEX('Game Records'!$U:$U,$H42),""))</f>
        <v/>
      </c>
      <c r="E42" s="331" t="str">
        <f>IF($H42="","",IF($F42="","No Highlighted Fields","Highlighted Fields Present"))</f>
        <v/>
      </c>
      <c r="F42" s="331" t="str">
        <f>IF($H42="","",IF(OR(NOT(ISFORMULA(INDEX('Game Records'!$N:$N,$H42))),NOT(ISFORMULA(INDEX('Game Records'!$O:$O,$H42))),NOT(ISFORMULA(INDEX('Game Records'!$P:$P,$H42))),NOT(ISFORMULA(INDEX('Game Records'!$Q:$Q,$H42))),NOT(ISFORMULA(INDEX('Game Records'!$R:$R,$H42))),NOT(ISFORMULA(INDEX('Game Records'!$S:$S,$H42))),NOT(ISFORMULA(INDEX('Game Records'!$T:$T,$H42))),NOT(ISFORMULA(INDEX('Game Records'!$U:$U,$H42))),NOT(ISFORMULA(INDEX('Game Records'!$V:$V,$H42))),NOT(ISFORMULA(INDEX('Game Records'!$W:$W,$H42))),NOT(ISFORMULA(INDEX('Game Records'!$X:$X,$H42))),NOT(ISFORMULA(INDEX('Game Records'!$Y:$Y,$H42))),NOT(ISFORMULA(INDEX('Game Records'!$Z:$Z,$H42)))),"Formula columns missing; ","")&amp;IF(INDEX('Game Records'!$B:$B,$H42)="","Start Date; ","")&amp;IF(INDEX('Game Records'!$C:$C,$H42)="","End Date; ","")&amp;IF(AND(INDEX('Game Records'!$U:$U,$H42)&lt;&gt;"Subscription",INDEX('Game Records'!$U:$U,$H42)&lt;&gt;"Free Game",INDEX('Game Records'!$U:$U,$H42)&lt;&gt;"Disqualified — Free Game",OR(INDEX('Game Records'!$D:$D,$H42)="",LOWER(INDEX('Game Records'!$D:$D,$H42)&amp;"")="n/a")),"Entry Mode; ","")&amp;IF(AND(INDEX('Game Records'!$U:$U,$H42)&lt;&gt;"Subscription",INDEX('Game Records'!$U:$U,$H42)&lt;&gt;"Free Game",INDEX('Game Records'!$U:$U,$H42)&lt;&gt;"Disqualified — Free Game",OR(INDEX('Game Records'!$E:$E,$H42)="",LOWER(INDEX('Game Records'!$E:$E,$H42)&amp;"")="n/a")),"Game Type; ","")&amp;IF(INDEX('Game Records'!$F:$F,$H42)="","Payment Type; ","")&amp;IF(AND(INDEX('Game Records'!$U:$U,$H42)&lt;&gt;"Subscription",INDEX('Game Records'!$U:$U,$H42)&lt;&gt;"Free Game",INDEX('Game Records'!$U:$U,$H42)&lt;&gt;"Disqualified — Free Game",INDEX('Game Records'!$G:$G,$H42)=""),"Gross Pot; ","")&amp;IF(AND(INDEX('Game Records'!$U:$U,$H42)&lt;&gt;"Free Game",INDEX('Game Records'!$U:$U,$H42)&lt;&gt;"Disqualified — Free Game",INDEX('Game Records'!$H:$H,$H42)=""),"Entry Fee; ","")&amp;IF(AND(INDEX('Game Records'!$U:$U,$H42)&lt;&gt;"Subscription",INDEX('Game Records'!$U:$U,$H42)&lt;&gt;"Free Game",INDEX('Game Records'!$U:$U,$H42)&lt;&gt;"Disqualified — Free Game",INDEX('Game Records'!$I:$I,$H42)=""),"Eligible Players; ","")&amp;IF(AND(INDEX('Game Records'!$U:$U,$H42)&lt;&gt;"Subscription",INDEX('Game Records'!$U:$U,$H42)&lt;&gt;"Free Game",INDEX('Game Records'!$U:$U,$H42)&lt;&gt;"Disqualified — Free Game",INDEX('Game Records'!$J:$J,$H42)=""),"Total Players; ","")&amp;IF(AND(LOWER(INDEX('Game Records'!$D:$D,$H42)&amp;"")="finalized",LOWER(INDEX('Game Records'!$L:$L,$H42)&amp;"")&lt;&gt;"yes",INDEX('Game Records'!$U:$U,$H42)&lt;&gt;"Subscription",INDEX('Game Records'!$U:$U,$H42)&lt;&gt;"Free Game",INDEX('Game Records'!$U:$U,$H42)&lt;&gt;"Disqualified — Free Game",INDEX('Game Records'!$K:$K,$H42)=""),"Final Earned; ","")&amp;IF(AND(LOWER(INDEX('Game Records'!$D:$D,$H42)&amp;"")="finalized",INDEX('Game Records'!$U:$U,$H42)&lt;&gt;"Subscription",INDEX('Game Records'!$U:$U,$H42)&lt;&gt;"Free Game",INDEX('Game Records'!$U:$U,$H42)&lt;&gt;"Disqualified — Free Game",OR(INDEX('Game Records'!$L:$L,$H42)="",LOWER(INDEX('Game Records'!$L:$L,$H42)&amp;"")="n/a")),"Disqualified Status; ","")&amp;IF(AND(OR(LOWER(TRIM(INDEX('Game Records'!$F:$F,$H42)&amp;""))="free game",INDEX('Game Records'!$U:$U,$H42)="Free Game",INDEX('Game Records'!$U:$U,$H42)="Disqualified — Free Game"),N(INDEX('Game Records'!$H:$H,$H42))&lt;&gt;0),"Free Game has a non-zero Entry Fee. Free Game records require a $0 Entry Fee; ",""))</f>
        <v/>
      </c>
      <c r="G42" s="331" t="str">
        <f>IF($H42="","",IFERROR(INDEX('Game Records'!$M:$M,$H42),""))</f>
        <v/>
      </c>
      <c r="H42" s="104" t="str">
        <f>IF($H41="","",IFERROR(MATCH(1,INDEX((ROW('Game Records'!$U$5:$U$504)&gt;$H41)*(('Game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2" s="104"/>
      <c r="J42" s="104"/>
    </row>
    <row r="43" ht="24" hidden="0" customHeight="1">
      <c r="A43" s="332" t="str">
        <f>IF($H43="","",ROWS($A$5:A43))</f>
        <v/>
      </c>
      <c r="B43" s="332" t="str">
        <f>IF($H43="","","G-"&amp;TEXT($A43,"0000"))</f>
        <v/>
      </c>
      <c r="C43" s="331" t="str">
        <f>IF($H43="","",IFERROR(INDEX('Game Records'!$A:$A,$H43),""))</f>
        <v/>
      </c>
      <c r="D43" s="331" t="str">
        <f>IF($H43="","",IFERROR(INDEX('Game Records'!$U:$U,$H43),""))</f>
        <v/>
      </c>
      <c r="E43" s="331" t="str">
        <f>IF($H43="","",IF($F43="","No Highlighted Fields","Highlighted Fields Present"))</f>
        <v/>
      </c>
      <c r="F43" s="331" t="str">
        <f>IF($H43="","",IF(OR(NOT(ISFORMULA(INDEX('Game Records'!$N:$N,$H43))),NOT(ISFORMULA(INDEX('Game Records'!$O:$O,$H43))),NOT(ISFORMULA(INDEX('Game Records'!$P:$P,$H43))),NOT(ISFORMULA(INDEX('Game Records'!$Q:$Q,$H43))),NOT(ISFORMULA(INDEX('Game Records'!$R:$R,$H43))),NOT(ISFORMULA(INDEX('Game Records'!$S:$S,$H43))),NOT(ISFORMULA(INDEX('Game Records'!$T:$T,$H43))),NOT(ISFORMULA(INDEX('Game Records'!$U:$U,$H43))),NOT(ISFORMULA(INDEX('Game Records'!$V:$V,$H43))),NOT(ISFORMULA(INDEX('Game Records'!$W:$W,$H43))),NOT(ISFORMULA(INDEX('Game Records'!$X:$X,$H43))),NOT(ISFORMULA(INDEX('Game Records'!$Y:$Y,$H43))),NOT(ISFORMULA(INDEX('Game Records'!$Z:$Z,$H43)))),"Formula columns missing; ","")&amp;IF(INDEX('Game Records'!$B:$B,$H43)="","Start Date; ","")&amp;IF(INDEX('Game Records'!$C:$C,$H43)="","End Date; ","")&amp;IF(AND(INDEX('Game Records'!$U:$U,$H43)&lt;&gt;"Subscription",INDEX('Game Records'!$U:$U,$H43)&lt;&gt;"Free Game",INDEX('Game Records'!$U:$U,$H43)&lt;&gt;"Disqualified — Free Game",OR(INDEX('Game Records'!$D:$D,$H43)="",LOWER(INDEX('Game Records'!$D:$D,$H43)&amp;"")="n/a")),"Entry Mode; ","")&amp;IF(AND(INDEX('Game Records'!$U:$U,$H43)&lt;&gt;"Subscription",INDEX('Game Records'!$U:$U,$H43)&lt;&gt;"Free Game",INDEX('Game Records'!$U:$U,$H43)&lt;&gt;"Disqualified — Free Game",OR(INDEX('Game Records'!$E:$E,$H43)="",LOWER(INDEX('Game Records'!$E:$E,$H43)&amp;"")="n/a")),"Game Type; ","")&amp;IF(INDEX('Game Records'!$F:$F,$H43)="","Payment Type; ","")&amp;IF(AND(INDEX('Game Records'!$U:$U,$H43)&lt;&gt;"Subscription",INDEX('Game Records'!$U:$U,$H43)&lt;&gt;"Free Game",INDEX('Game Records'!$U:$U,$H43)&lt;&gt;"Disqualified — Free Game",INDEX('Game Records'!$G:$G,$H43)=""),"Gross Pot; ","")&amp;IF(AND(INDEX('Game Records'!$U:$U,$H43)&lt;&gt;"Free Game",INDEX('Game Records'!$U:$U,$H43)&lt;&gt;"Disqualified — Free Game",INDEX('Game Records'!$H:$H,$H43)=""),"Entry Fee; ","")&amp;IF(AND(INDEX('Game Records'!$U:$U,$H43)&lt;&gt;"Subscription",INDEX('Game Records'!$U:$U,$H43)&lt;&gt;"Free Game",INDEX('Game Records'!$U:$U,$H43)&lt;&gt;"Disqualified — Free Game",INDEX('Game Records'!$I:$I,$H43)=""),"Eligible Players; ","")&amp;IF(AND(INDEX('Game Records'!$U:$U,$H43)&lt;&gt;"Subscription",INDEX('Game Records'!$U:$U,$H43)&lt;&gt;"Free Game",INDEX('Game Records'!$U:$U,$H43)&lt;&gt;"Disqualified — Free Game",INDEX('Game Records'!$J:$J,$H43)=""),"Total Players; ","")&amp;IF(AND(LOWER(INDEX('Game Records'!$D:$D,$H43)&amp;"")="finalized",LOWER(INDEX('Game Records'!$L:$L,$H43)&amp;"")&lt;&gt;"yes",INDEX('Game Records'!$U:$U,$H43)&lt;&gt;"Subscription",INDEX('Game Records'!$U:$U,$H43)&lt;&gt;"Free Game",INDEX('Game Records'!$U:$U,$H43)&lt;&gt;"Disqualified — Free Game",INDEX('Game Records'!$K:$K,$H43)=""),"Final Earned; ","")&amp;IF(AND(LOWER(INDEX('Game Records'!$D:$D,$H43)&amp;"")="finalized",INDEX('Game Records'!$U:$U,$H43)&lt;&gt;"Subscription",INDEX('Game Records'!$U:$U,$H43)&lt;&gt;"Free Game",INDEX('Game Records'!$U:$U,$H43)&lt;&gt;"Disqualified — Free Game",OR(INDEX('Game Records'!$L:$L,$H43)="",LOWER(INDEX('Game Records'!$L:$L,$H43)&amp;"")="n/a")),"Disqualified Status; ","")&amp;IF(AND(OR(LOWER(TRIM(INDEX('Game Records'!$F:$F,$H43)&amp;""))="free game",INDEX('Game Records'!$U:$U,$H43)="Free Game",INDEX('Game Records'!$U:$U,$H43)="Disqualified — Free Game"),N(INDEX('Game Records'!$H:$H,$H43))&lt;&gt;0),"Free Game has a non-zero Entry Fee. Free Game records require a $0 Entry Fee; ",""))</f>
        <v/>
      </c>
      <c r="G43" s="331" t="str">
        <f>IF($H43="","",IFERROR(INDEX('Game Records'!$M:$M,$H43),""))</f>
        <v/>
      </c>
      <c r="H43" s="104" t="str">
        <f>IF($H42="","",IFERROR(MATCH(1,INDEX((ROW('Game Records'!$U$5:$U$504)&gt;$H42)*(('Game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3" s="104"/>
      <c r="J43" s="104"/>
    </row>
    <row r="44" ht="24" hidden="0" customHeight="1">
      <c r="A44" s="332" t="str">
        <f>IF($H44="","",ROWS($A$5:A44))</f>
        <v/>
      </c>
      <c r="B44" s="332" t="str">
        <f>IF($H44="","","G-"&amp;TEXT($A44,"0000"))</f>
        <v/>
      </c>
      <c r="C44" s="331" t="str">
        <f>IF($H44="","",IFERROR(INDEX('Game Records'!$A:$A,$H44),""))</f>
        <v/>
      </c>
      <c r="D44" s="331" t="str">
        <f>IF($H44="","",IFERROR(INDEX('Game Records'!$U:$U,$H44),""))</f>
        <v/>
      </c>
      <c r="E44" s="331" t="str">
        <f>IF($H44="","",IF($F44="","No Highlighted Fields","Highlighted Fields Present"))</f>
        <v/>
      </c>
      <c r="F44" s="331" t="str">
        <f>IF($H44="","",IF(OR(NOT(ISFORMULA(INDEX('Game Records'!$N:$N,$H44))),NOT(ISFORMULA(INDEX('Game Records'!$O:$O,$H44))),NOT(ISFORMULA(INDEX('Game Records'!$P:$P,$H44))),NOT(ISFORMULA(INDEX('Game Records'!$Q:$Q,$H44))),NOT(ISFORMULA(INDEX('Game Records'!$R:$R,$H44))),NOT(ISFORMULA(INDEX('Game Records'!$S:$S,$H44))),NOT(ISFORMULA(INDEX('Game Records'!$T:$T,$H44))),NOT(ISFORMULA(INDEX('Game Records'!$U:$U,$H44))),NOT(ISFORMULA(INDEX('Game Records'!$V:$V,$H44))),NOT(ISFORMULA(INDEX('Game Records'!$W:$W,$H44))),NOT(ISFORMULA(INDEX('Game Records'!$X:$X,$H44))),NOT(ISFORMULA(INDEX('Game Records'!$Y:$Y,$H44))),NOT(ISFORMULA(INDEX('Game Records'!$Z:$Z,$H44)))),"Formula columns missing; ","")&amp;IF(INDEX('Game Records'!$B:$B,$H44)="","Start Date; ","")&amp;IF(INDEX('Game Records'!$C:$C,$H44)="","End Date; ","")&amp;IF(AND(INDEX('Game Records'!$U:$U,$H44)&lt;&gt;"Subscription",INDEX('Game Records'!$U:$U,$H44)&lt;&gt;"Free Game",INDEX('Game Records'!$U:$U,$H44)&lt;&gt;"Disqualified — Free Game",OR(INDEX('Game Records'!$D:$D,$H44)="",LOWER(INDEX('Game Records'!$D:$D,$H44)&amp;"")="n/a")),"Entry Mode; ","")&amp;IF(AND(INDEX('Game Records'!$U:$U,$H44)&lt;&gt;"Subscription",INDEX('Game Records'!$U:$U,$H44)&lt;&gt;"Free Game",INDEX('Game Records'!$U:$U,$H44)&lt;&gt;"Disqualified — Free Game",OR(INDEX('Game Records'!$E:$E,$H44)="",LOWER(INDEX('Game Records'!$E:$E,$H44)&amp;"")="n/a")),"Game Type; ","")&amp;IF(INDEX('Game Records'!$F:$F,$H44)="","Payment Type; ","")&amp;IF(AND(INDEX('Game Records'!$U:$U,$H44)&lt;&gt;"Subscription",INDEX('Game Records'!$U:$U,$H44)&lt;&gt;"Free Game",INDEX('Game Records'!$U:$U,$H44)&lt;&gt;"Disqualified — Free Game",INDEX('Game Records'!$G:$G,$H44)=""),"Gross Pot; ","")&amp;IF(AND(INDEX('Game Records'!$U:$U,$H44)&lt;&gt;"Free Game",INDEX('Game Records'!$U:$U,$H44)&lt;&gt;"Disqualified — Free Game",INDEX('Game Records'!$H:$H,$H44)=""),"Entry Fee; ","")&amp;IF(AND(INDEX('Game Records'!$U:$U,$H44)&lt;&gt;"Subscription",INDEX('Game Records'!$U:$U,$H44)&lt;&gt;"Free Game",INDEX('Game Records'!$U:$U,$H44)&lt;&gt;"Disqualified — Free Game",INDEX('Game Records'!$I:$I,$H44)=""),"Eligible Players; ","")&amp;IF(AND(INDEX('Game Records'!$U:$U,$H44)&lt;&gt;"Subscription",INDEX('Game Records'!$U:$U,$H44)&lt;&gt;"Free Game",INDEX('Game Records'!$U:$U,$H44)&lt;&gt;"Disqualified — Free Game",INDEX('Game Records'!$J:$J,$H44)=""),"Total Players; ","")&amp;IF(AND(LOWER(INDEX('Game Records'!$D:$D,$H44)&amp;"")="finalized",LOWER(INDEX('Game Records'!$L:$L,$H44)&amp;"")&lt;&gt;"yes",INDEX('Game Records'!$U:$U,$H44)&lt;&gt;"Subscription",INDEX('Game Records'!$U:$U,$H44)&lt;&gt;"Free Game",INDEX('Game Records'!$U:$U,$H44)&lt;&gt;"Disqualified — Free Game",INDEX('Game Records'!$K:$K,$H44)=""),"Final Earned; ","")&amp;IF(AND(LOWER(INDEX('Game Records'!$D:$D,$H44)&amp;"")="finalized",INDEX('Game Records'!$U:$U,$H44)&lt;&gt;"Subscription",INDEX('Game Records'!$U:$U,$H44)&lt;&gt;"Free Game",INDEX('Game Records'!$U:$U,$H44)&lt;&gt;"Disqualified — Free Game",OR(INDEX('Game Records'!$L:$L,$H44)="",LOWER(INDEX('Game Records'!$L:$L,$H44)&amp;"")="n/a")),"Disqualified Status; ","")&amp;IF(AND(OR(LOWER(TRIM(INDEX('Game Records'!$F:$F,$H44)&amp;""))="free game",INDEX('Game Records'!$U:$U,$H44)="Free Game",INDEX('Game Records'!$U:$U,$H44)="Disqualified — Free Game"),N(INDEX('Game Records'!$H:$H,$H44))&lt;&gt;0),"Free Game has a non-zero Entry Fee. Free Game records require a $0 Entry Fee; ",""))</f>
        <v/>
      </c>
      <c r="G44" s="331" t="str">
        <f>IF($H44="","",IFERROR(INDEX('Game Records'!$M:$M,$H44),""))</f>
        <v/>
      </c>
      <c r="H44" s="104" t="str">
        <f>IF($H43="","",IFERROR(MATCH(1,INDEX((ROW('Game Records'!$U$5:$U$504)&gt;$H43)*(('Game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4" s="104"/>
      <c r="J44" s="104"/>
    </row>
    <row r="45" ht="24" hidden="0" customHeight="1">
      <c r="A45" s="332" t="str">
        <f>IF($H45="","",ROWS($A$5:A45))</f>
        <v/>
      </c>
      <c r="B45" s="332" t="str">
        <f>IF($H45="","","G-"&amp;TEXT($A45,"0000"))</f>
        <v/>
      </c>
      <c r="C45" s="331" t="str">
        <f>IF($H45="","",IFERROR(INDEX('Game Records'!$A:$A,$H45),""))</f>
        <v/>
      </c>
      <c r="D45" s="331" t="str">
        <f>IF($H45="","",IFERROR(INDEX('Game Records'!$U:$U,$H45),""))</f>
        <v/>
      </c>
      <c r="E45" s="331" t="str">
        <f>IF($H45="","",IF($F45="","No Highlighted Fields","Highlighted Fields Present"))</f>
        <v/>
      </c>
      <c r="F45" s="331" t="str">
        <f>IF($H45="","",IF(OR(NOT(ISFORMULA(INDEX('Game Records'!$N:$N,$H45))),NOT(ISFORMULA(INDEX('Game Records'!$O:$O,$H45))),NOT(ISFORMULA(INDEX('Game Records'!$P:$P,$H45))),NOT(ISFORMULA(INDEX('Game Records'!$Q:$Q,$H45))),NOT(ISFORMULA(INDEX('Game Records'!$R:$R,$H45))),NOT(ISFORMULA(INDEX('Game Records'!$S:$S,$H45))),NOT(ISFORMULA(INDEX('Game Records'!$T:$T,$H45))),NOT(ISFORMULA(INDEX('Game Records'!$U:$U,$H45))),NOT(ISFORMULA(INDEX('Game Records'!$V:$V,$H45))),NOT(ISFORMULA(INDEX('Game Records'!$W:$W,$H45))),NOT(ISFORMULA(INDEX('Game Records'!$X:$X,$H45))),NOT(ISFORMULA(INDEX('Game Records'!$Y:$Y,$H45))),NOT(ISFORMULA(INDEX('Game Records'!$Z:$Z,$H45)))),"Formula columns missing; ","")&amp;IF(INDEX('Game Records'!$B:$B,$H45)="","Start Date; ","")&amp;IF(INDEX('Game Records'!$C:$C,$H45)="","End Date; ","")&amp;IF(AND(INDEX('Game Records'!$U:$U,$H45)&lt;&gt;"Subscription",INDEX('Game Records'!$U:$U,$H45)&lt;&gt;"Free Game",INDEX('Game Records'!$U:$U,$H45)&lt;&gt;"Disqualified — Free Game",OR(INDEX('Game Records'!$D:$D,$H45)="",LOWER(INDEX('Game Records'!$D:$D,$H45)&amp;"")="n/a")),"Entry Mode; ","")&amp;IF(AND(INDEX('Game Records'!$U:$U,$H45)&lt;&gt;"Subscription",INDEX('Game Records'!$U:$U,$H45)&lt;&gt;"Free Game",INDEX('Game Records'!$U:$U,$H45)&lt;&gt;"Disqualified — Free Game",OR(INDEX('Game Records'!$E:$E,$H45)="",LOWER(INDEX('Game Records'!$E:$E,$H45)&amp;"")="n/a")),"Game Type; ","")&amp;IF(INDEX('Game Records'!$F:$F,$H45)="","Payment Type; ","")&amp;IF(AND(INDEX('Game Records'!$U:$U,$H45)&lt;&gt;"Subscription",INDEX('Game Records'!$U:$U,$H45)&lt;&gt;"Free Game",INDEX('Game Records'!$U:$U,$H45)&lt;&gt;"Disqualified — Free Game",INDEX('Game Records'!$G:$G,$H45)=""),"Gross Pot; ","")&amp;IF(AND(INDEX('Game Records'!$U:$U,$H45)&lt;&gt;"Free Game",INDEX('Game Records'!$U:$U,$H45)&lt;&gt;"Disqualified — Free Game",INDEX('Game Records'!$H:$H,$H45)=""),"Entry Fee; ","")&amp;IF(AND(INDEX('Game Records'!$U:$U,$H45)&lt;&gt;"Subscription",INDEX('Game Records'!$U:$U,$H45)&lt;&gt;"Free Game",INDEX('Game Records'!$U:$U,$H45)&lt;&gt;"Disqualified — Free Game",INDEX('Game Records'!$I:$I,$H45)=""),"Eligible Players; ","")&amp;IF(AND(INDEX('Game Records'!$U:$U,$H45)&lt;&gt;"Subscription",INDEX('Game Records'!$U:$U,$H45)&lt;&gt;"Free Game",INDEX('Game Records'!$U:$U,$H45)&lt;&gt;"Disqualified — Free Game",INDEX('Game Records'!$J:$J,$H45)=""),"Total Players; ","")&amp;IF(AND(LOWER(INDEX('Game Records'!$D:$D,$H45)&amp;"")="finalized",LOWER(INDEX('Game Records'!$L:$L,$H45)&amp;"")&lt;&gt;"yes",INDEX('Game Records'!$U:$U,$H45)&lt;&gt;"Subscription",INDEX('Game Records'!$U:$U,$H45)&lt;&gt;"Free Game",INDEX('Game Records'!$U:$U,$H45)&lt;&gt;"Disqualified — Free Game",INDEX('Game Records'!$K:$K,$H45)=""),"Final Earned; ","")&amp;IF(AND(LOWER(INDEX('Game Records'!$D:$D,$H45)&amp;"")="finalized",INDEX('Game Records'!$U:$U,$H45)&lt;&gt;"Subscription",INDEX('Game Records'!$U:$U,$H45)&lt;&gt;"Free Game",INDEX('Game Records'!$U:$U,$H45)&lt;&gt;"Disqualified — Free Game",OR(INDEX('Game Records'!$L:$L,$H45)="",LOWER(INDEX('Game Records'!$L:$L,$H45)&amp;"")="n/a")),"Disqualified Status; ","")&amp;IF(AND(OR(LOWER(TRIM(INDEX('Game Records'!$F:$F,$H45)&amp;""))="free game",INDEX('Game Records'!$U:$U,$H45)="Free Game",INDEX('Game Records'!$U:$U,$H45)="Disqualified — Free Game"),N(INDEX('Game Records'!$H:$H,$H45))&lt;&gt;0),"Free Game has a non-zero Entry Fee. Free Game records require a $0 Entry Fee; ",""))</f>
        <v/>
      </c>
      <c r="G45" s="331" t="str">
        <f>IF($H45="","",IFERROR(INDEX('Game Records'!$M:$M,$H45),""))</f>
        <v/>
      </c>
      <c r="H45" s="104" t="str">
        <f>IF($H44="","",IFERROR(MATCH(1,INDEX((ROW('Game Records'!$U$5:$U$504)&gt;$H44)*(('Game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5" s="104"/>
      <c r="J45" s="104"/>
    </row>
    <row r="46" ht="24" hidden="0" customHeight="1">
      <c r="A46" s="332" t="str">
        <f>IF($H46="","",ROWS($A$5:A46))</f>
        <v/>
      </c>
      <c r="B46" s="332" t="str">
        <f>IF($H46="","","G-"&amp;TEXT($A46,"0000"))</f>
        <v/>
      </c>
      <c r="C46" s="331" t="str">
        <f>IF($H46="","",IFERROR(INDEX('Game Records'!$A:$A,$H46),""))</f>
        <v/>
      </c>
      <c r="D46" s="331" t="str">
        <f>IF($H46="","",IFERROR(INDEX('Game Records'!$U:$U,$H46),""))</f>
        <v/>
      </c>
      <c r="E46" s="331" t="str">
        <f>IF($H46="","",IF($F46="","No Highlighted Fields","Highlighted Fields Present"))</f>
        <v/>
      </c>
      <c r="F46" s="331" t="str">
        <f>IF($H46="","",IF(OR(NOT(ISFORMULA(INDEX('Game Records'!$N:$N,$H46))),NOT(ISFORMULA(INDEX('Game Records'!$O:$O,$H46))),NOT(ISFORMULA(INDEX('Game Records'!$P:$P,$H46))),NOT(ISFORMULA(INDEX('Game Records'!$Q:$Q,$H46))),NOT(ISFORMULA(INDEX('Game Records'!$R:$R,$H46))),NOT(ISFORMULA(INDEX('Game Records'!$S:$S,$H46))),NOT(ISFORMULA(INDEX('Game Records'!$T:$T,$H46))),NOT(ISFORMULA(INDEX('Game Records'!$U:$U,$H46))),NOT(ISFORMULA(INDEX('Game Records'!$V:$V,$H46))),NOT(ISFORMULA(INDEX('Game Records'!$W:$W,$H46))),NOT(ISFORMULA(INDEX('Game Records'!$X:$X,$H46))),NOT(ISFORMULA(INDEX('Game Records'!$Y:$Y,$H46))),NOT(ISFORMULA(INDEX('Game Records'!$Z:$Z,$H46)))),"Formula columns missing; ","")&amp;IF(INDEX('Game Records'!$B:$B,$H46)="","Start Date; ","")&amp;IF(INDEX('Game Records'!$C:$C,$H46)="","End Date; ","")&amp;IF(AND(INDEX('Game Records'!$U:$U,$H46)&lt;&gt;"Subscription",INDEX('Game Records'!$U:$U,$H46)&lt;&gt;"Free Game",INDEX('Game Records'!$U:$U,$H46)&lt;&gt;"Disqualified — Free Game",OR(INDEX('Game Records'!$D:$D,$H46)="",LOWER(INDEX('Game Records'!$D:$D,$H46)&amp;"")="n/a")),"Entry Mode; ","")&amp;IF(AND(INDEX('Game Records'!$U:$U,$H46)&lt;&gt;"Subscription",INDEX('Game Records'!$U:$U,$H46)&lt;&gt;"Free Game",INDEX('Game Records'!$U:$U,$H46)&lt;&gt;"Disqualified — Free Game",OR(INDEX('Game Records'!$E:$E,$H46)="",LOWER(INDEX('Game Records'!$E:$E,$H46)&amp;"")="n/a")),"Game Type; ","")&amp;IF(INDEX('Game Records'!$F:$F,$H46)="","Payment Type; ","")&amp;IF(AND(INDEX('Game Records'!$U:$U,$H46)&lt;&gt;"Subscription",INDEX('Game Records'!$U:$U,$H46)&lt;&gt;"Free Game",INDEX('Game Records'!$U:$U,$H46)&lt;&gt;"Disqualified — Free Game",INDEX('Game Records'!$G:$G,$H46)=""),"Gross Pot; ","")&amp;IF(AND(INDEX('Game Records'!$U:$U,$H46)&lt;&gt;"Free Game",INDEX('Game Records'!$U:$U,$H46)&lt;&gt;"Disqualified — Free Game",INDEX('Game Records'!$H:$H,$H46)=""),"Entry Fee; ","")&amp;IF(AND(INDEX('Game Records'!$U:$U,$H46)&lt;&gt;"Subscription",INDEX('Game Records'!$U:$U,$H46)&lt;&gt;"Free Game",INDEX('Game Records'!$U:$U,$H46)&lt;&gt;"Disqualified — Free Game",INDEX('Game Records'!$I:$I,$H46)=""),"Eligible Players; ","")&amp;IF(AND(INDEX('Game Records'!$U:$U,$H46)&lt;&gt;"Subscription",INDEX('Game Records'!$U:$U,$H46)&lt;&gt;"Free Game",INDEX('Game Records'!$U:$U,$H46)&lt;&gt;"Disqualified — Free Game",INDEX('Game Records'!$J:$J,$H46)=""),"Total Players; ","")&amp;IF(AND(LOWER(INDEX('Game Records'!$D:$D,$H46)&amp;"")="finalized",LOWER(INDEX('Game Records'!$L:$L,$H46)&amp;"")&lt;&gt;"yes",INDEX('Game Records'!$U:$U,$H46)&lt;&gt;"Subscription",INDEX('Game Records'!$U:$U,$H46)&lt;&gt;"Free Game",INDEX('Game Records'!$U:$U,$H46)&lt;&gt;"Disqualified — Free Game",INDEX('Game Records'!$K:$K,$H46)=""),"Final Earned; ","")&amp;IF(AND(LOWER(INDEX('Game Records'!$D:$D,$H46)&amp;"")="finalized",INDEX('Game Records'!$U:$U,$H46)&lt;&gt;"Subscription",INDEX('Game Records'!$U:$U,$H46)&lt;&gt;"Free Game",INDEX('Game Records'!$U:$U,$H46)&lt;&gt;"Disqualified — Free Game",OR(INDEX('Game Records'!$L:$L,$H46)="",LOWER(INDEX('Game Records'!$L:$L,$H46)&amp;"")="n/a")),"Disqualified Status; ","")&amp;IF(AND(OR(LOWER(TRIM(INDEX('Game Records'!$F:$F,$H46)&amp;""))="free game",INDEX('Game Records'!$U:$U,$H46)="Free Game",INDEX('Game Records'!$U:$U,$H46)="Disqualified — Free Game"),N(INDEX('Game Records'!$H:$H,$H46))&lt;&gt;0),"Free Game has a non-zero Entry Fee. Free Game records require a $0 Entry Fee; ",""))</f>
        <v/>
      </c>
      <c r="G46" s="331" t="str">
        <f>IF($H46="","",IFERROR(INDEX('Game Records'!$M:$M,$H46),""))</f>
        <v/>
      </c>
      <c r="H46" s="104" t="str">
        <f>IF($H45="","",IFERROR(MATCH(1,INDEX((ROW('Game Records'!$U$5:$U$504)&gt;$H45)*(('Game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6" s="104"/>
      <c r="J46" s="104"/>
    </row>
    <row r="47" ht="24" hidden="0" customHeight="1">
      <c r="A47" s="332" t="str">
        <f>IF($H47="","",ROWS($A$5:A47))</f>
        <v/>
      </c>
      <c r="B47" s="332" t="str">
        <f>IF($H47="","","G-"&amp;TEXT($A47,"0000"))</f>
        <v/>
      </c>
      <c r="C47" s="331" t="str">
        <f>IF($H47="","",IFERROR(INDEX('Game Records'!$A:$A,$H47),""))</f>
        <v/>
      </c>
      <c r="D47" s="331" t="str">
        <f>IF($H47="","",IFERROR(INDEX('Game Records'!$U:$U,$H47),""))</f>
        <v/>
      </c>
      <c r="E47" s="331" t="str">
        <f>IF($H47="","",IF($F47="","No Highlighted Fields","Highlighted Fields Present"))</f>
        <v/>
      </c>
      <c r="F47" s="331" t="str">
        <f>IF($H47="","",IF(OR(NOT(ISFORMULA(INDEX('Game Records'!$N:$N,$H47))),NOT(ISFORMULA(INDEX('Game Records'!$O:$O,$H47))),NOT(ISFORMULA(INDEX('Game Records'!$P:$P,$H47))),NOT(ISFORMULA(INDEX('Game Records'!$Q:$Q,$H47))),NOT(ISFORMULA(INDEX('Game Records'!$R:$R,$H47))),NOT(ISFORMULA(INDEX('Game Records'!$S:$S,$H47))),NOT(ISFORMULA(INDEX('Game Records'!$T:$T,$H47))),NOT(ISFORMULA(INDEX('Game Records'!$U:$U,$H47))),NOT(ISFORMULA(INDEX('Game Records'!$V:$V,$H47))),NOT(ISFORMULA(INDEX('Game Records'!$W:$W,$H47))),NOT(ISFORMULA(INDEX('Game Records'!$X:$X,$H47))),NOT(ISFORMULA(INDEX('Game Records'!$Y:$Y,$H47))),NOT(ISFORMULA(INDEX('Game Records'!$Z:$Z,$H47)))),"Formula columns missing; ","")&amp;IF(INDEX('Game Records'!$B:$B,$H47)="","Start Date; ","")&amp;IF(INDEX('Game Records'!$C:$C,$H47)="","End Date; ","")&amp;IF(AND(INDEX('Game Records'!$U:$U,$H47)&lt;&gt;"Subscription",INDEX('Game Records'!$U:$U,$H47)&lt;&gt;"Free Game",INDEX('Game Records'!$U:$U,$H47)&lt;&gt;"Disqualified — Free Game",OR(INDEX('Game Records'!$D:$D,$H47)="",LOWER(INDEX('Game Records'!$D:$D,$H47)&amp;"")="n/a")),"Entry Mode; ","")&amp;IF(AND(INDEX('Game Records'!$U:$U,$H47)&lt;&gt;"Subscription",INDEX('Game Records'!$U:$U,$H47)&lt;&gt;"Free Game",INDEX('Game Records'!$U:$U,$H47)&lt;&gt;"Disqualified — Free Game",OR(INDEX('Game Records'!$E:$E,$H47)="",LOWER(INDEX('Game Records'!$E:$E,$H47)&amp;"")="n/a")),"Game Type; ","")&amp;IF(INDEX('Game Records'!$F:$F,$H47)="","Payment Type; ","")&amp;IF(AND(INDEX('Game Records'!$U:$U,$H47)&lt;&gt;"Subscription",INDEX('Game Records'!$U:$U,$H47)&lt;&gt;"Free Game",INDEX('Game Records'!$U:$U,$H47)&lt;&gt;"Disqualified — Free Game",INDEX('Game Records'!$G:$G,$H47)=""),"Gross Pot; ","")&amp;IF(AND(INDEX('Game Records'!$U:$U,$H47)&lt;&gt;"Free Game",INDEX('Game Records'!$U:$U,$H47)&lt;&gt;"Disqualified — Free Game",INDEX('Game Records'!$H:$H,$H47)=""),"Entry Fee; ","")&amp;IF(AND(INDEX('Game Records'!$U:$U,$H47)&lt;&gt;"Subscription",INDEX('Game Records'!$U:$U,$H47)&lt;&gt;"Free Game",INDEX('Game Records'!$U:$U,$H47)&lt;&gt;"Disqualified — Free Game",INDEX('Game Records'!$I:$I,$H47)=""),"Eligible Players; ","")&amp;IF(AND(INDEX('Game Records'!$U:$U,$H47)&lt;&gt;"Subscription",INDEX('Game Records'!$U:$U,$H47)&lt;&gt;"Free Game",INDEX('Game Records'!$U:$U,$H47)&lt;&gt;"Disqualified — Free Game",INDEX('Game Records'!$J:$J,$H47)=""),"Total Players; ","")&amp;IF(AND(LOWER(INDEX('Game Records'!$D:$D,$H47)&amp;"")="finalized",LOWER(INDEX('Game Records'!$L:$L,$H47)&amp;"")&lt;&gt;"yes",INDEX('Game Records'!$U:$U,$H47)&lt;&gt;"Subscription",INDEX('Game Records'!$U:$U,$H47)&lt;&gt;"Free Game",INDEX('Game Records'!$U:$U,$H47)&lt;&gt;"Disqualified — Free Game",INDEX('Game Records'!$K:$K,$H47)=""),"Final Earned; ","")&amp;IF(AND(LOWER(INDEX('Game Records'!$D:$D,$H47)&amp;"")="finalized",INDEX('Game Records'!$U:$U,$H47)&lt;&gt;"Subscription",INDEX('Game Records'!$U:$U,$H47)&lt;&gt;"Free Game",INDEX('Game Records'!$U:$U,$H47)&lt;&gt;"Disqualified — Free Game",OR(INDEX('Game Records'!$L:$L,$H47)="",LOWER(INDEX('Game Records'!$L:$L,$H47)&amp;"")="n/a")),"Disqualified Status; ","")&amp;IF(AND(OR(LOWER(TRIM(INDEX('Game Records'!$F:$F,$H47)&amp;""))="free game",INDEX('Game Records'!$U:$U,$H47)="Free Game",INDEX('Game Records'!$U:$U,$H47)="Disqualified — Free Game"),N(INDEX('Game Records'!$H:$H,$H47))&lt;&gt;0),"Free Game has a non-zero Entry Fee. Free Game records require a $0 Entry Fee; ",""))</f>
        <v/>
      </c>
      <c r="G47" s="331" t="str">
        <f>IF($H47="","",IFERROR(INDEX('Game Records'!$M:$M,$H47),""))</f>
        <v/>
      </c>
      <c r="H47" s="104" t="str">
        <f>IF($H46="","",IFERROR(MATCH(1,INDEX((ROW('Game Records'!$U$5:$U$504)&gt;$H46)*(('Game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7" s="104"/>
      <c r="J47" s="104"/>
    </row>
    <row r="48" ht="24" hidden="0" customHeight="1">
      <c r="A48" s="332" t="str">
        <f>IF($H48="","",ROWS($A$5:A48))</f>
        <v/>
      </c>
      <c r="B48" s="332" t="str">
        <f>IF($H48="","","G-"&amp;TEXT($A48,"0000"))</f>
        <v/>
      </c>
      <c r="C48" s="331" t="str">
        <f>IF($H48="","",IFERROR(INDEX('Game Records'!$A:$A,$H48),""))</f>
        <v/>
      </c>
      <c r="D48" s="331" t="str">
        <f>IF($H48="","",IFERROR(INDEX('Game Records'!$U:$U,$H48),""))</f>
        <v/>
      </c>
      <c r="E48" s="331" t="str">
        <f>IF($H48="","",IF($F48="","No Highlighted Fields","Highlighted Fields Present"))</f>
        <v/>
      </c>
      <c r="F48" s="331" t="str">
        <f>IF($H48="","",IF(OR(NOT(ISFORMULA(INDEX('Game Records'!$N:$N,$H48))),NOT(ISFORMULA(INDEX('Game Records'!$O:$O,$H48))),NOT(ISFORMULA(INDEX('Game Records'!$P:$P,$H48))),NOT(ISFORMULA(INDEX('Game Records'!$Q:$Q,$H48))),NOT(ISFORMULA(INDEX('Game Records'!$R:$R,$H48))),NOT(ISFORMULA(INDEX('Game Records'!$S:$S,$H48))),NOT(ISFORMULA(INDEX('Game Records'!$T:$T,$H48))),NOT(ISFORMULA(INDEX('Game Records'!$U:$U,$H48))),NOT(ISFORMULA(INDEX('Game Records'!$V:$V,$H48))),NOT(ISFORMULA(INDEX('Game Records'!$W:$W,$H48))),NOT(ISFORMULA(INDEX('Game Records'!$X:$X,$H48))),NOT(ISFORMULA(INDEX('Game Records'!$Y:$Y,$H48))),NOT(ISFORMULA(INDEX('Game Records'!$Z:$Z,$H48)))),"Formula columns missing; ","")&amp;IF(INDEX('Game Records'!$B:$B,$H48)="","Start Date; ","")&amp;IF(INDEX('Game Records'!$C:$C,$H48)="","End Date; ","")&amp;IF(AND(INDEX('Game Records'!$U:$U,$H48)&lt;&gt;"Subscription",INDEX('Game Records'!$U:$U,$H48)&lt;&gt;"Free Game",INDEX('Game Records'!$U:$U,$H48)&lt;&gt;"Disqualified — Free Game",OR(INDEX('Game Records'!$D:$D,$H48)="",LOWER(INDEX('Game Records'!$D:$D,$H48)&amp;"")="n/a")),"Entry Mode; ","")&amp;IF(AND(INDEX('Game Records'!$U:$U,$H48)&lt;&gt;"Subscription",INDEX('Game Records'!$U:$U,$H48)&lt;&gt;"Free Game",INDEX('Game Records'!$U:$U,$H48)&lt;&gt;"Disqualified — Free Game",OR(INDEX('Game Records'!$E:$E,$H48)="",LOWER(INDEX('Game Records'!$E:$E,$H48)&amp;"")="n/a")),"Game Type; ","")&amp;IF(INDEX('Game Records'!$F:$F,$H48)="","Payment Type; ","")&amp;IF(AND(INDEX('Game Records'!$U:$U,$H48)&lt;&gt;"Subscription",INDEX('Game Records'!$U:$U,$H48)&lt;&gt;"Free Game",INDEX('Game Records'!$U:$U,$H48)&lt;&gt;"Disqualified — Free Game",INDEX('Game Records'!$G:$G,$H48)=""),"Gross Pot; ","")&amp;IF(AND(INDEX('Game Records'!$U:$U,$H48)&lt;&gt;"Free Game",INDEX('Game Records'!$U:$U,$H48)&lt;&gt;"Disqualified — Free Game",INDEX('Game Records'!$H:$H,$H48)=""),"Entry Fee; ","")&amp;IF(AND(INDEX('Game Records'!$U:$U,$H48)&lt;&gt;"Subscription",INDEX('Game Records'!$U:$U,$H48)&lt;&gt;"Free Game",INDEX('Game Records'!$U:$U,$H48)&lt;&gt;"Disqualified — Free Game",INDEX('Game Records'!$I:$I,$H48)=""),"Eligible Players; ","")&amp;IF(AND(INDEX('Game Records'!$U:$U,$H48)&lt;&gt;"Subscription",INDEX('Game Records'!$U:$U,$H48)&lt;&gt;"Free Game",INDEX('Game Records'!$U:$U,$H48)&lt;&gt;"Disqualified — Free Game",INDEX('Game Records'!$J:$J,$H48)=""),"Total Players; ","")&amp;IF(AND(LOWER(INDEX('Game Records'!$D:$D,$H48)&amp;"")="finalized",LOWER(INDEX('Game Records'!$L:$L,$H48)&amp;"")&lt;&gt;"yes",INDEX('Game Records'!$U:$U,$H48)&lt;&gt;"Subscription",INDEX('Game Records'!$U:$U,$H48)&lt;&gt;"Free Game",INDEX('Game Records'!$U:$U,$H48)&lt;&gt;"Disqualified — Free Game",INDEX('Game Records'!$K:$K,$H48)=""),"Final Earned; ","")&amp;IF(AND(LOWER(INDEX('Game Records'!$D:$D,$H48)&amp;"")="finalized",INDEX('Game Records'!$U:$U,$H48)&lt;&gt;"Subscription",INDEX('Game Records'!$U:$U,$H48)&lt;&gt;"Free Game",INDEX('Game Records'!$U:$U,$H48)&lt;&gt;"Disqualified — Free Game",OR(INDEX('Game Records'!$L:$L,$H48)="",LOWER(INDEX('Game Records'!$L:$L,$H48)&amp;"")="n/a")),"Disqualified Status; ","")&amp;IF(AND(OR(LOWER(TRIM(INDEX('Game Records'!$F:$F,$H48)&amp;""))="free game",INDEX('Game Records'!$U:$U,$H48)="Free Game",INDEX('Game Records'!$U:$U,$H48)="Disqualified — Free Game"),N(INDEX('Game Records'!$H:$H,$H48))&lt;&gt;0),"Free Game has a non-zero Entry Fee. Free Game records require a $0 Entry Fee; ",""))</f>
        <v/>
      </c>
      <c r="G48" s="331" t="str">
        <f>IF($H48="","",IFERROR(INDEX('Game Records'!$M:$M,$H48),""))</f>
        <v/>
      </c>
      <c r="H48" s="104" t="str">
        <f>IF($H47="","",IFERROR(MATCH(1,INDEX((ROW('Game Records'!$U$5:$U$504)&gt;$H47)*(('Game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8" s="104"/>
      <c r="J48" s="104"/>
    </row>
    <row r="49" ht="24" hidden="0" customHeight="1">
      <c r="A49" s="332" t="str">
        <f>IF($H49="","",ROWS($A$5:A49))</f>
        <v/>
      </c>
      <c r="B49" s="332" t="str">
        <f>IF($H49="","","G-"&amp;TEXT($A49,"0000"))</f>
        <v/>
      </c>
      <c r="C49" s="331" t="str">
        <f>IF($H49="","",IFERROR(INDEX('Game Records'!$A:$A,$H49),""))</f>
        <v/>
      </c>
      <c r="D49" s="331" t="str">
        <f>IF($H49="","",IFERROR(INDEX('Game Records'!$U:$U,$H49),""))</f>
        <v/>
      </c>
      <c r="E49" s="331" t="str">
        <f>IF($H49="","",IF($F49="","No Highlighted Fields","Highlighted Fields Present"))</f>
        <v/>
      </c>
      <c r="F49" s="331" t="str">
        <f>IF($H49="","",IF(OR(NOT(ISFORMULA(INDEX('Game Records'!$N:$N,$H49))),NOT(ISFORMULA(INDEX('Game Records'!$O:$O,$H49))),NOT(ISFORMULA(INDEX('Game Records'!$P:$P,$H49))),NOT(ISFORMULA(INDEX('Game Records'!$Q:$Q,$H49))),NOT(ISFORMULA(INDEX('Game Records'!$R:$R,$H49))),NOT(ISFORMULA(INDEX('Game Records'!$S:$S,$H49))),NOT(ISFORMULA(INDEX('Game Records'!$T:$T,$H49))),NOT(ISFORMULA(INDEX('Game Records'!$U:$U,$H49))),NOT(ISFORMULA(INDEX('Game Records'!$V:$V,$H49))),NOT(ISFORMULA(INDEX('Game Records'!$W:$W,$H49))),NOT(ISFORMULA(INDEX('Game Records'!$X:$X,$H49))),NOT(ISFORMULA(INDEX('Game Records'!$Y:$Y,$H49))),NOT(ISFORMULA(INDEX('Game Records'!$Z:$Z,$H49)))),"Formula columns missing; ","")&amp;IF(INDEX('Game Records'!$B:$B,$H49)="","Start Date; ","")&amp;IF(INDEX('Game Records'!$C:$C,$H49)="","End Date; ","")&amp;IF(AND(INDEX('Game Records'!$U:$U,$H49)&lt;&gt;"Subscription",INDEX('Game Records'!$U:$U,$H49)&lt;&gt;"Free Game",INDEX('Game Records'!$U:$U,$H49)&lt;&gt;"Disqualified — Free Game",OR(INDEX('Game Records'!$D:$D,$H49)="",LOWER(INDEX('Game Records'!$D:$D,$H49)&amp;"")="n/a")),"Entry Mode; ","")&amp;IF(AND(INDEX('Game Records'!$U:$U,$H49)&lt;&gt;"Subscription",INDEX('Game Records'!$U:$U,$H49)&lt;&gt;"Free Game",INDEX('Game Records'!$U:$U,$H49)&lt;&gt;"Disqualified — Free Game",OR(INDEX('Game Records'!$E:$E,$H49)="",LOWER(INDEX('Game Records'!$E:$E,$H49)&amp;"")="n/a")),"Game Type; ","")&amp;IF(INDEX('Game Records'!$F:$F,$H49)="","Payment Type; ","")&amp;IF(AND(INDEX('Game Records'!$U:$U,$H49)&lt;&gt;"Subscription",INDEX('Game Records'!$U:$U,$H49)&lt;&gt;"Free Game",INDEX('Game Records'!$U:$U,$H49)&lt;&gt;"Disqualified — Free Game",INDEX('Game Records'!$G:$G,$H49)=""),"Gross Pot; ","")&amp;IF(AND(INDEX('Game Records'!$U:$U,$H49)&lt;&gt;"Free Game",INDEX('Game Records'!$U:$U,$H49)&lt;&gt;"Disqualified — Free Game",INDEX('Game Records'!$H:$H,$H49)=""),"Entry Fee; ","")&amp;IF(AND(INDEX('Game Records'!$U:$U,$H49)&lt;&gt;"Subscription",INDEX('Game Records'!$U:$U,$H49)&lt;&gt;"Free Game",INDEX('Game Records'!$U:$U,$H49)&lt;&gt;"Disqualified — Free Game",INDEX('Game Records'!$I:$I,$H49)=""),"Eligible Players; ","")&amp;IF(AND(INDEX('Game Records'!$U:$U,$H49)&lt;&gt;"Subscription",INDEX('Game Records'!$U:$U,$H49)&lt;&gt;"Free Game",INDEX('Game Records'!$U:$U,$H49)&lt;&gt;"Disqualified — Free Game",INDEX('Game Records'!$J:$J,$H49)=""),"Total Players; ","")&amp;IF(AND(LOWER(INDEX('Game Records'!$D:$D,$H49)&amp;"")="finalized",LOWER(INDEX('Game Records'!$L:$L,$H49)&amp;"")&lt;&gt;"yes",INDEX('Game Records'!$U:$U,$H49)&lt;&gt;"Subscription",INDEX('Game Records'!$U:$U,$H49)&lt;&gt;"Free Game",INDEX('Game Records'!$U:$U,$H49)&lt;&gt;"Disqualified — Free Game",INDEX('Game Records'!$K:$K,$H49)=""),"Final Earned; ","")&amp;IF(AND(LOWER(INDEX('Game Records'!$D:$D,$H49)&amp;"")="finalized",INDEX('Game Records'!$U:$U,$H49)&lt;&gt;"Subscription",INDEX('Game Records'!$U:$U,$H49)&lt;&gt;"Free Game",INDEX('Game Records'!$U:$U,$H49)&lt;&gt;"Disqualified — Free Game",OR(INDEX('Game Records'!$L:$L,$H49)="",LOWER(INDEX('Game Records'!$L:$L,$H49)&amp;"")="n/a")),"Disqualified Status; ","")&amp;IF(AND(OR(LOWER(TRIM(INDEX('Game Records'!$F:$F,$H49)&amp;""))="free game",INDEX('Game Records'!$U:$U,$H49)="Free Game",INDEX('Game Records'!$U:$U,$H49)="Disqualified — Free Game"),N(INDEX('Game Records'!$H:$H,$H49))&lt;&gt;0),"Free Game has a non-zero Entry Fee. Free Game records require a $0 Entry Fee; ",""))</f>
        <v/>
      </c>
      <c r="G49" s="331" t="str">
        <f>IF($H49="","",IFERROR(INDEX('Game Records'!$M:$M,$H49),""))</f>
        <v/>
      </c>
      <c r="H49" s="104" t="str">
        <f>IF($H48="","",IFERROR(MATCH(1,INDEX((ROW('Game Records'!$U$5:$U$504)&gt;$H48)*(('Game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9" s="104"/>
      <c r="J49" s="104"/>
    </row>
    <row r="50" ht="24" hidden="0" customHeight="1">
      <c r="A50" s="332" t="str">
        <f>IF($H50="","",ROWS($A$5:A50))</f>
        <v/>
      </c>
      <c r="B50" s="332" t="str">
        <f>IF($H50="","","G-"&amp;TEXT($A50,"0000"))</f>
        <v/>
      </c>
      <c r="C50" s="331" t="str">
        <f>IF($H50="","",IFERROR(INDEX('Game Records'!$A:$A,$H50),""))</f>
        <v/>
      </c>
      <c r="D50" s="331" t="str">
        <f>IF($H50="","",IFERROR(INDEX('Game Records'!$U:$U,$H50),""))</f>
        <v/>
      </c>
      <c r="E50" s="331" t="str">
        <f>IF($H50="","",IF($F50="","No Highlighted Fields","Highlighted Fields Present"))</f>
        <v/>
      </c>
      <c r="F50" s="331" t="str">
        <f>IF($H50="","",IF(OR(NOT(ISFORMULA(INDEX('Game Records'!$N:$N,$H50))),NOT(ISFORMULA(INDEX('Game Records'!$O:$O,$H50))),NOT(ISFORMULA(INDEX('Game Records'!$P:$P,$H50))),NOT(ISFORMULA(INDEX('Game Records'!$Q:$Q,$H50))),NOT(ISFORMULA(INDEX('Game Records'!$R:$R,$H50))),NOT(ISFORMULA(INDEX('Game Records'!$S:$S,$H50))),NOT(ISFORMULA(INDEX('Game Records'!$T:$T,$H50))),NOT(ISFORMULA(INDEX('Game Records'!$U:$U,$H50))),NOT(ISFORMULA(INDEX('Game Records'!$V:$V,$H50))),NOT(ISFORMULA(INDEX('Game Records'!$W:$W,$H50))),NOT(ISFORMULA(INDEX('Game Records'!$X:$X,$H50))),NOT(ISFORMULA(INDEX('Game Records'!$Y:$Y,$H50))),NOT(ISFORMULA(INDEX('Game Records'!$Z:$Z,$H50)))),"Formula columns missing; ","")&amp;IF(INDEX('Game Records'!$B:$B,$H50)="","Start Date; ","")&amp;IF(INDEX('Game Records'!$C:$C,$H50)="","End Date; ","")&amp;IF(AND(INDEX('Game Records'!$U:$U,$H50)&lt;&gt;"Subscription",INDEX('Game Records'!$U:$U,$H50)&lt;&gt;"Free Game",INDEX('Game Records'!$U:$U,$H50)&lt;&gt;"Disqualified — Free Game",OR(INDEX('Game Records'!$D:$D,$H50)="",LOWER(INDEX('Game Records'!$D:$D,$H50)&amp;"")="n/a")),"Entry Mode; ","")&amp;IF(AND(INDEX('Game Records'!$U:$U,$H50)&lt;&gt;"Subscription",INDEX('Game Records'!$U:$U,$H50)&lt;&gt;"Free Game",INDEX('Game Records'!$U:$U,$H50)&lt;&gt;"Disqualified — Free Game",OR(INDEX('Game Records'!$E:$E,$H50)="",LOWER(INDEX('Game Records'!$E:$E,$H50)&amp;"")="n/a")),"Game Type; ","")&amp;IF(INDEX('Game Records'!$F:$F,$H50)="","Payment Type; ","")&amp;IF(AND(INDEX('Game Records'!$U:$U,$H50)&lt;&gt;"Subscription",INDEX('Game Records'!$U:$U,$H50)&lt;&gt;"Free Game",INDEX('Game Records'!$U:$U,$H50)&lt;&gt;"Disqualified — Free Game",INDEX('Game Records'!$G:$G,$H50)=""),"Gross Pot; ","")&amp;IF(AND(INDEX('Game Records'!$U:$U,$H50)&lt;&gt;"Free Game",INDEX('Game Records'!$U:$U,$H50)&lt;&gt;"Disqualified — Free Game",INDEX('Game Records'!$H:$H,$H50)=""),"Entry Fee; ","")&amp;IF(AND(INDEX('Game Records'!$U:$U,$H50)&lt;&gt;"Subscription",INDEX('Game Records'!$U:$U,$H50)&lt;&gt;"Free Game",INDEX('Game Records'!$U:$U,$H50)&lt;&gt;"Disqualified — Free Game",INDEX('Game Records'!$I:$I,$H50)=""),"Eligible Players; ","")&amp;IF(AND(INDEX('Game Records'!$U:$U,$H50)&lt;&gt;"Subscription",INDEX('Game Records'!$U:$U,$H50)&lt;&gt;"Free Game",INDEX('Game Records'!$U:$U,$H50)&lt;&gt;"Disqualified — Free Game",INDEX('Game Records'!$J:$J,$H50)=""),"Total Players; ","")&amp;IF(AND(LOWER(INDEX('Game Records'!$D:$D,$H50)&amp;"")="finalized",LOWER(INDEX('Game Records'!$L:$L,$H50)&amp;"")&lt;&gt;"yes",INDEX('Game Records'!$U:$U,$H50)&lt;&gt;"Subscription",INDEX('Game Records'!$U:$U,$H50)&lt;&gt;"Free Game",INDEX('Game Records'!$U:$U,$H50)&lt;&gt;"Disqualified — Free Game",INDEX('Game Records'!$K:$K,$H50)=""),"Final Earned; ","")&amp;IF(AND(LOWER(INDEX('Game Records'!$D:$D,$H50)&amp;"")="finalized",INDEX('Game Records'!$U:$U,$H50)&lt;&gt;"Subscription",INDEX('Game Records'!$U:$U,$H50)&lt;&gt;"Free Game",INDEX('Game Records'!$U:$U,$H50)&lt;&gt;"Disqualified — Free Game",OR(INDEX('Game Records'!$L:$L,$H50)="",LOWER(INDEX('Game Records'!$L:$L,$H50)&amp;"")="n/a")),"Disqualified Status; ","")&amp;IF(AND(OR(LOWER(TRIM(INDEX('Game Records'!$F:$F,$H50)&amp;""))="free game",INDEX('Game Records'!$U:$U,$H50)="Free Game",INDEX('Game Records'!$U:$U,$H50)="Disqualified — Free Game"),N(INDEX('Game Records'!$H:$H,$H50))&lt;&gt;0),"Free Game has a non-zero Entry Fee. Free Game records require a $0 Entry Fee; ",""))</f>
        <v/>
      </c>
      <c r="G50" s="331" t="str">
        <f>IF($H50="","",IFERROR(INDEX('Game Records'!$M:$M,$H50),""))</f>
        <v/>
      </c>
      <c r="H50" s="104" t="str">
        <f>IF($H49="","",IFERROR(MATCH(1,INDEX((ROW('Game Records'!$U$5:$U$504)&gt;$H49)*(('Game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0" s="104"/>
      <c r="J50" s="104"/>
    </row>
    <row r="51" ht="24" hidden="0" customHeight="1">
      <c r="A51" s="332" t="str">
        <f>IF($H51="","",ROWS($A$5:A51))</f>
        <v/>
      </c>
      <c r="B51" s="332" t="str">
        <f>IF($H51="","","G-"&amp;TEXT($A51,"0000"))</f>
        <v/>
      </c>
      <c r="C51" s="331" t="str">
        <f>IF($H51="","",IFERROR(INDEX('Game Records'!$A:$A,$H51),""))</f>
        <v/>
      </c>
      <c r="D51" s="331" t="str">
        <f>IF($H51="","",IFERROR(INDEX('Game Records'!$U:$U,$H51),""))</f>
        <v/>
      </c>
      <c r="E51" s="331" t="str">
        <f>IF($H51="","",IF($F51="","No Highlighted Fields","Highlighted Fields Present"))</f>
        <v/>
      </c>
      <c r="F51" s="331" t="str">
        <f>IF($H51="","",IF(OR(NOT(ISFORMULA(INDEX('Game Records'!$N:$N,$H51))),NOT(ISFORMULA(INDEX('Game Records'!$O:$O,$H51))),NOT(ISFORMULA(INDEX('Game Records'!$P:$P,$H51))),NOT(ISFORMULA(INDEX('Game Records'!$Q:$Q,$H51))),NOT(ISFORMULA(INDEX('Game Records'!$R:$R,$H51))),NOT(ISFORMULA(INDEX('Game Records'!$S:$S,$H51))),NOT(ISFORMULA(INDEX('Game Records'!$T:$T,$H51))),NOT(ISFORMULA(INDEX('Game Records'!$U:$U,$H51))),NOT(ISFORMULA(INDEX('Game Records'!$V:$V,$H51))),NOT(ISFORMULA(INDEX('Game Records'!$W:$W,$H51))),NOT(ISFORMULA(INDEX('Game Records'!$X:$X,$H51))),NOT(ISFORMULA(INDEX('Game Records'!$Y:$Y,$H51))),NOT(ISFORMULA(INDEX('Game Records'!$Z:$Z,$H51)))),"Formula columns missing; ","")&amp;IF(INDEX('Game Records'!$B:$B,$H51)="","Start Date; ","")&amp;IF(INDEX('Game Records'!$C:$C,$H51)="","End Date; ","")&amp;IF(AND(INDEX('Game Records'!$U:$U,$H51)&lt;&gt;"Subscription",INDEX('Game Records'!$U:$U,$H51)&lt;&gt;"Free Game",INDEX('Game Records'!$U:$U,$H51)&lt;&gt;"Disqualified — Free Game",OR(INDEX('Game Records'!$D:$D,$H51)="",LOWER(INDEX('Game Records'!$D:$D,$H51)&amp;"")="n/a")),"Entry Mode; ","")&amp;IF(AND(INDEX('Game Records'!$U:$U,$H51)&lt;&gt;"Subscription",INDEX('Game Records'!$U:$U,$H51)&lt;&gt;"Free Game",INDEX('Game Records'!$U:$U,$H51)&lt;&gt;"Disqualified — Free Game",OR(INDEX('Game Records'!$E:$E,$H51)="",LOWER(INDEX('Game Records'!$E:$E,$H51)&amp;"")="n/a")),"Game Type; ","")&amp;IF(INDEX('Game Records'!$F:$F,$H51)="","Payment Type; ","")&amp;IF(AND(INDEX('Game Records'!$U:$U,$H51)&lt;&gt;"Subscription",INDEX('Game Records'!$U:$U,$H51)&lt;&gt;"Free Game",INDEX('Game Records'!$U:$U,$H51)&lt;&gt;"Disqualified — Free Game",INDEX('Game Records'!$G:$G,$H51)=""),"Gross Pot; ","")&amp;IF(AND(INDEX('Game Records'!$U:$U,$H51)&lt;&gt;"Free Game",INDEX('Game Records'!$U:$U,$H51)&lt;&gt;"Disqualified — Free Game",INDEX('Game Records'!$H:$H,$H51)=""),"Entry Fee; ","")&amp;IF(AND(INDEX('Game Records'!$U:$U,$H51)&lt;&gt;"Subscription",INDEX('Game Records'!$U:$U,$H51)&lt;&gt;"Free Game",INDEX('Game Records'!$U:$U,$H51)&lt;&gt;"Disqualified — Free Game",INDEX('Game Records'!$I:$I,$H51)=""),"Eligible Players; ","")&amp;IF(AND(INDEX('Game Records'!$U:$U,$H51)&lt;&gt;"Subscription",INDEX('Game Records'!$U:$U,$H51)&lt;&gt;"Free Game",INDEX('Game Records'!$U:$U,$H51)&lt;&gt;"Disqualified — Free Game",INDEX('Game Records'!$J:$J,$H51)=""),"Total Players; ","")&amp;IF(AND(LOWER(INDEX('Game Records'!$D:$D,$H51)&amp;"")="finalized",LOWER(INDEX('Game Records'!$L:$L,$H51)&amp;"")&lt;&gt;"yes",INDEX('Game Records'!$U:$U,$H51)&lt;&gt;"Subscription",INDEX('Game Records'!$U:$U,$H51)&lt;&gt;"Free Game",INDEX('Game Records'!$U:$U,$H51)&lt;&gt;"Disqualified — Free Game",INDEX('Game Records'!$K:$K,$H51)=""),"Final Earned; ","")&amp;IF(AND(LOWER(INDEX('Game Records'!$D:$D,$H51)&amp;"")="finalized",INDEX('Game Records'!$U:$U,$H51)&lt;&gt;"Subscription",INDEX('Game Records'!$U:$U,$H51)&lt;&gt;"Free Game",INDEX('Game Records'!$U:$U,$H51)&lt;&gt;"Disqualified — Free Game",OR(INDEX('Game Records'!$L:$L,$H51)="",LOWER(INDEX('Game Records'!$L:$L,$H51)&amp;"")="n/a")),"Disqualified Status; ","")&amp;IF(AND(OR(LOWER(TRIM(INDEX('Game Records'!$F:$F,$H51)&amp;""))="free game",INDEX('Game Records'!$U:$U,$H51)="Free Game",INDEX('Game Records'!$U:$U,$H51)="Disqualified — Free Game"),N(INDEX('Game Records'!$H:$H,$H51))&lt;&gt;0),"Free Game has a non-zero Entry Fee. Free Game records require a $0 Entry Fee; ",""))</f>
        <v/>
      </c>
      <c r="G51" s="331" t="str">
        <f>IF($H51="","",IFERROR(INDEX('Game Records'!$M:$M,$H51),""))</f>
        <v/>
      </c>
      <c r="H51" s="104" t="str">
        <f>IF($H50="","",IFERROR(MATCH(1,INDEX((ROW('Game Records'!$U$5:$U$504)&gt;$H50)*(('Game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1" s="104"/>
      <c r="J51" s="104"/>
    </row>
    <row r="52" ht="24" hidden="0" customHeight="1">
      <c r="A52" s="332" t="str">
        <f>IF($H52="","",ROWS($A$5:A52))</f>
        <v/>
      </c>
      <c r="B52" s="332" t="str">
        <f>IF($H52="","","G-"&amp;TEXT($A52,"0000"))</f>
        <v/>
      </c>
      <c r="C52" s="331" t="str">
        <f>IF($H52="","",IFERROR(INDEX('Game Records'!$A:$A,$H52),""))</f>
        <v/>
      </c>
      <c r="D52" s="331" t="str">
        <f>IF($H52="","",IFERROR(INDEX('Game Records'!$U:$U,$H52),""))</f>
        <v/>
      </c>
      <c r="E52" s="331" t="str">
        <f>IF($H52="","",IF($F52="","No Highlighted Fields","Highlighted Fields Present"))</f>
        <v/>
      </c>
      <c r="F52" s="331" t="str">
        <f>IF($H52="","",IF(OR(NOT(ISFORMULA(INDEX('Game Records'!$N:$N,$H52))),NOT(ISFORMULA(INDEX('Game Records'!$O:$O,$H52))),NOT(ISFORMULA(INDEX('Game Records'!$P:$P,$H52))),NOT(ISFORMULA(INDEX('Game Records'!$Q:$Q,$H52))),NOT(ISFORMULA(INDEX('Game Records'!$R:$R,$H52))),NOT(ISFORMULA(INDEX('Game Records'!$S:$S,$H52))),NOT(ISFORMULA(INDEX('Game Records'!$T:$T,$H52))),NOT(ISFORMULA(INDEX('Game Records'!$U:$U,$H52))),NOT(ISFORMULA(INDEX('Game Records'!$V:$V,$H52))),NOT(ISFORMULA(INDEX('Game Records'!$W:$W,$H52))),NOT(ISFORMULA(INDEX('Game Records'!$X:$X,$H52))),NOT(ISFORMULA(INDEX('Game Records'!$Y:$Y,$H52))),NOT(ISFORMULA(INDEX('Game Records'!$Z:$Z,$H52)))),"Formula columns missing; ","")&amp;IF(INDEX('Game Records'!$B:$B,$H52)="","Start Date; ","")&amp;IF(INDEX('Game Records'!$C:$C,$H52)="","End Date; ","")&amp;IF(AND(INDEX('Game Records'!$U:$U,$H52)&lt;&gt;"Subscription",INDEX('Game Records'!$U:$U,$H52)&lt;&gt;"Free Game",INDEX('Game Records'!$U:$U,$H52)&lt;&gt;"Disqualified — Free Game",OR(INDEX('Game Records'!$D:$D,$H52)="",LOWER(INDEX('Game Records'!$D:$D,$H52)&amp;"")="n/a")),"Entry Mode; ","")&amp;IF(AND(INDEX('Game Records'!$U:$U,$H52)&lt;&gt;"Subscription",INDEX('Game Records'!$U:$U,$H52)&lt;&gt;"Free Game",INDEX('Game Records'!$U:$U,$H52)&lt;&gt;"Disqualified — Free Game",OR(INDEX('Game Records'!$E:$E,$H52)="",LOWER(INDEX('Game Records'!$E:$E,$H52)&amp;"")="n/a")),"Game Type; ","")&amp;IF(INDEX('Game Records'!$F:$F,$H52)="","Payment Type; ","")&amp;IF(AND(INDEX('Game Records'!$U:$U,$H52)&lt;&gt;"Subscription",INDEX('Game Records'!$U:$U,$H52)&lt;&gt;"Free Game",INDEX('Game Records'!$U:$U,$H52)&lt;&gt;"Disqualified — Free Game",INDEX('Game Records'!$G:$G,$H52)=""),"Gross Pot; ","")&amp;IF(AND(INDEX('Game Records'!$U:$U,$H52)&lt;&gt;"Free Game",INDEX('Game Records'!$U:$U,$H52)&lt;&gt;"Disqualified — Free Game",INDEX('Game Records'!$H:$H,$H52)=""),"Entry Fee; ","")&amp;IF(AND(INDEX('Game Records'!$U:$U,$H52)&lt;&gt;"Subscription",INDEX('Game Records'!$U:$U,$H52)&lt;&gt;"Free Game",INDEX('Game Records'!$U:$U,$H52)&lt;&gt;"Disqualified — Free Game",INDEX('Game Records'!$I:$I,$H52)=""),"Eligible Players; ","")&amp;IF(AND(INDEX('Game Records'!$U:$U,$H52)&lt;&gt;"Subscription",INDEX('Game Records'!$U:$U,$H52)&lt;&gt;"Free Game",INDEX('Game Records'!$U:$U,$H52)&lt;&gt;"Disqualified — Free Game",INDEX('Game Records'!$J:$J,$H52)=""),"Total Players; ","")&amp;IF(AND(LOWER(INDEX('Game Records'!$D:$D,$H52)&amp;"")="finalized",LOWER(INDEX('Game Records'!$L:$L,$H52)&amp;"")&lt;&gt;"yes",INDEX('Game Records'!$U:$U,$H52)&lt;&gt;"Subscription",INDEX('Game Records'!$U:$U,$H52)&lt;&gt;"Free Game",INDEX('Game Records'!$U:$U,$H52)&lt;&gt;"Disqualified — Free Game",INDEX('Game Records'!$K:$K,$H52)=""),"Final Earned; ","")&amp;IF(AND(LOWER(INDEX('Game Records'!$D:$D,$H52)&amp;"")="finalized",INDEX('Game Records'!$U:$U,$H52)&lt;&gt;"Subscription",INDEX('Game Records'!$U:$U,$H52)&lt;&gt;"Free Game",INDEX('Game Records'!$U:$U,$H52)&lt;&gt;"Disqualified — Free Game",OR(INDEX('Game Records'!$L:$L,$H52)="",LOWER(INDEX('Game Records'!$L:$L,$H52)&amp;"")="n/a")),"Disqualified Status; ","")&amp;IF(AND(OR(LOWER(TRIM(INDEX('Game Records'!$F:$F,$H52)&amp;""))="free game",INDEX('Game Records'!$U:$U,$H52)="Free Game",INDEX('Game Records'!$U:$U,$H52)="Disqualified — Free Game"),N(INDEX('Game Records'!$H:$H,$H52))&lt;&gt;0),"Free Game has a non-zero Entry Fee. Free Game records require a $0 Entry Fee; ",""))</f>
        <v/>
      </c>
      <c r="G52" s="331" t="str">
        <f>IF($H52="","",IFERROR(INDEX('Game Records'!$M:$M,$H52),""))</f>
        <v/>
      </c>
      <c r="H52" s="104" t="str">
        <f>IF($H51="","",IFERROR(MATCH(1,INDEX((ROW('Game Records'!$U$5:$U$504)&gt;$H51)*(('Game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2" s="104"/>
      <c r="J52" s="104"/>
    </row>
    <row r="53" ht="24" hidden="0" customHeight="1">
      <c r="A53" s="332" t="str">
        <f>IF($H53="","",ROWS($A$5:A53))</f>
        <v/>
      </c>
      <c r="B53" s="332" t="str">
        <f>IF($H53="","","G-"&amp;TEXT($A53,"0000"))</f>
        <v/>
      </c>
      <c r="C53" s="331" t="str">
        <f>IF($H53="","",IFERROR(INDEX('Game Records'!$A:$A,$H53),""))</f>
        <v/>
      </c>
      <c r="D53" s="331" t="str">
        <f>IF($H53="","",IFERROR(INDEX('Game Records'!$U:$U,$H53),""))</f>
        <v/>
      </c>
      <c r="E53" s="331" t="str">
        <f>IF($H53="","",IF($F53="","No Highlighted Fields","Highlighted Fields Present"))</f>
        <v/>
      </c>
      <c r="F53" s="331" t="str">
        <f>IF($H53="","",IF(OR(NOT(ISFORMULA(INDEX('Game Records'!$N:$N,$H53))),NOT(ISFORMULA(INDEX('Game Records'!$O:$O,$H53))),NOT(ISFORMULA(INDEX('Game Records'!$P:$P,$H53))),NOT(ISFORMULA(INDEX('Game Records'!$Q:$Q,$H53))),NOT(ISFORMULA(INDEX('Game Records'!$R:$R,$H53))),NOT(ISFORMULA(INDEX('Game Records'!$S:$S,$H53))),NOT(ISFORMULA(INDEX('Game Records'!$T:$T,$H53))),NOT(ISFORMULA(INDEX('Game Records'!$U:$U,$H53))),NOT(ISFORMULA(INDEX('Game Records'!$V:$V,$H53))),NOT(ISFORMULA(INDEX('Game Records'!$W:$W,$H53))),NOT(ISFORMULA(INDEX('Game Records'!$X:$X,$H53))),NOT(ISFORMULA(INDEX('Game Records'!$Y:$Y,$H53))),NOT(ISFORMULA(INDEX('Game Records'!$Z:$Z,$H53)))),"Formula columns missing; ","")&amp;IF(INDEX('Game Records'!$B:$B,$H53)="","Start Date; ","")&amp;IF(INDEX('Game Records'!$C:$C,$H53)="","End Date; ","")&amp;IF(AND(INDEX('Game Records'!$U:$U,$H53)&lt;&gt;"Subscription",INDEX('Game Records'!$U:$U,$H53)&lt;&gt;"Free Game",INDEX('Game Records'!$U:$U,$H53)&lt;&gt;"Disqualified — Free Game",OR(INDEX('Game Records'!$D:$D,$H53)="",LOWER(INDEX('Game Records'!$D:$D,$H53)&amp;"")="n/a")),"Entry Mode; ","")&amp;IF(AND(INDEX('Game Records'!$U:$U,$H53)&lt;&gt;"Subscription",INDEX('Game Records'!$U:$U,$H53)&lt;&gt;"Free Game",INDEX('Game Records'!$U:$U,$H53)&lt;&gt;"Disqualified — Free Game",OR(INDEX('Game Records'!$E:$E,$H53)="",LOWER(INDEX('Game Records'!$E:$E,$H53)&amp;"")="n/a")),"Game Type; ","")&amp;IF(INDEX('Game Records'!$F:$F,$H53)="","Payment Type; ","")&amp;IF(AND(INDEX('Game Records'!$U:$U,$H53)&lt;&gt;"Subscription",INDEX('Game Records'!$U:$U,$H53)&lt;&gt;"Free Game",INDEX('Game Records'!$U:$U,$H53)&lt;&gt;"Disqualified — Free Game",INDEX('Game Records'!$G:$G,$H53)=""),"Gross Pot; ","")&amp;IF(AND(INDEX('Game Records'!$U:$U,$H53)&lt;&gt;"Free Game",INDEX('Game Records'!$U:$U,$H53)&lt;&gt;"Disqualified — Free Game",INDEX('Game Records'!$H:$H,$H53)=""),"Entry Fee; ","")&amp;IF(AND(INDEX('Game Records'!$U:$U,$H53)&lt;&gt;"Subscription",INDEX('Game Records'!$U:$U,$H53)&lt;&gt;"Free Game",INDEX('Game Records'!$U:$U,$H53)&lt;&gt;"Disqualified — Free Game",INDEX('Game Records'!$I:$I,$H53)=""),"Eligible Players; ","")&amp;IF(AND(INDEX('Game Records'!$U:$U,$H53)&lt;&gt;"Subscription",INDEX('Game Records'!$U:$U,$H53)&lt;&gt;"Free Game",INDEX('Game Records'!$U:$U,$H53)&lt;&gt;"Disqualified — Free Game",INDEX('Game Records'!$J:$J,$H53)=""),"Total Players; ","")&amp;IF(AND(LOWER(INDEX('Game Records'!$D:$D,$H53)&amp;"")="finalized",LOWER(INDEX('Game Records'!$L:$L,$H53)&amp;"")&lt;&gt;"yes",INDEX('Game Records'!$U:$U,$H53)&lt;&gt;"Subscription",INDEX('Game Records'!$U:$U,$H53)&lt;&gt;"Free Game",INDEX('Game Records'!$U:$U,$H53)&lt;&gt;"Disqualified — Free Game",INDEX('Game Records'!$K:$K,$H53)=""),"Final Earned; ","")&amp;IF(AND(LOWER(INDEX('Game Records'!$D:$D,$H53)&amp;"")="finalized",INDEX('Game Records'!$U:$U,$H53)&lt;&gt;"Subscription",INDEX('Game Records'!$U:$U,$H53)&lt;&gt;"Free Game",INDEX('Game Records'!$U:$U,$H53)&lt;&gt;"Disqualified — Free Game",OR(INDEX('Game Records'!$L:$L,$H53)="",LOWER(INDEX('Game Records'!$L:$L,$H53)&amp;"")="n/a")),"Disqualified Status; ","")&amp;IF(AND(OR(LOWER(TRIM(INDEX('Game Records'!$F:$F,$H53)&amp;""))="free game",INDEX('Game Records'!$U:$U,$H53)="Free Game",INDEX('Game Records'!$U:$U,$H53)="Disqualified — Free Game"),N(INDEX('Game Records'!$H:$H,$H53))&lt;&gt;0),"Free Game has a non-zero Entry Fee. Free Game records require a $0 Entry Fee; ",""))</f>
        <v/>
      </c>
      <c r="G53" s="331" t="str">
        <f>IF($H53="","",IFERROR(INDEX('Game Records'!$M:$M,$H53),""))</f>
        <v/>
      </c>
      <c r="H53" s="104" t="str">
        <f>IF($H52="","",IFERROR(MATCH(1,INDEX((ROW('Game Records'!$U$5:$U$504)&gt;$H52)*(('Game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3" s="104"/>
      <c r="J53" s="104"/>
    </row>
    <row r="54" ht="24" hidden="0" customHeight="1">
      <c r="A54" s="332" t="str">
        <f>IF($H54="","",ROWS($A$5:A54))</f>
        <v/>
      </c>
      <c r="B54" s="332" t="str">
        <f>IF($H54="","","G-"&amp;TEXT($A54,"0000"))</f>
        <v/>
      </c>
      <c r="C54" s="331" t="str">
        <f>IF($H54="","",IFERROR(INDEX('Game Records'!$A:$A,$H54),""))</f>
        <v/>
      </c>
      <c r="D54" s="331" t="str">
        <f>IF($H54="","",IFERROR(INDEX('Game Records'!$U:$U,$H54),""))</f>
        <v/>
      </c>
      <c r="E54" s="331" t="str">
        <f>IF($H54="","",IF($F54="","No Highlighted Fields","Highlighted Fields Present"))</f>
        <v/>
      </c>
      <c r="F54" s="331" t="str">
        <f>IF($H54="","",IF(OR(NOT(ISFORMULA(INDEX('Game Records'!$N:$N,$H54))),NOT(ISFORMULA(INDEX('Game Records'!$O:$O,$H54))),NOT(ISFORMULA(INDEX('Game Records'!$P:$P,$H54))),NOT(ISFORMULA(INDEX('Game Records'!$Q:$Q,$H54))),NOT(ISFORMULA(INDEX('Game Records'!$R:$R,$H54))),NOT(ISFORMULA(INDEX('Game Records'!$S:$S,$H54))),NOT(ISFORMULA(INDEX('Game Records'!$T:$T,$H54))),NOT(ISFORMULA(INDEX('Game Records'!$U:$U,$H54))),NOT(ISFORMULA(INDEX('Game Records'!$V:$V,$H54))),NOT(ISFORMULA(INDEX('Game Records'!$W:$W,$H54))),NOT(ISFORMULA(INDEX('Game Records'!$X:$X,$H54))),NOT(ISFORMULA(INDEX('Game Records'!$Y:$Y,$H54))),NOT(ISFORMULA(INDEX('Game Records'!$Z:$Z,$H54)))),"Formula columns missing; ","")&amp;IF(INDEX('Game Records'!$B:$B,$H54)="","Start Date; ","")&amp;IF(INDEX('Game Records'!$C:$C,$H54)="","End Date; ","")&amp;IF(AND(INDEX('Game Records'!$U:$U,$H54)&lt;&gt;"Subscription",INDEX('Game Records'!$U:$U,$H54)&lt;&gt;"Free Game",INDEX('Game Records'!$U:$U,$H54)&lt;&gt;"Disqualified — Free Game",OR(INDEX('Game Records'!$D:$D,$H54)="",LOWER(INDEX('Game Records'!$D:$D,$H54)&amp;"")="n/a")),"Entry Mode; ","")&amp;IF(AND(INDEX('Game Records'!$U:$U,$H54)&lt;&gt;"Subscription",INDEX('Game Records'!$U:$U,$H54)&lt;&gt;"Free Game",INDEX('Game Records'!$U:$U,$H54)&lt;&gt;"Disqualified — Free Game",OR(INDEX('Game Records'!$E:$E,$H54)="",LOWER(INDEX('Game Records'!$E:$E,$H54)&amp;"")="n/a")),"Game Type; ","")&amp;IF(INDEX('Game Records'!$F:$F,$H54)="","Payment Type; ","")&amp;IF(AND(INDEX('Game Records'!$U:$U,$H54)&lt;&gt;"Subscription",INDEX('Game Records'!$U:$U,$H54)&lt;&gt;"Free Game",INDEX('Game Records'!$U:$U,$H54)&lt;&gt;"Disqualified — Free Game",INDEX('Game Records'!$G:$G,$H54)=""),"Gross Pot; ","")&amp;IF(AND(INDEX('Game Records'!$U:$U,$H54)&lt;&gt;"Free Game",INDEX('Game Records'!$U:$U,$H54)&lt;&gt;"Disqualified — Free Game",INDEX('Game Records'!$H:$H,$H54)=""),"Entry Fee; ","")&amp;IF(AND(INDEX('Game Records'!$U:$U,$H54)&lt;&gt;"Subscription",INDEX('Game Records'!$U:$U,$H54)&lt;&gt;"Free Game",INDEX('Game Records'!$U:$U,$H54)&lt;&gt;"Disqualified — Free Game",INDEX('Game Records'!$I:$I,$H54)=""),"Eligible Players; ","")&amp;IF(AND(INDEX('Game Records'!$U:$U,$H54)&lt;&gt;"Subscription",INDEX('Game Records'!$U:$U,$H54)&lt;&gt;"Free Game",INDEX('Game Records'!$U:$U,$H54)&lt;&gt;"Disqualified — Free Game",INDEX('Game Records'!$J:$J,$H54)=""),"Total Players; ","")&amp;IF(AND(LOWER(INDEX('Game Records'!$D:$D,$H54)&amp;"")="finalized",LOWER(INDEX('Game Records'!$L:$L,$H54)&amp;"")&lt;&gt;"yes",INDEX('Game Records'!$U:$U,$H54)&lt;&gt;"Subscription",INDEX('Game Records'!$U:$U,$H54)&lt;&gt;"Free Game",INDEX('Game Records'!$U:$U,$H54)&lt;&gt;"Disqualified — Free Game",INDEX('Game Records'!$K:$K,$H54)=""),"Final Earned; ","")&amp;IF(AND(LOWER(INDEX('Game Records'!$D:$D,$H54)&amp;"")="finalized",INDEX('Game Records'!$U:$U,$H54)&lt;&gt;"Subscription",INDEX('Game Records'!$U:$U,$H54)&lt;&gt;"Free Game",INDEX('Game Records'!$U:$U,$H54)&lt;&gt;"Disqualified — Free Game",OR(INDEX('Game Records'!$L:$L,$H54)="",LOWER(INDEX('Game Records'!$L:$L,$H54)&amp;"")="n/a")),"Disqualified Status; ","")&amp;IF(AND(OR(LOWER(TRIM(INDEX('Game Records'!$F:$F,$H54)&amp;""))="free game",INDEX('Game Records'!$U:$U,$H54)="Free Game",INDEX('Game Records'!$U:$U,$H54)="Disqualified — Free Game"),N(INDEX('Game Records'!$H:$H,$H54))&lt;&gt;0),"Free Game has a non-zero Entry Fee. Free Game records require a $0 Entry Fee; ",""))</f>
        <v/>
      </c>
      <c r="G54" s="331" t="str">
        <f>IF($H54="","",IFERROR(INDEX('Game Records'!$M:$M,$H54),""))</f>
        <v/>
      </c>
      <c r="H54" s="104" t="str">
        <f>IF($H53="","",IFERROR(MATCH(1,INDEX((ROW('Game Records'!$U$5:$U$504)&gt;$H53)*(('Game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4" s="104"/>
      <c r="J54" s="104"/>
    </row>
    <row r="55" ht="24" hidden="0" customHeight="1">
      <c r="A55" s="332" t="str">
        <f>IF($H55="","",ROWS($A$5:A55))</f>
        <v/>
      </c>
      <c r="B55" s="332" t="str">
        <f>IF($H55="","","G-"&amp;TEXT($A55,"0000"))</f>
        <v/>
      </c>
      <c r="C55" s="331" t="str">
        <f>IF($H55="","",IFERROR(INDEX('Game Records'!$A:$A,$H55),""))</f>
        <v/>
      </c>
      <c r="D55" s="331" t="str">
        <f>IF($H55="","",IFERROR(INDEX('Game Records'!$U:$U,$H55),""))</f>
        <v/>
      </c>
      <c r="E55" s="331" t="str">
        <f>IF($H55="","",IF($F55="","No Highlighted Fields","Highlighted Fields Present"))</f>
        <v/>
      </c>
      <c r="F55" s="331" t="str">
        <f>IF($H55="","",IF(OR(NOT(ISFORMULA(INDEX('Game Records'!$N:$N,$H55))),NOT(ISFORMULA(INDEX('Game Records'!$O:$O,$H55))),NOT(ISFORMULA(INDEX('Game Records'!$P:$P,$H55))),NOT(ISFORMULA(INDEX('Game Records'!$Q:$Q,$H55))),NOT(ISFORMULA(INDEX('Game Records'!$R:$R,$H55))),NOT(ISFORMULA(INDEX('Game Records'!$S:$S,$H55))),NOT(ISFORMULA(INDEX('Game Records'!$T:$T,$H55))),NOT(ISFORMULA(INDEX('Game Records'!$U:$U,$H55))),NOT(ISFORMULA(INDEX('Game Records'!$V:$V,$H55))),NOT(ISFORMULA(INDEX('Game Records'!$W:$W,$H55))),NOT(ISFORMULA(INDEX('Game Records'!$X:$X,$H55))),NOT(ISFORMULA(INDEX('Game Records'!$Y:$Y,$H55))),NOT(ISFORMULA(INDEX('Game Records'!$Z:$Z,$H55)))),"Formula columns missing; ","")&amp;IF(INDEX('Game Records'!$B:$B,$H55)="","Start Date; ","")&amp;IF(INDEX('Game Records'!$C:$C,$H55)="","End Date; ","")&amp;IF(AND(INDEX('Game Records'!$U:$U,$H55)&lt;&gt;"Subscription",INDEX('Game Records'!$U:$U,$H55)&lt;&gt;"Free Game",INDEX('Game Records'!$U:$U,$H55)&lt;&gt;"Disqualified — Free Game",OR(INDEX('Game Records'!$D:$D,$H55)="",LOWER(INDEX('Game Records'!$D:$D,$H55)&amp;"")="n/a")),"Entry Mode; ","")&amp;IF(AND(INDEX('Game Records'!$U:$U,$H55)&lt;&gt;"Subscription",INDEX('Game Records'!$U:$U,$H55)&lt;&gt;"Free Game",INDEX('Game Records'!$U:$U,$H55)&lt;&gt;"Disqualified — Free Game",OR(INDEX('Game Records'!$E:$E,$H55)="",LOWER(INDEX('Game Records'!$E:$E,$H55)&amp;"")="n/a")),"Game Type; ","")&amp;IF(INDEX('Game Records'!$F:$F,$H55)="","Payment Type; ","")&amp;IF(AND(INDEX('Game Records'!$U:$U,$H55)&lt;&gt;"Subscription",INDEX('Game Records'!$U:$U,$H55)&lt;&gt;"Free Game",INDEX('Game Records'!$U:$U,$H55)&lt;&gt;"Disqualified — Free Game",INDEX('Game Records'!$G:$G,$H55)=""),"Gross Pot; ","")&amp;IF(AND(INDEX('Game Records'!$U:$U,$H55)&lt;&gt;"Free Game",INDEX('Game Records'!$U:$U,$H55)&lt;&gt;"Disqualified — Free Game",INDEX('Game Records'!$H:$H,$H55)=""),"Entry Fee; ","")&amp;IF(AND(INDEX('Game Records'!$U:$U,$H55)&lt;&gt;"Subscription",INDEX('Game Records'!$U:$U,$H55)&lt;&gt;"Free Game",INDEX('Game Records'!$U:$U,$H55)&lt;&gt;"Disqualified — Free Game",INDEX('Game Records'!$I:$I,$H55)=""),"Eligible Players; ","")&amp;IF(AND(INDEX('Game Records'!$U:$U,$H55)&lt;&gt;"Subscription",INDEX('Game Records'!$U:$U,$H55)&lt;&gt;"Free Game",INDEX('Game Records'!$U:$U,$H55)&lt;&gt;"Disqualified — Free Game",INDEX('Game Records'!$J:$J,$H55)=""),"Total Players; ","")&amp;IF(AND(LOWER(INDEX('Game Records'!$D:$D,$H55)&amp;"")="finalized",LOWER(INDEX('Game Records'!$L:$L,$H55)&amp;"")&lt;&gt;"yes",INDEX('Game Records'!$U:$U,$H55)&lt;&gt;"Subscription",INDEX('Game Records'!$U:$U,$H55)&lt;&gt;"Free Game",INDEX('Game Records'!$U:$U,$H55)&lt;&gt;"Disqualified — Free Game",INDEX('Game Records'!$K:$K,$H55)=""),"Final Earned; ","")&amp;IF(AND(LOWER(INDEX('Game Records'!$D:$D,$H55)&amp;"")="finalized",INDEX('Game Records'!$U:$U,$H55)&lt;&gt;"Subscription",INDEX('Game Records'!$U:$U,$H55)&lt;&gt;"Free Game",INDEX('Game Records'!$U:$U,$H55)&lt;&gt;"Disqualified — Free Game",OR(INDEX('Game Records'!$L:$L,$H55)="",LOWER(INDEX('Game Records'!$L:$L,$H55)&amp;"")="n/a")),"Disqualified Status; ","")&amp;IF(AND(OR(LOWER(TRIM(INDEX('Game Records'!$F:$F,$H55)&amp;""))="free game",INDEX('Game Records'!$U:$U,$H55)="Free Game",INDEX('Game Records'!$U:$U,$H55)="Disqualified — Free Game"),N(INDEX('Game Records'!$H:$H,$H55))&lt;&gt;0),"Free Game has a non-zero Entry Fee. Free Game records require a $0 Entry Fee; ",""))</f>
        <v/>
      </c>
      <c r="G55" s="331" t="str">
        <f>IF($H55="","",IFERROR(INDEX('Game Records'!$M:$M,$H55),""))</f>
        <v/>
      </c>
      <c r="H55" s="104" t="str">
        <f>IF($H54="","",IFERROR(MATCH(1,INDEX((ROW('Game Records'!$U$5:$U$504)&gt;$H54)*(('Game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5" s="104"/>
      <c r="J55" s="104"/>
    </row>
    <row r="56" ht="24" hidden="0" customHeight="1">
      <c r="A56" s="332" t="str">
        <f>IF($H56="","",ROWS($A$5:A56))</f>
        <v/>
      </c>
      <c r="B56" s="332" t="str">
        <f>IF($H56="","","G-"&amp;TEXT($A56,"0000"))</f>
        <v/>
      </c>
      <c r="C56" s="331" t="str">
        <f>IF($H56="","",IFERROR(INDEX('Game Records'!$A:$A,$H56),""))</f>
        <v/>
      </c>
      <c r="D56" s="331" t="str">
        <f>IF($H56="","",IFERROR(INDEX('Game Records'!$U:$U,$H56),""))</f>
        <v/>
      </c>
      <c r="E56" s="331" t="str">
        <f>IF($H56="","",IF($F56="","No Highlighted Fields","Highlighted Fields Present"))</f>
        <v/>
      </c>
      <c r="F56" s="331" t="str">
        <f>IF($H56="","",IF(OR(NOT(ISFORMULA(INDEX('Game Records'!$N:$N,$H56))),NOT(ISFORMULA(INDEX('Game Records'!$O:$O,$H56))),NOT(ISFORMULA(INDEX('Game Records'!$P:$P,$H56))),NOT(ISFORMULA(INDEX('Game Records'!$Q:$Q,$H56))),NOT(ISFORMULA(INDEX('Game Records'!$R:$R,$H56))),NOT(ISFORMULA(INDEX('Game Records'!$S:$S,$H56))),NOT(ISFORMULA(INDEX('Game Records'!$T:$T,$H56))),NOT(ISFORMULA(INDEX('Game Records'!$U:$U,$H56))),NOT(ISFORMULA(INDEX('Game Records'!$V:$V,$H56))),NOT(ISFORMULA(INDEX('Game Records'!$W:$W,$H56))),NOT(ISFORMULA(INDEX('Game Records'!$X:$X,$H56))),NOT(ISFORMULA(INDEX('Game Records'!$Y:$Y,$H56))),NOT(ISFORMULA(INDEX('Game Records'!$Z:$Z,$H56)))),"Formula columns missing; ","")&amp;IF(INDEX('Game Records'!$B:$B,$H56)="","Start Date; ","")&amp;IF(INDEX('Game Records'!$C:$C,$H56)="","End Date; ","")&amp;IF(AND(INDEX('Game Records'!$U:$U,$H56)&lt;&gt;"Subscription",INDEX('Game Records'!$U:$U,$H56)&lt;&gt;"Free Game",INDEX('Game Records'!$U:$U,$H56)&lt;&gt;"Disqualified — Free Game",OR(INDEX('Game Records'!$D:$D,$H56)="",LOWER(INDEX('Game Records'!$D:$D,$H56)&amp;"")="n/a")),"Entry Mode; ","")&amp;IF(AND(INDEX('Game Records'!$U:$U,$H56)&lt;&gt;"Subscription",INDEX('Game Records'!$U:$U,$H56)&lt;&gt;"Free Game",INDEX('Game Records'!$U:$U,$H56)&lt;&gt;"Disqualified — Free Game",OR(INDEX('Game Records'!$E:$E,$H56)="",LOWER(INDEX('Game Records'!$E:$E,$H56)&amp;"")="n/a")),"Game Type; ","")&amp;IF(INDEX('Game Records'!$F:$F,$H56)="","Payment Type; ","")&amp;IF(AND(INDEX('Game Records'!$U:$U,$H56)&lt;&gt;"Subscription",INDEX('Game Records'!$U:$U,$H56)&lt;&gt;"Free Game",INDEX('Game Records'!$U:$U,$H56)&lt;&gt;"Disqualified — Free Game",INDEX('Game Records'!$G:$G,$H56)=""),"Gross Pot; ","")&amp;IF(AND(INDEX('Game Records'!$U:$U,$H56)&lt;&gt;"Free Game",INDEX('Game Records'!$U:$U,$H56)&lt;&gt;"Disqualified — Free Game",INDEX('Game Records'!$H:$H,$H56)=""),"Entry Fee; ","")&amp;IF(AND(INDEX('Game Records'!$U:$U,$H56)&lt;&gt;"Subscription",INDEX('Game Records'!$U:$U,$H56)&lt;&gt;"Free Game",INDEX('Game Records'!$U:$U,$H56)&lt;&gt;"Disqualified — Free Game",INDEX('Game Records'!$I:$I,$H56)=""),"Eligible Players; ","")&amp;IF(AND(INDEX('Game Records'!$U:$U,$H56)&lt;&gt;"Subscription",INDEX('Game Records'!$U:$U,$H56)&lt;&gt;"Free Game",INDEX('Game Records'!$U:$U,$H56)&lt;&gt;"Disqualified — Free Game",INDEX('Game Records'!$J:$J,$H56)=""),"Total Players; ","")&amp;IF(AND(LOWER(INDEX('Game Records'!$D:$D,$H56)&amp;"")="finalized",LOWER(INDEX('Game Records'!$L:$L,$H56)&amp;"")&lt;&gt;"yes",INDEX('Game Records'!$U:$U,$H56)&lt;&gt;"Subscription",INDEX('Game Records'!$U:$U,$H56)&lt;&gt;"Free Game",INDEX('Game Records'!$U:$U,$H56)&lt;&gt;"Disqualified — Free Game",INDEX('Game Records'!$K:$K,$H56)=""),"Final Earned; ","")&amp;IF(AND(LOWER(INDEX('Game Records'!$D:$D,$H56)&amp;"")="finalized",INDEX('Game Records'!$U:$U,$H56)&lt;&gt;"Subscription",INDEX('Game Records'!$U:$U,$H56)&lt;&gt;"Free Game",INDEX('Game Records'!$U:$U,$H56)&lt;&gt;"Disqualified — Free Game",OR(INDEX('Game Records'!$L:$L,$H56)="",LOWER(INDEX('Game Records'!$L:$L,$H56)&amp;"")="n/a")),"Disqualified Status; ","")&amp;IF(AND(OR(LOWER(TRIM(INDEX('Game Records'!$F:$F,$H56)&amp;""))="free game",INDEX('Game Records'!$U:$U,$H56)="Free Game",INDEX('Game Records'!$U:$U,$H56)="Disqualified — Free Game"),N(INDEX('Game Records'!$H:$H,$H56))&lt;&gt;0),"Free Game has a non-zero Entry Fee. Free Game records require a $0 Entry Fee; ",""))</f>
        <v/>
      </c>
      <c r="G56" s="331" t="str">
        <f>IF($H56="","",IFERROR(INDEX('Game Records'!$M:$M,$H56),""))</f>
        <v/>
      </c>
      <c r="H56" s="104" t="str">
        <f>IF($H55="","",IFERROR(MATCH(1,INDEX((ROW('Game Records'!$U$5:$U$504)&gt;$H55)*(('Game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6" s="104"/>
      <c r="J56" s="104"/>
    </row>
    <row r="57" ht="24" hidden="0" customHeight="1">
      <c r="A57" s="332" t="str">
        <f>IF($H57="","",ROWS($A$5:A57))</f>
        <v/>
      </c>
      <c r="B57" s="332" t="str">
        <f>IF($H57="","","G-"&amp;TEXT($A57,"0000"))</f>
        <v/>
      </c>
      <c r="C57" s="331" t="str">
        <f>IF($H57="","",IFERROR(INDEX('Game Records'!$A:$A,$H57),""))</f>
        <v/>
      </c>
      <c r="D57" s="331" t="str">
        <f>IF($H57="","",IFERROR(INDEX('Game Records'!$U:$U,$H57),""))</f>
        <v/>
      </c>
      <c r="E57" s="331" t="str">
        <f>IF($H57="","",IF($F57="","No Highlighted Fields","Highlighted Fields Present"))</f>
        <v/>
      </c>
      <c r="F57" s="331" t="str">
        <f>IF($H57="","",IF(OR(NOT(ISFORMULA(INDEX('Game Records'!$N:$N,$H57))),NOT(ISFORMULA(INDEX('Game Records'!$O:$O,$H57))),NOT(ISFORMULA(INDEX('Game Records'!$P:$P,$H57))),NOT(ISFORMULA(INDEX('Game Records'!$Q:$Q,$H57))),NOT(ISFORMULA(INDEX('Game Records'!$R:$R,$H57))),NOT(ISFORMULA(INDEX('Game Records'!$S:$S,$H57))),NOT(ISFORMULA(INDEX('Game Records'!$T:$T,$H57))),NOT(ISFORMULA(INDEX('Game Records'!$U:$U,$H57))),NOT(ISFORMULA(INDEX('Game Records'!$V:$V,$H57))),NOT(ISFORMULA(INDEX('Game Records'!$W:$W,$H57))),NOT(ISFORMULA(INDEX('Game Records'!$X:$X,$H57))),NOT(ISFORMULA(INDEX('Game Records'!$Y:$Y,$H57))),NOT(ISFORMULA(INDEX('Game Records'!$Z:$Z,$H57)))),"Formula columns missing; ","")&amp;IF(INDEX('Game Records'!$B:$B,$H57)="","Start Date; ","")&amp;IF(INDEX('Game Records'!$C:$C,$H57)="","End Date; ","")&amp;IF(AND(INDEX('Game Records'!$U:$U,$H57)&lt;&gt;"Subscription",INDEX('Game Records'!$U:$U,$H57)&lt;&gt;"Free Game",INDEX('Game Records'!$U:$U,$H57)&lt;&gt;"Disqualified — Free Game",OR(INDEX('Game Records'!$D:$D,$H57)="",LOWER(INDEX('Game Records'!$D:$D,$H57)&amp;"")="n/a")),"Entry Mode; ","")&amp;IF(AND(INDEX('Game Records'!$U:$U,$H57)&lt;&gt;"Subscription",INDEX('Game Records'!$U:$U,$H57)&lt;&gt;"Free Game",INDEX('Game Records'!$U:$U,$H57)&lt;&gt;"Disqualified — Free Game",OR(INDEX('Game Records'!$E:$E,$H57)="",LOWER(INDEX('Game Records'!$E:$E,$H57)&amp;"")="n/a")),"Game Type; ","")&amp;IF(INDEX('Game Records'!$F:$F,$H57)="","Payment Type; ","")&amp;IF(AND(INDEX('Game Records'!$U:$U,$H57)&lt;&gt;"Subscription",INDEX('Game Records'!$U:$U,$H57)&lt;&gt;"Free Game",INDEX('Game Records'!$U:$U,$H57)&lt;&gt;"Disqualified — Free Game",INDEX('Game Records'!$G:$G,$H57)=""),"Gross Pot; ","")&amp;IF(AND(INDEX('Game Records'!$U:$U,$H57)&lt;&gt;"Free Game",INDEX('Game Records'!$U:$U,$H57)&lt;&gt;"Disqualified — Free Game",INDEX('Game Records'!$H:$H,$H57)=""),"Entry Fee; ","")&amp;IF(AND(INDEX('Game Records'!$U:$U,$H57)&lt;&gt;"Subscription",INDEX('Game Records'!$U:$U,$H57)&lt;&gt;"Free Game",INDEX('Game Records'!$U:$U,$H57)&lt;&gt;"Disqualified — Free Game",INDEX('Game Records'!$I:$I,$H57)=""),"Eligible Players; ","")&amp;IF(AND(INDEX('Game Records'!$U:$U,$H57)&lt;&gt;"Subscription",INDEX('Game Records'!$U:$U,$H57)&lt;&gt;"Free Game",INDEX('Game Records'!$U:$U,$H57)&lt;&gt;"Disqualified — Free Game",INDEX('Game Records'!$J:$J,$H57)=""),"Total Players; ","")&amp;IF(AND(LOWER(INDEX('Game Records'!$D:$D,$H57)&amp;"")="finalized",LOWER(INDEX('Game Records'!$L:$L,$H57)&amp;"")&lt;&gt;"yes",INDEX('Game Records'!$U:$U,$H57)&lt;&gt;"Subscription",INDEX('Game Records'!$U:$U,$H57)&lt;&gt;"Free Game",INDEX('Game Records'!$U:$U,$H57)&lt;&gt;"Disqualified — Free Game",INDEX('Game Records'!$K:$K,$H57)=""),"Final Earned; ","")&amp;IF(AND(LOWER(INDEX('Game Records'!$D:$D,$H57)&amp;"")="finalized",INDEX('Game Records'!$U:$U,$H57)&lt;&gt;"Subscription",INDEX('Game Records'!$U:$U,$H57)&lt;&gt;"Free Game",INDEX('Game Records'!$U:$U,$H57)&lt;&gt;"Disqualified — Free Game",OR(INDEX('Game Records'!$L:$L,$H57)="",LOWER(INDEX('Game Records'!$L:$L,$H57)&amp;"")="n/a")),"Disqualified Status; ","")&amp;IF(AND(OR(LOWER(TRIM(INDEX('Game Records'!$F:$F,$H57)&amp;""))="free game",INDEX('Game Records'!$U:$U,$H57)="Free Game",INDEX('Game Records'!$U:$U,$H57)="Disqualified — Free Game"),N(INDEX('Game Records'!$H:$H,$H57))&lt;&gt;0),"Free Game has a non-zero Entry Fee. Free Game records require a $0 Entry Fee; ",""))</f>
        <v/>
      </c>
      <c r="G57" s="331" t="str">
        <f>IF($H57="","",IFERROR(INDEX('Game Records'!$M:$M,$H57),""))</f>
        <v/>
      </c>
      <c r="H57" s="104" t="str">
        <f>IF($H56="","",IFERROR(MATCH(1,INDEX((ROW('Game Records'!$U$5:$U$504)&gt;$H56)*(('Game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7" s="104"/>
      <c r="J57" s="104"/>
    </row>
    <row r="58" ht="24" hidden="0" customHeight="1">
      <c r="A58" s="332" t="str">
        <f>IF($H58="","",ROWS($A$5:A58))</f>
        <v/>
      </c>
      <c r="B58" s="332" t="str">
        <f>IF($H58="","","G-"&amp;TEXT($A58,"0000"))</f>
        <v/>
      </c>
      <c r="C58" s="331" t="str">
        <f>IF($H58="","",IFERROR(INDEX('Game Records'!$A:$A,$H58),""))</f>
        <v/>
      </c>
      <c r="D58" s="331" t="str">
        <f>IF($H58="","",IFERROR(INDEX('Game Records'!$U:$U,$H58),""))</f>
        <v/>
      </c>
      <c r="E58" s="331" t="str">
        <f>IF($H58="","",IF($F58="","No Highlighted Fields","Highlighted Fields Present"))</f>
        <v/>
      </c>
      <c r="F58" s="331" t="str">
        <f>IF($H58="","",IF(OR(NOT(ISFORMULA(INDEX('Game Records'!$N:$N,$H58))),NOT(ISFORMULA(INDEX('Game Records'!$O:$O,$H58))),NOT(ISFORMULA(INDEX('Game Records'!$P:$P,$H58))),NOT(ISFORMULA(INDEX('Game Records'!$Q:$Q,$H58))),NOT(ISFORMULA(INDEX('Game Records'!$R:$R,$H58))),NOT(ISFORMULA(INDEX('Game Records'!$S:$S,$H58))),NOT(ISFORMULA(INDEX('Game Records'!$T:$T,$H58))),NOT(ISFORMULA(INDEX('Game Records'!$U:$U,$H58))),NOT(ISFORMULA(INDEX('Game Records'!$V:$V,$H58))),NOT(ISFORMULA(INDEX('Game Records'!$W:$W,$H58))),NOT(ISFORMULA(INDEX('Game Records'!$X:$X,$H58))),NOT(ISFORMULA(INDEX('Game Records'!$Y:$Y,$H58))),NOT(ISFORMULA(INDEX('Game Records'!$Z:$Z,$H58)))),"Formula columns missing; ","")&amp;IF(INDEX('Game Records'!$B:$B,$H58)="","Start Date; ","")&amp;IF(INDEX('Game Records'!$C:$C,$H58)="","End Date; ","")&amp;IF(AND(INDEX('Game Records'!$U:$U,$H58)&lt;&gt;"Subscription",INDEX('Game Records'!$U:$U,$H58)&lt;&gt;"Free Game",INDEX('Game Records'!$U:$U,$H58)&lt;&gt;"Disqualified — Free Game",OR(INDEX('Game Records'!$D:$D,$H58)="",LOWER(INDEX('Game Records'!$D:$D,$H58)&amp;"")="n/a")),"Entry Mode; ","")&amp;IF(AND(INDEX('Game Records'!$U:$U,$H58)&lt;&gt;"Subscription",INDEX('Game Records'!$U:$U,$H58)&lt;&gt;"Free Game",INDEX('Game Records'!$U:$U,$H58)&lt;&gt;"Disqualified — Free Game",OR(INDEX('Game Records'!$E:$E,$H58)="",LOWER(INDEX('Game Records'!$E:$E,$H58)&amp;"")="n/a")),"Game Type; ","")&amp;IF(INDEX('Game Records'!$F:$F,$H58)="","Payment Type; ","")&amp;IF(AND(INDEX('Game Records'!$U:$U,$H58)&lt;&gt;"Subscription",INDEX('Game Records'!$U:$U,$H58)&lt;&gt;"Free Game",INDEX('Game Records'!$U:$U,$H58)&lt;&gt;"Disqualified — Free Game",INDEX('Game Records'!$G:$G,$H58)=""),"Gross Pot; ","")&amp;IF(AND(INDEX('Game Records'!$U:$U,$H58)&lt;&gt;"Free Game",INDEX('Game Records'!$U:$U,$H58)&lt;&gt;"Disqualified — Free Game",INDEX('Game Records'!$H:$H,$H58)=""),"Entry Fee; ","")&amp;IF(AND(INDEX('Game Records'!$U:$U,$H58)&lt;&gt;"Subscription",INDEX('Game Records'!$U:$U,$H58)&lt;&gt;"Free Game",INDEX('Game Records'!$U:$U,$H58)&lt;&gt;"Disqualified — Free Game",INDEX('Game Records'!$I:$I,$H58)=""),"Eligible Players; ","")&amp;IF(AND(INDEX('Game Records'!$U:$U,$H58)&lt;&gt;"Subscription",INDEX('Game Records'!$U:$U,$H58)&lt;&gt;"Free Game",INDEX('Game Records'!$U:$U,$H58)&lt;&gt;"Disqualified — Free Game",INDEX('Game Records'!$J:$J,$H58)=""),"Total Players; ","")&amp;IF(AND(LOWER(INDEX('Game Records'!$D:$D,$H58)&amp;"")="finalized",LOWER(INDEX('Game Records'!$L:$L,$H58)&amp;"")&lt;&gt;"yes",INDEX('Game Records'!$U:$U,$H58)&lt;&gt;"Subscription",INDEX('Game Records'!$U:$U,$H58)&lt;&gt;"Free Game",INDEX('Game Records'!$U:$U,$H58)&lt;&gt;"Disqualified — Free Game",INDEX('Game Records'!$K:$K,$H58)=""),"Final Earned; ","")&amp;IF(AND(LOWER(INDEX('Game Records'!$D:$D,$H58)&amp;"")="finalized",INDEX('Game Records'!$U:$U,$H58)&lt;&gt;"Subscription",INDEX('Game Records'!$U:$U,$H58)&lt;&gt;"Free Game",INDEX('Game Records'!$U:$U,$H58)&lt;&gt;"Disqualified — Free Game",OR(INDEX('Game Records'!$L:$L,$H58)="",LOWER(INDEX('Game Records'!$L:$L,$H58)&amp;"")="n/a")),"Disqualified Status; ","")&amp;IF(AND(OR(LOWER(TRIM(INDEX('Game Records'!$F:$F,$H58)&amp;""))="free game",INDEX('Game Records'!$U:$U,$H58)="Free Game",INDEX('Game Records'!$U:$U,$H58)="Disqualified — Free Game"),N(INDEX('Game Records'!$H:$H,$H58))&lt;&gt;0),"Free Game has a non-zero Entry Fee. Free Game records require a $0 Entry Fee; ",""))</f>
        <v/>
      </c>
      <c r="G58" s="331" t="str">
        <f>IF($H58="","",IFERROR(INDEX('Game Records'!$M:$M,$H58),""))</f>
        <v/>
      </c>
      <c r="H58" s="104" t="str">
        <f>IF($H57="","",IFERROR(MATCH(1,INDEX((ROW('Game Records'!$U$5:$U$504)&gt;$H57)*(('Game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8" s="104"/>
      <c r="J58" s="104"/>
    </row>
    <row r="59" ht="24" hidden="0" customHeight="1">
      <c r="A59" s="332" t="str">
        <f>IF($H59="","",ROWS($A$5:A59))</f>
        <v/>
      </c>
      <c r="B59" s="332" t="str">
        <f>IF($H59="","","G-"&amp;TEXT($A59,"0000"))</f>
        <v/>
      </c>
      <c r="C59" s="331" t="str">
        <f>IF($H59="","",IFERROR(INDEX('Game Records'!$A:$A,$H59),""))</f>
        <v/>
      </c>
      <c r="D59" s="331" t="str">
        <f>IF($H59="","",IFERROR(INDEX('Game Records'!$U:$U,$H59),""))</f>
        <v/>
      </c>
      <c r="E59" s="331" t="str">
        <f>IF($H59="","",IF($F59="","No Highlighted Fields","Highlighted Fields Present"))</f>
        <v/>
      </c>
      <c r="F59" s="331" t="str">
        <f>IF($H59="","",IF(OR(NOT(ISFORMULA(INDEX('Game Records'!$N:$N,$H59))),NOT(ISFORMULA(INDEX('Game Records'!$O:$O,$H59))),NOT(ISFORMULA(INDEX('Game Records'!$P:$P,$H59))),NOT(ISFORMULA(INDEX('Game Records'!$Q:$Q,$H59))),NOT(ISFORMULA(INDEX('Game Records'!$R:$R,$H59))),NOT(ISFORMULA(INDEX('Game Records'!$S:$S,$H59))),NOT(ISFORMULA(INDEX('Game Records'!$T:$T,$H59))),NOT(ISFORMULA(INDEX('Game Records'!$U:$U,$H59))),NOT(ISFORMULA(INDEX('Game Records'!$V:$V,$H59))),NOT(ISFORMULA(INDEX('Game Records'!$W:$W,$H59))),NOT(ISFORMULA(INDEX('Game Records'!$X:$X,$H59))),NOT(ISFORMULA(INDEX('Game Records'!$Y:$Y,$H59))),NOT(ISFORMULA(INDEX('Game Records'!$Z:$Z,$H59)))),"Formula columns missing; ","")&amp;IF(INDEX('Game Records'!$B:$B,$H59)="","Start Date; ","")&amp;IF(INDEX('Game Records'!$C:$C,$H59)="","End Date; ","")&amp;IF(AND(INDEX('Game Records'!$U:$U,$H59)&lt;&gt;"Subscription",INDEX('Game Records'!$U:$U,$H59)&lt;&gt;"Free Game",INDEX('Game Records'!$U:$U,$H59)&lt;&gt;"Disqualified — Free Game",OR(INDEX('Game Records'!$D:$D,$H59)="",LOWER(INDEX('Game Records'!$D:$D,$H59)&amp;"")="n/a")),"Entry Mode; ","")&amp;IF(AND(INDEX('Game Records'!$U:$U,$H59)&lt;&gt;"Subscription",INDEX('Game Records'!$U:$U,$H59)&lt;&gt;"Free Game",INDEX('Game Records'!$U:$U,$H59)&lt;&gt;"Disqualified — Free Game",OR(INDEX('Game Records'!$E:$E,$H59)="",LOWER(INDEX('Game Records'!$E:$E,$H59)&amp;"")="n/a")),"Game Type; ","")&amp;IF(INDEX('Game Records'!$F:$F,$H59)="","Payment Type; ","")&amp;IF(AND(INDEX('Game Records'!$U:$U,$H59)&lt;&gt;"Subscription",INDEX('Game Records'!$U:$U,$H59)&lt;&gt;"Free Game",INDEX('Game Records'!$U:$U,$H59)&lt;&gt;"Disqualified — Free Game",INDEX('Game Records'!$G:$G,$H59)=""),"Gross Pot; ","")&amp;IF(AND(INDEX('Game Records'!$U:$U,$H59)&lt;&gt;"Free Game",INDEX('Game Records'!$U:$U,$H59)&lt;&gt;"Disqualified — Free Game",INDEX('Game Records'!$H:$H,$H59)=""),"Entry Fee; ","")&amp;IF(AND(INDEX('Game Records'!$U:$U,$H59)&lt;&gt;"Subscription",INDEX('Game Records'!$U:$U,$H59)&lt;&gt;"Free Game",INDEX('Game Records'!$U:$U,$H59)&lt;&gt;"Disqualified — Free Game",INDEX('Game Records'!$I:$I,$H59)=""),"Eligible Players; ","")&amp;IF(AND(INDEX('Game Records'!$U:$U,$H59)&lt;&gt;"Subscription",INDEX('Game Records'!$U:$U,$H59)&lt;&gt;"Free Game",INDEX('Game Records'!$U:$U,$H59)&lt;&gt;"Disqualified — Free Game",INDEX('Game Records'!$J:$J,$H59)=""),"Total Players; ","")&amp;IF(AND(LOWER(INDEX('Game Records'!$D:$D,$H59)&amp;"")="finalized",LOWER(INDEX('Game Records'!$L:$L,$H59)&amp;"")&lt;&gt;"yes",INDEX('Game Records'!$U:$U,$H59)&lt;&gt;"Subscription",INDEX('Game Records'!$U:$U,$H59)&lt;&gt;"Free Game",INDEX('Game Records'!$U:$U,$H59)&lt;&gt;"Disqualified — Free Game",INDEX('Game Records'!$K:$K,$H59)=""),"Final Earned; ","")&amp;IF(AND(LOWER(INDEX('Game Records'!$D:$D,$H59)&amp;"")="finalized",INDEX('Game Records'!$U:$U,$H59)&lt;&gt;"Subscription",INDEX('Game Records'!$U:$U,$H59)&lt;&gt;"Free Game",INDEX('Game Records'!$U:$U,$H59)&lt;&gt;"Disqualified — Free Game",OR(INDEX('Game Records'!$L:$L,$H59)="",LOWER(INDEX('Game Records'!$L:$L,$H59)&amp;"")="n/a")),"Disqualified Status; ","")&amp;IF(AND(OR(LOWER(TRIM(INDEX('Game Records'!$F:$F,$H59)&amp;""))="free game",INDEX('Game Records'!$U:$U,$H59)="Free Game",INDEX('Game Records'!$U:$U,$H59)="Disqualified — Free Game"),N(INDEX('Game Records'!$H:$H,$H59))&lt;&gt;0),"Free Game has a non-zero Entry Fee. Free Game records require a $0 Entry Fee; ",""))</f>
        <v/>
      </c>
      <c r="G59" s="331" t="str">
        <f>IF($H59="","",IFERROR(INDEX('Game Records'!$M:$M,$H59),""))</f>
        <v/>
      </c>
      <c r="H59" s="104" t="str">
        <f>IF($H58="","",IFERROR(MATCH(1,INDEX((ROW('Game Records'!$U$5:$U$504)&gt;$H58)*(('Game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9" s="104"/>
      <c r="J59" s="104"/>
    </row>
    <row r="60" ht="24" hidden="0" customHeight="1">
      <c r="A60" s="332" t="str">
        <f>IF($H60="","",ROWS($A$5:A60))</f>
        <v/>
      </c>
      <c r="B60" s="332" t="str">
        <f>IF($H60="","","G-"&amp;TEXT($A60,"0000"))</f>
        <v/>
      </c>
      <c r="C60" s="331" t="str">
        <f>IF($H60="","",IFERROR(INDEX('Game Records'!$A:$A,$H60),""))</f>
        <v/>
      </c>
      <c r="D60" s="331" t="str">
        <f>IF($H60="","",IFERROR(INDEX('Game Records'!$U:$U,$H60),""))</f>
        <v/>
      </c>
      <c r="E60" s="331" t="str">
        <f>IF($H60="","",IF($F60="","No Highlighted Fields","Highlighted Fields Present"))</f>
        <v/>
      </c>
      <c r="F60" s="331" t="str">
        <f>IF($H60="","",IF(OR(NOT(ISFORMULA(INDEX('Game Records'!$N:$N,$H60))),NOT(ISFORMULA(INDEX('Game Records'!$O:$O,$H60))),NOT(ISFORMULA(INDEX('Game Records'!$P:$P,$H60))),NOT(ISFORMULA(INDEX('Game Records'!$Q:$Q,$H60))),NOT(ISFORMULA(INDEX('Game Records'!$R:$R,$H60))),NOT(ISFORMULA(INDEX('Game Records'!$S:$S,$H60))),NOT(ISFORMULA(INDEX('Game Records'!$T:$T,$H60))),NOT(ISFORMULA(INDEX('Game Records'!$U:$U,$H60))),NOT(ISFORMULA(INDEX('Game Records'!$V:$V,$H60))),NOT(ISFORMULA(INDEX('Game Records'!$W:$W,$H60))),NOT(ISFORMULA(INDEX('Game Records'!$X:$X,$H60))),NOT(ISFORMULA(INDEX('Game Records'!$Y:$Y,$H60))),NOT(ISFORMULA(INDEX('Game Records'!$Z:$Z,$H60)))),"Formula columns missing; ","")&amp;IF(INDEX('Game Records'!$B:$B,$H60)="","Start Date; ","")&amp;IF(INDEX('Game Records'!$C:$C,$H60)="","End Date; ","")&amp;IF(AND(INDEX('Game Records'!$U:$U,$H60)&lt;&gt;"Subscription",INDEX('Game Records'!$U:$U,$H60)&lt;&gt;"Free Game",INDEX('Game Records'!$U:$U,$H60)&lt;&gt;"Disqualified — Free Game",OR(INDEX('Game Records'!$D:$D,$H60)="",LOWER(INDEX('Game Records'!$D:$D,$H60)&amp;"")="n/a")),"Entry Mode; ","")&amp;IF(AND(INDEX('Game Records'!$U:$U,$H60)&lt;&gt;"Subscription",INDEX('Game Records'!$U:$U,$H60)&lt;&gt;"Free Game",INDEX('Game Records'!$U:$U,$H60)&lt;&gt;"Disqualified — Free Game",OR(INDEX('Game Records'!$E:$E,$H60)="",LOWER(INDEX('Game Records'!$E:$E,$H60)&amp;"")="n/a")),"Game Type; ","")&amp;IF(INDEX('Game Records'!$F:$F,$H60)="","Payment Type; ","")&amp;IF(AND(INDEX('Game Records'!$U:$U,$H60)&lt;&gt;"Subscription",INDEX('Game Records'!$U:$U,$H60)&lt;&gt;"Free Game",INDEX('Game Records'!$U:$U,$H60)&lt;&gt;"Disqualified — Free Game",INDEX('Game Records'!$G:$G,$H60)=""),"Gross Pot; ","")&amp;IF(AND(INDEX('Game Records'!$U:$U,$H60)&lt;&gt;"Free Game",INDEX('Game Records'!$U:$U,$H60)&lt;&gt;"Disqualified — Free Game",INDEX('Game Records'!$H:$H,$H60)=""),"Entry Fee; ","")&amp;IF(AND(INDEX('Game Records'!$U:$U,$H60)&lt;&gt;"Subscription",INDEX('Game Records'!$U:$U,$H60)&lt;&gt;"Free Game",INDEX('Game Records'!$U:$U,$H60)&lt;&gt;"Disqualified — Free Game",INDEX('Game Records'!$I:$I,$H60)=""),"Eligible Players; ","")&amp;IF(AND(INDEX('Game Records'!$U:$U,$H60)&lt;&gt;"Subscription",INDEX('Game Records'!$U:$U,$H60)&lt;&gt;"Free Game",INDEX('Game Records'!$U:$U,$H60)&lt;&gt;"Disqualified — Free Game",INDEX('Game Records'!$J:$J,$H60)=""),"Total Players; ","")&amp;IF(AND(LOWER(INDEX('Game Records'!$D:$D,$H60)&amp;"")="finalized",LOWER(INDEX('Game Records'!$L:$L,$H60)&amp;"")&lt;&gt;"yes",INDEX('Game Records'!$U:$U,$H60)&lt;&gt;"Subscription",INDEX('Game Records'!$U:$U,$H60)&lt;&gt;"Free Game",INDEX('Game Records'!$U:$U,$H60)&lt;&gt;"Disqualified — Free Game",INDEX('Game Records'!$K:$K,$H60)=""),"Final Earned; ","")&amp;IF(AND(LOWER(INDEX('Game Records'!$D:$D,$H60)&amp;"")="finalized",INDEX('Game Records'!$U:$U,$H60)&lt;&gt;"Subscription",INDEX('Game Records'!$U:$U,$H60)&lt;&gt;"Free Game",INDEX('Game Records'!$U:$U,$H60)&lt;&gt;"Disqualified — Free Game",OR(INDEX('Game Records'!$L:$L,$H60)="",LOWER(INDEX('Game Records'!$L:$L,$H60)&amp;"")="n/a")),"Disqualified Status; ","")&amp;IF(AND(OR(LOWER(TRIM(INDEX('Game Records'!$F:$F,$H60)&amp;""))="free game",INDEX('Game Records'!$U:$U,$H60)="Free Game",INDEX('Game Records'!$U:$U,$H60)="Disqualified — Free Game"),N(INDEX('Game Records'!$H:$H,$H60))&lt;&gt;0),"Free Game has a non-zero Entry Fee. Free Game records require a $0 Entry Fee; ",""))</f>
        <v/>
      </c>
      <c r="G60" s="331" t="str">
        <f>IF($H60="","",IFERROR(INDEX('Game Records'!$M:$M,$H60),""))</f>
        <v/>
      </c>
      <c r="H60" s="104" t="str">
        <f>IF($H59="","",IFERROR(MATCH(1,INDEX((ROW('Game Records'!$U$5:$U$504)&gt;$H59)*(('Game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0" s="104"/>
      <c r="J60" s="104"/>
    </row>
    <row r="61" ht="24" hidden="0" customHeight="1">
      <c r="A61" s="332" t="str">
        <f>IF($H61="","",ROWS($A$5:A61))</f>
        <v/>
      </c>
      <c r="B61" s="332" t="str">
        <f>IF($H61="","","G-"&amp;TEXT($A61,"0000"))</f>
        <v/>
      </c>
      <c r="C61" s="331" t="str">
        <f>IF($H61="","",IFERROR(INDEX('Game Records'!$A:$A,$H61),""))</f>
        <v/>
      </c>
      <c r="D61" s="331" t="str">
        <f>IF($H61="","",IFERROR(INDEX('Game Records'!$U:$U,$H61),""))</f>
        <v/>
      </c>
      <c r="E61" s="331" t="str">
        <f>IF($H61="","",IF($F61="","No Highlighted Fields","Highlighted Fields Present"))</f>
        <v/>
      </c>
      <c r="F61" s="331" t="str">
        <f>IF($H61="","",IF(OR(NOT(ISFORMULA(INDEX('Game Records'!$N:$N,$H61))),NOT(ISFORMULA(INDEX('Game Records'!$O:$O,$H61))),NOT(ISFORMULA(INDEX('Game Records'!$P:$P,$H61))),NOT(ISFORMULA(INDEX('Game Records'!$Q:$Q,$H61))),NOT(ISFORMULA(INDEX('Game Records'!$R:$R,$H61))),NOT(ISFORMULA(INDEX('Game Records'!$S:$S,$H61))),NOT(ISFORMULA(INDEX('Game Records'!$T:$T,$H61))),NOT(ISFORMULA(INDEX('Game Records'!$U:$U,$H61))),NOT(ISFORMULA(INDEX('Game Records'!$V:$V,$H61))),NOT(ISFORMULA(INDEX('Game Records'!$W:$W,$H61))),NOT(ISFORMULA(INDEX('Game Records'!$X:$X,$H61))),NOT(ISFORMULA(INDEX('Game Records'!$Y:$Y,$H61))),NOT(ISFORMULA(INDEX('Game Records'!$Z:$Z,$H61)))),"Formula columns missing; ","")&amp;IF(INDEX('Game Records'!$B:$B,$H61)="","Start Date; ","")&amp;IF(INDEX('Game Records'!$C:$C,$H61)="","End Date; ","")&amp;IF(AND(INDEX('Game Records'!$U:$U,$H61)&lt;&gt;"Subscription",INDEX('Game Records'!$U:$U,$H61)&lt;&gt;"Free Game",INDEX('Game Records'!$U:$U,$H61)&lt;&gt;"Disqualified — Free Game",OR(INDEX('Game Records'!$D:$D,$H61)="",LOWER(INDEX('Game Records'!$D:$D,$H61)&amp;"")="n/a")),"Entry Mode; ","")&amp;IF(AND(INDEX('Game Records'!$U:$U,$H61)&lt;&gt;"Subscription",INDEX('Game Records'!$U:$U,$H61)&lt;&gt;"Free Game",INDEX('Game Records'!$U:$U,$H61)&lt;&gt;"Disqualified — Free Game",OR(INDEX('Game Records'!$E:$E,$H61)="",LOWER(INDEX('Game Records'!$E:$E,$H61)&amp;"")="n/a")),"Game Type; ","")&amp;IF(INDEX('Game Records'!$F:$F,$H61)="","Payment Type; ","")&amp;IF(AND(INDEX('Game Records'!$U:$U,$H61)&lt;&gt;"Subscription",INDEX('Game Records'!$U:$U,$H61)&lt;&gt;"Free Game",INDEX('Game Records'!$U:$U,$H61)&lt;&gt;"Disqualified — Free Game",INDEX('Game Records'!$G:$G,$H61)=""),"Gross Pot; ","")&amp;IF(AND(INDEX('Game Records'!$U:$U,$H61)&lt;&gt;"Free Game",INDEX('Game Records'!$U:$U,$H61)&lt;&gt;"Disqualified — Free Game",INDEX('Game Records'!$H:$H,$H61)=""),"Entry Fee; ","")&amp;IF(AND(INDEX('Game Records'!$U:$U,$H61)&lt;&gt;"Subscription",INDEX('Game Records'!$U:$U,$H61)&lt;&gt;"Free Game",INDEX('Game Records'!$U:$U,$H61)&lt;&gt;"Disqualified — Free Game",INDEX('Game Records'!$I:$I,$H61)=""),"Eligible Players; ","")&amp;IF(AND(INDEX('Game Records'!$U:$U,$H61)&lt;&gt;"Subscription",INDEX('Game Records'!$U:$U,$H61)&lt;&gt;"Free Game",INDEX('Game Records'!$U:$U,$H61)&lt;&gt;"Disqualified — Free Game",INDEX('Game Records'!$J:$J,$H61)=""),"Total Players; ","")&amp;IF(AND(LOWER(INDEX('Game Records'!$D:$D,$H61)&amp;"")="finalized",LOWER(INDEX('Game Records'!$L:$L,$H61)&amp;"")&lt;&gt;"yes",INDEX('Game Records'!$U:$U,$H61)&lt;&gt;"Subscription",INDEX('Game Records'!$U:$U,$H61)&lt;&gt;"Free Game",INDEX('Game Records'!$U:$U,$H61)&lt;&gt;"Disqualified — Free Game",INDEX('Game Records'!$K:$K,$H61)=""),"Final Earned; ","")&amp;IF(AND(LOWER(INDEX('Game Records'!$D:$D,$H61)&amp;"")="finalized",INDEX('Game Records'!$U:$U,$H61)&lt;&gt;"Subscription",INDEX('Game Records'!$U:$U,$H61)&lt;&gt;"Free Game",INDEX('Game Records'!$U:$U,$H61)&lt;&gt;"Disqualified — Free Game",OR(INDEX('Game Records'!$L:$L,$H61)="",LOWER(INDEX('Game Records'!$L:$L,$H61)&amp;"")="n/a")),"Disqualified Status; ","")&amp;IF(AND(OR(LOWER(TRIM(INDEX('Game Records'!$F:$F,$H61)&amp;""))="free game",INDEX('Game Records'!$U:$U,$H61)="Free Game",INDEX('Game Records'!$U:$U,$H61)="Disqualified — Free Game"),N(INDEX('Game Records'!$H:$H,$H61))&lt;&gt;0),"Free Game has a non-zero Entry Fee. Free Game records require a $0 Entry Fee; ",""))</f>
        <v/>
      </c>
      <c r="G61" s="331" t="str">
        <f>IF($H61="","",IFERROR(INDEX('Game Records'!$M:$M,$H61),""))</f>
        <v/>
      </c>
      <c r="H61" s="104" t="str">
        <f>IF($H60="","",IFERROR(MATCH(1,INDEX((ROW('Game Records'!$U$5:$U$504)&gt;$H60)*(('Game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1" s="104"/>
      <c r="J61" s="104"/>
    </row>
    <row r="62" ht="24" hidden="0" customHeight="1">
      <c r="A62" s="332" t="str">
        <f>IF($H62="","",ROWS($A$5:A62))</f>
        <v/>
      </c>
      <c r="B62" s="332" t="str">
        <f>IF($H62="","","G-"&amp;TEXT($A62,"0000"))</f>
        <v/>
      </c>
      <c r="C62" s="331" t="str">
        <f>IF($H62="","",IFERROR(INDEX('Game Records'!$A:$A,$H62),""))</f>
        <v/>
      </c>
      <c r="D62" s="331" t="str">
        <f>IF($H62="","",IFERROR(INDEX('Game Records'!$U:$U,$H62),""))</f>
        <v/>
      </c>
      <c r="E62" s="331" t="str">
        <f>IF($H62="","",IF($F62="","No Highlighted Fields","Highlighted Fields Present"))</f>
        <v/>
      </c>
      <c r="F62" s="331" t="str">
        <f>IF($H62="","",IF(OR(NOT(ISFORMULA(INDEX('Game Records'!$N:$N,$H62))),NOT(ISFORMULA(INDEX('Game Records'!$O:$O,$H62))),NOT(ISFORMULA(INDEX('Game Records'!$P:$P,$H62))),NOT(ISFORMULA(INDEX('Game Records'!$Q:$Q,$H62))),NOT(ISFORMULA(INDEX('Game Records'!$R:$R,$H62))),NOT(ISFORMULA(INDEX('Game Records'!$S:$S,$H62))),NOT(ISFORMULA(INDEX('Game Records'!$T:$T,$H62))),NOT(ISFORMULA(INDEX('Game Records'!$U:$U,$H62))),NOT(ISFORMULA(INDEX('Game Records'!$V:$V,$H62))),NOT(ISFORMULA(INDEX('Game Records'!$W:$W,$H62))),NOT(ISFORMULA(INDEX('Game Records'!$X:$X,$H62))),NOT(ISFORMULA(INDEX('Game Records'!$Y:$Y,$H62))),NOT(ISFORMULA(INDEX('Game Records'!$Z:$Z,$H62)))),"Formula columns missing; ","")&amp;IF(INDEX('Game Records'!$B:$B,$H62)="","Start Date; ","")&amp;IF(INDEX('Game Records'!$C:$C,$H62)="","End Date; ","")&amp;IF(AND(INDEX('Game Records'!$U:$U,$H62)&lt;&gt;"Subscription",INDEX('Game Records'!$U:$U,$H62)&lt;&gt;"Free Game",INDEX('Game Records'!$U:$U,$H62)&lt;&gt;"Disqualified — Free Game",OR(INDEX('Game Records'!$D:$D,$H62)="",LOWER(INDEX('Game Records'!$D:$D,$H62)&amp;"")="n/a")),"Entry Mode; ","")&amp;IF(AND(INDEX('Game Records'!$U:$U,$H62)&lt;&gt;"Subscription",INDEX('Game Records'!$U:$U,$H62)&lt;&gt;"Free Game",INDEX('Game Records'!$U:$U,$H62)&lt;&gt;"Disqualified — Free Game",OR(INDEX('Game Records'!$E:$E,$H62)="",LOWER(INDEX('Game Records'!$E:$E,$H62)&amp;"")="n/a")),"Game Type; ","")&amp;IF(INDEX('Game Records'!$F:$F,$H62)="","Payment Type; ","")&amp;IF(AND(INDEX('Game Records'!$U:$U,$H62)&lt;&gt;"Subscription",INDEX('Game Records'!$U:$U,$H62)&lt;&gt;"Free Game",INDEX('Game Records'!$U:$U,$H62)&lt;&gt;"Disqualified — Free Game",INDEX('Game Records'!$G:$G,$H62)=""),"Gross Pot; ","")&amp;IF(AND(INDEX('Game Records'!$U:$U,$H62)&lt;&gt;"Free Game",INDEX('Game Records'!$U:$U,$H62)&lt;&gt;"Disqualified — Free Game",INDEX('Game Records'!$H:$H,$H62)=""),"Entry Fee; ","")&amp;IF(AND(INDEX('Game Records'!$U:$U,$H62)&lt;&gt;"Subscription",INDEX('Game Records'!$U:$U,$H62)&lt;&gt;"Free Game",INDEX('Game Records'!$U:$U,$H62)&lt;&gt;"Disqualified — Free Game",INDEX('Game Records'!$I:$I,$H62)=""),"Eligible Players; ","")&amp;IF(AND(INDEX('Game Records'!$U:$U,$H62)&lt;&gt;"Subscription",INDEX('Game Records'!$U:$U,$H62)&lt;&gt;"Free Game",INDEX('Game Records'!$U:$U,$H62)&lt;&gt;"Disqualified — Free Game",INDEX('Game Records'!$J:$J,$H62)=""),"Total Players; ","")&amp;IF(AND(LOWER(INDEX('Game Records'!$D:$D,$H62)&amp;"")="finalized",LOWER(INDEX('Game Records'!$L:$L,$H62)&amp;"")&lt;&gt;"yes",INDEX('Game Records'!$U:$U,$H62)&lt;&gt;"Subscription",INDEX('Game Records'!$U:$U,$H62)&lt;&gt;"Free Game",INDEX('Game Records'!$U:$U,$H62)&lt;&gt;"Disqualified — Free Game",INDEX('Game Records'!$K:$K,$H62)=""),"Final Earned; ","")&amp;IF(AND(LOWER(INDEX('Game Records'!$D:$D,$H62)&amp;"")="finalized",INDEX('Game Records'!$U:$U,$H62)&lt;&gt;"Subscription",INDEX('Game Records'!$U:$U,$H62)&lt;&gt;"Free Game",INDEX('Game Records'!$U:$U,$H62)&lt;&gt;"Disqualified — Free Game",OR(INDEX('Game Records'!$L:$L,$H62)="",LOWER(INDEX('Game Records'!$L:$L,$H62)&amp;"")="n/a")),"Disqualified Status; ","")&amp;IF(AND(OR(LOWER(TRIM(INDEX('Game Records'!$F:$F,$H62)&amp;""))="free game",INDEX('Game Records'!$U:$U,$H62)="Free Game",INDEX('Game Records'!$U:$U,$H62)="Disqualified — Free Game"),N(INDEX('Game Records'!$H:$H,$H62))&lt;&gt;0),"Free Game has a non-zero Entry Fee. Free Game records require a $0 Entry Fee; ",""))</f>
        <v/>
      </c>
      <c r="G62" s="331" t="str">
        <f>IF($H62="","",IFERROR(INDEX('Game Records'!$M:$M,$H62),""))</f>
        <v/>
      </c>
      <c r="H62" s="104" t="str">
        <f>IF($H61="","",IFERROR(MATCH(1,INDEX((ROW('Game Records'!$U$5:$U$504)&gt;$H61)*(('Game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2" s="104"/>
      <c r="J62" s="104"/>
    </row>
    <row r="63" ht="24" hidden="0" customHeight="1">
      <c r="A63" s="332" t="str">
        <f>IF($H63="","",ROWS($A$5:A63))</f>
        <v/>
      </c>
      <c r="B63" s="332" t="str">
        <f>IF($H63="","","G-"&amp;TEXT($A63,"0000"))</f>
        <v/>
      </c>
      <c r="C63" s="331" t="str">
        <f>IF($H63="","",IFERROR(INDEX('Game Records'!$A:$A,$H63),""))</f>
        <v/>
      </c>
      <c r="D63" s="331" t="str">
        <f>IF($H63="","",IFERROR(INDEX('Game Records'!$U:$U,$H63),""))</f>
        <v/>
      </c>
      <c r="E63" s="331" t="str">
        <f>IF($H63="","",IF($F63="","No Highlighted Fields","Highlighted Fields Present"))</f>
        <v/>
      </c>
      <c r="F63" s="331" t="str">
        <f>IF($H63="","",IF(OR(NOT(ISFORMULA(INDEX('Game Records'!$N:$N,$H63))),NOT(ISFORMULA(INDEX('Game Records'!$O:$O,$H63))),NOT(ISFORMULA(INDEX('Game Records'!$P:$P,$H63))),NOT(ISFORMULA(INDEX('Game Records'!$Q:$Q,$H63))),NOT(ISFORMULA(INDEX('Game Records'!$R:$R,$H63))),NOT(ISFORMULA(INDEX('Game Records'!$S:$S,$H63))),NOT(ISFORMULA(INDEX('Game Records'!$T:$T,$H63))),NOT(ISFORMULA(INDEX('Game Records'!$U:$U,$H63))),NOT(ISFORMULA(INDEX('Game Records'!$V:$V,$H63))),NOT(ISFORMULA(INDEX('Game Records'!$W:$W,$H63))),NOT(ISFORMULA(INDEX('Game Records'!$X:$X,$H63))),NOT(ISFORMULA(INDEX('Game Records'!$Y:$Y,$H63))),NOT(ISFORMULA(INDEX('Game Records'!$Z:$Z,$H63)))),"Formula columns missing; ","")&amp;IF(INDEX('Game Records'!$B:$B,$H63)="","Start Date; ","")&amp;IF(INDEX('Game Records'!$C:$C,$H63)="","End Date; ","")&amp;IF(AND(INDEX('Game Records'!$U:$U,$H63)&lt;&gt;"Subscription",INDEX('Game Records'!$U:$U,$H63)&lt;&gt;"Free Game",INDEX('Game Records'!$U:$U,$H63)&lt;&gt;"Disqualified — Free Game",OR(INDEX('Game Records'!$D:$D,$H63)="",LOWER(INDEX('Game Records'!$D:$D,$H63)&amp;"")="n/a")),"Entry Mode; ","")&amp;IF(AND(INDEX('Game Records'!$U:$U,$H63)&lt;&gt;"Subscription",INDEX('Game Records'!$U:$U,$H63)&lt;&gt;"Free Game",INDEX('Game Records'!$U:$U,$H63)&lt;&gt;"Disqualified — Free Game",OR(INDEX('Game Records'!$E:$E,$H63)="",LOWER(INDEX('Game Records'!$E:$E,$H63)&amp;"")="n/a")),"Game Type; ","")&amp;IF(INDEX('Game Records'!$F:$F,$H63)="","Payment Type; ","")&amp;IF(AND(INDEX('Game Records'!$U:$U,$H63)&lt;&gt;"Subscription",INDEX('Game Records'!$U:$U,$H63)&lt;&gt;"Free Game",INDEX('Game Records'!$U:$U,$H63)&lt;&gt;"Disqualified — Free Game",INDEX('Game Records'!$G:$G,$H63)=""),"Gross Pot; ","")&amp;IF(AND(INDEX('Game Records'!$U:$U,$H63)&lt;&gt;"Free Game",INDEX('Game Records'!$U:$U,$H63)&lt;&gt;"Disqualified — Free Game",INDEX('Game Records'!$H:$H,$H63)=""),"Entry Fee; ","")&amp;IF(AND(INDEX('Game Records'!$U:$U,$H63)&lt;&gt;"Subscription",INDEX('Game Records'!$U:$U,$H63)&lt;&gt;"Free Game",INDEX('Game Records'!$U:$U,$H63)&lt;&gt;"Disqualified — Free Game",INDEX('Game Records'!$I:$I,$H63)=""),"Eligible Players; ","")&amp;IF(AND(INDEX('Game Records'!$U:$U,$H63)&lt;&gt;"Subscription",INDEX('Game Records'!$U:$U,$H63)&lt;&gt;"Free Game",INDEX('Game Records'!$U:$U,$H63)&lt;&gt;"Disqualified — Free Game",INDEX('Game Records'!$J:$J,$H63)=""),"Total Players; ","")&amp;IF(AND(LOWER(INDEX('Game Records'!$D:$D,$H63)&amp;"")="finalized",LOWER(INDEX('Game Records'!$L:$L,$H63)&amp;"")&lt;&gt;"yes",INDEX('Game Records'!$U:$U,$H63)&lt;&gt;"Subscription",INDEX('Game Records'!$U:$U,$H63)&lt;&gt;"Free Game",INDEX('Game Records'!$U:$U,$H63)&lt;&gt;"Disqualified — Free Game",INDEX('Game Records'!$K:$K,$H63)=""),"Final Earned; ","")&amp;IF(AND(LOWER(INDEX('Game Records'!$D:$D,$H63)&amp;"")="finalized",INDEX('Game Records'!$U:$U,$H63)&lt;&gt;"Subscription",INDEX('Game Records'!$U:$U,$H63)&lt;&gt;"Free Game",INDEX('Game Records'!$U:$U,$H63)&lt;&gt;"Disqualified — Free Game",OR(INDEX('Game Records'!$L:$L,$H63)="",LOWER(INDEX('Game Records'!$L:$L,$H63)&amp;"")="n/a")),"Disqualified Status; ","")&amp;IF(AND(OR(LOWER(TRIM(INDEX('Game Records'!$F:$F,$H63)&amp;""))="free game",INDEX('Game Records'!$U:$U,$H63)="Free Game",INDEX('Game Records'!$U:$U,$H63)="Disqualified — Free Game"),N(INDEX('Game Records'!$H:$H,$H63))&lt;&gt;0),"Free Game has a non-zero Entry Fee. Free Game records require a $0 Entry Fee; ",""))</f>
        <v/>
      </c>
      <c r="G63" s="331" t="str">
        <f>IF($H63="","",IFERROR(INDEX('Game Records'!$M:$M,$H63),""))</f>
        <v/>
      </c>
      <c r="H63" s="104" t="str">
        <f>IF($H62="","",IFERROR(MATCH(1,INDEX((ROW('Game Records'!$U$5:$U$504)&gt;$H62)*(('Game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3" s="104"/>
      <c r="J63" s="104"/>
    </row>
    <row r="64" ht="24" hidden="0" customHeight="1">
      <c r="A64" s="332" t="str">
        <f>IF($H64="","",ROWS($A$5:A64))</f>
        <v/>
      </c>
      <c r="B64" s="332" t="str">
        <f>IF($H64="","","G-"&amp;TEXT($A64,"0000"))</f>
        <v/>
      </c>
      <c r="C64" s="331" t="str">
        <f>IF($H64="","",IFERROR(INDEX('Game Records'!$A:$A,$H64),""))</f>
        <v/>
      </c>
      <c r="D64" s="331" t="str">
        <f>IF($H64="","",IFERROR(INDEX('Game Records'!$U:$U,$H64),""))</f>
        <v/>
      </c>
      <c r="E64" s="331" t="str">
        <f>IF($H64="","",IF($F64="","No Highlighted Fields","Highlighted Fields Present"))</f>
        <v/>
      </c>
      <c r="F64" s="331" t="str">
        <f>IF($H64="","",IF(OR(NOT(ISFORMULA(INDEX('Game Records'!$N:$N,$H64))),NOT(ISFORMULA(INDEX('Game Records'!$O:$O,$H64))),NOT(ISFORMULA(INDEX('Game Records'!$P:$P,$H64))),NOT(ISFORMULA(INDEX('Game Records'!$Q:$Q,$H64))),NOT(ISFORMULA(INDEX('Game Records'!$R:$R,$H64))),NOT(ISFORMULA(INDEX('Game Records'!$S:$S,$H64))),NOT(ISFORMULA(INDEX('Game Records'!$T:$T,$H64))),NOT(ISFORMULA(INDEX('Game Records'!$U:$U,$H64))),NOT(ISFORMULA(INDEX('Game Records'!$V:$V,$H64))),NOT(ISFORMULA(INDEX('Game Records'!$W:$W,$H64))),NOT(ISFORMULA(INDEX('Game Records'!$X:$X,$H64))),NOT(ISFORMULA(INDEX('Game Records'!$Y:$Y,$H64))),NOT(ISFORMULA(INDEX('Game Records'!$Z:$Z,$H64)))),"Formula columns missing; ","")&amp;IF(INDEX('Game Records'!$B:$B,$H64)="","Start Date; ","")&amp;IF(INDEX('Game Records'!$C:$C,$H64)="","End Date; ","")&amp;IF(AND(INDEX('Game Records'!$U:$U,$H64)&lt;&gt;"Subscription",INDEX('Game Records'!$U:$U,$H64)&lt;&gt;"Free Game",INDEX('Game Records'!$U:$U,$H64)&lt;&gt;"Disqualified — Free Game",OR(INDEX('Game Records'!$D:$D,$H64)="",LOWER(INDEX('Game Records'!$D:$D,$H64)&amp;"")="n/a")),"Entry Mode; ","")&amp;IF(AND(INDEX('Game Records'!$U:$U,$H64)&lt;&gt;"Subscription",INDEX('Game Records'!$U:$U,$H64)&lt;&gt;"Free Game",INDEX('Game Records'!$U:$U,$H64)&lt;&gt;"Disqualified — Free Game",OR(INDEX('Game Records'!$E:$E,$H64)="",LOWER(INDEX('Game Records'!$E:$E,$H64)&amp;"")="n/a")),"Game Type; ","")&amp;IF(INDEX('Game Records'!$F:$F,$H64)="","Payment Type; ","")&amp;IF(AND(INDEX('Game Records'!$U:$U,$H64)&lt;&gt;"Subscription",INDEX('Game Records'!$U:$U,$H64)&lt;&gt;"Free Game",INDEX('Game Records'!$U:$U,$H64)&lt;&gt;"Disqualified — Free Game",INDEX('Game Records'!$G:$G,$H64)=""),"Gross Pot; ","")&amp;IF(AND(INDEX('Game Records'!$U:$U,$H64)&lt;&gt;"Free Game",INDEX('Game Records'!$U:$U,$H64)&lt;&gt;"Disqualified — Free Game",INDEX('Game Records'!$H:$H,$H64)=""),"Entry Fee; ","")&amp;IF(AND(INDEX('Game Records'!$U:$U,$H64)&lt;&gt;"Subscription",INDEX('Game Records'!$U:$U,$H64)&lt;&gt;"Free Game",INDEX('Game Records'!$U:$U,$H64)&lt;&gt;"Disqualified — Free Game",INDEX('Game Records'!$I:$I,$H64)=""),"Eligible Players; ","")&amp;IF(AND(INDEX('Game Records'!$U:$U,$H64)&lt;&gt;"Subscription",INDEX('Game Records'!$U:$U,$H64)&lt;&gt;"Free Game",INDEX('Game Records'!$U:$U,$H64)&lt;&gt;"Disqualified — Free Game",INDEX('Game Records'!$J:$J,$H64)=""),"Total Players; ","")&amp;IF(AND(LOWER(INDEX('Game Records'!$D:$D,$H64)&amp;"")="finalized",LOWER(INDEX('Game Records'!$L:$L,$H64)&amp;"")&lt;&gt;"yes",INDEX('Game Records'!$U:$U,$H64)&lt;&gt;"Subscription",INDEX('Game Records'!$U:$U,$H64)&lt;&gt;"Free Game",INDEX('Game Records'!$U:$U,$H64)&lt;&gt;"Disqualified — Free Game",INDEX('Game Records'!$K:$K,$H64)=""),"Final Earned; ","")&amp;IF(AND(LOWER(INDEX('Game Records'!$D:$D,$H64)&amp;"")="finalized",INDEX('Game Records'!$U:$U,$H64)&lt;&gt;"Subscription",INDEX('Game Records'!$U:$U,$H64)&lt;&gt;"Free Game",INDEX('Game Records'!$U:$U,$H64)&lt;&gt;"Disqualified — Free Game",OR(INDEX('Game Records'!$L:$L,$H64)="",LOWER(INDEX('Game Records'!$L:$L,$H64)&amp;"")="n/a")),"Disqualified Status; ","")&amp;IF(AND(OR(LOWER(TRIM(INDEX('Game Records'!$F:$F,$H64)&amp;""))="free game",INDEX('Game Records'!$U:$U,$H64)="Free Game",INDEX('Game Records'!$U:$U,$H64)="Disqualified — Free Game"),N(INDEX('Game Records'!$H:$H,$H64))&lt;&gt;0),"Free Game has a non-zero Entry Fee. Free Game records require a $0 Entry Fee; ",""))</f>
        <v/>
      </c>
      <c r="G64" s="331" t="str">
        <f>IF($H64="","",IFERROR(INDEX('Game Records'!$M:$M,$H64),""))</f>
        <v/>
      </c>
      <c r="H64" s="104" t="str">
        <f>IF($H63="","",IFERROR(MATCH(1,INDEX((ROW('Game Records'!$U$5:$U$504)&gt;$H63)*(('Game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4" s="104"/>
      <c r="J64" s="104"/>
    </row>
    <row r="65" ht="24" hidden="0" customHeight="1">
      <c r="A65" s="332" t="str">
        <f>IF($H65="","",ROWS($A$5:A65))</f>
        <v/>
      </c>
      <c r="B65" s="332" t="str">
        <f>IF($H65="","","G-"&amp;TEXT($A65,"0000"))</f>
        <v/>
      </c>
      <c r="C65" s="331" t="str">
        <f>IF($H65="","",IFERROR(INDEX('Game Records'!$A:$A,$H65),""))</f>
        <v/>
      </c>
      <c r="D65" s="331" t="str">
        <f>IF($H65="","",IFERROR(INDEX('Game Records'!$U:$U,$H65),""))</f>
        <v/>
      </c>
      <c r="E65" s="331" t="str">
        <f>IF($H65="","",IF($F65="","No Highlighted Fields","Highlighted Fields Present"))</f>
        <v/>
      </c>
      <c r="F65" s="331" t="str">
        <f>IF($H65="","",IF(OR(NOT(ISFORMULA(INDEX('Game Records'!$N:$N,$H65))),NOT(ISFORMULA(INDEX('Game Records'!$O:$O,$H65))),NOT(ISFORMULA(INDEX('Game Records'!$P:$P,$H65))),NOT(ISFORMULA(INDEX('Game Records'!$Q:$Q,$H65))),NOT(ISFORMULA(INDEX('Game Records'!$R:$R,$H65))),NOT(ISFORMULA(INDEX('Game Records'!$S:$S,$H65))),NOT(ISFORMULA(INDEX('Game Records'!$T:$T,$H65))),NOT(ISFORMULA(INDEX('Game Records'!$U:$U,$H65))),NOT(ISFORMULA(INDEX('Game Records'!$V:$V,$H65))),NOT(ISFORMULA(INDEX('Game Records'!$W:$W,$H65))),NOT(ISFORMULA(INDEX('Game Records'!$X:$X,$H65))),NOT(ISFORMULA(INDEX('Game Records'!$Y:$Y,$H65))),NOT(ISFORMULA(INDEX('Game Records'!$Z:$Z,$H65)))),"Formula columns missing; ","")&amp;IF(INDEX('Game Records'!$B:$B,$H65)="","Start Date; ","")&amp;IF(INDEX('Game Records'!$C:$C,$H65)="","End Date; ","")&amp;IF(AND(INDEX('Game Records'!$U:$U,$H65)&lt;&gt;"Subscription",INDEX('Game Records'!$U:$U,$H65)&lt;&gt;"Free Game",INDEX('Game Records'!$U:$U,$H65)&lt;&gt;"Disqualified — Free Game",OR(INDEX('Game Records'!$D:$D,$H65)="",LOWER(INDEX('Game Records'!$D:$D,$H65)&amp;"")="n/a")),"Entry Mode; ","")&amp;IF(AND(INDEX('Game Records'!$U:$U,$H65)&lt;&gt;"Subscription",INDEX('Game Records'!$U:$U,$H65)&lt;&gt;"Free Game",INDEX('Game Records'!$U:$U,$H65)&lt;&gt;"Disqualified — Free Game",OR(INDEX('Game Records'!$E:$E,$H65)="",LOWER(INDEX('Game Records'!$E:$E,$H65)&amp;"")="n/a")),"Game Type; ","")&amp;IF(INDEX('Game Records'!$F:$F,$H65)="","Payment Type; ","")&amp;IF(AND(INDEX('Game Records'!$U:$U,$H65)&lt;&gt;"Subscription",INDEX('Game Records'!$U:$U,$H65)&lt;&gt;"Free Game",INDEX('Game Records'!$U:$U,$H65)&lt;&gt;"Disqualified — Free Game",INDEX('Game Records'!$G:$G,$H65)=""),"Gross Pot; ","")&amp;IF(AND(INDEX('Game Records'!$U:$U,$H65)&lt;&gt;"Free Game",INDEX('Game Records'!$U:$U,$H65)&lt;&gt;"Disqualified — Free Game",INDEX('Game Records'!$H:$H,$H65)=""),"Entry Fee; ","")&amp;IF(AND(INDEX('Game Records'!$U:$U,$H65)&lt;&gt;"Subscription",INDEX('Game Records'!$U:$U,$H65)&lt;&gt;"Free Game",INDEX('Game Records'!$U:$U,$H65)&lt;&gt;"Disqualified — Free Game",INDEX('Game Records'!$I:$I,$H65)=""),"Eligible Players; ","")&amp;IF(AND(INDEX('Game Records'!$U:$U,$H65)&lt;&gt;"Subscription",INDEX('Game Records'!$U:$U,$H65)&lt;&gt;"Free Game",INDEX('Game Records'!$U:$U,$H65)&lt;&gt;"Disqualified — Free Game",INDEX('Game Records'!$J:$J,$H65)=""),"Total Players; ","")&amp;IF(AND(LOWER(INDEX('Game Records'!$D:$D,$H65)&amp;"")="finalized",LOWER(INDEX('Game Records'!$L:$L,$H65)&amp;"")&lt;&gt;"yes",INDEX('Game Records'!$U:$U,$H65)&lt;&gt;"Subscription",INDEX('Game Records'!$U:$U,$H65)&lt;&gt;"Free Game",INDEX('Game Records'!$U:$U,$H65)&lt;&gt;"Disqualified — Free Game",INDEX('Game Records'!$K:$K,$H65)=""),"Final Earned; ","")&amp;IF(AND(LOWER(INDEX('Game Records'!$D:$D,$H65)&amp;"")="finalized",INDEX('Game Records'!$U:$U,$H65)&lt;&gt;"Subscription",INDEX('Game Records'!$U:$U,$H65)&lt;&gt;"Free Game",INDEX('Game Records'!$U:$U,$H65)&lt;&gt;"Disqualified — Free Game",OR(INDEX('Game Records'!$L:$L,$H65)="",LOWER(INDEX('Game Records'!$L:$L,$H65)&amp;"")="n/a")),"Disqualified Status; ","")&amp;IF(AND(OR(LOWER(TRIM(INDEX('Game Records'!$F:$F,$H65)&amp;""))="free game",INDEX('Game Records'!$U:$U,$H65)="Free Game",INDEX('Game Records'!$U:$U,$H65)="Disqualified — Free Game"),N(INDEX('Game Records'!$H:$H,$H65))&lt;&gt;0),"Free Game has a non-zero Entry Fee. Free Game records require a $0 Entry Fee; ",""))</f>
        <v/>
      </c>
      <c r="G65" s="331" t="str">
        <f>IF($H65="","",IFERROR(INDEX('Game Records'!$M:$M,$H65),""))</f>
        <v/>
      </c>
      <c r="H65" s="104" t="str">
        <f>IF($H64="","",IFERROR(MATCH(1,INDEX((ROW('Game Records'!$U$5:$U$504)&gt;$H64)*(('Game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5" s="104"/>
      <c r="J65" s="104"/>
    </row>
    <row r="66" ht="24" hidden="0" customHeight="1">
      <c r="A66" s="332" t="str">
        <f>IF($H66="","",ROWS($A$5:A66))</f>
        <v/>
      </c>
      <c r="B66" s="332" t="str">
        <f>IF($H66="","","G-"&amp;TEXT($A66,"0000"))</f>
        <v/>
      </c>
      <c r="C66" s="331" t="str">
        <f>IF($H66="","",IFERROR(INDEX('Game Records'!$A:$A,$H66),""))</f>
        <v/>
      </c>
      <c r="D66" s="331" t="str">
        <f>IF($H66="","",IFERROR(INDEX('Game Records'!$U:$U,$H66),""))</f>
        <v/>
      </c>
      <c r="E66" s="331" t="str">
        <f>IF($H66="","",IF($F66="","No Highlighted Fields","Highlighted Fields Present"))</f>
        <v/>
      </c>
      <c r="F66" s="331" t="str">
        <f>IF($H66="","",IF(OR(NOT(ISFORMULA(INDEX('Game Records'!$N:$N,$H66))),NOT(ISFORMULA(INDEX('Game Records'!$O:$O,$H66))),NOT(ISFORMULA(INDEX('Game Records'!$P:$P,$H66))),NOT(ISFORMULA(INDEX('Game Records'!$Q:$Q,$H66))),NOT(ISFORMULA(INDEX('Game Records'!$R:$R,$H66))),NOT(ISFORMULA(INDEX('Game Records'!$S:$S,$H66))),NOT(ISFORMULA(INDEX('Game Records'!$T:$T,$H66))),NOT(ISFORMULA(INDEX('Game Records'!$U:$U,$H66))),NOT(ISFORMULA(INDEX('Game Records'!$V:$V,$H66))),NOT(ISFORMULA(INDEX('Game Records'!$W:$W,$H66))),NOT(ISFORMULA(INDEX('Game Records'!$X:$X,$H66))),NOT(ISFORMULA(INDEX('Game Records'!$Y:$Y,$H66))),NOT(ISFORMULA(INDEX('Game Records'!$Z:$Z,$H66)))),"Formula columns missing; ","")&amp;IF(INDEX('Game Records'!$B:$B,$H66)="","Start Date; ","")&amp;IF(INDEX('Game Records'!$C:$C,$H66)="","End Date; ","")&amp;IF(AND(INDEX('Game Records'!$U:$U,$H66)&lt;&gt;"Subscription",INDEX('Game Records'!$U:$U,$H66)&lt;&gt;"Free Game",INDEX('Game Records'!$U:$U,$H66)&lt;&gt;"Disqualified — Free Game",OR(INDEX('Game Records'!$D:$D,$H66)="",LOWER(INDEX('Game Records'!$D:$D,$H66)&amp;"")="n/a")),"Entry Mode; ","")&amp;IF(AND(INDEX('Game Records'!$U:$U,$H66)&lt;&gt;"Subscription",INDEX('Game Records'!$U:$U,$H66)&lt;&gt;"Free Game",INDEX('Game Records'!$U:$U,$H66)&lt;&gt;"Disqualified — Free Game",OR(INDEX('Game Records'!$E:$E,$H66)="",LOWER(INDEX('Game Records'!$E:$E,$H66)&amp;"")="n/a")),"Game Type; ","")&amp;IF(INDEX('Game Records'!$F:$F,$H66)="","Payment Type; ","")&amp;IF(AND(INDEX('Game Records'!$U:$U,$H66)&lt;&gt;"Subscription",INDEX('Game Records'!$U:$U,$H66)&lt;&gt;"Free Game",INDEX('Game Records'!$U:$U,$H66)&lt;&gt;"Disqualified — Free Game",INDEX('Game Records'!$G:$G,$H66)=""),"Gross Pot; ","")&amp;IF(AND(INDEX('Game Records'!$U:$U,$H66)&lt;&gt;"Free Game",INDEX('Game Records'!$U:$U,$H66)&lt;&gt;"Disqualified — Free Game",INDEX('Game Records'!$H:$H,$H66)=""),"Entry Fee; ","")&amp;IF(AND(INDEX('Game Records'!$U:$U,$H66)&lt;&gt;"Subscription",INDEX('Game Records'!$U:$U,$H66)&lt;&gt;"Free Game",INDEX('Game Records'!$U:$U,$H66)&lt;&gt;"Disqualified — Free Game",INDEX('Game Records'!$I:$I,$H66)=""),"Eligible Players; ","")&amp;IF(AND(INDEX('Game Records'!$U:$U,$H66)&lt;&gt;"Subscription",INDEX('Game Records'!$U:$U,$H66)&lt;&gt;"Free Game",INDEX('Game Records'!$U:$U,$H66)&lt;&gt;"Disqualified — Free Game",INDEX('Game Records'!$J:$J,$H66)=""),"Total Players; ","")&amp;IF(AND(LOWER(INDEX('Game Records'!$D:$D,$H66)&amp;"")="finalized",LOWER(INDEX('Game Records'!$L:$L,$H66)&amp;"")&lt;&gt;"yes",INDEX('Game Records'!$U:$U,$H66)&lt;&gt;"Subscription",INDEX('Game Records'!$U:$U,$H66)&lt;&gt;"Free Game",INDEX('Game Records'!$U:$U,$H66)&lt;&gt;"Disqualified — Free Game",INDEX('Game Records'!$K:$K,$H66)=""),"Final Earned; ","")&amp;IF(AND(LOWER(INDEX('Game Records'!$D:$D,$H66)&amp;"")="finalized",INDEX('Game Records'!$U:$U,$H66)&lt;&gt;"Subscription",INDEX('Game Records'!$U:$U,$H66)&lt;&gt;"Free Game",INDEX('Game Records'!$U:$U,$H66)&lt;&gt;"Disqualified — Free Game",OR(INDEX('Game Records'!$L:$L,$H66)="",LOWER(INDEX('Game Records'!$L:$L,$H66)&amp;"")="n/a")),"Disqualified Status; ","")&amp;IF(AND(OR(LOWER(TRIM(INDEX('Game Records'!$F:$F,$H66)&amp;""))="free game",INDEX('Game Records'!$U:$U,$H66)="Free Game",INDEX('Game Records'!$U:$U,$H66)="Disqualified — Free Game"),N(INDEX('Game Records'!$H:$H,$H66))&lt;&gt;0),"Free Game has a non-zero Entry Fee. Free Game records require a $0 Entry Fee; ",""))</f>
        <v/>
      </c>
      <c r="G66" s="331" t="str">
        <f>IF($H66="","",IFERROR(INDEX('Game Records'!$M:$M,$H66),""))</f>
        <v/>
      </c>
      <c r="H66" s="104" t="str">
        <f>IF($H65="","",IFERROR(MATCH(1,INDEX((ROW('Game Records'!$U$5:$U$504)&gt;$H65)*(('Game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6" s="104"/>
      <c r="J66" s="104"/>
    </row>
    <row r="67" ht="24" hidden="0" customHeight="1">
      <c r="A67" s="332" t="str">
        <f>IF($H67="","",ROWS($A$5:A67))</f>
        <v/>
      </c>
      <c r="B67" s="332" t="str">
        <f>IF($H67="","","G-"&amp;TEXT($A67,"0000"))</f>
        <v/>
      </c>
      <c r="C67" s="331" t="str">
        <f>IF($H67="","",IFERROR(INDEX('Game Records'!$A:$A,$H67),""))</f>
        <v/>
      </c>
      <c r="D67" s="331" t="str">
        <f>IF($H67="","",IFERROR(INDEX('Game Records'!$U:$U,$H67),""))</f>
        <v/>
      </c>
      <c r="E67" s="331" t="str">
        <f>IF($H67="","",IF($F67="","No Highlighted Fields","Highlighted Fields Present"))</f>
        <v/>
      </c>
      <c r="F67" s="331" t="str">
        <f>IF($H67="","",IF(OR(NOT(ISFORMULA(INDEX('Game Records'!$N:$N,$H67))),NOT(ISFORMULA(INDEX('Game Records'!$O:$O,$H67))),NOT(ISFORMULA(INDEX('Game Records'!$P:$P,$H67))),NOT(ISFORMULA(INDEX('Game Records'!$Q:$Q,$H67))),NOT(ISFORMULA(INDEX('Game Records'!$R:$R,$H67))),NOT(ISFORMULA(INDEX('Game Records'!$S:$S,$H67))),NOT(ISFORMULA(INDEX('Game Records'!$T:$T,$H67))),NOT(ISFORMULA(INDEX('Game Records'!$U:$U,$H67))),NOT(ISFORMULA(INDEX('Game Records'!$V:$V,$H67))),NOT(ISFORMULA(INDEX('Game Records'!$W:$W,$H67))),NOT(ISFORMULA(INDEX('Game Records'!$X:$X,$H67))),NOT(ISFORMULA(INDEX('Game Records'!$Y:$Y,$H67))),NOT(ISFORMULA(INDEX('Game Records'!$Z:$Z,$H67)))),"Formula columns missing; ","")&amp;IF(INDEX('Game Records'!$B:$B,$H67)="","Start Date; ","")&amp;IF(INDEX('Game Records'!$C:$C,$H67)="","End Date; ","")&amp;IF(AND(INDEX('Game Records'!$U:$U,$H67)&lt;&gt;"Subscription",INDEX('Game Records'!$U:$U,$H67)&lt;&gt;"Free Game",INDEX('Game Records'!$U:$U,$H67)&lt;&gt;"Disqualified — Free Game",OR(INDEX('Game Records'!$D:$D,$H67)="",LOWER(INDEX('Game Records'!$D:$D,$H67)&amp;"")="n/a")),"Entry Mode; ","")&amp;IF(AND(INDEX('Game Records'!$U:$U,$H67)&lt;&gt;"Subscription",INDEX('Game Records'!$U:$U,$H67)&lt;&gt;"Free Game",INDEX('Game Records'!$U:$U,$H67)&lt;&gt;"Disqualified — Free Game",OR(INDEX('Game Records'!$E:$E,$H67)="",LOWER(INDEX('Game Records'!$E:$E,$H67)&amp;"")="n/a")),"Game Type; ","")&amp;IF(INDEX('Game Records'!$F:$F,$H67)="","Payment Type; ","")&amp;IF(AND(INDEX('Game Records'!$U:$U,$H67)&lt;&gt;"Subscription",INDEX('Game Records'!$U:$U,$H67)&lt;&gt;"Free Game",INDEX('Game Records'!$U:$U,$H67)&lt;&gt;"Disqualified — Free Game",INDEX('Game Records'!$G:$G,$H67)=""),"Gross Pot; ","")&amp;IF(AND(INDEX('Game Records'!$U:$U,$H67)&lt;&gt;"Free Game",INDEX('Game Records'!$U:$U,$H67)&lt;&gt;"Disqualified — Free Game",INDEX('Game Records'!$H:$H,$H67)=""),"Entry Fee; ","")&amp;IF(AND(INDEX('Game Records'!$U:$U,$H67)&lt;&gt;"Subscription",INDEX('Game Records'!$U:$U,$H67)&lt;&gt;"Free Game",INDEX('Game Records'!$U:$U,$H67)&lt;&gt;"Disqualified — Free Game",INDEX('Game Records'!$I:$I,$H67)=""),"Eligible Players; ","")&amp;IF(AND(INDEX('Game Records'!$U:$U,$H67)&lt;&gt;"Subscription",INDEX('Game Records'!$U:$U,$H67)&lt;&gt;"Free Game",INDEX('Game Records'!$U:$U,$H67)&lt;&gt;"Disqualified — Free Game",INDEX('Game Records'!$J:$J,$H67)=""),"Total Players; ","")&amp;IF(AND(LOWER(INDEX('Game Records'!$D:$D,$H67)&amp;"")="finalized",LOWER(INDEX('Game Records'!$L:$L,$H67)&amp;"")&lt;&gt;"yes",INDEX('Game Records'!$U:$U,$H67)&lt;&gt;"Subscription",INDEX('Game Records'!$U:$U,$H67)&lt;&gt;"Free Game",INDEX('Game Records'!$U:$U,$H67)&lt;&gt;"Disqualified — Free Game",INDEX('Game Records'!$K:$K,$H67)=""),"Final Earned; ","")&amp;IF(AND(LOWER(INDEX('Game Records'!$D:$D,$H67)&amp;"")="finalized",INDEX('Game Records'!$U:$U,$H67)&lt;&gt;"Subscription",INDEX('Game Records'!$U:$U,$H67)&lt;&gt;"Free Game",INDEX('Game Records'!$U:$U,$H67)&lt;&gt;"Disqualified — Free Game",OR(INDEX('Game Records'!$L:$L,$H67)="",LOWER(INDEX('Game Records'!$L:$L,$H67)&amp;"")="n/a")),"Disqualified Status; ","")&amp;IF(AND(OR(LOWER(TRIM(INDEX('Game Records'!$F:$F,$H67)&amp;""))="free game",INDEX('Game Records'!$U:$U,$H67)="Free Game",INDEX('Game Records'!$U:$U,$H67)="Disqualified — Free Game"),N(INDEX('Game Records'!$H:$H,$H67))&lt;&gt;0),"Free Game has a non-zero Entry Fee. Free Game records require a $0 Entry Fee; ",""))</f>
        <v/>
      </c>
      <c r="G67" s="331" t="str">
        <f>IF($H67="","",IFERROR(INDEX('Game Records'!$M:$M,$H67),""))</f>
        <v/>
      </c>
      <c r="H67" s="104" t="str">
        <f>IF($H66="","",IFERROR(MATCH(1,INDEX((ROW('Game Records'!$U$5:$U$504)&gt;$H66)*(('Game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7" s="104"/>
      <c r="J67" s="104"/>
    </row>
    <row r="68" ht="24" hidden="0" customHeight="1">
      <c r="A68" s="332" t="str">
        <f>IF($H68="","",ROWS($A$5:A68))</f>
        <v/>
      </c>
      <c r="B68" s="332" t="str">
        <f>IF($H68="","","G-"&amp;TEXT($A68,"0000"))</f>
        <v/>
      </c>
      <c r="C68" s="331" t="str">
        <f>IF($H68="","",IFERROR(INDEX('Game Records'!$A:$A,$H68),""))</f>
        <v/>
      </c>
      <c r="D68" s="331" t="str">
        <f>IF($H68="","",IFERROR(INDEX('Game Records'!$U:$U,$H68),""))</f>
        <v/>
      </c>
      <c r="E68" s="331" t="str">
        <f>IF($H68="","",IF($F68="","No Highlighted Fields","Highlighted Fields Present"))</f>
        <v/>
      </c>
      <c r="F68" s="331" t="str">
        <f>IF($H68="","",IF(OR(NOT(ISFORMULA(INDEX('Game Records'!$N:$N,$H68))),NOT(ISFORMULA(INDEX('Game Records'!$O:$O,$H68))),NOT(ISFORMULA(INDEX('Game Records'!$P:$P,$H68))),NOT(ISFORMULA(INDEX('Game Records'!$Q:$Q,$H68))),NOT(ISFORMULA(INDEX('Game Records'!$R:$R,$H68))),NOT(ISFORMULA(INDEX('Game Records'!$S:$S,$H68))),NOT(ISFORMULA(INDEX('Game Records'!$T:$T,$H68))),NOT(ISFORMULA(INDEX('Game Records'!$U:$U,$H68))),NOT(ISFORMULA(INDEX('Game Records'!$V:$V,$H68))),NOT(ISFORMULA(INDEX('Game Records'!$W:$W,$H68))),NOT(ISFORMULA(INDEX('Game Records'!$X:$X,$H68))),NOT(ISFORMULA(INDEX('Game Records'!$Y:$Y,$H68))),NOT(ISFORMULA(INDEX('Game Records'!$Z:$Z,$H68)))),"Formula columns missing; ","")&amp;IF(INDEX('Game Records'!$B:$B,$H68)="","Start Date; ","")&amp;IF(INDEX('Game Records'!$C:$C,$H68)="","End Date; ","")&amp;IF(AND(INDEX('Game Records'!$U:$U,$H68)&lt;&gt;"Subscription",INDEX('Game Records'!$U:$U,$H68)&lt;&gt;"Free Game",INDEX('Game Records'!$U:$U,$H68)&lt;&gt;"Disqualified — Free Game",OR(INDEX('Game Records'!$D:$D,$H68)="",LOWER(INDEX('Game Records'!$D:$D,$H68)&amp;"")="n/a")),"Entry Mode; ","")&amp;IF(AND(INDEX('Game Records'!$U:$U,$H68)&lt;&gt;"Subscription",INDEX('Game Records'!$U:$U,$H68)&lt;&gt;"Free Game",INDEX('Game Records'!$U:$U,$H68)&lt;&gt;"Disqualified — Free Game",OR(INDEX('Game Records'!$E:$E,$H68)="",LOWER(INDEX('Game Records'!$E:$E,$H68)&amp;"")="n/a")),"Game Type; ","")&amp;IF(INDEX('Game Records'!$F:$F,$H68)="","Payment Type; ","")&amp;IF(AND(INDEX('Game Records'!$U:$U,$H68)&lt;&gt;"Subscription",INDEX('Game Records'!$U:$U,$H68)&lt;&gt;"Free Game",INDEX('Game Records'!$U:$U,$H68)&lt;&gt;"Disqualified — Free Game",INDEX('Game Records'!$G:$G,$H68)=""),"Gross Pot; ","")&amp;IF(AND(INDEX('Game Records'!$U:$U,$H68)&lt;&gt;"Free Game",INDEX('Game Records'!$U:$U,$H68)&lt;&gt;"Disqualified — Free Game",INDEX('Game Records'!$H:$H,$H68)=""),"Entry Fee; ","")&amp;IF(AND(INDEX('Game Records'!$U:$U,$H68)&lt;&gt;"Subscription",INDEX('Game Records'!$U:$U,$H68)&lt;&gt;"Free Game",INDEX('Game Records'!$U:$U,$H68)&lt;&gt;"Disqualified — Free Game",INDEX('Game Records'!$I:$I,$H68)=""),"Eligible Players; ","")&amp;IF(AND(INDEX('Game Records'!$U:$U,$H68)&lt;&gt;"Subscription",INDEX('Game Records'!$U:$U,$H68)&lt;&gt;"Free Game",INDEX('Game Records'!$U:$U,$H68)&lt;&gt;"Disqualified — Free Game",INDEX('Game Records'!$J:$J,$H68)=""),"Total Players; ","")&amp;IF(AND(LOWER(INDEX('Game Records'!$D:$D,$H68)&amp;"")="finalized",LOWER(INDEX('Game Records'!$L:$L,$H68)&amp;"")&lt;&gt;"yes",INDEX('Game Records'!$U:$U,$H68)&lt;&gt;"Subscription",INDEX('Game Records'!$U:$U,$H68)&lt;&gt;"Free Game",INDEX('Game Records'!$U:$U,$H68)&lt;&gt;"Disqualified — Free Game",INDEX('Game Records'!$K:$K,$H68)=""),"Final Earned; ","")&amp;IF(AND(LOWER(INDEX('Game Records'!$D:$D,$H68)&amp;"")="finalized",INDEX('Game Records'!$U:$U,$H68)&lt;&gt;"Subscription",INDEX('Game Records'!$U:$U,$H68)&lt;&gt;"Free Game",INDEX('Game Records'!$U:$U,$H68)&lt;&gt;"Disqualified — Free Game",OR(INDEX('Game Records'!$L:$L,$H68)="",LOWER(INDEX('Game Records'!$L:$L,$H68)&amp;"")="n/a")),"Disqualified Status; ","")&amp;IF(AND(OR(LOWER(TRIM(INDEX('Game Records'!$F:$F,$H68)&amp;""))="free game",INDEX('Game Records'!$U:$U,$H68)="Free Game",INDEX('Game Records'!$U:$U,$H68)="Disqualified — Free Game"),N(INDEX('Game Records'!$H:$H,$H68))&lt;&gt;0),"Free Game has a non-zero Entry Fee. Free Game records require a $0 Entry Fee; ",""))</f>
        <v/>
      </c>
      <c r="G68" s="331" t="str">
        <f>IF($H68="","",IFERROR(INDEX('Game Records'!$M:$M,$H68),""))</f>
        <v/>
      </c>
      <c r="H68" s="104" t="str">
        <f>IF($H67="","",IFERROR(MATCH(1,INDEX((ROW('Game Records'!$U$5:$U$504)&gt;$H67)*(('Game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8" s="104"/>
      <c r="J68" s="104"/>
    </row>
    <row r="69" ht="24" hidden="0" customHeight="1">
      <c r="A69" s="332" t="str">
        <f>IF($H69="","",ROWS($A$5:A69))</f>
        <v/>
      </c>
      <c r="B69" s="332" t="str">
        <f>IF($H69="","","G-"&amp;TEXT($A69,"0000"))</f>
        <v/>
      </c>
      <c r="C69" s="331" t="str">
        <f>IF($H69="","",IFERROR(INDEX('Game Records'!$A:$A,$H69),""))</f>
        <v/>
      </c>
      <c r="D69" s="331" t="str">
        <f>IF($H69="","",IFERROR(INDEX('Game Records'!$U:$U,$H69),""))</f>
        <v/>
      </c>
      <c r="E69" s="331" t="str">
        <f>IF($H69="","",IF($F69="","No Highlighted Fields","Highlighted Fields Present"))</f>
        <v/>
      </c>
      <c r="F69" s="331" t="str">
        <f>IF($H69="","",IF(OR(NOT(ISFORMULA(INDEX('Game Records'!$N:$N,$H69))),NOT(ISFORMULA(INDEX('Game Records'!$O:$O,$H69))),NOT(ISFORMULA(INDEX('Game Records'!$P:$P,$H69))),NOT(ISFORMULA(INDEX('Game Records'!$Q:$Q,$H69))),NOT(ISFORMULA(INDEX('Game Records'!$R:$R,$H69))),NOT(ISFORMULA(INDEX('Game Records'!$S:$S,$H69))),NOT(ISFORMULA(INDEX('Game Records'!$T:$T,$H69))),NOT(ISFORMULA(INDEX('Game Records'!$U:$U,$H69))),NOT(ISFORMULA(INDEX('Game Records'!$V:$V,$H69))),NOT(ISFORMULA(INDEX('Game Records'!$W:$W,$H69))),NOT(ISFORMULA(INDEX('Game Records'!$X:$X,$H69))),NOT(ISFORMULA(INDEX('Game Records'!$Y:$Y,$H69))),NOT(ISFORMULA(INDEX('Game Records'!$Z:$Z,$H69)))),"Formula columns missing; ","")&amp;IF(INDEX('Game Records'!$B:$B,$H69)="","Start Date; ","")&amp;IF(INDEX('Game Records'!$C:$C,$H69)="","End Date; ","")&amp;IF(AND(INDEX('Game Records'!$U:$U,$H69)&lt;&gt;"Subscription",INDEX('Game Records'!$U:$U,$H69)&lt;&gt;"Free Game",INDEX('Game Records'!$U:$U,$H69)&lt;&gt;"Disqualified — Free Game",OR(INDEX('Game Records'!$D:$D,$H69)="",LOWER(INDEX('Game Records'!$D:$D,$H69)&amp;"")="n/a")),"Entry Mode; ","")&amp;IF(AND(INDEX('Game Records'!$U:$U,$H69)&lt;&gt;"Subscription",INDEX('Game Records'!$U:$U,$H69)&lt;&gt;"Free Game",INDEX('Game Records'!$U:$U,$H69)&lt;&gt;"Disqualified — Free Game",OR(INDEX('Game Records'!$E:$E,$H69)="",LOWER(INDEX('Game Records'!$E:$E,$H69)&amp;"")="n/a")),"Game Type; ","")&amp;IF(INDEX('Game Records'!$F:$F,$H69)="","Payment Type; ","")&amp;IF(AND(INDEX('Game Records'!$U:$U,$H69)&lt;&gt;"Subscription",INDEX('Game Records'!$U:$U,$H69)&lt;&gt;"Free Game",INDEX('Game Records'!$U:$U,$H69)&lt;&gt;"Disqualified — Free Game",INDEX('Game Records'!$G:$G,$H69)=""),"Gross Pot; ","")&amp;IF(AND(INDEX('Game Records'!$U:$U,$H69)&lt;&gt;"Free Game",INDEX('Game Records'!$U:$U,$H69)&lt;&gt;"Disqualified — Free Game",INDEX('Game Records'!$H:$H,$H69)=""),"Entry Fee; ","")&amp;IF(AND(INDEX('Game Records'!$U:$U,$H69)&lt;&gt;"Subscription",INDEX('Game Records'!$U:$U,$H69)&lt;&gt;"Free Game",INDEX('Game Records'!$U:$U,$H69)&lt;&gt;"Disqualified — Free Game",INDEX('Game Records'!$I:$I,$H69)=""),"Eligible Players; ","")&amp;IF(AND(INDEX('Game Records'!$U:$U,$H69)&lt;&gt;"Subscription",INDEX('Game Records'!$U:$U,$H69)&lt;&gt;"Free Game",INDEX('Game Records'!$U:$U,$H69)&lt;&gt;"Disqualified — Free Game",INDEX('Game Records'!$J:$J,$H69)=""),"Total Players; ","")&amp;IF(AND(LOWER(INDEX('Game Records'!$D:$D,$H69)&amp;"")="finalized",LOWER(INDEX('Game Records'!$L:$L,$H69)&amp;"")&lt;&gt;"yes",INDEX('Game Records'!$U:$U,$H69)&lt;&gt;"Subscription",INDEX('Game Records'!$U:$U,$H69)&lt;&gt;"Free Game",INDEX('Game Records'!$U:$U,$H69)&lt;&gt;"Disqualified — Free Game",INDEX('Game Records'!$K:$K,$H69)=""),"Final Earned; ","")&amp;IF(AND(LOWER(INDEX('Game Records'!$D:$D,$H69)&amp;"")="finalized",INDEX('Game Records'!$U:$U,$H69)&lt;&gt;"Subscription",INDEX('Game Records'!$U:$U,$H69)&lt;&gt;"Free Game",INDEX('Game Records'!$U:$U,$H69)&lt;&gt;"Disqualified — Free Game",OR(INDEX('Game Records'!$L:$L,$H69)="",LOWER(INDEX('Game Records'!$L:$L,$H69)&amp;"")="n/a")),"Disqualified Status; ","")&amp;IF(AND(OR(LOWER(TRIM(INDEX('Game Records'!$F:$F,$H69)&amp;""))="free game",INDEX('Game Records'!$U:$U,$H69)="Free Game",INDEX('Game Records'!$U:$U,$H69)="Disqualified — Free Game"),N(INDEX('Game Records'!$H:$H,$H69))&lt;&gt;0),"Free Game has a non-zero Entry Fee. Free Game records require a $0 Entry Fee; ",""))</f>
        <v/>
      </c>
      <c r="G69" s="331" t="str">
        <f>IF($H69="","",IFERROR(INDEX('Game Records'!$M:$M,$H69),""))</f>
        <v/>
      </c>
      <c r="H69" s="104" t="str">
        <f>IF($H68="","",IFERROR(MATCH(1,INDEX((ROW('Game Records'!$U$5:$U$504)&gt;$H68)*(('Game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9" s="104"/>
      <c r="J69" s="104"/>
    </row>
    <row r="70" ht="24" hidden="0" customHeight="1">
      <c r="A70" s="332" t="str">
        <f>IF($H70="","",ROWS($A$5:A70))</f>
        <v/>
      </c>
      <c r="B70" s="332" t="str">
        <f>IF($H70="","","G-"&amp;TEXT($A70,"0000"))</f>
        <v/>
      </c>
      <c r="C70" s="331" t="str">
        <f>IF($H70="","",IFERROR(INDEX('Game Records'!$A:$A,$H70),""))</f>
        <v/>
      </c>
      <c r="D70" s="331" t="str">
        <f>IF($H70="","",IFERROR(INDEX('Game Records'!$U:$U,$H70),""))</f>
        <v/>
      </c>
      <c r="E70" s="331" t="str">
        <f>IF($H70="","",IF($F70="","No Highlighted Fields","Highlighted Fields Present"))</f>
        <v/>
      </c>
      <c r="F70" s="331" t="str">
        <f>IF($H70="","",IF(OR(NOT(ISFORMULA(INDEX('Game Records'!$N:$N,$H70))),NOT(ISFORMULA(INDEX('Game Records'!$O:$O,$H70))),NOT(ISFORMULA(INDEX('Game Records'!$P:$P,$H70))),NOT(ISFORMULA(INDEX('Game Records'!$Q:$Q,$H70))),NOT(ISFORMULA(INDEX('Game Records'!$R:$R,$H70))),NOT(ISFORMULA(INDEX('Game Records'!$S:$S,$H70))),NOT(ISFORMULA(INDEX('Game Records'!$T:$T,$H70))),NOT(ISFORMULA(INDEX('Game Records'!$U:$U,$H70))),NOT(ISFORMULA(INDEX('Game Records'!$V:$V,$H70))),NOT(ISFORMULA(INDEX('Game Records'!$W:$W,$H70))),NOT(ISFORMULA(INDEX('Game Records'!$X:$X,$H70))),NOT(ISFORMULA(INDEX('Game Records'!$Y:$Y,$H70))),NOT(ISFORMULA(INDEX('Game Records'!$Z:$Z,$H70)))),"Formula columns missing; ","")&amp;IF(INDEX('Game Records'!$B:$B,$H70)="","Start Date; ","")&amp;IF(INDEX('Game Records'!$C:$C,$H70)="","End Date; ","")&amp;IF(AND(INDEX('Game Records'!$U:$U,$H70)&lt;&gt;"Subscription",INDEX('Game Records'!$U:$U,$H70)&lt;&gt;"Free Game",INDEX('Game Records'!$U:$U,$H70)&lt;&gt;"Disqualified — Free Game",OR(INDEX('Game Records'!$D:$D,$H70)="",LOWER(INDEX('Game Records'!$D:$D,$H70)&amp;"")="n/a")),"Entry Mode; ","")&amp;IF(AND(INDEX('Game Records'!$U:$U,$H70)&lt;&gt;"Subscription",INDEX('Game Records'!$U:$U,$H70)&lt;&gt;"Free Game",INDEX('Game Records'!$U:$U,$H70)&lt;&gt;"Disqualified — Free Game",OR(INDEX('Game Records'!$E:$E,$H70)="",LOWER(INDEX('Game Records'!$E:$E,$H70)&amp;"")="n/a")),"Game Type; ","")&amp;IF(INDEX('Game Records'!$F:$F,$H70)="","Payment Type; ","")&amp;IF(AND(INDEX('Game Records'!$U:$U,$H70)&lt;&gt;"Subscription",INDEX('Game Records'!$U:$U,$H70)&lt;&gt;"Free Game",INDEX('Game Records'!$U:$U,$H70)&lt;&gt;"Disqualified — Free Game",INDEX('Game Records'!$G:$G,$H70)=""),"Gross Pot; ","")&amp;IF(AND(INDEX('Game Records'!$U:$U,$H70)&lt;&gt;"Free Game",INDEX('Game Records'!$U:$U,$H70)&lt;&gt;"Disqualified — Free Game",INDEX('Game Records'!$H:$H,$H70)=""),"Entry Fee; ","")&amp;IF(AND(INDEX('Game Records'!$U:$U,$H70)&lt;&gt;"Subscription",INDEX('Game Records'!$U:$U,$H70)&lt;&gt;"Free Game",INDEX('Game Records'!$U:$U,$H70)&lt;&gt;"Disqualified — Free Game",INDEX('Game Records'!$I:$I,$H70)=""),"Eligible Players; ","")&amp;IF(AND(INDEX('Game Records'!$U:$U,$H70)&lt;&gt;"Subscription",INDEX('Game Records'!$U:$U,$H70)&lt;&gt;"Free Game",INDEX('Game Records'!$U:$U,$H70)&lt;&gt;"Disqualified — Free Game",INDEX('Game Records'!$J:$J,$H70)=""),"Total Players; ","")&amp;IF(AND(LOWER(INDEX('Game Records'!$D:$D,$H70)&amp;"")="finalized",LOWER(INDEX('Game Records'!$L:$L,$H70)&amp;"")&lt;&gt;"yes",INDEX('Game Records'!$U:$U,$H70)&lt;&gt;"Subscription",INDEX('Game Records'!$U:$U,$H70)&lt;&gt;"Free Game",INDEX('Game Records'!$U:$U,$H70)&lt;&gt;"Disqualified — Free Game",INDEX('Game Records'!$K:$K,$H70)=""),"Final Earned; ","")&amp;IF(AND(LOWER(INDEX('Game Records'!$D:$D,$H70)&amp;"")="finalized",INDEX('Game Records'!$U:$U,$H70)&lt;&gt;"Subscription",INDEX('Game Records'!$U:$U,$H70)&lt;&gt;"Free Game",INDEX('Game Records'!$U:$U,$H70)&lt;&gt;"Disqualified — Free Game",OR(INDEX('Game Records'!$L:$L,$H70)="",LOWER(INDEX('Game Records'!$L:$L,$H70)&amp;"")="n/a")),"Disqualified Status; ","")&amp;IF(AND(OR(LOWER(TRIM(INDEX('Game Records'!$F:$F,$H70)&amp;""))="free game",INDEX('Game Records'!$U:$U,$H70)="Free Game",INDEX('Game Records'!$U:$U,$H70)="Disqualified — Free Game"),N(INDEX('Game Records'!$H:$H,$H70))&lt;&gt;0),"Free Game has a non-zero Entry Fee. Free Game records require a $0 Entry Fee; ",""))</f>
        <v/>
      </c>
      <c r="G70" s="331" t="str">
        <f>IF($H70="","",IFERROR(INDEX('Game Records'!$M:$M,$H70),""))</f>
        <v/>
      </c>
      <c r="H70" s="104" t="str">
        <f>IF($H69="","",IFERROR(MATCH(1,INDEX((ROW('Game Records'!$U$5:$U$504)&gt;$H69)*(('Game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0" s="104"/>
      <c r="J70" s="104"/>
    </row>
    <row r="71" ht="24" hidden="0" customHeight="1">
      <c r="A71" s="332" t="str">
        <f>IF($H71="","",ROWS($A$5:A71))</f>
        <v/>
      </c>
      <c r="B71" s="332" t="str">
        <f>IF($H71="","","G-"&amp;TEXT($A71,"0000"))</f>
        <v/>
      </c>
      <c r="C71" s="331" t="str">
        <f>IF($H71="","",IFERROR(INDEX('Game Records'!$A:$A,$H71),""))</f>
        <v/>
      </c>
      <c r="D71" s="331" t="str">
        <f>IF($H71="","",IFERROR(INDEX('Game Records'!$U:$U,$H71),""))</f>
        <v/>
      </c>
      <c r="E71" s="331" t="str">
        <f>IF($H71="","",IF($F71="","No Highlighted Fields","Highlighted Fields Present"))</f>
        <v/>
      </c>
      <c r="F71" s="331" t="str">
        <f>IF($H71="","",IF(OR(NOT(ISFORMULA(INDEX('Game Records'!$N:$N,$H71))),NOT(ISFORMULA(INDEX('Game Records'!$O:$O,$H71))),NOT(ISFORMULA(INDEX('Game Records'!$P:$P,$H71))),NOT(ISFORMULA(INDEX('Game Records'!$Q:$Q,$H71))),NOT(ISFORMULA(INDEX('Game Records'!$R:$R,$H71))),NOT(ISFORMULA(INDEX('Game Records'!$S:$S,$H71))),NOT(ISFORMULA(INDEX('Game Records'!$T:$T,$H71))),NOT(ISFORMULA(INDEX('Game Records'!$U:$U,$H71))),NOT(ISFORMULA(INDEX('Game Records'!$V:$V,$H71))),NOT(ISFORMULA(INDEX('Game Records'!$W:$W,$H71))),NOT(ISFORMULA(INDEX('Game Records'!$X:$X,$H71))),NOT(ISFORMULA(INDEX('Game Records'!$Y:$Y,$H71))),NOT(ISFORMULA(INDEX('Game Records'!$Z:$Z,$H71)))),"Formula columns missing; ","")&amp;IF(INDEX('Game Records'!$B:$B,$H71)="","Start Date; ","")&amp;IF(INDEX('Game Records'!$C:$C,$H71)="","End Date; ","")&amp;IF(AND(INDEX('Game Records'!$U:$U,$H71)&lt;&gt;"Subscription",INDEX('Game Records'!$U:$U,$H71)&lt;&gt;"Free Game",INDEX('Game Records'!$U:$U,$H71)&lt;&gt;"Disqualified — Free Game",OR(INDEX('Game Records'!$D:$D,$H71)="",LOWER(INDEX('Game Records'!$D:$D,$H71)&amp;"")="n/a")),"Entry Mode; ","")&amp;IF(AND(INDEX('Game Records'!$U:$U,$H71)&lt;&gt;"Subscription",INDEX('Game Records'!$U:$U,$H71)&lt;&gt;"Free Game",INDEX('Game Records'!$U:$U,$H71)&lt;&gt;"Disqualified — Free Game",OR(INDEX('Game Records'!$E:$E,$H71)="",LOWER(INDEX('Game Records'!$E:$E,$H71)&amp;"")="n/a")),"Game Type; ","")&amp;IF(INDEX('Game Records'!$F:$F,$H71)="","Payment Type; ","")&amp;IF(AND(INDEX('Game Records'!$U:$U,$H71)&lt;&gt;"Subscription",INDEX('Game Records'!$U:$U,$H71)&lt;&gt;"Free Game",INDEX('Game Records'!$U:$U,$H71)&lt;&gt;"Disqualified — Free Game",INDEX('Game Records'!$G:$G,$H71)=""),"Gross Pot; ","")&amp;IF(AND(INDEX('Game Records'!$U:$U,$H71)&lt;&gt;"Free Game",INDEX('Game Records'!$U:$U,$H71)&lt;&gt;"Disqualified — Free Game",INDEX('Game Records'!$H:$H,$H71)=""),"Entry Fee; ","")&amp;IF(AND(INDEX('Game Records'!$U:$U,$H71)&lt;&gt;"Subscription",INDEX('Game Records'!$U:$U,$H71)&lt;&gt;"Free Game",INDEX('Game Records'!$U:$U,$H71)&lt;&gt;"Disqualified — Free Game",INDEX('Game Records'!$I:$I,$H71)=""),"Eligible Players; ","")&amp;IF(AND(INDEX('Game Records'!$U:$U,$H71)&lt;&gt;"Subscription",INDEX('Game Records'!$U:$U,$H71)&lt;&gt;"Free Game",INDEX('Game Records'!$U:$U,$H71)&lt;&gt;"Disqualified — Free Game",INDEX('Game Records'!$J:$J,$H71)=""),"Total Players; ","")&amp;IF(AND(LOWER(INDEX('Game Records'!$D:$D,$H71)&amp;"")="finalized",LOWER(INDEX('Game Records'!$L:$L,$H71)&amp;"")&lt;&gt;"yes",INDEX('Game Records'!$U:$U,$H71)&lt;&gt;"Subscription",INDEX('Game Records'!$U:$U,$H71)&lt;&gt;"Free Game",INDEX('Game Records'!$U:$U,$H71)&lt;&gt;"Disqualified — Free Game",INDEX('Game Records'!$K:$K,$H71)=""),"Final Earned; ","")&amp;IF(AND(LOWER(INDEX('Game Records'!$D:$D,$H71)&amp;"")="finalized",INDEX('Game Records'!$U:$U,$H71)&lt;&gt;"Subscription",INDEX('Game Records'!$U:$U,$H71)&lt;&gt;"Free Game",INDEX('Game Records'!$U:$U,$H71)&lt;&gt;"Disqualified — Free Game",OR(INDEX('Game Records'!$L:$L,$H71)="",LOWER(INDEX('Game Records'!$L:$L,$H71)&amp;"")="n/a")),"Disqualified Status; ","")&amp;IF(AND(OR(LOWER(TRIM(INDEX('Game Records'!$F:$F,$H71)&amp;""))="free game",INDEX('Game Records'!$U:$U,$H71)="Free Game",INDEX('Game Records'!$U:$U,$H71)="Disqualified — Free Game"),N(INDEX('Game Records'!$H:$H,$H71))&lt;&gt;0),"Free Game has a non-zero Entry Fee. Free Game records require a $0 Entry Fee; ",""))</f>
        <v/>
      </c>
      <c r="G71" s="331" t="str">
        <f>IF($H71="","",IFERROR(INDEX('Game Records'!$M:$M,$H71),""))</f>
        <v/>
      </c>
      <c r="H71" s="104" t="str">
        <f>IF($H70="","",IFERROR(MATCH(1,INDEX((ROW('Game Records'!$U$5:$U$504)&gt;$H70)*(('Game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1" s="104"/>
      <c r="J71" s="104"/>
    </row>
    <row r="72" ht="24" hidden="0" customHeight="1">
      <c r="A72" s="332" t="str">
        <f>IF($H72="","",ROWS($A$5:A72))</f>
        <v/>
      </c>
      <c r="B72" s="332" t="str">
        <f>IF($H72="","","G-"&amp;TEXT($A72,"0000"))</f>
        <v/>
      </c>
      <c r="C72" s="331" t="str">
        <f>IF($H72="","",IFERROR(INDEX('Game Records'!$A:$A,$H72),""))</f>
        <v/>
      </c>
      <c r="D72" s="331" t="str">
        <f>IF($H72="","",IFERROR(INDEX('Game Records'!$U:$U,$H72),""))</f>
        <v/>
      </c>
      <c r="E72" s="331" t="str">
        <f>IF($H72="","",IF($F72="","No Highlighted Fields","Highlighted Fields Present"))</f>
        <v/>
      </c>
      <c r="F72" s="331" t="str">
        <f>IF($H72="","",IF(OR(NOT(ISFORMULA(INDEX('Game Records'!$N:$N,$H72))),NOT(ISFORMULA(INDEX('Game Records'!$O:$O,$H72))),NOT(ISFORMULA(INDEX('Game Records'!$P:$P,$H72))),NOT(ISFORMULA(INDEX('Game Records'!$Q:$Q,$H72))),NOT(ISFORMULA(INDEX('Game Records'!$R:$R,$H72))),NOT(ISFORMULA(INDEX('Game Records'!$S:$S,$H72))),NOT(ISFORMULA(INDEX('Game Records'!$T:$T,$H72))),NOT(ISFORMULA(INDEX('Game Records'!$U:$U,$H72))),NOT(ISFORMULA(INDEX('Game Records'!$V:$V,$H72))),NOT(ISFORMULA(INDEX('Game Records'!$W:$W,$H72))),NOT(ISFORMULA(INDEX('Game Records'!$X:$X,$H72))),NOT(ISFORMULA(INDEX('Game Records'!$Y:$Y,$H72))),NOT(ISFORMULA(INDEX('Game Records'!$Z:$Z,$H72)))),"Formula columns missing; ","")&amp;IF(INDEX('Game Records'!$B:$B,$H72)="","Start Date; ","")&amp;IF(INDEX('Game Records'!$C:$C,$H72)="","End Date; ","")&amp;IF(AND(INDEX('Game Records'!$U:$U,$H72)&lt;&gt;"Subscription",INDEX('Game Records'!$U:$U,$H72)&lt;&gt;"Free Game",INDEX('Game Records'!$U:$U,$H72)&lt;&gt;"Disqualified — Free Game",OR(INDEX('Game Records'!$D:$D,$H72)="",LOWER(INDEX('Game Records'!$D:$D,$H72)&amp;"")="n/a")),"Entry Mode; ","")&amp;IF(AND(INDEX('Game Records'!$U:$U,$H72)&lt;&gt;"Subscription",INDEX('Game Records'!$U:$U,$H72)&lt;&gt;"Free Game",INDEX('Game Records'!$U:$U,$H72)&lt;&gt;"Disqualified — Free Game",OR(INDEX('Game Records'!$E:$E,$H72)="",LOWER(INDEX('Game Records'!$E:$E,$H72)&amp;"")="n/a")),"Game Type; ","")&amp;IF(INDEX('Game Records'!$F:$F,$H72)="","Payment Type; ","")&amp;IF(AND(INDEX('Game Records'!$U:$U,$H72)&lt;&gt;"Subscription",INDEX('Game Records'!$U:$U,$H72)&lt;&gt;"Free Game",INDEX('Game Records'!$U:$U,$H72)&lt;&gt;"Disqualified — Free Game",INDEX('Game Records'!$G:$G,$H72)=""),"Gross Pot; ","")&amp;IF(AND(INDEX('Game Records'!$U:$U,$H72)&lt;&gt;"Free Game",INDEX('Game Records'!$U:$U,$H72)&lt;&gt;"Disqualified — Free Game",INDEX('Game Records'!$H:$H,$H72)=""),"Entry Fee; ","")&amp;IF(AND(INDEX('Game Records'!$U:$U,$H72)&lt;&gt;"Subscription",INDEX('Game Records'!$U:$U,$H72)&lt;&gt;"Free Game",INDEX('Game Records'!$U:$U,$H72)&lt;&gt;"Disqualified — Free Game",INDEX('Game Records'!$I:$I,$H72)=""),"Eligible Players; ","")&amp;IF(AND(INDEX('Game Records'!$U:$U,$H72)&lt;&gt;"Subscription",INDEX('Game Records'!$U:$U,$H72)&lt;&gt;"Free Game",INDEX('Game Records'!$U:$U,$H72)&lt;&gt;"Disqualified — Free Game",INDEX('Game Records'!$J:$J,$H72)=""),"Total Players; ","")&amp;IF(AND(LOWER(INDEX('Game Records'!$D:$D,$H72)&amp;"")="finalized",LOWER(INDEX('Game Records'!$L:$L,$H72)&amp;"")&lt;&gt;"yes",INDEX('Game Records'!$U:$U,$H72)&lt;&gt;"Subscription",INDEX('Game Records'!$U:$U,$H72)&lt;&gt;"Free Game",INDEX('Game Records'!$U:$U,$H72)&lt;&gt;"Disqualified — Free Game",INDEX('Game Records'!$K:$K,$H72)=""),"Final Earned; ","")&amp;IF(AND(LOWER(INDEX('Game Records'!$D:$D,$H72)&amp;"")="finalized",INDEX('Game Records'!$U:$U,$H72)&lt;&gt;"Subscription",INDEX('Game Records'!$U:$U,$H72)&lt;&gt;"Free Game",INDEX('Game Records'!$U:$U,$H72)&lt;&gt;"Disqualified — Free Game",OR(INDEX('Game Records'!$L:$L,$H72)="",LOWER(INDEX('Game Records'!$L:$L,$H72)&amp;"")="n/a")),"Disqualified Status; ","")&amp;IF(AND(OR(LOWER(TRIM(INDEX('Game Records'!$F:$F,$H72)&amp;""))="free game",INDEX('Game Records'!$U:$U,$H72)="Free Game",INDEX('Game Records'!$U:$U,$H72)="Disqualified — Free Game"),N(INDEX('Game Records'!$H:$H,$H72))&lt;&gt;0),"Free Game has a non-zero Entry Fee. Free Game records require a $0 Entry Fee; ",""))</f>
        <v/>
      </c>
      <c r="G72" s="331" t="str">
        <f>IF($H72="","",IFERROR(INDEX('Game Records'!$M:$M,$H72),""))</f>
        <v/>
      </c>
      <c r="H72" s="104" t="str">
        <f>IF($H71="","",IFERROR(MATCH(1,INDEX((ROW('Game Records'!$U$5:$U$504)&gt;$H71)*(('Game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2" s="104"/>
      <c r="J72" s="104"/>
    </row>
    <row r="73" ht="24" hidden="0" customHeight="1">
      <c r="A73" s="332" t="str">
        <f>IF($H73="","",ROWS($A$5:A73))</f>
        <v/>
      </c>
      <c r="B73" s="332" t="str">
        <f>IF($H73="","","G-"&amp;TEXT($A73,"0000"))</f>
        <v/>
      </c>
      <c r="C73" s="331" t="str">
        <f>IF($H73="","",IFERROR(INDEX('Game Records'!$A:$A,$H73),""))</f>
        <v/>
      </c>
      <c r="D73" s="331" t="str">
        <f>IF($H73="","",IFERROR(INDEX('Game Records'!$U:$U,$H73),""))</f>
        <v/>
      </c>
      <c r="E73" s="331" t="str">
        <f>IF($H73="","",IF($F73="","No Highlighted Fields","Highlighted Fields Present"))</f>
        <v/>
      </c>
      <c r="F73" s="331" t="str">
        <f>IF($H73="","",IF(OR(NOT(ISFORMULA(INDEX('Game Records'!$N:$N,$H73))),NOT(ISFORMULA(INDEX('Game Records'!$O:$O,$H73))),NOT(ISFORMULA(INDEX('Game Records'!$P:$P,$H73))),NOT(ISFORMULA(INDEX('Game Records'!$Q:$Q,$H73))),NOT(ISFORMULA(INDEX('Game Records'!$R:$R,$H73))),NOT(ISFORMULA(INDEX('Game Records'!$S:$S,$H73))),NOT(ISFORMULA(INDEX('Game Records'!$T:$T,$H73))),NOT(ISFORMULA(INDEX('Game Records'!$U:$U,$H73))),NOT(ISFORMULA(INDEX('Game Records'!$V:$V,$H73))),NOT(ISFORMULA(INDEX('Game Records'!$W:$W,$H73))),NOT(ISFORMULA(INDEX('Game Records'!$X:$X,$H73))),NOT(ISFORMULA(INDEX('Game Records'!$Y:$Y,$H73))),NOT(ISFORMULA(INDEX('Game Records'!$Z:$Z,$H73)))),"Formula columns missing; ","")&amp;IF(INDEX('Game Records'!$B:$B,$H73)="","Start Date; ","")&amp;IF(INDEX('Game Records'!$C:$C,$H73)="","End Date; ","")&amp;IF(AND(INDEX('Game Records'!$U:$U,$H73)&lt;&gt;"Subscription",INDEX('Game Records'!$U:$U,$H73)&lt;&gt;"Free Game",INDEX('Game Records'!$U:$U,$H73)&lt;&gt;"Disqualified — Free Game",OR(INDEX('Game Records'!$D:$D,$H73)="",LOWER(INDEX('Game Records'!$D:$D,$H73)&amp;"")="n/a")),"Entry Mode; ","")&amp;IF(AND(INDEX('Game Records'!$U:$U,$H73)&lt;&gt;"Subscription",INDEX('Game Records'!$U:$U,$H73)&lt;&gt;"Free Game",INDEX('Game Records'!$U:$U,$H73)&lt;&gt;"Disqualified — Free Game",OR(INDEX('Game Records'!$E:$E,$H73)="",LOWER(INDEX('Game Records'!$E:$E,$H73)&amp;"")="n/a")),"Game Type; ","")&amp;IF(INDEX('Game Records'!$F:$F,$H73)="","Payment Type; ","")&amp;IF(AND(INDEX('Game Records'!$U:$U,$H73)&lt;&gt;"Subscription",INDEX('Game Records'!$U:$U,$H73)&lt;&gt;"Free Game",INDEX('Game Records'!$U:$U,$H73)&lt;&gt;"Disqualified — Free Game",INDEX('Game Records'!$G:$G,$H73)=""),"Gross Pot; ","")&amp;IF(AND(INDEX('Game Records'!$U:$U,$H73)&lt;&gt;"Free Game",INDEX('Game Records'!$U:$U,$H73)&lt;&gt;"Disqualified — Free Game",INDEX('Game Records'!$H:$H,$H73)=""),"Entry Fee; ","")&amp;IF(AND(INDEX('Game Records'!$U:$U,$H73)&lt;&gt;"Subscription",INDEX('Game Records'!$U:$U,$H73)&lt;&gt;"Free Game",INDEX('Game Records'!$U:$U,$H73)&lt;&gt;"Disqualified — Free Game",INDEX('Game Records'!$I:$I,$H73)=""),"Eligible Players; ","")&amp;IF(AND(INDEX('Game Records'!$U:$U,$H73)&lt;&gt;"Subscription",INDEX('Game Records'!$U:$U,$H73)&lt;&gt;"Free Game",INDEX('Game Records'!$U:$U,$H73)&lt;&gt;"Disqualified — Free Game",INDEX('Game Records'!$J:$J,$H73)=""),"Total Players; ","")&amp;IF(AND(LOWER(INDEX('Game Records'!$D:$D,$H73)&amp;"")="finalized",LOWER(INDEX('Game Records'!$L:$L,$H73)&amp;"")&lt;&gt;"yes",INDEX('Game Records'!$U:$U,$H73)&lt;&gt;"Subscription",INDEX('Game Records'!$U:$U,$H73)&lt;&gt;"Free Game",INDEX('Game Records'!$U:$U,$H73)&lt;&gt;"Disqualified — Free Game",INDEX('Game Records'!$K:$K,$H73)=""),"Final Earned; ","")&amp;IF(AND(LOWER(INDEX('Game Records'!$D:$D,$H73)&amp;"")="finalized",INDEX('Game Records'!$U:$U,$H73)&lt;&gt;"Subscription",INDEX('Game Records'!$U:$U,$H73)&lt;&gt;"Free Game",INDEX('Game Records'!$U:$U,$H73)&lt;&gt;"Disqualified — Free Game",OR(INDEX('Game Records'!$L:$L,$H73)="",LOWER(INDEX('Game Records'!$L:$L,$H73)&amp;"")="n/a")),"Disqualified Status; ","")&amp;IF(AND(OR(LOWER(TRIM(INDEX('Game Records'!$F:$F,$H73)&amp;""))="free game",INDEX('Game Records'!$U:$U,$H73)="Free Game",INDEX('Game Records'!$U:$U,$H73)="Disqualified — Free Game"),N(INDEX('Game Records'!$H:$H,$H73))&lt;&gt;0),"Free Game has a non-zero Entry Fee. Free Game records require a $0 Entry Fee; ",""))</f>
        <v/>
      </c>
      <c r="G73" s="331" t="str">
        <f>IF($H73="","",IFERROR(INDEX('Game Records'!$M:$M,$H73),""))</f>
        <v/>
      </c>
      <c r="H73" s="104" t="str">
        <f>IF($H72="","",IFERROR(MATCH(1,INDEX((ROW('Game Records'!$U$5:$U$504)&gt;$H72)*(('Game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3" s="104"/>
      <c r="J73" s="104"/>
    </row>
    <row r="74" ht="24" hidden="0" customHeight="1">
      <c r="A74" s="332" t="str">
        <f>IF($H74="","",ROWS($A$5:A74))</f>
        <v/>
      </c>
      <c r="B74" s="332" t="str">
        <f>IF($H74="","","G-"&amp;TEXT($A74,"0000"))</f>
        <v/>
      </c>
      <c r="C74" s="331" t="str">
        <f>IF($H74="","",IFERROR(INDEX('Game Records'!$A:$A,$H74),""))</f>
        <v/>
      </c>
      <c r="D74" s="331" t="str">
        <f>IF($H74="","",IFERROR(INDEX('Game Records'!$U:$U,$H74),""))</f>
        <v/>
      </c>
      <c r="E74" s="331" t="str">
        <f>IF($H74="","",IF($F74="","No Highlighted Fields","Highlighted Fields Present"))</f>
        <v/>
      </c>
      <c r="F74" s="331" t="str">
        <f>IF($H74="","",IF(OR(NOT(ISFORMULA(INDEX('Game Records'!$N:$N,$H74))),NOT(ISFORMULA(INDEX('Game Records'!$O:$O,$H74))),NOT(ISFORMULA(INDEX('Game Records'!$P:$P,$H74))),NOT(ISFORMULA(INDEX('Game Records'!$Q:$Q,$H74))),NOT(ISFORMULA(INDEX('Game Records'!$R:$R,$H74))),NOT(ISFORMULA(INDEX('Game Records'!$S:$S,$H74))),NOT(ISFORMULA(INDEX('Game Records'!$T:$T,$H74))),NOT(ISFORMULA(INDEX('Game Records'!$U:$U,$H74))),NOT(ISFORMULA(INDEX('Game Records'!$V:$V,$H74))),NOT(ISFORMULA(INDEX('Game Records'!$W:$W,$H74))),NOT(ISFORMULA(INDEX('Game Records'!$X:$X,$H74))),NOT(ISFORMULA(INDEX('Game Records'!$Y:$Y,$H74))),NOT(ISFORMULA(INDEX('Game Records'!$Z:$Z,$H74)))),"Formula columns missing; ","")&amp;IF(INDEX('Game Records'!$B:$B,$H74)="","Start Date; ","")&amp;IF(INDEX('Game Records'!$C:$C,$H74)="","End Date; ","")&amp;IF(AND(INDEX('Game Records'!$U:$U,$H74)&lt;&gt;"Subscription",INDEX('Game Records'!$U:$U,$H74)&lt;&gt;"Free Game",INDEX('Game Records'!$U:$U,$H74)&lt;&gt;"Disqualified — Free Game",OR(INDEX('Game Records'!$D:$D,$H74)="",LOWER(INDEX('Game Records'!$D:$D,$H74)&amp;"")="n/a")),"Entry Mode; ","")&amp;IF(AND(INDEX('Game Records'!$U:$U,$H74)&lt;&gt;"Subscription",INDEX('Game Records'!$U:$U,$H74)&lt;&gt;"Free Game",INDEX('Game Records'!$U:$U,$H74)&lt;&gt;"Disqualified — Free Game",OR(INDEX('Game Records'!$E:$E,$H74)="",LOWER(INDEX('Game Records'!$E:$E,$H74)&amp;"")="n/a")),"Game Type; ","")&amp;IF(INDEX('Game Records'!$F:$F,$H74)="","Payment Type; ","")&amp;IF(AND(INDEX('Game Records'!$U:$U,$H74)&lt;&gt;"Subscription",INDEX('Game Records'!$U:$U,$H74)&lt;&gt;"Free Game",INDEX('Game Records'!$U:$U,$H74)&lt;&gt;"Disqualified — Free Game",INDEX('Game Records'!$G:$G,$H74)=""),"Gross Pot; ","")&amp;IF(AND(INDEX('Game Records'!$U:$U,$H74)&lt;&gt;"Free Game",INDEX('Game Records'!$U:$U,$H74)&lt;&gt;"Disqualified — Free Game",INDEX('Game Records'!$H:$H,$H74)=""),"Entry Fee; ","")&amp;IF(AND(INDEX('Game Records'!$U:$U,$H74)&lt;&gt;"Subscription",INDEX('Game Records'!$U:$U,$H74)&lt;&gt;"Free Game",INDEX('Game Records'!$U:$U,$H74)&lt;&gt;"Disqualified — Free Game",INDEX('Game Records'!$I:$I,$H74)=""),"Eligible Players; ","")&amp;IF(AND(INDEX('Game Records'!$U:$U,$H74)&lt;&gt;"Subscription",INDEX('Game Records'!$U:$U,$H74)&lt;&gt;"Free Game",INDEX('Game Records'!$U:$U,$H74)&lt;&gt;"Disqualified — Free Game",INDEX('Game Records'!$J:$J,$H74)=""),"Total Players; ","")&amp;IF(AND(LOWER(INDEX('Game Records'!$D:$D,$H74)&amp;"")="finalized",LOWER(INDEX('Game Records'!$L:$L,$H74)&amp;"")&lt;&gt;"yes",INDEX('Game Records'!$U:$U,$H74)&lt;&gt;"Subscription",INDEX('Game Records'!$U:$U,$H74)&lt;&gt;"Free Game",INDEX('Game Records'!$U:$U,$H74)&lt;&gt;"Disqualified — Free Game",INDEX('Game Records'!$K:$K,$H74)=""),"Final Earned; ","")&amp;IF(AND(LOWER(INDEX('Game Records'!$D:$D,$H74)&amp;"")="finalized",INDEX('Game Records'!$U:$U,$H74)&lt;&gt;"Subscription",INDEX('Game Records'!$U:$U,$H74)&lt;&gt;"Free Game",INDEX('Game Records'!$U:$U,$H74)&lt;&gt;"Disqualified — Free Game",OR(INDEX('Game Records'!$L:$L,$H74)="",LOWER(INDEX('Game Records'!$L:$L,$H74)&amp;"")="n/a")),"Disqualified Status; ","")&amp;IF(AND(OR(LOWER(TRIM(INDEX('Game Records'!$F:$F,$H74)&amp;""))="free game",INDEX('Game Records'!$U:$U,$H74)="Free Game",INDEX('Game Records'!$U:$U,$H74)="Disqualified — Free Game"),N(INDEX('Game Records'!$H:$H,$H74))&lt;&gt;0),"Free Game has a non-zero Entry Fee. Free Game records require a $0 Entry Fee; ",""))</f>
        <v/>
      </c>
      <c r="G74" s="331" t="str">
        <f>IF($H74="","",IFERROR(INDEX('Game Records'!$M:$M,$H74),""))</f>
        <v/>
      </c>
      <c r="H74" s="104" t="str">
        <f>IF($H73="","",IFERROR(MATCH(1,INDEX((ROW('Game Records'!$U$5:$U$504)&gt;$H73)*(('Game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4" s="104"/>
      <c r="J74" s="104"/>
    </row>
    <row r="75" ht="24" hidden="0" customHeight="1">
      <c r="A75" s="332" t="str">
        <f>IF($H75="","",ROWS($A$5:A75))</f>
        <v/>
      </c>
      <c r="B75" s="332" t="str">
        <f>IF($H75="","","G-"&amp;TEXT($A75,"0000"))</f>
        <v/>
      </c>
      <c r="C75" s="331" t="str">
        <f>IF($H75="","",IFERROR(INDEX('Game Records'!$A:$A,$H75),""))</f>
        <v/>
      </c>
      <c r="D75" s="331" t="str">
        <f>IF($H75="","",IFERROR(INDEX('Game Records'!$U:$U,$H75),""))</f>
        <v/>
      </c>
      <c r="E75" s="331" t="str">
        <f>IF($H75="","",IF($F75="","No Highlighted Fields","Highlighted Fields Present"))</f>
        <v/>
      </c>
      <c r="F75" s="331" t="str">
        <f>IF($H75="","",IF(OR(NOT(ISFORMULA(INDEX('Game Records'!$N:$N,$H75))),NOT(ISFORMULA(INDEX('Game Records'!$O:$O,$H75))),NOT(ISFORMULA(INDEX('Game Records'!$P:$P,$H75))),NOT(ISFORMULA(INDEX('Game Records'!$Q:$Q,$H75))),NOT(ISFORMULA(INDEX('Game Records'!$R:$R,$H75))),NOT(ISFORMULA(INDEX('Game Records'!$S:$S,$H75))),NOT(ISFORMULA(INDEX('Game Records'!$T:$T,$H75))),NOT(ISFORMULA(INDEX('Game Records'!$U:$U,$H75))),NOT(ISFORMULA(INDEX('Game Records'!$V:$V,$H75))),NOT(ISFORMULA(INDEX('Game Records'!$W:$W,$H75))),NOT(ISFORMULA(INDEX('Game Records'!$X:$X,$H75))),NOT(ISFORMULA(INDEX('Game Records'!$Y:$Y,$H75))),NOT(ISFORMULA(INDEX('Game Records'!$Z:$Z,$H75)))),"Formula columns missing; ","")&amp;IF(INDEX('Game Records'!$B:$B,$H75)="","Start Date; ","")&amp;IF(INDEX('Game Records'!$C:$C,$H75)="","End Date; ","")&amp;IF(AND(INDEX('Game Records'!$U:$U,$H75)&lt;&gt;"Subscription",INDEX('Game Records'!$U:$U,$H75)&lt;&gt;"Free Game",INDEX('Game Records'!$U:$U,$H75)&lt;&gt;"Disqualified — Free Game",OR(INDEX('Game Records'!$D:$D,$H75)="",LOWER(INDEX('Game Records'!$D:$D,$H75)&amp;"")="n/a")),"Entry Mode; ","")&amp;IF(AND(INDEX('Game Records'!$U:$U,$H75)&lt;&gt;"Subscription",INDEX('Game Records'!$U:$U,$H75)&lt;&gt;"Free Game",INDEX('Game Records'!$U:$U,$H75)&lt;&gt;"Disqualified — Free Game",OR(INDEX('Game Records'!$E:$E,$H75)="",LOWER(INDEX('Game Records'!$E:$E,$H75)&amp;"")="n/a")),"Game Type; ","")&amp;IF(INDEX('Game Records'!$F:$F,$H75)="","Payment Type; ","")&amp;IF(AND(INDEX('Game Records'!$U:$U,$H75)&lt;&gt;"Subscription",INDEX('Game Records'!$U:$U,$H75)&lt;&gt;"Free Game",INDEX('Game Records'!$U:$U,$H75)&lt;&gt;"Disqualified — Free Game",INDEX('Game Records'!$G:$G,$H75)=""),"Gross Pot; ","")&amp;IF(AND(INDEX('Game Records'!$U:$U,$H75)&lt;&gt;"Free Game",INDEX('Game Records'!$U:$U,$H75)&lt;&gt;"Disqualified — Free Game",INDEX('Game Records'!$H:$H,$H75)=""),"Entry Fee; ","")&amp;IF(AND(INDEX('Game Records'!$U:$U,$H75)&lt;&gt;"Subscription",INDEX('Game Records'!$U:$U,$H75)&lt;&gt;"Free Game",INDEX('Game Records'!$U:$U,$H75)&lt;&gt;"Disqualified — Free Game",INDEX('Game Records'!$I:$I,$H75)=""),"Eligible Players; ","")&amp;IF(AND(INDEX('Game Records'!$U:$U,$H75)&lt;&gt;"Subscription",INDEX('Game Records'!$U:$U,$H75)&lt;&gt;"Free Game",INDEX('Game Records'!$U:$U,$H75)&lt;&gt;"Disqualified — Free Game",INDEX('Game Records'!$J:$J,$H75)=""),"Total Players; ","")&amp;IF(AND(LOWER(INDEX('Game Records'!$D:$D,$H75)&amp;"")="finalized",LOWER(INDEX('Game Records'!$L:$L,$H75)&amp;"")&lt;&gt;"yes",INDEX('Game Records'!$U:$U,$H75)&lt;&gt;"Subscription",INDEX('Game Records'!$U:$U,$H75)&lt;&gt;"Free Game",INDEX('Game Records'!$U:$U,$H75)&lt;&gt;"Disqualified — Free Game",INDEX('Game Records'!$K:$K,$H75)=""),"Final Earned; ","")&amp;IF(AND(LOWER(INDEX('Game Records'!$D:$D,$H75)&amp;"")="finalized",INDEX('Game Records'!$U:$U,$H75)&lt;&gt;"Subscription",INDEX('Game Records'!$U:$U,$H75)&lt;&gt;"Free Game",INDEX('Game Records'!$U:$U,$H75)&lt;&gt;"Disqualified — Free Game",OR(INDEX('Game Records'!$L:$L,$H75)="",LOWER(INDEX('Game Records'!$L:$L,$H75)&amp;"")="n/a")),"Disqualified Status; ","")&amp;IF(AND(OR(LOWER(TRIM(INDEX('Game Records'!$F:$F,$H75)&amp;""))="free game",INDEX('Game Records'!$U:$U,$H75)="Free Game",INDEX('Game Records'!$U:$U,$H75)="Disqualified — Free Game"),N(INDEX('Game Records'!$H:$H,$H75))&lt;&gt;0),"Free Game has a non-zero Entry Fee. Free Game records require a $0 Entry Fee; ",""))</f>
        <v/>
      </c>
      <c r="G75" s="331" t="str">
        <f>IF($H75="","",IFERROR(INDEX('Game Records'!$M:$M,$H75),""))</f>
        <v/>
      </c>
      <c r="H75" s="104" t="str">
        <f>IF($H74="","",IFERROR(MATCH(1,INDEX((ROW('Game Records'!$U$5:$U$504)&gt;$H74)*(('Game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5" s="104"/>
      <c r="J75" s="104"/>
    </row>
    <row r="76" ht="24" hidden="0" customHeight="1">
      <c r="A76" s="332" t="str">
        <f>IF($H76="","",ROWS($A$5:A76))</f>
        <v/>
      </c>
      <c r="B76" s="332" t="str">
        <f>IF($H76="","","G-"&amp;TEXT($A76,"0000"))</f>
        <v/>
      </c>
      <c r="C76" s="331" t="str">
        <f>IF($H76="","",IFERROR(INDEX('Game Records'!$A:$A,$H76),""))</f>
        <v/>
      </c>
      <c r="D76" s="331" t="str">
        <f>IF($H76="","",IFERROR(INDEX('Game Records'!$U:$U,$H76),""))</f>
        <v/>
      </c>
      <c r="E76" s="331" t="str">
        <f>IF($H76="","",IF($F76="","No Highlighted Fields","Highlighted Fields Present"))</f>
        <v/>
      </c>
      <c r="F76" s="331" t="str">
        <f>IF($H76="","",IF(OR(NOT(ISFORMULA(INDEX('Game Records'!$N:$N,$H76))),NOT(ISFORMULA(INDEX('Game Records'!$O:$O,$H76))),NOT(ISFORMULA(INDEX('Game Records'!$P:$P,$H76))),NOT(ISFORMULA(INDEX('Game Records'!$Q:$Q,$H76))),NOT(ISFORMULA(INDEX('Game Records'!$R:$R,$H76))),NOT(ISFORMULA(INDEX('Game Records'!$S:$S,$H76))),NOT(ISFORMULA(INDEX('Game Records'!$T:$T,$H76))),NOT(ISFORMULA(INDEX('Game Records'!$U:$U,$H76))),NOT(ISFORMULA(INDEX('Game Records'!$V:$V,$H76))),NOT(ISFORMULA(INDEX('Game Records'!$W:$W,$H76))),NOT(ISFORMULA(INDEX('Game Records'!$X:$X,$H76))),NOT(ISFORMULA(INDEX('Game Records'!$Y:$Y,$H76))),NOT(ISFORMULA(INDEX('Game Records'!$Z:$Z,$H76)))),"Formula columns missing; ","")&amp;IF(INDEX('Game Records'!$B:$B,$H76)="","Start Date; ","")&amp;IF(INDEX('Game Records'!$C:$C,$H76)="","End Date; ","")&amp;IF(AND(INDEX('Game Records'!$U:$U,$H76)&lt;&gt;"Subscription",INDEX('Game Records'!$U:$U,$H76)&lt;&gt;"Free Game",INDEX('Game Records'!$U:$U,$H76)&lt;&gt;"Disqualified — Free Game",OR(INDEX('Game Records'!$D:$D,$H76)="",LOWER(INDEX('Game Records'!$D:$D,$H76)&amp;"")="n/a")),"Entry Mode; ","")&amp;IF(AND(INDEX('Game Records'!$U:$U,$H76)&lt;&gt;"Subscription",INDEX('Game Records'!$U:$U,$H76)&lt;&gt;"Free Game",INDEX('Game Records'!$U:$U,$H76)&lt;&gt;"Disqualified — Free Game",OR(INDEX('Game Records'!$E:$E,$H76)="",LOWER(INDEX('Game Records'!$E:$E,$H76)&amp;"")="n/a")),"Game Type; ","")&amp;IF(INDEX('Game Records'!$F:$F,$H76)="","Payment Type; ","")&amp;IF(AND(INDEX('Game Records'!$U:$U,$H76)&lt;&gt;"Subscription",INDEX('Game Records'!$U:$U,$H76)&lt;&gt;"Free Game",INDEX('Game Records'!$U:$U,$H76)&lt;&gt;"Disqualified — Free Game",INDEX('Game Records'!$G:$G,$H76)=""),"Gross Pot; ","")&amp;IF(AND(INDEX('Game Records'!$U:$U,$H76)&lt;&gt;"Free Game",INDEX('Game Records'!$U:$U,$H76)&lt;&gt;"Disqualified — Free Game",INDEX('Game Records'!$H:$H,$H76)=""),"Entry Fee; ","")&amp;IF(AND(INDEX('Game Records'!$U:$U,$H76)&lt;&gt;"Subscription",INDEX('Game Records'!$U:$U,$H76)&lt;&gt;"Free Game",INDEX('Game Records'!$U:$U,$H76)&lt;&gt;"Disqualified — Free Game",INDEX('Game Records'!$I:$I,$H76)=""),"Eligible Players; ","")&amp;IF(AND(INDEX('Game Records'!$U:$U,$H76)&lt;&gt;"Subscription",INDEX('Game Records'!$U:$U,$H76)&lt;&gt;"Free Game",INDEX('Game Records'!$U:$U,$H76)&lt;&gt;"Disqualified — Free Game",INDEX('Game Records'!$J:$J,$H76)=""),"Total Players; ","")&amp;IF(AND(LOWER(INDEX('Game Records'!$D:$D,$H76)&amp;"")="finalized",LOWER(INDEX('Game Records'!$L:$L,$H76)&amp;"")&lt;&gt;"yes",INDEX('Game Records'!$U:$U,$H76)&lt;&gt;"Subscription",INDEX('Game Records'!$U:$U,$H76)&lt;&gt;"Free Game",INDEX('Game Records'!$U:$U,$H76)&lt;&gt;"Disqualified — Free Game",INDEX('Game Records'!$K:$K,$H76)=""),"Final Earned; ","")&amp;IF(AND(LOWER(INDEX('Game Records'!$D:$D,$H76)&amp;"")="finalized",INDEX('Game Records'!$U:$U,$H76)&lt;&gt;"Subscription",INDEX('Game Records'!$U:$U,$H76)&lt;&gt;"Free Game",INDEX('Game Records'!$U:$U,$H76)&lt;&gt;"Disqualified — Free Game",OR(INDEX('Game Records'!$L:$L,$H76)="",LOWER(INDEX('Game Records'!$L:$L,$H76)&amp;"")="n/a")),"Disqualified Status; ","")&amp;IF(AND(OR(LOWER(TRIM(INDEX('Game Records'!$F:$F,$H76)&amp;""))="free game",INDEX('Game Records'!$U:$U,$H76)="Free Game",INDEX('Game Records'!$U:$U,$H76)="Disqualified — Free Game"),N(INDEX('Game Records'!$H:$H,$H76))&lt;&gt;0),"Free Game has a non-zero Entry Fee. Free Game records require a $0 Entry Fee; ",""))</f>
        <v/>
      </c>
      <c r="G76" s="331" t="str">
        <f>IF($H76="","",IFERROR(INDEX('Game Records'!$M:$M,$H76),""))</f>
        <v/>
      </c>
      <c r="H76" s="104" t="str">
        <f>IF($H75="","",IFERROR(MATCH(1,INDEX((ROW('Game Records'!$U$5:$U$504)&gt;$H75)*(('Game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6" s="104"/>
      <c r="J76" s="104"/>
    </row>
    <row r="77" ht="24" hidden="0" customHeight="1">
      <c r="A77" s="332" t="str">
        <f>IF($H77="","",ROWS($A$5:A77))</f>
        <v/>
      </c>
      <c r="B77" s="332" t="str">
        <f>IF($H77="","","G-"&amp;TEXT($A77,"0000"))</f>
        <v/>
      </c>
      <c r="C77" s="331" t="str">
        <f>IF($H77="","",IFERROR(INDEX('Game Records'!$A:$A,$H77),""))</f>
        <v/>
      </c>
      <c r="D77" s="331" t="str">
        <f>IF($H77="","",IFERROR(INDEX('Game Records'!$U:$U,$H77),""))</f>
        <v/>
      </c>
      <c r="E77" s="331" t="str">
        <f>IF($H77="","",IF($F77="","No Highlighted Fields","Highlighted Fields Present"))</f>
        <v/>
      </c>
      <c r="F77" s="331" t="str">
        <f>IF($H77="","",IF(OR(NOT(ISFORMULA(INDEX('Game Records'!$N:$N,$H77))),NOT(ISFORMULA(INDEX('Game Records'!$O:$O,$H77))),NOT(ISFORMULA(INDEX('Game Records'!$P:$P,$H77))),NOT(ISFORMULA(INDEX('Game Records'!$Q:$Q,$H77))),NOT(ISFORMULA(INDEX('Game Records'!$R:$R,$H77))),NOT(ISFORMULA(INDEX('Game Records'!$S:$S,$H77))),NOT(ISFORMULA(INDEX('Game Records'!$T:$T,$H77))),NOT(ISFORMULA(INDEX('Game Records'!$U:$U,$H77))),NOT(ISFORMULA(INDEX('Game Records'!$V:$V,$H77))),NOT(ISFORMULA(INDEX('Game Records'!$W:$W,$H77))),NOT(ISFORMULA(INDEX('Game Records'!$X:$X,$H77))),NOT(ISFORMULA(INDEX('Game Records'!$Y:$Y,$H77))),NOT(ISFORMULA(INDEX('Game Records'!$Z:$Z,$H77)))),"Formula columns missing; ","")&amp;IF(INDEX('Game Records'!$B:$B,$H77)="","Start Date; ","")&amp;IF(INDEX('Game Records'!$C:$C,$H77)="","End Date; ","")&amp;IF(AND(INDEX('Game Records'!$U:$U,$H77)&lt;&gt;"Subscription",INDEX('Game Records'!$U:$U,$H77)&lt;&gt;"Free Game",INDEX('Game Records'!$U:$U,$H77)&lt;&gt;"Disqualified — Free Game",OR(INDEX('Game Records'!$D:$D,$H77)="",LOWER(INDEX('Game Records'!$D:$D,$H77)&amp;"")="n/a")),"Entry Mode; ","")&amp;IF(AND(INDEX('Game Records'!$U:$U,$H77)&lt;&gt;"Subscription",INDEX('Game Records'!$U:$U,$H77)&lt;&gt;"Free Game",INDEX('Game Records'!$U:$U,$H77)&lt;&gt;"Disqualified — Free Game",OR(INDEX('Game Records'!$E:$E,$H77)="",LOWER(INDEX('Game Records'!$E:$E,$H77)&amp;"")="n/a")),"Game Type; ","")&amp;IF(INDEX('Game Records'!$F:$F,$H77)="","Payment Type; ","")&amp;IF(AND(INDEX('Game Records'!$U:$U,$H77)&lt;&gt;"Subscription",INDEX('Game Records'!$U:$U,$H77)&lt;&gt;"Free Game",INDEX('Game Records'!$U:$U,$H77)&lt;&gt;"Disqualified — Free Game",INDEX('Game Records'!$G:$G,$H77)=""),"Gross Pot; ","")&amp;IF(AND(INDEX('Game Records'!$U:$U,$H77)&lt;&gt;"Free Game",INDEX('Game Records'!$U:$U,$H77)&lt;&gt;"Disqualified — Free Game",INDEX('Game Records'!$H:$H,$H77)=""),"Entry Fee; ","")&amp;IF(AND(INDEX('Game Records'!$U:$U,$H77)&lt;&gt;"Subscription",INDEX('Game Records'!$U:$U,$H77)&lt;&gt;"Free Game",INDEX('Game Records'!$U:$U,$H77)&lt;&gt;"Disqualified — Free Game",INDEX('Game Records'!$I:$I,$H77)=""),"Eligible Players; ","")&amp;IF(AND(INDEX('Game Records'!$U:$U,$H77)&lt;&gt;"Subscription",INDEX('Game Records'!$U:$U,$H77)&lt;&gt;"Free Game",INDEX('Game Records'!$U:$U,$H77)&lt;&gt;"Disqualified — Free Game",INDEX('Game Records'!$J:$J,$H77)=""),"Total Players; ","")&amp;IF(AND(LOWER(INDEX('Game Records'!$D:$D,$H77)&amp;"")="finalized",LOWER(INDEX('Game Records'!$L:$L,$H77)&amp;"")&lt;&gt;"yes",INDEX('Game Records'!$U:$U,$H77)&lt;&gt;"Subscription",INDEX('Game Records'!$U:$U,$H77)&lt;&gt;"Free Game",INDEX('Game Records'!$U:$U,$H77)&lt;&gt;"Disqualified — Free Game",INDEX('Game Records'!$K:$K,$H77)=""),"Final Earned; ","")&amp;IF(AND(LOWER(INDEX('Game Records'!$D:$D,$H77)&amp;"")="finalized",INDEX('Game Records'!$U:$U,$H77)&lt;&gt;"Subscription",INDEX('Game Records'!$U:$U,$H77)&lt;&gt;"Free Game",INDEX('Game Records'!$U:$U,$H77)&lt;&gt;"Disqualified — Free Game",OR(INDEX('Game Records'!$L:$L,$H77)="",LOWER(INDEX('Game Records'!$L:$L,$H77)&amp;"")="n/a")),"Disqualified Status; ","")&amp;IF(AND(OR(LOWER(TRIM(INDEX('Game Records'!$F:$F,$H77)&amp;""))="free game",INDEX('Game Records'!$U:$U,$H77)="Free Game",INDEX('Game Records'!$U:$U,$H77)="Disqualified — Free Game"),N(INDEX('Game Records'!$H:$H,$H77))&lt;&gt;0),"Free Game has a non-zero Entry Fee. Free Game records require a $0 Entry Fee; ",""))</f>
        <v/>
      </c>
      <c r="G77" s="331" t="str">
        <f>IF($H77="","",IFERROR(INDEX('Game Records'!$M:$M,$H77),""))</f>
        <v/>
      </c>
      <c r="H77" s="104" t="str">
        <f>IF($H76="","",IFERROR(MATCH(1,INDEX((ROW('Game Records'!$U$5:$U$504)&gt;$H76)*(('Game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7" s="104"/>
      <c r="J77" s="104"/>
    </row>
    <row r="78" ht="24" hidden="0" customHeight="1">
      <c r="A78" s="332" t="str">
        <f>IF($H78="","",ROWS($A$5:A78))</f>
        <v/>
      </c>
      <c r="B78" s="332" t="str">
        <f>IF($H78="","","G-"&amp;TEXT($A78,"0000"))</f>
        <v/>
      </c>
      <c r="C78" s="331" t="str">
        <f>IF($H78="","",IFERROR(INDEX('Game Records'!$A:$A,$H78),""))</f>
        <v/>
      </c>
      <c r="D78" s="331" t="str">
        <f>IF($H78="","",IFERROR(INDEX('Game Records'!$U:$U,$H78),""))</f>
        <v/>
      </c>
      <c r="E78" s="331" t="str">
        <f>IF($H78="","",IF($F78="","No Highlighted Fields","Highlighted Fields Present"))</f>
        <v/>
      </c>
      <c r="F78" s="331" t="str">
        <f>IF($H78="","",IF(OR(NOT(ISFORMULA(INDEX('Game Records'!$N:$N,$H78))),NOT(ISFORMULA(INDEX('Game Records'!$O:$O,$H78))),NOT(ISFORMULA(INDEX('Game Records'!$P:$P,$H78))),NOT(ISFORMULA(INDEX('Game Records'!$Q:$Q,$H78))),NOT(ISFORMULA(INDEX('Game Records'!$R:$R,$H78))),NOT(ISFORMULA(INDEX('Game Records'!$S:$S,$H78))),NOT(ISFORMULA(INDEX('Game Records'!$T:$T,$H78))),NOT(ISFORMULA(INDEX('Game Records'!$U:$U,$H78))),NOT(ISFORMULA(INDEX('Game Records'!$V:$V,$H78))),NOT(ISFORMULA(INDEX('Game Records'!$W:$W,$H78))),NOT(ISFORMULA(INDEX('Game Records'!$X:$X,$H78))),NOT(ISFORMULA(INDEX('Game Records'!$Y:$Y,$H78))),NOT(ISFORMULA(INDEX('Game Records'!$Z:$Z,$H78)))),"Formula columns missing; ","")&amp;IF(INDEX('Game Records'!$B:$B,$H78)="","Start Date; ","")&amp;IF(INDEX('Game Records'!$C:$C,$H78)="","End Date; ","")&amp;IF(AND(INDEX('Game Records'!$U:$U,$H78)&lt;&gt;"Subscription",INDEX('Game Records'!$U:$U,$H78)&lt;&gt;"Free Game",INDEX('Game Records'!$U:$U,$H78)&lt;&gt;"Disqualified — Free Game",OR(INDEX('Game Records'!$D:$D,$H78)="",LOWER(INDEX('Game Records'!$D:$D,$H78)&amp;"")="n/a")),"Entry Mode; ","")&amp;IF(AND(INDEX('Game Records'!$U:$U,$H78)&lt;&gt;"Subscription",INDEX('Game Records'!$U:$U,$H78)&lt;&gt;"Free Game",INDEX('Game Records'!$U:$U,$H78)&lt;&gt;"Disqualified — Free Game",OR(INDEX('Game Records'!$E:$E,$H78)="",LOWER(INDEX('Game Records'!$E:$E,$H78)&amp;"")="n/a")),"Game Type; ","")&amp;IF(INDEX('Game Records'!$F:$F,$H78)="","Payment Type; ","")&amp;IF(AND(INDEX('Game Records'!$U:$U,$H78)&lt;&gt;"Subscription",INDEX('Game Records'!$U:$U,$H78)&lt;&gt;"Free Game",INDEX('Game Records'!$U:$U,$H78)&lt;&gt;"Disqualified — Free Game",INDEX('Game Records'!$G:$G,$H78)=""),"Gross Pot; ","")&amp;IF(AND(INDEX('Game Records'!$U:$U,$H78)&lt;&gt;"Free Game",INDEX('Game Records'!$U:$U,$H78)&lt;&gt;"Disqualified — Free Game",INDEX('Game Records'!$H:$H,$H78)=""),"Entry Fee; ","")&amp;IF(AND(INDEX('Game Records'!$U:$U,$H78)&lt;&gt;"Subscription",INDEX('Game Records'!$U:$U,$H78)&lt;&gt;"Free Game",INDEX('Game Records'!$U:$U,$H78)&lt;&gt;"Disqualified — Free Game",INDEX('Game Records'!$I:$I,$H78)=""),"Eligible Players; ","")&amp;IF(AND(INDEX('Game Records'!$U:$U,$H78)&lt;&gt;"Subscription",INDEX('Game Records'!$U:$U,$H78)&lt;&gt;"Free Game",INDEX('Game Records'!$U:$U,$H78)&lt;&gt;"Disqualified — Free Game",INDEX('Game Records'!$J:$J,$H78)=""),"Total Players; ","")&amp;IF(AND(LOWER(INDEX('Game Records'!$D:$D,$H78)&amp;"")="finalized",LOWER(INDEX('Game Records'!$L:$L,$H78)&amp;"")&lt;&gt;"yes",INDEX('Game Records'!$U:$U,$H78)&lt;&gt;"Subscription",INDEX('Game Records'!$U:$U,$H78)&lt;&gt;"Free Game",INDEX('Game Records'!$U:$U,$H78)&lt;&gt;"Disqualified — Free Game",INDEX('Game Records'!$K:$K,$H78)=""),"Final Earned; ","")&amp;IF(AND(LOWER(INDEX('Game Records'!$D:$D,$H78)&amp;"")="finalized",INDEX('Game Records'!$U:$U,$H78)&lt;&gt;"Subscription",INDEX('Game Records'!$U:$U,$H78)&lt;&gt;"Free Game",INDEX('Game Records'!$U:$U,$H78)&lt;&gt;"Disqualified — Free Game",OR(INDEX('Game Records'!$L:$L,$H78)="",LOWER(INDEX('Game Records'!$L:$L,$H78)&amp;"")="n/a")),"Disqualified Status; ","")&amp;IF(AND(OR(LOWER(TRIM(INDEX('Game Records'!$F:$F,$H78)&amp;""))="free game",INDEX('Game Records'!$U:$U,$H78)="Free Game",INDEX('Game Records'!$U:$U,$H78)="Disqualified — Free Game"),N(INDEX('Game Records'!$H:$H,$H78))&lt;&gt;0),"Free Game has a non-zero Entry Fee. Free Game records require a $0 Entry Fee; ",""))</f>
        <v/>
      </c>
      <c r="G78" s="331" t="str">
        <f>IF($H78="","",IFERROR(INDEX('Game Records'!$M:$M,$H78),""))</f>
        <v/>
      </c>
      <c r="H78" s="104" t="str">
        <f>IF($H77="","",IFERROR(MATCH(1,INDEX((ROW('Game Records'!$U$5:$U$504)&gt;$H77)*(('Game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8" s="104"/>
      <c r="J78" s="104"/>
    </row>
    <row r="79" ht="24" hidden="0" customHeight="1">
      <c r="A79" s="332" t="str">
        <f>IF($H79="","",ROWS($A$5:A79))</f>
        <v/>
      </c>
      <c r="B79" s="332" t="str">
        <f>IF($H79="","","G-"&amp;TEXT($A79,"0000"))</f>
        <v/>
      </c>
      <c r="C79" s="331" t="str">
        <f>IF($H79="","",IFERROR(INDEX('Game Records'!$A:$A,$H79),""))</f>
        <v/>
      </c>
      <c r="D79" s="331" t="str">
        <f>IF($H79="","",IFERROR(INDEX('Game Records'!$U:$U,$H79),""))</f>
        <v/>
      </c>
      <c r="E79" s="331" t="str">
        <f>IF($H79="","",IF($F79="","No Highlighted Fields","Highlighted Fields Present"))</f>
        <v/>
      </c>
      <c r="F79" s="331" t="str">
        <f>IF($H79="","",IF(OR(NOT(ISFORMULA(INDEX('Game Records'!$N:$N,$H79))),NOT(ISFORMULA(INDEX('Game Records'!$O:$O,$H79))),NOT(ISFORMULA(INDEX('Game Records'!$P:$P,$H79))),NOT(ISFORMULA(INDEX('Game Records'!$Q:$Q,$H79))),NOT(ISFORMULA(INDEX('Game Records'!$R:$R,$H79))),NOT(ISFORMULA(INDEX('Game Records'!$S:$S,$H79))),NOT(ISFORMULA(INDEX('Game Records'!$T:$T,$H79))),NOT(ISFORMULA(INDEX('Game Records'!$U:$U,$H79))),NOT(ISFORMULA(INDEX('Game Records'!$V:$V,$H79))),NOT(ISFORMULA(INDEX('Game Records'!$W:$W,$H79))),NOT(ISFORMULA(INDEX('Game Records'!$X:$X,$H79))),NOT(ISFORMULA(INDEX('Game Records'!$Y:$Y,$H79))),NOT(ISFORMULA(INDEX('Game Records'!$Z:$Z,$H79)))),"Formula columns missing; ","")&amp;IF(INDEX('Game Records'!$B:$B,$H79)="","Start Date; ","")&amp;IF(INDEX('Game Records'!$C:$C,$H79)="","End Date; ","")&amp;IF(AND(INDEX('Game Records'!$U:$U,$H79)&lt;&gt;"Subscription",INDEX('Game Records'!$U:$U,$H79)&lt;&gt;"Free Game",INDEX('Game Records'!$U:$U,$H79)&lt;&gt;"Disqualified — Free Game",OR(INDEX('Game Records'!$D:$D,$H79)="",LOWER(INDEX('Game Records'!$D:$D,$H79)&amp;"")="n/a")),"Entry Mode; ","")&amp;IF(AND(INDEX('Game Records'!$U:$U,$H79)&lt;&gt;"Subscription",INDEX('Game Records'!$U:$U,$H79)&lt;&gt;"Free Game",INDEX('Game Records'!$U:$U,$H79)&lt;&gt;"Disqualified — Free Game",OR(INDEX('Game Records'!$E:$E,$H79)="",LOWER(INDEX('Game Records'!$E:$E,$H79)&amp;"")="n/a")),"Game Type; ","")&amp;IF(INDEX('Game Records'!$F:$F,$H79)="","Payment Type; ","")&amp;IF(AND(INDEX('Game Records'!$U:$U,$H79)&lt;&gt;"Subscription",INDEX('Game Records'!$U:$U,$H79)&lt;&gt;"Free Game",INDEX('Game Records'!$U:$U,$H79)&lt;&gt;"Disqualified — Free Game",INDEX('Game Records'!$G:$G,$H79)=""),"Gross Pot; ","")&amp;IF(AND(INDEX('Game Records'!$U:$U,$H79)&lt;&gt;"Free Game",INDEX('Game Records'!$U:$U,$H79)&lt;&gt;"Disqualified — Free Game",INDEX('Game Records'!$H:$H,$H79)=""),"Entry Fee; ","")&amp;IF(AND(INDEX('Game Records'!$U:$U,$H79)&lt;&gt;"Subscription",INDEX('Game Records'!$U:$U,$H79)&lt;&gt;"Free Game",INDEX('Game Records'!$U:$U,$H79)&lt;&gt;"Disqualified — Free Game",INDEX('Game Records'!$I:$I,$H79)=""),"Eligible Players; ","")&amp;IF(AND(INDEX('Game Records'!$U:$U,$H79)&lt;&gt;"Subscription",INDEX('Game Records'!$U:$U,$H79)&lt;&gt;"Free Game",INDEX('Game Records'!$U:$U,$H79)&lt;&gt;"Disqualified — Free Game",INDEX('Game Records'!$J:$J,$H79)=""),"Total Players; ","")&amp;IF(AND(LOWER(INDEX('Game Records'!$D:$D,$H79)&amp;"")="finalized",LOWER(INDEX('Game Records'!$L:$L,$H79)&amp;"")&lt;&gt;"yes",INDEX('Game Records'!$U:$U,$H79)&lt;&gt;"Subscription",INDEX('Game Records'!$U:$U,$H79)&lt;&gt;"Free Game",INDEX('Game Records'!$U:$U,$H79)&lt;&gt;"Disqualified — Free Game",INDEX('Game Records'!$K:$K,$H79)=""),"Final Earned; ","")&amp;IF(AND(LOWER(INDEX('Game Records'!$D:$D,$H79)&amp;"")="finalized",INDEX('Game Records'!$U:$U,$H79)&lt;&gt;"Subscription",INDEX('Game Records'!$U:$U,$H79)&lt;&gt;"Free Game",INDEX('Game Records'!$U:$U,$H79)&lt;&gt;"Disqualified — Free Game",OR(INDEX('Game Records'!$L:$L,$H79)="",LOWER(INDEX('Game Records'!$L:$L,$H79)&amp;"")="n/a")),"Disqualified Status; ","")&amp;IF(AND(OR(LOWER(TRIM(INDEX('Game Records'!$F:$F,$H79)&amp;""))="free game",INDEX('Game Records'!$U:$U,$H79)="Free Game",INDEX('Game Records'!$U:$U,$H79)="Disqualified — Free Game"),N(INDEX('Game Records'!$H:$H,$H79))&lt;&gt;0),"Free Game has a non-zero Entry Fee. Free Game records require a $0 Entry Fee; ",""))</f>
        <v/>
      </c>
      <c r="G79" s="331" t="str">
        <f>IF($H79="","",IFERROR(INDEX('Game Records'!$M:$M,$H79),""))</f>
        <v/>
      </c>
      <c r="H79" s="104" t="str">
        <f>IF($H78="","",IFERROR(MATCH(1,INDEX((ROW('Game Records'!$U$5:$U$504)&gt;$H78)*(('Game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9" s="104"/>
      <c r="J79" s="104"/>
    </row>
    <row r="80" ht="24" hidden="0" customHeight="1">
      <c r="A80" s="332" t="str">
        <f>IF($H80="","",ROWS($A$5:A80))</f>
        <v/>
      </c>
      <c r="B80" s="332" t="str">
        <f>IF($H80="","","G-"&amp;TEXT($A80,"0000"))</f>
        <v/>
      </c>
      <c r="C80" s="331" t="str">
        <f>IF($H80="","",IFERROR(INDEX('Game Records'!$A:$A,$H80),""))</f>
        <v/>
      </c>
      <c r="D80" s="331" t="str">
        <f>IF($H80="","",IFERROR(INDEX('Game Records'!$U:$U,$H80),""))</f>
        <v/>
      </c>
      <c r="E80" s="331" t="str">
        <f>IF($H80="","",IF($F80="","No Highlighted Fields","Highlighted Fields Present"))</f>
        <v/>
      </c>
      <c r="F80" s="331" t="str">
        <f>IF($H80="","",IF(OR(NOT(ISFORMULA(INDEX('Game Records'!$N:$N,$H80))),NOT(ISFORMULA(INDEX('Game Records'!$O:$O,$H80))),NOT(ISFORMULA(INDEX('Game Records'!$P:$P,$H80))),NOT(ISFORMULA(INDEX('Game Records'!$Q:$Q,$H80))),NOT(ISFORMULA(INDEX('Game Records'!$R:$R,$H80))),NOT(ISFORMULA(INDEX('Game Records'!$S:$S,$H80))),NOT(ISFORMULA(INDEX('Game Records'!$T:$T,$H80))),NOT(ISFORMULA(INDEX('Game Records'!$U:$U,$H80))),NOT(ISFORMULA(INDEX('Game Records'!$V:$V,$H80))),NOT(ISFORMULA(INDEX('Game Records'!$W:$W,$H80))),NOT(ISFORMULA(INDEX('Game Records'!$X:$X,$H80))),NOT(ISFORMULA(INDEX('Game Records'!$Y:$Y,$H80))),NOT(ISFORMULA(INDEX('Game Records'!$Z:$Z,$H80)))),"Formula columns missing; ","")&amp;IF(INDEX('Game Records'!$B:$B,$H80)="","Start Date; ","")&amp;IF(INDEX('Game Records'!$C:$C,$H80)="","End Date; ","")&amp;IF(AND(INDEX('Game Records'!$U:$U,$H80)&lt;&gt;"Subscription",INDEX('Game Records'!$U:$U,$H80)&lt;&gt;"Free Game",INDEX('Game Records'!$U:$U,$H80)&lt;&gt;"Disqualified — Free Game",OR(INDEX('Game Records'!$D:$D,$H80)="",LOWER(INDEX('Game Records'!$D:$D,$H80)&amp;"")="n/a")),"Entry Mode; ","")&amp;IF(AND(INDEX('Game Records'!$U:$U,$H80)&lt;&gt;"Subscription",INDEX('Game Records'!$U:$U,$H80)&lt;&gt;"Free Game",INDEX('Game Records'!$U:$U,$H80)&lt;&gt;"Disqualified — Free Game",OR(INDEX('Game Records'!$E:$E,$H80)="",LOWER(INDEX('Game Records'!$E:$E,$H80)&amp;"")="n/a")),"Game Type; ","")&amp;IF(INDEX('Game Records'!$F:$F,$H80)="","Payment Type; ","")&amp;IF(AND(INDEX('Game Records'!$U:$U,$H80)&lt;&gt;"Subscription",INDEX('Game Records'!$U:$U,$H80)&lt;&gt;"Free Game",INDEX('Game Records'!$U:$U,$H80)&lt;&gt;"Disqualified — Free Game",INDEX('Game Records'!$G:$G,$H80)=""),"Gross Pot; ","")&amp;IF(AND(INDEX('Game Records'!$U:$U,$H80)&lt;&gt;"Free Game",INDEX('Game Records'!$U:$U,$H80)&lt;&gt;"Disqualified — Free Game",INDEX('Game Records'!$H:$H,$H80)=""),"Entry Fee; ","")&amp;IF(AND(INDEX('Game Records'!$U:$U,$H80)&lt;&gt;"Subscription",INDEX('Game Records'!$U:$U,$H80)&lt;&gt;"Free Game",INDEX('Game Records'!$U:$U,$H80)&lt;&gt;"Disqualified — Free Game",INDEX('Game Records'!$I:$I,$H80)=""),"Eligible Players; ","")&amp;IF(AND(INDEX('Game Records'!$U:$U,$H80)&lt;&gt;"Subscription",INDEX('Game Records'!$U:$U,$H80)&lt;&gt;"Free Game",INDEX('Game Records'!$U:$U,$H80)&lt;&gt;"Disqualified — Free Game",INDEX('Game Records'!$J:$J,$H80)=""),"Total Players; ","")&amp;IF(AND(LOWER(INDEX('Game Records'!$D:$D,$H80)&amp;"")="finalized",LOWER(INDEX('Game Records'!$L:$L,$H80)&amp;"")&lt;&gt;"yes",INDEX('Game Records'!$U:$U,$H80)&lt;&gt;"Subscription",INDEX('Game Records'!$U:$U,$H80)&lt;&gt;"Free Game",INDEX('Game Records'!$U:$U,$H80)&lt;&gt;"Disqualified — Free Game",INDEX('Game Records'!$K:$K,$H80)=""),"Final Earned; ","")&amp;IF(AND(LOWER(INDEX('Game Records'!$D:$D,$H80)&amp;"")="finalized",INDEX('Game Records'!$U:$U,$H80)&lt;&gt;"Subscription",INDEX('Game Records'!$U:$U,$H80)&lt;&gt;"Free Game",INDEX('Game Records'!$U:$U,$H80)&lt;&gt;"Disqualified — Free Game",OR(INDEX('Game Records'!$L:$L,$H80)="",LOWER(INDEX('Game Records'!$L:$L,$H80)&amp;"")="n/a")),"Disqualified Status; ","")&amp;IF(AND(OR(LOWER(TRIM(INDEX('Game Records'!$F:$F,$H80)&amp;""))="free game",INDEX('Game Records'!$U:$U,$H80)="Free Game",INDEX('Game Records'!$U:$U,$H80)="Disqualified — Free Game"),N(INDEX('Game Records'!$H:$H,$H80))&lt;&gt;0),"Free Game has a non-zero Entry Fee. Free Game records require a $0 Entry Fee; ",""))</f>
        <v/>
      </c>
      <c r="G80" s="331" t="str">
        <f>IF($H80="","",IFERROR(INDEX('Game Records'!$M:$M,$H80),""))</f>
        <v/>
      </c>
      <c r="H80" s="104" t="str">
        <f>IF($H79="","",IFERROR(MATCH(1,INDEX((ROW('Game Records'!$U$5:$U$504)&gt;$H79)*(('Game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0" s="104"/>
      <c r="J80" s="104"/>
    </row>
    <row r="81" ht="24" hidden="0" customHeight="1">
      <c r="A81" s="332" t="str">
        <f>IF($H81="","",ROWS($A$5:A81))</f>
        <v/>
      </c>
      <c r="B81" s="332" t="str">
        <f>IF($H81="","","G-"&amp;TEXT($A81,"0000"))</f>
        <v/>
      </c>
      <c r="C81" s="331" t="str">
        <f>IF($H81="","",IFERROR(INDEX('Game Records'!$A:$A,$H81),""))</f>
        <v/>
      </c>
      <c r="D81" s="331" t="str">
        <f>IF($H81="","",IFERROR(INDEX('Game Records'!$U:$U,$H81),""))</f>
        <v/>
      </c>
      <c r="E81" s="331" t="str">
        <f>IF($H81="","",IF($F81="","No Highlighted Fields","Highlighted Fields Present"))</f>
        <v/>
      </c>
      <c r="F81" s="331" t="str">
        <f>IF($H81="","",IF(OR(NOT(ISFORMULA(INDEX('Game Records'!$N:$N,$H81))),NOT(ISFORMULA(INDEX('Game Records'!$O:$O,$H81))),NOT(ISFORMULA(INDEX('Game Records'!$P:$P,$H81))),NOT(ISFORMULA(INDEX('Game Records'!$Q:$Q,$H81))),NOT(ISFORMULA(INDEX('Game Records'!$R:$R,$H81))),NOT(ISFORMULA(INDEX('Game Records'!$S:$S,$H81))),NOT(ISFORMULA(INDEX('Game Records'!$T:$T,$H81))),NOT(ISFORMULA(INDEX('Game Records'!$U:$U,$H81))),NOT(ISFORMULA(INDEX('Game Records'!$V:$V,$H81))),NOT(ISFORMULA(INDEX('Game Records'!$W:$W,$H81))),NOT(ISFORMULA(INDEX('Game Records'!$X:$X,$H81))),NOT(ISFORMULA(INDEX('Game Records'!$Y:$Y,$H81))),NOT(ISFORMULA(INDEX('Game Records'!$Z:$Z,$H81)))),"Formula columns missing; ","")&amp;IF(INDEX('Game Records'!$B:$B,$H81)="","Start Date; ","")&amp;IF(INDEX('Game Records'!$C:$C,$H81)="","End Date; ","")&amp;IF(AND(INDEX('Game Records'!$U:$U,$H81)&lt;&gt;"Subscription",INDEX('Game Records'!$U:$U,$H81)&lt;&gt;"Free Game",INDEX('Game Records'!$U:$U,$H81)&lt;&gt;"Disqualified — Free Game",OR(INDEX('Game Records'!$D:$D,$H81)="",LOWER(INDEX('Game Records'!$D:$D,$H81)&amp;"")="n/a")),"Entry Mode; ","")&amp;IF(AND(INDEX('Game Records'!$U:$U,$H81)&lt;&gt;"Subscription",INDEX('Game Records'!$U:$U,$H81)&lt;&gt;"Free Game",INDEX('Game Records'!$U:$U,$H81)&lt;&gt;"Disqualified — Free Game",OR(INDEX('Game Records'!$E:$E,$H81)="",LOWER(INDEX('Game Records'!$E:$E,$H81)&amp;"")="n/a")),"Game Type; ","")&amp;IF(INDEX('Game Records'!$F:$F,$H81)="","Payment Type; ","")&amp;IF(AND(INDEX('Game Records'!$U:$U,$H81)&lt;&gt;"Subscription",INDEX('Game Records'!$U:$U,$H81)&lt;&gt;"Free Game",INDEX('Game Records'!$U:$U,$H81)&lt;&gt;"Disqualified — Free Game",INDEX('Game Records'!$G:$G,$H81)=""),"Gross Pot; ","")&amp;IF(AND(INDEX('Game Records'!$U:$U,$H81)&lt;&gt;"Free Game",INDEX('Game Records'!$U:$U,$H81)&lt;&gt;"Disqualified — Free Game",INDEX('Game Records'!$H:$H,$H81)=""),"Entry Fee; ","")&amp;IF(AND(INDEX('Game Records'!$U:$U,$H81)&lt;&gt;"Subscription",INDEX('Game Records'!$U:$U,$H81)&lt;&gt;"Free Game",INDEX('Game Records'!$U:$U,$H81)&lt;&gt;"Disqualified — Free Game",INDEX('Game Records'!$I:$I,$H81)=""),"Eligible Players; ","")&amp;IF(AND(INDEX('Game Records'!$U:$U,$H81)&lt;&gt;"Subscription",INDEX('Game Records'!$U:$U,$H81)&lt;&gt;"Free Game",INDEX('Game Records'!$U:$U,$H81)&lt;&gt;"Disqualified — Free Game",INDEX('Game Records'!$J:$J,$H81)=""),"Total Players; ","")&amp;IF(AND(LOWER(INDEX('Game Records'!$D:$D,$H81)&amp;"")="finalized",LOWER(INDEX('Game Records'!$L:$L,$H81)&amp;"")&lt;&gt;"yes",INDEX('Game Records'!$U:$U,$H81)&lt;&gt;"Subscription",INDEX('Game Records'!$U:$U,$H81)&lt;&gt;"Free Game",INDEX('Game Records'!$U:$U,$H81)&lt;&gt;"Disqualified — Free Game",INDEX('Game Records'!$K:$K,$H81)=""),"Final Earned; ","")&amp;IF(AND(LOWER(INDEX('Game Records'!$D:$D,$H81)&amp;"")="finalized",INDEX('Game Records'!$U:$U,$H81)&lt;&gt;"Subscription",INDEX('Game Records'!$U:$U,$H81)&lt;&gt;"Free Game",INDEX('Game Records'!$U:$U,$H81)&lt;&gt;"Disqualified — Free Game",OR(INDEX('Game Records'!$L:$L,$H81)="",LOWER(INDEX('Game Records'!$L:$L,$H81)&amp;"")="n/a")),"Disqualified Status; ","")&amp;IF(AND(OR(LOWER(TRIM(INDEX('Game Records'!$F:$F,$H81)&amp;""))="free game",INDEX('Game Records'!$U:$U,$H81)="Free Game",INDEX('Game Records'!$U:$U,$H81)="Disqualified — Free Game"),N(INDEX('Game Records'!$H:$H,$H81))&lt;&gt;0),"Free Game has a non-zero Entry Fee. Free Game records require a $0 Entry Fee; ",""))</f>
        <v/>
      </c>
      <c r="G81" s="331" t="str">
        <f>IF($H81="","",IFERROR(INDEX('Game Records'!$M:$M,$H81),""))</f>
        <v/>
      </c>
      <c r="H81" s="104" t="str">
        <f>IF($H80="","",IFERROR(MATCH(1,INDEX((ROW('Game Records'!$U$5:$U$504)&gt;$H80)*(('Game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1" s="104"/>
      <c r="J81" s="104"/>
    </row>
    <row r="82" ht="24" hidden="0" customHeight="1">
      <c r="A82" s="332" t="str">
        <f>IF($H82="","",ROWS($A$5:A82))</f>
        <v/>
      </c>
      <c r="B82" s="332" t="str">
        <f>IF($H82="","","G-"&amp;TEXT($A82,"0000"))</f>
        <v/>
      </c>
      <c r="C82" s="331" t="str">
        <f>IF($H82="","",IFERROR(INDEX('Game Records'!$A:$A,$H82),""))</f>
        <v/>
      </c>
      <c r="D82" s="331" t="str">
        <f>IF($H82="","",IFERROR(INDEX('Game Records'!$U:$U,$H82),""))</f>
        <v/>
      </c>
      <c r="E82" s="331" t="str">
        <f>IF($H82="","",IF($F82="","No Highlighted Fields","Highlighted Fields Present"))</f>
        <v/>
      </c>
      <c r="F82" s="331" t="str">
        <f>IF($H82="","",IF(OR(NOT(ISFORMULA(INDEX('Game Records'!$N:$N,$H82))),NOT(ISFORMULA(INDEX('Game Records'!$O:$O,$H82))),NOT(ISFORMULA(INDEX('Game Records'!$P:$P,$H82))),NOT(ISFORMULA(INDEX('Game Records'!$Q:$Q,$H82))),NOT(ISFORMULA(INDEX('Game Records'!$R:$R,$H82))),NOT(ISFORMULA(INDEX('Game Records'!$S:$S,$H82))),NOT(ISFORMULA(INDEX('Game Records'!$T:$T,$H82))),NOT(ISFORMULA(INDEX('Game Records'!$U:$U,$H82))),NOT(ISFORMULA(INDEX('Game Records'!$V:$V,$H82))),NOT(ISFORMULA(INDEX('Game Records'!$W:$W,$H82))),NOT(ISFORMULA(INDEX('Game Records'!$X:$X,$H82))),NOT(ISFORMULA(INDEX('Game Records'!$Y:$Y,$H82))),NOT(ISFORMULA(INDEX('Game Records'!$Z:$Z,$H82)))),"Formula columns missing; ","")&amp;IF(INDEX('Game Records'!$B:$B,$H82)="","Start Date; ","")&amp;IF(INDEX('Game Records'!$C:$C,$H82)="","End Date; ","")&amp;IF(AND(INDEX('Game Records'!$U:$U,$H82)&lt;&gt;"Subscription",INDEX('Game Records'!$U:$U,$H82)&lt;&gt;"Free Game",INDEX('Game Records'!$U:$U,$H82)&lt;&gt;"Disqualified — Free Game",OR(INDEX('Game Records'!$D:$D,$H82)="",LOWER(INDEX('Game Records'!$D:$D,$H82)&amp;"")="n/a")),"Entry Mode; ","")&amp;IF(AND(INDEX('Game Records'!$U:$U,$H82)&lt;&gt;"Subscription",INDEX('Game Records'!$U:$U,$H82)&lt;&gt;"Free Game",INDEX('Game Records'!$U:$U,$H82)&lt;&gt;"Disqualified — Free Game",OR(INDEX('Game Records'!$E:$E,$H82)="",LOWER(INDEX('Game Records'!$E:$E,$H82)&amp;"")="n/a")),"Game Type; ","")&amp;IF(INDEX('Game Records'!$F:$F,$H82)="","Payment Type; ","")&amp;IF(AND(INDEX('Game Records'!$U:$U,$H82)&lt;&gt;"Subscription",INDEX('Game Records'!$U:$U,$H82)&lt;&gt;"Free Game",INDEX('Game Records'!$U:$U,$H82)&lt;&gt;"Disqualified — Free Game",INDEX('Game Records'!$G:$G,$H82)=""),"Gross Pot; ","")&amp;IF(AND(INDEX('Game Records'!$U:$U,$H82)&lt;&gt;"Free Game",INDEX('Game Records'!$U:$U,$H82)&lt;&gt;"Disqualified — Free Game",INDEX('Game Records'!$H:$H,$H82)=""),"Entry Fee; ","")&amp;IF(AND(INDEX('Game Records'!$U:$U,$H82)&lt;&gt;"Subscription",INDEX('Game Records'!$U:$U,$H82)&lt;&gt;"Free Game",INDEX('Game Records'!$U:$U,$H82)&lt;&gt;"Disqualified — Free Game",INDEX('Game Records'!$I:$I,$H82)=""),"Eligible Players; ","")&amp;IF(AND(INDEX('Game Records'!$U:$U,$H82)&lt;&gt;"Subscription",INDEX('Game Records'!$U:$U,$H82)&lt;&gt;"Free Game",INDEX('Game Records'!$U:$U,$H82)&lt;&gt;"Disqualified — Free Game",INDEX('Game Records'!$J:$J,$H82)=""),"Total Players; ","")&amp;IF(AND(LOWER(INDEX('Game Records'!$D:$D,$H82)&amp;"")="finalized",LOWER(INDEX('Game Records'!$L:$L,$H82)&amp;"")&lt;&gt;"yes",INDEX('Game Records'!$U:$U,$H82)&lt;&gt;"Subscription",INDEX('Game Records'!$U:$U,$H82)&lt;&gt;"Free Game",INDEX('Game Records'!$U:$U,$H82)&lt;&gt;"Disqualified — Free Game",INDEX('Game Records'!$K:$K,$H82)=""),"Final Earned; ","")&amp;IF(AND(LOWER(INDEX('Game Records'!$D:$D,$H82)&amp;"")="finalized",INDEX('Game Records'!$U:$U,$H82)&lt;&gt;"Subscription",INDEX('Game Records'!$U:$U,$H82)&lt;&gt;"Free Game",INDEX('Game Records'!$U:$U,$H82)&lt;&gt;"Disqualified — Free Game",OR(INDEX('Game Records'!$L:$L,$H82)="",LOWER(INDEX('Game Records'!$L:$L,$H82)&amp;"")="n/a")),"Disqualified Status; ","")&amp;IF(AND(OR(LOWER(TRIM(INDEX('Game Records'!$F:$F,$H82)&amp;""))="free game",INDEX('Game Records'!$U:$U,$H82)="Free Game",INDEX('Game Records'!$U:$U,$H82)="Disqualified — Free Game"),N(INDEX('Game Records'!$H:$H,$H82))&lt;&gt;0),"Free Game has a non-zero Entry Fee. Free Game records require a $0 Entry Fee; ",""))</f>
        <v/>
      </c>
      <c r="G82" s="331" t="str">
        <f>IF($H82="","",IFERROR(INDEX('Game Records'!$M:$M,$H82),""))</f>
        <v/>
      </c>
      <c r="H82" s="104" t="str">
        <f>IF($H81="","",IFERROR(MATCH(1,INDEX((ROW('Game Records'!$U$5:$U$504)&gt;$H81)*(('Game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2" s="104"/>
      <c r="J82" s="104"/>
    </row>
    <row r="83" ht="24" hidden="0" customHeight="1">
      <c r="A83" s="332" t="str">
        <f>IF($H83="","",ROWS($A$5:A83))</f>
        <v/>
      </c>
      <c r="B83" s="332" t="str">
        <f>IF($H83="","","G-"&amp;TEXT($A83,"0000"))</f>
        <v/>
      </c>
      <c r="C83" s="331" t="str">
        <f>IF($H83="","",IFERROR(INDEX('Game Records'!$A:$A,$H83),""))</f>
        <v/>
      </c>
      <c r="D83" s="331" t="str">
        <f>IF($H83="","",IFERROR(INDEX('Game Records'!$U:$U,$H83),""))</f>
        <v/>
      </c>
      <c r="E83" s="331" t="str">
        <f>IF($H83="","",IF($F83="","No Highlighted Fields","Highlighted Fields Present"))</f>
        <v/>
      </c>
      <c r="F83" s="331" t="str">
        <f>IF($H83="","",IF(OR(NOT(ISFORMULA(INDEX('Game Records'!$N:$N,$H83))),NOT(ISFORMULA(INDEX('Game Records'!$O:$O,$H83))),NOT(ISFORMULA(INDEX('Game Records'!$P:$P,$H83))),NOT(ISFORMULA(INDEX('Game Records'!$Q:$Q,$H83))),NOT(ISFORMULA(INDEX('Game Records'!$R:$R,$H83))),NOT(ISFORMULA(INDEX('Game Records'!$S:$S,$H83))),NOT(ISFORMULA(INDEX('Game Records'!$T:$T,$H83))),NOT(ISFORMULA(INDEX('Game Records'!$U:$U,$H83))),NOT(ISFORMULA(INDEX('Game Records'!$V:$V,$H83))),NOT(ISFORMULA(INDEX('Game Records'!$W:$W,$H83))),NOT(ISFORMULA(INDEX('Game Records'!$X:$X,$H83))),NOT(ISFORMULA(INDEX('Game Records'!$Y:$Y,$H83))),NOT(ISFORMULA(INDEX('Game Records'!$Z:$Z,$H83)))),"Formula columns missing; ","")&amp;IF(INDEX('Game Records'!$B:$B,$H83)="","Start Date; ","")&amp;IF(INDEX('Game Records'!$C:$C,$H83)="","End Date; ","")&amp;IF(AND(INDEX('Game Records'!$U:$U,$H83)&lt;&gt;"Subscription",INDEX('Game Records'!$U:$U,$H83)&lt;&gt;"Free Game",INDEX('Game Records'!$U:$U,$H83)&lt;&gt;"Disqualified — Free Game",OR(INDEX('Game Records'!$D:$D,$H83)="",LOWER(INDEX('Game Records'!$D:$D,$H83)&amp;"")="n/a")),"Entry Mode; ","")&amp;IF(AND(INDEX('Game Records'!$U:$U,$H83)&lt;&gt;"Subscription",INDEX('Game Records'!$U:$U,$H83)&lt;&gt;"Free Game",INDEX('Game Records'!$U:$U,$H83)&lt;&gt;"Disqualified — Free Game",OR(INDEX('Game Records'!$E:$E,$H83)="",LOWER(INDEX('Game Records'!$E:$E,$H83)&amp;"")="n/a")),"Game Type; ","")&amp;IF(INDEX('Game Records'!$F:$F,$H83)="","Payment Type; ","")&amp;IF(AND(INDEX('Game Records'!$U:$U,$H83)&lt;&gt;"Subscription",INDEX('Game Records'!$U:$U,$H83)&lt;&gt;"Free Game",INDEX('Game Records'!$U:$U,$H83)&lt;&gt;"Disqualified — Free Game",INDEX('Game Records'!$G:$G,$H83)=""),"Gross Pot; ","")&amp;IF(AND(INDEX('Game Records'!$U:$U,$H83)&lt;&gt;"Free Game",INDEX('Game Records'!$U:$U,$H83)&lt;&gt;"Disqualified — Free Game",INDEX('Game Records'!$H:$H,$H83)=""),"Entry Fee; ","")&amp;IF(AND(INDEX('Game Records'!$U:$U,$H83)&lt;&gt;"Subscription",INDEX('Game Records'!$U:$U,$H83)&lt;&gt;"Free Game",INDEX('Game Records'!$U:$U,$H83)&lt;&gt;"Disqualified — Free Game",INDEX('Game Records'!$I:$I,$H83)=""),"Eligible Players; ","")&amp;IF(AND(INDEX('Game Records'!$U:$U,$H83)&lt;&gt;"Subscription",INDEX('Game Records'!$U:$U,$H83)&lt;&gt;"Free Game",INDEX('Game Records'!$U:$U,$H83)&lt;&gt;"Disqualified — Free Game",INDEX('Game Records'!$J:$J,$H83)=""),"Total Players; ","")&amp;IF(AND(LOWER(INDEX('Game Records'!$D:$D,$H83)&amp;"")="finalized",LOWER(INDEX('Game Records'!$L:$L,$H83)&amp;"")&lt;&gt;"yes",INDEX('Game Records'!$U:$U,$H83)&lt;&gt;"Subscription",INDEX('Game Records'!$U:$U,$H83)&lt;&gt;"Free Game",INDEX('Game Records'!$U:$U,$H83)&lt;&gt;"Disqualified — Free Game",INDEX('Game Records'!$K:$K,$H83)=""),"Final Earned; ","")&amp;IF(AND(LOWER(INDEX('Game Records'!$D:$D,$H83)&amp;"")="finalized",INDEX('Game Records'!$U:$U,$H83)&lt;&gt;"Subscription",INDEX('Game Records'!$U:$U,$H83)&lt;&gt;"Free Game",INDEX('Game Records'!$U:$U,$H83)&lt;&gt;"Disqualified — Free Game",OR(INDEX('Game Records'!$L:$L,$H83)="",LOWER(INDEX('Game Records'!$L:$L,$H83)&amp;"")="n/a")),"Disqualified Status; ","")&amp;IF(AND(OR(LOWER(TRIM(INDEX('Game Records'!$F:$F,$H83)&amp;""))="free game",INDEX('Game Records'!$U:$U,$H83)="Free Game",INDEX('Game Records'!$U:$U,$H83)="Disqualified — Free Game"),N(INDEX('Game Records'!$H:$H,$H83))&lt;&gt;0),"Free Game has a non-zero Entry Fee. Free Game records require a $0 Entry Fee; ",""))</f>
        <v/>
      </c>
      <c r="G83" s="331" t="str">
        <f>IF($H83="","",IFERROR(INDEX('Game Records'!$M:$M,$H83),""))</f>
        <v/>
      </c>
      <c r="H83" s="104" t="str">
        <f>IF($H82="","",IFERROR(MATCH(1,INDEX((ROW('Game Records'!$U$5:$U$504)&gt;$H82)*(('Game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3" s="104"/>
      <c r="J83" s="104"/>
    </row>
    <row r="84" ht="24" hidden="0" customHeight="1">
      <c r="A84" s="332" t="str">
        <f>IF($H84="","",ROWS($A$5:A84))</f>
        <v/>
      </c>
      <c r="B84" s="332" t="str">
        <f>IF($H84="","","G-"&amp;TEXT($A84,"0000"))</f>
        <v/>
      </c>
      <c r="C84" s="331" t="str">
        <f>IF($H84="","",IFERROR(INDEX('Game Records'!$A:$A,$H84),""))</f>
        <v/>
      </c>
      <c r="D84" s="331" t="str">
        <f>IF($H84="","",IFERROR(INDEX('Game Records'!$U:$U,$H84),""))</f>
        <v/>
      </c>
      <c r="E84" s="331" t="str">
        <f>IF($H84="","",IF($F84="","No Highlighted Fields","Highlighted Fields Present"))</f>
        <v/>
      </c>
      <c r="F84" s="331" t="str">
        <f>IF($H84="","",IF(OR(NOT(ISFORMULA(INDEX('Game Records'!$N:$N,$H84))),NOT(ISFORMULA(INDEX('Game Records'!$O:$O,$H84))),NOT(ISFORMULA(INDEX('Game Records'!$P:$P,$H84))),NOT(ISFORMULA(INDEX('Game Records'!$Q:$Q,$H84))),NOT(ISFORMULA(INDEX('Game Records'!$R:$R,$H84))),NOT(ISFORMULA(INDEX('Game Records'!$S:$S,$H84))),NOT(ISFORMULA(INDEX('Game Records'!$T:$T,$H84))),NOT(ISFORMULA(INDEX('Game Records'!$U:$U,$H84))),NOT(ISFORMULA(INDEX('Game Records'!$V:$V,$H84))),NOT(ISFORMULA(INDEX('Game Records'!$W:$W,$H84))),NOT(ISFORMULA(INDEX('Game Records'!$X:$X,$H84))),NOT(ISFORMULA(INDEX('Game Records'!$Y:$Y,$H84))),NOT(ISFORMULA(INDEX('Game Records'!$Z:$Z,$H84)))),"Formula columns missing; ","")&amp;IF(INDEX('Game Records'!$B:$B,$H84)="","Start Date; ","")&amp;IF(INDEX('Game Records'!$C:$C,$H84)="","End Date; ","")&amp;IF(AND(INDEX('Game Records'!$U:$U,$H84)&lt;&gt;"Subscription",INDEX('Game Records'!$U:$U,$H84)&lt;&gt;"Free Game",INDEX('Game Records'!$U:$U,$H84)&lt;&gt;"Disqualified — Free Game",OR(INDEX('Game Records'!$D:$D,$H84)="",LOWER(INDEX('Game Records'!$D:$D,$H84)&amp;"")="n/a")),"Entry Mode; ","")&amp;IF(AND(INDEX('Game Records'!$U:$U,$H84)&lt;&gt;"Subscription",INDEX('Game Records'!$U:$U,$H84)&lt;&gt;"Free Game",INDEX('Game Records'!$U:$U,$H84)&lt;&gt;"Disqualified — Free Game",OR(INDEX('Game Records'!$E:$E,$H84)="",LOWER(INDEX('Game Records'!$E:$E,$H84)&amp;"")="n/a")),"Game Type; ","")&amp;IF(INDEX('Game Records'!$F:$F,$H84)="","Payment Type; ","")&amp;IF(AND(INDEX('Game Records'!$U:$U,$H84)&lt;&gt;"Subscription",INDEX('Game Records'!$U:$U,$H84)&lt;&gt;"Free Game",INDEX('Game Records'!$U:$U,$H84)&lt;&gt;"Disqualified — Free Game",INDEX('Game Records'!$G:$G,$H84)=""),"Gross Pot; ","")&amp;IF(AND(INDEX('Game Records'!$U:$U,$H84)&lt;&gt;"Free Game",INDEX('Game Records'!$U:$U,$H84)&lt;&gt;"Disqualified — Free Game",INDEX('Game Records'!$H:$H,$H84)=""),"Entry Fee; ","")&amp;IF(AND(INDEX('Game Records'!$U:$U,$H84)&lt;&gt;"Subscription",INDEX('Game Records'!$U:$U,$H84)&lt;&gt;"Free Game",INDEX('Game Records'!$U:$U,$H84)&lt;&gt;"Disqualified — Free Game",INDEX('Game Records'!$I:$I,$H84)=""),"Eligible Players; ","")&amp;IF(AND(INDEX('Game Records'!$U:$U,$H84)&lt;&gt;"Subscription",INDEX('Game Records'!$U:$U,$H84)&lt;&gt;"Free Game",INDEX('Game Records'!$U:$U,$H84)&lt;&gt;"Disqualified — Free Game",INDEX('Game Records'!$J:$J,$H84)=""),"Total Players; ","")&amp;IF(AND(LOWER(INDEX('Game Records'!$D:$D,$H84)&amp;"")="finalized",LOWER(INDEX('Game Records'!$L:$L,$H84)&amp;"")&lt;&gt;"yes",INDEX('Game Records'!$U:$U,$H84)&lt;&gt;"Subscription",INDEX('Game Records'!$U:$U,$H84)&lt;&gt;"Free Game",INDEX('Game Records'!$U:$U,$H84)&lt;&gt;"Disqualified — Free Game",INDEX('Game Records'!$K:$K,$H84)=""),"Final Earned; ","")&amp;IF(AND(LOWER(INDEX('Game Records'!$D:$D,$H84)&amp;"")="finalized",INDEX('Game Records'!$U:$U,$H84)&lt;&gt;"Subscription",INDEX('Game Records'!$U:$U,$H84)&lt;&gt;"Free Game",INDEX('Game Records'!$U:$U,$H84)&lt;&gt;"Disqualified — Free Game",OR(INDEX('Game Records'!$L:$L,$H84)="",LOWER(INDEX('Game Records'!$L:$L,$H84)&amp;"")="n/a")),"Disqualified Status; ","")&amp;IF(AND(OR(LOWER(TRIM(INDEX('Game Records'!$F:$F,$H84)&amp;""))="free game",INDEX('Game Records'!$U:$U,$H84)="Free Game",INDEX('Game Records'!$U:$U,$H84)="Disqualified — Free Game"),N(INDEX('Game Records'!$H:$H,$H84))&lt;&gt;0),"Free Game has a non-zero Entry Fee. Free Game records require a $0 Entry Fee; ",""))</f>
        <v/>
      </c>
      <c r="G84" s="331" t="str">
        <f>IF($H84="","",IFERROR(INDEX('Game Records'!$M:$M,$H84),""))</f>
        <v/>
      </c>
      <c r="H84" s="104" t="str">
        <f>IF($H83="","",IFERROR(MATCH(1,INDEX((ROW('Game Records'!$U$5:$U$504)&gt;$H83)*(('Game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4" s="104"/>
      <c r="J84" s="104"/>
    </row>
    <row r="85" ht="24" hidden="0" customHeight="1">
      <c r="A85" s="332" t="str">
        <f>IF($H85="","",ROWS($A$5:A85))</f>
        <v/>
      </c>
      <c r="B85" s="332" t="str">
        <f>IF($H85="","","G-"&amp;TEXT($A85,"0000"))</f>
        <v/>
      </c>
      <c r="C85" s="331" t="str">
        <f>IF($H85="","",IFERROR(INDEX('Game Records'!$A:$A,$H85),""))</f>
        <v/>
      </c>
      <c r="D85" s="331" t="str">
        <f>IF($H85="","",IFERROR(INDEX('Game Records'!$U:$U,$H85),""))</f>
        <v/>
      </c>
      <c r="E85" s="331" t="str">
        <f>IF($H85="","",IF($F85="","No Highlighted Fields","Highlighted Fields Present"))</f>
        <v/>
      </c>
      <c r="F85" s="331" t="str">
        <f>IF($H85="","",IF(OR(NOT(ISFORMULA(INDEX('Game Records'!$N:$N,$H85))),NOT(ISFORMULA(INDEX('Game Records'!$O:$O,$H85))),NOT(ISFORMULA(INDEX('Game Records'!$P:$P,$H85))),NOT(ISFORMULA(INDEX('Game Records'!$Q:$Q,$H85))),NOT(ISFORMULA(INDEX('Game Records'!$R:$R,$H85))),NOT(ISFORMULA(INDEX('Game Records'!$S:$S,$H85))),NOT(ISFORMULA(INDEX('Game Records'!$T:$T,$H85))),NOT(ISFORMULA(INDEX('Game Records'!$U:$U,$H85))),NOT(ISFORMULA(INDEX('Game Records'!$V:$V,$H85))),NOT(ISFORMULA(INDEX('Game Records'!$W:$W,$H85))),NOT(ISFORMULA(INDEX('Game Records'!$X:$X,$H85))),NOT(ISFORMULA(INDEX('Game Records'!$Y:$Y,$H85))),NOT(ISFORMULA(INDEX('Game Records'!$Z:$Z,$H85)))),"Formula columns missing; ","")&amp;IF(INDEX('Game Records'!$B:$B,$H85)="","Start Date; ","")&amp;IF(INDEX('Game Records'!$C:$C,$H85)="","End Date; ","")&amp;IF(AND(INDEX('Game Records'!$U:$U,$H85)&lt;&gt;"Subscription",INDEX('Game Records'!$U:$U,$H85)&lt;&gt;"Free Game",INDEX('Game Records'!$U:$U,$H85)&lt;&gt;"Disqualified — Free Game",OR(INDEX('Game Records'!$D:$D,$H85)="",LOWER(INDEX('Game Records'!$D:$D,$H85)&amp;"")="n/a")),"Entry Mode; ","")&amp;IF(AND(INDEX('Game Records'!$U:$U,$H85)&lt;&gt;"Subscription",INDEX('Game Records'!$U:$U,$H85)&lt;&gt;"Free Game",INDEX('Game Records'!$U:$U,$H85)&lt;&gt;"Disqualified — Free Game",OR(INDEX('Game Records'!$E:$E,$H85)="",LOWER(INDEX('Game Records'!$E:$E,$H85)&amp;"")="n/a")),"Game Type; ","")&amp;IF(INDEX('Game Records'!$F:$F,$H85)="","Payment Type; ","")&amp;IF(AND(INDEX('Game Records'!$U:$U,$H85)&lt;&gt;"Subscription",INDEX('Game Records'!$U:$U,$H85)&lt;&gt;"Free Game",INDEX('Game Records'!$U:$U,$H85)&lt;&gt;"Disqualified — Free Game",INDEX('Game Records'!$G:$G,$H85)=""),"Gross Pot; ","")&amp;IF(AND(INDEX('Game Records'!$U:$U,$H85)&lt;&gt;"Free Game",INDEX('Game Records'!$U:$U,$H85)&lt;&gt;"Disqualified — Free Game",INDEX('Game Records'!$H:$H,$H85)=""),"Entry Fee; ","")&amp;IF(AND(INDEX('Game Records'!$U:$U,$H85)&lt;&gt;"Subscription",INDEX('Game Records'!$U:$U,$H85)&lt;&gt;"Free Game",INDEX('Game Records'!$U:$U,$H85)&lt;&gt;"Disqualified — Free Game",INDEX('Game Records'!$I:$I,$H85)=""),"Eligible Players; ","")&amp;IF(AND(INDEX('Game Records'!$U:$U,$H85)&lt;&gt;"Subscription",INDEX('Game Records'!$U:$U,$H85)&lt;&gt;"Free Game",INDEX('Game Records'!$U:$U,$H85)&lt;&gt;"Disqualified — Free Game",INDEX('Game Records'!$J:$J,$H85)=""),"Total Players; ","")&amp;IF(AND(LOWER(INDEX('Game Records'!$D:$D,$H85)&amp;"")="finalized",LOWER(INDEX('Game Records'!$L:$L,$H85)&amp;"")&lt;&gt;"yes",INDEX('Game Records'!$U:$U,$H85)&lt;&gt;"Subscription",INDEX('Game Records'!$U:$U,$H85)&lt;&gt;"Free Game",INDEX('Game Records'!$U:$U,$H85)&lt;&gt;"Disqualified — Free Game",INDEX('Game Records'!$K:$K,$H85)=""),"Final Earned; ","")&amp;IF(AND(LOWER(INDEX('Game Records'!$D:$D,$H85)&amp;"")="finalized",INDEX('Game Records'!$U:$U,$H85)&lt;&gt;"Subscription",INDEX('Game Records'!$U:$U,$H85)&lt;&gt;"Free Game",INDEX('Game Records'!$U:$U,$H85)&lt;&gt;"Disqualified — Free Game",OR(INDEX('Game Records'!$L:$L,$H85)="",LOWER(INDEX('Game Records'!$L:$L,$H85)&amp;"")="n/a")),"Disqualified Status; ","")&amp;IF(AND(OR(LOWER(TRIM(INDEX('Game Records'!$F:$F,$H85)&amp;""))="free game",INDEX('Game Records'!$U:$U,$H85)="Free Game",INDEX('Game Records'!$U:$U,$H85)="Disqualified — Free Game"),N(INDEX('Game Records'!$H:$H,$H85))&lt;&gt;0),"Free Game has a non-zero Entry Fee. Free Game records require a $0 Entry Fee; ",""))</f>
        <v/>
      </c>
      <c r="G85" s="331" t="str">
        <f>IF($H85="","",IFERROR(INDEX('Game Records'!$M:$M,$H85),""))</f>
        <v/>
      </c>
      <c r="H85" s="104" t="str">
        <f>IF($H84="","",IFERROR(MATCH(1,INDEX((ROW('Game Records'!$U$5:$U$504)&gt;$H84)*(('Game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5" s="104"/>
      <c r="J85" s="104"/>
    </row>
    <row r="86" ht="24" hidden="0" customHeight="1">
      <c r="A86" s="332" t="str">
        <f>IF($H86="","",ROWS($A$5:A86))</f>
        <v/>
      </c>
      <c r="B86" s="332" t="str">
        <f>IF($H86="","","G-"&amp;TEXT($A86,"0000"))</f>
        <v/>
      </c>
      <c r="C86" s="331" t="str">
        <f>IF($H86="","",IFERROR(INDEX('Game Records'!$A:$A,$H86),""))</f>
        <v/>
      </c>
      <c r="D86" s="331" t="str">
        <f>IF($H86="","",IFERROR(INDEX('Game Records'!$U:$U,$H86),""))</f>
        <v/>
      </c>
      <c r="E86" s="331" t="str">
        <f>IF($H86="","",IF($F86="","No Highlighted Fields","Highlighted Fields Present"))</f>
        <v/>
      </c>
      <c r="F86" s="331" t="str">
        <f>IF($H86="","",IF(OR(NOT(ISFORMULA(INDEX('Game Records'!$N:$N,$H86))),NOT(ISFORMULA(INDEX('Game Records'!$O:$O,$H86))),NOT(ISFORMULA(INDEX('Game Records'!$P:$P,$H86))),NOT(ISFORMULA(INDEX('Game Records'!$Q:$Q,$H86))),NOT(ISFORMULA(INDEX('Game Records'!$R:$R,$H86))),NOT(ISFORMULA(INDEX('Game Records'!$S:$S,$H86))),NOT(ISFORMULA(INDEX('Game Records'!$T:$T,$H86))),NOT(ISFORMULA(INDEX('Game Records'!$U:$U,$H86))),NOT(ISFORMULA(INDEX('Game Records'!$V:$V,$H86))),NOT(ISFORMULA(INDEX('Game Records'!$W:$W,$H86))),NOT(ISFORMULA(INDEX('Game Records'!$X:$X,$H86))),NOT(ISFORMULA(INDEX('Game Records'!$Y:$Y,$H86))),NOT(ISFORMULA(INDEX('Game Records'!$Z:$Z,$H86)))),"Formula columns missing; ","")&amp;IF(INDEX('Game Records'!$B:$B,$H86)="","Start Date; ","")&amp;IF(INDEX('Game Records'!$C:$C,$H86)="","End Date; ","")&amp;IF(AND(INDEX('Game Records'!$U:$U,$H86)&lt;&gt;"Subscription",INDEX('Game Records'!$U:$U,$H86)&lt;&gt;"Free Game",INDEX('Game Records'!$U:$U,$H86)&lt;&gt;"Disqualified — Free Game",OR(INDEX('Game Records'!$D:$D,$H86)="",LOWER(INDEX('Game Records'!$D:$D,$H86)&amp;"")="n/a")),"Entry Mode; ","")&amp;IF(AND(INDEX('Game Records'!$U:$U,$H86)&lt;&gt;"Subscription",INDEX('Game Records'!$U:$U,$H86)&lt;&gt;"Free Game",INDEX('Game Records'!$U:$U,$H86)&lt;&gt;"Disqualified — Free Game",OR(INDEX('Game Records'!$E:$E,$H86)="",LOWER(INDEX('Game Records'!$E:$E,$H86)&amp;"")="n/a")),"Game Type; ","")&amp;IF(INDEX('Game Records'!$F:$F,$H86)="","Payment Type; ","")&amp;IF(AND(INDEX('Game Records'!$U:$U,$H86)&lt;&gt;"Subscription",INDEX('Game Records'!$U:$U,$H86)&lt;&gt;"Free Game",INDEX('Game Records'!$U:$U,$H86)&lt;&gt;"Disqualified — Free Game",INDEX('Game Records'!$G:$G,$H86)=""),"Gross Pot; ","")&amp;IF(AND(INDEX('Game Records'!$U:$U,$H86)&lt;&gt;"Free Game",INDEX('Game Records'!$U:$U,$H86)&lt;&gt;"Disqualified — Free Game",INDEX('Game Records'!$H:$H,$H86)=""),"Entry Fee; ","")&amp;IF(AND(INDEX('Game Records'!$U:$U,$H86)&lt;&gt;"Subscription",INDEX('Game Records'!$U:$U,$H86)&lt;&gt;"Free Game",INDEX('Game Records'!$U:$U,$H86)&lt;&gt;"Disqualified — Free Game",INDEX('Game Records'!$I:$I,$H86)=""),"Eligible Players; ","")&amp;IF(AND(INDEX('Game Records'!$U:$U,$H86)&lt;&gt;"Subscription",INDEX('Game Records'!$U:$U,$H86)&lt;&gt;"Free Game",INDEX('Game Records'!$U:$U,$H86)&lt;&gt;"Disqualified — Free Game",INDEX('Game Records'!$J:$J,$H86)=""),"Total Players; ","")&amp;IF(AND(LOWER(INDEX('Game Records'!$D:$D,$H86)&amp;"")="finalized",LOWER(INDEX('Game Records'!$L:$L,$H86)&amp;"")&lt;&gt;"yes",INDEX('Game Records'!$U:$U,$H86)&lt;&gt;"Subscription",INDEX('Game Records'!$U:$U,$H86)&lt;&gt;"Free Game",INDEX('Game Records'!$U:$U,$H86)&lt;&gt;"Disqualified — Free Game",INDEX('Game Records'!$K:$K,$H86)=""),"Final Earned; ","")&amp;IF(AND(LOWER(INDEX('Game Records'!$D:$D,$H86)&amp;"")="finalized",INDEX('Game Records'!$U:$U,$H86)&lt;&gt;"Subscription",INDEX('Game Records'!$U:$U,$H86)&lt;&gt;"Free Game",INDEX('Game Records'!$U:$U,$H86)&lt;&gt;"Disqualified — Free Game",OR(INDEX('Game Records'!$L:$L,$H86)="",LOWER(INDEX('Game Records'!$L:$L,$H86)&amp;"")="n/a")),"Disqualified Status; ","")&amp;IF(AND(OR(LOWER(TRIM(INDEX('Game Records'!$F:$F,$H86)&amp;""))="free game",INDEX('Game Records'!$U:$U,$H86)="Free Game",INDEX('Game Records'!$U:$U,$H86)="Disqualified — Free Game"),N(INDEX('Game Records'!$H:$H,$H86))&lt;&gt;0),"Free Game has a non-zero Entry Fee. Free Game records require a $0 Entry Fee; ",""))</f>
        <v/>
      </c>
      <c r="G86" s="331" t="str">
        <f>IF($H86="","",IFERROR(INDEX('Game Records'!$M:$M,$H86),""))</f>
        <v/>
      </c>
      <c r="H86" s="104" t="str">
        <f>IF($H85="","",IFERROR(MATCH(1,INDEX((ROW('Game Records'!$U$5:$U$504)&gt;$H85)*(('Game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6" s="104"/>
      <c r="J86" s="104"/>
    </row>
    <row r="87" ht="24" hidden="0" customHeight="1">
      <c r="A87" s="332" t="str">
        <f>IF($H87="","",ROWS($A$5:A87))</f>
        <v/>
      </c>
      <c r="B87" s="332" t="str">
        <f>IF($H87="","","G-"&amp;TEXT($A87,"0000"))</f>
        <v/>
      </c>
      <c r="C87" s="331" t="str">
        <f>IF($H87="","",IFERROR(INDEX('Game Records'!$A:$A,$H87),""))</f>
        <v/>
      </c>
      <c r="D87" s="331" t="str">
        <f>IF($H87="","",IFERROR(INDEX('Game Records'!$U:$U,$H87),""))</f>
        <v/>
      </c>
      <c r="E87" s="331" t="str">
        <f>IF($H87="","",IF($F87="","No Highlighted Fields","Highlighted Fields Present"))</f>
        <v/>
      </c>
      <c r="F87" s="331" t="str">
        <f>IF($H87="","",IF(OR(NOT(ISFORMULA(INDEX('Game Records'!$N:$N,$H87))),NOT(ISFORMULA(INDEX('Game Records'!$O:$O,$H87))),NOT(ISFORMULA(INDEX('Game Records'!$P:$P,$H87))),NOT(ISFORMULA(INDEX('Game Records'!$Q:$Q,$H87))),NOT(ISFORMULA(INDEX('Game Records'!$R:$R,$H87))),NOT(ISFORMULA(INDEX('Game Records'!$S:$S,$H87))),NOT(ISFORMULA(INDEX('Game Records'!$T:$T,$H87))),NOT(ISFORMULA(INDEX('Game Records'!$U:$U,$H87))),NOT(ISFORMULA(INDEX('Game Records'!$V:$V,$H87))),NOT(ISFORMULA(INDEX('Game Records'!$W:$W,$H87))),NOT(ISFORMULA(INDEX('Game Records'!$X:$X,$H87))),NOT(ISFORMULA(INDEX('Game Records'!$Y:$Y,$H87))),NOT(ISFORMULA(INDEX('Game Records'!$Z:$Z,$H87)))),"Formula columns missing; ","")&amp;IF(INDEX('Game Records'!$B:$B,$H87)="","Start Date; ","")&amp;IF(INDEX('Game Records'!$C:$C,$H87)="","End Date; ","")&amp;IF(AND(INDEX('Game Records'!$U:$U,$H87)&lt;&gt;"Subscription",INDEX('Game Records'!$U:$U,$H87)&lt;&gt;"Free Game",INDEX('Game Records'!$U:$U,$H87)&lt;&gt;"Disqualified — Free Game",OR(INDEX('Game Records'!$D:$D,$H87)="",LOWER(INDEX('Game Records'!$D:$D,$H87)&amp;"")="n/a")),"Entry Mode; ","")&amp;IF(AND(INDEX('Game Records'!$U:$U,$H87)&lt;&gt;"Subscription",INDEX('Game Records'!$U:$U,$H87)&lt;&gt;"Free Game",INDEX('Game Records'!$U:$U,$H87)&lt;&gt;"Disqualified — Free Game",OR(INDEX('Game Records'!$E:$E,$H87)="",LOWER(INDEX('Game Records'!$E:$E,$H87)&amp;"")="n/a")),"Game Type; ","")&amp;IF(INDEX('Game Records'!$F:$F,$H87)="","Payment Type; ","")&amp;IF(AND(INDEX('Game Records'!$U:$U,$H87)&lt;&gt;"Subscription",INDEX('Game Records'!$U:$U,$H87)&lt;&gt;"Free Game",INDEX('Game Records'!$U:$U,$H87)&lt;&gt;"Disqualified — Free Game",INDEX('Game Records'!$G:$G,$H87)=""),"Gross Pot; ","")&amp;IF(AND(INDEX('Game Records'!$U:$U,$H87)&lt;&gt;"Free Game",INDEX('Game Records'!$U:$U,$H87)&lt;&gt;"Disqualified — Free Game",INDEX('Game Records'!$H:$H,$H87)=""),"Entry Fee; ","")&amp;IF(AND(INDEX('Game Records'!$U:$U,$H87)&lt;&gt;"Subscription",INDEX('Game Records'!$U:$U,$H87)&lt;&gt;"Free Game",INDEX('Game Records'!$U:$U,$H87)&lt;&gt;"Disqualified — Free Game",INDEX('Game Records'!$I:$I,$H87)=""),"Eligible Players; ","")&amp;IF(AND(INDEX('Game Records'!$U:$U,$H87)&lt;&gt;"Subscription",INDEX('Game Records'!$U:$U,$H87)&lt;&gt;"Free Game",INDEX('Game Records'!$U:$U,$H87)&lt;&gt;"Disqualified — Free Game",INDEX('Game Records'!$J:$J,$H87)=""),"Total Players; ","")&amp;IF(AND(LOWER(INDEX('Game Records'!$D:$D,$H87)&amp;"")="finalized",LOWER(INDEX('Game Records'!$L:$L,$H87)&amp;"")&lt;&gt;"yes",INDEX('Game Records'!$U:$U,$H87)&lt;&gt;"Subscription",INDEX('Game Records'!$U:$U,$H87)&lt;&gt;"Free Game",INDEX('Game Records'!$U:$U,$H87)&lt;&gt;"Disqualified — Free Game",INDEX('Game Records'!$K:$K,$H87)=""),"Final Earned; ","")&amp;IF(AND(LOWER(INDEX('Game Records'!$D:$D,$H87)&amp;"")="finalized",INDEX('Game Records'!$U:$U,$H87)&lt;&gt;"Subscription",INDEX('Game Records'!$U:$U,$H87)&lt;&gt;"Free Game",INDEX('Game Records'!$U:$U,$H87)&lt;&gt;"Disqualified — Free Game",OR(INDEX('Game Records'!$L:$L,$H87)="",LOWER(INDEX('Game Records'!$L:$L,$H87)&amp;"")="n/a")),"Disqualified Status; ","")&amp;IF(AND(OR(LOWER(TRIM(INDEX('Game Records'!$F:$F,$H87)&amp;""))="free game",INDEX('Game Records'!$U:$U,$H87)="Free Game",INDEX('Game Records'!$U:$U,$H87)="Disqualified — Free Game"),N(INDEX('Game Records'!$H:$H,$H87))&lt;&gt;0),"Free Game has a non-zero Entry Fee. Free Game records require a $0 Entry Fee; ",""))</f>
        <v/>
      </c>
      <c r="G87" s="331" t="str">
        <f>IF($H87="","",IFERROR(INDEX('Game Records'!$M:$M,$H87),""))</f>
        <v/>
      </c>
      <c r="H87" s="104" t="str">
        <f>IF($H86="","",IFERROR(MATCH(1,INDEX((ROW('Game Records'!$U$5:$U$504)&gt;$H86)*(('Game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7" s="104"/>
      <c r="J87" s="104"/>
    </row>
    <row r="88" ht="24" hidden="0" customHeight="1">
      <c r="A88" s="332" t="str">
        <f>IF($H88="","",ROWS($A$5:A88))</f>
        <v/>
      </c>
      <c r="B88" s="332" t="str">
        <f>IF($H88="","","G-"&amp;TEXT($A88,"0000"))</f>
        <v/>
      </c>
      <c r="C88" s="331" t="str">
        <f>IF($H88="","",IFERROR(INDEX('Game Records'!$A:$A,$H88),""))</f>
        <v/>
      </c>
      <c r="D88" s="331" t="str">
        <f>IF($H88="","",IFERROR(INDEX('Game Records'!$U:$U,$H88),""))</f>
        <v/>
      </c>
      <c r="E88" s="331" t="str">
        <f>IF($H88="","",IF($F88="","No Highlighted Fields","Highlighted Fields Present"))</f>
        <v/>
      </c>
      <c r="F88" s="331" t="str">
        <f>IF($H88="","",IF(OR(NOT(ISFORMULA(INDEX('Game Records'!$N:$N,$H88))),NOT(ISFORMULA(INDEX('Game Records'!$O:$O,$H88))),NOT(ISFORMULA(INDEX('Game Records'!$P:$P,$H88))),NOT(ISFORMULA(INDEX('Game Records'!$Q:$Q,$H88))),NOT(ISFORMULA(INDEX('Game Records'!$R:$R,$H88))),NOT(ISFORMULA(INDEX('Game Records'!$S:$S,$H88))),NOT(ISFORMULA(INDEX('Game Records'!$T:$T,$H88))),NOT(ISFORMULA(INDEX('Game Records'!$U:$U,$H88))),NOT(ISFORMULA(INDEX('Game Records'!$V:$V,$H88))),NOT(ISFORMULA(INDEX('Game Records'!$W:$W,$H88))),NOT(ISFORMULA(INDEX('Game Records'!$X:$X,$H88))),NOT(ISFORMULA(INDEX('Game Records'!$Y:$Y,$H88))),NOT(ISFORMULA(INDEX('Game Records'!$Z:$Z,$H88)))),"Formula columns missing; ","")&amp;IF(INDEX('Game Records'!$B:$B,$H88)="","Start Date; ","")&amp;IF(INDEX('Game Records'!$C:$C,$H88)="","End Date; ","")&amp;IF(AND(INDEX('Game Records'!$U:$U,$H88)&lt;&gt;"Subscription",INDEX('Game Records'!$U:$U,$H88)&lt;&gt;"Free Game",INDEX('Game Records'!$U:$U,$H88)&lt;&gt;"Disqualified — Free Game",OR(INDEX('Game Records'!$D:$D,$H88)="",LOWER(INDEX('Game Records'!$D:$D,$H88)&amp;"")="n/a")),"Entry Mode; ","")&amp;IF(AND(INDEX('Game Records'!$U:$U,$H88)&lt;&gt;"Subscription",INDEX('Game Records'!$U:$U,$H88)&lt;&gt;"Free Game",INDEX('Game Records'!$U:$U,$H88)&lt;&gt;"Disqualified — Free Game",OR(INDEX('Game Records'!$E:$E,$H88)="",LOWER(INDEX('Game Records'!$E:$E,$H88)&amp;"")="n/a")),"Game Type; ","")&amp;IF(INDEX('Game Records'!$F:$F,$H88)="","Payment Type; ","")&amp;IF(AND(INDEX('Game Records'!$U:$U,$H88)&lt;&gt;"Subscription",INDEX('Game Records'!$U:$U,$H88)&lt;&gt;"Free Game",INDEX('Game Records'!$U:$U,$H88)&lt;&gt;"Disqualified — Free Game",INDEX('Game Records'!$G:$G,$H88)=""),"Gross Pot; ","")&amp;IF(AND(INDEX('Game Records'!$U:$U,$H88)&lt;&gt;"Free Game",INDEX('Game Records'!$U:$U,$H88)&lt;&gt;"Disqualified — Free Game",INDEX('Game Records'!$H:$H,$H88)=""),"Entry Fee; ","")&amp;IF(AND(INDEX('Game Records'!$U:$U,$H88)&lt;&gt;"Subscription",INDEX('Game Records'!$U:$U,$H88)&lt;&gt;"Free Game",INDEX('Game Records'!$U:$U,$H88)&lt;&gt;"Disqualified — Free Game",INDEX('Game Records'!$I:$I,$H88)=""),"Eligible Players; ","")&amp;IF(AND(INDEX('Game Records'!$U:$U,$H88)&lt;&gt;"Subscription",INDEX('Game Records'!$U:$U,$H88)&lt;&gt;"Free Game",INDEX('Game Records'!$U:$U,$H88)&lt;&gt;"Disqualified — Free Game",INDEX('Game Records'!$J:$J,$H88)=""),"Total Players; ","")&amp;IF(AND(LOWER(INDEX('Game Records'!$D:$D,$H88)&amp;"")="finalized",LOWER(INDEX('Game Records'!$L:$L,$H88)&amp;"")&lt;&gt;"yes",INDEX('Game Records'!$U:$U,$H88)&lt;&gt;"Subscription",INDEX('Game Records'!$U:$U,$H88)&lt;&gt;"Free Game",INDEX('Game Records'!$U:$U,$H88)&lt;&gt;"Disqualified — Free Game",INDEX('Game Records'!$K:$K,$H88)=""),"Final Earned; ","")&amp;IF(AND(LOWER(INDEX('Game Records'!$D:$D,$H88)&amp;"")="finalized",INDEX('Game Records'!$U:$U,$H88)&lt;&gt;"Subscription",INDEX('Game Records'!$U:$U,$H88)&lt;&gt;"Free Game",INDEX('Game Records'!$U:$U,$H88)&lt;&gt;"Disqualified — Free Game",OR(INDEX('Game Records'!$L:$L,$H88)="",LOWER(INDEX('Game Records'!$L:$L,$H88)&amp;"")="n/a")),"Disqualified Status; ","")&amp;IF(AND(OR(LOWER(TRIM(INDEX('Game Records'!$F:$F,$H88)&amp;""))="free game",INDEX('Game Records'!$U:$U,$H88)="Free Game",INDEX('Game Records'!$U:$U,$H88)="Disqualified — Free Game"),N(INDEX('Game Records'!$H:$H,$H88))&lt;&gt;0),"Free Game has a non-zero Entry Fee. Free Game records require a $0 Entry Fee; ",""))</f>
        <v/>
      </c>
      <c r="G88" s="331" t="str">
        <f>IF($H88="","",IFERROR(INDEX('Game Records'!$M:$M,$H88),""))</f>
        <v/>
      </c>
      <c r="H88" s="104" t="str">
        <f>IF($H87="","",IFERROR(MATCH(1,INDEX((ROW('Game Records'!$U$5:$U$504)&gt;$H87)*(('Game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8" s="104"/>
      <c r="J88" s="104"/>
    </row>
    <row r="89" ht="24" hidden="0" customHeight="1">
      <c r="A89" s="332" t="str">
        <f>IF($H89="","",ROWS($A$5:A89))</f>
        <v/>
      </c>
      <c r="B89" s="332" t="str">
        <f>IF($H89="","","G-"&amp;TEXT($A89,"0000"))</f>
        <v/>
      </c>
      <c r="C89" s="331" t="str">
        <f>IF($H89="","",IFERROR(INDEX('Game Records'!$A:$A,$H89),""))</f>
        <v/>
      </c>
      <c r="D89" s="331" t="str">
        <f>IF($H89="","",IFERROR(INDEX('Game Records'!$U:$U,$H89),""))</f>
        <v/>
      </c>
      <c r="E89" s="331" t="str">
        <f>IF($H89="","",IF($F89="","No Highlighted Fields","Highlighted Fields Present"))</f>
        <v/>
      </c>
      <c r="F89" s="331" t="str">
        <f>IF($H89="","",IF(OR(NOT(ISFORMULA(INDEX('Game Records'!$N:$N,$H89))),NOT(ISFORMULA(INDEX('Game Records'!$O:$O,$H89))),NOT(ISFORMULA(INDEX('Game Records'!$P:$P,$H89))),NOT(ISFORMULA(INDEX('Game Records'!$Q:$Q,$H89))),NOT(ISFORMULA(INDEX('Game Records'!$R:$R,$H89))),NOT(ISFORMULA(INDEX('Game Records'!$S:$S,$H89))),NOT(ISFORMULA(INDEX('Game Records'!$T:$T,$H89))),NOT(ISFORMULA(INDEX('Game Records'!$U:$U,$H89))),NOT(ISFORMULA(INDEX('Game Records'!$V:$V,$H89))),NOT(ISFORMULA(INDEX('Game Records'!$W:$W,$H89))),NOT(ISFORMULA(INDEX('Game Records'!$X:$X,$H89))),NOT(ISFORMULA(INDEX('Game Records'!$Y:$Y,$H89))),NOT(ISFORMULA(INDEX('Game Records'!$Z:$Z,$H89)))),"Formula columns missing; ","")&amp;IF(INDEX('Game Records'!$B:$B,$H89)="","Start Date; ","")&amp;IF(INDEX('Game Records'!$C:$C,$H89)="","End Date; ","")&amp;IF(AND(INDEX('Game Records'!$U:$U,$H89)&lt;&gt;"Subscription",INDEX('Game Records'!$U:$U,$H89)&lt;&gt;"Free Game",INDEX('Game Records'!$U:$U,$H89)&lt;&gt;"Disqualified — Free Game",OR(INDEX('Game Records'!$D:$D,$H89)="",LOWER(INDEX('Game Records'!$D:$D,$H89)&amp;"")="n/a")),"Entry Mode; ","")&amp;IF(AND(INDEX('Game Records'!$U:$U,$H89)&lt;&gt;"Subscription",INDEX('Game Records'!$U:$U,$H89)&lt;&gt;"Free Game",INDEX('Game Records'!$U:$U,$H89)&lt;&gt;"Disqualified — Free Game",OR(INDEX('Game Records'!$E:$E,$H89)="",LOWER(INDEX('Game Records'!$E:$E,$H89)&amp;"")="n/a")),"Game Type; ","")&amp;IF(INDEX('Game Records'!$F:$F,$H89)="","Payment Type; ","")&amp;IF(AND(INDEX('Game Records'!$U:$U,$H89)&lt;&gt;"Subscription",INDEX('Game Records'!$U:$U,$H89)&lt;&gt;"Free Game",INDEX('Game Records'!$U:$U,$H89)&lt;&gt;"Disqualified — Free Game",INDEX('Game Records'!$G:$G,$H89)=""),"Gross Pot; ","")&amp;IF(AND(INDEX('Game Records'!$U:$U,$H89)&lt;&gt;"Free Game",INDEX('Game Records'!$U:$U,$H89)&lt;&gt;"Disqualified — Free Game",INDEX('Game Records'!$H:$H,$H89)=""),"Entry Fee; ","")&amp;IF(AND(INDEX('Game Records'!$U:$U,$H89)&lt;&gt;"Subscription",INDEX('Game Records'!$U:$U,$H89)&lt;&gt;"Free Game",INDEX('Game Records'!$U:$U,$H89)&lt;&gt;"Disqualified — Free Game",INDEX('Game Records'!$I:$I,$H89)=""),"Eligible Players; ","")&amp;IF(AND(INDEX('Game Records'!$U:$U,$H89)&lt;&gt;"Subscription",INDEX('Game Records'!$U:$U,$H89)&lt;&gt;"Free Game",INDEX('Game Records'!$U:$U,$H89)&lt;&gt;"Disqualified — Free Game",INDEX('Game Records'!$J:$J,$H89)=""),"Total Players; ","")&amp;IF(AND(LOWER(INDEX('Game Records'!$D:$D,$H89)&amp;"")="finalized",LOWER(INDEX('Game Records'!$L:$L,$H89)&amp;"")&lt;&gt;"yes",INDEX('Game Records'!$U:$U,$H89)&lt;&gt;"Subscription",INDEX('Game Records'!$U:$U,$H89)&lt;&gt;"Free Game",INDEX('Game Records'!$U:$U,$H89)&lt;&gt;"Disqualified — Free Game",INDEX('Game Records'!$K:$K,$H89)=""),"Final Earned; ","")&amp;IF(AND(LOWER(INDEX('Game Records'!$D:$D,$H89)&amp;"")="finalized",INDEX('Game Records'!$U:$U,$H89)&lt;&gt;"Subscription",INDEX('Game Records'!$U:$U,$H89)&lt;&gt;"Free Game",INDEX('Game Records'!$U:$U,$H89)&lt;&gt;"Disqualified — Free Game",OR(INDEX('Game Records'!$L:$L,$H89)="",LOWER(INDEX('Game Records'!$L:$L,$H89)&amp;"")="n/a")),"Disqualified Status; ","")&amp;IF(AND(OR(LOWER(TRIM(INDEX('Game Records'!$F:$F,$H89)&amp;""))="free game",INDEX('Game Records'!$U:$U,$H89)="Free Game",INDEX('Game Records'!$U:$U,$H89)="Disqualified — Free Game"),N(INDEX('Game Records'!$H:$H,$H89))&lt;&gt;0),"Free Game has a non-zero Entry Fee. Free Game records require a $0 Entry Fee; ",""))</f>
        <v/>
      </c>
      <c r="G89" s="331" t="str">
        <f>IF($H89="","",IFERROR(INDEX('Game Records'!$M:$M,$H89),""))</f>
        <v/>
      </c>
      <c r="H89" s="104" t="str">
        <f>IF($H88="","",IFERROR(MATCH(1,INDEX((ROW('Game Records'!$U$5:$U$504)&gt;$H88)*(('Game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9" s="104"/>
      <c r="J89" s="104"/>
    </row>
    <row r="90" ht="24" hidden="0" customHeight="1">
      <c r="A90" s="332" t="str">
        <f>IF($H90="","",ROWS($A$5:A90))</f>
        <v/>
      </c>
      <c r="B90" s="332" t="str">
        <f>IF($H90="","","G-"&amp;TEXT($A90,"0000"))</f>
        <v/>
      </c>
      <c r="C90" s="331" t="str">
        <f>IF($H90="","",IFERROR(INDEX('Game Records'!$A:$A,$H90),""))</f>
        <v/>
      </c>
      <c r="D90" s="331" t="str">
        <f>IF($H90="","",IFERROR(INDEX('Game Records'!$U:$U,$H90),""))</f>
        <v/>
      </c>
      <c r="E90" s="331" t="str">
        <f>IF($H90="","",IF($F90="","No Highlighted Fields","Highlighted Fields Present"))</f>
        <v/>
      </c>
      <c r="F90" s="331" t="str">
        <f>IF($H90="","",IF(OR(NOT(ISFORMULA(INDEX('Game Records'!$N:$N,$H90))),NOT(ISFORMULA(INDEX('Game Records'!$O:$O,$H90))),NOT(ISFORMULA(INDEX('Game Records'!$P:$P,$H90))),NOT(ISFORMULA(INDEX('Game Records'!$Q:$Q,$H90))),NOT(ISFORMULA(INDEX('Game Records'!$R:$R,$H90))),NOT(ISFORMULA(INDEX('Game Records'!$S:$S,$H90))),NOT(ISFORMULA(INDEX('Game Records'!$T:$T,$H90))),NOT(ISFORMULA(INDEX('Game Records'!$U:$U,$H90))),NOT(ISFORMULA(INDEX('Game Records'!$V:$V,$H90))),NOT(ISFORMULA(INDEX('Game Records'!$W:$W,$H90))),NOT(ISFORMULA(INDEX('Game Records'!$X:$X,$H90))),NOT(ISFORMULA(INDEX('Game Records'!$Y:$Y,$H90))),NOT(ISFORMULA(INDEX('Game Records'!$Z:$Z,$H90)))),"Formula columns missing; ","")&amp;IF(INDEX('Game Records'!$B:$B,$H90)="","Start Date; ","")&amp;IF(INDEX('Game Records'!$C:$C,$H90)="","End Date; ","")&amp;IF(AND(INDEX('Game Records'!$U:$U,$H90)&lt;&gt;"Subscription",INDEX('Game Records'!$U:$U,$H90)&lt;&gt;"Free Game",INDEX('Game Records'!$U:$U,$H90)&lt;&gt;"Disqualified — Free Game",OR(INDEX('Game Records'!$D:$D,$H90)="",LOWER(INDEX('Game Records'!$D:$D,$H90)&amp;"")="n/a")),"Entry Mode; ","")&amp;IF(AND(INDEX('Game Records'!$U:$U,$H90)&lt;&gt;"Subscription",INDEX('Game Records'!$U:$U,$H90)&lt;&gt;"Free Game",INDEX('Game Records'!$U:$U,$H90)&lt;&gt;"Disqualified — Free Game",OR(INDEX('Game Records'!$E:$E,$H90)="",LOWER(INDEX('Game Records'!$E:$E,$H90)&amp;"")="n/a")),"Game Type; ","")&amp;IF(INDEX('Game Records'!$F:$F,$H90)="","Payment Type; ","")&amp;IF(AND(INDEX('Game Records'!$U:$U,$H90)&lt;&gt;"Subscription",INDEX('Game Records'!$U:$U,$H90)&lt;&gt;"Free Game",INDEX('Game Records'!$U:$U,$H90)&lt;&gt;"Disqualified — Free Game",INDEX('Game Records'!$G:$G,$H90)=""),"Gross Pot; ","")&amp;IF(AND(INDEX('Game Records'!$U:$U,$H90)&lt;&gt;"Free Game",INDEX('Game Records'!$U:$U,$H90)&lt;&gt;"Disqualified — Free Game",INDEX('Game Records'!$H:$H,$H90)=""),"Entry Fee; ","")&amp;IF(AND(INDEX('Game Records'!$U:$U,$H90)&lt;&gt;"Subscription",INDEX('Game Records'!$U:$U,$H90)&lt;&gt;"Free Game",INDEX('Game Records'!$U:$U,$H90)&lt;&gt;"Disqualified — Free Game",INDEX('Game Records'!$I:$I,$H90)=""),"Eligible Players; ","")&amp;IF(AND(INDEX('Game Records'!$U:$U,$H90)&lt;&gt;"Subscription",INDEX('Game Records'!$U:$U,$H90)&lt;&gt;"Free Game",INDEX('Game Records'!$U:$U,$H90)&lt;&gt;"Disqualified — Free Game",INDEX('Game Records'!$J:$J,$H90)=""),"Total Players; ","")&amp;IF(AND(LOWER(INDEX('Game Records'!$D:$D,$H90)&amp;"")="finalized",LOWER(INDEX('Game Records'!$L:$L,$H90)&amp;"")&lt;&gt;"yes",INDEX('Game Records'!$U:$U,$H90)&lt;&gt;"Subscription",INDEX('Game Records'!$U:$U,$H90)&lt;&gt;"Free Game",INDEX('Game Records'!$U:$U,$H90)&lt;&gt;"Disqualified — Free Game",INDEX('Game Records'!$K:$K,$H90)=""),"Final Earned; ","")&amp;IF(AND(LOWER(INDEX('Game Records'!$D:$D,$H90)&amp;"")="finalized",INDEX('Game Records'!$U:$U,$H90)&lt;&gt;"Subscription",INDEX('Game Records'!$U:$U,$H90)&lt;&gt;"Free Game",INDEX('Game Records'!$U:$U,$H90)&lt;&gt;"Disqualified — Free Game",OR(INDEX('Game Records'!$L:$L,$H90)="",LOWER(INDEX('Game Records'!$L:$L,$H90)&amp;"")="n/a")),"Disqualified Status; ","")&amp;IF(AND(OR(LOWER(TRIM(INDEX('Game Records'!$F:$F,$H90)&amp;""))="free game",INDEX('Game Records'!$U:$U,$H90)="Free Game",INDEX('Game Records'!$U:$U,$H90)="Disqualified — Free Game"),N(INDEX('Game Records'!$H:$H,$H90))&lt;&gt;0),"Free Game has a non-zero Entry Fee. Free Game records require a $0 Entry Fee; ",""))</f>
        <v/>
      </c>
      <c r="G90" s="331" t="str">
        <f>IF($H90="","",IFERROR(INDEX('Game Records'!$M:$M,$H90),""))</f>
        <v/>
      </c>
      <c r="H90" s="104" t="str">
        <f>IF($H89="","",IFERROR(MATCH(1,INDEX((ROW('Game Records'!$U$5:$U$504)&gt;$H89)*(('Game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0" s="104"/>
      <c r="J90" s="104"/>
    </row>
    <row r="91" ht="24" hidden="0" customHeight="1">
      <c r="A91" s="332" t="str">
        <f>IF($H91="","",ROWS($A$5:A91))</f>
        <v/>
      </c>
      <c r="B91" s="332" t="str">
        <f>IF($H91="","","G-"&amp;TEXT($A91,"0000"))</f>
        <v/>
      </c>
      <c r="C91" s="331" t="str">
        <f>IF($H91="","",IFERROR(INDEX('Game Records'!$A:$A,$H91),""))</f>
        <v/>
      </c>
      <c r="D91" s="331" t="str">
        <f>IF($H91="","",IFERROR(INDEX('Game Records'!$U:$U,$H91),""))</f>
        <v/>
      </c>
      <c r="E91" s="331" t="str">
        <f>IF($H91="","",IF($F91="","No Highlighted Fields","Highlighted Fields Present"))</f>
        <v/>
      </c>
      <c r="F91" s="331" t="str">
        <f>IF($H91="","",IF(OR(NOT(ISFORMULA(INDEX('Game Records'!$N:$N,$H91))),NOT(ISFORMULA(INDEX('Game Records'!$O:$O,$H91))),NOT(ISFORMULA(INDEX('Game Records'!$P:$P,$H91))),NOT(ISFORMULA(INDEX('Game Records'!$Q:$Q,$H91))),NOT(ISFORMULA(INDEX('Game Records'!$R:$R,$H91))),NOT(ISFORMULA(INDEX('Game Records'!$S:$S,$H91))),NOT(ISFORMULA(INDEX('Game Records'!$T:$T,$H91))),NOT(ISFORMULA(INDEX('Game Records'!$U:$U,$H91))),NOT(ISFORMULA(INDEX('Game Records'!$V:$V,$H91))),NOT(ISFORMULA(INDEX('Game Records'!$W:$W,$H91))),NOT(ISFORMULA(INDEX('Game Records'!$X:$X,$H91))),NOT(ISFORMULA(INDEX('Game Records'!$Y:$Y,$H91))),NOT(ISFORMULA(INDEX('Game Records'!$Z:$Z,$H91)))),"Formula columns missing; ","")&amp;IF(INDEX('Game Records'!$B:$B,$H91)="","Start Date; ","")&amp;IF(INDEX('Game Records'!$C:$C,$H91)="","End Date; ","")&amp;IF(AND(INDEX('Game Records'!$U:$U,$H91)&lt;&gt;"Subscription",INDEX('Game Records'!$U:$U,$H91)&lt;&gt;"Free Game",INDEX('Game Records'!$U:$U,$H91)&lt;&gt;"Disqualified — Free Game",OR(INDEX('Game Records'!$D:$D,$H91)="",LOWER(INDEX('Game Records'!$D:$D,$H91)&amp;"")="n/a")),"Entry Mode; ","")&amp;IF(AND(INDEX('Game Records'!$U:$U,$H91)&lt;&gt;"Subscription",INDEX('Game Records'!$U:$U,$H91)&lt;&gt;"Free Game",INDEX('Game Records'!$U:$U,$H91)&lt;&gt;"Disqualified — Free Game",OR(INDEX('Game Records'!$E:$E,$H91)="",LOWER(INDEX('Game Records'!$E:$E,$H91)&amp;"")="n/a")),"Game Type; ","")&amp;IF(INDEX('Game Records'!$F:$F,$H91)="","Payment Type; ","")&amp;IF(AND(INDEX('Game Records'!$U:$U,$H91)&lt;&gt;"Subscription",INDEX('Game Records'!$U:$U,$H91)&lt;&gt;"Free Game",INDEX('Game Records'!$U:$U,$H91)&lt;&gt;"Disqualified — Free Game",INDEX('Game Records'!$G:$G,$H91)=""),"Gross Pot; ","")&amp;IF(AND(INDEX('Game Records'!$U:$U,$H91)&lt;&gt;"Free Game",INDEX('Game Records'!$U:$U,$H91)&lt;&gt;"Disqualified — Free Game",INDEX('Game Records'!$H:$H,$H91)=""),"Entry Fee; ","")&amp;IF(AND(INDEX('Game Records'!$U:$U,$H91)&lt;&gt;"Subscription",INDEX('Game Records'!$U:$U,$H91)&lt;&gt;"Free Game",INDEX('Game Records'!$U:$U,$H91)&lt;&gt;"Disqualified — Free Game",INDEX('Game Records'!$I:$I,$H91)=""),"Eligible Players; ","")&amp;IF(AND(INDEX('Game Records'!$U:$U,$H91)&lt;&gt;"Subscription",INDEX('Game Records'!$U:$U,$H91)&lt;&gt;"Free Game",INDEX('Game Records'!$U:$U,$H91)&lt;&gt;"Disqualified — Free Game",INDEX('Game Records'!$J:$J,$H91)=""),"Total Players; ","")&amp;IF(AND(LOWER(INDEX('Game Records'!$D:$D,$H91)&amp;"")="finalized",LOWER(INDEX('Game Records'!$L:$L,$H91)&amp;"")&lt;&gt;"yes",INDEX('Game Records'!$U:$U,$H91)&lt;&gt;"Subscription",INDEX('Game Records'!$U:$U,$H91)&lt;&gt;"Free Game",INDEX('Game Records'!$U:$U,$H91)&lt;&gt;"Disqualified — Free Game",INDEX('Game Records'!$K:$K,$H91)=""),"Final Earned; ","")&amp;IF(AND(LOWER(INDEX('Game Records'!$D:$D,$H91)&amp;"")="finalized",INDEX('Game Records'!$U:$U,$H91)&lt;&gt;"Subscription",INDEX('Game Records'!$U:$U,$H91)&lt;&gt;"Free Game",INDEX('Game Records'!$U:$U,$H91)&lt;&gt;"Disqualified — Free Game",OR(INDEX('Game Records'!$L:$L,$H91)="",LOWER(INDEX('Game Records'!$L:$L,$H91)&amp;"")="n/a")),"Disqualified Status; ","")&amp;IF(AND(OR(LOWER(TRIM(INDEX('Game Records'!$F:$F,$H91)&amp;""))="free game",INDEX('Game Records'!$U:$U,$H91)="Free Game",INDEX('Game Records'!$U:$U,$H91)="Disqualified — Free Game"),N(INDEX('Game Records'!$H:$H,$H91))&lt;&gt;0),"Free Game has a non-zero Entry Fee. Free Game records require a $0 Entry Fee; ",""))</f>
        <v/>
      </c>
      <c r="G91" s="331" t="str">
        <f>IF($H91="","",IFERROR(INDEX('Game Records'!$M:$M,$H91),""))</f>
        <v/>
      </c>
      <c r="H91" s="104" t="str">
        <f>IF($H90="","",IFERROR(MATCH(1,INDEX((ROW('Game Records'!$U$5:$U$504)&gt;$H90)*(('Game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1" s="104"/>
      <c r="J91" s="104"/>
    </row>
    <row r="92" ht="24" hidden="0" customHeight="1">
      <c r="A92" s="332" t="str">
        <f>IF($H92="","",ROWS($A$5:A92))</f>
        <v/>
      </c>
      <c r="B92" s="332" t="str">
        <f>IF($H92="","","G-"&amp;TEXT($A92,"0000"))</f>
        <v/>
      </c>
      <c r="C92" s="331" t="str">
        <f>IF($H92="","",IFERROR(INDEX('Game Records'!$A:$A,$H92),""))</f>
        <v/>
      </c>
      <c r="D92" s="331" t="str">
        <f>IF($H92="","",IFERROR(INDEX('Game Records'!$U:$U,$H92),""))</f>
        <v/>
      </c>
      <c r="E92" s="331" t="str">
        <f>IF($H92="","",IF($F92="","No Highlighted Fields","Highlighted Fields Present"))</f>
        <v/>
      </c>
      <c r="F92" s="331" t="str">
        <f>IF($H92="","",IF(OR(NOT(ISFORMULA(INDEX('Game Records'!$N:$N,$H92))),NOT(ISFORMULA(INDEX('Game Records'!$O:$O,$H92))),NOT(ISFORMULA(INDEX('Game Records'!$P:$P,$H92))),NOT(ISFORMULA(INDEX('Game Records'!$Q:$Q,$H92))),NOT(ISFORMULA(INDEX('Game Records'!$R:$R,$H92))),NOT(ISFORMULA(INDEX('Game Records'!$S:$S,$H92))),NOT(ISFORMULA(INDEX('Game Records'!$T:$T,$H92))),NOT(ISFORMULA(INDEX('Game Records'!$U:$U,$H92))),NOT(ISFORMULA(INDEX('Game Records'!$V:$V,$H92))),NOT(ISFORMULA(INDEX('Game Records'!$W:$W,$H92))),NOT(ISFORMULA(INDEX('Game Records'!$X:$X,$H92))),NOT(ISFORMULA(INDEX('Game Records'!$Y:$Y,$H92))),NOT(ISFORMULA(INDEX('Game Records'!$Z:$Z,$H92)))),"Formula columns missing; ","")&amp;IF(INDEX('Game Records'!$B:$B,$H92)="","Start Date; ","")&amp;IF(INDEX('Game Records'!$C:$C,$H92)="","End Date; ","")&amp;IF(AND(INDEX('Game Records'!$U:$U,$H92)&lt;&gt;"Subscription",INDEX('Game Records'!$U:$U,$H92)&lt;&gt;"Free Game",INDEX('Game Records'!$U:$U,$H92)&lt;&gt;"Disqualified — Free Game",OR(INDEX('Game Records'!$D:$D,$H92)="",LOWER(INDEX('Game Records'!$D:$D,$H92)&amp;"")="n/a")),"Entry Mode; ","")&amp;IF(AND(INDEX('Game Records'!$U:$U,$H92)&lt;&gt;"Subscription",INDEX('Game Records'!$U:$U,$H92)&lt;&gt;"Free Game",INDEX('Game Records'!$U:$U,$H92)&lt;&gt;"Disqualified — Free Game",OR(INDEX('Game Records'!$E:$E,$H92)="",LOWER(INDEX('Game Records'!$E:$E,$H92)&amp;"")="n/a")),"Game Type; ","")&amp;IF(INDEX('Game Records'!$F:$F,$H92)="","Payment Type; ","")&amp;IF(AND(INDEX('Game Records'!$U:$U,$H92)&lt;&gt;"Subscription",INDEX('Game Records'!$U:$U,$H92)&lt;&gt;"Free Game",INDEX('Game Records'!$U:$U,$H92)&lt;&gt;"Disqualified — Free Game",INDEX('Game Records'!$G:$G,$H92)=""),"Gross Pot; ","")&amp;IF(AND(INDEX('Game Records'!$U:$U,$H92)&lt;&gt;"Free Game",INDEX('Game Records'!$U:$U,$H92)&lt;&gt;"Disqualified — Free Game",INDEX('Game Records'!$H:$H,$H92)=""),"Entry Fee; ","")&amp;IF(AND(INDEX('Game Records'!$U:$U,$H92)&lt;&gt;"Subscription",INDEX('Game Records'!$U:$U,$H92)&lt;&gt;"Free Game",INDEX('Game Records'!$U:$U,$H92)&lt;&gt;"Disqualified — Free Game",INDEX('Game Records'!$I:$I,$H92)=""),"Eligible Players; ","")&amp;IF(AND(INDEX('Game Records'!$U:$U,$H92)&lt;&gt;"Subscription",INDEX('Game Records'!$U:$U,$H92)&lt;&gt;"Free Game",INDEX('Game Records'!$U:$U,$H92)&lt;&gt;"Disqualified — Free Game",INDEX('Game Records'!$J:$J,$H92)=""),"Total Players; ","")&amp;IF(AND(LOWER(INDEX('Game Records'!$D:$D,$H92)&amp;"")="finalized",LOWER(INDEX('Game Records'!$L:$L,$H92)&amp;"")&lt;&gt;"yes",INDEX('Game Records'!$U:$U,$H92)&lt;&gt;"Subscription",INDEX('Game Records'!$U:$U,$H92)&lt;&gt;"Free Game",INDEX('Game Records'!$U:$U,$H92)&lt;&gt;"Disqualified — Free Game",INDEX('Game Records'!$K:$K,$H92)=""),"Final Earned; ","")&amp;IF(AND(LOWER(INDEX('Game Records'!$D:$D,$H92)&amp;"")="finalized",INDEX('Game Records'!$U:$U,$H92)&lt;&gt;"Subscription",INDEX('Game Records'!$U:$U,$H92)&lt;&gt;"Free Game",INDEX('Game Records'!$U:$U,$H92)&lt;&gt;"Disqualified — Free Game",OR(INDEX('Game Records'!$L:$L,$H92)="",LOWER(INDEX('Game Records'!$L:$L,$H92)&amp;"")="n/a")),"Disqualified Status; ","")&amp;IF(AND(OR(LOWER(TRIM(INDEX('Game Records'!$F:$F,$H92)&amp;""))="free game",INDEX('Game Records'!$U:$U,$H92)="Free Game",INDEX('Game Records'!$U:$U,$H92)="Disqualified — Free Game"),N(INDEX('Game Records'!$H:$H,$H92))&lt;&gt;0),"Free Game has a non-zero Entry Fee. Free Game records require a $0 Entry Fee; ",""))</f>
        <v/>
      </c>
      <c r="G92" s="331" t="str">
        <f>IF($H92="","",IFERROR(INDEX('Game Records'!$M:$M,$H92),""))</f>
        <v/>
      </c>
      <c r="H92" s="104" t="str">
        <f>IF($H91="","",IFERROR(MATCH(1,INDEX((ROW('Game Records'!$U$5:$U$504)&gt;$H91)*(('Game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2" s="104"/>
      <c r="J92" s="104"/>
    </row>
    <row r="93" ht="24" hidden="0" customHeight="1">
      <c r="A93" s="332" t="str">
        <f>IF($H93="","",ROWS($A$5:A93))</f>
        <v/>
      </c>
      <c r="B93" s="332" t="str">
        <f>IF($H93="","","G-"&amp;TEXT($A93,"0000"))</f>
        <v/>
      </c>
      <c r="C93" s="331" t="str">
        <f>IF($H93="","",IFERROR(INDEX('Game Records'!$A:$A,$H93),""))</f>
        <v/>
      </c>
      <c r="D93" s="331" t="str">
        <f>IF($H93="","",IFERROR(INDEX('Game Records'!$U:$U,$H93),""))</f>
        <v/>
      </c>
      <c r="E93" s="331" t="str">
        <f>IF($H93="","",IF($F93="","No Highlighted Fields","Highlighted Fields Present"))</f>
        <v/>
      </c>
      <c r="F93" s="331" t="str">
        <f>IF($H93="","",IF(OR(NOT(ISFORMULA(INDEX('Game Records'!$N:$N,$H93))),NOT(ISFORMULA(INDEX('Game Records'!$O:$O,$H93))),NOT(ISFORMULA(INDEX('Game Records'!$P:$P,$H93))),NOT(ISFORMULA(INDEX('Game Records'!$Q:$Q,$H93))),NOT(ISFORMULA(INDEX('Game Records'!$R:$R,$H93))),NOT(ISFORMULA(INDEX('Game Records'!$S:$S,$H93))),NOT(ISFORMULA(INDEX('Game Records'!$T:$T,$H93))),NOT(ISFORMULA(INDEX('Game Records'!$U:$U,$H93))),NOT(ISFORMULA(INDEX('Game Records'!$V:$V,$H93))),NOT(ISFORMULA(INDEX('Game Records'!$W:$W,$H93))),NOT(ISFORMULA(INDEX('Game Records'!$X:$X,$H93))),NOT(ISFORMULA(INDEX('Game Records'!$Y:$Y,$H93))),NOT(ISFORMULA(INDEX('Game Records'!$Z:$Z,$H93)))),"Formula columns missing; ","")&amp;IF(INDEX('Game Records'!$B:$B,$H93)="","Start Date; ","")&amp;IF(INDEX('Game Records'!$C:$C,$H93)="","End Date; ","")&amp;IF(AND(INDEX('Game Records'!$U:$U,$H93)&lt;&gt;"Subscription",INDEX('Game Records'!$U:$U,$H93)&lt;&gt;"Free Game",INDEX('Game Records'!$U:$U,$H93)&lt;&gt;"Disqualified — Free Game",OR(INDEX('Game Records'!$D:$D,$H93)="",LOWER(INDEX('Game Records'!$D:$D,$H93)&amp;"")="n/a")),"Entry Mode; ","")&amp;IF(AND(INDEX('Game Records'!$U:$U,$H93)&lt;&gt;"Subscription",INDEX('Game Records'!$U:$U,$H93)&lt;&gt;"Free Game",INDEX('Game Records'!$U:$U,$H93)&lt;&gt;"Disqualified — Free Game",OR(INDEX('Game Records'!$E:$E,$H93)="",LOWER(INDEX('Game Records'!$E:$E,$H93)&amp;"")="n/a")),"Game Type; ","")&amp;IF(INDEX('Game Records'!$F:$F,$H93)="","Payment Type; ","")&amp;IF(AND(INDEX('Game Records'!$U:$U,$H93)&lt;&gt;"Subscription",INDEX('Game Records'!$U:$U,$H93)&lt;&gt;"Free Game",INDEX('Game Records'!$U:$U,$H93)&lt;&gt;"Disqualified — Free Game",INDEX('Game Records'!$G:$G,$H93)=""),"Gross Pot; ","")&amp;IF(AND(INDEX('Game Records'!$U:$U,$H93)&lt;&gt;"Free Game",INDEX('Game Records'!$U:$U,$H93)&lt;&gt;"Disqualified — Free Game",INDEX('Game Records'!$H:$H,$H93)=""),"Entry Fee; ","")&amp;IF(AND(INDEX('Game Records'!$U:$U,$H93)&lt;&gt;"Subscription",INDEX('Game Records'!$U:$U,$H93)&lt;&gt;"Free Game",INDEX('Game Records'!$U:$U,$H93)&lt;&gt;"Disqualified — Free Game",INDEX('Game Records'!$I:$I,$H93)=""),"Eligible Players; ","")&amp;IF(AND(INDEX('Game Records'!$U:$U,$H93)&lt;&gt;"Subscription",INDEX('Game Records'!$U:$U,$H93)&lt;&gt;"Free Game",INDEX('Game Records'!$U:$U,$H93)&lt;&gt;"Disqualified — Free Game",INDEX('Game Records'!$J:$J,$H93)=""),"Total Players; ","")&amp;IF(AND(LOWER(INDEX('Game Records'!$D:$D,$H93)&amp;"")="finalized",LOWER(INDEX('Game Records'!$L:$L,$H93)&amp;"")&lt;&gt;"yes",INDEX('Game Records'!$U:$U,$H93)&lt;&gt;"Subscription",INDEX('Game Records'!$U:$U,$H93)&lt;&gt;"Free Game",INDEX('Game Records'!$U:$U,$H93)&lt;&gt;"Disqualified — Free Game",INDEX('Game Records'!$K:$K,$H93)=""),"Final Earned; ","")&amp;IF(AND(LOWER(INDEX('Game Records'!$D:$D,$H93)&amp;"")="finalized",INDEX('Game Records'!$U:$U,$H93)&lt;&gt;"Subscription",INDEX('Game Records'!$U:$U,$H93)&lt;&gt;"Free Game",INDEX('Game Records'!$U:$U,$H93)&lt;&gt;"Disqualified — Free Game",OR(INDEX('Game Records'!$L:$L,$H93)="",LOWER(INDEX('Game Records'!$L:$L,$H93)&amp;"")="n/a")),"Disqualified Status; ","")&amp;IF(AND(OR(LOWER(TRIM(INDEX('Game Records'!$F:$F,$H93)&amp;""))="free game",INDEX('Game Records'!$U:$U,$H93)="Free Game",INDEX('Game Records'!$U:$U,$H93)="Disqualified — Free Game"),N(INDEX('Game Records'!$H:$H,$H93))&lt;&gt;0),"Free Game has a non-zero Entry Fee. Free Game records require a $0 Entry Fee; ",""))</f>
        <v/>
      </c>
      <c r="G93" s="331" t="str">
        <f>IF($H93="","",IFERROR(INDEX('Game Records'!$M:$M,$H93),""))</f>
        <v/>
      </c>
      <c r="H93" s="104" t="str">
        <f>IF($H92="","",IFERROR(MATCH(1,INDEX((ROW('Game Records'!$U$5:$U$504)&gt;$H92)*(('Game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3" s="104"/>
      <c r="J93" s="104"/>
    </row>
    <row r="94" ht="24" hidden="0" customHeight="1">
      <c r="A94" s="332" t="str">
        <f>IF($H94="","",ROWS($A$5:A94))</f>
        <v/>
      </c>
      <c r="B94" s="332" t="str">
        <f>IF($H94="","","G-"&amp;TEXT($A94,"0000"))</f>
        <v/>
      </c>
      <c r="C94" s="331" t="str">
        <f>IF($H94="","",IFERROR(INDEX('Game Records'!$A:$A,$H94),""))</f>
        <v/>
      </c>
      <c r="D94" s="331" t="str">
        <f>IF($H94="","",IFERROR(INDEX('Game Records'!$U:$U,$H94),""))</f>
        <v/>
      </c>
      <c r="E94" s="331" t="str">
        <f>IF($H94="","",IF($F94="","No Highlighted Fields","Highlighted Fields Present"))</f>
        <v/>
      </c>
      <c r="F94" s="331" t="str">
        <f>IF($H94="","",IF(OR(NOT(ISFORMULA(INDEX('Game Records'!$N:$N,$H94))),NOT(ISFORMULA(INDEX('Game Records'!$O:$O,$H94))),NOT(ISFORMULA(INDEX('Game Records'!$P:$P,$H94))),NOT(ISFORMULA(INDEX('Game Records'!$Q:$Q,$H94))),NOT(ISFORMULA(INDEX('Game Records'!$R:$R,$H94))),NOT(ISFORMULA(INDEX('Game Records'!$S:$S,$H94))),NOT(ISFORMULA(INDEX('Game Records'!$T:$T,$H94))),NOT(ISFORMULA(INDEX('Game Records'!$U:$U,$H94))),NOT(ISFORMULA(INDEX('Game Records'!$V:$V,$H94))),NOT(ISFORMULA(INDEX('Game Records'!$W:$W,$H94))),NOT(ISFORMULA(INDEX('Game Records'!$X:$X,$H94))),NOT(ISFORMULA(INDEX('Game Records'!$Y:$Y,$H94))),NOT(ISFORMULA(INDEX('Game Records'!$Z:$Z,$H94)))),"Formula columns missing; ","")&amp;IF(INDEX('Game Records'!$B:$B,$H94)="","Start Date; ","")&amp;IF(INDEX('Game Records'!$C:$C,$H94)="","End Date; ","")&amp;IF(AND(INDEX('Game Records'!$U:$U,$H94)&lt;&gt;"Subscription",INDEX('Game Records'!$U:$U,$H94)&lt;&gt;"Free Game",INDEX('Game Records'!$U:$U,$H94)&lt;&gt;"Disqualified — Free Game",OR(INDEX('Game Records'!$D:$D,$H94)="",LOWER(INDEX('Game Records'!$D:$D,$H94)&amp;"")="n/a")),"Entry Mode; ","")&amp;IF(AND(INDEX('Game Records'!$U:$U,$H94)&lt;&gt;"Subscription",INDEX('Game Records'!$U:$U,$H94)&lt;&gt;"Free Game",INDEX('Game Records'!$U:$U,$H94)&lt;&gt;"Disqualified — Free Game",OR(INDEX('Game Records'!$E:$E,$H94)="",LOWER(INDEX('Game Records'!$E:$E,$H94)&amp;"")="n/a")),"Game Type; ","")&amp;IF(INDEX('Game Records'!$F:$F,$H94)="","Payment Type; ","")&amp;IF(AND(INDEX('Game Records'!$U:$U,$H94)&lt;&gt;"Subscription",INDEX('Game Records'!$U:$U,$H94)&lt;&gt;"Free Game",INDEX('Game Records'!$U:$U,$H94)&lt;&gt;"Disqualified — Free Game",INDEX('Game Records'!$G:$G,$H94)=""),"Gross Pot; ","")&amp;IF(AND(INDEX('Game Records'!$U:$U,$H94)&lt;&gt;"Free Game",INDEX('Game Records'!$U:$U,$H94)&lt;&gt;"Disqualified — Free Game",INDEX('Game Records'!$H:$H,$H94)=""),"Entry Fee; ","")&amp;IF(AND(INDEX('Game Records'!$U:$U,$H94)&lt;&gt;"Subscription",INDEX('Game Records'!$U:$U,$H94)&lt;&gt;"Free Game",INDEX('Game Records'!$U:$U,$H94)&lt;&gt;"Disqualified — Free Game",INDEX('Game Records'!$I:$I,$H94)=""),"Eligible Players; ","")&amp;IF(AND(INDEX('Game Records'!$U:$U,$H94)&lt;&gt;"Subscription",INDEX('Game Records'!$U:$U,$H94)&lt;&gt;"Free Game",INDEX('Game Records'!$U:$U,$H94)&lt;&gt;"Disqualified — Free Game",INDEX('Game Records'!$J:$J,$H94)=""),"Total Players; ","")&amp;IF(AND(LOWER(INDEX('Game Records'!$D:$D,$H94)&amp;"")="finalized",LOWER(INDEX('Game Records'!$L:$L,$H94)&amp;"")&lt;&gt;"yes",INDEX('Game Records'!$U:$U,$H94)&lt;&gt;"Subscription",INDEX('Game Records'!$U:$U,$H94)&lt;&gt;"Free Game",INDEX('Game Records'!$U:$U,$H94)&lt;&gt;"Disqualified — Free Game",INDEX('Game Records'!$K:$K,$H94)=""),"Final Earned; ","")&amp;IF(AND(LOWER(INDEX('Game Records'!$D:$D,$H94)&amp;"")="finalized",INDEX('Game Records'!$U:$U,$H94)&lt;&gt;"Subscription",INDEX('Game Records'!$U:$U,$H94)&lt;&gt;"Free Game",INDEX('Game Records'!$U:$U,$H94)&lt;&gt;"Disqualified — Free Game",OR(INDEX('Game Records'!$L:$L,$H94)="",LOWER(INDEX('Game Records'!$L:$L,$H94)&amp;"")="n/a")),"Disqualified Status; ","")&amp;IF(AND(OR(LOWER(TRIM(INDEX('Game Records'!$F:$F,$H94)&amp;""))="free game",INDEX('Game Records'!$U:$U,$H94)="Free Game",INDEX('Game Records'!$U:$U,$H94)="Disqualified — Free Game"),N(INDEX('Game Records'!$H:$H,$H94))&lt;&gt;0),"Free Game has a non-zero Entry Fee. Free Game records require a $0 Entry Fee; ",""))</f>
        <v/>
      </c>
      <c r="G94" s="331" t="str">
        <f>IF($H94="","",IFERROR(INDEX('Game Records'!$M:$M,$H94),""))</f>
        <v/>
      </c>
      <c r="H94" s="104" t="str">
        <f>IF($H93="","",IFERROR(MATCH(1,INDEX((ROW('Game Records'!$U$5:$U$504)&gt;$H93)*(('Game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4" s="104"/>
      <c r="J94" s="104"/>
    </row>
    <row r="95" ht="24" hidden="0" customHeight="1">
      <c r="A95" s="332" t="str">
        <f>IF($H95="","",ROWS($A$5:A95))</f>
        <v/>
      </c>
      <c r="B95" s="332" t="str">
        <f>IF($H95="","","G-"&amp;TEXT($A95,"0000"))</f>
        <v/>
      </c>
      <c r="C95" s="331" t="str">
        <f>IF($H95="","",IFERROR(INDEX('Game Records'!$A:$A,$H95),""))</f>
        <v/>
      </c>
      <c r="D95" s="331" t="str">
        <f>IF($H95="","",IFERROR(INDEX('Game Records'!$U:$U,$H95),""))</f>
        <v/>
      </c>
      <c r="E95" s="331" t="str">
        <f>IF($H95="","",IF($F95="","No Highlighted Fields","Highlighted Fields Present"))</f>
        <v/>
      </c>
      <c r="F95" s="331" t="str">
        <f>IF($H95="","",IF(OR(NOT(ISFORMULA(INDEX('Game Records'!$N:$N,$H95))),NOT(ISFORMULA(INDEX('Game Records'!$O:$O,$H95))),NOT(ISFORMULA(INDEX('Game Records'!$P:$P,$H95))),NOT(ISFORMULA(INDEX('Game Records'!$Q:$Q,$H95))),NOT(ISFORMULA(INDEX('Game Records'!$R:$R,$H95))),NOT(ISFORMULA(INDEX('Game Records'!$S:$S,$H95))),NOT(ISFORMULA(INDEX('Game Records'!$T:$T,$H95))),NOT(ISFORMULA(INDEX('Game Records'!$U:$U,$H95))),NOT(ISFORMULA(INDEX('Game Records'!$V:$V,$H95))),NOT(ISFORMULA(INDEX('Game Records'!$W:$W,$H95))),NOT(ISFORMULA(INDEX('Game Records'!$X:$X,$H95))),NOT(ISFORMULA(INDEX('Game Records'!$Y:$Y,$H95))),NOT(ISFORMULA(INDEX('Game Records'!$Z:$Z,$H95)))),"Formula columns missing; ","")&amp;IF(INDEX('Game Records'!$B:$B,$H95)="","Start Date; ","")&amp;IF(INDEX('Game Records'!$C:$C,$H95)="","End Date; ","")&amp;IF(AND(INDEX('Game Records'!$U:$U,$H95)&lt;&gt;"Subscription",INDEX('Game Records'!$U:$U,$H95)&lt;&gt;"Free Game",INDEX('Game Records'!$U:$U,$H95)&lt;&gt;"Disqualified — Free Game",OR(INDEX('Game Records'!$D:$D,$H95)="",LOWER(INDEX('Game Records'!$D:$D,$H95)&amp;"")="n/a")),"Entry Mode; ","")&amp;IF(AND(INDEX('Game Records'!$U:$U,$H95)&lt;&gt;"Subscription",INDEX('Game Records'!$U:$U,$H95)&lt;&gt;"Free Game",INDEX('Game Records'!$U:$U,$H95)&lt;&gt;"Disqualified — Free Game",OR(INDEX('Game Records'!$E:$E,$H95)="",LOWER(INDEX('Game Records'!$E:$E,$H95)&amp;"")="n/a")),"Game Type; ","")&amp;IF(INDEX('Game Records'!$F:$F,$H95)="","Payment Type; ","")&amp;IF(AND(INDEX('Game Records'!$U:$U,$H95)&lt;&gt;"Subscription",INDEX('Game Records'!$U:$U,$H95)&lt;&gt;"Free Game",INDEX('Game Records'!$U:$U,$H95)&lt;&gt;"Disqualified — Free Game",INDEX('Game Records'!$G:$G,$H95)=""),"Gross Pot; ","")&amp;IF(AND(INDEX('Game Records'!$U:$U,$H95)&lt;&gt;"Free Game",INDEX('Game Records'!$U:$U,$H95)&lt;&gt;"Disqualified — Free Game",INDEX('Game Records'!$H:$H,$H95)=""),"Entry Fee; ","")&amp;IF(AND(INDEX('Game Records'!$U:$U,$H95)&lt;&gt;"Subscription",INDEX('Game Records'!$U:$U,$H95)&lt;&gt;"Free Game",INDEX('Game Records'!$U:$U,$H95)&lt;&gt;"Disqualified — Free Game",INDEX('Game Records'!$I:$I,$H95)=""),"Eligible Players; ","")&amp;IF(AND(INDEX('Game Records'!$U:$U,$H95)&lt;&gt;"Subscription",INDEX('Game Records'!$U:$U,$H95)&lt;&gt;"Free Game",INDEX('Game Records'!$U:$U,$H95)&lt;&gt;"Disqualified — Free Game",INDEX('Game Records'!$J:$J,$H95)=""),"Total Players; ","")&amp;IF(AND(LOWER(INDEX('Game Records'!$D:$D,$H95)&amp;"")="finalized",LOWER(INDEX('Game Records'!$L:$L,$H95)&amp;"")&lt;&gt;"yes",INDEX('Game Records'!$U:$U,$H95)&lt;&gt;"Subscription",INDEX('Game Records'!$U:$U,$H95)&lt;&gt;"Free Game",INDEX('Game Records'!$U:$U,$H95)&lt;&gt;"Disqualified — Free Game",INDEX('Game Records'!$K:$K,$H95)=""),"Final Earned; ","")&amp;IF(AND(LOWER(INDEX('Game Records'!$D:$D,$H95)&amp;"")="finalized",INDEX('Game Records'!$U:$U,$H95)&lt;&gt;"Subscription",INDEX('Game Records'!$U:$U,$H95)&lt;&gt;"Free Game",INDEX('Game Records'!$U:$U,$H95)&lt;&gt;"Disqualified — Free Game",OR(INDEX('Game Records'!$L:$L,$H95)="",LOWER(INDEX('Game Records'!$L:$L,$H95)&amp;"")="n/a")),"Disqualified Status; ","")&amp;IF(AND(OR(LOWER(TRIM(INDEX('Game Records'!$F:$F,$H95)&amp;""))="free game",INDEX('Game Records'!$U:$U,$H95)="Free Game",INDEX('Game Records'!$U:$U,$H95)="Disqualified — Free Game"),N(INDEX('Game Records'!$H:$H,$H95))&lt;&gt;0),"Free Game has a non-zero Entry Fee. Free Game records require a $0 Entry Fee; ",""))</f>
        <v/>
      </c>
      <c r="G95" s="331" t="str">
        <f>IF($H95="","",IFERROR(INDEX('Game Records'!$M:$M,$H95),""))</f>
        <v/>
      </c>
      <c r="H95" s="104" t="str">
        <f>IF($H94="","",IFERROR(MATCH(1,INDEX((ROW('Game Records'!$U$5:$U$504)&gt;$H94)*(('Game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5" s="104"/>
      <c r="J95" s="104"/>
    </row>
    <row r="96" ht="24" hidden="0" customHeight="1">
      <c r="A96" s="332" t="str">
        <f>IF($H96="","",ROWS($A$5:A96))</f>
        <v/>
      </c>
      <c r="B96" s="332" t="str">
        <f>IF($H96="","","G-"&amp;TEXT($A96,"0000"))</f>
        <v/>
      </c>
      <c r="C96" s="331" t="str">
        <f>IF($H96="","",IFERROR(INDEX('Game Records'!$A:$A,$H96),""))</f>
        <v/>
      </c>
      <c r="D96" s="331" t="str">
        <f>IF($H96="","",IFERROR(INDEX('Game Records'!$U:$U,$H96),""))</f>
        <v/>
      </c>
      <c r="E96" s="331" t="str">
        <f>IF($H96="","",IF($F96="","No Highlighted Fields","Highlighted Fields Present"))</f>
        <v/>
      </c>
      <c r="F96" s="331" t="str">
        <f>IF($H96="","",IF(OR(NOT(ISFORMULA(INDEX('Game Records'!$N:$N,$H96))),NOT(ISFORMULA(INDEX('Game Records'!$O:$O,$H96))),NOT(ISFORMULA(INDEX('Game Records'!$P:$P,$H96))),NOT(ISFORMULA(INDEX('Game Records'!$Q:$Q,$H96))),NOT(ISFORMULA(INDEX('Game Records'!$R:$R,$H96))),NOT(ISFORMULA(INDEX('Game Records'!$S:$S,$H96))),NOT(ISFORMULA(INDEX('Game Records'!$T:$T,$H96))),NOT(ISFORMULA(INDEX('Game Records'!$U:$U,$H96))),NOT(ISFORMULA(INDEX('Game Records'!$V:$V,$H96))),NOT(ISFORMULA(INDEX('Game Records'!$W:$W,$H96))),NOT(ISFORMULA(INDEX('Game Records'!$X:$X,$H96))),NOT(ISFORMULA(INDEX('Game Records'!$Y:$Y,$H96))),NOT(ISFORMULA(INDEX('Game Records'!$Z:$Z,$H96)))),"Formula columns missing; ","")&amp;IF(INDEX('Game Records'!$B:$B,$H96)="","Start Date; ","")&amp;IF(INDEX('Game Records'!$C:$C,$H96)="","End Date; ","")&amp;IF(AND(INDEX('Game Records'!$U:$U,$H96)&lt;&gt;"Subscription",INDEX('Game Records'!$U:$U,$H96)&lt;&gt;"Free Game",INDEX('Game Records'!$U:$U,$H96)&lt;&gt;"Disqualified — Free Game",OR(INDEX('Game Records'!$D:$D,$H96)="",LOWER(INDEX('Game Records'!$D:$D,$H96)&amp;"")="n/a")),"Entry Mode; ","")&amp;IF(AND(INDEX('Game Records'!$U:$U,$H96)&lt;&gt;"Subscription",INDEX('Game Records'!$U:$U,$H96)&lt;&gt;"Free Game",INDEX('Game Records'!$U:$U,$H96)&lt;&gt;"Disqualified — Free Game",OR(INDEX('Game Records'!$E:$E,$H96)="",LOWER(INDEX('Game Records'!$E:$E,$H96)&amp;"")="n/a")),"Game Type; ","")&amp;IF(INDEX('Game Records'!$F:$F,$H96)="","Payment Type; ","")&amp;IF(AND(INDEX('Game Records'!$U:$U,$H96)&lt;&gt;"Subscription",INDEX('Game Records'!$U:$U,$H96)&lt;&gt;"Free Game",INDEX('Game Records'!$U:$U,$H96)&lt;&gt;"Disqualified — Free Game",INDEX('Game Records'!$G:$G,$H96)=""),"Gross Pot; ","")&amp;IF(AND(INDEX('Game Records'!$U:$U,$H96)&lt;&gt;"Free Game",INDEX('Game Records'!$U:$U,$H96)&lt;&gt;"Disqualified — Free Game",INDEX('Game Records'!$H:$H,$H96)=""),"Entry Fee; ","")&amp;IF(AND(INDEX('Game Records'!$U:$U,$H96)&lt;&gt;"Subscription",INDEX('Game Records'!$U:$U,$H96)&lt;&gt;"Free Game",INDEX('Game Records'!$U:$U,$H96)&lt;&gt;"Disqualified — Free Game",INDEX('Game Records'!$I:$I,$H96)=""),"Eligible Players; ","")&amp;IF(AND(INDEX('Game Records'!$U:$U,$H96)&lt;&gt;"Subscription",INDEX('Game Records'!$U:$U,$H96)&lt;&gt;"Free Game",INDEX('Game Records'!$U:$U,$H96)&lt;&gt;"Disqualified — Free Game",INDEX('Game Records'!$J:$J,$H96)=""),"Total Players; ","")&amp;IF(AND(LOWER(INDEX('Game Records'!$D:$D,$H96)&amp;"")="finalized",LOWER(INDEX('Game Records'!$L:$L,$H96)&amp;"")&lt;&gt;"yes",INDEX('Game Records'!$U:$U,$H96)&lt;&gt;"Subscription",INDEX('Game Records'!$U:$U,$H96)&lt;&gt;"Free Game",INDEX('Game Records'!$U:$U,$H96)&lt;&gt;"Disqualified — Free Game",INDEX('Game Records'!$K:$K,$H96)=""),"Final Earned; ","")&amp;IF(AND(LOWER(INDEX('Game Records'!$D:$D,$H96)&amp;"")="finalized",INDEX('Game Records'!$U:$U,$H96)&lt;&gt;"Subscription",INDEX('Game Records'!$U:$U,$H96)&lt;&gt;"Free Game",INDEX('Game Records'!$U:$U,$H96)&lt;&gt;"Disqualified — Free Game",OR(INDEX('Game Records'!$L:$L,$H96)="",LOWER(INDEX('Game Records'!$L:$L,$H96)&amp;"")="n/a")),"Disqualified Status; ","")&amp;IF(AND(OR(LOWER(TRIM(INDEX('Game Records'!$F:$F,$H96)&amp;""))="free game",INDEX('Game Records'!$U:$U,$H96)="Free Game",INDEX('Game Records'!$U:$U,$H96)="Disqualified — Free Game"),N(INDEX('Game Records'!$H:$H,$H96))&lt;&gt;0),"Free Game has a non-zero Entry Fee. Free Game records require a $0 Entry Fee; ",""))</f>
        <v/>
      </c>
      <c r="G96" s="331" t="str">
        <f>IF($H96="","",IFERROR(INDEX('Game Records'!$M:$M,$H96),""))</f>
        <v/>
      </c>
      <c r="H96" s="104" t="str">
        <f>IF($H95="","",IFERROR(MATCH(1,INDEX((ROW('Game Records'!$U$5:$U$504)&gt;$H95)*(('Game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6" s="104"/>
      <c r="J96" s="104"/>
    </row>
    <row r="97" ht="24" hidden="0" customHeight="1">
      <c r="A97" s="332" t="str">
        <f>IF($H97="","",ROWS($A$5:A97))</f>
        <v/>
      </c>
      <c r="B97" s="332" t="str">
        <f>IF($H97="","","G-"&amp;TEXT($A97,"0000"))</f>
        <v/>
      </c>
      <c r="C97" s="331" t="str">
        <f>IF($H97="","",IFERROR(INDEX('Game Records'!$A:$A,$H97),""))</f>
        <v/>
      </c>
      <c r="D97" s="331" t="str">
        <f>IF($H97="","",IFERROR(INDEX('Game Records'!$U:$U,$H97),""))</f>
        <v/>
      </c>
      <c r="E97" s="331" t="str">
        <f>IF($H97="","",IF($F97="","No Highlighted Fields","Highlighted Fields Present"))</f>
        <v/>
      </c>
      <c r="F97" s="331" t="str">
        <f>IF($H97="","",IF(OR(NOT(ISFORMULA(INDEX('Game Records'!$N:$N,$H97))),NOT(ISFORMULA(INDEX('Game Records'!$O:$O,$H97))),NOT(ISFORMULA(INDEX('Game Records'!$P:$P,$H97))),NOT(ISFORMULA(INDEX('Game Records'!$Q:$Q,$H97))),NOT(ISFORMULA(INDEX('Game Records'!$R:$R,$H97))),NOT(ISFORMULA(INDEX('Game Records'!$S:$S,$H97))),NOT(ISFORMULA(INDEX('Game Records'!$T:$T,$H97))),NOT(ISFORMULA(INDEX('Game Records'!$U:$U,$H97))),NOT(ISFORMULA(INDEX('Game Records'!$V:$V,$H97))),NOT(ISFORMULA(INDEX('Game Records'!$W:$W,$H97))),NOT(ISFORMULA(INDEX('Game Records'!$X:$X,$H97))),NOT(ISFORMULA(INDEX('Game Records'!$Y:$Y,$H97))),NOT(ISFORMULA(INDEX('Game Records'!$Z:$Z,$H97)))),"Formula columns missing; ","")&amp;IF(INDEX('Game Records'!$B:$B,$H97)="","Start Date; ","")&amp;IF(INDEX('Game Records'!$C:$C,$H97)="","End Date; ","")&amp;IF(AND(INDEX('Game Records'!$U:$U,$H97)&lt;&gt;"Subscription",INDEX('Game Records'!$U:$U,$H97)&lt;&gt;"Free Game",INDEX('Game Records'!$U:$U,$H97)&lt;&gt;"Disqualified — Free Game",OR(INDEX('Game Records'!$D:$D,$H97)="",LOWER(INDEX('Game Records'!$D:$D,$H97)&amp;"")="n/a")),"Entry Mode; ","")&amp;IF(AND(INDEX('Game Records'!$U:$U,$H97)&lt;&gt;"Subscription",INDEX('Game Records'!$U:$U,$H97)&lt;&gt;"Free Game",INDEX('Game Records'!$U:$U,$H97)&lt;&gt;"Disqualified — Free Game",OR(INDEX('Game Records'!$E:$E,$H97)="",LOWER(INDEX('Game Records'!$E:$E,$H97)&amp;"")="n/a")),"Game Type; ","")&amp;IF(INDEX('Game Records'!$F:$F,$H97)="","Payment Type; ","")&amp;IF(AND(INDEX('Game Records'!$U:$U,$H97)&lt;&gt;"Subscription",INDEX('Game Records'!$U:$U,$H97)&lt;&gt;"Free Game",INDEX('Game Records'!$U:$U,$H97)&lt;&gt;"Disqualified — Free Game",INDEX('Game Records'!$G:$G,$H97)=""),"Gross Pot; ","")&amp;IF(AND(INDEX('Game Records'!$U:$U,$H97)&lt;&gt;"Free Game",INDEX('Game Records'!$U:$U,$H97)&lt;&gt;"Disqualified — Free Game",INDEX('Game Records'!$H:$H,$H97)=""),"Entry Fee; ","")&amp;IF(AND(INDEX('Game Records'!$U:$U,$H97)&lt;&gt;"Subscription",INDEX('Game Records'!$U:$U,$H97)&lt;&gt;"Free Game",INDEX('Game Records'!$U:$U,$H97)&lt;&gt;"Disqualified — Free Game",INDEX('Game Records'!$I:$I,$H97)=""),"Eligible Players; ","")&amp;IF(AND(INDEX('Game Records'!$U:$U,$H97)&lt;&gt;"Subscription",INDEX('Game Records'!$U:$U,$H97)&lt;&gt;"Free Game",INDEX('Game Records'!$U:$U,$H97)&lt;&gt;"Disqualified — Free Game",INDEX('Game Records'!$J:$J,$H97)=""),"Total Players; ","")&amp;IF(AND(LOWER(INDEX('Game Records'!$D:$D,$H97)&amp;"")="finalized",LOWER(INDEX('Game Records'!$L:$L,$H97)&amp;"")&lt;&gt;"yes",INDEX('Game Records'!$U:$U,$H97)&lt;&gt;"Subscription",INDEX('Game Records'!$U:$U,$H97)&lt;&gt;"Free Game",INDEX('Game Records'!$U:$U,$H97)&lt;&gt;"Disqualified — Free Game",INDEX('Game Records'!$K:$K,$H97)=""),"Final Earned; ","")&amp;IF(AND(LOWER(INDEX('Game Records'!$D:$D,$H97)&amp;"")="finalized",INDEX('Game Records'!$U:$U,$H97)&lt;&gt;"Subscription",INDEX('Game Records'!$U:$U,$H97)&lt;&gt;"Free Game",INDEX('Game Records'!$U:$U,$H97)&lt;&gt;"Disqualified — Free Game",OR(INDEX('Game Records'!$L:$L,$H97)="",LOWER(INDEX('Game Records'!$L:$L,$H97)&amp;"")="n/a")),"Disqualified Status; ","")&amp;IF(AND(OR(LOWER(TRIM(INDEX('Game Records'!$F:$F,$H97)&amp;""))="free game",INDEX('Game Records'!$U:$U,$H97)="Free Game",INDEX('Game Records'!$U:$U,$H97)="Disqualified — Free Game"),N(INDEX('Game Records'!$H:$H,$H97))&lt;&gt;0),"Free Game has a non-zero Entry Fee. Free Game records require a $0 Entry Fee; ",""))</f>
        <v/>
      </c>
      <c r="G97" s="331" t="str">
        <f>IF($H97="","",IFERROR(INDEX('Game Records'!$M:$M,$H97),""))</f>
        <v/>
      </c>
      <c r="H97" s="104" t="str">
        <f>IF($H96="","",IFERROR(MATCH(1,INDEX((ROW('Game Records'!$U$5:$U$504)&gt;$H96)*(('Game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7" s="104"/>
      <c r="J97" s="104"/>
    </row>
    <row r="98" ht="24" hidden="0" customHeight="1">
      <c r="A98" s="332" t="str">
        <f>IF($H98="","",ROWS($A$5:A98))</f>
        <v/>
      </c>
      <c r="B98" s="332" t="str">
        <f>IF($H98="","","G-"&amp;TEXT($A98,"0000"))</f>
        <v/>
      </c>
      <c r="C98" s="331" t="str">
        <f>IF($H98="","",IFERROR(INDEX('Game Records'!$A:$A,$H98),""))</f>
        <v/>
      </c>
      <c r="D98" s="331" t="str">
        <f>IF($H98="","",IFERROR(INDEX('Game Records'!$U:$U,$H98),""))</f>
        <v/>
      </c>
      <c r="E98" s="331" t="str">
        <f>IF($H98="","",IF($F98="","No Highlighted Fields","Highlighted Fields Present"))</f>
        <v/>
      </c>
      <c r="F98" s="331" t="str">
        <f>IF($H98="","",IF(OR(NOT(ISFORMULA(INDEX('Game Records'!$N:$N,$H98))),NOT(ISFORMULA(INDEX('Game Records'!$O:$O,$H98))),NOT(ISFORMULA(INDEX('Game Records'!$P:$P,$H98))),NOT(ISFORMULA(INDEX('Game Records'!$Q:$Q,$H98))),NOT(ISFORMULA(INDEX('Game Records'!$R:$R,$H98))),NOT(ISFORMULA(INDEX('Game Records'!$S:$S,$H98))),NOT(ISFORMULA(INDEX('Game Records'!$T:$T,$H98))),NOT(ISFORMULA(INDEX('Game Records'!$U:$U,$H98))),NOT(ISFORMULA(INDEX('Game Records'!$V:$V,$H98))),NOT(ISFORMULA(INDEX('Game Records'!$W:$W,$H98))),NOT(ISFORMULA(INDEX('Game Records'!$X:$X,$H98))),NOT(ISFORMULA(INDEX('Game Records'!$Y:$Y,$H98))),NOT(ISFORMULA(INDEX('Game Records'!$Z:$Z,$H98)))),"Formula columns missing; ","")&amp;IF(INDEX('Game Records'!$B:$B,$H98)="","Start Date; ","")&amp;IF(INDEX('Game Records'!$C:$C,$H98)="","End Date; ","")&amp;IF(AND(INDEX('Game Records'!$U:$U,$H98)&lt;&gt;"Subscription",INDEX('Game Records'!$U:$U,$H98)&lt;&gt;"Free Game",INDEX('Game Records'!$U:$U,$H98)&lt;&gt;"Disqualified — Free Game",OR(INDEX('Game Records'!$D:$D,$H98)="",LOWER(INDEX('Game Records'!$D:$D,$H98)&amp;"")="n/a")),"Entry Mode; ","")&amp;IF(AND(INDEX('Game Records'!$U:$U,$H98)&lt;&gt;"Subscription",INDEX('Game Records'!$U:$U,$H98)&lt;&gt;"Free Game",INDEX('Game Records'!$U:$U,$H98)&lt;&gt;"Disqualified — Free Game",OR(INDEX('Game Records'!$E:$E,$H98)="",LOWER(INDEX('Game Records'!$E:$E,$H98)&amp;"")="n/a")),"Game Type; ","")&amp;IF(INDEX('Game Records'!$F:$F,$H98)="","Payment Type; ","")&amp;IF(AND(INDEX('Game Records'!$U:$U,$H98)&lt;&gt;"Subscription",INDEX('Game Records'!$U:$U,$H98)&lt;&gt;"Free Game",INDEX('Game Records'!$U:$U,$H98)&lt;&gt;"Disqualified — Free Game",INDEX('Game Records'!$G:$G,$H98)=""),"Gross Pot; ","")&amp;IF(AND(INDEX('Game Records'!$U:$U,$H98)&lt;&gt;"Free Game",INDEX('Game Records'!$U:$U,$H98)&lt;&gt;"Disqualified — Free Game",INDEX('Game Records'!$H:$H,$H98)=""),"Entry Fee; ","")&amp;IF(AND(INDEX('Game Records'!$U:$U,$H98)&lt;&gt;"Subscription",INDEX('Game Records'!$U:$U,$H98)&lt;&gt;"Free Game",INDEX('Game Records'!$U:$U,$H98)&lt;&gt;"Disqualified — Free Game",INDEX('Game Records'!$I:$I,$H98)=""),"Eligible Players; ","")&amp;IF(AND(INDEX('Game Records'!$U:$U,$H98)&lt;&gt;"Subscription",INDEX('Game Records'!$U:$U,$H98)&lt;&gt;"Free Game",INDEX('Game Records'!$U:$U,$H98)&lt;&gt;"Disqualified — Free Game",INDEX('Game Records'!$J:$J,$H98)=""),"Total Players; ","")&amp;IF(AND(LOWER(INDEX('Game Records'!$D:$D,$H98)&amp;"")="finalized",LOWER(INDEX('Game Records'!$L:$L,$H98)&amp;"")&lt;&gt;"yes",INDEX('Game Records'!$U:$U,$H98)&lt;&gt;"Subscription",INDEX('Game Records'!$U:$U,$H98)&lt;&gt;"Free Game",INDEX('Game Records'!$U:$U,$H98)&lt;&gt;"Disqualified — Free Game",INDEX('Game Records'!$K:$K,$H98)=""),"Final Earned; ","")&amp;IF(AND(LOWER(INDEX('Game Records'!$D:$D,$H98)&amp;"")="finalized",INDEX('Game Records'!$U:$U,$H98)&lt;&gt;"Subscription",INDEX('Game Records'!$U:$U,$H98)&lt;&gt;"Free Game",INDEX('Game Records'!$U:$U,$H98)&lt;&gt;"Disqualified — Free Game",OR(INDEX('Game Records'!$L:$L,$H98)="",LOWER(INDEX('Game Records'!$L:$L,$H98)&amp;"")="n/a")),"Disqualified Status; ","")&amp;IF(AND(OR(LOWER(TRIM(INDEX('Game Records'!$F:$F,$H98)&amp;""))="free game",INDEX('Game Records'!$U:$U,$H98)="Free Game",INDEX('Game Records'!$U:$U,$H98)="Disqualified — Free Game"),N(INDEX('Game Records'!$H:$H,$H98))&lt;&gt;0),"Free Game has a non-zero Entry Fee. Free Game records require a $0 Entry Fee; ",""))</f>
        <v/>
      </c>
      <c r="G98" s="331" t="str">
        <f>IF($H98="","",IFERROR(INDEX('Game Records'!$M:$M,$H98),""))</f>
        <v/>
      </c>
      <c r="H98" s="104" t="str">
        <f>IF($H97="","",IFERROR(MATCH(1,INDEX((ROW('Game Records'!$U$5:$U$504)&gt;$H97)*(('Game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8" s="104"/>
      <c r="J98" s="104"/>
    </row>
    <row r="99" ht="24" hidden="0" customHeight="1">
      <c r="A99" s="332" t="str">
        <f>IF($H99="","",ROWS($A$5:A99))</f>
        <v/>
      </c>
      <c r="B99" s="332" t="str">
        <f>IF($H99="","","G-"&amp;TEXT($A99,"0000"))</f>
        <v/>
      </c>
      <c r="C99" s="331" t="str">
        <f>IF($H99="","",IFERROR(INDEX('Game Records'!$A:$A,$H99),""))</f>
        <v/>
      </c>
      <c r="D99" s="331" t="str">
        <f>IF($H99="","",IFERROR(INDEX('Game Records'!$U:$U,$H99),""))</f>
        <v/>
      </c>
      <c r="E99" s="331" t="str">
        <f>IF($H99="","",IF($F99="","No Highlighted Fields","Highlighted Fields Present"))</f>
        <v/>
      </c>
      <c r="F99" s="331" t="str">
        <f>IF($H99="","",IF(OR(NOT(ISFORMULA(INDEX('Game Records'!$N:$N,$H99))),NOT(ISFORMULA(INDEX('Game Records'!$O:$O,$H99))),NOT(ISFORMULA(INDEX('Game Records'!$P:$P,$H99))),NOT(ISFORMULA(INDEX('Game Records'!$Q:$Q,$H99))),NOT(ISFORMULA(INDEX('Game Records'!$R:$R,$H99))),NOT(ISFORMULA(INDEX('Game Records'!$S:$S,$H99))),NOT(ISFORMULA(INDEX('Game Records'!$T:$T,$H99))),NOT(ISFORMULA(INDEX('Game Records'!$U:$U,$H99))),NOT(ISFORMULA(INDEX('Game Records'!$V:$V,$H99))),NOT(ISFORMULA(INDEX('Game Records'!$W:$W,$H99))),NOT(ISFORMULA(INDEX('Game Records'!$X:$X,$H99))),NOT(ISFORMULA(INDEX('Game Records'!$Y:$Y,$H99))),NOT(ISFORMULA(INDEX('Game Records'!$Z:$Z,$H99)))),"Formula columns missing; ","")&amp;IF(INDEX('Game Records'!$B:$B,$H99)="","Start Date; ","")&amp;IF(INDEX('Game Records'!$C:$C,$H99)="","End Date; ","")&amp;IF(AND(INDEX('Game Records'!$U:$U,$H99)&lt;&gt;"Subscription",INDEX('Game Records'!$U:$U,$H99)&lt;&gt;"Free Game",INDEX('Game Records'!$U:$U,$H99)&lt;&gt;"Disqualified — Free Game",OR(INDEX('Game Records'!$D:$D,$H99)="",LOWER(INDEX('Game Records'!$D:$D,$H99)&amp;"")="n/a")),"Entry Mode; ","")&amp;IF(AND(INDEX('Game Records'!$U:$U,$H99)&lt;&gt;"Subscription",INDEX('Game Records'!$U:$U,$H99)&lt;&gt;"Free Game",INDEX('Game Records'!$U:$U,$H99)&lt;&gt;"Disqualified — Free Game",OR(INDEX('Game Records'!$E:$E,$H99)="",LOWER(INDEX('Game Records'!$E:$E,$H99)&amp;"")="n/a")),"Game Type; ","")&amp;IF(INDEX('Game Records'!$F:$F,$H99)="","Payment Type; ","")&amp;IF(AND(INDEX('Game Records'!$U:$U,$H99)&lt;&gt;"Subscription",INDEX('Game Records'!$U:$U,$H99)&lt;&gt;"Free Game",INDEX('Game Records'!$U:$U,$H99)&lt;&gt;"Disqualified — Free Game",INDEX('Game Records'!$G:$G,$H99)=""),"Gross Pot; ","")&amp;IF(AND(INDEX('Game Records'!$U:$U,$H99)&lt;&gt;"Free Game",INDEX('Game Records'!$U:$U,$H99)&lt;&gt;"Disqualified — Free Game",INDEX('Game Records'!$H:$H,$H99)=""),"Entry Fee; ","")&amp;IF(AND(INDEX('Game Records'!$U:$U,$H99)&lt;&gt;"Subscription",INDEX('Game Records'!$U:$U,$H99)&lt;&gt;"Free Game",INDEX('Game Records'!$U:$U,$H99)&lt;&gt;"Disqualified — Free Game",INDEX('Game Records'!$I:$I,$H99)=""),"Eligible Players; ","")&amp;IF(AND(INDEX('Game Records'!$U:$U,$H99)&lt;&gt;"Subscription",INDEX('Game Records'!$U:$U,$H99)&lt;&gt;"Free Game",INDEX('Game Records'!$U:$U,$H99)&lt;&gt;"Disqualified — Free Game",INDEX('Game Records'!$J:$J,$H99)=""),"Total Players; ","")&amp;IF(AND(LOWER(INDEX('Game Records'!$D:$D,$H99)&amp;"")="finalized",LOWER(INDEX('Game Records'!$L:$L,$H99)&amp;"")&lt;&gt;"yes",INDEX('Game Records'!$U:$U,$H99)&lt;&gt;"Subscription",INDEX('Game Records'!$U:$U,$H99)&lt;&gt;"Free Game",INDEX('Game Records'!$U:$U,$H99)&lt;&gt;"Disqualified — Free Game",INDEX('Game Records'!$K:$K,$H99)=""),"Final Earned; ","")&amp;IF(AND(LOWER(INDEX('Game Records'!$D:$D,$H99)&amp;"")="finalized",INDEX('Game Records'!$U:$U,$H99)&lt;&gt;"Subscription",INDEX('Game Records'!$U:$U,$H99)&lt;&gt;"Free Game",INDEX('Game Records'!$U:$U,$H99)&lt;&gt;"Disqualified — Free Game",OR(INDEX('Game Records'!$L:$L,$H99)="",LOWER(INDEX('Game Records'!$L:$L,$H99)&amp;"")="n/a")),"Disqualified Status; ","")&amp;IF(AND(OR(LOWER(TRIM(INDEX('Game Records'!$F:$F,$H99)&amp;""))="free game",INDEX('Game Records'!$U:$U,$H99)="Free Game",INDEX('Game Records'!$U:$U,$H99)="Disqualified — Free Game"),N(INDEX('Game Records'!$H:$H,$H99))&lt;&gt;0),"Free Game has a non-zero Entry Fee. Free Game records require a $0 Entry Fee; ",""))</f>
        <v/>
      </c>
      <c r="G99" s="331" t="str">
        <f>IF($H99="","",IFERROR(INDEX('Game Records'!$M:$M,$H99),""))</f>
        <v/>
      </c>
      <c r="H99" s="104" t="str">
        <f>IF($H98="","",IFERROR(MATCH(1,INDEX((ROW('Game Records'!$U$5:$U$504)&gt;$H98)*(('Game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9" s="104"/>
      <c r="J99" s="104"/>
    </row>
    <row r="100" ht="24" hidden="0" customHeight="1">
      <c r="A100" s="332" t="str">
        <f>IF($H100="","",ROWS($A$5:A100))</f>
        <v/>
      </c>
      <c r="B100" s="332" t="str">
        <f>IF($H100="","","G-"&amp;TEXT($A100,"0000"))</f>
        <v/>
      </c>
      <c r="C100" s="331" t="str">
        <f>IF($H100="","",IFERROR(INDEX('Game Records'!$A:$A,$H100),""))</f>
        <v/>
      </c>
      <c r="D100" s="331" t="str">
        <f>IF($H100="","",IFERROR(INDEX('Game Records'!$U:$U,$H100),""))</f>
        <v/>
      </c>
      <c r="E100" s="331" t="str">
        <f>IF($H100="","",IF($F100="","No Highlighted Fields","Highlighted Fields Present"))</f>
        <v/>
      </c>
      <c r="F100" s="331" t="str">
        <f>IF($H100="","",IF(OR(NOT(ISFORMULA(INDEX('Game Records'!$N:$N,$H100))),NOT(ISFORMULA(INDEX('Game Records'!$O:$O,$H100))),NOT(ISFORMULA(INDEX('Game Records'!$P:$P,$H100))),NOT(ISFORMULA(INDEX('Game Records'!$Q:$Q,$H100))),NOT(ISFORMULA(INDEX('Game Records'!$R:$R,$H100))),NOT(ISFORMULA(INDEX('Game Records'!$S:$S,$H100))),NOT(ISFORMULA(INDEX('Game Records'!$T:$T,$H100))),NOT(ISFORMULA(INDEX('Game Records'!$U:$U,$H100))),NOT(ISFORMULA(INDEX('Game Records'!$V:$V,$H100))),NOT(ISFORMULA(INDEX('Game Records'!$W:$W,$H100))),NOT(ISFORMULA(INDEX('Game Records'!$X:$X,$H100))),NOT(ISFORMULA(INDEX('Game Records'!$Y:$Y,$H100))),NOT(ISFORMULA(INDEX('Game Records'!$Z:$Z,$H100)))),"Formula columns missing; ","")&amp;IF(INDEX('Game Records'!$B:$B,$H100)="","Start Date; ","")&amp;IF(INDEX('Game Records'!$C:$C,$H100)="","End Date; ","")&amp;IF(AND(INDEX('Game Records'!$U:$U,$H100)&lt;&gt;"Subscription",INDEX('Game Records'!$U:$U,$H100)&lt;&gt;"Free Game",INDEX('Game Records'!$U:$U,$H100)&lt;&gt;"Disqualified — Free Game",OR(INDEX('Game Records'!$D:$D,$H100)="",LOWER(INDEX('Game Records'!$D:$D,$H100)&amp;"")="n/a")),"Entry Mode; ","")&amp;IF(AND(INDEX('Game Records'!$U:$U,$H100)&lt;&gt;"Subscription",INDEX('Game Records'!$U:$U,$H100)&lt;&gt;"Free Game",INDEX('Game Records'!$U:$U,$H100)&lt;&gt;"Disqualified — Free Game",OR(INDEX('Game Records'!$E:$E,$H100)="",LOWER(INDEX('Game Records'!$E:$E,$H100)&amp;"")="n/a")),"Game Type; ","")&amp;IF(INDEX('Game Records'!$F:$F,$H100)="","Payment Type; ","")&amp;IF(AND(INDEX('Game Records'!$U:$U,$H100)&lt;&gt;"Subscription",INDEX('Game Records'!$U:$U,$H100)&lt;&gt;"Free Game",INDEX('Game Records'!$U:$U,$H100)&lt;&gt;"Disqualified — Free Game",INDEX('Game Records'!$G:$G,$H100)=""),"Gross Pot; ","")&amp;IF(AND(INDEX('Game Records'!$U:$U,$H100)&lt;&gt;"Free Game",INDEX('Game Records'!$U:$U,$H100)&lt;&gt;"Disqualified — Free Game",INDEX('Game Records'!$H:$H,$H100)=""),"Entry Fee; ","")&amp;IF(AND(INDEX('Game Records'!$U:$U,$H100)&lt;&gt;"Subscription",INDEX('Game Records'!$U:$U,$H100)&lt;&gt;"Free Game",INDEX('Game Records'!$U:$U,$H100)&lt;&gt;"Disqualified — Free Game",INDEX('Game Records'!$I:$I,$H100)=""),"Eligible Players; ","")&amp;IF(AND(INDEX('Game Records'!$U:$U,$H100)&lt;&gt;"Subscription",INDEX('Game Records'!$U:$U,$H100)&lt;&gt;"Free Game",INDEX('Game Records'!$U:$U,$H100)&lt;&gt;"Disqualified — Free Game",INDEX('Game Records'!$J:$J,$H100)=""),"Total Players; ","")&amp;IF(AND(LOWER(INDEX('Game Records'!$D:$D,$H100)&amp;"")="finalized",LOWER(INDEX('Game Records'!$L:$L,$H100)&amp;"")&lt;&gt;"yes",INDEX('Game Records'!$U:$U,$H100)&lt;&gt;"Subscription",INDEX('Game Records'!$U:$U,$H100)&lt;&gt;"Free Game",INDEX('Game Records'!$U:$U,$H100)&lt;&gt;"Disqualified — Free Game",INDEX('Game Records'!$K:$K,$H100)=""),"Final Earned; ","")&amp;IF(AND(LOWER(INDEX('Game Records'!$D:$D,$H100)&amp;"")="finalized",INDEX('Game Records'!$U:$U,$H100)&lt;&gt;"Subscription",INDEX('Game Records'!$U:$U,$H100)&lt;&gt;"Free Game",INDEX('Game Records'!$U:$U,$H100)&lt;&gt;"Disqualified — Free Game",OR(INDEX('Game Records'!$L:$L,$H100)="",LOWER(INDEX('Game Records'!$L:$L,$H100)&amp;"")="n/a")),"Disqualified Status; ","")&amp;IF(AND(OR(LOWER(TRIM(INDEX('Game Records'!$F:$F,$H100)&amp;""))="free game",INDEX('Game Records'!$U:$U,$H100)="Free Game",INDEX('Game Records'!$U:$U,$H100)="Disqualified — Free Game"),N(INDEX('Game Records'!$H:$H,$H100))&lt;&gt;0),"Free Game has a non-zero Entry Fee. Free Game records require a $0 Entry Fee; ",""))</f>
        <v/>
      </c>
      <c r="G100" s="331" t="str">
        <f>IF($H100="","",IFERROR(INDEX('Game Records'!$M:$M,$H100),""))</f>
        <v/>
      </c>
      <c r="H100" s="104" t="str">
        <f>IF($H99="","",IFERROR(MATCH(1,INDEX((ROW('Game Records'!$U$5:$U$504)&gt;$H99)*(('Game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0" s="104"/>
      <c r="J100" s="104"/>
    </row>
    <row r="101" ht="24" hidden="0" customHeight="1">
      <c r="A101" s="332" t="str">
        <f>IF($H101="","",ROWS($A$5:A101))</f>
        <v/>
      </c>
      <c r="B101" s="332" t="str">
        <f>IF($H101="","","G-"&amp;TEXT($A101,"0000"))</f>
        <v/>
      </c>
      <c r="C101" s="331" t="str">
        <f>IF($H101="","",IFERROR(INDEX('Game Records'!$A:$A,$H101),""))</f>
        <v/>
      </c>
      <c r="D101" s="331" t="str">
        <f>IF($H101="","",IFERROR(INDEX('Game Records'!$U:$U,$H101),""))</f>
        <v/>
      </c>
      <c r="E101" s="331" t="str">
        <f>IF($H101="","",IF($F101="","No Highlighted Fields","Highlighted Fields Present"))</f>
        <v/>
      </c>
      <c r="F101" s="331" t="str">
        <f>IF($H101="","",IF(OR(NOT(ISFORMULA(INDEX('Game Records'!$N:$N,$H101))),NOT(ISFORMULA(INDEX('Game Records'!$O:$O,$H101))),NOT(ISFORMULA(INDEX('Game Records'!$P:$P,$H101))),NOT(ISFORMULA(INDEX('Game Records'!$Q:$Q,$H101))),NOT(ISFORMULA(INDEX('Game Records'!$R:$R,$H101))),NOT(ISFORMULA(INDEX('Game Records'!$S:$S,$H101))),NOT(ISFORMULA(INDEX('Game Records'!$T:$T,$H101))),NOT(ISFORMULA(INDEX('Game Records'!$U:$U,$H101))),NOT(ISFORMULA(INDEX('Game Records'!$V:$V,$H101))),NOT(ISFORMULA(INDEX('Game Records'!$W:$W,$H101))),NOT(ISFORMULA(INDEX('Game Records'!$X:$X,$H101))),NOT(ISFORMULA(INDEX('Game Records'!$Y:$Y,$H101))),NOT(ISFORMULA(INDEX('Game Records'!$Z:$Z,$H101)))),"Formula columns missing; ","")&amp;IF(INDEX('Game Records'!$B:$B,$H101)="","Start Date; ","")&amp;IF(INDEX('Game Records'!$C:$C,$H101)="","End Date; ","")&amp;IF(AND(INDEX('Game Records'!$U:$U,$H101)&lt;&gt;"Subscription",INDEX('Game Records'!$U:$U,$H101)&lt;&gt;"Free Game",INDEX('Game Records'!$U:$U,$H101)&lt;&gt;"Disqualified — Free Game",OR(INDEX('Game Records'!$D:$D,$H101)="",LOWER(INDEX('Game Records'!$D:$D,$H101)&amp;"")="n/a")),"Entry Mode; ","")&amp;IF(AND(INDEX('Game Records'!$U:$U,$H101)&lt;&gt;"Subscription",INDEX('Game Records'!$U:$U,$H101)&lt;&gt;"Free Game",INDEX('Game Records'!$U:$U,$H101)&lt;&gt;"Disqualified — Free Game",OR(INDEX('Game Records'!$E:$E,$H101)="",LOWER(INDEX('Game Records'!$E:$E,$H101)&amp;"")="n/a")),"Game Type; ","")&amp;IF(INDEX('Game Records'!$F:$F,$H101)="","Payment Type; ","")&amp;IF(AND(INDEX('Game Records'!$U:$U,$H101)&lt;&gt;"Subscription",INDEX('Game Records'!$U:$U,$H101)&lt;&gt;"Free Game",INDEX('Game Records'!$U:$U,$H101)&lt;&gt;"Disqualified — Free Game",INDEX('Game Records'!$G:$G,$H101)=""),"Gross Pot; ","")&amp;IF(AND(INDEX('Game Records'!$U:$U,$H101)&lt;&gt;"Free Game",INDEX('Game Records'!$U:$U,$H101)&lt;&gt;"Disqualified — Free Game",INDEX('Game Records'!$H:$H,$H101)=""),"Entry Fee; ","")&amp;IF(AND(INDEX('Game Records'!$U:$U,$H101)&lt;&gt;"Subscription",INDEX('Game Records'!$U:$U,$H101)&lt;&gt;"Free Game",INDEX('Game Records'!$U:$U,$H101)&lt;&gt;"Disqualified — Free Game",INDEX('Game Records'!$I:$I,$H101)=""),"Eligible Players; ","")&amp;IF(AND(INDEX('Game Records'!$U:$U,$H101)&lt;&gt;"Subscription",INDEX('Game Records'!$U:$U,$H101)&lt;&gt;"Free Game",INDEX('Game Records'!$U:$U,$H101)&lt;&gt;"Disqualified — Free Game",INDEX('Game Records'!$J:$J,$H101)=""),"Total Players; ","")&amp;IF(AND(LOWER(INDEX('Game Records'!$D:$D,$H101)&amp;"")="finalized",LOWER(INDEX('Game Records'!$L:$L,$H101)&amp;"")&lt;&gt;"yes",INDEX('Game Records'!$U:$U,$H101)&lt;&gt;"Subscription",INDEX('Game Records'!$U:$U,$H101)&lt;&gt;"Free Game",INDEX('Game Records'!$U:$U,$H101)&lt;&gt;"Disqualified — Free Game",INDEX('Game Records'!$K:$K,$H101)=""),"Final Earned; ","")&amp;IF(AND(LOWER(INDEX('Game Records'!$D:$D,$H101)&amp;"")="finalized",INDEX('Game Records'!$U:$U,$H101)&lt;&gt;"Subscription",INDEX('Game Records'!$U:$U,$H101)&lt;&gt;"Free Game",INDEX('Game Records'!$U:$U,$H101)&lt;&gt;"Disqualified — Free Game",OR(INDEX('Game Records'!$L:$L,$H101)="",LOWER(INDEX('Game Records'!$L:$L,$H101)&amp;"")="n/a")),"Disqualified Status; ","")&amp;IF(AND(OR(LOWER(TRIM(INDEX('Game Records'!$F:$F,$H101)&amp;""))="free game",INDEX('Game Records'!$U:$U,$H101)="Free Game",INDEX('Game Records'!$U:$U,$H101)="Disqualified — Free Game"),N(INDEX('Game Records'!$H:$H,$H101))&lt;&gt;0),"Free Game has a non-zero Entry Fee. Free Game records require a $0 Entry Fee; ",""))</f>
        <v/>
      </c>
      <c r="G101" s="331" t="str">
        <f>IF($H101="","",IFERROR(INDEX('Game Records'!$M:$M,$H101),""))</f>
        <v/>
      </c>
      <c r="H101" s="104" t="str">
        <f>IF($H100="","",IFERROR(MATCH(1,INDEX((ROW('Game Records'!$U$5:$U$504)&gt;$H100)*(('Game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1" s="104"/>
      <c r="J101" s="104"/>
    </row>
    <row r="102" ht="24" hidden="0" customHeight="1">
      <c r="A102" s="332" t="str">
        <f>IF($H102="","",ROWS($A$5:A102))</f>
        <v/>
      </c>
      <c r="B102" s="332" t="str">
        <f>IF($H102="","","G-"&amp;TEXT($A102,"0000"))</f>
        <v/>
      </c>
      <c r="C102" s="331" t="str">
        <f>IF($H102="","",IFERROR(INDEX('Game Records'!$A:$A,$H102),""))</f>
        <v/>
      </c>
      <c r="D102" s="331" t="str">
        <f>IF($H102="","",IFERROR(INDEX('Game Records'!$U:$U,$H102),""))</f>
        <v/>
      </c>
      <c r="E102" s="331" t="str">
        <f>IF($H102="","",IF($F102="","No Highlighted Fields","Highlighted Fields Present"))</f>
        <v/>
      </c>
      <c r="F102" s="331" t="str">
        <f>IF($H102="","",IF(OR(NOT(ISFORMULA(INDEX('Game Records'!$N:$N,$H102))),NOT(ISFORMULA(INDEX('Game Records'!$O:$O,$H102))),NOT(ISFORMULA(INDEX('Game Records'!$P:$P,$H102))),NOT(ISFORMULA(INDEX('Game Records'!$Q:$Q,$H102))),NOT(ISFORMULA(INDEX('Game Records'!$R:$R,$H102))),NOT(ISFORMULA(INDEX('Game Records'!$S:$S,$H102))),NOT(ISFORMULA(INDEX('Game Records'!$T:$T,$H102))),NOT(ISFORMULA(INDEX('Game Records'!$U:$U,$H102))),NOT(ISFORMULA(INDEX('Game Records'!$V:$V,$H102))),NOT(ISFORMULA(INDEX('Game Records'!$W:$W,$H102))),NOT(ISFORMULA(INDEX('Game Records'!$X:$X,$H102))),NOT(ISFORMULA(INDEX('Game Records'!$Y:$Y,$H102))),NOT(ISFORMULA(INDEX('Game Records'!$Z:$Z,$H102)))),"Formula columns missing; ","")&amp;IF(INDEX('Game Records'!$B:$B,$H102)="","Start Date; ","")&amp;IF(INDEX('Game Records'!$C:$C,$H102)="","End Date; ","")&amp;IF(AND(INDEX('Game Records'!$U:$U,$H102)&lt;&gt;"Subscription",INDEX('Game Records'!$U:$U,$H102)&lt;&gt;"Free Game",INDEX('Game Records'!$U:$U,$H102)&lt;&gt;"Disqualified — Free Game",OR(INDEX('Game Records'!$D:$D,$H102)="",LOWER(INDEX('Game Records'!$D:$D,$H102)&amp;"")="n/a")),"Entry Mode; ","")&amp;IF(AND(INDEX('Game Records'!$U:$U,$H102)&lt;&gt;"Subscription",INDEX('Game Records'!$U:$U,$H102)&lt;&gt;"Free Game",INDEX('Game Records'!$U:$U,$H102)&lt;&gt;"Disqualified — Free Game",OR(INDEX('Game Records'!$E:$E,$H102)="",LOWER(INDEX('Game Records'!$E:$E,$H102)&amp;"")="n/a")),"Game Type; ","")&amp;IF(INDEX('Game Records'!$F:$F,$H102)="","Payment Type; ","")&amp;IF(AND(INDEX('Game Records'!$U:$U,$H102)&lt;&gt;"Subscription",INDEX('Game Records'!$U:$U,$H102)&lt;&gt;"Free Game",INDEX('Game Records'!$U:$U,$H102)&lt;&gt;"Disqualified — Free Game",INDEX('Game Records'!$G:$G,$H102)=""),"Gross Pot; ","")&amp;IF(AND(INDEX('Game Records'!$U:$U,$H102)&lt;&gt;"Free Game",INDEX('Game Records'!$U:$U,$H102)&lt;&gt;"Disqualified — Free Game",INDEX('Game Records'!$H:$H,$H102)=""),"Entry Fee; ","")&amp;IF(AND(INDEX('Game Records'!$U:$U,$H102)&lt;&gt;"Subscription",INDEX('Game Records'!$U:$U,$H102)&lt;&gt;"Free Game",INDEX('Game Records'!$U:$U,$H102)&lt;&gt;"Disqualified — Free Game",INDEX('Game Records'!$I:$I,$H102)=""),"Eligible Players; ","")&amp;IF(AND(INDEX('Game Records'!$U:$U,$H102)&lt;&gt;"Subscription",INDEX('Game Records'!$U:$U,$H102)&lt;&gt;"Free Game",INDEX('Game Records'!$U:$U,$H102)&lt;&gt;"Disqualified — Free Game",INDEX('Game Records'!$J:$J,$H102)=""),"Total Players; ","")&amp;IF(AND(LOWER(INDEX('Game Records'!$D:$D,$H102)&amp;"")="finalized",LOWER(INDEX('Game Records'!$L:$L,$H102)&amp;"")&lt;&gt;"yes",INDEX('Game Records'!$U:$U,$H102)&lt;&gt;"Subscription",INDEX('Game Records'!$U:$U,$H102)&lt;&gt;"Free Game",INDEX('Game Records'!$U:$U,$H102)&lt;&gt;"Disqualified — Free Game",INDEX('Game Records'!$K:$K,$H102)=""),"Final Earned; ","")&amp;IF(AND(LOWER(INDEX('Game Records'!$D:$D,$H102)&amp;"")="finalized",INDEX('Game Records'!$U:$U,$H102)&lt;&gt;"Subscription",INDEX('Game Records'!$U:$U,$H102)&lt;&gt;"Free Game",INDEX('Game Records'!$U:$U,$H102)&lt;&gt;"Disqualified — Free Game",OR(INDEX('Game Records'!$L:$L,$H102)="",LOWER(INDEX('Game Records'!$L:$L,$H102)&amp;"")="n/a")),"Disqualified Status; ","")&amp;IF(AND(OR(LOWER(TRIM(INDEX('Game Records'!$F:$F,$H102)&amp;""))="free game",INDEX('Game Records'!$U:$U,$H102)="Free Game",INDEX('Game Records'!$U:$U,$H102)="Disqualified — Free Game"),N(INDEX('Game Records'!$H:$H,$H102))&lt;&gt;0),"Free Game has a non-zero Entry Fee. Free Game records require a $0 Entry Fee; ",""))</f>
        <v/>
      </c>
      <c r="G102" s="331" t="str">
        <f>IF($H102="","",IFERROR(INDEX('Game Records'!$M:$M,$H102),""))</f>
        <v/>
      </c>
      <c r="H102" s="104" t="str">
        <f>IF($H101="","",IFERROR(MATCH(1,INDEX((ROW('Game Records'!$U$5:$U$504)&gt;$H101)*(('Game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2" s="104"/>
      <c r="J102" s="104"/>
    </row>
    <row r="103" ht="24" hidden="0" customHeight="1">
      <c r="A103" s="332" t="str">
        <f>IF($H103="","",ROWS($A$5:A103))</f>
        <v/>
      </c>
      <c r="B103" s="332" t="str">
        <f>IF($H103="","","G-"&amp;TEXT($A103,"0000"))</f>
        <v/>
      </c>
      <c r="C103" s="331" t="str">
        <f>IF($H103="","",IFERROR(INDEX('Game Records'!$A:$A,$H103),""))</f>
        <v/>
      </c>
      <c r="D103" s="331" t="str">
        <f>IF($H103="","",IFERROR(INDEX('Game Records'!$U:$U,$H103),""))</f>
        <v/>
      </c>
      <c r="E103" s="331" t="str">
        <f>IF($H103="","",IF($F103="","No Highlighted Fields","Highlighted Fields Present"))</f>
        <v/>
      </c>
      <c r="F103" s="331" t="str">
        <f>IF($H103="","",IF(OR(NOT(ISFORMULA(INDEX('Game Records'!$N:$N,$H103))),NOT(ISFORMULA(INDEX('Game Records'!$O:$O,$H103))),NOT(ISFORMULA(INDEX('Game Records'!$P:$P,$H103))),NOT(ISFORMULA(INDEX('Game Records'!$Q:$Q,$H103))),NOT(ISFORMULA(INDEX('Game Records'!$R:$R,$H103))),NOT(ISFORMULA(INDEX('Game Records'!$S:$S,$H103))),NOT(ISFORMULA(INDEX('Game Records'!$T:$T,$H103))),NOT(ISFORMULA(INDEX('Game Records'!$U:$U,$H103))),NOT(ISFORMULA(INDEX('Game Records'!$V:$V,$H103))),NOT(ISFORMULA(INDEX('Game Records'!$W:$W,$H103))),NOT(ISFORMULA(INDEX('Game Records'!$X:$X,$H103))),NOT(ISFORMULA(INDEX('Game Records'!$Y:$Y,$H103))),NOT(ISFORMULA(INDEX('Game Records'!$Z:$Z,$H103)))),"Formula columns missing; ","")&amp;IF(INDEX('Game Records'!$B:$B,$H103)="","Start Date; ","")&amp;IF(INDEX('Game Records'!$C:$C,$H103)="","End Date; ","")&amp;IF(AND(INDEX('Game Records'!$U:$U,$H103)&lt;&gt;"Subscription",INDEX('Game Records'!$U:$U,$H103)&lt;&gt;"Free Game",INDEX('Game Records'!$U:$U,$H103)&lt;&gt;"Disqualified — Free Game",OR(INDEX('Game Records'!$D:$D,$H103)="",LOWER(INDEX('Game Records'!$D:$D,$H103)&amp;"")="n/a")),"Entry Mode; ","")&amp;IF(AND(INDEX('Game Records'!$U:$U,$H103)&lt;&gt;"Subscription",INDEX('Game Records'!$U:$U,$H103)&lt;&gt;"Free Game",INDEX('Game Records'!$U:$U,$H103)&lt;&gt;"Disqualified — Free Game",OR(INDEX('Game Records'!$E:$E,$H103)="",LOWER(INDEX('Game Records'!$E:$E,$H103)&amp;"")="n/a")),"Game Type; ","")&amp;IF(INDEX('Game Records'!$F:$F,$H103)="","Payment Type; ","")&amp;IF(AND(INDEX('Game Records'!$U:$U,$H103)&lt;&gt;"Subscription",INDEX('Game Records'!$U:$U,$H103)&lt;&gt;"Free Game",INDEX('Game Records'!$U:$U,$H103)&lt;&gt;"Disqualified — Free Game",INDEX('Game Records'!$G:$G,$H103)=""),"Gross Pot; ","")&amp;IF(AND(INDEX('Game Records'!$U:$U,$H103)&lt;&gt;"Free Game",INDEX('Game Records'!$U:$U,$H103)&lt;&gt;"Disqualified — Free Game",INDEX('Game Records'!$H:$H,$H103)=""),"Entry Fee; ","")&amp;IF(AND(INDEX('Game Records'!$U:$U,$H103)&lt;&gt;"Subscription",INDEX('Game Records'!$U:$U,$H103)&lt;&gt;"Free Game",INDEX('Game Records'!$U:$U,$H103)&lt;&gt;"Disqualified — Free Game",INDEX('Game Records'!$I:$I,$H103)=""),"Eligible Players; ","")&amp;IF(AND(INDEX('Game Records'!$U:$U,$H103)&lt;&gt;"Subscription",INDEX('Game Records'!$U:$U,$H103)&lt;&gt;"Free Game",INDEX('Game Records'!$U:$U,$H103)&lt;&gt;"Disqualified — Free Game",INDEX('Game Records'!$J:$J,$H103)=""),"Total Players; ","")&amp;IF(AND(LOWER(INDEX('Game Records'!$D:$D,$H103)&amp;"")="finalized",LOWER(INDEX('Game Records'!$L:$L,$H103)&amp;"")&lt;&gt;"yes",INDEX('Game Records'!$U:$U,$H103)&lt;&gt;"Subscription",INDEX('Game Records'!$U:$U,$H103)&lt;&gt;"Free Game",INDEX('Game Records'!$U:$U,$H103)&lt;&gt;"Disqualified — Free Game",INDEX('Game Records'!$K:$K,$H103)=""),"Final Earned; ","")&amp;IF(AND(LOWER(INDEX('Game Records'!$D:$D,$H103)&amp;"")="finalized",INDEX('Game Records'!$U:$U,$H103)&lt;&gt;"Subscription",INDEX('Game Records'!$U:$U,$H103)&lt;&gt;"Free Game",INDEX('Game Records'!$U:$U,$H103)&lt;&gt;"Disqualified — Free Game",OR(INDEX('Game Records'!$L:$L,$H103)="",LOWER(INDEX('Game Records'!$L:$L,$H103)&amp;"")="n/a")),"Disqualified Status; ","")&amp;IF(AND(OR(LOWER(TRIM(INDEX('Game Records'!$F:$F,$H103)&amp;""))="free game",INDEX('Game Records'!$U:$U,$H103)="Free Game",INDEX('Game Records'!$U:$U,$H103)="Disqualified — Free Game"),N(INDEX('Game Records'!$H:$H,$H103))&lt;&gt;0),"Free Game has a non-zero Entry Fee. Free Game records require a $0 Entry Fee; ",""))</f>
        <v/>
      </c>
      <c r="G103" s="331" t="str">
        <f>IF($H103="","",IFERROR(INDEX('Game Records'!$M:$M,$H103),""))</f>
        <v/>
      </c>
      <c r="H103" s="104" t="str">
        <f>IF($H102="","",IFERROR(MATCH(1,INDEX((ROW('Game Records'!$U$5:$U$504)&gt;$H102)*(('Game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3" s="104"/>
      <c r="J103" s="104"/>
    </row>
    <row r="104" ht="24" hidden="0" customHeight="1">
      <c r="A104" s="332" t="str">
        <f>IF($H104="","",ROWS($A$5:A104))</f>
        <v/>
      </c>
      <c r="B104" s="332" t="str">
        <f>IF($H104="","","G-"&amp;TEXT($A104,"0000"))</f>
        <v/>
      </c>
      <c r="C104" s="331" t="str">
        <f>IF($H104="","",IFERROR(INDEX('Game Records'!$A:$A,$H104),""))</f>
        <v/>
      </c>
      <c r="D104" s="331" t="str">
        <f>IF($H104="","",IFERROR(INDEX('Game Records'!$U:$U,$H104),""))</f>
        <v/>
      </c>
      <c r="E104" s="331" t="str">
        <f>IF($H104="","",IF($F104="","No Highlighted Fields","Highlighted Fields Present"))</f>
        <v/>
      </c>
      <c r="F104" s="331" t="str">
        <f>IF($H104="","",IF(OR(NOT(ISFORMULA(INDEX('Game Records'!$N:$N,$H104))),NOT(ISFORMULA(INDEX('Game Records'!$O:$O,$H104))),NOT(ISFORMULA(INDEX('Game Records'!$P:$P,$H104))),NOT(ISFORMULA(INDEX('Game Records'!$Q:$Q,$H104))),NOT(ISFORMULA(INDEX('Game Records'!$R:$R,$H104))),NOT(ISFORMULA(INDEX('Game Records'!$S:$S,$H104))),NOT(ISFORMULA(INDEX('Game Records'!$T:$T,$H104))),NOT(ISFORMULA(INDEX('Game Records'!$U:$U,$H104))),NOT(ISFORMULA(INDEX('Game Records'!$V:$V,$H104))),NOT(ISFORMULA(INDEX('Game Records'!$W:$W,$H104))),NOT(ISFORMULA(INDEX('Game Records'!$X:$X,$H104))),NOT(ISFORMULA(INDEX('Game Records'!$Y:$Y,$H104))),NOT(ISFORMULA(INDEX('Game Records'!$Z:$Z,$H104)))),"Formula columns missing; ","")&amp;IF(INDEX('Game Records'!$B:$B,$H104)="","Start Date; ","")&amp;IF(INDEX('Game Records'!$C:$C,$H104)="","End Date; ","")&amp;IF(AND(INDEX('Game Records'!$U:$U,$H104)&lt;&gt;"Subscription",INDEX('Game Records'!$U:$U,$H104)&lt;&gt;"Free Game",INDEX('Game Records'!$U:$U,$H104)&lt;&gt;"Disqualified — Free Game",OR(INDEX('Game Records'!$D:$D,$H104)="",LOWER(INDEX('Game Records'!$D:$D,$H104)&amp;"")="n/a")),"Entry Mode; ","")&amp;IF(AND(INDEX('Game Records'!$U:$U,$H104)&lt;&gt;"Subscription",INDEX('Game Records'!$U:$U,$H104)&lt;&gt;"Free Game",INDEX('Game Records'!$U:$U,$H104)&lt;&gt;"Disqualified — Free Game",OR(INDEX('Game Records'!$E:$E,$H104)="",LOWER(INDEX('Game Records'!$E:$E,$H104)&amp;"")="n/a")),"Game Type; ","")&amp;IF(INDEX('Game Records'!$F:$F,$H104)="","Payment Type; ","")&amp;IF(AND(INDEX('Game Records'!$U:$U,$H104)&lt;&gt;"Subscription",INDEX('Game Records'!$U:$U,$H104)&lt;&gt;"Free Game",INDEX('Game Records'!$U:$U,$H104)&lt;&gt;"Disqualified — Free Game",INDEX('Game Records'!$G:$G,$H104)=""),"Gross Pot; ","")&amp;IF(AND(INDEX('Game Records'!$U:$U,$H104)&lt;&gt;"Free Game",INDEX('Game Records'!$U:$U,$H104)&lt;&gt;"Disqualified — Free Game",INDEX('Game Records'!$H:$H,$H104)=""),"Entry Fee; ","")&amp;IF(AND(INDEX('Game Records'!$U:$U,$H104)&lt;&gt;"Subscription",INDEX('Game Records'!$U:$U,$H104)&lt;&gt;"Free Game",INDEX('Game Records'!$U:$U,$H104)&lt;&gt;"Disqualified — Free Game",INDEX('Game Records'!$I:$I,$H104)=""),"Eligible Players; ","")&amp;IF(AND(INDEX('Game Records'!$U:$U,$H104)&lt;&gt;"Subscription",INDEX('Game Records'!$U:$U,$H104)&lt;&gt;"Free Game",INDEX('Game Records'!$U:$U,$H104)&lt;&gt;"Disqualified — Free Game",INDEX('Game Records'!$J:$J,$H104)=""),"Total Players; ","")&amp;IF(AND(LOWER(INDEX('Game Records'!$D:$D,$H104)&amp;"")="finalized",LOWER(INDEX('Game Records'!$L:$L,$H104)&amp;"")&lt;&gt;"yes",INDEX('Game Records'!$U:$U,$H104)&lt;&gt;"Subscription",INDEX('Game Records'!$U:$U,$H104)&lt;&gt;"Free Game",INDEX('Game Records'!$U:$U,$H104)&lt;&gt;"Disqualified — Free Game",INDEX('Game Records'!$K:$K,$H104)=""),"Final Earned; ","")&amp;IF(AND(LOWER(INDEX('Game Records'!$D:$D,$H104)&amp;"")="finalized",INDEX('Game Records'!$U:$U,$H104)&lt;&gt;"Subscription",INDEX('Game Records'!$U:$U,$H104)&lt;&gt;"Free Game",INDEX('Game Records'!$U:$U,$H104)&lt;&gt;"Disqualified — Free Game",OR(INDEX('Game Records'!$L:$L,$H104)="",LOWER(INDEX('Game Records'!$L:$L,$H104)&amp;"")="n/a")),"Disqualified Status; ","")&amp;IF(AND(OR(LOWER(TRIM(INDEX('Game Records'!$F:$F,$H104)&amp;""))="free game",INDEX('Game Records'!$U:$U,$H104)="Free Game",INDEX('Game Records'!$U:$U,$H104)="Disqualified — Free Game"),N(INDEX('Game Records'!$H:$H,$H104))&lt;&gt;0),"Free Game has a non-zero Entry Fee. Free Game records require a $0 Entry Fee; ",""))</f>
        <v/>
      </c>
      <c r="G104" s="331" t="str">
        <f>IF($H104="","",IFERROR(INDEX('Game Records'!$M:$M,$H104),""))</f>
        <v/>
      </c>
      <c r="H104" s="104" t="str">
        <f>IF($H103="","",IFERROR(MATCH(1,INDEX((ROW('Game Records'!$U$5:$U$504)&gt;$H103)*(('Game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4" s="104"/>
      <c r="J104" s="104"/>
    </row>
    <row r="105" ht="24" hidden="0" customHeight="1">
      <c r="A105" s="332" t="str">
        <f>IF($H105="","",ROWS($A$5:A105))</f>
        <v/>
      </c>
      <c r="B105" s="332" t="str">
        <f>IF($H105="","","G-"&amp;TEXT($A105,"0000"))</f>
        <v/>
      </c>
      <c r="C105" s="331" t="str">
        <f>IF($H105="","",IFERROR(INDEX('Game Records'!$A:$A,$H105),""))</f>
        <v/>
      </c>
      <c r="D105" s="331" t="str">
        <f>IF($H105="","",IFERROR(INDEX('Game Records'!$U:$U,$H105),""))</f>
        <v/>
      </c>
      <c r="E105" s="331" t="str">
        <f>IF($H105="","",IF($F105="","No Highlighted Fields","Highlighted Fields Present"))</f>
        <v/>
      </c>
      <c r="F105" s="331" t="str">
        <f>IF($H105="","",IF(OR(NOT(ISFORMULA(INDEX('Game Records'!$N:$N,$H105))),NOT(ISFORMULA(INDEX('Game Records'!$O:$O,$H105))),NOT(ISFORMULA(INDEX('Game Records'!$P:$P,$H105))),NOT(ISFORMULA(INDEX('Game Records'!$Q:$Q,$H105))),NOT(ISFORMULA(INDEX('Game Records'!$R:$R,$H105))),NOT(ISFORMULA(INDEX('Game Records'!$S:$S,$H105))),NOT(ISFORMULA(INDEX('Game Records'!$T:$T,$H105))),NOT(ISFORMULA(INDEX('Game Records'!$U:$U,$H105))),NOT(ISFORMULA(INDEX('Game Records'!$V:$V,$H105))),NOT(ISFORMULA(INDEX('Game Records'!$W:$W,$H105))),NOT(ISFORMULA(INDEX('Game Records'!$X:$X,$H105))),NOT(ISFORMULA(INDEX('Game Records'!$Y:$Y,$H105))),NOT(ISFORMULA(INDEX('Game Records'!$Z:$Z,$H105)))),"Formula columns missing; ","")&amp;IF(INDEX('Game Records'!$B:$B,$H105)="","Start Date; ","")&amp;IF(INDEX('Game Records'!$C:$C,$H105)="","End Date; ","")&amp;IF(AND(INDEX('Game Records'!$U:$U,$H105)&lt;&gt;"Subscription",INDEX('Game Records'!$U:$U,$H105)&lt;&gt;"Free Game",INDEX('Game Records'!$U:$U,$H105)&lt;&gt;"Disqualified — Free Game",OR(INDEX('Game Records'!$D:$D,$H105)="",LOWER(INDEX('Game Records'!$D:$D,$H105)&amp;"")="n/a")),"Entry Mode; ","")&amp;IF(AND(INDEX('Game Records'!$U:$U,$H105)&lt;&gt;"Subscription",INDEX('Game Records'!$U:$U,$H105)&lt;&gt;"Free Game",INDEX('Game Records'!$U:$U,$H105)&lt;&gt;"Disqualified — Free Game",OR(INDEX('Game Records'!$E:$E,$H105)="",LOWER(INDEX('Game Records'!$E:$E,$H105)&amp;"")="n/a")),"Game Type; ","")&amp;IF(INDEX('Game Records'!$F:$F,$H105)="","Payment Type; ","")&amp;IF(AND(INDEX('Game Records'!$U:$U,$H105)&lt;&gt;"Subscription",INDEX('Game Records'!$U:$U,$H105)&lt;&gt;"Free Game",INDEX('Game Records'!$U:$U,$H105)&lt;&gt;"Disqualified — Free Game",INDEX('Game Records'!$G:$G,$H105)=""),"Gross Pot; ","")&amp;IF(AND(INDEX('Game Records'!$U:$U,$H105)&lt;&gt;"Free Game",INDEX('Game Records'!$U:$U,$H105)&lt;&gt;"Disqualified — Free Game",INDEX('Game Records'!$H:$H,$H105)=""),"Entry Fee; ","")&amp;IF(AND(INDEX('Game Records'!$U:$U,$H105)&lt;&gt;"Subscription",INDEX('Game Records'!$U:$U,$H105)&lt;&gt;"Free Game",INDEX('Game Records'!$U:$U,$H105)&lt;&gt;"Disqualified — Free Game",INDEX('Game Records'!$I:$I,$H105)=""),"Eligible Players; ","")&amp;IF(AND(INDEX('Game Records'!$U:$U,$H105)&lt;&gt;"Subscription",INDEX('Game Records'!$U:$U,$H105)&lt;&gt;"Free Game",INDEX('Game Records'!$U:$U,$H105)&lt;&gt;"Disqualified — Free Game",INDEX('Game Records'!$J:$J,$H105)=""),"Total Players; ","")&amp;IF(AND(LOWER(INDEX('Game Records'!$D:$D,$H105)&amp;"")="finalized",LOWER(INDEX('Game Records'!$L:$L,$H105)&amp;"")&lt;&gt;"yes",INDEX('Game Records'!$U:$U,$H105)&lt;&gt;"Subscription",INDEX('Game Records'!$U:$U,$H105)&lt;&gt;"Free Game",INDEX('Game Records'!$U:$U,$H105)&lt;&gt;"Disqualified — Free Game",INDEX('Game Records'!$K:$K,$H105)=""),"Final Earned; ","")&amp;IF(AND(LOWER(INDEX('Game Records'!$D:$D,$H105)&amp;"")="finalized",INDEX('Game Records'!$U:$U,$H105)&lt;&gt;"Subscription",INDEX('Game Records'!$U:$U,$H105)&lt;&gt;"Free Game",INDEX('Game Records'!$U:$U,$H105)&lt;&gt;"Disqualified — Free Game",OR(INDEX('Game Records'!$L:$L,$H105)="",LOWER(INDEX('Game Records'!$L:$L,$H105)&amp;"")="n/a")),"Disqualified Status; ","")&amp;IF(AND(OR(LOWER(TRIM(INDEX('Game Records'!$F:$F,$H105)&amp;""))="free game",INDEX('Game Records'!$U:$U,$H105)="Free Game",INDEX('Game Records'!$U:$U,$H105)="Disqualified — Free Game"),N(INDEX('Game Records'!$H:$H,$H105))&lt;&gt;0),"Free Game has a non-zero Entry Fee. Free Game records require a $0 Entry Fee; ",""))</f>
        <v/>
      </c>
      <c r="G105" s="331" t="str">
        <f>IF($H105="","",IFERROR(INDEX('Game Records'!$M:$M,$H105),""))</f>
        <v/>
      </c>
      <c r="H105" s="104" t="str">
        <f>IF($H104="","",IFERROR(MATCH(1,INDEX((ROW('Game Records'!$U$5:$U$504)&gt;$H104)*(('Game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5" s="104"/>
      <c r="J105" s="104"/>
    </row>
    <row r="106" ht="24" hidden="0" customHeight="1">
      <c r="A106" s="332" t="str">
        <f>IF($H106="","",ROWS($A$5:A106))</f>
        <v/>
      </c>
      <c r="B106" s="332" t="str">
        <f>IF($H106="","","G-"&amp;TEXT($A106,"0000"))</f>
        <v/>
      </c>
      <c r="C106" s="331" t="str">
        <f>IF($H106="","",IFERROR(INDEX('Game Records'!$A:$A,$H106),""))</f>
        <v/>
      </c>
      <c r="D106" s="331" t="str">
        <f>IF($H106="","",IFERROR(INDEX('Game Records'!$U:$U,$H106),""))</f>
        <v/>
      </c>
      <c r="E106" s="331" t="str">
        <f>IF($H106="","",IF($F106="","No Highlighted Fields","Highlighted Fields Present"))</f>
        <v/>
      </c>
      <c r="F106" s="331" t="str">
        <f>IF($H106="","",IF(OR(NOT(ISFORMULA(INDEX('Game Records'!$N:$N,$H106))),NOT(ISFORMULA(INDEX('Game Records'!$O:$O,$H106))),NOT(ISFORMULA(INDEX('Game Records'!$P:$P,$H106))),NOT(ISFORMULA(INDEX('Game Records'!$Q:$Q,$H106))),NOT(ISFORMULA(INDEX('Game Records'!$R:$R,$H106))),NOT(ISFORMULA(INDEX('Game Records'!$S:$S,$H106))),NOT(ISFORMULA(INDEX('Game Records'!$T:$T,$H106))),NOT(ISFORMULA(INDEX('Game Records'!$U:$U,$H106))),NOT(ISFORMULA(INDEX('Game Records'!$V:$V,$H106))),NOT(ISFORMULA(INDEX('Game Records'!$W:$W,$H106))),NOT(ISFORMULA(INDEX('Game Records'!$X:$X,$H106))),NOT(ISFORMULA(INDEX('Game Records'!$Y:$Y,$H106))),NOT(ISFORMULA(INDEX('Game Records'!$Z:$Z,$H106)))),"Formula columns missing; ","")&amp;IF(INDEX('Game Records'!$B:$B,$H106)="","Start Date; ","")&amp;IF(INDEX('Game Records'!$C:$C,$H106)="","End Date; ","")&amp;IF(AND(INDEX('Game Records'!$U:$U,$H106)&lt;&gt;"Subscription",INDEX('Game Records'!$U:$U,$H106)&lt;&gt;"Free Game",INDEX('Game Records'!$U:$U,$H106)&lt;&gt;"Disqualified — Free Game",OR(INDEX('Game Records'!$D:$D,$H106)="",LOWER(INDEX('Game Records'!$D:$D,$H106)&amp;"")="n/a")),"Entry Mode; ","")&amp;IF(AND(INDEX('Game Records'!$U:$U,$H106)&lt;&gt;"Subscription",INDEX('Game Records'!$U:$U,$H106)&lt;&gt;"Free Game",INDEX('Game Records'!$U:$U,$H106)&lt;&gt;"Disqualified — Free Game",OR(INDEX('Game Records'!$E:$E,$H106)="",LOWER(INDEX('Game Records'!$E:$E,$H106)&amp;"")="n/a")),"Game Type; ","")&amp;IF(INDEX('Game Records'!$F:$F,$H106)="","Payment Type; ","")&amp;IF(AND(INDEX('Game Records'!$U:$U,$H106)&lt;&gt;"Subscription",INDEX('Game Records'!$U:$U,$H106)&lt;&gt;"Free Game",INDEX('Game Records'!$U:$U,$H106)&lt;&gt;"Disqualified — Free Game",INDEX('Game Records'!$G:$G,$H106)=""),"Gross Pot; ","")&amp;IF(AND(INDEX('Game Records'!$U:$U,$H106)&lt;&gt;"Free Game",INDEX('Game Records'!$U:$U,$H106)&lt;&gt;"Disqualified — Free Game",INDEX('Game Records'!$H:$H,$H106)=""),"Entry Fee; ","")&amp;IF(AND(INDEX('Game Records'!$U:$U,$H106)&lt;&gt;"Subscription",INDEX('Game Records'!$U:$U,$H106)&lt;&gt;"Free Game",INDEX('Game Records'!$U:$U,$H106)&lt;&gt;"Disqualified — Free Game",INDEX('Game Records'!$I:$I,$H106)=""),"Eligible Players; ","")&amp;IF(AND(INDEX('Game Records'!$U:$U,$H106)&lt;&gt;"Subscription",INDEX('Game Records'!$U:$U,$H106)&lt;&gt;"Free Game",INDEX('Game Records'!$U:$U,$H106)&lt;&gt;"Disqualified — Free Game",INDEX('Game Records'!$J:$J,$H106)=""),"Total Players; ","")&amp;IF(AND(LOWER(INDEX('Game Records'!$D:$D,$H106)&amp;"")="finalized",LOWER(INDEX('Game Records'!$L:$L,$H106)&amp;"")&lt;&gt;"yes",INDEX('Game Records'!$U:$U,$H106)&lt;&gt;"Subscription",INDEX('Game Records'!$U:$U,$H106)&lt;&gt;"Free Game",INDEX('Game Records'!$U:$U,$H106)&lt;&gt;"Disqualified — Free Game",INDEX('Game Records'!$K:$K,$H106)=""),"Final Earned; ","")&amp;IF(AND(LOWER(INDEX('Game Records'!$D:$D,$H106)&amp;"")="finalized",INDEX('Game Records'!$U:$U,$H106)&lt;&gt;"Subscription",INDEX('Game Records'!$U:$U,$H106)&lt;&gt;"Free Game",INDEX('Game Records'!$U:$U,$H106)&lt;&gt;"Disqualified — Free Game",OR(INDEX('Game Records'!$L:$L,$H106)="",LOWER(INDEX('Game Records'!$L:$L,$H106)&amp;"")="n/a")),"Disqualified Status; ","")&amp;IF(AND(OR(LOWER(TRIM(INDEX('Game Records'!$F:$F,$H106)&amp;""))="free game",INDEX('Game Records'!$U:$U,$H106)="Free Game",INDEX('Game Records'!$U:$U,$H106)="Disqualified — Free Game"),N(INDEX('Game Records'!$H:$H,$H106))&lt;&gt;0),"Free Game has a non-zero Entry Fee. Free Game records require a $0 Entry Fee; ",""))</f>
        <v/>
      </c>
      <c r="G106" s="331" t="str">
        <f>IF($H106="","",IFERROR(INDEX('Game Records'!$M:$M,$H106),""))</f>
        <v/>
      </c>
      <c r="H106" s="104" t="str">
        <f>IF($H105="","",IFERROR(MATCH(1,INDEX((ROW('Game Records'!$U$5:$U$504)&gt;$H105)*(('Game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6" s="104"/>
      <c r="J106" s="104"/>
    </row>
    <row r="107" ht="24" hidden="0" customHeight="1">
      <c r="A107" s="332" t="str">
        <f>IF($H107="","",ROWS($A$5:A107))</f>
        <v/>
      </c>
      <c r="B107" s="332" t="str">
        <f>IF($H107="","","G-"&amp;TEXT($A107,"0000"))</f>
        <v/>
      </c>
      <c r="C107" s="331" t="str">
        <f>IF($H107="","",IFERROR(INDEX('Game Records'!$A:$A,$H107),""))</f>
        <v/>
      </c>
      <c r="D107" s="331" t="str">
        <f>IF($H107="","",IFERROR(INDEX('Game Records'!$U:$U,$H107),""))</f>
        <v/>
      </c>
      <c r="E107" s="331" t="str">
        <f>IF($H107="","",IF($F107="","No Highlighted Fields","Highlighted Fields Present"))</f>
        <v/>
      </c>
      <c r="F107" s="331" t="str">
        <f>IF($H107="","",IF(OR(NOT(ISFORMULA(INDEX('Game Records'!$N:$N,$H107))),NOT(ISFORMULA(INDEX('Game Records'!$O:$O,$H107))),NOT(ISFORMULA(INDEX('Game Records'!$P:$P,$H107))),NOT(ISFORMULA(INDEX('Game Records'!$Q:$Q,$H107))),NOT(ISFORMULA(INDEX('Game Records'!$R:$R,$H107))),NOT(ISFORMULA(INDEX('Game Records'!$S:$S,$H107))),NOT(ISFORMULA(INDEX('Game Records'!$T:$T,$H107))),NOT(ISFORMULA(INDEX('Game Records'!$U:$U,$H107))),NOT(ISFORMULA(INDEX('Game Records'!$V:$V,$H107))),NOT(ISFORMULA(INDEX('Game Records'!$W:$W,$H107))),NOT(ISFORMULA(INDEX('Game Records'!$X:$X,$H107))),NOT(ISFORMULA(INDEX('Game Records'!$Y:$Y,$H107))),NOT(ISFORMULA(INDEX('Game Records'!$Z:$Z,$H107)))),"Formula columns missing; ","")&amp;IF(INDEX('Game Records'!$B:$B,$H107)="","Start Date; ","")&amp;IF(INDEX('Game Records'!$C:$C,$H107)="","End Date; ","")&amp;IF(AND(INDEX('Game Records'!$U:$U,$H107)&lt;&gt;"Subscription",INDEX('Game Records'!$U:$U,$H107)&lt;&gt;"Free Game",INDEX('Game Records'!$U:$U,$H107)&lt;&gt;"Disqualified — Free Game",OR(INDEX('Game Records'!$D:$D,$H107)="",LOWER(INDEX('Game Records'!$D:$D,$H107)&amp;"")="n/a")),"Entry Mode; ","")&amp;IF(AND(INDEX('Game Records'!$U:$U,$H107)&lt;&gt;"Subscription",INDEX('Game Records'!$U:$U,$H107)&lt;&gt;"Free Game",INDEX('Game Records'!$U:$U,$H107)&lt;&gt;"Disqualified — Free Game",OR(INDEX('Game Records'!$E:$E,$H107)="",LOWER(INDEX('Game Records'!$E:$E,$H107)&amp;"")="n/a")),"Game Type; ","")&amp;IF(INDEX('Game Records'!$F:$F,$H107)="","Payment Type; ","")&amp;IF(AND(INDEX('Game Records'!$U:$U,$H107)&lt;&gt;"Subscription",INDEX('Game Records'!$U:$U,$H107)&lt;&gt;"Free Game",INDEX('Game Records'!$U:$U,$H107)&lt;&gt;"Disqualified — Free Game",INDEX('Game Records'!$G:$G,$H107)=""),"Gross Pot; ","")&amp;IF(AND(INDEX('Game Records'!$U:$U,$H107)&lt;&gt;"Free Game",INDEX('Game Records'!$U:$U,$H107)&lt;&gt;"Disqualified — Free Game",INDEX('Game Records'!$H:$H,$H107)=""),"Entry Fee; ","")&amp;IF(AND(INDEX('Game Records'!$U:$U,$H107)&lt;&gt;"Subscription",INDEX('Game Records'!$U:$U,$H107)&lt;&gt;"Free Game",INDEX('Game Records'!$U:$U,$H107)&lt;&gt;"Disqualified — Free Game",INDEX('Game Records'!$I:$I,$H107)=""),"Eligible Players; ","")&amp;IF(AND(INDEX('Game Records'!$U:$U,$H107)&lt;&gt;"Subscription",INDEX('Game Records'!$U:$U,$H107)&lt;&gt;"Free Game",INDEX('Game Records'!$U:$U,$H107)&lt;&gt;"Disqualified — Free Game",INDEX('Game Records'!$J:$J,$H107)=""),"Total Players; ","")&amp;IF(AND(LOWER(INDEX('Game Records'!$D:$D,$H107)&amp;"")="finalized",LOWER(INDEX('Game Records'!$L:$L,$H107)&amp;"")&lt;&gt;"yes",INDEX('Game Records'!$U:$U,$H107)&lt;&gt;"Subscription",INDEX('Game Records'!$U:$U,$H107)&lt;&gt;"Free Game",INDEX('Game Records'!$U:$U,$H107)&lt;&gt;"Disqualified — Free Game",INDEX('Game Records'!$K:$K,$H107)=""),"Final Earned; ","")&amp;IF(AND(LOWER(INDEX('Game Records'!$D:$D,$H107)&amp;"")="finalized",INDEX('Game Records'!$U:$U,$H107)&lt;&gt;"Subscription",INDEX('Game Records'!$U:$U,$H107)&lt;&gt;"Free Game",INDEX('Game Records'!$U:$U,$H107)&lt;&gt;"Disqualified — Free Game",OR(INDEX('Game Records'!$L:$L,$H107)="",LOWER(INDEX('Game Records'!$L:$L,$H107)&amp;"")="n/a")),"Disqualified Status; ","")&amp;IF(AND(OR(LOWER(TRIM(INDEX('Game Records'!$F:$F,$H107)&amp;""))="free game",INDEX('Game Records'!$U:$U,$H107)="Free Game",INDEX('Game Records'!$U:$U,$H107)="Disqualified — Free Game"),N(INDEX('Game Records'!$H:$H,$H107))&lt;&gt;0),"Free Game has a non-zero Entry Fee. Free Game records require a $0 Entry Fee; ",""))</f>
        <v/>
      </c>
      <c r="G107" s="331" t="str">
        <f>IF($H107="","",IFERROR(INDEX('Game Records'!$M:$M,$H107),""))</f>
        <v/>
      </c>
      <c r="H107" s="104" t="str">
        <f>IF($H106="","",IFERROR(MATCH(1,INDEX((ROW('Game Records'!$U$5:$U$504)&gt;$H106)*(('Game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7" s="104"/>
      <c r="J107" s="104"/>
    </row>
    <row r="108" ht="24" hidden="0" customHeight="1">
      <c r="A108" s="332" t="str">
        <f>IF($H108="","",ROWS($A$5:A108))</f>
        <v/>
      </c>
      <c r="B108" s="332" t="str">
        <f>IF($H108="","","G-"&amp;TEXT($A108,"0000"))</f>
        <v/>
      </c>
      <c r="C108" s="331" t="str">
        <f>IF($H108="","",IFERROR(INDEX('Game Records'!$A:$A,$H108),""))</f>
        <v/>
      </c>
      <c r="D108" s="331" t="str">
        <f>IF($H108="","",IFERROR(INDEX('Game Records'!$U:$U,$H108),""))</f>
        <v/>
      </c>
      <c r="E108" s="331" t="str">
        <f>IF($H108="","",IF($F108="","No Highlighted Fields","Highlighted Fields Present"))</f>
        <v/>
      </c>
      <c r="F108" s="331" t="str">
        <f>IF($H108="","",IF(OR(NOT(ISFORMULA(INDEX('Game Records'!$N:$N,$H108))),NOT(ISFORMULA(INDEX('Game Records'!$O:$O,$H108))),NOT(ISFORMULA(INDEX('Game Records'!$P:$P,$H108))),NOT(ISFORMULA(INDEX('Game Records'!$Q:$Q,$H108))),NOT(ISFORMULA(INDEX('Game Records'!$R:$R,$H108))),NOT(ISFORMULA(INDEX('Game Records'!$S:$S,$H108))),NOT(ISFORMULA(INDEX('Game Records'!$T:$T,$H108))),NOT(ISFORMULA(INDEX('Game Records'!$U:$U,$H108))),NOT(ISFORMULA(INDEX('Game Records'!$V:$V,$H108))),NOT(ISFORMULA(INDEX('Game Records'!$W:$W,$H108))),NOT(ISFORMULA(INDEX('Game Records'!$X:$X,$H108))),NOT(ISFORMULA(INDEX('Game Records'!$Y:$Y,$H108))),NOT(ISFORMULA(INDEX('Game Records'!$Z:$Z,$H108)))),"Formula columns missing; ","")&amp;IF(INDEX('Game Records'!$B:$B,$H108)="","Start Date; ","")&amp;IF(INDEX('Game Records'!$C:$C,$H108)="","End Date; ","")&amp;IF(AND(INDEX('Game Records'!$U:$U,$H108)&lt;&gt;"Subscription",INDEX('Game Records'!$U:$U,$H108)&lt;&gt;"Free Game",INDEX('Game Records'!$U:$U,$H108)&lt;&gt;"Disqualified — Free Game",OR(INDEX('Game Records'!$D:$D,$H108)="",LOWER(INDEX('Game Records'!$D:$D,$H108)&amp;"")="n/a")),"Entry Mode; ","")&amp;IF(AND(INDEX('Game Records'!$U:$U,$H108)&lt;&gt;"Subscription",INDEX('Game Records'!$U:$U,$H108)&lt;&gt;"Free Game",INDEX('Game Records'!$U:$U,$H108)&lt;&gt;"Disqualified — Free Game",OR(INDEX('Game Records'!$E:$E,$H108)="",LOWER(INDEX('Game Records'!$E:$E,$H108)&amp;"")="n/a")),"Game Type; ","")&amp;IF(INDEX('Game Records'!$F:$F,$H108)="","Payment Type; ","")&amp;IF(AND(INDEX('Game Records'!$U:$U,$H108)&lt;&gt;"Subscription",INDEX('Game Records'!$U:$U,$H108)&lt;&gt;"Free Game",INDEX('Game Records'!$U:$U,$H108)&lt;&gt;"Disqualified — Free Game",INDEX('Game Records'!$G:$G,$H108)=""),"Gross Pot; ","")&amp;IF(AND(INDEX('Game Records'!$U:$U,$H108)&lt;&gt;"Free Game",INDEX('Game Records'!$U:$U,$H108)&lt;&gt;"Disqualified — Free Game",INDEX('Game Records'!$H:$H,$H108)=""),"Entry Fee; ","")&amp;IF(AND(INDEX('Game Records'!$U:$U,$H108)&lt;&gt;"Subscription",INDEX('Game Records'!$U:$U,$H108)&lt;&gt;"Free Game",INDEX('Game Records'!$U:$U,$H108)&lt;&gt;"Disqualified — Free Game",INDEX('Game Records'!$I:$I,$H108)=""),"Eligible Players; ","")&amp;IF(AND(INDEX('Game Records'!$U:$U,$H108)&lt;&gt;"Subscription",INDEX('Game Records'!$U:$U,$H108)&lt;&gt;"Free Game",INDEX('Game Records'!$U:$U,$H108)&lt;&gt;"Disqualified — Free Game",INDEX('Game Records'!$J:$J,$H108)=""),"Total Players; ","")&amp;IF(AND(LOWER(INDEX('Game Records'!$D:$D,$H108)&amp;"")="finalized",LOWER(INDEX('Game Records'!$L:$L,$H108)&amp;"")&lt;&gt;"yes",INDEX('Game Records'!$U:$U,$H108)&lt;&gt;"Subscription",INDEX('Game Records'!$U:$U,$H108)&lt;&gt;"Free Game",INDEX('Game Records'!$U:$U,$H108)&lt;&gt;"Disqualified — Free Game",INDEX('Game Records'!$K:$K,$H108)=""),"Final Earned; ","")&amp;IF(AND(LOWER(INDEX('Game Records'!$D:$D,$H108)&amp;"")="finalized",INDEX('Game Records'!$U:$U,$H108)&lt;&gt;"Subscription",INDEX('Game Records'!$U:$U,$H108)&lt;&gt;"Free Game",INDEX('Game Records'!$U:$U,$H108)&lt;&gt;"Disqualified — Free Game",OR(INDEX('Game Records'!$L:$L,$H108)="",LOWER(INDEX('Game Records'!$L:$L,$H108)&amp;"")="n/a")),"Disqualified Status; ","")&amp;IF(AND(OR(LOWER(TRIM(INDEX('Game Records'!$F:$F,$H108)&amp;""))="free game",INDEX('Game Records'!$U:$U,$H108)="Free Game",INDEX('Game Records'!$U:$U,$H108)="Disqualified — Free Game"),N(INDEX('Game Records'!$H:$H,$H108))&lt;&gt;0),"Free Game has a non-zero Entry Fee. Free Game records require a $0 Entry Fee; ",""))</f>
        <v/>
      </c>
      <c r="G108" s="331" t="str">
        <f>IF($H108="","",IFERROR(INDEX('Game Records'!$M:$M,$H108),""))</f>
        <v/>
      </c>
      <c r="H108" s="104" t="str">
        <f>IF($H107="","",IFERROR(MATCH(1,INDEX((ROW('Game Records'!$U$5:$U$504)&gt;$H107)*(('Game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8" s="104"/>
      <c r="J108" s="104"/>
    </row>
    <row r="109" ht="24" hidden="0" customHeight="1">
      <c r="A109" s="332" t="str">
        <f>IF($H109="","",ROWS($A$5:A109))</f>
        <v/>
      </c>
      <c r="B109" s="332" t="str">
        <f>IF($H109="","","G-"&amp;TEXT($A109,"0000"))</f>
        <v/>
      </c>
      <c r="C109" s="331" t="str">
        <f>IF($H109="","",IFERROR(INDEX('Game Records'!$A:$A,$H109),""))</f>
        <v/>
      </c>
      <c r="D109" s="331" t="str">
        <f>IF($H109="","",IFERROR(INDEX('Game Records'!$U:$U,$H109),""))</f>
        <v/>
      </c>
      <c r="E109" s="331" t="str">
        <f>IF($H109="","",IF($F109="","No Highlighted Fields","Highlighted Fields Present"))</f>
        <v/>
      </c>
      <c r="F109" s="331" t="str">
        <f>IF($H109="","",IF(OR(NOT(ISFORMULA(INDEX('Game Records'!$N:$N,$H109))),NOT(ISFORMULA(INDEX('Game Records'!$O:$O,$H109))),NOT(ISFORMULA(INDEX('Game Records'!$P:$P,$H109))),NOT(ISFORMULA(INDEX('Game Records'!$Q:$Q,$H109))),NOT(ISFORMULA(INDEX('Game Records'!$R:$R,$H109))),NOT(ISFORMULA(INDEX('Game Records'!$S:$S,$H109))),NOT(ISFORMULA(INDEX('Game Records'!$T:$T,$H109))),NOT(ISFORMULA(INDEX('Game Records'!$U:$U,$H109))),NOT(ISFORMULA(INDEX('Game Records'!$V:$V,$H109))),NOT(ISFORMULA(INDEX('Game Records'!$W:$W,$H109))),NOT(ISFORMULA(INDEX('Game Records'!$X:$X,$H109))),NOT(ISFORMULA(INDEX('Game Records'!$Y:$Y,$H109))),NOT(ISFORMULA(INDEX('Game Records'!$Z:$Z,$H109)))),"Formula columns missing; ","")&amp;IF(INDEX('Game Records'!$B:$B,$H109)="","Start Date; ","")&amp;IF(INDEX('Game Records'!$C:$C,$H109)="","End Date; ","")&amp;IF(AND(INDEX('Game Records'!$U:$U,$H109)&lt;&gt;"Subscription",INDEX('Game Records'!$U:$U,$H109)&lt;&gt;"Free Game",INDEX('Game Records'!$U:$U,$H109)&lt;&gt;"Disqualified — Free Game",OR(INDEX('Game Records'!$D:$D,$H109)="",LOWER(INDEX('Game Records'!$D:$D,$H109)&amp;"")="n/a")),"Entry Mode; ","")&amp;IF(AND(INDEX('Game Records'!$U:$U,$H109)&lt;&gt;"Subscription",INDEX('Game Records'!$U:$U,$H109)&lt;&gt;"Free Game",INDEX('Game Records'!$U:$U,$H109)&lt;&gt;"Disqualified — Free Game",OR(INDEX('Game Records'!$E:$E,$H109)="",LOWER(INDEX('Game Records'!$E:$E,$H109)&amp;"")="n/a")),"Game Type; ","")&amp;IF(INDEX('Game Records'!$F:$F,$H109)="","Payment Type; ","")&amp;IF(AND(INDEX('Game Records'!$U:$U,$H109)&lt;&gt;"Subscription",INDEX('Game Records'!$U:$U,$H109)&lt;&gt;"Free Game",INDEX('Game Records'!$U:$U,$H109)&lt;&gt;"Disqualified — Free Game",INDEX('Game Records'!$G:$G,$H109)=""),"Gross Pot; ","")&amp;IF(AND(INDEX('Game Records'!$U:$U,$H109)&lt;&gt;"Free Game",INDEX('Game Records'!$U:$U,$H109)&lt;&gt;"Disqualified — Free Game",INDEX('Game Records'!$H:$H,$H109)=""),"Entry Fee; ","")&amp;IF(AND(INDEX('Game Records'!$U:$U,$H109)&lt;&gt;"Subscription",INDEX('Game Records'!$U:$U,$H109)&lt;&gt;"Free Game",INDEX('Game Records'!$U:$U,$H109)&lt;&gt;"Disqualified — Free Game",INDEX('Game Records'!$I:$I,$H109)=""),"Eligible Players; ","")&amp;IF(AND(INDEX('Game Records'!$U:$U,$H109)&lt;&gt;"Subscription",INDEX('Game Records'!$U:$U,$H109)&lt;&gt;"Free Game",INDEX('Game Records'!$U:$U,$H109)&lt;&gt;"Disqualified — Free Game",INDEX('Game Records'!$J:$J,$H109)=""),"Total Players; ","")&amp;IF(AND(LOWER(INDEX('Game Records'!$D:$D,$H109)&amp;"")="finalized",LOWER(INDEX('Game Records'!$L:$L,$H109)&amp;"")&lt;&gt;"yes",INDEX('Game Records'!$U:$U,$H109)&lt;&gt;"Subscription",INDEX('Game Records'!$U:$U,$H109)&lt;&gt;"Free Game",INDEX('Game Records'!$U:$U,$H109)&lt;&gt;"Disqualified — Free Game",INDEX('Game Records'!$K:$K,$H109)=""),"Final Earned; ","")&amp;IF(AND(LOWER(INDEX('Game Records'!$D:$D,$H109)&amp;"")="finalized",INDEX('Game Records'!$U:$U,$H109)&lt;&gt;"Subscription",INDEX('Game Records'!$U:$U,$H109)&lt;&gt;"Free Game",INDEX('Game Records'!$U:$U,$H109)&lt;&gt;"Disqualified — Free Game",OR(INDEX('Game Records'!$L:$L,$H109)="",LOWER(INDEX('Game Records'!$L:$L,$H109)&amp;"")="n/a")),"Disqualified Status; ","")&amp;IF(AND(OR(LOWER(TRIM(INDEX('Game Records'!$F:$F,$H109)&amp;""))="free game",INDEX('Game Records'!$U:$U,$H109)="Free Game",INDEX('Game Records'!$U:$U,$H109)="Disqualified — Free Game"),N(INDEX('Game Records'!$H:$H,$H109))&lt;&gt;0),"Free Game has a non-zero Entry Fee. Free Game records require a $0 Entry Fee; ",""))</f>
        <v/>
      </c>
      <c r="G109" s="331" t="str">
        <f>IF($H109="","",IFERROR(INDEX('Game Records'!$M:$M,$H109),""))</f>
        <v/>
      </c>
      <c r="H109" s="104" t="str">
        <f>IF($H108="","",IFERROR(MATCH(1,INDEX((ROW('Game Records'!$U$5:$U$504)&gt;$H108)*(('Game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9" s="104"/>
      <c r="J109" s="104"/>
    </row>
    <row r="110" ht="24" hidden="0" customHeight="1">
      <c r="A110" s="332" t="str">
        <f>IF($H110="","",ROWS($A$5:A110))</f>
        <v/>
      </c>
      <c r="B110" s="332" t="str">
        <f>IF($H110="","","G-"&amp;TEXT($A110,"0000"))</f>
        <v/>
      </c>
      <c r="C110" s="331" t="str">
        <f>IF($H110="","",IFERROR(INDEX('Game Records'!$A:$A,$H110),""))</f>
        <v/>
      </c>
      <c r="D110" s="331" t="str">
        <f>IF($H110="","",IFERROR(INDEX('Game Records'!$U:$U,$H110),""))</f>
        <v/>
      </c>
      <c r="E110" s="331" t="str">
        <f>IF($H110="","",IF($F110="","No Highlighted Fields","Highlighted Fields Present"))</f>
        <v/>
      </c>
      <c r="F110" s="331" t="str">
        <f>IF($H110="","",IF(OR(NOT(ISFORMULA(INDEX('Game Records'!$N:$N,$H110))),NOT(ISFORMULA(INDEX('Game Records'!$O:$O,$H110))),NOT(ISFORMULA(INDEX('Game Records'!$P:$P,$H110))),NOT(ISFORMULA(INDEX('Game Records'!$Q:$Q,$H110))),NOT(ISFORMULA(INDEX('Game Records'!$R:$R,$H110))),NOT(ISFORMULA(INDEX('Game Records'!$S:$S,$H110))),NOT(ISFORMULA(INDEX('Game Records'!$T:$T,$H110))),NOT(ISFORMULA(INDEX('Game Records'!$U:$U,$H110))),NOT(ISFORMULA(INDEX('Game Records'!$V:$V,$H110))),NOT(ISFORMULA(INDEX('Game Records'!$W:$W,$H110))),NOT(ISFORMULA(INDEX('Game Records'!$X:$X,$H110))),NOT(ISFORMULA(INDEX('Game Records'!$Y:$Y,$H110))),NOT(ISFORMULA(INDEX('Game Records'!$Z:$Z,$H110)))),"Formula columns missing; ","")&amp;IF(INDEX('Game Records'!$B:$B,$H110)="","Start Date; ","")&amp;IF(INDEX('Game Records'!$C:$C,$H110)="","End Date; ","")&amp;IF(AND(INDEX('Game Records'!$U:$U,$H110)&lt;&gt;"Subscription",INDEX('Game Records'!$U:$U,$H110)&lt;&gt;"Free Game",INDEX('Game Records'!$U:$U,$H110)&lt;&gt;"Disqualified — Free Game",OR(INDEX('Game Records'!$D:$D,$H110)="",LOWER(INDEX('Game Records'!$D:$D,$H110)&amp;"")="n/a")),"Entry Mode; ","")&amp;IF(AND(INDEX('Game Records'!$U:$U,$H110)&lt;&gt;"Subscription",INDEX('Game Records'!$U:$U,$H110)&lt;&gt;"Free Game",INDEX('Game Records'!$U:$U,$H110)&lt;&gt;"Disqualified — Free Game",OR(INDEX('Game Records'!$E:$E,$H110)="",LOWER(INDEX('Game Records'!$E:$E,$H110)&amp;"")="n/a")),"Game Type; ","")&amp;IF(INDEX('Game Records'!$F:$F,$H110)="","Payment Type; ","")&amp;IF(AND(INDEX('Game Records'!$U:$U,$H110)&lt;&gt;"Subscription",INDEX('Game Records'!$U:$U,$H110)&lt;&gt;"Free Game",INDEX('Game Records'!$U:$U,$H110)&lt;&gt;"Disqualified — Free Game",INDEX('Game Records'!$G:$G,$H110)=""),"Gross Pot; ","")&amp;IF(AND(INDEX('Game Records'!$U:$U,$H110)&lt;&gt;"Free Game",INDEX('Game Records'!$U:$U,$H110)&lt;&gt;"Disqualified — Free Game",INDEX('Game Records'!$H:$H,$H110)=""),"Entry Fee; ","")&amp;IF(AND(INDEX('Game Records'!$U:$U,$H110)&lt;&gt;"Subscription",INDEX('Game Records'!$U:$U,$H110)&lt;&gt;"Free Game",INDEX('Game Records'!$U:$U,$H110)&lt;&gt;"Disqualified — Free Game",INDEX('Game Records'!$I:$I,$H110)=""),"Eligible Players; ","")&amp;IF(AND(INDEX('Game Records'!$U:$U,$H110)&lt;&gt;"Subscription",INDEX('Game Records'!$U:$U,$H110)&lt;&gt;"Free Game",INDEX('Game Records'!$U:$U,$H110)&lt;&gt;"Disqualified — Free Game",INDEX('Game Records'!$J:$J,$H110)=""),"Total Players; ","")&amp;IF(AND(LOWER(INDEX('Game Records'!$D:$D,$H110)&amp;"")="finalized",LOWER(INDEX('Game Records'!$L:$L,$H110)&amp;"")&lt;&gt;"yes",INDEX('Game Records'!$U:$U,$H110)&lt;&gt;"Subscription",INDEX('Game Records'!$U:$U,$H110)&lt;&gt;"Free Game",INDEX('Game Records'!$U:$U,$H110)&lt;&gt;"Disqualified — Free Game",INDEX('Game Records'!$K:$K,$H110)=""),"Final Earned; ","")&amp;IF(AND(LOWER(INDEX('Game Records'!$D:$D,$H110)&amp;"")="finalized",INDEX('Game Records'!$U:$U,$H110)&lt;&gt;"Subscription",INDEX('Game Records'!$U:$U,$H110)&lt;&gt;"Free Game",INDEX('Game Records'!$U:$U,$H110)&lt;&gt;"Disqualified — Free Game",OR(INDEX('Game Records'!$L:$L,$H110)="",LOWER(INDEX('Game Records'!$L:$L,$H110)&amp;"")="n/a")),"Disqualified Status; ","")&amp;IF(AND(OR(LOWER(TRIM(INDEX('Game Records'!$F:$F,$H110)&amp;""))="free game",INDEX('Game Records'!$U:$U,$H110)="Free Game",INDEX('Game Records'!$U:$U,$H110)="Disqualified — Free Game"),N(INDEX('Game Records'!$H:$H,$H110))&lt;&gt;0),"Free Game has a non-zero Entry Fee. Free Game records require a $0 Entry Fee; ",""))</f>
        <v/>
      </c>
      <c r="G110" s="331" t="str">
        <f>IF($H110="","",IFERROR(INDEX('Game Records'!$M:$M,$H110),""))</f>
        <v/>
      </c>
      <c r="H110" s="104" t="str">
        <f>IF($H109="","",IFERROR(MATCH(1,INDEX((ROW('Game Records'!$U$5:$U$504)&gt;$H109)*(('Game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0" s="104"/>
      <c r="J110" s="104"/>
    </row>
    <row r="111" ht="24" hidden="0" customHeight="1">
      <c r="A111" s="332" t="str">
        <f>IF($H111="","",ROWS($A$5:A111))</f>
        <v/>
      </c>
      <c r="B111" s="332" t="str">
        <f>IF($H111="","","G-"&amp;TEXT($A111,"0000"))</f>
        <v/>
      </c>
      <c r="C111" s="331" t="str">
        <f>IF($H111="","",IFERROR(INDEX('Game Records'!$A:$A,$H111),""))</f>
        <v/>
      </c>
      <c r="D111" s="331" t="str">
        <f>IF($H111="","",IFERROR(INDEX('Game Records'!$U:$U,$H111),""))</f>
        <v/>
      </c>
      <c r="E111" s="331" t="str">
        <f>IF($H111="","",IF($F111="","No Highlighted Fields","Highlighted Fields Present"))</f>
        <v/>
      </c>
      <c r="F111" s="331" t="str">
        <f>IF($H111="","",IF(OR(NOT(ISFORMULA(INDEX('Game Records'!$N:$N,$H111))),NOT(ISFORMULA(INDEX('Game Records'!$O:$O,$H111))),NOT(ISFORMULA(INDEX('Game Records'!$P:$P,$H111))),NOT(ISFORMULA(INDEX('Game Records'!$Q:$Q,$H111))),NOT(ISFORMULA(INDEX('Game Records'!$R:$R,$H111))),NOT(ISFORMULA(INDEX('Game Records'!$S:$S,$H111))),NOT(ISFORMULA(INDEX('Game Records'!$T:$T,$H111))),NOT(ISFORMULA(INDEX('Game Records'!$U:$U,$H111))),NOT(ISFORMULA(INDEX('Game Records'!$V:$V,$H111))),NOT(ISFORMULA(INDEX('Game Records'!$W:$W,$H111))),NOT(ISFORMULA(INDEX('Game Records'!$X:$X,$H111))),NOT(ISFORMULA(INDEX('Game Records'!$Y:$Y,$H111))),NOT(ISFORMULA(INDEX('Game Records'!$Z:$Z,$H111)))),"Formula columns missing; ","")&amp;IF(INDEX('Game Records'!$B:$B,$H111)="","Start Date; ","")&amp;IF(INDEX('Game Records'!$C:$C,$H111)="","End Date; ","")&amp;IF(AND(INDEX('Game Records'!$U:$U,$H111)&lt;&gt;"Subscription",INDEX('Game Records'!$U:$U,$H111)&lt;&gt;"Free Game",INDEX('Game Records'!$U:$U,$H111)&lt;&gt;"Disqualified — Free Game",OR(INDEX('Game Records'!$D:$D,$H111)="",LOWER(INDEX('Game Records'!$D:$D,$H111)&amp;"")="n/a")),"Entry Mode; ","")&amp;IF(AND(INDEX('Game Records'!$U:$U,$H111)&lt;&gt;"Subscription",INDEX('Game Records'!$U:$U,$H111)&lt;&gt;"Free Game",INDEX('Game Records'!$U:$U,$H111)&lt;&gt;"Disqualified — Free Game",OR(INDEX('Game Records'!$E:$E,$H111)="",LOWER(INDEX('Game Records'!$E:$E,$H111)&amp;"")="n/a")),"Game Type; ","")&amp;IF(INDEX('Game Records'!$F:$F,$H111)="","Payment Type; ","")&amp;IF(AND(INDEX('Game Records'!$U:$U,$H111)&lt;&gt;"Subscription",INDEX('Game Records'!$U:$U,$H111)&lt;&gt;"Free Game",INDEX('Game Records'!$U:$U,$H111)&lt;&gt;"Disqualified — Free Game",INDEX('Game Records'!$G:$G,$H111)=""),"Gross Pot; ","")&amp;IF(AND(INDEX('Game Records'!$U:$U,$H111)&lt;&gt;"Free Game",INDEX('Game Records'!$U:$U,$H111)&lt;&gt;"Disqualified — Free Game",INDEX('Game Records'!$H:$H,$H111)=""),"Entry Fee; ","")&amp;IF(AND(INDEX('Game Records'!$U:$U,$H111)&lt;&gt;"Subscription",INDEX('Game Records'!$U:$U,$H111)&lt;&gt;"Free Game",INDEX('Game Records'!$U:$U,$H111)&lt;&gt;"Disqualified — Free Game",INDEX('Game Records'!$I:$I,$H111)=""),"Eligible Players; ","")&amp;IF(AND(INDEX('Game Records'!$U:$U,$H111)&lt;&gt;"Subscription",INDEX('Game Records'!$U:$U,$H111)&lt;&gt;"Free Game",INDEX('Game Records'!$U:$U,$H111)&lt;&gt;"Disqualified — Free Game",INDEX('Game Records'!$J:$J,$H111)=""),"Total Players; ","")&amp;IF(AND(LOWER(INDEX('Game Records'!$D:$D,$H111)&amp;"")="finalized",LOWER(INDEX('Game Records'!$L:$L,$H111)&amp;"")&lt;&gt;"yes",INDEX('Game Records'!$U:$U,$H111)&lt;&gt;"Subscription",INDEX('Game Records'!$U:$U,$H111)&lt;&gt;"Free Game",INDEX('Game Records'!$U:$U,$H111)&lt;&gt;"Disqualified — Free Game",INDEX('Game Records'!$K:$K,$H111)=""),"Final Earned; ","")&amp;IF(AND(LOWER(INDEX('Game Records'!$D:$D,$H111)&amp;"")="finalized",INDEX('Game Records'!$U:$U,$H111)&lt;&gt;"Subscription",INDEX('Game Records'!$U:$U,$H111)&lt;&gt;"Free Game",INDEX('Game Records'!$U:$U,$H111)&lt;&gt;"Disqualified — Free Game",OR(INDEX('Game Records'!$L:$L,$H111)="",LOWER(INDEX('Game Records'!$L:$L,$H111)&amp;"")="n/a")),"Disqualified Status; ","")&amp;IF(AND(OR(LOWER(TRIM(INDEX('Game Records'!$F:$F,$H111)&amp;""))="free game",INDEX('Game Records'!$U:$U,$H111)="Free Game",INDEX('Game Records'!$U:$U,$H111)="Disqualified — Free Game"),N(INDEX('Game Records'!$H:$H,$H111))&lt;&gt;0),"Free Game has a non-zero Entry Fee. Free Game records require a $0 Entry Fee; ",""))</f>
        <v/>
      </c>
      <c r="G111" s="331" t="str">
        <f>IF($H111="","",IFERROR(INDEX('Game Records'!$M:$M,$H111),""))</f>
        <v/>
      </c>
      <c r="H111" s="104" t="str">
        <f>IF($H110="","",IFERROR(MATCH(1,INDEX((ROW('Game Records'!$U$5:$U$504)&gt;$H110)*(('Game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1" s="104"/>
      <c r="J111" s="104"/>
    </row>
    <row r="112" ht="24" hidden="0" customHeight="1">
      <c r="A112" s="332" t="str">
        <f>IF($H112="","",ROWS($A$5:A112))</f>
        <v/>
      </c>
      <c r="B112" s="332" t="str">
        <f>IF($H112="","","G-"&amp;TEXT($A112,"0000"))</f>
        <v/>
      </c>
      <c r="C112" s="331" t="str">
        <f>IF($H112="","",IFERROR(INDEX('Game Records'!$A:$A,$H112),""))</f>
        <v/>
      </c>
      <c r="D112" s="331" t="str">
        <f>IF($H112="","",IFERROR(INDEX('Game Records'!$U:$U,$H112),""))</f>
        <v/>
      </c>
      <c r="E112" s="331" t="str">
        <f>IF($H112="","",IF($F112="","No Highlighted Fields","Highlighted Fields Present"))</f>
        <v/>
      </c>
      <c r="F112" s="331" t="str">
        <f>IF($H112="","",IF(OR(NOT(ISFORMULA(INDEX('Game Records'!$N:$N,$H112))),NOT(ISFORMULA(INDEX('Game Records'!$O:$O,$H112))),NOT(ISFORMULA(INDEX('Game Records'!$P:$P,$H112))),NOT(ISFORMULA(INDEX('Game Records'!$Q:$Q,$H112))),NOT(ISFORMULA(INDEX('Game Records'!$R:$R,$H112))),NOT(ISFORMULA(INDEX('Game Records'!$S:$S,$H112))),NOT(ISFORMULA(INDEX('Game Records'!$T:$T,$H112))),NOT(ISFORMULA(INDEX('Game Records'!$U:$U,$H112))),NOT(ISFORMULA(INDEX('Game Records'!$V:$V,$H112))),NOT(ISFORMULA(INDEX('Game Records'!$W:$W,$H112))),NOT(ISFORMULA(INDEX('Game Records'!$X:$X,$H112))),NOT(ISFORMULA(INDEX('Game Records'!$Y:$Y,$H112))),NOT(ISFORMULA(INDEX('Game Records'!$Z:$Z,$H112)))),"Formula columns missing; ","")&amp;IF(INDEX('Game Records'!$B:$B,$H112)="","Start Date; ","")&amp;IF(INDEX('Game Records'!$C:$C,$H112)="","End Date; ","")&amp;IF(AND(INDEX('Game Records'!$U:$U,$H112)&lt;&gt;"Subscription",INDEX('Game Records'!$U:$U,$H112)&lt;&gt;"Free Game",INDEX('Game Records'!$U:$U,$H112)&lt;&gt;"Disqualified — Free Game",OR(INDEX('Game Records'!$D:$D,$H112)="",LOWER(INDEX('Game Records'!$D:$D,$H112)&amp;"")="n/a")),"Entry Mode; ","")&amp;IF(AND(INDEX('Game Records'!$U:$U,$H112)&lt;&gt;"Subscription",INDEX('Game Records'!$U:$U,$H112)&lt;&gt;"Free Game",INDEX('Game Records'!$U:$U,$H112)&lt;&gt;"Disqualified — Free Game",OR(INDEX('Game Records'!$E:$E,$H112)="",LOWER(INDEX('Game Records'!$E:$E,$H112)&amp;"")="n/a")),"Game Type; ","")&amp;IF(INDEX('Game Records'!$F:$F,$H112)="","Payment Type; ","")&amp;IF(AND(INDEX('Game Records'!$U:$U,$H112)&lt;&gt;"Subscription",INDEX('Game Records'!$U:$U,$H112)&lt;&gt;"Free Game",INDEX('Game Records'!$U:$U,$H112)&lt;&gt;"Disqualified — Free Game",INDEX('Game Records'!$G:$G,$H112)=""),"Gross Pot; ","")&amp;IF(AND(INDEX('Game Records'!$U:$U,$H112)&lt;&gt;"Free Game",INDEX('Game Records'!$U:$U,$H112)&lt;&gt;"Disqualified — Free Game",INDEX('Game Records'!$H:$H,$H112)=""),"Entry Fee; ","")&amp;IF(AND(INDEX('Game Records'!$U:$U,$H112)&lt;&gt;"Subscription",INDEX('Game Records'!$U:$U,$H112)&lt;&gt;"Free Game",INDEX('Game Records'!$U:$U,$H112)&lt;&gt;"Disqualified — Free Game",INDEX('Game Records'!$I:$I,$H112)=""),"Eligible Players; ","")&amp;IF(AND(INDEX('Game Records'!$U:$U,$H112)&lt;&gt;"Subscription",INDEX('Game Records'!$U:$U,$H112)&lt;&gt;"Free Game",INDEX('Game Records'!$U:$U,$H112)&lt;&gt;"Disqualified — Free Game",INDEX('Game Records'!$J:$J,$H112)=""),"Total Players; ","")&amp;IF(AND(LOWER(INDEX('Game Records'!$D:$D,$H112)&amp;"")="finalized",LOWER(INDEX('Game Records'!$L:$L,$H112)&amp;"")&lt;&gt;"yes",INDEX('Game Records'!$U:$U,$H112)&lt;&gt;"Subscription",INDEX('Game Records'!$U:$U,$H112)&lt;&gt;"Free Game",INDEX('Game Records'!$U:$U,$H112)&lt;&gt;"Disqualified — Free Game",INDEX('Game Records'!$K:$K,$H112)=""),"Final Earned; ","")&amp;IF(AND(LOWER(INDEX('Game Records'!$D:$D,$H112)&amp;"")="finalized",INDEX('Game Records'!$U:$U,$H112)&lt;&gt;"Subscription",INDEX('Game Records'!$U:$U,$H112)&lt;&gt;"Free Game",INDEX('Game Records'!$U:$U,$H112)&lt;&gt;"Disqualified — Free Game",OR(INDEX('Game Records'!$L:$L,$H112)="",LOWER(INDEX('Game Records'!$L:$L,$H112)&amp;"")="n/a")),"Disqualified Status; ","")&amp;IF(AND(OR(LOWER(TRIM(INDEX('Game Records'!$F:$F,$H112)&amp;""))="free game",INDEX('Game Records'!$U:$U,$H112)="Free Game",INDEX('Game Records'!$U:$U,$H112)="Disqualified — Free Game"),N(INDEX('Game Records'!$H:$H,$H112))&lt;&gt;0),"Free Game has a non-zero Entry Fee. Free Game records require a $0 Entry Fee; ",""))</f>
        <v/>
      </c>
      <c r="G112" s="331" t="str">
        <f>IF($H112="","",IFERROR(INDEX('Game Records'!$M:$M,$H112),""))</f>
        <v/>
      </c>
      <c r="H112" s="104" t="str">
        <f>IF($H111="","",IFERROR(MATCH(1,INDEX((ROW('Game Records'!$U$5:$U$504)&gt;$H111)*(('Game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2" s="104"/>
      <c r="J112" s="104"/>
    </row>
    <row r="113" ht="24" hidden="0" customHeight="1">
      <c r="A113" s="332" t="str">
        <f>IF($H113="","",ROWS($A$5:A113))</f>
        <v/>
      </c>
      <c r="B113" s="332" t="str">
        <f>IF($H113="","","G-"&amp;TEXT($A113,"0000"))</f>
        <v/>
      </c>
      <c r="C113" s="331" t="str">
        <f>IF($H113="","",IFERROR(INDEX('Game Records'!$A:$A,$H113),""))</f>
        <v/>
      </c>
      <c r="D113" s="331" t="str">
        <f>IF($H113="","",IFERROR(INDEX('Game Records'!$U:$U,$H113),""))</f>
        <v/>
      </c>
      <c r="E113" s="331" t="str">
        <f>IF($H113="","",IF($F113="","No Highlighted Fields","Highlighted Fields Present"))</f>
        <v/>
      </c>
      <c r="F113" s="331" t="str">
        <f>IF($H113="","",IF(OR(NOT(ISFORMULA(INDEX('Game Records'!$N:$N,$H113))),NOT(ISFORMULA(INDEX('Game Records'!$O:$O,$H113))),NOT(ISFORMULA(INDEX('Game Records'!$P:$P,$H113))),NOT(ISFORMULA(INDEX('Game Records'!$Q:$Q,$H113))),NOT(ISFORMULA(INDEX('Game Records'!$R:$R,$H113))),NOT(ISFORMULA(INDEX('Game Records'!$S:$S,$H113))),NOT(ISFORMULA(INDEX('Game Records'!$T:$T,$H113))),NOT(ISFORMULA(INDEX('Game Records'!$U:$U,$H113))),NOT(ISFORMULA(INDEX('Game Records'!$V:$V,$H113))),NOT(ISFORMULA(INDEX('Game Records'!$W:$W,$H113))),NOT(ISFORMULA(INDEX('Game Records'!$X:$X,$H113))),NOT(ISFORMULA(INDEX('Game Records'!$Y:$Y,$H113))),NOT(ISFORMULA(INDEX('Game Records'!$Z:$Z,$H113)))),"Formula columns missing; ","")&amp;IF(INDEX('Game Records'!$B:$B,$H113)="","Start Date; ","")&amp;IF(INDEX('Game Records'!$C:$C,$H113)="","End Date; ","")&amp;IF(AND(INDEX('Game Records'!$U:$U,$H113)&lt;&gt;"Subscription",INDEX('Game Records'!$U:$U,$H113)&lt;&gt;"Free Game",INDEX('Game Records'!$U:$U,$H113)&lt;&gt;"Disqualified — Free Game",OR(INDEX('Game Records'!$D:$D,$H113)="",LOWER(INDEX('Game Records'!$D:$D,$H113)&amp;"")="n/a")),"Entry Mode; ","")&amp;IF(AND(INDEX('Game Records'!$U:$U,$H113)&lt;&gt;"Subscription",INDEX('Game Records'!$U:$U,$H113)&lt;&gt;"Free Game",INDEX('Game Records'!$U:$U,$H113)&lt;&gt;"Disqualified — Free Game",OR(INDEX('Game Records'!$E:$E,$H113)="",LOWER(INDEX('Game Records'!$E:$E,$H113)&amp;"")="n/a")),"Game Type; ","")&amp;IF(INDEX('Game Records'!$F:$F,$H113)="","Payment Type; ","")&amp;IF(AND(INDEX('Game Records'!$U:$U,$H113)&lt;&gt;"Subscription",INDEX('Game Records'!$U:$U,$H113)&lt;&gt;"Free Game",INDEX('Game Records'!$U:$U,$H113)&lt;&gt;"Disqualified — Free Game",INDEX('Game Records'!$G:$G,$H113)=""),"Gross Pot; ","")&amp;IF(AND(INDEX('Game Records'!$U:$U,$H113)&lt;&gt;"Free Game",INDEX('Game Records'!$U:$U,$H113)&lt;&gt;"Disqualified — Free Game",INDEX('Game Records'!$H:$H,$H113)=""),"Entry Fee; ","")&amp;IF(AND(INDEX('Game Records'!$U:$U,$H113)&lt;&gt;"Subscription",INDEX('Game Records'!$U:$U,$H113)&lt;&gt;"Free Game",INDEX('Game Records'!$U:$U,$H113)&lt;&gt;"Disqualified — Free Game",INDEX('Game Records'!$I:$I,$H113)=""),"Eligible Players; ","")&amp;IF(AND(INDEX('Game Records'!$U:$U,$H113)&lt;&gt;"Subscription",INDEX('Game Records'!$U:$U,$H113)&lt;&gt;"Free Game",INDEX('Game Records'!$U:$U,$H113)&lt;&gt;"Disqualified — Free Game",INDEX('Game Records'!$J:$J,$H113)=""),"Total Players; ","")&amp;IF(AND(LOWER(INDEX('Game Records'!$D:$D,$H113)&amp;"")="finalized",LOWER(INDEX('Game Records'!$L:$L,$H113)&amp;"")&lt;&gt;"yes",INDEX('Game Records'!$U:$U,$H113)&lt;&gt;"Subscription",INDEX('Game Records'!$U:$U,$H113)&lt;&gt;"Free Game",INDEX('Game Records'!$U:$U,$H113)&lt;&gt;"Disqualified — Free Game",INDEX('Game Records'!$K:$K,$H113)=""),"Final Earned; ","")&amp;IF(AND(LOWER(INDEX('Game Records'!$D:$D,$H113)&amp;"")="finalized",INDEX('Game Records'!$U:$U,$H113)&lt;&gt;"Subscription",INDEX('Game Records'!$U:$U,$H113)&lt;&gt;"Free Game",INDEX('Game Records'!$U:$U,$H113)&lt;&gt;"Disqualified — Free Game",OR(INDEX('Game Records'!$L:$L,$H113)="",LOWER(INDEX('Game Records'!$L:$L,$H113)&amp;"")="n/a")),"Disqualified Status; ","")&amp;IF(AND(OR(LOWER(TRIM(INDEX('Game Records'!$F:$F,$H113)&amp;""))="free game",INDEX('Game Records'!$U:$U,$H113)="Free Game",INDEX('Game Records'!$U:$U,$H113)="Disqualified — Free Game"),N(INDEX('Game Records'!$H:$H,$H113))&lt;&gt;0),"Free Game has a non-zero Entry Fee. Free Game records require a $0 Entry Fee; ",""))</f>
        <v/>
      </c>
      <c r="G113" s="331" t="str">
        <f>IF($H113="","",IFERROR(INDEX('Game Records'!$M:$M,$H113),""))</f>
        <v/>
      </c>
      <c r="H113" s="104" t="str">
        <f>IF($H112="","",IFERROR(MATCH(1,INDEX((ROW('Game Records'!$U$5:$U$504)&gt;$H112)*(('Game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3" s="104"/>
      <c r="J113" s="104"/>
    </row>
    <row r="114" ht="24" hidden="0" customHeight="1">
      <c r="A114" s="332" t="str">
        <f>IF($H114="","",ROWS($A$5:A114))</f>
        <v/>
      </c>
      <c r="B114" s="332" t="str">
        <f>IF($H114="","","G-"&amp;TEXT($A114,"0000"))</f>
        <v/>
      </c>
      <c r="C114" s="331" t="str">
        <f>IF($H114="","",IFERROR(INDEX('Game Records'!$A:$A,$H114),""))</f>
        <v/>
      </c>
      <c r="D114" s="331" t="str">
        <f>IF($H114="","",IFERROR(INDEX('Game Records'!$U:$U,$H114),""))</f>
        <v/>
      </c>
      <c r="E114" s="331" t="str">
        <f>IF($H114="","",IF($F114="","No Highlighted Fields","Highlighted Fields Present"))</f>
        <v/>
      </c>
      <c r="F114" s="331" t="str">
        <f>IF($H114="","",IF(OR(NOT(ISFORMULA(INDEX('Game Records'!$N:$N,$H114))),NOT(ISFORMULA(INDEX('Game Records'!$O:$O,$H114))),NOT(ISFORMULA(INDEX('Game Records'!$P:$P,$H114))),NOT(ISFORMULA(INDEX('Game Records'!$Q:$Q,$H114))),NOT(ISFORMULA(INDEX('Game Records'!$R:$R,$H114))),NOT(ISFORMULA(INDEX('Game Records'!$S:$S,$H114))),NOT(ISFORMULA(INDEX('Game Records'!$T:$T,$H114))),NOT(ISFORMULA(INDEX('Game Records'!$U:$U,$H114))),NOT(ISFORMULA(INDEX('Game Records'!$V:$V,$H114))),NOT(ISFORMULA(INDEX('Game Records'!$W:$W,$H114))),NOT(ISFORMULA(INDEX('Game Records'!$X:$X,$H114))),NOT(ISFORMULA(INDEX('Game Records'!$Y:$Y,$H114))),NOT(ISFORMULA(INDEX('Game Records'!$Z:$Z,$H114)))),"Formula columns missing; ","")&amp;IF(INDEX('Game Records'!$B:$B,$H114)="","Start Date; ","")&amp;IF(INDEX('Game Records'!$C:$C,$H114)="","End Date; ","")&amp;IF(AND(INDEX('Game Records'!$U:$U,$H114)&lt;&gt;"Subscription",INDEX('Game Records'!$U:$U,$H114)&lt;&gt;"Free Game",INDEX('Game Records'!$U:$U,$H114)&lt;&gt;"Disqualified — Free Game",OR(INDEX('Game Records'!$D:$D,$H114)="",LOWER(INDEX('Game Records'!$D:$D,$H114)&amp;"")="n/a")),"Entry Mode; ","")&amp;IF(AND(INDEX('Game Records'!$U:$U,$H114)&lt;&gt;"Subscription",INDEX('Game Records'!$U:$U,$H114)&lt;&gt;"Free Game",INDEX('Game Records'!$U:$U,$H114)&lt;&gt;"Disqualified — Free Game",OR(INDEX('Game Records'!$E:$E,$H114)="",LOWER(INDEX('Game Records'!$E:$E,$H114)&amp;"")="n/a")),"Game Type; ","")&amp;IF(INDEX('Game Records'!$F:$F,$H114)="","Payment Type; ","")&amp;IF(AND(INDEX('Game Records'!$U:$U,$H114)&lt;&gt;"Subscription",INDEX('Game Records'!$U:$U,$H114)&lt;&gt;"Free Game",INDEX('Game Records'!$U:$U,$H114)&lt;&gt;"Disqualified — Free Game",INDEX('Game Records'!$G:$G,$H114)=""),"Gross Pot; ","")&amp;IF(AND(INDEX('Game Records'!$U:$U,$H114)&lt;&gt;"Free Game",INDEX('Game Records'!$U:$U,$H114)&lt;&gt;"Disqualified — Free Game",INDEX('Game Records'!$H:$H,$H114)=""),"Entry Fee; ","")&amp;IF(AND(INDEX('Game Records'!$U:$U,$H114)&lt;&gt;"Subscription",INDEX('Game Records'!$U:$U,$H114)&lt;&gt;"Free Game",INDEX('Game Records'!$U:$U,$H114)&lt;&gt;"Disqualified — Free Game",INDEX('Game Records'!$I:$I,$H114)=""),"Eligible Players; ","")&amp;IF(AND(INDEX('Game Records'!$U:$U,$H114)&lt;&gt;"Subscription",INDEX('Game Records'!$U:$U,$H114)&lt;&gt;"Free Game",INDEX('Game Records'!$U:$U,$H114)&lt;&gt;"Disqualified — Free Game",INDEX('Game Records'!$J:$J,$H114)=""),"Total Players; ","")&amp;IF(AND(LOWER(INDEX('Game Records'!$D:$D,$H114)&amp;"")="finalized",LOWER(INDEX('Game Records'!$L:$L,$H114)&amp;"")&lt;&gt;"yes",INDEX('Game Records'!$U:$U,$H114)&lt;&gt;"Subscription",INDEX('Game Records'!$U:$U,$H114)&lt;&gt;"Free Game",INDEX('Game Records'!$U:$U,$H114)&lt;&gt;"Disqualified — Free Game",INDEX('Game Records'!$K:$K,$H114)=""),"Final Earned; ","")&amp;IF(AND(LOWER(INDEX('Game Records'!$D:$D,$H114)&amp;"")="finalized",INDEX('Game Records'!$U:$U,$H114)&lt;&gt;"Subscription",INDEX('Game Records'!$U:$U,$H114)&lt;&gt;"Free Game",INDEX('Game Records'!$U:$U,$H114)&lt;&gt;"Disqualified — Free Game",OR(INDEX('Game Records'!$L:$L,$H114)="",LOWER(INDEX('Game Records'!$L:$L,$H114)&amp;"")="n/a")),"Disqualified Status; ","")&amp;IF(AND(OR(LOWER(TRIM(INDEX('Game Records'!$F:$F,$H114)&amp;""))="free game",INDEX('Game Records'!$U:$U,$H114)="Free Game",INDEX('Game Records'!$U:$U,$H114)="Disqualified — Free Game"),N(INDEX('Game Records'!$H:$H,$H114))&lt;&gt;0),"Free Game has a non-zero Entry Fee. Free Game records require a $0 Entry Fee; ",""))</f>
        <v/>
      </c>
      <c r="G114" s="331" t="str">
        <f>IF($H114="","",IFERROR(INDEX('Game Records'!$M:$M,$H114),""))</f>
        <v/>
      </c>
      <c r="H114" s="104" t="str">
        <f>IF($H113="","",IFERROR(MATCH(1,INDEX((ROW('Game Records'!$U$5:$U$504)&gt;$H113)*(('Game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4" s="104"/>
      <c r="J114" s="104"/>
    </row>
    <row r="115" ht="24" hidden="0" customHeight="1">
      <c r="A115" s="332" t="str">
        <f>IF($H115="","",ROWS($A$5:A115))</f>
        <v/>
      </c>
      <c r="B115" s="332" t="str">
        <f>IF($H115="","","G-"&amp;TEXT($A115,"0000"))</f>
        <v/>
      </c>
      <c r="C115" s="331" t="str">
        <f>IF($H115="","",IFERROR(INDEX('Game Records'!$A:$A,$H115),""))</f>
        <v/>
      </c>
      <c r="D115" s="331" t="str">
        <f>IF($H115="","",IFERROR(INDEX('Game Records'!$U:$U,$H115),""))</f>
        <v/>
      </c>
      <c r="E115" s="331" t="str">
        <f>IF($H115="","",IF($F115="","No Highlighted Fields","Highlighted Fields Present"))</f>
        <v/>
      </c>
      <c r="F115" s="331" t="str">
        <f>IF($H115="","",IF(OR(NOT(ISFORMULA(INDEX('Game Records'!$N:$N,$H115))),NOT(ISFORMULA(INDEX('Game Records'!$O:$O,$H115))),NOT(ISFORMULA(INDEX('Game Records'!$P:$P,$H115))),NOT(ISFORMULA(INDEX('Game Records'!$Q:$Q,$H115))),NOT(ISFORMULA(INDEX('Game Records'!$R:$R,$H115))),NOT(ISFORMULA(INDEX('Game Records'!$S:$S,$H115))),NOT(ISFORMULA(INDEX('Game Records'!$T:$T,$H115))),NOT(ISFORMULA(INDEX('Game Records'!$U:$U,$H115))),NOT(ISFORMULA(INDEX('Game Records'!$V:$V,$H115))),NOT(ISFORMULA(INDEX('Game Records'!$W:$W,$H115))),NOT(ISFORMULA(INDEX('Game Records'!$X:$X,$H115))),NOT(ISFORMULA(INDEX('Game Records'!$Y:$Y,$H115))),NOT(ISFORMULA(INDEX('Game Records'!$Z:$Z,$H115)))),"Formula columns missing; ","")&amp;IF(INDEX('Game Records'!$B:$B,$H115)="","Start Date; ","")&amp;IF(INDEX('Game Records'!$C:$C,$H115)="","End Date; ","")&amp;IF(AND(INDEX('Game Records'!$U:$U,$H115)&lt;&gt;"Subscription",INDEX('Game Records'!$U:$U,$H115)&lt;&gt;"Free Game",INDEX('Game Records'!$U:$U,$H115)&lt;&gt;"Disqualified — Free Game",OR(INDEX('Game Records'!$D:$D,$H115)="",LOWER(INDEX('Game Records'!$D:$D,$H115)&amp;"")="n/a")),"Entry Mode; ","")&amp;IF(AND(INDEX('Game Records'!$U:$U,$H115)&lt;&gt;"Subscription",INDEX('Game Records'!$U:$U,$H115)&lt;&gt;"Free Game",INDEX('Game Records'!$U:$U,$H115)&lt;&gt;"Disqualified — Free Game",OR(INDEX('Game Records'!$E:$E,$H115)="",LOWER(INDEX('Game Records'!$E:$E,$H115)&amp;"")="n/a")),"Game Type; ","")&amp;IF(INDEX('Game Records'!$F:$F,$H115)="","Payment Type; ","")&amp;IF(AND(INDEX('Game Records'!$U:$U,$H115)&lt;&gt;"Subscription",INDEX('Game Records'!$U:$U,$H115)&lt;&gt;"Free Game",INDEX('Game Records'!$U:$U,$H115)&lt;&gt;"Disqualified — Free Game",INDEX('Game Records'!$G:$G,$H115)=""),"Gross Pot; ","")&amp;IF(AND(INDEX('Game Records'!$U:$U,$H115)&lt;&gt;"Free Game",INDEX('Game Records'!$U:$U,$H115)&lt;&gt;"Disqualified — Free Game",INDEX('Game Records'!$H:$H,$H115)=""),"Entry Fee; ","")&amp;IF(AND(INDEX('Game Records'!$U:$U,$H115)&lt;&gt;"Subscription",INDEX('Game Records'!$U:$U,$H115)&lt;&gt;"Free Game",INDEX('Game Records'!$U:$U,$H115)&lt;&gt;"Disqualified — Free Game",INDEX('Game Records'!$I:$I,$H115)=""),"Eligible Players; ","")&amp;IF(AND(INDEX('Game Records'!$U:$U,$H115)&lt;&gt;"Subscription",INDEX('Game Records'!$U:$U,$H115)&lt;&gt;"Free Game",INDEX('Game Records'!$U:$U,$H115)&lt;&gt;"Disqualified — Free Game",INDEX('Game Records'!$J:$J,$H115)=""),"Total Players; ","")&amp;IF(AND(LOWER(INDEX('Game Records'!$D:$D,$H115)&amp;"")="finalized",LOWER(INDEX('Game Records'!$L:$L,$H115)&amp;"")&lt;&gt;"yes",INDEX('Game Records'!$U:$U,$H115)&lt;&gt;"Subscription",INDEX('Game Records'!$U:$U,$H115)&lt;&gt;"Free Game",INDEX('Game Records'!$U:$U,$H115)&lt;&gt;"Disqualified — Free Game",INDEX('Game Records'!$K:$K,$H115)=""),"Final Earned; ","")&amp;IF(AND(LOWER(INDEX('Game Records'!$D:$D,$H115)&amp;"")="finalized",INDEX('Game Records'!$U:$U,$H115)&lt;&gt;"Subscription",INDEX('Game Records'!$U:$U,$H115)&lt;&gt;"Free Game",INDEX('Game Records'!$U:$U,$H115)&lt;&gt;"Disqualified — Free Game",OR(INDEX('Game Records'!$L:$L,$H115)="",LOWER(INDEX('Game Records'!$L:$L,$H115)&amp;"")="n/a")),"Disqualified Status; ","")&amp;IF(AND(OR(LOWER(TRIM(INDEX('Game Records'!$F:$F,$H115)&amp;""))="free game",INDEX('Game Records'!$U:$U,$H115)="Free Game",INDEX('Game Records'!$U:$U,$H115)="Disqualified — Free Game"),N(INDEX('Game Records'!$H:$H,$H115))&lt;&gt;0),"Free Game has a non-zero Entry Fee. Free Game records require a $0 Entry Fee; ",""))</f>
        <v/>
      </c>
      <c r="G115" s="331" t="str">
        <f>IF($H115="","",IFERROR(INDEX('Game Records'!$M:$M,$H115),""))</f>
        <v/>
      </c>
      <c r="H115" s="104" t="str">
        <f>IF($H114="","",IFERROR(MATCH(1,INDEX((ROW('Game Records'!$U$5:$U$504)&gt;$H114)*(('Game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5" s="104"/>
      <c r="J115" s="104"/>
    </row>
    <row r="116" ht="24" hidden="0" customHeight="1">
      <c r="A116" s="332" t="str">
        <f>IF($H116="","",ROWS($A$5:A116))</f>
        <v/>
      </c>
      <c r="B116" s="332" t="str">
        <f>IF($H116="","","G-"&amp;TEXT($A116,"0000"))</f>
        <v/>
      </c>
      <c r="C116" s="331" t="str">
        <f>IF($H116="","",IFERROR(INDEX('Game Records'!$A:$A,$H116),""))</f>
        <v/>
      </c>
      <c r="D116" s="331" t="str">
        <f>IF($H116="","",IFERROR(INDEX('Game Records'!$U:$U,$H116),""))</f>
        <v/>
      </c>
      <c r="E116" s="331" t="str">
        <f>IF($H116="","",IF($F116="","No Highlighted Fields","Highlighted Fields Present"))</f>
        <v/>
      </c>
      <c r="F116" s="331" t="str">
        <f>IF($H116="","",IF(OR(NOT(ISFORMULA(INDEX('Game Records'!$N:$N,$H116))),NOT(ISFORMULA(INDEX('Game Records'!$O:$O,$H116))),NOT(ISFORMULA(INDEX('Game Records'!$P:$P,$H116))),NOT(ISFORMULA(INDEX('Game Records'!$Q:$Q,$H116))),NOT(ISFORMULA(INDEX('Game Records'!$R:$R,$H116))),NOT(ISFORMULA(INDEX('Game Records'!$S:$S,$H116))),NOT(ISFORMULA(INDEX('Game Records'!$T:$T,$H116))),NOT(ISFORMULA(INDEX('Game Records'!$U:$U,$H116))),NOT(ISFORMULA(INDEX('Game Records'!$V:$V,$H116))),NOT(ISFORMULA(INDEX('Game Records'!$W:$W,$H116))),NOT(ISFORMULA(INDEX('Game Records'!$X:$X,$H116))),NOT(ISFORMULA(INDEX('Game Records'!$Y:$Y,$H116))),NOT(ISFORMULA(INDEX('Game Records'!$Z:$Z,$H116)))),"Formula columns missing; ","")&amp;IF(INDEX('Game Records'!$B:$B,$H116)="","Start Date; ","")&amp;IF(INDEX('Game Records'!$C:$C,$H116)="","End Date; ","")&amp;IF(AND(INDEX('Game Records'!$U:$U,$H116)&lt;&gt;"Subscription",INDEX('Game Records'!$U:$U,$H116)&lt;&gt;"Free Game",INDEX('Game Records'!$U:$U,$H116)&lt;&gt;"Disqualified — Free Game",OR(INDEX('Game Records'!$D:$D,$H116)="",LOWER(INDEX('Game Records'!$D:$D,$H116)&amp;"")="n/a")),"Entry Mode; ","")&amp;IF(AND(INDEX('Game Records'!$U:$U,$H116)&lt;&gt;"Subscription",INDEX('Game Records'!$U:$U,$H116)&lt;&gt;"Free Game",INDEX('Game Records'!$U:$U,$H116)&lt;&gt;"Disqualified — Free Game",OR(INDEX('Game Records'!$E:$E,$H116)="",LOWER(INDEX('Game Records'!$E:$E,$H116)&amp;"")="n/a")),"Game Type; ","")&amp;IF(INDEX('Game Records'!$F:$F,$H116)="","Payment Type; ","")&amp;IF(AND(INDEX('Game Records'!$U:$U,$H116)&lt;&gt;"Subscription",INDEX('Game Records'!$U:$U,$H116)&lt;&gt;"Free Game",INDEX('Game Records'!$U:$U,$H116)&lt;&gt;"Disqualified — Free Game",INDEX('Game Records'!$G:$G,$H116)=""),"Gross Pot; ","")&amp;IF(AND(INDEX('Game Records'!$U:$U,$H116)&lt;&gt;"Free Game",INDEX('Game Records'!$U:$U,$H116)&lt;&gt;"Disqualified — Free Game",INDEX('Game Records'!$H:$H,$H116)=""),"Entry Fee; ","")&amp;IF(AND(INDEX('Game Records'!$U:$U,$H116)&lt;&gt;"Subscription",INDEX('Game Records'!$U:$U,$H116)&lt;&gt;"Free Game",INDEX('Game Records'!$U:$U,$H116)&lt;&gt;"Disqualified — Free Game",INDEX('Game Records'!$I:$I,$H116)=""),"Eligible Players; ","")&amp;IF(AND(INDEX('Game Records'!$U:$U,$H116)&lt;&gt;"Subscription",INDEX('Game Records'!$U:$U,$H116)&lt;&gt;"Free Game",INDEX('Game Records'!$U:$U,$H116)&lt;&gt;"Disqualified — Free Game",INDEX('Game Records'!$J:$J,$H116)=""),"Total Players; ","")&amp;IF(AND(LOWER(INDEX('Game Records'!$D:$D,$H116)&amp;"")="finalized",LOWER(INDEX('Game Records'!$L:$L,$H116)&amp;"")&lt;&gt;"yes",INDEX('Game Records'!$U:$U,$H116)&lt;&gt;"Subscription",INDEX('Game Records'!$U:$U,$H116)&lt;&gt;"Free Game",INDEX('Game Records'!$U:$U,$H116)&lt;&gt;"Disqualified — Free Game",INDEX('Game Records'!$K:$K,$H116)=""),"Final Earned; ","")&amp;IF(AND(LOWER(INDEX('Game Records'!$D:$D,$H116)&amp;"")="finalized",INDEX('Game Records'!$U:$U,$H116)&lt;&gt;"Subscription",INDEX('Game Records'!$U:$U,$H116)&lt;&gt;"Free Game",INDEX('Game Records'!$U:$U,$H116)&lt;&gt;"Disqualified — Free Game",OR(INDEX('Game Records'!$L:$L,$H116)="",LOWER(INDEX('Game Records'!$L:$L,$H116)&amp;"")="n/a")),"Disqualified Status; ","")&amp;IF(AND(OR(LOWER(TRIM(INDEX('Game Records'!$F:$F,$H116)&amp;""))="free game",INDEX('Game Records'!$U:$U,$H116)="Free Game",INDEX('Game Records'!$U:$U,$H116)="Disqualified — Free Game"),N(INDEX('Game Records'!$H:$H,$H116))&lt;&gt;0),"Free Game has a non-zero Entry Fee. Free Game records require a $0 Entry Fee; ",""))</f>
        <v/>
      </c>
      <c r="G116" s="331" t="str">
        <f>IF($H116="","",IFERROR(INDEX('Game Records'!$M:$M,$H116),""))</f>
        <v/>
      </c>
      <c r="H116" s="104" t="str">
        <f>IF($H115="","",IFERROR(MATCH(1,INDEX((ROW('Game Records'!$U$5:$U$504)&gt;$H115)*(('Game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6" s="104"/>
      <c r="J116" s="104"/>
    </row>
    <row r="117" ht="24" hidden="0" customHeight="1">
      <c r="A117" s="332" t="str">
        <f>IF($H117="","",ROWS($A$5:A117))</f>
        <v/>
      </c>
      <c r="B117" s="332" t="str">
        <f>IF($H117="","","G-"&amp;TEXT($A117,"0000"))</f>
        <v/>
      </c>
      <c r="C117" s="331" t="str">
        <f>IF($H117="","",IFERROR(INDEX('Game Records'!$A:$A,$H117),""))</f>
        <v/>
      </c>
      <c r="D117" s="331" t="str">
        <f>IF($H117="","",IFERROR(INDEX('Game Records'!$U:$U,$H117),""))</f>
        <v/>
      </c>
      <c r="E117" s="331" t="str">
        <f>IF($H117="","",IF($F117="","No Highlighted Fields","Highlighted Fields Present"))</f>
        <v/>
      </c>
      <c r="F117" s="331" t="str">
        <f>IF($H117="","",IF(OR(NOT(ISFORMULA(INDEX('Game Records'!$N:$N,$H117))),NOT(ISFORMULA(INDEX('Game Records'!$O:$O,$H117))),NOT(ISFORMULA(INDEX('Game Records'!$P:$P,$H117))),NOT(ISFORMULA(INDEX('Game Records'!$Q:$Q,$H117))),NOT(ISFORMULA(INDEX('Game Records'!$R:$R,$H117))),NOT(ISFORMULA(INDEX('Game Records'!$S:$S,$H117))),NOT(ISFORMULA(INDEX('Game Records'!$T:$T,$H117))),NOT(ISFORMULA(INDEX('Game Records'!$U:$U,$H117))),NOT(ISFORMULA(INDEX('Game Records'!$V:$V,$H117))),NOT(ISFORMULA(INDEX('Game Records'!$W:$W,$H117))),NOT(ISFORMULA(INDEX('Game Records'!$X:$X,$H117))),NOT(ISFORMULA(INDEX('Game Records'!$Y:$Y,$H117))),NOT(ISFORMULA(INDEX('Game Records'!$Z:$Z,$H117)))),"Formula columns missing; ","")&amp;IF(INDEX('Game Records'!$B:$B,$H117)="","Start Date; ","")&amp;IF(INDEX('Game Records'!$C:$C,$H117)="","End Date; ","")&amp;IF(AND(INDEX('Game Records'!$U:$U,$H117)&lt;&gt;"Subscription",INDEX('Game Records'!$U:$U,$H117)&lt;&gt;"Free Game",INDEX('Game Records'!$U:$U,$H117)&lt;&gt;"Disqualified — Free Game",OR(INDEX('Game Records'!$D:$D,$H117)="",LOWER(INDEX('Game Records'!$D:$D,$H117)&amp;"")="n/a")),"Entry Mode; ","")&amp;IF(AND(INDEX('Game Records'!$U:$U,$H117)&lt;&gt;"Subscription",INDEX('Game Records'!$U:$U,$H117)&lt;&gt;"Free Game",INDEX('Game Records'!$U:$U,$H117)&lt;&gt;"Disqualified — Free Game",OR(INDEX('Game Records'!$E:$E,$H117)="",LOWER(INDEX('Game Records'!$E:$E,$H117)&amp;"")="n/a")),"Game Type; ","")&amp;IF(INDEX('Game Records'!$F:$F,$H117)="","Payment Type; ","")&amp;IF(AND(INDEX('Game Records'!$U:$U,$H117)&lt;&gt;"Subscription",INDEX('Game Records'!$U:$U,$H117)&lt;&gt;"Free Game",INDEX('Game Records'!$U:$U,$H117)&lt;&gt;"Disqualified — Free Game",INDEX('Game Records'!$G:$G,$H117)=""),"Gross Pot; ","")&amp;IF(AND(INDEX('Game Records'!$U:$U,$H117)&lt;&gt;"Free Game",INDEX('Game Records'!$U:$U,$H117)&lt;&gt;"Disqualified — Free Game",INDEX('Game Records'!$H:$H,$H117)=""),"Entry Fee; ","")&amp;IF(AND(INDEX('Game Records'!$U:$U,$H117)&lt;&gt;"Subscription",INDEX('Game Records'!$U:$U,$H117)&lt;&gt;"Free Game",INDEX('Game Records'!$U:$U,$H117)&lt;&gt;"Disqualified — Free Game",INDEX('Game Records'!$I:$I,$H117)=""),"Eligible Players; ","")&amp;IF(AND(INDEX('Game Records'!$U:$U,$H117)&lt;&gt;"Subscription",INDEX('Game Records'!$U:$U,$H117)&lt;&gt;"Free Game",INDEX('Game Records'!$U:$U,$H117)&lt;&gt;"Disqualified — Free Game",INDEX('Game Records'!$J:$J,$H117)=""),"Total Players; ","")&amp;IF(AND(LOWER(INDEX('Game Records'!$D:$D,$H117)&amp;"")="finalized",LOWER(INDEX('Game Records'!$L:$L,$H117)&amp;"")&lt;&gt;"yes",INDEX('Game Records'!$U:$U,$H117)&lt;&gt;"Subscription",INDEX('Game Records'!$U:$U,$H117)&lt;&gt;"Free Game",INDEX('Game Records'!$U:$U,$H117)&lt;&gt;"Disqualified — Free Game",INDEX('Game Records'!$K:$K,$H117)=""),"Final Earned; ","")&amp;IF(AND(LOWER(INDEX('Game Records'!$D:$D,$H117)&amp;"")="finalized",INDEX('Game Records'!$U:$U,$H117)&lt;&gt;"Subscription",INDEX('Game Records'!$U:$U,$H117)&lt;&gt;"Free Game",INDEX('Game Records'!$U:$U,$H117)&lt;&gt;"Disqualified — Free Game",OR(INDEX('Game Records'!$L:$L,$H117)="",LOWER(INDEX('Game Records'!$L:$L,$H117)&amp;"")="n/a")),"Disqualified Status; ","")&amp;IF(AND(OR(LOWER(TRIM(INDEX('Game Records'!$F:$F,$H117)&amp;""))="free game",INDEX('Game Records'!$U:$U,$H117)="Free Game",INDEX('Game Records'!$U:$U,$H117)="Disqualified — Free Game"),N(INDEX('Game Records'!$H:$H,$H117))&lt;&gt;0),"Free Game has a non-zero Entry Fee. Free Game records require a $0 Entry Fee; ",""))</f>
        <v/>
      </c>
      <c r="G117" s="331" t="str">
        <f>IF($H117="","",IFERROR(INDEX('Game Records'!$M:$M,$H117),""))</f>
        <v/>
      </c>
      <c r="H117" s="104" t="str">
        <f>IF($H116="","",IFERROR(MATCH(1,INDEX((ROW('Game Records'!$U$5:$U$504)&gt;$H116)*(('Game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7" s="104"/>
      <c r="J117" s="104"/>
    </row>
    <row r="118" ht="24" hidden="0" customHeight="1">
      <c r="A118" s="332" t="str">
        <f>IF($H118="","",ROWS($A$5:A118))</f>
        <v/>
      </c>
      <c r="B118" s="332" t="str">
        <f>IF($H118="","","G-"&amp;TEXT($A118,"0000"))</f>
        <v/>
      </c>
      <c r="C118" s="331" t="str">
        <f>IF($H118="","",IFERROR(INDEX('Game Records'!$A:$A,$H118),""))</f>
        <v/>
      </c>
      <c r="D118" s="331" t="str">
        <f>IF($H118="","",IFERROR(INDEX('Game Records'!$U:$U,$H118),""))</f>
        <v/>
      </c>
      <c r="E118" s="331" t="str">
        <f>IF($H118="","",IF($F118="","No Highlighted Fields","Highlighted Fields Present"))</f>
        <v/>
      </c>
      <c r="F118" s="331" t="str">
        <f>IF($H118="","",IF(OR(NOT(ISFORMULA(INDEX('Game Records'!$N:$N,$H118))),NOT(ISFORMULA(INDEX('Game Records'!$O:$O,$H118))),NOT(ISFORMULA(INDEX('Game Records'!$P:$P,$H118))),NOT(ISFORMULA(INDEX('Game Records'!$Q:$Q,$H118))),NOT(ISFORMULA(INDEX('Game Records'!$R:$R,$H118))),NOT(ISFORMULA(INDEX('Game Records'!$S:$S,$H118))),NOT(ISFORMULA(INDEX('Game Records'!$T:$T,$H118))),NOT(ISFORMULA(INDEX('Game Records'!$U:$U,$H118))),NOT(ISFORMULA(INDEX('Game Records'!$V:$V,$H118))),NOT(ISFORMULA(INDEX('Game Records'!$W:$W,$H118))),NOT(ISFORMULA(INDEX('Game Records'!$X:$X,$H118))),NOT(ISFORMULA(INDEX('Game Records'!$Y:$Y,$H118))),NOT(ISFORMULA(INDEX('Game Records'!$Z:$Z,$H118)))),"Formula columns missing; ","")&amp;IF(INDEX('Game Records'!$B:$B,$H118)="","Start Date; ","")&amp;IF(INDEX('Game Records'!$C:$C,$H118)="","End Date; ","")&amp;IF(AND(INDEX('Game Records'!$U:$U,$H118)&lt;&gt;"Subscription",INDEX('Game Records'!$U:$U,$H118)&lt;&gt;"Free Game",INDEX('Game Records'!$U:$U,$H118)&lt;&gt;"Disqualified — Free Game",OR(INDEX('Game Records'!$D:$D,$H118)="",LOWER(INDEX('Game Records'!$D:$D,$H118)&amp;"")="n/a")),"Entry Mode; ","")&amp;IF(AND(INDEX('Game Records'!$U:$U,$H118)&lt;&gt;"Subscription",INDEX('Game Records'!$U:$U,$H118)&lt;&gt;"Free Game",INDEX('Game Records'!$U:$U,$H118)&lt;&gt;"Disqualified — Free Game",OR(INDEX('Game Records'!$E:$E,$H118)="",LOWER(INDEX('Game Records'!$E:$E,$H118)&amp;"")="n/a")),"Game Type; ","")&amp;IF(INDEX('Game Records'!$F:$F,$H118)="","Payment Type; ","")&amp;IF(AND(INDEX('Game Records'!$U:$U,$H118)&lt;&gt;"Subscription",INDEX('Game Records'!$U:$U,$H118)&lt;&gt;"Free Game",INDEX('Game Records'!$U:$U,$H118)&lt;&gt;"Disqualified — Free Game",INDEX('Game Records'!$G:$G,$H118)=""),"Gross Pot; ","")&amp;IF(AND(INDEX('Game Records'!$U:$U,$H118)&lt;&gt;"Free Game",INDEX('Game Records'!$U:$U,$H118)&lt;&gt;"Disqualified — Free Game",INDEX('Game Records'!$H:$H,$H118)=""),"Entry Fee; ","")&amp;IF(AND(INDEX('Game Records'!$U:$U,$H118)&lt;&gt;"Subscription",INDEX('Game Records'!$U:$U,$H118)&lt;&gt;"Free Game",INDEX('Game Records'!$U:$U,$H118)&lt;&gt;"Disqualified — Free Game",INDEX('Game Records'!$I:$I,$H118)=""),"Eligible Players; ","")&amp;IF(AND(INDEX('Game Records'!$U:$U,$H118)&lt;&gt;"Subscription",INDEX('Game Records'!$U:$U,$H118)&lt;&gt;"Free Game",INDEX('Game Records'!$U:$U,$H118)&lt;&gt;"Disqualified — Free Game",INDEX('Game Records'!$J:$J,$H118)=""),"Total Players; ","")&amp;IF(AND(LOWER(INDEX('Game Records'!$D:$D,$H118)&amp;"")="finalized",LOWER(INDEX('Game Records'!$L:$L,$H118)&amp;"")&lt;&gt;"yes",INDEX('Game Records'!$U:$U,$H118)&lt;&gt;"Subscription",INDEX('Game Records'!$U:$U,$H118)&lt;&gt;"Free Game",INDEX('Game Records'!$U:$U,$H118)&lt;&gt;"Disqualified — Free Game",INDEX('Game Records'!$K:$K,$H118)=""),"Final Earned; ","")&amp;IF(AND(LOWER(INDEX('Game Records'!$D:$D,$H118)&amp;"")="finalized",INDEX('Game Records'!$U:$U,$H118)&lt;&gt;"Subscription",INDEX('Game Records'!$U:$U,$H118)&lt;&gt;"Free Game",INDEX('Game Records'!$U:$U,$H118)&lt;&gt;"Disqualified — Free Game",OR(INDEX('Game Records'!$L:$L,$H118)="",LOWER(INDEX('Game Records'!$L:$L,$H118)&amp;"")="n/a")),"Disqualified Status; ","")&amp;IF(AND(OR(LOWER(TRIM(INDEX('Game Records'!$F:$F,$H118)&amp;""))="free game",INDEX('Game Records'!$U:$U,$H118)="Free Game",INDEX('Game Records'!$U:$U,$H118)="Disqualified — Free Game"),N(INDEX('Game Records'!$H:$H,$H118))&lt;&gt;0),"Free Game has a non-zero Entry Fee. Free Game records require a $0 Entry Fee; ",""))</f>
        <v/>
      </c>
      <c r="G118" s="331" t="str">
        <f>IF($H118="","",IFERROR(INDEX('Game Records'!$M:$M,$H118),""))</f>
        <v/>
      </c>
      <c r="H118" s="104" t="str">
        <f>IF($H117="","",IFERROR(MATCH(1,INDEX((ROW('Game Records'!$U$5:$U$504)&gt;$H117)*(('Game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8" s="104"/>
      <c r="J118" s="104"/>
    </row>
    <row r="119" ht="24" hidden="0" customHeight="1">
      <c r="A119" s="332" t="str">
        <f>IF($H119="","",ROWS($A$5:A119))</f>
        <v/>
      </c>
      <c r="B119" s="332" t="str">
        <f>IF($H119="","","G-"&amp;TEXT($A119,"0000"))</f>
        <v/>
      </c>
      <c r="C119" s="331" t="str">
        <f>IF($H119="","",IFERROR(INDEX('Game Records'!$A:$A,$H119),""))</f>
        <v/>
      </c>
      <c r="D119" s="331" t="str">
        <f>IF($H119="","",IFERROR(INDEX('Game Records'!$U:$U,$H119),""))</f>
        <v/>
      </c>
      <c r="E119" s="331" t="str">
        <f>IF($H119="","",IF($F119="","No Highlighted Fields","Highlighted Fields Present"))</f>
        <v/>
      </c>
      <c r="F119" s="331" t="str">
        <f>IF($H119="","",IF(OR(NOT(ISFORMULA(INDEX('Game Records'!$N:$N,$H119))),NOT(ISFORMULA(INDEX('Game Records'!$O:$O,$H119))),NOT(ISFORMULA(INDEX('Game Records'!$P:$P,$H119))),NOT(ISFORMULA(INDEX('Game Records'!$Q:$Q,$H119))),NOT(ISFORMULA(INDEX('Game Records'!$R:$R,$H119))),NOT(ISFORMULA(INDEX('Game Records'!$S:$S,$H119))),NOT(ISFORMULA(INDEX('Game Records'!$T:$T,$H119))),NOT(ISFORMULA(INDEX('Game Records'!$U:$U,$H119))),NOT(ISFORMULA(INDEX('Game Records'!$V:$V,$H119))),NOT(ISFORMULA(INDEX('Game Records'!$W:$W,$H119))),NOT(ISFORMULA(INDEX('Game Records'!$X:$X,$H119))),NOT(ISFORMULA(INDEX('Game Records'!$Y:$Y,$H119))),NOT(ISFORMULA(INDEX('Game Records'!$Z:$Z,$H119)))),"Formula columns missing; ","")&amp;IF(INDEX('Game Records'!$B:$B,$H119)="","Start Date; ","")&amp;IF(INDEX('Game Records'!$C:$C,$H119)="","End Date; ","")&amp;IF(AND(INDEX('Game Records'!$U:$U,$H119)&lt;&gt;"Subscription",INDEX('Game Records'!$U:$U,$H119)&lt;&gt;"Free Game",INDEX('Game Records'!$U:$U,$H119)&lt;&gt;"Disqualified — Free Game",OR(INDEX('Game Records'!$D:$D,$H119)="",LOWER(INDEX('Game Records'!$D:$D,$H119)&amp;"")="n/a")),"Entry Mode; ","")&amp;IF(AND(INDEX('Game Records'!$U:$U,$H119)&lt;&gt;"Subscription",INDEX('Game Records'!$U:$U,$H119)&lt;&gt;"Free Game",INDEX('Game Records'!$U:$U,$H119)&lt;&gt;"Disqualified — Free Game",OR(INDEX('Game Records'!$E:$E,$H119)="",LOWER(INDEX('Game Records'!$E:$E,$H119)&amp;"")="n/a")),"Game Type; ","")&amp;IF(INDEX('Game Records'!$F:$F,$H119)="","Payment Type; ","")&amp;IF(AND(INDEX('Game Records'!$U:$U,$H119)&lt;&gt;"Subscription",INDEX('Game Records'!$U:$U,$H119)&lt;&gt;"Free Game",INDEX('Game Records'!$U:$U,$H119)&lt;&gt;"Disqualified — Free Game",INDEX('Game Records'!$G:$G,$H119)=""),"Gross Pot; ","")&amp;IF(AND(INDEX('Game Records'!$U:$U,$H119)&lt;&gt;"Free Game",INDEX('Game Records'!$U:$U,$H119)&lt;&gt;"Disqualified — Free Game",INDEX('Game Records'!$H:$H,$H119)=""),"Entry Fee; ","")&amp;IF(AND(INDEX('Game Records'!$U:$U,$H119)&lt;&gt;"Subscription",INDEX('Game Records'!$U:$U,$H119)&lt;&gt;"Free Game",INDEX('Game Records'!$U:$U,$H119)&lt;&gt;"Disqualified — Free Game",INDEX('Game Records'!$I:$I,$H119)=""),"Eligible Players; ","")&amp;IF(AND(INDEX('Game Records'!$U:$U,$H119)&lt;&gt;"Subscription",INDEX('Game Records'!$U:$U,$H119)&lt;&gt;"Free Game",INDEX('Game Records'!$U:$U,$H119)&lt;&gt;"Disqualified — Free Game",INDEX('Game Records'!$J:$J,$H119)=""),"Total Players; ","")&amp;IF(AND(LOWER(INDEX('Game Records'!$D:$D,$H119)&amp;"")="finalized",LOWER(INDEX('Game Records'!$L:$L,$H119)&amp;"")&lt;&gt;"yes",INDEX('Game Records'!$U:$U,$H119)&lt;&gt;"Subscription",INDEX('Game Records'!$U:$U,$H119)&lt;&gt;"Free Game",INDEX('Game Records'!$U:$U,$H119)&lt;&gt;"Disqualified — Free Game",INDEX('Game Records'!$K:$K,$H119)=""),"Final Earned; ","")&amp;IF(AND(LOWER(INDEX('Game Records'!$D:$D,$H119)&amp;"")="finalized",INDEX('Game Records'!$U:$U,$H119)&lt;&gt;"Subscription",INDEX('Game Records'!$U:$U,$H119)&lt;&gt;"Free Game",INDEX('Game Records'!$U:$U,$H119)&lt;&gt;"Disqualified — Free Game",OR(INDEX('Game Records'!$L:$L,$H119)="",LOWER(INDEX('Game Records'!$L:$L,$H119)&amp;"")="n/a")),"Disqualified Status; ","")&amp;IF(AND(OR(LOWER(TRIM(INDEX('Game Records'!$F:$F,$H119)&amp;""))="free game",INDEX('Game Records'!$U:$U,$H119)="Free Game",INDEX('Game Records'!$U:$U,$H119)="Disqualified — Free Game"),N(INDEX('Game Records'!$H:$H,$H119))&lt;&gt;0),"Free Game has a non-zero Entry Fee. Free Game records require a $0 Entry Fee; ",""))</f>
        <v/>
      </c>
      <c r="G119" s="331" t="str">
        <f>IF($H119="","",IFERROR(INDEX('Game Records'!$M:$M,$H119),""))</f>
        <v/>
      </c>
      <c r="H119" s="104" t="str">
        <f>IF($H118="","",IFERROR(MATCH(1,INDEX((ROW('Game Records'!$U$5:$U$504)&gt;$H118)*(('Game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9" s="104"/>
      <c r="J119" s="104"/>
    </row>
    <row r="120" ht="24" hidden="0" customHeight="1">
      <c r="A120" s="332" t="str">
        <f>IF($H120="","",ROWS($A$5:A120))</f>
        <v/>
      </c>
      <c r="B120" s="332" t="str">
        <f>IF($H120="","","G-"&amp;TEXT($A120,"0000"))</f>
        <v/>
      </c>
      <c r="C120" s="331" t="str">
        <f>IF($H120="","",IFERROR(INDEX('Game Records'!$A:$A,$H120),""))</f>
        <v/>
      </c>
      <c r="D120" s="331" t="str">
        <f>IF($H120="","",IFERROR(INDEX('Game Records'!$U:$U,$H120),""))</f>
        <v/>
      </c>
      <c r="E120" s="331" t="str">
        <f>IF($H120="","",IF($F120="","No Highlighted Fields","Highlighted Fields Present"))</f>
        <v/>
      </c>
      <c r="F120" s="331" t="str">
        <f>IF($H120="","",IF(OR(NOT(ISFORMULA(INDEX('Game Records'!$N:$N,$H120))),NOT(ISFORMULA(INDEX('Game Records'!$O:$O,$H120))),NOT(ISFORMULA(INDEX('Game Records'!$P:$P,$H120))),NOT(ISFORMULA(INDEX('Game Records'!$Q:$Q,$H120))),NOT(ISFORMULA(INDEX('Game Records'!$R:$R,$H120))),NOT(ISFORMULA(INDEX('Game Records'!$S:$S,$H120))),NOT(ISFORMULA(INDEX('Game Records'!$T:$T,$H120))),NOT(ISFORMULA(INDEX('Game Records'!$U:$U,$H120))),NOT(ISFORMULA(INDEX('Game Records'!$V:$V,$H120))),NOT(ISFORMULA(INDEX('Game Records'!$W:$W,$H120))),NOT(ISFORMULA(INDEX('Game Records'!$X:$X,$H120))),NOT(ISFORMULA(INDEX('Game Records'!$Y:$Y,$H120))),NOT(ISFORMULA(INDEX('Game Records'!$Z:$Z,$H120)))),"Formula columns missing; ","")&amp;IF(INDEX('Game Records'!$B:$B,$H120)="","Start Date; ","")&amp;IF(INDEX('Game Records'!$C:$C,$H120)="","End Date; ","")&amp;IF(AND(INDEX('Game Records'!$U:$U,$H120)&lt;&gt;"Subscription",INDEX('Game Records'!$U:$U,$H120)&lt;&gt;"Free Game",INDEX('Game Records'!$U:$U,$H120)&lt;&gt;"Disqualified — Free Game",OR(INDEX('Game Records'!$D:$D,$H120)="",LOWER(INDEX('Game Records'!$D:$D,$H120)&amp;"")="n/a")),"Entry Mode; ","")&amp;IF(AND(INDEX('Game Records'!$U:$U,$H120)&lt;&gt;"Subscription",INDEX('Game Records'!$U:$U,$H120)&lt;&gt;"Free Game",INDEX('Game Records'!$U:$U,$H120)&lt;&gt;"Disqualified — Free Game",OR(INDEX('Game Records'!$E:$E,$H120)="",LOWER(INDEX('Game Records'!$E:$E,$H120)&amp;"")="n/a")),"Game Type; ","")&amp;IF(INDEX('Game Records'!$F:$F,$H120)="","Payment Type; ","")&amp;IF(AND(INDEX('Game Records'!$U:$U,$H120)&lt;&gt;"Subscription",INDEX('Game Records'!$U:$U,$H120)&lt;&gt;"Free Game",INDEX('Game Records'!$U:$U,$H120)&lt;&gt;"Disqualified — Free Game",INDEX('Game Records'!$G:$G,$H120)=""),"Gross Pot; ","")&amp;IF(AND(INDEX('Game Records'!$U:$U,$H120)&lt;&gt;"Free Game",INDEX('Game Records'!$U:$U,$H120)&lt;&gt;"Disqualified — Free Game",INDEX('Game Records'!$H:$H,$H120)=""),"Entry Fee; ","")&amp;IF(AND(INDEX('Game Records'!$U:$U,$H120)&lt;&gt;"Subscription",INDEX('Game Records'!$U:$U,$H120)&lt;&gt;"Free Game",INDEX('Game Records'!$U:$U,$H120)&lt;&gt;"Disqualified — Free Game",INDEX('Game Records'!$I:$I,$H120)=""),"Eligible Players; ","")&amp;IF(AND(INDEX('Game Records'!$U:$U,$H120)&lt;&gt;"Subscription",INDEX('Game Records'!$U:$U,$H120)&lt;&gt;"Free Game",INDEX('Game Records'!$U:$U,$H120)&lt;&gt;"Disqualified — Free Game",INDEX('Game Records'!$J:$J,$H120)=""),"Total Players; ","")&amp;IF(AND(LOWER(INDEX('Game Records'!$D:$D,$H120)&amp;"")="finalized",LOWER(INDEX('Game Records'!$L:$L,$H120)&amp;"")&lt;&gt;"yes",INDEX('Game Records'!$U:$U,$H120)&lt;&gt;"Subscription",INDEX('Game Records'!$U:$U,$H120)&lt;&gt;"Free Game",INDEX('Game Records'!$U:$U,$H120)&lt;&gt;"Disqualified — Free Game",INDEX('Game Records'!$K:$K,$H120)=""),"Final Earned; ","")&amp;IF(AND(LOWER(INDEX('Game Records'!$D:$D,$H120)&amp;"")="finalized",INDEX('Game Records'!$U:$U,$H120)&lt;&gt;"Subscription",INDEX('Game Records'!$U:$U,$H120)&lt;&gt;"Free Game",INDEX('Game Records'!$U:$U,$H120)&lt;&gt;"Disqualified — Free Game",OR(INDEX('Game Records'!$L:$L,$H120)="",LOWER(INDEX('Game Records'!$L:$L,$H120)&amp;"")="n/a")),"Disqualified Status; ","")&amp;IF(AND(OR(LOWER(TRIM(INDEX('Game Records'!$F:$F,$H120)&amp;""))="free game",INDEX('Game Records'!$U:$U,$H120)="Free Game",INDEX('Game Records'!$U:$U,$H120)="Disqualified — Free Game"),N(INDEX('Game Records'!$H:$H,$H120))&lt;&gt;0),"Free Game has a non-zero Entry Fee. Free Game records require a $0 Entry Fee; ",""))</f>
        <v/>
      </c>
      <c r="G120" s="331" t="str">
        <f>IF($H120="","",IFERROR(INDEX('Game Records'!$M:$M,$H120),""))</f>
        <v/>
      </c>
      <c r="H120" s="104" t="str">
        <f>IF($H119="","",IFERROR(MATCH(1,INDEX((ROW('Game Records'!$U$5:$U$504)&gt;$H119)*(('Game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0" s="104"/>
      <c r="J120" s="104"/>
    </row>
    <row r="121" ht="24" hidden="0" customHeight="1">
      <c r="A121" s="332" t="str">
        <f>IF($H121="","",ROWS($A$5:A121))</f>
        <v/>
      </c>
      <c r="B121" s="332" t="str">
        <f>IF($H121="","","G-"&amp;TEXT($A121,"0000"))</f>
        <v/>
      </c>
      <c r="C121" s="331" t="str">
        <f>IF($H121="","",IFERROR(INDEX('Game Records'!$A:$A,$H121),""))</f>
        <v/>
      </c>
      <c r="D121" s="331" t="str">
        <f>IF($H121="","",IFERROR(INDEX('Game Records'!$U:$U,$H121),""))</f>
        <v/>
      </c>
      <c r="E121" s="331" t="str">
        <f>IF($H121="","",IF($F121="","No Highlighted Fields","Highlighted Fields Present"))</f>
        <v/>
      </c>
      <c r="F121" s="331" t="str">
        <f>IF($H121="","",IF(OR(NOT(ISFORMULA(INDEX('Game Records'!$N:$N,$H121))),NOT(ISFORMULA(INDEX('Game Records'!$O:$O,$H121))),NOT(ISFORMULA(INDEX('Game Records'!$P:$P,$H121))),NOT(ISFORMULA(INDEX('Game Records'!$Q:$Q,$H121))),NOT(ISFORMULA(INDEX('Game Records'!$R:$R,$H121))),NOT(ISFORMULA(INDEX('Game Records'!$S:$S,$H121))),NOT(ISFORMULA(INDEX('Game Records'!$T:$T,$H121))),NOT(ISFORMULA(INDEX('Game Records'!$U:$U,$H121))),NOT(ISFORMULA(INDEX('Game Records'!$V:$V,$H121))),NOT(ISFORMULA(INDEX('Game Records'!$W:$W,$H121))),NOT(ISFORMULA(INDEX('Game Records'!$X:$X,$H121))),NOT(ISFORMULA(INDEX('Game Records'!$Y:$Y,$H121))),NOT(ISFORMULA(INDEX('Game Records'!$Z:$Z,$H121)))),"Formula columns missing; ","")&amp;IF(INDEX('Game Records'!$B:$B,$H121)="","Start Date; ","")&amp;IF(INDEX('Game Records'!$C:$C,$H121)="","End Date; ","")&amp;IF(AND(INDEX('Game Records'!$U:$U,$H121)&lt;&gt;"Subscription",INDEX('Game Records'!$U:$U,$H121)&lt;&gt;"Free Game",INDEX('Game Records'!$U:$U,$H121)&lt;&gt;"Disqualified — Free Game",OR(INDEX('Game Records'!$D:$D,$H121)="",LOWER(INDEX('Game Records'!$D:$D,$H121)&amp;"")="n/a")),"Entry Mode; ","")&amp;IF(AND(INDEX('Game Records'!$U:$U,$H121)&lt;&gt;"Subscription",INDEX('Game Records'!$U:$U,$H121)&lt;&gt;"Free Game",INDEX('Game Records'!$U:$U,$H121)&lt;&gt;"Disqualified — Free Game",OR(INDEX('Game Records'!$E:$E,$H121)="",LOWER(INDEX('Game Records'!$E:$E,$H121)&amp;"")="n/a")),"Game Type; ","")&amp;IF(INDEX('Game Records'!$F:$F,$H121)="","Payment Type; ","")&amp;IF(AND(INDEX('Game Records'!$U:$U,$H121)&lt;&gt;"Subscription",INDEX('Game Records'!$U:$U,$H121)&lt;&gt;"Free Game",INDEX('Game Records'!$U:$U,$H121)&lt;&gt;"Disqualified — Free Game",INDEX('Game Records'!$G:$G,$H121)=""),"Gross Pot; ","")&amp;IF(AND(INDEX('Game Records'!$U:$U,$H121)&lt;&gt;"Free Game",INDEX('Game Records'!$U:$U,$H121)&lt;&gt;"Disqualified — Free Game",INDEX('Game Records'!$H:$H,$H121)=""),"Entry Fee; ","")&amp;IF(AND(INDEX('Game Records'!$U:$U,$H121)&lt;&gt;"Subscription",INDEX('Game Records'!$U:$U,$H121)&lt;&gt;"Free Game",INDEX('Game Records'!$U:$U,$H121)&lt;&gt;"Disqualified — Free Game",INDEX('Game Records'!$I:$I,$H121)=""),"Eligible Players; ","")&amp;IF(AND(INDEX('Game Records'!$U:$U,$H121)&lt;&gt;"Subscription",INDEX('Game Records'!$U:$U,$H121)&lt;&gt;"Free Game",INDEX('Game Records'!$U:$U,$H121)&lt;&gt;"Disqualified — Free Game",INDEX('Game Records'!$J:$J,$H121)=""),"Total Players; ","")&amp;IF(AND(LOWER(INDEX('Game Records'!$D:$D,$H121)&amp;"")="finalized",LOWER(INDEX('Game Records'!$L:$L,$H121)&amp;"")&lt;&gt;"yes",INDEX('Game Records'!$U:$U,$H121)&lt;&gt;"Subscription",INDEX('Game Records'!$U:$U,$H121)&lt;&gt;"Free Game",INDEX('Game Records'!$U:$U,$H121)&lt;&gt;"Disqualified — Free Game",INDEX('Game Records'!$K:$K,$H121)=""),"Final Earned; ","")&amp;IF(AND(LOWER(INDEX('Game Records'!$D:$D,$H121)&amp;"")="finalized",INDEX('Game Records'!$U:$U,$H121)&lt;&gt;"Subscription",INDEX('Game Records'!$U:$U,$H121)&lt;&gt;"Free Game",INDEX('Game Records'!$U:$U,$H121)&lt;&gt;"Disqualified — Free Game",OR(INDEX('Game Records'!$L:$L,$H121)="",LOWER(INDEX('Game Records'!$L:$L,$H121)&amp;"")="n/a")),"Disqualified Status; ","")&amp;IF(AND(OR(LOWER(TRIM(INDEX('Game Records'!$F:$F,$H121)&amp;""))="free game",INDEX('Game Records'!$U:$U,$H121)="Free Game",INDEX('Game Records'!$U:$U,$H121)="Disqualified — Free Game"),N(INDEX('Game Records'!$H:$H,$H121))&lt;&gt;0),"Free Game has a non-zero Entry Fee. Free Game records require a $0 Entry Fee; ",""))</f>
        <v/>
      </c>
      <c r="G121" s="331" t="str">
        <f>IF($H121="","",IFERROR(INDEX('Game Records'!$M:$M,$H121),""))</f>
        <v/>
      </c>
      <c r="H121" s="104" t="str">
        <f>IF($H120="","",IFERROR(MATCH(1,INDEX((ROW('Game Records'!$U$5:$U$504)&gt;$H120)*(('Game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1" s="104"/>
      <c r="J121" s="104"/>
    </row>
    <row r="122" ht="24" hidden="0" customHeight="1">
      <c r="A122" s="332" t="str">
        <f>IF($H122="","",ROWS($A$5:A122))</f>
        <v/>
      </c>
      <c r="B122" s="332" t="str">
        <f>IF($H122="","","G-"&amp;TEXT($A122,"0000"))</f>
        <v/>
      </c>
      <c r="C122" s="331" t="str">
        <f>IF($H122="","",IFERROR(INDEX('Game Records'!$A:$A,$H122),""))</f>
        <v/>
      </c>
      <c r="D122" s="331" t="str">
        <f>IF($H122="","",IFERROR(INDEX('Game Records'!$U:$U,$H122),""))</f>
        <v/>
      </c>
      <c r="E122" s="331" t="str">
        <f>IF($H122="","",IF($F122="","No Highlighted Fields","Highlighted Fields Present"))</f>
        <v/>
      </c>
      <c r="F122" s="331" t="str">
        <f>IF($H122="","",IF(OR(NOT(ISFORMULA(INDEX('Game Records'!$N:$N,$H122))),NOT(ISFORMULA(INDEX('Game Records'!$O:$O,$H122))),NOT(ISFORMULA(INDEX('Game Records'!$P:$P,$H122))),NOT(ISFORMULA(INDEX('Game Records'!$Q:$Q,$H122))),NOT(ISFORMULA(INDEX('Game Records'!$R:$R,$H122))),NOT(ISFORMULA(INDEX('Game Records'!$S:$S,$H122))),NOT(ISFORMULA(INDEX('Game Records'!$T:$T,$H122))),NOT(ISFORMULA(INDEX('Game Records'!$U:$U,$H122))),NOT(ISFORMULA(INDEX('Game Records'!$V:$V,$H122))),NOT(ISFORMULA(INDEX('Game Records'!$W:$W,$H122))),NOT(ISFORMULA(INDEX('Game Records'!$X:$X,$H122))),NOT(ISFORMULA(INDEX('Game Records'!$Y:$Y,$H122))),NOT(ISFORMULA(INDEX('Game Records'!$Z:$Z,$H122)))),"Formula columns missing; ","")&amp;IF(INDEX('Game Records'!$B:$B,$H122)="","Start Date; ","")&amp;IF(INDEX('Game Records'!$C:$C,$H122)="","End Date; ","")&amp;IF(AND(INDEX('Game Records'!$U:$U,$H122)&lt;&gt;"Subscription",INDEX('Game Records'!$U:$U,$H122)&lt;&gt;"Free Game",INDEX('Game Records'!$U:$U,$H122)&lt;&gt;"Disqualified — Free Game",OR(INDEX('Game Records'!$D:$D,$H122)="",LOWER(INDEX('Game Records'!$D:$D,$H122)&amp;"")="n/a")),"Entry Mode; ","")&amp;IF(AND(INDEX('Game Records'!$U:$U,$H122)&lt;&gt;"Subscription",INDEX('Game Records'!$U:$U,$H122)&lt;&gt;"Free Game",INDEX('Game Records'!$U:$U,$H122)&lt;&gt;"Disqualified — Free Game",OR(INDEX('Game Records'!$E:$E,$H122)="",LOWER(INDEX('Game Records'!$E:$E,$H122)&amp;"")="n/a")),"Game Type; ","")&amp;IF(INDEX('Game Records'!$F:$F,$H122)="","Payment Type; ","")&amp;IF(AND(INDEX('Game Records'!$U:$U,$H122)&lt;&gt;"Subscription",INDEX('Game Records'!$U:$U,$H122)&lt;&gt;"Free Game",INDEX('Game Records'!$U:$U,$H122)&lt;&gt;"Disqualified — Free Game",INDEX('Game Records'!$G:$G,$H122)=""),"Gross Pot; ","")&amp;IF(AND(INDEX('Game Records'!$U:$U,$H122)&lt;&gt;"Free Game",INDEX('Game Records'!$U:$U,$H122)&lt;&gt;"Disqualified — Free Game",INDEX('Game Records'!$H:$H,$H122)=""),"Entry Fee; ","")&amp;IF(AND(INDEX('Game Records'!$U:$U,$H122)&lt;&gt;"Subscription",INDEX('Game Records'!$U:$U,$H122)&lt;&gt;"Free Game",INDEX('Game Records'!$U:$U,$H122)&lt;&gt;"Disqualified — Free Game",INDEX('Game Records'!$I:$I,$H122)=""),"Eligible Players; ","")&amp;IF(AND(INDEX('Game Records'!$U:$U,$H122)&lt;&gt;"Subscription",INDEX('Game Records'!$U:$U,$H122)&lt;&gt;"Free Game",INDEX('Game Records'!$U:$U,$H122)&lt;&gt;"Disqualified — Free Game",INDEX('Game Records'!$J:$J,$H122)=""),"Total Players; ","")&amp;IF(AND(LOWER(INDEX('Game Records'!$D:$D,$H122)&amp;"")="finalized",LOWER(INDEX('Game Records'!$L:$L,$H122)&amp;"")&lt;&gt;"yes",INDEX('Game Records'!$U:$U,$H122)&lt;&gt;"Subscription",INDEX('Game Records'!$U:$U,$H122)&lt;&gt;"Free Game",INDEX('Game Records'!$U:$U,$H122)&lt;&gt;"Disqualified — Free Game",INDEX('Game Records'!$K:$K,$H122)=""),"Final Earned; ","")&amp;IF(AND(LOWER(INDEX('Game Records'!$D:$D,$H122)&amp;"")="finalized",INDEX('Game Records'!$U:$U,$H122)&lt;&gt;"Subscription",INDEX('Game Records'!$U:$U,$H122)&lt;&gt;"Free Game",INDEX('Game Records'!$U:$U,$H122)&lt;&gt;"Disqualified — Free Game",OR(INDEX('Game Records'!$L:$L,$H122)="",LOWER(INDEX('Game Records'!$L:$L,$H122)&amp;"")="n/a")),"Disqualified Status; ","")&amp;IF(AND(OR(LOWER(TRIM(INDEX('Game Records'!$F:$F,$H122)&amp;""))="free game",INDEX('Game Records'!$U:$U,$H122)="Free Game",INDEX('Game Records'!$U:$U,$H122)="Disqualified — Free Game"),N(INDEX('Game Records'!$H:$H,$H122))&lt;&gt;0),"Free Game has a non-zero Entry Fee. Free Game records require a $0 Entry Fee; ",""))</f>
        <v/>
      </c>
      <c r="G122" s="331" t="str">
        <f>IF($H122="","",IFERROR(INDEX('Game Records'!$M:$M,$H122),""))</f>
        <v/>
      </c>
      <c r="H122" s="104" t="str">
        <f>IF($H121="","",IFERROR(MATCH(1,INDEX((ROW('Game Records'!$U$5:$U$504)&gt;$H121)*(('Game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2" s="104"/>
      <c r="J122" s="104"/>
    </row>
    <row r="123" ht="24" hidden="0" customHeight="1">
      <c r="A123" s="332" t="str">
        <f>IF($H123="","",ROWS($A$5:A123))</f>
        <v/>
      </c>
      <c r="B123" s="332" t="str">
        <f>IF($H123="","","G-"&amp;TEXT($A123,"0000"))</f>
        <v/>
      </c>
      <c r="C123" s="331" t="str">
        <f>IF($H123="","",IFERROR(INDEX('Game Records'!$A:$A,$H123),""))</f>
        <v/>
      </c>
      <c r="D123" s="331" t="str">
        <f>IF($H123="","",IFERROR(INDEX('Game Records'!$U:$U,$H123),""))</f>
        <v/>
      </c>
      <c r="E123" s="331" t="str">
        <f>IF($H123="","",IF($F123="","No Highlighted Fields","Highlighted Fields Present"))</f>
        <v/>
      </c>
      <c r="F123" s="331" t="str">
        <f>IF($H123="","",IF(OR(NOT(ISFORMULA(INDEX('Game Records'!$N:$N,$H123))),NOT(ISFORMULA(INDEX('Game Records'!$O:$O,$H123))),NOT(ISFORMULA(INDEX('Game Records'!$P:$P,$H123))),NOT(ISFORMULA(INDEX('Game Records'!$Q:$Q,$H123))),NOT(ISFORMULA(INDEX('Game Records'!$R:$R,$H123))),NOT(ISFORMULA(INDEX('Game Records'!$S:$S,$H123))),NOT(ISFORMULA(INDEX('Game Records'!$T:$T,$H123))),NOT(ISFORMULA(INDEX('Game Records'!$U:$U,$H123))),NOT(ISFORMULA(INDEX('Game Records'!$V:$V,$H123))),NOT(ISFORMULA(INDEX('Game Records'!$W:$W,$H123))),NOT(ISFORMULA(INDEX('Game Records'!$X:$X,$H123))),NOT(ISFORMULA(INDEX('Game Records'!$Y:$Y,$H123))),NOT(ISFORMULA(INDEX('Game Records'!$Z:$Z,$H123)))),"Formula columns missing; ","")&amp;IF(INDEX('Game Records'!$B:$B,$H123)="","Start Date; ","")&amp;IF(INDEX('Game Records'!$C:$C,$H123)="","End Date; ","")&amp;IF(AND(INDEX('Game Records'!$U:$U,$H123)&lt;&gt;"Subscription",INDEX('Game Records'!$U:$U,$H123)&lt;&gt;"Free Game",INDEX('Game Records'!$U:$U,$H123)&lt;&gt;"Disqualified — Free Game",OR(INDEX('Game Records'!$D:$D,$H123)="",LOWER(INDEX('Game Records'!$D:$D,$H123)&amp;"")="n/a")),"Entry Mode; ","")&amp;IF(AND(INDEX('Game Records'!$U:$U,$H123)&lt;&gt;"Subscription",INDEX('Game Records'!$U:$U,$H123)&lt;&gt;"Free Game",INDEX('Game Records'!$U:$U,$H123)&lt;&gt;"Disqualified — Free Game",OR(INDEX('Game Records'!$E:$E,$H123)="",LOWER(INDEX('Game Records'!$E:$E,$H123)&amp;"")="n/a")),"Game Type; ","")&amp;IF(INDEX('Game Records'!$F:$F,$H123)="","Payment Type; ","")&amp;IF(AND(INDEX('Game Records'!$U:$U,$H123)&lt;&gt;"Subscription",INDEX('Game Records'!$U:$U,$H123)&lt;&gt;"Free Game",INDEX('Game Records'!$U:$U,$H123)&lt;&gt;"Disqualified — Free Game",INDEX('Game Records'!$G:$G,$H123)=""),"Gross Pot; ","")&amp;IF(AND(INDEX('Game Records'!$U:$U,$H123)&lt;&gt;"Free Game",INDEX('Game Records'!$U:$U,$H123)&lt;&gt;"Disqualified — Free Game",INDEX('Game Records'!$H:$H,$H123)=""),"Entry Fee; ","")&amp;IF(AND(INDEX('Game Records'!$U:$U,$H123)&lt;&gt;"Subscription",INDEX('Game Records'!$U:$U,$H123)&lt;&gt;"Free Game",INDEX('Game Records'!$U:$U,$H123)&lt;&gt;"Disqualified — Free Game",INDEX('Game Records'!$I:$I,$H123)=""),"Eligible Players; ","")&amp;IF(AND(INDEX('Game Records'!$U:$U,$H123)&lt;&gt;"Subscription",INDEX('Game Records'!$U:$U,$H123)&lt;&gt;"Free Game",INDEX('Game Records'!$U:$U,$H123)&lt;&gt;"Disqualified — Free Game",INDEX('Game Records'!$J:$J,$H123)=""),"Total Players; ","")&amp;IF(AND(LOWER(INDEX('Game Records'!$D:$D,$H123)&amp;"")="finalized",LOWER(INDEX('Game Records'!$L:$L,$H123)&amp;"")&lt;&gt;"yes",INDEX('Game Records'!$U:$U,$H123)&lt;&gt;"Subscription",INDEX('Game Records'!$U:$U,$H123)&lt;&gt;"Free Game",INDEX('Game Records'!$U:$U,$H123)&lt;&gt;"Disqualified — Free Game",INDEX('Game Records'!$K:$K,$H123)=""),"Final Earned; ","")&amp;IF(AND(LOWER(INDEX('Game Records'!$D:$D,$H123)&amp;"")="finalized",INDEX('Game Records'!$U:$U,$H123)&lt;&gt;"Subscription",INDEX('Game Records'!$U:$U,$H123)&lt;&gt;"Free Game",INDEX('Game Records'!$U:$U,$H123)&lt;&gt;"Disqualified — Free Game",OR(INDEX('Game Records'!$L:$L,$H123)="",LOWER(INDEX('Game Records'!$L:$L,$H123)&amp;"")="n/a")),"Disqualified Status; ","")&amp;IF(AND(OR(LOWER(TRIM(INDEX('Game Records'!$F:$F,$H123)&amp;""))="free game",INDEX('Game Records'!$U:$U,$H123)="Free Game",INDEX('Game Records'!$U:$U,$H123)="Disqualified — Free Game"),N(INDEX('Game Records'!$H:$H,$H123))&lt;&gt;0),"Free Game has a non-zero Entry Fee. Free Game records require a $0 Entry Fee; ",""))</f>
        <v/>
      </c>
      <c r="G123" s="331" t="str">
        <f>IF($H123="","",IFERROR(INDEX('Game Records'!$M:$M,$H123),""))</f>
        <v/>
      </c>
      <c r="H123" s="104" t="str">
        <f>IF($H122="","",IFERROR(MATCH(1,INDEX((ROW('Game Records'!$U$5:$U$504)&gt;$H122)*(('Game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3" s="104"/>
      <c r="J123" s="104"/>
    </row>
    <row r="124" ht="24" hidden="0" customHeight="1">
      <c r="A124" s="332" t="str">
        <f>IF($H124="","",ROWS($A$5:A124))</f>
        <v/>
      </c>
      <c r="B124" s="332" t="str">
        <f>IF($H124="","","G-"&amp;TEXT($A124,"0000"))</f>
        <v/>
      </c>
      <c r="C124" s="331" t="str">
        <f>IF($H124="","",IFERROR(INDEX('Game Records'!$A:$A,$H124),""))</f>
        <v/>
      </c>
      <c r="D124" s="331" t="str">
        <f>IF($H124="","",IFERROR(INDEX('Game Records'!$U:$U,$H124),""))</f>
        <v/>
      </c>
      <c r="E124" s="331" t="str">
        <f>IF($H124="","",IF($F124="","No Highlighted Fields","Highlighted Fields Present"))</f>
        <v/>
      </c>
      <c r="F124" s="331" t="str">
        <f>IF($H124="","",IF(OR(NOT(ISFORMULA(INDEX('Game Records'!$N:$N,$H124))),NOT(ISFORMULA(INDEX('Game Records'!$O:$O,$H124))),NOT(ISFORMULA(INDEX('Game Records'!$P:$P,$H124))),NOT(ISFORMULA(INDEX('Game Records'!$Q:$Q,$H124))),NOT(ISFORMULA(INDEX('Game Records'!$R:$R,$H124))),NOT(ISFORMULA(INDEX('Game Records'!$S:$S,$H124))),NOT(ISFORMULA(INDEX('Game Records'!$T:$T,$H124))),NOT(ISFORMULA(INDEX('Game Records'!$U:$U,$H124))),NOT(ISFORMULA(INDEX('Game Records'!$V:$V,$H124))),NOT(ISFORMULA(INDEX('Game Records'!$W:$W,$H124))),NOT(ISFORMULA(INDEX('Game Records'!$X:$X,$H124))),NOT(ISFORMULA(INDEX('Game Records'!$Y:$Y,$H124))),NOT(ISFORMULA(INDEX('Game Records'!$Z:$Z,$H124)))),"Formula columns missing; ","")&amp;IF(INDEX('Game Records'!$B:$B,$H124)="","Start Date; ","")&amp;IF(INDEX('Game Records'!$C:$C,$H124)="","End Date; ","")&amp;IF(AND(INDEX('Game Records'!$U:$U,$H124)&lt;&gt;"Subscription",INDEX('Game Records'!$U:$U,$H124)&lt;&gt;"Free Game",INDEX('Game Records'!$U:$U,$H124)&lt;&gt;"Disqualified — Free Game",OR(INDEX('Game Records'!$D:$D,$H124)="",LOWER(INDEX('Game Records'!$D:$D,$H124)&amp;"")="n/a")),"Entry Mode; ","")&amp;IF(AND(INDEX('Game Records'!$U:$U,$H124)&lt;&gt;"Subscription",INDEX('Game Records'!$U:$U,$H124)&lt;&gt;"Free Game",INDEX('Game Records'!$U:$U,$H124)&lt;&gt;"Disqualified — Free Game",OR(INDEX('Game Records'!$E:$E,$H124)="",LOWER(INDEX('Game Records'!$E:$E,$H124)&amp;"")="n/a")),"Game Type; ","")&amp;IF(INDEX('Game Records'!$F:$F,$H124)="","Payment Type; ","")&amp;IF(AND(INDEX('Game Records'!$U:$U,$H124)&lt;&gt;"Subscription",INDEX('Game Records'!$U:$U,$H124)&lt;&gt;"Free Game",INDEX('Game Records'!$U:$U,$H124)&lt;&gt;"Disqualified — Free Game",INDEX('Game Records'!$G:$G,$H124)=""),"Gross Pot; ","")&amp;IF(AND(INDEX('Game Records'!$U:$U,$H124)&lt;&gt;"Free Game",INDEX('Game Records'!$U:$U,$H124)&lt;&gt;"Disqualified — Free Game",INDEX('Game Records'!$H:$H,$H124)=""),"Entry Fee; ","")&amp;IF(AND(INDEX('Game Records'!$U:$U,$H124)&lt;&gt;"Subscription",INDEX('Game Records'!$U:$U,$H124)&lt;&gt;"Free Game",INDEX('Game Records'!$U:$U,$H124)&lt;&gt;"Disqualified — Free Game",INDEX('Game Records'!$I:$I,$H124)=""),"Eligible Players; ","")&amp;IF(AND(INDEX('Game Records'!$U:$U,$H124)&lt;&gt;"Subscription",INDEX('Game Records'!$U:$U,$H124)&lt;&gt;"Free Game",INDEX('Game Records'!$U:$U,$H124)&lt;&gt;"Disqualified — Free Game",INDEX('Game Records'!$J:$J,$H124)=""),"Total Players; ","")&amp;IF(AND(LOWER(INDEX('Game Records'!$D:$D,$H124)&amp;"")="finalized",LOWER(INDEX('Game Records'!$L:$L,$H124)&amp;"")&lt;&gt;"yes",INDEX('Game Records'!$U:$U,$H124)&lt;&gt;"Subscription",INDEX('Game Records'!$U:$U,$H124)&lt;&gt;"Free Game",INDEX('Game Records'!$U:$U,$H124)&lt;&gt;"Disqualified — Free Game",INDEX('Game Records'!$K:$K,$H124)=""),"Final Earned; ","")&amp;IF(AND(LOWER(INDEX('Game Records'!$D:$D,$H124)&amp;"")="finalized",INDEX('Game Records'!$U:$U,$H124)&lt;&gt;"Subscription",INDEX('Game Records'!$U:$U,$H124)&lt;&gt;"Free Game",INDEX('Game Records'!$U:$U,$H124)&lt;&gt;"Disqualified — Free Game",OR(INDEX('Game Records'!$L:$L,$H124)="",LOWER(INDEX('Game Records'!$L:$L,$H124)&amp;"")="n/a")),"Disqualified Status; ","")&amp;IF(AND(OR(LOWER(TRIM(INDEX('Game Records'!$F:$F,$H124)&amp;""))="free game",INDEX('Game Records'!$U:$U,$H124)="Free Game",INDEX('Game Records'!$U:$U,$H124)="Disqualified — Free Game"),N(INDEX('Game Records'!$H:$H,$H124))&lt;&gt;0),"Free Game has a non-zero Entry Fee. Free Game records require a $0 Entry Fee; ",""))</f>
        <v/>
      </c>
      <c r="G124" s="331" t="str">
        <f>IF($H124="","",IFERROR(INDEX('Game Records'!$M:$M,$H124),""))</f>
        <v/>
      </c>
      <c r="H124" s="104" t="str">
        <f>IF($H123="","",IFERROR(MATCH(1,INDEX((ROW('Game Records'!$U$5:$U$504)&gt;$H123)*(('Game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4" s="104"/>
      <c r="J124" s="104"/>
    </row>
    <row r="125" ht="24" hidden="0" customHeight="1">
      <c r="A125" s="332" t="str">
        <f>IF($H125="","",ROWS($A$5:A125))</f>
        <v/>
      </c>
      <c r="B125" s="332" t="str">
        <f>IF($H125="","","G-"&amp;TEXT($A125,"0000"))</f>
        <v/>
      </c>
      <c r="C125" s="331" t="str">
        <f>IF($H125="","",IFERROR(INDEX('Game Records'!$A:$A,$H125),""))</f>
        <v/>
      </c>
      <c r="D125" s="331" t="str">
        <f>IF($H125="","",IFERROR(INDEX('Game Records'!$U:$U,$H125),""))</f>
        <v/>
      </c>
      <c r="E125" s="331" t="str">
        <f>IF($H125="","",IF($F125="","No Highlighted Fields","Highlighted Fields Present"))</f>
        <v/>
      </c>
      <c r="F125" s="331" t="str">
        <f>IF($H125="","",IF(OR(NOT(ISFORMULA(INDEX('Game Records'!$N:$N,$H125))),NOT(ISFORMULA(INDEX('Game Records'!$O:$O,$H125))),NOT(ISFORMULA(INDEX('Game Records'!$P:$P,$H125))),NOT(ISFORMULA(INDEX('Game Records'!$Q:$Q,$H125))),NOT(ISFORMULA(INDEX('Game Records'!$R:$R,$H125))),NOT(ISFORMULA(INDEX('Game Records'!$S:$S,$H125))),NOT(ISFORMULA(INDEX('Game Records'!$T:$T,$H125))),NOT(ISFORMULA(INDEX('Game Records'!$U:$U,$H125))),NOT(ISFORMULA(INDEX('Game Records'!$V:$V,$H125))),NOT(ISFORMULA(INDEX('Game Records'!$W:$W,$H125))),NOT(ISFORMULA(INDEX('Game Records'!$X:$X,$H125))),NOT(ISFORMULA(INDEX('Game Records'!$Y:$Y,$H125))),NOT(ISFORMULA(INDEX('Game Records'!$Z:$Z,$H125)))),"Formula columns missing; ","")&amp;IF(INDEX('Game Records'!$B:$B,$H125)="","Start Date; ","")&amp;IF(INDEX('Game Records'!$C:$C,$H125)="","End Date; ","")&amp;IF(AND(INDEX('Game Records'!$U:$U,$H125)&lt;&gt;"Subscription",INDEX('Game Records'!$U:$U,$H125)&lt;&gt;"Free Game",INDEX('Game Records'!$U:$U,$H125)&lt;&gt;"Disqualified — Free Game",OR(INDEX('Game Records'!$D:$D,$H125)="",LOWER(INDEX('Game Records'!$D:$D,$H125)&amp;"")="n/a")),"Entry Mode; ","")&amp;IF(AND(INDEX('Game Records'!$U:$U,$H125)&lt;&gt;"Subscription",INDEX('Game Records'!$U:$U,$H125)&lt;&gt;"Free Game",INDEX('Game Records'!$U:$U,$H125)&lt;&gt;"Disqualified — Free Game",OR(INDEX('Game Records'!$E:$E,$H125)="",LOWER(INDEX('Game Records'!$E:$E,$H125)&amp;"")="n/a")),"Game Type; ","")&amp;IF(INDEX('Game Records'!$F:$F,$H125)="","Payment Type; ","")&amp;IF(AND(INDEX('Game Records'!$U:$U,$H125)&lt;&gt;"Subscription",INDEX('Game Records'!$U:$U,$H125)&lt;&gt;"Free Game",INDEX('Game Records'!$U:$U,$H125)&lt;&gt;"Disqualified — Free Game",INDEX('Game Records'!$G:$G,$H125)=""),"Gross Pot; ","")&amp;IF(AND(INDEX('Game Records'!$U:$U,$H125)&lt;&gt;"Free Game",INDEX('Game Records'!$U:$U,$H125)&lt;&gt;"Disqualified — Free Game",INDEX('Game Records'!$H:$H,$H125)=""),"Entry Fee; ","")&amp;IF(AND(INDEX('Game Records'!$U:$U,$H125)&lt;&gt;"Subscription",INDEX('Game Records'!$U:$U,$H125)&lt;&gt;"Free Game",INDEX('Game Records'!$U:$U,$H125)&lt;&gt;"Disqualified — Free Game",INDEX('Game Records'!$I:$I,$H125)=""),"Eligible Players; ","")&amp;IF(AND(INDEX('Game Records'!$U:$U,$H125)&lt;&gt;"Subscription",INDEX('Game Records'!$U:$U,$H125)&lt;&gt;"Free Game",INDEX('Game Records'!$U:$U,$H125)&lt;&gt;"Disqualified — Free Game",INDEX('Game Records'!$J:$J,$H125)=""),"Total Players; ","")&amp;IF(AND(LOWER(INDEX('Game Records'!$D:$D,$H125)&amp;"")="finalized",LOWER(INDEX('Game Records'!$L:$L,$H125)&amp;"")&lt;&gt;"yes",INDEX('Game Records'!$U:$U,$H125)&lt;&gt;"Subscription",INDEX('Game Records'!$U:$U,$H125)&lt;&gt;"Free Game",INDEX('Game Records'!$U:$U,$H125)&lt;&gt;"Disqualified — Free Game",INDEX('Game Records'!$K:$K,$H125)=""),"Final Earned; ","")&amp;IF(AND(LOWER(INDEX('Game Records'!$D:$D,$H125)&amp;"")="finalized",INDEX('Game Records'!$U:$U,$H125)&lt;&gt;"Subscription",INDEX('Game Records'!$U:$U,$H125)&lt;&gt;"Free Game",INDEX('Game Records'!$U:$U,$H125)&lt;&gt;"Disqualified — Free Game",OR(INDEX('Game Records'!$L:$L,$H125)="",LOWER(INDEX('Game Records'!$L:$L,$H125)&amp;"")="n/a")),"Disqualified Status; ","")&amp;IF(AND(OR(LOWER(TRIM(INDEX('Game Records'!$F:$F,$H125)&amp;""))="free game",INDEX('Game Records'!$U:$U,$H125)="Free Game",INDEX('Game Records'!$U:$U,$H125)="Disqualified — Free Game"),N(INDEX('Game Records'!$H:$H,$H125))&lt;&gt;0),"Free Game has a non-zero Entry Fee. Free Game records require a $0 Entry Fee; ",""))</f>
        <v/>
      </c>
      <c r="G125" s="331" t="str">
        <f>IF($H125="","",IFERROR(INDEX('Game Records'!$M:$M,$H125),""))</f>
        <v/>
      </c>
      <c r="H125" s="104" t="str">
        <f>IF($H124="","",IFERROR(MATCH(1,INDEX((ROW('Game Records'!$U$5:$U$504)&gt;$H124)*(('Game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5" s="104"/>
      <c r="J125" s="104"/>
    </row>
    <row r="126" ht="24" hidden="0" customHeight="1">
      <c r="A126" s="332" t="str">
        <f>IF($H126="","",ROWS($A$5:A126))</f>
        <v/>
      </c>
      <c r="B126" s="332" t="str">
        <f>IF($H126="","","G-"&amp;TEXT($A126,"0000"))</f>
        <v/>
      </c>
      <c r="C126" s="331" t="str">
        <f>IF($H126="","",IFERROR(INDEX('Game Records'!$A:$A,$H126),""))</f>
        <v/>
      </c>
      <c r="D126" s="331" t="str">
        <f>IF($H126="","",IFERROR(INDEX('Game Records'!$U:$U,$H126),""))</f>
        <v/>
      </c>
      <c r="E126" s="331" t="str">
        <f>IF($H126="","",IF($F126="","No Highlighted Fields","Highlighted Fields Present"))</f>
        <v/>
      </c>
      <c r="F126" s="331" t="str">
        <f>IF($H126="","",IF(OR(NOT(ISFORMULA(INDEX('Game Records'!$N:$N,$H126))),NOT(ISFORMULA(INDEX('Game Records'!$O:$O,$H126))),NOT(ISFORMULA(INDEX('Game Records'!$P:$P,$H126))),NOT(ISFORMULA(INDEX('Game Records'!$Q:$Q,$H126))),NOT(ISFORMULA(INDEX('Game Records'!$R:$R,$H126))),NOT(ISFORMULA(INDEX('Game Records'!$S:$S,$H126))),NOT(ISFORMULA(INDEX('Game Records'!$T:$T,$H126))),NOT(ISFORMULA(INDEX('Game Records'!$U:$U,$H126))),NOT(ISFORMULA(INDEX('Game Records'!$V:$V,$H126))),NOT(ISFORMULA(INDEX('Game Records'!$W:$W,$H126))),NOT(ISFORMULA(INDEX('Game Records'!$X:$X,$H126))),NOT(ISFORMULA(INDEX('Game Records'!$Y:$Y,$H126))),NOT(ISFORMULA(INDEX('Game Records'!$Z:$Z,$H126)))),"Formula columns missing; ","")&amp;IF(INDEX('Game Records'!$B:$B,$H126)="","Start Date; ","")&amp;IF(INDEX('Game Records'!$C:$C,$H126)="","End Date; ","")&amp;IF(AND(INDEX('Game Records'!$U:$U,$H126)&lt;&gt;"Subscription",INDEX('Game Records'!$U:$U,$H126)&lt;&gt;"Free Game",INDEX('Game Records'!$U:$U,$H126)&lt;&gt;"Disqualified — Free Game",OR(INDEX('Game Records'!$D:$D,$H126)="",LOWER(INDEX('Game Records'!$D:$D,$H126)&amp;"")="n/a")),"Entry Mode; ","")&amp;IF(AND(INDEX('Game Records'!$U:$U,$H126)&lt;&gt;"Subscription",INDEX('Game Records'!$U:$U,$H126)&lt;&gt;"Free Game",INDEX('Game Records'!$U:$U,$H126)&lt;&gt;"Disqualified — Free Game",OR(INDEX('Game Records'!$E:$E,$H126)="",LOWER(INDEX('Game Records'!$E:$E,$H126)&amp;"")="n/a")),"Game Type; ","")&amp;IF(INDEX('Game Records'!$F:$F,$H126)="","Payment Type; ","")&amp;IF(AND(INDEX('Game Records'!$U:$U,$H126)&lt;&gt;"Subscription",INDEX('Game Records'!$U:$U,$H126)&lt;&gt;"Free Game",INDEX('Game Records'!$U:$U,$H126)&lt;&gt;"Disqualified — Free Game",INDEX('Game Records'!$G:$G,$H126)=""),"Gross Pot; ","")&amp;IF(AND(INDEX('Game Records'!$U:$U,$H126)&lt;&gt;"Free Game",INDEX('Game Records'!$U:$U,$H126)&lt;&gt;"Disqualified — Free Game",INDEX('Game Records'!$H:$H,$H126)=""),"Entry Fee; ","")&amp;IF(AND(INDEX('Game Records'!$U:$U,$H126)&lt;&gt;"Subscription",INDEX('Game Records'!$U:$U,$H126)&lt;&gt;"Free Game",INDEX('Game Records'!$U:$U,$H126)&lt;&gt;"Disqualified — Free Game",INDEX('Game Records'!$I:$I,$H126)=""),"Eligible Players; ","")&amp;IF(AND(INDEX('Game Records'!$U:$U,$H126)&lt;&gt;"Subscription",INDEX('Game Records'!$U:$U,$H126)&lt;&gt;"Free Game",INDEX('Game Records'!$U:$U,$H126)&lt;&gt;"Disqualified — Free Game",INDEX('Game Records'!$J:$J,$H126)=""),"Total Players; ","")&amp;IF(AND(LOWER(INDEX('Game Records'!$D:$D,$H126)&amp;"")="finalized",LOWER(INDEX('Game Records'!$L:$L,$H126)&amp;"")&lt;&gt;"yes",INDEX('Game Records'!$U:$U,$H126)&lt;&gt;"Subscription",INDEX('Game Records'!$U:$U,$H126)&lt;&gt;"Free Game",INDEX('Game Records'!$U:$U,$H126)&lt;&gt;"Disqualified — Free Game",INDEX('Game Records'!$K:$K,$H126)=""),"Final Earned; ","")&amp;IF(AND(LOWER(INDEX('Game Records'!$D:$D,$H126)&amp;"")="finalized",INDEX('Game Records'!$U:$U,$H126)&lt;&gt;"Subscription",INDEX('Game Records'!$U:$U,$H126)&lt;&gt;"Free Game",INDEX('Game Records'!$U:$U,$H126)&lt;&gt;"Disqualified — Free Game",OR(INDEX('Game Records'!$L:$L,$H126)="",LOWER(INDEX('Game Records'!$L:$L,$H126)&amp;"")="n/a")),"Disqualified Status; ","")&amp;IF(AND(OR(LOWER(TRIM(INDEX('Game Records'!$F:$F,$H126)&amp;""))="free game",INDEX('Game Records'!$U:$U,$H126)="Free Game",INDEX('Game Records'!$U:$U,$H126)="Disqualified — Free Game"),N(INDEX('Game Records'!$H:$H,$H126))&lt;&gt;0),"Free Game has a non-zero Entry Fee. Free Game records require a $0 Entry Fee; ",""))</f>
        <v/>
      </c>
      <c r="G126" s="331" t="str">
        <f>IF($H126="","",IFERROR(INDEX('Game Records'!$M:$M,$H126),""))</f>
        <v/>
      </c>
      <c r="H126" s="104" t="str">
        <f>IF($H125="","",IFERROR(MATCH(1,INDEX((ROW('Game Records'!$U$5:$U$504)&gt;$H125)*(('Game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6" s="104"/>
      <c r="J126" s="104"/>
    </row>
    <row r="127" ht="24" hidden="0" customHeight="1">
      <c r="A127" s="332" t="str">
        <f>IF($H127="","",ROWS($A$5:A127))</f>
        <v/>
      </c>
      <c r="B127" s="332" t="str">
        <f>IF($H127="","","G-"&amp;TEXT($A127,"0000"))</f>
        <v/>
      </c>
      <c r="C127" s="331" t="str">
        <f>IF($H127="","",IFERROR(INDEX('Game Records'!$A:$A,$H127),""))</f>
        <v/>
      </c>
      <c r="D127" s="331" t="str">
        <f>IF($H127="","",IFERROR(INDEX('Game Records'!$U:$U,$H127),""))</f>
        <v/>
      </c>
      <c r="E127" s="331" t="str">
        <f>IF($H127="","",IF($F127="","No Highlighted Fields","Highlighted Fields Present"))</f>
        <v/>
      </c>
      <c r="F127" s="331" t="str">
        <f>IF($H127="","",IF(OR(NOT(ISFORMULA(INDEX('Game Records'!$N:$N,$H127))),NOT(ISFORMULA(INDEX('Game Records'!$O:$O,$H127))),NOT(ISFORMULA(INDEX('Game Records'!$P:$P,$H127))),NOT(ISFORMULA(INDEX('Game Records'!$Q:$Q,$H127))),NOT(ISFORMULA(INDEX('Game Records'!$R:$R,$H127))),NOT(ISFORMULA(INDEX('Game Records'!$S:$S,$H127))),NOT(ISFORMULA(INDEX('Game Records'!$T:$T,$H127))),NOT(ISFORMULA(INDEX('Game Records'!$U:$U,$H127))),NOT(ISFORMULA(INDEX('Game Records'!$V:$V,$H127))),NOT(ISFORMULA(INDEX('Game Records'!$W:$W,$H127))),NOT(ISFORMULA(INDEX('Game Records'!$X:$X,$H127))),NOT(ISFORMULA(INDEX('Game Records'!$Y:$Y,$H127))),NOT(ISFORMULA(INDEX('Game Records'!$Z:$Z,$H127)))),"Formula columns missing; ","")&amp;IF(INDEX('Game Records'!$B:$B,$H127)="","Start Date; ","")&amp;IF(INDEX('Game Records'!$C:$C,$H127)="","End Date; ","")&amp;IF(AND(INDEX('Game Records'!$U:$U,$H127)&lt;&gt;"Subscription",INDEX('Game Records'!$U:$U,$H127)&lt;&gt;"Free Game",INDEX('Game Records'!$U:$U,$H127)&lt;&gt;"Disqualified — Free Game",OR(INDEX('Game Records'!$D:$D,$H127)="",LOWER(INDEX('Game Records'!$D:$D,$H127)&amp;"")="n/a")),"Entry Mode; ","")&amp;IF(AND(INDEX('Game Records'!$U:$U,$H127)&lt;&gt;"Subscription",INDEX('Game Records'!$U:$U,$H127)&lt;&gt;"Free Game",INDEX('Game Records'!$U:$U,$H127)&lt;&gt;"Disqualified — Free Game",OR(INDEX('Game Records'!$E:$E,$H127)="",LOWER(INDEX('Game Records'!$E:$E,$H127)&amp;"")="n/a")),"Game Type; ","")&amp;IF(INDEX('Game Records'!$F:$F,$H127)="","Payment Type; ","")&amp;IF(AND(INDEX('Game Records'!$U:$U,$H127)&lt;&gt;"Subscription",INDEX('Game Records'!$U:$U,$H127)&lt;&gt;"Free Game",INDEX('Game Records'!$U:$U,$H127)&lt;&gt;"Disqualified — Free Game",INDEX('Game Records'!$G:$G,$H127)=""),"Gross Pot; ","")&amp;IF(AND(INDEX('Game Records'!$U:$U,$H127)&lt;&gt;"Free Game",INDEX('Game Records'!$U:$U,$H127)&lt;&gt;"Disqualified — Free Game",INDEX('Game Records'!$H:$H,$H127)=""),"Entry Fee; ","")&amp;IF(AND(INDEX('Game Records'!$U:$U,$H127)&lt;&gt;"Subscription",INDEX('Game Records'!$U:$U,$H127)&lt;&gt;"Free Game",INDEX('Game Records'!$U:$U,$H127)&lt;&gt;"Disqualified — Free Game",INDEX('Game Records'!$I:$I,$H127)=""),"Eligible Players; ","")&amp;IF(AND(INDEX('Game Records'!$U:$U,$H127)&lt;&gt;"Subscription",INDEX('Game Records'!$U:$U,$H127)&lt;&gt;"Free Game",INDEX('Game Records'!$U:$U,$H127)&lt;&gt;"Disqualified — Free Game",INDEX('Game Records'!$J:$J,$H127)=""),"Total Players; ","")&amp;IF(AND(LOWER(INDEX('Game Records'!$D:$D,$H127)&amp;"")="finalized",LOWER(INDEX('Game Records'!$L:$L,$H127)&amp;"")&lt;&gt;"yes",INDEX('Game Records'!$U:$U,$H127)&lt;&gt;"Subscription",INDEX('Game Records'!$U:$U,$H127)&lt;&gt;"Free Game",INDEX('Game Records'!$U:$U,$H127)&lt;&gt;"Disqualified — Free Game",INDEX('Game Records'!$K:$K,$H127)=""),"Final Earned; ","")&amp;IF(AND(LOWER(INDEX('Game Records'!$D:$D,$H127)&amp;"")="finalized",INDEX('Game Records'!$U:$U,$H127)&lt;&gt;"Subscription",INDEX('Game Records'!$U:$U,$H127)&lt;&gt;"Free Game",INDEX('Game Records'!$U:$U,$H127)&lt;&gt;"Disqualified — Free Game",OR(INDEX('Game Records'!$L:$L,$H127)="",LOWER(INDEX('Game Records'!$L:$L,$H127)&amp;"")="n/a")),"Disqualified Status; ","")&amp;IF(AND(OR(LOWER(TRIM(INDEX('Game Records'!$F:$F,$H127)&amp;""))="free game",INDEX('Game Records'!$U:$U,$H127)="Free Game",INDEX('Game Records'!$U:$U,$H127)="Disqualified — Free Game"),N(INDEX('Game Records'!$H:$H,$H127))&lt;&gt;0),"Free Game has a non-zero Entry Fee. Free Game records require a $0 Entry Fee; ",""))</f>
        <v/>
      </c>
      <c r="G127" s="331" t="str">
        <f>IF($H127="","",IFERROR(INDEX('Game Records'!$M:$M,$H127),""))</f>
        <v/>
      </c>
      <c r="H127" s="104" t="str">
        <f>IF($H126="","",IFERROR(MATCH(1,INDEX((ROW('Game Records'!$U$5:$U$504)&gt;$H126)*(('Game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7" s="104"/>
      <c r="J127" s="104"/>
    </row>
    <row r="128" ht="24" hidden="0" customHeight="1">
      <c r="A128" s="332" t="str">
        <f>IF($H128="","",ROWS($A$5:A128))</f>
        <v/>
      </c>
      <c r="B128" s="332" t="str">
        <f>IF($H128="","","G-"&amp;TEXT($A128,"0000"))</f>
        <v/>
      </c>
      <c r="C128" s="331" t="str">
        <f>IF($H128="","",IFERROR(INDEX('Game Records'!$A:$A,$H128),""))</f>
        <v/>
      </c>
      <c r="D128" s="331" t="str">
        <f>IF($H128="","",IFERROR(INDEX('Game Records'!$U:$U,$H128),""))</f>
        <v/>
      </c>
      <c r="E128" s="331" t="str">
        <f>IF($H128="","",IF($F128="","No Highlighted Fields","Highlighted Fields Present"))</f>
        <v/>
      </c>
      <c r="F128" s="331" t="str">
        <f>IF($H128="","",IF(OR(NOT(ISFORMULA(INDEX('Game Records'!$N:$N,$H128))),NOT(ISFORMULA(INDEX('Game Records'!$O:$O,$H128))),NOT(ISFORMULA(INDEX('Game Records'!$P:$P,$H128))),NOT(ISFORMULA(INDEX('Game Records'!$Q:$Q,$H128))),NOT(ISFORMULA(INDEX('Game Records'!$R:$R,$H128))),NOT(ISFORMULA(INDEX('Game Records'!$S:$S,$H128))),NOT(ISFORMULA(INDEX('Game Records'!$T:$T,$H128))),NOT(ISFORMULA(INDEX('Game Records'!$U:$U,$H128))),NOT(ISFORMULA(INDEX('Game Records'!$V:$V,$H128))),NOT(ISFORMULA(INDEX('Game Records'!$W:$W,$H128))),NOT(ISFORMULA(INDEX('Game Records'!$X:$X,$H128))),NOT(ISFORMULA(INDEX('Game Records'!$Y:$Y,$H128))),NOT(ISFORMULA(INDEX('Game Records'!$Z:$Z,$H128)))),"Formula columns missing; ","")&amp;IF(INDEX('Game Records'!$B:$B,$H128)="","Start Date; ","")&amp;IF(INDEX('Game Records'!$C:$C,$H128)="","End Date; ","")&amp;IF(AND(INDEX('Game Records'!$U:$U,$H128)&lt;&gt;"Subscription",INDEX('Game Records'!$U:$U,$H128)&lt;&gt;"Free Game",INDEX('Game Records'!$U:$U,$H128)&lt;&gt;"Disqualified — Free Game",OR(INDEX('Game Records'!$D:$D,$H128)="",LOWER(INDEX('Game Records'!$D:$D,$H128)&amp;"")="n/a")),"Entry Mode; ","")&amp;IF(AND(INDEX('Game Records'!$U:$U,$H128)&lt;&gt;"Subscription",INDEX('Game Records'!$U:$U,$H128)&lt;&gt;"Free Game",INDEX('Game Records'!$U:$U,$H128)&lt;&gt;"Disqualified — Free Game",OR(INDEX('Game Records'!$E:$E,$H128)="",LOWER(INDEX('Game Records'!$E:$E,$H128)&amp;"")="n/a")),"Game Type; ","")&amp;IF(INDEX('Game Records'!$F:$F,$H128)="","Payment Type; ","")&amp;IF(AND(INDEX('Game Records'!$U:$U,$H128)&lt;&gt;"Subscription",INDEX('Game Records'!$U:$U,$H128)&lt;&gt;"Free Game",INDEX('Game Records'!$U:$U,$H128)&lt;&gt;"Disqualified — Free Game",INDEX('Game Records'!$G:$G,$H128)=""),"Gross Pot; ","")&amp;IF(AND(INDEX('Game Records'!$U:$U,$H128)&lt;&gt;"Free Game",INDEX('Game Records'!$U:$U,$H128)&lt;&gt;"Disqualified — Free Game",INDEX('Game Records'!$H:$H,$H128)=""),"Entry Fee; ","")&amp;IF(AND(INDEX('Game Records'!$U:$U,$H128)&lt;&gt;"Subscription",INDEX('Game Records'!$U:$U,$H128)&lt;&gt;"Free Game",INDEX('Game Records'!$U:$U,$H128)&lt;&gt;"Disqualified — Free Game",INDEX('Game Records'!$I:$I,$H128)=""),"Eligible Players; ","")&amp;IF(AND(INDEX('Game Records'!$U:$U,$H128)&lt;&gt;"Subscription",INDEX('Game Records'!$U:$U,$H128)&lt;&gt;"Free Game",INDEX('Game Records'!$U:$U,$H128)&lt;&gt;"Disqualified — Free Game",INDEX('Game Records'!$J:$J,$H128)=""),"Total Players; ","")&amp;IF(AND(LOWER(INDEX('Game Records'!$D:$D,$H128)&amp;"")="finalized",LOWER(INDEX('Game Records'!$L:$L,$H128)&amp;"")&lt;&gt;"yes",INDEX('Game Records'!$U:$U,$H128)&lt;&gt;"Subscription",INDEX('Game Records'!$U:$U,$H128)&lt;&gt;"Free Game",INDEX('Game Records'!$U:$U,$H128)&lt;&gt;"Disqualified — Free Game",INDEX('Game Records'!$K:$K,$H128)=""),"Final Earned; ","")&amp;IF(AND(LOWER(INDEX('Game Records'!$D:$D,$H128)&amp;"")="finalized",INDEX('Game Records'!$U:$U,$H128)&lt;&gt;"Subscription",INDEX('Game Records'!$U:$U,$H128)&lt;&gt;"Free Game",INDEX('Game Records'!$U:$U,$H128)&lt;&gt;"Disqualified — Free Game",OR(INDEX('Game Records'!$L:$L,$H128)="",LOWER(INDEX('Game Records'!$L:$L,$H128)&amp;"")="n/a")),"Disqualified Status; ","")&amp;IF(AND(OR(LOWER(TRIM(INDEX('Game Records'!$F:$F,$H128)&amp;""))="free game",INDEX('Game Records'!$U:$U,$H128)="Free Game",INDEX('Game Records'!$U:$U,$H128)="Disqualified — Free Game"),N(INDEX('Game Records'!$H:$H,$H128))&lt;&gt;0),"Free Game has a non-zero Entry Fee. Free Game records require a $0 Entry Fee; ",""))</f>
        <v/>
      </c>
      <c r="G128" s="331" t="str">
        <f>IF($H128="","",IFERROR(INDEX('Game Records'!$M:$M,$H128),""))</f>
        <v/>
      </c>
      <c r="H128" s="104" t="str">
        <f>IF($H127="","",IFERROR(MATCH(1,INDEX((ROW('Game Records'!$U$5:$U$504)&gt;$H127)*(('Game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8" s="104"/>
      <c r="J128" s="104"/>
    </row>
    <row r="129" ht="24" hidden="0" customHeight="1">
      <c r="A129" s="332" t="str">
        <f>IF($H129="","",ROWS($A$5:A129))</f>
        <v/>
      </c>
      <c r="B129" s="332" t="str">
        <f>IF($H129="","","G-"&amp;TEXT($A129,"0000"))</f>
        <v/>
      </c>
      <c r="C129" s="331" t="str">
        <f>IF($H129="","",IFERROR(INDEX('Game Records'!$A:$A,$H129),""))</f>
        <v/>
      </c>
      <c r="D129" s="331" t="str">
        <f>IF($H129="","",IFERROR(INDEX('Game Records'!$U:$U,$H129),""))</f>
        <v/>
      </c>
      <c r="E129" s="331" t="str">
        <f>IF($H129="","",IF($F129="","No Highlighted Fields","Highlighted Fields Present"))</f>
        <v/>
      </c>
      <c r="F129" s="331" t="str">
        <f>IF($H129="","",IF(OR(NOT(ISFORMULA(INDEX('Game Records'!$N:$N,$H129))),NOT(ISFORMULA(INDEX('Game Records'!$O:$O,$H129))),NOT(ISFORMULA(INDEX('Game Records'!$P:$P,$H129))),NOT(ISFORMULA(INDEX('Game Records'!$Q:$Q,$H129))),NOT(ISFORMULA(INDEX('Game Records'!$R:$R,$H129))),NOT(ISFORMULA(INDEX('Game Records'!$S:$S,$H129))),NOT(ISFORMULA(INDEX('Game Records'!$T:$T,$H129))),NOT(ISFORMULA(INDEX('Game Records'!$U:$U,$H129))),NOT(ISFORMULA(INDEX('Game Records'!$V:$V,$H129))),NOT(ISFORMULA(INDEX('Game Records'!$W:$W,$H129))),NOT(ISFORMULA(INDEX('Game Records'!$X:$X,$H129))),NOT(ISFORMULA(INDEX('Game Records'!$Y:$Y,$H129))),NOT(ISFORMULA(INDEX('Game Records'!$Z:$Z,$H129)))),"Formula columns missing; ","")&amp;IF(INDEX('Game Records'!$B:$B,$H129)="","Start Date; ","")&amp;IF(INDEX('Game Records'!$C:$C,$H129)="","End Date; ","")&amp;IF(AND(INDEX('Game Records'!$U:$U,$H129)&lt;&gt;"Subscription",INDEX('Game Records'!$U:$U,$H129)&lt;&gt;"Free Game",INDEX('Game Records'!$U:$U,$H129)&lt;&gt;"Disqualified — Free Game",OR(INDEX('Game Records'!$D:$D,$H129)="",LOWER(INDEX('Game Records'!$D:$D,$H129)&amp;"")="n/a")),"Entry Mode; ","")&amp;IF(AND(INDEX('Game Records'!$U:$U,$H129)&lt;&gt;"Subscription",INDEX('Game Records'!$U:$U,$H129)&lt;&gt;"Free Game",INDEX('Game Records'!$U:$U,$H129)&lt;&gt;"Disqualified — Free Game",OR(INDEX('Game Records'!$E:$E,$H129)="",LOWER(INDEX('Game Records'!$E:$E,$H129)&amp;"")="n/a")),"Game Type; ","")&amp;IF(INDEX('Game Records'!$F:$F,$H129)="","Payment Type; ","")&amp;IF(AND(INDEX('Game Records'!$U:$U,$H129)&lt;&gt;"Subscription",INDEX('Game Records'!$U:$U,$H129)&lt;&gt;"Free Game",INDEX('Game Records'!$U:$U,$H129)&lt;&gt;"Disqualified — Free Game",INDEX('Game Records'!$G:$G,$H129)=""),"Gross Pot; ","")&amp;IF(AND(INDEX('Game Records'!$U:$U,$H129)&lt;&gt;"Free Game",INDEX('Game Records'!$U:$U,$H129)&lt;&gt;"Disqualified — Free Game",INDEX('Game Records'!$H:$H,$H129)=""),"Entry Fee; ","")&amp;IF(AND(INDEX('Game Records'!$U:$U,$H129)&lt;&gt;"Subscription",INDEX('Game Records'!$U:$U,$H129)&lt;&gt;"Free Game",INDEX('Game Records'!$U:$U,$H129)&lt;&gt;"Disqualified — Free Game",INDEX('Game Records'!$I:$I,$H129)=""),"Eligible Players; ","")&amp;IF(AND(INDEX('Game Records'!$U:$U,$H129)&lt;&gt;"Subscription",INDEX('Game Records'!$U:$U,$H129)&lt;&gt;"Free Game",INDEX('Game Records'!$U:$U,$H129)&lt;&gt;"Disqualified — Free Game",INDEX('Game Records'!$J:$J,$H129)=""),"Total Players; ","")&amp;IF(AND(LOWER(INDEX('Game Records'!$D:$D,$H129)&amp;"")="finalized",LOWER(INDEX('Game Records'!$L:$L,$H129)&amp;"")&lt;&gt;"yes",INDEX('Game Records'!$U:$U,$H129)&lt;&gt;"Subscription",INDEX('Game Records'!$U:$U,$H129)&lt;&gt;"Free Game",INDEX('Game Records'!$U:$U,$H129)&lt;&gt;"Disqualified — Free Game",INDEX('Game Records'!$K:$K,$H129)=""),"Final Earned; ","")&amp;IF(AND(LOWER(INDEX('Game Records'!$D:$D,$H129)&amp;"")="finalized",INDEX('Game Records'!$U:$U,$H129)&lt;&gt;"Subscription",INDEX('Game Records'!$U:$U,$H129)&lt;&gt;"Free Game",INDEX('Game Records'!$U:$U,$H129)&lt;&gt;"Disqualified — Free Game",OR(INDEX('Game Records'!$L:$L,$H129)="",LOWER(INDEX('Game Records'!$L:$L,$H129)&amp;"")="n/a")),"Disqualified Status; ","")&amp;IF(AND(OR(LOWER(TRIM(INDEX('Game Records'!$F:$F,$H129)&amp;""))="free game",INDEX('Game Records'!$U:$U,$H129)="Free Game",INDEX('Game Records'!$U:$U,$H129)="Disqualified — Free Game"),N(INDEX('Game Records'!$H:$H,$H129))&lt;&gt;0),"Free Game has a non-zero Entry Fee. Free Game records require a $0 Entry Fee; ",""))</f>
        <v/>
      </c>
      <c r="G129" s="331" t="str">
        <f>IF($H129="","",IFERROR(INDEX('Game Records'!$M:$M,$H129),""))</f>
        <v/>
      </c>
      <c r="H129" s="104" t="str">
        <f>IF($H128="","",IFERROR(MATCH(1,INDEX((ROW('Game Records'!$U$5:$U$504)&gt;$H128)*(('Game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9" s="104"/>
      <c r="J129" s="104"/>
    </row>
    <row r="130" ht="24" hidden="0" customHeight="1">
      <c r="A130" s="332" t="str">
        <f>IF($H130="","",ROWS($A$5:A130))</f>
        <v/>
      </c>
      <c r="B130" s="332" t="str">
        <f>IF($H130="","","G-"&amp;TEXT($A130,"0000"))</f>
        <v/>
      </c>
      <c r="C130" s="331" t="str">
        <f>IF($H130="","",IFERROR(INDEX('Game Records'!$A:$A,$H130),""))</f>
        <v/>
      </c>
      <c r="D130" s="331" t="str">
        <f>IF($H130="","",IFERROR(INDEX('Game Records'!$U:$U,$H130),""))</f>
        <v/>
      </c>
      <c r="E130" s="331" t="str">
        <f>IF($H130="","",IF($F130="","No Highlighted Fields","Highlighted Fields Present"))</f>
        <v/>
      </c>
      <c r="F130" s="331" t="str">
        <f>IF($H130="","",IF(OR(NOT(ISFORMULA(INDEX('Game Records'!$N:$N,$H130))),NOT(ISFORMULA(INDEX('Game Records'!$O:$O,$H130))),NOT(ISFORMULA(INDEX('Game Records'!$P:$P,$H130))),NOT(ISFORMULA(INDEX('Game Records'!$Q:$Q,$H130))),NOT(ISFORMULA(INDEX('Game Records'!$R:$R,$H130))),NOT(ISFORMULA(INDEX('Game Records'!$S:$S,$H130))),NOT(ISFORMULA(INDEX('Game Records'!$T:$T,$H130))),NOT(ISFORMULA(INDEX('Game Records'!$U:$U,$H130))),NOT(ISFORMULA(INDEX('Game Records'!$V:$V,$H130))),NOT(ISFORMULA(INDEX('Game Records'!$W:$W,$H130))),NOT(ISFORMULA(INDEX('Game Records'!$X:$X,$H130))),NOT(ISFORMULA(INDEX('Game Records'!$Y:$Y,$H130))),NOT(ISFORMULA(INDEX('Game Records'!$Z:$Z,$H130)))),"Formula columns missing; ","")&amp;IF(INDEX('Game Records'!$B:$B,$H130)="","Start Date; ","")&amp;IF(INDEX('Game Records'!$C:$C,$H130)="","End Date; ","")&amp;IF(AND(INDEX('Game Records'!$U:$U,$H130)&lt;&gt;"Subscription",INDEX('Game Records'!$U:$U,$H130)&lt;&gt;"Free Game",INDEX('Game Records'!$U:$U,$H130)&lt;&gt;"Disqualified — Free Game",OR(INDEX('Game Records'!$D:$D,$H130)="",LOWER(INDEX('Game Records'!$D:$D,$H130)&amp;"")="n/a")),"Entry Mode; ","")&amp;IF(AND(INDEX('Game Records'!$U:$U,$H130)&lt;&gt;"Subscription",INDEX('Game Records'!$U:$U,$H130)&lt;&gt;"Free Game",INDEX('Game Records'!$U:$U,$H130)&lt;&gt;"Disqualified — Free Game",OR(INDEX('Game Records'!$E:$E,$H130)="",LOWER(INDEX('Game Records'!$E:$E,$H130)&amp;"")="n/a")),"Game Type; ","")&amp;IF(INDEX('Game Records'!$F:$F,$H130)="","Payment Type; ","")&amp;IF(AND(INDEX('Game Records'!$U:$U,$H130)&lt;&gt;"Subscription",INDEX('Game Records'!$U:$U,$H130)&lt;&gt;"Free Game",INDEX('Game Records'!$U:$U,$H130)&lt;&gt;"Disqualified — Free Game",INDEX('Game Records'!$G:$G,$H130)=""),"Gross Pot; ","")&amp;IF(AND(INDEX('Game Records'!$U:$U,$H130)&lt;&gt;"Free Game",INDEX('Game Records'!$U:$U,$H130)&lt;&gt;"Disqualified — Free Game",INDEX('Game Records'!$H:$H,$H130)=""),"Entry Fee; ","")&amp;IF(AND(INDEX('Game Records'!$U:$U,$H130)&lt;&gt;"Subscription",INDEX('Game Records'!$U:$U,$H130)&lt;&gt;"Free Game",INDEX('Game Records'!$U:$U,$H130)&lt;&gt;"Disqualified — Free Game",INDEX('Game Records'!$I:$I,$H130)=""),"Eligible Players; ","")&amp;IF(AND(INDEX('Game Records'!$U:$U,$H130)&lt;&gt;"Subscription",INDEX('Game Records'!$U:$U,$H130)&lt;&gt;"Free Game",INDEX('Game Records'!$U:$U,$H130)&lt;&gt;"Disqualified — Free Game",INDEX('Game Records'!$J:$J,$H130)=""),"Total Players; ","")&amp;IF(AND(LOWER(INDEX('Game Records'!$D:$D,$H130)&amp;"")="finalized",LOWER(INDEX('Game Records'!$L:$L,$H130)&amp;"")&lt;&gt;"yes",INDEX('Game Records'!$U:$U,$H130)&lt;&gt;"Subscription",INDEX('Game Records'!$U:$U,$H130)&lt;&gt;"Free Game",INDEX('Game Records'!$U:$U,$H130)&lt;&gt;"Disqualified — Free Game",INDEX('Game Records'!$K:$K,$H130)=""),"Final Earned; ","")&amp;IF(AND(LOWER(INDEX('Game Records'!$D:$D,$H130)&amp;"")="finalized",INDEX('Game Records'!$U:$U,$H130)&lt;&gt;"Subscription",INDEX('Game Records'!$U:$U,$H130)&lt;&gt;"Free Game",INDEX('Game Records'!$U:$U,$H130)&lt;&gt;"Disqualified — Free Game",OR(INDEX('Game Records'!$L:$L,$H130)="",LOWER(INDEX('Game Records'!$L:$L,$H130)&amp;"")="n/a")),"Disqualified Status; ","")&amp;IF(AND(OR(LOWER(TRIM(INDEX('Game Records'!$F:$F,$H130)&amp;""))="free game",INDEX('Game Records'!$U:$U,$H130)="Free Game",INDEX('Game Records'!$U:$U,$H130)="Disqualified — Free Game"),N(INDEX('Game Records'!$H:$H,$H130))&lt;&gt;0),"Free Game has a non-zero Entry Fee. Free Game records require a $0 Entry Fee; ",""))</f>
        <v/>
      </c>
      <c r="G130" s="331" t="str">
        <f>IF($H130="","",IFERROR(INDEX('Game Records'!$M:$M,$H130),""))</f>
        <v/>
      </c>
      <c r="H130" s="104" t="str">
        <f>IF($H129="","",IFERROR(MATCH(1,INDEX((ROW('Game Records'!$U$5:$U$504)&gt;$H129)*(('Game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0" s="104"/>
      <c r="J130" s="104"/>
    </row>
    <row r="131" ht="24" hidden="0" customHeight="1">
      <c r="A131" s="332" t="str">
        <f>IF($H131="","",ROWS($A$5:A131))</f>
        <v/>
      </c>
      <c r="B131" s="332" t="str">
        <f>IF($H131="","","G-"&amp;TEXT($A131,"0000"))</f>
        <v/>
      </c>
      <c r="C131" s="331" t="str">
        <f>IF($H131="","",IFERROR(INDEX('Game Records'!$A:$A,$H131),""))</f>
        <v/>
      </c>
      <c r="D131" s="331" t="str">
        <f>IF($H131="","",IFERROR(INDEX('Game Records'!$U:$U,$H131),""))</f>
        <v/>
      </c>
      <c r="E131" s="331" t="str">
        <f>IF($H131="","",IF($F131="","No Highlighted Fields","Highlighted Fields Present"))</f>
        <v/>
      </c>
      <c r="F131" s="331" t="str">
        <f>IF($H131="","",IF(OR(NOT(ISFORMULA(INDEX('Game Records'!$N:$N,$H131))),NOT(ISFORMULA(INDEX('Game Records'!$O:$O,$H131))),NOT(ISFORMULA(INDEX('Game Records'!$P:$P,$H131))),NOT(ISFORMULA(INDEX('Game Records'!$Q:$Q,$H131))),NOT(ISFORMULA(INDEX('Game Records'!$R:$R,$H131))),NOT(ISFORMULA(INDEX('Game Records'!$S:$S,$H131))),NOT(ISFORMULA(INDEX('Game Records'!$T:$T,$H131))),NOT(ISFORMULA(INDEX('Game Records'!$U:$U,$H131))),NOT(ISFORMULA(INDEX('Game Records'!$V:$V,$H131))),NOT(ISFORMULA(INDEX('Game Records'!$W:$W,$H131))),NOT(ISFORMULA(INDEX('Game Records'!$X:$X,$H131))),NOT(ISFORMULA(INDEX('Game Records'!$Y:$Y,$H131))),NOT(ISFORMULA(INDEX('Game Records'!$Z:$Z,$H131)))),"Formula columns missing; ","")&amp;IF(INDEX('Game Records'!$B:$B,$H131)="","Start Date; ","")&amp;IF(INDEX('Game Records'!$C:$C,$H131)="","End Date; ","")&amp;IF(AND(INDEX('Game Records'!$U:$U,$H131)&lt;&gt;"Subscription",INDEX('Game Records'!$U:$U,$H131)&lt;&gt;"Free Game",INDEX('Game Records'!$U:$U,$H131)&lt;&gt;"Disqualified — Free Game",OR(INDEX('Game Records'!$D:$D,$H131)="",LOWER(INDEX('Game Records'!$D:$D,$H131)&amp;"")="n/a")),"Entry Mode; ","")&amp;IF(AND(INDEX('Game Records'!$U:$U,$H131)&lt;&gt;"Subscription",INDEX('Game Records'!$U:$U,$H131)&lt;&gt;"Free Game",INDEX('Game Records'!$U:$U,$H131)&lt;&gt;"Disqualified — Free Game",OR(INDEX('Game Records'!$E:$E,$H131)="",LOWER(INDEX('Game Records'!$E:$E,$H131)&amp;"")="n/a")),"Game Type; ","")&amp;IF(INDEX('Game Records'!$F:$F,$H131)="","Payment Type; ","")&amp;IF(AND(INDEX('Game Records'!$U:$U,$H131)&lt;&gt;"Subscription",INDEX('Game Records'!$U:$U,$H131)&lt;&gt;"Free Game",INDEX('Game Records'!$U:$U,$H131)&lt;&gt;"Disqualified — Free Game",INDEX('Game Records'!$G:$G,$H131)=""),"Gross Pot; ","")&amp;IF(AND(INDEX('Game Records'!$U:$U,$H131)&lt;&gt;"Free Game",INDEX('Game Records'!$U:$U,$H131)&lt;&gt;"Disqualified — Free Game",INDEX('Game Records'!$H:$H,$H131)=""),"Entry Fee; ","")&amp;IF(AND(INDEX('Game Records'!$U:$U,$H131)&lt;&gt;"Subscription",INDEX('Game Records'!$U:$U,$H131)&lt;&gt;"Free Game",INDEX('Game Records'!$U:$U,$H131)&lt;&gt;"Disqualified — Free Game",INDEX('Game Records'!$I:$I,$H131)=""),"Eligible Players; ","")&amp;IF(AND(INDEX('Game Records'!$U:$U,$H131)&lt;&gt;"Subscription",INDEX('Game Records'!$U:$U,$H131)&lt;&gt;"Free Game",INDEX('Game Records'!$U:$U,$H131)&lt;&gt;"Disqualified — Free Game",INDEX('Game Records'!$J:$J,$H131)=""),"Total Players; ","")&amp;IF(AND(LOWER(INDEX('Game Records'!$D:$D,$H131)&amp;"")="finalized",LOWER(INDEX('Game Records'!$L:$L,$H131)&amp;"")&lt;&gt;"yes",INDEX('Game Records'!$U:$U,$H131)&lt;&gt;"Subscription",INDEX('Game Records'!$U:$U,$H131)&lt;&gt;"Free Game",INDEX('Game Records'!$U:$U,$H131)&lt;&gt;"Disqualified — Free Game",INDEX('Game Records'!$K:$K,$H131)=""),"Final Earned; ","")&amp;IF(AND(LOWER(INDEX('Game Records'!$D:$D,$H131)&amp;"")="finalized",INDEX('Game Records'!$U:$U,$H131)&lt;&gt;"Subscription",INDEX('Game Records'!$U:$U,$H131)&lt;&gt;"Free Game",INDEX('Game Records'!$U:$U,$H131)&lt;&gt;"Disqualified — Free Game",OR(INDEX('Game Records'!$L:$L,$H131)="",LOWER(INDEX('Game Records'!$L:$L,$H131)&amp;"")="n/a")),"Disqualified Status; ","")&amp;IF(AND(OR(LOWER(TRIM(INDEX('Game Records'!$F:$F,$H131)&amp;""))="free game",INDEX('Game Records'!$U:$U,$H131)="Free Game",INDEX('Game Records'!$U:$U,$H131)="Disqualified — Free Game"),N(INDEX('Game Records'!$H:$H,$H131))&lt;&gt;0),"Free Game has a non-zero Entry Fee. Free Game records require a $0 Entry Fee; ",""))</f>
        <v/>
      </c>
      <c r="G131" s="331" t="str">
        <f>IF($H131="","",IFERROR(INDEX('Game Records'!$M:$M,$H131),""))</f>
        <v/>
      </c>
      <c r="H131" s="104" t="str">
        <f>IF($H130="","",IFERROR(MATCH(1,INDEX((ROW('Game Records'!$U$5:$U$504)&gt;$H130)*(('Game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1" s="104"/>
      <c r="J131" s="104"/>
    </row>
    <row r="132" ht="24" hidden="0" customHeight="1">
      <c r="A132" s="332" t="str">
        <f>IF($H132="","",ROWS($A$5:A132))</f>
        <v/>
      </c>
      <c r="B132" s="332" t="str">
        <f>IF($H132="","","G-"&amp;TEXT($A132,"0000"))</f>
        <v/>
      </c>
      <c r="C132" s="331" t="str">
        <f>IF($H132="","",IFERROR(INDEX('Game Records'!$A:$A,$H132),""))</f>
        <v/>
      </c>
      <c r="D132" s="331" t="str">
        <f>IF($H132="","",IFERROR(INDEX('Game Records'!$U:$U,$H132),""))</f>
        <v/>
      </c>
      <c r="E132" s="331" t="str">
        <f>IF($H132="","",IF($F132="","No Highlighted Fields","Highlighted Fields Present"))</f>
        <v/>
      </c>
      <c r="F132" s="331" t="str">
        <f>IF($H132="","",IF(OR(NOT(ISFORMULA(INDEX('Game Records'!$N:$N,$H132))),NOT(ISFORMULA(INDEX('Game Records'!$O:$O,$H132))),NOT(ISFORMULA(INDEX('Game Records'!$P:$P,$H132))),NOT(ISFORMULA(INDEX('Game Records'!$Q:$Q,$H132))),NOT(ISFORMULA(INDEX('Game Records'!$R:$R,$H132))),NOT(ISFORMULA(INDEX('Game Records'!$S:$S,$H132))),NOT(ISFORMULA(INDEX('Game Records'!$T:$T,$H132))),NOT(ISFORMULA(INDEX('Game Records'!$U:$U,$H132))),NOT(ISFORMULA(INDEX('Game Records'!$V:$V,$H132))),NOT(ISFORMULA(INDEX('Game Records'!$W:$W,$H132))),NOT(ISFORMULA(INDEX('Game Records'!$X:$X,$H132))),NOT(ISFORMULA(INDEX('Game Records'!$Y:$Y,$H132))),NOT(ISFORMULA(INDEX('Game Records'!$Z:$Z,$H132)))),"Formula columns missing; ","")&amp;IF(INDEX('Game Records'!$B:$B,$H132)="","Start Date; ","")&amp;IF(INDEX('Game Records'!$C:$C,$H132)="","End Date; ","")&amp;IF(AND(INDEX('Game Records'!$U:$U,$H132)&lt;&gt;"Subscription",INDEX('Game Records'!$U:$U,$H132)&lt;&gt;"Free Game",INDEX('Game Records'!$U:$U,$H132)&lt;&gt;"Disqualified — Free Game",OR(INDEX('Game Records'!$D:$D,$H132)="",LOWER(INDEX('Game Records'!$D:$D,$H132)&amp;"")="n/a")),"Entry Mode; ","")&amp;IF(AND(INDEX('Game Records'!$U:$U,$H132)&lt;&gt;"Subscription",INDEX('Game Records'!$U:$U,$H132)&lt;&gt;"Free Game",INDEX('Game Records'!$U:$U,$H132)&lt;&gt;"Disqualified — Free Game",OR(INDEX('Game Records'!$E:$E,$H132)="",LOWER(INDEX('Game Records'!$E:$E,$H132)&amp;"")="n/a")),"Game Type; ","")&amp;IF(INDEX('Game Records'!$F:$F,$H132)="","Payment Type; ","")&amp;IF(AND(INDEX('Game Records'!$U:$U,$H132)&lt;&gt;"Subscription",INDEX('Game Records'!$U:$U,$H132)&lt;&gt;"Free Game",INDEX('Game Records'!$U:$U,$H132)&lt;&gt;"Disqualified — Free Game",INDEX('Game Records'!$G:$G,$H132)=""),"Gross Pot; ","")&amp;IF(AND(INDEX('Game Records'!$U:$U,$H132)&lt;&gt;"Free Game",INDEX('Game Records'!$U:$U,$H132)&lt;&gt;"Disqualified — Free Game",INDEX('Game Records'!$H:$H,$H132)=""),"Entry Fee; ","")&amp;IF(AND(INDEX('Game Records'!$U:$U,$H132)&lt;&gt;"Subscription",INDEX('Game Records'!$U:$U,$H132)&lt;&gt;"Free Game",INDEX('Game Records'!$U:$U,$H132)&lt;&gt;"Disqualified — Free Game",INDEX('Game Records'!$I:$I,$H132)=""),"Eligible Players; ","")&amp;IF(AND(INDEX('Game Records'!$U:$U,$H132)&lt;&gt;"Subscription",INDEX('Game Records'!$U:$U,$H132)&lt;&gt;"Free Game",INDEX('Game Records'!$U:$U,$H132)&lt;&gt;"Disqualified — Free Game",INDEX('Game Records'!$J:$J,$H132)=""),"Total Players; ","")&amp;IF(AND(LOWER(INDEX('Game Records'!$D:$D,$H132)&amp;"")="finalized",LOWER(INDEX('Game Records'!$L:$L,$H132)&amp;"")&lt;&gt;"yes",INDEX('Game Records'!$U:$U,$H132)&lt;&gt;"Subscription",INDEX('Game Records'!$U:$U,$H132)&lt;&gt;"Free Game",INDEX('Game Records'!$U:$U,$H132)&lt;&gt;"Disqualified — Free Game",INDEX('Game Records'!$K:$K,$H132)=""),"Final Earned; ","")&amp;IF(AND(LOWER(INDEX('Game Records'!$D:$D,$H132)&amp;"")="finalized",INDEX('Game Records'!$U:$U,$H132)&lt;&gt;"Subscription",INDEX('Game Records'!$U:$U,$H132)&lt;&gt;"Free Game",INDEX('Game Records'!$U:$U,$H132)&lt;&gt;"Disqualified — Free Game",OR(INDEX('Game Records'!$L:$L,$H132)="",LOWER(INDEX('Game Records'!$L:$L,$H132)&amp;"")="n/a")),"Disqualified Status; ","")&amp;IF(AND(OR(LOWER(TRIM(INDEX('Game Records'!$F:$F,$H132)&amp;""))="free game",INDEX('Game Records'!$U:$U,$H132)="Free Game",INDEX('Game Records'!$U:$U,$H132)="Disqualified — Free Game"),N(INDEX('Game Records'!$H:$H,$H132))&lt;&gt;0),"Free Game has a non-zero Entry Fee. Free Game records require a $0 Entry Fee; ",""))</f>
        <v/>
      </c>
      <c r="G132" s="331" t="str">
        <f>IF($H132="","",IFERROR(INDEX('Game Records'!$M:$M,$H132),""))</f>
        <v/>
      </c>
      <c r="H132" s="104" t="str">
        <f>IF($H131="","",IFERROR(MATCH(1,INDEX((ROW('Game Records'!$U$5:$U$504)&gt;$H131)*(('Game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2" s="104"/>
      <c r="J132" s="104"/>
    </row>
    <row r="133" ht="24" hidden="0" customHeight="1">
      <c r="A133" s="332" t="str">
        <f>IF($H133="","",ROWS($A$5:A133))</f>
        <v/>
      </c>
      <c r="B133" s="332" t="str">
        <f>IF($H133="","","G-"&amp;TEXT($A133,"0000"))</f>
        <v/>
      </c>
      <c r="C133" s="331" t="str">
        <f>IF($H133="","",IFERROR(INDEX('Game Records'!$A:$A,$H133),""))</f>
        <v/>
      </c>
      <c r="D133" s="331" t="str">
        <f>IF($H133="","",IFERROR(INDEX('Game Records'!$U:$U,$H133),""))</f>
        <v/>
      </c>
      <c r="E133" s="331" t="str">
        <f>IF($H133="","",IF($F133="","No Highlighted Fields","Highlighted Fields Present"))</f>
        <v/>
      </c>
      <c r="F133" s="331" t="str">
        <f>IF($H133="","",IF(OR(NOT(ISFORMULA(INDEX('Game Records'!$N:$N,$H133))),NOT(ISFORMULA(INDEX('Game Records'!$O:$O,$H133))),NOT(ISFORMULA(INDEX('Game Records'!$P:$P,$H133))),NOT(ISFORMULA(INDEX('Game Records'!$Q:$Q,$H133))),NOT(ISFORMULA(INDEX('Game Records'!$R:$R,$H133))),NOT(ISFORMULA(INDEX('Game Records'!$S:$S,$H133))),NOT(ISFORMULA(INDEX('Game Records'!$T:$T,$H133))),NOT(ISFORMULA(INDEX('Game Records'!$U:$U,$H133))),NOT(ISFORMULA(INDEX('Game Records'!$V:$V,$H133))),NOT(ISFORMULA(INDEX('Game Records'!$W:$W,$H133))),NOT(ISFORMULA(INDEX('Game Records'!$X:$X,$H133))),NOT(ISFORMULA(INDEX('Game Records'!$Y:$Y,$H133))),NOT(ISFORMULA(INDEX('Game Records'!$Z:$Z,$H133)))),"Formula columns missing; ","")&amp;IF(INDEX('Game Records'!$B:$B,$H133)="","Start Date; ","")&amp;IF(INDEX('Game Records'!$C:$C,$H133)="","End Date; ","")&amp;IF(AND(INDEX('Game Records'!$U:$U,$H133)&lt;&gt;"Subscription",INDEX('Game Records'!$U:$U,$H133)&lt;&gt;"Free Game",INDEX('Game Records'!$U:$U,$H133)&lt;&gt;"Disqualified — Free Game",OR(INDEX('Game Records'!$D:$D,$H133)="",LOWER(INDEX('Game Records'!$D:$D,$H133)&amp;"")="n/a")),"Entry Mode; ","")&amp;IF(AND(INDEX('Game Records'!$U:$U,$H133)&lt;&gt;"Subscription",INDEX('Game Records'!$U:$U,$H133)&lt;&gt;"Free Game",INDEX('Game Records'!$U:$U,$H133)&lt;&gt;"Disqualified — Free Game",OR(INDEX('Game Records'!$E:$E,$H133)="",LOWER(INDEX('Game Records'!$E:$E,$H133)&amp;"")="n/a")),"Game Type; ","")&amp;IF(INDEX('Game Records'!$F:$F,$H133)="","Payment Type; ","")&amp;IF(AND(INDEX('Game Records'!$U:$U,$H133)&lt;&gt;"Subscription",INDEX('Game Records'!$U:$U,$H133)&lt;&gt;"Free Game",INDEX('Game Records'!$U:$U,$H133)&lt;&gt;"Disqualified — Free Game",INDEX('Game Records'!$G:$G,$H133)=""),"Gross Pot; ","")&amp;IF(AND(INDEX('Game Records'!$U:$U,$H133)&lt;&gt;"Free Game",INDEX('Game Records'!$U:$U,$H133)&lt;&gt;"Disqualified — Free Game",INDEX('Game Records'!$H:$H,$H133)=""),"Entry Fee; ","")&amp;IF(AND(INDEX('Game Records'!$U:$U,$H133)&lt;&gt;"Subscription",INDEX('Game Records'!$U:$U,$H133)&lt;&gt;"Free Game",INDEX('Game Records'!$U:$U,$H133)&lt;&gt;"Disqualified — Free Game",INDEX('Game Records'!$I:$I,$H133)=""),"Eligible Players; ","")&amp;IF(AND(INDEX('Game Records'!$U:$U,$H133)&lt;&gt;"Subscription",INDEX('Game Records'!$U:$U,$H133)&lt;&gt;"Free Game",INDEX('Game Records'!$U:$U,$H133)&lt;&gt;"Disqualified — Free Game",INDEX('Game Records'!$J:$J,$H133)=""),"Total Players; ","")&amp;IF(AND(LOWER(INDEX('Game Records'!$D:$D,$H133)&amp;"")="finalized",LOWER(INDEX('Game Records'!$L:$L,$H133)&amp;"")&lt;&gt;"yes",INDEX('Game Records'!$U:$U,$H133)&lt;&gt;"Subscription",INDEX('Game Records'!$U:$U,$H133)&lt;&gt;"Free Game",INDEX('Game Records'!$U:$U,$H133)&lt;&gt;"Disqualified — Free Game",INDEX('Game Records'!$K:$K,$H133)=""),"Final Earned; ","")&amp;IF(AND(LOWER(INDEX('Game Records'!$D:$D,$H133)&amp;"")="finalized",INDEX('Game Records'!$U:$U,$H133)&lt;&gt;"Subscription",INDEX('Game Records'!$U:$U,$H133)&lt;&gt;"Free Game",INDEX('Game Records'!$U:$U,$H133)&lt;&gt;"Disqualified — Free Game",OR(INDEX('Game Records'!$L:$L,$H133)="",LOWER(INDEX('Game Records'!$L:$L,$H133)&amp;"")="n/a")),"Disqualified Status; ","")&amp;IF(AND(OR(LOWER(TRIM(INDEX('Game Records'!$F:$F,$H133)&amp;""))="free game",INDEX('Game Records'!$U:$U,$H133)="Free Game",INDEX('Game Records'!$U:$U,$H133)="Disqualified — Free Game"),N(INDEX('Game Records'!$H:$H,$H133))&lt;&gt;0),"Free Game has a non-zero Entry Fee. Free Game records require a $0 Entry Fee; ",""))</f>
        <v/>
      </c>
      <c r="G133" s="331" t="str">
        <f>IF($H133="","",IFERROR(INDEX('Game Records'!$M:$M,$H133),""))</f>
        <v/>
      </c>
      <c r="H133" s="104" t="str">
        <f>IF($H132="","",IFERROR(MATCH(1,INDEX((ROW('Game Records'!$U$5:$U$504)&gt;$H132)*(('Game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3" s="104"/>
      <c r="J133" s="104"/>
    </row>
    <row r="134" ht="24" hidden="0" customHeight="1">
      <c r="A134" s="332" t="str">
        <f>IF($H134="","",ROWS($A$5:A134))</f>
        <v/>
      </c>
      <c r="B134" s="332" t="str">
        <f>IF($H134="","","G-"&amp;TEXT($A134,"0000"))</f>
        <v/>
      </c>
      <c r="C134" s="331" t="str">
        <f>IF($H134="","",IFERROR(INDEX('Game Records'!$A:$A,$H134),""))</f>
        <v/>
      </c>
      <c r="D134" s="331" t="str">
        <f>IF($H134="","",IFERROR(INDEX('Game Records'!$U:$U,$H134),""))</f>
        <v/>
      </c>
      <c r="E134" s="331" t="str">
        <f>IF($H134="","",IF($F134="","No Highlighted Fields","Highlighted Fields Present"))</f>
        <v/>
      </c>
      <c r="F134" s="331" t="str">
        <f>IF($H134="","",IF(OR(NOT(ISFORMULA(INDEX('Game Records'!$N:$N,$H134))),NOT(ISFORMULA(INDEX('Game Records'!$O:$O,$H134))),NOT(ISFORMULA(INDEX('Game Records'!$P:$P,$H134))),NOT(ISFORMULA(INDEX('Game Records'!$Q:$Q,$H134))),NOT(ISFORMULA(INDEX('Game Records'!$R:$R,$H134))),NOT(ISFORMULA(INDEX('Game Records'!$S:$S,$H134))),NOT(ISFORMULA(INDEX('Game Records'!$T:$T,$H134))),NOT(ISFORMULA(INDEX('Game Records'!$U:$U,$H134))),NOT(ISFORMULA(INDEX('Game Records'!$V:$V,$H134))),NOT(ISFORMULA(INDEX('Game Records'!$W:$W,$H134))),NOT(ISFORMULA(INDEX('Game Records'!$X:$X,$H134))),NOT(ISFORMULA(INDEX('Game Records'!$Y:$Y,$H134))),NOT(ISFORMULA(INDEX('Game Records'!$Z:$Z,$H134)))),"Formula columns missing; ","")&amp;IF(INDEX('Game Records'!$B:$B,$H134)="","Start Date; ","")&amp;IF(INDEX('Game Records'!$C:$C,$H134)="","End Date; ","")&amp;IF(AND(INDEX('Game Records'!$U:$U,$H134)&lt;&gt;"Subscription",INDEX('Game Records'!$U:$U,$H134)&lt;&gt;"Free Game",INDEX('Game Records'!$U:$U,$H134)&lt;&gt;"Disqualified — Free Game",OR(INDEX('Game Records'!$D:$D,$H134)="",LOWER(INDEX('Game Records'!$D:$D,$H134)&amp;"")="n/a")),"Entry Mode; ","")&amp;IF(AND(INDEX('Game Records'!$U:$U,$H134)&lt;&gt;"Subscription",INDEX('Game Records'!$U:$U,$H134)&lt;&gt;"Free Game",INDEX('Game Records'!$U:$U,$H134)&lt;&gt;"Disqualified — Free Game",OR(INDEX('Game Records'!$E:$E,$H134)="",LOWER(INDEX('Game Records'!$E:$E,$H134)&amp;"")="n/a")),"Game Type; ","")&amp;IF(INDEX('Game Records'!$F:$F,$H134)="","Payment Type; ","")&amp;IF(AND(INDEX('Game Records'!$U:$U,$H134)&lt;&gt;"Subscription",INDEX('Game Records'!$U:$U,$H134)&lt;&gt;"Free Game",INDEX('Game Records'!$U:$U,$H134)&lt;&gt;"Disqualified — Free Game",INDEX('Game Records'!$G:$G,$H134)=""),"Gross Pot; ","")&amp;IF(AND(INDEX('Game Records'!$U:$U,$H134)&lt;&gt;"Free Game",INDEX('Game Records'!$U:$U,$H134)&lt;&gt;"Disqualified — Free Game",INDEX('Game Records'!$H:$H,$H134)=""),"Entry Fee; ","")&amp;IF(AND(INDEX('Game Records'!$U:$U,$H134)&lt;&gt;"Subscription",INDEX('Game Records'!$U:$U,$H134)&lt;&gt;"Free Game",INDEX('Game Records'!$U:$U,$H134)&lt;&gt;"Disqualified — Free Game",INDEX('Game Records'!$I:$I,$H134)=""),"Eligible Players; ","")&amp;IF(AND(INDEX('Game Records'!$U:$U,$H134)&lt;&gt;"Subscription",INDEX('Game Records'!$U:$U,$H134)&lt;&gt;"Free Game",INDEX('Game Records'!$U:$U,$H134)&lt;&gt;"Disqualified — Free Game",INDEX('Game Records'!$J:$J,$H134)=""),"Total Players; ","")&amp;IF(AND(LOWER(INDEX('Game Records'!$D:$D,$H134)&amp;"")="finalized",LOWER(INDEX('Game Records'!$L:$L,$H134)&amp;"")&lt;&gt;"yes",INDEX('Game Records'!$U:$U,$H134)&lt;&gt;"Subscription",INDEX('Game Records'!$U:$U,$H134)&lt;&gt;"Free Game",INDEX('Game Records'!$U:$U,$H134)&lt;&gt;"Disqualified — Free Game",INDEX('Game Records'!$K:$K,$H134)=""),"Final Earned; ","")&amp;IF(AND(LOWER(INDEX('Game Records'!$D:$D,$H134)&amp;"")="finalized",INDEX('Game Records'!$U:$U,$H134)&lt;&gt;"Subscription",INDEX('Game Records'!$U:$U,$H134)&lt;&gt;"Free Game",INDEX('Game Records'!$U:$U,$H134)&lt;&gt;"Disqualified — Free Game",OR(INDEX('Game Records'!$L:$L,$H134)="",LOWER(INDEX('Game Records'!$L:$L,$H134)&amp;"")="n/a")),"Disqualified Status; ","")&amp;IF(AND(OR(LOWER(TRIM(INDEX('Game Records'!$F:$F,$H134)&amp;""))="free game",INDEX('Game Records'!$U:$U,$H134)="Free Game",INDEX('Game Records'!$U:$U,$H134)="Disqualified — Free Game"),N(INDEX('Game Records'!$H:$H,$H134))&lt;&gt;0),"Free Game has a non-zero Entry Fee. Free Game records require a $0 Entry Fee; ",""))</f>
        <v/>
      </c>
      <c r="G134" s="331" t="str">
        <f>IF($H134="","",IFERROR(INDEX('Game Records'!$M:$M,$H134),""))</f>
        <v/>
      </c>
      <c r="H134" s="104" t="str">
        <f>IF($H133="","",IFERROR(MATCH(1,INDEX((ROW('Game Records'!$U$5:$U$504)&gt;$H133)*(('Game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4" s="104"/>
      <c r="J134" s="104"/>
    </row>
    <row r="135" ht="24" hidden="0" customHeight="1">
      <c r="A135" s="332" t="str">
        <f>IF($H135="","",ROWS($A$5:A135))</f>
        <v/>
      </c>
      <c r="B135" s="332" t="str">
        <f>IF($H135="","","G-"&amp;TEXT($A135,"0000"))</f>
        <v/>
      </c>
      <c r="C135" s="331" t="str">
        <f>IF($H135="","",IFERROR(INDEX('Game Records'!$A:$A,$H135),""))</f>
        <v/>
      </c>
      <c r="D135" s="331" t="str">
        <f>IF($H135="","",IFERROR(INDEX('Game Records'!$U:$U,$H135),""))</f>
        <v/>
      </c>
      <c r="E135" s="331" t="str">
        <f>IF($H135="","",IF($F135="","No Highlighted Fields","Highlighted Fields Present"))</f>
        <v/>
      </c>
      <c r="F135" s="331" t="str">
        <f>IF($H135="","",IF(OR(NOT(ISFORMULA(INDEX('Game Records'!$N:$N,$H135))),NOT(ISFORMULA(INDEX('Game Records'!$O:$O,$H135))),NOT(ISFORMULA(INDEX('Game Records'!$P:$P,$H135))),NOT(ISFORMULA(INDEX('Game Records'!$Q:$Q,$H135))),NOT(ISFORMULA(INDEX('Game Records'!$R:$R,$H135))),NOT(ISFORMULA(INDEX('Game Records'!$S:$S,$H135))),NOT(ISFORMULA(INDEX('Game Records'!$T:$T,$H135))),NOT(ISFORMULA(INDEX('Game Records'!$U:$U,$H135))),NOT(ISFORMULA(INDEX('Game Records'!$V:$V,$H135))),NOT(ISFORMULA(INDEX('Game Records'!$W:$W,$H135))),NOT(ISFORMULA(INDEX('Game Records'!$X:$X,$H135))),NOT(ISFORMULA(INDEX('Game Records'!$Y:$Y,$H135))),NOT(ISFORMULA(INDEX('Game Records'!$Z:$Z,$H135)))),"Formula columns missing; ","")&amp;IF(INDEX('Game Records'!$B:$B,$H135)="","Start Date; ","")&amp;IF(INDEX('Game Records'!$C:$C,$H135)="","End Date; ","")&amp;IF(AND(INDEX('Game Records'!$U:$U,$H135)&lt;&gt;"Subscription",INDEX('Game Records'!$U:$U,$H135)&lt;&gt;"Free Game",INDEX('Game Records'!$U:$U,$H135)&lt;&gt;"Disqualified — Free Game",OR(INDEX('Game Records'!$D:$D,$H135)="",LOWER(INDEX('Game Records'!$D:$D,$H135)&amp;"")="n/a")),"Entry Mode; ","")&amp;IF(AND(INDEX('Game Records'!$U:$U,$H135)&lt;&gt;"Subscription",INDEX('Game Records'!$U:$U,$H135)&lt;&gt;"Free Game",INDEX('Game Records'!$U:$U,$H135)&lt;&gt;"Disqualified — Free Game",OR(INDEX('Game Records'!$E:$E,$H135)="",LOWER(INDEX('Game Records'!$E:$E,$H135)&amp;"")="n/a")),"Game Type; ","")&amp;IF(INDEX('Game Records'!$F:$F,$H135)="","Payment Type; ","")&amp;IF(AND(INDEX('Game Records'!$U:$U,$H135)&lt;&gt;"Subscription",INDEX('Game Records'!$U:$U,$H135)&lt;&gt;"Free Game",INDEX('Game Records'!$U:$U,$H135)&lt;&gt;"Disqualified — Free Game",INDEX('Game Records'!$G:$G,$H135)=""),"Gross Pot; ","")&amp;IF(AND(INDEX('Game Records'!$U:$U,$H135)&lt;&gt;"Free Game",INDEX('Game Records'!$U:$U,$H135)&lt;&gt;"Disqualified — Free Game",INDEX('Game Records'!$H:$H,$H135)=""),"Entry Fee; ","")&amp;IF(AND(INDEX('Game Records'!$U:$U,$H135)&lt;&gt;"Subscription",INDEX('Game Records'!$U:$U,$H135)&lt;&gt;"Free Game",INDEX('Game Records'!$U:$U,$H135)&lt;&gt;"Disqualified — Free Game",INDEX('Game Records'!$I:$I,$H135)=""),"Eligible Players; ","")&amp;IF(AND(INDEX('Game Records'!$U:$U,$H135)&lt;&gt;"Subscription",INDEX('Game Records'!$U:$U,$H135)&lt;&gt;"Free Game",INDEX('Game Records'!$U:$U,$H135)&lt;&gt;"Disqualified — Free Game",INDEX('Game Records'!$J:$J,$H135)=""),"Total Players; ","")&amp;IF(AND(LOWER(INDEX('Game Records'!$D:$D,$H135)&amp;"")="finalized",LOWER(INDEX('Game Records'!$L:$L,$H135)&amp;"")&lt;&gt;"yes",INDEX('Game Records'!$U:$U,$H135)&lt;&gt;"Subscription",INDEX('Game Records'!$U:$U,$H135)&lt;&gt;"Free Game",INDEX('Game Records'!$U:$U,$H135)&lt;&gt;"Disqualified — Free Game",INDEX('Game Records'!$K:$K,$H135)=""),"Final Earned; ","")&amp;IF(AND(LOWER(INDEX('Game Records'!$D:$D,$H135)&amp;"")="finalized",INDEX('Game Records'!$U:$U,$H135)&lt;&gt;"Subscription",INDEX('Game Records'!$U:$U,$H135)&lt;&gt;"Free Game",INDEX('Game Records'!$U:$U,$H135)&lt;&gt;"Disqualified — Free Game",OR(INDEX('Game Records'!$L:$L,$H135)="",LOWER(INDEX('Game Records'!$L:$L,$H135)&amp;"")="n/a")),"Disqualified Status; ","")&amp;IF(AND(OR(LOWER(TRIM(INDEX('Game Records'!$F:$F,$H135)&amp;""))="free game",INDEX('Game Records'!$U:$U,$H135)="Free Game",INDEX('Game Records'!$U:$U,$H135)="Disqualified — Free Game"),N(INDEX('Game Records'!$H:$H,$H135))&lt;&gt;0),"Free Game has a non-zero Entry Fee. Free Game records require a $0 Entry Fee; ",""))</f>
        <v/>
      </c>
      <c r="G135" s="331" t="str">
        <f>IF($H135="","",IFERROR(INDEX('Game Records'!$M:$M,$H135),""))</f>
        <v/>
      </c>
      <c r="H135" s="104" t="str">
        <f>IF($H134="","",IFERROR(MATCH(1,INDEX((ROW('Game Records'!$U$5:$U$504)&gt;$H134)*(('Game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5" s="104"/>
      <c r="J135" s="104"/>
    </row>
    <row r="136" ht="24" hidden="0" customHeight="1">
      <c r="A136" s="332" t="str">
        <f>IF($H136="","",ROWS($A$5:A136))</f>
        <v/>
      </c>
      <c r="B136" s="332" t="str">
        <f>IF($H136="","","G-"&amp;TEXT($A136,"0000"))</f>
        <v/>
      </c>
      <c r="C136" s="331" t="str">
        <f>IF($H136="","",IFERROR(INDEX('Game Records'!$A:$A,$H136),""))</f>
        <v/>
      </c>
      <c r="D136" s="331" t="str">
        <f>IF($H136="","",IFERROR(INDEX('Game Records'!$U:$U,$H136),""))</f>
        <v/>
      </c>
      <c r="E136" s="331" t="str">
        <f>IF($H136="","",IF($F136="","No Highlighted Fields","Highlighted Fields Present"))</f>
        <v/>
      </c>
      <c r="F136" s="331" t="str">
        <f>IF($H136="","",IF(OR(NOT(ISFORMULA(INDEX('Game Records'!$N:$N,$H136))),NOT(ISFORMULA(INDEX('Game Records'!$O:$O,$H136))),NOT(ISFORMULA(INDEX('Game Records'!$P:$P,$H136))),NOT(ISFORMULA(INDEX('Game Records'!$Q:$Q,$H136))),NOT(ISFORMULA(INDEX('Game Records'!$R:$R,$H136))),NOT(ISFORMULA(INDEX('Game Records'!$S:$S,$H136))),NOT(ISFORMULA(INDEX('Game Records'!$T:$T,$H136))),NOT(ISFORMULA(INDEX('Game Records'!$U:$U,$H136))),NOT(ISFORMULA(INDEX('Game Records'!$V:$V,$H136))),NOT(ISFORMULA(INDEX('Game Records'!$W:$W,$H136))),NOT(ISFORMULA(INDEX('Game Records'!$X:$X,$H136))),NOT(ISFORMULA(INDEX('Game Records'!$Y:$Y,$H136))),NOT(ISFORMULA(INDEX('Game Records'!$Z:$Z,$H136)))),"Formula columns missing; ","")&amp;IF(INDEX('Game Records'!$B:$B,$H136)="","Start Date; ","")&amp;IF(INDEX('Game Records'!$C:$C,$H136)="","End Date; ","")&amp;IF(AND(INDEX('Game Records'!$U:$U,$H136)&lt;&gt;"Subscription",INDEX('Game Records'!$U:$U,$H136)&lt;&gt;"Free Game",INDEX('Game Records'!$U:$U,$H136)&lt;&gt;"Disqualified — Free Game",OR(INDEX('Game Records'!$D:$D,$H136)="",LOWER(INDEX('Game Records'!$D:$D,$H136)&amp;"")="n/a")),"Entry Mode; ","")&amp;IF(AND(INDEX('Game Records'!$U:$U,$H136)&lt;&gt;"Subscription",INDEX('Game Records'!$U:$U,$H136)&lt;&gt;"Free Game",INDEX('Game Records'!$U:$U,$H136)&lt;&gt;"Disqualified — Free Game",OR(INDEX('Game Records'!$E:$E,$H136)="",LOWER(INDEX('Game Records'!$E:$E,$H136)&amp;"")="n/a")),"Game Type; ","")&amp;IF(INDEX('Game Records'!$F:$F,$H136)="","Payment Type; ","")&amp;IF(AND(INDEX('Game Records'!$U:$U,$H136)&lt;&gt;"Subscription",INDEX('Game Records'!$U:$U,$H136)&lt;&gt;"Free Game",INDEX('Game Records'!$U:$U,$H136)&lt;&gt;"Disqualified — Free Game",INDEX('Game Records'!$G:$G,$H136)=""),"Gross Pot; ","")&amp;IF(AND(INDEX('Game Records'!$U:$U,$H136)&lt;&gt;"Free Game",INDEX('Game Records'!$U:$U,$H136)&lt;&gt;"Disqualified — Free Game",INDEX('Game Records'!$H:$H,$H136)=""),"Entry Fee; ","")&amp;IF(AND(INDEX('Game Records'!$U:$U,$H136)&lt;&gt;"Subscription",INDEX('Game Records'!$U:$U,$H136)&lt;&gt;"Free Game",INDEX('Game Records'!$U:$U,$H136)&lt;&gt;"Disqualified — Free Game",INDEX('Game Records'!$I:$I,$H136)=""),"Eligible Players; ","")&amp;IF(AND(INDEX('Game Records'!$U:$U,$H136)&lt;&gt;"Subscription",INDEX('Game Records'!$U:$U,$H136)&lt;&gt;"Free Game",INDEX('Game Records'!$U:$U,$H136)&lt;&gt;"Disqualified — Free Game",INDEX('Game Records'!$J:$J,$H136)=""),"Total Players; ","")&amp;IF(AND(LOWER(INDEX('Game Records'!$D:$D,$H136)&amp;"")="finalized",LOWER(INDEX('Game Records'!$L:$L,$H136)&amp;"")&lt;&gt;"yes",INDEX('Game Records'!$U:$U,$H136)&lt;&gt;"Subscription",INDEX('Game Records'!$U:$U,$H136)&lt;&gt;"Free Game",INDEX('Game Records'!$U:$U,$H136)&lt;&gt;"Disqualified — Free Game",INDEX('Game Records'!$K:$K,$H136)=""),"Final Earned; ","")&amp;IF(AND(LOWER(INDEX('Game Records'!$D:$D,$H136)&amp;"")="finalized",INDEX('Game Records'!$U:$U,$H136)&lt;&gt;"Subscription",INDEX('Game Records'!$U:$U,$H136)&lt;&gt;"Free Game",INDEX('Game Records'!$U:$U,$H136)&lt;&gt;"Disqualified — Free Game",OR(INDEX('Game Records'!$L:$L,$H136)="",LOWER(INDEX('Game Records'!$L:$L,$H136)&amp;"")="n/a")),"Disqualified Status; ","")&amp;IF(AND(OR(LOWER(TRIM(INDEX('Game Records'!$F:$F,$H136)&amp;""))="free game",INDEX('Game Records'!$U:$U,$H136)="Free Game",INDEX('Game Records'!$U:$U,$H136)="Disqualified — Free Game"),N(INDEX('Game Records'!$H:$H,$H136))&lt;&gt;0),"Free Game has a non-zero Entry Fee. Free Game records require a $0 Entry Fee; ",""))</f>
        <v/>
      </c>
      <c r="G136" s="331" t="str">
        <f>IF($H136="","",IFERROR(INDEX('Game Records'!$M:$M,$H136),""))</f>
        <v/>
      </c>
      <c r="H136" s="104" t="str">
        <f>IF($H135="","",IFERROR(MATCH(1,INDEX((ROW('Game Records'!$U$5:$U$504)&gt;$H135)*(('Game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6" s="104"/>
      <c r="J136" s="104"/>
    </row>
    <row r="137" ht="24" hidden="0" customHeight="1">
      <c r="A137" s="332" t="str">
        <f>IF($H137="","",ROWS($A$5:A137))</f>
        <v/>
      </c>
      <c r="B137" s="332" t="str">
        <f>IF($H137="","","G-"&amp;TEXT($A137,"0000"))</f>
        <v/>
      </c>
      <c r="C137" s="331" t="str">
        <f>IF($H137="","",IFERROR(INDEX('Game Records'!$A:$A,$H137),""))</f>
        <v/>
      </c>
      <c r="D137" s="331" t="str">
        <f>IF($H137="","",IFERROR(INDEX('Game Records'!$U:$U,$H137),""))</f>
        <v/>
      </c>
      <c r="E137" s="331" t="str">
        <f>IF($H137="","",IF($F137="","No Highlighted Fields","Highlighted Fields Present"))</f>
        <v/>
      </c>
      <c r="F137" s="331" t="str">
        <f>IF($H137="","",IF(OR(NOT(ISFORMULA(INDEX('Game Records'!$N:$N,$H137))),NOT(ISFORMULA(INDEX('Game Records'!$O:$O,$H137))),NOT(ISFORMULA(INDEX('Game Records'!$P:$P,$H137))),NOT(ISFORMULA(INDEX('Game Records'!$Q:$Q,$H137))),NOT(ISFORMULA(INDEX('Game Records'!$R:$R,$H137))),NOT(ISFORMULA(INDEX('Game Records'!$S:$S,$H137))),NOT(ISFORMULA(INDEX('Game Records'!$T:$T,$H137))),NOT(ISFORMULA(INDEX('Game Records'!$U:$U,$H137))),NOT(ISFORMULA(INDEX('Game Records'!$V:$V,$H137))),NOT(ISFORMULA(INDEX('Game Records'!$W:$W,$H137))),NOT(ISFORMULA(INDEX('Game Records'!$X:$X,$H137))),NOT(ISFORMULA(INDEX('Game Records'!$Y:$Y,$H137))),NOT(ISFORMULA(INDEX('Game Records'!$Z:$Z,$H137)))),"Formula columns missing; ","")&amp;IF(INDEX('Game Records'!$B:$B,$H137)="","Start Date; ","")&amp;IF(INDEX('Game Records'!$C:$C,$H137)="","End Date; ","")&amp;IF(AND(INDEX('Game Records'!$U:$U,$H137)&lt;&gt;"Subscription",INDEX('Game Records'!$U:$U,$H137)&lt;&gt;"Free Game",INDEX('Game Records'!$U:$U,$H137)&lt;&gt;"Disqualified — Free Game",OR(INDEX('Game Records'!$D:$D,$H137)="",LOWER(INDEX('Game Records'!$D:$D,$H137)&amp;"")="n/a")),"Entry Mode; ","")&amp;IF(AND(INDEX('Game Records'!$U:$U,$H137)&lt;&gt;"Subscription",INDEX('Game Records'!$U:$U,$H137)&lt;&gt;"Free Game",INDEX('Game Records'!$U:$U,$H137)&lt;&gt;"Disqualified — Free Game",OR(INDEX('Game Records'!$E:$E,$H137)="",LOWER(INDEX('Game Records'!$E:$E,$H137)&amp;"")="n/a")),"Game Type; ","")&amp;IF(INDEX('Game Records'!$F:$F,$H137)="","Payment Type; ","")&amp;IF(AND(INDEX('Game Records'!$U:$U,$H137)&lt;&gt;"Subscription",INDEX('Game Records'!$U:$U,$H137)&lt;&gt;"Free Game",INDEX('Game Records'!$U:$U,$H137)&lt;&gt;"Disqualified — Free Game",INDEX('Game Records'!$G:$G,$H137)=""),"Gross Pot; ","")&amp;IF(AND(INDEX('Game Records'!$U:$U,$H137)&lt;&gt;"Free Game",INDEX('Game Records'!$U:$U,$H137)&lt;&gt;"Disqualified — Free Game",INDEX('Game Records'!$H:$H,$H137)=""),"Entry Fee; ","")&amp;IF(AND(INDEX('Game Records'!$U:$U,$H137)&lt;&gt;"Subscription",INDEX('Game Records'!$U:$U,$H137)&lt;&gt;"Free Game",INDEX('Game Records'!$U:$U,$H137)&lt;&gt;"Disqualified — Free Game",INDEX('Game Records'!$I:$I,$H137)=""),"Eligible Players; ","")&amp;IF(AND(INDEX('Game Records'!$U:$U,$H137)&lt;&gt;"Subscription",INDEX('Game Records'!$U:$U,$H137)&lt;&gt;"Free Game",INDEX('Game Records'!$U:$U,$H137)&lt;&gt;"Disqualified — Free Game",INDEX('Game Records'!$J:$J,$H137)=""),"Total Players; ","")&amp;IF(AND(LOWER(INDEX('Game Records'!$D:$D,$H137)&amp;"")="finalized",LOWER(INDEX('Game Records'!$L:$L,$H137)&amp;"")&lt;&gt;"yes",INDEX('Game Records'!$U:$U,$H137)&lt;&gt;"Subscription",INDEX('Game Records'!$U:$U,$H137)&lt;&gt;"Free Game",INDEX('Game Records'!$U:$U,$H137)&lt;&gt;"Disqualified — Free Game",INDEX('Game Records'!$K:$K,$H137)=""),"Final Earned; ","")&amp;IF(AND(LOWER(INDEX('Game Records'!$D:$D,$H137)&amp;"")="finalized",INDEX('Game Records'!$U:$U,$H137)&lt;&gt;"Subscription",INDEX('Game Records'!$U:$U,$H137)&lt;&gt;"Free Game",INDEX('Game Records'!$U:$U,$H137)&lt;&gt;"Disqualified — Free Game",OR(INDEX('Game Records'!$L:$L,$H137)="",LOWER(INDEX('Game Records'!$L:$L,$H137)&amp;"")="n/a")),"Disqualified Status; ","")&amp;IF(AND(OR(LOWER(TRIM(INDEX('Game Records'!$F:$F,$H137)&amp;""))="free game",INDEX('Game Records'!$U:$U,$H137)="Free Game",INDEX('Game Records'!$U:$U,$H137)="Disqualified — Free Game"),N(INDEX('Game Records'!$H:$H,$H137))&lt;&gt;0),"Free Game has a non-zero Entry Fee. Free Game records require a $0 Entry Fee; ",""))</f>
        <v/>
      </c>
      <c r="G137" s="331" t="str">
        <f>IF($H137="","",IFERROR(INDEX('Game Records'!$M:$M,$H137),""))</f>
        <v/>
      </c>
      <c r="H137" s="104" t="str">
        <f>IF($H136="","",IFERROR(MATCH(1,INDEX((ROW('Game Records'!$U$5:$U$504)&gt;$H136)*(('Game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7" s="104"/>
      <c r="J137" s="104"/>
    </row>
    <row r="138" ht="24" hidden="0" customHeight="1">
      <c r="A138" s="332" t="str">
        <f>IF($H138="","",ROWS($A$5:A138))</f>
        <v/>
      </c>
      <c r="B138" s="332" t="str">
        <f>IF($H138="","","G-"&amp;TEXT($A138,"0000"))</f>
        <v/>
      </c>
      <c r="C138" s="331" t="str">
        <f>IF($H138="","",IFERROR(INDEX('Game Records'!$A:$A,$H138),""))</f>
        <v/>
      </c>
      <c r="D138" s="331" t="str">
        <f>IF($H138="","",IFERROR(INDEX('Game Records'!$U:$U,$H138),""))</f>
        <v/>
      </c>
      <c r="E138" s="331" t="str">
        <f>IF($H138="","",IF($F138="","No Highlighted Fields","Highlighted Fields Present"))</f>
        <v/>
      </c>
      <c r="F138" s="331" t="str">
        <f>IF($H138="","",IF(OR(NOT(ISFORMULA(INDEX('Game Records'!$N:$N,$H138))),NOT(ISFORMULA(INDEX('Game Records'!$O:$O,$H138))),NOT(ISFORMULA(INDEX('Game Records'!$P:$P,$H138))),NOT(ISFORMULA(INDEX('Game Records'!$Q:$Q,$H138))),NOT(ISFORMULA(INDEX('Game Records'!$R:$R,$H138))),NOT(ISFORMULA(INDEX('Game Records'!$S:$S,$H138))),NOT(ISFORMULA(INDEX('Game Records'!$T:$T,$H138))),NOT(ISFORMULA(INDEX('Game Records'!$U:$U,$H138))),NOT(ISFORMULA(INDEX('Game Records'!$V:$V,$H138))),NOT(ISFORMULA(INDEX('Game Records'!$W:$W,$H138))),NOT(ISFORMULA(INDEX('Game Records'!$X:$X,$H138))),NOT(ISFORMULA(INDEX('Game Records'!$Y:$Y,$H138))),NOT(ISFORMULA(INDEX('Game Records'!$Z:$Z,$H138)))),"Formula columns missing; ","")&amp;IF(INDEX('Game Records'!$B:$B,$H138)="","Start Date; ","")&amp;IF(INDEX('Game Records'!$C:$C,$H138)="","End Date; ","")&amp;IF(AND(INDEX('Game Records'!$U:$U,$H138)&lt;&gt;"Subscription",INDEX('Game Records'!$U:$U,$H138)&lt;&gt;"Free Game",INDEX('Game Records'!$U:$U,$H138)&lt;&gt;"Disqualified — Free Game",OR(INDEX('Game Records'!$D:$D,$H138)="",LOWER(INDEX('Game Records'!$D:$D,$H138)&amp;"")="n/a")),"Entry Mode; ","")&amp;IF(AND(INDEX('Game Records'!$U:$U,$H138)&lt;&gt;"Subscription",INDEX('Game Records'!$U:$U,$H138)&lt;&gt;"Free Game",INDEX('Game Records'!$U:$U,$H138)&lt;&gt;"Disqualified — Free Game",OR(INDEX('Game Records'!$E:$E,$H138)="",LOWER(INDEX('Game Records'!$E:$E,$H138)&amp;"")="n/a")),"Game Type; ","")&amp;IF(INDEX('Game Records'!$F:$F,$H138)="","Payment Type; ","")&amp;IF(AND(INDEX('Game Records'!$U:$U,$H138)&lt;&gt;"Subscription",INDEX('Game Records'!$U:$U,$H138)&lt;&gt;"Free Game",INDEX('Game Records'!$U:$U,$H138)&lt;&gt;"Disqualified — Free Game",INDEX('Game Records'!$G:$G,$H138)=""),"Gross Pot; ","")&amp;IF(AND(INDEX('Game Records'!$U:$U,$H138)&lt;&gt;"Free Game",INDEX('Game Records'!$U:$U,$H138)&lt;&gt;"Disqualified — Free Game",INDEX('Game Records'!$H:$H,$H138)=""),"Entry Fee; ","")&amp;IF(AND(INDEX('Game Records'!$U:$U,$H138)&lt;&gt;"Subscription",INDEX('Game Records'!$U:$U,$H138)&lt;&gt;"Free Game",INDEX('Game Records'!$U:$U,$H138)&lt;&gt;"Disqualified — Free Game",INDEX('Game Records'!$I:$I,$H138)=""),"Eligible Players; ","")&amp;IF(AND(INDEX('Game Records'!$U:$U,$H138)&lt;&gt;"Subscription",INDEX('Game Records'!$U:$U,$H138)&lt;&gt;"Free Game",INDEX('Game Records'!$U:$U,$H138)&lt;&gt;"Disqualified — Free Game",INDEX('Game Records'!$J:$J,$H138)=""),"Total Players; ","")&amp;IF(AND(LOWER(INDEX('Game Records'!$D:$D,$H138)&amp;"")="finalized",LOWER(INDEX('Game Records'!$L:$L,$H138)&amp;"")&lt;&gt;"yes",INDEX('Game Records'!$U:$U,$H138)&lt;&gt;"Subscription",INDEX('Game Records'!$U:$U,$H138)&lt;&gt;"Free Game",INDEX('Game Records'!$U:$U,$H138)&lt;&gt;"Disqualified — Free Game",INDEX('Game Records'!$K:$K,$H138)=""),"Final Earned; ","")&amp;IF(AND(LOWER(INDEX('Game Records'!$D:$D,$H138)&amp;"")="finalized",INDEX('Game Records'!$U:$U,$H138)&lt;&gt;"Subscription",INDEX('Game Records'!$U:$U,$H138)&lt;&gt;"Free Game",INDEX('Game Records'!$U:$U,$H138)&lt;&gt;"Disqualified — Free Game",OR(INDEX('Game Records'!$L:$L,$H138)="",LOWER(INDEX('Game Records'!$L:$L,$H138)&amp;"")="n/a")),"Disqualified Status; ","")&amp;IF(AND(OR(LOWER(TRIM(INDEX('Game Records'!$F:$F,$H138)&amp;""))="free game",INDEX('Game Records'!$U:$U,$H138)="Free Game",INDEX('Game Records'!$U:$U,$H138)="Disqualified — Free Game"),N(INDEX('Game Records'!$H:$H,$H138))&lt;&gt;0),"Free Game has a non-zero Entry Fee. Free Game records require a $0 Entry Fee; ",""))</f>
        <v/>
      </c>
      <c r="G138" s="331" t="str">
        <f>IF($H138="","",IFERROR(INDEX('Game Records'!$M:$M,$H138),""))</f>
        <v/>
      </c>
      <c r="H138" s="104" t="str">
        <f>IF($H137="","",IFERROR(MATCH(1,INDEX((ROW('Game Records'!$U$5:$U$504)&gt;$H137)*(('Game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8" s="104"/>
      <c r="J138" s="104"/>
    </row>
    <row r="139" ht="24" hidden="0" customHeight="1">
      <c r="A139" s="332" t="str">
        <f>IF($H139="","",ROWS($A$5:A139))</f>
        <v/>
      </c>
      <c r="B139" s="332" t="str">
        <f>IF($H139="","","G-"&amp;TEXT($A139,"0000"))</f>
        <v/>
      </c>
      <c r="C139" s="331" t="str">
        <f>IF($H139="","",IFERROR(INDEX('Game Records'!$A:$A,$H139),""))</f>
        <v/>
      </c>
      <c r="D139" s="331" t="str">
        <f>IF($H139="","",IFERROR(INDEX('Game Records'!$U:$U,$H139),""))</f>
        <v/>
      </c>
      <c r="E139" s="331" t="str">
        <f>IF($H139="","",IF($F139="","No Highlighted Fields","Highlighted Fields Present"))</f>
        <v/>
      </c>
      <c r="F139" s="331" t="str">
        <f>IF($H139="","",IF(OR(NOT(ISFORMULA(INDEX('Game Records'!$N:$N,$H139))),NOT(ISFORMULA(INDEX('Game Records'!$O:$O,$H139))),NOT(ISFORMULA(INDEX('Game Records'!$P:$P,$H139))),NOT(ISFORMULA(INDEX('Game Records'!$Q:$Q,$H139))),NOT(ISFORMULA(INDEX('Game Records'!$R:$R,$H139))),NOT(ISFORMULA(INDEX('Game Records'!$S:$S,$H139))),NOT(ISFORMULA(INDEX('Game Records'!$T:$T,$H139))),NOT(ISFORMULA(INDEX('Game Records'!$U:$U,$H139))),NOT(ISFORMULA(INDEX('Game Records'!$V:$V,$H139))),NOT(ISFORMULA(INDEX('Game Records'!$W:$W,$H139))),NOT(ISFORMULA(INDEX('Game Records'!$X:$X,$H139))),NOT(ISFORMULA(INDEX('Game Records'!$Y:$Y,$H139))),NOT(ISFORMULA(INDEX('Game Records'!$Z:$Z,$H139)))),"Formula columns missing; ","")&amp;IF(INDEX('Game Records'!$B:$B,$H139)="","Start Date; ","")&amp;IF(INDEX('Game Records'!$C:$C,$H139)="","End Date; ","")&amp;IF(AND(INDEX('Game Records'!$U:$U,$H139)&lt;&gt;"Subscription",INDEX('Game Records'!$U:$U,$H139)&lt;&gt;"Free Game",INDEX('Game Records'!$U:$U,$H139)&lt;&gt;"Disqualified — Free Game",OR(INDEX('Game Records'!$D:$D,$H139)="",LOWER(INDEX('Game Records'!$D:$D,$H139)&amp;"")="n/a")),"Entry Mode; ","")&amp;IF(AND(INDEX('Game Records'!$U:$U,$H139)&lt;&gt;"Subscription",INDEX('Game Records'!$U:$U,$H139)&lt;&gt;"Free Game",INDEX('Game Records'!$U:$U,$H139)&lt;&gt;"Disqualified — Free Game",OR(INDEX('Game Records'!$E:$E,$H139)="",LOWER(INDEX('Game Records'!$E:$E,$H139)&amp;"")="n/a")),"Game Type; ","")&amp;IF(INDEX('Game Records'!$F:$F,$H139)="","Payment Type; ","")&amp;IF(AND(INDEX('Game Records'!$U:$U,$H139)&lt;&gt;"Subscription",INDEX('Game Records'!$U:$U,$H139)&lt;&gt;"Free Game",INDEX('Game Records'!$U:$U,$H139)&lt;&gt;"Disqualified — Free Game",INDEX('Game Records'!$G:$G,$H139)=""),"Gross Pot; ","")&amp;IF(AND(INDEX('Game Records'!$U:$U,$H139)&lt;&gt;"Free Game",INDEX('Game Records'!$U:$U,$H139)&lt;&gt;"Disqualified — Free Game",INDEX('Game Records'!$H:$H,$H139)=""),"Entry Fee; ","")&amp;IF(AND(INDEX('Game Records'!$U:$U,$H139)&lt;&gt;"Subscription",INDEX('Game Records'!$U:$U,$H139)&lt;&gt;"Free Game",INDEX('Game Records'!$U:$U,$H139)&lt;&gt;"Disqualified — Free Game",INDEX('Game Records'!$I:$I,$H139)=""),"Eligible Players; ","")&amp;IF(AND(INDEX('Game Records'!$U:$U,$H139)&lt;&gt;"Subscription",INDEX('Game Records'!$U:$U,$H139)&lt;&gt;"Free Game",INDEX('Game Records'!$U:$U,$H139)&lt;&gt;"Disqualified — Free Game",INDEX('Game Records'!$J:$J,$H139)=""),"Total Players; ","")&amp;IF(AND(LOWER(INDEX('Game Records'!$D:$D,$H139)&amp;"")="finalized",LOWER(INDEX('Game Records'!$L:$L,$H139)&amp;"")&lt;&gt;"yes",INDEX('Game Records'!$U:$U,$H139)&lt;&gt;"Subscription",INDEX('Game Records'!$U:$U,$H139)&lt;&gt;"Free Game",INDEX('Game Records'!$U:$U,$H139)&lt;&gt;"Disqualified — Free Game",INDEX('Game Records'!$K:$K,$H139)=""),"Final Earned; ","")&amp;IF(AND(LOWER(INDEX('Game Records'!$D:$D,$H139)&amp;"")="finalized",INDEX('Game Records'!$U:$U,$H139)&lt;&gt;"Subscription",INDEX('Game Records'!$U:$U,$H139)&lt;&gt;"Free Game",INDEX('Game Records'!$U:$U,$H139)&lt;&gt;"Disqualified — Free Game",OR(INDEX('Game Records'!$L:$L,$H139)="",LOWER(INDEX('Game Records'!$L:$L,$H139)&amp;"")="n/a")),"Disqualified Status; ","")&amp;IF(AND(OR(LOWER(TRIM(INDEX('Game Records'!$F:$F,$H139)&amp;""))="free game",INDEX('Game Records'!$U:$U,$H139)="Free Game",INDEX('Game Records'!$U:$U,$H139)="Disqualified — Free Game"),N(INDEX('Game Records'!$H:$H,$H139))&lt;&gt;0),"Free Game has a non-zero Entry Fee. Free Game records require a $0 Entry Fee; ",""))</f>
        <v/>
      </c>
      <c r="G139" s="331" t="str">
        <f>IF($H139="","",IFERROR(INDEX('Game Records'!$M:$M,$H139),""))</f>
        <v/>
      </c>
      <c r="H139" s="104" t="str">
        <f>IF($H138="","",IFERROR(MATCH(1,INDEX((ROW('Game Records'!$U$5:$U$504)&gt;$H138)*(('Game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9" s="104"/>
      <c r="J139" s="104"/>
    </row>
    <row r="140" ht="24" hidden="0" customHeight="1">
      <c r="A140" s="332" t="str">
        <f>IF($H140="","",ROWS($A$5:A140))</f>
        <v/>
      </c>
      <c r="B140" s="332" t="str">
        <f>IF($H140="","","G-"&amp;TEXT($A140,"0000"))</f>
        <v/>
      </c>
      <c r="C140" s="331" t="str">
        <f>IF($H140="","",IFERROR(INDEX('Game Records'!$A:$A,$H140),""))</f>
        <v/>
      </c>
      <c r="D140" s="331" t="str">
        <f>IF($H140="","",IFERROR(INDEX('Game Records'!$U:$U,$H140),""))</f>
        <v/>
      </c>
      <c r="E140" s="331" t="str">
        <f>IF($H140="","",IF($F140="","No Highlighted Fields","Highlighted Fields Present"))</f>
        <v/>
      </c>
      <c r="F140" s="331" t="str">
        <f>IF($H140="","",IF(OR(NOT(ISFORMULA(INDEX('Game Records'!$N:$N,$H140))),NOT(ISFORMULA(INDEX('Game Records'!$O:$O,$H140))),NOT(ISFORMULA(INDEX('Game Records'!$P:$P,$H140))),NOT(ISFORMULA(INDEX('Game Records'!$Q:$Q,$H140))),NOT(ISFORMULA(INDEX('Game Records'!$R:$R,$H140))),NOT(ISFORMULA(INDEX('Game Records'!$S:$S,$H140))),NOT(ISFORMULA(INDEX('Game Records'!$T:$T,$H140))),NOT(ISFORMULA(INDEX('Game Records'!$U:$U,$H140))),NOT(ISFORMULA(INDEX('Game Records'!$V:$V,$H140))),NOT(ISFORMULA(INDEX('Game Records'!$W:$W,$H140))),NOT(ISFORMULA(INDEX('Game Records'!$X:$X,$H140))),NOT(ISFORMULA(INDEX('Game Records'!$Y:$Y,$H140))),NOT(ISFORMULA(INDEX('Game Records'!$Z:$Z,$H140)))),"Formula columns missing; ","")&amp;IF(INDEX('Game Records'!$B:$B,$H140)="","Start Date; ","")&amp;IF(INDEX('Game Records'!$C:$C,$H140)="","End Date; ","")&amp;IF(AND(INDEX('Game Records'!$U:$U,$H140)&lt;&gt;"Subscription",INDEX('Game Records'!$U:$U,$H140)&lt;&gt;"Free Game",INDEX('Game Records'!$U:$U,$H140)&lt;&gt;"Disqualified — Free Game",OR(INDEX('Game Records'!$D:$D,$H140)="",LOWER(INDEX('Game Records'!$D:$D,$H140)&amp;"")="n/a")),"Entry Mode; ","")&amp;IF(AND(INDEX('Game Records'!$U:$U,$H140)&lt;&gt;"Subscription",INDEX('Game Records'!$U:$U,$H140)&lt;&gt;"Free Game",INDEX('Game Records'!$U:$U,$H140)&lt;&gt;"Disqualified — Free Game",OR(INDEX('Game Records'!$E:$E,$H140)="",LOWER(INDEX('Game Records'!$E:$E,$H140)&amp;"")="n/a")),"Game Type; ","")&amp;IF(INDEX('Game Records'!$F:$F,$H140)="","Payment Type; ","")&amp;IF(AND(INDEX('Game Records'!$U:$U,$H140)&lt;&gt;"Subscription",INDEX('Game Records'!$U:$U,$H140)&lt;&gt;"Free Game",INDEX('Game Records'!$U:$U,$H140)&lt;&gt;"Disqualified — Free Game",INDEX('Game Records'!$G:$G,$H140)=""),"Gross Pot; ","")&amp;IF(AND(INDEX('Game Records'!$U:$U,$H140)&lt;&gt;"Free Game",INDEX('Game Records'!$U:$U,$H140)&lt;&gt;"Disqualified — Free Game",INDEX('Game Records'!$H:$H,$H140)=""),"Entry Fee; ","")&amp;IF(AND(INDEX('Game Records'!$U:$U,$H140)&lt;&gt;"Subscription",INDEX('Game Records'!$U:$U,$H140)&lt;&gt;"Free Game",INDEX('Game Records'!$U:$U,$H140)&lt;&gt;"Disqualified — Free Game",INDEX('Game Records'!$I:$I,$H140)=""),"Eligible Players; ","")&amp;IF(AND(INDEX('Game Records'!$U:$U,$H140)&lt;&gt;"Subscription",INDEX('Game Records'!$U:$U,$H140)&lt;&gt;"Free Game",INDEX('Game Records'!$U:$U,$H140)&lt;&gt;"Disqualified — Free Game",INDEX('Game Records'!$J:$J,$H140)=""),"Total Players; ","")&amp;IF(AND(LOWER(INDEX('Game Records'!$D:$D,$H140)&amp;"")="finalized",LOWER(INDEX('Game Records'!$L:$L,$H140)&amp;"")&lt;&gt;"yes",INDEX('Game Records'!$U:$U,$H140)&lt;&gt;"Subscription",INDEX('Game Records'!$U:$U,$H140)&lt;&gt;"Free Game",INDEX('Game Records'!$U:$U,$H140)&lt;&gt;"Disqualified — Free Game",INDEX('Game Records'!$K:$K,$H140)=""),"Final Earned; ","")&amp;IF(AND(LOWER(INDEX('Game Records'!$D:$D,$H140)&amp;"")="finalized",INDEX('Game Records'!$U:$U,$H140)&lt;&gt;"Subscription",INDEX('Game Records'!$U:$U,$H140)&lt;&gt;"Free Game",INDEX('Game Records'!$U:$U,$H140)&lt;&gt;"Disqualified — Free Game",OR(INDEX('Game Records'!$L:$L,$H140)="",LOWER(INDEX('Game Records'!$L:$L,$H140)&amp;"")="n/a")),"Disqualified Status; ","")&amp;IF(AND(OR(LOWER(TRIM(INDEX('Game Records'!$F:$F,$H140)&amp;""))="free game",INDEX('Game Records'!$U:$U,$H140)="Free Game",INDEX('Game Records'!$U:$U,$H140)="Disqualified — Free Game"),N(INDEX('Game Records'!$H:$H,$H140))&lt;&gt;0),"Free Game has a non-zero Entry Fee. Free Game records require a $0 Entry Fee; ",""))</f>
        <v/>
      </c>
      <c r="G140" s="331" t="str">
        <f>IF($H140="","",IFERROR(INDEX('Game Records'!$M:$M,$H140),""))</f>
        <v/>
      </c>
      <c r="H140" s="104" t="str">
        <f>IF($H139="","",IFERROR(MATCH(1,INDEX((ROW('Game Records'!$U$5:$U$504)&gt;$H139)*(('Game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0" s="104"/>
      <c r="J140" s="104"/>
    </row>
    <row r="141" ht="24" hidden="0" customHeight="1">
      <c r="A141" s="332" t="str">
        <f>IF($H141="","",ROWS($A$5:A141))</f>
        <v/>
      </c>
      <c r="B141" s="332" t="str">
        <f>IF($H141="","","G-"&amp;TEXT($A141,"0000"))</f>
        <v/>
      </c>
      <c r="C141" s="331" t="str">
        <f>IF($H141="","",IFERROR(INDEX('Game Records'!$A:$A,$H141),""))</f>
        <v/>
      </c>
      <c r="D141" s="331" t="str">
        <f>IF($H141="","",IFERROR(INDEX('Game Records'!$U:$U,$H141),""))</f>
        <v/>
      </c>
      <c r="E141" s="331" t="str">
        <f>IF($H141="","",IF($F141="","No Highlighted Fields","Highlighted Fields Present"))</f>
        <v/>
      </c>
      <c r="F141" s="331" t="str">
        <f>IF($H141="","",IF(OR(NOT(ISFORMULA(INDEX('Game Records'!$N:$N,$H141))),NOT(ISFORMULA(INDEX('Game Records'!$O:$O,$H141))),NOT(ISFORMULA(INDEX('Game Records'!$P:$P,$H141))),NOT(ISFORMULA(INDEX('Game Records'!$Q:$Q,$H141))),NOT(ISFORMULA(INDEX('Game Records'!$R:$R,$H141))),NOT(ISFORMULA(INDEX('Game Records'!$S:$S,$H141))),NOT(ISFORMULA(INDEX('Game Records'!$T:$T,$H141))),NOT(ISFORMULA(INDEX('Game Records'!$U:$U,$H141))),NOT(ISFORMULA(INDEX('Game Records'!$V:$V,$H141))),NOT(ISFORMULA(INDEX('Game Records'!$W:$W,$H141))),NOT(ISFORMULA(INDEX('Game Records'!$X:$X,$H141))),NOT(ISFORMULA(INDEX('Game Records'!$Y:$Y,$H141))),NOT(ISFORMULA(INDEX('Game Records'!$Z:$Z,$H141)))),"Formula columns missing; ","")&amp;IF(INDEX('Game Records'!$B:$B,$H141)="","Start Date; ","")&amp;IF(INDEX('Game Records'!$C:$C,$H141)="","End Date; ","")&amp;IF(AND(INDEX('Game Records'!$U:$U,$H141)&lt;&gt;"Subscription",INDEX('Game Records'!$U:$U,$H141)&lt;&gt;"Free Game",INDEX('Game Records'!$U:$U,$H141)&lt;&gt;"Disqualified — Free Game",OR(INDEX('Game Records'!$D:$D,$H141)="",LOWER(INDEX('Game Records'!$D:$D,$H141)&amp;"")="n/a")),"Entry Mode; ","")&amp;IF(AND(INDEX('Game Records'!$U:$U,$H141)&lt;&gt;"Subscription",INDEX('Game Records'!$U:$U,$H141)&lt;&gt;"Free Game",INDEX('Game Records'!$U:$U,$H141)&lt;&gt;"Disqualified — Free Game",OR(INDEX('Game Records'!$E:$E,$H141)="",LOWER(INDEX('Game Records'!$E:$E,$H141)&amp;"")="n/a")),"Game Type; ","")&amp;IF(INDEX('Game Records'!$F:$F,$H141)="","Payment Type; ","")&amp;IF(AND(INDEX('Game Records'!$U:$U,$H141)&lt;&gt;"Subscription",INDEX('Game Records'!$U:$U,$H141)&lt;&gt;"Free Game",INDEX('Game Records'!$U:$U,$H141)&lt;&gt;"Disqualified — Free Game",INDEX('Game Records'!$G:$G,$H141)=""),"Gross Pot; ","")&amp;IF(AND(INDEX('Game Records'!$U:$U,$H141)&lt;&gt;"Free Game",INDEX('Game Records'!$U:$U,$H141)&lt;&gt;"Disqualified — Free Game",INDEX('Game Records'!$H:$H,$H141)=""),"Entry Fee; ","")&amp;IF(AND(INDEX('Game Records'!$U:$U,$H141)&lt;&gt;"Subscription",INDEX('Game Records'!$U:$U,$H141)&lt;&gt;"Free Game",INDEX('Game Records'!$U:$U,$H141)&lt;&gt;"Disqualified — Free Game",INDEX('Game Records'!$I:$I,$H141)=""),"Eligible Players; ","")&amp;IF(AND(INDEX('Game Records'!$U:$U,$H141)&lt;&gt;"Subscription",INDEX('Game Records'!$U:$U,$H141)&lt;&gt;"Free Game",INDEX('Game Records'!$U:$U,$H141)&lt;&gt;"Disqualified — Free Game",INDEX('Game Records'!$J:$J,$H141)=""),"Total Players; ","")&amp;IF(AND(LOWER(INDEX('Game Records'!$D:$D,$H141)&amp;"")="finalized",LOWER(INDEX('Game Records'!$L:$L,$H141)&amp;"")&lt;&gt;"yes",INDEX('Game Records'!$U:$U,$H141)&lt;&gt;"Subscription",INDEX('Game Records'!$U:$U,$H141)&lt;&gt;"Free Game",INDEX('Game Records'!$U:$U,$H141)&lt;&gt;"Disqualified — Free Game",INDEX('Game Records'!$K:$K,$H141)=""),"Final Earned; ","")&amp;IF(AND(LOWER(INDEX('Game Records'!$D:$D,$H141)&amp;"")="finalized",INDEX('Game Records'!$U:$U,$H141)&lt;&gt;"Subscription",INDEX('Game Records'!$U:$U,$H141)&lt;&gt;"Free Game",INDEX('Game Records'!$U:$U,$H141)&lt;&gt;"Disqualified — Free Game",OR(INDEX('Game Records'!$L:$L,$H141)="",LOWER(INDEX('Game Records'!$L:$L,$H141)&amp;"")="n/a")),"Disqualified Status; ","")&amp;IF(AND(OR(LOWER(TRIM(INDEX('Game Records'!$F:$F,$H141)&amp;""))="free game",INDEX('Game Records'!$U:$U,$H141)="Free Game",INDEX('Game Records'!$U:$U,$H141)="Disqualified — Free Game"),N(INDEX('Game Records'!$H:$H,$H141))&lt;&gt;0),"Free Game has a non-zero Entry Fee. Free Game records require a $0 Entry Fee; ",""))</f>
        <v/>
      </c>
      <c r="G141" s="331" t="str">
        <f>IF($H141="","",IFERROR(INDEX('Game Records'!$M:$M,$H141),""))</f>
        <v/>
      </c>
      <c r="H141" s="104" t="str">
        <f>IF($H140="","",IFERROR(MATCH(1,INDEX((ROW('Game Records'!$U$5:$U$504)&gt;$H140)*(('Game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1" s="104"/>
      <c r="J141" s="104"/>
    </row>
    <row r="142" ht="24" hidden="0" customHeight="1">
      <c r="A142" s="332" t="str">
        <f>IF($H142="","",ROWS($A$5:A142))</f>
        <v/>
      </c>
      <c r="B142" s="332" t="str">
        <f>IF($H142="","","G-"&amp;TEXT($A142,"0000"))</f>
        <v/>
      </c>
      <c r="C142" s="331" t="str">
        <f>IF($H142="","",IFERROR(INDEX('Game Records'!$A:$A,$H142),""))</f>
        <v/>
      </c>
      <c r="D142" s="331" t="str">
        <f>IF($H142="","",IFERROR(INDEX('Game Records'!$U:$U,$H142),""))</f>
        <v/>
      </c>
      <c r="E142" s="331" t="str">
        <f>IF($H142="","",IF($F142="","No Highlighted Fields","Highlighted Fields Present"))</f>
        <v/>
      </c>
      <c r="F142" s="331" t="str">
        <f>IF($H142="","",IF(OR(NOT(ISFORMULA(INDEX('Game Records'!$N:$N,$H142))),NOT(ISFORMULA(INDEX('Game Records'!$O:$O,$H142))),NOT(ISFORMULA(INDEX('Game Records'!$P:$P,$H142))),NOT(ISFORMULA(INDEX('Game Records'!$Q:$Q,$H142))),NOT(ISFORMULA(INDEX('Game Records'!$R:$R,$H142))),NOT(ISFORMULA(INDEX('Game Records'!$S:$S,$H142))),NOT(ISFORMULA(INDEX('Game Records'!$T:$T,$H142))),NOT(ISFORMULA(INDEX('Game Records'!$U:$U,$H142))),NOT(ISFORMULA(INDEX('Game Records'!$V:$V,$H142))),NOT(ISFORMULA(INDEX('Game Records'!$W:$W,$H142))),NOT(ISFORMULA(INDEX('Game Records'!$X:$X,$H142))),NOT(ISFORMULA(INDEX('Game Records'!$Y:$Y,$H142))),NOT(ISFORMULA(INDEX('Game Records'!$Z:$Z,$H142)))),"Formula columns missing; ","")&amp;IF(INDEX('Game Records'!$B:$B,$H142)="","Start Date; ","")&amp;IF(INDEX('Game Records'!$C:$C,$H142)="","End Date; ","")&amp;IF(AND(INDEX('Game Records'!$U:$U,$H142)&lt;&gt;"Subscription",INDEX('Game Records'!$U:$U,$H142)&lt;&gt;"Free Game",INDEX('Game Records'!$U:$U,$H142)&lt;&gt;"Disqualified — Free Game",OR(INDEX('Game Records'!$D:$D,$H142)="",LOWER(INDEX('Game Records'!$D:$D,$H142)&amp;"")="n/a")),"Entry Mode; ","")&amp;IF(AND(INDEX('Game Records'!$U:$U,$H142)&lt;&gt;"Subscription",INDEX('Game Records'!$U:$U,$H142)&lt;&gt;"Free Game",INDEX('Game Records'!$U:$U,$H142)&lt;&gt;"Disqualified — Free Game",OR(INDEX('Game Records'!$E:$E,$H142)="",LOWER(INDEX('Game Records'!$E:$E,$H142)&amp;"")="n/a")),"Game Type; ","")&amp;IF(INDEX('Game Records'!$F:$F,$H142)="","Payment Type; ","")&amp;IF(AND(INDEX('Game Records'!$U:$U,$H142)&lt;&gt;"Subscription",INDEX('Game Records'!$U:$U,$H142)&lt;&gt;"Free Game",INDEX('Game Records'!$U:$U,$H142)&lt;&gt;"Disqualified — Free Game",INDEX('Game Records'!$G:$G,$H142)=""),"Gross Pot; ","")&amp;IF(AND(INDEX('Game Records'!$U:$U,$H142)&lt;&gt;"Free Game",INDEX('Game Records'!$U:$U,$H142)&lt;&gt;"Disqualified — Free Game",INDEX('Game Records'!$H:$H,$H142)=""),"Entry Fee; ","")&amp;IF(AND(INDEX('Game Records'!$U:$U,$H142)&lt;&gt;"Subscription",INDEX('Game Records'!$U:$U,$H142)&lt;&gt;"Free Game",INDEX('Game Records'!$U:$U,$H142)&lt;&gt;"Disqualified — Free Game",INDEX('Game Records'!$I:$I,$H142)=""),"Eligible Players; ","")&amp;IF(AND(INDEX('Game Records'!$U:$U,$H142)&lt;&gt;"Subscription",INDEX('Game Records'!$U:$U,$H142)&lt;&gt;"Free Game",INDEX('Game Records'!$U:$U,$H142)&lt;&gt;"Disqualified — Free Game",INDEX('Game Records'!$J:$J,$H142)=""),"Total Players; ","")&amp;IF(AND(LOWER(INDEX('Game Records'!$D:$D,$H142)&amp;"")="finalized",LOWER(INDEX('Game Records'!$L:$L,$H142)&amp;"")&lt;&gt;"yes",INDEX('Game Records'!$U:$U,$H142)&lt;&gt;"Subscription",INDEX('Game Records'!$U:$U,$H142)&lt;&gt;"Free Game",INDEX('Game Records'!$U:$U,$H142)&lt;&gt;"Disqualified — Free Game",INDEX('Game Records'!$K:$K,$H142)=""),"Final Earned; ","")&amp;IF(AND(LOWER(INDEX('Game Records'!$D:$D,$H142)&amp;"")="finalized",INDEX('Game Records'!$U:$U,$H142)&lt;&gt;"Subscription",INDEX('Game Records'!$U:$U,$H142)&lt;&gt;"Free Game",INDEX('Game Records'!$U:$U,$H142)&lt;&gt;"Disqualified — Free Game",OR(INDEX('Game Records'!$L:$L,$H142)="",LOWER(INDEX('Game Records'!$L:$L,$H142)&amp;"")="n/a")),"Disqualified Status; ","")&amp;IF(AND(OR(LOWER(TRIM(INDEX('Game Records'!$F:$F,$H142)&amp;""))="free game",INDEX('Game Records'!$U:$U,$H142)="Free Game",INDEX('Game Records'!$U:$U,$H142)="Disqualified — Free Game"),N(INDEX('Game Records'!$H:$H,$H142))&lt;&gt;0),"Free Game has a non-zero Entry Fee. Free Game records require a $0 Entry Fee; ",""))</f>
        <v/>
      </c>
      <c r="G142" s="331" t="str">
        <f>IF($H142="","",IFERROR(INDEX('Game Records'!$M:$M,$H142),""))</f>
        <v/>
      </c>
      <c r="H142" s="104" t="str">
        <f>IF($H141="","",IFERROR(MATCH(1,INDEX((ROW('Game Records'!$U$5:$U$504)&gt;$H141)*(('Game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2" s="104"/>
      <c r="J142" s="104"/>
    </row>
    <row r="143" ht="24" hidden="0" customHeight="1">
      <c r="A143" s="332" t="str">
        <f>IF($H143="","",ROWS($A$5:A143))</f>
        <v/>
      </c>
      <c r="B143" s="332" t="str">
        <f>IF($H143="","","G-"&amp;TEXT($A143,"0000"))</f>
        <v/>
      </c>
      <c r="C143" s="331" t="str">
        <f>IF($H143="","",IFERROR(INDEX('Game Records'!$A:$A,$H143),""))</f>
        <v/>
      </c>
      <c r="D143" s="331" t="str">
        <f>IF($H143="","",IFERROR(INDEX('Game Records'!$U:$U,$H143),""))</f>
        <v/>
      </c>
      <c r="E143" s="331" t="str">
        <f>IF($H143="","",IF($F143="","No Highlighted Fields","Highlighted Fields Present"))</f>
        <v/>
      </c>
      <c r="F143" s="331" t="str">
        <f>IF($H143="","",IF(OR(NOT(ISFORMULA(INDEX('Game Records'!$N:$N,$H143))),NOT(ISFORMULA(INDEX('Game Records'!$O:$O,$H143))),NOT(ISFORMULA(INDEX('Game Records'!$P:$P,$H143))),NOT(ISFORMULA(INDEX('Game Records'!$Q:$Q,$H143))),NOT(ISFORMULA(INDEX('Game Records'!$R:$R,$H143))),NOT(ISFORMULA(INDEX('Game Records'!$S:$S,$H143))),NOT(ISFORMULA(INDEX('Game Records'!$T:$T,$H143))),NOT(ISFORMULA(INDEX('Game Records'!$U:$U,$H143))),NOT(ISFORMULA(INDEX('Game Records'!$V:$V,$H143))),NOT(ISFORMULA(INDEX('Game Records'!$W:$W,$H143))),NOT(ISFORMULA(INDEX('Game Records'!$X:$X,$H143))),NOT(ISFORMULA(INDEX('Game Records'!$Y:$Y,$H143))),NOT(ISFORMULA(INDEX('Game Records'!$Z:$Z,$H143)))),"Formula columns missing; ","")&amp;IF(INDEX('Game Records'!$B:$B,$H143)="","Start Date; ","")&amp;IF(INDEX('Game Records'!$C:$C,$H143)="","End Date; ","")&amp;IF(AND(INDEX('Game Records'!$U:$U,$H143)&lt;&gt;"Subscription",INDEX('Game Records'!$U:$U,$H143)&lt;&gt;"Free Game",INDEX('Game Records'!$U:$U,$H143)&lt;&gt;"Disqualified — Free Game",OR(INDEX('Game Records'!$D:$D,$H143)="",LOWER(INDEX('Game Records'!$D:$D,$H143)&amp;"")="n/a")),"Entry Mode; ","")&amp;IF(AND(INDEX('Game Records'!$U:$U,$H143)&lt;&gt;"Subscription",INDEX('Game Records'!$U:$U,$H143)&lt;&gt;"Free Game",INDEX('Game Records'!$U:$U,$H143)&lt;&gt;"Disqualified — Free Game",OR(INDEX('Game Records'!$E:$E,$H143)="",LOWER(INDEX('Game Records'!$E:$E,$H143)&amp;"")="n/a")),"Game Type; ","")&amp;IF(INDEX('Game Records'!$F:$F,$H143)="","Payment Type; ","")&amp;IF(AND(INDEX('Game Records'!$U:$U,$H143)&lt;&gt;"Subscription",INDEX('Game Records'!$U:$U,$H143)&lt;&gt;"Free Game",INDEX('Game Records'!$U:$U,$H143)&lt;&gt;"Disqualified — Free Game",INDEX('Game Records'!$G:$G,$H143)=""),"Gross Pot; ","")&amp;IF(AND(INDEX('Game Records'!$U:$U,$H143)&lt;&gt;"Free Game",INDEX('Game Records'!$U:$U,$H143)&lt;&gt;"Disqualified — Free Game",INDEX('Game Records'!$H:$H,$H143)=""),"Entry Fee; ","")&amp;IF(AND(INDEX('Game Records'!$U:$U,$H143)&lt;&gt;"Subscription",INDEX('Game Records'!$U:$U,$H143)&lt;&gt;"Free Game",INDEX('Game Records'!$U:$U,$H143)&lt;&gt;"Disqualified — Free Game",INDEX('Game Records'!$I:$I,$H143)=""),"Eligible Players; ","")&amp;IF(AND(INDEX('Game Records'!$U:$U,$H143)&lt;&gt;"Subscription",INDEX('Game Records'!$U:$U,$H143)&lt;&gt;"Free Game",INDEX('Game Records'!$U:$U,$H143)&lt;&gt;"Disqualified — Free Game",INDEX('Game Records'!$J:$J,$H143)=""),"Total Players; ","")&amp;IF(AND(LOWER(INDEX('Game Records'!$D:$D,$H143)&amp;"")="finalized",LOWER(INDEX('Game Records'!$L:$L,$H143)&amp;"")&lt;&gt;"yes",INDEX('Game Records'!$U:$U,$H143)&lt;&gt;"Subscription",INDEX('Game Records'!$U:$U,$H143)&lt;&gt;"Free Game",INDEX('Game Records'!$U:$U,$H143)&lt;&gt;"Disqualified — Free Game",INDEX('Game Records'!$K:$K,$H143)=""),"Final Earned; ","")&amp;IF(AND(LOWER(INDEX('Game Records'!$D:$D,$H143)&amp;"")="finalized",INDEX('Game Records'!$U:$U,$H143)&lt;&gt;"Subscription",INDEX('Game Records'!$U:$U,$H143)&lt;&gt;"Free Game",INDEX('Game Records'!$U:$U,$H143)&lt;&gt;"Disqualified — Free Game",OR(INDEX('Game Records'!$L:$L,$H143)="",LOWER(INDEX('Game Records'!$L:$L,$H143)&amp;"")="n/a")),"Disqualified Status; ","")&amp;IF(AND(OR(LOWER(TRIM(INDEX('Game Records'!$F:$F,$H143)&amp;""))="free game",INDEX('Game Records'!$U:$U,$H143)="Free Game",INDEX('Game Records'!$U:$U,$H143)="Disqualified — Free Game"),N(INDEX('Game Records'!$H:$H,$H143))&lt;&gt;0),"Free Game has a non-zero Entry Fee. Free Game records require a $0 Entry Fee; ",""))</f>
        <v/>
      </c>
      <c r="G143" s="331" t="str">
        <f>IF($H143="","",IFERROR(INDEX('Game Records'!$M:$M,$H143),""))</f>
        <v/>
      </c>
      <c r="H143" s="104" t="str">
        <f>IF($H142="","",IFERROR(MATCH(1,INDEX((ROW('Game Records'!$U$5:$U$504)&gt;$H142)*(('Game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3" s="104"/>
      <c r="J143" s="104"/>
    </row>
    <row r="144" ht="24" hidden="0" customHeight="1">
      <c r="A144" s="332" t="str">
        <f>IF($H144="","",ROWS($A$5:A144))</f>
        <v/>
      </c>
      <c r="B144" s="332" t="str">
        <f>IF($H144="","","G-"&amp;TEXT($A144,"0000"))</f>
        <v/>
      </c>
      <c r="C144" s="331" t="str">
        <f>IF($H144="","",IFERROR(INDEX('Game Records'!$A:$A,$H144),""))</f>
        <v/>
      </c>
      <c r="D144" s="331" t="str">
        <f>IF($H144="","",IFERROR(INDEX('Game Records'!$U:$U,$H144),""))</f>
        <v/>
      </c>
      <c r="E144" s="331" t="str">
        <f>IF($H144="","",IF($F144="","No Highlighted Fields","Highlighted Fields Present"))</f>
        <v/>
      </c>
      <c r="F144" s="331" t="str">
        <f>IF($H144="","",IF(OR(NOT(ISFORMULA(INDEX('Game Records'!$N:$N,$H144))),NOT(ISFORMULA(INDEX('Game Records'!$O:$O,$H144))),NOT(ISFORMULA(INDEX('Game Records'!$P:$P,$H144))),NOT(ISFORMULA(INDEX('Game Records'!$Q:$Q,$H144))),NOT(ISFORMULA(INDEX('Game Records'!$R:$R,$H144))),NOT(ISFORMULA(INDEX('Game Records'!$S:$S,$H144))),NOT(ISFORMULA(INDEX('Game Records'!$T:$T,$H144))),NOT(ISFORMULA(INDEX('Game Records'!$U:$U,$H144))),NOT(ISFORMULA(INDEX('Game Records'!$V:$V,$H144))),NOT(ISFORMULA(INDEX('Game Records'!$W:$W,$H144))),NOT(ISFORMULA(INDEX('Game Records'!$X:$X,$H144))),NOT(ISFORMULA(INDEX('Game Records'!$Y:$Y,$H144))),NOT(ISFORMULA(INDEX('Game Records'!$Z:$Z,$H144)))),"Formula columns missing; ","")&amp;IF(INDEX('Game Records'!$B:$B,$H144)="","Start Date; ","")&amp;IF(INDEX('Game Records'!$C:$C,$H144)="","End Date; ","")&amp;IF(AND(INDEX('Game Records'!$U:$U,$H144)&lt;&gt;"Subscription",INDEX('Game Records'!$U:$U,$H144)&lt;&gt;"Free Game",INDEX('Game Records'!$U:$U,$H144)&lt;&gt;"Disqualified — Free Game",OR(INDEX('Game Records'!$D:$D,$H144)="",LOWER(INDEX('Game Records'!$D:$D,$H144)&amp;"")="n/a")),"Entry Mode; ","")&amp;IF(AND(INDEX('Game Records'!$U:$U,$H144)&lt;&gt;"Subscription",INDEX('Game Records'!$U:$U,$H144)&lt;&gt;"Free Game",INDEX('Game Records'!$U:$U,$H144)&lt;&gt;"Disqualified — Free Game",OR(INDEX('Game Records'!$E:$E,$H144)="",LOWER(INDEX('Game Records'!$E:$E,$H144)&amp;"")="n/a")),"Game Type; ","")&amp;IF(INDEX('Game Records'!$F:$F,$H144)="","Payment Type; ","")&amp;IF(AND(INDEX('Game Records'!$U:$U,$H144)&lt;&gt;"Subscription",INDEX('Game Records'!$U:$U,$H144)&lt;&gt;"Free Game",INDEX('Game Records'!$U:$U,$H144)&lt;&gt;"Disqualified — Free Game",INDEX('Game Records'!$G:$G,$H144)=""),"Gross Pot; ","")&amp;IF(AND(INDEX('Game Records'!$U:$U,$H144)&lt;&gt;"Free Game",INDEX('Game Records'!$U:$U,$H144)&lt;&gt;"Disqualified — Free Game",INDEX('Game Records'!$H:$H,$H144)=""),"Entry Fee; ","")&amp;IF(AND(INDEX('Game Records'!$U:$U,$H144)&lt;&gt;"Subscription",INDEX('Game Records'!$U:$U,$H144)&lt;&gt;"Free Game",INDEX('Game Records'!$U:$U,$H144)&lt;&gt;"Disqualified — Free Game",INDEX('Game Records'!$I:$I,$H144)=""),"Eligible Players; ","")&amp;IF(AND(INDEX('Game Records'!$U:$U,$H144)&lt;&gt;"Subscription",INDEX('Game Records'!$U:$U,$H144)&lt;&gt;"Free Game",INDEX('Game Records'!$U:$U,$H144)&lt;&gt;"Disqualified — Free Game",INDEX('Game Records'!$J:$J,$H144)=""),"Total Players; ","")&amp;IF(AND(LOWER(INDEX('Game Records'!$D:$D,$H144)&amp;"")="finalized",LOWER(INDEX('Game Records'!$L:$L,$H144)&amp;"")&lt;&gt;"yes",INDEX('Game Records'!$U:$U,$H144)&lt;&gt;"Subscription",INDEX('Game Records'!$U:$U,$H144)&lt;&gt;"Free Game",INDEX('Game Records'!$U:$U,$H144)&lt;&gt;"Disqualified — Free Game",INDEX('Game Records'!$K:$K,$H144)=""),"Final Earned; ","")&amp;IF(AND(LOWER(INDEX('Game Records'!$D:$D,$H144)&amp;"")="finalized",INDEX('Game Records'!$U:$U,$H144)&lt;&gt;"Subscription",INDEX('Game Records'!$U:$U,$H144)&lt;&gt;"Free Game",INDEX('Game Records'!$U:$U,$H144)&lt;&gt;"Disqualified — Free Game",OR(INDEX('Game Records'!$L:$L,$H144)="",LOWER(INDEX('Game Records'!$L:$L,$H144)&amp;"")="n/a")),"Disqualified Status; ","")&amp;IF(AND(OR(LOWER(TRIM(INDEX('Game Records'!$F:$F,$H144)&amp;""))="free game",INDEX('Game Records'!$U:$U,$H144)="Free Game",INDEX('Game Records'!$U:$U,$H144)="Disqualified — Free Game"),N(INDEX('Game Records'!$H:$H,$H144))&lt;&gt;0),"Free Game has a non-zero Entry Fee. Free Game records require a $0 Entry Fee; ",""))</f>
        <v/>
      </c>
      <c r="G144" s="331" t="str">
        <f>IF($H144="","",IFERROR(INDEX('Game Records'!$M:$M,$H144),""))</f>
        <v/>
      </c>
      <c r="H144" s="104" t="str">
        <f>IF($H143="","",IFERROR(MATCH(1,INDEX((ROW('Game Records'!$U$5:$U$504)&gt;$H143)*(('Game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4" s="104"/>
      <c r="J144" s="104"/>
    </row>
    <row r="145" ht="24" hidden="0" customHeight="1">
      <c r="A145" s="332" t="str">
        <f>IF($H145="","",ROWS($A$5:A145))</f>
        <v/>
      </c>
      <c r="B145" s="332" t="str">
        <f>IF($H145="","","G-"&amp;TEXT($A145,"0000"))</f>
        <v/>
      </c>
      <c r="C145" s="331" t="str">
        <f>IF($H145="","",IFERROR(INDEX('Game Records'!$A:$A,$H145),""))</f>
        <v/>
      </c>
      <c r="D145" s="331" t="str">
        <f>IF($H145="","",IFERROR(INDEX('Game Records'!$U:$U,$H145),""))</f>
        <v/>
      </c>
      <c r="E145" s="331" t="str">
        <f>IF($H145="","",IF($F145="","No Highlighted Fields","Highlighted Fields Present"))</f>
        <v/>
      </c>
      <c r="F145" s="331" t="str">
        <f>IF($H145="","",IF(OR(NOT(ISFORMULA(INDEX('Game Records'!$N:$N,$H145))),NOT(ISFORMULA(INDEX('Game Records'!$O:$O,$H145))),NOT(ISFORMULA(INDEX('Game Records'!$P:$P,$H145))),NOT(ISFORMULA(INDEX('Game Records'!$Q:$Q,$H145))),NOT(ISFORMULA(INDEX('Game Records'!$R:$R,$H145))),NOT(ISFORMULA(INDEX('Game Records'!$S:$S,$H145))),NOT(ISFORMULA(INDEX('Game Records'!$T:$T,$H145))),NOT(ISFORMULA(INDEX('Game Records'!$U:$U,$H145))),NOT(ISFORMULA(INDEX('Game Records'!$V:$V,$H145))),NOT(ISFORMULA(INDEX('Game Records'!$W:$W,$H145))),NOT(ISFORMULA(INDEX('Game Records'!$X:$X,$H145))),NOT(ISFORMULA(INDEX('Game Records'!$Y:$Y,$H145))),NOT(ISFORMULA(INDEX('Game Records'!$Z:$Z,$H145)))),"Formula columns missing; ","")&amp;IF(INDEX('Game Records'!$B:$B,$H145)="","Start Date; ","")&amp;IF(INDEX('Game Records'!$C:$C,$H145)="","End Date; ","")&amp;IF(AND(INDEX('Game Records'!$U:$U,$H145)&lt;&gt;"Subscription",INDEX('Game Records'!$U:$U,$H145)&lt;&gt;"Free Game",INDEX('Game Records'!$U:$U,$H145)&lt;&gt;"Disqualified — Free Game",OR(INDEX('Game Records'!$D:$D,$H145)="",LOWER(INDEX('Game Records'!$D:$D,$H145)&amp;"")="n/a")),"Entry Mode; ","")&amp;IF(AND(INDEX('Game Records'!$U:$U,$H145)&lt;&gt;"Subscription",INDEX('Game Records'!$U:$U,$H145)&lt;&gt;"Free Game",INDEX('Game Records'!$U:$U,$H145)&lt;&gt;"Disqualified — Free Game",OR(INDEX('Game Records'!$E:$E,$H145)="",LOWER(INDEX('Game Records'!$E:$E,$H145)&amp;"")="n/a")),"Game Type; ","")&amp;IF(INDEX('Game Records'!$F:$F,$H145)="","Payment Type; ","")&amp;IF(AND(INDEX('Game Records'!$U:$U,$H145)&lt;&gt;"Subscription",INDEX('Game Records'!$U:$U,$H145)&lt;&gt;"Free Game",INDEX('Game Records'!$U:$U,$H145)&lt;&gt;"Disqualified — Free Game",INDEX('Game Records'!$G:$G,$H145)=""),"Gross Pot; ","")&amp;IF(AND(INDEX('Game Records'!$U:$U,$H145)&lt;&gt;"Free Game",INDEX('Game Records'!$U:$U,$H145)&lt;&gt;"Disqualified — Free Game",INDEX('Game Records'!$H:$H,$H145)=""),"Entry Fee; ","")&amp;IF(AND(INDEX('Game Records'!$U:$U,$H145)&lt;&gt;"Subscription",INDEX('Game Records'!$U:$U,$H145)&lt;&gt;"Free Game",INDEX('Game Records'!$U:$U,$H145)&lt;&gt;"Disqualified — Free Game",INDEX('Game Records'!$I:$I,$H145)=""),"Eligible Players; ","")&amp;IF(AND(INDEX('Game Records'!$U:$U,$H145)&lt;&gt;"Subscription",INDEX('Game Records'!$U:$U,$H145)&lt;&gt;"Free Game",INDEX('Game Records'!$U:$U,$H145)&lt;&gt;"Disqualified — Free Game",INDEX('Game Records'!$J:$J,$H145)=""),"Total Players; ","")&amp;IF(AND(LOWER(INDEX('Game Records'!$D:$D,$H145)&amp;"")="finalized",LOWER(INDEX('Game Records'!$L:$L,$H145)&amp;"")&lt;&gt;"yes",INDEX('Game Records'!$U:$U,$H145)&lt;&gt;"Subscription",INDEX('Game Records'!$U:$U,$H145)&lt;&gt;"Free Game",INDEX('Game Records'!$U:$U,$H145)&lt;&gt;"Disqualified — Free Game",INDEX('Game Records'!$K:$K,$H145)=""),"Final Earned; ","")&amp;IF(AND(LOWER(INDEX('Game Records'!$D:$D,$H145)&amp;"")="finalized",INDEX('Game Records'!$U:$U,$H145)&lt;&gt;"Subscription",INDEX('Game Records'!$U:$U,$H145)&lt;&gt;"Free Game",INDEX('Game Records'!$U:$U,$H145)&lt;&gt;"Disqualified — Free Game",OR(INDEX('Game Records'!$L:$L,$H145)="",LOWER(INDEX('Game Records'!$L:$L,$H145)&amp;"")="n/a")),"Disqualified Status; ","")&amp;IF(AND(OR(LOWER(TRIM(INDEX('Game Records'!$F:$F,$H145)&amp;""))="free game",INDEX('Game Records'!$U:$U,$H145)="Free Game",INDEX('Game Records'!$U:$U,$H145)="Disqualified — Free Game"),N(INDEX('Game Records'!$H:$H,$H145))&lt;&gt;0),"Free Game has a non-zero Entry Fee. Free Game records require a $0 Entry Fee; ",""))</f>
        <v/>
      </c>
      <c r="G145" s="331" t="str">
        <f>IF($H145="","",IFERROR(INDEX('Game Records'!$M:$M,$H145),""))</f>
        <v/>
      </c>
      <c r="H145" s="104" t="str">
        <f>IF($H144="","",IFERROR(MATCH(1,INDEX((ROW('Game Records'!$U$5:$U$504)&gt;$H144)*(('Game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5" s="104"/>
      <c r="J145" s="104"/>
    </row>
    <row r="146" ht="24" hidden="0" customHeight="1">
      <c r="A146" s="332" t="str">
        <f>IF($H146="","",ROWS($A$5:A146))</f>
        <v/>
      </c>
      <c r="B146" s="332" t="str">
        <f>IF($H146="","","G-"&amp;TEXT($A146,"0000"))</f>
        <v/>
      </c>
      <c r="C146" s="331" t="str">
        <f>IF($H146="","",IFERROR(INDEX('Game Records'!$A:$A,$H146),""))</f>
        <v/>
      </c>
      <c r="D146" s="331" t="str">
        <f>IF($H146="","",IFERROR(INDEX('Game Records'!$U:$U,$H146),""))</f>
        <v/>
      </c>
      <c r="E146" s="331" t="str">
        <f>IF($H146="","",IF($F146="","No Highlighted Fields","Highlighted Fields Present"))</f>
        <v/>
      </c>
      <c r="F146" s="331" t="str">
        <f>IF($H146="","",IF(OR(NOT(ISFORMULA(INDEX('Game Records'!$N:$N,$H146))),NOT(ISFORMULA(INDEX('Game Records'!$O:$O,$H146))),NOT(ISFORMULA(INDEX('Game Records'!$P:$P,$H146))),NOT(ISFORMULA(INDEX('Game Records'!$Q:$Q,$H146))),NOT(ISFORMULA(INDEX('Game Records'!$R:$R,$H146))),NOT(ISFORMULA(INDEX('Game Records'!$S:$S,$H146))),NOT(ISFORMULA(INDEX('Game Records'!$T:$T,$H146))),NOT(ISFORMULA(INDEX('Game Records'!$U:$U,$H146))),NOT(ISFORMULA(INDEX('Game Records'!$V:$V,$H146))),NOT(ISFORMULA(INDEX('Game Records'!$W:$W,$H146))),NOT(ISFORMULA(INDEX('Game Records'!$X:$X,$H146))),NOT(ISFORMULA(INDEX('Game Records'!$Y:$Y,$H146))),NOT(ISFORMULA(INDEX('Game Records'!$Z:$Z,$H146)))),"Formula columns missing; ","")&amp;IF(INDEX('Game Records'!$B:$B,$H146)="","Start Date; ","")&amp;IF(INDEX('Game Records'!$C:$C,$H146)="","End Date; ","")&amp;IF(AND(INDEX('Game Records'!$U:$U,$H146)&lt;&gt;"Subscription",INDEX('Game Records'!$U:$U,$H146)&lt;&gt;"Free Game",INDEX('Game Records'!$U:$U,$H146)&lt;&gt;"Disqualified — Free Game",OR(INDEX('Game Records'!$D:$D,$H146)="",LOWER(INDEX('Game Records'!$D:$D,$H146)&amp;"")="n/a")),"Entry Mode; ","")&amp;IF(AND(INDEX('Game Records'!$U:$U,$H146)&lt;&gt;"Subscription",INDEX('Game Records'!$U:$U,$H146)&lt;&gt;"Free Game",INDEX('Game Records'!$U:$U,$H146)&lt;&gt;"Disqualified — Free Game",OR(INDEX('Game Records'!$E:$E,$H146)="",LOWER(INDEX('Game Records'!$E:$E,$H146)&amp;"")="n/a")),"Game Type; ","")&amp;IF(INDEX('Game Records'!$F:$F,$H146)="","Payment Type; ","")&amp;IF(AND(INDEX('Game Records'!$U:$U,$H146)&lt;&gt;"Subscription",INDEX('Game Records'!$U:$U,$H146)&lt;&gt;"Free Game",INDEX('Game Records'!$U:$U,$H146)&lt;&gt;"Disqualified — Free Game",INDEX('Game Records'!$G:$G,$H146)=""),"Gross Pot; ","")&amp;IF(AND(INDEX('Game Records'!$U:$U,$H146)&lt;&gt;"Free Game",INDEX('Game Records'!$U:$U,$H146)&lt;&gt;"Disqualified — Free Game",INDEX('Game Records'!$H:$H,$H146)=""),"Entry Fee; ","")&amp;IF(AND(INDEX('Game Records'!$U:$U,$H146)&lt;&gt;"Subscription",INDEX('Game Records'!$U:$U,$H146)&lt;&gt;"Free Game",INDEX('Game Records'!$U:$U,$H146)&lt;&gt;"Disqualified — Free Game",INDEX('Game Records'!$I:$I,$H146)=""),"Eligible Players; ","")&amp;IF(AND(INDEX('Game Records'!$U:$U,$H146)&lt;&gt;"Subscription",INDEX('Game Records'!$U:$U,$H146)&lt;&gt;"Free Game",INDEX('Game Records'!$U:$U,$H146)&lt;&gt;"Disqualified — Free Game",INDEX('Game Records'!$J:$J,$H146)=""),"Total Players; ","")&amp;IF(AND(LOWER(INDEX('Game Records'!$D:$D,$H146)&amp;"")="finalized",LOWER(INDEX('Game Records'!$L:$L,$H146)&amp;"")&lt;&gt;"yes",INDEX('Game Records'!$U:$U,$H146)&lt;&gt;"Subscription",INDEX('Game Records'!$U:$U,$H146)&lt;&gt;"Free Game",INDEX('Game Records'!$U:$U,$H146)&lt;&gt;"Disqualified — Free Game",INDEX('Game Records'!$K:$K,$H146)=""),"Final Earned; ","")&amp;IF(AND(LOWER(INDEX('Game Records'!$D:$D,$H146)&amp;"")="finalized",INDEX('Game Records'!$U:$U,$H146)&lt;&gt;"Subscription",INDEX('Game Records'!$U:$U,$H146)&lt;&gt;"Free Game",INDEX('Game Records'!$U:$U,$H146)&lt;&gt;"Disqualified — Free Game",OR(INDEX('Game Records'!$L:$L,$H146)="",LOWER(INDEX('Game Records'!$L:$L,$H146)&amp;"")="n/a")),"Disqualified Status; ","")&amp;IF(AND(OR(LOWER(TRIM(INDEX('Game Records'!$F:$F,$H146)&amp;""))="free game",INDEX('Game Records'!$U:$U,$H146)="Free Game",INDEX('Game Records'!$U:$U,$H146)="Disqualified — Free Game"),N(INDEX('Game Records'!$H:$H,$H146))&lt;&gt;0),"Free Game has a non-zero Entry Fee. Free Game records require a $0 Entry Fee; ",""))</f>
        <v/>
      </c>
      <c r="G146" s="331" t="str">
        <f>IF($H146="","",IFERROR(INDEX('Game Records'!$M:$M,$H146),""))</f>
        <v/>
      </c>
      <c r="H146" s="104" t="str">
        <f>IF($H145="","",IFERROR(MATCH(1,INDEX((ROW('Game Records'!$U$5:$U$504)&gt;$H145)*(('Game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6" s="104"/>
      <c r="J146" s="104"/>
    </row>
    <row r="147" ht="24" hidden="0" customHeight="1">
      <c r="A147" s="332" t="str">
        <f>IF($H147="","",ROWS($A$5:A147))</f>
        <v/>
      </c>
      <c r="B147" s="332" t="str">
        <f>IF($H147="","","G-"&amp;TEXT($A147,"0000"))</f>
        <v/>
      </c>
      <c r="C147" s="331" t="str">
        <f>IF($H147="","",IFERROR(INDEX('Game Records'!$A:$A,$H147),""))</f>
        <v/>
      </c>
      <c r="D147" s="331" t="str">
        <f>IF($H147="","",IFERROR(INDEX('Game Records'!$U:$U,$H147),""))</f>
        <v/>
      </c>
      <c r="E147" s="331" t="str">
        <f>IF($H147="","",IF($F147="","No Highlighted Fields","Highlighted Fields Present"))</f>
        <v/>
      </c>
      <c r="F147" s="331" t="str">
        <f>IF($H147="","",IF(OR(NOT(ISFORMULA(INDEX('Game Records'!$N:$N,$H147))),NOT(ISFORMULA(INDEX('Game Records'!$O:$O,$H147))),NOT(ISFORMULA(INDEX('Game Records'!$P:$P,$H147))),NOT(ISFORMULA(INDEX('Game Records'!$Q:$Q,$H147))),NOT(ISFORMULA(INDEX('Game Records'!$R:$R,$H147))),NOT(ISFORMULA(INDEX('Game Records'!$S:$S,$H147))),NOT(ISFORMULA(INDEX('Game Records'!$T:$T,$H147))),NOT(ISFORMULA(INDEX('Game Records'!$U:$U,$H147))),NOT(ISFORMULA(INDEX('Game Records'!$V:$V,$H147))),NOT(ISFORMULA(INDEX('Game Records'!$W:$W,$H147))),NOT(ISFORMULA(INDEX('Game Records'!$X:$X,$H147))),NOT(ISFORMULA(INDEX('Game Records'!$Y:$Y,$H147))),NOT(ISFORMULA(INDEX('Game Records'!$Z:$Z,$H147)))),"Formula columns missing; ","")&amp;IF(INDEX('Game Records'!$B:$B,$H147)="","Start Date; ","")&amp;IF(INDEX('Game Records'!$C:$C,$H147)="","End Date; ","")&amp;IF(AND(INDEX('Game Records'!$U:$U,$H147)&lt;&gt;"Subscription",INDEX('Game Records'!$U:$U,$H147)&lt;&gt;"Free Game",INDEX('Game Records'!$U:$U,$H147)&lt;&gt;"Disqualified — Free Game",OR(INDEX('Game Records'!$D:$D,$H147)="",LOWER(INDEX('Game Records'!$D:$D,$H147)&amp;"")="n/a")),"Entry Mode; ","")&amp;IF(AND(INDEX('Game Records'!$U:$U,$H147)&lt;&gt;"Subscription",INDEX('Game Records'!$U:$U,$H147)&lt;&gt;"Free Game",INDEX('Game Records'!$U:$U,$H147)&lt;&gt;"Disqualified — Free Game",OR(INDEX('Game Records'!$E:$E,$H147)="",LOWER(INDEX('Game Records'!$E:$E,$H147)&amp;"")="n/a")),"Game Type; ","")&amp;IF(INDEX('Game Records'!$F:$F,$H147)="","Payment Type; ","")&amp;IF(AND(INDEX('Game Records'!$U:$U,$H147)&lt;&gt;"Subscription",INDEX('Game Records'!$U:$U,$H147)&lt;&gt;"Free Game",INDEX('Game Records'!$U:$U,$H147)&lt;&gt;"Disqualified — Free Game",INDEX('Game Records'!$G:$G,$H147)=""),"Gross Pot; ","")&amp;IF(AND(INDEX('Game Records'!$U:$U,$H147)&lt;&gt;"Free Game",INDEX('Game Records'!$U:$U,$H147)&lt;&gt;"Disqualified — Free Game",INDEX('Game Records'!$H:$H,$H147)=""),"Entry Fee; ","")&amp;IF(AND(INDEX('Game Records'!$U:$U,$H147)&lt;&gt;"Subscription",INDEX('Game Records'!$U:$U,$H147)&lt;&gt;"Free Game",INDEX('Game Records'!$U:$U,$H147)&lt;&gt;"Disqualified — Free Game",INDEX('Game Records'!$I:$I,$H147)=""),"Eligible Players; ","")&amp;IF(AND(INDEX('Game Records'!$U:$U,$H147)&lt;&gt;"Subscription",INDEX('Game Records'!$U:$U,$H147)&lt;&gt;"Free Game",INDEX('Game Records'!$U:$U,$H147)&lt;&gt;"Disqualified — Free Game",INDEX('Game Records'!$J:$J,$H147)=""),"Total Players; ","")&amp;IF(AND(LOWER(INDEX('Game Records'!$D:$D,$H147)&amp;"")="finalized",LOWER(INDEX('Game Records'!$L:$L,$H147)&amp;"")&lt;&gt;"yes",INDEX('Game Records'!$U:$U,$H147)&lt;&gt;"Subscription",INDEX('Game Records'!$U:$U,$H147)&lt;&gt;"Free Game",INDEX('Game Records'!$U:$U,$H147)&lt;&gt;"Disqualified — Free Game",INDEX('Game Records'!$K:$K,$H147)=""),"Final Earned; ","")&amp;IF(AND(LOWER(INDEX('Game Records'!$D:$D,$H147)&amp;"")="finalized",INDEX('Game Records'!$U:$U,$H147)&lt;&gt;"Subscription",INDEX('Game Records'!$U:$U,$H147)&lt;&gt;"Free Game",INDEX('Game Records'!$U:$U,$H147)&lt;&gt;"Disqualified — Free Game",OR(INDEX('Game Records'!$L:$L,$H147)="",LOWER(INDEX('Game Records'!$L:$L,$H147)&amp;"")="n/a")),"Disqualified Status; ","")&amp;IF(AND(OR(LOWER(TRIM(INDEX('Game Records'!$F:$F,$H147)&amp;""))="free game",INDEX('Game Records'!$U:$U,$H147)="Free Game",INDEX('Game Records'!$U:$U,$H147)="Disqualified — Free Game"),N(INDEX('Game Records'!$H:$H,$H147))&lt;&gt;0),"Free Game has a non-zero Entry Fee. Free Game records require a $0 Entry Fee; ",""))</f>
        <v/>
      </c>
      <c r="G147" s="331" t="str">
        <f>IF($H147="","",IFERROR(INDEX('Game Records'!$M:$M,$H147),""))</f>
        <v/>
      </c>
      <c r="H147" s="104" t="str">
        <f>IF($H146="","",IFERROR(MATCH(1,INDEX((ROW('Game Records'!$U$5:$U$504)&gt;$H146)*(('Game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7" s="104"/>
      <c r="J147" s="104"/>
    </row>
    <row r="148" ht="24" hidden="0" customHeight="1">
      <c r="A148" s="332" t="str">
        <f>IF($H148="","",ROWS($A$5:A148))</f>
        <v/>
      </c>
      <c r="B148" s="332" t="str">
        <f>IF($H148="","","G-"&amp;TEXT($A148,"0000"))</f>
        <v/>
      </c>
      <c r="C148" s="331" t="str">
        <f>IF($H148="","",IFERROR(INDEX('Game Records'!$A:$A,$H148),""))</f>
        <v/>
      </c>
      <c r="D148" s="331" t="str">
        <f>IF($H148="","",IFERROR(INDEX('Game Records'!$U:$U,$H148),""))</f>
        <v/>
      </c>
      <c r="E148" s="331" t="str">
        <f>IF($H148="","",IF($F148="","No Highlighted Fields","Highlighted Fields Present"))</f>
        <v/>
      </c>
      <c r="F148" s="331" t="str">
        <f>IF($H148="","",IF(OR(NOT(ISFORMULA(INDEX('Game Records'!$N:$N,$H148))),NOT(ISFORMULA(INDEX('Game Records'!$O:$O,$H148))),NOT(ISFORMULA(INDEX('Game Records'!$P:$P,$H148))),NOT(ISFORMULA(INDEX('Game Records'!$Q:$Q,$H148))),NOT(ISFORMULA(INDEX('Game Records'!$R:$R,$H148))),NOT(ISFORMULA(INDEX('Game Records'!$S:$S,$H148))),NOT(ISFORMULA(INDEX('Game Records'!$T:$T,$H148))),NOT(ISFORMULA(INDEX('Game Records'!$U:$U,$H148))),NOT(ISFORMULA(INDEX('Game Records'!$V:$V,$H148))),NOT(ISFORMULA(INDEX('Game Records'!$W:$W,$H148))),NOT(ISFORMULA(INDEX('Game Records'!$X:$X,$H148))),NOT(ISFORMULA(INDEX('Game Records'!$Y:$Y,$H148))),NOT(ISFORMULA(INDEX('Game Records'!$Z:$Z,$H148)))),"Formula columns missing; ","")&amp;IF(INDEX('Game Records'!$B:$B,$H148)="","Start Date; ","")&amp;IF(INDEX('Game Records'!$C:$C,$H148)="","End Date; ","")&amp;IF(AND(INDEX('Game Records'!$U:$U,$H148)&lt;&gt;"Subscription",INDEX('Game Records'!$U:$U,$H148)&lt;&gt;"Free Game",INDEX('Game Records'!$U:$U,$H148)&lt;&gt;"Disqualified — Free Game",OR(INDEX('Game Records'!$D:$D,$H148)="",LOWER(INDEX('Game Records'!$D:$D,$H148)&amp;"")="n/a")),"Entry Mode; ","")&amp;IF(AND(INDEX('Game Records'!$U:$U,$H148)&lt;&gt;"Subscription",INDEX('Game Records'!$U:$U,$H148)&lt;&gt;"Free Game",INDEX('Game Records'!$U:$U,$H148)&lt;&gt;"Disqualified — Free Game",OR(INDEX('Game Records'!$E:$E,$H148)="",LOWER(INDEX('Game Records'!$E:$E,$H148)&amp;"")="n/a")),"Game Type; ","")&amp;IF(INDEX('Game Records'!$F:$F,$H148)="","Payment Type; ","")&amp;IF(AND(INDEX('Game Records'!$U:$U,$H148)&lt;&gt;"Subscription",INDEX('Game Records'!$U:$U,$H148)&lt;&gt;"Free Game",INDEX('Game Records'!$U:$U,$H148)&lt;&gt;"Disqualified — Free Game",INDEX('Game Records'!$G:$G,$H148)=""),"Gross Pot; ","")&amp;IF(AND(INDEX('Game Records'!$U:$U,$H148)&lt;&gt;"Free Game",INDEX('Game Records'!$U:$U,$H148)&lt;&gt;"Disqualified — Free Game",INDEX('Game Records'!$H:$H,$H148)=""),"Entry Fee; ","")&amp;IF(AND(INDEX('Game Records'!$U:$U,$H148)&lt;&gt;"Subscription",INDEX('Game Records'!$U:$U,$H148)&lt;&gt;"Free Game",INDEX('Game Records'!$U:$U,$H148)&lt;&gt;"Disqualified — Free Game",INDEX('Game Records'!$I:$I,$H148)=""),"Eligible Players; ","")&amp;IF(AND(INDEX('Game Records'!$U:$U,$H148)&lt;&gt;"Subscription",INDEX('Game Records'!$U:$U,$H148)&lt;&gt;"Free Game",INDEX('Game Records'!$U:$U,$H148)&lt;&gt;"Disqualified — Free Game",INDEX('Game Records'!$J:$J,$H148)=""),"Total Players; ","")&amp;IF(AND(LOWER(INDEX('Game Records'!$D:$D,$H148)&amp;"")="finalized",LOWER(INDEX('Game Records'!$L:$L,$H148)&amp;"")&lt;&gt;"yes",INDEX('Game Records'!$U:$U,$H148)&lt;&gt;"Subscription",INDEX('Game Records'!$U:$U,$H148)&lt;&gt;"Free Game",INDEX('Game Records'!$U:$U,$H148)&lt;&gt;"Disqualified — Free Game",INDEX('Game Records'!$K:$K,$H148)=""),"Final Earned; ","")&amp;IF(AND(LOWER(INDEX('Game Records'!$D:$D,$H148)&amp;"")="finalized",INDEX('Game Records'!$U:$U,$H148)&lt;&gt;"Subscription",INDEX('Game Records'!$U:$U,$H148)&lt;&gt;"Free Game",INDEX('Game Records'!$U:$U,$H148)&lt;&gt;"Disqualified — Free Game",OR(INDEX('Game Records'!$L:$L,$H148)="",LOWER(INDEX('Game Records'!$L:$L,$H148)&amp;"")="n/a")),"Disqualified Status; ","")&amp;IF(AND(OR(LOWER(TRIM(INDEX('Game Records'!$F:$F,$H148)&amp;""))="free game",INDEX('Game Records'!$U:$U,$H148)="Free Game",INDEX('Game Records'!$U:$U,$H148)="Disqualified — Free Game"),N(INDEX('Game Records'!$H:$H,$H148))&lt;&gt;0),"Free Game has a non-zero Entry Fee. Free Game records require a $0 Entry Fee; ",""))</f>
        <v/>
      </c>
      <c r="G148" s="331" t="str">
        <f>IF($H148="","",IFERROR(INDEX('Game Records'!$M:$M,$H148),""))</f>
        <v/>
      </c>
      <c r="H148" s="104" t="str">
        <f>IF($H147="","",IFERROR(MATCH(1,INDEX((ROW('Game Records'!$U$5:$U$504)&gt;$H147)*(('Game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8" s="104"/>
      <c r="J148" s="104"/>
    </row>
    <row r="149" ht="24" hidden="0" customHeight="1">
      <c r="A149" s="332" t="str">
        <f>IF($H149="","",ROWS($A$5:A149))</f>
        <v/>
      </c>
      <c r="B149" s="332" t="str">
        <f>IF($H149="","","G-"&amp;TEXT($A149,"0000"))</f>
        <v/>
      </c>
      <c r="C149" s="331" t="str">
        <f>IF($H149="","",IFERROR(INDEX('Game Records'!$A:$A,$H149),""))</f>
        <v/>
      </c>
      <c r="D149" s="331" t="str">
        <f>IF($H149="","",IFERROR(INDEX('Game Records'!$U:$U,$H149),""))</f>
        <v/>
      </c>
      <c r="E149" s="331" t="str">
        <f>IF($H149="","",IF($F149="","No Highlighted Fields","Highlighted Fields Present"))</f>
        <v/>
      </c>
      <c r="F149" s="331" t="str">
        <f>IF($H149="","",IF(OR(NOT(ISFORMULA(INDEX('Game Records'!$N:$N,$H149))),NOT(ISFORMULA(INDEX('Game Records'!$O:$O,$H149))),NOT(ISFORMULA(INDEX('Game Records'!$P:$P,$H149))),NOT(ISFORMULA(INDEX('Game Records'!$Q:$Q,$H149))),NOT(ISFORMULA(INDEX('Game Records'!$R:$R,$H149))),NOT(ISFORMULA(INDEX('Game Records'!$S:$S,$H149))),NOT(ISFORMULA(INDEX('Game Records'!$T:$T,$H149))),NOT(ISFORMULA(INDEX('Game Records'!$U:$U,$H149))),NOT(ISFORMULA(INDEX('Game Records'!$V:$V,$H149))),NOT(ISFORMULA(INDEX('Game Records'!$W:$W,$H149))),NOT(ISFORMULA(INDEX('Game Records'!$X:$X,$H149))),NOT(ISFORMULA(INDEX('Game Records'!$Y:$Y,$H149))),NOT(ISFORMULA(INDEX('Game Records'!$Z:$Z,$H149)))),"Formula columns missing; ","")&amp;IF(INDEX('Game Records'!$B:$B,$H149)="","Start Date; ","")&amp;IF(INDEX('Game Records'!$C:$C,$H149)="","End Date; ","")&amp;IF(AND(INDEX('Game Records'!$U:$U,$H149)&lt;&gt;"Subscription",INDEX('Game Records'!$U:$U,$H149)&lt;&gt;"Free Game",INDEX('Game Records'!$U:$U,$H149)&lt;&gt;"Disqualified — Free Game",OR(INDEX('Game Records'!$D:$D,$H149)="",LOWER(INDEX('Game Records'!$D:$D,$H149)&amp;"")="n/a")),"Entry Mode; ","")&amp;IF(AND(INDEX('Game Records'!$U:$U,$H149)&lt;&gt;"Subscription",INDEX('Game Records'!$U:$U,$H149)&lt;&gt;"Free Game",INDEX('Game Records'!$U:$U,$H149)&lt;&gt;"Disqualified — Free Game",OR(INDEX('Game Records'!$E:$E,$H149)="",LOWER(INDEX('Game Records'!$E:$E,$H149)&amp;"")="n/a")),"Game Type; ","")&amp;IF(INDEX('Game Records'!$F:$F,$H149)="","Payment Type; ","")&amp;IF(AND(INDEX('Game Records'!$U:$U,$H149)&lt;&gt;"Subscription",INDEX('Game Records'!$U:$U,$H149)&lt;&gt;"Free Game",INDEX('Game Records'!$U:$U,$H149)&lt;&gt;"Disqualified — Free Game",INDEX('Game Records'!$G:$G,$H149)=""),"Gross Pot; ","")&amp;IF(AND(INDEX('Game Records'!$U:$U,$H149)&lt;&gt;"Free Game",INDEX('Game Records'!$U:$U,$H149)&lt;&gt;"Disqualified — Free Game",INDEX('Game Records'!$H:$H,$H149)=""),"Entry Fee; ","")&amp;IF(AND(INDEX('Game Records'!$U:$U,$H149)&lt;&gt;"Subscription",INDEX('Game Records'!$U:$U,$H149)&lt;&gt;"Free Game",INDEX('Game Records'!$U:$U,$H149)&lt;&gt;"Disqualified — Free Game",INDEX('Game Records'!$I:$I,$H149)=""),"Eligible Players; ","")&amp;IF(AND(INDEX('Game Records'!$U:$U,$H149)&lt;&gt;"Subscription",INDEX('Game Records'!$U:$U,$H149)&lt;&gt;"Free Game",INDEX('Game Records'!$U:$U,$H149)&lt;&gt;"Disqualified — Free Game",INDEX('Game Records'!$J:$J,$H149)=""),"Total Players; ","")&amp;IF(AND(LOWER(INDEX('Game Records'!$D:$D,$H149)&amp;"")="finalized",LOWER(INDEX('Game Records'!$L:$L,$H149)&amp;"")&lt;&gt;"yes",INDEX('Game Records'!$U:$U,$H149)&lt;&gt;"Subscription",INDEX('Game Records'!$U:$U,$H149)&lt;&gt;"Free Game",INDEX('Game Records'!$U:$U,$H149)&lt;&gt;"Disqualified — Free Game",INDEX('Game Records'!$K:$K,$H149)=""),"Final Earned; ","")&amp;IF(AND(LOWER(INDEX('Game Records'!$D:$D,$H149)&amp;"")="finalized",INDEX('Game Records'!$U:$U,$H149)&lt;&gt;"Subscription",INDEX('Game Records'!$U:$U,$H149)&lt;&gt;"Free Game",INDEX('Game Records'!$U:$U,$H149)&lt;&gt;"Disqualified — Free Game",OR(INDEX('Game Records'!$L:$L,$H149)="",LOWER(INDEX('Game Records'!$L:$L,$H149)&amp;"")="n/a")),"Disqualified Status; ","")&amp;IF(AND(OR(LOWER(TRIM(INDEX('Game Records'!$F:$F,$H149)&amp;""))="free game",INDEX('Game Records'!$U:$U,$H149)="Free Game",INDEX('Game Records'!$U:$U,$H149)="Disqualified — Free Game"),N(INDEX('Game Records'!$H:$H,$H149))&lt;&gt;0),"Free Game has a non-zero Entry Fee. Free Game records require a $0 Entry Fee; ",""))</f>
        <v/>
      </c>
      <c r="G149" s="331" t="str">
        <f>IF($H149="","",IFERROR(INDEX('Game Records'!$M:$M,$H149),""))</f>
        <v/>
      </c>
      <c r="H149" s="104" t="str">
        <f>IF($H148="","",IFERROR(MATCH(1,INDEX((ROW('Game Records'!$U$5:$U$504)&gt;$H148)*(('Game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9" s="104"/>
      <c r="J149" s="104"/>
    </row>
    <row r="150" ht="24" hidden="0" customHeight="1">
      <c r="A150" s="332" t="str">
        <f>IF($H150="","",ROWS($A$5:A150))</f>
        <v/>
      </c>
      <c r="B150" s="332" t="str">
        <f>IF($H150="","","G-"&amp;TEXT($A150,"0000"))</f>
        <v/>
      </c>
      <c r="C150" s="331" t="str">
        <f>IF($H150="","",IFERROR(INDEX('Game Records'!$A:$A,$H150),""))</f>
        <v/>
      </c>
      <c r="D150" s="331" t="str">
        <f>IF($H150="","",IFERROR(INDEX('Game Records'!$U:$U,$H150),""))</f>
        <v/>
      </c>
      <c r="E150" s="331" t="str">
        <f>IF($H150="","",IF($F150="","No Highlighted Fields","Highlighted Fields Present"))</f>
        <v/>
      </c>
      <c r="F150" s="331" t="str">
        <f>IF($H150="","",IF(OR(NOT(ISFORMULA(INDEX('Game Records'!$N:$N,$H150))),NOT(ISFORMULA(INDEX('Game Records'!$O:$O,$H150))),NOT(ISFORMULA(INDEX('Game Records'!$P:$P,$H150))),NOT(ISFORMULA(INDEX('Game Records'!$Q:$Q,$H150))),NOT(ISFORMULA(INDEX('Game Records'!$R:$R,$H150))),NOT(ISFORMULA(INDEX('Game Records'!$S:$S,$H150))),NOT(ISFORMULA(INDEX('Game Records'!$T:$T,$H150))),NOT(ISFORMULA(INDEX('Game Records'!$U:$U,$H150))),NOT(ISFORMULA(INDEX('Game Records'!$V:$V,$H150))),NOT(ISFORMULA(INDEX('Game Records'!$W:$W,$H150))),NOT(ISFORMULA(INDEX('Game Records'!$X:$X,$H150))),NOT(ISFORMULA(INDEX('Game Records'!$Y:$Y,$H150))),NOT(ISFORMULA(INDEX('Game Records'!$Z:$Z,$H150)))),"Formula columns missing; ","")&amp;IF(INDEX('Game Records'!$B:$B,$H150)="","Start Date; ","")&amp;IF(INDEX('Game Records'!$C:$C,$H150)="","End Date; ","")&amp;IF(AND(INDEX('Game Records'!$U:$U,$H150)&lt;&gt;"Subscription",INDEX('Game Records'!$U:$U,$H150)&lt;&gt;"Free Game",INDEX('Game Records'!$U:$U,$H150)&lt;&gt;"Disqualified — Free Game",OR(INDEX('Game Records'!$D:$D,$H150)="",LOWER(INDEX('Game Records'!$D:$D,$H150)&amp;"")="n/a")),"Entry Mode; ","")&amp;IF(AND(INDEX('Game Records'!$U:$U,$H150)&lt;&gt;"Subscription",INDEX('Game Records'!$U:$U,$H150)&lt;&gt;"Free Game",INDEX('Game Records'!$U:$U,$H150)&lt;&gt;"Disqualified — Free Game",OR(INDEX('Game Records'!$E:$E,$H150)="",LOWER(INDEX('Game Records'!$E:$E,$H150)&amp;"")="n/a")),"Game Type; ","")&amp;IF(INDEX('Game Records'!$F:$F,$H150)="","Payment Type; ","")&amp;IF(AND(INDEX('Game Records'!$U:$U,$H150)&lt;&gt;"Subscription",INDEX('Game Records'!$U:$U,$H150)&lt;&gt;"Free Game",INDEX('Game Records'!$U:$U,$H150)&lt;&gt;"Disqualified — Free Game",INDEX('Game Records'!$G:$G,$H150)=""),"Gross Pot; ","")&amp;IF(AND(INDEX('Game Records'!$U:$U,$H150)&lt;&gt;"Free Game",INDEX('Game Records'!$U:$U,$H150)&lt;&gt;"Disqualified — Free Game",INDEX('Game Records'!$H:$H,$H150)=""),"Entry Fee; ","")&amp;IF(AND(INDEX('Game Records'!$U:$U,$H150)&lt;&gt;"Subscription",INDEX('Game Records'!$U:$U,$H150)&lt;&gt;"Free Game",INDEX('Game Records'!$U:$U,$H150)&lt;&gt;"Disqualified — Free Game",INDEX('Game Records'!$I:$I,$H150)=""),"Eligible Players; ","")&amp;IF(AND(INDEX('Game Records'!$U:$U,$H150)&lt;&gt;"Subscription",INDEX('Game Records'!$U:$U,$H150)&lt;&gt;"Free Game",INDEX('Game Records'!$U:$U,$H150)&lt;&gt;"Disqualified — Free Game",INDEX('Game Records'!$J:$J,$H150)=""),"Total Players; ","")&amp;IF(AND(LOWER(INDEX('Game Records'!$D:$D,$H150)&amp;"")="finalized",LOWER(INDEX('Game Records'!$L:$L,$H150)&amp;"")&lt;&gt;"yes",INDEX('Game Records'!$U:$U,$H150)&lt;&gt;"Subscription",INDEX('Game Records'!$U:$U,$H150)&lt;&gt;"Free Game",INDEX('Game Records'!$U:$U,$H150)&lt;&gt;"Disqualified — Free Game",INDEX('Game Records'!$K:$K,$H150)=""),"Final Earned; ","")&amp;IF(AND(LOWER(INDEX('Game Records'!$D:$D,$H150)&amp;"")="finalized",INDEX('Game Records'!$U:$U,$H150)&lt;&gt;"Subscription",INDEX('Game Records'!$U:$U,$H150)&lt;&gt;"Free Game",INDEX('Game Records'!$U:$U,$H150)&lt;&gt;"Disqualified — Free Game",OR(INDEX('Game Records'!$L:$L,$H150)="",LOWER(INDEX('Game Records'!$L:$L,$H150)&amp;"")="n/a")),"Disqualified Status; ","")&amp;IF(AND(OR(LOWER(TRIM(INDEX('Game Records'!$F:$F,$H150)&amp;""))="free game",INDEX('Game Records'!$U:$U,$H150)="Free Game",INDEX('Game Records'!$U:$U,$H150)="Disqualified — Free Game"),N(INDEX('Game Records'!$H:$H,$H150))&lt;&gt;0),"Free Game has a non-zero Entry Fee. Free Game records require a $0 Entry Fee; ",""))</f>
        <v/>
      </c>
      <c r="G150" s="331" t="str">
        <f>IF($H150="","",IFERROR(INDEX('Game Records'!$M:$M,$H150),""))</f>
        <v/>
      </c>
      <c r="H150" s="104" t="str">
        <f>IF($H149="","",IFERROR(MATCH(1,INDEX((ROW('Game Records'!$U$5:$U$504)&gt;$H149)*(('Game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0" s="104"/>
      <c r="J150" s="104"/>
    </row>
    <row r="151" ht="24" hidden="0" customHeight="1">
      <c r="A151" s="332" t="str">
        <f>IF($H151="","",ROWS($A$5:A151))</f>
        <v/>
      </c>
      <c r="B151" s="332" t="str">
        <f>IF($H151="","","G-"&amp;TEXT($A151,"0000"))</f>
        <v/>
      </c>
      <c r="C151" s="331" t="str">
        <f>IF($H151="","",IFERROR(INDEX('Game Records'!$A:$A,$H151),""))</f>
        <v/>
      </c>
      <c r="D151" s="331" t="str">
        <f>IF($H151="","",IFERROR(INDEX('Game Records'!$U:$U,$H151),""))</f>
        <v/>
      </c>
      <c r="E151" s="331" t="str">
        <f>IF($H151="","",IF($F151="","No Highlighted Fields","Highlighted Fields Present"))</f>
        <v/>
      </c>
      <c r="F151" s="331" t="str">
        <f>IF($H151="","",IF(OR(NOT(ISFORMULA(INDEX('Game Records'!$N:$N,$H151))),NOT(ISFORMULA(INDEX('Game Records'!$O:$O,$H151))),NOT(ISFORMULA(INDEX('Game Records'!$P:$P,$H151))),NOT(ISFORMULA(INDEX('Game Records'!$Q:$Q,$H151))),NOT(ISFORMULA(INDEX('Game Records'!$R:$R,$H151))),NOT(ISFORMULA(INDEX('Game Records'!$S:$S,$H151))),NOT(ISFORMULA(INDEX('Game Records'!$T:$T,$H151))),NOT(ISFORMULA(INDEX('Game Records'!$U:$U,$H151))),NOT(ISFORMULA(INDEX('Game Records'!$V:$V,$H151))),NOT(ISFORMULA(INDEX('Game Records'!$W:$W,$H151))),NOT(ISFORMULA(INDEX('Game Records'!$X:$X,$H151))),NOT(ISFORMULA(INDEX('Game Records'!$Y:$Y,$H151))),NOT(ISFORMULA(INDEX('Game Records'!$Z:$Z,$H151)))),"Formula columns missing; ","")&amp;IF(INDEX('Game Records'!$B:$B,$H151)="","Start Date; ","")&amp;IF(INDEX('Game Records'!$C:$C,$H151)="","End Date; ","")&amp;IF(AND(INDEX('Game Records'!$U:$U,$H151)&lt;&gt;"Subscription",INDEX('Game Records'!$U:$U,$H151)&lt;&gt;"Free Game",INDEX('Game Records'!$U:$U,$H151)&lt;&gt;"Disqualified — Free Game",OR(INDEX('Game Records'!$D:$D,$H151)="",LOWER(INDEX('Game Records'!$D:$D,$H151)&amp;"")="n/a")),"Entry Mode; ","")&amp;IF(AND(INDEX('Game Records'!$U:$U,$H151)&lt;&gt;"Subscription",INDEX('Game Records'!$U:$U,$H151)&lt;&gt;"Free Game",INDEX('Game Records'!$U:$U,$H151)&lt;&gt;"Disqualified — Free Game",OR(INDEX('Game Records'!$E:$E,$H151)="",LOWER(INDEX('Game Records'!$E:$E,$H151)&amp;"")="n/a")),"Game Type; ","")&amp;IF(INDEX('Game Records'!$F:$F,$H151)="","Payment Type; ","")&amp;IF(AND(INDEX('Game Records'!$U:$U,$H151)&lt;&gt;"Subscription",INDEX('Game Records'!$U:$U,$H151)&lt;&gt;"Free Game",INDEX('Game Records'!$U:$U,$H151)&lt;&gt;"Disqualified — Free Game",INDEX('Game Records'!$G:$G,$H151)=""),"Gross Pot; ","")&amp;IF(AND(INDEX('Game Records'!$U:$U,$H151)&lt;&gt;"Free Game",INDEX('Game Records'!$U:$U,$H151)&lt;&gt;"Disqualified — Free Game",INDEX('Game Records'!$H:$H,$H151)=""),"Entry Fee; ","")&amp;IF(AND(INDEX('Game Records'!$U:$U,$H151)&lt;&gt;"Subscription",INDEX('Game Records'!$U:$U,$H151)&lt;&gt;"Free Game",INDEX('Game Records'!$U:$U,$H151)&lt;&gt;"Disqualified — Free Game",INDEX('Game Records'!$I:$I,$H151)=""),"Eligible Players; ","")&amp;IF(AND(INDEX('Game Records'!$U:$U,$H151)&lt;&gt;"Subscription",INDEX('Game Records'!$U:$U,$H151)&lt;&gt;"Free Game",INDEX('Game Records'!$U:$U,$H151)&lt;&gt;"Disqualified — Free Game",INDEX('Game Records'!$J:$J,$H151)=""),"Total Players; ","")&amp;IF(AND(LOWER(INDEX('Game Records'!$D:$D,$H151)&amp;"")="finalized",LOWER(INDEX('Game Records'!$L:$L,$H151)&amp;"")&lt;&gt;"yes",INDEX('Game Records'!$U:$U,$H151)&lt;&gt;"Subscription",INDEX('Game Records'!$U:$U,$H151)&lt;&gt;"Free Game",INDEX('Game Records'!$U:$U,$H151)&lt;&gt;"Disqualified — Free Game",INDEX('Game Records'!$K:$K,$H151)=""),"Final Earned; ","")&amp;IF(AND(LOWER(INDEX('Game Records'!$D:$D,$H151)&amp;"")="finalized",INDEX('Game Records'!$U:$U,$H151)&lt;&gt;"Subscription",INDEX('Game Records'!$U:$U,$H151)&lt;&gt;"Free Game",INDEX('Game Records'!$U:$U,$H151)&lt;&gt;"Disqualified — Free Game",OR(INDEX('Game Records'!$L:$L,$H151)="",LOWER(INDEX('Game Records'!$L:$L,$H151)&amp;"")="n/a")),"Disqualified Status; ","")&amp;IF(AND(OR(LOWER(TRIM(INDEX('Game Records'!$F:$F,$H151)&amp;""))="free game",INDEX('Game Records'!$U:$U,$H151)="Free Game",INDEX('Game Records'!$U:$U,$H151)="Disqualified — Free Game"),N(INDEX('Game Records'!$H:$H,$H151))&lt;&gt;0),"Free Game has a non-zero Entry Fee. Free Game records require a $0 Entry Fee; ",""))</f>
        <v/>
      </c>
      <c r="G151" s="331" t="str">
        <f>IF($H151="","",IFERROR(INDEX('Game Records'!$M:$M,$H151),""))</f>
        <v/>
      </c>
      <c r="H151" s="104" t="str">
        <f>IF($H150="","",IFERROR(MATCH(1,INDEX((ROW('Game Records'!$U$5:$U$504)&gt;$H150)*(('Game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1" s="104"/>
      <c r="J151" s="104"/>
    </row>
    <row r="152" ht="24" hidden="0" customHeight="1">
      <c r="A152" s="332" t="str">
        <f>IF($H152="","",ROWS($A$5:A152))</f>
        <v/>
      </c>
      <c r="B152" s="332" t="str">
        <f>IF($H152="","","G-"&amp;TEXT($A152,"0000"))</f>
        <v/>
      </c>
      <c r="C152" s="331" t="str">
        <f>IF($H152="","",IFERROR(INDEX('Game Records'!$A:$A,$H152),""))</f>
        <v/>
      </c>
      <c r="D152" s="331" t="str">
        <f>IF($H152="","",IFERROR(INDEX('Game Records'!$U:$U,$H152),""))</f>
        <v/>
      </c>
      <c r="E152" s="331" t="str">
        <f>IF($H152="","",IF($F152="","No Highlighted Fields","Highlighted Fields Present"))</f>
        <v/>
      </c>
      <c r="F152" s="331" t="str">
        <f>IF($H152="","",IF(OR(NOT(ISFORMULA(INDEX('Game Records'!$N:$N,$H152))),NOT(ISFORMULA(INDEX('Game Records'!$O:$O,$H152))),NOT(ISFORMULA(INDEX('Game Records'!$P:$P,$H152))),NOT(ISFORMULA(INDEX('Game Records'!$Q:$Q,$H152))),NOT(ISFORMULA(INDEX('Game Records'!$R:$R,$H152))),NOT(ISFORMULA(INDEX('Game Records'!$S:$S,$H152))),NOT(ISFORMULA(INDEX('Game Records'!$T:$T,$H152))),NOT(ISFORMULA(INDEX('Game Records'!$U:$U,$H152))),NOT(ISFORMULA(INDEX('Game Records'!$V:$V,$H152))),NOT(ISFORMULA(INDEX('Game Records'!$W:$W,$H152))),NOT(ISFORMULA(INDEX('Game Records'!$X:$X,$H152))),NOT(ISFORMULA(INDEX('Game Records'!$Y:$Y,$H152))),NOT(ISFORMULA(INDEX('Game Records'!$Z:$Z,$H152)))),"Formula columns missing; ","")&amp;IF(INDEX('Game Records'!$B:$B,$H152)="","Start Date; ","")&amp;IF(INDEX('Game Records'!$C:$C,$H152)="","End Date; ","")&amp;IF(AND(INDEX('Game Records'!$U:$U,$H152)&lt;&gt;"Subscription",INDEX('Game Records'!$U:$U,$H152)&lt;&gt;"Free Game",INDEX('Game Records'!$U:$U,$H152)&lt;&gt;"Disqualified — Free Game",OR(INDEX('Game Records'!$D:$D,$H152)="",LOWER(INDEX('Game Records'!$D:$D,$H152)&amp;"")="n/a")),"Entry Mode; ","")&amp;IF(AND(INDEX('Game Records'!$U:$U,$H152)&lt;&gt;"Subscription",INDEX('Game Records'!$U:$U,$H152)&lt;&gt;"Free Game",INDEX('Game Records'!$U:$U,$H152)&lt;&gt;"Disqualified — Free Game",OR(INDEX('Game Records'!$E:$E,$H152)="",LOWER(INDEX('Game Records'!$E:$E,$H152)&amp;"")="n/a")),"Game Type; ","")&amp;IF(INDEX('Game Records'!$F:$F,$H152)="","Payment Type; ","")&amp;IF(AND(INDEX('Game Records'!$U:$U,$H152)&lt;&gt;"Subscription",INDEX('Game Records'!$U:$U,$H152)&lt;&gt;"Free Game",INDEX('Game Records'!$U:$U,$H152)&lt;&gt;"Disqualified — Free Game",INDEX('Game Records'!$G:$G,$H152)=""),"Gross Pot; ","")&amp;IF(AND(INDEX('Game Records'!$U:$U,$H152)&lt;&gt;"Free Game",INDEX('Game Records'!$U:$U,$H152)&lt;&gt;"Disqualified — Free Game",INDEX('Game Records'!$H:$H,$H152)=""),"Entry Fee; ","")&amp;IF(AND(INDEX('Game Records'!$U:$U,$H152)&lt;&gt;"Subscription",INDEX('Game Records'!$U:$U,$H152)&lt;&gt;"Free Game",INDEX('Game Records'!$U:$U,$H152)&lt;&gt;"Disqualified — Free Game",INDEX('Game Records'!$I:$I,$H152)=""),"Eligible Players; ","")&amp;IF(AND(INDEX('Game Records'!$U:$U,$H152)&lt;&gt;"Subscription",INDEX('Game Records'!$U:$U,$H152)&lt;&gt;"Free Game",INDEX('Game Records'!$U:$U,$H152)&lt;&gt;"Disqualified — Free Game",INDEX('Game Records'!$J:$J,$H152)=""),"Total Players; ","")&amp;IF(AND(LOWER(INDEX('Game Records'!$D:$D,$H152)&amp;"")="finalized",LOWER(INDEX('Game Records'!$L:$L,$H152)&amp;"")&lt;&gt;"yes",INDEX('Game Records'!$U:$U,$H152)&lt;&gt;"Subscription",INDEX('Game Records'!$U:$U,$H152)&lt;&gt;"Free Game",INDEX('Game Records'!$U:$U,$H152)&lt;&gt;"Disqualified — Free Game",INDEX('Game Records'!$K:$K,$H152)=""),"Final Earned; ","")&amp;IF(AND(LOWER(INDEX('Game Records'!$D:$D,$H152)&amp;"")="finalized",INDEX('Game Records'!$U:$U,$H152)&lt;&gt;"Subscription",INDEX('Game Records'!$U:$U,$H152)&lt;&gt;"Free Game",INDEX('Game Records'!$U:$U,$H152)&lt;&gt;"Disqualified — Free Game",OR(INDEX('Game Records'!$L:$L,$H152)="",LOWER(INDEX('Game Records'!$L:$L,$H152)&amp;"")="n/a")),"Disqualified Status; ","")&amp;IF(AND(OR(LOWER(TRIM(INDEX('Game Records'!$F:$F,$H152)&amp;""))="free game",INDEX('Game Records'!$U:$U,$H152)="Free Game",INDEX('Game Records'!$U:$U,$H152)="Disqualified — Free Game"),N(INDEX('Game Records'!$H:$H,$H152))&lt;&gt;0),"Free Game has a non-zero Entry Fee. Free Game records require a $0 Entry Fee; ",""))</f>
        <v/>
      </c>
      <c r="G152" s="331" t="str">
        <f>IF($H152="","",IFERROR(INDEX('Game Records'!$M:$M,$H152),""))</f>
        <v/>
      </c>
      <c r="H152" s="104" t="str">
        <f>IF($H151="","",IFERROR(MATCH(1,INDEX((ROW('Game Records'!$U$5:$U$504)&gt;$H151)*(('Game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2" s="104"/>
      <c r="J152" s="104"/>
    </row>
    <row r="153" ht="24" hidden="0" customHeight="1">
      <c r="A153" s="332" t="str">
        <f>IF($H153="","",ROWS($A$5:A153))</f>
        <v/>
      </c>
      <c r="B153" s="332" t="str">
        <f>IF($H153="","","G-"&amp;TEXT($A153,"0000"))</f>
        <v/>
      </c>
      <c r="C153" s="331" t="str">
        <f>IF($H153="","",IFERROR(INDEX('Game Records'!$A:$A,$H153),""))</f>
        <v/>
      </c>
      <c r="D153" s="331" t="str">
        <f>IF($H153="","",IFERROR(INDEX('Game Records'!$U:$U,$H153),""))</f>
        <v/>
      </c>
      <c r="E153" s="331" t="str">
        <f>IF($H153="","",IF($F153="","No Highlighted Fields","Highlighted Fields Present"))</f>
        <v/>
      </c>
      <c r="F153" s="331" t="str">
        <f>IF($H153="","",IF(OR(NOT(ISFORMULA(INDEX('Game Records'!$N:$N,$H153))),NOT(ISFORMULA(INDEX('Game Records'!$O:$O,$H153))),NOT(ISFORMULA(INDEX('Game Records'!$P:$P,$H153))),NOT(ISFORMULA(INDEX('Game Records'!$Q:$Q,$H153))),NOT(ISFORMULA(INDEX('Game Records'!$R:$R,$H153))),NOT(ISFORMULA(INDEX('Game Records'!$S:$S,$H153))),NOT(ISFORMULA(INDEX('Game Records'!$T:$T,$H153))),NOT(ISFORMULA(INDEX('Game Records'!$U:$U,$H153))),NOT(ISFORMULA(INDEX('Game Records'!$V:$V,$H153))),NOT(ISFORMULA(INDEX('Game Records'!$W:$W,$H153))),NOT(ISFORMULA(INDEX('Game Records'!$X:$X,$H153))),NOT(ISFORMULA(INDEX('Game Records'!$Y:$Y,$H153))),NOT(ISFORMULA(INDEX('Game Records'!$Z:$Z,$H153)))),"Formula columns missing; ","")&amp;IF(INDEX('Game Records'!$B:$B,$H153)="","Start Date; ","")&amp;IF(INDEX('Game Records'!$C:$C,$H153)="","End Date; ","")&amp;IF(AND(INDEX('Game Records'!$U:$U,$H153)&lt;&gt;"Subscription",INDEX('Game Records'!$U:$U,$H153)&lt;&gt;"Free Game",INDEX('Game Records'!$U:$U,$H153)&lt;&gt;"Disqualified — Free Game",OR(INDEX('Game Records'!$D:$D,$H153)="",LOWER(INDEX('Game Records'!$D:$D,$H153)&amp;"")="n/a")),"Entry Mode; ","")&amp;IF(AND(INDEX('Game Records'!$U:$U,$H153)&lt;&gt;"Subscription",INDEX('Game Records'!$U:$U,$H153)&lt;&gt;"Free Game",INDEX('Game Records'!$U:$U,$H153)&lt;&gt;"Disqualified — Free Game",OR(INDEX('Game Records'!$E:$E,$H153)="",LOWER(INDEX('Game Records'!$E:$E,$H153)&amp;"")="n/a")),"Game Type; ","")&amp;IF(INDEX('Game Records'!$F:$F,$H153)="","Payment Type; ","")&amp;IF(AND(INDEX('Game Records'!$U:$U,$H153)&lt;&gt;"Subscription",INDEX('Game Records'!$U:$U,$H153)&lt;&gt;"Free Game",INDEX('Game Records'!$U:$U,$H153)&lt;&gt;"Disqualified — Free Game",INDEX('Game Records'!$G:$G,$H153)=""),"Gross Pot; ","")&amp;IF(AND(INDEX('Game Records'!$U:$U,$H153)&lt;&gt;"Free Game",INDEX('Game Records'!$U:$U,$H153)&lt;&gt;"Disqualified — Free Game",INDEX('Game Records'!$H:$H,$H153)=""),"Entry Fee; ","")&amp;IF(AND(INDEX('Game Records'!$U:$U,$H153)&lt;&gt;"Subscription",INDEX('Game Records'!$U:$U,$H153)&lt;&gt;"Free Game",INDEX('Game Records'!$U:$U,$H153)&lt;&gt;"Disqualified — Free Game",INDEX('Game Records'!$I:$I,$H153)=""),"Eligible Players; ","")&amp;IF(AND(INDEX('Game Records'!$U:$U,$H153)&lt;&gt;"Subscription",INDEX('Game Records'!$U:$U,$H153)&lt;&gt;"Free Game",INDEX('Game Records'!$U:$U,$H153)&lt;&gt;"Disqualified — Free Game",INDEX('Game Records'!$J:$J,$H153)=""),"Total Players; ","")&amp;IF(AND(LOWER(INDEX('Game Records'!$D:$D,$H153)&amp;"")="finalized",LOWER(INDEX('Game Records'!$L:$L,$H153)&amp;"")&lt;&gt;"yes",INDEX('Game Records'!$U:$U,$H153)&lt;&gt;"Subscription",INDEX('Game Records'!$U:$U,$H153)&lt;&gt;"Free Game",INDEX('Game Records'!$U:$U,$H153)&lt;&gt;"Disqualified — Free Game",INDEX('Game Records'!$K:$K,$H153)=""),"Final Earned; ","")&amp;IF(AND(LOWER(INDEX('Game Records'!$D:$D,$H153)&amp;"")="finalized",INDEX('Game Records'!$U:$U,$H153)&lt;&gt;"Subscription",INDEX('Game Records'!$U:$U,$H153)&lt;&gt;"Free Game",INDEX('Game Records'!$U:$U,$H153)&lt;&gt;"Disqualified — Free Game",OR(INDEX('Game Records'!$L:$L,$H153)="",LOWER(INDEX('Game Records'!$L:$L,$H153)&amp;"")="n/a")),"Disqualified Status; ","")&amp;IF(AND(OR(LOWER(TRIM(INDEX('Game Records'!$F:$F,$H153)&amp;""))="free game",INDEX('Game Records'!$U:$U,$H153)="Free Game",INDEX('Game Records'!$U:$U,$H153)="Disqualified — Free Game"),N(INDEX('Game Records'!$H:$H,$H153))&lt;&gt;0),"Free Game has a non-zero Entry Fee. Free Game records require a $0 Entry Fee; ",""))</f>
        <v/>
      </c>
      <c r="G153" s="331" t="str">
        <f>IF($H153="","",IFERROR(INDEX('Game Records'!$M:$M,$H153),""))</f>
        <v/>
      </c>
      <c r="H153" s="104" t="str">
        <f>IF($H152="","",IFERROR(MATCH(1,INDEX((ROW('Game Records'!$U$5:$U$504)&gt;$H152)*(('Game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3" s="104"/>
      <c r="J153" s="104"/>
    </row>
    <row r="154" ht="24" hidden="0" customHeight="1">
      <c r="A154" s="332" t="str">
        <f>IF($H154="","",ROWS($A$5:A154))</f>
        <v/>
      </c>
      <c r="B154" s="332" t="str">
        <f>IF($H154="","","G-"&amp;TEXT($A154,"0000"))</f>
        <v/>
      </c>
      <c r="C154" s="331" t="str">
        <f>IF($H154="","",IFERROR(INDEX('Game Records'!$A:$A,$H154),""))</f>
        <v/>
      </c>
      <c r="D154" s="331" t="str">
        <f>IF($H154="","",IFERROR(INDEX('Game Records'!$U:$U,$H154),""))</f>
        <v/>
      </c>
      <c r="E154" s="331" t="str">
        <f>IF($H154="","",IF($F154="","No Highlighted Fields","Highlighted Fields Present"))</f>
        <v/>
      </c>
      <c r="F154" s="331" t="str">
        <f>IF($H154="","",IF(OR(NOT(ISFORMULA(INDEX('Game Records'!$N:$N,$H154))),NOT(ISFORMULA(INDEX('Game Records'!$O:$O,$H154))),NOT(ISFORMULA(INDEX('Game Records'!$P:$P,$H154))),NOT(ISFORMULA(INDEX('Game Records'!$Q:$Q,$H154))),NOT(ISFORMULA(INDEX('Game Records'!$R:$R,$H154))),NOT(ISFORMULA(INDEX('Game Records'!$S:$S,$H154))),NOT(ISFORMULA(INDEX('Game Records'!$T:$T,$H154))),NOT(ISFORMULA(INDEX('Game Records'!$U:$U,$H154))),NOT(ISFORMULA(INDEX('Game Records'!$V:$V,$H154))),NOT(ISFORMULA(INDEX('Game Records'!$W:$W,$H154))),NOT(ISFORMULA(INDEX('Game Records'!$X:$X,$H154))),NOT(ISFORMULA(INDEX('Game Records'!$Y:$Y,$H154))),NOT(ISFORMULA(INDEX('Game Records'!$Z:$Z,$H154)))),"Formula columns missing; ","")&amp;IF(INDEX('Game Records'!$B:$B,$H154)="","Start Date; ","")&amp;IF(INDEX('Game Records'!$C:$C,$H154)="","End Date; ","")&amp;IF(AND(INDEX('Game Records'!$U:$U,$H154)&lt;&gt;"Subscription",INDEX('Game Records'!$U:$U,$H154)&lt;&gt;"Free Game",INDEX('Game Records'!$U:$U,$H154)&lt;&gt;"Disqualified — Free Game",OR(INDEX('Game Records'!$D:$D,$H154)="",LOWER(INDEX('Game Records'!$D:$D,$H154)&amp;"")="n/a")),"Entry Mode; ","")&amp;IF(AND(INDEX('Game Records'!$U:$U,$H154)&lt;&gt;"Subscription",INDEX('Game Records'!$U:$U,$H154)&lt;&gt;"Free Game",INDEX('Game Records'!$U:$U,$H154)&lt;&gt;"Disqualified — Free Game",OR(INDEX('Game Records'!$E:$E,$H154)="",LOWER(INDEX('Game Records'!$E:$E,$H154)&amp;"")="n/a")),"Game Type; ","")&amp;IF(INDEX('Game Records'!$F:$F,$H154)="","Payment Type; ","")&amp;IF(AND(INDEX('Game Records'!$U:$U,$H154)&lt;&gt;"Subscription",INDEX('Game Records'!$U:$U,$H154)&lt;&gt;"Free Game",INDEX('Game Records'!$U:$U,$H154)&lt;&gt;"Disqualified — Free Game",INDEX('Game Records'!$G:$G,$H154)=""),"Gross Pot; ","")&amp;IF(AND(INDEX('Game Records'!$U:$U,$H154)&lt;&gt;"Free Game",INDEX('Game Records'!$U:$U,$H154)&lt;&gt;"Disqualified — Free Game",INDEX('Game Records'!$H:$H,$H154)=""),"Entry Fee; ","")&amp;IF(AND(INDEX('Game Records'!$U:$U,$H154)&lt;&gt;"Subscription",INDEX('Game Records'!$U:$U,$H154)&lt;&gt;"Free Game",INDEX('Game Records'!$U:$U,$H154)&lt;&gt;"Disqualified — Free Game",INDEX('Game Records'!$I:$I,$H154)=""),"Eligible Players; ","")&amp;IF(AND(INDEX('Game Records'!$U:$U,$H154)&lt;&gt;"Subscription",INDEX('Game Records'!$U:$U,$H154)&lt;&gt;"Free Game",INDEX('Game Records'!$U:$U,$H154)&lt;&gt;"Disqualified — Free Game",INDEX('Game Records'!$J:$J,$H154)=""),"Total Players; ","")&amp;IF(AND(LOWER(INDEX('Game Records'!$D:$D,$H154)&amp;"")="finalized",LOWER(INDEX('Game Records'!$L:$L,$H154)&amp;"")&lt;&gt;"yes",INDEX('Game Records'!$U:$U,$H154)&lt;&gt;"Subscription",INDEX('Game Records'!$U:$U,$H154)&lt;&gt;"Free Game",INDEX('Game Records'!$U:$U,$H154)&lt;&gt;"Disqualified — Free Game",INDEX('Game Records'!$K:$K,$H154)=""),"Final Earned; ","")&amp;IF(AND(LOWER(INDEX('Game Records'!$D:$D,$H154)&amp;"")="finalized",INDEX('Game Records'!$U:$U,$H154)&lt;&gt;"Subscription",INDEX('Game Records'!$U:$U,$H154)&lt;&gt;"Free Game",INDEX('Game Records'!$U:$U,$H154)&lt;&gt;"Disqualified — Free Game",OR(INDEX('Game Records'!$L:$L,$H154)="",LOWER(INDEX('Game Records'!$L:$L,$H154)&amp;"")="n/a")),"Disqualified Status; ","")&amp;IF(AND(OR(LOWER(TRIM(INDEX('Game Records'!$F:$F,$H154)&amp;""))="free game",INDEX('Game Records'!$U:$U,$H154)="Free Game",INDEX('Game Records'!$U:$U,$H154)="Disqualified — Free Game"),N(INDEX('Game Records'!$H:$H,$H154))&lt;&gt;0),"Free Game has a non-zero Entry Fee. Free Game records require a $0 Entry Fee; ",""))</f>
        <v/>
      </c>
      <c r="G154" s="331" t="str">
        <f>IF($H154="","",IFERROR(INDEX('Game Records'!$M:$M,$H154),""))</f>
        <v/>
      </c>
      <c r="H154" s="104" t="str">
        <f>IF($H153="","",IFERROR(MATCH(1,INDEX((ROW('Game Records'!$U$5:$U$504)&gt;$H153)*(('Game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4" s="104"/>
      <c r="J154" s="104"/>
    </row>
    <row r="155" ht="24" hidden="0" customHeight="1">
      <c r="A155" s="332" t="str">
        <f>IF($H155="","",ROWS($A$5:A155))</f>
        <v/>
      </c>
      <c r="B155" s="332" t="str">
        <f>IF($H155="","","G-"&amp;TEXT($A155,"0000"))</f>
        <v/>
      </c>
      <c r="C155" s="331" t="str">
        <f>IF($H155="","",IFERROR(INDEX('Game Records'!$A:$A,$H155),""))</f>
        <v/>
      </c>
      <c r="D155" s="331" t="str">
        <f>IF($H155="","",IFERROR(INDEX('Game Records'!$U:$U,$H155),""))</f>
        <v/>
      </c>
      <c r="E155" s="331" t="str">
        <f>IF($H155="","",IF($F155="","No Highlighted Fields","Highlighted Fields Present"))</f>
        <v/>
      </c>
      <c r="F155" s="331" t="str">
        <f>IF($H155="","",IF(OR(NOT(ISFORMULA(INDEX('Game Records'!$N:$N,$H155))),NOT(ISFORMULA(INDEX('Game Records'!$O:$O,$H155))),NOT(ISFORMULA(INDEX('Game Records'!$P:$P,$H155))),NOT(ISFORMULA(INDEX('Game Records'!$Q:$Q,$H155))),NOT(ISFORMULA(INDEX('Game Records'!$R:$R,$H155))),NOT(ISFORMULA(INDEX('Game Records'!$S:$S,$H155))),NOT(ISFORMULA(INDEX('Game Records'!$T:$T,$H155))),NOT(ISFORMULA(INDEX('Game Records'!$U:$U,$H155))),NOT(ISFORMULA(INDEX('Game Records'!$V:$V,$H155))),NOT(ISFORMULA(INDEX('Game Records'!$W:$W,$H155))),NOT(ISFORMULA(INDEX('Game Records'!$X:$X,$H155))),NOT(ISFORMULA(INDEX('Game Records'!$Y:$Y,$H155))),NOT(ISFORMULA(INDEX('Game Records'!$Z:$Z,$H155)))),"Formula columns missing; ","")&amp;IF(INDEX('Game Records'!$B:$B,$H155)="","Start Date; ","")&amp;IF(INDEX('Game Records'!$C:$C,$H155)="","End Date; ","")&amp;IF(AND(INDEX('Game Records'!$U:$U,$H155)&lt;&gt;"Subscription",INDEX('Game Records'!$U:$U,$H155)&lt;&gt;"Free Game",INDEX('Game Records'!$U:$U,$H155)&lt;&gt;"Disqualified — Free Game",OR(INDEX('Game Records'!$D:$D,$H155)="",LOWER(INDEX('Game Records'!$D:$D,$H155)&amp;"")="n/a")),"Entry Mode; ","")&amp;IF(AND(INDEX('Game Records'!$U:$U,$H155)&lt;&gt;"Subscription",INDEX('Game Records'!$U:$U,$H155)&lt;&gt;"Free Game",INDEX('Game Records'!$U:$U,$H155)&lt;&gt;"Disqualified — Free Game",OR(INDEX('Game Records'!$E:$E,$H155)="",LOWER(INDEX('Game Records'!$E:$E,$H155)&amp;"")="n/a")),"Game Type; ","")&amp;IF(INDEX('Game Records'!$F:$F,$H155)="","Payment Type; ","")&amp;IF(AND(INDEX('Game Records'!$U:$U,$H155)&lt;&gt;"Subscription",INDEX('Game Records'!$U:$U,$H155)&lt;&gt;"Free Game",INDEX('Game Records'!$U:$U,$H155)&lt;&gt;"Disqualified — Free Game",INDEX('Game Records'!$G:$G,$H155)=""),"Gross Pot; ","")&amp;IF(AND(INDEX('Game Records'!$U:$U,$H155)&lt;&gt;"Free Game",INDEX('Game Records'!$U:$U,$H155)&lt;&gt;"Disqualified — Free Game",INDEX('Game Records'!$H:$H,$H155)=""),"Entry Fee; ","")&amp;IF(AND(INDEX('Game Records'!$U:$U,$H155)&lt;&gt;"Subscription",INDEX('Game Records'!$U:$U,$H155)&lt;&gt;"Free Game",INDEX('Game Records'!$U:$U,$H155)&lt;&gt;"Disqualified — Free Game",INDEX('Game Records'!$I:$I,$H155)=""),"Eligible Players; ","")&amp;IF(AND(INDEX('Game Records'!$U:$U,$H155)&lt;&gt;"Subscription",INDEX('Game Records'!$U:$U,$H155)&lt;&gt;"Free Game",INDEX('Game Records'!$U:$U,$H155)&lt;&gt;"Disqualified — Free Game",INDEX('Game Records'!$J:$J,$H155)=""),"Total Players; ","")&amp;IF(AND(LOWER(INDEX('Game Records'!$D:$D,$H155)&amp;"")="finalized",LOWER(INDEX('Game Records'!$L:$L,$H155)&amp;"")&lt;&gt;"yes",INDEX('Game Records'!$U:$U,$H155)&lt;&gt;"Subscription",INDEX('Game Records'!$U:$U,$H155)&lt;&gt;"Free Game",INDEX('Game Records'!$U:$U,$H155)&lt;&gt;"Disqualified — Free Game",INDEX('Game Records'!$K:$K,$H155)=""),"Final Earned; ","")&amp;IF(AND(LOWER(INDEX('Game Records'!$D:$D,$H155)&amp;"")="finalized",INDEX('Game Records'!$U:$U,$H155)&lt;&gt;"Subscription",INDEX('Game Records'!$U:$U,$H155)&lt;&gt;"Free Game",INDEX('Game Records'!$U:$U,$H155)&lt;&gt;"Disqualified — Free Game",OR(INDEX('Game Records'!$L:$L,$H155)="",LOWER(INDEX('Game Records'!$L:$L,$H155)&amp;"")="n/a")),"Disqualified Status; ","")&amp;IF(AND(OR(LOWER(TRIM(INDEX('Game Records'!$F:$F,$H155)&amp;""))="free game",INDEX('Game Records'!$U:$U,$H155)="Free Game",INDEX('Game Records'!$U:$U,$H155)="Disqualified — Free Game"),N(INDEX('Game Records'!$H:$H,$H155))&lt;&gt;0),"Free Game has a non-zero Entry Fee. Free Game records require a $0 Entry Fee; ",""))</f>
        <v/>
      </c>
      <c r="G155" s="331" t="str">
        <f>IF($H155="","",IFERROR(INDEX('Game Records'!$M:$M,$H155),""))</f>
        <v/>
      </c>
      <c r="H155" s="104" t="str">
        <f>IF($H154="","",IFERROR(MATCH(1,INDEX((ROW('Game Records'!$U$5:$U$504)&gt;$H154)*(('Game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5" s="104"/>
      <c r="J155" s="104"/>
    </row>
    <row r="156" ht="24" hidden="0" customHeight="1">
      <c r="A156" s="332" t="str">
        <f>IF($H156="","",ROWS($A$5:A156))</f>
        <v/>
      </c>
      <c r="B156" s="332" t="str">
        <f>IF($H156="","","G-"&amp;TEXT($A156,"0000"))</f>
        <v/>
      </c>
      <c r="C156" s="331" t="str">
        <f>IF($H156="","",IFERROR(INDEX('Game Records'!$A:$A,$H156),""))</f>
        <v/>
      </c>
      <c r="D156" s="331" t="str">
        <f>IF($H156="","",IFERROR(INDEX('Game Records'!$U:$U,$H156),""))</f>
        <v/>
      </c>
      <c r="E156" s="331" t="str">
        <f>IF($H156="","",IF($F156="","No Highlighted Fields","Highlighted Fields Present"))</f>
        <v/>
      </c>
      <c r="F156" s="331" t="str">
        <f>IF($H156="","",IF(OR(NOT(ISFORMULA(INDEX('Game Records'!$N:$N,$H156))),NOT(ISFORMULA(INDEX('Game Records'!$O:$O,$H156))),NOT(ISFORMULA(INDEX('Game Records'!$P:$P,$H156))),NOT(ISFORMULA(INDEX('Game Records'!$Q:$Q,$H156))),NOT(ISFORMULA(INDEX('Game Records'!$R:$R,$H156))),NOT(ISFORMULA(INDEX('Game Records'!$S:$S,$H156))),NOT(ISFORMULA(INDEX('Game Records'!$T:$T,$H156))),NOT(ISFORMULA(INDEX('Game Records'!$U:$U,$H156))),NOT(ISFORMULA(INDEX('Game Records'!$V:$V,$H156))),NOT(ISFORMULA(INDEX('Game Records'!$W:$W,$H156))),NOT(ISFORMULA(INDEX('Game Records'!$X:$X,$H156))),NOT(ISFORMULA(INDEX('Game Records'!$Y:$Y,$H156))),NOT(ISFORMULA(INDEX('Game Records'!$Z:$Z,$H156)))),"Formula columns missing; ","")&amp;IF(INDEX('Game Records'!$B:$B,$H156)="","Start Date; ","")&amp;IF(INDEX('Game Records'!$C:$C,$H156)="","End Date; ","")&amp;IF(AND(INDEX('Game Records'!$U:$U,$H156)&lt;&gt;"Subscription",INDEX('Game Records'!$U:$U,$H156)&lt;&gt;"Free Game",INDEX('Game Records'!$U:$U,$H156)&lt;&gt;"Disqualified — Free Game",OR(INDEX('Game Records'!$D:$D,$H156)="",LOWER(INDEX('Game Records'!$D:$D,$H156)&amp;"")="n/a")),"Entry Mode; ","")&amp;IF(AND(INDEX('Game Records'!$U:$U,$H156)&lt;&gt;"Subscription",INDEX('Game Records'!$U:$U,$H156)&lt;&gt;"Free Game",INDEX('Game Records'!$U:$U,$H156)&lt;&gt;"Disqualified — Free Game",OR(INDEX('Game Records'!$E:$E,$H156)="",LOWER(INDEX('Game Records'!$E:$E,$H156)&amp;"")="n/a")),"Game Type; ","")&amp;IF(INDEX('Game Records'!$F:$F,$H156)="","Payment Type; ","")&amp;IF(AND(INDEX('Game Records'!$U:$U,$H156)&lt;&gt;"Subscription",INDEX('Game Records'!$U:$U,$H156)&lt;&gt;"Free Game",INDEX('Game Records'!$U:$U,$H156)&lt;&gt;"Disqualified — Free Game",INDEX('Game Records'!$G:$G,$H156)=""),"Gross Pot; ","")&amp;IF(AND(INDEX('Game Records'!$U:$U,$H156)&lt;&gt;"Free Game",INDEX('Game Records'!$U:$U,$H156)&lt;&gt;"Disqualified — Free Game",INDEX('Game Records'!$H:$H,$H156)=""),"Entry Fee; ","")&amp;IF(AND(INDEX('Game Records'!$U:$U,$H156)&lt;&gt;"Subscription",INDEX('Game Records'!$U:$U,$H156)&lt;&gt;"Free Game",INDEX('Game Records'!$U:$U,$H156)&lt;&gt;"Disqualified — Free Game",INDEX('Game Records'!$I:$I,$H156)=""),"Eligible Players; ","")&amp;IF(AND(INDEX('Game Records'!$U:$U,$H156)&lt;&gt;"Subscription",INDEX('Game Records'!$U:$U,$H156)&lt;&gt;"Free Game",INDEX('Game Records'!$U:$U,$H156)&lt;&gt;"Disqualified — Free Game",INDEX('Game Records'!$J:$J,$H156)=""),"Total Players; ","")&amp;IF(AND(LOWER(INDEX('Game Records'!$D:$D,$H156)&amp;"")="finalized",LOWER(INDEX('Game Records'!$L:$L,$H156)&amp;"")&lt;&gt;"yes",INDEX('Game Records'!$U:$U,$H156)&lt;&gt;"Subscription",INDEX('Game Records'!$U:$U,$H156)&lt;&gt;"Free Game",INDEX('Game Records'!$U:$U,$H156)&lt;&gt;"Disqualified — Free Game",INDEX('Game Records'!$K:$K,$H156)=""),"Final Earned; ","")&amp;IF(AND(LOWER(INDEX('Game Records'!$D:$D,$H156)&amp;"")="finalized",INDEX('Game Records'!$U:$U,$H156)&lt;&gt;"Subscription",INDEX('Game Records'!$U:$U,$H156)&lt;&gt;"Free Game",INDEX('Game Records'!$U:$U,$H156)&lt;&gt;"Disqualified — Free Game",OR(INDEX('Game Records'!$L:$L,$H156)="",LOWER(INDEX('Game Records'!$L:$L,$H156)&amp;"")="n/a")),"Disqualified Status; ","")&amp;IF(AND(OR(LOWER(TRIM(INDEX('Game Records'!$F:$F,$H156)&amp;""))="free game",INDEX('Game Records'!$U:$U,$H156)="Free Game",INDEX('Game Records'!$U:$U,$H156)="Disqualified — Free Game"),N(INDEX('Game Records'!$H:$H,$H156))&lt;&gt;0),"Free Game has a non-zero Entry Fee. Free Game records require a $0 Entry Fee; ",""))</f>
        <v/>
      </c>
      <c r="G156" s="331" t="str">
        <f>IF($H156="","",IFERROR(INDEX('Game Records'!$M:$M,$H156),""))</f>
        <v/>
      </c>
      <c r="H156" s="104" t="str">
        <f>IF($H155="","",IFERROR(MATCH(1,INDEX((ROW('Game Records'!$U$5:$U$504)&gt;$H155)*(('Game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6" s="104"/>
      <c r="J156" s="104"/>
    </row>
    <row r="157" ht="24" hidden="0" customHeight="1">
      <c r="A157" s="332" t="str">
        <f>IF($H157="","",ROWS($A$5:A157))</f>
        <v/>
      </c>
      <c r="B157" s="332" t="str">
        <f>IF($H157="","","G-"&amp;TEXT($A157,"0000"))</f>
        <v/>
      </c>
      <c r="C157" s="331" t="str">
        <f>IF($H157="","",IFERROR(INDEX('Game Records'!$A:$A,$H157),""))</f>
        <v/>
      </c>
      <c r="D157" s="331" t="str">
        <f>IF($H157="","",IFERROR(INDEX('Game Records'!$U:$U,$H157),""))</f>
        <v/>
      </c>
      <c r="E157" s="331" t="str">
        <f>IF($H157="","",IF($F157="","No Highlighted Fields","Highlighted Fields Present"))</f>
        <v/>
      </c>
      <c r="F157" s="331" t="str">
        <f>IF($H157="","",IF(OR(NOT(ISFORMULA(INDEX('Game Records'!$N:$N,$H157))),NOT(ISFORMULA(INDEX('Game Records'!$O:$O,$H157))),NOT(ISFORMULA(INDEX('Game Records'!$P:$P,$H157))),NOT(ISFORMULA(INDEX('Game Records'!$Q:$Q,$H157))),NOT(ISFORMULA(INDEX('Game Records'!$R:$R,$H157))),NOT(ISFORMULA(INDEX('Game Records'!$S:$S,$H157))),NOT(ISFORMULA(INDEX('Game Records'!$T:$T,$H157))),NOT(ISFORMULA(INDEX('Game Records'!$U:$U,$H157))),NOT(ISFORMULA(INDEX('Game Records'!$V:$V,$H157))),NOT(ISFORMULA(INDEX('Game Records'!$W:$W,$H157))),NOT(ISFORMULA(INDEX('Game Records'!$X:$X,$H157))),NOT(ISFORMULA(INDEX('Game Records'!$Y:$Y,$H157))),NOT(ISFORMULA(INDEX('Game Records'!$Z:$Z,$H157)))),"Formula columns missing; ","")&amp;IF(INDEX('Game Records'!$B:$B,$H157)="","Start Date; ","")&amp;IF(INDEX('Game Records'!$C:$C,$H157)="","End Date; ","")&amp;IF(AND(INDEX('Game Records'!$U:$U,$H157)&lt;&gt;"Subscription",INDEX('Game Records'!$U:$U,$H157)&lt;&gt;"Free Game",INDEX('Game Records'!$U:$U,$H157)&lt;&gt;"Disqualified — Free Game",OR(INDEX('Game Records'!$D:$D,$H157)="",LOWER(INDEX('Game Records'!$D:$D,$H157)&amp;"")="n/a")),"Entry Mode; ","")&amp;IF(AND(INDEX('Game Records'!$U:$U,$H157)&lt;&gt;"Subscription",INDEX('Game Records'!$U:$U,$H157)&lt;&gt;"Free Game",INDEX('Game Records'!$U:$U,$H157)&lt;&gt;"Disqualified — Free Game",OR(INDEX('Game Records'!$E:$E,$H157)="",LOWER(INDEX('Game Records'!$E:$E,$H157)&amp;"")="n/a")),"Game Type; ","")&amp;IF(INDEX('Game Records'!$F:$F,$H157)="","Payment Type; ","")&amp;IF(AND(INDEX('Game Records'!$U:$U,$H157)&lt;&gt;"Subscription",INDEX('Game Records'!$U:$U,$H157)&lt;&gt;"Free Game",INDEX('Game Records'!$U:$U,$H157)&lt;&gt;"Disqualified — Free Game",INDEX('Game Records'!$G:$G,$H157)=""),"Gross Pot; ","")&amp;IF(AND(INDEX('Game Records'!$U:$U,$H157)&lt;&gt;"Free Game",INDEX('Game Records'!$U:$U,$H157)&lt;&gt;"Disqualified — Free Game",INDEX('Game Records'!$H:$H,$H157)=""),"Entry Fee; ","")&amp;IF(AND(INDEX('Game Records'!$U:$U,$H157)&lt;&gt;"Subscription",INDEX('Game Records'!$U:$U,$H157)&lt;&gt;"Free Game",INDEX('Game Records'!$U:$U,$H157)&lt;&gt;"Disqualified — Free Game",INDEX('Game Records'!$I:$I,$H157)=""),"Eligible Players; ","")&amp;IF(AND(INDEX('Game Records'!$U:$U,$H157)&lt;&gt;"Subscription",INDEX('Game Records'!$U:$U,$H157)&lt;&gt;"Free Game",INDEX('Game Records'!$U:$U,$H157)&lt;&gt;"Disqualified — Free Game",INDEX('Game Records'!$J:$J,$H157)=""),"Total Players; ","")&amp;IF(AND(LOWER(INDEX('Game Records'!$D:$D,$H157)&amp;"")="finalized",LOWER(INDEX('Game Records'!$L:$L,$H157)&amp;"")&lt;&gt;"yes",INDEX('Game Records'!$U:$U,$H157)&lt;&gt;"Subscription",INDEX('Game Records'!$U:$U,$H157)&lt;&gt;"Free Game",INDEX('Game Records'!$U:$U,$H157)&lt;&gt;"Disqualified — Free Game",INDEX('Game Records'!$K:$K,$H157)=""),"Final Earned; ","")&amp;IF(AND(LOWER(INDEX('Game Records'!$D:$D,$H157)&amp;"")="finalized",INDEX('Game Records'!$U:$U,$H157)&lt;&gt;"Subscription",INDEX('Game Records'!$U:$U,$H157)&lt;&gt;"Free Game",INDEX('Game Records'!$U:$U,$H157)&lt;&gt;"Disqualified — Free Game",OR(INDEX('Game Records'!$L:$L,$H157)="",LOWER(INDEX('Game Records'!$L:$L,$H157)&amp;"")="n/a")),"Disqualified Status; ","")&amp;IF(AND(OR(LOWER(TRIM(INDEX('Game Records'!$F:$F,$H157)&amp;""))="free game",INDEX('Game Records'!$U:$U,$H157)="Free Game",INDEX('Game Records'!$U:$U,$H157)="Disqualified — Free Game"),N(INDEX('Game Records'!$H:$H,$H157))&lt;&gt;0),"Free Game has a non-zero Entry Fee. Free Game records require a $0 Entry Fee; ",""))</f>
        <v/>
      </c>
      <c r="G157" s="331" t="str">
        <f>IF($H157="","",IFERROR(INDEX('Game Records'!$M:$M,$H157),""))</f>
        <v/>
      </c>
      <c r="H157" s="104" t="str">
        <f>IF($H156="","",IFERROR(MATCH(1,INDEX((ROW('Game Records'!$U$5:$U$504)&gt;$H156)*(('Game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7" s="104"/>
      <c r="J157" s="104"/>
    </row>
    <row r="158" ht="24" hidden="0" customHeight="1">
      <c r="A158" s="332" t="str">
        <f>IF($H158="","",ROWS($A$5:A158))</f>
        <v/>
      </c>
      <c r="B158" s="332" t="str">
        <f>IF($H158="","","G-"&amp;TEXT($A158,"0000"))</f>
        <v/>
      </c>
      <c r="C158" s="331" t="str">
        <f>IF($H158="","",IFERROR(INDEX('Game Records'!$A:$A,$H158),""))</f>
        <v/>
      </c>
      <c r="D158" s="331" t="str">
        <f>IF($H158="","",IFERROR(INDEX('Game Records'!$U:$U,$H158),""))</f>
        <v/>
      </c>
      <c r="E158" s="331" t="str">
        <f>IF($H158="","",IF($F158="","No Highlighted Fields","Highlighted Fields Present"))</f>
        <v/>
      </c>
      <c r="F158" s="331" t="str">
        <f>IF($H158="","",IF(OR(NOT(ISFORMULA(INDEX('Game Records'!$N:$N,$H158))),NOT(ISFORMULA(INDEX('Game Records'!$O:$O,$H158))),NOT(ISFORMULA(INDEX('Game Records'!$P:$P,$H158))),NOT(ISFORMULA(INDEX('Game Records'!$Q:$Q,$H158))),NOT(ISFORMULA(INDEX('Game Records'!$R:$R,$H158))),NOT(ISFORMULA(INDEX('Game Records'!$S:$S,$H158))),NOT(ISFORMULA(INDEX('Game Records'!$T:$T,$H158))),NOT(ISFORMULA(INDEX('Game Records'!$U:$U,$H158))),NOT(ISFORMULA(INDEX('Game Records'!$V:$V,$H158))),NOT(ISFORMULA(INDEX('Game Records'!$W:$W,$H158))),NOT(ISFORMULA(INDEX('Game Records'!$X:$X,$H158))),NOT(ISFORMULA(INDEX('Game Records'!$Y:$Y,$H158))),NOT(ISFORMULA(INDEX('Game Records'!$Z:$Z,$H158)))),"Formula columns missing; ","")&amp;IF(INDEX('Game Records'!$B:$B,$H158)="","Start Date; ","")&amp;IF(INDEX('Game Records'!$C:$C,$H158)="","End Date; ","")&amp;IF(AND(INDEX('Game Records'!$U:$U,$H158)&lt;&gt;"Subscription",INDEX('Game Records'!$U:$U,$H158)&lt;&gt;"Free Game",INDEX('Game Records'!$U:$U,$H158)&lt;&gt;"Disqualified — Free Game",OR(INDEX('Game Records'!$D:$D,$H158)="",LOWER(INDEX('Game Records'!$D:$D,$H158)&amp;"")="n/a")),"Entry Mode; ","")&amp;IF(AND(INDEX('Game Records'!$U:$U,$H158)&lt;&gt;"Subscription",INDEX('Game Records'!$U:$U,$H158)&lt;&gt;"Free Game",INDEX('Game Records'!$U:$U,$H158)&lt;&gt;"Disqualified — Free Game",OR(INDEX('Game Records'!$E:$E,$H158)="",LOWER(INDEX('Game Records'!$E:$E,$H158)&amp;"")="n/a")),"Game Type; ","")&amp;IF(INDEX('Game Records'!$F:$F,$H158)="","Payment Type; ","")&amp;IF(AND(INDEX('Game Records'!$U:$U,$H158)&lt;&gt;"Subscription",INDEX('Game Records'!$U:$U,$H158)&lt;&gt;"Free Game",INDEX('Game Records'!$U:$U,$H158)&lt;&gt;"Disqualified — Free Game",INDEX('Game Records'!$G:$G,$H158)=""),"Gross Pot; ","")&amp;IF(AND(INDEX('Game Records'!$U:$U,$H158)&lt;&gt;"Free Game",INDEX('Game Records'!$U:$U,$H158)&lt;&gt;"Disqualified — Free Game",INDEX('Game Records'!$H:$H,$H158)=""),"Entry Fee; ","")&amp;IF(AND(INDEX('Game Records'!$U:$U,$H158)&lt;&gt;"Subscription",INDEX('Game Records'!$U:$U,$H158)&lt;&gt;"Free Game",INDEX('Game Records'!$U:$U,$H158)&lt;&gt;"Disqualified — Free Game",INDEX('Game Records'!$I:$I,$H158)=""),"Eligible Players; ","")&amp;IF(AND(INDEX('Game Records'!$U:$U,$H158)&lt;&gt;"Subscription",INDEX('Game Records'!$U:$U,$H158)&lt;&gt;"Free Game",INDEX('Game Records'!$U:$U,$H158)&lt;&gt;"Disqualified — Free Game",INDEX('Game Records'!$J:$J,$H158)=""),"Total Players; ","")&amp;IF(AND(LOWER(INDEX('Game Records'!$D:$D,$H158)&amp;"")="finalized",LOWER(INDEX('Game Records'!$L:$L,$H158)&amp;"")&lt;&gt;"yes",INDEX('Game Records'!$U:$U,$H158)&lt;&gt;"Subscription",INDEX('Game Records'!$U:$U,$H158)&lt;&gt;"Free Game",INDEX('Game Records'!$U:$U,$H158)&lt;&gt;"Disqualified — Free Game",INDEX('Game Records'!$K:$K,$H158)=""),"Final Earned; ","")&amp;IF(AND(LOWER(INDEX('Game Records'!$D:$D,$H158)&amp;"")="finalized",INDEX('Game Records'!$U:$U,$H158)&lt;&gt;"Subscription",INDEX('Game Records'!$U:$U,$H158)&lt;&gt;"Free Game",INDEX('Game Records'!$U:$U,$H158)&lt;&gt;"Disqualified — Free Game",OR(INDEX('Game Records'!$L:$L,$H158)="",LOWER(INDEX('Game Records'!$L:$L,$H158)&amp;"")="n/a")),"Disqualified Status; ","")&amp;IF(AND(OR(LOWER(TRIM(INDEX('Game Records'!$F:$F,$H158)&amp;""))="free game",INDEX('Game Records'!$U:$U,$H158)="Free Game",INDEX('Game Records'!$U:$U,$H158)="Disqualified — Free Game"),N(INDEX('Game Records'!$H:$H,$H158))&lt;&gt;0),"Free Game has a non-zero Entry Fee. Free Game records require a $0 Entry Fee; ",""))</f>
        <v/>
      </c>
      <c r="G158" s="331" t="str">
        <f>IF($H158="","",IFERROR(INDEX('Game Records'!$M:$M,$H158),""))</f>
        <v/>
      </c>
      <c r="H158" s="104" t="str">
        <f>IF($H157="","",IFERROR(MATCH(1,INDEX((ROW('Game Records'!$U$5:$U$504)&gt;$H157)*(('Game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8" s="104"/>
      <c r="J158" s="104"/>
    </row>
    <row r="159" ht="24" hidden="0" customHeight="1">
      <c r="A159" s="332" t="str">
        <f>IF($H159="","",ROWS($A$5:A159))</f>
        <v/>
      </c>
      <c r="B159" s="332" t="str">
        <f>IF($H159="","","G-"&amp;TEXT($A159,"0000"))</f>
        <v/>
      </c>
      <c r="C159" s="331" t="str">
        <f>IF($H159="","",IFERROR(INDEX('Game Records'!$A:$A,$H159),""))</f>
        <v/>
      </c>
      <c r="D159" s="331" t="str">
        <f>IF($H159="","",IFERROR(INDEX('Game Records'!$U:$U,$H159),""))</f>
        <v/>
      </c>
      <c r="E159" s="331" t="str">
        <f>IF($H159="","",IF($F159="","No Highlighted Fields","Highlighted Fields Present"))</f>
        <v/>
      </c>
      <c r="F159" s="331" t="str">
        <f>IF($H159="","",IF(OR(NOT(ISFORMULA(INDEX('Game Records'!$N:$N,$H159))),NOT(ISFORMULA(INDEX('Game Records'!$O:$O,$H159))),NOT(ISFORMULA(INDEX('Game Records'!$P:$P,$H159))),NOT(ISFORMULA(INDEX('Game Records'!$Q:$Q,$H159))),NOT(ISFORMULA(INDEX('Game Records'!$R:$R,$H159))),NOT(ISFORMULA(INDEX('Game Records'!$S:$S,$H159))),NOT(ISFORMULA(INDEX('Game Records'!$T:$T,$H159))),NOT(ISFORMULA(INDEX('Game Records'!$U:$U,$H159))),NOT(ISFORMULA(INDEX('Game Records'!$V:$V,$H159))),NOT(ISFORMULA(INDEX('Game Records'!$W:$W,$H159))),NOT(ISFORMULA(INDEX('Game Records'!$X:$X,$H159))),NOT(ISFORMULA(INDEX('Game Records'!$Y:$Y,$H159))),NOT(ISFORMULA(INDEX('Game Records'!$Z:$Z,$H159)))),"Formula columns missing; ","")&amp;IF(INDEX('Game Records'!$B:$B,$H159)="","Start Date; ","")&amp;IF(INDEX('Game Records'!$C:$C,$H159)="","End Date; ","")&amp;IF(AND(INDEX('Game Records'!$U:$U,$H159)&lt;&gt;"Subscription",INDEX('Game Records'!$U:$U,$H159)&lt;&gt;"Free Game",INDEX('Game Records'!$U:$U,$H159)&lt;&gt;"Disqualified — Free Game",OR(INDEX('Game Records'!$D:$D,$H159)="",LOWER(INDEX('Game Records'!$D:$D,$H159)&amp;"")="n/a")),"Entry Mode; ","")&amp;IF(AND(INDEX('Game Records'!$U:$U,$H159)&lt;&gt;"Subscription",INDEX('Game Records'!$U:$U,$H159)&lt;&gt;"Free Game",INDEX('Game Records'!$U:$U,$H159)&lt;&gt;"Disqualified — Free Game",OR(INDEX('Game Records'!$E:$E,$H159)="",LOWER(INDEX('Game Records'!$E:$E,$H159)&amp;"")="n/a")),"Game Type; ","")&amp;IF(INDEX('Game Records'!$F:$F,$H159)="","Payment Type; ","")&amp;IF(AND(INDEX('Game Records'!$U:$U,$H159)&lt;&gt;"Subscription",INDEX('Game Records'!$U:$U,$H159)&lt;&gt;"Free Game",INDEX('Game Records'!$U:$U,$H159)&lt;&gt;"Disqualified — Free Game",INDEX('Game Records'!$G:$G,$H159)=""),"Gross Pot; ","")&amp;IF(AND(INDEX('Game Records'!$U:$U,$H159)&lt;&gt;"Free Game",INDEX('Game Records'!$U:$U,$H159)&lt;&gt;"Disqualified — Free Game",INDEX('Game Records'!$H:$H,$H159)=""),"Entry Fee; ","")&amp;IF(AND(INDEX('Game Records'!$U:$U,$H159)&lt;&gt;"Subscription",INDEX('Game Records'!$U:$U,$H159)&lt;&gt;"Free Game",INDEX('Game Records'!$U:$U,$H159)&lt;&gt;"Disqualified — Free Game",INDEX('Game Records'!$I:$I,$H159)=""),"Eligible Players; ","")&amp;IF(AND(INDEX('Game Records'!$U:$U,$H159)&lt;&gt;"Subscription",INDEX('Game Records'!$U:$U,$H159)&lt;&gt;"Free Game",INDEX('Game Records'!$U:$U,$H159)&lt;&gt;"Disqualified — Free Game",INDEX('Game Records'!$J:$J,$H159)=""),"Total Players; ","")&amp;IF(AND(LOWER(INDEX('Game Records'!$D:$D,$H159)&amp;"")="finalized",LOWER(INDEX('Game Records'!$L:$L,$H159)&amp;"")&lt;&gt;"yes",INDEX('Game Records'!$U:$U,$H159)&lt;&gt;"Subscription",INDEX('Game Records'!$U:$U,$H159)&lt;&gt;"Free Game",INDEX('Game Records'!$U:$U,$H159)&lt;&gt;"Disqualified — Free Game",INDEX('Game Records'!$K:$K,$H159)=""),"Final Earned; ","")&amp;IF(AND(LOWER(INDEX('Game Records'!$D:$D,$H159)&amp;"")="finalized",INDEX('Game Records'!$U:$U,$H159)&lt;&gt;"Subscription",INDEX('Game Records'!$U:$U,$H159)&lt;&gt;"Free Game",INDEX('Game Records'!$U:$U,$H159)&lt;&gt;"Disqualified — Free Game",OR(INDEX('Game Records'!$L:$L,$H159)="",LOWER(INDEX('Game Records'!$L:$L,$H159)&amp;"")="n/a")),"Disqualified Status; ","")&amp;IF(AND(OR(LOWER(TRIM(INDEX('Game Records'!$F:$F,$H159)&amp;""))="free game",INDEX('Game Records'!$U:$U,$H159)="Free Game",INDEX('Game Records'!$U:$U,$H159)="Disqualified — Free Game"),N(INDEX('Game Records'!$H:$H,$H159))&lt;&gt;0),"Free Game has a non-zero Entry Fee. Free Game records require a $0 Entry Fee; ",""))</f>
        <v/>
      </c>
      <c r="G159" s="331" t="str">
        <f>IF($H159="","",IFERROR(INDEX('Game Records'!$M:$M,$H159),""))</f>
        <v/>
      </c>
      <c r="H159" s="104" t="str">
        <f>IF($H158="","",IFERROR(MATCH(1,INDEX((ROW('Game Records'!$U$5:$U$504)&gt;$H158)*(('Game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9" s="104"/>
      <c r="J159" s="104"/>
    </row>
    <row r="160" ht="24" hidden="0" customHeight="1">
      <c r="A160" s="332" t="str">
        <f>IF($H160="","",ROWS($A$5:A160))</f>
        <v/>
      </c>
      <c r="B160" s="332" t="str">
        <f>IF($H160="","","G-"&amp;TEXT($A160,"0000"))</f>
        <v/>
      </c>
      <c r="C160" s="331" t="str">
        <f>IF($H160="","",IFERROR(INDEX('Game Records'!$A:$A,$H160),""))</f>
        <v/>
      </c>
      <c r="D160" s="331" t="str">
        <f>IF($H160="","",IFERROR(INDEX('Game Records'!$U:$U,$H160),""))</f>
        <v/>
      </c>
      <c r="E160" s="331" t="str">
        <f>IF($H160="","",IF($F160="","No Highlighted Fields","Highlighted Fields Present"))</f>
        <v/>
      </c>
      <c r="F160" s="331" t="str">
        <f>IF($H160="","",IF(OR(NOT(ISFORMULA(INDEX('Game Records'!$N:$N,$H160))),NOT(ISFORMULA(INDEX('Game Records'!$O:$O,$H160))),NOT(ISFORMULA(INDEX('Game Records'!$P:$P,$H160))),NOT(ISFORMULA(INDEX('Game Records'!$Q:$Q,$H160))),NOT(ISFORMULA(INDEX('Game Records'!$R:$R,$H160))),NOT(ISFORMULA(INDEX('Game Records'!$S:$S,$H160))),NOT(ISFORMULA(INDEX('Game Records'!$T:$T,$H160))),NOT(ISFORMULA(INDEX('Game Records'!$U:$U,$H160))),NOT(ISFORMULA(INDEX('Game Records'!$V:$V,$H160))),NOT(ISFORMULA(INDEX('Game Records'!$W:$W,$H160))),NOT(ISFORMULA(INDEX('Game Records'!$X:$X,$H160))),NOT(ISFORMULA(INDEX('Game Records'!$Y:$Y,$H160))),NOT(ISFORMULA(INDEX('Game Records'!$Z:$Z,$H160)))),"Formula columns missing; ","")&amp;IF(INDEX('Game Records'!$B:$B,$H160)="","Start Date; ","")&amp;IF(INDEX('Game Records'!$C:$C,$H160)="","End Date; ","")&amp;IF(AND(INDEX('Game Records'!$U:$U,$H160)&lt;&gt;"Subscription",INDEX('Game Records'!$U:$U,$H160)&lt;&gt;"Free Game",INDEX('Game Records'!$U:$U,$H160)&lt;&gt;"Disqualified — Free Game",OR(INDEX('Game Records'!$D:$D,$H160)="",LOWER(INDEX('Game Records'!$D:$D,$H160)&amp;"")="n/a")),"Entry Mode; ","")&amp;IF(AND(INDEX('Game Records'!$U:$U,$H160)&lt;&gt;"Subscription",INDEX('Game Records'!$U:$U,$H160)&lt;&gt;"Free Game",INDEX('Game Records'!$U:$U,$H160)&lt;&gt;"Disqualified — Free Game",OR(INDEX('Game Records'!$E:$E,$H160)="",LOWER(INDEX('Game Records'!$E:$E,$H160)&amp;"")="n/a")),"Game Type; ","")&amp;IF(INDEX('Game Records'!$F:$F,$H160)="","Payment Type; ","")&amp;IF(AND(INDEX('Game Records'!$U:$U,$H160)&lt;&gt;"Subscription",INDEX('Game Records'!$U:$U,$H160)&lt;&gt;"Free Game",INDEX('Game Records'!$U:$U,$H160)&lt;&gt;"Disqualified — Free Game",INDEX('Game Records'!$G:$G,$H160)=""),"Gross Pot; ","")&amp;IF(AND(INDEX('Game Records'!$U:$U,$H160)&lt;&gt;"Free Game",INDEX('Game Records'!$U:$U,$H160)&lt;&gt;"Disqualified — Free Game",INDEX('Game Records'!$H:$H,$H160)=""),"Entry Fee; ","")&amp;IF(AND(INDEX('Game Records'!$U:$U,$H160)&lt;&gt;"Subscription",INDEX('Game Records'!$U:$U,$H160)&lt;&gt;"Free Game",INDEX('Game Records'!$U:$U,$H160)&lt;&gt;"Disqualified — Free Game",INDEX('Game Records'!$I:$I,$H160)=""),"Eligible Players; ","")&amp;IF(AND(INDEX('Game Records'!$U:$U,$H160)&lt;&gt;"Subscription",INDEX('Game Records'!$U:$U,$H160)&lt;&gt;"Free Game",INDEX('Game Records'!$U:$U,$H160)&lt;&gt;"Disqualified — Free Game",INDEX('Game Records'!$J:$J,$H160)=""),"Total Players; ","")&amp;IF(AND(LOWER(INDEX('Game Records'!$D:$D,$H160)&amp;"")="finalized",LOWER(INDEX('Game Records'!$L:$L,$H160)&amp;"")&lt;&gt;"yes",INDEX('Game Records'!$U:$U,$H160)&lt;&gt;"Subscription",INDEX('Game Records'!$U:$U,$H160)&lt;&gt;"Free Game",INDEX('Game Records'!$U:$U,$H160)&lt;&gt;"Disqualified — Free Game",INDEX('Game Records'!$K:$K,$H160)=""),"Final Earned; ","")&amp;IF(AND(LOWER(INDEX('Game Records'!$D:$D,$H160)&amp;"")="finalized",INDEX('Game Records'!$U:$U,$H160)&lt;&gt;"Subscription",INDEX('Game Records'!$U:$U,$H160)&lt;&gt;"Free Game",INDEX('Game Records'!$U:$U,$H160)&lt;&gt;"Disqualified — Free Game",OR(INDEX('Game Records'!$L:$L,$H160)="",LOWER(INDEX('Game Records'!$L:$L,$H160)&amp;"")="n/a")),"Disqualified Status; ","")&amp;IF(AND(OR(LOWER(TRIM(INDEX('Game Records'!$F:$F,$H160)&amp;""))="free game",INDEX('Game Records'!$U:$U,$H160)="Free Game",INDEX('Game Records'!$U:$U,$H160)="Disqualified — Free Game"),N(INDEX('Game Records'!$H:$H,$H160))&lt;&gt;0),"Free Game has a non-zero Entry Fee. Free Game records require a $0 Entry Fee; ",""))</f>
        <v/>
      </c>
      <c r="G160" s="331" t="str">
        <f>IF($H160="","",IFERROR(INDEX('Game Records'!$M:$M,$H160),""))</f>
        <v/>
      </c>
      <c r="H160" s="104" t="str">
        <f>IF($H159="","",IFERROR(MATCH(1,INDEX((ROW('Game Records'!$U$5:$U$504)&gt;$H159)*(('Game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0" s="104"/>
      <c r="J160" s="104"/>
    </row>
    <row r="161" ht="24" hidden="0" customHeight="1">
      <c r="A161" s="332" t="str">
        <f>IF($H161="","",ROWS($A$5:A161))</f>
        <v/>
      </c>
      <c r="B161" s="332" t="str">
        <f>IF($H161="","","G-"&amp;TEXT($A161,"0000"))</f>
        <v/>
      </c>
      <c r="C161" s="331" t="str">
        <f>IF($H161="","",IFERROR(INDEX('Game Records'!$A:$A,$H161),""))</f>
        <v/>
      </c>
      <c r="D161" s="331" t="str">
        <f>IF($H161="","",IFERROR(INDEX('Game Records'!$U:$U,$H161),""))</f>
        <v/>
      </c>
      <c r="E161" s="331" t="str">
        <f>IF($H161="","",IF($F161="","No Highlighted Fields","Highlighted Fields Present"))</f>
        <v/>
      </c>
      <c r="F161" s="331" t="str">
        <f>IF($H161="","",IF(OR(NOT(ISFORMULA(INDEX('Game Records'!$N:$N,$H161))),NOT(ISFORMULA(INDEX('Game Records'!$O:$O,$H161))),NOT(ISFORMULA(INDEX('Game Records'!$P:$P,$H161))),NOT(ISFORMULA(INDEX('Game Records'!$Q:$Q,$H161))),NOT(ISFORMULA(INDEX('Game Records'!$R:$R,$H161))),NOT(ISFORMULA(INDEX('Game Records'!$S:$S,$H161))),NOT(ISFORMULA(INDEX('Game Records'!$T:$T,$H161))),NOT(ISFORMULA(INDEX('Game Records'!$U:$U,$H161))),NOT(ISFORMULA(INDEX('Game Records'!$V:$V,$H161))),NOT(ISFORMULA(INDEX('Game Records'!$W:$W,$H161))),NOT(ISFORMULA(INDEX('Game Records'!$X:$X,$H161))),NOT(ISFORMULA(INDEX('Game Records'!$Y:$Y,$H161))),NOT(ISFORMULA(INDEX('Game Records'!$Z:$Z,$H161)))),"Formula columns missing; ","")&amp;IF(INDEX('Game Records'!$B:$B,$H161)="","Start Date; ","")&amp;IF(INDEX('Game Records'!$C:$C,$H161)="","End Date; ","")&amp;IF(AND(INDEX('Game Records'!$U:$U,$H161)&lt;&gt;"Subscription",INDEX('Game Records'!$U:$U,$H161)&lt;&gt;"Free Game",INDEX('Game Records'!$U:$U,$H161)&lt;&gt;"Disqualified — Free Game",OR(INDEX('Game Records'!$D:$D,$H161)="",LOWER(INDEX('Game Records'!$D:$D,$H161)&amp;"")="n/a")),"Entry Mode; ","")&amp;IF(AND(INDEX('Game Records'!$U:$U,$H161)&lt;&gt;"Subscription",INDEX('Game Records'!$U:$U,$H161)&lt;&gt;"Free Game",INDEX('Game Records'!$U:$U,$H161)&lt;&gt;"Disqualified — Free Game",OR(INDEX('Game Records'!$E:$E,$H161)="",LOWER(INDEX('Game Records'!$E:$E,$H161)&amp;"")="n/a")),"Game Type; ","")&amp;IF(INDEX('Game Records'!$F:$F,$H161)="","Payment Type; ","")&amp;IF(AND(INDEX('Game Records'!$U:$U,$H161)&lt;&gt;"Subscription",INDEX('Game Records'!$U:$U,$H161)&lt;&gt;"Free Game",INDEX('Game Records'!$U:$U,$H161)&lt;&gt;"Disqualified — Free Game",INDEX('Game Records'!$G:$G,$H161)=""),"Gross Pot; ","")&amp;IF(AND(INDEX('Game Records'!$U:$U,$H161)&lt;&gt;"Free Game",INDEX('Game Records'!$U:$U,$H161)&lt;&gt;"Disqualified — Free Game",INDEX('Game Records'!$H:$H,$H161)=""),"Entry Fee; ","")&amp;IF(AND(INDEX('Game Records'!$U:$U,$H161)&lt;&gt;"Subscription",INDEX('Game Records'!$U:$U,$H161)&lt;&gt;"Free Game",INDEX('Game Records'!$U:$U,$H161)&lt;&gt;"Disqualified — Free Game",INDEX('Game Records'!$I:$I,$H161)=""),"Eligible Players; ","")&amp;IF(AND(INDEX('Game Records'!$U:$U,$H161)&lt;&gt;"Subscription",INDEX('Game Records'!$U:$U,$H161)&lt;&gt;"Free Game",INDEX('Game Records'!$U:$U,$H161)&lt;&gt;"Disqualified — Free Game",INDEX('Game Records'!$J:$J,$H161)=""),"Total Players; ","")&amp;IF(AND(LOWER(INDEX('Game Records'!$D:$D,$H161)&amp;"")="finalized",LOWER(INDEX('Game Records'!$L:$L,$H161)&amp;"")&lt;&gt;"yes",INDEX('Game Records'!$U:$U,$H161)&lt;&gt;"Subscription",INDEX('Game Records'!$U:$U,$H161)&lt;&gt;"Free Game",INDEX('Game Records'!$U:$U,$H161)&lt;&gt;"Disqualified — Free Game",INDEX('Game Records'!$K:$K,$H161)=""),"Final Earned; ","")&amp;IF(AND(LOWER(INDEX('Game Records'!$D:$D,$H161)&amp;"")="finalized",INDEX('Game Records'!$U:$U,$H161)&lt;&gt;"Subscription",INDEX('Game Records'!$U:$U,$H161)&lt;&gt;"Free Game",INDEX('Game Records'!$U:$U,$H161)&lt;&gt;"Disqualified — Free Game",OR(INDEX('Game Records'!$L:$L,$H161)="",LOWER(INDEX('Game Records'!$L:$L,$H161)&amp;"")="n/a")),"Disqualified Status; ","")&amp;IF(AND(OR(LOWER(TRIM(INDEX('Game Records'!$F:$F,$H161)&amp;""))="free game",INDEX('Game Records'!$U:$U,$H161)="Free Game",INDEX('Game Records'!$U:$U,$H161)="Disqualified — Free Game"),N(INDEX('Game Records'!$H:$H,$H161))&lt;&gt;0),"Free Game has a non-zero Entry Fee. Free Game records require a $0 Entry Fee; ",""))</f>
        <v/>
      </c>
      <c r="G161" s="331" t="str">
        <f>IF($H161="","",IFERROR(INDEX('Game Records'!$M:$M,$H161),""))</f>
        <v/>
      </c>
      <c r="H161" s="104" t="str">
        <f>IF($H160="","",IFERROR(MATCH(1,INDEX((ROW('Game Records'!$U$5:$U$504)&gt;$H160)*(('Game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1" s="104"/>
      <c r="J161" s="104"/>
    </row>
    <row r="162" ht="24" hidden="0" customHeight="1">
      <c r="A162" s="332" t="str">
        <f>IF($H162="","",ROWS($A$5:A162))</f>
        <v/>
      </c>
      <c r="B162" s="332" t="str">
        <f>IF($H162="","","G-"&amp;TEXT($A162,"0000"))</f>
        <v/>
      </c>
      <c r="C162" s="331" t="str">
        <f>IF($H162="","",IFERROR(INDEX('Game Records'!$A:$A,$H162),""))</f>
        <v/>
      </c>
      <c r="D162" s="331" t="str">
        <f>IF($H162="","",IFERROR(INDEX('Game Records'!$U:$U,$H162),""))</f>
        <v/>
      </c>
      <c r="E162" s="331" t="str">
        <f>IF($H162="","",IF($F162="","No Highlighted Fields","Highlighted Fields Present"))</f>
        <v/>
      </c>
      <c r="F162" s="331" t="str">
        <f>IF($H162="","",IF(OR(NOT(ISFORMULA(INDEX('Game Records'!$N:$N,$H162))),NOT(ISFORMULA(INDEX('Game Records'!$O:$O,$H162))),NOT(ISFORMULA(INDEX('Game Records'!$P:$P,$H162))),NOT(ISFORMULA(INDEX('Game Records'!$Q:$Q,$H162))),NOT(ISFORMULA(INDEX('Game Records'!$R:$R,$H162))),NOT(ISFORMULA(INDEX('Game Records'!$S:$S,$H162))),NOT(ISFORMULA(INDEX('Game Records'!$T:$T,$H162))),NOT(ISFORMULA(INDEX('Game Records'!$U:$U,$H162))),NOT(ISFORMULA(INDEX('Game Records'!$V:$V,$H162))),NOT(ISFORMULA(INDEX('Game Records'!$W:$W,$H162))),NOT(ISFORMULA(INDEX('Game Records'!$X:$X,$H162))),NOT(ISFORMULA(INDEX('Game Records'!$Y:$Y,$H162))),NOT(ISFORMULA(INDEX('Game Records'!$Z:$Z,$H162)))),"Formula columns missing; ","")&amp;IF(INDEX('Game Records'!$B:$B,$H162)="","Start Date; ","")&amp;IF(INDEX('Game Records'!$C:$C,$H162)="","End Date; ","")&amp;IF(AND(INDEX('Game Records'!$U:$U,$H162)&lt;&gt;"Subscription",INDEX('Game Records'!$U:$U,$H162)&lt;&gt;"Free Game",INDEX('Game Records'!$U:$U,$H162)&lt;&gt;"Disqualified — Free Game",OR(INDEX('Game Records'!$D:$D,$H162)="",LOWER(INDEX('Game Records'!$D:$D,$H162)&amp;"")="n/a")),"Entry Mode; ","")&amp;IF(AND(INDEX('Game Records'!$U:$U,$H162)&lt;&gt;"Subscription",INDEX('Game Records'!$U:$U,$H162)&lt;&gt;"Free Game",INDEX('Game Records'!$U:$U,$H162)&lt;&gt;"Disqualified — Free Game",OR(INDEX('Game Records'!$E:$E,$H162)="",LOWER(INDEX('Game Records'!$E:$E,$H162)&amp;"")="n/a")),"Game Type; ","")&amp;IF(INDEX('Game Records'!$F:$F,$H162)="","Payment Type; ","")&amp;IF(AND(INDEX('Game Records'!$U:$U,$H162)&lt;&gt;"Subscription",INDEX('Game Records'!$U:$U,$H162)&lt;&gt;"Free Game",INDEX('Game Records'!$U:$U,$H162)&lt;&gt;"Disqualified — Free Game",INDEX('Game Records'!$G:$G,$H162)=""),"Gross Pot; ","")&amp;IF(AND(INDEX('Game Records'!$U:$U,$H162)&lt;&gt;"Free Game",INDEX('Game Records'!$U:$U,$H162)&lt;&gt;"Disqualified — Free Game",INDEX('Game Records'!$H:$H,$H162)=""),"Entry Fee; ","")&amp;IF(AND(INDEX('Game Records'!$U:$U,$H162)&lt;&gt;"Subscription",INDEX('Game Records'!$U:$U,$H162)&lt;&gt;"Free Game",INDEX('Game Records'!$U:$U,$H162)&lt;&gt;"Disqualified — Free Game",INDEX('Game Records'!$I:$I,$H162)=""),"Eligible Players; ","")&amp;IF(AND(INDEX('Game Records'!$U:$U,$H162)&lt;&gt;"Subscription",INDEX('Game Records'!$U:$U,$H162)&lt;&gt;"Free Game",INDEX('Game Records'!$U:$U,$H162)&lt;&gt;"Disqualified — Free Game",INDEX('Game Records'!$J:$J,$H162)=""),"Total Players; ","")&amp;IF(AND(LOWER(INDEX('Game Records'!$D:$D,$H162)&amp;"")="finalized",LOWER(INDEX('Game Records'!$L:$L,$H162)&amp;"")&lt;&gt;"yes",INDEX('Game Records'!$U:$U,$H162)&lt;&gt;"Subscription",INDEX('Game Records'!$U:$U,$H162)&lt;&gt;"Free Game",INDEX('Game Records'!$U:$U,$H162)&lt;&gt;"Disqualified — Free Game",INDEX('Game Records'!$K:$K,$H162)=""),"Final Earned; ","")&amp;IF(AND(LOWER(INDEX('Game Records'!$D:$D,$H162)&amp;"")="finalized",INDEX('Game Records'!$U:$U,$H162)&lt;&gt;"Subscription",INDEX('Game Records'!$U:$U,$H162)&lt;&gt;"Free Game",INDEX('Game Records'!$U:$U,$H162)&lt;&gt;"Disqualified — Free Game",OR(INDEX('Game Records'!$L:$L,$H162)="",LOWER(INDEX('Game Records'!$L:$L,$H162)&amp;"")="n/a")),"Disqualified Status; ","")&amp;IF(AND(OR(LOWER(TRIM(INDEX('Game Records'!$F:$F,$H162)&amp;""))="free game",INDEX('Game Records'!$U:$U,$H162)="Free Game",INDEX('Game Records'!$U:$U,$H162)="Disqualified — Free Game"),N(INDEX('Game Records'!$H:$H,$H162))&lt;&gt;0),"Free Game has a non-zero Entry Fee. Free Game records require a $0 Entry Fee; ",""))</f>
        <v/>
      </c>
      <c r="G162" s="331" t="str">
        <f>IF($H162="","",IFERROR(INDEX('Game Records'!$M:$M,$H162),""))</f>
        <v/>
      </c>
      <c r="H162" s="104" t="str">
        <f>IF($H161="","",IFERROR(MATCH(1,INDEX((ROW('Game Records'!$U$5:$U$504)&gt;$H161)*(('Game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2" s="104"/>
      <c r="J162" s="104"/>
    </row>
    <row r="163" ht="24" hidden="0" customHeight="1">
      <c r="A163" s="332" t="str">
        <f>IF($H163="","",ROWS($A$5:A163))</f>
        <v/>
      </c>
      <c r="B163" s="332" t="str">
        <f>IF($H163="","","G-"&amp;TEXT($A163,"0000"))</f>
        <v/>
      </c>
      <c r="C163" s="331" t="str">
        <f>IF($H163="","",IFERROR(INDEX('Game Records'!$A:$A,$H163),""))</f>
        <v/>
      </c>
      <c r="D163" s="331" t="str">
        <f>IF($H163="","",IFERROR(INDEX('Game Records'!$U:$U,$H163),""))</f>
        <v/>
      </c>
      <c r="E163" s="331" t="str">
        <f>IF($H163="","",IF($F163="","No Highlighted Fields","Highlighted Fields Present"))</f>
        <v/>
      </c>
      <c r="F163" s="331" t="str">
        <f>IF($H163="","",IF(OR(NOT(ISFORMULA(INDEX('Game Records'!$N:$N,$H163))),NOT(ISFORMULA(INDEX('Game Records'!$O:$O,$H163))),NOT(ISFORMULA(INDEX('Game Records'!$P:$P,$H163))),NOT(ISFORMULA(INDEX('Game Records'!$Q:$Q,$H163))),NOT(ISFORMULA(INDEX('Game Records'!$R:$R,$H163))),NOT(ISFORMULA(INDEX('Game Records'!$S:$S,$H163))),NOT(ISFORMULA(INDEX('Game Records'!$T:$T,$H163))),NOT(ISFORMULA(INDEX('Game Records'!$U:$U,$H163))),NOT(ISFORMULA(INDEX('Game Records'!$V:$V,$H163))),NOT(ISFORMULA(INDEX('Game Records'!$W:$W,$H163))),NOT(ISFORMULA(INDEX('Game Records'!$X:$X,$H163))),NOT(ISFORMULA(INDEX('Game Records'!$Y:$Y,$H163))),NOT(ISFORMULA(INDEX('Game Records'!$Z:$Z,$H163)))),"Formula columns missing; ","")&amp;IF(INDEX('Game Records'!$B:$B,$H163)="","Start Date; ","")&amp;IF(INDEX('Game Records'!$C:$C,$H163)="","End Date; ","")&amp;IF(AND(INDEX('Game Records'!$U:$U,$H163)&lt;&gt;"Subscription",INDEX('Game Records'!$U:$U,$H163)&lt;&gt;"Free Game",INDEX('Game Records'!$U:$U,$H163)&lt;&gt;"Disqualified — Free Game",OR(INDEX('Game Records'!$D:$D,$H163)="",LOWER(INDEX('Game Records'!$D:$D,$H163)&amp;"")="n/a")),"Entry Mode; ","")&amp;IF(AND(INDEX('Game Records'!$U:$U,$H163)&lt;&gt;"Subscription",INDEX('Game Records'!$U:$U,$H163)&lt;&gt;"Free Game",INDEX('Game Records'!$U:$U,$H163)&lt;&gt;"Disqualified — Free Game",OR(INDEX('Game Records'!$E:$E,$H163)="",LOWER(INDEX('Game Records'!$E:$E,$H163)&amp;"")="n/a")),"Game Type; ","")&amp;IF(INDEX('Game Records'!$F:$F,$H163)="","Payment Type; ","")&amp;IF(AND(INDEX('Game Records'!$U:$U,$H163)&lt;&gt;"Subscription",INDEX('Game Records'!$U:$U,$H163)&lt;&gt;"Free Game",INDEX('Game Records'!$U:$U,$H163)&lt;&gt;"Disqualified — Free Game",INDEX('Game Records'!$G:$G,$H163)=""),"Gross Pot; ","")&amp;IF(AND(INDEX('Game Records'!$U:$U,$H163)&lt;&gt;"Free Game",INDEX('Game Records'!$U:$U,$H163)&lt;&gt;"Disqualified — Free Game",INDEX('Game Records'!$H:$H,$H163)=""),"Entry Fee; ","")&amp;IF(AND(INDEX('Game Records'!$U:$U,$H163)&lt;&gt;"Subscription",INDEX('Game Records'!$U:$U,$H163)&lt;&gt;"Free Game",INDEX('Game Records'!$U:$U,$H163)&lt;&gt;"Disqualified — Free Game",INDEX('Game Records'!$I:$I,$H163)=""),"Eligible Players; ","")&amp;IF(AND(INDEX('Game Records'!$U:$U,$H163)&lt;&gt;"Subscription",INDEX('Game Records'!$U:$U,$H163)&lt;&gt;"Free Game",INDEX('Game Records'!$U:$U,$H163)&lt;&gt;"Disqualified — Free Game",INDEX('Game Records'!$J:$J,$H163)=""),"Total Players; ","")&amp;IF(AND(LOWER(INDEX('Game Records'!$D:$D,$H163)&amp;"")="finalized",LOWER(INDEX('Game Records'!$L:$L,$H163)&amp;"")&lt;&gt;"yes",INDEX('Game Records'!$U:$U,$H163)&lt;&gt;"Subscription",INDEX('Game Records'!$U:$U,$H163)&lt;&gt;"Free Game",INDEX('Game Records'!$U:$U,$H163)&lt;&gt;"Disqualified — Free Game",INDEX('Game Records'!$K:$K,$H163)=""),"Final Earned; ","")&amp;IF(AND(LOWER(INDEX('Game Records'!$D:$D,$H163)&amp;"")="finalized",INDEX('Game Records'!$U:$U,$H163)&lt;&gt;"Subscription",INDEX('Game Records'!$U:$U,$H163)&lt;&gt;"Free Game",INDEX('Game Records'!$U:$U,$H163)&lt;&gt;"Disqualified — Free Game",OR(INDEX('Game Records'!$L:$L,$H163)="",LOWER(INDEX('Game Records'!$L:$L,$H163)&amp;"")="n/a")),"Disqualified Status; ","")&amp;IF(AND(OR(LOWER(TRIM(INDEX('Game Records'!$F:$F,$H163)&amp;""))="free game",INDEX('Game Records'!$U:$U,$H163)="Free Game",INDEX('Game Records'!$U:$U,$H163)="Disqualified — Free Game"),N(INDEX('Game Records'!$H:$H,$H163))&lt;&gt;0),"Free Game has a non-zero Entry Fee. Free Game records require a $0 Entry Fee; ",""))</f>
        <v/>
      </c>
      <c r="G163" s="331" t="str">
        <f>IF($H163="","",IFERROR(INDEX('Game Records'!$M:$M,$H163),""))</f>
        <v/>
      </c>
      <c r="H163" s="104" t="str">
        <f>IF($H162="","",IFERROR(MATCH(1,INDEX((ROW('Game Records'!$U$5:$U$504)&gt;$H162)*(('Game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3" s="104"/>
      <c r="J163" s="104"/>
    </row>
    <row r="164" ht="24" hidden="0" customHeight="1">
      <c r="A164" s="332" t="str">
        <f>IF($H164="","",ROWS($A$5:A164))</f>
        <v/>
      </c>
      <c r="B164" s="332" t="str">
        <f>IF($H164="","","G-"&amp;TEXT($A164,"0000"))</f>
        <v/>
      </c>
      <c r="C164" s="331" t="str">
        <f>IF($H164="","",IFERROR(INDEX('Game Records'!$A:$A,$H164),""))</f>
        <v/>
      </c>
      <c r="D164" s="331" t="str">
        <f>IF($H164="","",IFERROR(INDEX('Game Records'!$U:$U,$H164),""))</f>
        <v/>
      </c>
      <c r="E164" s="331" t="str">
        <f>IF($H164="","",IF($F164="","No Highlighted Fields","Highlighted Fields Present"))</f>
        <v/>
      </c>
      <c r="F164" s="331" t="str">
        <f>IF($H164="","",IF(OR(NOT(ISFORMULA(INDEX('Game Records'!$N:$N,$H164))),NOT(ISFORMULA(INDEX('Game Records'!$O:$O,$H164))),NOT(ISFORMULA(INDEX('Game Records'!$P:$P,$H164))),NOT(ISFORMULA(INDEX('Game Records'!$Q:$Q,$H164))),NOT(ISFORMULA(INDEX('Game Records'!$R:$R,$H164))),NOT(ISFORMULA(INDEX('Game Records'!$S:$S,$H164))),NOT(ISFORMULA(INDEX('Game Records'!$T:$T,$H164))),NOT(ISFORMULA(INDEX('Game Records'!$U:$U,$H164))),NOT(ISFORMULA(INDEX('Game Records'!$V:$V,$H164))),NOT(ISFORMULA(INDEX('Game Records'!$W:$W,$H164))),NOT(ISFORMULA(INDEX('Game Records'!$X:$X,$H164))),NOT(ISFORMULA(INDEX('Game Records'!$Y:$Y,$H164))),NOT(ISFORMULA(INDEX('Game Records'!$Z:$Z,$H164)))),"Formula columns missing; ","")&amp;IF(INDEX('Game Records'!$B:$B,$H164)="","Start Date; ","")&amp;IF(INDEX('Game Records'!$C:$C,$H164)="","End Date; ","")&amp;IF(AND(INDEX('Game Records'!$U:$U,$H164)&lt;&gt;"Subscription",INDEX('Game Records'!$U:$U,$H164)&lt;&gt;"Free Game",INDEX('Game Records'!$U:$U,$H164)&lt;&gt;"Disqualified — Free Game",OR(INDEX('Game Records'!$D:$D,$H164)="",LOWER(INDEX('Game Records'!$D:$D,$H164)&amp;"")="n/a")),"Entry Mode; ","")&amp;IF(AND(INDEX('Game Records'!$U:$U,$H164)&lt;&gt;"Subscription",INDEX('Game Records'!$U:$U,$H164)&lt;&gt;"Free Game",INDEX('Game Records'!$U:$U,$H164)&lt;&gt;"Disqualified — Free Game",OR(INDEX('Game Records'!$E:$E,$H164)="",LOWER(INDEX('Game Records'!$E:$E,$H164)&amp;"")="n/a")),"Game Type; ","")&amp;IF(INDEX('Game Records'!$F:$F,$H164)="","Payment Type; ","")&amp;IF(AND(INDEX('Game Records'!$U:$U,$H164)&lt;&gt;"Subscription",INDEX('Game Records'!$U:$U,$H164)&lt;&gt;"Free Game",INDEX('Game Records'!$U:$U,$H164)&lt;&gt;"Disqualified — Free Game",INDEX('Game Records'!$G:$G,$H164)=""),"Gross Pot; ","")&amp;IF(AND(INDEX('Game Records'!$U:$U,$H164)&lt;&gt;"Free Game",INDEX('Game Records'!$U:$U,$H164)&lt;&gt;"Disqualified — Free Game",INDEX('Game Records'!$H:$H,$H164)=""),"Entry Fee; ","")&amp;IF(AND(INDEX('Game Records'!$U:$U,$H164)&lt;&gt;"Subscription",INDEX('Game Records'!$U:$U,$H164)&lt;&gt;"Free Game",INDEX('Game Records'!$U:$U,$H164)&lt;&gt;"Disqualified — Free Game",INDEX('Game Records'!$I:$I,$H164)=""),"Eligible Players; ","")&amp;IF(AND(INDEX('Game Records'!$U:$U,$H164)&lt;&gt;"Subscription",INDEX('Game Records'!$U:$U,$H164)&lt;&gt;"Free Game",INDEX('Game Records'!$U:$U,$H164)&lt;&gt;"Disqualified — Free Game",INDEX('Game Records'!$J:$J,$H164)=""),"Total Players; ","")&amp;IF(AND(LOWER(INDEX('Game Records'!$D:$D,$H164)&amp;"")="finalized",LOWER(INDEX('Game Records'!$L:$L,$H164)&amp;"")&lt;&gt;"yes",INDEX('Game Records'!$U:$U,$H164)&lt;&gt;"Subscription",INDEX('Game Records'!$U:$U,$H164)&lt;&gt;"Free Game",INDEX('Game Records'!$U:$U,$H164)&lt;&gt;"Disqualified — Free Game",INDEX('Game Records'!$K:$K,$H164)=""),"Final Earned; ","")&amp;IF(AND(LOWER(INDEX('Game Records'!$D:$D,$H164)&amp;"")="finalized",INDEX('Game Records'!$U:$U,$H164)&lt;&gt;"Subscription",INDEX('Game Records'!$U:$U,$H164)&lt;&gt;"Free Game",INDEX('Game Records'!$U:$U,$H164)&lt;&gt;"Disqualified — Free Game",OR(INDEX('Game Records'!$L:$L,$H164)="",LOWER(INDEX('Game Records'!$L:$L,$H164)&amp;"")="n/a")),"Disqualified Status; ","")&amp;IF(AND(OR(LOWER(TRIM(INDEX('Game Records'!$F:$F,$H164)&amp;""))="free game",INDEX('Game Records'!$U:$U,$H164)="Free Game",INDEX('Game Records'!$U:$U,$H164)="Disqualified — Free Game"),N(INDEX('Game Records'!$H:$H,$H164))&lt;&gt;0),"Free Game has a non-zero Entry Fee. Free Game records require a $0 Entry Fee; ",""))</f>
        <v/>
      </c>
      <c r="G164" s="331" t="str">
        <f>IF($H164="","",IFERROR(INDEX('Game Records'!$M:$M,$H164),""))</f>
        <v/>
      </c>
      <c r="H164" s="104" t="str">
        <f>IF($H163="","",IFERROR(MATCH(1,INDEX((ROW('Game Records'!$U$5:$U$504)&gt;$H163)*(('Game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4" s="104"/>
      <c r="J164" s="104"/>
    </row>
    <row r="165" ht="24" hidden="0" customHeight="1">
      <c r="A165" s="332" t="str">
        <f>IF($H165="","",ROWS($A$5:A165))</f>
        <v/>
      </c>
      <c r="B165" s="332" t="str">
        <f>IF($H165="","","G-"&amp;TEXT($A165,"0000"))</f>
        <v/>
      </c>
      <c r="C165" s="331" t="str">
        <f>IF($H165="","",IFERROR(INDEX('Game Records'!$A:$A,$H165),""))</f>
        <v/>
      </c>
      <c r="D165" s="331" t="str">
        <f>IF($H165="","",IFERROR(INDEX('Game Records'!$U:$U,$H165),""))</f>
        <v/>
      </c>
      <c r="E165" s="331" t="str">
        <f>IF($H165="","",IF($F165="","No Highlighted Fields","Highlighted Fields Present"))</f>
        <v/>
      </c>
      <c r="F165" s="331" t="str">
        <f>IF($H165="","",IF(OR(NOT(ISFORMULA(INDEX('Game Records'!$N:$N,$H165))),NOT(ISFORMULA(INDEX('Game Records'!$O:$O,$H165))),NOT(ISFORMULA(INDEX('Game Records'!$P:$P,$H165))),NOT(ISFORMULA(INDEX('Game Records'!$Q:$Q,$H165))),NOT(ISFORMULA(INDEX('Game Records'!$R:$R,$H165))),NOT(ISFORMULA(INDEX('Game Records'!$S:$S,$H165))),NOT(ISFORMULA(INDEX('Game Records'!$T:$T,$H165))),NOT(ISFORMULA(INDEX('Game Records'!$U:$U,$H165))),NOT(ISFORMULA(INDEX('Game Records'!$V:$V,$H165))),NOT(ISFORMULA(INDEX('Game Records'!$W:$W,$H165))),NOT(ISFORMULA(INDEX('Game Records'!$X:$X,$H165))),NOT(ISFORMULA(INDEX('Game Records'!$Y:$Y,$H165))),NOT(ISFORMULA(INDEX('Game Records'!$Z:$Z,$H165)))),"Formula columns missing; ","")&amp;IF(INDEX('Game Records'!$B:$B,$H165)="","Start Date; ","")&amp;IF(INDEX('Game Records'!$C:$C,$H165)="","End Date; ","")&amp;IF(AND(INDEX('Game Records'!$U:$U,$H165)&lt;&gt;"Subscription",INDEX('Game Records'!$U:$U,$H165)&lt;&gt;"Free Game",INDEX('Game Records'!$U:$U,$H165)&lt;&gt;"Disqualified — Free Game",OR(INDEX('Game Records'!$D:$D,$H165)="",LOWER(INDEX('Game Records'!$D:$D,$H165)&amp;"")="n/a")),"Entry Mode; ","")&amp;IF(AND(INDEX('Game Records'!$U:$U,$H165)&lt;&gt;"Subscription",INDEX('Game Records'!$U:$U,$H165)&lt;&gt;"Free Game",INDEX('Game Records'!$U:$U,$H165)&lt;&gt;"Disqualified — Free Game",OR(INDEX('Game Records'!$E:$E,$H165)="",LOWER(INDEX('Game Records'!$E:$E,$H165)&amp;"")="n/a")),"Game Type; ","")&amp;IF(INDEX('Game Records'!$F:$F,$H165)="","Payment Type; ","")&amp;IF(AND(INDEX('Game Records'!$U:$U,$H165)&lt;&gt;"Subscription",INDEX('Game Records'!$U:$U,$H165)&lt;&gt;"Free Game",INDEX('Game Records'!$U:$U,$H165)&lt;&gt;"Disqualified — Free Game",INDEX('Game Records'!$G:$G,$H165)=""),"Gross Pot; ","")&amp;IF(AND(INDEX('Game Records'!$U:$U,$H165)&lt;&gt;"Free Game",INDEX('Game Records'!$U:$U,$H165)&lt;&gt;"Disqualified — Free Game",INDEX('Game Records'!$H:$H,$H165)=""),"Entry Fee; ","")&amp;IF(AND(INDEX('Game Records'!$U:$U,$H165)&lt;&gt;"Subscription",INDEX('Game Records'!$U:$U,$H165)&lt;&gt;"Free Game",INDEX('Game Records'!$U:$U,$H165)&lt;&gt;"Disqualified — Free Game",INDEX('Game Records'!$I:$I,$H165)=""),"Eligible Players; ","")&amp;IF(AND(INDEX('Game Records'!$U:$U,$H165)&lt;&gt;"Subscription",INDEX('Game Records'!$U:$U,$H165)&lt;&gt;"Free Game",INDEX('Game Records'!$U:$U,$H165)&lt;&gt;"Disqualified — Free Game",INDEX('Game Records'!$J:$J,$H165)=""),"Total Players; ","")&amp;IF(AND(LOWER(INDEX('Game Records'!$D:$D,$H165)&amp;"")="finalized",LOWER(INDEX('Game Records'!$L:$L,$H165)&amp;"")&lt;&gt;"yes",INDEX('Game Records'!$U:$U,$H165)&lt;&gt;"Subscription",INDEX('Game Records'!$U:$U,$H165)&lt;&gt;"Free Game",INDEX('Game Records'!$U:$U,$H165)&lt;&gt;"Disqualified — Free Game",INDEX('Game Records'!$K:$K,$H165)=""),"Final Earned; ","")&amp;IF(AND(LOWER(INDEX('Game Records'!$D:$D,$H165)&amp;"")="finalized",INDEX('Game Records'!$U:$U,$H165)&lt;&gt;"Subscription",INDEX('Game Records'!$U:$U,$H165)&lt;&gt;"Free Game",INDEX('Game Records'!$U:$U,$H165)&lt;&gt;"Disqualified — Free Game",OR(INDEX('Game Records'!$L:$L,$H165)="",LOWER(INDEX('Game Records'!$L:$L,$H165)&amp;"")="n/a")),"Disqualified Status; ","")&amp;IF(AND(OR(LOWER(TRIM(INDEX('Game Records'!$F:$F,$H165)&amp;""))="free game",INDEX('Game Records'!$U:$U,$H165)="Free Game",INDEX('Game Records'!$U:$U,$H165)="Disqualified — Free Game"),N(INDEX('Game Records'!$H:$H,$H165))&lt;&gt;0),"Free Game has a non-zero Entry Fee. Free Game records require a $0 Entry Fee; ",""))</f>
        <v/>
      </c>
      <c r="G165" s="331" t="str">
        <f>IF($H165="","",IFERROR(INDEX('Game Records'!$M:$M,$H165),""))</f>
        <v/>
      </c>
      <c r="H165" s="104" t="str">
        <f>IF($H164="","",IFERROR(MATCH(1,INDEX((ROW('Game Records'!$U$5:$U$504)&gt;$H164)*(('Game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5" s="104"/>
      <c r="J165" s="104"/>
    </row>
    <row r="166" ht="24" hidden="0" customHeight="1">
      <c r="A166" s="332" t="str">
        <f>IF($H166="","",ROWS($A$5:A166))</f>
        <v/>
      </c>
      <c r="B166" s="332" t="str">
        <f>IF($H166="","","G-"&amp;TEXT($A166,"0000"))</f>
        <v/>
      </c>
      <c r="C166" s="331" t="str">
        <f>IF($H166="","",IFERROR(INDEX('Game Records'!$A:$A,$H166),""))</f>
        <v/>
      </c>
      <c r="D166" s="331" t="str">
        <f>IF($H166="","",IFERROR(INDEX('Game Records'!$U:$U,$H166),""))</f>
        <v/>
      </c>
      <c r="E166" s="331" t="str">
        <f>IF($H166="","",IF($F166="","No Highlighted Fields","Highlighted Fields Present"))</f>
        <v/>
      </c>
      <c r="F166" s="331" t="str">
        <f>IF($H166="","",IF(OR(NOT(ISFORMULA(INDEX('Game Records'!$N:$N,$H166))),NOT(ISFORMULA(INDEX('Game Records'!$O:$O,$H166))),NOT(ISFORMULA(INDEX('Game Records'!$P:$P,$H166))),NOT(ISFORMULA(INDEX('Game Records'!$Q:$Q,$H166))),NOT(ISFORMULA(INDEX('Game Records'!$R:$R,$H166))),NOT(ISFORMULA(INDEX('Game Records'!$S:$S,$H166))),NOT(ISFORMULA(INDEX('Game Records'!$T:$T,$H166))),NOT(ISFORMULA(INDEX('Game Records'!$U:$U,$H166))),NOT(ISFORMULA(INDEX('Game Records'!$V:$V,$H166))),NOT(ISFORMULA(INDEX('Game Records'!$W:$W,$H166))),NOT(ISFORMULA(INDEX('Game Records'!$X:$X,$H166))),NOT(ISFORMULA(INDEX('Game Records'!$Y:$Y,$H166))),NOT(ISFORMULA(INDEX('Game Records'!$Z:$Z,$H166)))),"Formula columns missing; ","")&amp;IF(INDEX('Game Records'!$B:$B,$H166)="","Start Date; ","")&amp;IF(INDEX('Game Records'!$C:$C,$H166)="","End Date; ","")&amp;IF(AND(INDEX('Game Records'!$U:$U,$H166)&lt;&gt;"Subscription",INDEX('Game Records'!$U:$U,$H166)&lt;&gt;"Free Game",INDEX('Game Records'!$U:$U,$H166)&lt;&gt;"Disqualified — Free Game",OR(INDEX('Game Records'!$D:$D,$H166)="",LOWER(INDEX('Game Records'!$D:$D,$H166)&amp;"")="n/a")),"Entry Mode; ","")&amp;IF(AND(INDEX('Game Records'!$U:$U,$H166)&lt;&gt;"Subscription",INDEX('Game Records'!$U:$U,$H166)&lt;&gt;"Free Game",INDEX('Game Records'!$U:$U,$H166)&lt;&gt;"Disqualified — Free Game",OR(INDEX('Game Records'!$E:$E,$H166)="",LOWER(INDEX('Game Records'!$E:$E,$H166)&amp;"")="n/a")),"Game Type; ","")&amp;IF(INDEX('Game Records'!$F:$F,$H166)="","Payment Type; ","")&amp;IF(AND(INDEX('Game Records'!$U:$U,$H166)&lt;&gt;"Subscription",INDEX('Game Records'!$U:$U,$H166)&lt;&gt;"Free Game",INDEX('Game Records'!$U:$U,$H166)&lt;&gt;"Disqualified — Free Game",INDEX('Game Records'!$G:$G,$H166)=""),"Gross Pot; ","")&amp;IF(AND(INDEX('Game Records'!$U:$U,$H166)&lt;&gt;"Free Game",INDEX('Game Records'!$U:$U,$H166)&lt;&gt;"Disqualified — Free Game",INDEX('Game Records'!$H:$H,$H166)=""),"Entry Fee; ","")&amp;IF(AND(INDEX('Game Records'!$U:$U,$H166)&lt;&gt;"Subscription",INDEX('Game Records'!$U:$U,$H166)&lt;&gt;"Free Game",INDEX('Game Records'!$U:$U,$H166)&lt;&gt;"Disqualified — Free Game",INDEX('Game Records'!$I:$I,$H166)=""),"Eligible Players; ","")&amp;IF(AND(INDEX('Game Records'!$U:$U,$H166)&lt;&gt;"Subscription",INDEX('Game Records'!$U:$U,$H166)&lt;&gt;"Free Game",INDEX('Game Records'!$U:$U,$H166)&lt;&gt;"Disqualified — Free Game",INDEX('Game Records'!$J:$J,$H166)=""),"Total Players; ","")&amp;IF(AND(LOWER(INDEX('Game Records'!$D:$D,$H166)&amp;"")="finalized",LOWER(INDEX('Game Records'!$L:$L,$H166)&amp;"")&lt;&gt;"yes",INDEX('Game Records'!$U:$U,$H166)&lt;&gt;"Subscription",INDEX('Game Records'!$U:$U,$H166)&lt;&gt;"Free Game",INDEX('Game Records'!$U:$U,$H166)&lt;&gt;"Disqualified — Free Game",INDEX('Game Records'!$K:$K,$H166)=""),"Final Earned; ","")&amp;IF(AND(LOWER(INDEX('Game Records'!$D:$D,$H166)&amp;"")="finalized",INDEX('Game Records'!$U:$U,$H166)&lt;&gt;"Subscription",INDEX('Game Records'!$U:$U,$H166)&lt;&gt;"Free Game",INDEX('Game Records'!$U:$U,$H166)&lt;&gt;"Disqualified — Free Game",OR(INDEX('Game Records'!$L:$L,$H166)="",LOWER(INDEX('Game Records'!$L:$L,$H166)&amp;"")="n/a")),"Disqualified Status; ","")&amp;IF(AND(OR(LOWER(TRIM(INDEX('Game Records'!$F:$F,$H166)&amp;""))="free game",INDEX('Game Records'!$U:$U,$H166)="Free Game",INDEX('Game Records'!$U:$U,$H166)="Disqualified — Free Game"),N(INDEX('Game Records'!$H:$H,$H166))&lt;&gt;0),"Free Game has a non-zero Entry Fee. Free Game records require a $0 Entry Fee; ",""))</f>
        <v/>
      </c>
      <c r="G166" s="331" t="str">
        <f>IF($H166="","",IFERROR(INDEX('Game Records'!$M:$M,$H166),""))</f>
        <v/>
      </c>
      <c r="H166" s="104" t="str">
        <f>IF($H165="","",IFERROR(MATCH(1,INDEX((ROW('Game Records'!$U$5:$U$504)&gt;$H165)*(('Game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6" s="104"/>
      <c r="J166" s="104"/>
    </row>
    <row r="167" ht="24" hidden="0" customHeight="1">
      <c r="A167" s="332" t="str">
        <f>IF($H167="","",ROWS($A$5:A167))</f>
        <v/>
      </c>
      <c r="B167" s="332" t="str">
        <f>IF($H167="","","G-"&amp;TEXT($A167,"0000"))</f>
        <v/>
      </c>
      <c r="C167" s="331" t="str">
        <f>IF($H167="","",IFERROR(INDEX('Game Records'!$A:$A,$H167),""))</f>
        <v/>
      </c>
      <c r="D167" s="331" t="str">
        <f>IF($H167="","",IFERROR(INDEX('Game Records'!$U:$U,$H167),""))</f>
        <v/>
      </c>
      <c r="E167" s="331" t="str">
        <f>IF($H167="","",IF($F167="","No Highlighted Fields","Highlighted Fields Present"))</f>
        <v/>
      </c>
      <c r="F167" s="331" t="str">
        <f>IF($H167="","",IF(OR(NOT(ISFORMULA(INDEX('Game Records'!$N:$N,$H167))),NOT(ISFORMULA(INDEX('Game Records'!$O:$O,$H167))),NOT(ISFORMULA(INDEX('Game Records'!$P:$P,$H167))),NOT(ISFORMULA(INDEX('Game Records'!$Q:$Q,$H167))),NOT(ISFORMULA(INDEX('Game Records'!$R:$R,$H167))),NOT(ISFORMULA(INDEX('Game Records'!$S:$S,$H167))),NOT(ISFORMULA(INDEX('Game Records'!$T:$T,$H167))),NOT(ISFORMULA(INDEX('Game Records'!$U:$U,$H167))),NOT(ISFORMULA(INDEX('Game Records'!$V:$V,$H167))),NOT(ISFORMULA(INDEX('Game Records'!$W:$W,$H167))),NOT(ISFORMULA(INDEX('Game Records'!$X:$X,$H167))),NOT(ISFORMULA(INDEX('Game Records'!$Y:$Y,$H167))),NOT(ISFORMULA(INDEX('Game Records'!$Z:$Z,$H167)))),"Formula columns missing; ","")&amp;IF(INDEX('Game Records'!$B:$B,$H167)="","Start Date; ","")&amp;IF(INDEX('Game Records'!$C:$C,$H167)="","End Date; ","")&amp;IF(AND(INDEX('Game Records'!$U:$U,$H167)&lt;&gt;"Subscription",INDEX('Game Records'!$U:$U,$H167)&lt;&gt;"Free Game",INDEX('Game Records'!$U:$U,$H167)&lt;&gt;"Disqualified — Free Game",OR(INDEX('Game Records'!$D:$D,$H167)="",LOWER(INDEX('Game Records'!$D:$D,$H167)&amp;"")="n/a")),"Entry Mode; ","")&amp;IF(AND(INDEX('Game Records'!$U:$U,$H167)&lt;&gt;"Subscription",INDEX('Game Records'!$U:$U,$H167)&lt;&gt;"Free Game",INDEX('Game Records'!$U:$U,$H167)&lt;&gt;"Disqualified — Free Game",OR(INDEX('Game Records'!$E:$E,$H167)="",LOWER(INDEX('Game Records'!$E:$E,$H167)&amp;"")="n/a")),"Game Type; ","")&amp;IF(INDEX('Game Records'!$F:$F,$H167)="","Payment Type; ","")&amp;IF(AND(INDEX('Game Records'!$U:$U,$H167)&lt;&gt;"Subscription",INDEX('Game Records'!$U:$U,$H167)&lt;&gt;"Free Game",INDEX('Game Records'!$U:$U,$H167)&lt;&gt;"Disqualified — Free Game",INDEX('Game Records'!$G:$G,$H167)=""),"Gross Pot; ","")&amp;IF(AND(INDEX('Game Records'!$U:$U,$H167)&lt;&gt;"Free Game",INDEX('Game Records'!$U:$U,$H167)&lt;&gt;"Disqualified — Free Game",INDEX('Game Records'!$H:$H,$H167)=""),"Entry Fee; ","")&amp;IF(AND(INDEX('Game Records'!$U:$U,$H167)&lt;&gt;"Subscription",INDEX('Game Records'!$U:$U,$H167)&lt;&gt;"Free Game",INDEX('Game Records'!$U:$U,$H167)&lt;&gt;"Disqualified — Free Game",INDEX('Game Records'!$I:$I,$H167)=""),"Eligible Players; ","")&amp;IF(AND(INDEX('Game Records'!$U:$U,$H167)&lt;&gt;"Subscription",INDEX('Game Records'!$U:$U,$H167)&lt;&gt;"Free Game",INDEX('Game Records'!$U:$U,$H167)&lt;&gt;"Disqualified — Free Game",INDEX('Game Records'!$J:$J,$H167)=""),"Total Players; ","")&amp;IF(AND(LOWER(INDEX('Game Records'!$D:$D,$H167)&amp;"")="finalized",LOWER(INDEX('Game Records'!$L:$L,$H167)&amp;"")&lt;&gt;"yes",INDEX('Game Records'!$U:$U,$H167)&lt;&gt;"Subscription",INDEX('Game Records'!$U:$U,$H167)&lt;&gt;"Free Game",INDEX('Game Records'!$U:$U,$H167)&lt;&gt;"Disqualified — Free Game",INDEX('Game Records'!$K:$K,$H167)=""),"Final Earned; ","")&amp;IF(AND(LOWER(INDEX('Game Records'!$D:$D,$H167)&amp;"")="finalized",INDEX('Game Records'!$U:$U,$H167)&lt;&gt;"Subscription",INDEX('Game Records'!$U:$U,$H167)&lt;&gt;"Free Game",INDEX('Game Records'!$U:$U,$H167)&lt;&gt;"Disqualified — Free Game",OR(INDEX('Game Records'!$L:$L,$H167)="",LOWER(INDEX('Game Records'!$L:$L,$H167)&amp;"")="n/a")),"Disqualified Status; ","")&amp;IF(AND(OR(LOWER(TRIM(INDEX('Game Records'!$F:$F,$H167)&amp;""))="free game",INDEX('Game Records'!$U:$U,$H167)="Free Game",INDEX('Game Records'!$U:$U,$H167)="Disqualified — Free Game"),N(INDEX('Game Records'!$H:$H,$H167))&lt;&gt;0),"Free Game has a non-zero Entry Fee. Free Game records require a $0 Entry Fee; ",""))</f>
        <v/>
      </c>
      <c r="G167" s="331" t="str">
        <f>IF($H167="","",IFERROR(INDEX('Game Records'!$M:$M,$H167),""))</f>
        <v/>
      </c>
      <c r="H167" s="104" t="str">
        <f>IF($H166="","",IFERROR(MATCH(1,INDEX((ROW('Game Records'!$U$5:$U$504)&gt;$H166)*(('Game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7" s="104"/>
      <c r="J167" s="104"/>
    </row>
    <row r="168" ht="24" hidden="0" customHeight="1">
      <c r="A168" s="332" t="str">
        <f>IF($H168="","",ROWS($A$5:A168))</f>
        <v/>
      </c>
      <c r="B168" s="332" t="str">
        <f>IF($H168="","","G-"&amp;TEXT($A168,"0000"))</f>
        <v/>
      </c>
      <c r="C168" s="331" t="str">
        <f>IF($H168="","",IFERROR(INDEX('Game Records'!$A:$A,$H168),""))</f>
        <v/>
      </c>
      <c r="D168" s="331" t="str">
        <f>IF($H168="","",IFERROR(INDEX('Game Records'!$U:$U,$H168),""))</f>
        <v/>
      </c>
      <c r="E168" s="331" t="str">
        <f>IF($H168="","",IF($F168="","No Highlighted Fields","Highlighted Fields Present"))</f>
        <v/>
      </c>
      <c r="F168" s="331" t="str">
        <f>IF($H168="","",IF(OR(NOT(ISFORMULA(INDEX('Game Records'!$N:$N,$H168))),NOT(ISFORMULA(INDEX('Game Records'!$O:$O,$H168))),NOT(ISFORMULA(INDEX('Game Records'!$P:$P,$H168))),NOT(ISFORMULA(INDEX('Game Records'!$Q:$Q,$H168))),NOT(ISFORMULA(INDEX('Game Records'!$R:$R,$H168))),NOT(ISFORMULA(INDEX('Game Records'!$S:$S,$H168))),NOT(ISFORMULA(INDEX('Game Records'!$T:$T,$H168))),NOT(ISFORMULA(INDEX('Game Records'!$U:$U,$H168))),NOT(ISFORMULA(INDEX('Game Records'!$V:$V,$H168))),NOT(ISFORMULA(INDEX('Game Records'!$W:$W,$H168))),NOT(ISFORMULA(INDEX('Game Records'!$X:$X,$H168))),NOT(ISFORMULA(INDEX('Game Records'!$Y:$Y,$H168))),NOT(ISFORMULA(INDEX('Game Records'!$Z:$Z,$H168)))),"Formula columns missing; ","")&amp;IF(INDEX('Game Records'!$B:$B,$H168)="","Start Date; ","")&amp;IF(INDEX('Game Records'!$C:$C,$H168)="","End Date; ","")&amp;IF(AND(INDEX('Game Records'!$U:$U,$H168)&lt;&gt;"Subscription",INDEX('Game Records'!$U:$U,$H168)&lt;&gt;"Free Game",INDEX('Game Records'!$U:$U,$H168)&lt;&gt;"Disqualified — Free Game",OR(INDEX('Game Records'!$D:$D,$H168)="",LOWER(INDEX('Game Records'!$D:$D,$H168)&amp;"")="n/a")),"Entry Mode; ","")&amp;IF(AND(INDEX('Game Records'!$U:$U,$H168)&lt;&gt;"Subscription",INDEX('Game Records'!$U:$U,$H168)&lt;&gt;"Free Game",INDEX('Game Records'!$U:$U,$H168)&lt;&gt;"Disqualified — Free Game",OR(INDEX('Game Records'!$E:$E,$H168)="",LOWER(INDEX('Game Records'!$E:$E,$H168)&amp;"")="n/a")),"Game Type; ","")&amp;IF(INDEX('Game Records'!$F:$F,$H168)="","Payment Type; ","")&amp;IF(AND(INDEX('Game Records'!$U:$U,$H168)&lt;&gt;"Subscription",INDEX('Game Records'!$U:$U,$H168)&lt;&gt;"Free Game",INDEX('Game Records'!$U:$U,$H168)&lt;&gt;"Disqualified — Free Game",INDEX('Game Records'!$G:$G,$H168)=""),"Gross Pot; ","")&amp;IF(AND(INDEX('Game Records'!$U:$U,$H168)&lt;&gt;"Free Game",INDEX('Game Records'!$U:$U,$H168)&lt;&gt;"Disqualified — Free Game",INDEX('Game Records'!$H:$H,$H168)=""),"Entry Fee; ","")&amp;IF(AND(INDEX('Game Records'!$U:$U,$H168)&lt;&gt;"Subscription",INDEX('Game Records'!$U:$U,$H168)&lt;&gt;"Free Game",INDEX('Game Records'!$U:$U,$H168)&lt;&gt;"Disqualified — Free Game",INDEX('Game Records'!$I:$I,$H168)=""),"Eligible Players; ","")&amp;IF(AND(INDEX('Game Records'!$U:$U,$H168)&lt;&gt;"Subscription",INDEX('Game Records'!$U:$U,$H168)&lt;&gt;"Free Game",INDEX('Game Records'!$U:$U,$H168)&lt;&gt;"Disqualified — Free Game",INDEX('Game Records'!$J:$J,$H168)=""),"Total Players; ","")&amp;IF(AND(LOWER(INDEX('Game Records'!$D:$D,$H168)&amp;"")="finalized",LOWER(INDEX('Game Records'!$L:$L,$H168)&amp;"")&lt;&gt;"yes",INDEX('Game Records'!$U:$U,$H168)&lt;&gt;"Subscription",INDEX('Game Records'!$U:$U,$H168)&lt;&gt;"Free Game",INDEX('Game Records'!$U:$U,$H168)&lt;&gt;"Disqualified — Free Game",INDEX('Game Records'!$K:$K,$H168)=""),"Final Earned; ","")&amp;IF(AND(LOWER(INDEX('Game Records'!$D:$D,$H168)&amp;"")="finalized",INDEX('Game Records'!$U:$U,$H168)&lt;&gt;"Subscription",INDEX('Game Records'!$U:$U,$H168)&lt;&gt;"Free Game",INDEX('Game Records'!$U:$U,$H168)&lt;&gt;"Disqualified — Free Game",OR(INDEX('Game Records'!$L:$L,$H168)="",LOWER(INDEX('Game Records'!$L:$L,$H168)&amp;"")="n/a")),"Disqualified Status; ","")&amp;IF(AND(OR(LOWER(TRIM(INDEX('Game Records'!$F:$F,$H168)&amp;""))="free game",INDEX('Game Records'!$U:$U,$H168)="Free Game",INDEX('Game Records'!$U:$U,$H168)="Disqualified — Free Game"),N(INDEX('Game Records'!$H:$H,$H168))&lt;&gt;0),"Free Game has a non-zero Entry Fee. Free Game records require a $0 Entry Fee; ",""))</f>
        <v/>
      </c>
      <c r="G168" s="331" t="str">
        <f>IF($H168="","",IFERROR(INDEX('Game Records'!$M:$M,$H168),""))</f>
        <v/>
      </c>
      <c r="H168" s="104" t="str">
        <f>IF($H167="","",IFERROR(MATCH(1,INDEX((ROW('Game Records'!$U$5:$U$504)&gt;$H167)*(('Game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8" s="104"/>
      <c r="J168" s="104"/>
    </row>
    <row r="169" ht="24" hidden="0" customHeight="1">
      <c r="A169" s="332" t="str">
        <f>IF($H169="","",ROWS($A$5:A169))</f>
        <v/>
      </c>
      <c r="B169" s="332" t="str">
        <f>IF($H169="","","G-"&amp;TEXT($A169,"0000"))</f>
        <v/>
      </c>
      <c r="C169" s="331" t="str">
        <f>IF($H169="","",IFERROR(INDEX('Game Records'!$A:$A,$H169),""))</f>
        <v/>
      </c>
      <c r="D169" s="331" t="str">
        <f>IF($H169="","",IFERROR(INDEX('Game Records'!$U:$U,$H169),""))</f>
        <v/>
      </c>
      <c r="E169" s="331" t="str">
        <f>IF($H169="","",IF($F169="","No Highlighted Fields","Highlighted Fields Present"))</f>
        <v/>
      </c>
      <c r="F169" s="331" t="str">
        <f>IF($H169="","",IF(OR(NOT(ISFORMULA(INDEX('Game Records'!$N:$N,$H169))),NOT(ISFORMULA(INDEX('Game Records'!$O:$O,$H169))),NOT(ISFORMULA(INDEX('Game Records'!$P:$P,$H169))),NOT(ISFORMULA(INDEX('Game Records'!$Q:$Q,$H169))),NOT(ISFORMULA(INDEX('Game Records'!$R:$R,$H169))),NOT(ISFORMULA(INDEX('Game Records'!$S:$S,$H169))),NOT(ISFORMULA(INDEX('Game Records'!$T:$T,$H169))),NOT(ISFORMULA(INDEX('Game Records'!$U:$U,$H169))),NOT(ISFORMULA(INDEX('Game Records'!$V:$V,$H169))),NOT(ISFORMULA(INDEX('Game Records'!$W:$W,$H169))),NOT(ISFORMULA(INDEX('Game Records'!$X:$X,$H169))),NOT(ISFORMULA(INDEX('Game Records'!$Y:$Y,$H169))),NOT(ISFORMULA(INDEX('Game Records'!$Z:$Z,$H169)))),"Formula columns missing; ","")&amp;IF(INDEX('Game Records'!$B:$B,$H169)="","Start Date; ","")&amp;IF(INDEX('Game Records'!$C:$C,$H169)="","End Date; ","")&amp;IF(AND(INDEX('Game Records'!$U:$U,$H169)&lt;&gt;"Subscription",INDEX('Game Records'!$U:$U,$H169)&lt;&gt;"Free Game",INDEX('Game Records'!$U:$U,$H169)&lt;&gt;"Disqualified — Free Game",OR(INDEX('Game Records'!$D:$D,$H169)="",LOWER(INDEX('Game Records'!$D:$D,$H169)&amp;"")="n/a")),"Entry Mode; ","")&amp;IF(AND(INDEX('Game Records'!$U:$U,$H169)&lt;&gt;"Subscription",INDEX('Game Records'!$U:$U,$H169)&lt;&gt;"Free Game",INDEX('Game Records'!$U:$U,$H169)&lt;&gt;"Disqualified — Free Game",OR(INDEX('Game Records'!$E:$E,$H169)="",LOWER(INDEX('Game Records'!$E:$E,$H169)&amp;"")="n/a")),"Game Type; ","")&amp;IF(INDEX('Game Records'!$F:$F,$H169)="","Payment Type; ","")&amp;IF(AND(INDEX('Game Records'!$U:$U,$H169)&lt;&gt;"Subscription",INDEX('Game Records'!$U:$U,$H169)&lt;&gt;"Free Game",INDEX('Game Records'!$U:$U,$H169)&lt;&gt;"Disqualified — Free Game",INDEX('Game Records'!$G:$G,$H169)=""),"Gross Pot; ","")&amp;IF(AND(INDEX('Game Records'!$U:$U,$H169)&lt;&gt;"Free Game",INDEX('Game Records'!$U:$U,$H169)&lt;&gt;"Disqualified — Free Game",INDEX('Game Records'!$H:$H,$H169)=""),"Entry Fee; ","")&amp;IF(AND(INDEX('Game Records'!$U:$U,$H169)&lt;&gt;"Subscription",INDEX('Game Records'!$U:$U,$H169)&lt;&gt;"Free Game",INDEX('Game Records'!$U:$U,$H169)&lt;&gt;"Disqualified — Free Game",INDEX('Game Records'!$I:$I,$H169)=""),"Eligible Players; ","")&amp;IF(AND(INDEX('Game Records'!$U:$U,$H169)&lt;&gt;"Subscription",INDEX('Game Records'!$U:$U,$H169)&lt;&gt;"Free Game",INDEX('Game Records'!$U:$U,$H169)&lt;&gt;"Disqualified — Free Game",INDEX('Game Records'!$J:$J,$H169)=""),"Total Players; ","")&amp;IF(AND(LOWER(INDEX('Game Records'!$D:$D,$H169)&amp;"")="finalized",LOWER(INDEX('Game Records'!$L:$L,$H169)&amp;"")&lt;&gt;"yes",INDEX('Game Records'!$U:$U,$H169)&lt;&gt;"Subscription",INDEX('Game Records'!$U:$U,$H169)&lt;&gt;"Free Game",INDEX('Game Records'!$U:$U,$H169)&lt;&gt;"Disqualified — Free Game",INDEX('Game Records'!$K:$K,$H169)=""),"Final Earned; ","")&amp;IF(AND(LOWER(INDEX('Game Records'!$D:$D,$H169)&amp;"")="finalized",INDEX('Game Records'!$U:$U,$H169)&lt;&gt;"Subscription",INDEX('Game Records'!$U:$U,$H169)&lt;&gt;"Free Game",INDEX('Game Records'!$U:$U,$H169)&lt;&gt;"Disqualified — Free Game",OR(INDEX('Game Records'!$L:$L,$H169)="",LOWER(INDEX('Game Records'!$L:$L,$H169)&amp;"")="n/a")),"Disqualified Status; ","")&amp;IF(AND(OR(LOWER(TRIM(INDEX('Game Records'!$F:$F,$H169)&amp;""))="free game",INDEX('Game Records'!$U:$U,$H169)="Free Game",INDEX('Game Records'!$U:$U,$H169)="Disqualified — Free Game"),N(INDEX('Game Records'!$H:$H,$H169))&lt;&gt;0),"Free Game has a non-zero Entry Fee. Free Game records require a $0 Entry Fee; ",""))</f>
        <v/>
      </c>
      <c r="G169" s="331" t="str">
        <f>IF($H169="","",IFERROR(INDEX('Game Records'!$M:$M,$H169),""))</f>
        <v/>
      </c>
      <c r="H169" s="104" t="str">
        <f>IF($H168="","",IFERROR(MATCH(1,INDEX((ROW('Game Records'!$U$5:$U$504)&gt;$H168)*(('Game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9" s="104"/>
      <c r="J169" s="104"/>
    </row>
    <row r="170" ht="24" hidden="0" customHeight="1">
      <c r="A170" s="332" t="str">
        <f>IF($H170="","",ROWS($A$5:A170))</f>
        <v/>
      </c>
      <c r="B170" s="332" t="str">
        <f>IF($H170="","","G-"&amp;TEXT($A170,"0000"))</f>
        <v/>
      </c>
      <c r="C170" s="331" t="str">
        <f>IF($H170="","",IFERROR(INDEX('Game Records'!$A:$A,$H170),""))</f>
        <v/>
      </c>
      <c r="D170" s="331" t="str">
        <f>IF($H170="","",IFERROR(INDEX('Game Records'!$U:$U,$H170),""))</f>
        <v/>
      </c>
      <c r="E170" s="331" t="str">
        <f>IF($H170="","",IF($F170="","No Highlighted Fields","Highlighted Fields Present"))</f>
        <v/>
      </c>
      <c r="F170" s="331" t="str">
        <f>IF($H170="","",IF(OR(NOT(ISFORMULA(INDEX('Game Records'!$N:$N,$H170))),NOT(ISFORMULA(INDEX('Game Records'!$O:$O,$H170))),NOT(ISFORMULA(INDEX('Game Records'!$P:$P,$H170))),NOT(ISFORMULA(INDEX('Game Records'!$Q:$Q,$H170))),NOT(ISFORMULA(INDEX('Game Records'!$R:$R,$H170))),NOT(ISFORMULA(INDEX('Game Records'!$S:$S,$H170))),NOT(ISFORMULA(INDEX('Game Records'!$T:$T,$H170))),NOT(ISFORMULA(INDEX('Game Records'!$U:$U,$H170))),NOT(ISFORMULA(INDEX('Game Records'!$V:$V,$H170))),NOT(ISFORMULA(INDEX('Game Records'!$W:$W,$H170))),NOT(ISFORMULA(INDEX('Game Records'!$X:$X,$H170))),NOT(ISFORMULA(INDEX('Game Records'!$Y:$Y,$H170))),NOT(ISFORMULA(INDEX('Game Records'!$Z:$Z,$H170)))),"Formula columns missing; ","")&amp;IF(INDEX('Game Records'!$B:$B,$H170)="","Start Date; ","")&amp;IF(INDEX('Game Records'!$C:$C,$H170)="","End Date; ","")&amp;IF(AND(INDEX('Game Records'!$U:$U,$H170)&lt;&gt;"Subscription",INDEX('Game Records'!$U:$U,$H170)&lt;&gt;"Free Game",INDEX('Game Records'!$U:$U,$H170)&lt;&gt;"Disqualified — Free Game",OR(INDEX('Game Records'!$D:$D,$H170)="",LOWER(INDEX('Game Records'!$D:$D,$H170)&amp;"")="n/a")),"Entry Mode; ","")&amp;IF(AND(INDEX('Game Records'!$U:$U,$H170)&lt;&gt;"Subscription",INDEX('Game Records'!$U:$U,$H170)&lt;&gt;"Free Game",INDEX('Game Records'!$U:$U,$H170)&lt;&gt;"Disqualified — Free Game",OR(INDEX('Game Records'!$E:$E,$H170)="",LOWER(INDEX('Game Records'!$E:$E,$H170)&amp;"")="n/a")),"Game Type; ","")&amp;IF(INDEX('Game Records'!$F:$F,$H170)="","Payment Type; ","")&amp;IF(AND(INDEX('Game Records'!$U:$U,$H170)&lt;&gt;"Subscription",INDEX('Game Records'!$U:$U,$H170)&lt;&gt;"Free Game",INDEX('Game Records'!$U:$U,$H170)&lt;&gt;"Disqualified — Free Game",INDEX('Game Records'!$G:$G,$H170)=""),"Gross Pot; ","")&amp;IF(AND(INDEX('Game Records'!$U:$U,$H170)&lt;&gt;"Free Game",INDEX('Game Records'!$U:$U,$H170)&lt;&gt;"Disqualified — Free Game",INDEX('Game Records'!$H:$H,$H170)=""),"Entry Fee; ","")&amp;IF(AND(INDEX('Game Records'!$U:$U,$H170)&lt;&gt;"Subscription",INDEX('Game Records'!$U:$U,$H170)&lt;&gt;"Free Game",INDEX('Game Records'!$U:$U,$H170)&lt;&gt;"Disqualified — Free Game",INDEX('Game Records'!$I:$I,$H170)=""),"Eligible Players; ","")&amp;IF(AND(INDEX('Game Records'!$U:$U,$H170)&lt;&gt;"Subscription",INDEX('Game Records'!$U:$U,$H170)&lt;&gt;"Free Game",INDEX('Game Records'!$U:$U,$H170)&lt;&gt;"Disqualified — Free Game",INDEX('Game Records'!$J:$J,$H170)=""),"Total Players; ","")&amp;IF(AND(LOWER(INDEX('Game Records'!$D:$D,$H170)&amp;"")="finalized",LOWER(INDEX('Game Records'!$L:$L,$H170)&amp;"")&lt;&gt;"yes",INDEX('Game Records'!$U:$U,$H170)&lt;&gt;"Subscription",INDEX('Game Records'!$U:$U,$H170)&lt;&gt;"Free Game",INDEX('Game Records'!$U:$U,$H170)&lt;&gt;"Disqualified — Free Game",INDEX('Game Records'!$K:$K,$H170)=""),"Final Earned; ","")&amp;IF(AND(LOWER(INDEX('Game Records'!$D:$D,$H170)&amp;"")="finalized",INDEX('Game Records'!$U:$U,$H170)&lt;&gt;"Subscription",INDEX('Game Records'!$U:$U,$H170)&lt;&gt;"Free Game",INDEX('Game Records'!$U:$U,$H170)&lt;&gt;"Disqualified — Free Game",OR(INDEX('Game Records'!$L:$L,$H170)="",LOWER(INDEX('Game Records'!$L:$L,$H170)&amp;"")="n/a")),"Disqualified Status; ","")&amp;IF(AND(OR(LOWER(TRIM(INDEX('Game Records'!$F:$F,$H170)&amp;""))="free game",INDEX('Game Records'!$U:$U,$H170)="Free Game",INDEX('Game Records'!$U:$U,$H170)="Disqualified — Free Game"),N(INDEX('Game Records'!$H:$H,$H170))&lt;&gt;0),"Free Game has a non-zero Entry Fee. Free Game records require a $0 Entry Fee; ",""))</f>
        <v/>
      </c>
      <c r="G170" s="331" t="str">
        <f>IF($H170="","",IFERROR(INDEX('Game Records'!$M:$M,$H170),""))</f>
        <v/>
      </c>
      <c r="H170" s="104" t="str">
        <f>IF($H169="","",IFERROR(MATCH(1,INDEX((ROW('Game Records'!$U$5:$U$504)&gt;$H169)*(('Game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0" s="104"/>
      <c r="J170" s="104"/>
    </row>
    <row r="171" ht="24" hidden="0" customHeight="1">
      <c r="A171" s="332" t="str">
        <f>IF($H171="","",ROWS($A$5:A171))</f>
        <v/>
      </c>
      <c r="B171" s="332" t="str">
        <f>IF($H171="","","G-"&amp;TEXT($A171,"0000"))</f>
        <v/>
      </c>
      <c r="C171" s="331" t="str">
        <f>IF($H171="","",IFERROR(INDEX('Game Records'!$A:$A,$H171),""))</f>
        <v/>
      </c>
      <c r="D171" s="331" t="str">
        <f>IF($H171="","",IFERROR(INDEX('Game Records'!$U:$U,$H171),""))</f>
        <v/>
      </c>
      <c r="E171" s="331" t="str">
        <f>IF($H171="","",IF($F171="","No Highlighted Fields","Highlighted Fields Present"))</f>
        <v/>
      </c>
      <c r="F171" s="331" t="str">
        <f>IF($H171="","",IF(OR(NOT(ISFORMULA(INDEX('Game Records'!$N:$N,$H171))),NOT(ISFORMULA(INDEX('Game Records'!$O:$O,$H171))),NOT(ISFORMULA(INDEX('Game Records'!$P:$P,$H171))),NOT(ISFORMULA(INDEX('Game Records'!$Q:$Q,$H171))),NOT(ISFORMULA(INDEX('Game Records'!$R:$R,$H171))),NOT(ISFORMULA(INDEX('Game Records'!$S:$S,$H171))),NOT(ISFORMULA(INDEX('Game Records'!$T:$T,$H171))),NOT(ISFORMULA(INDEX('Game Records'!$U:$U,$H171))),NOT(ISFORMULA(INDEX('Game Records'!$V:$V,$H171))),NOT(ISFORMULA(INDEX('Game Records'!$W:$W,$H171))),NOT(ISFORMULA(INDEX('Game Records'!$X:$X,$H171))),NOT(ISFORMULA(INDEX('Game Records'!$Y:$Y,$H171))),NOT(ISFORMULA(INDEX('Game Records'!$Z:$Z,$H171)))),"Formula columns missing; ","")&amp;IF(INDEX('Game Records'!$B:$B,$H171)="","Start Date; ","")&amp;IF(INDEX('Game Records'!$C:$C,$H171)="","End Date; ","")&amp;IF(AND(INDEX('Game Records'!$U:$U,$H171)&lt;&gt;"Subscription",INDEX('Game Records'!$U:$U,$H171)&lt;&gt;"Free Game",INDEX('Game Records'!$U:$U,$H171)&lt;&gt;"Disqualified — Free Game",OR(INDEX('Game Records'!$D:$D,$H171)="",LOWER(INDEX('Game Records'!$D:$D,$H171)&amp;"")="n/a")),"Entry Mode; ","")&amp;IF(AND(INDEX('Game Records'!$U:$U,$H171)&lt;&gt;"Subscription",INDEX('Game Records'!$U:$U,$H171)&lt;&gt;"Free Game",INDEX('Game Records'!$U:$U,$H171)&lt;&gt;"Disqualified — Free Game",OR(INDEX('Game Records'!$E:$E,$H171)="",LOWER(INDEX('Game Records'!$E:$E,$H171)&amp;"")="n/a")),"Game Type; ","")&amp;IF(INDEX('Game Records'!$F:$F,$H171)="","Payment Type; ","")&amp;IF(AND(INDEX('Game Records'!$U:$U,$H171)&lt;&gt;"Subscription",INDEX('Game Records'!$U:$U,$H171)&lt;&gt;"Free Game",INDEX('Game Records'!$U:$U,$H171)&lt;&gt;"Disqualified — Free Game",INDEX('Game Records'!$G:$G,$H171)=""),"Gross Pot; ","")&amp;IF(AND(INDEX('Game Records'!$U:$U,$H171)&lt;&gt;"Free Game",INDEX('Game Records'!$U:$U,$H171)&lt;&gt;"Disqualified — Free Game",INDEX('Game Records'!$H:$H,$H171)=""),"Entry Fee; ","")&amp;IF(AND(INDEX('Game Records'!$U:$U,$H171)&lt;&gt;"Subscription",INDEX('Game Records'!$U:$U,$H171)&lt;&gt;"Free Game",INDEX('Game Records'!$U:$U,$H171)&lt;&gt;"Disqualified — Free Game",INDEX('Game Records'!$I:$I,$H171)=""),"Eligible Players; ","")&amp;IF(AND(INDEX('Game Records'!$U:$U,$H171)&lt;&gt;"Subscription",INDEX('Game Records'!$U:$U,$H171)&lt;&gt;"Free Game",INDEX('Game Records'!$U:$U,$H171)&lt;&gt;"Disqualified — Free Game",INDEX('Game Records'!$J:$J,$H171)=""),"Total Players; ","")&amp;IF(AND(LOWER(INDEX('Game Records'!$D:$D,$H171)&amp;"")="finalized",LOWER(INDEX('Game Records'!$L:$L,$H171)&amp;"")&lt;&gt;"yes",INDEX('Game Records'!$U:$U,$H171)&lt;&gt;"Subscription",INDEX('Game Records'!$U:$U,$H171)&lt;&gt;"Free Game",INDEX('Game Records'!$U:$U,$H171)&lt;&gt;"Disqualified — Free Game",INDEX('Game Records'!$K:$K,$H171)=""),"Final Earned; ","")&amp;IF(AND(LOWER(INDEX('Game Records'!$D:$D,$H171)&amp;"")="finalized",INDEX('Game Records'!$U:$U,$H171)&lt;&gt;"Subscription",INDEX('Game Records'!$U:$U,$H171)&lt;&gt;"Free Game",INDEX('Game Records'!$U:$U,$H171)&lt;&gt;"Disqualified — Free Game",OR(INDEX('Game Records'!$L:$L,$H171)="",LOWER(INDEX('Game Records'!$L:$L,$H171)&amp;"")="n/a")),"Disqualified Status; ","")&amp;IF(AND(OR(LOWER(TRIM(INDEX('Game Records'!$F:$F,$H171)&amp;""))="free game",INDEX('Game Records'!$U:$U,$H171)="Free Game",INDEX('Game Records'!$U:$U,$H171)="Disqualified — Free Game"),N(INDEX('Game Records'!$H:$H,$H171))&lt;&gt;0),"Free Game has a non-zero Entry Fee. Free Game records require a $0 Entry Fee; ",""))</f>
        <v/>
      </c>
      <c r="G171" s="331" t="str">
        <f>IF($H171="","",IFERROR(INDEX('Game Records'!$M:$M,$H171),""))</f>
        <v/>
      </c>
      <c r="H171" s="104" t="str">
        <f>IF($H170="","",IFERROR(MATCH(1,INDEX((ROW('Game Records'!$U$5:$U$504)&gt;$H170)*(('Game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1" s="104"/>
      <c r="J171" s="104"/>
    </row>
    <row r="172" ht="24" hidden="0" customHeight="1">
      <c r="A172" s="332" t="str">
        <f>IF($H172="","",ROWS($A$5:A172))</f>
        <v/>
      </c>
      <c r="B172" s="332" t="str">
        <f>IF($H172="","","G-"&amp;TEXT($A172,"0000"))</f>
        <v/>
      </c>
      <c r="C172" s="331" t="str">
        <f>IF($H172="","",IFERROR(INDEX('Game Records'!$A:$A,$H172),""))</f>
        <v/>
      </c>
      <c r="D172" s="331" t="str">
        <f>IF($H172="","",IFERROR(INDEX('Game Records'!$U:$U,$H172),""))</f>
        <v/>
      </c>
      <c r="E172" s="331" t="str">
        <f>IF($H172="","",IF($F172="","No Highlighted Fields","Highlighted Fields Present"))</f>
        <v/>
      </c>
      <c r="F172" s="331" t="str">
        <f>IF($H172="","",IF(OR(NOT(ISFORMULA(INDEX('Game Records'!$N:$N,$H172))),NOT(ISFORMULA(INDEX('Game Records'!$O:$O,$H172))),NOT(ISFORMULA(INDEX('Game Records'!$P:$P,$H172))),NOT(ISFORMULA(INDEX('Game Records'!$Q:$Q,$H172))),NOT(ISFORMULA(INDEX('Game Records'!$R:$R,$H172))),NOT(ISFORMULA(INDEX('Game Records'!$S:$S,$H172))),NOT(ISFORMULA(INDEX('Game Records'!$T:$T,$H172))),NOT(ISFORMULA(INDEX('Game Records'!$U:$U,$H172))),NOT(ISFORMULA(INDEX('Game Records'!$V:$V,$H172))),NOT(ISFORMULA(INDEX('Game Records'!$W:$W,$H172))),NOT(ISFORMULA(INDEX('Game Records'!$X:$X,$H172))),NOT(ISFORMULA(INDEX('Game Records'!$Y:$Y,$H172))),NOT(ISFORMULA(INDEX('Game Records'!$Z:$Z,$H172)))),"Formula columns missing; ","")&amp;IF(INDEX('Game Records'!$B:$B,$H172)="","Start Date; ","")&amp;IF(INDEX('Game Records'!$C:$C,$H172)="","End Date; ","")&amp;IF(AND(INDEX('Game Records'!$U:$U,$H172)&lt;&gt;"Subscription",INDEX('Game Records'!$U:$U,$H172)&lt;&gt;"Free Game",INDEX('Game Records'!$U:$U,$H172)&lt;&gt;"Disqualified — Free Game",OR(INDEX('Game Records'!$D:$D,$H172)="",LOWER(INDEX('Game Records'!$D:$D,$H172)&amp;"")="n/a")),"Entry Mode; ","")&amp;IF(AND(INDEX('Game Records'!$U:$U,$H172)&lt;&gt;"Subscription",INDEX('Game Records'!$U:$U,$H172)&lt;&gt;"Free Game",INDEX('Game Records'!$U:$U,$H172)&lt;&gt;"Disqualified — Free Game",OR(INDEX('Game Records'!$E:$E,$H172)="",LOWER(INDEX('Game Records'!$E:$E,$H172)&amp;"")="n/a")),"Game Type; ","")&amp;IF(INDEX('Game Records'!$F:$F,$H172)="","Payment Type; ","")&amp;IF(AND(INDEX('Game Records'!$U:$U,$H172)&lt;&gt;"Subscription",INDEX('Game Records'!$U:$U,$H172)&lt;&gt;"Free Game",INDEX('Game Records'!$U:$U,$H172)&lt;&gt;"Disqualified — Free Game",INDEX('Game Records'!$G:$G,$H172)=""),"Gross Pot; ","")&amp;IF(AND(INDEX('Game Records'!$U:$U,$H172)&lt;&gt;"Free Game",INDEX('Game Records'!$U:$U,$H172)&lt;&gt;"Disqualified — Free Game",INDEX('Game Records'!$H:$H,$H172)=""),"Entry Fee; ","")&amp;IF(AND(INDEX('Game Records'!$U:$U,$H172)&lt;&gt;"Subscription",INDEX('Game Records'!$U:$U,$H172)&lt;&gt;"Free Game",INDEX('Game Records'!$U:$U,$H172)&lt;&gt;"Disqualified — Free Game",INDEX('Game Records'!$I:$I,$H172)=""),"Eligible Players; ","")&amp;IF(AND(INDEX('Game Records'!$U:$U,$H172)&lt;&gt;"Subscription",INDEX('Game Records'!$U:$U,$H172)&lt;&gt;"Free Game",INDEX('Game Records'!$U:$U,$H172)&lt;&gt;"Disqualified — Free Game",INDEX('Game Records'!$J:$J,$H172)=""),"Total Players; ","")&amp;IF(AND(LOWER(INDEX('Game Records'!$D:$D,$H172)&amp;"")="finalized",LOWER(INDEX('Game Records'!$L:$L,$H172)&amp;"")&lt;&gt;"yes",INDEX('Game Records'!$U:$U,$H172)&lt;&gt;"Subscription",INDEX('Game Records'!$U:$U,$H172)&lt;&gt;"Free Game",INDEX('Game Records'!$U:$U,$H172)&lt;&gt;"Disqualified — Free Game",INDEX('Game Records'!$K:$K,$H172)=""),"Final Earned; ","")&amp;IF(AND(LOWER(INDEX('Game Records'!$D:$D,$H172)&amp;"")="finalized",INDEX('Game Records'!$U:$U,$H172)&lt;&gt;"Subscription",INDEX('Game Records'!$U:$U,$H172)&lt;&gt;"Free Game",INDEX('Game Records'!$U:$U,$H172)&lt;&gt;"Disqualified — Free Game",OR(INDEX('Game Records'!$L:$L,$H172)="",LOWER(INDEX('Game Records'!$L:$L,$H172)&amp;"")="n/a")),"Disqualified Status; ","")&amp;IF(AND(OR(LOWER(TRIM(INDEX('Game Records'!$F:$F,$H172)&amp;""))="free game",INDEX('Game Records'!$U:$U,$H172)="Free Game",INDEX('Game Records'!$U:$U,$H172)="Disqualified — Free Game"),N(INDEX('Game Records'!$H:$H,$H172))&lt;&gt;0),"Free Game has a non-zero Entry Fee. Free Game records require a $0 Entry Fee; ",""))</f>
        <v/>
      </c>
      <c r="G172" s="331" t="str">
        <f>IF($H172="","",IFERROR(INDEX('Game Records'!$M:$M,$H172),""))</f>
        <v/>
      </c>
      <c r="H172" s="104" t="str">
        <f>IF($H171="","",IFERROR(MATCH(1,INDEX((ROW('Game Records'!$U$5:$U$504)&gt;$H171)*(('Game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2" s="104"/>
      <c r="J172" s="104"/>
    </row>
    <row r="173" ht="24" hidden="0" customHeight="1">
      <c r="A173" s="332" t="str">
        <f>IF($H173="","",ROWS($A$5:A173))</f>
        <v/>
      </c>
      <c r="B173" s="332" t="str">
        <f>IF($H173="","","G-"&amp;TEXT($A173,"0000"))</f>
        <v/>
      </c>
      <c r="C173" s="331" t="str">
        <f>IF($H173="","",IFERROR(INDEX('Game Records'!$A:$A,$H173),""))</f>
        <v/>
      </c>
      <c r="D173" s="331" t="str">
        <f>IF($H173="","",IFERROR(INDEX('Game Records'!$U:$U,$H173),""))</f>
        <v/>
      </c>
      <c r="E173" s="331" t="str">
        <f>IF($H173="","",IF($F173="","No Highlighted Fields","Highlighted Fields Present"))</f>
        <v/>
      </c>
      <c r="F173" s="331" t="str">
        <f>IF($H173="","",IF(OR(NOT(ISFORMULA(INDEX('Game Records'!$N:$N,$H173))),NOT(ISFORMULA(INDEX('Game Records'!$O:$O,$H173))),NOT(ISFORMULA(INDEX('Game Records'!$P:$P,$H173))),NOT(ISFORMULA(INDEX('Game Records'!$Q:$Q,$H173))),NOT(ISFORMULA(INDEX('Game Records'!$R:$R,$H173))),NOT(ISFORMULA(INDEX('Game Records'!$S:$S,$H173))),NOT(ISFORMULA(INDEX('Game Records'!$T:$T,$H173))),NOT(ISFORMULA(INDEX('Game Records'!$U:$U,$H173))),NOT(ISFORMULA(INDEX('Game Records'!$V:$V,$H173))),NOT(ISFORMULA(INDEX('Game Records'!$W:$W,$H173))),NOT(ISFORMULA(INDEX('Game Records'!$X:$X,$H173))),NOT(ISFORMULA(INDEX('Game Records'!$Y:$Y,$H173))),NOT(ISFORMULA(INDEX('Game Records'!$Z:$Z,$H173)))),"Formula columns missing; ","")&amp;IF(INDEX('Game Records'!$B:$B,$H173)="","Start Date; ","")&amp;IF(INDEX('Game Records'!$C:$C,$H173)="","End Date; ","")&amp;IF(AND(INDEX('Game Records'!$U:$U,$H173)&lt;&gt;"Subscription",INDEX('Game Records'!$U:$U,$H173)&lt;&gt;"Free Game",INDEX('Game Records'!$U:$U,$H173)&lt;&gt;"Disqualified — Free Game",OR(INDEX('Game Records'!$D:$D,$H173)="",LOWER(INDEX('Game Records'!$D:$D,$H173)&amp;"")="n/a")),"Entry Mode; ","")&amp;IF(AND(INDEX('Game Records'!$U:$U,$H173)&lt;&gt;"Subscription",INDEX('Game Records'!$U:$U,$H173)&lt;&gt;"Free Game",INDEX('Game Records'!$U:$U,$H173)&lt;&gt;"Disqualified — Free Game",OR(INDEX('Game Records'!$E:$E,$H173)="",LOWER(INDEX('Game Records'!$E:$E,$H173)&amp;"")="n/a")),"Game Type; ","")&amp;IF(INDEX('Game Records'!$F:$F,$H173)="","Payment Type; ","")&amp;IF(AND(INDEX('Game Records'!$U:$U,$H173)&lt;&gt;"Subscription",INDEX('Game Records'!$U:$U,$H173)&lt;&gt;"Free Game",INDEX('Game Records'!$U:$U,$H173)&lt;&gt;"Disqualified — Free Game",INDEX('Game Records'!$G:$G,$H173)=""),"Gross Pot; ","")&amp;IF(AND(INDEX('Game Records'!$U:$U,$H173)&lt;&gt;"Free Game",INDEX('Game Records'!$U:$U,$H173)&lt;&gt;"Disqualified — Free Game",INDEX('Game Records'!$H:$H,$H173)=""),"Entry Fee; ","")&amp;IF(AND(INDEX('Game Records'!$U:$U,$H173)&lt;&gt;"Subscription",INDEX('Game Records'!$U:$U,$H173)&lt;&gt;"Free Game",INDEX('Game Records'!$U:$U,$H173)&lt;&gt;"Disqualified — Free Game",INDEX('Game Records'!$I:$I,$H173)=""),"Eligible Players; ","")&amp;IF(AND(INDEX('Game Records'!$U:$U,$H173)&lt;&gt;"Subscription",INDEX('Game Records'!$U:$U,$H173)&lt;&gt;"Free Game",INDEX('Game Records'!$U:$U,$H173)&lt;&gt;"Disqualified — Free Game",INDEX('Game Records'!$J:$J,$H173)=""),"Total Players; ","")&amp;IF(AND(LOWER(INDEX('Game Records'!$D:$D,$H173)&amp;"")="finalized",LOWER(INDEX('Game Records'!$L:$L,$H173)&amp;"")&lt;&gt;"yes",INDEX('Game Records'!$U:$U,$H173)&lt;&gt;"Subscription",INDEX('Game Records'!$U:$U,$H173)&lt;&gt;"Free Game",INDEX('Game Records'!$U:$U,$H173)&lt;&gt;"Disqualified — Free Game",INDEX('Game Records'!$K:$K,$H173)=""),"Final Earned; ","")&amp;IF(AND(LOWER(INDEX('Game Records'!$D:$D,$H173)&amp;"")="finalized",INDEX('Game Records'!$U:$U,$H173)&lt;&gt;"Subscription",INDEX('Game Records'!$U:$U,$H173)&lt;&gt;"Free Game",INDEX('Game Records'!$U:$U,$H173)&lt;&gt;"Disqualified — Free Game",OR(INDEX('Game Records'!$L:$L,$H173)="",LOWER(INDEX('Game Records'!$L:$L,$H173)&amp;"")="n/a")),"Disqualified Status; ","")&amp;IF(AND(OR(LOWER(TRIM(INDEX('Game Records'!$F:$F,$H173)&amp;""))="free game",INDEX('Game Records'!$U:$U,$H173)="Free Game",INDEX('Game Records'!$U:$U,$H173)="Disqualified — Free Game"),N(INDEX('Game Records'!$H:$H,$H173))&lt;&gt;0),"Free Game has a non-zero Entry Fee. Free Game records require a $0 Entry Fee; ",""))</f>
        <v/>
      </c>
      <c r="G173" s="331" t="str">
        <f>IF($H173="","",IFERROR(INDEX('Game Records'!$M:$M,$H173),""))</f>
        <v/>
      </c>
      <c r="H173" s="104" t="str">
        <f>IF($H172="","",IFERROR(MATCH(1,INDEX((ROW('Game Records'!$U$5:$U$504)&gt;$H172)*(('Game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3" s="104"/>
      <c r="J173" s="104"/>
    </row>
    <row r="174" ht="24" hidden="0" customHeight="1">
      <c r="A174" s="332" t="str">
        <f>IF($H174="","",ROWS($A$5:A174))</f>
        <v/>
      </c>
      <c r="B174" s="332" t="str">
        <f>IF($H174="","","G-"&amp;TEXT($A174,"0000"))</f>
        <v/>
      </c>
      <c r="C174" s="331" t="str">
        <f>IF($H174="","",IFERROR(INDEX('Game Records'!$A:$A,$H174),""))</f>
        <v/>
      </c>
      <c r="D174" s="331" t="str">
        <f>IF($H174="","",IFERROR(INDEX('Game Records'!$U:$U,$H174),""))</f>
        <v/>
      </c>
      <c r="E174" s="331" t="str">
        <f>IF($H174="","",IF($F174="","No Highlighted Fields","Highlighted Fields Present"))</f>
        <v/>
      </c>
      <c r="F174" s="331" t="str">
        <f>IF($H174="","",IF(OR(NOT(ISFORMULA(INDEX('Game Records'!$N:$N,$H174))),NOT(ISFORMULA(INDEX('Game Records'!$O:$O,$H174))),NOT(ISFORMULA(INDEX('Game Records'!$P:$P,$H174))),NOT(ISFORMULA(INDEX('Game Records'!$Q:$Q,$H174))),NOT(ISFORMULA(INDEX('Game Records'!$R:$R,$H174))),NOT(ISFORMULA(INDEX('Game Records'!$S:$S,$H174))),NOT(ISFORMULA(INDEX('Game Records'!$T:$T,$H174))),NOT(ISFORMULA(INDEX('Game Records'!$U:$U,$H174))),NOT(ISFORMULA(INDEX('Game Records'!$V:$V,$H174))),NOT(ISFORMULA(INDEX('Game Records'!$W:$W,$H174))),NOT(ISFORMULA(INDEX('Game Records'!$X:$X,$H174))),NOT(ISFORMULA(INDEX('Game Records'!$Y:$Y,$H174))),NOT(ISFORMULA(INDEX('Game Records'!$Z:$Z,$H174)))),"Formula columns missing; ","")&amp;IF(INDEX('Game Records'!$B:$B,$H174)="","Start Date; ","")&amp;IF(INDEX('Game Records'!$C:$C,$H174)="","End Date; ","")&amp;IF(AND(INDEX('Game Records'!$U:$U,$H174)&lt;&gt;"Subscription",INDEX('Game Records'!$U:$U,$H174)&lt;&gt;"Free Game",INDEX('Game Records'!$U:$U,$H174)&lt;&gt;"Disqualified — Free Game",OR(INDEX('Game Records'!$D:$D,$H174)="",LOWER(INDEX('Game Records'!$D:$D,$H174)&amp;"")="n/a")),"Entry Mode; ","")&amp;IF(AND(INDEX('Game Records'!$U:$U,$H174)&lt;&gt;"Subscription",INDEX('Game Records'!$U:$U,$H174)&lt;&gt;"Free Game",INDEX('Game Records'!$U:$U,$H174)&lt;&gt;"Disqualified — Free Game",OR(INDEX('Game Records'!$E:$E,$H174)="",LOWER(INDEX('Game Records'!$E:$E,$H174)&amp;"")="n/a")),"Game Type; ","")&amp;IF(INDEX('Game Records'!$F:$F,$H174)="","Payment Type; ","")&amp;IF(AND(INDEX('Game Records'!$U:$U,$H174)&lt;&gt;"Subscription",INDEX('Game Records'!$U:$U,$H174)&lt;&gt;"Free Game",INDEX('Game Records'!$U:$U,$H174)&lt;&gt;"Disqualified — Free Game",INDEX('Game Records'!$G:$G,$H174)=""),"Gross Pot; ","")&amp;IF(AND(INDEX('Game Records'!$U:$U,$H174)&lt;&gt;"Free Game",INDEX('Game Records'!$U:$U,$H174)&lt;&gt;"Disqualified — Free Game",INDEX('Game Records'!$H:$H,$H174)=""),"Entry Fee; ","")&amp;IF(AND(INDEX('Game Records'!$U:$U,$H174)&lt;&gt;"Subscription",INDEX('Game Records'!$U:$U,$H174)&lt;&gt;"Free Game",INDEX('Game Records'!$U:$U,$H174)&lt;&gt;"Disqualified — Free Game",INDEX('Game Records'!$I:$I,$H174)=""),"Eligible Players; ","")&amp;IF(AND(INDEX('Game Records'!$U:$U,$H174)&lt;&gt;"Subscription",INDEX('Game Records'!$U:$U,$H174)&lt;&gt;"Free Game",INDEX('Game Records'!$U:$U,$H174)&lt;&gt;"Disqualified — Free Game",INDEX('Game Records'!$J:$J,$H174)=""),"Total Players; ","")&amp;IF(AND(LOWER(INDEX('Game Records'!$D:$D,$H174)&amp;"")="finalized",LOWER(INDEX('Game Records'!$L:$L,$H174)&amp;"")&lt;&gt;"yes",INDEX('Game Records'!$U:$U,$H174)&lt;&gt;"Subscription",INDEX('Game Records'!$U:$U,$H174)&lt;&gt;"Free Game",INDEX('Game Records'!$U:$U,$H174)&lt;&gt;"Disqualified — Free Game",INDEX('Game Records'!$K:$K,$H174)=""),"Final Earned; ","")&amp;IF(AND(LOWER(INDEX('Game Records'!$D:$D,$H174)&amp;"")="finalized",INDEX('Game Records'!$U:$U,$H174)&lt;&gt;"Subscription",INDEX('Game Records'!$U:$U,$H174)&lt;&gt;"Free Game",INDEX('Game Records'!$U:$U,$H174)&lt;&gt;"Disqualified — Free Game",OR(INDEX('Game Records'!$L:$L,$H174)="",LOWER(INDEX('Game Records'!$L:$L,$H174)&amp;"")="n/a")),"Disqualified Status; ","")&amp;IF(AND(OR(LOWER(TRIM(INDEX('Game Records'!$F:$F,$H174)&amp;""))="free game",INDEX('Game Records'!$U:$U,$H174)="Free Game",INDEX('Game Records'!$U:$U,$H174)="Disqualified — Free Game"),N(INDEX('Game Records'!$H:$H,$H174))&lt;&gt;0),"Free Game has a non-zero Entry Fee. Free Game records require a $0 Entry Fee; ",""))</f>
        <v/>
      </c>
      <c r="G174" s="331" t="str">
        <f>IF($H174="","",IFERROR(INDEX('Game Records'!$M:$M,$H174),""))</f>
        <v/>
      </c>
      <c r="H174" s="104" t="str">
        <f>IF($H173="","",IFERROR(MATCH(1,INDEX((ROW('Game Records'!$U$5:$U$504)&gt;$H173)*(('Game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4" s="104"/>
      <c r="J174" s="104"/>
    </row>
    <row r="175" ht="24" hidden="0" customHeight="1">
      <c r="A175" s="332" t="str">
        <f>IF($H175="","",ROWS($A$5:A175))</f>
        <v/>
      </c>
      <c r="B175" s="332" t="str">
        <f>IF($H175="","","G-"&amp;TEXT($A175,"0000"))</f>
        <v/>
      </c>
      <c r="C175" s="331" t="str">
        <f>IF($H175="","",IFERROR(INDEX('Game Records'!$A:$A,$H175),""))</f>
        <v/>
      </c>
      <c r="D175" s="331" t="str">
        <f>IF($H175="","",IFERROR(INDEX('Game Records'!$U:$U,$H175),""))</f>
        <v/>
      </c>
      <c r="E175" s="331" t="str">
        <f>IF($H175="","",IF($F175="","No Highlighted Fields","Highlighted Fields Present"))</f>
        <v/>
      </c>
      <c r="F175" s="331" t="str">
        <f>IF($H175="","",IF(OR(NOT(ISFORMULA(INDEX('Game Records'!$N:$N,$H175))),NOT(ISFORMULA(INDEX('Game Records'!$O:$O,$H175))),NOT(ISFORMULA(INDEX('Game Records'!$P:$P,$H175))),NOT(ISFORMULA(INDEX('Game Records'!$Q:$Q,$H175))),NOT(ISFORMULA(INDEX('Game Records'!$R:$R,$H175))),NOT(ISFORMULA(INDEX('Game Records'!$S:$S,$H175))),NOT(ISFORMULA(INDEX('Game Records'!$T:$T,$H175))),NOT(ISFORMULA(INDEX('Game Records'!$U:$U,$H175))),NOT(ISFORMULA(INDEX('Game Records'!$V:$V,$H175))),NOT(ISFORMULA(INDEX('Game Records'!$W:$W,$H175))),NOT(ISFORMULA(INDEX('Game Records'!$X:$X,$H175))),NOT(ISFORMULA(INDEX('Game Records'!$Y:$Y,$H175))),NOT(ISFORMULA(INDEX('Game Records'!$Z:$Z,$H175)))),"Formula columns missing; ","")&amp;IF(INDEX('Game Records'!$B:$B,$H175)="","Start Date; ","")&amp;IF(INDEX('Game Records'!$C:$C,$H175)="","End Date; ","")&amp;IF(AND(INDEX('Game Records'!$U:$U,$H175)&lt;&gt;"Subscription",INDEX('Game Records'!$U:$U,$H175)&lt;&gt;"Free Game",INDEX('Game Records'!$U:$U,$H175)&lt;&gt;"Disqualified — Free Game",OR(INDEX('Game Records'!$D:$D,$H175)="",LOWER(INDEX('Game Records'!$D:$D,$H175)&amp;"")="n/a")),"Entry Mode; ","")&amp;IF(AND(INDEX('Game Records'!$U:$U,$H175)&lt;&gt;"Subscription",INDEX('Game Records'!$U:$U,$H175)&lt;&gt;"Free Game",INDEX('Game Records'!$U:$U,$H175)&lt;&gt;"Disqualified — Free Game",OR(INDEX('Game Records'!$E:$E,$H175)="",LOWER(INDEX('Game Records'!$E:$E,$H175)&amp;"")="n/a")),"Game Type; ","")&amp;IF(INDEX('Game Records'!$F:$F,$H175)="","Payment Type; ","")&amp;IF(AND(INDEX('Game Records'!$U:$U,$H175)&lt;&gt;"Subscription",INDEX('Game Records'!$U:$U,$H175)&lt;&gt;"Free Game",INDEX('Game Records'!$U:$U,$H175)&lt;&gt;"Disqualified — Free Game",INDEX('Game Records'!$G:$G,$H175)=""),"Gross Pot; ","")&amp;IF(AND(INDEX('Game Records'!$U:$U,$H175)&lt;&gt;"Free Game",INDEX('Game Records'!$U:$U,$H175)&lt;&gt;"Disqualified — Free Game",INDEX('Game Records'!$H:$H,$H175)=""),"Entry Fee; ","")&amp;IF(AND(INDEX('Game Records'!$U:$U,$H175)&lt;&gt;"Subscription",INDEX('Game Records'!$U:$U,$H175)&lt;&gt;"Free Game",INDEX('Game Records'!$U:$U,$H175)&lt;&gt;"Disqualified — Free Game",INDEX('Game Records'!$I:$I,$H175)=""),"Eligible Players; ","")&amp;IF(AND(INDEX('Game Records'!$U:$U,$H175)&lt;&gt;"Subscription",INDEX('Game Records'!$U:$U,$H175)&lt;&gt;"Free Game",INDEX('Game Records'!$U:$U,$H175)&lt;&gt;"Disqualified — Free Game",INDEX('Game Records'!$J:$J,$H175)=""),"Total Players; ","")&amp;IF(AND(LOWER(INDEX('Game Records'!$D:$D,$H175)&amp;"")="finalized",LOWER(INDEX('Game Records'!$L:$L,$H175)&amp;"")&lt;&gt;"yes",INDEX('Game Records'!$U:$U,$H175)&lt;&gt;"Subscription",INDEX('Game Records'!$U:$U,$H175)&lt;&gt;"Free Game",INDEX('Game Records'!$U:$U,$H175)&lt;&gt;"Disqualified — Free Game",INDEX('Game Records'!$K:$K,$H175)=""),"Final Earned; ","")&amp;IF(AND(LOWER(INDEX('Game Records'!$D:$D,$H175)&amp;"")="finalized",INDEX('Game Records'!$U:$U,$H175)&lt;&gt;"Subscription",INDEX('Game Records'!$U:$U,$H175)&lt;&gt;"Free Game",INDEX('Game Records'!$U:$U,$H175)&lt;&gt;"Disqualified — Free Game",OR(INDEX('Game Records'!$L:$L,$H175)="",LOWER(INDEX('Game Records'!$L:$L,$H175)&amp;"")="n/a")),"Disqualified Status; ","")&amp;IF(AND(OR(LOWER(TRIM(INDEX('Game Records'!$F:$F,$H175)&amp;""))="free game",INDEX('Game Records'!$U:$U,$H175)="Free Game",INDEX('Game Records'!$U:$U,$H175)="Disqualified — Free Game"),N(INDEX('Game Records'!$H:$H,$H175))&lt;&gt;0),"Free Game has a non-zero Entry Fee. Free Game records require a $0 Entry Fee; ",""))</f>
        <v/>
      </c>
      <c r="G175" s="331" t="str">
        <f>IF($H175="","",IFERROR(INDEX('Game Records'!$M:$M,$H175),""))</f>
        <v/>
      </c>
      <c r="H175" s="104" t="str">
        <f>IF($H174="","",IFERROR(MATCH(1,INDEX((ROW('Game Records'!$U$5:$U$504)&gt;$H174)*(('Game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5" s="104"/>
      <c r="J175" s="104"/>
    </row>
    <row r="176" ht="24" hidden="0" customHeight="1">
      <c r="A176" s="332" t="str">
        <f>IF($H176="","",ROWS($A$5:A176))</f>
        <v/>
      </c>
      <c r="B176" s="332" t="str">
        <f>IF($H176="","","G-"&amp;TEXT($A176,"0000"))</f>
        <v/>
      </c>
      <c r="C176" s="331" t="str">
        <f>IF($H176="","",IFERROR(INDEX('Game Records'!$A:$A,$H176),""))</f>
        <v/>
      </c>
      <c r="D176" s="331" t="str">
        <f>IF($H176="","",IFERROR(INDEX('Game Records'!$U:$U,$H176),""))</f>
        <v/>
      </c>
      <c r="E176" s="331" t="str">
        <f>IF($H176="","",IF($F176="","No Highlighted Fields","Highlighted Fields Present"))</f>
        <v/>
      </c>
      <c r="F176" s="331" t="str">
        <f>IF($H176="","",IF(OR(NOT(ISFORMULA(INDEX('Game Records'!$N:$N,$H176))),NOT(ISFORMULA(INDEX('Game Records'!$O:$O,$H176))),NOT(ISFORMULA(INDEX('Game Records'!$P:$P,$H176))),NOT(ISFORMULA(INDEX('Game Records'!$Q:$Q,$H176))),NOT(ISFORMULA(INDEX('Game Records'!$R:$R,$H176))),NOT(ISFORMULA(INDEX('Game Records'!$S:$S,$H176))),NOT(ISFORMULA(INDEX('Game Records'!$T:$T,$H176))),NOT(ISFORMULA(INDEX('Game Records'!$U:$U,$H176))),NOT(ISFORMULA(INDEX('Game Records'!$V:$V,$H176))),NOT(ISFORMULA(INDEX('Game Records'!$W:$W,$H176))),NOT(ISFORMULA(INDEX('Game Records'!$X:$X,$H176))),NOT(ISFORMULA(INDEX('Game Records'!$Y:$Y,$H176))),NOT(ISFORMULA(INDEX('Game Records'!$Z:$Z,$H176)))),"Formula columns missing; ","")&amp;IF(INDEX('Game Records'!$B:$B,$H176)="","Start Date; ","")&amp;IF(INDEX('Game Records'!$C:$C,$H176)="","End Date; ","")&amp;IF(AND(INDEX('Game Records'!$U:$U,$H176)&lt;&gt;"Subscription",INDEX('Game Records'!$U:$U,$H176)&lt;&gt;"Free Game",INDEX('Game Records'!$U:$U,$H176)&lt;&gt;"Disqualified — Free Game",OR(INDEX('Game Records'!$D:$D,$H176)="",LOWER(INDEX('Game Records'!$D:$D,$H176)&amp;"")="n/a")),"Entry Mode; ","")&amp;IF(AND(INDEX('Game Records'!$U:$U,$H176)&lt;&gt;"Subscription",INDEX('Game Records'!$U:$U,$H176)&lt;&gt;"Free Game",INDEX('Game Records'!$U:$U,$H176)&lt;&gt;"Disqualified — Free Game",OR(INDEX('Game Records'!$E:$E,$H176)="",LOWER(INDEX('Game Records'!$E:$E,$H176)&amp;"")="n/a")),"Game Type; ","")&amp;IF(INDEX('Game Records'!$F:$F,$H176)="","Payment Type; ","")&amp;IF(AND(INDEX('Game Records'!$U:$U,$H176)&lt;&gt;"Subscription",INDEX('Game Records'!$U:$U,$H176)&lt;&gt;"Free Game",INDEX('Game Records'!$U:$U,$H176)&lt;&gt;"Disqualified — Free Game",INDEX('Game Records'!$G:$G,$H176)=""),"Gross Pot; ","")&amp;IF(AND(INDEX('Game Records'!$U:$U,$H176)&lt;&gt;"Free Game",INDEX('Game Records'!$U:$U,$H176)&lt;&gt;"Disqualified — Free Game",INDEX('Game Records'!$H:$H,$H176)=""),"Entry Fee; ","")&amp;IF(AND(INDEX('Game Records'!$U:$U,$H176)&lt;&gt;"Subscription",INDEX('Game Records'!$U:$U,$H176)&lt;&gt;"Free Game",INDEX('Game Records'!$U:$U,$H176)&lt;&gt;"Disqualified — Free Game",INDEX('Game Records'!$I:$I,$H176)=""),"Eligible Players; ","")&amp;IF(AND(INDEX('Game Records'!$U:$U,$H176)&lt;&gt;"Subscription",INDEX('Game Records'!$U:$U,$H176)&lt;&gt;"Free Game",INDEX('Game Records'!$U:$U,$H176)&lt;&gt;"Disqualified — Free Game",INDEX('Game Records'!$J:$J,$H176)=""),"Total Players; ","")&amp;IF(AND(LOWER(INDEX('Game Records'!$D:$D,$H176)&amp;"")="finalized",LOWER(INDEX('Game Records'!$L:$L,$H176)&amp;"")&lt;&gt;"yes",INDEX('Game Records'!$U:$U,$H176)&lt;&gt;"Subscription",INDEX('Game Records'!$U:$U,$H176)&lt;&gt;"Free Game",INDEX('Game Records'!$U:$U,$H176)&lt;&gt;"Disqualified — Free Game",INDEX('Game Records'!$K:$K,$H176)=""),"Final Earned; ","")&amp;IF(AND(LOWER(INDEX('Game Records'!$D:$D,$H176)&amp;"")="finalized",INDEX('Game Records'!$U:$U,$H176)&lt;&gt;"Subscription",INDEX('Game Records'!$U:$U,$H176)&lt;&gt;"Free Game",INDEX('Game Records'!$U:$U,$H176)&lt;&gt;"Disqualified — Free Game",OR(INDEX('Game Records'!$L:$L,$H176)="",LOWER(INDEX('Game Records'!$L:$L,$H176)&amp;"")="n/a")),"Disqualified Status; ","")&amp;IF(AND(OR(LOWER(TRIM(INDEX('Game Records'!$F:$F,$H176)&amp;""))="free game",INDEX('Game Records'!$U:$U,$H176)="Free Game",INDEX('Game Records'!$U:$U,$H176)="Disqualified — Free Game"),N(INDEX('Game Records'!$H:$H,$H176))&lt;&gt;0),"Free Game has a non-zero Entry Fee. Free Game records require a $0 Entry Fee; ",""))</f>
        <v/>
      </c>
      <c r="G176" s="331" t="str">
        <f>IF($H176="","",IFERROR(INDEX('Game Records'!$M:$M,$H176),""))</f>
        <v/>
      </c>
      <c r="H176" s="104" t="str">
        <f>IF($H175="","",IFERROR(MATCH(1,INDEX((ROW('Game Records'!$U$5:$U$504)&gt;$H175)*(('Game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6" s="104"/>
      <c r="J176" s="104"/>
    </row>
    <row r="177" ht="24" hidden="0" customHeight="1">
      <c r="A177" s="332" t="str">
        <f>IF($H177="","",ROWS($A$5:A177))</f>
        <v/>
      </c>
      <c r="B177" s="332" t="str">
        <f>IF($H177="","","G-"&amp;TEXT($A177,"0000"))</f>
        <v/>
      </c>
      <c r="C177" s="331" t="str">
        <f>IF($H177="","",IFERROR(INDEX('Game Records'!$A:$A,$H177),""))</f>
        <v/>
      </c>
      <c r="D177" s="331" t="str">
        <f>IF($H177="","",IFERROR(INDEX('Game Records'!$U:$U,$H177),""))</f>
        <v/>
      </c>
      <c r="E177" s="331" t="str">
        <f>IF($H177="","",IF($F177="","No Highlighted Fields","Highlighted Fields Present"))</f>
        <v/>
      </c>
      <c r="F177" s="331" t="str">
        <f>IF($H177="","",IF(OR(NOT(ISFORMULA(INDEX('Game Records'!$N:$N,$H177))),NOT(ISFORMULA(INDEX('Game Records'!$O:$O,$H177))),NOT(ISFORMULA(INDEX('Game Records'!$P:$P,$H177))),NOT(ISFORMULA(INDEX('Game Records'!$Q:$Q,$H177))),NOT(ISFORMULA(INDEX('Game Records'!$R:$R,$H177))),NOT(ISFORMULA(INDEX('Game Records'!$S:$S,$H177))),NOT(ISFORMULA(INDEX('Game Records'!$T:$T,$H177))),NOT(ISFORMULA(INDEX('Game Records'!$U:$U,$H177))),NOT(ISFORMULA(INDEX('Game Records'!$V:$V,$H177))),NOT(ISFORMULA(INDEX('Game Records'!$W:$W,$H177))),NOT(ISFORMULA(INDEX('Game Records'!$X:$X,$H177))),NOT(ISFORMULA(INDEX('Game Records'!$Y:$Y,$H177))),NOT(ISFORMULA(INDEX('Game Records'!$Z:$Z,$H177)))),"Formula columns missing; ","")&amp;IF(INDEX('Game Records'!$B:$B,$H177)="","Start Date; ","")&amp;IF(INDEX('Game Records'!$C:$C,$H177)="","End Date; ","")&amp;IF(AND(INDEX('Game Records'!$U:$U,$H177)&lt;&gt;"Subscription",INDEX('Game Records'!$U:$U,$H177)&lt;&gt;"Free Game",INDEX('Game Records'!$U:$U,$H177)&lt;&gt;"Disqualified — Free Game",OR(INDEX('Game Records'!$D:$D,$H177)="",LOWER(INDEX('Game Records'!$D:$D,$H177)&amp;"")="n/a")),"Entry Mode; ","")&amp;IF(AND(INDEX('Game Records'!$U:$U,$H177)&lt;&gt;"Subscription",INDEX('Game Records'!$U:$U,$H177)&lt;&gt;"Free Game",INDEX('Game Records'!$U:$U,$H177)&lt;&gt;"Disqualified — Free Game",OR(INDEX('Game Records'!$E:$E,$H177)="",LOWER(INDEX('Game Records'!$E:$E,$H177)&amp;"")="n/a")),"Game Type; ","")&amp;IF(INDEX('Game Records'!$F:$F,$H177)="","Payment Type; ","")&amp;IF(AND(INDEX('Game Records'!$U:$U,$H177)&lt;&gt;"Subscription",INDEX('Game Records'!$U:$U,$H177)&lt;&gt;"Free Game",INDEX('Game Records'!$U:$U,$H177)&lt;&gt;"Disqualified — Free Game",INDEX('Game Records'!$G:$G,$H177)=""),"Gross Pot; ","")&amp;IF(AND(INDEX('Game Records'!$U:$U,$H177)&lt;&gt;"Free Game",INDEX('Game Records'!$U:$U,$H177)&lt;&gt;"Disqualified — Free Game",INDEX('Game Records'!$H:$H,$H177)=""),"Entry Fee; ","")&amp;IF(AND(INDEX('Game Records'!$U:$U,$H177)&lt;&gt;"Subscription",INDEX('Game Records'!$U:$U,$H177)&lt;&gt;"Free Game",INDEX('Game Records'!$U:$U,$H177)&lt;&gt;"Disqualified — Free Game",INDEX('Game Records'!$I:$I,$H177)=""),"Eligible Players; ","")&amp;IF(AND(INDEX('Game Records'!$U:$U,$H177)&lt;&gt;"Subscription",INDEX('Game Records'!$U:$U,$H177)&lt;&gt;"Free Game",INDEX('Game Records'!$U:$U,$H177)&lt;&gt;"Disqualified — Free Game",INDEX('Game Records'!$J:$J,$H177)=""),"Total Players; ","")&amp;IF(AND(LOWER(INDEX('Game Records'!$D:$D,$H177)&amp;"")="finalized",LOWER(INDEX('Game Records'!$L:$L,$H177)&amp;"")&lt;&gt;"yes",INDEX('Game Records'!$U:$U,$H177)&lt;&gt;"Subscription",INDEX('Game Records'!$U:$U,$H177)&lt;&gt;"Free Game",INDEX('Game Records'!$U:$U,$H177)&lt;&gt;"Disqualified — Free Game",INDEX('Game Records'!$K:$K,$H177)=""),"Final Earned; ","")&amp;IF(AND(LOWER(INDEX('Game Records'!$D:$D,$H177)&amp;"")="finalized",INDEX('Game Records'!$U:$U,$H177)&lt;&gt;"Subscription",INDEX('Game Records'!$U:$U,$H177)&lt;&gt;"Free Game",INDEX('Game Records'!$U:$U,$H177)&lt;&gt;"Disqualified — Free Game",OR(INDEX('Game Records'!$L:$L,$H177)="",LOWER(INDEX('Game Records'!$L:$L,$H177)&amp;"")="n/a")),"Disqualified Status; ","")&amp;IF(AND(OR(LOWER(TRIM(INDEX('Game Records'!$F:$F,$H177)&amp;""))="free game",INDEX('Game Records'!$U:$U,$H177)="Free Game",INDEX('Game Records'!$U:$U,$H177)="Disqualified — Free Game"),N(INDEX('Game Records'!$H:$H,$H177))&lt;&gt;0),"Free Game has a non-zero Entry Fee. Free Game records require a $0 Entry Fee; ",""))</f>
        <v/>
      </c>
      <c r="G177" s="331" t="str">
        <f>IF($H177="","",IFERROR(INDEX('Game Records'!$M:$M,$H177),""))</f>
        <v/>
      </c>
      <c r="H177" s="104" t="str">
        <f>IF($H176="","",IFERROR(MATCH(1,INDEX((ROW('Game Records'!$U$5:$U$504)&gt;$H176)*(('Game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7" s="104"/>
      <c r="J177" s="104"/>
    </row>
    <row r="178" ht="24" hidden="0" customHeight="1">
      <c r="A178" s="332" t="str">
        <f>IF($H178="","",ROWS($A$5:A178))</f>
        <v/>
      </c>
      <c r="B178" s="332" t="str">
        <f>IF($H178="","","G-"&amp;TEXT($A178,"0000"))</f>
        <v/>
      </c>
      <c r="C178" s="331" t="str">
        <f>IF($H178="","",IFERROR(INDEX('Game Records'!$A:$A,$H178),""))</f>
        <v/>
      </c>
      <c r="D178" s="331" t="str">
        <f>IF($H178="","",IFERROR(INDEX('Game Records'!$U:$U,$H178),""))</f>
        <v/>
      </c>
      <c r="E178" s="331" t="str">
        <f>IF($H178="","",IF($F178="","No Highlighted Fields","Highlighted Fields Present"))</f>
        <v/>
      </c>
      <c r="F178" s="331" t="str">
        <f>IF($H178="","",IF(OR(NOT(ISFORMULA(INDEX('Game Records'!$N:$N,$H178))),NOT(ISFORMULA(INDEX('Game Records'!$O:$O,$H178))),NOT(ISFORMULA(INDEX('Game Records'!$P:$P,$H178))),NOT(ISFORMULA(INDEX('Game Records'!$Q:$Q,$H178))),NOT(ISFORMULA(INDEX('Game Records'!$R:$R,$H178))),NOT(ISFORMULA(INDEX('Game Records'!$S:$S,$H178))),NOT(ISFORMULA(INDEX('Game Records'!$T:$T,$H178))),NOT(ISFORMULA(INDEX('Game Records'!$U:$U,$H178))),NOT(ISFORMULA(INDEX('Game Records'!$V:$V,$H178))),NOT(ISFORMULA(INDEX('Game Records'!$W:$W,$H178))),NOT(ISFORMULA(INDEX('Game Records'!$X:$X,$H178))),NOT(ISFORMULA(INDEX('Game Records'!$Y:$Y,$H178))),NOT(ISFORMULA(INDEX('Game Records'!$Z:$Z,$H178)))),"Formula columns missing; ","")&amp;IF(INDEX('Game Records'!$B:$B,$H178)="","Start Date; ","")&amp;IF(INDEX('Game Records'!$C:$C,$H178)="","End Date; ","")&amp;IF(AND(INDEX('Game Records'!$U:$U,$H178)&lt;&gt;"Subscription",INDEX('Game Records'!$U:$U,$H178)&lt;&gt;"Free Game",INDEX('Game Records'!$U:$U,$H178)&lt;&gt;"Disqualified — Free Game",OR(INDEX('Game Records'!$D:$D,$H178)="",LOWER(INDEX('Game Records'!$D:$D,$H178)&amp;"")="n/a")),"Entry Mode; ","")&amp;IF(AND(INDEX('Game Records'!$U:$U,$H178)&lt;&gt;"Subscription",INDEX('Game Records'!$U:$U,$H178)&lt;&gt;"Free Game",INDEX('Game Records'!$U:$U,$H178)&lt;&gt;"Disqualified — Free Game",OR(INDEX('Game Records'!$E:$E,$H178)="",LOWER(INDEX('Game Records'!$E:$E,$H178)&amp;"")="n/a")),"Game Type; ","")&amp;IF(INDEX('Game Records'!$F:$F,$H178)="","Payment Type; ","")&amp;IF(AND(INDEX('Game Records'!$U:$U,$H178)&lt;&gt;"Subscription",INDEX('Game Records'!$U:$U,$H178)&lt;&gt;"Free Game",INDEX('Game Records'!$U:$U,$H178)&lt;&gt;"Disqualified — Free Game",INDEX('Game Records'!$G:$G,$H178)=""),"Gross Pot; ","")&amp;IF(AND(INDEX('Game Records'!$U:$U,$H178)&lt;&gt;"Free Game",INDEX('Game Records'!$U:$U,$H178)&lt;&gt;"Disqualified — Free Game",INDEX('Game Records'!$H:$H,$H178)=""),"Entry Fee; ","")&amp;IF(AND(INDEX('Game Records'!$U:$U,$H178)&lt;&gt;"Subscription",INDEX('Game Records'!$U:$U,$H178)&lt;&gt;"Free Game",INDEX('Game Records'!$U:$U,$H178)&lt;&gt;"Disqualified — Free Game",INDEX('Game Records'!$I:$I,$H178)=""),"Eligible Players; ","")&amp;IF(AND(INDEX('Game Records'!$U:$U,$H178)&lt;&gt;"Subscription",INDEX('Game Records'!$U:$U,$H178)&lt;&gt;"Free Game",INDEX('Game Records'!$U:$U,$H178)&lt;&gt;"Disqualified — Free Game",INDEX('Game Records'!$J:$J,$H178)=""),"Total Players; ","")&amp;IF(AND(LOWER(INDEX('Game Records'!$D:$D,$H178)&amp;"")="finalized",LOWER(INDEX('Game Records'!$L:$L,$H178)&amp;"")&lt;&gt;"yes",INDEX('Game Records'!$U:$U,$H178)&lt;&gt;"Subscription",INDEX('Game Records'!$U:$U,$H178)&lt;&gt;"Free Game",INDEX('Game Records'!$U:$U,$H178)&lt;&gt;"Disqualified — Free Game",INDEX('Game Records'!$K:$K,$H178)=""),"Final Earned; ","")&amp;IF(AND(LOWER(INDEX('Game Records'!$D:$D,$H178)&amp;"")="finalized",INDEX('Game Records'!$U:$U,$H178)&lt;&gt;"Subscription",INDEX('Game Records'!$U:$U,$H178)&lt;&gt;"Free Game",INDEX('Game Records'!$U:$U,$H178)&lt;&gt;"Disqualified — Free Game",OR(INDEX('Game Records'!$L:$L,$H178)="",LOWER(INDEX('Game Records'!$L:$L,$H178)&amp;"")="n/a")),"Disqualified Status; ","")&amp;IF(AND(OR(LOWER(TRIM(INDEX('Game Records'!$F:$F,$H178)&amp;""))="free game",INDEX('Game Records'!$U:$U,$H178)="Free Game",INDEX('Game Records'!$U:$U,$H178)="Disqualified — Free Game"),N(INDEX('Game Records'!$H:$H,$H178))&lt;&gt;0),"Free Game has a non-zero Entry Fee. Free Game records require a $0 Entry Fee; ",""))</f>
        <v/>
      </c>
      <c r="G178" s="331" t="str">
        <f>IF($H178="","",IFERROR(INDEX('Game Records'!$M:$M,$H178),""))</f>
        <v/>
      </c>
      <c r="H178" s="104" t="str">
        <f>IF($H177="","",IFERROR(MATCH(1,INDEX((ROW('Game Records'!$U$5:$U$504)&gt;$H177)*(('Game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8" s="104"/>
      <c r="J178" s="104"/>
    </row>
    <row r="179" ht="24" hidden="0" customHeight="1">
      <c r="A179" s="332" t="str">
        <f>IF($H179="","",ROWS($A$5:A179))</f>
        <v/>
      </c>
      <c r="B179" s="332" t="str">
        <f>IF($H179="","","G-"&amp;TEXT($A179,"0000"))</f>
        <v/>
      </c>
      <c r="C179" s="331" t="str">
        <f>IF($H179="","",IFERROR(INDEX('Game Records'!$A:$A,$H179),""))</f>
        <v/>
      </c>
      <c r="D179" s="331" t="str">
        <f>IF($H179="","",IFERROR(INDEX('Game Records'!$U:$U,$H179),""))</f>
        <v/>
      </c>
      <c r="E179" s="331" t="str">
        <f>IF($H179="","",IF($F179="","No Highlighted Fields","Highlighted Fields Present"))</f>
        <v/>
      </c>
      <c r="F179" s="331" t="str">
        <f>IF($H179="","",IF(OR(NOT(ISFORMULA(INDEX('Game Records'!$N:$N,$H179))),NOT(ISFORMULA(INDEX('Game Records'!$O:$O,$H179))),NOT(ISFORMULA(INDEX('Game Records'!$P:$P,$H179))),NOT(ISFORMULA(INDEX('Game Records'!$Q:$Q,$H179))),NOT(ISFORMULA(INDEX('Game Records'!$R:$R,$H179))),NOT(ISFORMULA(INDEX('Game Records'!$S:$S,$H179))),NOT(ISFORMULA(INDEX('Game Records'!$T:$T,$H179))),NOT(ISFORMULA(INDEX('Game Records'!$U:$U,$H179))),NOT(ISFORMULA(INDEX('Game Records'!$V:$V,$H179))),NOT(ISFORMULA(INDEX('Game Records'!$W:$W,$H179))),NOT(ISFORMULA(INDEX('Game Records'!$X:$X,$H179))),NOT(ISFORMULA(INDEX('Game Records'!$Y:$Y,$H179))),NOT(ISFORMULA(INDEX('Game Records'!$Z:$Z,$H179)))),"Formula columns missing; ","")&amp;IF(INDEX('Game Records'!$B:$B,$H179)="","Start Date; ","")&amp;IF(INDEX('Game Records'!$C:$C,$H179)="","End Date; ","")&amp;IF(AND(INDEX('Game Records'!$U:$U,$H179)&lt;&gt;"Subscription",INDEX('Game Records'!$U:$U,$H179)&lt;&gt;"Free Game",INDEX('Game Records'!$U:$U,$H179)&lt;&gt;"Disqualified — Free Game",OR(INDEX('Game Records'!$D:$D,$H179)="",LOWER(INDEX('Game Records'!$D:$D,$H179)&amp;"")="n/a")),"Entry Mode; ","")&amp;IF(AND(INDEX('Game Records'!$U:$U,$H179)&lt;&gt;"Subscription",INDEX('Game Records'!$U:$U,$H179)&lt;&gt;"Free Game",INDEX('Game Records'!$U:$U,$H179)&lt;&gt;"Disqualified — Free Game",OR(INDEX('Game Records'!$E:$E,$H179)="",LOWER(INDEX('Game Records'!$E:$E,$H179)&amp;"")="n/a")),"Game Type; ","")&amp;IF(INDEX('Game Records'!$F:$F,$H179)="","Payment Type; ","")&amp;IF(AND(INDEX('Game Records'!$U:$U,$H179)&lt;&gt;"Subscription",INDEX('Game Records'!$U:$U,$H179)&lt;&gt;"Free Game",INDEX('Game Records'!$U:$U,$H179)&lt;&gt;"Disqualified — Free Game",INDEX('Game Records'!$G:$G,$H179)=""),"Gross Pot; ","")&amp;IF(AND(INDEX('Game Records'!$U:$U,$H179)&lt;&gt;"Free Game",INDEX('Game Records'!$U:$U,$H179)&lt;&gt;"Disqualified — Free Game",INDEX('Game Records'!$H:$H,$H179)=""),"Entry Fee; ","")&amp;IF(AND(INDEX('Game Records'!$U:$U,$H179)&lt;&gt;"Subscription",INDEX('Game Records'!$U:$U,$H179)&lt;&gt;"Free Game",INDEX('Game Records'!$U:$U,$H179)&lt;&gt;"Disqualified — Free Game",INDEX('Game Records'!$I:$I,$H179)=""),"Eligible Players; ","")&amp;IF(AND(INDEX('Game Records'!$U:$U,$H179)&lt;&gt;"Subscription",INDEX('Game Records'!$U:$U,$H179)&lt;&gt;"Free Game",INDEX('Game Records'!$U:$U,$H179)&lt;&gt;"Disqualified — Free Game",INDEX('Game Records'!$J:$J,$H179)=""),"Total Players; ","")&amp;IF(AND(LOWER(INDEX('Game Records'!$D:$D,$H179)&amp;"")="finalized",LOWER(INDEX('Game Records'!$L:$L,$H179)&amp;"")&lt;&gt;"yes",INDEX('Game Records'!$U:$U,$H179)&lt;&gt;"Subscription",INDEX('Game Records'!$U:$U,$H179)&lt;&gt;"Free Game",INDEX('Game Records'!$U:$U,$H179)&lt;&gt;"Disqualified — Free Game",INDEX('Game Records'!$K:$K,$H179)=""),"Final Earned; ","")&amp;IF(AND(LOWER(INDEX('Game Records'!$D:$D,$H179)&amp;"")="finalized",INDEX('Game Records'!$U:$U,$H179)&lt;&gt;"Subscription",INDEX('Game Records'!$U:$U,$H179)&lt;&gt;"Free Game",INDEX('Game Records'!$U:$U,$H179)&lt;&gt;"Disqualified — Free Game",OR(INDEX('Game Records'!$L:$L,$H179)="",LOWER(INDEX('Game Records'!$L:$L,$H179)&amp;"")="n/a")),"Disqualified Status; ","")&amp;IF(AND(OR(LOWER(TRIM(INDEX('Game Records'!$F:$F,$H179)&amp;""))="free game",INDEX('Game Records'!$U:$U,$H179)="Free Game",INDEX('Game Records'!$U:$U,$H179)="Disqualified — Free Game"),N(INDEX('Game Records'!$H:$H,$H179))&lt;&gt;0),"Free Game has a non-zero Entry Fee. Free Game records require a $0 Entry Fee; ",""))</f>
        <v/>
      </c>
      <c r="G179" s="331" t="str">
        <f>IF($H179="","",IFERROR(INDEX('Game Records'!$M:$M,$H179),""))</f>
        <v/>
      </c>
      <c r="H179" s="104" t="str">
        <f>IF($H178="","",IFERROR(MATCH(1,INDEX((ROW('Game Records'!$U$5:$U$504)&gt;$H178)*(('Game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9" s="104"/>
      <c r="J179" s="104"/>
    </row>
    <row r="180" ht="24" hidden="0" customHeight="1">
      <c r="A180" s="332" t="str">
        <f>IF($H180="","",ROWS($A$5:A180))</f>
        <v/>
      </c>
      <c r="B180" s="332" t="str">
        <f>IF($H180="","","G-"&amp;TEXT($A180,"0000"))</f>
        <v/>
      </c>
      <c r="C180" s="331" t="str">
        <f>IF($H180="","",IFERROR(INDEX('Game Records'!$A:$A,$H180),""))</f>
        <v/>
      </c>
      <c r="D180" s="331" t="str">
        <f>IF($H180="","",IFERROR(INDEX('Game Records'!$U:$U,$H180),""))</f>
        <v/>
      </c>
      <c r="E180" s="331" t="str">
        <f>IF($H180="","",IF($F180="","No Highlighted Fields","Highlighted Fields Present"))</f>
        <v/>
      </c>
      <c r="F180" s="331" t="str">
        <f>IF($H180="","",IF(OR(NOT(ISFORMULA(INDEX('Game Records'!$N:$N,$H180))),NOT(ISFORMULA(INDEX('Game Records'!$O:$O,$H180))),NOT(ISFORMULA(INDEX('Game Records'!$P:$P,$H180))),NOT(ISFORMULA(INDEX('Game Records'!$Q:$Q,$H180))),NOT(ISFORMULA(INDEX('Game Records'!$R:$R,$H180))),NOT(ISFORMULA(INDEX('Game Records'!$S:$S,$H180))),NOT(ISFORMULA(INDEX('Game Records'!$T:$T,$H180))),NOT(ISFORMULA(INDEX('Game Records'!$U:$U,$H180))),NOT(ISFORMULA(INDEX('Game Records'!$V:$V,$H180))),NOT(ISFORMULA(INDEX('Game Records'!$W:$W,$H180))),NOT(ISFORMULA(INDEX('Game Records'!$X:$X,$H180))),NOT(ISFORMULA(INDEX('Game Records'!$Y:$Y,$H180))),NOT(ISFORMULA(INDEX('Game Records'!$Z:$Z,$H180)))),"Formula columns missing; ","")&amp;IF(INDEX('Game Records'!$B:$B,$H180)="","Start Date; ","")&amp;IF(INDEX('Game Records'!$C:$C,$H180)="","End Date; ","")&amp;IF(AND(INDEX('Game Records'!$U:$U,$H180)&lt;&gt;"Subscription",INDEX('Game Records'!$U:$U,$H180)&lt;&gt;"Free Game",INDEX('Game Records'!$U:$U,$H180)&lt;&gt;"Disqualified — Free Game",OR(INDEX('Game Records'!$D:$D,$H180)="",LOWER(INDEX('Game Records'!$D:$D,$H180)&amp;"")="n/a")),"Entry Mode; ","")&amp;IF(AND(INDEX('Game Records'!$U:$U,$H180)&lt;&gt;"Subscription",INDEX('Game Records'!$U:$U,$H180)&lt;&gt;"Free Game",INDEX('Game Records'!$U:$U,$H180)&lt;&gt;"Disqualified — Free Game",OR(INDEX('Game Records'!$E:$E,$H180)="",LOWER(INDEX('Game Records'!$E:$E,$H180)&amp;"")="n/a")),"Game Type; ","")&amp;IF(INDEX('Game Records'!$F:$F,$H180)="","Payment Type; ","")&amp;IF(AND(INDEX('Game Records'!$U:$U,$H180)&lt;&gt;"Subscription",INDEX('Game Records'!$U:$U,$H180)&lt;&gt;"Free Game",INDEX('Game Records'!$U:$U,$H180)&lt;&gt;"Disqualified — Free Game",INDEX('Game Records'!$G:$G,$H180)=""),"Gross Pot; ","")&amp;IF(AND(INDEX('Game Records'!$U:$U,$H180)&lt;&gt;"Free Game",INDEX('Game Records'!$U:$U,$H180)&lt;&gt;"Disqualified — Free Game",INDEX('Game Records'!$H:$H,$H180)=""),"Entry Fee; ","")&amp;IF(AND(INDEX('Game Records'!$U:$U,$H180)&lt;&gt;"Subscription",INDEX('Game Records'!$U:$U,$H180)&lt;&gt;"Free Game",INDEX('Game Records'!$U:$U,$H180)&lt;&gt;"Disqualified — Free Game",INDEX('Game Records'!$I:$I,$H180)=""),"Eligible Players; ","")&amp;IF(AND(INDEX('Game Records'!$U:$U,$H180)&lt;&gt;"Subscription",INDEX('Game Records'!$U:$U,$H180)&lt;&gt;"Free Game",INDEX('Game Records'!$U:$U,$H180)&lt;&gt;"Disqualified — Free Game",INDEX('Game Records'!$J:$J,$H180)=""),"Total Players; ","")&amp;IF(AND(LOWER(INDEX('Game Records'!$D:$D,$H180)&amp;"")="finalized",LOWER(INDEX('Game Records'!$L:$L,$H180)&amp;"")&lt;&gt;"yes",INDEX('Game Records'!$U:$U,$H180)&lt;&gt;"Subscription",INDEX('Game Records'!$U:$U,$H180)&lt;&gt;"Free Game",INDEX('Game Records'!$U:$U,$H180)&lt;&gt;"Disqualified — Free Game",INDEX('Game Records'!$K:$K,$H180)=""),"Final Earned; ","")&amp;IF(AND(LOWER(INDEX('Game Records'!$D:$D,$H180)&amp;"")="finalized",INDEX('Game Records'!$U:$U,$H180)&lt;&gt;"Subscription",INDEX('Game Records'!$U:$U,$H180)&lt;&gt;"Free Game",INDEX('Game Records'!$U:$U,$H180)&lt;&gt;"Disqualified — Free Game",OR(INDEX('Game Records'!$L:$L,$H180)="",LOWER(INDEX('Game Records'!$L:$L,$H180)&amp;"")="n/a")),"Disqualified Status; ","")&amp;IF(AND(OR(LOWER(TRIM(INDEX('Game Records'!$F:$F,$H180)&amp;""))="free game",INDEX('Game Records'!$U:$U,$H180)="Free Game",INDEX('Game Records'!$U:$U,$H180)="Disqualified — Free Game"),N(INDEX('Game Records'!$H:$H,$H180))&lt;&gt;0),"Free Game has a non-zero Entry Fee. Free Game records require a $0 Entry Fee; ",""))</f>
        <v/>
      </c>
      <c r="G180" s="331" t="str">
        <f>IF($H180="","",IFERROR(INDEX('Game Records'!$M:$M,$H180),""))</f>
        <v/>
      </c>
      <c r="H180" s="104" t="str">
        <f>IF($H179="","",IFERROR(MATCH(1,INDEX((ROW('Game Records'!$U$5:$U$504)&gt;$H179)*(('Game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0" s="104"/>
      <c r="J180" s="104"/>
    </row>
    <row r="181" ht="24" hidden="0" customHeight="1">
      <c r="A181" s="332" t="str">
        <f>IF($H181="","",ROWS($A$5:A181))</f>
        <v/>
      </c>
      <c r="B181" s="332" t="str">
        <f>IF($H181="","","G-"&amp;TEXT($A181,"0000"))</f>
        <v/>
      </c>
      <c r="C181" s="331" t="str">
        <f>IF($H181="","",IFERROR(INDEX('Game Records'!$A:$A,$H181),""))</f>
        <v/>
      </c>
      <c r="D181" s="331" t="str">
        <f>IF($H181="","",IFERROR(INDEX('Game Records'!$U:$U,$H181),""))</f>
        <v/>
      </c>
      <c r="E181" s="331" t="str">
        <f>IF($H181="","",IF($F181="","No Highlighted Fields","Highlighted Fields Present"))</f>
        <v/>
      </c>
      <c r="F181" s="331" t="str">
        <f>IF($H181="","",IF(OR(NOT(ISFORMULA(INDEX('Game Records'!$N:$N,$H181))),NOT(ISFORMULA(INDEX('Game Records'!$O:$O,$H181))),NOT(ISFORMULA(INDEX('Game Records'!$P:$P,$H181))),NOT(ISFORMULA(INDEX('Game Records'!$Q:$Q,$H181))),NOT(ISFORMULA(INDEX('Game Records'!$R:$R,$H181))),NOT(ISFORMULA(INDEX('Game Records'!$S:$S,$H181))),NOT(ISFORMULA(INDEX('Game Records'!$T:$T,$H181))),NOT(ISFORMULA(INDEX('Game Records'!$U:$U,$H181))),NOT(ISFORMULA(INDEX('Game Records'!$V:$V,$H181))),NOT(ISFORMULA(INDEX('Game Records'!$W:$W,$H181))),NOT(ISFORMULA(INDEX('Game Records'!$X:$X,$H181))),NOT(ISFORMULA(INDEX('Game Records'!$Y:$Y,$H181))),NOT(ISFORMULA(INDEX('Game Records'!$Z:$Z,$H181)))),"Formula columns missing; ","")&amp;IF(INDEX('Game Records'!$B:$B,$H181)="","Start Date; ","")&amp;IF(INDEX('Game Records'!$C:$C,$H181)="","End Date; ","")&amp;IF(AND(INDEX('Game Records'!$U:$U,$H181)&lt;&gt;"Subscription",INDEX('Game Records'!$U:$U,$H181)&lt;&gt;"Free Game",INDEX('Game Records'!$U:$U,$H181)&lt;&gt;"Disqualified — Free Game",OR(INDEX('Game Records'!$D:$D,$H181)="",LOWER(INDEX('Game Records'!$D:$D,$H181)&amp;"")="n/a")),"Entry Mode; ","")&amp;IF(AND(INDEX('Game Records'!$U:$U,$H181)&lt;&gt;"Subscription",INDEX('Game Records'!$U:$U,$H181)&lt;&gt;"Free Game",INDEX('Game Records'!$U:$U,$H181)&lt;&gt;"Disqualified — Free Game",OR(INDEX('Game Records'!$E:$E,$H181)="",LOWER(INDEX('Game Records'!$E:$E,$H181)&amp;"")="n/a")),"Game Type; ","")&amp;IF(INDEX('Game Records'!$F:$F,$H181)="","Payment Type; ","")&amp;IF(AND(INDEX('Game Records'!$U:$U,$H181)&lt;&gt;"Subscription",INDEX('Game Records'!$U:$U,$H181)&lt;&gt;"Free Game",INDEX('Game Records'!$U:$U,$H181)&lt;&gt;"Disqualified — Free Game",INDEX('Game Records'!$G:$G,$H181)=""),"Gross Pot; ","")&amp;IF(AND(INDEX('Game Records'!$U:$U,$H181)&lt;&gt;"Free Game",INDEX('Game Records'!$U:$U,$H181)&lt;&gt;"Disqualified — Free Game",INDEX('Game Records'!$H:$H,$H181)=""),"Entry Fee; ","")&amp;IF(AND(INDEX('Game Records'!$U:$U,$H181)&lt;&gt;"Subscription",INDEX('Game Records'!$U:$U,$H181)&lt;&gt;"Free Game",INDEX('Game Records'!$U:$U,$H181)&lt;&gt;"Disqualified — Free Game",INDEX('Game Records'!$I:$I,$H181)=""),"Eligible Players; ","")&amp;IF(AND(INDEX('Game Records'!$U:$U,$H181)&lt;&gt;"Subscription",INDEX('Game Records'!$U:$U,$H181)&lt;&gt;"Free Game",INDEX('Game Records'!$U:$U,$H181)&lt;&gt;"Disqualified — Free Game",INDEX('Game Records'!$J:$J,$H181)=""),"Total Players; ","")&amp;IF(AND(LOWER(INDEX('Game Records'!$D:$D,$H181)&amp;"")="finalized",LOWER(INDEX('Game Records'!$L:$L,$H181)&amp;"")&lt;&gt;"yes",INDEX('Game Records'!$U:$U,$H181)&lt;&gt;"Subscription",INDEX('Game Records'!$U:$U,$H181)&lt;&gt;"Free Game",INDEX('Game Records'!$U:$U,$H181)&lt;&gt;"Disqualified — Free Game",INDEX('Game Records'!$K:$K,$H181)=""),"Final Earned; ","")&amp;IF(AND(LOWER(INDEX('Game Records'!$D:$D,$H181)&amp;"")="finalized",INDEX('Game Records'!$U:$U,$H181)&lt;&gt;"Subscription",INDEX('Game Records'!$U:$U,$H181)&lt;&gt;"Free Game",INDEX('Game Records'!$U:$U,$H181)&lt;&gt;"Disqualified — Free Game",OR(INDEX('Game Records'!$L:$L,$H181)="",LOWER(INDEX('Game Records'!$L:$L,$H181)&amp;"")="n/a")),"Disqualified Status; ","")&amp;IF(AND(OR(LOWER(TRIM(INDEX('Game Records'!$F:$F,$H181)&amp;""))="free game",INDEX('Game Records'!$U:$U,$H181)="Free Game",INDEX('Game Records'!$U:$U,$H181)="Disqualified — Free Game"),N(INDEX('Game Records'!$H:$H,$H181))&lt;&gt;0),"Free Game has a non-zero Entry Fee. Free Game records require a $0 Entry Fee; ",""))</f>
        <v/>
      </c>
      <c r="G181" s="331" t="str">
        <f>IF($H181="","",IFERROR(INDEX('Game Records'!$M:$M,$H181),""))</f>
        <v/>
      </c>
      <c r="H181" s="104" t="str">
        <f>IF($H180="","",IFERROR(MATCH(1,INDEX((ROW('Game Records'!$U$5:$U$504)&gt;$H180)*(('Game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1" s="104"/>
      <c r="J181" s="104"/>
    </row>
    <row r="182" ht="24" hidden="0" customHeight="1">
      <c r="A182" s="332" t="str">
        <f>IF($H182="","",ROWS($A$5:A182))</f>
        <v/>
      </c>
      <c r="B182" s="332" t="str">
        <f>IF($H182="","","G-"&amp;TEXT($A182,"0000"))</f>
        <v/>
      </c>
      <c r="C182" s="331" t="str">
        <f>IF($H182="","",IFERROR(INDEX('Game Records'!$A:$A,$H182),""))</f>
        <v/>
      </c>
      <c r="D182" s="331" t="str">
        <f>IF($H182="","",IFERROR(INDEX('Game Records'!$U:$U,$H182),""))</f>
        <v/>
      </c>
      <c r="E182" s="331" t="str">
        <f>IF($H182="","",IF($F182="","No Highlighted Fields","Highlighted Fields Present"))</f>
        <v/>
      </c>
      <c r="F182" s="331" t="str">
        <f>IF($H182="","",IF(OR(NOT(ISFORMULA(INDEX('Game Records'!$N:$N,$H182))),NOT(ISFORMULA(INDEX('Game Records'!$O:$O,$H182))),NOT(ISFORMULA(INDEX('Game Records'!$P:$P,$H182))),NOT(ISFORMULA(INDEX('Game Records'!$Q:$Q,$H182))),NOT(ISFORMULA(INDEX('Game Records'!$R:$R,$H182))),NOT(ISFORMULA(INDEX('Game Records'!$S:$S,$H182))),NOT(ISFORMULA(INDEX('Game Records'!$T:$T,$H182))),NOT(ISFORMULA(INDEX('Game Records'!$U:$U,$H182))),NOT(ISFORMULA(INDEX('Game Records'!$V:$V,$H182))),NOT(ISFORMULA(INDEX('Game Records'!$W:$W,$H182))),NOT(ISFORMULA(INDEX('Game Records'!$X:$X,$H182))),NOT(ISFORMULA(INDEX('Game Records'!$Y:$Y,$H182))),NOT(ISFORMULA(INDEX('Game Records'!$Z:$Z,$H182)))),"Formula columns missing; ","")&amp;IF(INDEX('Game Records'!$B:$B,$H182)="","Start Date; ","")&amp;IF(INDEX('Game Records'!$C:$C,$H182)="","End Date; ","")&amp;IF(AND(INDEX('Game Records'!$U:$U,$H182)&lt;&gt;"Subscription",INDEX('Game Records'!$U:$U,$H182)&lt;&gt;"Free Game",INDEX('Game Records'!$U:$U,$H182)&lt;&gt;"Disqualified — Free Game",OR(INDEX('Game Records'!$D:$D,$H182)="",LOWER(INDEX('Game Records'!$D:$D,$H182)&amp;"")="n/a")),"Entry Mode; ","")&amp;IF(AND(INDEX('Game Records'!$U:$U,$H182)&lt;&gt;"Subscription",INDEX('Game Records'!$U:$U,$H182)&lt;&gt;"Free Game",INDEX('Game Records'!$U:$U,$H182)&lt;&gt;"Disqualified — Free Game",OR(INDEX('Game Records'!$E:$E,$H182)="",LOWER(INDEX('Game Records'!$E:$E,$H182)&amp;"")="n/a")),"Game Type; ","")&amp;IF(INDEX('Game Records'!$F:$F,$H182)="","Payment Type; ","")&amp;IF(AND(INDEX('Game Records'!$U:$U,$H182)&lt;&gt;"Subscription",INDEX('Game Records'!$U:$U,$H182)&lt;&gt;"Free Game",INDEX('Game Records'!$U:$U,$H182)&lt;&gt;"Disqualified — Free Game",INDEX('Game Records'!$G:$G,$H182)=""),"Gross Pot; ","")&amp;IF(AND(INDEX('Game Records'!$U:$U,$H182)&lt;&gt;"Free Game",INDEX('Game Records'!$U:$U,$H182)&lt;&gt;"Disqualified — Free Game",INDEX('Game Records'!$H:$H,$H182)=""),"Entry Fee; ","")&amp;IF(AND(INDEX('Game Records'!$U:$U,$H182)&lt;&gt;"Subscription",INDEX('Game Records'!$U:$U,$H182)&lt;&gt;"Free Game",INDEX('Game Records'!$U:$U,$H182)&lt;&gt;"Disqualified — Free Game",INDEX('Game Records'!$I:$I,$H182)=""),"Eligible Players; ","")&amp;IF(AND(INDEX('Game Records'!$U:$U,$H182)&lt;&gt;"Subscription",INDEX('Game Records'!$U:$U,$H182)&lt;&gt;"Free Game",INDEX('Game Records'!$U:$U,$H182)&lt;&gt;"Disqualified — Free Game",INDEX('Game Records'!$J:$J,$H182)=""),"Total Players; ","")&amp;IF(AND(LOWER(INDEX('Game Records'!$D:$D,$H182)&amp;"")="finalized",LOWER(INDEX('Game Records'!$L:$L,$H182)&amp;"")&lt;&gt;"yes",INDEX('Game Records'!$U:$U,$H182)&lt;&gt;"Subscription",INDEX('Game Records'!$U:$U,$H182)&lt;&gt;"Free Game",INDEX('Game Records'!$U:$U,$H182)&lt;&gt;"Disqualified — Free Game",INDEX('Game Records'!$K:$K,$H182)=""),"Final Earned; ","")&amp;IF(AND(LOWER(INDEX('Game Records'!$D:$D,$H182)&amp;"")="finalized",INDEX('Game Records'!$U:$U,$H182)&lt;&gt;"Subscription",INDEX('Game Records'!$U:$U,$H182)&lt;&gt;"Free Game",INDEX('Game Records'!$U:$U,$H182)&lt;&gt;"Disqualified — Free Game",OR(INDEX('Game Records'!$L:$L,$H182)="",LOWER(INDEX('Game Records'!$L:$L,$H182)&amp;"")="n/a")),"Disqualified Status; ","")&amp;IF(AND(OR(LOWER(TRIM(INDEX('Game Records'!$F:$F,$H182)&amp;""))="free game",INDEX('Game Records'!$U:$U,$H182)="Free Game",INDEX('Game Records'!$U:$U,$H182)="Disqualified — Free Game"),N(INDEX('Game Records'!$H:$H,$H182))&lt;&gt;0),"Free Game has a non-zero Entry Fee. Free Game records require a $0 Entry Fee; ",""))</f>
        <v/>
      </c>
      <c r="G182" s="331" t="str">
        <f>IF($H182="","",IFERROR(INDEX('Game Records'!$M:$M,$H182),""))</f>
        <v/>
      </c>
      <c r="H182" s="104" t="str">
        <f>IF($H181="","",IFERROR(MATCH(1,INDEX((ROW('Game Records'!$U$5:$U$504)&gt;$H181)*(('Game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2" s="104"/>
      <c r="J182" s="104"/>
    </row>
    <row r="183" ht="24" hidden="0" customHeight="1">
      <c r="A183" s="332" t="str">
        <f>IF($H183="","",ROWS($A$5:A183))</f>
        <v/>
      </c>
      <c r="B183" s="332" t="str">
        <f>IF($H183="","","G-"&amp;TEXT($A183,"0000"))</f>
        <v/>
      </c>
      <c r="C183" s="331" t="str">
        <f>IF($H183="","",IFERROR(INDEX('Game Records'!$A:$A,$H183),""))</f>
        <v/>
      </c>
      <c r="D183" s="331" t="str">
        <f>IF($H183="","",IFERROR(INDEX('Game Records'!$U:$U,$H183),""))</f>
        <v/>
      </c>
      <c r="E183" s="331" t="str">
        <f>IF($H183="","",IF($F183="","No Highlighted Fields","Highlighted Fields Present"))</f>
        <v/>
      </c>
      <c r="F183" s="331" t="str">
        <f>IF($H183="","",IF(OR(NOT(ISFORMULA(INDEX('Game Records'!$N:$N,$H183))),NOT(ISFORMULA(INDEX('Game Records'!$O:$O,$H183))),NOT(ISFORMULA(INDEX('Game Records'!$P:$P,$H183))),NOT(ISFORMULA(INDEX('Game Records'!$Q:$Q,$H183))),NOT(ISFORMULA(INDEX('Game Records'!$R:$R,$H183))),NOT(ISFORMULA(INDEX('Game Records'!$S:$S,$H183))),NOT(ISFORMULA(INDEX('Game Records'!$T:$T,$H183))),NOT(ISFORMULA(INDEX('Game Records'!$U:$U,$H183))),NOT(ISFORMULA(INDEX('Game Records'!$V:$V,$H183))),NOT(ISFORMULA(INDEX('Game Records'!$W:$W,$H183))),NOT(ISFORMULA(INDEX('Game Records'!$X:$X,$H183))),NOT(ISFORMULA(INDEX('Game Records'!$Y:$Y,$H183))),NOT(ISFORMULA(INDEX('Game Records'!$Z:$Z,$H183)))),"Formula columns missing; ","")&amp;IF(INDEX('Game Records'!$B:$B,$H183)="","Start Date; ","")&amp;IF(INDEX('Game Records'!$C:$C,$H183)="","End Date; ","")&amp;IF(AND(INDEX('Game Records'!$U:$U,$H183)&lt;&gt;"Subscription",INDEX('Game Records'!$U:$U,$H183)&lt;&gt;"Free Game",INDEX('Game Records'!$U:$U,$H183)&lt;&gt;"Disqualified — Free Game",OR(INDEX('Game Records'!$D:$D,$H183)="",LOWER(INDEX('Game Records'!$D:$D,$H183)&amp;"")="n/a")),"Entry Mode; ","")&amp;IF(AND(INDEX('Game Records'!$U:$U,$H183)&lt;&gt;"Subscription",INDEX('Game Records'!$U:$U,$H183)&lt;&gt;"Free Game",INDEX('Game Records'!$U:$U,$H183)&lt;&gt;"Disqualified — Free Game",OR(INDEX('Game Records'!$E:$E,$H183)="",LOWER(INDEX('Game Records'!$E:$E,$H183)&amp;"")="n/a")),"Game Type; ","")&amp;IF(INDEX('Game Records'!$F:$F,$H183)="","Payment Type; ","")&amp;IF(AND(INDEX('Game Records'!$U:$U,$H183)&lt;&gt;"Subscription",INDEX('Game Records'!$U:$U,$H183)&lt;&gt;"Free Game",INDEX('Game Records'!$U:$U,$H183)&lt;&gt;"Disqualified — Free Game",INDEX('Game Records'!$G:$G,$H183)=""),"Gross Pot; ","")&amp;IF(AND(INDEX('Game Records'!$U:$U,$H183)&lt;&gt;"Free Game",INDEX('Game Records'!$U:$U,$H183)&lt;&gt;"Disqualified — Free Game",INDEX('Game Records'!$H:$H,$H183)=""),"Entry Fee; ","")&amp;IF(AND(INDEX('Game Records'!$U:$U,$H183)&lt;&gt;"Subscription",INDEX('Game Records'!$U:$U,$H183)&lt;&gt;"Free Game",INDEX('Game Records'!$U:$U,$H183)&lt;&gt;"Disqualified — Free Game",INDEX('Game Records'!$I:$I,$H183)=""),"Eligible Players; ","")&amp;IF(AND(INDEX('Game Records'!$U:$U,$H183)&lt;&gt;"Subscription",INDEX('Game Records'!$U:$U,$H183)&lt;&gt;"Free Game",INDEX('Game Records'!$U:$U,$H183)&lt;&gt;"Disqualified — Free Game",INDEX('Game Records'!$J:$J,$H183)=""),"Total Players; ","")&amp;IF(AND(LOWER(INDEX('Game Records'!$D:$D,$H183)&amp;"")="finalized",LOWER(INDEX('Game Records'!$L:$L,$H183)&amp;"")&lt;&gt;"yes",INDEX('Game Records'!$U:$U,$H183)&lt;&gt;"Subscription",INDEX('Game Records'!$U:$U,$H183)&lt;&gt;"Free Game",INDEX('Game Records'!$U:$U,$H183)&lt;&gt;"Disqualified — Free Game",INDEX('Game Records'!$K:$K,$H183)=""),"Final Earned; ","")&amp;IF(AND(LOWER(INDEX('Game Records'!$D:$D,$H183)&amp;"")="finalized",INDEX('Game Records'!$U:$U,$H183)&lt;&gt;"Subscription",INDEX('Game Records'!$U:$U,$H183)&lt;&gt;"Free Game",INDEX('Game Records'!$U:$U,$H183)&lt;&gt;"Disqualified — Free Game",OR(INDEX('Game Records'!$L:$L,$H183)="",LOWER(INDEX('Game Records'!$L:$L,$H183)&amp;"")="n/a")),"Disqualified Status; ","")&amp;IF(AND(OR(LOWER(TRIM(INDEX('Game Records'!$F:$F,$H183)&amp;""))="free game",INDEX('Game Records'!$U:$U,$H183)="Free Game",INDEX('Game Records'!$U:$U,$H183)="Disqualified — Free Game"),N(INDEX('Game Records'!$H:$H,$H183))&lt;&gt;0),"Free Game has a non-zero Entry Fee. Free Game records require a $0 Entry Fee; ",""))</f>
        <v/>
      </c>
      <c r="G183" s="331" t="str">
        <f>IF($H183="","",IFERROR(INDEX('Game Records'!$M:$M,$H183),""))</f>
        <v/>
      </c>
      <c r="H183" s="104" t="str">
        <f>IF($H182="","",IFERROR(MATCH(1,INDEX((ROW('Game Records'!$U$5:$U$504)&gt;$H182)*(('Game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3" s="104"/>
      <c r="J183" s="104"/>
    </row>
    <row r="184" ht="24" hidden="0" customHeight="1">
      <c r="A184" s="332" t="str">
        <f>IF($H184="","",ROWS($A$5:A184))</f>
        <v/>
      </c>
      <c r="B184" s="332" t="str">
        <f>IF($H184="","","G-"&amp;TEXT($A184,"0000"))</f>
        <v/>
      </c>
      <c r="C184" s="331" t="str">
        <f>IF($H184="","",IFERROR(INDEX('Game Records'!$A:$A,$H184),""))</f>
        <v/>
      </c>
      <c r="D184" s="331" t="str">
        <f>IF($H184="","",IFERROR(INDEX('Game Records'!$U:$U,$H184),""))</f>
        <v/>
      </c>
      <c r="E184" s="331" t="str">
        <f>IF($H184="","",IF($F184="","No Highlighted Fields","Highlighted Fields Present"))</f>
        <v/>
      </c>
      <c r="F184" s="331" t="str">
        <f>IF($H184="","",IF(OR(NOT(ISFORMULA(INDEX('Game Records'!$N:$N,$H184))),NOT(ISFORMULA(INDEX('Game Records'!$O:$O,$H184))),NOT(ISFORMULA(INDEX('Game Records'!$P:$P,$H184))),NOT(ISFORMULA(INDEX('Game Records'!$Q:$Q,$H184))),NOT(ISFORMULA(INDEX('Game Records'!$R:$R,$H184))),NOT(ISFORMULA(INDEX('Game Records'!$S:$S,$H184))),NOT(ISFORMULA(INDEX('Game Records'!$T:$T,$H184))),NOT(ISFORMULA(INDEX('Game Records'!$U:$U,$H184))),NOT(ISFORMULA(INDEX('Game Records'!$V:$V,$H184))),NOT(ISFORMULA(INDEX('Game Records'!$W:$W,$H184))),NOT(ISFORMULA(INDEX('Game Records'!$X:$X,$H184))),NOT(ISFORMULA(INDEX('Game Records'!$Y:$Y,$H184))),NOT(ISFORMULA(INDEX('Game Records'!$Z:$Z,$H184)))),"Formula columns missing; ","")&amp;IF(INDEX('Game Records'!$B:$B,$H184)="","Start Date; ","")&amp;IF(INDEX('Game Records'!$C:$C,$H184)="","End Date; ","")&amp;IF(AND(INDEX('Game Records'!$U:$U,$H184)&lt;&gt;"Subscription",INDEX('Game Records'!$U:$U,$H184)&lt;&gt;"Free Game",INDEX('Game Records'!$U:$U,$H184)&lt;&gt;"Disqualified — Free Game",OR(INDEX('Game Records'!$D:$D,$H184)="",LOWER(INDEX('Game Records'!$D:$D,$H184)&amp;"")="n/a")),"Entry Mode; ","")&amp;IF(AND(INDEX('Game Records'!$U:$U,$H184)&lt;&gt;"Subscription",INDEX('Game Records'!$U:$U,$H184)&lt;&gt;"Free Game",INDEX('Game Records'!$U:$U,$H184)&lt;&gt;"Disqualified — Free Game",OR(INDEX('Game Records'!$E:$E,$H184)="",LOWER(INDEX('Game Records'!$E:$E,$H184)&amp;"")="n/a")),"Game Type; ","")&amp;IF(INDEX('Game Records'!$F:$F,$H184)="","Payment Type; ","")&amp;IF(AND(INDEX('Game Records'!$U:$U,$H184)&lt;&gt;"Subscription",INDEX('Game Records'!$U:$U,$H184)&lt;&gt;"Free Game",INDEX('Game Records'!$U:$U,$H184)&lt;&gt;"Disqualified — Free Game",INDEX('Game Records'!$G:$G,$H184)=""),"Gross Pot; ","")&amp;IF(AND(INDEX('Game Records'!$U:$U,$H184)&lt;&gt;"Free Game",INDEX('Game Records'!$U:$U,$H184)&lt;&gt;"Disqualified — Free Game",INDEX('Game Records'!$H:$H,$H184)=""),"Entry Fee; ","")&amp;IF(AND(INDEX('Game Records'!$U:$U,$H184)&lt;&gt;"Subscription",INDEX('Game Records'!$U:$U,$H184)&lt;&gt;"Free Game",INDEX('Game Records'!$U:$U,$H184)&lt;&gt;"Disqualified — Free Game",INDEX('Game Records'!$I:$I,$H184)=""),"Eligible Players; ","")&amp;IF(AND(INDEX('Game Records'!$U:$U,$H184)&lt;&gt;"Subscription",INDEX('Game Records'!$U:$U,$H184)&lt;&gt;"Free Game",INDEX('Game Records'!$U:$U,$H184)&lt;&gt;"Disqualified — Free Game",INDEX('Game Records'!$J:$J,$H184)=""),"Total Players; ","")&amp;IF(AND(LOWER(INDEX('Game Records'!$D:$D,$H184)&amp;"")="finalized",LOWER(INDEX('Game Records'!$L:$L,$H184)&amp;"")&lt;&gt;"yes",INDEX('Game Records'!$U:$U,$H184)&lt;&gt;"Subscription",INDEX('Game Records'!$U:$U,$H184)&lt;&gt;"Free Game",INDEX('Game Records'!$U:$U,$H184)&lt;&gt;"Disqualified — Free Game",INDEX('Game Records'!$K:$K,$H184)=""),"Final Earned; ","")&amp;IF(AND(LOWER(INDEX('Game Records'!$D:$D,$H184)&amp;"")="finalized",INDEX('Game Records'!$U:$U,$H184)&lt;&gt;"Subscription",INDEX('Game Records'!$U:$U,$H184)&lt;&gt;"Free Game",INDEX('Game Records'!$U:$U,$H184)&lt;&gt;"Disqualified — Free Game",OR(INDEX('Game Records'!$L:$L,$H184)="",LOWER(INDEX('Game Records'!$L:$L,$H184)&amp;"")="n/a")),"Disqualified Status; ","")&amp;IF(AND(OR(LOWER(TRIM(INDEX('Game Records'!$F:$F,$H184)&amp;""))="free game",INDEX('Game Records'!$U:$U,$H184)="Free Game",INDEX('Game Records'!$U:$U,$H184)="Disqualified — Free Game"),N(INDEX('Game Records'!$H:$H,$H184))&lt;&gt;0),"Free Game has a non-zero Entry Fee. Free Game records require a $0 Entry Fee; ",""))</f>
        <v/>
      </c>
      <c r="G184" s="331" t="str">
        <f>IF($H184="","",IFERROR(INDEX('Game Records'!$M:$M,$H184),""))</f>
        <v/>
      </c>
      <c r="H184" s="104" t="str">
        <f>IF($H183="","",IFERROR(MATCH(1,INDEX((ROW('Game Records'!$U$5:$U$504)&gt;$H183)*(('Game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4" s="104"/>
      <c r="J184" s="104"/>
    </row>
    <row r="185" ht="24" hidden="0" customHeight="1">
      <c r="A185" s="332" t="str">
        <f>IF($H185="","",ROWS($A$5:A185))</f>
        <v/>
      </c>
      <c r="B185" s="332" t="str">
        <f>IF($H185="","","G-"&amp;TEXT($A185,"0000"))</f>
        <v/>
      </c>
      <c r="C185" s="331" t="str">
        <f>IF($H185="","",IFERROR(INDEX('Game Records'!$A:$A,$H185),""))</f>
        <v/>
      </c>
      <c r="D185" s="331" t="str">
        <f>IF($H185="","",IFERROR(INDEX('Game Records'!$U:$U,$H185),""))</f>
        <v/>
      </c>
      <c r="E185" s="331" t="str">
        <f>IF($H185="","",IF($F185="","No Highlighted Fields","Highlighted Fields Present"))</f>
        <v/>
      </c>
      <c r="F185" s="331" t="str">
        <f>IF($H185="","",IF(OR(NOT(ISFORMULA(INDEX('Game Records'!$N:$N,$H185))),NOT(ISFORMULA(INDEX('Game Records'!$O:$O,$H185))),NOT(ISFORMULA(INDEX('Game Records'!$P:$P,$H185))),NOT(ISFORMULA(INDEX('Game Records'!$Q:$Q,$H185))),NOT(ISFORMULA(INDEX('Game Records'!$R:$R,$H185))),NOT(ISFORMULA(INDEX('Game Records'!$S:$S,$H185))),NOT(ISFORMULA(INDEX('Game Records'!$T:$T,$H185))),NOT(ISFORMULA(INDEX('Game Records'!$U:$U,$H185))),NOT(ISFORMULA(INDEX('Game Records'!$V:$V,$H185))),NOT(ISFORMULA(INDEX('Game Records'!$W:$W,$H185))),NOT(ISFORMULA(INDEX('Game Records'!$X:$X,$H185))),NOT(ISFORMULA(INDEX('Game Records'!$Y:$Y,$H185))),NOT(ISFORMULA(INDEX('Game Records'!$Z:$Z,$H185)))),"Formula columns missing; ","")&amp;IF(INDEX('Game Records'!$B:$B,$H185)="","Start Date; ","")&amp;IF(INDEX('Game Records'!$C:$C,$H185)="","End Date; ","")&amp;IF(AND(INDEX('Game Records'!$U:$U,$H185)&lt;&gt;"Subscription",INDEX('Game Records'!$U:$U,$H185)&lt;&gt;"Free Game",INDEX('Game Records'!$U:$U,$H185)&lt;&gt;"Disqualified — Free Game",OR(INDEX('Game Records'!$D:$D,$H185)="",LOWER(INDEX('Game Records'!$D:$D,$H185)&amp;"")="n/a")),"Entry Mode; ","")&amp;IF(AND(INDEX('Game Records'!$U:$U,$H185)&lt;&gt;"Subscription",INDEX('Game Records'!$U:$U,$H185)&lt;&gt;"Free Game",INDEX('Game Records'!$U:$U,$H185)&lt;&gt;"Disqualified — Free Game",OR(INDEX('Game Records'!$E:$E,$H185)="",LOWER(INDEX('Game Records'!$E:$E,$H185)&amp;"")="n/a")),"Game Type; ","")&amp;IF(INDEX('Game Records'!$F:$F,$H185)="","Payment Type; ","")&amp;IF(AND(INDEX('Game Records'!$U:$U,$H185)&lt;&gt;"Subscription",INDEX('Game Records'!$U:$U,$H185)&lt;&gt;"Free Game",INDEX('Game Records'!$U:$U,$H185)&lt;&gt;"Disqualified — Free Game",INDEX('Game Records'!$G:$G,$H185)=""),"Gross Pot; ","")&amp;IF(AND(INDEX('Game Records'!$U:$U,$H185)&lt;&gt;"Free Game",INDEX('Game Records'!$U:$U,$H185)&lt;&gt;"Disqualified — Free Game",INDEX('Game Records'!$H:$H,$H185)=""),"Entry Fee; ","")&amp;IF(AND(INDEX('Game Records'!$U:$U,$H185)&lt;&gt;"Subscription",INDEX('Game Records'!$U:$U,$H185)&lt;&gt;"Free Game",INDEX('Game Records'!$U:$U,$H185)&lt;&gt;"Disqualified — Free Game",INDEX('Game Records'!$I:$I,$H185)=""),"Eligible Players; ","")&amp;IF(AND(INDEX('Game Records'!$U:$U,$H185)&lt;&gt;"Subscription",INDEX('Game Records'!$U:$U,$H185)&lt;&gt;"Free Game",INDEX('Game Records'!$U:$U,$H185)&lt;&gt;"Disqualified — Free Game",INDEX('Game Records'!$J:$J,$H185)=""),"Total Players; ","")&amp;IF(AND(LOWER(INDEX('Game Records'!$D:$D,$H185)&amp;"")="finalized",LOWER(INDEX('Game Records'!$L:$L,$H185)&amp;"")&lt;&gt;"yes",INDEX('Game Records'!$U:$U,$H185)&lt;&gt;"Subscription",INDEX('Game Records'!$U:$U,$H185)&lt;&gt;"Free Game",INDEX('Game Records'!$U:$U,$H185)&lt;&gt;"Disqualified — Free Game",INDEX('Game Records'!$K:$K,$H185)=""),"Final Earned; ","")&amp;IF(AND(LOWER(INDEX('Game Records'!$D:$D,$H185)&amp;"")="finalized",INDEX('Game Records'!$U:$U,$H185)&lt;&gt;"Subscription",INDEX('Game Records'!$U:$U,$H185)&lt;&gt;"Free Game",INDEX('Game Records'!$U:$U,$H185)&lt;&gt;"Disqualified — Free Game",OR(INDEX('Game Records'!$L:$L,$H185)="",LOWER(INDEX('Game Records'!$L:$L,$H185)&amp;"")="n/a")),"Disqualified Status; ","")&amp;IF(AND(OR(LOWER(TRIM(INDEX('Game Records'!$F:$F,$H185)&amp;""))="free game",INDEX('Game Records'!$U:$U,$H185)="Free Game",INDEX('Game Records'!$U:$U,$H185)="Disqualified — Free Game"),N(INDEX('Game Records'!$H:$H,$H185))&lt;&gt;0),"Free Game has a non-zero Entry Fee. Free Game records require a $0 Entry Fee; ",""))</f>
        <v/>
      </c>
      <c r="G185" s="331" t="str">
        <f>IF($H185="","",IFERROR(INDEX('Game Records'!$M:$M,$H185),""))</f>
        <v/>
      </c>
      <c r="H185" s="104" t="str">
        <f>IF($H184="","",IFERROR(MATCH(1,INDEX((ROW('Game Records'!$U$5:$U$504)&gt;$H184)*(('Game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5" s="104"/>
      <c r="J185" s="104"/>
    </row>
    <row r="186" ht="24" hidden="0" customHeight="1">
      <c r="A186" s="332" t="str">
        <f>IF($H186="","",ROWS($A$5:A186))</f>
        <v/>
      </c>
      <c r="B186" s="332" t="str">
        <f>IF($H186="","","G-"&amp;TEXT($A186,"0000"))</f>
        <v/>
      </c>
      <c r="C186" s="331" t="str">
        <f>IF($H186="","",IFERROR(INDEX('Game Records'!$A:$A,$H186),""))</f>
        <v/>
      </c>
      <c r="D186" s="331" t="str">
        <f>IF($H186="","",IFERROR(INDEX('Game Records'!$U:$U,$H186),""))</f>
        <v/>
      </c>
      <c r="E186" s="331" t="str">
        <f>IF($H186="","",IF($F186="","No Highlighted Fields","Highlighted Fields Present"))</f>
        <v/>
      </c>
      <c r="F186" s="331" t="str">
        <f>IF($H186="","",IF(OR(NOT(ISFORMULA(INDEX('Game Records'!$N:$N,$H186))),NOT(ISFORMULA(INDEX('Game Records'!$O:$O,$H186))),NOT(ISFORMULA(INDEX('Game Records'!$P:$P,$H186))),NOT(ISFORMULA(INDEX('Game Records'!$Q:$Q,$H186))),NOT(ISFORMULA(INDEX('Game Records'!$R:$R,$H186))),NOT(ISFORMULA(INDEX('Game Records'!$S:$S,$H186))),NOT(ISFORMULA(INDEX('Game Records'!$T:$T,$H186))),NOT(ISFORMULA(INDEX('Game Records'!$U:$U,$H186))),NOT(ISFORMULA(INDEX('Game Records'!$V:$V,$H186))),NOT(ISFORMULA(INDEX('Game Records'!$W:$W,$H186))),NOT(ISFORMULA(INDEX('Game Records'!$X:$X,$H186))),NOT(ISFORMULA(INDEX('Game Records'!$Y:$Y,$H186))),NOT(ISFORMULA(INDEX('Game Records'!$Z:$Z,$H186)))),"Formula columns missing; ","")&amp;IF(INDEX('Game Records'!$B:$B,$H186)="","Start Date; ","")&amp;IF(INDEX('Game Records'!$C:$C,$H186)="","End Date; ","")&amp;IF(AND(INDEX('Game Records'!$U:$U,$H186)&lt;&gt;"Subscription",INDEX('Game Records'!$U:$U,$H186)&lt;&gt;"Free Game",INDEX('Game Records'!$U:$U,$H186)&lt;&gt;"Disqualified — Free Game",OR(INDEX('Game Records'!$D:$D,$H186)="",LOWER(INDEX('Game Records'!$D:$D,$H186)&amp;"")="n/a")),"Entry Mode; ","")&amp;IF(AND(INDEX('Game Records'!$U:$U,$H186)&lt;&gt;"Subscription",INDEX('Game Records'!$U:$U,$H186)&lt;&gt;"Free Game",INDEX('Game Records'!$U:$U,$H186)&lt;&gt;"Disqualified — Free Game",OR(INDEX('Game Records'!$E:$E,$H186)="",LOWER(INDEX('Game Records'!$E:$E,$H186)&amp;"")="n/a")),"Game Type; ","")&amp;IF(INDEX('Game Records'!$F:$F,$H186)="","Payment Type; ","")&amp;IF(AND(INDEX('Game Records'!$U:$U,$H186)&lt;&gt;"Subscription",INDEX('Game Records'!$U:$U,$H186)&lt;&gt;"Free Game",INDEX('Game Records'!$U:$U,$H186)&lt;&gt;"Disqualified — Free Game",INDEX('Game Records'!$G:$G,$H186)=""),"Gross Pot; ","")&amp;IF(AND(INDEX('Game Records'!$U:$U,$H186)&lt;&gt;"Free Game",INDEX('Game Records'!$U:$U,$H186)&lt;&gt;"Disqualified — Free Game",INDEX('Game Records'!$H:$H,$H186)=""),"Entry Fee; ","")&amp;IF(AND(INDEX('Game Records'!$U:$U,$H186)&lt;&gt;"Subscription",INDEX('Game Records'!$U:$U,$H186)&lt;&gt;"Free Game",INDEX('Game Records'!$U:$U,$H186)&lt;&gt;"Disqualified — Free Game",INDEX('Game Records'!$I:$I,$H186)=""),"Eligible Players; ","")&amp;IF(AND(INDEX('Game Records'!$U:$U,$H186)&lt;&gt;"Subscription",INDEX('Game Records'!$U:$U,$H186)&lt;&gt;"Free Game",INDEX('Game Records'!$U:$U,$H186)&lt;&gt;"Disqualified — Free Game",INDEX('Game Records'!$J:$J,$H186)=""),"Total Players; ","")&amp;IF(AND(LOWER(INDEX('Game Records'!$D:$D,$H186)&amp;"")="finalized",LOWER(INDEX('Game Records'!$L:$L,$H186)&amp;"")&lt;&gt;"yes",INDEX('Game Records'!$U:$U,$H186)&lt;&gt;"Subscription",INDEX('Game Records'!$U:$U,$H186)&lt;&gt;"Free Game",INDEX('Game Records'!$U:$U,$H186)&lt;&gt;"Disqualified — Free Game",INDEX('Game Records'!$K:$K,$H186)=""),"Final Earned; ","")&amp;IF(AND(LOWER(INDEX('Game Records'!$D:$D,$H186)&amp;"")="finalized",INDEX('Game Records'!$U:$U,$H186)&lt;&gt;"Subscription",INDEX('Game Records'!$U:$U,$H186)&lt;&gt;"Free Game",INDEX('Game Records'!$U:$U,$H186)&lt;&gt;"Disqualified — Free Game",OR(INDEX('Game Records'!$L:$L,$H186)="",LOWER(INDEX('Game Records'!$L:$L,$H186)&amp;"")="n/a")),"Disqualified Status; ","")&amp;IF(AND(OR(LOWER(TRIM(INDEX('Game Records'!$F:$F,$H186)&amp;""))="free game",INDEX('Game Records'!$U:$U,$H186)="Free Game",INDEX('Game Records'!$U:$U,$H186)="Disqualified — Free Game"),N(INDEX('Game Records'!$H:$H,$H186))&lt;&gt;0),"Free Game has a non-zero Entry Fee. Free Game records require a $0 Entry Fee; ",""))</f>
        <v/>
      </c>
      <c r="G186" s="331" t="str">
        <f>IF($H186="","",IFERROR(INDEX('Game Records'!$M:$M,$H186),""))</f>
        <v/>
      </c>
      <c r="H186" s="104" t="str">
        <f>IF($H185="","",IFERROR(MATCH(1,INDEX((ROW('Game Records'!$U$5:$U$504)&gt;$H185)*(('Game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6" s="104"/>
      <c r="J186" s="104"/>
    </row>
    <row r="187" ht="24" hidden="0" customHeight="1">
      <c r="A187" s="332" t="str">
        <f>IF($H187="","",ROWS($A$5:A187))</f>
        <v/>
      </c>
      <c r="B187" s="332" t="str">
        <f>IF($H187="","","G-"&amp;TEXT($A187,"0000"))</f>
        <v/>
      </c>
      <c r="C187" s="331" t="str">
        <f>IF($H187="","",IFERROR(INDEX('Game Records'!$A:$A,$H187),""))</f>
        <v/>
      </c>
      <c r="D187" s="331" t="str">
        <f>IF($H187="","",IFERROR(INDEX('Game Records'!$U:$U,$H187),""))</f>
        <v/>
      </c>
      <c r="E187" s="331" t="str">
        <f>IF($H187="","",IF($F187="","No Highlighted Fields","Highlighted Fields Present"))</f>
        <v/>
      </c>
      <c r="F187" s="331" t="str">
        <f>IF($H187="","",IF(OR(NOT(ISFORMULA(INDEX('Game Records'!$N:$N,$H187))),NOT(ISFORMULA(INDEX('Game Records'!$O:$O,$H187))),NOT(ISFORMULA(INDEX('Game Records'!$P:$P,$H187))),NOT(ISFORMULA(INDEX('Game Records'!$Q:$Q,$H187))),NOT(ISFORMULA(INDEX('Game Records'!$R:$R,$H187))),NOT(ISFORMULA(INDEX('Game Records'!$S:$S,$H187))),NOT(ISFORMULA(INDEX('Game Records'!$T:$T,$H187))),NOT(ISFORMULA(INDEX('Game Records'!$U:$U,$H187))),NOT(ISFORMULA(INDEX('Game Records'!$V:$V,$H187))),NOT(ISFORMULA(INDEX('Game Records'!$W:$W,$H187))),NOT(ISFORMULA(INDEX('Game Records'!$X:$X,$H187))),NOT(ISFORMULA(INDEX('Game Records'!$Y:$Y,$H187))),NOT(ISFORMULA(INDEX('Game Records'!$Z:$Z,$H187)))),"Formula columns missing; ","")&amp;IF(INDEX('Game Records'!$B:$B,$H187)="","Start Date; ","")&amp;IF(INDEX('Game Records'!$C:$C,$H187)="","End Date; ","")&amp;IF(AND(INDEX('Game Records'!$U:$U,$H187)&lt;&gt;"Subscription",INDEX('Game Records'!$U:$U,$H187)&lt;&gt;"Free Game",INDEX('Game Records'!$U:$U,$H187)&lt;&gt;"Disqualified — Free Game",OR(INDEX('Game Records'!$D:$D,$H187)="",LOWER(INDEX('Game Records'!$D:$D,$H187)&amp;"")="n/a")),"Entry Mode; ","")&amp;IF(AND(INDEX('Game Records'!$U:$U,$H187)&lt;&gt;"Subscription",INDEX('Game Records'!$U:$U,$H187)&lt;&gt;"Free Game",INDEX('Game Records'!$U:$U,$H187)&lt;&gt;"Disqualified — Free Game",OR(INDEX('Game Records'!$E:$E,$H187)="",LOWER(INDEX('Game Records'!$E:$E,$H187)&amp;"")="n/a")),"Game Type; ","")&amp;IF(INDEX('Game Records'!$F:$F,$H187)="","Payment Type; ","")&amp;IF(AND(INDEX('Game Records'!$U:$U,$H187)&lt;&gt;"Subscription",INDEX('Game Records'!$U:$U,$H187)&lt;&gt;"Free Game",INDEX('Game Records'!$U:$U,$H187)&lt;&gt;"Disqualified — Free Game",INDEX('Game Records'!$G:$G,$H187)=""),"Gross Pot; ","")&amp;IF(AND(INDEX('Game Records'!$U:$U,$H187)&lt;&gt;"Free Game",INDEX('Game Records'!$U:$U,$H187)&lt;&gt;"Disqualified — Free Game",INDEX('Game Records'!$H:$H,$H187)=""),"Entry Fee; ","")&amp;IF(AND(INDEX('Game Records'!$U:$U,$H187)&lt;&gt;"Subscription",INDEX('Game Records'!$U:$U,$H187)&lt;&gt;"Free Game",INDEX('Game Records'!$U:$U,$H187)&lt;&gt;"Disqualified — Free Game",INDEX('Game Records'!$I:$I,$H187)=""),"Eligible Players; ","")&amp;IF(AND(INDEX('Game Records'!$U:$U,$H187)&lt;&gt;"Subscription",INDEX('Game Records'!$U:$U,$H187)&lt;&gt;"Free Game",INDEX('Game Records'!$U:$U,$H187)&lt;&gt;"Disqualified — Free Game",INDEX('Game Records'!$J:$J,$H187)=""),"Total Players; ","")&amp;IF(AND(LOWER(INDEX('Game Records'!$D:$D,$H187)&amp;"")="finalized",LOWER(INDEX('Game Records'!$L:$L,$H187)&amp;"")&lt;&gt;"yes",INDEX('Game Records'!$U:$U,$H187)&lt;&gt;"Subscription",INDEX('Game Records'!$U:$U,$H187)&lt;&gt;"Free Game",INDEX('Game Records'!$U:$U,$H187)&lt;&gt;"Disqualified — Free Game",INDEX('Game Records'!$K:$K,$H187)=""),"Final Earned; ","")&amp;IF(AND(LOWER(INDEX('Game Records'!$D:$D,$H187)&amp;"")="finalized",INDEX('Game Records'!$U:$U,$H187)&lt;&gt;"Subscription",INDEX('Game Records'!$U:$U,$H187)&lt;&gt;"Free Game",INDEX('Game Records'!$U:$U,$H187)&lt;&gt;"Disqualified — Free Game",OR(INDEX('Game Records'!$L:$L,$H187)="",LOWER(INDEX('Game Records'!$L:$L,$H187)&amp;"")="n/a")),"Disqualified Status; ","")&amp;IF(AND(OR(LOWER(TRIM(INDEX('Game Records'!$F:$F,$H187)&amp;""))="free game",INDEX('Game Records'!$U:$U,$H187)="Free Game",INDEX('Game Records'!$U:$U,$H187)="Disqualified — Free Game"),N(INDEX('Game Records'!$H:$H,$H187))&lt;&gt;0),"Free Game has a non-zero Entry Fee. Free Game records require a $0 Entry Fee; ",""))</f>
        <v/>
      </c>
      <c r="G187" s="331" t="str">
        <f>IF($H187="","",IFERROR(INDEX('Game Records'!$M:$M,$H187),""))</f>
        <v/>
      </c>
      <c r="H187" s="104" t="str">
        <f>IF($H186="","",IFERROR(MATCH(1,INDEX((ROW('Game Records'!$U$5:$U$504)&gt;$H186)*(('Game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7" s="104"/>
      <c r="J187" s="104"/>
    </row>
    <row r="188" ht="24" hidden="0" customHeight="1">
      <c r="A188" s="332" t="str">
        <f>IF($H188="","",ROWS($A$5:A188))</f>
        <v/>
      </c>
      <c r="B188" s="332" t="str">
        <f>IF($H188="","","G-"&amp;TEXT($A188,"0000"))</f>
        <v/>
      </c>
      <c r="C188" s="331" t="str">
        <f>IF($H188="","",IFERROR(INDEX('Game Records'!$A:$A,$H188),""))</f>
        <v/>
      </c>
      <c r="D188" s="331" t="str">
        <f>IF($H188="","",IFERROR(INDEX('Game Records'!$U:$U,$H188),""))</f>
        <v/>
      </c>
      <c r="E188" s="331" t="str">
        <f>IF($H188="","",IF($F188="","No Highlighted Fields","Highlighted Fields Present"))</f>
        <v/>
      </c>
      <c r="F188" s="331" t="str">
        <f>IF($H188="","",IF(OR(NOT(ISFORMULA(INDEX('Game Records'!$N:$N,$H188))),NOT(ISFORMULA(INDEX('Game Records'!$O:$O,$H188))),NOT(ISFORMULA(INDEX('Game Records'!$P:$P,$H188))),NOT(ISFORMULA(INDEX('Game Records'!$Q:$Q,$H188))),NOT(ISFORMULA(INDEX('Game Records'!$R:$R,$H188))),NOT(ISFORMULA(INDEX('Game Records'!$S:$S,$H188))),NOT(ISFORMULA(INDEX('Game Records'!$T:$T,$H188))),NOT(ISFORMULA(INDEX('Game Records'!$U:$U,$H188))),NOT(ISFORMULA(INDEX('Game Records'!$V:$V,$H188))),NOT(ISFORMULA(INDEX('Game Records'!$W:$W,$H188))),NOT(ISFORMULA(INDEX('Game Records'!$X:$X,$H188))),NOT(ISFORMULA(INDEX('Game Records'!$Y:$Y,$H188))),NOT(ISFORMULA(INDEX('Game Records'!$Z:$Z,$H188)))),"Formula columns missing; ","")&amp;IF(INDEX('Game Records'!$B:$B,$H188)="","Start Date; ","")&amp;IF(INDEX('Game Records'!$C:$C,$H188)="","End Date; ","")&amp;IF(AND(INDEX('Game Records'!$U:$U,$H188)&lt;&gt;"Subscription",INDEX('Game Records'!$U:$U,$H188)&lt;&gt;"Free Game",INDEX('Game Records'!$U:$U,$H188)&lt;&gt;"Disqualified — Free Game",OR(INDEX('Game Records'!$D:$D,$H188)="",LOWER(INDEX('Game Records'!$D:$D,$H188)&amp;"")="n/a")),"Entry Mode; ","")&amp;IF(AND(INDEX('Game Records'!$U:$U,$H188)&lt;&gt;"Subscription",INDEX('Game Records'!$U:$U,$H188)&lt;&gt;"Free Game",INDEX('Game Records'!$U:$U,$H188)&lt;&gt;"Disqualified — Free Game",OR(INDEX('Game Records'!$E:$E,$H188)="",LOWER(INDEX('Game Records'!$E:$E,$H188)&amp;"")="n/a")),"Game Type; ","")&amp;IF(INDEX('Game Records'!$F:$F,$H188)="","Payment Type; ","")&amp;IF(AND(INDEX('Game Records'!$U:$U,$H188)&lt;&gt;"Subscription",INDEX('Game Records'!$U:$U,$H188)&lt;&gt;"Free Game",INDEX('Game Records'!$U:$U,$H188)&lt;&gt;"Disqualified — Free Game",INDEX('Game Records'!$G:$G,$H188)=""),"Gross Pot; ","")&amp;IF(AND(INDEX('Game Records'!$U:$U,$H188)&lt;&gt;"Free Game",INDEX('Game Records'!$U:$U,$H188)&lt;&gt;"Disqualified — Free Game",INDEX('Game Records'!$H:$H,$H188)=""),"Entry Fee; ","")&amp;IF(AND(INDEX('Game Records'!$U:$U,$H188)&lt;&gt;"Subscription",INDEX('Game Records'!$U:$U,$H188)&lt;&gt;"Free Game",INDEX('Game Records'!$U:$U,$H188)&lt;&gt;"Disqualified — Free Game",INDEX('Game Records'!$I:$I,$H188)=""),"Eligible Players; ","")&amp;IF(AND(INDEX('Game Records'!$U:$U,$H188)&lt;&gt;"Subscription",INDEX('Game Records'!$U:$U,$H188)&lt;&gt;"Free Game",INDEX('Game Records'!$U:$U,$H188)&lt;&gt;"Disqualified — Free Game",INDEX('Game Records'!$J:$J,$H188)=""),"Total Players; ","")&amp;IF(AND(LOWER(INDEX('Game Records'!$D:$D,$H188)&amp;"")="finalized",LOWER(INDEX('Game Records'!$L:$L,$H188)&amp;"")&lt;&gt;"yes",INDEX('Game Records'!$U:$U,$H188)&lt;&gt;"Subscription",INDEX('Game Records'!$U:$U,$H188)&lt;&gt;"Free Game",INDEX('Game Records'!$U:$U,$H188)&lt;&gt;"Disqualified — Free Game",INDEX('Game Records'!$K:$K,$H188)=""),"Final Earned; ","")&amp;IF(AND(LOWER(INDEX('Game Records'!$D:$D,$H188)&amp;"")="finalized",INDEX('Game Records'!$U:$U,$H188)&lt;&gt;"Subscription",INDEX('Game Records'!$U:$U,$H188)&lt;&gt;"Free Game",INDEX('Game Records'!$U:$U,$H188)&lt;&gt;"Disqualified — Free Game",OR(INDEX('Game Records'!$L:$L,$H188)="",LOWER(INDEX('Game Records'!$L:$L,$H188)&amp;"")="n/a")),"Disqualified Status; ","")&amp;IF(AND(OR(LOWER(TRIM(INDEX('Game Records'!$F:$F,$H188)&amp;""))="free game",INDEX('Game Records'!$U:$U,$H188)="Free Game",INDEX('Game Records'!$U:$U,$H188)="Disqualified — Free Game"),N(INDEX('Game Records'!$H:$H,$H188))&lt;&gt;0),"Free Game has a non-zero Entry Fee. Free Game records require a $0 Entry Fee; ",""))</f>
        <v/>
      </c>
      <c r="G188" s="331" t="str">
        <f>IF($H188="","",IFERROR(INDEX('Game Records'!$M:$M,$H188),""))</f>
        <v/>
      </c>
      <c r="H188" s="104" t="str">
        <f>IF($H187="","",IFERROR(MATCH(1,INDEX((ROW('Game Records'!$U$5:$U$504)&gt;$H187)*(('Game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8" s="104"/>
      <c r="J188" s="104"/>
    </row>
    <row r="189" ht="24" hidden="0" customHeight="1">
      <c r="A189" s="332" t="str">
        <f>IF($H189="","",ROWS($A$5:A189))</f>
        <v/>
      </c>
      <c r="B189" s="332" t="str">
        <f>IF($H189="","","G-"&amp;TEXT($A189,"0000"))</f>
        <v/>
      </c>
      <c r="C189" s="331" t="str">
        <f>IF($H189="","",IFERROR(INDEX('Game Records'!$A:$A,$H189),""))</f>
        <v/>
      </c>
      <c r="D189" s="331" t="str">
        <f>IF($H189="","",IFERROR(INDEX('Game Records'!$U:$U,$H189),""))</f>
        <v/>
      </c>
      <c r="E189" s="331" t="str">
        <f>IF($H189="","",IF($F189="","No Highlighted Fields","Highlighted Fields Present"))</f>
        <v/>
      </c>
      <c r="F189" s="331" t="str">
        <f>IF($H189="","",IF(OR(NOT(ISFORMULA(INDEX('Game Records'!$N:$N,$H189))),NOT(ISFORMULA(INDEX('Game Records'!$O:$O,$H189))),NOT(ISFORMULA(INDEX('Game Records'!$P:$P,$H189))),NOT(ISFORMULA(INDEX('Game Records'!$Q:$Q,$H189))),NOT(ISFORMULA(INDEX('Game Records'!$R:$R,$H189))),NOT(ISFORMULA(INDEX('Game Records'!$S:$S,$H189))),NOT(ISFORMULA(INDEX('Game Records'!$T:$T,$H189))),NOT(ISFORMULA(INDEX('Game Records'!$U:$U,$H189))),NOT(ISFORMULA(INDEX('Game Records'!$V:$V,$H189))),NOT(ISFORMULA(INDEX('Game Records'!$W:$W,$H189))),NOT(ISFORMULA(INDEX('Game Records'!$X:$X,$H189))),NOT(ISFORMULA(INDEX('Game Records'!$Y:$Y,$H189))),NOT(ISFORMULA(INDEX('Game Records'!$Z:$Z,$H189)))),"Formula columns missing; ","")&amp;IF(INDEX('Game Records'!$B:$B,$H189)="","Start Date; ","")&amp;IF(INDEX('Game Records'!$C:$C,$H189)="","End Date; ","")&amp;IF(AND(INDEX('Game Records'!$U:$U,$H189)&lt;&gt;"Subscription",INDEX('Game Records'!$U:$U,$H189)&lt;&gt;"Free Game",INDEX('Game Records'!$U:$U,$H189)&lt;&gt;"Disqualified — Free Game",OR(INDEX('Game Records'!$D:$D,$H189)="",LOWER(INDEX('Game Records'!$D:$D,$H189)&amp;"")="n/a")),"Entry Mode; ","")&amp;IF(AND(INDEX('Game Records'!$U:$U,$H189)&lt;&gt;"Subscription",INDEX('Game Records'!$U:$U,$H189)&lt;&gt;"Free Game",INDEX('Game Records'!$U:$U,$H189)&lt;&gt;"Disqualified — Free Game",OR(INDEX('Game Records'!$E:$E,$H189)="",LOWER(INDEX('Game Records'!$E:$E,$H189)&amp;"")="n/a")),"Game Type; ","")&amp;IF(INDEX('Game Records'!$F:$F,$H189)="","Payment Type; ","")&amp;IF(AND(INDEX('Game Records'!$U:$U,$H189)&lt;&gt;"Subscription",INDEX('Game Records'!$U:$U,$H189)&lt;&gt;"Free Game",INDEX('Game Records'!$U:$U,$H189)&lt;&gt;"Disqualified — Free Game",INDEX('Game Records'!$G:$G,$H189)=""),"Gross Pot; ","")&amp;IF(AND(INDEX('Game Records'!$U:$U,$H189)&lt;&gt;"Free Game",INDEX('Game Records'!$U:$U,$H189)&lt;&gt;"Disqualified — Free Game",INDEX('Game Records'!$H:$H,$H189)=""),"Entry Fee; ","")&amp;IF(AND(INDEX('Game Records'!$U:$U,$H189)&lt;&gt;"Subscription",INDEX('Game Records'!$U:$U,$H189)&lt;&gt;"Free Game",INDEX('Game Records'!$U:$U,$H189)&lt;&gt;"Disqualified — Free Game",INDEX('Game Records'!$I:$I,$H189)=""),"Eligible Players; ","")&amp;IF(AND(INDEX('Game Records'!$U:$U,$H189)&lt;&gt;"Subscription",INDEX('Game Records'!$U:$U,$H189)&lt;&gt;"Free Game",INDEX('Game Records'!$U:$U,$H189)&lt;&gt;"Disqualified — Free Game",INDEX('Game Records'!$J:$J,$H189)=""),"Total Players; ","")&amp;IF(AND(LOWER(INDEX('Game Records'!$D:$D,$H189)&amp;"")="finalized",LOWER(INDEX('Game Records'!$L:$L,$H189)&amp;"")&lt;&gt;"yes",INDEX('Game Records'!$U:$U,$H189)&lt;&gt;"Subscription",INDEX('Game Records'!$U:$U,$H189)&lt;&gt;"Free Game",INDEX('Game Records'!$U:$U,$H189)&lt;&gt;"Disqualified — Free Game",INDEX('Game Records'!$K:$K,$H189)=""),"Final Earned; ","")&amp;IF(AND(LOWER(INDEX('Game Records'!$D:$D,$H189)&amp;"")="finalized",INDEX('Game Records'!$U:$U,$H189)&lt;&gt;"Subscription",INDEX('Game Records'!$U:$U,$H189)&lt;&gt;"Free Game",INDEX('Game Records'!$U:$U,$H189)&lt;&gt;"Disqualified — Free Game",OR(INDEX('Game Records'!$L:$L,$H189)="",LOWER(INDEX('Game Records'!$L:$L,$H189)&amp;"")="n/a")),"Disqualified Status; ","")&amp;IF(AND(OR(LOWER(TRIM(INDEX('Game Records'!$F:$F,$H189)&amp;""))="free game",INDEX('Game Records'!$U:$U,$H189)="Free Game",INDEX('Game Records'!$U:$U,$H189)="Disqualified — Free Game"),N(INDEX('Game Records'!$H:$H,$H189))&lt;&gt;0),"Free Game has a non-zero Entry Fee. Free Game records require a $0 Entry Fee; ",""))</f>
        <v/>
      </c>
      <c r="G189" s="331" t="str">
        <f>IF($H189="","",IFERROR(INDEX('Game Records'!$M:$M,$H189),""))</f>
        <v/>
      </c>
      <c r="H189" s="104" t="str">
        <f>IF($H188="","",IFERROR(MATCH(1,INDEX((ROW('Game Records'!$U$5:$U$504)&gt;$H188)*(('Game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9" s="104"/>
      <c r="J189" s="104"/>
    </row>
    <row r="190" ht="24" hidden="0" customHeight="1">
      <c r="A190" s="332" t="str">
        <f>IF($H190="","",ROWS($A$5:A190))</f>
        <v/>
      </c>
      <c r="B190" s="332" t="str">
        <f>IF($H190="","","G-"&amp;TEXT($A190,"0000"))</f>
        <v/>
      </c>
      <c r="C190" s="331" t="str">
        <f>IF($H190="","",IFERROR(INDEX('Game Records'!$A:$A,$H190),""))</f>
        <v/>
      </c>
      <c r="D190" s="331" t="str">
        <f>IF($H190="","",IFERROR(INDEX('Game Records'!$U:$U,$H190),""))</f>
        <v/>
      </c>
      <c r="E190" s="331" t="str">
        <f>IF($H190="","",IF($F190="","No Highlighted Fields","Highlighted Fields Present"))</f>
        <v/>
      </c>
      <c r="F190" s="331" t="str">
        <f>IF($H190="","",IF(OR(NOT(ISFORMULA(INDEX('Game Records'!$N:$N,$H190))),NOT(ISFORMULA(INDEX('Game Records'!$O:$O,$H190))),NOT(ISFORMULA(INDEX('Game Records'!$P:$P,$H190))),NOT(ISFORMULA(INDEX('Game Records'!$Q:$Q,$H190))),NOT(ISFORMULA(INDEX('Game Records'!$R:$R,$H190))),NOT(ISFORMULA(INDEX('Game Records'!$S:$S,$H190))),NOT(ISFORMULA(INDEX('Game Records'!$T:$T,$H190))),NOT(ISFORMULA(INDEX('Game Records'!$U:$U,$H190))),NOT(ISFORMULA(INDEX('Game Records'!$V:$V,$H190))),NOT(ISFORMULA(INDEX('Game Records'!$W:$W,$H190))),NOT(ISFORMULA(INDEX('Game Records'!$X:$X,$H190))),NOT(ISFORMULA(INDEX('Game Records'!$Y:$Y,$H190))),NOT(ISFORMULA(INDEX('Game Records'!$Z:$Z,$H190)))),"Formula columns missing; ","")&amp;IF(INDEX('Game Records'!$B:$B,$H190)="","Start Date; ","")&amp;IF(INDEX('Game Records'!$C:$C,$H190)="","End Date; ","")&amp;IF(AND(INDEX('Game Records'!$U:$U,$H190)&lt;&gt;"Subscription",INDEX('Game Records'!$U:$U,$H190)&lt;&gt;"Free Game",INDEX('Game Records'!$U:$U,$H190)&lt;&gt;"Disqualified — Free Game",OR(INDEX('Game Records'!$D:$D,$H190)="",LOWER(INDEX('Game Records'!$D:$D,$H190)&amp;"")="n/a")),"Entry Mode; ","")&amp;IF(AND(INDEX('Game Records'!$U:$U,$H190)&lt;&gt;"Subscription",INDEX('Game Records'!$U:$U,$H190)&lt;&gt;"Free Game",INDEX('Game Records'!$U:$U,$H190)&lt;&gt;"Disqualified — Free Game",OR(INDEX('Game Records'!$E:$E,$H190)="",LOWER(INDEX('Game Records'!$E:$E,$H190)&amp;"")="n/a")),"Game Type; ","")&amp;IF(INDEX('Game Records'!$F:$F,$H190)="","Payment Type; ","")&amp;IF(AND(INDEX('Game Records'!$U:$U,$H190)&lt;&gt;"Subscription",INDEX('Game Records'!$U:$U,$H190)&lt;&gt;"Free Game",INDEX('Game Records'!$U:$U,$H190)&lt;&gt;"Disqualified — Free Game",INDEX('Game Records'!$G:$G,$H190)=""),"Gross Pot; ","")&amp;IF(AND(INDEX('Game Records'!$U:$U,$H190)&lt;&gt;"Free Game",INDEX('Game Records'!$U:$U,$H190)&lt;&gt;"Disqualified — Free Game",INDEX('Game Records'!$H:$H,$H190)=""),"Entry Fee; ","")&amp;IF(AND(INDEX('Game Records'!$U:$U,$H190)&lt;&gt;"Subscription",INDEX('Game Records'!$U:$U,$H190)&lt;&gt;"Free Game",INDEX('Game Records'!$U:$U,$H190)&lt;&gt;"Disqualified — Free Game",INDEX('Game Records'!$I:$I,$H190)=""),"Eligible Players; ","")&amp;IF(AND(INDEX('Game Records'!$U:$U,$H190)&lt;&gt;"Subscription",INDEX('Game Records'!$U:$U,$H190)&lt;&gt;"Free Game",INDEX('Game Records'!$U:$U,$H190)&lt;&gt;"Disqualified — Free Game",INDEX('Game Records'!$J:$J,$H190)=""),"Total Players; ","")&amp;IF(AND(LOWER(INDEX('Game Records'!$D:$D,$H190)&amp;"")="finalized",LOWER(INDEX('Game Records'!$L:$L,$H190)&amp;"")&lt;&gt;"yes",INDEX('Game Records'!$U:$U,$H190)&lt;&gt;"Subscription",INDEX('Game Records'!$U:$U,$H190)&lt;&gt;"Free Game",INDEX('Game Records'!$U:$U,$H190)&lt;&gt;"Disqualified — Free Game",INDEX('Game Records'!$K:$K,$H190)=""),"Final Earned; ","")&amp;IF(AND(LOWER(INDEX('Game Records'!$D:$D,$H190)&amp;"")="finalized",INDEX('Game Records'!$U:$U,$H190)&lt;&gt;"Subscription",INDEX('Game Records'!$U:$U,$H190)&lt;&gt;"Free Game",INDEX('Game Records'!$U:$U,$H190)&lt;&gt;"Disqualified — Free Game",OR(INDEX('Game Records'!$L:$L,$H190)="",LOWER(INDEX('Game Records'!$L:$L,$H190)&amp;"")="n/a")),"Disqualified Status; ","")&amp;IF(AND(OR(LOWER(TRIM(INDEX('Game Records'!$F:$F,$H190)&amp;""))="free game",INDEX('Game Records'!$U:$U,$H190)="Free Game",INDEX('Game Records'!$U:$U,$H190)="Disqualified — Free Game"),N(INDEX('Game Records'!$H:$H,$H190))&lt;&gt;0),"Free Game has a non-zero Entry Fee. Free Game records require a $0 Entry Fee; ",""))</f>
        <v/>
      </c>
      <c r="G190" s="331" t="str">
        <f>IF($H190="","",IFERROR(INDEX('Game Records'!$M:$M,$H190),""))</f>
        <v/>
      </c>
      <c r="H190" s="104" t="str">
        <f>IF($H189="","",IFERROR(MATCH(1,INDEX((ROW('Game Records'!$U$5:$U$504)&gt;$H189)*(('Game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0" s="104"/>
      <c r="J190" s="104"/>
    </row>
    <row r="191" ht="24" hidden="0" customHeight="1">
      <c r="A191" s="332" t="str">
        <f>IF($H191="","",ROWS($A$5:A191))</f>
        <v/>
      </c>
      <c r="B191" s="332" t="str">
        <f>IF($H191="","","G-"&amp;TEXT($A191,"0000"))</f>
        <v/>
      </c>
      <c r="C191" s="331" t="str">
        <f>IF($H191="","",IFERROR(INDEX('Game Records'!$A:$A,$H191),""))</f>
        <v/>
      </c>
      <c r="D191" s="331" t="str">
        <f>IF($H191="","",IFERROR(INDEX('Game Records'!$U:$U,$H191),""))</f>
        <v/>
      </c>
      <c r="E191" s="331" t="str">
        <f>IF($H191="","",IF($F191="","No Highlighted Fields","Highlighted Fields Present"))</f>
        <v/>
      </c>
      <c r="F191" s="331" t="str">
        <f>IF($H191="","",IF(OR(NOT(ISFORMULA(INDEX('Game Records'!$N:$N,$H191))),NOT(ISFORMULA(INDEX('Game Records'!$O:$O,$H191))),NOT(ISFORMULA(INDEX('Game Records'!$P:$P,$H191))),NOT(ISFORMULA(INDEX('Game Records'!$Q:$Q,$H191))),NOT(ISFORMULA(INDEX('Game Records'!$R:$R,$H191))),NOT(ISFORMULA(INDEX('Game Records'!$S:$S,$H191))),NOT(ISFORMULA(INDEX('Game Records'!$T:$T,$H191))),NOT(ISFORMULA(INDEX('Game Records'!$U:$U,$H191))),NOT(ISFORMULA(INDEX('Game Records'!$V:$V,$H191))),NOT(ISFORMULA(INDEX('Game Records'!$W:$W,$H191))),NOT(ISFORMULA(INDEX('Game Records'!$X:$X,$H191))),NOT(ISFORMULA(INDEX('Game Records'!$Y:$Y,$H191))),NOT(ISFORMULA(INDEX('Game Records'!$Z:$Z,$H191)))),"Formula columns missing; ","")&amp;IF(INDEX('Game Records'!$B:$B,$H191)="","Start Date; ","")&amp;IF(INDEX('Game Records'!$C:$C,$H191)="","End Date; ","")&amp;IF(AND(INDEX('Game Records'!$U:$U,$H191)&lt;&gt;"Subscription",INDEX('Game Records'!$U:$U,$H191)&lt;&gt;"Free Game",INDEX('Game Records'!$U:$U,$H191)&lt;&gt;"Disqualified — Free Game",OR(INDEX('Game Records'!$D:$D,$H191)="",LOWER(INDEX('Game Records'!$D:$D,$H191)&amp;"")="n/a")),"Entry Mode; ","")&amp;IF(AND(INDEX('Game Records'!$U:$U,$H191)&lt;&gt;"Subscription",INDEX('Game Records'!$U:$U,$H191)&lt;&gt;"Free Game",INDEX('Game Records'!$U:$U,$H191)&lt;&gt;"Disqualified — Free Game",OR(INDEX('Game Records'!$E:$E,$H191)="",LOWER(INDEX('Game Records'!$E:$E,$H191)&amp;"")="n/a")),"Game Type; ","")&amp;IF(INDEX('Game Records'!$F:$F,$H191)="","Payment Type; ","")&amp;IF(AND(INDEX('Game Records'!$U:$U,$H191)&lt;&gt;"Subscription",INDEX('Game Records'!$U:$U,$H191)&lt;&gt;"Free Game",INDEX('Game Records'!$U:$U,$H191)&lt;&gt;"Disqualified — Free Game",INDEX('Game Records'!$G:$G,$H191)=""),"Gross Pot; ","")&amp;IF(AND(INDEX('Game Records'!$U:$U,$H191)&lt;&gt;"Free Game",INDEX('Game Records'!$U:$U,$H191)&lt;&gt;"Disqualified — Free Game",INDEX('Game Records'!$H:$H,$H191)=""),"Entry Fee; ","")&amp;IF(AND(INDEX('Game Records'!$U:$U,$H191)&lt;&gt;"Subscription",INDEX('Game Records'!$U:$U,$H191)&lt;&gt;"Free Game",INDEX('Game Records'!$U:$U,$H191)&lt;&gt;"Disqualified — Free Game",INDEX('Game Records'!$I:$I,$H191)=""),"Eligible Players; ","")&amp;IF(AND(INDEX('Game Records'!$U:$U,$H191)&lt;&gt;"Subscription",INDEX('Game Records'!$U:$U,$H191)&lt;&gt;"Free Game",INDEX('Game Records'!$U:$U,$H191)&lt;&gt;"Disqualified — Free Game",INDEX('Game Records'!$J:$J,$H191)=""),"Total Players; ","")&amp;IF(AND(LOWER(INDEX('Game Records'!$D:$D,$H191)&amp;"")="finalized",LOWER(INDEX('Game Records'!$L:$L,$H191)&amp;"")&lt;&gt;"yes",INDEX('Game Records'!$U:$U,$H191)&lt;&gt;"Subscription",INDEX('Game Records'!$U:$U,$H191)&lt;&gt;"Free Game",INDEX('Game Records'!$U:$U,$H191)&lt;&gt;"Disqualified — Free Game",INDEX('Game Records'!$K:$K,$H191)=""),"Final Earned; ","")&amp;IF(AND(LOWER(INDEX('Game Records'!$D:$D,$H191)&amp;"")="finalized",INDEX('Game Records'!$U:$U,$H191)&lt;&gt;"Subscription",INDEX('Game Records'!$U:$U,$H191)&lt;&gt;"Free Game",INDEX('Game Records'!$U:$U,$H191)&lt;&gt;"Disqualified — Free Game",OR(INDEX('Game Records'!$L:$L,$H191)="",LOWER(INDEX('Game Records'!$L:$L,$H191)&amp;"")="n/a")),"Disqualified Status; ","")&amp;IF(AND(OR(LOWER(TRIM(INDEX('Game Records'!$F:$F,$H191)&amp;""))="free game",INDEX('Game Records'!$U:$U,$H191)="Free Game",INDEX('Game Records'!$U:$U,$H191)="Disqualified — Free Game"),N(INDEX('Game Records'!$H:$H,$H191))&lt;&gt;0),"Free Game has a non-zero Entry Fee. Free Game records require a $0 Entry Fee; ",""))</f>
        <v/>
      </c>
      <c r="G191" s="331" t="str">
        <f>IF($H191="","",IFERROR(INDEX('Game Records'!$M:$M,$H191),""))</f>
        <v/>
      </c>
      <c r="H191" s="104" t="str">
        <f>IF($H190="","",IFERROR(MATCH(1,INDEX((ROW('Game Records'!$U$5:$U$504)&gt;$H190)*(('Game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1" s="104"/>
      <c r="J191" s="104"/>
    </row>
    <row r="192" ht="24" hidden="0" customHeight="1">
      <c r="A192" s="332" t="str">
        <f>IF($H192="","",ROWS($A$5:A192))</f>
        <v/>
      </c>
      <c r="B192" s="332" t="str">
        <f>IF($H192="","","G-"&amp;TEXT($A192,"0000"))</f>
        <v/>
      </c>
      <c r="C192" s="331" t="str">
        <f>IF($H192="","",IFERROR(INDEX('Game Records'!$A:$A,$H192),""))</f>
        <v/>
      </c>
      <c r="D192" s="331" t="str">
        <f>IF($H192="","",IFERROR(INDEX('Game Records'!$U:$U,$H192),""))</f>
        <v/>
      </c>
      <c r="E192" s="331" t="str">
        <f>IF($H192="","",IF($F192="","No Highlighted Fields","Highlighted Fields Present"))</f>
        <v/>
      </c>
      <c r="F192" s="331" t="str">
        <f>IF($H192="","",IF(OR(NOT(ISFORMULA(INDEX('Game Records'!$N:$N,$H192))),NOT(ISFORMULA(INDEX('Game Records'!$O:$O,$H192))),NOT(ISFORMULA(INDEX('Game Records'!$P:$P,$H192))),NOT(ISFORMULA(INDEX('Game Records'!$Q:$Q,$H192))),NOT(ISFORMULA(INDEX('Game Records'!$R:$R,$H192))),NOT(ISFORMULA(INDEX('Game Records'!$S:$S,$H192))),NOT(ISFORMULA(INDEX('Game Records'!$T:$T,$H192))),NOT(ISFORMULA(INDEX('Game Records'!$U:$U,$H192))),NOT(ISFORMULA(INDEX('Game Records'!$V:$V,$H192))),NOT(ISFORMULA(INDEX('Game Records'!$W:$W,$H192))),NOT(ISFORMULA(INDEX('Game Records'!$X:$X,$H192))),NOT(ISFORMULA(INDEX('Game Records'!$Y:$Y,$H192))),NOT(ISFORMULA(INDEX('Game Records'!$Z:$Z,$H192)))),"Formula columns missing; ","")&amp;IF(INDEX('Game Records'!$B:$B,$H192)="","Start Date; ","")&amp;IF(INDEX('Game Records'!$C:$C,$H192)="","End Date; ","")&amp;IF(AND(INDEX('Game Records'!$U:$U,$H192)&lt;&gt;"Subscription",INDEX('Game Records'!$U:$U,$H192)&lt;&gt;"Free Game",INDEX('Game Records'!$U:$U,$H192)&lt;&gt;"Disqualified — Free Game",OR(INDEX('Game Records'!$D:$D,$H192)="",LOWER(INDEX('Game Records'!$D:$D,$H192)&amp;"")="n/a")),"Entry Mode; ","")&amp;IF(AND(INDEX('Game Records'!$U:$U,$H192)&lt;&gt;"Subscription",INDEX('Game Records'!$U:$U,$H192)&lt;&gt;"Free Game",INDEX('Game Records'!$U:$U,$H192)&lt;&gt;"Disqualified — Free Game",OR(INDEX('Game Records'!$E:$E,$H192)="",LOWER(INDEX('Game Records'!$E:$E,$H192)&amp;"")="n/a")),"Game Type; ","")&amp;IF(INDEX('Game Records'!$F:$F,$H192)="","Payment Type; ","")&amp;IF(AND(INDEX('Game Records'!$U:$U,$H192)&lt;&gt;"Subscription",INDEX('Game Records'!$U:$U,$H192)&lt;&gt;"Free Game",INDEX('Game Records'!$U:$U,$H192)&lt;&gt;"Disqualified — Free Game",INDEX('Game Records'!$G:$G,$H192)=""),"Gross Pot; ","")&amp;IF(AND(INDEX('Game Records'!$U:$U,$H192)&lt;&gt;"Free Game",INDEX('Game Records'!$U:$U,$H192)&lt;&gt;"Disqualified — Free Game",INDEX('Game Records'!$H:$H,$H192)=""),"Entry Fee; ","")&amp;IF(AND(INDEX('Game Records'!$U:$U,$H192)&lt;&gt;"Subscription",INDEX('Game Records'!$U:$U,$H192)&lt;&gt;"Free Game",INDEX('Game Records'!$U:$U,$H192)&lt;&gt;"Disqualified — Free Game",INDEX('Game Records'!$I:$I,$H192)=""),"Eligible Players; ","")&amp;IF(AND(INDEX('Game Records'!$U:$U,$H192)&lt;&gt;"Subscription",INDEX('Game Records'!$U:$U,$H192)&lt;&gt;"Free Game",INDEX('Game Records'!$U:$U,$H192)&lt;&gt;"Disqualified — Free Game",INDEX('Game Records'!$J:$J,$H192)=""),"Total Players; ","")&amp;IF(AND(LOWER(INDEX('Game Records'!$D:$D,$H192)&amp;"")="finalized",LOWER(INDEX('Game Records'!$L:$L,$H192)&amp;"")&lt;&gt;"yes",INDEX('Game Records'!$U:$U,$H192)&lt;&gt;"Subscription",INDEX('Game Records'!$U:$U,$H192)&lt;&gt;"Free Game",INDEX('Game Records'!$U:$U,$H192)&lt;&gt;"Disqualified — Free Game",INDEX('Game Records'!$K:$K,$H192)=""),"Final Earned; ","")&amp;IF(AND(LOWER(INDEX('Game Records'!$D:$D,$H192)&amp;"")="finalized",INDEX('Game Records'!$U:$U,$H192)&lt;&gt;"Subscription",INDEX('Game Records'!$U:$U,$H192)&lt;&gt;"Free Game",INDEX('Game Records'!$U:$U,$H192)&lt;&gt;"Disqualified — Free Game",OR(INDEX('Game Records'!$L:$L,$H192)="",LOWER(INDEX('Game Records'!$L:$L,$H192)&amp;"")="n/a")),"Disqualified Status; ","")&amp;IF(AND(OR(LOWER(TRIM(INDEX('Game Records'!$F:$F,$H192)&amp;""))="free game",INDEX('Game Records'!$U:$U,$H192)="Free Game",INDEX('Game Records'!$U:$U,$H192)="Disqualified — Free Game"),N(INDEX('Game Records'!$H:$H,$H192))&lt;&gt;0),"Free Game has a non-zero Entry Fee. Free Game records require a $0 Entry Fee; ",""))</f>
        <v/>
      </c>
      <c r="G192" s="331" t="str">
        <f>IF($H192="","",IFERROR(INDEX('Game Records'!$M:$M,$H192),""))</f>
        <v/>
      </c>
      <c r="H192" s="104" t="str">
        <f>IF($H191="","",IFERROR(MATCH(1,INDEX((ROW('Game Records'!$U$5:$U$504)&gt;$H191)*(('Game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2" s="104"/>
      <c r="J192" s="104"/>
    </row>
    <row r="193" ht="24" hidden="0" customHeight="1">
      <c r="A193" s="332" t="str">
        <f>IF($H193="","",ROWS($A$5:A193))</f>
        <v/>
      </c>
      <c r="B193" s="332" t="str">
        <f>IF($H193="","","G-"&amp;TEXT($A193,"0000"))</f>
        <v/>
      </c>
      <c r="C193" s="331" t="str">
        <f>IF($H193="","",IFERROR(INDEX('Game Records'!$A:$A,$H193),""))</f>
        <v/>
      </c>
      <c r="D193" s="331" t="str">
        <f>IF($H193="","",IFERROR(INDEX('Game Records'!$U:$U,$H193),""))</f>
        <v/>
      </c>
      <c r="E193" s="331" t="str">
        <f>IF($H193="","",IF($F193="","No Highlighted Fields","Highlighted Fields Present"))</f>
        <v/>
      </c>
      <c r="F193" s="331" t="str">
        <f>IF($H193="","",IF(OR(NOT(ISFORMULA(INDEX('Game Records'!$N:$N,$H193))),NOT(ISFORMULA(INDEX('Game Records'!$O:$O,$H193))),NOT(ISFORMULA(INDEX('Game Records'!$P:$P,$H193))),NOT(ISFORMULA(INDEX('Game Records'!$Q:$Q,$H193))),NOT(ISFORMULA(INDEX('Game Records'!$R:$R,$H193))),NOT(ISFORMULA(INDEX('Game Records'!$S:$S,$H193))),NOT(ISFORMULA(INDEX('Game Records'!$T:$T,$H193))),NOT(ISFORMULA(INDEX('Game Records'!$U:$U,$H193))),NOT(ISFORMULA(INDEX('Game Records'!$V:$V,$H193))),NOT(ISFORMULA(INDEX('Game Records'!$W:$W,$H193))),NOT(ISFORMULA(INDEX('Game Records'!$X:$X,$H193))),NOT(ISFORMULA(INDEX('Game Records'!$Y:$Y,$H193))),NOT(ISFORMULA(INDEX('Game Records'!$Z:$Z,$H193)))),"Formula columns missing; ","")&amp;IF(INDEX('Game Records'!$B:$B,$H193)="","Start Date; ","")&amp;IF(INDEX('Game Records'!$C:$C,$H193)="","End Date; ","")&amp;IF(AND(INDEX('Game Records'!$U:$U,$H193)&lt;&gt;"Subscription",INDEX('Game Records'!$U:$U,$H193)&lt;&gt;"Free Game",INDEX('Game Records'!$U:$U,$H193)&lt;&gt;"Disqualified — Free Game",OR(INDEX('Game Records'!$D:$D,$H193)="",LOWER(INDEX('Game Records'!$D:$D,$H193)&amp;"")="n/a")),"Entry Mode; ","")&amp;IF(AND(INDEX('Game Records'!$U:$U,$H193)&lt;&gt;"Subscription",INDEX('Game Records'!$U:$U,$H193)&lt;&gt;"Free Game",INDEX('Game Records'!$U:$U,$H193)&lt;&gt;"Disqualified — Free Game",OR(INDEX('Game Records'!$E:$E,$H193)="",LOWER(INDEX('Game Records'!$E:$E,$H193)&amp;"")="n/a")),"Game Type; ","")&amp;IF(INDEX('Game Records'!$F:$F,$H193)="","Payment Type; ","")&amp;IF(AND(INDEX('Game Records'!$U:$U,$H193)&lt;&gt;"Subscription",INDEX('Game Records'!$U:$U,$H193)&lt;&gt;"Free Game",INDEX('Game Records'!$U:$U,$H193)&lt;&gt;"Disqualified — Free Game",INDEX('Game Records'!$G:$G,$H193)=""),"Gross Pot; ","")&amp;IF(AND(INDEX('Game Records'!$U:$U,$H193)&lt;&gt;"Free Game",INDEX('Game Records'!$U:$U,$H193)&lt;&gt;"Disqualified — Free Game",INDEX('Game Records'!$H:$H,$H193)=""),"Entry Fee; ","")&amp;IF(AND(INDEX('Game Records'!$U:$U,$H193)&lt;&gt;"Subscription",INDEX('Game Records'!$U:$U,$H193)&lt;&gt;"Free Game",INDEX('Game Records'!$U:$U,$H193)&lt;&gt;"Disqualified — Free Game",INDEX('Game Records'!$I:$I,$H193)=""),"Eligible Players; ","")&amp;IF(AND(INDEX('Game Records'!$U:$U,$H193)&lt;&gt;"Subscription",INDEX('Game Records'!$U:$U,$H193)&lt;&gt;"Free Game",INDEX('Game Records'!$U:$U,$H193)&lt;&gt;"Disqualified — Free Game",INDEX('Game Records'!$J:$J,$H193)=""),"Total Players; ","")&amp;IF(AND(LOWER(INDEX('Game Records'!$D:$D,$H193)&amp;"")="finalized",LOWER(INDEX('Game Records'!$L:$L,$H193)&amp;"")&lt;&gt;"yes",INDEX('Game Records'!$U:$U,$H193)&lt;&gt;"Subscription",INDEX('Game Records'!$U:$U,$H193)&lt;&gt;"Free Game",INDEX('Game Records'!$U:$U,$H193)&lt;&gt;"Disqualified — Free Game",INDEX('Game Records'!$K:$K,$H193)=""),"Final Earned; ","")&amp;IF(AND(LOWER(INDEX('Game Records'!$D:$D,$H193)&amp;"")="finalized",INDEX('Game Records'!$U:$U,$H193)&lt;&gt;"Subscription",INDEX('Game Records'!$U:$U,$H193)&lt;&gt;"Free Game",INDEX('Game Records'!$U:$U,$H193)&lt;&gt;"Disqualified — Free Game",OR(INDEX('Game Records'!$L:$L,$H193)="",LOWER(INDEX('Game Records'!$L:$L,$H193)&amp;"")="n/a")),"Disqualified Status; ","")&amp;IF(AND(OR(LOWER(TRIM(INDEX('Game Records'!$F:$F,$H193)&amp;""))="free game",INDEX('Game Records'!$U:$U,$H193)="Free Game",INDEX('Game Records'!$U:$U,$H193)="Disqualified — Free Game"),N(INDEX('Game Records'!$H:$H,$H193))&lt;&gt;0),"Free Game has a non-zero Entry Fee. Free Game records require a $0 Entry Fee; ",""))</f>
        <v/>
      </c>
      <c r="G193" s="331" t="str">
        <f>IF($H193="","",IFERROR(INDEX('Game Records'!$M:$M,$H193),""))</f>
        <v/>
      </c>
      <c r="H193" s="104" t="str">
        <f>IF($H192="","",IFERROR(MATCH(1,INDEX((ROW('Game Records'!$U$5:$U$504)&gt;$H192)*(('Game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3" s="104"/>
      <c r="J193" s="104"/>
    </row>
    <row r="194" ht="24" hidden="0" customHeight="1">
      <c r="A194" s="332" t="str">
        <f>IF($H194="","",ROWS($A$5:A194))</f>
        <v/>
      </c>
      <c r="B194" s="332" t="str">
        <f>IF($H194="","","G-"&amp;TEXT($A194,"0000"))</f>
        <v/>
      </c>
      <c r="C194" s="331" t="str">
        <f>IF($H194="","",IFERROR(INDEX('Game Records'!$A:$A,$H194),""))</f>
        <v/>
      </c>
      <c r="D194" s="331" t="str">
        <f>IF($H194="","",IFERROR(INDEX('Game Records'!$U:$U,$H194),""))</f>
        <v/>
      </c>
      <c r="E194" s="331" t="str">
        <f>IF($H194="","",IF($F194="","No Highlighted Fields","Highlighted Fields Present"))</f>
        <v/>
      </c>
      <c r="F194" s="331" t="str">
        <f>IF($H194="","",IF(OR(NOT(ISFORMULA(INDEX('Game Records'!$N:$N,$H194))),NOT(ISFORMULA(INDEX('Game Records'!$O:$O,$H194))),NOT(ISFORMULA(INDEX('Game Records'!$P:$P,$H194))),NOT(ISFORMULA(INDEX('Game Records'!$Q:$Q,$H194))),NOT(ISFORMULA(INDEX('Game Records'!$R:$R,$H194))),NOT(ISFORMULA(INDEX('Game Records'!$S:$S,$H194))),NOT(ISFORMULA(INDEX('Game Records'!$T:$T,$H194))),NOT(ISFORMULA(INDEX('Game Records'!$U:$U,$H194))),NOT(ISFORMULA(INDEX('Game Records'!$V:$V,$H194))),NOT(ISFORMULA(INDEX('Game Records'!$W:$W,$H194))),NOT(ISFORMULA(INDEX('Game Records'!$X:$X,$H194))),NOT(ISFORMULA(INDEX('Game Records'!$Y:$Y,$H194))),NOT(ISFORMULA(INDEX('Game Records'!$Z:$Z,$H194)))),"Formula columns missing; ","")&amp;IF(INDEX('Game Records'!$B:$B,$H194)="","Start Date; ","")&amp;IF(INDEX('Game Records'!$C:$C,$H194)="","End Date; ","")&amp;IF(AND(INDEX('Game Records'!$U:$U,$H194)&lt;&gt;"Subscription",INDEX('Game Records'!$U:$U,$H194)&lt;&gt;"Free Game",INDEX('Game Records'!$U:$U,$H194)&lt;&gt;"Disqualified — Free Game",OR(INDEX('Game Records'!$D:$D,$H194)="",LOWER(INDEX('Game Records'!$D:$D,$H194)&amp;"")="n/a")),"Entry Mode; ","")&amp;IF(AND(INDEX('Game Records'!$U:$U,$H194)&lt;&gt;"Subscription",INDEX('Game Records'!$U:$U,$H194)&lt;&gt;"Free Game",INDEX('Game Records'!$U:$U,$H194)&lt;&gt;"Disqualified — Free Game",OR(INDEX('Game Records'!$E:$E,$H194)="",LOWER(INDEX('Game Records'!$E:$E,$H194)&amp;"")="n/a")),"Game Type; ","")&amp;IF(INDEX('Game Records'!$F:$F,$H194)="","Payment Type; ","")&amp;IF(AND(INDEX('Game Records'!$U:$U,$H194)&lt;&gt;"Subscription",INDEX('Game Records'!$U:$U,$H194)&lt;&gt;"Free Game",INDEX('Game Records'!$U:$U,$H194)&lt;&gt;"Disqualified — Free Game",INDEX('Game Records'!$G:$G,$H194)=""),"Gross Pot; ","")&amp;IF(AND(INDEX('Game Records'!$U:$U,$H194)&lt;&gt;"Free Game",INDEX('Game Records'!$U:$U,$H194)&lt;&gt;"Disqualified — Free Game",INDEX('Game Records'!$H:$H,$H194)=""),"Entry Fee; ","")&amp;IF(AND(INDEX('Game Records'!$U:$U,$H194)&lt;&gt;"Subscription",INDEX('Game Records'!$U:$U,$H194)&lt;&gt;"Free Game",INDEX('Game Records'!$U:$U,$H194)&lt;&gt;"Disqualified — Free Game",INDEX('Game Records'!$I:$I,$H194)=""),"Eligible Players; ","")&amp;IF(AND(INDEX('Game Records'!$U:$U,$H194)&lt;&gt;"Subscription",INDEX('Game Records'!$U:$U,$H194)&lt;&gt;"Free Game",INDEX('Game Records'!$U:$U,$H194)&lt;&gt;"Disqualified — Free Game",INDEX('Game Records'!$J:$J,$H194)=""),"Total Players; ","")&amp;IF(AND(LOWER(INDEX('Game Records'!$D:$D,$H194)&amp;"")="finalized",LOWER(INDEX('Game Records'!$L:$L,$H194)&amp;"")&lt;&gt;"yes",INDEX('Game Records'!$U:$U,$H194)&lt;&gt;"Subscription",INDEX('Game Records'!$U:$U,$H194)&lt;&gt;"Free Game",INDEX('Game Records'!$U:$U,$H194)&lt;&gt;"Disqualified — Free Game",INDEX('Game Records'!$K:$K,$H194)=""),"Final Earned; ","")&amp;IF(AND(LOWER(INDEX('Game Records'!$D:$D,$H194)&amp;"")="finalized",INDEX('Game Records'!$U:$U,$H194)&lt;&gt;"Subscription",INDEX('Game Records'!$U:$U,$H194)&lt;&gt;"Free Game",INDEX('Game Records'!$U:$U,$H194)&lt;&gt;"Disqualified — Free Game",OR(INDEX('Game Records'!$L:$L,$H194)="",LOWER(INDEX('Game Records'!$L:$L,$H194)&amp;"")="n/a")),"Disqualified Status; ","")&amp;IF(AND(OR(LOWER(TRIM(INDEX('Game Records'!$F:$F,$H194)&amp;""))="free game",INDEX('Game Records'!$U:$U,$H194)="Free Game",INDEX('Game Records'!$U:$U,$H194)="Disqualified — Free Game"),N(INDEX('Game Records'!$H:$H,$H194))&lt;&gt;0),"Free Game has a non-zero Entry Fee. Free Game records require a $0 Entry Fee; ",""))</f>
        <v/>
      </c>
      <c r="G194" s="331" t="str">
        <f>IF($H194="","",IFERROR(INDEX('Game Records'!$M:$M,$H194),""))</f>
        <v/>
      </c>
      <c r="H194" s="104" t="str">
        <f>IF($H193="","",IFERROR(MATCH(1,INDEX((ROW('Game Records'!$U$5:$U$504)&gt;$H193)*(('Game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4" s="104"/>
      <c r="J194" s="104"/>
    </row>
    <row r="195" ht="24" hidden="0" customHeight="1">
      <c r="A195" s="332" t="str">
        <f>IF($H195="","",ROWS($A$5:A195))</f>
        <v/>
      </c>
      <c r="B195" s="332" t="str">
        <f>IF($H195="","","G-"&amp;TEXT($A195,"0000"))</f>
        <v/>
      </c>
      <c r="C195" s="331" t="str">
        <f>IF($H195="","",IFERROR(INDEX('Game Records'!$A:$A,$H195),""))</f>
        <v/>
      </c>
      <c r="D195" s="331" t="str">
        <f>IF($H195="","",IFERROR(INDEX('Game Records'!$U:$U,$H195),""))</f>
        <v/>
      </c>
      <c r="E195" s="331" t="str">
        <f>IF($H195="","",IF($F195="","No Highlighted Fields","Highlighted Fields Present"))</f>
        <v/>
      </c>
      <c r="F195" s="331" t="str">
        <f>IF($H195="","",IF(OR(NOT(ISFORMULA(INDEX('Game Records'!$N:$N,$H195))),NOT(ISFORMULA(INDEX('Game Records'!$O:$O,$H195))),NOT(ISFORMULA(INDEX('Game Records'!$P:$P,$H195))),NOT(ISFORMULA(INDEX('Game Records'!$Q:$Q,$H195))),NOT(ISFORMULA(INDEX('Game Records'!$R:$R,$H195))),NOT(ISFORMULA(INDEX('Game Records'!$S:$S,$H195))),NOT(ISFORMULA(INDEX('Game Records'!$T:$T,$H195))),NOT(ISFORMULA(INDEX('Game Records'!$U:$U,$H195))),NOT(ISFORMULA(INDEX('Game Records'!$V:$V,$H195))),NOT(ISFORMULA(INDEX('Game Records'!$W:$W,$H195))),NOT(ISFORMULA(INDEX('Game Records'!$X:$X,$H195))),NOT(ISFORMULA(INDEX('Game Records'!$Y:$Y,$H195))),NOT(ISFORMULA(INDEX('Game Records'!$Z:$Z,$H195)))),"Formula columns missing; ","")&amp;IF(INDEX('Game Records'!$B:$B,$H195)="","Start Date; ","")&amp;IF(INDEX('Game Records'!$C:$C,$H195)="","End Date; ","")&amp;IF(AND(INDEX('Game Records'!$U:$U,$H195)&lt;&gt;"Subscription",INDEX('Game Records'!$U:$U,$H195)&lt;&gt;"Free Game",INDEX('Game Records'!$U:$U,$H195)&lt;&gt;"Disqualified — Free Game",OR(INDEX('Game Records'!$D:$D,$H195)="",LOWER(INDEX('Game Records'!$D:$D,$H195)&amp;"")="n/a")),"Entry Mode; ","")&amp;IF(AND(INDEX('Game Records'!$U:$U,$H195)&lt;&gt;"Subscription",INDEX('Game Records'!$U:$U,$H195)&lt;&gt;"Free Game",INDEX('Game Records'!$U:$U,$H195)&lt;&gt;"Disqualified — Free Game",OR(INDEX('Game Records'!$E:$E,$H195)="",LOWER(INDEX('Game Records'!$E:$E,$H195)&amp;"")="n/a")),"Game Type; ","")&amp;IF(INDEX('Game Records'!$F:$F,$H195)="","Payment Type; ","")&amp;IF(AND(INDEX('Game Records'!$U:$U,$H195)&lt;&gt;"Subscription",INDEX('Game Records'!$U:$U,$H195)&lt;&gt;"Free Game",INDEX('Game Records'!$U:$U,$H195)&lt;&gt;"Disqualified — Free Game",INDEX('Game Records'!$G:$G,$H195)=""),"Gross Pot; ","")&amp;IF(AND(INDEX('Game Records'!$U:$U,$H195)&lt;&gt;"Free Game",INDEX('Game Records'!$U:$U,$H195)&lt;&gt;"Disqualified — Free Game",INDEX('Game Records'!$H:$H,$H195)=""),"Entry Fee; ","")&amp;IF(AND(INDEX('Game Records'!$U:$U,$H195)&lt;&gt;"Subscription",INDEX('Game Records'!$U:$U,$H195)&lt;&gt;"Free Game",INDEX('Game Records'!$U:$U,$H195)&lt;&gt;"Disqualified — Free Game",INDEX('Game Records'!$I:$I,$H195)=""),"Eligible Players; ","")&amp;IF(AND(INDEX('Game Records'!$U:$U,$H195)&lt;&gt;"Subscription",INDEX('Game Records'!$U:$U,$H195)&lt;&gt;"Free Game",INDEX('Game Records'!$U:$U,$H195)&lt;&gt;"Disqualified — Free Game",INDEX('Game Records'!$J:$J,$H195)=""),"Total Players; ","")&amp;IF(AND(LOWER(INDEX('Game Records'!$D:$D,$H195)&amp;"")="finalized",LOWER(INDEX('Game Records'!$L:$L,$H195)&amp;"")&lt;&gt;"yes",INDEX('Game Records'!$U:$U,$H195)&lt;&gt;"Subscription",INDEX('Game Records'!$U:$U,$H195)&lt;&gt;"Free Game",INDEX('Game Records'!$U:$U,$H195)&lt;&gt;"Disqualified — Free Game",INDEX('Game Records'!$K:$K,$H195)=""),"Final Earned; ","")&amp;IF(AND(LOWER(INDEX('Game Records'!$D:$D,$H195)&amp;"")="finalized",INDEX('Game Records'!$U:$U,$H195)&lt;&gt;"Subscription",INDEX('Game Records'!$U:$U,$H195)&lt;&gt;"Free Game",INDEX('Game Records'!$U:$U,$H195)&lt;&gt;"Disqualified — Free Game",OR(INDEX('Game Records'!$L:$L,$H195)="",LOWER(INDEX('Game Records'!$L:$L,$H195)&amp;"")="n/a")),"Disqualified Status; ","")&amp;IF(AND(OR(LOWER(TRIM(INDEX('Game Records'!$F:$F,$H195)&amp;""))="free game",INDEX('Game Records'!$U:$U,$H195)="Free Game",INDEX('Game Records'!$U:$U,$H195)="Disqualified — Free Game"),N(INDEX('Game Records'!$H:$H,$H195))&lt;&gt;0),"Free Game has a non-zero Entry Fee. Free Game records require a $0 Entry Fee; ",""))</f>
        <v/>
      </c>
      <c r="G195" s="331" t="str">
        <f>IF($H195="","",IFERROR(INDEX('Game Records'!$M:$M,$H195),""))</f>
        <v/>
      </c>
      <c r="H195" s="104" t="str">
        <f>IF($H194="","",IFERROR(MATCH(1,INDEX((ROW('Game Records'!$U$5:$U$504)&gt;$H194)*(('Game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5" s="104"/>
      <c r="J195" s="104"/>
    </row>
    <row r="196" ht="24" hidden="0" customHeight="1">
      <c r="A196" s="332" t="str">
        <f>IF($H196="","",ROWS($A$5:A196))</f>
        <v/>
      </c>
      <c r="B196" s="332" t="str">
        <f>IF($H196="","","G-"&amp;TEXT($A196,"0000"))</f>
        <v/>
      </c>
      <c r="C196" s="331" t="str">
        <f>IF($H196="","",IFERROR(INDEX('Game Records'!$A:$A,$H196),""))</f>
        <v/>
      </c>
      <c r="D196" s="331" t="str">
        <f>IF($H196="","",IFERROR(INDEX('Game Records'!$U:$U,$H196),""))</f>
        <v/>
      </c>
      <c r="E196" s="331" t="str">
        <f>IF($H196="","",IF($F196="","No Highlighted Fields","Highlighted Fields Present"))</f>
        <v/>
      </c>
      <c r="F196" s="331" t="str">
        <f>IF($H196="","",IF(OR(NOT(ISFORMULA(INDEX('Game Records'!$N:$N,$H196))),NOT(ISFORMULA(INDEX('Game Records'!$O:$O,$H196))),NOT(ISFORMULA(INDEX('Game Records'!$P:$P,$H196))),NOT(ISFORMULA(INDEX('Game Records'!$Q:$Q,$H196))),NOT(ISFORMULA(INDEX('Game Records'!$R:$R,$H196))),NOT(ISFORMULA(INDEX('Game Records'!$S:$S,$H196))),NOT(ISFORMULA(INDEX('Game Records'!$T:$T,$H196))),NOT(ISFORMULA(INDEX('Game Records'!$U:$U,$H196))),NOT(ISFORMULA(INDEX('Game Records'!$V:$V,$H196))),NOT(ISFORMULA(INDEX('Game Records'!$W:$W,$H196))),NOT(ISFORMULA(INDEX('Game Records'!$X:$X,$H196))),NOT(ISFORMULA(INDEX('Game Records'!$Y:$Y,$H196))),NOT(ISFORMULA(INDEX('Game Records'!$Z:$Z,$H196)))),"Formula columns missing; ","")&amp;IF(INDEX('Game Records'!$B:$B,$H196)="","Start Date; ","")&amp;IF(INDEX('Game Records'!$C:$C,$H196)="","End Date; ","")&amp;IF(AND(INDEX('Game Records'!$U:$U,$H196)&lt;&gt;"Subscription",INDEX('Game Records'!$U:$U,$H196)&lt;&gt;"Free Game",INDEX('Game Records'!$U:$U,$H196)&lt;&gt;"Disqualified — Free Game",OR(INDEX('Game Records'!$D:$D,$H196)="",LOWER(INDEX('Game Records'!$D:$D,$H196)&amp;"")="n/a")),"Entry Mode; ","")&amp;IF(AND(INDEX('Game Records'!$U:$U,$H196)&lt;&gt;"Subscription",INDEX('Game Records'!$U:$U,$H196)&lt;&gt;"Free Game",INDEX('Game Records'!$U:$U,$H196)&lt;&gt;"Disqualified — Free Game",OR(INDEX('Game Records'!$E:$E,$H196)="",LOWER(INDEX('Game Records'!$E:$E,$H196)&amp;"")="n/a")),"Game Type; ","")&amp;IF(INDEX('Game Records'!$F:$F,$H196)="","Payment Type; ","")&amp;IF(AND(INDEX('Game Records'!$U:$U,$H196)&lt;&gt;"Subscription",INDEX('Game Records'!$U:$U,$H196)&lt;&gt;"Free Game",INDEX('Game Records'!$U:$U,$H196)&lt;&gt;"Disqualified — Free Game",INDEX('Game Records'!$G:$G,$H196)=""),"Gross Pot; ","")&amp;IF(AND(INDEX('Game Records'!$U:$U,$H196)&lt;&gt;"Free Game",INDEX('Game Records'!$U:$U,$H196)&lt;&gt;"Disqualified — Free Game",INDEX('Game Records'!$H:$H,$H196)=""),"Entry Fee; ","")&amp;IF(AND(INDEX('Game Records'!$U:$U,$H196)&lt;&gt;"Subscription",INDEX('Game Records'!$U:$U,$H196)&lt;&gt;"Free Game",INDEX('Game Records'!$U:$U,$H196)&lt;&gt;"Disqualified — Free Game",INDEX('Game Records'!$I:$I,$H196)=""),"Eligible Players; ","")&amp;IF(AND(INDEX('Game Records'!$U:$U,$H196)&lt;&gt;"Subscription",INDEX('Game Records'!$U:$U,$H196)&lt;&gt;"Free Game",INDEX('Game Records'!$U:$U,$H196)&lt;&gt;"Disqualified — Free Game",INDEX('Game Records'!$J:$J,$H196)=""),"Total Players; ","")&amp;IF(AND(LOWER(INDEX('Game Records'!$D:$D,$H196)&amp;"")="finalized",LOWER(INDEX('Game Records'!$L:$L,$H196)&amp;"")&lt;&gt;"yes",INDEX('Game Records'!$U:$U,$H196)&lt;&gt;"Subscription",INDEX('Game Records'!$U:$U,$H196)&lt;&gt;"Free Game",INDEX('Game Records'!$U:$U,$H196)&lt;&gt;"Disqualified — Free Game",INDEX('Game Records'!$K:$K,$H196)=""),"Final Earned; ","")&amp;IF(AND(LOWER(INDEX('Game Records'!$D:$D,$H196)&amp;"")="finalized",INDEX('Game Records'!$U:$U,$H196)&lt;&gt;"Subscription",INDEX('Game Records'!$U:$U,$H196)&lt;&gt;"Free Game",INDEX('Game Records'!$U:$U,$H196)&lt;&gt;"Disqualified — Free Game",OR(INDEX('Game Records'!$L:$L,$H196)="",LOWER(INDEX('Game Records'!$L:$L,$H196)&amp;"")="n/a")),"Disqualified Status; ","")&amp;IF(AND(OR(LOWER(TRIM(INDEX('Game Records'!$F:$F,$H196)&amp;""))="free game",INDEX('Game Records'!$U:$U,$H196)="Free Game",INDEX('Game Records'!$U:$U,$H196)="Disqualified — Free Game"),N(INDEX('Game Records'!$H:$H,$H196))&lt;&gt;0),"Free Game has a non-zero Entry Fee. Free Game records require a $0 Entry Fee; ",""))</f>
        <v/>
      </c>
      <c r="G196" s="331" t="str">
        <f>IF($H196="","",IFERROR(INDEX('Game Records'!$M:$M,$H196),""))</f>
        <v/>
      </c>
      <c r="H196" s="104" t="str">
        <f>IF($H195="","",IFERROR(MATCH(1,INDEX((ROW('Game Records'!$U$5:$U$504)&gt;$H195)*(('Game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6" s="104"/>
      <c r="J196" s="104"/>
    </row>
    <row r="197" ht="24" hidden="0" customHeight="1">
      <c r="A197" s="332" t="str">
        <f>IF($H197="","",ROWS($A$5:A197))</f>
        <v/>
      </c>
      <c r="B197" s="332" t="str">
        <f>IF($H197="","","G-"&amp;TEXT($A197,"0000"))</f>
        <v/>
      </c>
      <c r="C197" s="331" t="str">
        <f>IF($H197="","",IFERROR(INDEX('Game Records'!$A:$A,$H197),""))</f>
        <v/>
      </c>
      <c r="D197" s="331" t="str">
        <f>IF($H197="","",IFERROR(INDEX('Game Records'!$U:$U,$H197),""))</f>
        <v/>
      </c>
      <c r="E197" s="331" t="str">
        <f>IF($H197="","",IF($F197="","No Highlighted Fields","Highlighted Fields Present"))</f>
        <v/>
      </c>
      <c r="F197" s="331" t="str">
        <f>IF($H197="","",IF(OR(NOT(ISFORMULA(INDEX('Game Records'!$N:$N,$H197))),NOT(ISFORMULA(INDEX('Game Records'!$O:$O,$H197))),NOT(ISFORMULA(INDEX('Game Records'!$P:$P,$H197))),NOT(ISFORMULA(INDEX('Game Records'!$Q:$Q,$H197))),NOT(ISFORMULA(INDEX('Game Records'!$R:$R,$H197))),NOT(ISFORMULA(INDEX('Game Records'!$S:$S,$H197))),NOT(ISFORMULA(INDEX('Game Records'!$T:$T,$H197))),NOT(ISFORMULA(INDEX('Game Records'!$U:$U,$H197))),NOT(ISFORMULA(INDEX('Game Records'!$V:$V,$H197))),NOT(ISFORMULA(INDEX('Game Records'!$W:$W,$H197))),NOT(ISFORMULA(INDEX('Game Records'!$X:$X,$H197))),NOT(ISFORMULA(INDEX('Game Records'!$Y:$Y,$H197))),NOT(ISFORMULA(INDEX('Game Records'!$Z:$Z,$H197)))),"Formula columns missing; ","")&amp;IF(INDEX('Game Records'!$B:$B,$H197)="","Start Date; ","")&amp;IF(INDEX('Game Records'!$C:$C,$H197)="","End Date; ","")&amp;IF(AND(INDEX('Game Records'!$U:$U,$H197)&lt;&gt;"Subscription",INDEX('Game Records'!$U:$U,$H197)&lt;&gt;"Free Game",INDEX('Game Records'!$U:$U,$H197)&lt;&gt;"Disqualified — Free Game",OR(INDEX('Game Records'!$D:$D,$H197)="",LOWER(INDEX('Game Records'!$D:$D,$H197)&amp;"")="n/a")),"Entry Mode; ","")&amp;IF(AND(INDEX('Game Records'!$U:$U,$H197)&lt;&gt;"Subscription",INDEX('Game Records'!$U:$U,$H197)&lt;&gt;"Free Game",INDEX('Game Records'!$U:$U,$H197)&lt;&gt;"Disqualified — Free Game",OR(INDEX('Game Records'!$E:$E,$H197)="",LOWER(INDEX('Game Records'!$E:$E,$H197)&amp;"")="n/a")),"Game Type; ","")&amp;IF(INDEX('Game Records'!$F:$F,$H197)="","Payment Type; ","")&amp;IF(AND(INDEX('Game Records'!$U:$U,$H197)&lt;&gt;"Subscription",INDEX('Game Records'!$U:$U,$H197)&lt;&gt;"Free Game",INDEX('Game Records'!$U:$U,$H197)&lt;&gt;"Disqualified — Free Game",INDEX('Game Records'!$G:$G,$H197)=""),"Gross Pot; ","")&amp;IF(AND(INDEX('Game Records'!$U:$U,$H197)&lt;&gt;"Free Game",INDEX('Game Records'!$U:$U,$H197)&lt;&gt;"Disqualified — Free Game",INDEX('Game Records'!$H:$H,$H197)=""),"Entry Fee; ","")&amp;IF(AND(INDEX('Game Records'!$U:$U,$H197)&lt;&gt;"Subscription",INDEX('Game Records'!$U:$U,$H197)&lt;&gt;"Free Game",INDEX('Game Records'!$U:$U,$H197)&lt;&gt;"Disqualified — Free Game",INDEX('Game Records'!$I:$I,$H197)=""),"Eligible Players; ","")&amp;IF(AND(INDEX('Game Records'!$U:$U,$H197)&lt;&gt;"Subscription",INDEX('Game Records'!$U:$U,$H197)&lt;&gt;"Free Game",INDEX('Game Records'!$U:$U,$H197)&lt;&gt;"Disqualified — Free Game",INDEX('Game Records'!$J:$J,$H197)=""),"Total Players; ","")&amp;IF(AND(LOWER(INDEX('Game Records'!$D:$D,$H197)&amp;"")="finalized",LOWER(INDEX('Game Records'!$L:$L,$H197)&amp;"")&lt;&gt;"yes",INDEX('Game Records'!$U:$U,$H197)&lt;&gt;"Subscription",INDEX('Game Records'!$U:$U,$H197)&lt;&gt;"Free Game",INDEX('Game Records'!$U:$U,$H197)&lt;&gt;"Disqualified — Free Game",INDEX('Game Records'!$K:$K,$H197)=""),"Final Earned; ","")&amp;IF(AND(LOWER(INDEX('Game Records'!$D:$D,$H197)&amp;"")="finalized",INDEX('Game Records'!$U:$U,$H197)&lt;&gt;"Subscription",INDEX('Game Records'!$U:$U,$H197)&lt;&gt;"Free Game",INDEX('Game Records'!$U:$U,$H197)&lt;&gt;"Disqualified — Free Game",OR(INDEX('Game Records'!$L:$L,$H197)="",LOWER(INDEX('Game Records'!$L:$L,$H197)&amp;"")="n/a")),"Disqualified Status; ","")&amp;IF(AND(OR(LOWER(TRIM(INDEX('Game Records'!$F:$F,$H197)&amp;""))="free game",INDEX('Game Records'!$U:$U,$H197)="Free Game",INDEX('Game Records'!$U:$U,$H197)="Disqualified — Free Game"),N(INDEX('Game Records'!$H:$H,$H197))&lt;&gt;0),"Free Game has a non-zero Entry Fee. Free Game records require a $0 Entry Fee; ",""))</f>
        <v/>
      </c>
      <c r="G197" s="331" t="str">
        <f>IF($H197="","",IFERROR(INDEX('Game Records'!$M:$M,$H197),""))</f>
        <v/>
      </c>
      <c r="H197" s="104" t="str">
        <f>IF($H196="","",IFERROR(MATCH(1,INDEX((ROW('Game Records'!$U$5:$U$504)&gt;$H196)*(('Game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7" s="104"/>
      <c r="J197" s="104"/>
    </row>
    <row r="198" ht="24" hidden="0" customHeight="1">
      <c r="A198" s="332" t="str">
        <f>IF($H198="","",ROWS($A$5:A198))</f>
        <v/>
      </c>
      <c r="B198" s="332" t="str">
        <f>IF($H198="","","G-"&amp;TEXT($A198,"0000"))</f>
        <v/>
      </c>
      <c r="C198" s="331" t="str">
        <f>IF($H198="","",IFERROR(INDEX('Game Records'!$A:$A,$H198),""))</f>
        <v/>
      </c>
      <c r="D198" s="331" t="str">
        <f>IF($H198="","",IFERROR(INDEX('Game Records'!$U:$U,$H198),""))</f>
        <v/>
      </c>
      <c r="E198" s="331" t="str">
        <f>IF($H198="","",IF($F198="","No Highlighted Fields","Highlighted Fields Present"))</f>
        <v/>
      </c>
      <c r="F198" s="331" t="str">
        <f>IF($H198="","",IF(OR(NOT(ISFORMULA(INDEX('Game Records'!$N:$N,$H198))),NOT(ISFORMULA(INDEX('Game Records'!$O:$O,$H198))),NOT(ISFORMULA(INDEX('Game Records'!$P:$P,$H198))),NOT(ISFORMULA(INDEX('Game Records'!$Q:$Q,$H198))),NOT(ISFORMULA(INDEX('Game Records'!$R:$R,$H198))),NOT(ISFORMULA(INDEX('Game Records'!$S:$S,$H198))),NOT(ISFORMULA(INDEX('Game Records'!$T:$T,$H198))),NOT(ISFORMULA(INDEX('Game Records'!$U:$U,$H198))),NOT(ISFORMULA(INDEX('Game Records'!$V:$V,$H198))),NOT(ISFORMULA(INDEX('Game Records'!$W:$W,$H198))),NOT(ISFORMULA(INDEX('Game Records'!$X:$X,$H198))),NOT(ISFORMULA(INDEX('Game Records'!$Y:$Y,$H198))),NOT(ISFORMULA(INDEX('Game Records'!$Z:$Z,$H198)))),"Formula columns missing; ","")&amp;IF(INDEX('Game Records'!$B:$B,$H198)="","Start Date; ","")&amp;IF(INDEX('Game Records'!$C:$C,$H198)="","End Date; ","")&amp;IF(AND(INDEX('Game Records'!$U:$U,$H198)&lt;&gt;"Subscription",INDEX('Game Records'!$U:$U,$H198)&lt;&gt;"Free Game",INDEX('Game Records'!$U:$U,$H198)&lt;&gt;"Disqualified — Free Game",OR(INDEX('Game Records'!$D:$D,$H198)="",LOWER(INDEX('Game Records'!$D:$D,$H198)&amp;"")="n/a")),"Entry Mode; ","")&amp;IF(AND(INDEX('Game Records'!$U:$U,$H198)&lt;&gt;"Subscription",INDEX('Game Records'!$U:$U,$H198)&lt;&gt;"Free Game",INDEX('Game Records'!$U:$U,$H198)&lt;&gt;"Disqualified — Free Game",OR(INDEX('Game Records'!$E:$E,$H198)="",LOWER(INDEX('Game Records'!$E:$E,$H198)&amp;"")="n/a")),"Game Type; ","")&amp;IF(INDEX('Game Records'!$F:$F,$H198)="","Payment Type; ","")&amp;IF(AND(INDEX('Game Records'!$U:$U,$H198)&lt;&gt;"Subscription",INDEX('Game Records'!$U:$U,$H198)&lt;&gt;"Free Game",INDEX('Game Records'!$U:$U,$H198)&lt;&gt;"Disqualified — Free Game",INDEX('Game Records'!$G:$G,$H198)=""),"Gross Pot; ","")&amp;IF(AND(INDEX('Game Records'!$U:$U,$H198)&lt;&gt;"Free Game",INDEX('Game Records'!$U:$U,$H198)&lt;&gt;"Disqualified — Free Game",INDEX('Game Records'!$H:$H,$H198)=""),"Entry Fee; ","")&amp;IF(AND(INDEX('Game Records'!$U:$U,$H198)&lt;&gt;"Subscription",INDEX('Game Records'!$U:$U,$H198)&lt;&gt;"Free Game",INDEX('Game Records'!$U:$U,$H198)&lt;&gt;"Disqualified — Free Game",INDEX('Game Records'!$I:$I,$H198)=""),"Eligible Players; ","")&amp;IF(AND(INDEX('Game Records'!$U:$U,$H198)&lt;&gt;"Subscription",INDEX('Game Records'!$U:$U,$H198)&lt;&gt;"Free Game",INDEX('Game Records'!$U:$U,$H198)&lt;&gt;"Disqualified — Free Game",INDEX('Game Records'!$J:$J,$H198)=""),"Total Players; ","")&amp;IF(AND(LOWER(INDEX('Game Records'!$D:$D,$H198)&amp;"")="finalized",LOWER(INDEX('Game Records'!$L:$L,$H198)&amp;"")&lt;&gt;"yes",INDEX('Game Records'!$U:$U,$H198)&lt;&gt;"Subscription",INDEX('Game Records'!$U:$U,$H198)&lt;&gt;"Free Game",INDEX('Game Records'!$U:$U,$H198)&lt;&gt;"Disqualified — Free Game",INDEX('Game Records'!$K:$K,$H198)=""),"Final Earned; ","")&amp;IF(AND(LOWER(INDEX('Game Records'!$D:$D,$H198)&amp;"")="finalized",INDEX('Game Records'!$U:$U,$H198)&lt;&gt;"Subscription",INDEX('Game Records'!$U:$U,$H198)&lt;&gt;"Free Game",INDEX('Game Records'!$U:$U,$H198)&lt;&gt;"Disqualified — Free Game",OR(INDEX('Game Records'!$L:$L,$H198)="",LOWER(INDEX('Game Records'!$L:$L,$H198)&amp;"")="n/a")),"Disqualified Status; ","")&amp;IF(AND(OR(LOWER(TRIM(INDEX('Game Records'!$F:$F,$H198)&amp;""))="free game",INDEX('Game Records'!$U:$U,$H198)="Free Game",INDEX('Game Records'!$U:$U,$H198)="Disqualified — Free Game"),N(INDEX('Game Records'!$H:$H,$H198))&lt;&gt;0),"Free Game has a non-zero Entry Fee. Free Game records require a $0 Entry Fee; ",""))</f>
        <v/>
      </c>
      <c r="G198" s="331" t="str">
        <f>IF($H198="","",IFERROR(INDEX('Game Records'!$M:$M,$H198),""))</f>
        <v/>
      </c>
      <c r="H198" s="104" t="str">
        <f>IF($H197="","",IFERROR(MATCH(1,INDEX((ROW('Game Records'!$U$5:$U$504)&gt;$H197)*(('Game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8" s="104"/>
      <c r="J198" s="104"/>
    </row>
    <row r="199" ht="24" hidden="0" customHeight="1">
      <c r="A199" s="332" t="str">
        <f>IF($H199="","",ROWS($A$5:A199))</f>
        <v/>
      </c>
      <c r="B199" s="332" t="str">
        <f>IF($H199="","","G-"&amp;TEXT($A199,"0000"))</f>
        <v/>
      </c>
      <c r="C199" s="331" t="str">
        <f>IF($H199="","",IFERROR(INDEX('Game Records'!$A:$A,$H199),""))</f>
        <v/>
      </c>
      <c r="D199" s="331" t="str">
        <f>IF($H199="","",IFERROR(INDEX('Game Records'!$U:$U,$H199),""))</f>
        <v/>
      </c>
      <c r="E199" s="331" t="str">
        <f>IF($H199="","",IF($F199="","No Highlighted Fields","Highlighted Fields Present"))</f>
        <v/>
      </c>
      <c r="F199" s="331" t="str">
        <f>IF($H199="","",IF(OR(NOT(ISFORMULA(INDEX('Game Records'!$N:$N,$H199))),NOT(ISFORMULA(INDEX('Game Records'!$O:$O,$H199))),NOT(ISFORMULA(INDEX('Game Records'!$P:$P,$H199))),NOT(ISFORMULA(INDEX('Game Records'!$Q:$Q,$H199))),NOT(ISFORMULA(INDEX('Game Records'!$R:$R,$H199))),NOT(ISFORMULA(INDEX('Game Records'!$S:$S,$H199))),NOT(ISFORMULA(INDEX('Game Records'!$T:$T,$H199))),NOT(ISFORMULA(INDEX('Game Records'!$U:$U,$H199))),NOT(ISFORMULA(INDEX('Game Records'!$V:$V,$H199))),NOT(ISFORMULA(INDEX('Game Records'!$W:$W,$H199))),NOT(ISFORMULA(INDEX('Game Records'!$X:$X,$H199))),NOT(ISFORMULA(INDEX('Game Records'!$Y:$Y,$H199))),NOT(ISFORMULA(INDEX('Game Records'!$Z:$Z,$H199)))),"Formula columns missing; ","")&amp;IF(INDEX('Game Records'!$B:$B,$H199)="","Start Date; ","")&amp;IF(INDEX('Game Records'!$C:$C,$H199)="","End Date; ","")&amp;IF(AND(INDEX('Game Records'!$U:$U,$H199)&lt;&gt;"Subscription",INDEX('Game Records'!$U:$U,$H199)&lt;&gt;"Free Game",INDEX('Game Records'!$U:$U,$H199)&lt;&gt;"Disqualified — Free Game",OR(INDEX('Game Records'!$D:$D,$H199)="",LOWER(INDEX('Game Records'!$D:$D,$H199)&amp;"")="n/a")),"Entry Mode; ","")&amp;IF(AND(INDEX('Game Records'!$U:$U,$H199)&lt;&gt;"Subscription",INDEX('Game Records'!$U:$U,$H199)&lt;&gt;"Free Game",INDEX('Game Records'!$U:$U,$H199)&lt;&gt;"Disqualified — Free Game",OR(INDEX('Game Records'!$E:$E,$H199)="",LOWER(INDEX('Game Records'!$E:$E,$H199)&amp;"")="n/a")),"Game Type; ","")&amp;IF(INDEX('Game Records'!$F:$F,$H199)="","Payment Type; ","")&amp;IF(AND(INDEX('Game Records'!$U:$U,$H199)&lt;&gt;"Subscription",INDEX('Game Records'!$U:$U,$H199)&lt;&gt;"Free Game",INDEX('Game Records'!$U:$U,$H199)&lt;&gt;"Disqualified — Free Game",INDEX('Game Records'!$G:$G,$H199)=""),"Gross Pot; ","")&amp;IF(AND(INDEX('Game Records'!$U:$U,$H199)&lt;&gt;"Free Game",INDEX('Game Records'!$U:$U,$H199)&lt;&gt;"Disqualified — Free Game",INDEX('Game Records'!$H:$H,$H199)=""),"Entry Fee; ","")&amp;IF(AND(INDEX('Game Records'!$U:$U,$H199)&lt;&gt;"Subscription",INDEX('Game Records'!$U:$U,$H199)&lt;&gt;"Free Game",INDEX('Game Records'!$U:$U,$H199)&lt;&gt;"Disqualified — Free Game",INDEX('Game Records'!$I:$I,$H199)=""),"Eligible Players; ","")&amp;IF(AND(INDEX('Game Records'!$U:$U,$H199)&lt;&gt;"Subscription",INDEX('Game Records'!$U:$U,$H199)&lt;&gt;"Free Game",INDEX('Game Records'!$U:$U,$H199)&lt;&gt;"Disqualified — Free Game",INDEX('Game Records'!$J:$J,$H199)=""),"Total Players; ","")&amp;IF(AND(LOWER(INDEX('Game Records'!$D:$D,$H199)&amp;"")="finalized",LOWER(INDEX('Game Records'!$L:$L,$H199)&amp;"")&lt;&gt;"yes",INDEX('Game Records'!$U:$U,$H199)&lt;&gt;"Subscription",INDEX('Game Records'!$U:$U,$H199)&lt;&gt;"Free Game",INDEX('Game Records'!$U:$U,$H199)&lt;&gt;"Disqualified — Free Game",INDEX('Game Records'!$K:$K,$H199)=""),"Final Earned; ","")&amp;IF(AND(LOWER(INDEX('Game Records'!$D:$D,$H199)&amp;"")="finalized",INDEX('Game Records'!$U:$U,$H199)&lt;&gt;"Subscription",INDEX('Game Records'!$U:$U,$H199)&lt;&gt;"Free Game",INDEX('Game Records'!$U:$U,$H199)&lt;&gt;"Disqualified — Free Game",OR(INDEX('Game Records'!$L:$L,$H199)="",LOWER(INDEX('Game Records'!$L:$L,$H199)&amp;"")="n/a")),"Disqualified Status; ","")&amp;IF(AND(OR(LOWER(TRIM(INDEX('Game Records'!$F:$F,$H199)&amp;""))="free game",INDEX('Game Records'!$U:$U,$H199)="Free Game",INDEX('Game Records'!$U:$U,$H199)="Disqualified — Free Game"),N(INDEX('Game Records'!$H:$H,$H199))&lt;&gt;0),"Free Game has a non-zero Entry Fee. Free Game records require a $0 Entry Fee; ",""))</f>
        <v/>
      </c>
      <c r="G199" s="331" t="str">
        <f>IF($H199="","",IFERROR(INDEX('Game Records'!$M:$M,$H199),""))</f>
        <v/>
      </c>
      <c r="H199" s="104" t="str">
        <f>IF($H198="","",IFERROR(MATCH(1,INDEX((ROW('Game Records'!$U$5:$U$504)&gt;$H198)*(('Game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9" s="104"/>
      <c r="J199" s="104"/>
    </row>
    <row r="200" ht="24" hidden="0" customHeight="1">
      <c r="A200" s="332" t="str">
        <f>IF($H200="","",ROWS($A$5:A200))</f>
        <v/>
      </c>
      <c r="B200" s="332" t="str">
        <f>IF($H200="","","G-"&amp;TEXT($A200,"0000"))</f>
        <v/>
      </c>
      <c r="C200" s="331" t="str">
        <f>IF($H200="","",IFERROR(INDEX('Game Records'!$A:$A,$H200),""))</f>
        <v/>
      </c>
      <c r="D200" s="331" t="str">
        <f>IF($H200="","",IFERROR(INDEX('Game Records'!$U:$U,$H200),""))</f>
        <v/>
      </c>
      <c r="E200" s="331" t="str">
        <f>IF($H200="","",IF($F200="","No Highlighted Fields","Highlighted Fields Present"))</f>
        <v/>
      </c>
      <c r="F200" s="331" t="str">
        <f>IF($H200="","",IF(OR(NOT(ISFORMULA(INDEX('Game Records'!$N:$N,$H200))),NOT(ISFORMULA(INDEX('Game Records'!$O:$O,$H200))),NOT(ISFORMULA(INDEX('Game Records'!$P:$P,$H200))),NOT(ISFORMULA(INDEX('Game Records'!$Q:$Q,$H200))),NOT(ISFORMULA(INDEX('Game Records'!$R:$R,$H200))),NOT(ISFORMULA(INDEX('Game Records'!$S:$S,$H200))),NOT(ISFORMULA(INDEX('Game Records'!$T:$T,$H200))),NOT(ISFORMULA(INDEX('Game Records'!$U:$U,$H200))),NOT(ISFORMULA(INDEX('Game Records'!$V:$V,$H200))),NOT(ISFORMULA(INDEX('Game Records'!$W:$W,$H200))),NOT(ISFORMULA(INDEX('Game Records'!$X:$X,$H200))),NOT(ISFORMULA(INDEX('Game Records'!$Y:$Y,$H200))),NOT(ISFORMULA(INDEX('Game Records'!$Z:$Z,$H200)))),"Formula columns missing; ","")&amp;IF(INDEX('Game Records'!$B:$B,$H200)="","Start Date; ","")&amp;IF(INDEX('Game Records'!$C:$C,$H200)="","End Date; ","")&amp;IF(AND(INDEX('Game Records'!$U:$U,$H200)&lt;&gt;"Subscription",INDEX('Game Records'!$U:$U,$H200)&lt;&gt;"Free Game",INDEX('Game Records'!$U:$U,$H200)&lt;&gt;"Disqualified — Free Game",OR(INDEX('Game Records'!$D:$D,$H200)="",LOWER(INDEX('Game Records'!$D:$D,$H200)&amp;"")="n/a")),"Entry Mode; ","")&amp;IF(AND(INDEX('Game Records'!$U:$U,$H200)&lt;&gt;"Subscription",INDEX('Game Records'!$U:$U,$H200)&lt;&gt;"Free Game",INDEX('Game Records'!$U:$U,$H200)&lt;&gt;"Disqualified — Free Game",OR(INDEX('Game Records'!$E:$E,$H200)="",LOWER(INDEX('Game Records'!$E:$E,$H200)&amp;"")="n/a")),"Game Type; ","")&amp;IF(INDEX('Game Records'!$F:$F,$H200)="","Payment Type; ","")&amp;IF(AND(INDEX('Game Records'!$U:$U,$H200)&lt;&gt;"Subscription",INDEX('Game Records'!$U:$U,$H200)&lt;&gt;"Free Game",INDEX('Game Records'!$U:$U,$H200)&lt;&gt;"Disqualified — Free Game",INDEX('Game Records'!$G:$G,$H200)=""),"Gross Pot; ","")&amp;IF(AND(INDEX('Game Records'!$U:$U,$H200)&lt;&gt;"Free Game",INDEX('Game Records'!$U:$U,$H200)&lt;&gt;"Disqualified — Free Game",INDEX('Game Records'!$H:$H,$H200)=""),"Entry Fee; ","")&amp;IF(AND(INDEX('Game Records'!$U:$U,$H200)&lt;&gt;"Subscription",INDEX('Game Records'!$U:$U,$H200)&lt;&gt;"Free Game",INDEX('Game Records'!$U:$U,$H200)&lt;&gt;"Disqualified — Free Game",INDEX('Game Records'!$I:$I,$H200)=""),"Eligible Players; ","")&amp;IF(AND(INDEX('Game Records'!$U:$U,$H200)&lt;&gt;"Subscription",INDEX('Game Records'!$U:$U,$H200)&lt;&gt;"Free Game",INDEX('Game Records'!$U:$U,$H200)&lt;&gt;"Disqualified — Free Game",INDEX('Game Records'!$J:$J,$H200)=""),"Total Players; ","")&amp;IF(AND(LOWER(INDEX('Game Records'!$D:$D,$H200)&amp;"")="finalized",LOWER(INDEX('Game Records'!$L:$L,$H200)&amp;"")&lt;&gt;"yes",INDEX('Game Records'!$U:$U,$H200)&lt;&gt;"Subscription",INDEX('Game Records'!$U:$U,$H200)&lt;&gt;"Free Game",INDEX('Game Records'!$U:$U,$H200)&lt;&gt;"Disqualified — Free Game",INDEX('Game Records'!$K:$K,$H200)=""),"Final Earned; ","")&amp;IF(AND(LOWER(INDEX('Game Records'!$D:$D,$H200)&amp;"")="finalized",INDEX('Game Records'!$U:$U,$H200)&lt;&gt;"Subscription",INDEX('Game Records'!$U:$U,$H200)&lt;&gt;"Free Game",INDEX('Game Records'!$U:$U,$H200)&lt;&gt;"Disqualified — Free Game",OR(INDEX('Game Records'!$L:$L,$H200)="",LOWER(INDEX('Game Records'!$L:$L,$H200)&amp;"")="n/a")),"Disqualified Status; ","")&amp;IF(AND(OR(LOWER(TRIM(INDEX('Game Records'!$F:$F,$H200)&amp;""))="free game",INDEX('Game Records'!$U:$U,$H200)="Free Game",INDEX('Game Records'!$U:$U,$H200)="Disqualified — Free Game"),N(INDEX('Game Records'!$H:$H,$H200))&lt;&gt;0),"Free Game has a non-zero Entry Fee. Free Game records require a $0 Entry Fee; ",""))</f>
        <v/>
      </c>
      <c r="G200" s="331" t="str">
        <f>IF($H200="","",IFERROR(INDEX('Game Records'!$M:$M,$H200),""))</f>
        <v/>
      </c>
      <c r="H200" s="104" t="str">
        <f>IF($H199="","",IFERROR(MATCH(1,INDEX((ROW('Game Records'!$U$5:$U$504)&gt;$H199)*(('Game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00" s="104"/>
      <c r="J200" s="104"/>
    </row>
    <row r="201" ht="24" customHeight="1">
      <c r="A201" s="332" t="str">
        <f>IF($H201="","",ROWS($A$5:A201))</f>
        <v/>
      </c>
      <c r="B201" s="332" t="str">
        <f>IF($H201="","","G-"&amp;TEXT($A201,"0000"))</f>
        <v/>
      </c>
      <c r="C201" s="331" t="str">
        <f>IF($H201="","",IFERROR(INDEX('Game Records'!$A:$A,$H201),""))</f>
        <v/>
      </c>
      <c r="D201" s="331" t="str">
        <f>IF($H201="","",IFERROR(INDEX('Game Records'!$U:$U,$H201),""))</f>
        <v/>
      </c>
      <c r="E201" s="331" t="str">
        <f>IF($H201="","",IF($F201="","No Highlighted Fields","Highlighted Fields Present"))</f>
        <v/>
      </c>
      <c r="F201" s="331" t="str">
        <f>IF($H201="","",IF(OR(NOT(ISFORMULA(INDEX('Game Records'!$N:$N,$H201))),NOT(ISFORMULA(INDEX('Game Records'!$O:$O,$H201))),NOT(ISFORMULA(INDEX('Game Records'!$P:$P,$H201))),NOT(ISFORMULA(INDEX('Game Records'!$Q:$Q,$H201))),NOT(ISFORMULA(INDEX('Game Records'!$R:$R,$H201))),NOT(ISFORMULA(INDEX('Game Records'!$S:$S,$H201))),NOT(ISFORMULA(INDEX('Game Records'!$T:$T,$H201))),NOT(ISFORMULA(INDEX('Game Records'!$U:$U,$H201))),NOT(ISFORMULA(INDEX('Game Records'!$V:$V,$H201))),NOT(ISFORMULA(INDEX('Game Records'!$W:$W,$H201))),NOT(ISFORMULA(INDEX('Game Records'!$X:$X,$H201))),NOT(ISFORMULA(INDEX('Game Records'!$Y:$Y,$H201))),NOT(ISFORMULA(INDEX('Game Records'!$Z:$Z,$H201)))),"Formula columns missing; ","")&amp;IF(INDEX('Game Records'!$B:$B,$H201)="","Start Date; ","")&amp;IF(INDEX('Game Records'!$C:$C,$H201)="","End Date; ","")&amp;IF(AND(INDEX('Game Records'!$U:$U,$H201)&lt;&gt;"Subscription",INDEX('Game Records'!$U:$U,$H201)&lt;&gt;"Free Game",INDEX('Game Records'!$U:$U,$H201)&lt;&gt;"Disqualified — Free Game",OR(INDEX('Game Records'!$D:$D,$H201)="",LOWER(INDEX('Game Records'!$D:$D,$H201)&amp;"")="n/a")),"Entry Mode; ","")&amp;IF(AND(INDEX('Game Records'!$U:$U,$H201)&lt;&gt;"Subscription",INDEX('Game Records'!$U:$U,$H201)&lt;&gt;"Free Game",INDEX('Game Records'!$U:$U,$H201)&lt;&gt;"Disqualified — Free Game",OR(INDEX('Game Records'!$E:$E,$H201)="",LOWER(INDEX('Game Records'!$E:$E,$H201)&amp;"")="n/a")),"Game Type; ","")&amp;IF(INDEX('Game Records'!$F:$F,$H201)="","Payment Type; ","")&amp;IF(AND(INDEX('Game Records'!$U:$U,$H201)&lt;&gt;"Subscription",INDEX('Game Records'!$U:$U,$H201)&lt;&gt;"Free Game",INDEX('Game Records'!$U:$U,$H201)&lt;&gt;"Disqualified — Free Game",INDEX('Game Records'!$G:$G,$H201)=""),"Gross Pot; ","")&amp;IF(AND(INDEX('Game Records'!$U:$U,$H201)&lt;&gt;"Free Game",INDEX('Game Records'!$U:$U,$H201)&lt;&gt;"Disqualified — Free Game",INDEX('Game Records'!$H:$H,$H201)=""),"Entry Fee; ","")&amp;IF(AND(INDEX('Game Records'!$U:$U,$H201)&lt;&gt;"Subscription",INDEX('Game Records'!$U:$U,$H201)&lt;&gt;"Free Game",INDEX('Game Records'!$U:$U,$H201)&lt;&gt;"Disqualified — Free Game",INDEX('Game Records'!$I:$I,$H201)=""),"Eligible Players; ","")&amp;IF(AND(INDEX('Game Records'!$U:$U,$H201)&lt;&gt;"Subscription",INDEX('Game Records'!$U:$U,$H201)&lt;&gt;"Free Game",INDEX('Game Records'!$U:$U,$H201)&lt;&gt;"Disqualified — Free Game",INDEX('Game Records'!$J:$J,$H201)=""),"Total Players; ","")&amp;IF(AND(LOWER(INDEX('Game Records'!$D:$D,$H201)&amp;"")="finalized",LOWER(INDEX('Game Records'!$L:$L,$H201)&amp;"")&lt;&gt;"yes",INDEX('Game Records'!$U:$U,$H201)&lt;&gt;"Subscription",INDEX('Game Records'!$U:$U,$H201)&lt;&gt;"Free Game",INDEX('Game Records'!$U:$U,$H201)&lt;&gt;"Disqualified — Free Game",INDEX('Game Records'!$K:$K,$H201)=""),"Final Earned; ","")&amp;IF(AND(LOWER(INDEX('Game Records'!$D:$D,$H201)&amp;"")="finalized",INDEX('Game Records'!$U:$U,$H201)&lt;&gt;"Subscription",INDEX('Game Records'!$U:$U,$H201)&lt;&gt;"Free Game",INDEX('Game Records'!$U:$U,$H201)&lt;&gt;"Disqualified — Free Game",OR(INDEX('Game Records'!$L:$L,$H201)="",LOWER(INDEX('Game Records'!$L:$L,$H201)&amp;"")="n/a")),"Disqualified Status; ","")&amp;IF(AND(OR(LOWER(TRIM(INDEX('Game Records'!$F:$F,$H201)&amp;""))="free game",INDEX('Game Records'!$U:$U,$H201)="Free Game",INDEX('Game Records'!$U:$U,$H201)="Disqualified — Free Game"),N(INDEX('Game Records'!$H:$H,$H201))&lt;&gt;0),"Free Game has a non-zero Entry Fee. Free Game records require a $0 Entry Fee; ",""))</f>
        <v/>
      </c>
      <c r="G201" s="331" t="str">
        <f>IF($H201="","",IFERROR(INDEX('Game Records'!$M:$M,$H201),""))</f>
        <v/>
      </c>
      <c r="H201" s="104" t="str">
        <f>IF($H200="","",IFERROR(MATCH(1,INDEX((ROW('Game Records'!$U$5:$U$504)&gt;$H200)*(('Game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2" ht="24" customHeight="1">
      <c r="A202" s="332" t="str">
        <f>IF($H202="","",ROWS($A$5:A202))</f>
        <v/>
      </c>
      <c r="B202" s="332" t="str">
        <f>IF($H202="","","G-"&amp;TEXT($A202,"0000"))</f>
        <v/>
      </c>
      <c r="C202" s="331" t="str">
        <f>IF($H202="","",IFERROR(INDEX('Game Records'!$A:$A,$H202),""))</f>
        <v/>
      </c>
      <c r="D202" s="331" t="str">
        <f>IF($H202="","",IFERROR(INDEX('Game Records'!$U:$U,$H202),""))</f>
        <v/>
      </c>
      <c r="E202" s="331" t="str">
        <f>IF($H202="","",IF($F202="","No Highlighted Fields","Highlighted Fields Present"))</f>
        <v/>
      </c>
      <c r="F202" s="331" t="str">
        <f>IF($H202="","",IF(OR(NOT(ISFORMULA(INDEX('Game Records'!$N:$N,$H202))),NOT(ISFORMULA(INDEX('Game Records'!$O:$O,$H202))),NOT(ISFORMULA(INDEX('Game Records'!$P:$P,$H202))),NOT(ISFORMULA(INDEX('Game Records'!$Q:$Q,$H202))),NOT(ISFORMULA(INDEX('Game Records'!$R:$R,$H202))),NOT(ISFORMULA(INDEX('Game Records'!$S:$S,$H202))),NOT(ISFORMULA(INDEX('Game Records'!$T:$T,$H202))),NOT(ISFORMULA(INDEX('Game Records'!$U:$U,$H202))),NOT(ISFORMULA(INDEX('Game Records'!$V:$V,$H202))),NOT(ISFORMULA(INDEX('Game Records'!$W:$W,$H202))),NOT(ISFORMULA(INDEX('Game Records'!$X:$X,$H202))),NOT(ISFORMULA(INDEX('Game Records'!$Y:$Y,$H202))),NOT(ISFORMULA(INDEX('Game Records'!$Z:$Z,$H202)))),"Formula columns missing; ","")&amp;IF(INDEX('Game Records'!$B:$B,$H202)="","Start Date; ","")&amp;IF(INDEX('Game Records'!$C:$C,$H202)="","End Date; ","")&amp;IF(AND(INDEX('Game Records'!$U:$U,$H202)&lt;&gt;"Subscription",INDEX('Game Records'!$U:$U,$H202)&lt;&gt;"Free Game",INDEX('Game Records'!$U:$U,$H202)&lt;&gt;"Disqualified — Free Game",OR(INDEX('Game Records'!$D:$D,$H202)="",LOWER(INDEX('Game Records'!$D:$D,$H202)&amp;"")="n/a")),"Entry Mode; ","")&amp;IF(AND(INDEX('Game Records'!$U:$U,$H202)&lt;&gt;"Subscription",INDEX('Game Records'!$U:$U,$H202)&lt;&gt;"Free Game",INDEX('Game Records'!$U:$U,$H202)&lt;&gt;"Disqualified — Free Game",OR(INDEX('Game Records'!$E:$E,$H202)="",LOWER(INDEX('Game Records'!$E:$E,$H202)&amp;"")="n/a")),"Game Type; ","")&amp;IF(INDEX('Game Records'!$F:$F,$H202)="","Payment Type; ","")&amp;IF(AND(INDEX('Game Records'!$U:$U,$H202)&lt;&gt;"Subscription",INDEX('Game Records'!$U:$U,$H202)&lt;&gt;"Free Game",INDEX('Game Records'!$U:$U,$H202)&lt;&gt;"Disqualified — Free Game",INDEX('Game Records'!$G:$G,$H202)=""),"Gross Pot; ","")&amp;IF(AND(INDEX('Game Records'!$U:$U,$H202)&lt;&gt;"Free Game",INDEX('Game Records'!$U:$U,$H202)&lt;&gt;"Disqualified — Free Game",INDEX('Game Records'!$H:$H,$H202)=""),"Entry Fee; ","")&amp;IF(AND(INDEX('Game Records'!$U:$U,$H202)&lt;&gt;"Subscription",INDEX('Game Records'!$U:$U,$H202)&lt;&gt;"Free Game",INDEX('Game Records'!$U:$U,$H202)&lt;&gt;"Disqualified — Free Game",INDEX('Game Records'!$I:$I,$H202)=""),"Eligible Players; ","")&amp;IF(AND(INDEX('Game Records'!$U:$U,$H202)&lt;&gt;"Subscription",INDEX('Game Records'!$U:$U,$H202)&lt;&gt;"Free Game",INDEX('Game Records'!$U:$U,$H202)&lt;&gt;"Disqualified — Free Game",INDEX('Game Records'!$J:$J,$H202)=""),"Total Players; ","")&amp;IF(AND(LOWER(INDEX('Game Records'!$D:$D,$H202)&amp;"")="finalized",LOWER(INDEX('Game Records'!$L:$L,$H202)&amp;"")&lt;&gt;"yes",INDEX('Game Records'!$U:$U,$H202)&lt;&gt;"Subscription",INDEX('Game Records'!$U:$U,$H202)&lt;&gt;"Free Game",INDEX('Game Records'!$U:$U,$H202)&lt;&gt;"Disqualified — Free Game",INDEX('Game Records'!$K:$K,$H202)=""),"Final Earned; ","")&amp;IF(AND(LOWER(INDEX('Game Records'!$D:$D,$H202)&amp;"")="finalized",INDEX('Game Records'!$U:$U,$H202)&lt;&gt;"Subscription",INDEX('Game Records'!$U:$U,$H202)&lt;&gt;"Free Game",INDEX('Game Records'!$U:$U,$H202)&lt;&gt;"Disqualified — Free Game",OR(INDEX('Game Records'!$L:$L,$H202)="",LOWER(INDEX('Game Records'!$L:$L,$H202)&amp;"")="n/a")),"Disqualified Status; ","")&amp;IF(AND(OR(LOWER(TRIM(INDEX('Game Records'!$F:$F,$H202)&amp;""))="free game",INDEX('Game Records'!$U:$U,$H202)="Free Game",INDEX('Game Records'!$U:$U,$H202)="Disqualified — Free Game"),N(INDEX('Game Records'!$H:$H,$H202))&lt;&gt;0),"Free Game has a non-zero Entry Fee. Free Game records require a $0 Entry Fee; ",""))</f>
        <v/>
      </c>
      <c r="G202" s="331" t="str">
        <f>IF($H202="","",IFERROR(INDEX('Game Records'!$M:$M,$H202),""))</f>
        <v/>
      </c>
      <c r="H202" s="104" t="str">
        <f>IF($H201="","",IFERROR(MATCH(1,INDEX((ROW('Game Records'!$U$5:$U$504)&gt;$H201)*(('Game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3" ht="24" customHeight="1">
      <c r="A203" s="332" t="str">
        <f>IF($H203="","",ROWS($A$5:A203))</f>
        <v/>
      </c>
      <c r="B203" s="332" t="str">
        <f>IF($H203="","","G-"&amp;TEXT($A203,"0000"))</f>
        <v/>
      </c>
      <c r="C203" s="331" t="str">
        <f>IF($H203="","",IFERROR(INDEX('Game Records'!$A:$A,$H203),""))</f>
        <v/>
      </c>
      <c r="D203" s="331" t="str">
        <f>IF($H203="","",IFERROR(INDEX('Game Records'!$U:$U,$H203),""))</f>
        <v/>
      </c>
      <c r="E203" s="331" t="str">
        <f>IF($H203="","",IF($F203="","No Highlighted Fields","Highlighted Fields Present"))</f>
        <v/>
      </c>
      <c r="F203" s="331" t="str">
        <f>IF($H203="","",IF(OR(NOT(ISFORMULA(INDEX('Game Records'!$N:$N,$H203))),NOT(ISFORMULA(INDEX('Game Records'!$O:$O,$H203))),NOT(ISFORMULA(INDEX('Game Records'!$P:$P,$H203))),NOT(ISFORMULA(INDEX('Game Records'!$Q:$Q,$H203))),NOT(ISFORMULA(INDEX('Game Records'!$R:$R,$H203))),NOT(ISFORMULA(INDEX('Game Records'!$S:$S,$H203))),NOT(ISFORMULA(INDEX('Game Records'!$T:$T,$H203))),NOT(ISFORMULA(INDEX('Game Records'!$U:$U,$H203))),NOT(ISFORMULA(INDEX('Game Records'!$V:$V,$H203))),NOT(ISFORMULA(INDEX('Game Records'!$W:$W,$H203))),NOT(ISFORMULA(INDEX('Game Records'!$X:$X,$H203))),NOT(ISFORMULA(INDEX('Game Records'!$Y:$Y,$H203))),NOT(ISFORMULA(INDEX('Game Records'!$Z:$Z,$H203)))),"Formula columns missing; ","")&amp;IF(INDEX('Game Records'!$B:$B,$H203)="","Start Date; ","")&amp;IF(INDEX('Game Records'!$C:$C,$H203)="","End Date; ","")&amp;IF(AND(INDEX('Game Records'!$U:$U,$H203)&lt;&gt;"Subscription",INDEX('Game Records'!$U:$U,$H203)&lt;&gt;"Free Game",INDEX('Game Records'!$U:$U,$H203)&lt;&gt;"Disqualified — Free Game",OR(INDEX('Game Records'!$D:$D,$H203)="",LOWER(INDEX('Game Records'!$D:$D,$H203)&amp;"")="n/a")),"Entry Mode; ","")&amp;IF(AND(INDEX('Game Records'!$U:$U,$H203)&lt;&gt;"Subscription",INDEX('Game Records'!$U:$U,$H203)&lt;&gt;"Free Game",INDEX('Game Records'!$U:$U,$H203)&lt;&gt;"Disqualified — Free Game",OR(INDEX('Game Records'!$E:$E,$H203)="",LOWER(INDEX('Game Records'!$E:$E,$H203)&amp;"")="n/a")),"Game Type; ","")&amp;IF(INDEX('Game Records'!$F:$F,$H203)="","Payment Type; ","")&amp;IF(AND(INDEX('Game Records'!$U:$U,$H203)&lt;&gt;"Subscription",INDEX('Game Records'!$U:$U,$H203)&lt;&gt;"Free Game",INDEX('Game Records'!$U:$U,$H203)&lt;&gt;"Disqualified — Free Game",INDEX('Game Records'!$G:$G,$H203)=""),"Gross Pot; ","")&amp;IF(AND(INDEX('Game Records'!$U:$U,$H203)&lt;&gt;"Free Game",INDEX('Game Records'!$U:$U,$H203)&lt;&gt;"Disqualified — Free Game",INDEX('Game Records'!$H:$H,$H203)=""),"Entry Fee; ","")&amp;IF(AND(INDEX('Game Records'!$U:$U,$H203)&lt;&gt;"Subscription",INDEX('Game Records'!$U:$U,$H203)&lt;&gt;"Free Game",INDEX('Game Records'!$U:$U,$H203)&lt;&gt;"Disqualified — Free Game",INDEX('Game Records'!$I:$I,$H203)=""),"Eligible Players; ","")&amp;IF(AND(INDEX('Game Records'!$U:$U,$H203)&lt;&gt;"Subscription",INDEX('Game Records'!$U:$U,$H203)&lt;&gt;"Free Game",INDEX('Game Records'!$U:$U,$H203)&lt;&gt;"Disqualified — Free Game",INDEX('Game Records'!$J:$J,$H203)=""),"Total Players; ","")&amp;IF(AND(LOWER(INDEX('Game Records'!$D:$D,$H203)&amp;"")="finalized",LOWER(INDEX('Game Records'!$L:$L,$H203)&amp;"")&lt;&gt;"yes",INDEX('Game Records'!$U:$U,$H203)&lt;&gt;"Subscription",INDEX('Game Records'!$U:$U,$H203)&lt;&gt;"Free Game",INDEX('Game Records'!$U:$U,$H203)&lt;&gt;"Disqualified — Free Game",INDEX('Game Records'!$K:$K,$H203)=""),"Final Earned; ","")&amp;IF(AND(LOWER(INDEX('Game Records'!$D:$D,$H203)&amp;"")="finalized",INDEX('Game Records'!$U:$U,$H203)&lt;&gt;"Subscription",INDEX('Game Records'!$U:$U,$H203)&lt;&gt;"Free Game",INDEX('Game Records'!$U:$U,$H203)&lt;&gt;"Disqualified — Free Game",OR(INDEX('Game Records'!$L:$L,$H203)="",LOWER(INDEX('Game Records'!$L:$L,$H203)&amp;"")="n/a")),"Disqualified Status; ","")&amp;IF(AND(OR(LOWER(TRIM(INDEX('Game Records'!$F:$F,$H203)&amp;""))="free game",INDEX('Game Records'!$U:$U,$H203)="Free Game",INDEX('Game Records'!$U:$U,$H203)="Disqualified — Free Game"),N(INDEX('Game Records'!$H:$H,$H203))&lt;&gt;0),"Free Game has a non-zero Entry Fee. Free Game records require a $0 Entry Fee; ",""))</f>
        <v/>
      </c>
      <c r="G203" s="331" t="str">
        <f>IF($H203="","",IFERROR(INDEX('Game Records'!$M:$M,$H203),""))</f>
        <v/>
      </c>
      <c r="H203" s="104" t="str">
        <f>IF($H202="","",IFERROR(MATCH(1,INDEX((ROW('Game Records'!$U$5:$U$504)&gt;$H202)*(('Game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4" ht="24" customHeight="1">
      <c r="A204" s="332" t="str">
        <f>IF($H204="","",ROWS($A$5:A204))</f>
        <v/>
      </c>
      <c r="B204" s="332" t="str">
        <f>IF($H204="","","G-"&amp;TEXT($A204,"0000"))</f>
        <v/>
      </c>
      <c r="C204" s="331" t="str">
        <f>IF($H204="","",IFERROR(INDEX('Game Records'!$A:$A,$H204),""))</f>
        <v/>
      </c>
      <c r="D204" s="331" t="str">
        <f>IF($H204="","",IFERROR(INDEX('Game Records'!$U:$U,$H204),""))</f>
        <v/>
      </c>
      <c r="E204" s="331" t="str">
        <f>IF($H204="","",IF($F204="","No Highlighted Fields","Highlighted Fields Present"))</f>
        <v/>
      </c>
      <c r="F204" s="331" t="str">
        <f>IF($H204="","",IF(OR(NOT(ISFORMULA(INDEX('Game Records'!$N:$N,$H204))),NOT(ISFORMULA(INDEX('Game Records'!$O:$O,$H204))),NOT(ISFORMULA(INDEX('Game Records'!$P:$P,$H204))),NOT(ISFORMULA(INDEX('Game Records'!$Q:$Q,$H204))),NOT(ISFORMULA(INDEX('Game Records'!$R:$R,$H204))),NOT(ISFORMULA(INDEX('Game Records'!$S:$S,$H204))),NOT(ISFORMULA(INDEX('Game Records'!$T:$T,$H204))),NOT(ISFORMULA(INDEX('Game Records'!$U:$U,$H204))),NOT(ISFORMULA(INDEX('Game Records'!$V:$V,$H204))),NOT(ISFORMULA(INDEX('Game Records'!$W:$W,$H204))),NOT(ISFORMULA(INDEX('Game Records'!$X:$X,$H204))),NOT(ISFORMULA(INDEX('Game Records'!$Y:$Y,$H204))),NOT(ISFORMULA(INDEX('Game Records'!$Z:$Z,$H204)))),"Formula columns missing; ","")&amp;IF(INDEX('Game Records'!$B:$B,$H204)="","Start Date; ","")&amp;IF(INDEX('Game Records'!$C:$C,$H204)="","End Date; ","")&amp;IF(AND(INDEX('Game Records'!$U:$U,$H204)&lt;&gt;"Subscription",INDEX('Game Records'!$U:$U,$H204)&lt;&gt;"Free Game",INDEX('Game Records'!$U:$U,$H204)&lt;&gt;"Disqualified — Free Game",OR(INDEX('Game Records'!$D:$D,$H204)="",LOWER(INDEX('Game Records'!$D:$D,$H204)&amp;"")="n/a")),"Entry Mode; ","")&amp;IF(AND(INDEX('Game Records'!$U:$U,$H204)&lt;&gt;"Subscription",INDEX('Game Records'!$U:$U,$H204)&lt;&gt;"Free Game",INDEX('Game Records'!$U:$U,$H204)&lt;&gt;"Disqualified — Free Game",OR(INDEX('Game Records'!$E:$E,$H204)="",LOWER(INDEX('Game Records'!$E:$E,$H204)&amp;"")="n/a")),"Game Type; ","")&amp;IF(INDEX('Game Records'!$F:$F,$H204)="","Payment Type; ","")&amp;IF(AND(INDEX('Game Records'!$U:$U,$H204)&lt;&gt;"Subscription",INDEX('Game Records'!$U:$U,$H204)&lt;&gt;"Free Game",INDEX('Game Records'!$U:$U,$H204)&lt;&gt;"Disqualified — Free Game",INDEX('Game Records'!$G:$G,$H204)=""),"Gross Pot; ","")&amp;IF(AND(INDEX('Game Records'!$U:$U,$H204)&lt;&gt;"Free Game",INDEX('Game Records'!$U:$U,$H204)&lt;&gt;"Disqualified — Free Game",INDEX('Game Records'!$H:$H,$H204)=""),"Entry Fee; ","")&amp;IF(AND(INDEX('Game Records'!$U:$U,$H204)&lt;&gt;"Subscription",INDEX('Game Records'!$U:$U,$H204)&lt;&gt;"Free Game",INDEX('Game Records'!$U:$U,$H204)&lt;&gt;"Disqualified — Free Game",INDEX('Game Records'!$I:$I,$H204)=""),"Eligible Players; ","")&amp;IF(AND(INDEX('Game Records'!$U:$U,$H204)&lt;&gt;"Subscription",INDEX('Game Records'!$U:$U,$H204)&lt;&gt;"Free Game",INDEX('Game Records'!$U:$U,$H204)&lt;&gt;"Disqualified — Free Game",INDEX('Game Records'!$J:$J,$H204)=""),"Total Players; ","")&amp;IF(AND(LOWER(INDEX('Game Records'!$D:$D,$H204)&amp;"")="finalized",LOWER(INDEX('Game Records'!$L:$L,$H204)&amp;"")&lt;&gt;"yes",INDEX('Game Records'!$U:$U,$H204)&lt;&gt;"Subscription",INDEX('Game Records'!$U:$U,$H204)&lt;&gt;"Free Game",INDEX('Game Records'!$U:$U,$H204)&lt;&gt;"Disqualified — Free Game",INDEX('Game Records'!$K:$K,$H204)=""),"Final Earned; ","")&amp;IF(AND(LOWER(INDEX('Game Records'!$D:$D,$H204)&amp;"")="finalized",INDEX('Game Records'!$U:$U,$H204)&lt;&gt;"Subscription",INDEX('Game Records'!$U:$U,$H204)&lt;&gt;"Free Game",INDEX('Game Records'!$U:$U,$H204)&lt;&gt;"Disqualified — Free Game",OR(INDEX('Game Records'!$L:$L,$H204)="",LOWER(INDEX('Game Records'!$L:$L,$H204)&amp;"")="n/a")),"Disqualified Status; ","")&amp;IF(AND(OR(LOWER(TRIM(INDEX('Game Records'!$F:$F,$H204)&amp;""))="free game",INDEX('Game Records'!$U:$U,$H204)="Free Game",INDEX('Game Records'!$U:$U,$H204)="Disqualified — Free Game"),N(INDEX('Game Records'!$H:$H,$H204))&lt;&gt;0),"Free Game has a non-zero Entry Fee. Free Game records require a $0 Entry Fee; ",""))</f>
        <v/>
      </c>
      <c r="G204" s="331" t="str">
        <f>IF($H204="","",IFERROR(INDEX('Game Records'!$M:$M,$H204),""))</f>
        <v/>
      </c>
      <c r="H204" s="104" t="str">
        <f>IF($H203="","",IFERROR(MATCH(1,INDEX((ROW('Game Records'!$U$5:$U$504)&gt;$H203)*(('Game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5" ht="24" customHeight="1">
      <c r="A205" s="332" t="str">
        <f>IF($H205="","",ROWS($A$5:A205))</f>
        <v/>
      </c>
      <c r="B205" s="332" t="str">
        <f>IF($H205="","","G-"&amp;TEXT($A205,"0000"))</f>
        <v/>
      </c>
      <c r="C205" s="331" t="str">
        <f>IF($H205="","",IFERROR(INDEX('Game Records'!$A:$A,$H205),""))</f>
        <v/>
      </c>
      <c r="D205" s="331" t="str">
        <f>IF($H205="","",IFERROR(INDEX('Game Records'!$U:$U,$H205),""))</f>
        <v/>
      </c>
      <c r="E205" s="331" t="str">
        <f>IF($H205="","",IF($F205="","No Highlighted Fields","Highlighted Fields Present"))</f>
        <v/>
      </c>
      <c r="F205" s="331" t="str">
        <f>IF($H205="","",IF(OR(NOT(ISFORMULA(INDEX('Game Records'!$N:$N,$H205))),NOT(ISFORMULA(INDEX('Game Records'!$O:$O,$H205))),NOT(ISFORMULA(INDEX('Game Records'!$P:$P,$H205))),NOT(ISFORMULA(INDEX('Game Records'!$Q:$Q,$H205))),NOT(ISFORMULA(INDEX('Game Records'!$R:$R,$H205))),NOT(ISFORMULA(INDEX('Game Records'!$S:$S,$H205))),NOT(ISFORMULA(INDEX('Game Records'!$T:$T,$H205))),NOT(ISFORMULA(INDEX('Game Records'!$U:$U,$H205))),NOT(ISFORMULA(INDEX('Game Records'!$V:$V,$H205))),NOT(ISFORMULA(INDEX('Game Records'!$W:$W,$H205))),NOT(ISFORMULA(INDEX('Game Records'!$X:$X,$H205))),NOT(ISFORMULA(INDEX('Game Records'!$Y:$Y,$H205))),NOT(ISFORMULA(INDEX('Game Records'!$Z:$Z,$H205)))),"Formula columns missing; ","")&amp;IF(INDEX('Game Records'!$B:$B,$H205)="","Start Date; ","")&amp;IF(INDEX('Game Records'!$C:$C,$H205)="","End Date; ","")&amp;IF(AND(INDEX('Game Records'!$U:$U,$H205)&lt;&gt;"Subscription",INDEX('Game Records'!$U:$U,$H205)&lt;&gt;"Free Game",INDEX('Game Records'!$U:$U,$H205)&lt;&gt;"Disqualified — Free Game",OR(INDEX('Game Records'!$D:$D,$H205)="",LOWER(INDEX('Game Records'!$D:$D,$H205)&amp;"")="n/a")),"Entry Mode; ","")&amp;IF(AND(INDEX('Game Records'!$U:$U,$H205)&lt;&gt;"Subscription",INDEX('Game Records'!$U:$U,$H205)&lt;&gt;"Free Game",INDEX('Game Records'!$U:$U,$H205)&lt;&gt;"Disqualified — Free Game",OR(INDEX('Game Records'!$E:$E,$H205)="",LOWER(INDEX('Game Records'!$E:$E,$H205)&amp;"")="n/a")),"Game Type; ","")&amp;IF(INDEX('Game Records'!$F:$F,$H205)="","Payment Type; ","")&amp;IF(AND(INDEX('Game Records'!$U:$U,$H205)&lt;&gt;"Subscription",INDEX('Game Records'!$U:$U,$H205)&lt;&gt;"Free Game",INDEX('Game Records'!$U:$U,$H205)&lt;&gt;"Disqualified — Free Game",INDEX('Game Records'!$G:$G,$H205)=""),"Gross Pot; ","")&amp;IF(AND(INDEX('Game Records'!$U:$U,$H205)&lt;&gt;"Free Game",INDEX('Game Records'!$U:$U,$H205)&lt;&gt;"Disqualified — Free Game",INDEX('Game Records'!$H:$H,$H205)=""),"Entry Fee; ","")&amp;IF(AND(INDEX('Game Records'!$U:$U,$H205)&lt;&gt;"Subscription",INDEX('Game Records'!$U:$U,$H205)&lt;&gt;"Free Game",INDEX('Game Records'!$U:$U,$H205)&lt;&gt;"Disqualified — Free Game",INDEX('Game Records'!$I:$I,$H205)=""),"Eligible Players; ","")&amp;IF(AND(INDEX('Game Records'!$U:$U,$H205)&lt;&gt;"Subscription",INDEX('Game Records'!$U:$U,$H205)&lt;&gt;"Free Game",INDEX('Game Records'!$U:$U,$H205)&lt;&gt;"Disqualified — Free Game",INDEX('Game Records'!$J:$J,$H205)=""),"Total Players; ","")&amp;IF(AND(LOWER(INDEX('Game Records'!$D:$D,$H205)&amp;"")="finalized",LOWER(INDEX('Game Records'!$L:$L,$H205)&amp;"")&lt;&gt;"yes",INDEX('Game Records'!$U:$U,$H205)&lt;&gt;"Subscription",INDEX('Game Records'!$U:$U,$H205)&lt;&gt;"Free Game",INDEX('Game Records'!$U:$U,$H205)&lt;&gt;"Disqualified — Free Game",INDEX('Game Records'!$K:$K,$H205)=""),"Final Earned; ","")&amp;IF(AND(LOWER(INDEX('Game Records'!$D:$D,$H205)&amp;"")="finalized",INDEX('Game Records'!$U:$U,$H205)&lt;&gt;"Subscription",INDEX('Game Records'!$U:$U,$H205)&lt;&gt;"Free Game",INDEX('Game Records'!$U:$U,$H205)&lt;&gt;"Disqualified — Free Game",OR(INDEX('Game Records'!$L:$L,$H205)="",LOWER(INDEX('Game Records'!$L:$L,$H205)&amp;"")="n/a")),"Disqualified Status; ","")&amp;IF(AND(OR(LOWER(TRIM(INDEX('Game Records'!$F:$F,$H205)&amp;""))="free game",INDEX('Game Records'!$U:$U,$H205)="Free Game",INDEX('Game Records'!$U:$U,$H205)="Disqualified — Free Game"),N(INDEX('Game Records'!$H:$H,$H205))&lt;&gt;0),"Free Game has a non-zero Entry Fee. Free Game records require a $0 Entry Fee; ",""))</f>
        <v/>
      </c>
      <c r="G205" s="331" t="str">
        <f>IF($H205="","",IFERROR(INDEX('Game Records'!$M:$M,$H205),""))</f>
        <v/>
      </c>
      <c r="H205" s="104" t="str">
        <f>IF($H204="","",IFERROR(MATCH(1,INDEX((ROW('Game Records'!$U$5:$U$504)&gt;$H204)*(('Game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6" ht="24" customHeight="1">
      <c r="A206" s="332" t="str">
        <f>IF($H206="","",ROWS($A$5:A206))</f>
        <v/>
      </c>
      <c r="B206" s="332" t="str">
        <f>IF($H206="","","G-"&amp;TEXT($A206,"0000"))</f>
        <v/>
      </c>
      <c r="C206" s="331" t="str">
        <f>IF($H206="","",IFERROR(INDEX('Game Records'!$A:$A,$H206),""))</f>
        <v/>
      </c>
      <c r="D206" s="331" t="str">
        <f>IF($H206="","",IFERROR(INDEX('Game Records'!$U:$U,$H206),""))</f>
        <v/>
      </c>
      <c r="E206" s="331" t="str">
        <f>IF($H206="","",IF($F206="","No Highlighted Fields","Highlighted Fields Present"))</f>
        <v/>
      </c>
      <c r="F206" s="331" t="str">
        <f>IF($H206="","",IF(OR(NOT(ISFORMULA(INDEX('Game Records'!$N:$N,$H206))),NOT(ISFORMULA(INDEX('Game Records'!$O:$O,$H206))),NOT(ISFORMULA(INDEX('Game Records'!$P:$P,$H206))),NOT(ISFORMULA(INDEX('Game Records'!$Q:$Q,$H206))),NOT(ISFORMULA(INDEX('Game Records'!$R:$R,$H206))),NOT(ISFORMULA(INDEX('Game Records'!$S:$S,$H206))),NOT(ISFORMULA(INDEX('Game Records'!$T:$T,$H206))),NOT(ISFORMULA(INDEX('Game Records'!$U:$U,$H206))),NOT(ISFORMULA(INDEX('Game Records'!$V:$V,$H206))),NOT(ISFORMULA(INDEX('Game Records'!$W:$W,$H206))),NOT(ISFORMULA(INDEX('Game Records'!$X:$X,$H206))),NOT(ISFORMULA(INDEX('Game Records'!$Y:$Y,$H206))),NOT(ISFORMULA(INDEX('Game Records'!$Z:$Z,$H206)))),"Formula columns missing; ","")&amp;IF(INDEX('Game Records'!$B:$B,$H206)="","Start Date; ","")&amp;IF(INDEX('Game Records'!$C:$C,$H206)="","End Date; ","")&amp;IF(AND(INDEX('Game Records'!$U:$U,$H206)&lt;&gt;"Subscription",INDEX('Game Records'!$U:$U,$H206)&lt;&gt;"Free Game",INDEX('Game Records'!$U:$U,$H206)&lt;&gt;"Disqualified — Free Game",OR(INDEX('Game Records'!$D:$D,$H206)="",LOWER(INDEX('Game Records'!$D:$D,$H206)&amp;"")="n/a")),"Entry Mode; ","")&amp;IF(AND(INDEX('Game Records'!$U:$U,$H206)&lt;&gt;"Subscription",INDEX('Game Records'!$U:$U,$H206)&lt;&gt;"Free Game",INDEX('Game Records'!$U:$U,$H206)&lt;&gt;"Disqualified — Free Game",OR(INDEX('Game Records'!$E:$E,$H206)="",LOWER(INDEX('Game Records'!$E:$E,$H206)&amp;"")="n/a")),"Game Type; ","")&amp;IF(INDEX('Game Records'!$F:$F,$H206)="","Payment Type; ","")&amp;IF(AND(INDEX('Game Records'!$U:$U,$H206)&lt;&gt;"Subscription",INDEX('Game Records'!$U:$U,$H206)&lt;&gt;"Free Game",INDEX('Game Records'!$U:$U,$H206)&lt;&gt;"Disqualified — Free Game",INDEX('Game Records'!$G:$G,$H206)=""),"Gross Pot; ","")&amp;IF(AND(INDEX('Game Records'!$U:$U,$H206)&lt;&gt;"Free Game",INDEX('Game Records'!$U:$U,$H206)&lt;&gt;"Disqualified — Free Game",INDEX('Game Records'!$H:$H,$H206)=""),"Entry Fee; ","")&amp;IF(AND(INDEX('Game Records'!$U:$U,$H206)&lt;&gt;"Subscription",INDEX('Game Records'!$U:$U,$H206)&lt;&gt;"Free Game",INDEX('Game Records'!$U:$U,$H206)&lt;&gt;"Disqualified — Free Game",INDEX('Game Records'!$I:$I,$H206)=""),"Eligible Players; ","")&amp;IF(AND(INDEX('Game Records'!$U:$U,$H206)&lt;&gt;"Subscription",INDEX('Game Records'!$U:$U,$H206)&lt;&gt;"Free Game",INDEX('Game Records'!$U:$U,$H206)&lt;&gt;"Disqualified — Free Game",INDEX('Game Records'!$J:$J,$H206)=""),"Total Players; ","")&amp;IF(AND(LOWER(INDEX('Game Records'!$D:$D,$H206)&amp;"")="finalized",LOWER(INDEX('Game Records'!$L:$L,$H206)&amp;"")&lt;&gt;"yes",INDEX('Game Records'!$U:$U,$H206)&lt;&gt;"Subscription",INDEX('Game Records'!$U:$U,$H206)&lt;&gt;"Free Game",INDEX('Game Records'!$U:$U,$H206)&lt;&gt;"Disqualified — Free Game",INDEX('Game Records'!$K:$K,$H206)=""),"Final Earned; ","")&amp;IF(AND(LOWER(INDEX('Game Records'!$D:$D,$H206)&amp;"")="finalized",INDEX('Game Records'!$U:$U,$H206)&lt;&gt;"Subscription",INDEX('Game Records'!$U:$U,$H206)&lt;&gt;"Free Game",INDEX('Game Records'!$U:$U,$H206)&lt;&gt;"Disqualified — Free Game",OR(INDEX('Game Records'!$L:$L,$H206)="",LOWER(INDEX('Game Records'!$L:$L,$H206)&amp;"")="n/a")),"Disqualified Status; ","")&amp;IF(AND(OR(LOWER(TRIM(INDEX('Game Records'!$F:$F,$H206)&amp;""))="free game",INDEX('Game Records'!$U:$U,$H206)="Free Game",INDEX('Game Records'!$U:$U,$H206)="Disqualified — Free Game"),N(INDEX('Game Records'!$H:$H,$H206))&lt;&gt;0),"Free Game has a non-zero Entry Fee. Free Game records require a $0 Entry Fee; ",""))</f>
        <v/>
      </c>
      <c r="G206" s="331" t="str">
        <f>IF($H206="","",IFERROR(INDEX('Game Records'!$M:$M,$H206),""))</f>
        <v/>
      </c>
      <c r="H206" s="104" t="str">
        <f>IF($H205="","",IFERROR(MATCH(1,INDEX((ROW('Game Records'!$U$5:$U$504)&gt;$H205)*(('Game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7" ht="24" customHeight="1">
      <c r="A207" s="332" t="str">
        <f>IF($H207="","",ROWS($A$5:A207))</f>
        <v/>
      </c>
      <c r="B207" s="332" t="str">
        <f>IF($H207="","","G-"&amp;TEXT($A207,"0000"))</f>
        <v/>
      </c>
      <c r="C207" s="331" t="str">
        <f>IF($H207="","",IFERROR(INDEX('Game Records'!$A:$A,$H207),""))</f>
        <v/>
      </c>
      <c r="D207" s="331" t="str">
        <f>IF($H207="","",IFERROR(INDEX('Game Records'!$U:$U,$H207),""))</f>
        <v/>
      </c>
      <c r="E207" s="331" t="str">
        <f>IF($H207="","",IF($F207="","No Highlighted Fields","Highlighted Fields Present"))</f>
        <v/>
      </c>
      <c r="F207" s="331" t="str">
        <f>IF($H207="","",IF(OR(NOT(ISFORMULA(INDEX('Game Records'!$N:$N,$H207))),NOT(ISFORMULA(INDEX('Game Records'!$O:$O,$H207))),NOT(ISFORMULA(INDEX('Game Records'!$P:$P,$H207))),NOT(ISFORMULA(INDEX('Game Records'!$Q:$Q,$H207))),NOT(ISFORMULA(INDEX('Game Records'!$R:$R,$H207))),NOT(ISFORMULA(INDEX('Game Records'!$S:$S,$H207))),NOT(ISFORMULA(INDEX('Game Records'!$T:$T,$H207))),NOT(ISFORMULA(INDEX('Game Records'!$U:$U,$H207))),NOT(ISFORMULA(INDEX('Game Records'!$V:$V,$H207))),NOT(ISFORMULA(INDEX('Game Records'!$W:$W,$H207))),NOT(ISFORMULA(INDEX('Game Records'!$X:$X,$H207))),NOT(ISFORMULA(INDEX('Game Records'!$Y:$Y,$H207))),NOT(ISFORMULA(INDEX('Game Records'!$Z:$Z,$H207)))),"Formula columns missing; ","")&amp;IF(INDEX('Game Records'!$B:$B,$H207)="","Start Date; ","")&amp;IF(INDEX('Game Records'!$C:$C,$H207)="","End Date; ","")&amp;IF(AND(INDEX('Game Records'!$U:$U,$H207)&lt;&gt;"Subscription",INDEX('Game Records'!$U:$U,$H207)&lt;&gt;"Free Game",INDEX('Game Records'!$U:$U,$H207)&lt;&gt;"Disqualified — Free Game",OR(INDEX('Game Records'!$D:$D,$H207)="",LOWER(INDEX('Game Records'!$D:$D,$H207)&amp;"")="n/a")),"Entry Mode; ","")&amp;IF(AND(INDEX('Game Records'!$U:$U,$H207)&lt;&gt;"Subscription",INDEX('Game Records'!$U:$U,$H207)&lt;&gt;"Free Game",INDEX('Game Records'!$U:$U,$H207)&lt;&gt;"Disqualified — Free Game",OR(INDEX('Game Records'!$E:$E,$H207)="",LOWER(INDEX('Game Records'!$E:$E,$H207)&amp;"")="n/a")),"Game Type; ","")&amp;IF(INDEX('Game Records'!$F:$F,$H207)="","Payment Type; ","")&amp;IF(AND(INDEX('Game Records'!$U:$U,$H207)&lt;&gt;"Subscription",INDEX('Game Records'!$U:$U,$H207)&lt;&gt;"Free Game",INDEX('Game Records'!$U:$U,$H207)&lt;&gt;"Disqualified — Free Game",INDEX('Game Records'!$G:$G,$H207)=""),"Gross Pot; ","")&amp;IF(AND(INDEX('Game Records'!$U:$U,$H207)&lt;&gt;"Free Game",INDEX('Game Records'!$U:$U,$H207)&lt;&gt;"Disqualified — Free Game",INDEX('Game Records'!$H:$H,$H207)=""),"Entry Fee; ","")&amp;IF(AND(INDEX('Game Records'!$U:$U,$H207)&lt;&gt;"Subscription",INDEX('Game Records'!$U:$U,$H207)&lt;&gt;"Free Game",INDEX('Game Records'!$U:$U,$H207)&lt;&gt;"Disqualified — Free Game",INDEX('Game Records'!$I:$I,$H207)=""),"Eligible Players; ","")&amp;IF(AND(INDEX('Game Records'!$U:$U,$H207)&lt;&gt;"Subscription",INDEX('Game Records'!$U:$U,$H207)&lt;&gt;"Free Game",INDEX('Game Records'!$U:$U,$H207)&lt;&gt;"Disqualified — Free Game",INDEX('Game Records'!$J:$J,$H207)=""),"Total Players; ","")&amp;IF(AND(LOWER(INDEX('Game Records'!$D:$D,$H207)&amp;"")="finalized",LOWER(INDEX('Game Records'!$L:$L,$H207)&amp;"")&lt;&gt;"yes",INDEX('Game Records'!$U:$U,$H207)&lt;&gt;"Subscription",INDEX('Game Records'!$U:$U,$H207)&lt;&gt;"Free Game",INDEX('Game Records'!$U:$U,$H207)&lt;&gt;"Disqualified — Free Game",INDEX('Game Records'!$K:$K,$H207)=""),"Final Earned; ","")&amp;IF(AND(LOWER(INDEX('Game Records'!$D:$D,$H207)&amp;"")="finalized",INDEX('Game Records'!$U:$U,$H207)&lt;&gt;"Subscription",INDEX('Game Records'!$U:$U,$H207)&lt;&gt;"Free Game",INDEX('Game Records'!$U:$U,$H207)&lt;&gt;"Disqualified — Free Game",OR(INDEX('Game Records'!$L:$L,$H207)="",LOWER(INDEX('Game Records'!$L:$L,$H207)&amp;"")="n/a")),"Disqualified Status; ","")&amp;IF(AND(OR(LOWER(TRIM(INDEX('Game Records'!$F:$F,$H207)&amp;""))="free game",INDEX('Game Records'!$U:$U,$H207)="Free Game",INDEX('Game Records'!$U:$U,$H207)="Disqualified — Free Game"),N(INDEX('Game Records'!$H:$H,$H207))&lt;&gt;0),"Free Game has a non-zero Entry Fee. Free Game records require a $0 Entry Fee; ",""))</f>
        <v/>
      </c>
      <c r="G207" s="331" t="str">
        <f>IF($H207="","",IFERROR(INDEX('Game Records'!$M:$M,$H207),""))</f>
        <v/>
      </c>
      <c r="H207" s="104" t="str">
        <f>IF($H206="","",IFERROR(MATCH(1,INDEX((ROW('Game Records'!$U$5:$U$504)&gt;$H206)*(('Game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8" ht="24" customHeight="1">
      <c r="A208" s="332" t="str">
        <f>IF($H208="","",ROWS($A$5:A208))</f>
        <v/>
      </c>
      <c r="B208" s="332" t="str">
        <f>IF($H208="","","G-"&amp;TEXT($A208,"0000"))</f>
        <v/>
      </c>
      <c r="C208" s="331" t="str">
        <f>IF($H208="","",IFERROR(INDEX('Game Records'!$A:$A,$H208),""))</f>
        <v/>
      </c>
      <c r="D208" s="331" t="str">
        <f>IF($H208="","",IFERROR(INDEX('Game Records'!$U:$U,$H208),""))</f>
        <v/>
      </c>
      <c r="E208" s="331" t="str">
        <f>IF($H208="","",IF($F208="","No Highlighted Fields","Highlighted Fields Present"))</f>
        <v/>
      </c>
      <c r="F208" s="331" t="str">
        <f>IF($H208="","",IF(OR(NOT(ISFORMULA(INDEX('Game Records'!$N:$N,$H208))),NOT(ISFORMULA(INDEX('Game Records'!$O:$O,$H208))),NOT(ISFORMULA(INDEX('Game Records'!$P:$P,$H208))),NOT(ISFORMULA(INDEX('Game Records'!$Q:$Q,$H208))),NOT(ISFORMULA(INDEX('Game Records'!$R:$R,$H208))),NOT(ISFORMULA(INDEX('Game Records'!$S:$S,$H208))),NOT(ISFORMULA(INDEX('Game Records'!$T:$T,$H208))),NOT(ISFORMULA(INDEX('Game Records'!$U:$U,$H208))),NOT(ISFORMULA(INDEX('Game Records'!$V:$V,$H208))),NOT(ISFORMULA(INDEX('Game Records'!$W:$W,$H208))),NOT(ISFORMULA(INDEX('Game Records'!$X:$X,$H208))),NOT(ISFORMULA(INDEX('Game Records'!$Y:$Y,$H208))),NOT(ISFORMULA(INDEX('Game Records'!$Z:$Z,$H208)))),"Formula columns missing; ","")&amp;IF(INDEX('Game Records'!$B:$B,$H208)="","Start Date; ","")&amp;IF(INDEX('Game Records'!$C:$C,$H208)="","End Date; ","")&amp;IF(AND(INDEX('Game Records'!$U:$U,$H208)&lt;&gt;"Subscription",INDEX('Game Records'!$U:$U,$H208)&lt;&gt;"Free Game",INDEX('Game Records'!$U:$U,$H208)&lt;&gt;"Disqualified — Free Game",OR(INDEX('Game Records'!$D:$D,$H208)="",LOWER(INDEX('Game Records'!$D:$D,$H208)&amp;"")="n/a")),"Entry Mode; ","")&amp;IF(AND(INDEX('Game Records'!$U:$U,$H208)&lt;&gt;"Subscription",INDEX('Game Records'!$U:$U,$H208)&lt;&gt;"Free Game",INDEX('Game Records'!$U:$U,$H208)&lt;&gt;"Disqualified — Free Game",OR(INDEX('Game Records'!$E:$E,$H208)="",LOWER(INDEX('Game Records'!$E:$E,$H208)&amp;"")="n/a")),"Game Type; ","")&amp;IF(INDEX('Game Records'!$F:$F,$H208)="","Payment Type; ","")&amp;IF(AND(INDEX('Game Records'!$U:$U,$H208)&lt;&gt;"Subscription",INDEX('Game Records'!$U:$U,$H208)&lt;&gt;"Free Game",INDEX('Game Records'!$U:$U,$H208)&lt;&gt;"Disqualified — Free Game",INDEX('Game Records'!$G:$G,$H208)=""),"Gross Pot; ","")&amp;IF(AND(INDEX('Game Records'!$U:$U,$H208)&lt;&gt;"Free Game",INDEX('Game Records'!$U:$U,$H208)&lt;&gt;"Disqualified — Free Game",INDEX('Game Records'!$H:$H,$H208)=""),"Entry Fee; ","")&amp;IF(AND(INDEX('Game Records'!$U:$U,$H208)&lt;&gt;"Subscription",INDEX('Game Records'!$U:$U,$H208)&lt;&gt;"Free Game",INDEX('Game Records'!$U:$U,$H208)&lt;&gt;"Disqualified — Free Game",INDEX('Game Records'!$I:$I,$H208)=""),"Eligible Players; ","")&amp;IF(AND(INDEX('Game Records'!$U:$U,$H208)&lt;&gt;"Subscription",INDEX('Game Records'!$U:$U,$H208)&lt;&gt;"Free Game",INDEX('Game Records'!$U:$U,$H208)&lt;&gt;"Disqualified — Free Game",INDEX('Game Records'!$J:$J,$H208)=""),"Total Players; ","")&amp;IF(AND(LOWER(INDEX('Game Records'!$D:$D,$H208)&amp;"")="finalized",LOWER(INDEX('Game Records'!$L:$L,$H208)&amp;"")&lt;&gt;"yes",INDEX('Game Records'!$U:$U,$H208)&lt;&gt;"Subscription",INDEX('Game Records'!$U:$U,$H208)&lt;&gt;"Free Game",INDEX('Game Records'!$U:$U,$H208)&lt;&gt;"Disqualified — Free Game",INDEX('Game Records'!$K:$K,$H208)=""),"Final Earned; ","")&amp;IF(AND(LOWER(INDEX('Game Records'!$D:$D,$H208)&amp;"")="finalized",INDEX('Game Records'!$U:$U,$H208)&lt;&gt;"Subscription",INDEX('Game Records'!$U:$U,$H208)&lt;&gt;"Free Game",INDEX('Game Records'!$U:$U,$H208)&lt;&gt;"Disqualified — Free Game",OR(INDEX('Game Records'!$L:$L,$H208)="",LOWER(INDEX('Game Records'!$L:$L,$H208)&amp;"")="n/a")),"Disqualified Status; ","")&amp;IF(AND(OR(LOWER(TRIM(INDEX('Game Records'!$F:$F,$H208)&amp;""))="free game",INDEX('Game Records'!$U:$U,$H208)="Free Game",INDEX('Game Records'!$U:$U,$H208)="Disqualified — Free Game"),N(INDEX('Game Records'!$H:$H,$H208))&lt;&gt;0),"Free Game has a non-zero Entry Fee. Free Game records require a $0 Entry Fee; ",""))</f>
        <v/>
      </c>
      <c r="G208" s="331" t="str">
        <f>IF($H208="","",IFERROR(INDEX('Game Records'!$M:$M,$H208),""))</f>
        <v/>
      </c>
      <c r="H208" s="104" t="str">
        <f>IF($H207="","",IFERROR(MATCH(1,INDEX((ROW('Game Records'!$U$5:$U$504)&gt;$H207)*(('Game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9" ht="24" customHeight="1">
      <c r="A209" s="332" t="str">
        <f>IF($H209="","",ROWS($A$5:A209))</f>
        <v/>
      </c>
      <c r="B209" s="332" t="str">
        <f>IF($H209="","","G-"&amp;TEXT($A209,"0000"))</f>
        <v/>
      </c>
      <c r="C209" s="331" t="str">
        <f>IF($H209="","",IFERROR(INDEX('Game Records'!$A:$A,$H209),""))</f>
        <v/>
      </c>
      <c r="D209" s="331" t="str">
        <f>IF($H209="","",IFERROR(INDEX('Game Records'!$U:$U,$H209),""))</f>
        <v/>
      </c>
      <c r="E209" s="331" t="str">
        <f>IF($H209="","",IF($F209="","No Highlighted Fields","Highlighted Fields Present"))</f>
        <v/>
      </c>
      <c r="F209" s="331" t="str">
        <f>IF($H209="","",IF(OR(NOT(ISFORMULA(INDEX('Game Records'!$N:$N,$H209))),NOT(ISFORMULA(INDEX('Game Records'!$O:$O,$H209))),NOT(ISFORMULA(INDEX('Game Records'!$P:$P,$H209))),NOT(ISFORMULA(INDEX('Game Records'!$Q:$Q,$H209))),NOT(ISFORMULA(INDEX('Game Records'!$R:$R,$H209))),NOT(ISFORMULA(INDEX('Game Records'!$S:$S,$H209))),NOT(ISFORMULA(INDEX('Game Records'!$T:$T,$H209))),NOT(ISFORMULA(INDEX('Game Records'!$U:$U,$H209))),NOT(ISFORMULA(INDEX('Game Records'!$V:$V,$H209))),NOT(ISFORMULA(INDEX('Game Records'!$W:$W,$H209))),NOT(ISFORMULA(INDEX('Game Records'!$X:$X,$H209))),NOT(ISFORMULA(INDEX('Game Records'!$Y:$Y,$H209))),NOT(ISFORMULA(INDEX('Game Records'!$Z:$Z,$H209)))),"Formula columns missing; ","")&amp;IF(INDEX('Game Records'!$B:$B,$H209)="","Start Date; ","")&amp;IF(INDEX('Game Records'!$C:$C,$H209)="","End Date; ","")&amp;IF(AND(INDEX('Game Records'!$U:$U,$H209)&lt;&gt;"Subscription",INDEX('Game Records'!$U:$U,$H209)&lt;&gt;"Free Game",INDEX('Game Records'!$U:$U,$H209)&lt;&gt;"Disqualified — Free Game",OR(INDEX('Game Records'!$D:$D,$H209)="",LOWER(INDEX('Game Records'!$D:$D,$H209)&amp;"")="n/a")),"Entry Mode; ","")&amp;IF(AND(INDEX('Game Records'!$U:$U,$H209)&lt;&gt;"Subscription",INDEX('Game Records'!$U:$U,$H209)&lt;&gt;"Free Game",INDEX('Game Records'!$U:$U,$H209)&lt;&gt;"Disqualified — Free Game",OR(INDEX('Game Records'!$E:$E,$H209)="",LOWER(INDEX('Game Records'!$E:$E,$H209)&amp;"")="n/a")),"Game Type; ","")&amp;IF(INDEX('Game Records'!$F:$F,$H209)="","Payment Type; ","")&amp;IF(AND(INDEX('Game Records'!$U:$U,$H209)&lt;&gt;"Subscription",INDEX('Game Records'!$U:$U,$H209)&lt;&gt;"Free Game",INDEX('Game Records'!$U:$U,$H209)&lt;&gt;"Disqualified — Free Game",INDEX('Game Records'!$G:$G,$H209)=""),"Gross Pot; ","")&amp;IF(AND(INDEX('Game Records'!$U:$U,$H209)&lt;&gt;"Free Game",INDEX('Game Records'!$U:$U,$H209)&lt;&gt;"Disqualified — Free Game",INDEX('Game Records'!$H:$H,$H209)=""),"Entry Fee; ","")&amp;IF(AND(INDEX('Game Records'!$U:$U,$H209)&lt;&gt;"Subscription",INDEX('Game Records'!$U:$U,$H209)&lt;&gt;"Free Game",INDEX('Game Records'!$U:$U,$H209)&lt;&gt;"Disqualified — Free Game",INDEX('Game Records'!$I:$I,$H209)=""),"Eligible Players; ","")&amp;IF(AND(INDEX('Game Records'!$U:$U,$H209)&lt;&gt;"Subscription",INDEX('Game Records'!$U:$U,$H209)&lt;&gt;"Free Game",INDEX('Game Records'!$U:$U,$H209)&lt;&gt;"Disqualified — Free Game",INDEX('Game Records'!$J:$J,$H209)=""),"Total Players; ","")&amp;IF(AND(LOWER(INDEX('Game Records'!$D:$D,$H209)&amp;"")="finalized",LOWER(INDEX('Game Records'!$L:$L,$H209)&amp;"")&lt;&gt;"yes",INDEX('Game Records'!$U:$U,$H209)&lt;&gt;"Subscription",INDEX('Game Records'!$U:$U,$H209)&lt;&gt;"Free Game",INDEX('Game Records'!$U:$U,$H209)&lt;&gt;"Disqualified — Free Game",INDEX('Game Records'!$K:$K,$H209)=""),"Final Earned; ","")&amp;IF(AND(LOWER(INDEX('Game Records'!$D:$D,$H209)&amp;"")="finalized",INDEX('Game Records'!$U:$U,$H209)&lt;&gt;"Subscription",INDEX('Game Records'!$U:$U,$H209)&lt;&gt;"Free Game",INDEX('Game Records'!$U:$U,$H209)&lt;&gt;"Disqualified — Free Game",OR(INDEX('Game Records'!$L:$L,$H209)="",LOWER(INDEX('Game Records'!$L:$L,$H209)&amp;"")="n/a")),"Disqualified Status; ","")&amp;IF(AND(OR(LOWER(TRIM(INDEX('Game Records'!$F:$F,$H209)&amp;""))="free game",INDEX('Game Records'!$U:$U,$H209)="Free Game",INDEX('Game Records'!$U:$U,$H209)="Disqualified — Free Game"),N(INDEX('Game Records'!$H:$H,$H209))&lt;&gt;0),"Free Game has a non-zero Entry Fee. Free Game records require a $0 Entry Fee; ",""))</f>
        <v/>
      </c>
      <c r="G209" s="331" t="str">
        <f>IF($H209="","",IFERROR(INDEX('Game Records'!$M:$M,$H209),""))</f>
        <v/>
      </c>
      <c r="H209" s="104" t="str">
        <f>IF($H208="","",IFERROR(MATCH(1,INDEX((ROW('Game Records'!$U$5:$U$504)&gt;$H208)*(('Game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0" ht="24" customHeight="1">
      <c r="A210" s="332" t="str">
        <f>IF($H210="","",ROWS($A$5:A210))</f>
        <v/>
      </c>
      <c r="B210" s="332" t="str">
        <f>IF($H210="","","G-"&amp;TEXT($A210,"0000"))</f>
        <v/>
      </c>
      <c r="C210" s="331" t="str">
        <f>IF($H210="","",IFERROR(INDEX('Game Records'!$A:$A,$H210),""))</f>
        <v/>
      </c>
      <c r="D210" s="331" t="str">
        <f>IF($H210="","",IFERROR(INDEX('Game Records'!$U:$U,$H210),""))</f>
        <v/>
      </c>
      <c r="E210" s="331" t="str">
        <f>IF($H210="","",IF($F210="","No Highlighted Fields","Highlighted Fields Present"))</f>
        <v/>
      </c>
      <c r="F210" s="331" t="str">
        <f>IF($H210="","",IF(OR(NOT(ISFORMULA(INDEX('Game Records'!$N:$N,$H210))),NOT(ISFORMULA(INDEX('Game Records'!$O:$O,$H210))),NOT(ISFORMULA(INDEX('Game Records'!$P:$P,$H210))),NOT(ISFORMULA(INDEX('Game Records'!$Q:$Q,$H210))),NOT(ISFORMULA(INDEX('Game Records'!$R:$R,$H210))),NOT(ISFORMULA(INDEX('Game Records'!$S:$S,$H210))),NOT(ISFORMULA(INDEX('Game Records'!$T:$T,$H210))),NOT(ISFORMULA(INDEX('Game Records'!$U:$U,$H210))),NOT(ISFORMULA(INDEX('Game Records'!$V:$V,$H210))),NOT(ISFORMULA(INDEX('Game Records'!$W:$W,$H210))),NOT(ISFORMULA(INDEX('Game Records'!$X:$X,$H210))),NOT(ISFORMULA(INDEX('Game Records'!$Y:$Y,$H210))),NOT(ISFORMULA(INDEX('Game Records'!$Z:$Z,$H210)))),"Formula columns missing; ","")&amp;IF(INDEX('Game Records'!$B:$B,$H210)="","Start Date; ","")&amp;IF(INDEX('Game Records'!$C:$C,$H210)="","End Date; ","")&amp;IF(AND(INDEX('Game Records'!$U:$U,$H210)&lt;&gt;"Subscription",INDEX('Game Records'!$U:$U,$H210)&lt;&gt;"Free Game",INDEX('Game Records'!$U:$U,$H210)&lt;&gt;"Disqualified — Free Game",OR(INDEX('Game Records'!$D:$D,$H210)="",LOWER(INDEX('Game Records'!$D:$D,$H210)&amp;"")="n/a")),"Entry Mode; ","")&amp;IF(AND(INDEX('Game Records'!$U:$U,$H210)&lt;&gt;"Subscription",INDEX('Game Records'!$U:$U,$H210)&lt;&gt;"Free Game",INDEX('Game Records'!$U:$U,$H210)&lt;&gt;"Disqualified — Free Game",OR(INDEX('Game Records'!$E:$E,$H210)="",LOWER(INDEX('Game Records'!$E:$E,$H210)&amp;"")="n/a")),"Game Type; ","")&amp;IF(INDEX('Game Records'!$F:$F,$H210)="","Payment Type; ","")&amp;IF(AND(INDEX('Game Records'!$U:$U,$H210)&lt;&gt;"Subscription",INDEX('Game Records'!$U:$U,$H210)&lt;&gt;"Free Game",INDEX('Game Records'!$U:$U,$H210)&lt;&gt;"Disqualified — Free Game",INDEX('Game Records'!$G:$G,$H210)=""),"Gross Pot; ","")&amp;IF(AND(INDEX('Game Records'!$U:$U,$H210)&lt;&gt;"Free Game",INDEX('Game Records'!$U:$U,$H210)&lt;&gt;"Disqualified — Free Game",INDEX('Game Records'!$H:$H,$H210)=""),"Entry Fee; ","")&amp;IF(AND(INDEX('Game Records'!$U:$U,$H210)&lt;&gt;"Subscription",INDEX('Game Records'!$U:$U,$H210)&lt;&gt;"Free Game",INDEX('Game Records'!$U:$U,$H210)&lt;&gt;"Disqualified — Free Game",INDEX('Game Records'!$I:$I,$H210)=""),"Eligible Players; ","")&amp;IF(AND(INDEX('Game Records'!$U:$U,$H210)&lt;&gt;"Subscription",INDEX('Game Records'!$U:$U,$H210)&lt;&gt;"Free Game",INDEX('Game Records'!$U:$U,$H210)&lt;&gt;"Disqualified — Free Game",INDEX('Game Records'!$J:$J,$H210)=""),"Total Players; ","")&amp;IF(AND(LOWER(INDEX('Game Records'!$D:$D,$H210)&amp;"")="finalized",LOWER(INDEX('Game Records'!$L:$L,$H210)&amp;"")&lt;&gt;"yes",INDEX('Game Records'!$U:$U,$H210)&lt;&gt;"Subscription",INDEX('Game Records'!$U:$U,$H210)&lt;&gt;"Free Game",INDEX('Game Records'!$U:$U,$H210)&lt;&gt;"Disqualified — Free Game",INDEX('Game Records'!$K:$K,$H210)=""),"Final Earned; ","")&amp;IF(AND(LOWER(INDEX('Game Records'!$D:$D,$H210)&amp;"")="finalized",INDEX('Game Records'!$U:$U,$H210)&lt;&gt;"Subscription",INDEX('Game Records'!$U:$U,$H210)&lt;&gt;"Free Game",INDEX('Game Records'!$U:$U,$H210)&lt;&gt;"Disqualified — Free Game",OR(INDEX('Game Records'!$L:$L,$H210)="",LOWER(INDEX('Game Records'!$L:$L,$H210)&amp;"")="n/a")),"Disqualified Status; ","")&amp;IF(AND(OR(LOWER(TRIM(INDEX('Game Records'!$F:$F,$H210)&amp;""))="free game",INDEX('Game Records'!$U:$U,$H210)="Free Game",INDEX('Game Records'!$U:$U,$H210)="Disqualified — Free Game"),N(INDEX('Game Records'!$H:$H,$H210))&lt;&gt;0),"Free Game has a non-zero Entry Fee. Free Game records require a $0 Entry Fee; ",""))</f>
        <v/>
      </c>
      <c r="G210" s="331" t="str">
        <f>IF($H210="","",IFERROR(INDEX('Game Records'!$M:$M,$H210),""))</f>
        <v/>
      </c>
      <c r="H210" s="104" t="str">
        <f>IF($H209="","",IFERROR(MATCH(1,INDEX((ROW('Game Records'!$U$5:$U$504)&gt;$H209)*(('Game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1" ht="24" customHeight="1">
      <c r="A211" s="332" t="str">
        <f>IF($H211="","",ROWS($A$5:A211))</f>
        <v/>
      </c>
      <c r="B211" s="332" t="str">
        <f>IF($H211="","","G-"&amp;TEXT($A211,"0000"))</f>
        <v/>
      </c>
      <c r="C211" s="331" t="str">
        <f>IF($H211="","",IFERROR(INDEX('Game Records'!$A:$A,$H211),""))</f>
        <v/>
      </c>
      <c r="D211" s="331" t="str">
        <f>IF($H211="","",IFERROR(INDEX('Game Records'!$U:$U,$H211),""))</f>
        <v/>
      </c>
      <c r="E211" s="331" t="str">
        <f>IF($H211="","",IF($F211="","No Highlighted Fields","Highlighted Fields Present"))</f>
        <v/>
      </c>
      <c r="F211" s="331" t="str">
        <f>IF($H211="","",IF(OR(NOT(ISFORMULA(INDEX('Game Records'!$N:$N,$H211))),NOT(ISFORMULA(INDEX('Game Records'!$O:$O,$H211))),NOT(ISFORMULA(INDEX('Game Records'!$P:$P,$H211))),NOT(ISFORMULA(INDEX('Game Records'!$Q:$Q,$H211))),NOT(ISFORMULA(INDEX('Game Records'!$R:$R,$H211))),NOT(ISFORMULA(INDEX('Game Records'!$S:$S,$H211))),NOT(ISFORMULA(INDEX('Game Records'!$T:$T,$H211))),NOT(ISFORMULA(INDEX('Game Records'!$U:$U,$H211))),NOT(ISFORMULA(INDEX('Game Records'!$V:$V,$H211))),NOT(ISFORMULA(INDEX('Game Records'!$W:$W,$H211))),NOT(ISFORMULA(INDEX('Game Records'!$X:$X,$H211))),NOT(ISFORMULA(INDEX('Game Records'!$Y:$Y,$H211))),NOT(ISFORMULA(INDEX('Game Records'!$Z:$Z,$H211)))),"Formula columns missing; ","")&amp;IF(INDEX('Game Records'!$B:$B,$H211)="","Start Date; ","")&amp;IF(INDEX('Game Records'!$C:$C,$H211)="","End Date; ","")&amp;IF(AND(INDEX('Game Records'!$U:$U,$H211)&lt;&gt;"Subscription",INDEX('Game Records'!$U:$U,$H211)&lt;&gt;"Free Game",INDEX('Game Records'!$U:$U,$H211)&lt;&gt;"Disqualified — Free Game",OR(INDEX('Game Records'!$D:$D,$H211)="",LOWER(INDEX('Game Records'!$D:$D,$H211)&amp;"")="n/a")),"Entry Mode; ","")&amp;IF(AND(INDEX('Game Records'!$U:$U,$H211)&lt;&gt;"Subscription",INDEX('Game Records'!$U:$U,$H211)&lt;&gt;"Free Game",INDEX('Game Records'!$U:$U,$H211)&lt;&gt;"Disqualified — Free Game",OR(INDEX('Game Records'!$E:$E,$H211)="",LOWER(INDEX('Game Records'!$E:$E,$H211)&amp;"")="n/a")),"Game Type; ","")&amp;IF(INDEX('Game Records'!$F:$F,$H211)="","Payment Type; ","")&amp;IF(AND(INDEX('Game Records'!$U:$U,$H211)&lt;&gt;"Subscription",INDEX('Game Records'!$U:$U,$H211)&lt;&gt;"Free Game",INDEX('Game Records'!$U:$U,$H211)&lt;&gt;"Disqualified — Free Game",INDEX('Game Records'!$G:$G,$H211)=""),"Gross Pot; ","")&amp;IF(AND(INDEX('Game Records'!$U:$U,$H211)&lt;&gt;"Free Game",INDEX('Game Records'!$U:$U,$H211)&lt;&gt;"Disqualified — Free Game",INDEX('Game Records'!$H:$H,$H211)=""),"Entry Fee; ","")&amp;IF(AND(INDEX('Game Records'!$U:$U,$H211)&lt;&gt;"Subscription",INDEX('Game Records'!$U:$U,$H211)&lt;&gt;"Free Game",INDEX('Game Records'!$U:$U,$H211)&lt;&gt;"Disqualified — Free Game",INDEX('Game Records'!$I:$I,$H211)=""),"Eligible Players; ","")&amp;IF(AND(INDEX('Game Records'!$U:$U,$H211)&lt;&gt;"Subscription",INDEX('Game Records'!$U:$U,$H211)&lt;&gt;"Free Game",INDEX('Game Records'!$U:$U,$H211)&lt;&gt;"Disqualified — Free Game",INDEX('Game Records'!$J:$J,$H211)=""),"Total Players; ","")&amp;IF(AND(LOWER(INDEX('Game Records'!$D:$D,$H211)&amp;"")="finalized",LOWER(INDEX('Game Records'!$L:$L,$H211)&amp;"")&lt;&gt;"yes",INDEX('Game Records'!$U:$U,$H211)&lt;&gt;"Subscription",INDEX('Game Records'!$U:$U,$H211)&lt;&gt;"Free Game",INDEX('Game Records'!$U:$U,$H211)&lt;&gt;"Disqualified — Free Game",INDEX('Game Records'!$K:$K,$H211)=""),"Final Earned; ","")&amp;IF(AND(LOWER(INDEX('Game Records'!$D:$D,$H211)&amp;"")="finalized",INDEX('Game Records'!$U:$U,$H211)&lt;&gt;"Subscription",INDEX('Game Records'!$U:$U,$H211)&lt;&gt;"Free Game",INDEX('Game Records'!$U:$U,$H211)&lt;&gt;"Disqualified — Free Game",OR(INDEX('Game Records'!$L:$L,$H211)="",LOWER(INDEX('Game Records'!$L:$L,$H211)&amp;"")="n/a")),"Disqualified Status; ","")&amp;IF(AND(OR(LOWER(TRIM(INDEX('Game Records'!$F:$F,$H211)&amp;""))="free game",INDEX('Game Records'!$U:$U,$H211)="Free Game",INDEX('Game Records'!$U:$U,$H211)="Disqualified — Free Game"),N(INDEX('Game Records'!$H:$H,$H211))&lt;&gt;0),"Free Game has a non-zero Entry Fee. Free Game records require a $0 Entry Fee; ",""))</f>
        <v/>
      </c>
      <c r="G211" s="331" t="str">
        <f>IF($H211="","",IFERROR(INDEX('Game Records'!$M:$M,$H211),""))</f>
        <v/>
      </c>
      <c r="H211" s="104" t="str">
        <f>IF($H210="","",IFERROR(MATCH(1,INDEX((ROW('Game Records'!$U$5:$U$504)&gt;$H210)*(('Game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2" ht="24" customHeight="1">
      <c r="A212" s="332" t="str">
        <f>IF($H212="","",ROWS($A$5:A212))</f>
        <v/>
      </c>
      <c r="B212" s="332" t="str">
        <f>IF($H212="","","G-"&amp;TEXT($A212,"0000"))</f>
        <v/>
      </c>
      <c r="C212" s="331" t="str">
        <f>IF($H212="","",IFERROR(INDEX('Game Records'!$A:$A,$H212),""))</f>
        <v/>
      </c>
      <c r="D212" s="331" t="str">
        <f>IF($H212="","",IFERROR(INDEX('Game Records'!$U:$U,$H212),""))</f>
        <v/>
      </c>
      <c r="E212" s="331" t="str">
        <f>IF($H212="","",IF($F212="","No Highlighted Fields","Highlighted Fields Present"))</f>
        <v/>
      </c>
      <c r="F212" s="331" t="str">
        <f>IF($H212="","",IF(OR(NOT(ISFORMULA(INDEX('Game Records'!$N:$N,$H212))),NOT(ISFORMULA(INDEX('Game Records'!$O:$O,$H212))),NOT(ISFORMULA(INDEX('Game Records'!$P:$P,$H212))),NOT(ISFORMULA(INDEX('Game Records'!$Q:$Q,$H212))),NOT(ISFORMULA(INDEX('Game Records'!$R:$R,$H212))),NOT(ISFORMULA(INDEX('Game Records'!$S:$S,$H212))),NOT(ISFORMULA(INDEX('Game Records'!$T:$T,$H212))),NOT(ISFORMULA(INDEX('Game Records'!$U:$U,$H212))),NOT(ISFORMULA(INDEX('Game Records'!$V:$V,$H212))),NOT(ISFORMULA(INDEX('Game Records'!$W:$W,$H212))),NOT(ISFORMULA(INDEX('Game Records'!$X:$X,$H212))),NOT(ISFORMULA(INDEX('Game Records'!$Y:$Y,$H212))),NOT(ISFORMULA(INDEX('Game Records'!$Z:$Z,$H212)))),"Formula columns missing; ","")&amp;IF(INDEX('Game Records'!$B:$B,$H212)="","Start Date; ","")&amp;IF(INDEX('Game Records'!$C:$C,$H212)="","End Date; ","")&amp;IF(AND(INDEX('Game Records'!$U:$U,$H212)&lt;&gt;"Subscription",INDEX('Game Records'!$U:$U,$H212)&lt;&gt;"Free Game",INDEX('Game Records'!$U:$U,$H212)&lt;&gt;"Disqualified — Free Game",OR(INDEX('Game Records'!$D:$D,$H212)="",LOWER(INDEX('Game Records'!$D:$D,$H212)&amp;"")="n/a")),"Entry Mode; ","")&amp;IF(AND(INDEX('Game Records'!$U:$U,$H212)&lt;&gt;"Subscription",INDEX('Game Records'!$U:$U,$H212)&lt;&gt;"Free Game",INDEX('Game Records'!$U:$U,$H212)&lt;&gt;"Disqualified — Free Game",OR(INDEX('Game Records'!$E:$E,$H212)="",LOWER(INDEX('Game Records'!$E:$E,$H212)&amp;"")="n/a")),"Game Type; ","")&amp;IF(INDEX('Game Records'!$F:$F,$H212)="","Payment Type; ","")&amp;IF(AND(INDEX('Game Records'!$U:$U,$H212)&lt;&gt;"Subscription",INDEX('Game Records'!$U:$U,$H212)&lt;&gt;"Free Game",INDEX('Game Records'!$U:$U,$H212)&lt;&gt;"Disqualified — Free Game",INDEX('Game Records'!$G:$G,$H212)=""),"Gross Pot; ","")&amp;IF(AND(INDEX('Game Records'!$U:$U,$H212)&lt;&gt;"Free Game",INDEX('Game Records'!$U:$U,$H212)&lt;&gt;"Disqualified — Free Game",INDEX('Game Records'!$H:$H,$H212)=""),"Entry Fee; ","")&amp;IF(AND(INDEX('Game Records'!$U:$U,$H212)&lt;&gt;"Subscription",INDEX('Game Records'!$U:$U,$H212)&lt;&gt;"Free Game",INDEX('Game Records'!$U:$U,$H212)&lt;&gt;"Disqualified — Free Game",INDEX('Game Records'!$I:$I,$H212)=""),"Eligible Players; ","")&amp;IF(AND(INDEX('Game Records'!$U:$U,$H212)&lt;&gt;"Subscription",INDEX('Game Records'!$U:$U,$H212)&lt;&gt;"Free Game",INDEX('Game Records'!$U:$U,$H212)&lt;&gt;"Disqualified — Free Game",INDEX('Game Records'!$J:$J,$H212)=""),"Total Players; ","")&amp;IF(AND(LOWER(INDEX('Game Records'!$D:$D,$H212)&amp;"")="finalized",LOWER(INDEX('Game Records'!$L:$L,$H212)&amp;"")&lt;&gt;"yes",INDEX('Game Records'!$U:$U,$H212)&lt;&gt;"Subscription",INDEX('Game Records'!$U:$U,$H212)&lt;&gt;"Free Game",INDEX('Game Records'!$U:$U,$H212)&lt;&gt;"Disqualified — Free Game",INDEX('Game Records'!$K:$K,$H212)=""),"Final Earned; ","")&amp;IF(AND(LOWER(INDEX('Game Records'!$D:$D,$H212)&amp;"")="finalized",INDEX('Game Records'!$U:$U,$H212)&lt;&gt;"Subscription",INDEX('Game Records'!$U:$U,$H212)&lt;&gt;"Free Game",INDEX('Game Records'!$U:$U,$H212)&lt;&gt;"Disqualified — Free Game",OR(INDEX('Game Records'!$L:$L,$H212)="",LOWER(INDEX('Game Records'!$L:$L,$H212)&amp;"")="n/a")),"Disqualified Status; ","")&amp;IF(AND(OR(LOWER(TRIM(INDEX('Game Records'!$F:$F,$H212)&amp;""))="free game",INDEX('Game Records'!$U:$U,$H212)="Free Game",INDEX('Game Records'!$U:$U,$H212)="Disqualified — Free Game"),N(INDEX('Game Records'!$H:$H,$H212))&lt;&gt;0),"Free Game has a non-zero Entry Fee. Free Game records require a $0 Entry Fee; ",""))</f>
        <v/>
      </c>
      <c r="G212" s="331" t="str">
        <f>IF($H212="","",IFERROR(INDEX('Game Records'!$M:$M,$H212),""))</f>
        <v/>
      </c>
      <c r="H212" s="104" t="str">
        <f>IF($H211="","",IFERROR(MATCH(1,INDEX((ROW('Game Records'!$U$5:$U$504)&gt;$H211)*(('Game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3" ht="24" customHeight="1">
      <c r="A213" s="332" t="str">
        <f>IF($H213="","",ROWS($A$5:A213))</f>
        <v/>
      </c>
      <c r="B213" s="332" t="str">
        <f>IF($H213="","","G-"&amp;TEXT($A213,"0000"))</f>
        <v/>
      </c>
      <c r="C213" s="331" t="str">
        <f>IF($H213="","",IFERROR(INDEX('Game Records'!$A:$A,$H213),""))</f>
        <v/>
      </c>
      <c r="D213" s="331" t="str">
        <f>IF($H213="","",IFERROR(INDEX('Game Records'!$U:$U,$H213),""))</f>
        <v/>
      </c>
      <c r="E213" s="331" t="str">
        <f>IF($H213="","",IF($F213="","No Highlighted Fields","Highlighted Fields Present"))</f>
        <v/>
      </c>
      <c r="F213" s="331" t="str">
        <f>IF($H213="","",IF(OR(NOT(ISFORMULA(INDEX('Game Records'!$N:$N,$H213))),NOT(ISFORMULA(INDEX('Game Records'!$O:$O,$H213))),NOT(ISFORMULA(INDEX('Game Records'!$P:$P,$H213))),NOT(ISFORMULA(INDEX('Game Records'!$Q:$Q,$H213))),NOT(ISFORMULA(INDEX('Game Records'!$R:$R,$H213))),NOT(ISFORMULA(INDEX('Game Records'!$S:$S,$H213))),NOT(ISFORMULA(INDEX('Game Records'!$T:$T,$H213))),NOT(ISFORMULA(INDEX('Game Records'!$U:$U,$H213))),NOT(ISFORMULA(INDEX('Game Records'!$V:$V,$H213))),NOT(ISFORMULA(INDEX('Game Records'!$W:$W,$H213))),NOT(ISFORMULA(INDEX('Game Records'!$X:$X,$H213))),NOT(ISFORMULA(INDEX('Game Records'!$Y:$Y,$H213))),NOT(ISFORMULA(INDEX('Game Records'!$Z:$Z,$H213)))),"Formula columns missing; ","")&amp;IF(INDEX('Game Records'!$B:$B,$H213)="","Start Date; ","")&amp;IF(INDEX('Game Records'!$C:$C,$H213)="","End Date; ","")&amp;IF(AND(INDEX('Game Records'!$U:$U,$H213)&lt;&gt;"Subscription",INDEX('Game Records'!$U:$U,$H213)&lt;&gt;"Free Game",INDEX('Game Records'!$U:$U,$H213)&lt;&gt;"Disqualified — Free Game",OR(INDEX('Game Records'!$D:$D,$H213)="",LOWER(INDEX('Game Records'!$D:$D,$H213)&amp;"")="n/a")),"Entry Mode; ","")&amp;IF(AND(INDEX('Game Records'!$U:$U,$H213)&lt;&gt;"Subscription",INDEX('Game Records'!$U:$U,$H213)&lt;&gt;"Free Game",INDEX('Game Records'!$U:$U,$H213)&lt;&gt;"Disqualified — Free Game",OR(INDEX('Game Records'!$E:$E,$H213)="",LOWER(INDEX('Game Records'!$E:$E,$H213)&amp;"")="n/a")),"Game Type; ","")&amp;IF(INDEX('Game Records'!$F:$F,$H213)="","Payment Type; ","")&amp;IF(AND(INDEX('Game Records'!$U:$U,$H213)&lt;&gt;"Subscription",INDEX('Game Records'!$U:$U,$H213)&lt;&gt;"Free Game",INDEX('Game Records'!$U:$U,$H213)&lt;&gt;"Disqualified — Free Game",INDEX('Game Records'!$G:$G,$H213)=""),"Gross Pot; ","")&amp;IF(AND(INDEX('Game Records'!$U:$U,$H213)&lt;&gt;"Free Game",INDEX('Game Records'!$U:$U,$H213)&lt;&gt;"Disqualified — Free Game",INDEX('Game Records'!$H:$H,$H213)=""),"Entry Fee; ","")&amp;IF(AND(INDEX('Game Records'!$U:$U,$H213)&lt;&gt;"Subscription",INDEX('Game Records'!$U:$U,$H213)&lt;&gt;"Free Game",INDEX('Game Records'!$U:$U,$H213)&lt;&gt;"Disqualified — Free Game",INDEX('Game Records'!$I:$I,$H213)=""),"Eligible Players; ","")&amp;IF(AND(INDEX('Game Records'!$U:$U,$H213)&lt;&gt;"Subscription",INDEX('Game Records'!$U:$U,$H213)&lt;&gt;"Free Game",INDEX('Game Records'!$U:$U,$H213)&lt;&gt;"Disqualified — Free Game",INDEX('Game Records'!$J:$J,$H213)=""),"Total Players; ","")&amp;IF(AND(LOWER(INDEX('Game Records'!$D:$D,$H213)&amp;"")="finalized",LOWER(INDEX('Game Records'!$L:$L,$H213)&amp;"")&lt;&gt;"yes",INDEX('Game Records'!$U:$U,$H213)&lt;&gt;"Subscription",INDEX('Game Records'!$U:$U,$H213)&lt;&gt;"Free Game",INDEX('Game Records'!$U:$U,$H213)&lt;&gt;"Disqualified — Free Game",INDEX('Game Records'!$K:$K,$H213)=""),"Final Earned; ","")&amp;IF(AND(LOWER(INDEX('Game Records'!$D:$D,$H213)&amp;"")="finalized",INDEX('Game Records'!$U:$U,$H213)&lt;&gt;"Subscription",INDEX('Game Records'!$U:$U,$H213)&lt;&gt;"Free Game",INDEX('Game Records'!$U:$U,$H213)&lt;&gt;"Disqualified — Free Game",OR(INDEX('Game Records'!$L:$L,$H213)="",LOWER(INDEX('Game Records'!$L:$L,$H213)&amp;"")="n/a")),"Disqualified Status; ","")&amp;IF(AND(OR(LOWER(TRIM(INDEX('Game Records'!$F:$F,$H213)&amp;""))="free game",INDEX('Game Records'!$U:$U,$H213)="Free Game",INDEX('Game Records'!$U:$U,$H213)="Disqualified — Free Game"),N(INDEX('Game Records'!$H:$H,$H213))&lt;&gt;0),"Free Game has a non-zero Entry Fee. Free Game records require a $0 Entry Fee; ",""))</f>
        <v/>
      </c>
      <c r="G213" s="331" t="str">
        <f>IF($H213="","",IFERROR(INDEX('Game Records'!$M:$M,$H213),""))</f>
        <v/>
      </c>
      <c r="H213" s="104" t="str">
        <f>IF($H212="","",IFERROR(MATCH(1,INDEX((ROW('Game Records'!$U$5:$U$504)&gt;$H212)*(('Game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4" ht="24" customHeight="1">
      <c r="A214" s="332" t="str">
        <f>IF($H214="","",ROWS($A$5:A214))</f>
        <v/>
      </c>
      <c r="B214" s="332" t="str">
        <f>IF($H214="","","G-"&amp;TEXT($A214,"0000"))</f>
        <v/>
      </c>
      <c r="C214" s="331" t="str">
        <f>IF($H214="","",IFERROR(INDEX('Game Records'!$A:$A,$H214),""))</f>
        <v/>
      </c>
      <c r="D214" s="331" t="str">
        <f>IF($H214="","",IFERROR(INDEX('Game Records'!$U:$U,$H214),""))</f>
        <v/>
      </c>
      <c r="E214" s="331" t="str">
        <f>IF($H214="","",IF($F214="","No Highlighted Fields","Highlighted Fields Present"))</f>
        <v/>
      </c>
      <c r="F214" s="331" t="str">
        <f>IF($H214="","",IF(OR(NOT(ISFORMULA(INDEX('Game Records'!$N:$N,$H214))),NOT(ISFORMULA(INDEX('Game Records'!$O:$O,$H214))),NOT(ISFORMULA(INDEX('Game Records'!$P:$P,$H214))),NOT(ISFORMULA(INDEX('Game Records'!$Q:$Q,$H214))),NOT(ISFORMULA(INDEX('Game Records'!$R:$R,$H214))),NOT(ISFORMULA(INDEX('Game Records'!$S:$S,$H214))),NOT(ISFORMULA(INDEX('Game Records'!$T:$T,$H214))),NOT(ISFORMULA(INDEX('Game Records'!$U:$U,$H214))),NOT(ISFORMULA(INDEX('Game Records'!$V:$V,$H214))),NOT(ISFORMULA(INDEX('Game Records'!$W:$W,$H214))),NOT(ISFORMULA(INDEX('Game Records'!$X:$X,$H214))),NOT(ISFORMULA(INDEX('Game Records'!$Y:$Y,$H214))),NOT(ISFORMULA(INDEX('Game Records'!$Z:$Z,$H214)))),"Formula columns missing; ","")&amp;IF(INDEX('Game Records'!$B:$B,$H214)="","Start Date; ","")&amp;IF(INDEX('Game Records'!$C:$C,$H214)="","End Date; ","")&amp;IF(AND(INDEX('Game Records'!$U:$U,$H214)&lt;&gt;"Subscription",INDEX('Game Records'!$U:$U,$H214)&lt;&gt;"Free Game",INDEX('Game Records'!$U:$U,$H214)&lt;&gt;"Disqualified — Free Game",OR(INDEX('Game Records'!$D:$D,$H214)="",LOWER(INDEX('Game Records'!$D:$D,$H214)&amp;"")="n/a")),"Entry Mode; ","")&amp;IF(AND(INDEX('Game Records'!$U:$U,$H214)&lt;&gt;"Subscription",INDEX('Game Records'!$U:$U,$H214)&lt;&gt;"Free Game",INDEX('Game Records'!$U:$U,$H214)&lt;&gt;"Disqualified — Free Game",OR(INDEX('Game Records'!$E:$E,$H214)="",LOWER(INDEX('Game Records'!$E:$E,$H214)&amp;"")="n/a")),"Game Type; ","")&amp;IF(INDEX('Game Records'!$F:$F,$H214)="","Payment Type; ","")&amp;IF(AND(INDEX('Game Records'!$U:$U,$H214)&lt;&gt;"Subscription",INDEX('Game Records'!$U:$U,$H214)&lt;&gt;"Free Game",INDEX('Game Records'!$U:$U,$H214)&lt;&gt;"Disqualified — Free Game",INDEX('Game Records'!$G:$G,$H214)=""),"Gross Pot; ","")&amp;IF(AND(INDEX('Game Records'!$U:$U,$H214)&lt;&gt;"Free Game",INDEX('Game Records'!$U:$U,$H214)&lt;&gt;"Disqualified — Free Game",INDEX('Game Records'!$H:$H,$H214)=""),"Entry Fee; ","")&amp;IF(AND(INDEX('Game Records'!$U:$U,$H214)&lt;&gt;"Subscription",INDEX('Game Records'!$U:$U,$H214)&lt;&gt;"Free Game",INDEX('Game Records'!$U:$U,$H214)&lt;&gt;"Disqualified — Free Game",INDEX('Game Records'!$I:$I,$H214)=""),"Eligible Players; ","")&amp;IF(AND(INDEX('Game Records'!$U:$U,$H214)&lt;&gt;"Subscription",INDEX('Game Records'!$U:$U,$H214)&lt;&gt;"Free Game",INDEX('Game Records'!$U:$U,$H214)&lt;&gt;"Disqualified — Free Game",INDEX('Game Records'!$J:$J,$H214)=""),"Total Players; ","")&amp;IF(AND(LOWER(INDEX('Game Records'!$D:$D,$H214)&amp;"")="finalized",LOWER(INDEX('Game Records'!$L:$L,$H214)&amp;"")&lt;&gt;"yes",INDEX('Game Records'!$U:$U,$H214)&lt;&gt;"Subscription",INDEX('Game Records'!$U:$U,$H214)&lt;&gt;"Free Game",INDEX('Game Records'!$U:$U,$H214)&lt;&gt;"Disqualified — Free Game",INDEX('Game Records'!$K:$K,$H214)=""),"Final Earned; ","")&amp;IF(AND(LOWER(INDEX('Game Records'!$D:$D,$H214)&amp;"")="finalized",INDEX('Game Records'!$U:$U,$H214)&lt;&gt;"Subscription",INDEX('Game Records'!$U:$U,$H214)&lt;&gt;"Free Game",INDEX('Game Records'!$U:$U,$H214)&lt;&gt;"Disqualified — Free Game",OR(INDEX('Game Records'!$L:$L,$H214)="",LOWER(INDEX('Game Records'!$L:$L,$H214)&amp;"")="n/a")),"Disqualified Status; ","")&amp;IF(AND(OR(LOWER(TRIM(INDEX('Game Records'!$F:$F,$H214)&amp;""))="free game",INDEX('Game Records'!$U:$U,$H214)="Free Game",INDEX('Game Records'!$U:$U,$H214)="Disqualified — Free Game"),N(INDEX('Game Records'!$H:$H,$H214))&lt;&gt;0),"Free Game has a non-zero Entry Fee. Free Game records require a $0 Entry Fee; ",""))</f>
        <v/>
      </c>
      <c r="G214" s="331" t="str">
        <f>IF($H214="","",IFERROR(INDEX('Game Records'!$M:$M,$H214),""))</f>
        <v/>
      </c>
      <c r="H214" s="104" t="str">
        <f>IF($H213="","",IFERROR(MATCH(1,INDEX((ROW('Game Records'!$U$5:$U$504)&gt;$H213)*(('Game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5" ht="24" customHeight="1">
      <c r="A215" s="332" t="str">
        <f>IF($H215="","",ROWS($A$5:A215))</f>
        <v/>
      </c>
      <c r="B215" s="332" t="str">
        <f>IF($H215="","","G-"&amp;TEXT($A215,"0000"))</f>
        <v/>
      </c>
      <c r="C215" s="331" t="str">
        <f>IF($H215="","",IFERROR(INDEX('Game Records'!$A:$A,$H215),""))</f>
        <v/>
      </c>
      <c r="D215" s="331" t="str">
        <f>IF($H215="","",IFERROR(INDEX('Game Records'!$U:$U,$H215),""))</f>
        <v/>
      </c>
      <c r="E215" s="331" t="str">
        <f>IF($H215="","",IF($F215="","No Highlighted Fields","Highlighted Fields Present"))</f>
        <v/>
      </c>
      <c r="F215" s="331" t="str">
        <f>IF($H215="","",IF(OR(NOT(ISFORMULA(INDEX('Game Records'!$N:$N,$H215))),NOT(ISFORMULA(INDEX('Game Records'!$O:$O,$H215))),NOT(ISFORMULA(INDEX('Game Records'!$P:$P,$H215))),NOT(ISFORMULA(INDEX('Game Records'!$Q:$Q,$H215))),NOT(ISFORMULA(INDEX('Game Records'!$R:$R,$H215))),NOT(ISFORMULA(INDEX('Game Records'!$S:$S,$H215))),NOT(ISFORMULA(INDEX('Game Records'!$T:$T,$H215))),NOT(ISFORMULA(INDEX('Game Records'!$U:$U,$H215))),NOT(ISFORMULA(INDEX('Game Records'!$V:$V,$H215))),NOT(ISFORMULA(INDEX('Game Records'!$W:$W,$H215))),NOT(ISFORMULA(INDEX('Game Records'!$X:$X,$H215))),NOT(ISFORMULA(INDEX('Game Records'!$Y:$Y,$H215))),NOT(ISFORMULA(INDEX('Game Records'!$Z:$Z,$H215)))),"Formula columns missing; ","")&amp;IF(INDEX('Game Records'!$B:$B,$H215)="","Start Date; ","")&amp;IF(INDEX('Game Records'!$C:$C,$H215)="","End Date; ","")&amp;IF(AND(INDEX('Game Records'!$U:$U,$H215)&lt;&gt;"Subscription",INDEX('Game Records'!$U:$U,$H215)&lt;&gt;"Free Game",INDEX('Game Records'!$U:$U,$H215)&lt;&gt;"Disqualified — Free Game",OR(INDEX('Game Records'!$D:$D,$H215)="",LOWER(INDEX('Game Records'!$D:$D,$H215)&amp;"")="n/a")),"Entry Mode; ","")&amp;IF(AND(INDEX('Game Records'!$U:$U,$H215)&lt;&gt;"Subscription",INDEX('Game Records'!$U:$U,$H215)&lt;&gt;"Free Game",INDEX('Game Records'!$U:$U,$H215)&lt;&gt;"Disqualified — Free Game",OR(INDEX('Game Records'!$E:$E,$H215)="",LOWER(INDEX('Game Records'!$E:$E,$H215)&amp;"")="n/a")),"Game Type; ","")&amp;IF(INDEX('Game Records'!$F:$F,$H215)="","Payment Type; ","")&amp;IF(AND(INDEX('Game Records'!$U:$U,$H215)&lt;&gt;"Subscription",INDEX('Game Records'!$U:$U,$H215)&lt;&gt;"Free Game",INDEX('Game Records'!$U:$U,$H215)&lt;&gt;"Disqualified — Free Game",INDEX('Game Records'!$G:$G,$H215)=""),"Gross Pot; ","")&amp;IF(AND(INDEX('Game Records'!$U:$U,$H215)&lt;&gt;"Free Game",INDEX('Game Records'!$U:$U,$H215)&lt;&gt;"Disqualified — Free Game",INDEX('Game Records'!$H:$H,$H215)=""),"Entry Fee; ","")&amp;IF(AND(INDEX('Game Records'!$U:$U,$H215)&lt;&gt;"Subscription",INDEX('Game Records'!$U:$U,$H215)&lt;&gt;"Free Game",INDEX('Game Records'!$U:$U,$H215)&lt;&gt;"Disqualified — Free Game",INDEX('Game Records'!$I:$I,$H215)=""),"Eligible Players; ","")&amp;IF(AND(INDEX('Game Records'!$U:$U,$H215)&lt;&gt;"Subscription",INDEX('Game Records'!$U:$U,$H215)&lt;&gt;"Free Game",INDEX('Game Records'!$U:$U,$H215)&lt;&gt;"Disqualified — Free Game",INDEX('Game Records'!$J:$J,$H215)=""),"Total Players; ","")&amp;IF(AND(LOWER(INDEX('Game Records'!$D:$D,$H215)&amp;"")="finalized",LOWER(INDEX('Game Records'!$L:$L,$H215)&amp;"")&lt;&gt;"yes",INDEX('Game Records'!$U:$U,$H215)&lt;&gt;"Subscription",INDEX('Game Records'!$U:$U,$H215)&lt;&gt;"Free Game",INDEX('Game Records'!$U:$U,$H215)&lt;&gt;"Disqualified — Free Game",INDEX('Game Records'!$K:$K,$H215)=""),"Final Earned; ","")&amp;IF(AND(LOWER(INDEX('Game Records'!$D:$D,$H215)&amp;"")="finalized",INDEX('Game Records'!$U:$U,$H215)&lt;&gt;"Subscription",INDEX('Game Records'!$U:$U,$H215)&lt;&gt;"Free Game",INDEX('Game Records'!$U:$U,$H215)&lt;&gt;"Disqualified — Free Game",OR(INDEX('Game Records'!$L:$L,$H215)="",LOWER(INDEX('Game Records'!$L:$L,$H215)&amp;"")="n/a")),"Disqualified Status; ","")&amp;IF(AND(OR(LOWER(TRIM(INDEX('Game Records'!$F:$F,$H215)&amp;""))="free game",INDEX('Game Records'!$U:$U,$H215)="Free Game",INDEX('Game Records'!$U:$U,$H215)="Disqualified — Free Game"),N(INDEX('Game Records'!$H:$H,$H215))&lt;&gt;0),"Free Game has a non-zero Entry Fee. Free Game records require a $0 Entry Fee; ",""))</f>
        <v/>
      </c>
      <c r="G215" s="331" t="str">
        <f>IF($H215="","",IFERROR(INDEX('Game Records'!$M:$M,$H215),""))</f>
        <v/>
      </c>
      <c r="H215" s="104" t="str">
        <f>IF($H214="","",IFERROR(MATCH(1,INDEX((ROW('Game Records'!$U$5:$U$504)&gt;$H214)*(('Game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6" ht="24" customHeight="1">
      <c r="A216" s="332" t="str">
        <f>IF($H216="","",ROWS($A$5:A216))</f>
        <v/>
      </c>
      <c r="B216" s="332" t="str">
        <f>IF($H216="","","G-"&amp;TEXT($A216,"0000"))</f>
        <v/>
      </c>
      <c r="C216" s="331" t="str">
        <f>IF($H216="","",IFERROR(INDEX('Game Records'!$A:$A,$H216),""))</f>
        <v/>
      </c>
      <c r="D216" s="331" t="str">
        <f>IF($H216="","",IFERROR(INDEX('Game Records'!$U:$U,$H216),""))</f>
        <v/>
      </c>
      <c r="E216" s="331" t="str">
        <f>IF($H216="","",IF($F216="","No Highlighted Fields","Highlighted Fields Present"))</f>
        <v/>
      </c>
      <c r="F216" s="331" t="str">
        <f>IF($H216="","",IF(OR(NOT(ISFORMULA(INDEX('Game Records'!$N:$N,$H216))),NOT(ISFORMULA(INDEX('Game Records'!$O:$O,$H216))),NOT(ISFORMULA(INDEX('Game Records'!$P:$P,$H216))),NOT(ISFORMULA(INDEX('Game Records'!$Q:$Q,$H216))),NOT(ISFORMULA(INDEX('Game Records'!$R:$R,$H216))),NOT(ISFORMULA(INDEX('Game Records'!$S:$S,$H216))),NOT(ISFORMULA(INDEX('Game Records'!$T:$T,$H216))),NOT(ISFORMULA(INDEX('Game Records'!$U:$U,$H216))),NOT(ISFORMULA(INDEX('Game Records'!$V:$V,$H216))),NOT(ISFORMULA(INDEX('Game Records'!$W:$W,$H216))),NOT(ISFORMULA(INDEX('Game Records'!$X:$X,$H216))),NOT(ISFORMULA(INDEX('Game Records'!$Y:$Y,$H216))),NOT(ISFORMULA(INDEX('Game Records'!$Z:$Z,$H216)))),"Formula columns missing; ","")&amp;IF(INDEX('Game Records'!$B:$B,$H216)="","Start Date; ","")&amp;IF(INDEX('Game Records'!$C:$C,$H216)="","End Date; ","")&amp;IF(AND(INDEX('Game Records'!$U:$U,$H216)&lt;&gt;"Subscription",INDEX('Game Records'!$U:$U,$H216)&lt;&gt;"Free Game",INDEX('Game Records'!$U:$U,$H216)&lt;&gt;"Disqualified — Free Game",OR(INDEX('Game Records'!$D:$D,$H216)="",LOWER(INDEX('Game Records'!$D:$D,$H216)&amp;"")="n/a")),"Entry Mode; ","")&amp;IF(AND(INDEX('Game Records'!$U:$U,$H216)&lt;&gt;"Subscription",INDEX('Game Records'!$U:$U,$H216)&lt;&gt;"Free Game",INDEX('Game Records'!$U:$U,$H216)&lt;&gt;"Disqualified — Free Game",OR(INDEX('Game Records'!$E:$E,$H216)="",LOWER(INDEX('Game Records'!$E:$E,$H216)&amp;"")="n/a")),"Game Type; ","")&amp;IF(INDEX('Game Records'!$F:$F,$H216)="","Payment Type; ","")&amp;IF(AND(INDEX('Game Records'!$U:$U,$H216)&lt;&gt;"Subscription",INDEX('Game Records'!$U:$U,$H216)&lt;&gt;"Free Game",INDEX('Game Records'!$U:$U,$H216)&lt;&gt;"Disqualified — Free Game",INDEX('Game Records'!$G:$G,$H216)=""),"Gross Pot; ","")&amp;IF(AND(INDEX('Game Records'!$U:$U,$H216)&lt;&gt;"Free Game",INDEX('Game Records'!$U:$U,$H216)&lt;&gt;"Disqualified — Free Game",INDEX('Game Records'!$H:$H,$H216)=""),"Entry Fee; ","")&amp;IF(AND(INDEX('Game Records'!$U:$U,$H216)&lt;&gt;"Subscription",INDEX('Game Records'!$U:$U,$H216)&lt;&gt;"Free Game",INDEX('Game Records'!$U:$U,$H216)&lt;&gt;"Disqualified — Free Game",INDEX('Game Records'!$I:$I,$H216)=""),"Eligible Players; ","")&amp;IF(AND(INDEX('Game Records'!$U:$U,$H216)&lt;&gt;"Subscription",INDEX('Game Records'!$U:$U,$H216)&lt;&gt;"Free Game",INDEX('Game Records'!$U:$U,$H216)&lt;&gt;"Disqualified — Free Game",INDEX('Game Records'!$J:$J,$H216)=""),"Total Players; ","")&amp;IF(AND(LOWER(INDEX('Game Records'!$D:$D,$H216)&amp;"")="finalized",LOWER(INDEX('Game Records'!$L:$L,$H216)&amp;"")&lt;&gt;"yes",INDEX('Game Records'!$U:$U,$H216)&lt;&gt;"Subscription",INDEX('Game Records'!$U:$U,$H216)&lt;&gt;"Free Game",INDEX('Game Records'!$U:$U,$H216)&lt;&gt;"Disqualified — Free Game",INDEX('Game Records'!$K:$K,$H216)=""),"Final Earned; ","")&amp;IF(AND(LOWER(INDEX('Game Records'!$D:$D,$H216)&amp;"")="finalized",INDEX('Game Records'!$U:$U,$H216)&lt;&gt;"Subscription",INDEX('Game Records'!$U:$U,$H216)&lt;&gt;"Free Game",INDEX('Game Records'!$U:$U,$H216)&lt;&gt;"Disqualified — Free Game",OR(INDEX('Game Records'!$L:$L,$H216)="",LOWER(INDEX('Game Records'!$L:$L,$H216)&amp;"")="n/a")),"Disqualified Status; ","")&amp;IF(AND(OR(LOWER(TRIM(INDEX('Game Records'!$F:$F,$H216)&amp;""))="free game",INDEX('Game Records'!$U:$U,$H216)="Free Game",INDEX('Game Records'!$U:$U,$H216)="Disqualified — Free Game"),N(INDEX('Game Records'!$H:$H,$H216))&lt;&gt;0),"Free Game has a non-zero Entry Fee. Free Game records require a $0 Entry Fee; ",""))</f>
        <v/>
      </c>
      <c r="G216" s="331" t="str">
        <f>IF($H216="","",IFERROR(INDEX('Game Records'!$M:$M,$H216),""))</f>
        <v/>
      </c>
      <c r="H216" s="104" t="str">
        <f>IF($H215="","",IFERROR(MATCH(1,INDEX((ROW('Game Records'!$U$5:$U$504)&gt;$H215)*(('Game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7" ht="24" customHeight="1">
      <c r="A217" s="332" t="str">
        <f>IF($H217="","",ROWS($A$5:A217))</f>
        <v/>
      </c>
      <c r="B217" s="332" t="str">
        <f>IF($H217="","","G-"&amp;TEXT($A217,"0000"))</f>
        <v/>
      </c>
      <c r="C217" s="331" t="str">
        <f>IF($H217="","",IFERROR(INDEX('Game Records'!$A:$A,$H217),""))</f>
        <v/>
      </c>
      <c r="D217" s="331" t="str">
        <f>IF($H217="","",IFERROR(INDEX('Game Records'!$U:$U,$H217),""))</f>
        <v/>
      </c>
      <c r="E217" s="331" t="str">
        <f>IF($H217="","",IF($F217="","No Highlighted Fields","Highlighted Fields Present"))</f>
        <v/>
      </c>
      <c r="F217" s="331" t="str">
        <f>IF($H217="","",IF(OR(NOT(ISFORMULA(INDEX('Game Records'!$N:$N,$H217))),NOT(ISFORMULA(INDEX('Game Records'!$O:$O,$H217))),NOT(ISFORMULA(INDEX('Game Records'!$P:$P,$H217))),NOT(ISFORMULA(INDEX('Game Records'!$Q:$Q,$H217))),NOT(ISFORMULA(INDEX('Game Records'!$R:$R,$H217))),NOT(ISFORMULA(INDEX('Game Records'!$S:$S,$H217))),NOT(ISFORMULA(INDEX('Game Records'!$T:$T,$H217))),NOT(ISFORMULA(INDEX('Game Records'!$U:$U,$H217))),NOT(ISFORMULA(INDEX('Game Records'!$V:$V,$H217))),NOT(ISFORMULA(INDEX('Game Records'!$W:$W,$H217))),NOT(ISFORMULA(INDEX('Game Records'!$X:$X,$H217))),NOT(ISFORMULA(INDEX('Game Records'!$Y:$Y,$H217))),NOT(ISFORMULA(INDEX('Game Records'!$Z:$Z,$H217)))),"Formula columns missing; ","")&amp;IF(INDEX('Game Records'!$B:$B,$H217)="","Start Date; ","")&amp;IF(INDEX('Game Records'!$C:$C,$H217)="","End Date; ","")&amp;IF(AND(INDEX('Game Records'!$U:$U,$H217)&lt;&gt;"Subscription",INDEX('Game Records'!$U:$U,$H217)&lt;&gt;"Free Game",INDEX('Game Records'!$U:$U,$H217)&lt;&gt;"Disqualified — Free Game",OR(INDEX('Game Records'!$D:$D,$H217)="",LOWER(INDEX('Game Records'!$D:$D,$H217)&amp;"")="n/a")),"Entry Mode; ","")&amp;IF(AND(INDEX('Game Records'!$U:$U,$H217)&lt;&gt;"Subscription",INDEX('Game Records'!$U:$U,$H217)&lt;&gt;"Free Game",INDEX('Game Records'!$U:$U,$H217)&lt;&gt;"Disqualified — Free Game",OR(INDEX('Game Records'!$E:$E,$H217)="",LOWER(INDEX('Game Records'!$E:$E,$H217)&amp;"")="n/a")),"Game Type; ","")&amp;IF(INDEX('Game Records'!$F:$F,$H217)="","Payment Type; ","")&amp;IF(AND(INDEX('Game Records'!$U:$U,$H217)&lt;&gt;"Subscription",INDEX('Game Records'!$U:$U,$H217)&lt;&gt;"Free Game",INDEX('Game Records'!$U:$U,$H217)&lt;&gt;"Disqualified — Free Game",INDEX('Game Records'!$G:$G,$H217)=""),"Gross Pot; ","")&amp;IF(AND(INDEX('Game Records'!$U:$U,$H217)&lt;&gt;"Free Game",INDEX('Game Records'!$U:$U,$H217)&lt;&gt;"Disqualified — Free Game",INDEX('Game Records'!$H:$H,$H217)=""),"Entry Fee; ","")&amp;IF(AND(INDEX('Game Records'!$U:$U,$H217)&lt;&gt;"Subscription",INDEX('Game Records'!$U:$U,$H217)&lt;&gt;"Free Game",INDEX('Game Records'!$U:$U,$H217)&lt;&gt;"Disqualified — Free Game",INDEX('Game Records'!$I:$I,$H217)=""),"Eligible Players; ","")&amp;IF(AND(INDEX('Game Records'!$U:$U,$H217)&lt;&gt;"Subscription",INDEX('Game Records'!$U:$U,$H217)&lt;&gt;"Free Game",INDEX('Game Records'!$U:$U,$H217)&lt;&gt;"Disqualified — Free Game",INDEX('Game Records'!$J:$J,$H217)=""),"Total Players; ","")&amp;IF(AND(LOWER(INDEX('Game Records'!$D:$D,$H217)&amp;"")="finalized",LOWER(INDEX('Game Records'!$L:$L,$H217)&amp;"")&lt;&gt;"yes",INDEX('Game Records'!$U:$U,$H217)&lt;&gt;"Subscription",INDEX('Game Records'!$U:$U,$H217)&lt;&gt;"Free Game",INDEX('Game Records'!$U:$U,$H217)&lt;&gt;"Disqualified — Free Game",INDEX('Game Records'!$K:$K,$H217)=""),"Final Earned; ","")&amp;IF(AND(LOWER(INDEX('Game Records'!$D:$D,$H217)&amp;"")="finalized",INDEX('Game Records'!$U:$U,$H217)&lt;&gt;"Subscription",INDEX('Game Records'!$U:$U,$H217)&lt;&gt;"Free Game",INDEX('Game Records'!$U:$U,$H217)&lt;&gt;"Disqualified — Free Game",OR(INDEX('Game Records'!$L:$L,$H217)="",LOWER(INDEX('Game Records'!$L:$L,$H217)&amp;"")="n/a")),"Disqualified Status; ","")&amp;IF(AND(OR(LOWER(TRIM(INDEX('Game Records'!$F:$F,$H217)&amp;""))="free game",INDEX('Game Records'!$U:$U,$H217)="Free Game",INDEX('Game Records'!$U:$U,$H217)="Disqualified — Free Game"),N(INDEX('Game Records'!$H:$H,$H217))&lt;&gt;0),"Free Game has a non-zero Entry Fee. Free Game records require a $0 Entry Fee; ",""))</f>
        <v/>
      </c>
      <c r="G217" s="331" t="str">
        <f>IF($H217="","",IFERROR(INDEX('Game Records'!$M:$M,$H217),""))</f>
        <v/>
      </c>
      <c r="H217" s="104" t="str">
        <f>IF($H216="","",IFERROR(MATCH(1,INDEX((ROW('Game Records'!$U$5:$U$504)&gt;$H216)*(('Game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8" ht="24" customHeight="1">
      <c r="A218" s="332" t="str">
        <f>IF($H218="","",ROWS($A$5:A218))</f>
        <v/>
      </c>
      <c r="B218" s="332" t="str">
        <f>IF($H218="","","G-"&amp;TEXT($A218,"0000"))</f>
        <v/>
      </c>
      <c r="C218" s="331" t="str">
        <f>IF($H218="","",IFERROR(INDEX('Game Records'!$A:$A,$H218),""))</f>
        <v/>
      </c>
      <c r="D218" s="331" t="str">
        <f>IF($H218="","",IFERROR(INDEX('Game Records'!$U:$U,$H218),""))</f>
        <v/>
      </c>
      <c r="E218" s="331" t="str">
        <f>IF($H218="","",IF($F218="","No Highlighted Fields","Highlighted Fields Present"))</f>
        <v/>
      </c>
      <c r="F218" s="331" t="str">
        <f>IF($H218="","",IF(OR(NOT(ISFORMULA(INDEX('Game Records'!$N:$N,$H218))),NOT(ISFORMULA(INDEX('Game Records'!$O:$O,$H218))),NOT(ISFORMULA(INDEX('Game Records'!$P:$P,$H218))),NOT(ISFORMULA(INDEX('Game Records'!$Q:$Q,$H218))),NOT(ISFORMULA(INDEX('Game Records'!$R:$R,$H218))),NOT(ISFORMULA(INDEX('Game Records'!$S:$S,$H218))),NOT(ISFORMULA(INDEX('Game Records'!$T:$T,$H218))),NOT(ISFORMULA(INDEX('Game Records'!$U:$U,$H218))),NOT(ISFORMULA(INDEX('Game Records'!$V:$V,$H218))),NOT(ISFORMULA(INDEX('Game Records'!$W:$W,$H218))),NOT(ISFORMULA(INDEX('Game Records'!$X:$X,$H218))),NOT(ISFORMULA(INDEX('Game Records'!$Y:$Y,$H218))),NOT(ISFORMULA(INDEX('Game Records'!$Z:$Z,$H218)))),"Formula columns missing; ","")&amp;IF(INDEX('Game Records'!$B:$B,$H218)="","Start Date; ","")&amp;IF(INDEX('Game Records'!$C:$C,$H218)="","End Date; ","")&amp;IF(AND(INDEX('Game Records'!$U:$U,$H218)&lt;&gt;"Subscription",INDEX('Game Records'!$U:$U,$H218)&lt;&gt;"Free Game",INDEX('Game Records'!$U:$U,$H218)&lt;&gt;"Disqualified — Free Game",OR(INDEX('Game Records'!$D:$D,$H218)="",LOWER(INDEX('Game Records'!$D:$D,$H218)&amp;"")="n/a")),"Entry Mode; ","")&amp;IF(AND(INDEX('Game Records'!$U:$U,$H218)&lt;&gt;"Subscription",INDEX('Game Records'!$U:$U,$H218)&lt;&gt;"Free Game",INDEX('Game Records'!$U:$U,$H218)&lt;&gt;"Disqualified — Free Game",OR(INDEX('Game Records'!$E:$E,$H218)="",LOWER(INDEX('Game Records'!$E:$E,$H218)&amp;"")="n/a")),"Game Type; ","")&amp;IF(INDEX('Game Records'!$F:$F,$H218)="","Payment Type; ","")&amp;IF(AND(INDEX('Game Records'!$U:$U,$H218)&lt;&gt;"Subscription",INDEX('Game Records'!$U:$U,$H218)&lt;&gt;"Free Game",INDEX('Game Records'!$U:$U,$H218)&lt;&gt;"Disqualified — Free Game",INDEX('Game Records'!$G:$G,$H218)=""),"Gross Pot; ","")&amp;IF(AND(INDEX('Game Records'!$U:$U,$H218)&lt;&gt;"Free Game",INDEX('Game Records'!$U:$U,$H218)&lt;&gt;"Disqualified — Free Game",INDEX('Game Records'!$H:$H,$H218)=""),"Entry Fee; ","")&amp;IF(AND(INDEX('Game Records'!$U:$U,$H218)&lt;&gt;"Subscription",INDEX('Game Records'!$U:$U,$H218)&lt;&gt;"Free Game",INDEX('Game Records'!$U:$U,$H218)&lt;&gt;"Disqualified — Free Game",INDEX('Game Records'!$I:$I,$H218)=""),"Eligible Players; ","")&amp;IF(AND(INDEX('Game Records'!$U:$U,$H218)&lt;&gt;"Subscription",INDEX('Game Records'!$U:$U,$H218)&lt;&gt;"Free Game",INDEX('Game Records'!$U:$U,$H218)&lt;&gt;"Disqualified — Free Game",INDEX('Game Records'!$J:$J,$H218)=""),"Total Players; ","")&amp;IF(AND(LOWER(INDEX('Game Records'!$D:$D,$H218)&amp;"")="finalized",LOWER(INDEX('Game Records'!$L:$L,$H218)&amp;"")&lt;&gt;"yes",INDEX('Game Records'!$U:$U,$H218)&lt;&gt;"Subscription",INDEX('Game Records'!$U:$U,$H218)&lt;&gt;"Free Game",INDEX('Game Records'!$U:$U,$H218)&lt;&gt;"Disqualified — Free Game",INDEX('Game Records'!$K:$K,$H218)=""),"Final Earned; ","")&amp;IF(AND(LOWER(INDEX('Game Records'!$D:$D,$H218)&amp;"")="finalized",INDEX('Game Records'!$U:$U,$H218)&lt;&gt;"Subscription",INDEX('Game Records'!$U:$U,$H218)&lt;&gt;"Free Game",INDEX('Game Records'!$U:$U,$H218)&lt;&gt;"Disqualified — Free Game",OR(INDEX('Game Records'!$L:$L,$H218)="",LOWER(INDEX('Game Records'!$L:$L,$H218)&amp;"")="n/a")),"Disqualified Status; ","")&amp;IF(AND(OR(LOWER(TRIM(INDEX('Game Records'!$F:$F,$H218)&amp;""))="free game",INDEX('Game Records'!$U:$U,$H218)="Free Game",INDEX('Game Records'!$U:$U,$H218)="Disqualified — Free Game"),N(INDEX('Game Records'!$H:$H,$H218))&lt;&gt;0),"Free Game has a non-zero Entry Fee. Free Game records require a $0 Entry Fee; ",""))</f>
        <v/>
      </c>
      <c r="G218" s="331" t="str">
        <f>IF($H218="","",IFERROR(INDEX('Game Records'!$M:$M,$H218),""))</f>
        <v/>
      </c>
      <c r="H218" s="104" t="str">
        <f>IF($H217="","",IFERROR(MATCH(1,INDEX((ROW('Game Records'!$U$5:$U$504)&gt;$H217)*(('Game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9" ht="24" customHeight="1">
      <c r="A219" s="332" t="str">
        <f>IF($H219="","",ROWS($A$5:A219))</f>
        <v/>
      </c>
      <c r="B219" s="332" t="str">
        <f>IF($H219="","","G-"&amp;TEXT($A219,"0000"))</f>
        <v/>
      </c>
      <c r="C219" s="331" t="str">
        <f>IF($H219="","",IFERROR(INDEX('Game Records'!$A:$A,$H219),""))</f>
        <v/>
      </c>
      <c r="D219" s="331" t="str">
        <f>IF($H219="","",IFERROR(INDEX('Game Records'!$U:$U,$H219),""))</f>
        <v/>
      </c>
      <c r="E219" s="331" t="str">
        <f>IF($H219="","",IF($F219="","No Highlighted Fields","Highlighted Fields Present"))</f>
        <v/>
      </c>
      <c r="F219" s="331" t="str">
        <f>IF($H219="","",IF(OR(NOT(ISFORMULA(INDEX('Game Records'!$N:$N,$H219))),NOT(ISFORMULA(INDEX('Game Records'!$O:$O,$H219))),NOT(ISFORMULA(INDEX('Game Records'!$P:$P,$H219))),NOT(ISFORMULA(INDEX('Game Records'!$Q:$Q,$H219))),NOT(ISFORMULA(INDEX('Game Records'!$R:$R,$H219))),NOT(ISFORMULA(INDEX('Game Records'!$S:$S,$H219))),NOT(ISFORMULA(INDEX('Game Records'!$T:$T,$H219))),NOT(ISFORMULA(INDEX('Game Records'!$U:$U,$H219))),NOT(ISFORMULA(INDEX('Game Records'!$V:$V,$H219))),NOT(ISFORMULA(INDEX('Game Records'!$W:$W,$H219))),NOT(ISFORMULA(INDEX('Game Records'!$X:$X,$H219))),NOT(ISFORMULA(INDEX('Game Records'!$Y:$Y,$H219))),NOT(ISFORMULA(INDEX('Game Records'!$Z:$Z,$H219)))),"Formula columns missing; ","")&amp;IF(INDEX('Game Records'!$B:$B,$H219)="","Start Date; ","")&amp;IF(INDEX('Game Records'!$C:$C,$H219)="","End Date; ","")&amp;IF(AND(INDEX('Game Records'!$U:$U,$H219)&lt;&gt;"Subscription",INDEX('Game Records'!$U:$U,$H219)&lt;&gt;"Free Game",INDEX('Game Records'!$U:$U,$H219)&lt;&gt;"Disqualified — Free Game",OR(INDEX('Game Records'!$D:$D,$H219)="",LOWER(INDEX('Game Records'!$D:$D,$H219)&amp;"")="n/a")),"Entry Mode; ","")&amp;IF(AND(INDEX('Game Records'!$U:$U,$H219)&lt;&gt;"Subscription",INDEX('Game Records'!$U:$U,$H219)&lt;&gt;"Free Game",INDEX('Game Records'!$U:$U,$H219)&lt;&gt;"Disqualified — Free Game",OR(INDEX('Game Records'!$E:$E,$H219)="",LOWER(INDEX('Game Records'!$E:$E,$H219)&amp;"")="n/a")),"Game Type; ","")&amp;IF(INDEX('Game Records'!$F:$F,$H219)="","Payment Type; ","")&amp;IF(AND(INDEX('Game Records'!$U:$U,$H219)&lt;&gt;"Subscription",INDEX('Game Records'!$U:$U,$H219)&lt;&gt;"Free Game",INDEX('Game Records'!$U:$U,$H219)&lt;&gt;"Disqualified — Free Game",INDEX('Game Records'!$G:$G,$H219)=""),"Gross Pot; ","")&amp;IF(AND(INDEX('Game Records'!$U:$U,$H219)&lt;&gt;"Free Game",INDEX('Game Records'!$U:$U,$H219)&lt;&gt;"Disqualified — Free Game",INDEX('Game Records'!$H:$H,$H219)=""),"Entry Fee; ","")&amp;IF(AND(INDEX('Game Records'!$U:$U,$H219)&lt;&gt;"Subscription",INDEX('Game Records'!$U:$U,$H219)&lt;&gt;"Free Game",INDEX('Game Records'!$U:$U,$H219)&lt;&gt;"Disqualified — Free Game",INDEX('Game Records'!$I:$I,$H219)=""),"Eligible Players; ","")&amp;IF(AND(INDEX('Game Records'!$U:$U,$H219)&lt;&gt;"Subscription",INDEX('Game Records'!$U:$U,$H219)&lt;&gt;"Free Game",INDEX('Game Records'!$U:$U,$H219)&lt;&gt;"Disqualified — Free Game",INDEX('Game Records'!$J:$J,$H219)=""),"Total Players; ","")&amp;IF(AND(LOWER(INDEX('Game Records'!$D:$D,$H219)&amp;"")="finalized",LOWER(INDEX('Game Records'!$L:$L,$H219)&amp;"")&lt;&gt;"yes",INDEX('Game Records'!$U:$U,$H219)&lt;&gt;"Subscription",INDEX('Game Records'!$U:$U,$H219)&lt;&gt;"Free Game",INDEX('Game Records'!$U:$U,$H219)&lt;&gt;"Disqualified — Free Game",INDEX('Game Records'!$K:$K,$H219)=""),"Final Earned; ","")&amp;IF(AND(LOWER(INDEX('Game Records'!$D:$D,$H219)&amp;"")="finalized",INDEX('Game Records'!$U:$U,$H219)&lt;&gt;"Subscription",INDEX('Game Records'!$U:$U,$H219)&lt;&gt;"Free Game",INDEX('Game Records'!$U:$U,$H219)&lt;&gt;"Disqualified — Free Game",OR(INDEX('Game Records'!$L:$L,$H219)="",LOWER(INDEX('Game Records'!$L:$L,$H219)&amp;"")="n/a")),"Disqualified Status; ","")&amp;IF(AND(OR(LOWER(TRIM(INDEX('Game Records'!$F:$F,$H219)&amp;""))="free game",INDEX('Game Records'!$U:$U,$H219)="Free Game",INDEX('Game Records'!$U:$U,$H219)="Disqualified — Free Game"),N(INDEX('Game Records'!$H:$H,$H219))&lt;&gt;0),"Free Game has a non-zero Entry Fee. Free Game records require a $0 Entry Fee; ",""))</f>
        <v/>
      </c>
      <c r="G219" s="331" t="str">
        <f>IF($H219="","",IFERROR(INDEX('Game Records'!$M:$M,$H219),""))</f>
        <v/>
      </c>
      <c r="H219" s="104" t="str">
        <f>IF($H218="","",IFERROR(MATCH(1,INDEX((ROW('Game Records'!$U$5:$U$504)&gt;$H218)*(('Game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0" ht="24" customHeight="1">
      <c r="A220" s="332" t="str">
        <f>IF($H220="","",ROWS($A$5:A220))</f>
        <v/>
      </c>
      <c r="B220" s="332" t="str">
        <f>IF($H220="","","G-"&amp;TEXT($A220,"0000"))</f>
        <v/>
      </c>
      <c r="C220" s="331" t="str">
        <f>IF($H220="","",IFERROR(INDEX('Game Records'!$A:$A,$H220),""))</f>
        <v/>
      </c>
      <c r="D220" s="331" t="str">
        <f>IF($H220="","",IFERROR(INDEX('Game Records'!$U:$U,$H220),""))</f>
        <v/>
      </c>
      <c r="E220" s="331" t="str">
        <f>IF($H220="","",IF($F220="","No Highlighted Fields","Highlighted Fields Present"))</f>
        <v/>
      </c>
      <c r="F220" s="331" t="str">
        <f>IF($H220="","",IF(OR(NOT(ISFORMULA(INDEX('Game Records'!$N:$N,$H220))),NOT(ISFORMULA(INDEX('Game Records'!$O:$O,$H220))),NOT(ISFORMULA(INDEX('Game Records'!$P:$P,$H220))),NOT(ISFORMULA(INDEX('Game Records'!$Q:$Q,$H220))),NOT(ISFORMULA(INDEX('Game Records'!$R:$R,$H220))),NOT(ISFORMULA(INDEX('Game Records'!$S:$S,$H220))),NOT(ISFORMULA(INDEX('Game Records'!$T:$T,$H220))),NOT(ISFORMULA(INDEX('Game Records'!$U:$U,$H220))),NOT(ISFORMULA(INDEX('Game Records'!$V:$V,$H220))),NOT(ISFORMULA(INDEX('Game Records'!$W:$W,$H220))),NOT(ISFORMULA(INDEX('Game Records'!$X:$X,$H220))),NOT(ISFORMULA(INDEX('Game Records'!$Y:$Y,$H220))),NOT(ISFORMULA(INDEX('Game Records'!$Z:$Z,$H220)))),"Formula columns missing; ","")&amp;IF(INDEX('Game Records'!$B:$B,$H220)="","Start Date; ","")&amp;IF(INDEX('Game Records'!$C:$C,$H220)="","End Date; ","")&amp;IF(AND(INDEX('Game Records'!$U:$U,$H220)&lt;&gt;"Subscription",INDEX('Game Records'!$U:$U,$H220)&lt;&gt;"Free Game",INDEX('Game Records'!$U:$U,$H220)&lt;&gt;"Disqualified — Free Game",OR(INDEX('Game Records'!$D:$D,$H220)="",LOWER(INDEX('Game Records'!$D:$D,$H220)&amp;"")="n/a")),"Entry Mode; ","")&amp;IF(AND(INDEX('Game Records'!$U:$U,$H220)&lt;&gt;"Subscription",INDEX('Game Records'!$U:$U,$H220)&lt;&gt;"Free Game",INDEX('Game Records'!$U:$U,$H220)&lt;&gt;"Disqualified — Free Game",OR(INDEX('Game Records'!$E:$E,$H220)="",LOWER(INDEX('Game Records'!$E:$E,$H220)&amp;"")="n/a")),"Game Type; ","")&amp;IF(INDEX('Game Records'!$F:$F,$H220)="","Payment Type; ","")&amp;IF(AND(INDEX('Game Records'!$U:$U,$H220)&lt;&gt;"Subscription",INDEX('Game Records'!$U:$U,$H220)&lt;&gt;"Free Game",INDEX('Game Records'!$U:$U,$H220)&lt;&gt;"Disqualified — Free Game",INDEX('Game Records'!$G:$G,$H220)=""),"Gross Pot; ","")&amp;IF(AND(INDEX('Game Records'!$U:$U,$H220)&lt;&gt;"Free Game",INDEX('Game Records'!$U:$U,$H220)&lt;&gt;"Disqualified — Free Game",INDEX('Game Records'!$H:$H,$H220)=""),"Entry Fee; ","")&amp;IF(AND(INDEX('Game Records'!$U:$U,$H220)&lt;&gt;"Subscription",INDEX('Game Records'!$U:$U,$H220)&lt;&gt;"Free Game",INDEX('Game Records'!$U:$U,$H220)&lt;&gt;"Disqualified — Free Game",INDEX('Game Records'!$I:$I,$H220)=""),"Eligible Players; ","")&amp;IF(AND(INDEX('Game Records'!$U:$U,$H220)&lt;&gt;"Subscription",INDEX('Game Records'!$U:$U,$H220)&lt;&gt;"Free Game",INDEX('Game Records'!$U:$U,$H220)&lt;&gt;"Disqualified — Free Game",INDEX('Game Records'!$J:$J,$H220)=""),"Total Players; ","")&amp;IF(AND(LOWER(INDEX('Game Records'!$D:$D,$H220)&amp;"")="finalized",LOWER(INDEX('Game Records'!$L:$L,$H220)&amp;"")&lt;&gt;"yes",INDEX('Game Records'!$U:$U,$H220)&lt;&gt;"Subscription",INDEX('Game Records'!$U:$U,$H220)&lt;&gt;"Free Game",INDEX('Game Records'!$U:$U,$H220)&lt;&gt;"Disqualified — Free Game",INDEX('Game Records'!$K:$K,$H220)=""),"Final Earned; ","")&amp;IF(AND(LOWER(INDEX('Game Records'!$D:$D,$H220)&amp;"")="finalized",INDEX('Game Records'!$U:$U,$H220)&lt;&gt;"Subscription",INDEX('Game Records'!$U:$U,$H220)&lt;&gt;"Free Game",INDEX('Game Records'!$U:$U,$H220)&lt;&gt;"Disqualified — Free Game",OR(INDEX('Game Records'!$L:$L,$H220)="",LOWER(INDEX('Game Records'!$L:$L,$H220)&amp;"")="n/a")),"Disqualified Status; ","")&amp;IF(AND(OR(LOWER(TRIM(INDEX('Game Records'!$F:$F,$H220)&amp;""))="free game",INDEX('Game Records'!$U:$U,$H220)="Free Game",INDEX('Game Records'!$U:$U,$H220)="Disqualified — Free Game"),N(INDEX('Game Records'!$H:$H,$H220))&lt;&gt;0),"Free Game has a non-zero Entry Fee. Free Game records require a $0 Entry Fee; ",""))</f>
        <v/>
      </c>
      <c r="G220" s="331" t="str">
        <f>IF($H220="","",IFERROR(INDEX('Game Records'!$M:$M,$H220),""))</f>
        <v/>
      </c>
      <c r="H220" s="104" t="str">
        <f>IF($H219="","",IFERROR(MATCH(1,INDEX((ROW('Game Records'!$U$5:$U$504)&gt;$H219)*(('Game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1" ht="24" customHeight="1">
      <c r="A221" s="332" t="str">
        <f>IF($H221="","",ROWS($A$5:A221))</f>
        <v/>
      </c>
      <c r="B221" s="332" t="str">
        <f>IF($H221="","","G-"&amp;TEXT($A221,"0000"))</f>
        <v/>
      </c>
      <c r="C221" s="331" t="str">
        <f>IF($H221="","",IFERROR(INDEX('Game Records'!$A:$A,$H221),""))</f>
        <v/>
      </c>
      <c r="D221" s="331" t="str">
        <f>IF($H221="","",IFERROR(INDEX('Game Records'!$U:$U,$H221),""))</f>
        <v/>
      </c>
      <c r="E221" s="331" t="str">
        <f>IF($H221="","",IF($F221="","No Highlighted Fields","Highlighted Fields Present"))</f>
        <v/>
      </c>
      <c r="F221" s="331" t="str">
        <f>IF($H221="","",IF(OR(NOT(ISFORMULA(INDEX('Game Records'!$N:$N,$H221))),NOT(ISFORMULA(INDEX('Game Records'!$O:$O,$H221))),NOT(ISFORMULA(INDEX('Game Records'!$P:$P,$H221))),NOT(ISFORMULA(INDEX('Game Records'!$Q:$Q,$H221))),NOT(ISFORMULA(INDEX('Game Records'!$R:$R,$H221))),NOT(ISFORMULA(INDEX('Game Records'!$S:$S,$H221))),NOT(ISFORMULA(INDEX('Game Records'!$T:$T,$H221))),NOT(ISFORMULA(INDEX('Game Records'!$U:$U,$H221))),NOT(ISFORMULA(INDEX('Game Records'!$V:$V,$H221))),NOT(ISFORMULA(INDEX('Game Records'!$W:$W,$H221))),NOT(ISFORMULA(INDEX('Game Records'!$X:$X,$H221))),NOT(ISFORMULA(INDEX('Game Records'!$Y:$Y,$H221))),NOT(ISFORMULA(INDEX('Game Records'!$Z:$Z,$H221)))),"Formula columns missing; ","")&amp;IF(INDEX('Game Records'!$B:$B,$H221)="","Start Date; ","")&amp;IF(INDEX('Game Records'!$C:$C,$H221)="","End Date; ","")&amp;IF(AND(INDEX('Game Records'!$U:$U,$H221)&lt;&gt;"Subscription",INDEX('Game Records'!$U:$U,$H221)&lt;&gt;"Free Game",INDEX('Game Records'!$U:$U,$H221)&lt;&gt;"Disqualified — Free Game",OR(INDEX('Game Records'!$D:$D,$H221)="",LOWER(INDEX('Game Records'!$D:$D,$H221)&amp;"")="n/a")),"Entry Mode; ","")&amp;IF(AND(INDEX('Game Records'!$U:$U,$H221)&lt;&gt;"Subscription",INDEX('Game Records'!$U:$U,$H221)&lt;&gt;"Free Game",INDEX('Game Records'!$U:$U,$H221)&lt;&gt;"Disqualified — Free Game",OR(INDEX('Game Records'!$E:$E,$H221)="",LOWER(INDEX('Game Records'!$E:$E,$H221)&amp;"")="n/a")),"Game Type; ","")&amp;IF(INDEX('Game Records'!$F:$F,$H221)="","Payment Type; ","")&amp;IF(AND(INDEX('Game Records'!$U:$U,$H221)&lt;&gt;"Subscription",INDEX('Game Records'!$U:$U,$H221)&lt;&gt;"Free Game",INDEX('Game Records'!$U:$U,$H221)&lt;&gt;"Disqualified — Free Game",INDEX('Game Records'!$G:$G,$H221)=""),"Gross Pot; ","")&amp;IF(AND(INDEX('Game Records'!$U:$U,$H221)&lt;&gt;"Free Game",INDEX('Game Records'!$U:$U,$H221)&lt;&gt;"Disqualified — Free Game",INDEX('Game Records'!$H:$H,$H221)=""),"Entry Fee; ","")&amp;IF(AND(INDEX('Game Records'!$U:$U,$H221)&lt;&gt;"Subscription",INDEX('Game Records'!$U:$U,$H221)&lt;&gt;"Free Game",INDEX('Game Records'!$U:$U,$H221)&lt;&gt;"Disqualified — Free Game",INDEX('Game Records'!$I:$I,$H221)=""),"Eligible Players; ","")&amp;IF(AND(INDEX('Game Records'!$U:$U,$H221)&lt;&gt;"Subscription",INDEX('Game Records'!$U:$U,$H221)&lt;&gt;"Free Game",INDEX('Game Records'!$U:$U,$H221)&lt;&gt;"Disqualified — Free Game",INDEX('Game Records'!$J:$J,$H221)=""),"Total Players; ","")&amp;IF(AND(LOWER(INDEX('Game Records'!$D:$D,$H221)&amp;"")="finalized",LOWER(INDEX('Game Records'!$L:$L,$H221)&amp;"")&lt;&gt;"yes",INDEX('Game Records'!$U:$U,$H221)&lt;&gt;"Subscription",INDEX('Game Records'!$U:$U,$H221)&lt;&gt;"Free Game",INDEX('Game Records'!$U:$U,$H221)&lt;&gt;"Disqualified — Free Game",INDEX('Game Records'!$K:$K,$H221)=""),"Final Earned; ","")&amp;IF(AND(LOWER(INDEX('Game Records'!$D:$D,$H221)&amp;"")="finalized",INDEX('Game Records'!$U:$U,$H221)&lt;&gt;"Subscription",INDEX('Game Records'!$U:$U,$H221)&lt;&gt;"Free Game",INDEX('Game Records'!$U:$U,$H221)&lt;&gt;"Disqualified — Free Game",OR(INDEX('Game Records'!$L:$L,$H221)="",LOWER(INDEX('Game Records'!$L:$L,$H221)&amp;"")="n/a")),"Disqualified Status; ","")&amp;IF(AND(OR(LOWER(TRIM(INDEX('Game Records'!$F:$F,$H221)&amp;""))="free game",INDEX('Game Records'!$U:$U,$H221)="Free Game",INDEX('Game Records'!$U:$U,$H221)="Disqualified — Free Game"),N(INDEX('Game Records'!$H:$H,$H221))&lt;&gt;0),"Free Game has a non-zero Entry Fee. Free Game records require a $0 Entry Fee; ",""))</f>
        <v/>
      </c>
      <c r="G221" s="331" t="str">
        <f>IF($H221="","",IFERROR(INDEX('Game Records'!$M:$M,$H221),""))</f>
        <v/>
      </c>
      <c r="H221" s="104" t="str">
        <f>IF($H220="","",IFERROR(MATCH(1,INDEX((ROW('Game Records'!$U$5:$U$504)&gt;$H220)*(('Game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2" ht="24" customHeight="1">
      <c r="A222" s="332" t="str">
        <f>IF($H222="","",ROWS($A$5:A222))</f>
        <v/>
      </c>
      <c r="B222" s="332" t="str">
        <f>IF($H222="","","G-"&amp;TEXT($A222,"0000"))</f>
        <v/>
      </c>
      <c r="C222" s="331" t="str">
        <f>IF($H222="","",IFERROR(INDEX('Game Records'!$A:$A,$H222),""))</f>
        <v/>
      </c>
      <c r="D222" s="331" t="str">
        <f>IF($H222="","",IFERROR(INDEX('Game Records'!$U:$U,$H222),""))</f>
        <v/>
      </c>
      <c r="E222" s="331" t="str">
        <f>IF($H222="","",IF($F222="","No Highlighted Fields","Highlighted Fields Present"))</f>
        <v/>
      </c>
      <c r="F222" s="331" t="str">
        <f>IF($H222="","",IF(OR(NOT(ISFORMULA(INDEX('Game Records'!$N:$N,$H222))),NOT(ISFORMULA(INDEX('Game Records'!$O:$O,$H222))),NOT(ISFORMULA(INDEX('Game Records'!$P:$P,$H222))),NOT(ISFORMULA(INDEX('Game Records'!$Q:$Q,$H222))),NOT(ISFORMULA(INDEX('Game Records'!$R:$R,$H222))),NOT(ISFORMULA(INDEX('Game Records'!$S:$S,$H222))),NOT(ISFORMULA(INDEX('Game Records'!$T:$T,$H222))),NOT(ISFORMULA(INDEX('Game Records'!$U:$U,$H222))),NOT(ISFORMULA(INDEX('Game Records'!$V:$V,$H222))),NOT(ISFORMULA(INDEX('Game Records'!$W:$W,$H222))),NOT(ISFORMULA(INDEX('Game Records'!$X:$X,$H222))),NOT(ISFORMULA(INDEX('Game Records'!$Y:$Y,$H222))),NOT(ISFORMULA(INDEX('Game Records'!$Z:$Z,$H222)))),"Formula columns missing; ","")&amp;IF(INDEX('Game Records'!$B:$B,$H222)="","Start Date; ","")&amp;IF(INDEX('Game Records'!$C:$C,$H222)="","End Date; ","")&amp;IF(AND(INDEX('Game Records'!$U:$U,$H222)&lt;&gt;"Subscription",INDEX('Game Records'!$U:$U,$H222)&lt;&gt;"Free Game",INDEX('Game Records'!$U:$U,$H222)&lt;&gt;"Disqualified — Free Game",OR(INDEX('Game Records'!$D:$D,$H222)="",LOWER(INDEX('Game Records'!$D:$D,$H222)&amp;"")="n/a")),"Entry Mode; ","")&amp;IF(AND(INDEX('Game Records'!$U:$U,$H222)&lt;&gt;"Subscription",INDEX('Game Records'!$U:$U,$H222)&lt;&gt;"Free Game",INDEX('Game Records'!$U:$U,$H222)&lt;&gt;"Disqualified — Free Game",OR(INDEX('Game Records'!$E:$E,$H222)="",LOWER(INDEX('Game Records'!$E:$E,$H222)&amp;"")="n/a")),"Game Type; ","")&amp;IF(INDEX('Game Records'!$F:$F,$H222)="","Payment Type; ","")&amp;IF(AND(INDEX('Game Records'!$U:$U,$H222)&lt;&gt;"Subscription",INDEX('Game Records'!$U:$U,$H222)&lt;&gt;"Free Game",INDEX('Game Records'!$U:$U,$H222)&lt;&gt;"Disqualified — Free Game",INDEX('Game Records'!$G:$G,$H222)=""),"Gross Pot; ","")&amp;IF(AND(INDEX('Game Records'!$U:$U,$H222)&lt;&gt;"Free Game",INDEX('Game Records'!$U:$U,$H222)&lt;&gt;"Disqualified — Free Game",INDEX('Game Records'!$H:$H,$H222)=""),"Entry Fee; ","")&amp;IF(AND(INDEX('Game Records'!$U:$U,$H222)&lt;&gt;"Subscription",INDEX('Game Records'!$U:$U,$H222)&lt;&gt;"Free Game",INDEX('Game Records'!$U:$U,$H222)&lt;&gt;"Disqualified — Free Game",INDEX('Game Records'!$I:$I,$H222)=""),"Eligible Players; ","")&amp;IF(AND(INDEX('Game Records'!$U:$U,$H222)&lt;&gt;"Subscription",INDEX('Game Records'!$U:$U,$H222)&lt;&gt;"Free Game",INDEX('Game Records'!$U:$U,$H222)&lt;&gt;"Disqualified — Free Game",INDEX('Game Records'!$J:$J,$H222)=""),"Total Players; ","")&amp;IF(AND(LOWER(INDEX('Game Records'!$D:$D,$H222)&amp;"")="finalized",LOWER(INDEX('Game Records'!$L:$L,$H222)&amp;"")&lt;&gt;"yes",INDEX('Game Records'!$U:$U,$H222)&lt;&gt;"Subscription",INDEX('Game Records'!$U:$U,$H222)&lt;&gt;"Free Game",INDEX('Game Records'!$U:$U,$H222)&lt;&gt;"Disqualified — Free Game",INDEX('Game Records'!$K:$K,$H222)=""),"Final Earned; ","")&amp;IF(AND(LOWER(INDEX('Game Records'!$D:$D,$H222)&amp;"")="finalized",INDEX('Game Records'!$U:$U,$H222)&lt;&gt;"Subscription",INDEX('Game Records'!$U:$U,$H222)&lt;&gt;"Free Game",INDEX('Game Records'!$U:$U,$H222)&lt;&gt;"Disqualified — Free Game",OR(INDEX('Game Records'!$L:$L,$H222)="",LOWER(INDEX('Game Records'!$L:$L,$H222)&amp;"")="n/a")),"Disqualified Status; ","")&amp;IF(AND(OR(LOWER(TRIM(INDEX('Game Records'!$F:$F,$H222)&amp;""))="free game",INDEX('Game Records'!$U:$U,$H222)="Free Game",INDEX('Game Records'!$U:$U,$H222)="Disqualified — Free Game"),N(INDEX('Game Records'!$H:$H,$H222))&lt;&gt;0),"Free Game has a non-zero Entry Fee. Free Game records require a $0 Entry Fee; ",""))</f>
        <v/>
      </c>
      <c r="G222" s="331" t="str">
        <f>IF($H222="","",IFERROR(INDEX('Game Records'!$M:$M,$H222),""))</f>
        <v/>
      </c>
      <c r="H222" s="104" t="str">
        <f>IF($H221="","",IFERROR(MATCH(1,INDEX((ROW('Game Records'!$U$5:$U$504)&gt;$H221)*(('Game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3" ht="24" customHeight="1">
      <c r="A223" s="332" t="str">
        <f>IF($H223="","",ROWS($A$5:A223))</f>
        <v/>
      </c>
      <c r="B223" s="332" t="str">
        <f>IF($H223="","","G-"&amp;TEXT($A223,"0000"))</f>
        <v/>
      </c>
      <c r="C223" s="331" t="str">
        <f>IF($H223="","",IFERROR(INDEX('Game Records'!$A:$A,$H223),""))</f>
        <v/>
      </c>
      <c r="D223" s="331" t="str">
        <f>IF($H223="","",IFERROR(INDEX('Game Records'!$U:$U,$H223),""))</f>
        <v/>
      </c>
      <c r="E223" s="331" t="str">
        <f>IF($H223="","",IF($F223="","No Highlighted Fields","Highlighted Fields Present"))</f>
        <v/>
      </c>
      <c r="F223" s="331" t="str">
        <f>IF($H223="","",IF(OR(NOT(ISFORMULA(INDEX('Game Records'!$N:$N,$H223))),NOT(ISFORMULA(INDEX('Game Records'!$O:$O,$H223))),NOT(ISFORMULA(INDEX('Game Records'!$P:$P,$H223))),NOT(ISFORMULA(INDEX('Game Records'!$Q:$Q,$H223))),NOT(ISFORMULA(INDEX('Game Records'!$R:$R,$H223))),NOT(ISFORMULA(INDEX('Game Records'!$S:$S,$H223))),NOT(ISFORMULA(INDEX('Game Records'!$T:$T,$H223))),NOT(ISFORMULA(INDEX('Game Records'!$U:$U,$H223))),NOT(ISFORMULA(INDEX('Game Records'!$V:$V,$H223))),NOT(ISFORMULA(INDEX('Game Records'!$W:$W,$H223))),NOT(ISFORMULA(INDEX('Game Records'!$X:$X,$H223))),NOT(ISFORMULA(INDEX('Game Records'!$Y:$Y,$H223))),NOT(ISFORMULA(INDEX('Game Records'!$Z:$Z,$H223)))),"Formula columns missing; ","")&amp;IF(INDEX('Game Records'!$B:$B,$H223)="","Start Date; ","")&amp;IF(INDEX('Game Records'!$C:$C,$H223)="","End Date; ","")&amp;IF(AND(INDEX('Game Records'!$U:$U,$H223)&lt;&gt;"Subscription",INDEX('Game Records'!$U:$U,$H223)&lt;&gt;"Free Game",INDEX('Game Records'!$U:$U,$H223)&lt;&gt;"Disqualified — Free Game",OR(INDEX('Game Records'!$D:$D,$H223)="",LOWER(INDEX('Game Records'!$D:$D,$H223)&amp;"")="n/a")),"Entry Mode; ","")&amp;IF(AND(INDEX('Game Records'!$U:$U,$H223)&lt;&gt;"Subscription",INDEX('Game Records'!$U:$U,$H223)&lt;&gt;"Free Game",INDEX('Game Records'!$U:$U,$H223)&lt;&gt;"Disqualified — Free Game",OR(INDEX('Game Records'!$E:$E,$H223)="",LOWER(INDEX('Game Records'!$E:$E,$H223)&amp;"")="n/a")),"Game Type; ","")&amp;IF(INDEX('Game Records'!$F:$F,$H223)="","Payment Type; ","")&amp;IF(AND(INDEX('Game Records'!$U:$U,$H223)&lt;&gt;"Subscription",INDEX('Game Records'!$U:$U,$H223)&lt;&gt;"Free Game",INDEX('Game Records'!$U:$U,$H223)&lt;&gt;"Disqualified — Free Game",INDEX('Game Records'!$G:$G,$H223)=""),"Gross Pot; ","")&amp;IF(AND(INDEX('Game Records'!$U:$U,$H223)&lt;&gt;"Free Game",INDEX('Game Records'!$U:$U,$H223)&lt;&gt;"Disqualified — Free Game",INDEX('Game Records'!$H:$H,$H223)=""),"Entry Fee; ","")&amp;IF(AND(INDEX('Game Records'!$U:$U,$H223)&lt;&gt;"Subscription",INDEX('Game Records'!$U:$U,$H223)&lt;&gt;"Free Game",INDEX('Game Records'!$U:$U,$H223)&lt;&gt;"Disqualified — Free Game",INDEX('Game Records'!$I:$I,$H223)=""),"Eligible Players; ","")&amp;IF(AND(INDEX('Game Records'!$U:$U,$H223)&lt;&gt;"Subscription",INDEX('Game Records'!$U:$U,$H223)&lt;&gt;"Free Game",INDEX('Game Records'!$U:$U,$H223)&lt;&gt;"Disqualified — Free Game",INDEX('Game Records'!$J:$J,$H223)=""),"Total Players; ","")&amp;IF(AND(LOWER(INDEX('Game Records'!$D:$D,$H223)&amp;"")="finalized",LOWER(INDEX('Game Records'!$L:$L,$H223)&amp;"")&lt;&gt;"yes",INDEX('Game Records'!$U:$U,$H223)&lt;&gt;"Subscription",INDEX('Game Records'!$U:$U,$H223)&lt;&gt;"Free Game",INDEX('Game Records'!$U:$U,$H223)&lt;&gt;"Disqualified — Free Game",INDEX('Game Records'!$K:$K,$H223)=""),"Final Earned; ","")&amp;IF(AND(LOWER(INDEX('Game Records'!$D:$D,$H223)&amp;"")="finalized",INDEX('Game Records'!$U:$U,$H223)&lt;&gt;"Subscription",INDEX('Game Records'!$U:$U,$H223)&lt;&gt;"Free Game",INDEX('Game Records'!$U:$U,$H223)&lt;&gt;"Disqualified — Free Game",OR(INDEX('Game Records'!$L:$L,$H223)="",LOWER(INDEX('Game Records'!$L:$L,$H223)&amp;"")="n/a")),"Disqualified Status; ","")&amp;IF(AND(OR(LOWER(TRIM(INDEX('Game Records'!$F:$F,$H223)&amp;""))="free game",INDEX('Game Records'!$U:$U,$H223)="Free Game",INDEX('Game Records'!$U:$U,$H223)="Disqualified — Free Game"),N(INDEX('Game Records'!$H:$H,$H223))&lt;&gt;0),"Free Game has a non-zero Entry Fee. Free Game records require a $0 Entry Fee; ",""))</f>
        <v/>
      </c>
      <c r="G223" s="331" t="str">
        <f>IF($H223="","",IFERROR(INDEX('Game Records'!$M:$M,$H223),""))</f>
        <v/>
      </c>
      <c r="H223" s="104" t="str">
        <f>IF($H222="","",IFERROR(MATCH(1,INDEX((ROW('Game Records'!$U$5:$U$504)&gt;$H222)*(('Game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4" ht="24" customHeight="1">
      <c r="A224" s="332" t="str">
        <f>IF($H224="","",ROWS($A$5:A224))</f>
        <v/>
      </c>
      <c r="B224" s="332" t="str">
        <f>IF($H224="","","G-"&amp;TEXT($A224,"0000"))</f>
        <v/>
      </c>
      <c r="C224" s="331" t="str">
        <f>IF($H224="","",IFERROR(INDEX('Game Records'!$A:$A,$H224),""))</f>
        <v/>
      </c>
      <c r="D224" s="331" t="str">
        <f>IF($H224="","",IFERROR(INDEX('Game Records'!$U:$U,$H224),""))</f>
        <v/>
      </c>
      <c r="E224" s="331" t="str">
        <f>IF($H224="","",IF($F224="","No Highlighted Fields","Highlighted Fields Present"))</f>
        <v/>
      </c>
      <c r="F224" s="331" t="str">
        <f>IF($H224="","",IF(OR(NOT(ISFORMULA(INDEX('Game Records'!$N:$N,$H224))),NOT(ISFORMULA(INDEX('Game Records'!$O:$O,$H224))),NOT(ISFORMULA(INDEX('Game Records'!$P:$P,$H224))),NOT(ISFORMULA(INDEX('Game Records'!$Q:$Q,$H224))),NOT(ISFORMULA(INDEX('Game Records'!$R:$R,$H224))),NOT(ISFORMULA(INDEX('Game Records'!$S:$S,$H224))),NOT(ISFORMULA(INDEX('Game Records'!$T:$T,$H224))),NOT(ISFORMULA(INDEX('Game Records'!$U:$U,$H224))),NOT(ISFORMULA(INDEX('Game Records'!$V:$V,$H224))),NOT(ISFORMULA(INDEX('Game Records'!$W:$W,$H224))),NOT(ISFORMULA(INDEX('Game Records'!$X:$X,$H224))),NOT(ISFORMULA(INDEX('Game Records'!$Y:$Y,$H224))),NOT(ISFORMULA(INDEX('Game Records'!$Z:$Z,$H224)))),"Formula columns missing; ","")&amp;IF(INDEX('Game Records'!$B:$B,$H224)="","Start Date; ","")&amp;IF(INDEX('Game Records'!$C:$C,$H224)="","End Date; ","")&amp;IF(AND(INDEX('Game Records'!$U:$U,$H224)&lt;&gt;"Subscription",INDEX('Game Records'!$U:$U,$H224)&lt;&gt;"Free Game",INDEX('Game Records'!$U:$U,$H224)&lt;&gt;"Disqualified — Free Game",OR(INDEX('Game Records'!$D:$D,$H224)="",LOWER(INDEX('Game Records'!$D:$D,$H224)&amp;"")="n/a")),"Entry Mode; ","")&amp;IF(AND(INDEX('Game Records'!$U:$U,$H224)&lt;&gt;"Subscription",INDEX('Game Records'!$U:$U,$H224)&lt;&gt;"Free Game",INDEX('Game Records'!$U:$U,$H224)&lt;&gt;"Disqualified — Free Game",OR(INDEX('Game Records'!$E:$E,$H224)="",LOWER(INDEX('Game Records'!$E:$E,$H224)&amp;"")="n/a")),"Game Type; ","")&amp;IF(INDEX('Game Records'!$F:$F,$H224)="","Payment Type; ","")&amp;IF(AND(INDEX('Game Records'!$U:$U,$H224)&lt;&gt;"Subscription",INDEX('Game Records'!$U:$U,$H224)&lt;&gt;"Free Game",INDEX('Game Records'!$U:$U,$H224)&lt;&gt;"Disqualified — Free Game",INDEX('Game Records'!$G:$G,$H224)=""),"Gross Pot; ","")&amp;IF(AND(INDEX('Game Records'!$U:$U,$H224)&lt;&gt;"Free Game",INDEX('Game Records'!$U:$U,$H224)&lt;&gt;"Disqualified — Free Game",INDEX('Game Records'!$H:$H,$H224)=""),"Entry Fee; ","")&amp;IF(AND(INDEX('Game Records'!$U:$U,$H224)&lt;&gt;"Subscription",INDEX('Game Records'!$U:$U,$H224)&lt;&gt;"Free Game",INDEX('Game Records'!$U:$U,$H224)&lt;&gt;"Disqualified — Free Game",INDEX('Game Records'!$I:$I,$H224)=""),"Eligible Players; ","")&amp;IF(AND(INDEX('Game Records'!$U:$U,$H224)&lt;&gt;"Subscription",INDEX('Game Records'!$U:$U,$H224)&lt;&gt;"Free Game",INDEX('Game Records'!$U:$U,$H224)&lt;&gt;"Disqualified — Free Game",INDEX('Game Records'!$J:$J,$H224)=""),"Total Players; ","")&amp;IF(AND(LOWER(INDEX('Game Records'!$D:$D,$H224)&amp;"")="finalized",LOWER(INDEX('Game Records'!$L:$L,$H224)&amp;"")&lt;&gt;"yes",INDEX('Game Records'!$U:$U,$H224)&lt;&gt;"Subscription",INDEX('Game Records'!$U:$U,$H224)&lt;&gt;"Free Game",INDEX('Game Records'!$U:$U,$H224)&lt;&gt;"Disqualified — Free Game",INDEX('Game Records'!$K:$K,$H224)=""),"Final Earned; ","")&amp;IF(AND(LOWER(INDEX('Game Records'!$D:$D,$H224)&amp;"")="finalized",INDEX('Game Records'!$U:$U,$H224)&lt;&gt;"Subscription",INDEX('Game Records'!$U:$U,$H224)&lt;&gt;"Free Game",INDEX('Game Records'!$U:$U,$H224)&lt;&gt;"Disqualified — Free Game",OR(INDEX('Game Records'!$L:$L,$H224)="",LOWER(INDEX('Game Records'!$L:$L,$H224)&amp;"")="n/a")),"Disqualified Status; ","")&amp;IF(AND(OR(LOWER(TRIM(INDEX('Game Records'!$F:$F,$H224)&amp;""))="free game",INDEX('Game Records'!$U:$U,$H224)="Free Game",INDEX('Game Records'!$U:$U,$H224)="Disqualified — Free Game"),N(INDEX('Game Records'!$H:$H,$H224))&lt;&gt;0),"Free Game has a non-zero Entry Fee. Free Game records require a $0 Entry Fee; ",""))</f>
        <v/>
      </c>
      <c r="G224" s="331" t="str">
        <f>IF($H224="","",IFERROR(INDEX('Game Records'!$M:$M,$H224),""))</f>
        <v/>
      </c>
      <c r="H224" s="104" t="str">
        <f>IF($H223="","",IFERROR(MATCH(1,INDEX((ROW('Game Records'!$U$5:$U$504)&gt;$H223)*(('Game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5" ht="24" customHeight="1">
      <c r="A225" s="332" t="str">
        <f>IF($H225="","",ROWS($A$5:A225))</f>
        <v/>
      </c>
      <c r="B225" s="332" t="str">
        <f>IF($H225="","","G-"&amp;TEXT($A225,"0000"))</f>
        <v/>
      </c>
      <c r="C225" s="331" t="str">
        <f>IF($H225="","",IFERROR(INDEX('Game Records'!$A:$A,$H225),""))</f>
        <v/>
      </c>
      <c r="D225" s="331" t="str">
        <f>IF($H225="","",IFERROR(INDEX('Game Records'!$U:$U,$H225),""))</f>
        <v/>
      </c>
      <c r="E225" s="331" t="str">
        <f>IF($H225="","",IF($F225="","No Highlighted Fields","Highlighted Fields Present"))</f>
        <v/>
      </c>
      <c r="F225" s="331" t="str">
        <f>IF($H225="","",IF(OR(NOT(ISFORMULA(INDEX('Game Records'!$N:$N,$H225))),NOT(ISFORMULA(INDEX('Game Records'!$O:$O,$H225))),NOT(ISFORMULA(INDEX('Game Records'!$P:$P,$H225))),NOT(ISFORMULA(INDEX('Game Records'!$Q:$Q,$H225))),NOT(ISFORMULA(INDEX('Game Records'!$R:$R,$H225))),NOT(ISFORMULA(INDEX('Game Records'!$S:$S,$H225))),NOT(ISFORMULA(INDEX('Game Records'!$T:$T,$H225))),NOT(ISFORMULA(INDEX('Game Records'!$U:$U,$H225))),NOT(ISFORMULA(INDEX('Game Records'!$V:$V,$H225))),NOT(ISFORMULA(INDEX('Game Records'!$W:$W,$H225))),NOT(ISFORMULA(INDEX('Game Records'!$X:$X,$H225))),NOT(ISFORMULA(INDEX('Game Records'!$Y:$Y,$H225))),NOT(ISFORMULA(INDEX('Game Records'!$Z:$Z,$H225)))),"Formula columns missing; ","")&amp;IF(INDEX('Game Records'!$B:$B,$H225)="","Start Date; ","")&amp;IF(INDEX('Game Records'!$C:$C,$H225)="","End Date; ","")&amp;IF(AND(INDEX('Game Records'!$U:$U,$H225)&lt;&gt;"Subscription",INDEX('Game Records'!$U:$U,$H225)&lt;&gt;"Free Game",INDEX('Game Records'!$U:$U,$H225)&lt;&gt;"Disqualified — Free Game",OR(INDEX('Game Records'!$D:$D,$H225)="",LOWER(INDEX('Game Records'!$D:$D,$H225)&amp;"")="n/a")),"Entry Mode; ","")&amp;IF(AND(INDEX('Game Records'!$U:$U,$H225)&lt;&gt;"Subscription",INDEX('Game Records'!$U:$U,$H225)&lt;&gt;"Free Game",INDEX('Game Records'!$U:$U,$H225)&lt;&gt;"Disqualified — Free Game",OR(INDEX('Game Records'!$E:$E,$H225)="",LOWER(INDEX('Game Records'!$E:$E,$H225)&amp;"")="n/a")),"Game Type; ","")&amp;IF(INDEX('Game Records'!$F:$F,$H225)="","Payment Type; ","")&amp;IF(AND(INDEX('Game Records'!$U:$U,$H225)&lt;&gt;"Subscription",INDEX('Game Records'!$U:$U,$H225)&lt;&gt;"Free Game",INDEX('Game Records'!$U:$U,$H225)&lt;&gt;"Disqualified — Free Game",INDEX('Game Records'!$G:$G,$H225)=""),"Gross Pot; ","")&amp;IF(AND(INDEX('Game Records'!$U:$U,$H225)&lt;&gt;"Free Game",INDEX('Game Records'!$U:$U,$H225)&lt;&gt;"Disqualified — Free Game",INDEX('Game Records'!$H:$H,$H225)=""),"Entry Fee; ","")&amp;IF(AND(INDEX('Game Records'!$U:$U,$H225)&lt;&gt;"Subscription",INDEX('Game Records'!$U:$U,$H225)&lt;&gt;"Free Game",INDEX('Game Records'!$U:$U,$H225)&lt;&gt;"Disqualified — Free Game",INDEX('Game Records'!$I:$I,$H225)=""),"Eligible Players; ","")&amp;IF(AND(INDEX('Game Records'!$U:$U,$H225)&lt;&gt;"Subscription",INDEX('Game Records'!$U:$U,$H225)&lt;&gt;"Free Game",INDEX('Game Records'!$U:$U,$H225)&lt;&gt;"Disqualified — Free Game",INDEX('Game Records'!$J:$J,$H225)=""),"Total Players; ","")&amp;IF(AND(LOWER(INDEX('Game Records'!$D:$D,$H225)&amp;"")="finalized",LOWER(INDEX('Game Records'!$L:$L,$H225)&amp;"")&lt;&gt;"yes",INDEX('Game Records'!$U:$U,$H225)&lt;&gt;"Subscription",INDEX('Game Records'!$U:$U,$H225)&lt;&gt;"Free Game",INDEX('Game Records'!$U:$U,$H225)&lt;&gt;"Disqualified — Free Game",INDEX('Game Records'!$K:$K,$H225)=""),"Final Earned; ","")&amp;IF(AND(LOWER(INDEX('Game Records'!$D:$D,$H225)&amp;"")="finalized",INDEX('Game Records'!$U:$U,$H225)&lt;&gt;"Subscription",INDEX('Game Records'!$U:$U,$H225)&lt;&gt;"Free Game",INDEX('Game Records'!$U:$U,$H225)&lt;&gt;"Disqualified — Free Game",OR(INDEX('Game Records'!$L:$L,$H225)="",LOWER(INDEX('Game Records'!$L:$L,$H225)&amp;"")="n/a")),"Disqualified Status; ","")&amp;IF(AND(OR(LOWER(TRIM(INDEX('Game Records'!$F:$F,$H225)&amp;""))="free game",INDEX('Game Records'!$U:$U,$H225)="Free Game",INDEX('Game Records'!$U:$U,$H225)="Disqualified — Free Game"),N(INDEX('Game Records'!$H:$H,$H225))&lt;&gt;0),"Free Game has a non-zero Entry Fee. Free Game records require a $0 Entry Fee; ",""))</f>
        <v/>
      </c>
      <c r="G225" s="331" t="str">
        <f>IF($H225="","",IFERROR(INDEX('Game Records'!$M:$M,$H225),""))</f>
        <v/>
      </c>
      <c r="H225" s="104" t="str">
        <f>IF($H224="","",IFERROR(MATCH(1,INDEX((ROW('Game Records'!$U$5:$U$504)&gt;$H224)*(('Game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6" ht="24" customHeight="1">
      <c r="A226" s="332" t="str">
        <f>IF($H226="","",ROWS($A$5:A226))</f>
        <v/>
      </c>
      <c r="B226" s="332" t="str">
        <f>IF($H226="","","G-"&amp;TEXT($A226,"0000"))</f>
        <v/>
      </c>
      <c r="C226" s="331" t="str">
        <f>IF($H226="","",IFERROR(INDEX('Game Records'!$A:$A,$H226),""))</f>
        <v/>
      </c>
      <c r="D226" s="331" t="str">
        <f>IF($H226="","",IFERROR(INDEX('Game Records'!$U:$U,$H226),""))</f>
        <v/>
      </c>
      <c r="E226" s="331" t="str">
        <f>IF($H226="","",IF($F226="","No Highlighted Fields","Highlighted Fields Present"))</f>
        <v/>
      </c>
      <c r="F226" s="331" t="str">
        <f>IF($H226="","",IF(OR(NOT(ISFORMULA(INDEX('Game Records'!$N:$N,$H226))),NOT(ISFORMULA(INDEX('Game Records'!$O:$O,$H226))),NOT(ISFORMULA(INDEX('Game Records'!$P:$P,$H226))),NOT(ISFORMULA(INDEX('Game Records'!$Q:$Q,$H226))),NOT(ISFORMULA(INDEX('Game Records'!$R:$R,$H226))),NOT(ISFORMULA(INDEX('Game Records'!$S:$S,$H226))),NOT(ISFORMULA(INDEX('Game Records'!$T:$T,$H226))),NOT(ISFORMULA(INDEX('Game Records'!$U:$U,$H226))),NOT(ISFORMULA(INDEX('Game Records'!$V:$V,$H226))),NOT(ISFORMULA(INDEX('Game Records'!$W:$W,$H226))),NOT(ISFORMULA(INDEX('Game Records'!$X:$X,$H226))),NOT(ISFORMULA(INDEX('Game Records'!$Y:$Y,$H226))),NOT(ISFORMULA(INDEX('Game Records'!$Z:$Z,$H226)))),"Formula columns missing; ","")&amp;IF(INDEX('Game Records'!$B:$B,$H226)="","Start Date; ","")&amp;IF(INDEX('Game Records'!$C:$C,$H226)="","End Date; ","")&amp;IF(AND(INDEX('Game Records'!$U:$U,$H226)&lt;&gt;"Subscription",INDEX('Game Records'!$U:$U,$H226)&lt;&gt;"Free Game",INDEX('Game Records'!$U:$U,$H226)&lt;&gt;"Disqualified — Free Game",OR(INDEX('Game Records'!$D:$D,$H226)="",LOWER(INDEX('Game Records'!$D:$D,$H226)&amp;"")="n/a")),"Entry Mode; ","")&amp;IF(AND(INDEX('Game Records'!$U:$U,$H226)&lt;&gt;"Subscription",INDEX('Game Records'!$U:$U,$H226)&lt;&gt;"Free Game",INDEX('Game Records'!$U:$U,$H226)&lt;&gt;"Disqualified — Free Game",OR(INDEX('Game Records'!$E:$E,$H226)="",LOWER(INDEX('Game Records'!$E:$E,$H226)&amp;"")="n/a")),"Game Type; ","")&amp;IF(INDEX('Game Records'!$F:$F,$H226)="","Payment Type; ","")&amp;IF(AND(INDEX('Game Records'!$U:$U,$H226)&lt;&gt;"Subscription",INDEX('Game Records'!$U:$U,$H226)&lt;&gt;"Free Game",INDEX('Game Records'!$U:$U,$H226)&lt;&gt;"Disqualified — Free Game",INDEX('Game Records'!$G:$G,$H226)=""),"Gross Pot; ","")&amp;IF(AND(INDEX('Game Records'!$U:$U,$H226)&lt;&gt;"Free Game",INDEX('Game Records'!$U:$U,$H226)&lt;&gt;"Disqualified — Free Game",INDEX('Game Records'!$H:$H,$H226)=""),"Entry Fee; ","")&amp;IF(AND(INDEX('Game Records'!$U:$U,$H226)&lt;&gt;"Subscription",INDEX('Game Records'!$U:$U,$H226)&lt;&gt;"Free Game",INDEX('Game Records'!$U:$U,$H226)&lt;&gt;"Disqualified — Free Game",INDEX('Game Records'!$I:$I,$H226)=""),"Eligible Players; ","")&amp;IF(AND(INDEX('Game Records'!$U:$U,$H226)&lt;&gt;"Subscription",INDEX('Game Records'!$U:$U,$H226)&lt;&gt;"Free Game",INDEX('Game Records'!$U:$U,$H226)&lt;&gt;"Disqualified — Free Game",INDEX('Game Records'!$J:$J,$H226)=""),"Total Players; ","")&amp;IF(AND(LOWER(INDEX('Game Records'!$D:$D,$H226)&amp;"")="finalized",LOWER(INDEX('Game Records'!$L:$L,$H226)&amp;"")&lt;&gt;"yes",INDEX('Game Records'!$U:$U,$H226)&lt;&gt;"Subscription",INDEX('Game Records'!$U:$U,$H226)&lt;&gt;"Free Game",INDEX('Game Records'!$U:$U,$H226)&lt;&gt;"Disqualified — Free Game",INDEX('Game Records'!$K:$K,$H226)=""),"Final Earned; ","")&amp;IF(AND(LOWER(INDEX('Game Records'!$D:$D,$H226)&amp;"")="finalized",INDEX('Game Records'!$U:$U,$H226)&lt;&gt;"Subscription",INDEX('Game Records'!$U:$U,$H226)&lt;&gt;"Free Game",INDEX('Game Records'!$U:$U,$H226)&lt;&gt;"Disqualified — Free Game",OR(INDEX('Game Records'!$L:$L,$H226)="",LOWER(INDEX('Game Records'!$L:$L,$H226)&amp;"")="n/a")),"Disqualified Status; ","")&amp;IF(AND(OR(LOWER(TRIM(INDEX('Game Records'!$F:$F,$H226)&amp;""))="free game",INDEX('Game Records'!$U:$U,$H226)="Free Game",INDEX('Game Records'!$U:$U,$H226)="Disqualified — Free Game"),N(INDEX('Game Records'!$H:$H,$H226))&lt;&gt;0),"Free Game has a non-zero Entry Fee. Free Game records require a $0 Entry Fee; ",""))</f>
        <v/>
      </c>
      <c r="G226" s="331" t="str">
        <f>IF($H226="","",IFERROR(INDEX('Game Records'!$M:$M,$H226),""))</f>
        <v/>
      </c>
      <c r="H226" s="104" t="str">
        <f>IF($H225="","",IFERROR(MATCH(1,INDEX((ROW('Game Records'!$U$5:$U$504)&gt;$H225)*(('Game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7" ht="24" customHeight="1">
      <c r="A227" s="332" t="str">
        <f>IF($H227="","",ROWS($A$5:A227))</f>
        <v/>
      </c>
      <c r="B227" s="332" t="str">
        <f>IF($H227="","","G-"&amp;TEXT($A227,"0000"))</f>
        <v/>
      </c>
      <c r="C227" s="331" t="str">
        <f>IF($H227="","",IFERROR(INDEX('Game Records'!$A:$A,$H227),""))</f>
        <v/>
      </c>
      <c r="D227" s="331" t="str">
        <f>IF($H227="","",IFERROR(INDEX('Game Records'!$U:$U,$H227),""))</f>
        <v/>
      </c>
      <c r="E227" s="331" t="str">
        <f>IF($H227="","",IF($F227="","No Highlighted Fields","Highlighted Fields Present"))</f>
        <v/>
      </c>
      <c r="F227" s="331" t="str">
        <f>IF($H227="","",IF(OR(NOT(ISFORMULA(INDEX('Game Records'!$N:$N,$H227))),NOT(ISFORMULA(INDEX('Game Records'!$O:$O,$H227))),NOT(ISFORMULA(INDEX('Game Records'!$P:$P,$H227))),NOT(ISFORMULA(INDEX('Game Records'!$Q:$Q,$H227))),NOT(ISFORMULA(INDEX('Game Records'!$R:$R,$H227))),NOT(ISFORMULA(INDEX('Game Records'!$S:$S,$H227))),NOT(ISFORMULA(INDEX('Game Records'!$T:$T,$H227))),NOT(ISFORMULA(INDEX('Game Records'!$U:$U,$H227))),NOT(ISFORMULA(INDEX('Game Records'!$V:$V,$H227))),NOT(ISFORMULA(INDEX('Game Records'!$W:$W,$H227))),NOT(ISFORMULA(INDEX('Game Records'!$X:$X,$H227))),NOT(ISFORMULA(INDEX('Game Records'!$Y:$Y,$H227))),NOT(ISFORMULA(INDEX('Game Records'!$Z:$Z,$H227)))),"Formula columns missing; ","")&amp;IF(INDEX('Game Records'!$B:$B,$H227)="","Start Date; ","")&amp;IF(INDEX('Game Records'!$C:$C,$H227)="","End Date; ","")&amp;IF(AND(INDEX('Game Records'!$U:$U,$H227)&lt;&gt;"Subscription",INDEX('Game Records'!$U:$U,$H227)&lt;&gt;"Free Game",INDEX('Game Records'!$U:$U,$H227)&lt;&gt;"Disqualified — Free Game",OR(INDEX('Game Records'!$D:$D,$H227)="",LOWER(INDEX('Game Records'!$D:$D,$H227)&amp;"")="n/a")),"Entry Mode; ","")&amp;IF(AND(INDEX('Game Records'!$U:$U,$H227)&lt;&gt;"Subscription",INDEX('Game Records'!$U:$U,$H227)&lt;&gt;"Free Game",INDEX('Game Records'!$U:$U,$H227)&lt;&gt;"Disqualified — Free Game",OR(INDEX('Game Records'!$E:$E,$H227)="",LOWER(INDEX('Game Records'!$E:$E,$H227)&amp;"")="n/a")),"Game Type; ","")&amp;IF(INDEX('Game Records'!$F:$F,$H227)="","Payment Type; ","")&amp;IF(AND(INDEX('Game Records'!$U:$U,$H227)&lt;&gt;"Subscription",INDEX('Game Records'!$U:$U,$H227)&lt;&gt;"Free Game",INDEX('Game Records'!$U:$U,$H227)&lt;&gt;"Disqualified — Free Game",INDEX('Game Records'!$G:$G,$H227)=""),"Gross Pot; ","")&amp;IF(AND(INDEX('Game Records'!$U:$U,$H227)&lt;&gt;"Free Game",INDEX('Game Records'!$U:$U,$H227)&lt;&gt;"Disqualified — Free Game",INDEX('Game Records'!$H:$H,$H227)=""),"Entry Fee; ","")&amp;IF(AND(INDEX('Game Records'!$U:$U,$H227)&lt;&gt;"Subscription",INDEX('Game Records'!$U:$U,$H227)&lt;&gt;"Free Game",INDEX('Game Records'!$U:$U,$H227)&lt;&gt;"Disqualified — Free Game",INDEX('Game Records'!$I:$I,$H227)=""),"Eligible Players; ","")&amp;IF(AND(INDEX('Game Records'!$U:$U,$H227)&lt;&gt;"Subscription",INDEX('Game Records'!$U:$U,$H227)&lt;&gt;"Free Game",INDEX('Game Records'!$U:$U,$H227)&lt;&gt;"Disqualified — Free Game",INDEX('Game Records'!$J:$J,$H227)=""),"Total Players; ","")&amp;IF(AND(LOWER(INDEX('Game Records'!$D:$D,$H227)&amp;"")="finalized",LOWER(INDEX('Game Records'!$L:$L,$H227)&amp;"")&lt;&gt;"yes",INDEX('Game Records'!$U:$U,$H227)&lt;&gt;"Subscription",INDEX('Game Records'!$U:$U,$H227)&lt;&gt;"Free Game",INDEX('Game Records'!$U:$U,$H227)&lt;&gt;"Disqualified — Free Game",INDEX('Game Records'!$K:$K,$H227)=""),"Final Earned; ","")&amp;IF(AND(LOWER(INDEX('Game Records'!$D:$D,$H227)&amp;"")="finalized",INDEX('Game Records'!$U:$U,$H227)&lt;&gt;"Subscription",INDEX('Game Records'!$U:$U,$H227)&lt;&gt;"Free Game",INDEX('Game Records'!$U:$U,$H227)&lt;&gt;"Disqualified — Free Game",OR(INDEX('Game Records'!$L:$L,$H227)="",LOWER(INDEX('Game Records'!$L:$L,$H227)&amp;"")="n/a")),"Disqualified Status; ","")&amp;IF(AND(OR(LOWER(TRIM(INDEX('Game Records'!$F:$F,$H227)&amp;""))="free game",INDEX('Game Records'!$U:$U,$H227)="Free Game",INDEX('Game Records'!$U:$U,$H227)="Disqualified — Free Game"),N(INDEX('Game Records'!$H:$H,$H227))&lt;&gt;0),"Free Game has a non-zero Entry Fee. Free Game records require a $0 Entry Fee; ",""))</f>
        <v/>
      </c>
      <c r="G227" s="331" t="str">
        <f>IF($H227="","",IFERROR(INDEX('Game Records'!$M:$M,$H227),""))</f>
        <v/>
      </c>
      <c r="H227" s="104" t="str">
        <f>IF($H226="","",IFERROR(MATCH(1,INDEX((ROW('Game Records'!$U$5:$U$504)&gt;$H226)*(('Game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8" ht="24" customHeight="1">
      <c r="A228" s="332" t="str">
        <f>IF($H228="","",ROWS($A$5:A228))</f>
        <v/>
      </c>
      <c r="B228" s="332" t="str">
        <f>IF($H228="","","G-"&amp;TEXT($A228,"0000"))</f>
        <v/>
      </c>
      <c r="C228" s="331" t="str">
        <f>IF($H228="","",IFERROR(INDEX('Game Records'!$A:$A,$H228),""))</f>
        <v/>
      </c>
      <c r="D228" s="331" t="str">
        <f>IF($H228="","",IFERROR(INDEX('Game Records'!$U:$U,$H228),""))</f>
        <v/>
      </c>
      <c r="E228" s="331" t="str">
        <f>IF($H228="","",IF($F228="","No Highlighted Fields","Highlighted Fields Present"))</f>
        <v/>
      </c>
      <c r="F228" s="331" t="str">
        <f>IF($H228="","",IF(OR(NOT(ISFORMULA(INDEX('Game Records'!$N:$N,$H228))),NOT(ISFORMULA(INDEX('Game Records'!$O:$O,$H228))),NOT(ISFORMULA(INDEX('Game Records'!$P:$P,$H228))),NOT(ISFORMULA(INDEX('Game Records'!$Q:$Q,$H228))),NOT(ISFORMULA(INDEX('Game Records'!$R:$R,$H228))),NOT(ISFORMULA(INDEX('Game Records'!$S:$S,$H228))),NOT(ISFORMULA(INDEX('Game Records'!$T:$T,$H228))),NOT(ISFORMULA(INDEX('Game Records'!$U:$U,$H228))),NOT(ISFORMULA(INDEX('Game Records'!$V:$V,$H228))),NOT(ISFORMULA(INDEX('Game Records'!$W:$W,$H228))),NOT(ISFORMULA(INDEX('Game Records'!$X:$X,$H228))),NOT(ISFORMULA(INDEX('Game Records'!$Y:$Y,$H228))),NOT(ISFORMULA(INDEX('Game Records'!$Z:$Z,$H228)))),"Formula columns missing; ","")&amp;IF(INDEX('Game Records'!$B:$B,$H228)="","Start Date; ","")&amp;IF(INDEX('Game Records'!$C:$C,$H228)="","End Date; ","")&amp;IF(AND(INDEX('Game Records'!$U:$U,$H228)&lt;&gt;"Subscription",INDEX('Game Records'!$U:$U,$H228)&lt;&gt;"Free Game",INDEX('Game Records'!$U:$U,$H228)&lt;&gt;"Disqualified — Free Game",OR(INDEX('Game Records'!$D:$D,$H228)="",LOWER(INDEX('Game Records'!$D:$D,$H228)&amp;"")="n/a")),"Entry Mode; ","")&amp;IF(AND(INDEX('Game Records'!$U:$U,$H228)&lt;&gt;"Subscription",INDEX('Game Records'!$U:$U,$H228)&lt;&gt;"Free Game",INDEX('Game Records'!$U:$U,$H228)&lt;&gt;"Disqualified — Free Game",OR(INDEX('Game Records'!$E:$E,$H228)="",LOWER(INDEX('Game Records'!$E:$E,$H228)&amp;"")="n/a")),"Game Type; ","")&amp;IF(INDEX('Game Records'!$F:$F,$H228)="","Payment Type; ","")&amp;IF(AND(INDEX('Game Records'!$U:$U,$H228)&lt;&gt;"Subscription",INDEX('Game Records'!$U:$U,$H228)&lt;&gt;"Free Game",INDEX('Game Records'!$U:$U,$H228)&lt;&gt;"Disqualified — Free Game",INDEX('Game Records'!$G:$G,$H228)=""),"Gross Pot; ","")&amp;IF(AND(INDEX('Game Records'!$U:$U,$H228)&lt;&gt;"Free Game",INDEX('Game Records'!$U:$U,$H228)&lt;&gt;"Disqualified — Free Game",INDEX('Game Records'!$H:$H,$H228)=""),"Entry Fee; ","")&amp;IF(AND(INDEX('Game Records'!$U:$U,$H228)&lt;&gt;"Subscription",INDEX('Game Records'!$U:$U,$H228)&lt;&gt;"Free Game",INDEX('Game Records'!$U:$U,$H228)&lt;&gt;"Disqualified — Free Game",INDEX('Game Records'!$I:$I,$H228)=""),"Eligible Players; ","")&amp;IF(AND(INDEX('Game Records'!$U:$U,$H228)&lt;&gt;"Subscription",INDEX('Game Records'!$U:$U,$H228)&lt;&gt;"Free Game",INDEX('Game Records'!$U:$U,$H228)&lt;&gt;"Disqualified — Free Game",INDEX('Game Records'!$J:$J,$H228)=""),"Total Players; ","")&amp;IF(AND(LOWER(INDEX('Game Records'!$D:$D,$H228)&amp;"")="finalized",LOWER(INDEX('Game Records'!$L:$L,$H228)&amp;"")&lt;&gt;"yes",INDEX('Game Records'!$U:$U,$H228)&lt;&gt;"Subscription",INDEX('Game Records'!$U:$U,$H228)&lt;&gt;"Free Game",INDEX('Game Records'!$U:$U,$H228)&lt;&gt;"Disqualified — Free Game",INDEX('Game Records'!$K:$K,$H228)=""),"Final Earned; ","")&amp;IF(AND(LOWER(INDEX('Game Records'!$D:$D,$H228)&amp;"")="finalized",INDEX('Game Records'!$U:$U,$H228)&lt;&gt;"Subscription",INDEX('Game Records'!$U:$U,$H228)&lt;&gt;"Free Game",INDEX('Game Records'!$U:$U,$H228)&lt;&gt;"Disqualified — Free Game",OR(INDEX('Game Records'!$L:$L,$H228)="",LOWER(INDEX('Game Records'!$L:$L,$H228)&amp;"")="n/a")),"Disqualified Status; ","")&amp;IF(AND(OR(LOWER(TRIM(INDEX('Game Records'!$F:$F,$H228)&amp;""))="free game",INDEX('Game Records'!$U:$U,$H228)="Free Game",INDEX('Game Records'!$U:$U,$H228)="Disqualified — Free Game"),N(INDEX('Game Records'!$H:$H,$H228))&lt;&gt;0),"Free Game has a non-zero Entry Fee. Free Game records require a $0 Entry Fee; ",""))</f>
        <v/>
      </c>
      <c r="G228" s="331" t="str">
        <f>IF($H228="","",IFERROR(INDEX('Game Records'!$M:$M,$H228),""))</f>
        <v/>
      </c>
      <c r="H228" s="104" t="str">
        <f>IF($H227="","",IFERROR(MATCH(1,INDEX((ROW('Game Records'!$U$5:$U$504)&gt;$H227)*(('Game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9" ht="24" customHeight="1">
      <c r="A229" s="332" t="str">
        <f>IF($H229="","",ROWS($A$5:A229))</f>
        <v/>
      </c>
      <c r="B229" s="332" t="str">
        <f>IF($H229="","","G-"&amp;TEXT($A229,"0000"))</f>
        <v/>
      </c>
      <c r="C229" s="331" t="str">
        <f>IF($H229="","",IFERROR(INDEX('Game Records'!$A:$A,$H229),""))</f>
        <v/>
      </c>
      <c r="D229" s="331" t="str">
        <f>IF($H229="","",IFERROR(INDEX('Game Records'!$U:$U,$H229),""))</f>
        <v/>
      </c>
      <c r="E229" s="331" t="str">
        <f>IF($H229="","",IF($F229="","No Highlighted Fields","Highlighted Fields Present"))</f>
        <v/>
      </c>
      <c r="F229" s="331" t="str">
        <f>IF($H229="","",IF(OR(NOT(ISFORMULA(INDEX('Game Records'!$N:$N,$H229))),NOT(ISFORMULA(INDEX('Game Records'!$O:$O,$H229))),NOT(ISFORMULA(INDEX('Game Records'!$P:$P,$H229))),NOT(ISFORMULA(INDEX('Game Records'!$Q:$Q,$H229))),NOT(ISFORMULA(INDEX('Game Records'!$R:$R,$H229))),NOT(ISFORMULA(INDEX('Game Records'!$S:$S,$H229))),NOT(ISFORMULA(INDEX('Game Records'!$T:$T,$H229))),NOT(ISFORMULA(INDEX('Game Records'!$U:$U,$H229))),NOT(ISFORMULA(INDEX('Game Records'!$V:$V,$H229))),NOT(ISFORMULA(INDEX('Game Records'!$W:$W,$H229))),NOT(ISFORMULA(INDEX('Game Records'!$X:$X,$H229))),NOT(ISFORMULA(INDEX('Game Records'!$Y:$Y,$H229))),NOT(ISFORMULA(INDEX('Game Records'!$Z:$Z,$H229)))),"Formula columns missing; ","")&amp;IF(INDEX('Game Records'!$B:$B,$H229)="","Start Date; ","")&amp;IF(INDEX('Game Records'!$C:$C,$H229)="","End Date; ","")&amp;IF(AND(INDEX('Game Records'!$U:$U,$H229)&lt;&gt;"Subscription",INDEX('Game Records'!$U:$U,$H229)&lt;&gt;"Free Game",INDEX('Game Records'!$U:$U,$H229)&lt;&gt;"Disqualified — Free Game",OR(INDEX('Game Records'!$D:$D,$H229)="",LOWER(INDEX('Game Records'!$D:$D,$H229)&amp;"")="n/a")),"Entry Mode; ","")&amp;IF(AND(INDEX('Game Records'!$U:$U,$H229)&lt;&gt;"Subscription",INDEX('Game Records'!$U:$U,$H229)&lt;&gt;"Free Game",INDEX('Game Records'!$U:$U,$H229)&lt;&gt;"Disqualified — Free Game",OR(INDEX('Game Records'!$E:$E,$H229)="",LOWER(INDEX('Game Records'!$E:$E,$H229)&amp;"")="n/a")),"Game Type; ","")&amp;IF(INDEX('Game Records'!$F:$F,$H229)="","Payment Type; ","")&amp;IF(AND(INDEX('Game Records'!$U:$U,$H229)&lt;&gt;"Subscription",INDEX('Game Records'!$U:$U,$H229)&lt;&gt;"Free Game",INDEX('Game Records'!$U:$U,$H229)&lt;&gt;"Disqualified — Free Game",INDEX('Game Records'!$G:$G,$H229)=""),"Gross Pot; ","")&amp;IF(AND(INDEX('Game Records'!$U:$U,$H229)&lt;&gt;"Free Game",INDEX('Game Records'!$U:$U,$H229)&lt;&gt;"Disqualified — Free Game",INDEX('Game Records'!$H:$H,$H229)=""),"Entry Fee; ","")&amp;IF(AND(INDEX('Game Records'!$U:$U,$H229)&lt;&gt;"Subscription",INDEX('Game Records'!$U:$U,$H229)&lt;&gt;"Free Game",INDEX('Game Records'!$U:$U,$H229)&lt;&gt;"Disqualified — Free Game",INDEX('Game Records'!$I:$I,$H229)=""),"Eligible Players; ","")&amp;IF(AND(INDEX('Game Records'!$U:$U,$H229)&lt;&gt;"Subscription",INDEX('Game Records'!$U:$U,$H229)&lt;&gt;"Free Game",INDEX('Game Records'!$U:$U,$H229)&lt;&gt;"Disqualified — Free Game",INDEX('Game Records'!$J:$J,$H229)=""),"Total Players; ","")&amp;IF(AND(LOWER(INDEX('Game Records'!$D:$D,$H229)&amp;"")="finalized",LOWER(INDEX('Game Records'!$L:$L,$H229)&amp;"")&lt;&gt;"yes",INDEX('Game Records'!$U:$U,$H229)&lt;&gt;"Subscription",INDEX('Game Records'!$U:$U,$H229)&lt;&gt;"Free Game",INDEX('Game Records'!$U:$U,$H229)&lt;&gt;"Disqualified — Free Game",INDEX('Game Records'!$K:$K,$H229)=""),"Final Earned; ","")&amp;IF(AND(LOWER(INDEX('Game Records'!$D:$D,$H229)&amp;"")="finalized",INDEX('Game Records'!$U:$U,$H229)&lt;&gt;"Subscription",INDEX('Game Records'!$U:$U,$H229)&lt;&gt;"Free Game",INDEX('Game Records'!$U:$U,$H229)&lt;&gt;"Disqualified — Free Game",OR(INDEX('Game Records'!$L:$L,$H229)="",LOWER(INDEX('Game Records'!$L:$L,$H229)&amp;"")="n/a")),"Disqualified Status; ","")&amp;IF(AND(OR(LOWER(TRIM(INDEX('Game Records'!$F:$F,$H229)&amp;""))="free game",INDEX('Game Records'!$U:$U,$H229)="Free Game",INDEX('Game Records'!$U:$U,$H229)="Disqualified — Free Game"),N(INDEX('Game Records'!$H:$H,$H229))&lt;&gt;0),"Free Game has a non-zero Entry Fee. Free Game records require a $0 Entry Fee; ",""))</f>
        <v/>
      </c>
      <c r="G229" s="331" t="str">
        <f>IF($H229="","",IFERROR(INDEX('Game Records'!$M:$M,$H229),""))</f>
        <v/>
      </c>
      <c r="H229" s="104" t="str">
        <f>IF($H228="","",IFERROR(MATCH(1,INDEX((ROW('Game Records'!$U$5:$U$504)&gt;$H228)*(('Game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0" ht="24" customHeight="1">
      <c r="A230" s="332" t="str">
        <f>IF($H230="","",ROWS($A$5:A230))</f>
        <v/>
      </c>
      <c r="B230" s="332" t="str">
        <f>IF($H230="","","G-"&amp;TEXT($A230,"0000"))</f>
        <v/>
      </c>
      <c r="C230" s="331" t="str">
        <f>IF($H230="","",IFERROR(INDEX('Game Records'!$A:$A,$H230),""))</f>
        <v/>
      </c>
      <c r="D230" s="331" t="str">
        <f>IF($H230="","",IFERROR(INDEX('Game Records'!$U:$U,$H230),""))</f>
        <v/>
      </c>
      <c r="E230" s="331" t="str">
        <f>IF($H230="","",IF($F230="","No Highlighted Fields","Highlighted Fields Present"))</f>
        <v/>
      </c>
      <c r="F230" s="331" t="str">
        <f>IF($H230="","",IF(OR(NOT(ISFORMULA(INDEX('Game Records'!$N:$N,$H230))),NOT(ISFORMULA(INDEX('Game Records'!$O:$O,$H230))),NOT(ISFORMULA(INDEX('Game Records'!$P:$P,$H230))),NOT(ISFORMULA(INDEX('Game Records'!$Q:$Q,$H230))),NOT(ISFORMULA(INDEX('Game Records'!$R:$R,$H230))),NOT(ISFORMULA(INDEX('Game Records'!$S:$S,$H230))),NOT(ISFORMULA(INDEX('Game Records'!$T:$T,$H230))),NOT(ISFORMULA(INDEX('Game Records'!$U:$U,$H230))),NOT(ISFORMULA(INDEX('Game Records'!$V:$V,$H230))),NOT(ISFORMULA(INDEX('Game Records'!$W:$W,$H230))),NOT(ISFORMULA(INDEX('Game Records'!$X:$X,$H230))),NOT(ISFORMULA(INDEX('Game Records'!$Y:$Y,$H230))),NOT(ISFORMULA(INDEX('Game Records'!$Z:$Z,$H230)))),"Formula columns missing; ","")&amp;IF(INDEX('Game Records'!$B:$B,$H230)="","Start Date; ","")&amp;IF(INDEX('Game Records'!$C:$C,$H230)="","End Date; ","")&amp;IF(AND(INDEX('Game Records'!$U:$U,$H230)&lt;&gt;"Subscription",INDEX('Game Records'!$U:$U,$H230)&lt;&gt;"Free Game",INDEX('Game Records'!$U:$U,$H230)&lt;&gt;"Disqualified — Free Game",OR(INDEX('Game Records'!$D:$D,$H230)="",LOWER(INDEX('Game Records'!$D:$D,$H230)&amp;"")="n/a")),"Entry Mode; ","")&amp;IF(AND(INDEX('Game Records'!$U:$U,$H230)&lt;&gt;"Subscription",INDEX('Game Records'!$U:$U,$H230)&lt;&gt;"Free Game",INDEX('Game Records'!$U:$U,$H230)&lt;&gt;"Disqualified — Free Game",OR(INDEX('Game Records'!$E:$E,$H230)="",LOWER(INDEX('Game Records'!$E:$E,$H230)&amp;"")="n/a")),"Game Type; ","")&amp;IF(INDEX('Game Records'!$F:$F,$H230)="","Payment Type; ","")&amp;IF(AND(INDEX('Game Records'!$U:$U,$H230)&lt;&gt;"Subscription",INDEX('Game Records'!$U:$U,$H230)&lt;&gt;"Free Game",INDEX('Game Records'!$U:$U,$H230)&lt;&gt;"Disqualified — Free Game",INDEX('Game Records'!$G:$G,$H230)=""),"Gross Pot; ","")&amp;IF(AND(INDEX('Game Records'!$U:$U,$H230)&lt;&gt;"Free Game",INDEX('Game Records'!$U:$U,$H230)&lt;&gt;"Disqualified — Free Game",INDEX('Game Records'!$H:$H,$H230)=""),"Entry Fee; ","")&amp;IF(AND(INDEX('Game Records'!$U:$U,$H230)&lt;&gt;"Subscription",INDEX('Game Records'!$U:$U,$H230)&lt;&gt;"Free Game",INDEX('Game Records'!$U:$U,$H230)&lt;&gt;"Disqualified — Free Game",INDEX('Game Records'!$I:$I,$H230)=""),"Eligible Players; ","")&amp;IF(AND(INDEX('Game Records'!$U:$U,$H230)&lt;&gt;"Subscription",INDEX('Game Records'!$U:$U,$H230)&lt;&gt;"Free Game",INDEX('Game Records'!$U:$U,$H230)&lt;&gt;"Disqualified — Free Game",INDEX('Game Records'!$J:$J,$H230)=""),"Total Players; ","")&amp;IF(AND(LOWER(INDEX('Game Records'!$D:$D,$H230)&amp;"")="finalized",LOWER(INDEX('Game Records'!$L:$L,$H230)&amp;"")&lt;&gt;"yes",INDEX('Game Records'!$U:$U,$H230)&lt;&gt;"Subscription",INDEX('Game Records'!$U:$U,$H230)&lt;&gt;"Free Game",INDEX('Game Records'!$U:$U,$H230)&lt;&gt;"Disqualified — Free Game",INDEX('Game Records'!$K:$K,$H230)=""),"Final Earned; ","")&amp;IF(AND(LOWER(INDEX('Game Records'!$D:$D,$H230)&amp;"")="finalized",INDEX('Game Records'!$U:$U,$H230)&lt;&gt;"Subscription",INDEX('Game Records'!$U:$U,$H230)&lt;&gt;"Free Game",INDEX('Game Records'!$U:$U,$H230)&lt;&gt;"Disqualified — Free Game",OR(INDEX('Game Records'!$L:$L,$H230)="",LOWER(INDEX('Game Records'!$L:$L,$H230)&amp;"")="n/a")),"Disqualified Status; ","")&amp;IF(AND(OR(LOWER(TRIM(INDEX('Game Records'!$F:$F,$H230)&amp;""))="free game",INDEX('Game Records'!$U:$U,$H230)="Free Game",INDEX('Game Records'!$U:$U,$H230)="Disqualified — Free Game"),N(INDEX('Game Records'!$H:$H,$H230))&lt;&gt;0),"Free Game has a non-zero Entry Fee. Free Game records require a $0 Entry Fee; ",""))</f>
        <v/>
      </c>
      <c r="G230" s="331" t="str">
        <f>IF($H230="","",IFERROR(INDEX('Game Records'!$M:$M,$H230),""))</f>
        <v/>
      </c>
      <c r="H230" s="104" t="str">
        <f>IF($H229="","",IFERROR(MATCH(1,INDEX((ROW('Game Records'!$U$5:$U$504)&gt;$H229)*(('Game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1" ht="24" customHeight="1">
      <c r="A231" s="332" t="str">
        <f>IF($H231="","",ROWS($A$5:A231))</f>
        <v/>
      </c>
      <c r="B231" s="332" t="str">
        <f>IF($H231="","","G-"&amp;TEXT($A231,"0000"))</f>
        <v/>
      </c>
      <c r="C231" s="331" t="str">
        <f>IF($H231="","",IFERROR(INDEX('Game Records'!$A:$A,$H231),""))</f>
        <v/>
      </c>
      <c r="D231" s="331" t="str">
        <f>IF($H231="","",IFERROR(INDEX('Game Records'!$U:$U,$H231),""))</f>
        <v/>
      </c>
      <c r="E231" s="331" t="str">
        <f>IF($H231="","",IF($F231="","No Highlighted Fields","Highlighted Fields Present"))</f>
        <v/>
      </c>
      <c r="F231" s="331" t="str">
        <f>IF($H231="","",IF(OR(NOT(ISFORMULA(INDEX('Game Records'!$N:$N,$H231))),NOT(ISFORMULA(INDEX('Game Records'!$O:$O,$H231))),NOT(ISFORMULA(INDEX('Game Records'!$P:$P,$H231))),NOT(ISFORMULA(INDEX('Game Records'!$Q:$Q,$H231))),NOT(ISFORMULA(INDEX('Game Records'!$R:$R,$H231))),NOT(ISFORMULA(INDEX('Game Records'!$S:$S,$H231))),NOT(ISFORMULA(INDEX('Game Records'!$T:$T,$H231))),NOT(ISFORMULA(INDEX('Game Records'!$U:$U,$H231))),NOT(ISFORMULA(INDEX('Game Records'!$V:$V,$H231))),NOT(ISFORMULA(INDEX('Game Records'!$W:$W,$H231))),NOT(ISFORMULA(INDEX('Game Records'!$X:$X,$H231))),NOT(ISFORMULA(INDEX('Game Records'!$Y:$Y,$H231))),NOT(ISFORMULA(INDEX('Game Records'!$Z:$Z,$H231)))),"Formula columns missing; ","")&amp;IF(INDEX('Game Records'!$B:$B,$H231)="","Start Date; ","")&amp;IF(INDEX('Game Records'!$C:$C,$H231)="","End Date; ","")&amp;IF(AND(INDEX('Game Records'!$U:$U,$H231)&lt;&gt;"Subscription",INDEX('Game Records'!$U:$U,$H231)&lt;&gt;"Free Game",INDEX('Game Records'!$U:$U,$H231)&lt;&gt;"Disqualified — Free Game",OR(INDEX('Game Records'!$D:$D,$H231)="",LOWER(INDEX('Game Records'!$D:$D,$H231)&amp;"")="n/a")),"Entry Mode; ","")&amp;IF(AND(INDEX('Game Records'!$U:$U,$H231)&lt;&gt;"Subscription",INDEX('Game Records'!$U:$U,$H231)&lt;&gt;"Free Game",INDEX('Game Records'!$U:$U,$H231)&lt;&gt;"Disqualified — Free Game",OR(INDEX('Game Records'!$E:$E,$H231)="",LOWER(INDEX('Game Records'!$E:$E,$H231)&amp;"")="n/a")),"Game Type; ","")&amp;IF(INDEX('Game Records'!$F:$F,$H231)="","Payment Type; ","")&amp;IF(AND(INDEX('Game Records'!$U:$U,$H231)&lt;&gt;"Subscription",INDEX('Game Records'!$U:$U,$H231)&lt;&gt;"Free Game",INDEX('Game Records'!$U:$U,$H231)&lt;&gt;"Disqualified — Free Game",INDEX('Game Records'!$G:$G,$H231)=""),"Gross Pot; ","")&amp;IF(AND(INDEX('Game Records'!$U:$U,$H231)&lt;&gt;"Free Game",INDEX('Game Records'!$U:$U,$H231)&lt;&gt;"Disqualified — Free Game",INDEX('Game Records'!$H:$H,$H231)=""),"Entry Fee; ","")&amp;IF(AND(INDEX('Game Records'!$U:$U,$H231)&lt;&gt;"Subscription",INDEX('Game Records'!$U:$U,$H231)&lt;&gt;"Free Game",INDEX('Game Records'!$U:$U,$H231)&lt;&gt;"Disqualified — Free Game",INDEX('Game Records'!$I:$I,$H231)=""),"Eligible Players; ","")&amp;IF(AND(INDEX('Game Records'!$U:$U,$H231)&lt;&gt;"Subscription",INDEX('Game Records'!$U:$U,$H231)&lt;&gt;"Free Game",INDEX('Game Records'!$U:$U,$H231)&lt;&gt;"Disqualified — Free Game",INDEX('Game Records'!$J:$J,$H231)=""),"Total Players; ","")&amp;IF(AND(LOWER(INDEX('Game Records'!$D:$D,$H231)&amp;"")="finalized",LOWER(INDEX('Game Records'!$L:$L,$H231)&amp;"")&lt;&gt;"yes",INDEX('Game Records'!$U:$U,$H231)&lt;&gt;"Subscription",INDEX('Game Records'!$U:$U,$H231)&lt;&gt;"Free Game",INDEX('Game Records'!$U:$U,$H231)&lt;&gt;"Disqualified — Free Game",INDEX('Game Records'!$K:$K,$H231)=""),"Final Earned; ","")&amp;IF(AND(LOWER(INDEX('Game Records'!$D:$D,$H231)&amp;"")="finalized",INDEX('Game Records'!$U:$U,$H231)&lt;&gt;"Subscription",INDEX('Game Records'!$U:$U,$H231)&lt;&gt;"Free Game",INDEX('Game Records'!$U:$U,$H231)&lt;&gt;"Disqualified — Free Game",OR(INDEX('Game Records'!$L:$L,$H231)="",LOWER(INDEX('Game Records'!$L:$L,$H231)&amp;"")="n/a")),"Disqualified Status; ","")&amp;IF(AND(OR(LOWER(TRIM(INDEX('Game Records'!$F:$F,$H231)&amp;""))="free game",INDEX('Game Records'!$U:$U,$H231)="Free Game",INDEX('Game Records'!$U:$U,$H231)="Disqualified — Free Game"),N(INDEX('Game Records'!$H:$H,$H231))&lt;&gt;0),"Free Game has a non-zero Entry Fee. Free Game records require a $0 Entry Fee; ",""))</f>
        <v/>
      </c>
      <c r="G231" s="331" t="str">
        <f>IF($H231="","",IFERROR(INDEX('Game Records'!$M:$M,$H231),""))</f>
        <v/>
      </c>
      <c r="H231" s="104" t="str">
        <f>IF($H230="","",IFERROR(MATCH(1,INDEX((ROW('Game Records'!$U$5:$U$504)&gt;$H230)*(('Game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2" ht="24" customHeight="1">
      <c r="A232" s="332" t="str">
        <f>IF($H232="","",ROWS($A$5:A232))</f>
        <v/>
      </c>
      <c r="B232" s="332" t="str">
        <f>IF($H232="","","G-"&amp;TEXT($A232,"0000"))</f>
        <v/>
      </c>
      <c r="C232" s="331" t="str">
        <f>IF($H232="","",IFERROR(INDEX('Game Records'!$A:$A,$H232),""))</f>
        <v/>
      </c>
      <c r="D232" s="331" t="str">
        <f>IF($H232="","",IFERROR(INDEX('Game Records'!$U:$U,$H232),""))</f>
        <v/>
      </c>
      <c r="E232" s="331" t="str">
        <f>IF($H232="","",IF($F232="","No Highlighted Fields","Highlighted Fields Present"))</f>
        <v/>
      </c>
      <c r="F232" s="331" t="str">
        <f>IF($H232="","",IF(OR(NOT(ISFORMULA(INDEX('Game Records'!$N:$N,$H232))),NOT(ISFORMULA(INDEX('Game Records'!$O:$O,$H232))),NOT(ISFORMULA(INDEX('Game Records'!$P:$P,$H232))),NOT(ISFORMULA(INDEX('Game Records'!$Q:$Q,$H232))),NOT(ISFORMULA(INDEX('Game Records'!$R:$R,$H232))),NOT(ISFORMULA(INDEX('Game Records'!$S:$S,$H232))),NOT(ISFORMULA(INDEX('Game Records'!$T:$T,$H232))),NOT(ISFORMULA(INDEX('Game Records'!$U:$U,$H232))),NOT(ISFORMULA(INDEX('Game Records'!$V:$V,$H232))),NOT(ISFORMULA(INDEX('Game Records'!$W:$W,$H232))),NOT(ISFORMULA(INDEX('Game Records'!$X:$X,$H232))),NOT(ISFORMULA(INDEX('Game Records'!$Y:$Y,$H232))),NOT(ISFORMULA(INDEX('Game Records'!$Z:$Z,$H232)))),"Formula columns missing; ","")&amp;IF(INDEX('Game Records'!$B:$B,$H232)="","Start Date; ","")&amp;IF(INDEX('Game Records'!$C:$C,$H232)="","End Date; ","")&amp;IF(AND(INDEX('Game Records'!$U:$U,$H232)&lt;&gt;"Subscription",INDEX('Game Records'!$U:$U,$H232)&lt;&gt;"Free Game",INDEX('Game Records'!$U:$U,$H232)&lt;&gt;"Disqualified — Free Game",OR(INDEX('Game Records'!$D:$D,$H232)="",LOWER(INDEX('Game Records'!$D:$D,$H232)&amp;"")="n/a")),"Entry Mode; ","")&amp;IF(AND(INDEX('Game Records'!$U:$U,$H232)&lt;&gt;"Subscription",INDEX('Game Records'!$U:$U,$H232)&lt;&gt;"Free Game",INDEX('Game Records'!$U:$U,$H232)&lt;&gt;"Disqualified — Free Game",OR(INDEX('Game Records'!$E:$E,$H232)="",LOWER(INDEX('Game Records'!$E:$E,$H232)&amp;"")="n/a")),"Game Type; ","")&amp;IF(INDEX('Game Records'!$F:$F,$H232)="","Payment Type; ","")&amp;IF(AND(INDEX('Game Records'!$U:$U,$H232)&lt;&gt;"Subscription",INDEX('Game Records'!$U:$U,$H232)&lt;&gt;"Free Game",INDEX('Game Records'!$U:$U,$H232)&lt;&gt;"Disqualified — Free Game",INDEX('Game Records'!$G:$G,$H232)=""),"Gross Pot; ","")&amp;IF(AND(INDEX('Game Records'!$U:$U,$H232)&lt;&gt;"Free Game",INDEX('Game Records'!$U:$U,$H232)&lt;&gt;"Disqualified — Free Game",INDEX('Game Records'!$H:$H,$H232)=""),"Entry Fee; ","")&amp;IF(AND(INDEX('Game Records'!$U:$U,$H232)&lt;&gt;"Subscription",INDEX('Game Records'!$U:$U,$H232)&lt;&gt;"Free Game",INDEX('Game Records'!$U:$U,$H232)&lt;&gt;"Disqualified — Free Game",INDEX('Game Records'!$I:$I,$H232)=""),"Eligible Players; ","")&amp;IF(AND(INDEX('Game Records'!$U:$U,$H232)&lt;&gt;"Subscription",INDEX('Game Records'!$U:$U,$H232)&lt;&gt;"Free Game",INDEX('Game Records'!$U:$U,$H232)&lt;&gt;"Disqualified — Free Game",INDEX('Game Records'!$J:$J,$H232)=""),"Total Players; ","")&amp;IF(AND(LOWER(INDEX('Game Records'!$D:$D,$H232)&amp;"")="finalized",LOWER(INDEX('Game Records'!$L:$L,$H232)&amp;"")&lt;&gt;"yes",INDEX('Game Records'!$U:$U,$H232)&lt;&gt;"Subscription",INDEX('Game Records'!$U:$U,$H232)&lt;&gt;"Free Game",INDEX('Game Records'!$U:$U,$H232)&lt;&gt;"Disqualified — Free Game",INDEX('Game Records'!$K:$K,$H232)=""),"Final Earned; ","")&amp;IF(AND(LOWER(INDEX('Game Records'!$D:$D,$H232)&amp;"")="finalized",INDEX('Game Records'!$U:$U,$H232)&lt;&gt;"Subscription",INDEX('Game Records'!$U:$U,$H232)&lt;&gt;"Free Game",INDEX('Game Records'!$U:$U,$H232)&lt;&gt;"Disqualified — Free Game",OR(INDEX('Game Records'!$L:$L,$H232)="",LOWER(INDEX('Game Records'!$L:$L,$H232)&amp;"")="n/a")),"Disqualified Status; ","")&amp;IF(AND(OR(LOWER(TRIM(INDEX('Game Records'!$F:$F,$H232)&amp;""))="free game",INDEX('Game Records'!$U:$U,$H232)="Free Game",INDEX('Game Records'!$U:$U,$H232)="Disqualified — Free Game"),N(INDEX('Game Records'!$H:$H,$H232))&lt;&gt;0),"Free Game has a non-zero Entry Fee. Free Game records require a $0 Entry Fee; ",""))</f>
        <v/>
      </c>
      <c r="G232" s="331" t="str">
        <f>IF($H232="","",IFERROR(INDEX('Game Records'!$M:$M,$H232),""))</f>
        <v/>
      </c>
      <c r="H232" s="104" t="str">
        <f>IF($H231="","",IFERROR(MATCH(1,INDEX((ROW('Game Records'!$U$5:$U$504)&gt;$H231)*(('Game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3" ht="24" customHeight="1">
      <c r="A233" s="332" t="str">
        <f>IF($H233="","",ROWS($A$5:A233))</f>
        <v/>
      </c>
      <c r="B233" s="332" t="str">
        <f>IF($H233="","","G-"&amp;TEXT($A233,"0000"))</f>
        <v/>
      </c>
      <c r="C233" s="331" t="str">
        <f>IF($H233="","",IFERROR(INDEX('Game Records'!$A:$A,$H233),""))</f>
        <v/>
      </c>
      <c r="D233" s="331" t="str">
        <f>IF($H233="","",IFERROR(INDEX('Game Records'!$U:$U,$H233),""))</f>
        <v/>
      </c>
      <c r="E233" s="331" t="str">
        <f>IF($H233="","",IF($F233="","No Highlighted Fields","Highlighted Fields Present"))</f>
        <v/>
      </c>
      <c r="F233" s="331" t="str">
        <f>IF($H233="","",IF(OR(NOT(ISFORMULA(INDEX('Game Records'!$N:$N,$H233))),NOT(ISFORMULA(INDEX('Game Records'!$O:$O,$H233))),NOT(ISFORMULA(INDEX('Game Records'!$P:$P,$H233))),NOT(ISFORMULA(INDEX('Game Records'!$Q:$Q,$H233))),NOT(ISFORMULA(INDEX('Game Records'!$R:$R,$H233))),NOT(ISFORMULA(INDEX('Game Records'!$S:$S,$H233))),NOT(ISFORMULA(INDEX('Game Records'!$T:$T,$H233))),NOT(ISFORMULA(INDEX('Game Records'!$U:$U,$H233))),NOT(ISFORMULA(INDEX('Game Records'!$V:$V,$H233))),NOT(ISFORMULA(INDEX('Game Records'!$W:$W,$H233))),NOT(ISFORMULA(INDEX('Game Records'!$X:$X,$H233))),NOT(ISFORMULA(INDEX('Game Records'!$Y:$Y,$H233))),NOT(ISFORMULA(INDEX('Game Records'!$Z:$Z,$H233)))),"Formula columns missing; ","")&amp;IF(INDEX('Game Records'!$B:$B,$H233)="","Start Date; ","")&amp;IF(INDEX('Game Records'!$C:$C,$H233)="","End Date; ","")&amp;IF(AND(INDEX('Game Records'!$U:$U,$H233)&lt;&gt;"Subscription",INDEX('Game Records'!$U:$U,$H233)&lt;&gt;"Free Game",INDEX('Game Records'!$U:$U,$H233)&lt;&gt;"Disqualified — Free Game",OR(INDEX('Game Records'!$D:$D,$H233)="",LOWER(INDEX('Game Records'!$D:$D,$H233)&amp;"")="n/a")),"Entry Mode; ","")&amp;IF(AND(INDEX('Game Records'!$U:$U,$H233)&lt;&gt;"Subscription",INDEX('Game Records'!$U:$U,$H233)&lt;&gt;"Free Game",INDEX('Game Records'!$U:$U,$H233)&lt;&gt;"Disqualified — Free Game",OR(INDEX('Game Records'!$E:$E,$H233)="",LOWER(INDEX('Game Records'!$E:$E,$H233)&amp;"")="n/a")),"Game Type; ","")&amp;IF(INDEX('Game Records'!$F:$F,$H233)="","Payment Type; ","")&amp;IF(AND(INDEX('Game Records'!$U:$U,$H233)&lt;&gt;"Subscription",INDEX('Game Records'!$U:$U,$H233)&lt;&gt;"Free Game",INDEX('Game Records'!$U:$U,$H233)&lt;&gt;"Disqualified — Free Game",INDEX('Game Records'!$G:$G,$H233)=""),"Gross Pot; ","")&amp;IF(AND(INDEX('Game Records'!$U:$U,$H233)&lt;&gt;"Free Game",INDEX('Game Records'!$U:$U,$H233)&lt;&gt;"Disqualified — Free Game",INDEX('Game Records'!$H:$H,$H233)=""),"Entry Fee; ","")&amp;IF(AND(INDEX('Game Records'!$U:$U,$H233)&lt;&gt;"Subscription",INDEX('Game Records'!$U:$U,$H233)&lt;&gt;"Free Game",INDEX('Game Records'!$U:$U,$H233)&lt;&gt;"Disqualified — Free Game",INDEX('Game Records'!$I:$I,$H233)=""),"Eligible Players; ","")&amp;IF(AND(INDEX('Game Records'!$U:$U,$H233)&lt;&gt;"Subscription",INDEX('Game Records'!$U:$U,$H233)&lt;&gt;"Free Game",INDEX('Game Records'!$U:$U,$H233)&lt;&gt;"Disqualified — Free Game",INDEX('Game Records'!$J:$J,$H233)=""),"Total Players; ","")&amp;IF(AND(LOWER(INDEX('Game Records'!$D:$D,$H233)&amp;"")="finalized",LOWER(INDEX('Game Records'!$L:$L,$H233)&amp;"")&lt;&gt;"yes",INDEX('Game Records'!$U:$U,$H233)&lt;&gt;"Subscription",INDEX('Game Records'!$U:$U,$H233)&lt;&gt;"Free Game",INDEX('Game Records'!$U:$U,$H233)&lt;&gt;"Disqualified — Free Game",INDEX('Game Records'!$K:$K,$H233)=""),"Final Earned; ","")&amp;IF(AND(LOWER(INDEX('Game Records'!$D:$D,$H233)&amp;"")="finalized",INDEX('Game Records'!$U:$U,$H233)&lt;&gt;"Subscription",INDEX('Game Records'!$U:$U,$H233)&lt;&gt;"Free Game",INDEX('Game Records'!$U:$U,$H233)&lt;&gt;"Disqualified — Free Game",OR(INDEX('Game Records'!$L:$L,$H233)="",LOWER(INDEX('Game Records'!$L:$L,$H233)&amp;"")="n/a")),"Disqualified Status; ","")&amp;IF(AND(OR(LOWER(TRIM(INDEX('Game Records'!$F:$F,$H233)&amp;""))="free game",INDEX('Game Records'!$U:$U,$H233)="Free Game",INDEX('Game Records'!$U:$U,$H233)="Disqualified — Free Game"),N(INDEX('Game Records'!$H:$H,$H233))&lt;&gt;0),"Free Game has a non-zero Entry Fee. Free Game records require a $0 Entry Fee; ",""))</f>
        <v/>
      </c>
      <c r="G233" s="331" t="str">
        <f>IF($H233="","",IFERROR(INDEX('Game Records'!$M:$M,$H233),""))</f>
        <v/>
      </c>
      <c r="H233" s="104" t="str">
        <f>IF($H232="","",IFERROR(MATCH(1,INDEX((ROW('Game Records'!$U$5:$U$504)&gt;$H232)*(('Game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4" ht="24" customHeight="1">
      <c r="A234" s="332" t="str">
        <f>IF($H234="","",ROWS($A$5:A234))</f>
        <v/>
      </c>
      <c r="B234" s="332" t="str">
        <f>IF($H234="","","G-"&amp;TEXT($A234,"0000"))</f>
        <v/>
      </c>
      <c r="C234" s="331" t="str">
        <f>IF($H234="","",IFERROR(INDEX('Game Records'!$A:$A,$H234),""))</f>
        <v/>
      </c>
      <c r="D234" s="331" t="str">
        <f>IF($H234="","",IFERROR(INDEX('Game Records'!$U:$U,$H234),""))</f>
        <v/>
      </c>
      <c r="E234" s="331" t="str">
        <f>IF($H234="","",IF($F234="","No Highlighted Fields","Highlighted Fields Present"))</f>
        <v/>
      </c>
      <c r="F234" s="331" t="str">
        <f>IF($H234="","",IF(OR(NOT(ISFORMULA(INDEX('Game Records'!$N:$N,$H234))),NOT(ISFORMULA(INDEX('Game Records'!$O:$O,$H234))),NOT(ISFORMULA(INDEX('Game Records'!$P:$P,$H234))),NOT(ISFORMULA(INDEX('Game Records'!$Q:$Q,$H234))),NOT(ISFORMULA(INDEX('Game Records'!$R:$R,$H234))),NOT(ISFORMULA(INDEX('Game Records'!$S:$S,$H234))),NOT(ISFORMULA(INDEX('Game Records'!$T:$T,$H234))),NOT(ISFORMULA(INDEX('Game Records'!$U:$U,$H234))),NOT(ISFORMULA(INDEX('Game Records'!$V:$V,$H234))),NOT(ISFORMULA(INDEX('Game Records'!$W:$W,$H234))),NOT(ISFORMULA(INDEX('Game Records'!$X:$X,$H234))),NOT(ISFORMULA(INDEX('Game Records'!$Y:$Y,$H234))),NOT(ISFORMULA(INDEX('Game Records'!$Z:$Z,$H234)))),"Formula columns missing; ","")&amp;IF(INDEX('Game Records'!$B:$B,$H234)="","Start Date; ","")&amp;IF(INDEX('Game Records'!$C:$C,$H234)="","End Date; ","")&amp;IF(AND(INDEX('Game Records'!$U:$U,$H234)&lt;&gt;"Subscription",INDEX('Game Records'!$U:$U,$H234)&lt;&gt;"Free Game",INDEX('Game Records'!$U:$U,$H234)&lt;&gt;"Disqualified — Free Game",OR(INDEX('Game Records'!$D:$D,$H234)="",LOWER(INDEX('Game Records'!$D:$D,$H234)&amp;"")="n/a")),"Entry Mode; ","")&amp;IF(AND(INDEX('Game Records'!$U:$U,$H234)&lt;&gt;"Subscription",INDEX('Game Records'!$U:$U,$H234)&lt;&gt;"Free Game",INDEX('Game Records'!$U:$U,$H234)&lt;&gt;"Disqualified — Free Game",OR(INDEX('Game Records'!$E:$E,$H234)="",LOWER(INDEX('Game Records'!$E:$E,$H234)&amp;"")="n/a")),"Game Type; ","")&amp;IF(INDEX('Game Records'!$F:$F,$H234)="","Payment Type; ","")&amp;IF(AND(INDEX('Game Records'!$U:$U,$H234)&lt;&gt;"Subscription",INDEX('Game Records'!$U:$U,$H234)&lt;&gt;"Free Game",INDEX('Game Records'!$U:$U,$H234)&lt;&gt;"Disqualified — Free Game",INDEX('Game Records'!$G:$G,$H234)=""),"Gross Pot; ","")&amp;IF(AND(INDEX('Game Records'!$U:$U,$H234)&lt;&gt;"Free Game",INDEX('Game Records'!$U:$U,$H234)&lt;&gt;"Disqualified — Free Game",INDEX('Game Records'!$H:$H,$H234)=""),"Entry Fee; ","")&amp;IF(AND(INDEX('Game Records'!$U:$U,$H234)&lt;&gt;"Subscription",INDEX('Game Records'!$U:$U,$H234)&lt;&gt;"Free Game",INDEX('Game Records'!$U:$U,$H234)&lt;&gt;"Disqualified — Free Game",INDEX('Game Records'!$I:$I,$H234)=""),"Eligible Players; ","")&amp;IF(AND(INDEX('Game Records'!$U:$U,$H234)&lt;&gt;"Subscription",INDEX('Game Records'!$U:$U,$H234)&lt;&gt;"Free Game",INDEX('Game Records'!$U:$U,$H234)&lt;&gt;"Disqualified — Free Game",INDEX('Game Records'!$J:$J,$H234)=""),"Total Players; ","")&amp;IF(AND(LOWER(INDEX('Game Records'!$D:$D,$H234)&amp;"")="finalized",LOWER(INDEX('Game Records'!$L:$L,$H234)&amp;"")&lt;&gt;"yes",INDEX('Game Records'!$U:$U,$H234)&lt;&gt;"Subscription",INDEX('Game Records'!$U:$U,$H234)&lt;&gt;"Free Game",INDEX('Game Records'!$U:$U,$H234)&lt;&gt;"Disqualified — Free Game",INDEX('Game Records'!$K:$K,$H234)=""),"Final Earned; ","")&amp;IF(AND(LOWER(INDEX('Game Records'!$D:$D,$H234)&amp;"")="finalized",INDEX('Game Records'!$U:$U,$H234)&lt;&gt;"Subscription",INDEX('Game Records'!$U:$U,$H234)&lt;&gt;"Free Game",INDEX('Game Records'!$U:$U,$H234)&lt;&gt;"Disqualified — Free Game",OR(INDEX('Game Records'!$L:$L,$H234)="",LOWER(INDEX('Game Records'!$L:$L,$H234)&amp;"")="n/a")),"Disqualified Status; ","")&amp;IF(AND(OR(LOWER(TRIM(INDEX('Game Records'!$F:$F,$H234)&amp;""))="free game",INDEX('Game Records'!$U:$U,$H234)="Free Game",INDEX('Game Records'!$U:$U,$H234)="Disqualified — Free Game"),N(INDEX('Game Records'!$H:$H,$H234))&lt;&gt;0),"Free Game has a non-zero Entry Fee. Free Game records require a $0 Entry Fee; ",""))</f>
        <v/>
      </c>
      <c r="G234" s="331" t="str">
        <f>IF($H234="","",IFERROR(INDEX('Game Records'!$M:$M,$H234),""))</f>
        <v/>
      </c>
      <c r="H234" s="104" t="str">
        <f>IF($H233="","",IFERROR(MATCH(1,INDEX((ROW('Game Records'!$U$5:$U$504)&gt;$H233)*(('Game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5" ht="24" customHeight="1">
      <c r="A235" s="332" t="str">
        <f>IF($H235="","",ROWS($A$5:A235))</f>
        <v/>
      </c>
      <c r="B235" s="332" t="str">
        <f>IF($H235="","","G-"&amp;TEXT($A235,"0000"))</f>
        <v/>
      </c>
      <c r="C235" s="331" t="str">
        <f>IF($H235="","",IFERROR(INDEX('Game Records'!$A:$A,$H235),""))</f>
        <v/>
      </c>
      <c r="D235" s="331" t="str">
        <f>IF($H235="","",IFERROR(INDEX('Game Records'!$U:$U,$H235),""))</f>
        <v/>
      </c>
      <c r="E235" s="331" t="str">
        <f>IF($H235="","",IF($F235="","No Highlighted Fields","Highlighted Fields Present"))</f>
        <v/>
      </c>
      <c r="F235" s="331" t="str">
        <f>IF($H235="","",IF(OR(NOT(ISFORMULA(INDEX('Game Records'!$N:$N,$H235))),NOT(ISFORMULA(INDEX('Game Records'!$O:$O,$H235))),NOT(ISFORMULA(INDEX('Game Records'!$P:$P,$H235))),NOT(ISFORMULA(INDEX('Game Records'!$Q:$Q,$H235))),NOT(ISFORMULA(INDEX('Game Records'!$R:$R,$H235))),NOT(ISFORMULA(INDEX('Game Records'!$S:$S,$H235))),NOT(ISFORMULA(INDEX('Game Records'!$T:$T,$H235))),NOT(ISFORMULA(INDEX('Game Records'!$U:$U,$H235))),NOT(ISFORMULA(INDEX('Game Records'!$V:$V,$H235))),NOT(ISFORMULA(INDEX('Game Records'!$W:$W,$H235))),NOT(ISFORMULA(INDEX('Game Records'!$X:$X,$H235))),NOT(ISFORMULA(INDEX('Game Records'!$Y:$Y,$H235))),NOT(ISFORMULA(INDEX('Game Records'!$Z:$Z,$H235)))),"Formula columns missing; ","")&amp;IF(INDEX('Game Records'!$B:$B,$H235)="","Start Date; ","")&amp;IF(INDEX('Game Records'!$C:$C,$H235)="","End Date; ","")&amp;IF(AND(INDEX('Game Records'!$U:$U,$H235)&lt;&gt;"Subscription",INDEX('Game Records'!$U:$U,$H235)&lt;&gt;"Free Game",INDEX('Game Records'!$U:$U,$H235)&lt;&gt;"Disqualified — Free Game",OR(INDEX('Game Records'!$D:$D,$H235)="",LOWER(INDEX('Game Records'!$D:$D,$H235)&amp;"")="n/a")),"Entry Mode; ","")&amp;IF(AND(INDEX('Game Records'!$U:$U,$H235)&lt;&gt;"Subscription",INDEX('Game Records'!$U:$U,$H235)&lt;&gt;"Free Game",INDEX('Game Records'!$U:$U,$H235)&lt;&gt;"Disqualified — Free Game",OR(INDEX('Game Records'!$E:$E,$H235)="",LOWER(INDEX('Game Records'!$E:$E,$H235)&amp;"")="n/a")),"Game Type; ","")&amp;IF(INDEX('Game Records'!$F:$F,$H235)="","Payment Type; ","")&amp;IF(AND(INDEX('Game Records'!$U:$U,$H235)&lt;&gt;"Subscription",INDEX('Game Records'!$U:$U,$H235)&lt;&gt;"Free Game",INDEX('Game Records'!$U:$U,$H235)&lt;&gt;"Disqualified — Free Game",INDEX('Game Records'!$G:$G,$H235)=""),"Gross Pot; ","")&amp;IF(AND(INDEX('Game Records'!$U:$U,$H235)&lt;&gt;"Free Game",INDEX('Game Records'!$U:$U,$H235)&lt;&gt;"Disqualified — Free Game",INDEX('Game Records'!$H:$H,$H235)=""),"Entry Fee; ","")&amp;IF(AND(INDEX('Game Records'!$U:$U,$H235)&lt;&gt;"Subscription",INDEX('Game Records'!$U:$U,$H235)&lt;&gt;"Free Game",INDEX('Game Records'!$U:$U,$H235)&lt;&gt;"Disqualified — Free Game",INDEX('Game Records'!$I:$I,$H235)=""),"Eligible Players; ","")&amp;IF(AND(INDEX('Game Records'!$U:$U,$H235)&lt;&gt;"Subscription",INDEX('Game Records'!$U:$U,$H235)&lt;&gt;"Free Game",INDEX('Game Records'!$U:$U,$H235)&lt;&gt;"Disqualified — Free Game",INDEX('Game Records'!$J:$J,$H235)=""),"Total Players; ","")&amp;IF(AND(LOWER(INDEX('Game Records'!$D:$D,$H235)&amp;"")="finalized",LOWER(INDEX('Game Records'!$L:$L,$H235)&amp;"")&lt;&gt;"yes",INDEX('Game Records'!$U:$U,$H235)&lt;&gt;"Subscription",INDEX('Game Records'!$U:$U,$H235)&lt;&gt;"Free Game",INDEX('Game Records'!$U:$U,$H235)&lt;&gt;"Disqualified — Free Game",INDEX('Game Records'!$K:$K,$H235)=""),"Final Earned; ","")&amp;IF(AND(LOWER(INDEX('Game Records'!$D:$D,$H235)&amp;"")="finalized",INDEX('Game Records'!$U:$U,$H235)&lt;&gt;"Subscription",INDEX('Game Records'!$U:$U,$H235)&lt;&gt;"Free Game",INDEX('Game Records'!$U:$U,$H235)&lt;&gt;"Disqualified — Free Game",OR(INDEX('Game Records'!$L:$L,$H235)="",LOWER(INDEX('Game Records'!$L:$L,$H235)&amp;"")="n/a")),"Disqualified Status; ","")&amp;IF(AND(OR(LOWER(TRIM(INDEX('Game Records'!$F:$F,$H235)&amp;""))="free game",INDEX('Game Records'!$U:$U,$H235)="Free Game",INDEX('Game Records'!$U:$U,$H235)="Disqualified — Free Game"),N(INDEX('Game Records'!$H:$H,$H235))&lt;&gt;0),"Free Game has a non-zero Entry Fee. Free Game records require a $0 Entry Fee; ",""))</f>
        <v/>
      </c>
      <c r="G235" s="331" t="str">
        <f>IF($H235="","",IFERROR(INDEX('Game Records'!$M:$M,$H235),""))</f>
        <v/>
      </c>
      <c r="H235" s="104" t="str">
        <f>IF($H234="","",IFERROR(MATCH(1,INDEX((ROW('Game Records'!$U$5:$U$504)&gt;$H234)*(('Game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6" ht="24" customHeight="1">
      <c r="A236" s="332" t="str">
        <f>IF($H236="","",ROWS($A$5:A236))</f>
        <v/>
      </c>
      <c r="B236" s="332" t="str">
        <f>IF($H236="","","G-"&amp;TEXT($A236,"0000"))</f>
        <v/>
      </c>
      <c r="C236" s="331" t="str">
        <f>IF($H236="","",IFERROR(INDEX('Game Records'!$A:$A,$H236),""))</f>
        <v/>
      </c>
      <c r="D236" s="331" t="str">
        <f>IF($H236="","",IFERROR(INDEX('Game Records'!$U:$U,$H236),""))</f>
        <v/>
      </c>
      <c r="E236" s="331" t="str">
        <f>IF($H236="","",IF($F236="","No Highlighted Fields","Highlighted Fields Present"))</f>
        <v/>
      </c>
      <c r="F236" s="331" t="str">
        <f>IF($H236="","",IF(OR(NOT(ISFORMULA(INDEX('Game Records'!$N:$N,$H236))),NOT(ISFORMULA(INDEX('Game Records'!$O:$O,$H236))),NOT(ISFORMULA(INDEX('Game Records'!$P:$P,$H236))),NOT(ISFORMULA(INDEX('Game Records'!$Q:$Q,$H236))),NOT(ISFORMULA(INDEX('Game Records'!$R:$R,$H236))),NOT(ISFORMULA(INDEX('Game Records'!$S:$S,$H236))),NOT(ISFORMULA(INDEX('Game Records'!$T:$T,$H236))),NOT(ISFORMULA(INDEX('Game Records'!$U:$U,$H236))),NOT(ISFORMULA(INDEX('Game Records'!$V:$V,$H236))),NOT(ISFORMULA(INDEX('Game Records'!$W:$W,$H236))),NOT(ISFORMULA(INDEX('Game Records'!$X:$X,$H236))),NOT(ISFORMULA(INDEX('Game Records'!$Y:$Y,$H236))),NOT(ISFORMULA(INDEX('Game Records'!$Z:$Z,$H236)))),"Formula columns missing; ","")&amp;IF(INDEX('Game Records'!$B:$B,$H236)="","Start Date; ","")&amp;IF(INDEX('Game Records'!$C:$C,$H236)="","End Date; ","")&amp;IF(AND(INDEX('Game Records'!$U:$U,$H236)&lt;&gt;"Subscription",INDEX('Game Records'!$U:$U,$H236)&lt;&gt;"Free Game",INDEX('Game Records'!$U:$U,$H236)&lt;&gt;"Disqualified — Free Game",OR(INDEX('Game Records'!$D:$D,$H236)="",LOWER(INDEX('Game Records'!$D:$D,$H236)&amp;"")="n/a")),"Entry Mode; ","")&amp;IF(AND(INDEX('Game Records'!$U:$U,$H236)&lt;&gt;"Subscription",INDEX('Game Records'!$U:$U,$H236)&lt;&gt;"Free Game",INDEX('Game Records'!$U:$U,$H236)&lt;&gt;"Disqualified — Free Game",OR(INDEX('Game Records'!$E:$E,$H236)="",LOWER(INDEX('Game Records'!$E:$E,$H236)&amp;"")="n/a")),"Game Type; ","")&amp;IF(INDEX('Game Records'!$F:$F,$H236)="","Payment Type; ","")&amp;IF(AND(INDEX('Game Records'!$U:$U,$H236)&lt;&gt;"Subscription",INDEX('Game Records'!$U:$U,$H236)&lt;&gt;"Free Game",INDEX('Game Records'!$U:$U,$H236)&lt;&gt;"Disqualified — Free Game",INDEX('Game Records'!$G:$G,$H236)=""),"Gross Pot; ","")&amp;IF(AND(INDEX('Game Records'!$U:$U,$H236)&lt;&gt;"Free Game",INDEX('Game Records'!$U:$U,$H236)&lt;&gt;"Disqualified — Free Game",INDEX('Game Records'!$H:$H,$H236)=""),"Entry Fee; ","")&amp;IF(AND(INDEX('Game Records'!$U:$U,$H236)&lt;&gt;"Subscription",INDEX('Game Records'!$U:$U,$H236)&lt;&gt;"Free Game",INDEX('Game Records'!$U:$U,$H236)&lt;&gt;"Disqualified — Free Game",INDEX('Game Records'!$I:$I,$H236)=""),"Eligible Players; ","")&amp;IF(AND(INDEX('Game Records'!$U:$U,$H236)&lt;&gt;"Subscription",INDEX('Game Records'!$U:$U,$H236)&lt;&gt;"Free Game",INDEX('Game Records'!$U:$U,$H236)&lt;&gt;"Disqualified — Free Game",INDEX('Game Records'!$J:$J,$H236)=""),"Total Players; ","")&amp;IF(AND(LOWER(INDEX('Game Records'!$D:$D,$H236)&amp;"")="finalized",LOWER(INDEX('Game Records'!$L:$L,$H236)&amp;"")&lt;&gt;"yes",INDEX('Game Records'!$U:$U,$H236)&lt;&gt;"Subscription",INDEX('Game Records'!$U:$U,$H236)&lt;&gt;"Free Game",INDEX('Game Records'!$U:$U,$H236)&lt;&gt;"Disqualified — Free Game",INDEX('Game Records'!$K:$K,$H236)=""),"Final Earned; ","")&amp;IF(AND(LOWER(INDEX('Game Records'!$D:$D,$H236)&amp;"")="finalized",INDEX('Game Records'!$U:$U,$H236)&lt;&gt;"Subscription",INDEX('Game Records'!$U:$U,$H236)&lt;&gt;"Free Game",INDEX('Game Records'!$U:$U,$H236)&lt;&gt;"Disqualified — Free Game",OR(INDEX('Game Records'!$L:$L,$H236)="",LOWER(INDEX('Game Records'!$L:$L,$H236)&amp;"")="n/a")),"Disqualified Status; ","")&amp;IF(AND(OR(LOWER(TRIM(INDEX('Game Records'!$F:$F,$H236)&amp;""))="free game",INDEX('Game Records'!$U:$U,$H236)="Free Game",INDEX('Game Records'!$U:$U,$H236)="Disqualified — Free Game"),N(INDEX('Game Records'!$H:$H,$H236))&lt;&gt;0),"Free Game has a non-zero Entry Fee. Free Game records require a $0 Entry Fee; ",""))</f>
        <v/>
      </c>
      <c r="G236" s="331" t="str">
        <f>IF($H236="","",IFERROR(INDEX('Game Records'!$M:$M,$H236),""))</f>
        <v/>
      </c>
      <c r="H236" s="104" t="str">
        <f>IF($H235="","",IFERROR(MATCH(1,INDEX((ROW('Game Records'!$U$5:$U$504)&gt;$H235)*(('Game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7" ht="24" customHeight="1">
      <c r="A237" s="332" t="str">
        <f>IF($H237="","",ROWS($A$5:A237))</f>
        <v/>
      </c>
      <c r="B237" s="332" t="str">
        <f>IF($H237="","","G-"&amp;TEXT($A237,"0000"))</f>
        <v/>
      </c>
      <c r="C237" s="331" t="str">
        <f>IF($H237="","",IFERROR(INDEX('Game Records'!$A:$A,$H237),""))</f>
        <v/>
      </c>
      <c r="D237" s="331" t="str">
        <f>IF($H237="","",IFERROR(INDEX('Game Records'!$U:$U,$H237),""))</f>
        <v/>
      </c>
      <c r="E237" s="331" t="str">
        <f>IF($H237="","",IF($F237="","No Highlighted Fields","Highlighted Fields Present"))</f>
        <v/>
      </c>
      <c r="F237" s="331" t="str">
        <f>IF($H237="","",IF(OR(NOT(ISFORMULA(INDEX('Game Records'!$N:$N,$H237))),NOT(ISFORMULA(INDEX('Game Records'!$O:$O,$H237))),NOT(ISFORMULA(INDEX('Game Records'!$P:$P,$H237))),NOT(ISFORMULA(INDEX('Game Records'!$Q:$Q,$H237))),NOT(ISFORMULA(INDEX('Game Records'!$R:$R,$H237))),NOT(ISFORMULA(INDEX('Game Records'!$S:$S,$H237))),NOT(ISFORMULA(INDEX('Game Records'!$T:$T,$H237))),NOT(ISFORMULA(INDEX('Game Records'!$U:$U,$H237))),NOT(ISFORMULA(INDEX('Game Records'!$V:$V,$H237))),NOT(ISFORMULA(INDEX('Game Records'!$W:$W,$H237))),NOT(ISFORMULA(INDEX('Game Records'!$X:$X,$H237))),NOT(ISFORMULA(INDEX('Game Records'!$Y:$Y,$H237))),NOT(ISFORMULA(INDEX('Game Records'!$Z:$Z,$H237)))),"Formula columns missing; ","")&amp;IF(INDEX('Game Records'!$B:$B,$H237)="","Start Date; ","")&amp;IF(INDEX('Game Records'!$C:$C,$H237)="","End Date; ","")&amp;IF(AND(INDEX('Game Records'!$U:$U,$H237)&lt;&gt;"Subscription",INDEX('Game Records'!$U:$U,$H237)&lt;&gt;"Free Game",INDEX('Game Records'!$U:$U,$H237)&lt;&gt;"Disqualified — Free Game",OR(INDEX('Game Records'!$D:$D,$H237)="",LOWER(INDEX('Game Records'!$D:$D,$H237)&amp;"")="n/a")),"Entry Mode; ","")&amp;IF(AND(INDEX('Game Records'!$U:$U,$H237)&lt;&gt;"Subscription",INDEX('Game Records'!$U:$U,$H237)&lt;&gt;"Free Game",INDEX('Game Records'!$U:$U,$H237)&lt;&gt;"Disqualified — Free Game",OR(INDEX('Game Records'!$E:$E,$H237)="",LOWER(INDEX('Game Records'!$E:$E,$H237)&amp;"")="n/a")),"Game Type; ","")&amp;IF(INDEX('Game Records'!$F:$F,$H237)="","Payment Type; ","")&amp;IF(AND(INDEX('Game Records'!$U:$U,$H237)&lt;&gt;"Subscription",INDEX('Game Records'!$U:$U,$H237)&lt;&gt;"Free Game",INDEX('Game Records'!$U:$U,$H237)&lt;&gt;"Disqualified — Free Game",INDEX('Game Records'!$G:$G,$H237)=""),"Gross Pot; ","")&amp;IF(AND(INDEX('Game Records'!$U:$U,$H237)&lt;&gt;"Free Game",INDEX('Game Records'!$U:$U,$H237)&lt;&gt;"Disqualified — Free Game",INDEX('Game Records'!$H:$H,$H237)=""),"Entry Fee; ","")&amp;IF(AND(INDEX('Game Records'!$U:$U,$H237)&lt;&gt;"Subscription",INDEX('Game Records'!$U:$U,$H237)&lt;&gt;"Free Game",INDEX('Game Records'!$U:$U,$H237)&lt;&gt;"Disqualified — Free Game",INDEX('Game Records'!$I:$I,$H237)=""),"Eligible Players; ","")&amp;IF(AND(INDEX('Game Records'!$U:$U,$H237)&lt;&gt;"Subscription",INDEX('Game Records'!$U:$U,$H237)&lt;&gt;"Free Game",INDEX('Game Records'!$U:$U,$H237)&lt;&gt;"Disqualified — Free Game",INDEX('Game Records'!$J:$J,$H237)=""),"Total Players; ","")&amp;IF(AND(LOWER(INDEX('Game Records'!$D:$D,$H237)&amp;"")="finalized",LOWER(INDEX('Game Records'!$L:$L,$H237)&amp;"")&lt;&gt;"yes",INDEX('Game Records'!$U:$U,$H237)&lt;&gt;"Subscription",INDEX('Game Records'!$U:$U,$H237)&lt;&gt;"Free Game",INDEX('Game Records'!$U:$U,$H237)&lt;&gt;"Disqualified — Free Game",INDEX('Game Records'!$K:$K,$H237)=""),"Final Earned; ","")&amp;IF(AND(LOWER(INDEX('Game Records'!$D:$D,$H237)&amp;"")="finalized",INDEX('Game Records'!$U:$U,$H237)&lt;&gt;"Subscription",INDEX('Game Records'!$U:$U,$H237)&lt;&gt;"Free Game",INDEX('Game Records'!$U:$U,$H237)&lt;&gt;"Disqualified — Free Game",OR(INDEX('Game Records'!$L:$L,$H237)="",LOWER(INDEX('Game Records'!$L:$L,$H237)&amp;"")="n/a")),"Disqualified Status; ","")&amp;IF(AND(OR(LOWER(TRIM(INDEX('Game Records'!$F:$F,$H237)&amp;""))="free game",INDEX('Game Records'!$U:$U,$H237)="Free Game",INDEX('Game Records'!$U:$U,$H237)="Disqualified — Free Game"),N(INDEX('Game Records'!$H:$H,$H237))&lt;&gt;0),"Free Game has a non-zero Entry Fee. Free Game records require a $0 Entry Fee; ",""))</f>
        <v/>
      </c>
      <c r="G237" s="331" t="str">
        <f>IF($H237="","",IFERROR(INDEX('Game Records'!$M:$M,$H237),""))</f>
        <v/>
      </c>
      <c r="H237" s="104" t="str">
        <f>IF($H236="","",IFERROR(MATCH(1,INDEX((ROW('Game Records'!$U$5:$U$504)&gt;$H236)*(('Game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8" ht="24" customHeight="1">
      <c r="A238" s="332" t="str">
        <f>IF($H238="","",ROWS($A$5:A238))</f>
        <v/>
      </c>
      <c r="B238" s="332" t="str">
        <f>IF($H238="","","G-"&amp;TEXT($A238,"0000"))</f>
        <v/>
      </c>
      <c r="C238" s="331" t="str">
        <f>IF($H238="","",IFERROR(INDEX('Game Records'!$A:$A,$H238),""))</f>
        <v/>
      </c>
      <c r="D238" s="331" t="str">
        <f>IF($H238="","",IFERROR(INDEX('Game Records'!$U:$U,$H238),""))</f>
        <v/>
      </c>
      <c r="E238" s="331" t="str">
        <f>IF($H238="","",IF($F238="","No Highlighted Fields","Highlighted Fields Present"))</f>
        <v/>
      </c>
      <c r="F238" s="331" t="str">
        <f>IF($H238="","",IF(OR(NOT(ISFORMULA(INDEX('Game Records'!$N:$N,$H238))),NOT(ISFORMULA(INDEX('Game Records'!$O:$O,$H238))),NOT(ISFORMULA(INDEX('Game Records'!$P:$P,$H238))),NOT(ISFORMULA(INDEX('Game Records'!$Q:$Q,$H238))),NOT(ISFORMULA(INDEX('Game Records'!$R:$R,$H238))),NOT(ISFORMULA(INDEX('Game Records'!$S:$S,$H238))),NOT(ISFORMULA(INDEX('Game Records'!$T:$T,$H238))),NOT(ISFORMULA(INDEX('Game Records'!$U:$U,$H238))),NOT(ISFORMULA(INDEX('Game Records'!$V:$V,$H238))),NOT(ISFORMULA(INDEX('Game Records'!$W:$W,$H238))),NOT(ISFORMULA(INDEX('Game Records'!$X:$X,$H238))),NOT(ISFORMULA(INDEX('Game Records'!$Y:$Y,$H238))),NOT(ISFORMULA(INDEX('Game Records'!$Z:$Z,$H238)))),"Formula columns missing; ","")&amp;IF(INDEX('Game Records'!$B:$B,$H238)="","Start Date; ","")&amp;IF(INDEX('Game Records'!$C:$C,$H238)="","End Date; ","")&amp;IF(AND(INDEX('Game Records'!$U:$U,$H238)&lt;&gt;"Subscription",INDEX('Game Records'!$U:$U,$H238)&lt;&gt;"Free Game",INDEX('Game Records'!$U:$U,$H238)&lt;&gt;"Disqualified — Free Game",OR(INDEX('Game Records'!$D:$D,$H238)="",LOWER(INDEX('Game Records'!$D:$D,$H238)&amp;"")="n/a")),"Entry Mode; ","")&amp;IF(AND(INDEX('Game Records'!$U:$U,$H238)&lt;&gt;"Subscription",INDEX('Game Records'!$U:$U,$H238)&lt;&gt;"Free Game",INDEX('Game Records'!$U:$U,$H238)&lt;&gt;"Disqualified — Free Game",OR(INDEX('Game Records'!$E:$E,$H238)="",LOWER(INDEX('Game Records'!$E:$E,$H238)&amp;"")="n/a")),"Game Type; ","")&amp;IF(INDEX('Game Records'!$F:$F,$H238)="","Payment Type; ","")&amp;IF(AND(INDEX('Game Records'!$U:$U,$H238)&lt;&gt;"Subscription",INDEX('Game Records'!$U:$U,$H238)&lt;&gt;"Free Game",INDEX('Game Records'!$U:$U,$H238)&lt;&gt;"Disqualified — Free Game",INDEX('Game Records'!$G:$G,$H238)=""),"Gross Pot; ","")&amp;IF(AND(INDEX('Game Records'!$U:$U,$H238)&lt;&gt;"Free Game",INDEX('Game Records'!$U:$U,$H238)&lt;&gt;"Disqualified — Free Game",INDEX('Game Records'!$H:$H,$H238)=""),"Entry Fee; ","")&amp;IF(AND(INDEX('Game Records'!$U:$U,$H238)&lt;&gt;"Subscription",INDEX('Game Records'!$U:$U,$H238)&lt;&gt;"Free Game",INDEX('Game Records'!$U:$U,$H238)&lt;&gt;"Disqualified — Free Game",INDEX('Game Records'!$I:$I,$H238)=""),"Eligible Players; ","")&amp;IF(AND(INDEX('Game Records'!$U:$U,$H238)&lt;&gt;"Subscription",INDEX('Game Records'!$U:$U,$H238)&lt;&gt;"Free Game",INDEX('Game Records'!$U:$U,$H238)&lt;&gt;"Disqualified — Free Game",INDEX('Game Records'!$J:$J,$H238)=""),"Total Players; ","")&amp;IF(AND(LOWER(INDEX('Game Records'!$D:$D,$H238)&amp;"")="finalized",LOWER(INDEX('Game Records'!$L:$L,$H238)&amp;"")&lt;&gt;"yes",INDEX('Game Records'!$U:$U,$H238)&lt;&gt;"Subscription",INDEX('Game Records'!$U:$U,$H238)&lt;&gt;"Free Game",INDEX('Game Records'!$U:$U,$H238)&lt;&gt;"Disqualified — Free Game",INDEX('Game Records'!$K:$K,$H238)=""),"Final Earned; ","")&amp;IF(AND(LOWER(INDEX('Game Records'!$D:$D,$H238)&amp;"")="finalized",INDEX('Game Records'!$U:$U,$H238)&lt;&gt;"Subscription",INDEX('Game Records'!$U:$U,$H238)&lt;&gt;"Free Game",INDEX('Game Records'!$U:$U,$H238)&lt;&gt;"Disqualified — Free Game",OR(INDEX('Game Records'!$L:$L,$H238)="",LOWER(INDEX('Game Records'!$L:$L,$H238)&amp;"")="n/a")),"Disqualified Status; ","")&amp;IF(AND(OR(LOWER(TRIM(INDEX('Game Records'!$F:$F,$H238)&amp;""))="free game",INDEX('Game Records'!$U:$U,$H238)="Free Game",INDEX('Game Records'!$U:$U,$H238)="Disqualified — Free Game"),N(INDEX('Game Records'!$H:$H,$H238))&lt;&gt;0),"Free Game has a non-zero Entry Fee. Free Game records require a $0 Entry Fee; ",""))</f>
        <v/>
      </c>
      <c r="G238" s="331" t="str">
        <f>IF($H238="","",IFERROR(INDEX('Game Records'!$M:$M,$H238),""))</f>
        <v/>
      </c>
      <c r="H238" s="104" t="str">
        <f>IF($H237="","",IFERROR(MATCH(1,INDEX((ROW('Game Records'!$U$5:$U$504)&gt;$H237)*(('Game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9" ht="24" customHeight="1">
      <c r="A239" s="332" t="str">
        <f>IF($H239="","",ROWS($A$5:A239))</f>
        <v/>
      </c>
      <c r="B239" s="332" t="str">
        <f>IF($H239="","","G-"&amp;TEXT($A239,"0000"))</f>
        <v/>
      </c>
      <c r="C239" s="331" t="str">
        <f>IF($H239="","",IFERROR(INDEX('Game Records'!$A:$A,$H239),""))</f>
        <v/>
      </c>
      <c r="D239" s="331" t="str">
        <f>IF($H239="","",IFERROR(INDEX('Game Records'!$U:$U,$H239),""))</f>
        <v/>
      </c>
      <c r="E239" s="331" t="str">
        <f>IF($H239="","",IF($F239="","No Highlighted Fields","Highlighted Fields Present"))</f>
        <v/>
      </c>
      <c r="F239" s="331" t="str">
        <f>IF($H239="","",IF(OR(NOT(ISFORMULA(INDEX('Game Records'!$N:$N,$H239))),NOT(ISFORMULA(INDEX('Game Records'!$O:$O,$H239))),NOT(ISFORMULA(INDEX('Game Records'!$P:$P,$H239))),NOT(ISFORMULA(INDEX('Game Records'!$Q:$Q,$H239))),NOT(ISFORMULA(INDEX('Game Records'!$R:$R,$H239))),NOT(ISFORMULA(INDEX('Game Records'!$S:$S,$H239))),NOT(ISFORMULA(INDEX('Game Records'!$T:$T,$H239))),NOT(ISFORMULA(INDEX('Game Records'!$U:$U,$H239))),NOT(ISFORMULA(INDEX('Game Records'!$V:$V,$H239))),NOT(ISFORMULA(INDEX('Game Records'!$W:$W,$H239))),NOT(ISFORMULA(INDEX('Game Records'!$X:$X,$H239))),NOT(ISFORMULA(INDEX('Game Records'!$Y:$Y,$H239))),NOT(ISFORMULA(INDEX('Game Records'!$Z:$Z,$H239)))),"Formula columns missing; ","")&amp;IF(INDEX('Game Records'!$B:$B,$H239)="","Start Date; ","")&amp;IF(INDEX('Game Records'!$C:$C,$H239)="","End Date; ","")&amp;IF(AND(INDEX('Game Records'!$U:$U,$H239)&lt;&gt;"Subscription",INDEX('Game Records'!$U:$U,$H239)&lt;&gt;"Free Game",INDEX('Game Records'!$U:$U,$H239)&lt;&gt;"Disqualified — Free Game",OR(INDEX('Game Records'!$D:$D,$H239)="",LOWER(INDEX('Game Records'!$D:$D,$H239)&amp;"")="n/a")),"Entry Mode; ","")&amp;IF(AND(INDEX('Game Records'!$U:$U,$H239)&lt;&gt;"Subscription",INDEX('Game Records'!$U:$U,$H239)&lt;&gt;"Free Game",INDEX('Game Records'!$U:$U,$H239)&lt;&gt;"Disqualified — Free Game",OR(INDEX('Game Records'!$E:$E,$H239)="",LOWER(INDEX('Game Records'!$E:$E,$H239)&amp;"")="n/a")),"Game Type; ","")&amp;IF(INDEX('Game Records'!$F:$F,$H239)="","Payment Type; ","")&amp;IF(AND(INDEX('Game Records'!$U:$U,$H239)&lt;&gt;"Subscription",INDEX('Game Records'!$U:$U,$H239)&lt;&gt;"Free Game",INDEX('Game Records'!$U:$U,$H239)&lt;&gt;"Disqualified — Free Game",INDEX('Game Records'!$G:$G,$H239)=""),"Gross Pot; ","")&amp;IF(AND(INDEX('Game Records'!$U:$U,$H239)&lt;&gt;"Free Game",INDEX('Game Records'!$U:$U,$H239)&lt;&gt;"Disqualified — Free Game",INDEX('Game Records'!$H:$H,$H239)=""),"Entry Fee; ","")&amp;IF(AND(INDEX('Game Records'!$U:$U,$H239)&lt;&gt;"Subscription",INDEX('Game Records'!$U:$U,$H239)&lt;&gt;"Free Game",INDEX('Game Records'!$U:$U,$H239)&lt;&gt;"Disqualified — Free Game",INDEX('Game Records'!$I:$I,$H239)=""),"Eligible Players; ","")&amp;IF(AND(INDEX('Game Records'!$U:$U,$H239)&lt;&gt;"Subscription",INDEX('Game Records'!$U:$U,$H239)&lt;&gt;"Free Game",INDEX('Game Records'!$U:$U,$H239)&lt;&gt;"Disqualified — Free Game",INDEX('Game Records'!$J:$J,$H239)=""),"Total Players; ","")&amp;IF(AND(LOWER(INDEX('Game Records'!$D:$D,$H239)&amp;"")="finalized",LOWER(INDEX('Game Records'!$L:$L,$H239)&amp;"")&lt;&gt;"yes",INDEX('Game Records'!$U:$U,$H239)&lt;&gt;"Subscription",INDEX('Game Records'!$U:$U,$H239)&lt;&gt;"Free Game",INDEX('Game Records'!$U:$U,$H239)&lt;&gt;"Disqualified — Free Game",INDEX('Game Records'!$K:$K,$H239)=""),"Final Earned; ","")&amp;IF(AND(LOWER(INDEX('Game Records'!$D:$D,$H239)&amp;"")="finalized",INDEX('Game Records'!$U:$U,$H239)&lt;&gt;"Subscription",INDEX('Game Records'!$U:$U,$H239)&lt;&gt;"Free Game",INDEX('Game Records'!$U:$U,$H239)&lt;&gt;"Disqualified — Free Game",OR(INDEX('Game Records'!$L:$L,$H239)="",LOWER(INDEX('Game Records'!$L:$L,$H239)&amp;"")="n/a")),"Disqualified Status; ","")&amp;IF(AND(OR(LOWER(TRIM(INDEX('Game Records'!$F:$F,$H239)&amp;""))="free game",INDEX('Game Records'!$U:$U,$H239)="Free Game",INDEX('Game Records'!$U:$U,$H239)="Disqualified — Free Game"),N(INDEX('Game Records'!$H:$H,$H239))&lt;&gt;0),"Free Game has a non-zero Entry Fee. Free Game records require a $0 Entry Fee; ",""))</f>
        <v/>
      </c>
      <c r="G239" s="331" t="str">
        <f>IF($H239="","",IFERROR(INDEX('Game Records'!$M:$M,$H239),""))</f>
        <v/>
      </c>
      <c r="H239" s="104" t="str">
        <f>IF($H238="","",IFERROR(MATCH(1,INDEX((ROW('Game Records'!$U$5:$U$504)&gt;$H238)*(('Game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0" ht="24" customHeight="1">
      <c r="A240" s="332" t="str">
        <f>IF($H240="","",ROWS($A$5:A240))</f>
        <v/>
      </c>
      <c r="B240" s="332" t="str">
        <f>IF($H240="","","G-"&amp;TEXT($A240,"0000"))</f>
        <v/>
      </c>
      <c r="C240" s="331" t="str">
        <f>IF($H240="","",IFERROR(INDEX('Game Records'!$A:$A,$H240),""))</f>
        <v/>
      </c>
      <c r="D240" s="331" t="str">
        <f>IF($H240="","",IFERROR(INDEX('Game Records'!$U:$U,$H240),""))</f>
        <v/>
      </c>
      <c r="E240" s="331" t="str">
        <f>IF($H240="","",IF($F240="","No Highlighted Fields","Highlighted Fields Present"))</f>
        <v/>
      </c>
      <c r="F240" s="331" t="str">
        <f>IF($H240="","",IF(OR(NOT(ISFORMULA(INDEX('Game Records'!$N:$N,$H240))),NOT(ISFORMULA(INDEX('Game Records'!$O:$O,$H240))),NOT(ISFORMULA(INDEX('Game Records'!$P:$P,$H240))),NOT(ISFORMULA(INDEX('Game Records'!$Q:$Q,$H240))),NOT(ISFORMULA(INDEX('Game Records'!$R:$R,$H240))),NOT(ISFORMULA(INDEX('Game Records'!$S:$S,$H240))),NOT(ISFORMULA(INDEX('Game Records'!$T:$T,$H240))),NOT(ISFORMULA(INDEX('Game Records'!$U:$U,$H240))),NOT(ISFORMULA(INDEX('Game Records'!$V:$V,$H240))),NOT(ISFORMULA(INDEX('Game Records'!$W:$W,$H240))),NOT(ISFORMULA(INDEX('Game Records'!$X:$X,$H240))),NOT(ISFORMULA(INDEX('Game Records'!$Y:$Y,$H240))),NOT(ISFORMULA(INDEX('Game Records'!$Z:$Z,$H240)))),"Formula columns missing; ","")&amp;IF(INDEX('Game Records'!$B:$B,$H240)="","Start Date; ","")&amp;IF(INDEX('Game Records'!$C:$C,$H240)="","End Date; ","")&amp;IF(AND(INDEX('Game Records'!$U:$U,$H240)&lt;&gt;"Subscription",INDEX('Game Records'!$U:$U,$H240)&lt;&gt;"Free Game",INDEX('Game Records'!$U:$U,$H240)&lt;&gt;"Disqualified — Free Game",OR(INDEX('Game Records'!$D:$D,$H240)="",LOWER(INDEX('Game Records'!$D:$D,$H240)&amp;"")="n/a")),"Entry Mode; ","")&amp;IF(AND(INDEX('Game Records'!$U:$U,$H240)&lt;&gt;"Subscription",INDEX('Game Records'!$U:$U,$H240)&lt;&gt;"Free Game",INDEX('Game Records'!$U:$U,$H240)&lt;&gt;"Disqualified — Free Game",OR(INDEX('Game Records'!$E:$E,$H240)="",LOWER(INDEX('Game Records'!$E:$E,$H240)&amp;"")="n/a")),"Game Type; ","")&amp;IF(INDEX('Game Records'!$F:$F,$H240)="","Payment Type; ","")&amp;IF(AND(INDEX('Game Records'!$U:$U,$H240)&lt;&gt;"Subscription",INDEX('Game Records'!$U:$U,$H240)&lt;&gt;"Free Game",INDEX('Game Records'!$U:$U,$H240)&lt;&gt;"Disqualified — Free Game",INDEX('Game Records'!$G:$G,$H240)=""),"Gross Pot; ","")&amp;IF(AND(INDEX('Game Records'!$U:$U,$H240)&lt;&gt;"Free Game",INDEX('Game Records'!$U:$U,$H240)&lt;&gt;"Disqualified — Free Game",INDEX('Game Records'!$H:$H,$H240)=""),"Entry Fee; ","")&amp;IF(AND(INDEX('Game Records'!$U:$U,$H240)&lt;&gt;"Subscription",INDEX('Game Records'!$U:$U,$H240)&lt;&gt;"Free Game",INDEX('Game Records'!$U:$U,$H240)&lt;&gt;"Disqualified — Free Game",INDEX('Game Records'!$I:$I,$H240)=""),"Eligible Players; ","")&amp;IF(AND(INDEX('Game Records'!$U:$U,$H240)&lt;&gt;"Subscription",INDEX('Game Records'!$U:$U,$H240)&lt;&gt;"Free Game",INDEX('Game Records'!$U:$U,$H240)&lt;&gt;"Disqualified — Free Game",INDEX('Game Records'!$J:$J,$H240)=""),"Total Players; ","")&amp;IF(AND(LOWER(INDEX('Game Records'!$D:$D,$H240)&amp;"")="finalized",LOWER(INDEX('Game Records'!$L:$L,$H240)&amp;"")&lt;&gt;"yes",INDEX('Game Records'!$U:$U,$H240)&lt;&gt;"Subscription",INDEX('Game Records'!$U:$U,$H240)&lt;&gt;"Free Game",INDEX('Game Records'!$U:$U,$H240)&lt;&gt;"Disqualified — Free Game",INDEX('Game Records'!$K:$K,$H240)=""),"Final Earned; ","")&amp;IF(AND(LOWER(INDEX('Game Records'!$D:$D,$H240)&amp;"")="finalized",INDEX('Game Records'!$U:$U,$H240)&lt;&gt;"Subscription",INDEX('Game Records'!$U:$U,$H240)&lt;&gt;"Free Game",INDEX('Game Records'!$U:$U,$H240)&lt;&gt;"Disqualified — Free Game",OR(INDEX('Game Records'!$L:$L,$H240)="",LOWER(INDEX('Game Records'!$L:$L,$H240)&amp;"")="n/a")),"Disqualified Status; ","")&amp;IF(AND(OR(LOWER(TRIM(INDEX('Game Records'!$F:$F,$H240)&amp;""))="free game",INDEX('Game Records'!$U:$U,$H240)="Free Game",INDEX('Game Records'!$U:$U,$H240)="Disqualified — Free Game"),N(INDEX('Game Records'!$H:$H,$H240))&lt;&gt;0),"Free Game has a non-zero Entry Fee. Free Game records require a $0 Entry Fee; ",""))</f>
        <v/>
      </c>
      <c r="G240" s="331" t="str">
        <f>IF($H240="","",IFERROR(INDEX('Game Records'!$M:$M,$H240),""))</f>
        <v/>
      </c>
      <c r="H240" s="104" t="str">
        <f>IF($H239="","",IFERROR(MATCH(1,INDEX((ROW('Game Records'!$U$5:$U$504)&gt;$H239)*(('Game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1" ht="24" customHeight="1">
      <c r="A241" s="332" t="str">
        <f>IF($H241="","",ROWS($A$5:A241))</f>
        <v/>
      </c>
      <c r="B241" s="332" t="str">
        <f>IF($H241="","","G-"&amp;TEXT($A241,"0000"))</f>
        <v/>
      </c>
      <c r="C241" s="331" t="str">
        <f>IF($H241="","",IFERROR(INDEX('Game Records'!$A:$A,$H241),""))</f>
        <v/>
      </c>
      <c r="D241" s="331" t="str">
        <f>IF($H241="","",IFERROR(INDEX('Game Records'!$U:$U,$H241),""))</f>
        <v/>
      </c>
      <c r="E241" s="331" t="str">
        <f>IF($H241="","",IF($F241="","No Highlighted Fields","Highlighted Fields Present"))</f>
        <v/>
      </c>
      <c r="F241" s="331" t="str">
        <f>IF($H241="","",IF(OR(NOT(ISFORMULA(INDEX('Game Records'!$N:$N,$H241))),NOT(ISFORMULA(INDEX('Game Records'!$O:$O,$H241))),NOT(ISFORMULA(INDEX('Game Records'!$P:$P,$H241))),NOT(ISFORMULA(INDEX('Game Records'!$Q:$Q,$H241))),NOT(ISFORMULA(INDEX('Game Records'!$R:$R,$H241))),NOT(ISFORMULA(INDEX('Game Records'!$S:$S,$H241))),NOT(ISFORMULA(INDEX('Game Records'!$T:$T,$H241))),NOT(ISFORMULA(INDEX('Game Records'!$U:$U,$H241))),NOT(ISFORMULA(INDEX('Game Records'!$V:$V,$H241))),NOT(ISFORMULA(INDEX('Game Records'!$W:$W,$H241))),NOT(ISFORMULA(INDEX('Game Records'!$X:$X,$H241))),NOT(ISFORMULA(INDEX('Game Records'!$Y:$Y,$H241))),NOT(ISFORMULA(INDEX('Game Records'!$Z:$Z,$H241)))),"Formula columns missing; ","")&amp;IF(INDEX('Game Records'!$B:$B,$H241)="","Start Date; ","")&amp;IF(INDEX('Game Records'!$C:$C,$H241)="","End Date; ","")&amp;IF(AND(INDEX('Game Records'!$U:$U,$H241)&lt;&gt;"Subscription",INDEX('Game Records'!$U:$U,$H241)&lt;&gt;"Free Game",INDEX('Game Records'!$U:$U,$H241)&lt;&gt;"Disqualified — Free Game",OR(INDEX('Game Records'!$D:$D,$H241)="",LOWER(INDEX('Game Records'!$D:$D,$H241)&amp;"")="n/a")),"Entry Mode; ","")&amp;IF(AND(INDEX('Game Records'!$U:$U,$H241)&lt;&gt;"Subscription",INDEX('Game Records'!$U:$U,$H241)&lt;&gt;"Free Game",INDEX('Game Records'!$U:$U,$H241)&lt;&gt;"Disqualified — Free Game",OR(INDEX('Game Records'!$E:$E,$H241)="",LOWER(INDEX('Game Records'!$E:$E,$H241)&amp;"")="n/a")),"Game Type; ","")&amp;IF(INDEX('Game Records'!$F:$F,$H241)="","Payment Type; ","")&amp;IF(AND(INDEX('Game Records'!$U:$U,$H241)&lt;&gt;"Subscription",INDEX('Game Records'!$U:$U,$H241)&lt;&gt;"Free Game",INDEX('Game Records'!$U:$U,$H241)&lt;&gt;"Disqualified — Free Game",INDEX('Game Records'!$G:$G,$H241)=""),"Gross Pot; ","")&amp;IF(AND(INDEX('Game Records'!$U:$U,$H241)&lt;&gt;"Free Game",INDEX('Game Records'!$U:$U,$H241)&lt;&gt;"Disqualified — Free Game",INDEX('Game Records'!$H:$H,$H241)=""),"Entry Fee; ","")&amp;IF(AND(INDEX('Game Records'!$U:$U,$H241)&lt;&gt;"Subscription",INDEX('Game Records'!$U:$U,$H241)&lt;&gt;"Free Game",INDEX('Game Records'!$U:$U,$H241)&lt;&gt;"Disqualified — Free Game",INDEX('Game Records'!$I:$I,$H241)=""),"Eligible Players; ","")&amp;IF(AND(INDEX('Game Records'!$U:$U,$H241)&lt;&gt;"Subscription",INDEX('Game Records'!$U:$U,$H241)&lt;&gt;"Free Game",INDEX('Game Records'!$U:$U,$H241)&lt;&gt;"Disqualified — Free Game",INDEX('Game Records'!$J:$J,$H241)=""),"Total Players; ","")&amp;IF(AND(LOWER(INDEX('Game Records'!$D:$D,$H241)&amp;"")="finalized",LOWER(INDEX('Game Records'!$L:$L,$H241)&amp;"")&lt;&gt;"yes",INDEX('Game Records'!$U:$U,$H241)&lt;&gt;"Subscription",INDEX('Game Records'!$U:$U,$H241)&lt;&gt;"Free Game",INDEX('Game Records'!$U:$U,$H241)&lt;&gt;"Disqualified — Free Game",INDEX('Game Records'!$K:$K,$H241)=""),"Final Earned; ","")&amp;IF(AND(LOWER(INDEX('Game Records'!$D:$D,$H241)&amp;"")="finalized",INDEX('Game Records'!$U:$U,$H241)&lt;&gt;"Subscription",INDEX('Game Records'!$U:$U,$H241)&lt;&gt;"Free Game",INDEX('Game Records'!$U:$U,$H241)&lt;&gt;"Disqualified — Free Game",OR(INDEX('Game Records'!$L:$L,$H241)="",LOWER(INDEX('Game Records'!$L:$L,$H241)&amp;"")="n/a")),"Disqualified Status; ","")&amp;IF(AND(OR(LOWER(TRIM(INDEX('Game Records'!$F:$F,$H241)&amp;""))="free game",INDEX('Game Records'!$U:$U,$H241)="Free Game",INDEX('Game Records'!$U:$U,$H241)="Disqualified — Free Game"),N(INDEX('Game Records'!$H:$H,$H241))&lt;&gt;0),"Free Game has a non-zero Entry Fee. Free Game records require a $0 Entry Fee; ",""))</f>
        <v/>
      </c>
      <c r="G241" s="331" t="str">
        <f>IF($H241="","",IFERROR(INDEX('Game Records'!$M:$M,$H241),""))</f>
        <v/>
      </c>
      <c r="H241" s="104" t="str">
        <f>IF($H240="","",IFERROR(MATCH(1,INDEX((ROW('Game Records'!$U$5:$U$504)&gt;$H240)*(('Game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2" ht="24" customHeight="1">
      <c r="A242" s="332" t="str">
        <f>IF($H242="","",ROWS($A$5:A242))</f>
        <v/>
      </c>
      <c r="B242" s="332" t="str">
        <f>IF($H242="","","G-"&amp;TEXT($A242,"0000"))</f>
        <v/>
      </c>
      <c r="C242" s="331" t="str">
        <f>IF($H242="","",IFERROR(INDEX('Game Records'!$A:$A,$H242),""))</f>
        <v/>
      </c>
      <c r="D242" s="331" t="str">
        <f>IF($H242="","",IFERROR(INDEX('Game Records'!$U:$U,$H242),""))</f>
        <v/>
      </c>
      <c r="E242" s="331" t="str">
        <f>IF($H242="","",IF($F242="","No Highlighted Fields","Highlighted Fields Present"))</f>
        <v/>
      </c>
      <c r="F242" s="331" t="str">
        <f>IF($H242="","",IF(OR(NOT(ISFORMULA(INDEX('Game Records'!$N:$N,$H242))),NOT(ISFORMULA(INDEX('Game Records'!$O:$O,$H242))),NOT(ISFORMULA(INDEX('Game Records'!$P:$P,$H242))),NOT(ISFORMULA(INDEX('Game Records'!$Q:$Q,$H242))),NOT(ISFORMULA(INDEX('Game Records'!$R:$R,$H242))),NOT(ISFORMULA(INDEX('Game Records'!$S:$S,$H242))),NOT(ISFORMULA(INDEX('Game Records'!$T:$T,$H242))),NOT(ISFORMULA(INDEX('Game Records'!$U:$U,$H242))),NOT(ISFORMULA(INDEX('Game Records'!$V:$V,$H242))),NOT(ISFORMULA(INDEX('Game Records'!$W:$W,$H242))),NOT(ISFORMULA(INDEX('Game Records'!$X:$X,$H242))),NOT(ISFORMULA(INDEX('Game Records'!$Y:$Y,$H242))),NOT(ISFORMULA(INDEX('Game Records'!$Z:$Z,$H242)))),"Formula columns missing; ","")&amp;IF(INDEX('Game Records'!$B:$B,$H242)="","Start Date; ","")&amp;IF(INDEX('Game Records'!$C:$C,$H242)="","End Date; ","")&amp;IF(AND(INDEX('Game Records'!$U:$U,$H242)&lt;&gt;"Subscription",INDEX('Game Records'!$U:$U,$H242)&lt;&gt;"Free Game",INDEX('Game Records'!$U:$U,$H242)&lt;&gt;"Disqualified — Free Game",OR(INDEX('Game Records'!$D:$D,$H242)="",LOWER(INDEX('Game Records'!$D:$D,$H242)&amp;"")="n/a")),"Entry Mode; ","")&amp;IF(AND(INDEX('Game Records'!$U:$U,$H242)&lt;&gt;"Subscription",INDEX('Game Records'!$U:$U,$H242)&lt;&gt;"Free Game",INDEX('Game Records'!$U:$U,$H242)&lt;&gt;"Disqualified — Free Game",OR(INDEX('Game Records'!$E:$E,$H242)="",LOWER(INDEX('Game Records'!$E:$E,$H242)&amp;"")="n/a")),"Game Type; ","")&amp;IF(INDEX('Game Records'!$F:$F,$H242)="","Payment Type; ","")&amp;IF(AND(INDEX('Game Records'!$U:$U,$H242)&lt;&gt;"Subscription",INDEX('Game Records'!$U:$U,$H242)&lt;&gt;"Free Game",INDEX('Game Records'!$U:$U,$H242)&lt;&gt;"Disqualified — Free Game",INDEX('Game Records'!$G:$G,$H242)=""),"Gross Pot; ","")&amp;IF(AND(INDEX('Game Records'!$U:$U,$H242)&lt;&gt;"Free Game",INDEX('Game Records'!$U:$U,$H242)&lt;&gt;"Disqualified — Free Game",INDEX('Game Records'!$H:$H,$H242)=""),"Entry Fee; ","")&amp;IF(AND(INDEX('Game Records'!$U:$U,$H242)&lt;&gt;"Subscription",INDEX('Game Records'!$U:$U,$H242)&lt;&gt;"Free Game",INDEX('Game Records'!$U:$U,$H242)&lt;&gt;"Disqualified — Free Game",INDEX('Game Records'!$I:$I,$H242)=""),"Eligible Players; ","")&amp;IF(AND(INDEX('Game Records'!$U:$U,$H242)&lt;&gt;"Subscription",INDEX('Game Records'!$U:$U,$H242)&lt;&gt;"Free Game",INDEX('Game Records'!$U:$U,$H242)&lt;&gt;"Disqualified — Free Game",INDEX('Game Records'!$J:$J,$H242)=""),"Total Players; ","")&amp;IF(AND(LOWER(INDEX('Game Records'!$D:$D,$H242)&amp;"")="finalized",LOWER(INDEX('Game Records'!$L:$L,$H242)&amp;"")&lt;&gt;"yes",INDEX('Game Records'!$U:$U,$H242)&lt;&gt;"Subscription",INDEX('Game Records'!$U:$U,$H242)&lt;&gt;"Free Game",INDEX('Game Records'!$U:$U,$H242)&lt;&gt;"Disqualified — Free Game",INDEX('Game Records'!$K:$K,$H242)=""),"Final Earned; ","")&amp;IF(AND(LOWER(INDEX('Game Records'!$D:$D,$H242)&amp;"")="finalized",INDEX('Game Records'!$U:$U,$H242)&lt;&gt;"Subscription",INDEX('Game Records'!$U:$U,$H242)&lt;&gt;"Free Game",INDEX('Game Records'!$U:$U,$H242)&lt;&gt;"Disqualified — Free Game",OR(INDEX('Game Records'!$L:$L,$H242)="",LOWER(INDEX('Game Records'!$L:$L,$H242)&amp;"")="n/a")),"Disqualified Status; ","")&amp;IF(AND(OR(LOWER(TRIM(INDEX('Game Records'!$F:$F,$H242)&amp;""))="free game",INDEX('Game Records'!$U:$U,$H242)="Free Game",INDEX('Game Records'!$U:$U,$H242)="Disqualified — Free Game"),N(INDEX('Game Records'!$H:$H,$H242))&lt;&gt;0),"Free Game has a non-zero Entry Fee. Free Game records require a $0 Entry Fee; ",""))</f>
        <v/>
      </c>
      <c r="G242" s="331" t="str">
        <f>IF($H242="","",IFERROR(INDEX('Game Records'!$M:$M,$H242),""))</f>
        <v/>
      </c>
      <c r="H242" s="104" t="str">
        <f>IF($H241="","",IFERROR(MATCH(1,INDEX((ROW('Game Records'!$U$5:$U$504)&gt;$H241)*(('Game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3" ht="24" customHeight="1">
      <c r="A243" s="332" t="str">
        <f>IF($H243="","",ROWS($A$5:A243))</f>
        <v/>
      </c>
      <c r="B243" s="332" t="str">
        <f>IF($H243="","","G-"&amp;TEXT($A243,"0000"))</f>
        <v/>
      </c>
      <c r="C243" s="331" t="str">
        <f>IF($H243="","",IFERROR(INDEX('Game Records'!$A:$A,$H243),""))</f>
        <v/>
      </c>
      <c r="D243" s="331" t="str">
        <f>IF($H243="","",IFERROR(INDEX('Game Records'!$U:$U,$H243),""))</f>
        <v/>
      </c>
      <c r="E243" s="331" t="str">
        <f>IF($H243="","",IF($F243="","No Highlighted Fields","Highlighted Fields Present"))</f>
        <v/>
      </c>
      <c r="F243" s="331" t="str">
        <f>IF($H243="","",IF(OR(NOT(ISFORMULA(INDEX('Game Records'!$N:$N,$H243))),NOT(ISFORMULA(INDEX('Game Records'!$O:$O,$H243))),NOT(ISFORMULA(INDEX('Game Records'!$P:$P,$H243))),NOT(ISFORMULA(INDEX('Game Records'!$Q:$Q,$H243))),NOT(ISFORMULA(INDEX('Game Records'!$R:$R,$H243))),NOT(ISFORMULA(INDEX('Game Records'!$S:$S,$H243))),NOT(ISFORMULA(INDEX('Game Records'!$T:$T,$H243))),NOT(ISFORMULA(INDEX('Game Records'!$U:$U,$H243))),NOT(ISFORMULA(INDEX('Game Records'!$V:$V,$H243))),NOT(ISFORMULA(INDEX('Game Records'!$W:$W,$H243))),NOT(ISFORMULA(INDEX('Game Records'!$X:$X,$H243))),NOT(ISFORMULA(INDEX('Game Records'!$Y:$Y,$H243))),NOT(ISFORMULA(INDEX('Game Records'!$Z:$Z,$H243)))),"Formula columns missing; ","")&amp;IF(INDEX('Game Records'!$B:$B,$H243)="","Start Date; ","")&amp;IF(INDEX('Game Records'!$C:$C,$H243)="","End Date; ","")&amp;IF(AND(INDEX('Game Records'!$U:$U,$H243)&lt;&gt;"Subscription",INDEX('Game Records'!$U:$U,$H243)&lt;&gt;"Free Game",INDEX('Game Records'!$U:$U,$H243)&lt;&gt;"Disqualified — Free Game",OR(INDEX('Game Records'!$D:$D,$H243)="",LOWER(INDEX('Game Records'!$D:$D,$H243)&amp;"")="n/a")),"Entry Mode; ","")&amp;IF(AND(INDEX('Game Records'!$U:$U,$H243)&lt;&gt;"Subscription",INDEX('Game Records'!$U:$U,$H243)&lt;&gt;"Free Game",INDEX('Game Records'!$U:$U,$H243)&lt;&gt;"Disqualified — Free Game",OR(INDEX('Game Records'!$E:$E,$H243)="",LOWER(INDEX('Game Records'!$E:$E,$H243)&amp;"")="n/a")),"Game Type; ","")&amp;IF(INDEX('Game Records'!$F:$F,$H243)="","Payment Type; ","")&amp;IF(AND(INDEX('Game Records'!$U:$U,$H243)&lt;&gt;"Subscription",INDEX('Game Records'!$U:$U,$H243)&lt;&gt;"Free Game",INDEX('Game Records'!$U:$U,$H243)&lt;&gt;"Disqualified — Free Game",INDEX('Game Records'!$G:$G,$H243)=""),"Gross Pot; ","")&amp;IF(AND(INDEX('Game Records'!$U:$U,$H243)&lt;&gt;"Free Game",INDEX('Game Records'!$U:$U,$H243)&lt;&gt;"Disqualified — Free Game",INDEX('Game Records'!$H:$H,$H243)=""),"Entry Fee; ","")&amp;IF(AND(INDEX('Game Records'!$U:$U,$H243)&lt;&gt;"Subscription",INDEX('Game Records'!$U:$U,$H243)&lt;&gt;"Free Game",INDEX('Game Records'!$U:$U,$H243)&lt;&gt;"Disqualified — Free Game",INDEX('Game Records'!$I:$I,$H243)=""),"Eligible Players; ","")&amp;IF(AND(INDEX('Game Records'!$U:$U,$H243)&lt;&gt;"Subscription",INDEX('Game Records'!$U:$U,$H243)&lt;&gt;"Free Game",INDEX('Game Records'!$U:$U,$H243)&lt;&gt;"Disqualified — Free Game",INDEX('Game Records'!$J:$J,$H243)=""),"Total Players; ","")&amp;IF(AND(LOWER(INDEX('Game Records'!$D:$D,$H243)&amp;"")="finalized",LOWER(INDEX('Game Records'!$L:$L,$H243)&amp;"")&lt;&gt;"yes",INDEX('Game Records'!$U:$U,$H243)&lt;&gt;"Subscription",INDEX('Game Records'!$U:$U,$H243)&lt;&gt;"Free Game",INDEX('Game Records'!$U:$U,$H243)&lt;&gt;"Disqualified — Free Game",INDEX('Game Records'!$K:$K,$H243)=""),"Final Earned; ","")&amp;IF(AND(LOWER(INDEX('Game Records'!$D:$D,$H243)&amp;"")="finalized",INDEX('Game Records'!$U:$U,$H243)&lt;&gt;"Subscription",INDEX('Game Records'!$U:$U,$H243)&lt;&gt;"Free Game",INDEX('Game Records'!$U:$U,$H243)&lt;&gt;"Disqualified — Free Game",OR(INDEX('Game Records'!$L:$L,$H243)="",LOWER(INDEX('Game Records'!$L:$L,$H243)&amp;"")="n/a")),"Disqualified Status; ","")&amp;IF(AND(OR(LOWER(TRIM(INDEX('Game Records'!$F:$F,$H243)&amp;""))="free game",INDEX('Game Records'!$U:$U,$H243)="Free Game",INDEX('Game Records'!$U:$U,$H243)="Disqualified — Free Game"),N(INDEX('Game Records'!$H:$H,$H243))&lt;&gt;0),"Free Game has a non-zero Entry Fee. Free Game records require a $0 Entry Fee; ",""))</f>
        <v/>
      </c>
      <c r="G243" s="331" t="str">
        <f>IF($H243="","",IFERROR(INDEX('Game Records'!$M:$M,$H243),""))</f>
        <v/>
      </c>
      <c r="H243" s="104" t="str">
        <f>IF($H242="","",IFERROR(MATCH(1,INDEX((ROW('Game Records'!$U$5:$U$504)&gt;$H242)*(('Game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4" ht="24" customHeight="1">
      <c r="A244" s="332" t="str">
        <f>IF($H244="","",ROWS($A$5:A244))</f>
        <v/>
      </c>
      <c r="B244" s="332" t="str">
        <f>IF($H244="","","G-"&amp;TEXT($A244,"0000"))</f>
        <v/>
      </c>
      <c r="C244" s="331" t="str">
        <f>IF($H244="","",IFERROR(INDEX('Game Records'!$A:$A,$H244),""))</f>
        <v/>
      </c>
      <c r="D244" s="331" t="str">
        <f>IF($H244="","",IFERROR(INDEX('Game Records'!$U:$U,$H244),""))</f>
        <v/>
      </c>
      <c r="E244" s="331" t="str">
        <f>IF($H244="","",IF($F244="","No Highlighted Fields","Highlighted Fields Present"))</f>
        <v/>
      </c>
      <c r="F244" s="331" t="str">
        <f>IF($H244="","",IF(OR(NOT(ISFORMULA(INDEX('Game Records'!$N:$N,$H244))),NOT(ISFORMULA(INDEX('Game Records'!$O:$O,$H244))),NOT(ISFORMULA(INDEX('Game Records'!$P:$P,$H244))),NOT(ISFORMULA(INDEX('Game Records'!$Q:$Q,$H244))),NOT(ISFORMULA(INDEX('Game Records'!$R:$R,$H244))),NOT(ISFORMULA(INDEX('Game Records'!$S:$S,$H244))),NOT(ISFORMULA(INDEX('Game Records'!$T:$T,$H244))),NOT(ISFORMULA(INDEX('Game Records'!$U:$U,$H244))),NOT(ISFORMULA(INDEX('Game Records'!$V:$V,$H244))),NOT(ISFORMULA(INDEX('Game Records'!$W:$W,$H244))),NOT(ISFORMULA(INDEX('Game Records'!$X:$X,$H244))),NOT(ISFORMULA(INDEX('Game Records'!$Y:$Y,$H244))),NOT(ISFORMULA(INDEX('Game Records'!$Z:$Z,$H244)))),"Formula columns missing; ","")&amp;IF(INDEX('Game Records'!$B:$B,$H244)="","Start Date; ","")&amp;IF(INDEX('Game Records'!$C:$C,$H244)="","End Date; ","")&amp;IF(AND(INDEX('Game Records'!$U:$U,$H244)&lt;&gt;"Subscription",INDEX('Game Records'!$U:$U,$H244)&lt;&gt;"Free Game",INDEX('Game Records'!$U:$U,$H244)&lt;&gt;"Disqualified — Free Game",OR(INDEX('Game Records'!$D:$D,$H244)="",LOWER(INDEX('Game Records'!$D:$D,$H244)&amp;"")="n/a")),"Entry Mode; ","")&amp;IF(AND(INDEX('Game Records'!$U:$U,$H244)&lt;&gt;"Subscription",INDEX('Game Records'!$U:$U,$H244)&lt;&gt;"Free Game",INDEX('Game Records'!$U:$U,$H244)&lt;&gt;"Disqualified — Free Game",OR(INDEX('Game Records'!$E:$E,$H244)="",LOWER(INDEX('Game Records'!$E:$E,$H244)&amp;"")="n/a")),"Game Type; ","")&amp;IF(INDEX('Game Records'!$F:$F,$H244)="","Payment Type; ","")&amp;IF(AND(INDEX('Game Records'!$U:$U,$H244)&lt;&gt;"Subscription",INDEX('Game Records'!$U:$U,$H244)&lt;&gt;"Free Game",INDEX('Game Records'!$U:$U,$H244)&lt;&gt;"Disqualified — Free Game",INDEX('Game Records'!$G:$G,$H244)=""),"Gross Pot; ","")&amp;IF(AND(INDEX('Game Records'!$U:$U,$H244)&lt;&gt;"Free Game",INDEX('Game Records'!$U:$U,$H244)&lt;&gt;"Disqualified — Free Game",INDEX('Game Records'!$H:$H,$H244)=""),"Entry Fee; ","")&amp;IF(AND(INDEX('Game Records'!$U:$U,$H244)&lt;&gt;"Subscription",INDEX('Game Records'!$U:$U,$H244)&lt;&gt;"Free Game",INDEX('Game Records'!$U:$U,$H244)&lt;&gt;"Disqualified — Free Game",INDEX('Game Records'!$I:$I,$H244)=""),"Eligible Players; ","")&amp;IF(AND(INDEX('Game Records'!$U:$U,$H244)&lt;&gt;"Subscription",INDEX('Game Records'!$U:$U,$H244)&lt;&gt;"Free Game",INDEX('Game Records'!$U:$U,$H244)&lt;&gt;"Disqualified — Free Game",INDEX('Game Records'!$J:$J,$H244)=""),"Total Players; ","")&amp;IF(AND(LOWER(INDEX('Game Records'!$D:$D,$H244)&amp;"")="finalized",LOWER(INDEX('Game Records'!$L:$L,$H244)&amp;"")&lt;&gt;"yes",INDEX('Game Records'!$U:$U,$H244)&lt;&gt;"Subscription",INDEX('Game Records'!$U:$U,$H244)&lt;&gt;"Free Game",INDEX('Game Records'!$U:$U,$H244)&lt;&gt;"Disqualified — Free Game",INDEX('Game Records'!$K:$K,$H244)=""),"Final Earned; ","")&amp;IF(AND(LOWER(INDEX('Game Records'!$D:$D,$H244)&amp;"")="finalized",INDEX('Game Records'!$U:$U,$H244)&lt;&gt;"Subscription",INDEX('Game Records'!$U:$U,$H244)&lt;&gt;"Free Game",INDEX('Game Records'!$U:$U,$H244)&lt;&gt;"Disqualified — Free Game",OR(INDEX('Game Records'!$L:$L,$H244)="",LOWER(INDEX('Game Records'!$L:$L,$H244)&amp;"")="n/a")),"Disqualified Status; ","")&amp;IF(AND(OR(LOWER(TRIM(INDEX('Game Records'!$F:$F,$H244)&amp;""))="free game",INDEX('Game Records'!$U:$U,$H244)="Free Game",INDEX('Game Records'!$U:$U,$H244)="Disqualified — Free Game"),N(INDEX('Game Records'!$H:$H,$H244))&lt;&gt;0),"Free Game has a non-zero Entry Fee. Free Game records require a $0 Entry Fee; ",""))</f>
        <v/>
      </c>
      <c r="G244" s="331" t="str">
        <f>IF($H244="","",IFERROR(INDEX('Game Records'!$M:$M,$H244),""))</f>
        <v/>
      </c>
      <c r="H244" s="104" t="str">
        <f>IF($H243="","",IFERROR(MATCH(1,INDEX((ROW('Game Records'!$U$5:$U$504)&gt;$H243)*(('Game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5" ht="24" customHeight="1">
      <c r="A245" s="332" t="str">
        <f>IF($H245="","",ROWS($A$5:A245))</f>
        <v/>
      </c>
      <c r="B245" s="332" t="str">
        <f>IF($H245="","","G-"&amp;TEXT($A245,"0000"))</f>
        <v/>
      </c>
      <c r="C245" s="331" t="str">
        <f>IF($H245="","",IFERROR(INDEX('Game Records'!$A:$A,$H245),""))</f>
        <v/>
      </c>
      <c r="D245" s="331" t="str">
        <f>IF($H245="","",IFERROR(INDEX('Game Records'!$U:$U,$H245),""))</f>
        <v/>
      </c>
      <c r="E245" s="331" t="str">
        <f>IF($H245="","",IF($F245="","No Highlighted Fields","Highlighted Fields Present"))</f>
        <v/>
      </c>
      <c r="F245" s="331" t="str">
        <f>IF($H245="","",IF(OR(NOT(ISFORMULA(INDEX('Game Records'!$N:$N,$H245))),NOT(ISFORMULA(INDEX('Game Records'!$O:$O,$H245))),NOT(ISFORMULA(INDEX('Game Records'!$P:$P,$H245))),NOT(ISFORMULA(INDEX('Game Records'!$Q:$Q,$H245))),NOT(ISFORMULA(INDEX('Game Records'!$R:$R,$H245))),NOT(ISFORMULA(INDEX('Game Records'!$S:$S,$H245))),NOT(ISFORMULA(INDEX('Game Records'!$T:$T,$H245))),NOT(ISFORMULA(INDEX('Game Records'!$U:$U,$H245))),NOT(ISFORMULA(INDEX('Game Records'!$V:$V,$H245))),NOT(ISFORMULA(INDEX('Game Records'!$W:$W,$H245))),NOT(ISFORMULA(INDEX('Game Records'!$X:$X,$H245))),NOT(ISFORMULA(INDEX('Game Records'!$Y:$Y,$H245))),NOT(ISFORMULA(INDEX('Game Records'!$Z:$Z,$H245)))),"Formula columns missing; ","")&amp;IF(INDEX('Game Records'!$B:$B,$H245)="","Start Date; ","")&amp;IF(INDEX('Game Records'!$C:$C,$H245)="","End Date; ","")&amp;IF(AND(INDEX('Game Records'!$U:$U,$H245)&lt;&gt;"Subscription",INDEX('Game Records'!$U:$U,$H245)&lt;&gt;"Free Game",INDEX('Game Records'!$U:$U,$H245)&lt;&gt;"Disqualified — Free Game",OR(INDEX('Game Records'!$D:$D,$H245)="",LOWER(INDEX('Game Records'!$D:$D,$H245)&amp;"")="n/a")),"Entry Mode; ","")&amp;IF(AND(INDEX('Game Records'!$U:$U,$H245)&lt;&gt;"Subscription",INDEX('Game Records'!$U:$U,$H245)&lt;&gt;"Free Game",INDEX('Game Records'!$U:$U,$H245)&lt;&gt;"Disqualified — Free Game",OR(INDEX('Game Records'!$E:$E,$H245)="",LOWER(INDEX('Game Records'!$E:$E,$H245)&amp;"")="n/a")),"Game Type; ","")&amp;IF(INDEX('Game Records'!$F:$F,$H245)="","Payment Type; ","")&amp;IF(AND(INDEX('Game Records'!$U:$U,$H245)&lt;&gt;"Subscription",INDEX('Game Records'!$U:$U,$H245)&lt;&gt;"Free Game",INDEX('Game Records'!$U:$U,$H245)&lt;&gt;"Disqualified — Free Game",INDEX('Game Records'!$G:$G,$H245)=""),"Gross Pot; ","")&amp;IF(AND(INDEX('Game Records'!$U:$U,$H245)&lt;&gt;"Free Game",INDEX('Game Records'!$U:$U,$H245)&lt;&gt;"Disqualified — Free Game",INDEX('Game Records'!$H:$H,$H245)=""),"Entry Fee; ","")&amp;IF(AND(INDEX('Game Records'!$U:$U,$H245)&lt;&gt;"Subscription",INDEX('Game Records'!$U:$U,$H245)&lt;&gt;"Free Game",INDEX('Game Records'!$U:$U,$H245)&lt;&gt;"Disqualified — Free Game",INDEX('Game Records'!$I:$I,$H245)=""),"Eligible Players; ","")&amp;IF(AND(INDEX('Game Records'!$U:$U,$H245)&lt;&gt;"Subscription",INDEX('Game Records'!$U:$U,$H245)&lt;&gt;"Free Game",INDEX('Game Records'!$U:$U,$H245)&lt;&gt;"Disqualified — Free Game",INDEX('Game Records'!$J:$J,$H245)=""),"Total Players; ","")&amp;IF(AND(LOWER(INDEX('Game Records'!$D:$D,$H245)&amp;"")="finalized",LOWER(INDEX('Game Records'!$L:$L,$H245)&amp;"")&lt;&gt;"yes",INDEX('Game Records'!$U:$U,$H245)&lt;&gt;"Subscription",INDEX('Game Records'!$U:$U,$H245)&lt;&gt;"Free Game",INDEX('Game Records'!$U:$U,$H245)&lt;&gt;"Disqualified — Free Game",INDEX('Game Records'!$K:$K,$H245)=""),"Final Earned; ","")&amp;IF(AND(LOWER(INDEX('Game Records'!$D:$D,$H245)&amp;"")="finalized",INDEX('Game Records'!$U:$U,$H245)&lt;&gt;"Subscription",INDEX('Game Records'!$U:$U,$H245)&lt;&gt;"Free Game",INDEX('Game Records'!$U:$U,$H245)&lt;&gt;"Disqualified — Free Game",OR(INDEX('Game Records'!$L:$L,$H245)="",LOWER(INDEX('Game Records'!$L:$L,$H245)&amp;"")="n/a")),"Disqualified Status; ","")&amp;IF(AND(OR(LOWER(TRIM(INDEX('Game Records'!$F:$F,$H245)&amp;""))="free game",INDEX('Game Records'!$U:$U,$H245)="Free Game",INDEX('Game Records'!$U:$U,$H245)="Disqualified — Free Game"),N(INDEX('Game Records'!$H:$H,$H245))&lt;&gt;0),"Free Game has a non-zero Entry Fee. Free Game records require a $0 Entry Fee; ",""))</f>
        <v/>
      </c>
      <c r="G245" s="331" t="str">
        <f>IF($H245="","",IFERROR(INDEX('Game Records'!$M:$M,$H245),""))</f>
        <v/>
      </c>
      <c r="H245" s="104" t="str">
        <f>IF($H244="","",IFERROR(MATCH(1,INDEX((ROW('Game Records'!$U$5:$U$504)&gt;$H244)*(('Game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6" ht="24" customHeight="1">
      <c r="A246" s="332" t="str">
        <f>IF($H246="","",ROWS($A$5:A246))</f>
        <v/>
      </c>
      <c r="B246" s="332" t="str">
        <f>IF($H246="","","G-"&amp;TEXT($A246,"0000"))</f>
        <v/>
      </c>
      <c r="C246" s="331" t="str">
        <f>IF($H246="","",IFERROR(INDEX('Game Records'!$A:$A,$H246),""))</f>
        <v/>
      </c>
      <c r="D246" s="331" t="str">
        <f>IF($H246="","",IFERROR(INDEX('Game Records'!$U:$U,$H246),""))</f>
        <v/>
      </c>
      <c r="E246" s="331" t="str">
        <f>IF($H246="","",IF($F246="","No Highlighted Fields","Highlighted Fields Present"))</f>
        <v/>
      </c>
      <c r="F246" s="331" t="str">
        <f>IF($H246="","",IF(OR(NOT(ISFORMULA(INDEX('Game Records'!$N:$N,$H246))),NOT(ISFORMULA(INDEX('Game Records'!$O:$O,$H246))),NOT(ISFORMULA(INDEX('Game Records'!$P:$P,$H246))),NOT(ISFORMULA(INDEX('Game Records'!$Q:$Q,$H246))),NOT(ISFORMULA(INDEX('Game Records'!$R:$R,$H246))),NOT(ISFORMULA(INDEX('Game Records'!$S:$S,$H246))),NOT(ISFORMULA(INDEX('Game Records'!$T:$T,$H246))),NOT(ISFORMULA(INDEX('Game Records'!$U:$U,$H246))),NOT(ISFORMULA(INDEX('Game Records'!$V:$V,$H246))),NOT(ISFORMULA(INDEX('Game Records'!$W:$W,$H246))),NOT(ISFORMULA(INDEX('Game Records'!$X:$X,$H246))),NOT(ISFORMULA(INDEX('Game Records'!$Y:$Y,$H246))),NOT(ISFORMULA(INDEX('Game Records'!$Z:$Z,$H246)))),"Formula columns missing; ","")&amp;IF(INDEX('Game Records'!$B:$B,$H246)="","Start Date; ","")&amp;IF(INDEX('Game Records'!$C:$C,$H246)="","End Date; ","")&amp;IF(AND(INDEX('Game Records'!$U:$U,$H246)&lt;&gt;"Subscription",INDEX('Game Records'!$U:$U,$H246)&lt;&gt;"Free Game",INDEX('Game Records'!$U:$U,$H246)&lt;&gt;"Disqualified — Free Game",OR(INDEX('Game Records'!$D:$D,$H246)="",LOWER(INDEX('Game Records'!$D:$D,$H246)&amp;"")="n/a")),"Entry Mode; ","")&amp;IF(AND(INDEX('Game Records'!$U:$U,$H246)&lt;&gt;"Subscription",INDEX('Game Records'!$U:$U,$H246)&lt;&gt;"Free Game",INDEX('Game Records'!$U:$U,$H246)&lt;&gt;"Disqualified — Free Game",OR(INDEX('Game Records'!$E:$E,$H246)="",LOWER(INDEX('Game Records'!$E:$E,$H246)&amp;"")="n/a")),"Game Type; ","")&amp;IF(INDEX('Game Records'!$F:$F,$H246)="","Payment Type; ","")&amp;IF(AND(INDEX('Game Records'!$U:$U,$H246)&lt;&gt;"Subscription",INDEX('Game Records'!$U:$U,$H246)&lt;&gt;"Free Game",INDEX('Game Records'!$U:$U,$H246)&lt;&gt;"Disqualified — Free Game",INDEX('Game Records'!$G:$G,$H246)=""),"Gross Pot; ","")&amp;IF(AND(INDEX('Game Records'!$U:$U,$H246)&lt;&gt;"Free Game",INDEX('Game Records'!$U:$U,$H246)&lt;&gt;"Disqualified — Free Game",INDEX('Game Records'!$H:$H,$H246)=""),"Entry Fee; ","")&amp;IF(AND(INDEX('Game Records'!$U:$U,$H246)&lt;&gt;"Subscription",INDEX('Game Records'!$U:$U,$H246)&lt;&gt;"Free Game",INDEX('Game Records'!$U:$U,$H246)&lt;&gt;"Disqualified — Free Game",INDEX('Game Records'!$I:$I,$H246)=""),"Eligible Players; ","")&amp;IF(AND(INDEX('Game Records'!$U:$U,$H246)&lt;&gt;"Subscription",INDEX('Game Records'!$U:$U,$H246)&lt;&gt;"Free Game",INDEX('Game Records'!$U:$U,$H246)&lt;&gt;"Disqualified — Free Game",INDEX('Game Records'!$J:$J,$H246)=""),"Total Players; ","")&amp;IF(AND(LOWER(INDEX('Game Records'!$D:$D,$H246)&amp;"")="finalized",LOWER(INDEX('Game Records'!$L:$L,$H246)&amp;"")&lt;&gt;"yes",INDEX('Game Records'!$U:$U,$H246)&lt;&gt;"Subscription",INDEX('Game Records'!$U:$U,$H246)&lt;&gt;"Free Game",INDEX('Game Records'!$U:$U,$H246)&lt;&gt;"Disqualified — Free Game",INDEX('Game Records'!$K:$K,$H246)=""),"Final Earned; ","")&amp;IF(AND(LOWER(INDEX('Game Records'!$D:$D,$H246)&amp;"")="finalized",INDEX('Game Records'!$U:$U,$H246)&lt;&gt;"Subscription",INDEX('Game Records'!$U:$U,$H246)&lt;&gt;"Free Game",INDEX('Game Records'!$U:$U,$H246)&lt;&gt;"Disqualified — Free Game",OR(INDEX('Game Records'!$L:$L,$H246)="",LOWER(INDEX('Game Records'!$L:$L,$H246)&amp;"")="n/a")),"Disqualified Status; ","")&amp;IF(AND(OR(LOWER(TRIM(INDEX('Game Records'!$F:$F,$H246)&amp;""))="free game",INDEX('Game Records'!$U:$U,$H246)="Free Game",INDEX('Game Records'!$U:$U,$H246)="Disqualified — Free Game"),N(INDEX('Game Records'!$H:$H,$H246))&lt;&gt;0),"Free Game has a non-zero Entry Fee. Free Game records require a $0 Entry Fee; ",""))</f>
        <v/>
      </c>
      <c r="G246" s="331" t="str">
        <f>IF($H246="","",IFERROR(INDEX('Game Records'!$M:$M,$H246),""))</f>
        <v/>
      </c>
      <c r="H246" s="104" t="str">
        <f>IF($H245="","",IFERROR(MATCH(1,INDEX((ROW('Game Records'!$U$5:$U$504)&gt;$H245)*(('Game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7" ht="24" customHeight="1">
      <c r="A247" s="332" t="str">
        <f>IF($H247="","",ROWS($A$5:A247))</f>
        <v/>
      </c>
      <c r="B247" s="332" t="str">
        <f>IF($H247="","","G-"&amp;TEXT($A247,"0000"))</f>
        <v/>
      </c>
      <c r="C247" s="331" t="str">
        <f>IF($H247="","",IFERROR(INDEX('Game Records'!$A:$A,$H247),""))</f>
        <v/>
      </c>
      <c r="D247" s="331" t="str">
        <f>IF($H247="","",IFERROR(INDEX('Game Records'!$U:$U,$H247),""))</f>
        <v/>
      </c>
      <c r="E247" s="331" t="str">
        <f>IF($H247="","",IF($F247="","No Highlighted Fields","Highlighted Fields Present"))</f>
        <v/>
      </c>
      <c r="F247" s="331" t="str">
        <f>IF($H247="","",IF(OR(NOT(ISFORMULA(INDEX('Game Records'!$N:$N,$H247))),NOT(ISFORMULA(INDEX('Game Records'!$O:$O,$H247))),NOT(ISFORMULA(INDEX('Game Records'!$P:$P,$H247))),NOT(ISFORMULA(INDEX('Game Records'!$Q:$Q,$H247))),NOT(ISFORMULA(INDEX('Game Records'!$R:$R,$H247))),NOT(ISFORMULA(INDEX('Game Records'!$S:$S,$H247))),NOT(ISFORMULA(INDEX('Game Records'!$T:$T,$H247))),NOT(ISFORMULA(INDEX('Game Records'!$U:$U,$H247))),NOT(ISFORMULA(INDEX('Game Records'!$V:$V,$H247))),NOT(ISFORMULA(INDEX('Game Records'!$W:$W,$H247))),NOT(ISFORMULA(INDEX('Game Records'!$X:$X,$H247))),NOT(ISFORMULA(INDEX('Game Records'!$Y:$Y,$H247))),NOT(ISFORMULA(INDEX('Game Records'!$Z:$Z,$H247)))),"Formula columns missing; ","")&amp;IF(INDEX('Game Records'!$B:$B,$H247)="","Start Date; ","")&amp;IF(INDEX('Game Records'!$C:$C,$H247)="","End Date; ","")&amp;IF(AND(INDEX('Game Records'!$U:$U,$H247)&lt;&gt;"Subscription",INDEX('Game Records'!$U:$U,$H247)&lt;&gt;"Free Game",INDEX('Game Records'!$U:$U,$H247)&lt;&gt;"Disqualified — Free Game",OR(INDEX('Game Records'!$D:$D,$H247)="",LOWER(INDEX('Game Records'!$D:$D,$H247)&amp;"")="n/a")),"Entry Mode; ","")&amp;IF(AND(INDEX('Game Records'!$U:$U,$H247)&lt;&gt;"Subscription",INDEX('Game Records'!$U:$U,$H247)&lt;&gt;"Free Game",INDEX('Game Records'!$U:$U,$H247)&lt;&gt;"Disqualified — Free Game",OR(INDEX('Game Records'!$E:$E,$H247)="",LOWER(INDEX('Game Records'!$E:$E,$H247)&amp;"")="n/a")),"Game Type; ","")&amp;IF(INDEX('Game Records'!$F:$F,$H247)="","Payment Type; ","")&amp;IF(AND(INDEX('Game Records'!$U:$U,$H247)&lt;&gt;"Subscription",INDEX('Game Records'!$U:$U,$H247)&lt;&gt;"Free Game",INDEX('Game Records'!$U:$U,$H247)&lt;&gt;"Disqualified — Free Game",INDEX('Game Records'!$G:$G,$H247)=""),"Gross Pot; ","")&amp;IF(AND(INDEX('Game Records'!$U:$U,$H247)&lt;&gt;"Free Game",INDEX('Game Records'!$U:$U,$H247)&lt;&gt;"Disqualified — Free Game",INDEX('Game Records'!$H:$H,$H247)=""),"Entry Fee; ","")&amp;IF(AND(INDEX('Game Records'!$U:$U,$H247)&lt;&gt;"Subscription",INDEX('Game Records'!$U:$U,$H247)&lt;&gt;"Free Game",INDEX('Game Records'!$U:$U,$H247)&lt;&gt;"Disqualified — Free Game",INDEX('Game Records'!$I:$I,$H247)=""),"Eligible Players; ","")&amp;IF(AND(INDEX('Game Records'!$U:$U,$H247)&lt;&gt;"Subscription",INDEX('Game Records'!$U:$U,$H247)&lt;&gt;"Free Game",INDEX('Game Records'!$U:$U,$H247)&lt;&gt;"Disqualified — Free Game",INDEX('Game Records'!$J:$J,$H247)=""),"Total Players; ","")&amp;IF(AND(LOWER(INDEX('Game Records'!$D:$D,$H247)&amp;"")="finalized",LOWER(INDEX('Game Records'!$L:$L,$H247)&amp;"")&lt;&gt;"yes",INDEX('Game Records'!$U:$U,$H247)&lt;&gt;"Subscription",INDEX('Game Records'!$U:$U,$H247)&lt;&gt;"Free Game",INDEX('Game Records'!$U:$U,$H247)&lt;&gt;"Disqualified — Free Game",INDEX('Game Records'!$K:$K,$H247)=""),"Final Earned; ","")&amp;IF(AND(LOWER(INDEX('Game Records'!$D:$D,$H247)&amp;"")="finalized",INDEX('Game Records'!$U:$U,$H247)&lt;&gt;"Subscription",INDEX('Game Records'!$U:$U,$H247)&lt;&gt;"Free Game",INDEX('Game Records'!$U:$U,$H247)&lt;&gt;"Disqualified — Free Game",OR(INDEX('Game Records'!$L:$L,$H247)="",LOWER(INDEX('Game Records'!$L:$L,$H247)&amp;"")="n/a")),"Disqualified Status; ","")&amp;IF(AND(OR(LOWER(TRIM(INDEX('Game Records'!$F:$F,$H247)&amp;""))="free game",INDEX('Game Records'!$U:$U,$H247)="Free Game",INDEX('Game Records'!$U:$U,$H247)="Disqualified — Free Game"),N(INDEX('Game Records'!$H:$H,$H247))&lt;&gt;0),"Free Game has a non-zero Entry Fee. Free Game records require a $0 Entry Fee; ",""))</f>
        <v/>
      </c>
      <c r="G247" s="331" t="str">
        <f>IF($H247="","",IFERROR(INDEX('Game Records'!$M:$M,$H247),""))</f>
        <v/>
      </c>
      <c r="H247" s="104" t="str">
        <f>IF($H246="","",IFERROR(MATCH(1,INDEX((ROW('Game Records'!$U$5:$U$504)&gt;$H246)*(('Game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8" ht="24" customHeight="1">
      <c r="A248" s="332" t="str">
        <f>IF($H248="","",ROWS($A$5:A248))</f>
        <v/>
      </c>
      <c r="B248" s="332" t="str">
        <f>IF($H248="","","G-"&amp;TEXT($A248,"0000"))</f>
        <v/>
      </c>
      <c r="C248" s="331" t="str">
        <f>IF($H248="","",IFERROR(INDEX('Game Records'!$A:$A,$H248),""))</f>
        <v/>
      </c>
      <c r="D248" s="331" t="str">
        <f>IF($H248="","",IFERROR(INDEX('Game Records'!$U:$U,$H248),""))</f>
        <v/>
      </c>
      <c r="E248" s="331" t="str">
        <f>IF($H248="","",IF($F248="","No Highlighted Fields","Highlighted Fields Present"))</f>
        <v/>
      </c>
      <c r="F248" s="331" t="str">
        <f>IF($H248="","",IF(OR(NOT(ISFORMULA(INDEX('Game Records'!$N:$N,$H248))),NOT(ISFORMULA(INDEX('Game Records'!$O:$O,$H248))),NOT(ISFORMULA(INDEX('Game Records'!$P:$P,$H248))),NOT(ISFORMULA(INDEX('Game Records'!$Q:$Q,$H248))),NOT(ISFORMULA(INDEX('Game Records'!$R:$R,$H248))),NOT(ISFORMULA(INDEX('Game Records'!$S:$S,$H248))),NOT(ISFORMULA(INDEX('Game Records'!$T:$T,$H248))),NOT(ISFORMULA(INDEX('Game Records'!$U:$U,$H248))),NOT(ISFORMULA(INDEX('Game Records'!$V:$V,$H248))),NOT(ISFORMULA(INDEX('Game Records'!$W:$W,$H248))),NOT(ISFORMULA(INDEX('Game Records'!$X:$X,$H248))),NOT(ISFORMULA(INDEX('Game Records'!$Y:$Y,$H248))),NOT(ISFORMULA(INDEX('Game Records'!$Z:$Z,$H248)))),"Formula columns missing; ","")&amp;IF(INDEX('Game Records'!$B:$B,$H248)="","Start Date; ","")&amp;IF(INDEX('Game Records'!$C:$C,$H248)="","End Date; ","")&amp;IF(AND(INDEX('Game Records'!$U:$U,$H248)&lt;&gt;"Subscription",INDEX('Game Records'!$U:$U,$H248)&lt;&gt;"Free Game",INDEX('Game Records'!$U:$U,$H248)&lt;&gt;"Disqualified — Free Game",OR(INDEX('Game Records'!$D:$D,$H248)="",LOWER(INDEX('Game Records'!$D:$D,$H248)&amp;"")="n/a")),"Entry Mode; ","")&amp;IF(AND(INDEX('Game Records'!$U:$U,$H248)&lt;&gt;"Subscription",INDEX('Game Records'!$U:$U,$H248)&lt;&gt;"Free Game",INDEX('Game Records'!$U:$U,$H248)&lt;&gt;"Disqualified — Free Game",OR(INDEX('Game Records'!$E:$E,$H248)="",LOWER(INDEX('Game Records'!$E:$E,$H248)&amp;"")="n/a")),"Game Type; ","")&amp;IF(INDEX('Game Records'!$F:$F,$H248)="","Payment Type; ","")&amp;IF(AND(INDEX('Game Records'!$U:$U,$H248)&lt;&gt;"Subscription",INDEX('Game Records'!$U:$U,$H248)&lt;&gt;"Free Game",INDEX('Game Records'!$U:$U,$H248)&lt;&gt;"Disqualified — Free Game",INDEX('Game Records'!$G:$G,$H248)=""),"Gross Pot; ","")&amp;IF(AND(INDEX('Game Records'!$U:$U,$H248)&lt;&gt;"Free Game",INDEX('Game Records'!$U:$U,$H248)&lt;&gt;"Disqualified — Free Game",INDEX('Game Records'!$H:$H,$H248)=""),"Entry Fee; ","")&amp;IF(AND(INDEX('Game Records'!$U:$U,$H248)&lt;&gt;"Subscription",INDEX('Game Records'!$U:$U,$H248)&lt;&gt;"Free Game",INDEX('Game Records'!$U:$U,$H248)&lt;&gt;"Disqualified — Free Game",INDEX('Game Records'!$I:$I,$H248)=""),"Eligible Players; ","")&amp;IF(AND(INDEX('Game Records'!$U:$U,$H248)&lt;&gt;"Subscription",INDEX('Game Records'!$U:$U,$H248)&lt;&gt;"Free Game",INDEX('Game Records'!$U:$U,$H248)&lt;&gt;"Disqualified — Free Game",INDEX('Game Records'!$J:$J,$H248)=""),"Total Players; ","")&amp;IF(AND(LOWER(INDEX('Game Records'!$D:$D,$H248)&amp;"")="finalized",LOWER(INDEX('Game Records'!$L:$L,$H248)&amp;"")&lt;&gt;"yes",INDEX('Game Records'!$U:$U,$H248)&lt;&gt;"Subscription",INDEX('Game Records'!$U:$U,$H248)&lt;&gt;"Free Game",INDEX('Game Records'!$U:$U,$H248)&lt;&gt;"Disqualified — Free Game",INDEX('Game Records'!$K:$K,$H248)=""),"Final Earned; ","")&amp;IF(AND(LOWER(INDEX('Game Records'!$D:$D,$H248)&amp;"")="finalized",INDEX('Game Records'!$U:$U,$H248)&lt;&gt;"Subscription",INDEX('Game Records'!$U:$U,$H248)&lt;&gt;"Free Game",INDEX('Game Records'!$U:$U,$H248)&lt;&gt;"Disqualified — Free Game",OR(INDEX('Game Records'!$L:$L,$H248)="",LOWER(INDEX('Game Records'!$L:$L,$H248)&amp;"")="n/a")),"Disqualified Status; ","")&amp;IF(AND(OR(LOWER(TRIM(INDEX('Game Records'!$F:$F,$H248)&amp;""))="free game",INDEX('Game Records'!$U:$U,$H248)="Free Game",INDEX('Game Records'!$U:$U,$H248)="Disqualified — Free Game"),N(INDEX('Game Records'!$H:$H,$H248))&lt;&gt;0),"Free Game has a non-zero Entry Fee. Free Game records require a $0 Entry Fee; ",""))</f>
        <v/>
      </c>
      <c r="G248" s="331" t="str">
        <f>IF($H248="","",IFERROR(INDEX('Game Records'!$M:$M,$H248),""))</f>
        <v/>
      </c>
      <c r="H248" s="104" t="str">
        <f>IF($H247="","",IFERROR(MATCH(1,INDEX((ROW('Game Records'!$U$5:$U$504)&gt;$H247)*(('Game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9" ht="24" customHeight="1">
      <c r="A249" s="332" t="str">
        <f>IF($H249="","",ROWS($A$5:A249))</f>
        <v/>
      </c>
      <c r="B249" s="332" t="str">
        <f>IF($H249="","","G-"&amp;TEXT($A249,"0000"))</f>
        <v/>
      </c>
      <c r="C249" s="331" t="str">
        <f>IF($H249="","",IFERROR(INDEX('Game Records'!$A:$A,$H249),""))</f>
        <v/>
      </c>
      <c r="D249" s="331" t="str">
        <f>IF($H249="","",IFERROR(INDEX('Game Records'!$U:$U,$H249),""))</f>
        <v/>
      </c>
      <c r="E249" s="331" t="str">
        <f>IF($H249="","",IF($F249="","No Highlighted Fields","Highlighted Fields Present"))</f>
        <v/>
      </c>
      <c r="F249" s="331" t="str">
        <f>IF($H249="","",IF(OR(NOT(ISFORMULA(INDEX('Game Records'!$N:$N,$H249))),NOT(ISFORMULA(INDEX('Game Records'!$O:$O,$H249))),NOT(ISFORMULA(INDEX('Game Records'!$P:$P,$H249))),NOT(ISFORMULA(INDEX('Game Records'!$Q:$Q,$H249))),NOT(ISFORMULA(INDEX('Game Records'!$R:$R,$H249))),NOT(ISFORMULA(INDEX('Game Records'!$S:$S,$H249))),NOT(ISFORMULA(INDEX('Game Records'!$T:$T,$H249))),NOT(ISFORMULA(INDEX('Game Records'!$U:$U,$H249))),NOT(ISFORMULA(INDEX('Game Records'!$V:$V,$H249))),NOT(ISFORMULA(INDEX('Game Records'!$W:$W,$H249))),NOT(ISFORMULA(INDEX('Game Records'!$X:$X,$H249))),NOT(ISFORMULA(INDEX('Game Records'!$Y:$Y,$H249))),NOT(ISFORMULA(INDEX('Game Records'!$Z:$Z,$H249)))),"Formula columns missing; ","")&amp;IF(INDEX('Game Records'!$B:$B,$H249)="","Start Date; ","")&amp;IF(INDEX('Game Records'!$C:$C,$H249)="","End Date; ","")&amp;IF(AND(INDEX('Game Records'!$U:$U,$H249)&lt;&gt;"Subscription",INDEX('Game Records'!$U:$U,$H249)&lt;&gt;"Free Game",INDEX('Game Records'!$U:$U,$H249)&lt;&gt;"Disqualified — Free Game",OR(INDEX('Game Records'!$D:$D,$H249)="",LOWER(INDEX('Game Records'!$D:$D,$H249)&amp;"")="n/a")),"Entry Mode; ","")&amp;IF(AND(INDEX('Game Records'!$U:$U,$H249)&lt;&gt;"Subscription",INDEX('Game Records'!$U:$U,$H249)&lt;&gt;"Free Game",INDEX('Game Records'!$U:$U,$H249)&lt;&gt;"Disqualified — Free Game",OR(INDEX('Game Records'!$E:$E,$H249)="",LOWER(INDEX('Game Records'!$E:$E,$H249)&amp;"")="n/a")),"Game Type; ","")&amp;IF(INDEX('Game Records'!$F:$F,$H249)="","Payment Type; ","")&amp;IF(AND(INDEX('Game Records'!$U:$U,$H249)&lt;&gt;"Subscription",INDEX('Game Records'!$U:$U,$H249)&lt;&gt;"Free Game",INDEX('Game Records'!$U:$U,$H249)&lt;&gt;"Disqualified — Free Game",INDEX('Game Records'!$G:$G,$H249)=""),"Gross Pot; ","")&amp;IF(AND(INDEX('Game Records'!$U:$U,$H249)&lt;&gt;"Free Game",INDEX('Game Records'!$U:$U,$H249)&lt;&gt;"Disqualified — Free Game",INDEX('Game Records'!$H:$H,$H249)=""),"Entry Fee; ","")&amp;IF(AND(INDEX('Game Records'!$U:$U,$H249)&lt;&gt;"Subscription",INDEX('Game Records'!$U:$U,$H249)&lt;&gt;"Free Game",INDEX('Game Records'!$U:$U,$H249)&lt;&gt;"Disqualified — Free Game",INDEX('Game Records'!$I:$I,$H249)=""),"Eligible Players; ","")&amp;IF(AND(INDEX('Game Records'!$U:$U,$H249)&lt;&gt;"Subscription",INDEX('Game Records'!$U:$U,$H249)&lt;&gt;"Free Game",INDEX('Game Records'!$U:$U,$H249)&lt;&gt;"Disqualified — Free Game",INDEX('Game Records'!$J:$J,$H249)=""),"Total Players; ","")&amp;IF(AND(LOWER(INDEX('Game Records'!$D:$D,$H249)&amp;"")="finalized",LOWER(INDEX('Game Records'!$L:$L,$H249)&amp;"")&lt;&gt;"yes",INDEX('Game Records'!$U:$U,$H249)&lt;&gt;"Subscription",INDEX('Game Records'!$U:$U,$H249)&lt;&gt;"Free Game",INDEX('Game Records'!$U:$U,$H249)&lt;&gt;"Disqualified — Free Game",INDEX('Game Records'!$K:$K,$H249)=""),"Final Earned; ","")&amp;IF(AND(LOWER(INDEX('Game Records'!$D:$D,$H249)&amp;"")="finalized",INDEX('Game Records'!$U:$U,$H249)&lt;&gt;"Subscription",INDEX('Game Records'!$U:$U,$H249)&lt;&gt;"Free Game",INDEX('Game Records'!$U:$U,$H249)&lt;&gt;"Disqualified — Free Game",OR(INDEX('Game Records'!$L:$L,$H249)="",LOWER(INDEX('Game Records'!$L:$L,$H249)&amp;"")="n/a")),"Disqualified Status; ","")&amp;IF(AND(OR(LOWER(TRIM(INDEX('Game Records'!$F:$F,$H249)&amp;""))="free game",INDEX('Game Records'!$U:$U,$H249)="Free Game",INDEX('Game Records'!$U:$U,$H249)="Disqualified — Free Game"),N(INDEX('Game Records'!$H:$H,$H249))&lt;&gt;0),"Free Game has a non-zero Entry Fee. Free Game records require a $0 Entry Fee; ",""))</f>
        <v/>
      </c>
      <c r="G249" s="331" t="str">
        <f>IF($H249="","",IFERROR(INDEX('Game Records'!$M:$M,$H249),""))</f>
        <v/>
      </c>
      <c r="H249" s="104" t="str">
        <f>IF($H248="","",IFERROR(MATCH(1,INDEX((ROW('Game Records'!$U$5:$U$504)&gt;$H248)*(('Game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0" ht="24" customHeight="1">
      <c r="A250" s="332" t="str">
        <f>IF($H250="","",ROWS($A$5:A250))</f>
        <v/>
      </c>
      <c r="B250" s="332" t="str">
        <f>IF($H250="","","G-"&amp;TEXT($A250,"0000"))</f>
        <v/>
      </c>
      <c r="C250" s="331" t="str">
        <f>IF($H250="","",IFERROR(INDEX('Game Records'!$A:$A,$H250),""))</f>
        <v/>
      </c>
      <c r="D250" s="331" t="str">
        <f>IF($H250="","",IFERROR(INDEX('Game Records'!$U:$U,$H250),""))</f>
        <v/>
      </c>
      <c r="E250" s="331" t="str">
        <f>IF($H250="","",IF($F250="","No Highlighted Fields","Highlighted Fields Present"))</f>
        <v/>
      </c>
      <c r="F250" s="331" t="str">
        <f>IF($H250="","",IF(OR(NOT(ISFORMULA(INDEX('Game Records'!$N:$N,$H250))),NOT(ISFORMULA(INDEX('Game Records'!$O:$O,$H250))),NOT(ISFORMULA(INDEX('Game Records'!$P:$P,$H250))),NOT(ISFORMULA(INDEX('Game Records'!$Q:$Q,$H250))),NOT(ISFORMULA(INDEX('Game Records'!$R:$R,$H250))),NOT(ISFORMULA(INDEX('Game Records'!$S:$S,$H250))),NOT(ISFORMULA(INDEX('Game Records'!$T:$T,$H250))),NOT(ISFORMULA(INDEX('Game Records'!$U:$U,$H250))),NOT(ISFORMULA(INDEX('Game Records'!$V:$V,$H250))),NOT(ISFORMULA(INDEX('Game Records'!$W:$W,$H250))),NOT(ISFORMULA(INDEX('Game Records'!$X:$X,$H250))),NOT(ISFORMULA(INDEX('Game Records'!$Y:$Y,$H250))),NOT(ISFORMULA(INDEX('Game Records'!$Z:$Z,$H250)))),"Formula columns missing; ","")&amp;IF(INDEX('Game Records'!$B:$B,$H250)="","Start Date; ","")&amp;IF(INDEX('Game Records'!$C:$C,$H250)="","End Date; ","")&amp;IF(AND(INDEX('Game Records'!$U:$U,$H250)&lt;&gt;"Subscription",INDEX('Game Records'!$U:$U,$H250)&lt;&gt;"Free Game",INDEX('Game Records'!$U:$U,$H250)&lt;&gt;"Disqualified — Free Game",OR(INDEX('Game Records'!$D:$D,$H250)="",LOWER(INDEX('Game Records'!$D:$D,$H250)&amp;"")="n/a")),"Entry Mode; ","")&amp;IF(AND(INDEX('Game Records'!$U:$U,$H250)&lt;&gt;"Subscription",INDEX('Game Records'!$U:$U,$H250)&lt;&gt;"Free Game",INDEX('Game Records'!$U:$U,$H250)&lt;&gt;"Disqualified — Free Game",OR(INDEX('Game Records'!$E:$E,$H250)="",LOWER(INDEX('Game Records'!$E:$E,$H250)&amp;"")="n/a")),"Game Type; ","")&amp;IF(INDEX('Game Records'!$F:$F,$H250)="","Payment Type; ","")&amp;IF(AND(INDEX('Game Records'!$U:$U,$H250)&lt;&gt;"Subscription",INDEX('Game Records'!$U:$U,$H250)&lt;&gt;"Free Game",INDEX('Game Records'!$U:$U,$H250)&lt;&gt;"Disqualified — Free Game",INDEX('Game Records'!$G:$G,$H250)=""),"Gross Pot; ","")&amp;IF(AND(INDEX('Game Records'!$U:$U,$H250)&lt;&gt;"Free Game",INDEX('Game Records'!$U:$U,$H250)&lt;&gt;"Disqualified — Free Game",INDEX('Game Records'!$H:$H,$H250)=""),"Entry Fee; ","")&amp;IF(AND(INDEX('Game Records'!$U:$U,$H250)&lt;&gt;"Subscription",INDEX('Game Records'!$U:$U,$H250)&lt;&gt;"Free Game",INDEX('Game Records'!$U:$U,$H250)&lt;&gt;"Disqualified — Free Game",INDEX('Game Records'!$I:$I,$H250)=""),"Eligible Players; ","")&amp;IF(AND(INDEX('Game Records'!$U:$U,$H250)&lt;&gt;"Subscription",INDEX('Game Records'!$U:$U,$H250)&lt;&gt;"Free Game",INDEX('Game Records'!$U:$U,$H250)&lt;&gt;"Disqualified — Free Game",INDEX('Game Records'!$J:$J,$H250)=""),"Total Players; ","")&amp;IF(AND(LOWER(INDEX('Game Records'!$D:$D,$H250)&amp;"")="finalized",LOWER(INDEX('Game Records'!$L:$L,$H250)&amp;"")&lt;&gt;"yes",INDEX('Game Records'!$U:$U,$H250)&lt;&gt;"Subscription",INDEX('Game Records'!$U:$U,$H250)&lt;&gt;"Free Game",INDEX('Game Records'!$U:$U,$H250)&lt;&gt;"Disqualified — Free Game",INDEX('Game Records'!$K:$K,$H250)=""),"Final Earned; ","")&amp;IF(AND(LOWER(INDEX('Game Records'!$D:$D,$H250)&amp;"")="finalized",INDEX('Game Records'!$U:$U,$H250)&lt;&gt;"Subscription",INDEX('Game Records'!$U:$U,$H250)&lt;&gt;"Free Game",INDEX('Game Records'!$U:$U,$H250)&lt;&gt;"Disqualified — Free Game",OR(INDEX('Game Records'!$L:$L,$H250)="",LOWER(INDEX('Game Records'!$L:$L,$H250)&amp;"")="n/a")),"Disqualified Status; ","")&amp;IF(AND(OR(LOWER(TRIM(INDEX('Game Records'!$F:$F,$H250)&amp;""))="free game",INDEX('Game Records'!$U:$U,$H250)="Free Game",INDEX('Game Records'!$U:$U,$H250)="Disqualified — Free Game"),N(INDEX('Game Records'!$H:$H,$H250))&lt;&gt;0),"Free Game has a non-zero Entry Fee. Free Game records require a $0 Entry Fee; ",""))</f>
        <v/>
      </c>
      <c r="G250" s="331" t="str">
        <f>IF($H250="","",IFERROR(INDEX('Game Records'!$M:$M,$H250),""))</f>
        <v/>
      </c>
      <c r="H250" s="104" t="str">
        <f>IF($H249="","",IFERROR(MATCH(1,INDEX((ROW('Game Records'!$U$5:$U$504)&gt;$H249)*(('Game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1" ht="24" customHeight="1">
      <c r="A251" s="332" t="str">
        <f>IF($H251="","",ROWS($A$5:A251))</f>
        <v/>
      </c>
      <c r="B251" s="332" t="str">
        <f>IF($H251="","","G-"&amp;TEXT($A251,"0000"))</f>
        <v/>
      </c>
      <c r="C251" s="331" t="str">
        <f>IF($H251="","",IFERROR(INDEX('Game Records'!$A:$A,$H251),""))</f>
        <v/>
      </c>
      <c r="D251" s="331" t="str">
        <f>IF($H251="","",IFERROR(INDEX('Game Records'!$U:$U,$H251),""))</f>
        <v/>
      </c>
      <c r="E251" s="331" t="str">
        <f>IF($H251="","",IF($F251="","No Highlighted Fields","Highlighted Fields Present"))</f>
        <v/>
      </c>
      <c r="F251" s="331" t="str">
        <f>IF($H251="","",IF(OR(NOT(ISFORMULA(INDEX('Game Records'!$N:$N,$H251))),NOT(ISFORMULA(INDEX('Game Records'!$O:$O,$H251))),NOT(ISFORMULA(INDEX('Game Records'!$P:$P,$H251))),NOT(ISFORMULA(INDEX('Game Records'!$Q:$Q,$H251))),NOT(ISFORMULA(INDEX('Game Records'!$R:$R,$H251))),NOT(ISFORMULA(INDEX('Game Records'!$S:$S,$H251))),NOT(ISFORMULA(INDEX('Game Records'!$T:$T,$H251))),NOT(ISFORMULA(INDEX('Game Records'!$U:$U,$H251))),NOT(ISFORMULA(INDEX('Game Records'!$V:$V,$H251))),NOT(ISFORMULA(INDEX('Game Records'!$W:$W,$H251))),NOT(ISFORMULA(INDEX('Game Records'!$X:$X,$H251))),NOT(ISFORMULA(INDEX('Game Records'!$Y:$Y,$H251))),NOT(ISFORMULA(INDEX('Game Records'!$Z:$Z,$H251)))),"Formula columns missing; ","")&amp;IF(INDEX('Game Records'!$B:$B,$H251)="","Start Date; ","")&amp;IF(INDEX('Game Records'!$C:$C,$H251)="","End Date; ","")&amp;IF(AND(INDEX('Game Records'!$U:$U,$H251)&lt;&gt;"Subscription",INDEX('Game Records'!$U:$U,$H251)&lt;&gt;"Free Game",INDEX('Game Records'!$U:$U,$H251)&lt;&gt;"Disqualified — Free Game",OR(INDEX('Game Records'!$D:$D,$H251)="",LOWER(INDEX('Game Records'!$D:$D,$H251)&amp;"")="n/a")),"Entry Mode; ","")&amp;IF(AND(INDEX('Game Records'!$U:$U,$H251)&lt;&gt;"Subscription",INDEX('Game Records'!$U:$U,$H251)&lt;&gt;"Free Game",INDEX('Game Records'!$U:$U,$H251)&lt;&gt;"Disqualified — Free Game",OR(INDEX('Game Records'!$E:$E,$H251)="",LOWER(INDEX('Game Records'!$E:$E,$H251)&amp;"")="n/a")),"Game Type; ","")&amp;IF(INDEX('Game Records'!$F:$F,$H251)="","Payment Type; ","")&amp;IF(AND(INDEX('Game Records'!$U:$U,$H251)&lt;&gt;"Subscription",INDEX('Game Records'!$U:$U,$H251)&lt;&gt;"Free Game",INDEX('Game Records'!$U:$U,$H251)&lt;&gt;"Disqualified — Free Game",INDEX('Game Records'!$G:$G,$H251)=""),"Gross Pot; ","")&amp;IF(AND(INDEX('Game Records'!$U:$U,$H251)&lt;&gt;"Free Game",INDEX('Game Records'!$U:$U,$H251)&lt;&gt;"Disqualified — Free Game",INDEX('Game Records'!$H:$H,$H251)=""),"Entry Fee; ","")&amp;IF(AND(INDEX('Game Records'!$U:$U,$H251)&lt;&gt;"Subscription",INDEX('Game Records'!$U:$U,$H251)&lt;&gt;"Free Game",INDEX('Game Records'!$U:$U,$H251)&lt;&gt;"Disqualified — Free Game",INDEX('Game Records'!$I:$I,$H251)=""),"Eligible Players; ","")&amp;IF(AND(INDEX('Game Records'!$U:$U,$H251)&lt;&gt;"Subscription",INDEX('Game Records'!$U:$U,$H251)&lt;&gt;"Free Game",INDEX('Game Records'!$U:$U,$H251)&lt;&gt;"Disqualified — Free Game",INDEX('Game Records'!$J:$J,$H251)=""),"Total Players; ","")&amp;IF(AND(LOWER(INDEX('Game Records'!$D:$D,$H251)&amp;"")="finalized",LOWER(INDEX('Game Records'!$L:$L,$H251)&amp;"")&lt;&gt;"yes",INDEX('Game Records'!$U:$U,$H251)&lt;&gt;"Subscription",INDEX('Game Records'!$U:$U,$H251)&lt;&gt;"Free Game",INDEX('Game Records'!$U:$U,$H251)&lt;&gt;"Disqualified — Free Game",INDEX('Game Records'!$K:$K,$H251)=""),"Final Earned; ","")&amp;IF(AND(LOWER(INDEX('Game Records'!$D:$D,$H251)&amp;"")="finalized",INDEX('Game Records'!$U:$U,$H251)&lt;&gt;"Subscription",INDEX('Game Records'!$U:$U,$H251)&lt;&gt;"Free Game",INDEX('Game Records'!$U:$U,$H251)&lt;&gt;"Disqualified — Free Game",OR(INDEX('Game Records'!$L:$L,$H251)="",LOWER(INDEX('Game Records'!$L:$L,$H251)&amp;"")="n/a")),"Disqualified Status; ","")&amp;IF(AND(OR(LOWER(TRIM(INDEX('Game Records'!$F:$F,$H251)&amp;""))="free game",INDEX('Game Records'!$U:$U,$H251)="Free Game",INDEX('Game Records'!$U:$U,$H251)="Disqualified — Free Game"),N(INDEX('Game Records'!$H:$H,$H251))&lt;&gt;0),"Free Game has a non-zero Entry Fee. Free Game records require a $0 Entry Fee; ",""))</f>
        <v/>
      </c>
      <c r="G251" s="331" t="str">
        <f>IF($H251="","",IFERROR(INDEX('Game Records'!$M:$M,$H251),""))</f>
        <v/>
      </c>
      <c r="H251" s="104" t="str">
        <f>IF($H250="","",IFERROR(MATCH(1,INDEX((ROW('Game Records'!$U$5:$U$504)&gt;$H250)*(('Game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2" ht="24" customHeight="1">
      <c r="A252" s="332" t="str">
        <f>IF($H252="","",ROWS($A$5:A252))</f>
        <v/>
      </c>
      <c r="B252" s="332" t="str">
        <f>IF($H252="","","G-"&amp;TEXT($A252,"0000"))</f>
        <v/>
      </c>
      <c r="C252" s="331" t="str">
        <f>IF($H252="","",IFERROR(INDEX('Game Records'!$A:$A,$H252),""))</f>
        <v/>
      </c>
      <c r="D252" s="331" t="str">
        <f>IF($H252="","",IFERROR(INDEX('Game Records'!$U:$U,$H252),""))</f>
        <v/>
      </c>
      <c r="E252" s="331" t="str">
        <f>IF($H252="","",IF($F252="","No Highlighted Fields","Highlighted Fields Present"))</f>
        <v/>
      </c>
      <c r="F252" s="331" t="str">
        <f>IF($H252="","",IF(OR(NOT(ISFORMULA(INDEX('Game Records'!$N:$N,$H252))),NOT(ISFORMULA(INDEX('Game Records'!$O:$O,$H252))),NOT(ISFORMULA(INDEX('Game Records'!$P:$P,$H252))),NOT(ISFORMULA(INDEX('Game Records'!$Q:$Q,$H252))),NOT(ISFORMULA(INDEX('Game Records'!$R:$R,$H252))),NOT(ISFORMULA(INDEX('Game Records'!$S:$S,$H252))),NOT(ISFORMULA(INDEX('Game Records'!$T:$T,$H252))),NOT(ISFORMULA(INDEX('Game Records'!$U:$U,$H252))),NOT(ISFORMULA(INDEX('Game Records'!$V:$V,$H252))),NOT(ISFORMULA(INDEX('Game Records'!$W:$W,$H252))),NOT(ISFORMULA(INDEX('Game Records'!$X:$X,$H252))),NOT(ISFORMULA(INDEX('Game Records'!$Y:$Y,$H252))),NOT(ISFORMULA(INDEX('Game Records'!$Z:$Z,$H252)))),"Formula columns missing; ","")&amp;IF(INDEX('Game Records'!$B:$B,$H252)="","Start Date; ","")&amp;IF(INDEX('Game Records'!$C:$C,$H252)="","End Date; ","")&amp;IF(AND(INDEX('Game Records'!$U:$U,$H252)&lt;&gt;"Subscription",INDEX('Game Records'!$U:$U,$H252)&lt;&gt;"Free Game",INDEX('Game Records'!$U:$U,$H252)&lt;&gt;"Disqualified — Free Game",OR(INDEX('Game Records'!$D:$D,$H252)="",LOWER(INDEX('Game Records'!$D:$D,$H252)&amp;"")="n/a")),"Entry Mode; ","")&amp;IF(AND(INDEX('Game Records'!$U:$U,$H252)&lt;&gt;"Subscription",INDEX('Game Records'!$U:$U,$H252)&lt;&gt;"Free Game",INDEX('Game Records'!$U:$U,$H252)&lt;&gt;"Disqualified — Free Game",OR(INDEX('Game Records'!$E:$E,$H252)="",LOWER(INDEX('Game Records'!$E:$E,$H252)&amp;"")="n/a")),"Game Type; ","")&amp;IF(INDEX('Game Records'!$F:$F,$H252)="","Payment Type; ","")&amp;IF(AND(INDEX('Game Records'!$U:$U,$H252)&lt;&gt;"Subscription",INDEX('Game Records'!$U:$U,$H252)&lt;&gt;"Free Game",INDEX('Game Records'!$U:$U,$H252)&lt;&gt;"Disqualified — Free Game",INDEX('Game Records'!$G:$G,$H252)=""),"Gross Pot; ","")&amp;IF(AND(INDEX('Game Records'!$U:$U,$H252)&lt;&gt;"Free Game",INDEX('Game Records'!$U:$U,$H252)&lt;&gt;"Disqualified — Free Game",INDEX('Game Records'!$H:$H,$H252)=""),"Entry Fee; ","")&amp;IF(AND(INDEX('Game Records'!$U:$U,$H252)&lt;&gt;"Subscription",INDEX('Game Records'!$U:$U,$H252)&lt;&gt;"Free Game",INDEX('Game Records'!$U:$U,$H252)&lt;&gt;"Disqualified — Free Game",INDEX('Game Records'!$I:$I,$H252)=""),"Eligible Players; ","")&amp;IF(AND(INDEX('Game Records'!$U:$U,$H252)&lt;&gt;"Subscription",INDEX('Game Records'!$U:$U,$H252)&lt;&gt;"Free Game",INDEX('Game Records'!$U:$U,$H252)&lt;&gt;"Disqualified — Free Game",INDEX('Game Records'!$J:$J,$H252)=""),"Total Players; ","")&amp;IF(AND(LOWER(INDEX('Game Records'!$D:$D,$H252)&amp;"")="finalized",LOWER(INDEX('Game Records'!$L:$L,$H252)&amp;"")&lt;&gt;"yes",INDEX('Game Records'!$U:$U,$H252)&lt;&gt;"Subscription",INDEX('Game Records'!$U:$U,$H252)&lt;&gt;"Free Game",INDEX('Game Records'!$U:$U,$H252)&lt;&gt;"Disqualified — Free Game",INDEX('Game Records'!$K:$K,$H252)=""),"Final Earned; ","")&amp;IF(AND(LOWER(INDEX('Game Records'!$D:$D,$H252)&amp;"")="finalized",INDEX('Game Records'!$U:$U,$H252)&lt;&gt;"Subscription",INDEX('Game Records'!$U:$U,$H252)&lt;&gt;"Free Game",INDEX('Game Records'!$U:$U,$H252)&lt;&gt;"Disqualified — Free Game",OR(INDEX('Game Records'!$L:$L,$H252)="",LOWER(INDEX('Game Records'!$L:$L,$H252)&amp;"")="n/a")),"Disqualified Status; ","")&amp;IF(AND(OR(LOWER(TRIM(INDEX('Game Records'!$F:$F,$H252)&amp;""))="free game",INDEX('Game Records'!$U:$U,$H252)="Free Game",INDEX('Game Records'!$U:$U,$H252)="Disqualified — Free Game"),N(INDEX('Game Records'!$H:$H,$H252))&lt;&gt;0),"Free Game has a non-zero Entry Fee. Free Game records require a $0 Entry Fee; ",""))</f>
        <v/>
      </c>
      <c r="G252" s="331" t="str">
        <f>IF($H252="","",IFERROR(INDEX('Game Records'!$M:$M,$H252),""))</f>
        <v/>
      </c>
      <c r="H252" s="104" t="str">
        <f>IF($H251="","",IFERROR(MATCH(1,INDEX((ROW('Game Records'!$U$5:$U$504)&gt;$H251)*(('Game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3" ht="24" customHeight="1">
      <c r="A253" s="332" t="str">
        <f>IF($H253="","",ROWS($A$5:A253))</f>
        <v/>
      </c>
      <c r="B253" s="332" t="str">
        <f>IF($H253="","","G-"&amp;TEXT($A253,"0000"))</f>
        <v/>
      </c>
      <c r="C253" s="331" t="str">
        <f>IF($H253="","",IFERROR(INDEX('Game Records'!$A:$A,$H253),""))</f>
        <v/>
      </c>
      <c r="D253" s="331" t="str">
        <f>IF($H253="","",IFERROR(INDEX('Game Records'!$U:$U,$H253),""))</f>
        <v/>
      </c>
      <c r="E253" s="331" t="str">
        <f>IF($H253="","",IF($F253="","No Highlighted Fields","Highlighted Fields Present"))</f>
        <v/>
      </c>
      <c r="F253" s="331" t="str">
        <f>IF($H253="","",IF(OR(NOT(ISFORMULA(INDEX('Game Records'!$N:$N,$H253))),NOT(ISFORMULA(INDEX('Game Records'!$O:$O,$H253))),NOT(ISFORMULA(INDEX('Game Records'!$P:$P,$H253))),NOT(ISFORMULA(INDEX('Game Records'!$Q:$Q,$H253))),NOT(ISFORMULA(INDEX('Game Records'!$R:$R,$H253))),NOT(ISFORMULA(INDEX('Game Records'!$S:$S,$H253))),NOT(ISFORMULA(INDEX('Game Records'!$T:$T,$H253))),NOT(ISFORMULA(INDEX('Game Records'!$U:$U,$H253))),NOT(ISFORMULA(INDEX('Game Records'!$V:$V,$H253))),NOT(ISFORMULA(INDEX('Game Records'!$W:$W,$H253))),NOT(ISFORMULA(INDEX('Game Records'!$X:$X,$H253))),NOT(ISFORMULA(INDEX('Game Records'!$Y:$Y,$H253))),NOT(ISFORMULA(INDEX('Game Records'!$Z:$Z,$H253)))),"Formula columns missing; ","")&amp;IF(INDEX('Game Records'!$B:$B,$H253)="","Start Date; ","")&amp;IF(INDEX('Game Records'!$C:$C,$H253)="","End Date; ","")&amp;IF(AND(INDEX('Game Records'!$U:$U,$H253)&lt;&gt;"Subscription",INDEX('Game Records'!$U:$U,$H253)&lt;&gt;"Free Game",INDEX('Game Records'!$U:$U,$H253)&lt;&gt;"Disqualified — Free Game",OR(INDEX('Game Records'!$D:$D,$H253)="",LOWER(INDEX('Game Records'!$D:$D,$H253)&amp;"")="n/a")),"Entry Mode; ","")&amp;IF(AND(INDEX('Game Records'!$U:$U,$H253)&lt;&gt;"Subscription",INDEX('Game Records'!$U:$U,$H253)&lt;&gt;"Free Game",INDEX('Game Records'!$U:$U,$H253)&lt;&gt;"Disqualified — Free Game",OR(INDEX('Game Records'!$E:$E,$H253)="",LOWER(INDEX('Game Records'!$E:$E,$H253)&amp;"")="n/a")),"Game Type; ","")&amp;IF(INDEX('Game Records'!$F:$F,$H253)="","Payment Type; ","")&amp;IF(AND(INDEX('Game Records'!$U:$U,$H253)&lt;&gt;"Subscription",INDEX('Game Records'!$U:$U,$H253)&lt;&gt;"Free Game",INDEX('Game Records'!$U:$U,$H253)&lt;&gt;"Disqualified — Free Game",INDEX('Game Records'!$G:$G,$H253)=""),"Gross Pot; ","")&amp;IF(AND(INDEX('Game Records'!$U:$U,$H253)&lt;&gt;"Free Game",INDEX('Game Records'!$U:$U,$H253)&lt;&gt;"Disqualified — Free Game",INDEX('Game Records'!$H:$H,$H253)=""),"Entry Fee; ","")&amp;IF(AND(INDEX('Game Records'!$U:$U,$H253)&lt;&gt;"Subscription",INDEX('Game Records'!$U:$U,$H253)&lt;&gt;"Free Game",INDEX('Game Records'!$U:$U,$H253)&lt;&gt;"Disqualified — Free Game",INDEX('Game Records'!$I:$I,$H253)=""),"Eligible Players; ","")&amp;IF(AND(INDEX('Game Records'!$U:$U,$H253)&lt;&gt;"Subscription",INDEX('Game Records'!$U:$U,$H253)&lt;&gt;"Free Game",INDEX('Game Records'!$U:$U,$H253)&lt;&gt;"Disqualified — Free Game",INDEX('Game Records'!$J:$J,$H253)=""),"Total Players; ","")&amp;IF(AND(LOWER(INDEX('Game Records'!$D:$D,$H253)&amp;"")="finalized",LOWER(INDEX('Game Records'!$L:$L,$H253)&amp;"")&lt;&gt;"yes",INDEX('Game Records'!$U:$U,$H253)&lt;&gt;"Subscription",INDEX('Game Records'!$U:$U,$H253)&lt;&gt;"Free Game",INDEX('Game Records'!$U:$U,$H253)&lt;&gt;"Disqualified — Free Game",INDEX('Game Records'!$K:$K,$H253)=""),"Final Earned; ","")&amp;IF(AND(LOWER(INDEX('Game Records'!$D:$D,$H253)&amp;"")="finalized",INDEX('Game Records'!$U:$U,$H253)&lt;&gt;"Subscription",INDEX('Game Records'!$U:$U,$H253)&lt;&gt;"Free Game",INDEX('Game Records'!$U:$U,$H253)&lt;&gt;"Disqualified — Free Game",OR(INDEX('Game Records'!$L:$L,$H253)="",LOWER(INDEX('Game Records'!$L:$L,$H253)&amp;"")="n/a")),"Disqualified Status; ","")&amp;IF(AND(OR(LOWER(TRIM(INDEX('Game Records'!$F:$F,$H253)&amp;""))="free game",INDEX('Game Records'!$U:$U,$H253)="Free Game",INDEX('Game Records'!$U:$U,$H253)="Disqualified — Free Game"),N(INDEX('Game Records'!$H:$H,$H253))&lt;&gt;0),"Free Game has a non-zero Entry Fee. Free Game records require a $0 Entry Fee; ",""))</f>
        <v/>
      </c>
      <c r="G253" s="331" t="str">
        <f>IF($H253="","",IFERROR(INDEX('Game Records'!$M:$M,$H253),""))</f>
        <v/>
      </c>
      <c r="H253" s="104" t="str">
        <f>IF($H252="","",IFERROR(MATCH(1,INDEX((ROW('Game Records'!$U$5:$U$504)&gt;$H252)*(('Game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4" ht="24" customHeight="1">
      <c r="A254" s="332" t="str">
        <f>IF($H254="","",ROWS($A$5:A254))</f>
        <v/>
      </c>
      <c r="B254" s="332" t="str">
        <f>IF($H254="","","G-"&amp;TEXT($A254,"0000"))</f>
        <v/>
      </c>
      <c r="C254" s="331" t="str">
        <f>IF($H254="","",IFERROR(INDEX('Game Records'!$A:$A,$H254),""))</f>
        <v/>
      </c>
      <c r="D254" s="331" t="str">
        <f>IF($H254="","",IFERROR(INDEX('Game Records'!$U:$U,$H254),""))</f>
        <v/>
      </c>
      <c r="E254" s="331" t="str">
        <f>IF($H254="","",IF($F254="","No Highlighted Fields","Highlighted Fields Present"))</f>
        <v/>
      </c>
      <c r="F254" s="331" t="str">
        <f>IF($H254="","",IF(OR(NOT(ISFORMULA(INDEX('Game Records'!$N:$N,$H254))),NOT(ISFORMULA(INDEX('Game Records'!$O:$O,$H254))),NOT(ISFORMULA(INDEX('Game Records'!$P:$P,$H254))),NOT(ISFORMULA(INDEX('Game Records'!$Q:$Q,$H254))),NOT(ISFORMULA(INDEX('Game Records'!$R:$R,$H254))),NOT(ISFORMULA(INDEX('Game Records'!$S:$S,$H254))),NOT(ISFORMULA(INDEX('Game Records'!$T:$T,$H254))),NOT(ISFORMULA(INDEX('Game Records'!$U:$U,$H254))),NOT(ISFORMULA(INDEX('Game Records'!$V:$V,$H254))),NOT(ISFORMULA(INDEX('Game Records'!$W:$W,$H254))),NOT(ISFORMULA(INDEX('Game Records'!$X:$X,$H254))),NOT(ISFORMULA(INDEX('Game Records'!$Y:$Y,$H254))),NOT(ISFORMULA(INDEX('Game Records'!$Z:$Z,$H254)))),"Formula columns missing; ","")&amp;IF(INDEX('Game Records'!$B:$B,$H254)="","Start Date; ","")&amp;IF(INDEX('Game Records'!$C:$C,$H254)="","End Date; ","")&amp;IF(AND(INDEX('Game Records'!$U:$U,$H254)&lt;&gt;"Subscription",INDEX('Game Records'!$U:$U,$H254)&lt;&gt;"Free Game",INDEX('Game Records'!$U:$U,$H254)&lt;&gt;"Disqualified — Free Game",OR(INDEX('Game Records'!$D:$D,$H254)="",LOWER(INDEX('Game Records'!$D:$D,$H254)&amp;"")="n/a")),"Entry Mode; ","")&amp;IF(AND(INDEX('Game Records'!$U:$U,$H254)&lt;&gt;"Subscription",INDEX('Game Records'!$U:$U,$H254)&lt;&gt;"Free Game",INDEX('Game Records'!$U:$U,$H254)&lt;&gt;"Disqualified — Free Game",OR(INDEX('Game Records'!$E:$E,$H254)="",LOWER(INDEX('Game Records'!$E:$E,$H254)&amp;"")="n/a")),"Game Type; ","")&amp;IF(INDEX('Game Records'!$F:$F,$H254)="","Payment Type; ","")&amp;IF(AND(INDEX('Game Records'!$U:$U,$H254)&lt;&gt;"Subscription",INDEX('Game Records'!$U:$U,$H254)&lt;&gt;"Free Game",INDEX('Game Records'!$U:$U,$H254)&lt;&gt;"Disqualified — Free Game",INDEX('Game Records'!$G:$G,$H254)=""),"Gross Pot; ","")&amp;IF(AND(INDEX('Game Records'!$U:$U,$H254)&lt;&gt;"Free Game",INDEX('Game Records'!$U:$U,$H254)&lt;&gt;"Disqualified — Free Game",INDEX('Game Records'!$H:$H,$H254)=""),"Entry Fee; ","")&amp;IF(AND(INDEX('Game Records'!$U:$U,$H254)&lt;&gt;"Subscription",INDEX('Game Records'!$U:$U,$H254)&lt;&gt;"Free Game",INDEX('Game Records'!$U:$U,$H254)&lt;&gt;"Disqualified — Free Game",INDEX('Game Records'!$I:$I,$H254)=""),"Eligible Players; ","")&amp;IF(AND(INDEX('Game Records'!$U:$U,$H254)&lt;&gt;"Subscription",INDEX('Game Records'!$U:$U,$H254)&lt;&gt;"Free Game",INDEX('Game Records'!$U:$U,$H254)&lt;&gt;"Disqualified — Free Game",INDEX('Game Records'!$J:$J,$H254)=""),"Total Players; ","")&amp;IF(AND(LOWER(INDEX('Game Records'!$D:$D,$H254)&amp;"")="finalized",LOWER(INDEX('Game Records'!$L:$L,$H254)&amp;"")&lt;&gt;"yes",INDEX('Game Records'!$U:$U,$H254)&lt;&gt;"Subscription",INDEX('Game Records'!$U:$U,$H254)&lt;&gt;"Free Game",INDEX('Game Records'!$U:$U,$H254)&lt;&gt;"Disqualified — Free Game",INDEX('Game Records'!$K:$K,$H254)=""),"Final Earned; ","")&amp;IF(AND(LOWER(INDEX('Game Records'!$D:$D,$H254)&amp;"")="finalized",INDEX('Game Records'!$U:$U,$H254)&lt;&gt;"Subscription",INDEX('Game Records'!$U:$U,$H254)&lt;&gt;"Free Game",INDEX('Game Records'!$U:$U,$H254)&lt;&gt;"Disqualified — Free Game",OR(INDEX('Game Records'!$L:$L,$H254)="",LOWER(INDEX('Game Records'!$L:$L,$H254)&amp;"")="n/a")),"Disqualified Status; ","")&amp;IF(AND(OR(LOWER(TRIM(INDEX('Game Records'!$F:$F,$H254)&amp;""))="free game",INDEX('Game Records'!$U:$U,$H254)="Free Game",INDEX('Game Records'!$U:$U,$H254)="Disqualified — Free Game"),N(INDEX('Game Records'!$H:$H,$H254))&lt;&gt;0),"Free Game has a non-zero Entry Fee. Free Game records require a $0 Entry Fee; ",""))</f>
        <v/>
      </c>
      <c r="G254" s="331" t="str">
        <f>IF($H254="","",IFERROR(INDEX('Game Records'!$M:$M,$H254),""))</f>
        <v/>
      </c>
      <c r="H254" s="104" t="str">
        <f>IF($H253="","",IFERROR(MATCH(1,INDEX((ROW('Game Records'!$U$5:$U$504)&gt;$H253)*(('Game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5" ht="24" customHeight="1">
      <c r="A255" s="332" t="str">
        <f>IF($H255="","",ROWS($A$5:A255))</f>
        <v/>
      </c>
      <c r="B255" s="332" t="str">
        <f>IF($H255="","","G-"&amp;TEXT($A255,"0000"))</f>
        <v/>
      </c>
      <c r="C255" s="331" t="str">
        <f>IF($H255="","",IFERROR(INDEX('Game Records'!$A:$A,$H255),""))</f>
        <v/>
      </c>
      <c r="D255" s="331" t="str">
        <f>IF($H255="","",IFERROR(INDEX('Game Records'!$U:$U,$H255),""))</f>
        <v/>
      </c>
      <c r="E255" s="331" t="str">
        <f>IF($H255="","",IF($F255="","No Highlighted Fields","Highlighted Fields Present"))</f>
        <v/>
      </c>
      <c r="F255" s="331" t="str">
        <f>IF($H255="","",IF(OR(NOT(ISFORMULA(INDEX('Game Records'!$N:$N,$H255))),NOT(ISFORMULA(INDEX('Game Records'!$O:$O,$H255))),NOT(ISFORMULA(INDEX('Game Records'!$P:$P,$H255))),NOT(ISFORMULA(INDEX('Game Records'!$Q:$Q,$H255))),NOT(ISFORMULA(INDEX('Game Records'!$R:$R,$H255))),NOT(ISFORMULA(INDEX('Game Records'!$S:$S,$H255))),NOT(ISFORMULA(INDEX('Game Records'!$T:$T,$H255))),NOT(ISFORMULA(INDEX('Game Records'!$U:$U,$H255))),NOT(ISFORMULA(INDEX('Game Records'!$V:$V,$H255))),NOT(ISFORMULA(INDEX('Game Records'!$W:$W,$H255))),NOT(ISFORMULA(INDEX('Game Records'!$X:$X,$H255))),NOT(ISFORMULA(INDEX('Game Records'!$Y:$Y,$H255))),NOT(ISFORMULA(INDEX('Game Records'!$Z:$Z,$H255)))),"Formula columns missing; ","")&amp;IF(INDEX('Game Records'!$B:$B,$H255)="","Start Date; ","")&amp;IF(INDEX('Game Records'!$C:$C,$H255)="","End Date; ","")&amp;IF(AND(INDEX('Game Records'!$U:$U,$H255)&lt;&gt;"Subscription",INDEX('Game Records'!$U:$U,$H255)&lt;&gt;"Free Game",INDEX('Game Records'!$U:$U,$H255)&lt;&gt;"Disqualified — Free Game",OR(INDEX('Game Records'!$D:$D,$H255)="",LOWER(INDEX('Game Records'!$D:$D,$H255)&amp;"")="n/a")),"Entry Mode; ","")&amp;IF(AND(INDEX('Game Records'!$U:$U,$H255)&lt;&gt;"Subscription",INDEX('Game Records'!$U:$U,$H255)&lt;&gt;"Free Game",INDEX('Game Records'!$U:$U,$H255)&lt;&gt;"Disqualified — Free Game",OR(INDEX('Game Records'!$E:$E,$H255)="",LOWER(INDEX('Game Records'!$E:$E,$H255)&amp;"")="n/a")),"Game Type; ","")&amp;IF(INDEX('Game Records'!$F:$F,$H255)="","Payment Type; ","")&amp;IF(AND(INDEX('Game Records'!$U:$U,$H255)&lt;&gt;"Subscription",INDEX('Game Records'!$U:$U,$H255)&lt;&gt;"Free Game",INDEX('Game Records'!$U:$U,$H255)&lt;&gt;"Disqualified — Free Game",INDEX('Game Records'!$G:$G,$H255)=""),"Gross Pot; ","")&amp;IF(AND(INDEX('Game Records'!$U:$U,$H255)&lt;&gt;"Free Game",INDEX('Game Records'!$U:$U,$H255)&lt;&gt;"Disqualified — Free Game",INDEX('Game Records'!$H:$H,$H255)=""),"Entry Fee; ","")&amp;IF(AND(INDEX('Game Records'!$U:$U,$H255)&lt;&gt;"Subscription",INDEX('Game Records'!$U:$U,$H255)&lt;&gt;"Free Game",INDEX('Game Records'!$U:$U,$H255)&lt;&gt;"Disqualified — Free Game",INDEX('Game Records'!$I:$I,$H255)=""),"Eligible Players; ","")&amp;IF(AND(INDEX('Game Records'!$U:$U,$H255)&lt;&gt;"Subscription",INDEX('Game Records'!$U:$U,$H255)&lt;&gt;"Free Game",INDEX('Game Records'!$U:$U,$H255)&lt;&gt;"Disqualified — Free Game",INDEX('Game Records'!$J:$J,$H255)=""),"Total Players; ","")&amp;IF(AND(LOWER(INDEX('Game Records'!$D:$D,$H255)&amp;"")="finalized",LOWER(INDEX('Game Records'!$L:$L,$H255)&amp;"")&lt;&gt;"yes",INDEX('Game Records'!$U:$U,$H255)&lt;&gt;"Subscription",INDEX('Game Records'!$U:$U,$H255)&lt;&gt;"Free Game",INDEX('Game Records'!$U:$U,$H255)&lt;&gt;"Disqualified — Free Game",INDEX('Game Records'!$K:$K,$H255)=""),"Final Earned; ","")&amp;IF(AND(LOWER(INDEX('Game Records'!$D:$D,$H255)&amp;"")="finalized",INDEX('Game Records'!$U:$U,$H255)&lt;&gt;"Subscription",INDEX('Game Records'!$U:$U,$H255)&lt;&gt;"Free Game",INDEX('Game Records'!$U:$U,$H255)&lt;&gt;"Disqualified — Free Game",OR(INDEX('Game Records'!$L:$L,$H255)="",LOWER(INDEX('Game Records'!$L:$L,$H255)&amp;"")="n/a")),"Disqualified Status; ","")&amp;IF(AND(OR(LOWER(TRIM(INDEX('Game Records'!$F:$F,$H255)&amp;""))="free game",INDEX('Game Records'!$U:$U,$H255)="Free Game",INDEX('Game Records'!$U:$U,$H255)="Disqualified — Free Game"),N(INDEX('Game Records'!$H:$H,$H255))&lt;&gt;0),"Free Game has a non-zero Entry Fee. Free Game records require a $0 Entry Fee; ",""))</f>
        <v/>
      </c>
      <c r="G255" s="331" t="str">
        <f>IF($H255="","",IFERROR(INDEX('Game Records'!$M:$M,$H255),""))</f>
        <v/>
      </c>
      <c r="H255" s="104" t="str">
        <f>IF($H254="","",IFERROR(MATCH(1,INDEX((ROW('Game Records'!$U$5:$U$504)&gt;$H254)*(('Game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6" ht="24" customHeight="1">
      <c r="A256" s="332" t="str">
        <f>IF($H256="","",ROWS($A$5:A256))</f>
        <v/>
      </c>
      <c r="B256" s="332" t="str">
        <f>IF($H256="","","G-"&amp;TEXT($A256,"0000"))</f>
        <v/>
      </c>
      <c r="C256" s="331" t="str">
        <f>IF($H256="","",IFERROR(INDEX('Game Records'!$A:$A,$H256),""))</f>
        <v/>
      </c>
      <c r="D256" s="331" t="str">
        <f>IF($H256="","",IFERROR(INDEX('Game Records'!$U:$U,$H256),""))</f>
        <v/>
      </c>
      <c r="E256" s="331" t="str">
        <f>IF($H256="","",IF($F256="","No Highlighted Fields","Highlighted Fields Present"))</f>
        <v/>
      </c>
      <c r="F256" s="331" t="str">
        <f>IF($H256="","",IF(OR(NOT(ISFORMULA(INDEX('Game Records'!$N:$N,$H256))),NOT(ISFORMULA(INDEX('Game Records'!$O:$O,$H256))),NOT(ISFORMULA(INDEX('Game Records'!$P:$P,$H256))),NOT(ISFORMULA(INDEX('Game Records'!$Q:$Q,$H256))),NOT(ISFORMULA(INDEX('Game Records'!$R:$R,$H256))),NOT(ISFORMULA(INDEX('Game Records'!$S:$S,$H256))),NOT(ISFORMULA(INDEX('Game Records'!$T:$T,$H256))),NOT(ISFORMULA(INDEX('Game Records'!$U:$U,$H256))),NOT(ISFORMULA(INDEX('Game Records'!$V:$V,$H256))),NOT(ISFORMULA(INDEX('Game Records'!$W:$W,$H256))),NOT(ISFORMULA(INDEX('Game Records'!$X:$X,$H256))),NOT(ISFORMULA(INDEX('Game Records'!$Y:$Y,$H256))),NOT(ISFORMULA(INDEX('Game Records'!$Z:$Z,$H256)))),"Formula columns missing; ","")&amp;IF(INDEX('Game Records'!$B:$B,$H256)="","Start Date; ","")&amp;IF(INDEX('Game Records'!$C:$C,$H256)="","End Date; ","")&amp;IF(AND(INDEX('Game Records'!$U:$U,$H256)&lt;&gt;"Subscription",INDEX('Game Records'!$U:$U,$H256)&lt;&gt;"Free Game",INDEX('Game Records'!$U:$U,$H256)&lt;&gt;"Disqualified — Free Game",OR(INDEX('Game Records'!$D:$D,$H256)="",LOWER(INDEX('Game Records'!$D:$D,$H256)&amp;"")="n/a")),"Entry Mode; ","")&amp;IF(AND(INDEX('Game Records'!$U:$U,$H256)&lt;&gt;"Subscription",INDEX('Game Records'!$U:$U,$H256)&lt;&gt;"Free Game",INDEX('Game Records'!$U:$U,$H256)&lt;&gt;"Disqualified — Free Game",OR(INDEX('Game Records'!$E:$E,$H256)="",LOWER(INDEX('Game Records'!$E:$E,$H256)&amp;"")="n/a")),"Game Type; ","")&amp;IF(INDEX('Game Records'!$F:$F,$H256)="","Payment Type; ","")&amp;IF(AND(INDEX('Game Records'!$U:$U,$H256)&lt;&gt;"Subscription",INDEX('Game Records'!$U:$U,$H256)&lt;&gt;"Free Game",INDEX('Game Records'!$U:$U,$H256)&lt;&gt;"Disqualified — Free Game",INDEX('Game Records'!$G:$G,$H256)=""),"Gross Pot; ","")&amp;IF(AND(INDEX('Game Records'!$U:$U,$H256)&lt;&gt;"Free Game",INDEX('Game Records'!$U:$U,$H256)&lt;&gt;"Disqualified — Free Game",INDEX('Game Records'!$H:$H,$H256)=""),"Entry Fee; ","")&amp;IF(AND(INDEX('Game Records'!$U:$U,$H256)&lt;&gt;"Subscription",INDEX('Game Records'!$U:$U,$H256)&lt;&gt;"Free Game",INDEX('Game Records'!$U:$U,$H256)&lt;&gt;"Disqualified — Free Game",INDEX('Game Records'!$I:$I,$H256)=""),"Eligible Players; ","")&amp;IF(AND(INDEX('Game Records'!$U:$U,$H256)&lt;&gt;"Subscription",INDEX('Game Records'!$U:$U,$H256)&lt;&gt;"Free Game",INDEX('Game Records'!$U:$U,$H256)&lt;&gt;"Disqualified — Free Game",INDEX('Game Records'!$J:$J,$H256)=""),"Total Players; ","")&amp;IF(AND(LOWER(INDEX('Game Records'!$D:$D,$H256)&amp;"")="finalized",LOWER(INDEX('Game Records'!$L:$L,$H256)&amp;"")&lt;&gt;"yes",INDEX('Game Records'!$U:$U,$H256)&lt;&gt;"Subscription",INDEX('Game Records'!$U:$U,$H256)&lt;&gt;"Free Game",INDEX('Game Records'!$U:$U,$H256)&lt;&gt;"Disqualified — Free Game",INDEX('Game Records'!$K:$K,$H256)=""),"Final Earned; ","")&amp;IF(AND(LOWER(INDEX('Game Records'!$D:$D,$H256)&amp;"")="finalized",INDEX('Game Records'!$U:$U,$H256)&lt;&gt;"Subscription",INDEX('Game Records'!$U:$U,$H256)&lt;&gt;"Free Game",INDEX('Game Records'!$U:$U,$H256)&lt;&gt;"Disqualified — Free Game",OR(INDEX('Game Records'!$L:$L,$H256)="",LOWER(INDEX('Game Records'!$L:$L,$H256)&amp;"")="n/a")),"Disqualified Status; ","")&amp;IF(AND(OR(LOWER(TRIM(INDEX('Game Records'!$F:$F,$H256)&amp;""))="free game",INDEX('Game Records'!$U:$U,$H256)="Free Game",INDEX('Game Records'!$U:$U,$H256)="Disqualified — Free Game"),N(INDEX('Game Records'!$H:$H,$H256))&lt;&gt;0),"Free Game has a non-zero Entry Fee. Free Game records require a $0 Entry Fee; ",""))</f>
        <v/>
      </c>
      <c r="G256" s="331" t="str">
        <f>IF($H256="","",IFERROR(INDEX('Game Records'!$M:$M,$H256),""))</f>
        <v/>
      </c>
      <c r="H256" s="104" t="str">
        <f>IF($H255="","",IFERROR(MATCH(1,INDEX((ROW('Game Records'!$U$5:$U$504)&gt;$H255)*(('Game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7" ht="24" customHeight="1">
      <c r="A257" s="332" t="str">
        <f>IF($H257="","",ROWS($A$5:A257))</f>
        <v/>
      </c>
      <c r="B257" s="332" t="str">
        <f>IF($H257="","","G-"&amp;TEXT($A257,"0000"))</f>
        <v/>
      </c>
      <c r="C257" s="331" t="str">
        <f>IF($H257="","",IFERROR(INDEX('Game Records'!$A:$A,$H257),""))</f>
        <v/>
      </c>
      <c r="D257" s="331" t="str">
        <f>IF($H257="","",IFERROR(INDEX('Game Records'!$U:$U,$H257),""))</f>
        <v/>
      </c>
      <c r="E257" s="331" t="str">
        <f>IF($H257="","",IF($F257="","No Highlighted Fields","Highlighted Fields Present"))</f>
        <v/>
      </c>
      <c r="F257" s="331" t="str">
        <f>IF($H257="","",IF(OR(NOT(ISFORMULA(INDEX('Game Records'!$N:$N,$H257))),NOT(ISFORMULA(INDEX('Game Records'!$O:$O,$H257))),NOT(ISFORMULA(INDEX('Game Records'!$P:$P,$H257))),NOT(ISFORMULA(INDEX('Game Records'!$Q:$Q,$H257))),NOT(ISFORMULA(INDEX('Game Records'!$R:$R,$H257))),NOT(ISFORMULA(INDEX('Game Records'!$S:$S,$H257))),NOT(ISFORMULA(INDEX('Game Records'!$T:$T,$H257))),NOT(ISFORMULA(INDEX('Game Records'!$U:$U,$H257))),NOT(ISFORMULA(INDEX('Game Records'!$V:$V,$H257))),NOT(ISFORMULA(INDEX('Game Records'!$W:$W,$H257))),NOT(ISFORMULA(INDEX('Game Records'!$X:$X,$H257))),NOT(ISFORMULA(INDEX('Game Records'!$Y:$Y,$H257))),NOT(ISFORMULA(INDEX('Game Records'!$Z:$Z,$H257)))),"Formula columns missing; ","")&amp;IF(INDEX('Game Records'!$B:$B,$H257)="","Start Date; ","")&amp;IF(INDEX('Game Records'!$C:$C,$H257)="","End Date; ","")&amp;IF(AND(INDEX('Game Records'!$U:$U,$H257)&lt;&gt;"Subscription",INDEX('Game Records'!$U:$U,$H257)&lt;&gt;"Free Game",INDEX('Game Records'!$U:$U,$H257)&lt;&gt;"Disqualified — Free Game",OR(INDEX('Game Records'!$D:$D,$H257)="",LOWER(INDEX('Game Records'!$D:$D,$H257)&amp;"")="n/a")),"Entry Mode; ","")&amp;IF(AND(INDEX('Game Records'!$U:$U,$H257)&lt;&gt;"Subscription",INDEX('Game Records'!$U:$U,$H257)&lt;&gt;"Free Game",INDEX('Game Records'!$U:$U,$H257)&lt;&gt;"Disqualified — Free Game",OR(INDEX('Game Records'!$E:$E,$H257)="",LOWER(INDEX('Game Records'!$E:$E,$H257)&amp;"")="n/a")),"Game Type; ","")&amp;IF(INDEX('Game Records'!$F:$F,$H257)="","Payment Type; ","")&amp;IF(AND(INDEX('Game Records'!$U:$U,$H257)&lt;&gt;"Subscription",INDEX('Game Records'!$U:$U,$H257)&lt;&gt;"Free Game",INDEX('Game Records'!$U:$U,$H257)&lt;&gt;"Disqualified — Free Game",INDEX('Game Records'!$G:$G,$H257)=""),"Gross Pot; ","")&amp;IF(AND(INDEX('Game Records'!$U:$U,$H257)&lt;&gt;"Free Game",INDEX('Game Records'!$U:$U,$H257)&lt;&gt;"Disqualified — Free Game",INDEX('Game Records'!$H:$H,$H257)=""),"Entry Fee; ","")&amp;IF(AND(INDEX('Game Records'!$U:$U,$H257)&lt;&gt;"Subscription",INDEX('Game Records'!$U:$U,$H257)&lt;&gt;"Free Game",INDEX('Game Records'!$U:$U,$H257)&lt;&gt;"Disqualified — Free Game",INDEX('Game Records'!$I:$I,$H257)=""),"Eligible Players; ","")&amp;IF(AND(INDEX('Game Records'!$U:$U,$H257)&lt;&gt;"Subscription",INDEX('Game Records'!$U:$U,$H257)&lt;&gt;"Free Game",INDEX('Game Records'!$U:$U,$H257)&lt;&gt;"Disqualified — Free Game",INDEX('Game Records'!$J:$J,$H257)=""),"Total Players; ","")&amp;IF(AND(LOWER(INDEX('Game Records'!$D:$D,$H257)&amp;"")="finalized",LOWER(INDEX('Game Records'!$L:$L,$H257)&amp;"")&lt;&gt;"yes",INDEX('Game Records'!$U:$U,$H257)&lt;&gt;"Subscription",INDEX('Game Records'!$U:$U,$H257)&lt;&gt;"Free Game",INDEX('Game Records'!$U:$U,$H257)&lt;&gt;"Disqualified — Free Game",INDEX('Game Records'!$K:$K,$H257)=""),"Final Earned; ","")&amp;IF(AND(LOWER(INDEX('Game Records'!$D:$D,$H257)&amp;"")="finalized",INDEX('Game Records'!$U:$U,$H257)&lt;&gt;"Subscription",INDEX('Game Records'!$U:$U,$H257)&lt;&gt;"Free Game",INDEX('Game Records'!$U:$U,$H257)&lt;&gt;"Disqualified — Free Game",OR(INDEX('Game Records'!$L:$L,$H257)="",LOWER(INDEX('Game Records'!$L:$L,$H257)&amp;"")="n/a")),"Disqualified Status; ","")&amp;IF(AND(OR(LOWER(TRIM(INDEX('Game Records'!$F:$F,$H257)&amp;""))="free game",INDEX('Game Records'!$U:$U,$H257)="Free Game",INDEX('Game Records'!$U:$U,$H257)="Disqualified — Free Game"),N(INDEX('Game Records'!$H:$H,$H257))&lt;&gt;0),"Free Game has a non-zero Entry Fee. Free Game records require a $0 Entry Fee; ",""))</f>
        <v/>
      </c>
      <c r="G257" s="331" t="str">
        <f>IF($H257="","",IFERROR(INDEX('Game Records'!$M:$M,$H257),""))</f>
        <v/>
      </c>
      <c r="H257" s="104" t="str">
        <f>IF($H256="","",IFERROR(MATCH(1,INDEX((ROW('Game Records'!$U$5:$U$504)&gt;$H256)*(('Game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8" ht="24" customHeight="1">
      <c r="A258" s="332" t="str">
        <f>IF($H258="","",ROWS($A$5:A258))</f>
        <v/>
      </c>
      <c r="B258" s="332" t="str">
        <f>IF($H258="","","G-"&amp;TEXT($A258,"0000"))</f>
        <v/>
      </c>
      <c r="C258" s="331" t="str">
        <f>IF($H258="","",IFERROR(INDEX('Game Records'!$A:$A,$H258),""))</f>
        <v/>
      </c>
      <c r="D258" s="331" t="str">
        <f>IF($H258="","",IFERROR(INDEX('Game Records'!$U:$U,$H258),""))</f>
        <v/>
      </c>
      <c r="E258" s="331" t="str">
        <f>IF($H258="","",IF($F258="","No Highlighted Fields","Highlighted Fields Present"))</f>
        <v/>
      </c>
      <c r="F258" s="331" t="str">
        <f>IF($H258="","",IF(OR(NOT(ISFORMULA(INDEX('Game Records'!$N:$N,$H258))),NOT(ISFORMULA(INDEX('Game Records'!$O:$O,$H258))),NOT(ISFORMULA(INDEX('Game Records'!$P:$P,$H258))),NOT(ISFORMULA(INDEX('Game Records'!$Q:$Q,$H258))),NOT(ISFORMULA(INDEX('Game Records'!$R:$R,$H258))),NOT(ISFORMULA(INDEX('Game Records'!$S:$S,$H258))),NOT(ISFORMULA(INDEX('Game Records'!$T:$T,$H258))),NOT(ISFORMULA(INDEX('Game Records'!$U:$U,$H258))),NOT(ISFORMULA(INDEX('Game Records'!$V:$V,$H258))),NOT(ISFORMULA(INDEX('Game Records'!$W:$W,$H258))),NOT(ISFORMULA(INDEX('Game Records'!$X:$X,$H258))),NOT(ISFORMULA(INDEX('Game Records'!$Y:$Y,$H258))),NOT(ISFORMULA(INDEX('Game Records'!$Z:$Z,$H258)))),"Formula columns missing; ","")&amp;IF(INDEX('Game Records'!$B:$B,$H258)="","Start Date; ","")&amp;IF(INDEX('Game Records'!$C:$C,$H258)="","End Date; ","")&amp;IF(AND(INDEX('Game Records'!$U:$U,$H258)&lt;&gt;"Subscription",INDEX('Game Records'!$U:$U,$H258)&lt;&gt;"Free Game",INDEX('Game Records'!$U:$U,$H258)&lt;&gt;"Disqualified — Free Game",OR(INDEX('Game Records'!$D:$D,$H258)="",LOWER(INDEX('Game Records'!$D:$D,$H258)&amp;"")="n/a")),"Entry Mode; ","")&amp;IF(AND(INDEX('Game Records'!$U:$U,$H258)&lt;&gt;"Subscription",INDEX('Game Records'!$U:$U,$H258)&lt;&gt;"Free Game",INDEX('Game Records'!$U:$U,$H258)&lt;&gt;"Disqualified — Free Game",OR(INDEX('Game Records'!$E:$E,$H258)="",LOWER(INDEX('Game Records'!$E:$E,$H258)&amp;"")="n/a")),"Game Type; ","")&amp;IF(INDEX('Game Records'!$F:$F,$H258)="","Payment Type; ","")&amp;IF(AND(INDEX('Game Records'!$U:$U,$H258)&lt;&gt;"Subscription",INDEX('Game Records'!$U:$U,$H258)&lt;&gt;"Free Game",INDEX('Game Records'!$U:$U,$H258)&lt;&gt;"Disqualified — Free Game",INDEX('Game Records'!$G:$G,$H258)=""),"Gross Pot; ","")&amp;IF(AND(INDEX('Game Records'!$U:$U,$H258)&lt;&gt;"Free Game",INDEX('Game Records'!$U:$U,$H258)&lt;&gt;"Disqualified — Free Game",INDEX('Game Records'!$H:$H,$H258)=""),"Entry Fee; ","")&amp;IF(AND(INDEX('Game Records'!$U:$U,$H258)&lt;&gt;"Subscription",INDEX('Game Records'!$U:$U,$H258)&lt;&gt;"Free Game",INDEX('Game Records'!$U:$U,$H258)&lt;&gt;"Disqualified — Free Game",INDEX('Game Records'!$I:$I,$H258)=""),"Eligible Players; ","")&amp;IF(AND(INDEX('Game Records'!$U:$U,$H258)&lt;&gt;"Subscription",INDEX('Game Records'!$U:$U,$H258)&lt;&gt;"Free Game",INDEX('Game Records'!$U:$U,$H258)&lt;&gt;"Disqualified — Free Game",INDEX('Game Records'!$J:$J,$H258)=""),"Total Players; ","")&amp;IF(AND(LOWER(INDEX('Game Records'!$D:$D,$H258)&amp;"")="finalized",LOWER(INDEX('Game Records'!$L:$L,$H258)&amp;"")&lt;&gt;"yes",INDEX('Game Records'!$U:$U,$H258)&lt;&gt;"Subscription",INDEX('Game Records'!$U:$U,$H258)&lt;&gt;"Free Game",INDEX('Game Records'!$U:$U,$H258)&lt;&gt;"Disqualified — Free Game",INDEX('Game Records'!$K:$K,$H258)=""),"Final Earned; ","")&amp;IF(AND(LOWER(INDEX('Game Records'!$D:$D,$H258)&amp;"")="finalized",INDEX('Game Records'!$U:$U,$H258)&lt;&gt;"Subscription",INDEX('Game Records'!$U:$U,$H258)&lt;&gt;"Free Game",INDEX('Game Records'!$U:$U,$H258)&lt;&gt;"Disqualified — Free Game",OR(INDEX('Game Records'!$L:$L,$H258)="",LOWER(INDEX('Game Records'!$L:$L,$H258)&amp;"")="n/a")),"Disqualified Status; ","")&amp;IF(AND(OR(LOWER(TRIM(INDEX('Game Records'!$F:$F,$H258)&amp;""))="free game",INDEX('Game Records'!$U:$U,$H258)="Free Game",INDEX('Game Records'!$U:$U,$H258)="Disqualified — Free Game"),N(INDEX('Game Records'!$H:$H,$H258))&lt;&gt;0),"Free Game has a non-zero Entry Fee. Free Game records require a $0 Entry Fee; ",""))</f>
        <v/>
      </c>
      <c r="G258" s="331" t="str">
        <f>IF($H258="","",IFERROR(INDEX('Game Records'!$M:$M,$H258),""))</f>
        <v/>
      </c>
      <c r="H258" s="104" t="str">
        <f>IF($H257="","",IFERROR(MATCH(1,INDEX((ROW('Game Records'!$U$5:$U$504)&gt;$H257)*(('Game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9" ht="24" customHeight="1">
      <c r="A259" s="332" t="str">
        <f>IF($H259="","",ROWS($A$5:A259))</f>
        <v/>
      </c>
      <c r="B259" s="332" t="str">
        <f>IF($H259="","","G-"&amp;TEXT($A259,"0000"))</f>
        <v/>
      </c>
      <c r="C259" s="331" t="str">
        <f>IF($H259="","",IFERROR(INDEX('Game Records'!$A:$A,$H259),""))</f>
        <v/>
      </c>
      <c r="D259" s="331" t="str">
        <f>IF($H259="","",IFERROR(INDEX('Game Records'!$U:$U,$H259),""))</f>
        <v/>
      </c>
      <c r="E259" s="331" t="str">
        <f>IF($H259="","",IF($F259="","No Highlighted Fields","Highlighted Fields Present"))</f>
        <v/>
      </c>
      <c r="F259" s="331" t="str">
        <f>IF($H259="","",IF(OR(NOT(ISFORMULA(INDEX('Game Records'!$N:$N,$H259))),NOT(ISFORMULA(INDEX('Game Records'!$O:$O,$H259))),NOT(ISFORMULA(INDEX('Game Records'!$P:$P,$H259))),NOT(ISFORMULA(INDEX('Game Records'!$Q:$Q,$H259))),NOT(ISFORMULA(INDEX('Game Records'!$R:$R,$H259))),NOT(ISFORMULA(INDEX('Game Records'!$S:$S,$H259))),NOT(ISFORMULA(INDEX('Game Records'!$T:$T,$H259))),NOT(ISFORMULA(INDEX('Game Records'!$U:$U,$H259))),NOT(ISFORMULA(INDEX('Game Records'!$V:$V,$H259))),NOT(ISFORMULA(INDEX('Game Records'!$W:$W,$H259))),NOT(ISFORMULA(INDEX('Game Records'!$X:$X,$H259))),NOT(ISFORMULA(INDEX('Game Records'!$Y:$Y,$H259))),NOT(ISFORMULA(INDEX('Game Records'!$Z:$Z,$H259)))),"Formula columns missing; ","")&amp;IF(INDEX('Game Records'!$B:$B,$H259)="","Start Date; ","")&amp;IF(INDEX('Game Records'!$C:$C,$H259)="","End Date; ","")&amp;IF(AND(INDEX('Game Records'!$U:$U,$H259)&lt;&gt;"Subscription",INDEX('Game Records'!$U:$U,$H259)&lt;&gt;"Free Game",INDEX('Game Records'!$U:$U,$H259)&lt;&gt;"Disqualified — Free Game",OR(INDEX('Game Records'!$D:$D,$H259)="",LOWER(INDEX('Game Records'!$D:$D,$H259)&amp;"")="n/a")),"Entry Mode; ","")&amp;IF(AND(INDEX('Game Records'!$U:$U,$H259)&lt;&gt;"Subscription",INDEX('Game Records'!$U:$U,$H259)&lt;&gt;"Free Game",INDEX('Game Records'!$U:$U,$H259)&lt;&gt;"Disqualified — Free Game",OR(INDEX('Game Records'!$E:$E,$H259)="",LOWER(INDEX('Game Records'!$E:$E,$H259)&amp;"")="n/a")),"Game Type; ","")&amp;IF(INDEX('Game Records'!$F:$F,$H259)="","Payment Type; ","")&amp;IF(AND(INDEX('Game Records'!$U:$U,$H259)&lt;&gt;"Subscription",INDEX('Game Records'!$U:$U,$H259)&lt;&gt;"Free Game",INDEX('Game Records'!$U:$U,$H259)&lt;&gt;"Disqualified — Free Game",INDEX('Game Records'!$G:$G,$H259)=""),"Gross Pot; ","")&amp;IF(AND(INDEX('Game Records'!$U:$U,$H259)&lt;&gt;"Free Game",INDEX('Game Records'!$U:$U,$H259)&lt;&gt;"Disqualified — Free Game",INDEX('Game Records'!$H:$H,$H259)=""),"Entry Fee; ","")&amp;IF(AND(INDEX('Game Records'!$U:$U,$H259)&lt;&gt;"Subscription",INDEX('Game Records'!$U:$U,$H259)&lt;&gt;"Free Game",INDEX('Game Records'!$U:$U,$H259)&lt;&gt;"Disqualified — Free Game",INDEX('Game Records'!$I:$I,$H259)=""),"Eligible Players; ","")&amp;IF(AND(INDEX('Game Records'!$U:$U,$H259)&lt;&gt;"Subscription",INDEX('Game Records'!$U:$U,$H259)&lt;&gt;"Free Game",INDEX('Game Records'!$U:$U,$H259)&lt;&gt;"Disqualified — Free Game",INDEX('Game Records'!$J:$J,$H259)=""),"Total Players; ","")&amp;IF(AND(LOWER(INDEX('Game Records'!$D:$D,$H259)&amp;"")="finalized",LOWER(INDEX('Game Records'!$L:$L,$H259)&amp;"")&lt;&gt;"yes",INDEX('Game Records'!$U:$U,$H259)&lt;&gt;"Subscription",INDEX('Game Records'!$U:$U,$H259)&lt;&gt;"Free Game",INDEX('Game Records'!$U:$U,$H259)&lt;&gt;"Disqualified — Free Game",INDEX('Game Records'!$K:$K,$H259)=""),"Final Earned; ","")&amp;IF(AND(LOWER(INDEX('Game Records'!$D:$D,$H259)&amp;"")="finalized",INDEX('Game Records'!$U:$U,$H259)&lt;&gt;"Subscription",INDEX('Game Records'!$U:$U,$H259)&lt;&gt;"Free Game",INDEX('Game Records'!$U:$U,$H259)&lt;&gt;"Disqualified — Free Game",OR(INDEX('Game Records'!$L:$L,$H259)="",LOWER(INDEX('Game Records'!$L:$L,$H259)&amp;"")="n/a")),"Disqualified Status; ","")&amp;IF(AND(OR(LOWER(TRIM(INDEX('Game Records'!$F:$F,$H259)&amp;""))="free game",INDEX('Game Records'!$U:$U,$H259)="Free Game",INDEX('Game Records'!$U:$U,$H259)="Disqualified — Free Game"),N(INDEX('Game Records'!$H:$H,$H259))&lt;&gt;0),"Free Game has a non-zero Entry Fee. Free Game records require a $0 Entry Fee; ",""))</f>
        <v/>
      </c>
      <c r="G259" s="331" t="str">
        <f>IF($H259="","",IFERROR(INDEX('Game Records'!$M:$M,$H259),""))</f>
        <v/>
      </c>
      <c r="H259" s="104" t="str">
        <f>IF($H258="","",IFERROR(MATCH(1,INDEX((ROW('Game Records'!$U$5:$U$504)&gt;$H258)*(('Game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0" ht="24" customHeight="1">
      <c r="A260" s="332" t="str">
        <f>IF($H260="","",ROWS($A$5:A260))</f>
        <v/>
      </c>
      <c r="B260" s="332" t="str">
        <f>IF($H260="","","G-"&amp;TEXT($A260,"0000"))</f>
        <v/>
      </c>
      <c r="C260" s="331" t="str">
        <f>IF($H260="","",IFERROR(INDEX('Game Records'!$A:$A,$H260),""))</f>
        <v/>
      </c>
      <c r="D260" s="331" t="str">
        <f>IF($H260="","",IFERROR(INDEX('Game Records'!$U:$U,$H260),""))</f>
        <v/>
      </c>
      <c r="E260" s="331" t="str">
        <f>IF($H260="","",IF($F260="","No Highlighted Fields","Highlighted Fields Present"))</f>
        <v/>
      </c>
      <c r="F260" s="331" t="str">
        <f>IF($H260="","",IF(OR(NOT(ISFORMULA(INDEX('Game Records'!$N:$N,$H260))),NOT(ISFORMULA(INDEX('Game Records'!$O:$O,$H260))),NOT(ISFORMULA(INDEX('Game Records'!$P:$P,$H260))),NOT(ISFORMULA(INDEX('Game Records'!$Q:$Q,$H260))),NOT(ISFORMULA(INDEX('Game Records'!$R:$R,$H260))),NOT(ISFORMULA(INDEX('Game Records'!$S:$S,$H260))),NOT(ISFORMULA(INDEX('Game Records'!$T:$T,$H260))),NOT(ISFORMULA(INDEX('Game Records'!$U:$U,$H260))),NOT(ISFORMULA(INDEX('Game Records'!$V:$V,$H260))),NOT(ISFORMULA(INDEX('Game Records'!$W:$W,$H260))),NOT(ISFORMULA(INDEX('Game Records'!$X:$X,$H260))),NOT(ISFORMULA(INDEX('Game Records'!$Y:$Y,$H260))),NOT(ISFORMULA(INDEX('Game Records'!$Z:$Z,$H260)))),"Formula columns missing; ","")&amp;IF(INDEX('Game Records'!$B:$B,$H260)="","Start Date; ","")&amp;IF(INDEX('Game Records'!$C:$C,$H260)="","End Date; ","")&amp;IF(AND(INDEX('Game Records'!$U:$U,$H260)&lt;&gt;"Subscription",INDEX('Game Records'!$U:$U,$H260)&lt;&gt;"Free Game",INDEX('Game Records'!$U:$U,$H260)&lt;&gt;"Disqualified — Free Game",OR(INDEX('Game Records'!$D:$D,$H260)="",LOWER(INDEX('Game Records'!$D:$D,$H260)&amp;"")="n/a")),"Entry Mode; ","")&amp;IF(AND(INDEX('Game Records'!$U:$U,$H260)&lt;&gt;"Subscription",INDEX('Game Records'!$U:$U,$H260)&lt;&gt;"Free Game",INDEX('Game Records'!$U:$U,$H260)&lt;&gt;"Disqualified — Free Game",OR(INDEX('Game Records'!$E:$E,$H260)="",LOWER(INDEX('Game Records'!$E:$E,$H260)&amp;"")="n/a")),"Game Type; ","")&amp;IF(INDEX('Game Records'!$F:$F,$H260)="","Payment Type; ","")&amp;IF(AND(INDEX('Game Records'!$U:$U,$H260)&lt;&gt;"Subscription",INDEX('Game Records'!$U:$U,$H260)&lt;&gt;"Free Game",INDEX('Game Records'!$U:$U,$H260)&lt;&gt;"Disqualified — Free Game",INDEX('Game Records'!$G:$G,$H260)=""),"Gross Pot; ","")&amp;IF(AND(INDEX('Game Records'!$U:$U,$H260)&lt;&gt;"Free Game",INDEX('Game Records'!$U:$U,$H260)&lt;&gt;"Disqualified — Free Game",INDEX('Game Records'!$H:$H,$H260)=""),"Entry Fee; ","")&amp;IF(AND(INDEX('Game Records'!$U:$U,$H260)&lt;&gt;"Subscription",INDEX('Game Records'!$U:$U,$H260)&lt;&gt;"Free Game",INDEX('Game Records'!$U:$U,$H260)&lt;&gt;"Disqualified — Free Game",INDEX('Game Records'!$I:$I,$H260)=""),"Eligible Players; ","")&amp;IF(AND(INDEX('Game Records'!$U:$U,$H260)&lt;&gt;"Subscription",INDEX('Game Records'!$U:$U,$H260)&lt;&gt;"Free Game",INDEX('Game Records'!$U:$U,$H260)&lt;&gt;"Disqualified — Free Game",INDEX('Game Records'!$J:$J,$H260)=""),"Total Players; ","")&amp;IF(AND(LOWER(INDEX('Game Records'!$D:$D,$H260)&amp;"")="finalized",LOWER(INDEX('Game Records'!$L:$L,$H260)&amp;"")&lt;&gt;"yes",INDEX('Game Records'!$U:$U,$H260)&lt;&gt;"Subscription",INDEX('Game Records'!$U:$U,$H260)&lt;&gt;"Free Game",INDEX('Game Records'!$U:$U,$H260)&lt;&gt;"Disqualified — Free Game",INDEX('Game Records'!$K:$K,$H260)=""),"Final Earned; ","")&amp;IF(AND(LOWER(INDEX('Game Records'!$D:$D,$H260)&amp;"")="finalized",INDEX('Game Records'!$U:$U,$H260)&lt;&gt;"Subscription",INDEX('Game Records'!$U:$U,$H260)&lt;&gt;"Free Game",INDEX('Game Records'!$U:$U,$H260)&lt;&gt;"Disqualified — Free Game",OR(INDEX('Game Records'!$L:$L,$H260)="",LOWER(INDEX('Game Records'!$L:$L,$H260)&amp;"")="n/a")),"Disqualified Status; ","")&amp;IF(AND(OR(LOWER(TRIM(INDEX('Game Records'!$F:$F,$H260)&amp;""))="free game",INDEX('Game Records'!$U:$U,$H260)="Free Game",INDEX('Game Records'!$U:$U,$H260)="Disqualified — Free Game"),N(INDEX('Game Records'!$H:$H,$H260))&lt;&gt;0),"Free Game has a non-zero Entry Fee. Free Game records require a $0 Entry Fee; ",""))</f>
        <v/>
      </c>
      <c r="G260" s="331" t="str">
        <f>IF($H260="","",IFERROR(INDEX('Game Records'!$M:$M,$H260),""))</f>
        <v/>
      </c>
      <c r="H260" s="104" t="str">
        <f>IF($H259="","",IFERROR(MATCH(1,INDEX((ROW('Game Records'!$U$5:$U$504)&gt;$H259)*(('Game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1" ht="24" customHeight="1">
      <c r="A261" s="332" t="str">
        <f>IF($H261="","",ROWS($A$5:A261))</f>
        <v/>
      </c>
      <c r="B261" s="332" t="str">
        <f>IF($H261="","","G-"&amp;TEXT($A261,"0000"))</f>
        <v/>
      </c>
      <c r="C261" s="331" t="str">
        <f>IF($H261="","",IFERROR(INDEX('Game Records'!$A:$A,$H261),""))</f>
        <v/>
      </c>
      <c r="D261" s="331" t="str">
        <f>IF($H261="","",IFERROR(INDEX('Game Records'!$U:$U,$H261),""))</f>
        <v/>
      </c>
      <c r="E261" s="331" t="str">
        <f>IF($H261="","",IF($F261="","No Highlighted Fields","Highlighted Fields Present"))</f>
        <v/>
      </c>
      <c r="F261" s="331" t="str">
        <f>IF($H261="","",IF(OR(NOT(ISFORMULA(INDEX('Game Records'!$N:$N,$H261))),NOT(ISFORMULA(INDEX('Game Records'!$O:$O,$H261))),NOT(ISFORMULA(INDEX('Game Records'!$P:$P,$H261))),NOT(ISFORMULA(INDEX('Game Records'!$Q:$Q,$H261))),NOT(ISFORMULA(INDEX('Game Records'!$R:$R,$H261))),NOT(ISFORMULA(INDEX('Game Records'!$S:$S,$H261))),NOT(ISFORMULA(INDEX('Game Records'!$T:$T,$H261))),NOT(ISFORMULA(INDEX('Game Records'!$U:$U,$H261))),NOT(ISFORMULA(INDEX('Game Records'!$V:$V,$H261))),NOT(ISFORMULA(INDEX('Game Records'!$W:$W,$H261))),NOT(ISFORMULA(INDEX('Game Records'!$X:$X,$H261))),NOT(ISFORMULA(INDEX('Game Records'!$Y:$Y,$H261))),NOT(ISFORMULA(INDEX('Game Records'!$Z:$Z,$H261)))),"Formula columns missing; ","")&amp;IF(INDEX('Game Records'!$B:$B,$H261)="","Start Date; ","")&amp;IF(INDEX('Game Records'!$C:$C,$H261)="","End Date; ","")&amp;IF(AND(INDEX('Game Records'!$U:$U,$H261)&lt;&gt;"Subscription",INDEX('Game Records'!$U:$U,$H261)&lt;&gt;"Free Game",INDEX('Game Records'!$U:$U,$H261)&lt;&gt;"Disqualified — Free Game",OR(INDEX('Game Records'!$D:$D,$H261)="",LOWER(INDEX('Game Records'!$D:$D,$H261)&amp;"")="n/a")),"Entry Mode; ","")&amp;IF(AND(INDEX('Game Records'!$U:$U,$H261)&lt;&gt;"Subscription",INDEX('Game Records'!$U:$U,$H261)&lt;&gt;"Free Game",INDEX('Game Records'!$U:$U,$H261)&lt;&gt;"Disqualified — Free Game",OR(INDEX('Game Records'!$E:$E,$H261)="",LOWER(INDEX('Game Records'!$E:$E,$H261)&amp;"")="n/a")),"Game Type; ","")&amp;IF(INDEX('Game Records'!$F:$F,$H261)="","Payment Type; ","")&amp;IF(AND(INDEX('Game Records'!$U:$U,$H261)&lt;&gt;"Subscription",INDEX('Game Records'!$U:$U,$H261)&lt;&gt;"Free Game",INDEX('Game Records'!$U:$U,$H261)&lt;&gt;"Disqualified — Free Game",INDEX('Game Records'!$G:$G,$H261)=""),"Gross Pot; ","")&amp;IF(AND(INDEX('Game Records'!$U:$U,$H261)&lt;&gt;"Free Game",INDEX('Game Records'!$U:$U,$H261)&lt;&gt;"Disqualified — Free Game",INDEX('Game Records'!$H:$H,$H261)=""),"Entry Fee; ","")&amp;IF(AND(INDEX('Game Records'!$U:$U,$H261)&lt;&gt;"Subscription",INDEX('Game Records'!$U:$U,$H261)&lt;&gt;"Free Game",INDEX('Game Records'!$U:$U,$H261)&lt;&gt;"Disqualified — Free Game",INDEX('Game Records'!$I:$I,$H261)=""),"Eligible Players; ","")&amp;IF(AND(INDEX('Game Records'!$U:$U,$H261)&lt;&gt;"Subscription",INDEX('Game Records'!$U:$U,$H261)&lt;&gt;"Free Game",INDEX('Game Records'!$U:$U,$H261)&lt;&gt;"Disqualified — Free Game",INDEX('Game Records'!$J:$J,$H261)=""),"Total Players; ","")&amp;IF(AND(LOWER(INDEX('Game Records'!$D:$D,$H261)&amp;"")="finalized",LOWER(INDEX('Game Records'!$L:$L,$H261)&amp;"")&lt;&gt;"yes",INDEX('Game Records'!$U:$U,$H261)&lt;&gt;"Subscription",INDEX('Game Records'!$U:$U,$H261)&lt;&gt;"Free Game",INDEX('Game Records'!$U:$U,$H261)&lt;&gt;"Disqualified — Free Game",INDEX('Game Records'!$K:$K,$H261)=""),"Final Earned; ","")&amp;IF(AND(LOWER(INDEX('Game Records'!$D:$D,$H261)&amp;"")="finalized",INDEX('Game Records'!$U:$U,$H261)&lt;&gt;"Subscription",INDEX('Game Records'!$U:$U,$H261)&lt;&gt;"Free Game",INDEX('Game Records'!$U:$U,$H261)&lt;&gt;"Disqualified — Free Game",OR(INDEX('Game Records'!$L:$L,$H261)="",LOWER(INDEX('Game Records'!$L:$L,$H261)&amp;"")="n/a")),"Disqualified Status; ","")&amp;IF(AND(OR(LOWER(TRIM(INDEX('Game Records'!$F:$F,$H261)&amp;""))="free game",INDEX('Game Records'!$U:$U,$H261)="Free Game",INDEX('Game Records'!$U:$U,$H261)="Disqualified — Free Game"),N(INDEX('Game Records'!$H:$H,$H261))&lt;&gt;0),"Free Game has a non-zero Entry Fee. Free Game records require a $0 Entry Fee; ",""))</f>
        <v/>
      </c>
      <c r="G261" s="331" t="str">
        <f>IF($H261="","",IFERROR(INDEX('Game Records'!$M:$M,$H261),""))</f>
        <v/>
      </c>
      <c r="H261" s="104" t="str">
        <f>IF($H260="","",IFERROR(MATCH(1,INDEX((ROW('Game Records'!$U$5:$U$504)&gt;$H260)*(('Game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2" ht="24" customHeight="1">
      <c r="A262" s="332" t="str">
        <f>IF($H262="","",ROWS($A$5:A262))</f>
        <v/>
      </c>
      <c r="B262" s="332" t="str">
        <f>IF($H262="","","G-"&amp;TEXT($A262,"0000"))</f>
        <v/>
      </c>
      <c r="C262" s="331" t="str">
        <f>IF($H262="","",IFERROR(INDEX('Game Records'!$A:$A,$H262),""))</f>
        <v/>
      </c>
      <c r="D262" s="331" t="str">
        <f>IF($H262="","",IFERROR(INDEX('Game Records'!$U:$U,$H262),""))</f>
        <v/>
      </c>
      <c r="E262" s="331" t="str">
        <f>IF($H262="","",IF($F262="","No Highlighted Fields","Highlighted Fields Present"))</f>
        <v/>
      </c>
      <c r="F262" s="331" t="str">
        <f>IF($H262="","",IF(OR(NOT(ISFORMULA(INDEX('Game Records'!$N:$N,$H262))),NOT(ISFORMULA(INDEX('Game Records'!$O:$O,$H262))),NOT(ISFORMULA(INDEX('Game Records'!$P:$P,$H262))),NOT(ISFORMULA(INDEX('Game Records'!$Q:$Q,$H262))),NOT(ISFORMULA(INDEX('Game Records'!$R:$R,$H262))),NOT(ISFORMULA(INDEX('Game Records'!$S:$S,$H262))),NOT(ISFORMULA(INDEX('Game Records'!$T:$T,$H262))),NOT(ISFORMULA(INDEX('Game Records'!$U:$U,$H262))),NOT(ISFORMULA(INDEX('Game Records'!$V:$V,$H262))),NOT(ISFORMULA(INDEX('Game Records'!$W:$W,$H262))),NOT(ISFORMULA(INDEX('Game Records'!$X:$X,$H262))),NOT(ISFORMULA(INDEX('Game Records'!$Y:$Y,$H262))),NOT(ISFORMULA(INDEX('Game Records'!$Z:$Z,$H262)))),"Formula columns missing; ","")&amp;IF(INDEX('Game Records'!$B:$B,$H262)="","Start Date; ","")&amp;IF(INDEX('Game Records'!$C:$C,$H262)="","End Date; ","")&amp;IF(AND(INDEX('Game Records'!$U:$U,$H262)&lt;&gt;"Subscription",INDEX('Game Records'!$U:$U,$H262)&lt;&gt;"Free Game",INDEX('Game Records'!$U:$U,$H262)&lt;&gt;"Disqualified — Free Game",OR(INDEX('Game Records'!$D:$D,$H262)="",LOWER(INDEX('Game Records'!$D:$D,$H262)&amp;"")="n/a")),"Entry Mode; ","")&amp;IF(AND(INDEX('Game Records'!$U:$U,$H262)&lt;&gt;"Subscription",INDEX('Game Records'!$U:$U,$H262)&lt;&gt;"Free Game",INDEX('Game Records'!$U:$U,$H262)&lt;&gt;"Disqualified — Free Game",OR(INDEX('Game Records'!$E:$E,$H262)="",LOWER(INDEX('Game Records'!$E:$E,$H262)&amp;"")="n/a")),"Game Type; ","")&amp;IF(INDEX('Game Records'!$F:$F,$H262)="","Payment Type; ","")&amp;IF(AND(INDEX('Game Records'!$U:$U,$H262)&lt;&gt;"Subscription",INDEX('Game Records'!$U:$U,$H262)&lt;&gt;"Free Game",INDEX('Game Records'!$U:$U,$H262)&lt;&gt;"Disqualified — Free Game",INDEX('Game Records'!$G:$G,$H262)=""),"Gross Pot; ","")&amp;IF(AND(INDEX('Game Records'!$U:$U,$H262)&lt;&gt;"Free Game",INDEX('Game Records'!$U:$U,$H262)&lt;&gt;"Disqualified — Free Game",INDEX('Game Records'!$H:$H,$H262)=""),"Entry Fee; ","")&amp;IF(AND(INDEX('Game Records'!$U:$U,$H262)&lt;&gt;"Subscription",INDEX('Game Records'!$U:$U,$H262)&lt;&gt;"Free Game",INDEX('Game Records'!$U:$U,$H262)&lt;&gt;"Disqualified — Free Game",INDEX('Game Records'!$I:$I,$H262)=""),"Eligible Players; ","")&amp;IF(AND(INDEX('Game Records'!$U:$U,$H262)&lt;&gt;"Subscription",INDEX('Game Records'!$U:$U,$H262)&lt;&gt;"Free Game",INDEX('Game Records'!$U:$U,$H262)&lt;&gt;"Disqualified — Free Game",INDEX('Game Records'!$J:$J,$H262)=""),"Total Players; ","")&amp;IF(AND(LOWER(INDEX('Game Records'!$D:$D,$H262)&amp;"")="finalized",LOWER(INDEX('Game Records'!$L:$L,$H262)&amp;"")&lt;&gt;"yes",INDEX('Game Records'!$U:$U,$H262)&lt;&gt;"Subscription",INDEX('Game Records'!$U:$U,$H262)&lt;&gt;"Free Game",INDEX('Game Records'!$U:$U,$H262)&lt;&gt;"Disqualified — Free Game",INDEX('Game Records'!$K:$K,$H262)=""),"Final Earned; ","")&amp;IF(AND(LOWER(INDEX('Game Records'!$D:$D,$H262)&amp;"")="finalized",INDEX('Game Records'!$U:$U,$H262)&lt;&gt;"Subscription",INDEX('Game Records'!$U:$U,$H262)&lt;&gt;"Free Game",INDEX('Game Records'!$U:$U,$H262)&lt;&gt;"Disqualified — Free Game",OR(INDEX('Game Records'!$L:$L,$H262)="",LOWER(INDEX('Game Records'!$L:$L,$H262)&amp;"")="n/a")),"Disqualified Status; ","")&amp;IF(AND(OR(LOWER(TRIM(INDEX('Game Records'!$F:$F,$H262)&amp;""))="free game",INDEX('Game Records'!$U:$U,$H262)="Free Game",INDEX('Game Records'!$U:$U,$H262)="Disqualified — Free Game"),N(INDEX('Game Records'!$H:$H,$H262))&lt;&gt;0),"Free Game has a non-zero Entry Fee. Free Game records require a $0 Entry Fee; ",""))</f>
        <v/>
      </c>
      <c r="G262" s="331" t="str">
        <f>IF($H262="","",IFERROR(INDEX('Game Records'!$M:$M,$H262),""))</f>
        <v/>
      </c>
      <c r="H262" s="104" t="str">
        <f>IF($H261="","",IFERROR(MATCH(1,INDEX((ROW('Game Records'!$U$5:$U$504)&gt;$H261)*(('Game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3" ht="24" customHeight="1">
      <c r="A263" s="332" t="str">
        <f>IF($H263="","",ROWS($A$5:A263))</f>
        <v/>
      </c>
      <c r="B263" s="332" t="str">
        <f>IF($H263="","","G-"&amp;TEXT($A263,"0000"))</f>
        <v/>
      </c>
      <c r="C263" s="331" t="str">
        <f>IF($H263="","",IFERROR(INDEX('Game Records'!$A:$A,$H263),""))</f>
        <v/>
      </c>
      <c r="D263" s="331" t="str">
        <f>IF($H263="","",IFERROR(INDEX('Game Records'!$U:$U,$H263),""))</f>
        <v/>
      </c>
      <c r="E263" s="331" t="str">
        <f>IF($H263="","",IF($F263="","No Highlighted Fields","Highlighted Fields Present"))</f>
        <v/>
      </c>
      <c r="F263" s="331" t="str">
        <f>IF($H263="","",IF(OR(NOT(ISFORMULA(INDEX('Game Records'!$N:$N,$H263))),NOT(ISFORMULA(INDEX('Game Records'!$O:$O,$H263))),NOT(ISFORMULA(INDEX('Game Records'!$P:$P,$H263))),NOT(ISFORMULA(INDEX('Game Records'!$Q:$Q,$H263))),NOT(ISFORMULA(INDEX('Game Records'!$R:$R,$H263))),NOT(ISFORMULA(INDEX('Game Records'!$S:$S,$H263))),NOT(ISFORMULA(INDEX('Game Records'!$T:$T,$H263))),NOT(ISFORMULA(INDEX('Game Records'!$U:$U,$H263))),NOT(ISFORMULA(INDEX('Game Records'!$V:$V,$H263))),NOT(ISFORMULA(INDEX('Game Records'!$W:$W,$H263))),NOT(ISFORMULA(INDEX('Game Records'!$X:$X,$H263))),NOT(ISFORMULA(INDEX('Game Records'!$Y:$Y,$H263))),NOT(ISFORMULA(INDEX('Game Records'!$Z:$Z,$H263)))),"Formula columns missing; ","")&amp;IF(INDEX('Game Records'!$B:$B,$H263)="","Start Date; ","")&amp;IF(INDEX('Game Records'!$C:$C,$H263)="","End Date; ","")&amp;IF(AND(INDEX('Game Records'!$U:$U,$H263)&lt;&gt;"Subscription",INDEX('Game Records'!$U:$U,$H263)&lt;&gt;"Free Game",INDEX('Game Records'!$U:$U,$H263)&lt;&gt;"Disqualified — Free Game",OR(INDEX('Game Records'!$D:$D,$H263)="",LOWER(INDEX('Game Records'!$D:$D,$H263)&amp;"")="n/a")),"Entry Mode; ","")&amp;IF(AND(INDEX('Game Records'!$U:$U,$H263)&lt;&gt;"Subscription",INDEX('Game Records'!$U:$U,$H263)&lt;&gt;"Free Game",INDEX('Game Records'!$U:$U,$H263)&lt;&gt;"Disqualified — Free Game",OR(INDEX('Game Records'!$E:$E,$H263)="",LOWER(INDEX('Game Records'!$E:$E,$H263)&amp;"")="n/a")),"Game Type; ","")&amp;IF(INDEX('Game Records'!$F:$F,$H263)="","Payment Type; ","")&amp;IF(AND(INDEX('Game Records'!$U:$U,$H263)&lt;&gt;"Subscription",INDEX('Game Records'!$U:$U,$H263)&lt;&gt;"Free Game",INDEX('Game Records'!$U:$U,$H263)&lt;&gt;"Disqualified — Free Game",INDEX('Game Records'!$G:$G,$H263)=""),"Gross Pot; ","")&amp;IF(AND(INDEX('Game Records'!$U:$U,$H263)&lt;&gt;"Free Game",INDEX('Game Records'!$U:$U,$H263)&lt;&gt;"Disqualified — Free Game",INDEX('Game Records'!$H:$H,$H263)=""),"Entry Fee; ","")&amp;IF(AND(INDEX('Game Records'!$U:$U,$H263)&lt;&gt;"Subscription",INDEX('Game Records'!$U:$U,$H263)&lt;&gt;"Free Game",INDEX('Game Records'!$U:$U,$H263)&lt;&gt;"Disqualified — Free Game",INDEX('Game Records'!$I:$I,$H263)=""),"Eligible Players; ","")&amp;IF(AND(INDEX('Game Records'!$U:$U,$H263)&lt;&gt;"Subscription",INDEX('Game Records'!$U:$U,$H263)&lt;&gt;"Free Game",INDEX('Game Records'!$U:$U,$H263)&lt;&gt;"Disqualified — Free Game",INDEX('Game Records'!$J:$J,$H263)=""),"Total Players; ","")&amp;IF(AND(LOWER(INDEX('Game Records'!$D:$D,$H263)&amp;"")="finalized",LOWER(INDEX('Game Records'!$L:$L,$H263)&amp;"")&lt;&gt;"yes",INDEX('Game Records'!$U:$U,$H263)&lt;&gt;"Subscription",INDEX('Game Records'!$U:$U,$H263)&lt;&gt;"Free Game",INDEX('Game Records'!$U:$U,$H263)&lt;&gt;"Disqualified — Free Game",INDEX('Game Records'!$K:$K,$H263)=""),"Final Earned; ","")&amp;IF(AND(LOWER(INDEX('Game Records'!$D:$D,$H263)&amp;"")="finalized",INDEX('Game Records'!$U:$U,$H263)&lt;&gt;"Subscription",INDEX('Game Records'!$U:$U,$H263)&lt;&gt;"Free Game",INDEX('Game Records'!$U:$U,$H263)&lt;&gt;"Disqualified — Free Game",OR(INDEX('Game Records'!$L:$L,$H263)="",LOWER(INDEX('Game Records'!$L:$L,$H263)&amp;"")="n/a")),"Disqualified Status; ","")&amp;IF(AND(OR(LOWER(TRIM(INDEX('Game Records'!$F:$F,$H263)&amp;""))="free game",INDEX('Game Records'!$U:$U,$H263)="Free Game",INDEX('Game Records'!$U:$U,$H263)="Disqualified — Free Game"),N(INDEX('Game Records'!$H:$H,$H263))&lt;&gt;0),"Free Game has a non-zero Entry Fee. Free Game records require a $0 Entry Fee; ",""))</f>
        <v/>
      </c>
      <c r="G263" s="331" t="str">
        <f>IF($H263="","",IFERROR(INDEX('Game Records'!$M:$M,$H263),""))</f>
        <v/>
      </c>
      <c r="H263" s="104" t="str">
        <f>IF($H262="","",IFERROR(MATCH(1,INDEX((ROW('Game Records'!$U$5:$U$504)&gt;$H262)*(('Game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4" ht="24" customHeight="1">
      <c r="A264" s="332" t="str">
        <f>IF($H264="","",ROWS($A$5:A264))</f>
        <v/>
      </c>
      <c r="B264" s="332" t="str">
        <f>IF($H264="","","G-"&amp;TEXT($A264,"0000"))</f>
        <v/>
      </c>
      <c r="C264" s="331" t="str">
        <f>IF($H264="","",IFERROR(INDEX('Game Records'!$A:$A,$H264),""))</f>
        <v/>
      </c>
      <c r="D264" s="331" t="str">
        <f>IF($H264="","",IFERROR(INDEX('Game Records'!$U:$U,$H264),""))</f>
        <v/>
      </c>
      <c r="E264" s="331" t="str">
        <f>IF($H264="","",IF($F264="","No Highlighted Fields","Highlighted Fields Present"))</f>
        <v/>
      </c>
      <c r="F264" s="331" t="str">
        <f>IF($H264="","",IF(OR(NOT(ISFORMULA(INDEX('Game Records'!$N:$N,$H264))),NOT(ISFORMULA(INDEX('Game Records'!$O:$O,$H264))),NOT(ISFORMULA(INDEX('Game Records'!$P:$P,$H264))),NOT(ISFORMULA(INDEX('Game Records'!$Q:$Q,$H264))),NOT(ISFORMULA(INDEX('Game Records'!$R:$R,$H264))),NOT(ISFORMULA(INDEX('Game Records'!$S:$S,$H264))),NOT(ISFORMULA(INDEX('Game Records'!$T:$T,$H264))),NOT(ISFORMULA(INDEX('Game Records'!$U:$U,$H264))),NOT(ISFORMULA(INDEX('Game Records'!$V:$V,$H264))),NOT(ISFORMULA(INDEX('Game Records'!$W:$W,$H264))),NOT(ISFORMULA(INDEX('Game Records'!$X:$X,$H264))),NOT(ISFORMULA(INDEX('Game Records'!$Y:$Y,$H264))),NOT(ISFORMULA(INDEX('Game Records'!$Z:$Z,$H264)))),"Formula columns missing; ","")&amp;IF(INDEX('Game Records'!$B:$B,$H264)="","Start Date; ","")&amp;IF(INDEX('Game Records'!$C:$C,$H264)="","End Date; ","")&amp;IF(AND(INDEX('Game Records'!$U:$U,$H264)&lt;&gt;"Subscription",INDEX('Game Records'!$U:$U,$H264)&lt;&gt;"Free Game",INDEX('Game Records'!$U:$U,$H264)&lt;&gt;"Disqualified — Free Game",OR(INDEX('Game Records'!$D:$D,$H264)="",LOWER(INDEX('Game Records'!$D:$D,$H264)&amp;"")="n/a")),"Entry Mode; ","")&amp;IF(AND(INDEX('Game Records'!$U:$U,$H264)&lt;&gt;"Subscription",INDEX('Game Records'!$U:$U,$H264)&lt;&gt;"Free Game",INDEX('Game Records'!$U:$U,$H264)&lt;&gt;"Disqualified — Free Game",OR(INDEX('Game Records'!$E:$E,$H264)="",LOWER(INDEX('Game Records'!$E:$E,$H264)&amp;"")="n/a")),"Game Type; ","")&amp;IF(INDEX('Game Records'!$F:$F,$H264)="","Payment Type; ","")&amp;IF(AND(INDEX('Game Records'!$U:$U,$H264)&lt;&gt;"Subscription",INDEX('Game Records'!$U:$U,$H264)&lt;&gt;"Free Game",INDEX('Game Records'!$U:$U,$H264)&lt;&gt;"Disqualified — Free Game",INDEX('Game Records'!$G:$G,$H264)=""),"Gross Pot; ","")&amp;IF(AND(INDEX('Game Records'!$U:$U,$H264)&lt;&gt;"Free Game",INDEX('Game Records'!$U:$U,$H264)&lt;&gt;"Disqualified — Free Game",INDEX('Game Records'!$H:$H,$H264)=""),"Entry Fee; ","")&amp;IF(AND(INDEX('Game Records'!$U:$U,$H264)&lt;&gt;"Subscription",INDEX('Game Records'!$U:$U,$H264)&lt;&gt;"Free Game",INDEX('Game Records'!$U:$U,$H264)&lt;&gt;"Disqualified — Free Game",INDEX('Game Records'!$I:$I,$H264)=""),"Eligible Players; ","")&amp;IF(AND(INDEX('Game Records'!$U:$U,$H264)&lt;&gt;"Subscription",INDEX('Game Records'!$U:$U,$H264)&lt;&gt;"Free Game",INDEX('Game Records'!$U:$U,$H264)&lt;&gt;"Disqualified — Free Game",INDEX('Game Records'!$J:$J,$H264)=""),"Total Players; ","")&amp;IF(AND(LOWER(INDEX('Game Records'!$D:$D,$H264)&amp;"")="finalized",LOWER(INDEX('Game Records'!$L:$L,$H264)&amp;"")&lt;&gt;"yes",INDEX('Game Records'!$U:$U,$H264)&lt;&gt;"Subscription",INDEX('Game Records'!$U:$U,$H264)&lt;&gt;"Free Game",INDEX('Game Records'!$U:$U,$H264)&lt;&gt;"Disqualified — Free Game",INDEX('Game Records'!$K:$K,$H264)=""),"Final Earned; ","")&amp;IF(AND(LOWER(INDEX('Game Records'!$D:$D,$H264)&amp;"")="finalized",INDEX('Game Records'!$U:$U,$H264)&lt;&gt;"Subscription",INDEX('Game Records'!$U:$U,$H264)&lt;&gt;"Free Game",INDEX('Game Records'!$U:$U,$H264)&lt;&gt;"Disqualified — Free Game",OR(INDEX('Game Records'!$L:$L,$H264)="",LOWER(INDEX('Game Records'!$L:$L,$H264)&amp;"")="n/a")),"Disqualified Status; ","")&amp;IF(AND(OR(LOWER(TRIM(INDEX('Game Records'!$F:$F,$H264)&amp;""))="free game",INDEX('Game Records'!$U:$U,$H264)="Free Game",INDEX('Game Records'!$U:$U,$H264)="Disqualified — Free Game"),N(INDEX('Game Records'!$H:$H,$H264))&lt;&gt;0),"Free Game has a non-zero Entry Fee. Free Game records require a $0 Entry Fee; ",""))</f>
        <v/>
      </c>
      <c r="G264" s="331" t="str">
        <f>IF($H264="","",IFERROR(INDEX('Game Records'!$M:$M,$H264),""))</f>
        <v/>
      </c>
      <c r="H264" s="104" t="str">
        <f>IF($H263="","",IFERROR(MATCH(1,INDEX((ROW('Game Records'!$U$5:$U$504)&gt;$H263)*(('Game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5" ht="24" customHeight="1">
      <c r="A265" s="332" t="str">
        <f>IF($H265="","",ROWS($A$5:A265))</f>
        <v/>
      </c>
      <c r="B265" s="332" t="str">
        <f>IF($H265="","","G-"&amp;TEXT($A265,"0000"))</f>
        <v/>
      </c>
      <c r="C265" s="331" t="str">
        <f>IF($H265="","",IFERROR(INDEX('Game Records'!$A:$A,$H265),""))</f>
        <v/>
      </c>
      <c r="D265" s="331" t="str">
        <f>IF($H265="","",IFERROR(INDEX('Game Records'!$U:$U,$H265),""))</f>
        <v/>
      </c>
      <c r="E265" s="331" t="str">
        <f>IF($H265="","",IF($F265="","No Highlighted Fields","Highlighted Fields Present"))</f>
        <v/>
      </c>
      <c r="F265" s="331" t="str">
        <f>IF($H265="","",IF(OR(NOT(ISFORMULA(INDEX('Game Records'!$N:$N,$H265))),NOT(ISFORMULA(INDEX('Game Records'!$O:$O,$H265))),NOT(ISFORMULA(INDEX('Game Records'!$P:$P,$H265))),NOT(ISFORMULA(INDEX('Game Records'!$Q:$Q,$H265))),NOT(ISFORMULA(INDEX('Game Records'!$R:$R,$H265))),NOT(ISFORMULA(INDEX('Game Records'!$S:$S,$H265))),NOT(ISFORMULA(INDEX('Game Records'!$T:$T,$H265))),NOT(ISFORMULA(INDEX('Game Records'!$U:$U,$H265))),NOT(ISFORMULA(INDEX('Game Records'!$V:$V,$H265))),NOT(ISFORMULA(INDEX('Game Records'!$W:$W,$H265))),NOT(ISFORMULA(INDEX('Game Records'!$X:$X,$H265))),NOT(ISFORMULA(INDEX('Game Records'!$Y:$Y,$H265))),NOT(ISFORMULA(INDEX('Game Records'!$Z:$Z,$H265)))),"Formula columns missing; ","")&amp;IF(INDEX('Game Records'!$B:$B,$H265)="","Start Date; ","")&amp;IF(INDEX('Game Records'!$C:$C,$H265)="","End Date; ","")&amp;IF(AND(INDEX('Game Records'!$U:$U,$H265)&lt;&gt;"Subscription",INDEX('Game Records'!$U:$U,$H265)&lt;&gt;"Free Game",INDEX('Game Records'!$U:$U,$H265)&lt;&gt;"Disqualified — Free Game",OR(INDEX('Game Records'!$D:$D,$H265)="",LOWER(INDEX('Game Records'!$D:$D,$H265)&amp;"")="n/a")),"Entry Mode; ","")&amp;IF(AND(INDEX('Game Records'!$U:$U,$H265)&lt;&gt;"Subscription",INDEX('Game Records'!$U:$U,$H265)&lt;&gt;"Free Game",INDEX('Game Records'!$U:$U,$H265)&lt;&gt;"Disqualified — Free Game",OR(INDEX('Game Records'!$E:$E,$H265)="",LOWER(INDEX('Game Records'!$E:$E,$H265)&amp;"")="n/a")),"Game Type; ","")&amp;IF(INDEX('Game Records'!$F:$F,$H265)="","Payment Type; ","")&amp;IF(AND(INDEX('Game Records'!$U:$U,$H265)&lt;&gt;"Subscription",INDEX('Game Records'!$U:$U,$H265)&lt;&gt;"Free Game",INDEX('Game Records'!$U:$U,$H265)&lt;&gt;"Disqualified — Free Game",INDEX('Game Records'!$G:$G,$H265)=""),"Gross Pot; ","")&amp;IF(AND(INDEX('Game Records'!$U:$U,$H265)&lt;&gt;"Free Game",INDEX('Game Records'!$U:$U,$H265)&lt;&gt;"Disqualified — Free Game",INDEX('Game Records'!$H:$H,$H265)=""),"Entry Fee; ","")&amp;IF(AND(INDEX('Game Records'!$U:$U,$H265)&lt;&gt;"Subscription",INDEX('Game Records'!$U:$U,$H265)&lt;&gt;"Free Game",INDEX('Game Records'!$U:$U,$H265)&lt;&gt;"Disqualified — Free Game",INDEX('Game Records'!$I:$I,$H265)=""),"Eligible Players; ","")&amp;IF(AND(INDEX('Game Records'!$U:$U,$H265)&lt;&gt;"Subscription",INDEX('Game Records'!$U:$U,$H265)&lt;&gt;"Free Game",INDEX('Game Records'!$U:$U,$H265)&lt;&gt;"Disqualified — Free Game",INDEX('Game Records'!$J:$J,$H265)=""),"Total Players; ","")&amp;IF(AND(LOWER(INDEX('Game Records'!$D:$D,$H265)&amp;"")="finalized",LOWER(INDEX('Game Records'!$L:$L,$H265)&amp;"")&lt;&gt;"yes",INDEX('Game Records'!$U:$U,$H265)&lt;&gt;"Subscription",INDEX('Game Records'!$U:$U,$H265)&lt;&gt;"Free Game",INDEX('Game Records'!$U:$U,$H265)&lt;&gt;"Disqualified — Free Game",INDEX('Game Records'!$K:$K,$H265)=""),"Final Earned; ","")&amp;IF(AND(LOWER(INDEX('Game Records'!$D:$D,$H265)&amp;"")="finalized",INDEX('Game Records'!$U:$U,$H265)&lt;&gt;"Subscription",INDEX('Game Records'!$U:$U,$H265)&lt;&gt;"Free Game",INDEX('Game Records'!$U:$U,$H265)&lt;&gt;"Disqualified — Free Game",OR(INDEX('Game Records'!$L:$L,$H265)="",LOWER(INDEX('Game Records'!$L:$L,$H265)&amp;"")="n/a")),"Disqualified Status; ","")&amp;IF(AND(OR(LOWER(TRIM(INDEX('Game Records'!$F:$F,$H265)&amp;""))="free game",INDEX('Game Records'!$U:$U,$H265)="Free Game",INDEX('Game Records'!$U:$U,$H265)="Disqualified — Free Game"),N(INDEX('Game Records'!$H:$H,$H265))&lt;&gt;0),"Free Game has a non-zero Entry Fee. Free Game records require a $0 Entry Fee; ",""))</f>
        <v/>
      </c>
      <c r="G265" s="331" t="str">
        <f>IF($H265="","",IFERROR(INDEX('Game Records'!$M:$M,$H265),""))</f>
        <v/>
      </c>
      <c r="H265" s="104" t="str">
        <f>IF($H264="","",IFERROR(MATCH(1,INDEX((ROW('Game Records'!$U$5:$U$504)&gt;$H264)*(('Game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6" ht="24" customHeight="1">
      <c r="A266" s="332" t="str">
        <f>IF($H266="","",ROWS($A$5:A266))</f>
        <v/>
      </c>
      <c r="B266" s="332" t="str">
        <f>IF($H266="","","G-"&amp;TEXT($A266,"0000"))</f>
        <v/>
      </c>
      <c r="C266" s="331" t="str">
        <f>IF($H266="","",IFERROR(INDEX('Game Records'!$A:$A,$H266),""))</f>
        <v/>
      </c>
      <c r="D266" s="331" t="str">
        <f>IF($H266="","",IFERROR(INDEX('Game Records'!$U:$U,$H266),""))</f>
        <v/>
      </c>
      <c r="E266" s="331" t="str">
        <f>IF($H266="","",IF($F266="","No Highlighted Fields","Highlighted Fields Present"))</f>
        <v/>
      </c>
      <c r="F266" s="331" t="str">
        <f>IF($H266="","",IF(OR(NOT(ISFORMULA(INDEX('Game Records'!$N:$N,$H266))),NOT(ISFORMULA(INDEX('Game Records'!$O:$O,$H266))),NOT(ISFORMULA(INDEX('Game Records'!$P:$P,$H266))),NOT(ISFORMULA(INDEX('Game Records'!$Q:$Q,$H266))),NOT(ISFORMULA(INDEX('Game Records'!$R:$R,$H266))),NOT(ISFORMULA(INDEX('Game Records'!$S:$S,$H266))),NOT(ISFORMULA(INDEX('Game Records'!$T:$T,$H266))),NOT(ISFORMULA(INDEX('Game Records'!$U:$U,$H266))),NOT(ISFORMULA(INDEX('Game Records'!$V:$V,$H266))),NOT(ISFORMULA(INDEX('Game Records'!$W:$W,$H266))),NOT(ISFORMULA(INDEX('Game Records'!$X:$X,$H266))),NOT(ISFORMULA(INDEX('Game Records'!$Y:$Y,$H266))),NOT(ISFORMULA(INDEX('Game Records'!$Z:$Z,$H266)))),"Formula columns missing; ","")&amp;IF(INDEX('Game Records'!$B:$B,$H266)="","Start Date; ","")&amp;IF(INDEX('Game Records'!$C:$C,$H266)="","End Date; ","")&amp;IF(AND(INDEX('Game Records'!$U:$U,$H266)&lt;&gt;"Subscription",INDEX('Game Records'!$U:$U,$H266)&lt;&gt;"Free Game",INDEX('Game Records'!$U:$U,$H266)&lt;&gt;"Disqualified — Free Game",OR(INDEX('Game Records'!$D:$D,$H266)="",LOWER(INDEX('Game Records'!$D:$D,$H266)&amp;"")="n/a")),"Entry Mode; ","")&amp;IF(AND(INDEX('Game Records'!$U:$U,$H266)&lt;&gt;"Subscription",INDEX('Game Records'!$U:$U,$H266)&lt;&gt;"Free Game",INDEX('Game Records'!$U:$U,$H266)&lt;&gt;"Disqualified — Free Game",OR(INDEX('Game Records'!$E:$E,$H266)="",LOWER(INDEX('Game Records'!$E:$E,$H266)&amp;"")="n/a")),"Game Type; ","")&amp;IF(INDEX('Game Records'!$F:$F,$H266)="","Payment Type; ","")&amp;IF(AND(INDEX('Game Records'!$U:$U,$H266)&lt;&gt;"Subscription",INDEX('Game Records'!$U:$U,$H266)&lt;&gt;"Free Game",INDEX('Game Records'!$U:$U,$H266)&lt;&gt;"Disqualified — Free Game",INDEX('Game Records'!$G:$G,$H266)=""),"Gross Pot; ","")&amp;IF(AND(INDEX('Game Records'!$U:$U,$H266)&lt;&gt;"Free Game",INDEX('Game Records'!$U:$U,$H266)&lt;&gt;"Disqualified — Free Game",INDEX('Game Records'!$H:$H,$H266)=""),"Entry Fee; ","")&amp;IF(AND(INDEX('Game Records'!$U:$U,$H266)&lt;&gt;"Subscription",INDEX('Game Records'!$U:$U,$H266)&lt;&gt;"Free Game",INDEX('Game Records'!$U:$U,$H266)&lt;&gt;"Disqualified — Free Game",INDEX('Game Records'!$I:$I,$H266)=""),"Eligible Players; ","")&amp;IF(AND(INDEX('Game Records'!$U:$U,$H266)&lt;&gt;"Subscription",INDEX('Game Records'!$U:$U,$H266)&lt;&gt;"Free Game",INDEX('Game Records'!$U:$U,$H266)&lt;&gt;"Disqualified — Free Game",INDEX('Game Records'!$J:$J,$H266)=""),"Total Players; ","")&amp;IF(AND(LOWER(INDEX('Game Records'!$D:$D,$H266)&amp;"")="finalized",LOWER(INDEX('Game Records'!$L:$L,$H266)&amp;"")&lt;&gt;"yes",INDEX('Game Records'!$U:$U,$H266)&lt;&gt;"Subscription",INDEX('Game Records'!$U:$U,$H266)&lt;&gt;"Free Game",INDEX('Game Records'!$U:$U,$H266)&lt;&gt;"Disqualified — Free Game",INDEX('Game Records'!$K:$K,$H266)=""),"Final Earned; ","")&amp;IF(AND(LOWER(INDEX('Game Records'!$D:$D,$H266)&amp;"")="finalized",INDEX('Game Records'!$U:$U,$H266)&lt;&gt;"Subscription",INDEX('Game Records'!$U:$U,$H266)&lt;&gt;"Free Game",INDEX('Game Records'!$U:$U,$H266)&lt;&gt;"Disqualified — Free Game",OR(INDEX('Game Records'!$L:$L,$H266)="",LOWER(INDEX('Game Records'!$L:$L,$H266)&amp;"")="n/a")),"Disqualified Status; ","")&amp;IF(AND(OR(LOWER(TRIM(INDEX('Game Records'!$F:$F,$H266)&amp;""))="free game",INDEX('Game Records'!$U:$U,$H266)="Free Game",INDEX('Game Records'!$U:$U,$H266)="Disqualified — Free Game"),N(INDEX('Game Records'!$H:$H,$H266))&lt;&gt;0),"Free Game has a non-zero Entry Fee. Free Game records require a $0 Entry Fee; ",""))</f>
        <v/>
      </c>
      <c r="G266" s="331" t="str">
        <f>IF($H266="","",IFERROR(INDEX('Game Records'!$M:$M,$H266),""))</f>
        <v/>
      </c>
      <c r="H266" s="104" t="str">
        <f>IF($H265="","",IFERROR(MATCH(1,INDEX((ROW('Game Records'!$U$5:$U$504)&gt;$H265)*(('Game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7" ht="24" customHeight="1">
      <c r="A267" s="332" t="str">
        <f>IF($H267="","",ROWS($A$5:A267))</f>
        <v/>
      </c>
      <c r="B267" s="332" t="str">
        <f>IF($H267="","","G-"&amp;TEXT($A267,"0000"))</f>
        <v/>
      </c>
      <c r="C267" s="331" t="str">
        <f>IF($H267="","",IFERROR(INDEX('Game Records'!$A:$A,$H267),""))</f>
        <v/>
      </c>
      <c r="D267" s="331" t="str">
        <f>IF($H267="","",IFERROR(INDEX('Game Records'!$U:$U,$H267),""))</f>
        <v/>
      </c>
      <c r="E267" s="331" t="str">
        <f>IF($H267="","",IF($F267="","No Highlighted Fields","Highlighted Fields Present"))</f>
        <v/>
      </c>
      <c r="F267" s="331" t="str">
        <f>IF($H267="","",IF(OR(NOT(ISFORMULA(INDEX('Game Records'!$N:$N,$H267))),NOT(ISFORMULA(INDEX('Game Records'!$O:$O,$H267))),NOT(ISFORMULA(INDEX('Game Records'!$P:$P,$H267))),NOT(ISFORMULA(INDEX('Game Records'!$Q:$Q,$H267))),NOT(ISFORMULA(INDEX('Game Records'!$R:$R,$H267))),NOT(ISFORMULA(INDEX('Game Records'!$S:$S,$H267))),NOT(ISFORMULA(INDEX('Game Records'!$T:$T,$H267))),NOT(ISFORMULA(INDEX('Game Records'!$U:$U,$H267))),NOT(ISFORMULA(INDEX('Game Records'!$V:$V,$H267))),NOT(ISFORMULA(INDEX('Game Records'!$W:$W,$H267))),NOT(ISFORMULA(INDEX('Game Records'!$X:$X,$H267))),NOT(ISFORMULA(INDEX('Game Records'!$Y:$Y,$H267))),NOT(ISFORMULA(INDEX('Game Records'!$Z:$Z,$H267)))),"Formula columns missing; ","")&amp;IF(INDEX('Game Records'!$B:$B,$H267)="","Start Date; ","")&amp;IF(INDEX('Game Records'!$C:$C,$H267)="","End Date; ","")&amp;IF(AND(INDEX('Game Records'!$U:$U,$H267)&lt;&gt;"Subscription",INDEX('Game Records'!$U:$U,$H267)&lt;&gt;"Free Game",INDEX('Game Records'!$U:$U,$H267)&lt;&gt;"Disqualified — Free Game",OR(INDEX('Game Records'!$D:$D,$H267)="",LOWER(INDEX('Game Records'!$D:$D,$H267)&amp;"")="n/a")),"Entry Mode; ","")&amp;IF(AND(INDEX('Game Records'!$U:$U,$H267)&lt;&gt;"Subscription",INDEX('Game Records'!$U:$U,$H267)&lt;&gt;"Free Game",INDEX('Game Records'!$U:$U,$H267)&lt;&gt;"Disqualified — Free Game",OR(INDEX('Game Records'!$E:$E,$H267)="",LOWER(INDEX('Game Records'!$E:$E,$H267)&amp;"")="n/a")),"Game Type; ","")&amp;IF(INDEX('Game Records'!$F:$F,$H267)="","Payment Type; ","")&amp;IF(AND(INDEX('Game Records'!$U:$U,$H267)&lt;&gt;"Subscription",INDEX('Game Records'!$U:$U,$H267)&lt;&gt;"Free Game",INDEX('Game Records'!$U:$U,$H267)&lt;&gt;"Disqualified — Free Game",INDEX('Game Records'!$G:$G,$H267)=""),"Gross Pot; ","")&amp;IF(AND(INDEX('Game Records'!$U:$U,$H267)&lt;&gt;"Free Game",INDEX('Game Records'!$U:$U,$H267)&lt;&gt;"Disqualified — Free Game",INDEX('Game Records'!$H:$H,$H267)=""),"Entry Fee; ","")&amp;IF(AND(INDEX('Game Records'!$U:$U,$H267)&lt;&gt;"Subscription",INDEX('Game Records'!$U:$U,$H267)&lt;&gt;"Free Game",INDEX('Game Records'!$U:$U,$H267)&lt;&gt;"Disqualified — Free Game",INDEX('Game Records'!$I:$I,$H267)=""),"Eligible Players; ","")&amp;IF(AND(INDEX('Game Records'!$U:$U,$H267)&lt;&gt;"Subscription",INDEX('Game Records'!$U:$U,$H267)&lt;&gt;"Free Game",INDEX('Game Records'!$U:$U,$H267)&lt;&gt;"Disqualified — Free Game",INDEX('Game Records'!$J:$J,$H267)=""),"Total Players; ","")&amp;IF(AND(LOWER(INDEX('Game Records'!$D:$D,$H267)&amp;"")="finalized",LOWER(INDEX('Game Records'!$L:$L,$H267)&amp;"")&lt;&gt;"yes",INDEX('Game Records'!$U:$U,$H267)&lt;&gt;"Subscription",INDEX('Game Records'!$U:$U,$H267)&lt;&gt;"Free Game",INDEX('Game Records'!$U:$U,$H267)&lt;&gt;"Disqualified — Free Game",INDEX('Game Records'!$K:$K,$H267)=""),"Final Earned; ","")&amp;IF(AND(LOWER(INDEX('Game Records'!$D:$D,$H267)&amp;"")="finalized",INDEX('Game Records'!$U:$U,$H267)&lt;&gt;"Subscription",INDEX('Game Records'!$U:$U,$H267)&lt;&gt;"Free Game",INDEX('Game Records'!$U:$U,$H267)&lt;&gt;"Disqualified — Free Game",OR(INDEX('Game Records'!$L:$L,$H267)="",LOWER(INDEX('Game Records'!$L:$L,$H267)&amp;"")="n/a")),"Disqualified Status; ","")&amp;IF(AND(OR(LOWER(TRIM(INDEX('Game Records'!$F:$F,$H267)&amp;""))="free game",INDEX('Game Records'!$U:$U,$H267)="Free Game",INDEX('Game Records'!$U:$U,$H267)="Disqualified — Free Game"),N(INDEX('Game Records'!$H:$H,$H267))&lt;&gt;0),"Free Game has a non-zero Entry Fee. Free Game records require a $0 Entry Fee; ",""))</f>
        <v/>
      </c>
      <c r="G267" s="331" t="str">
        <f>IF($H267="","",IFERROR(INDEX('Game Records'!$M:$M,$H267),""))</f>
        <v/>
      </c>
      <c r="H267" s="104" t="str">
        <f>IF($H266="","",IFERROR(MATCH(1,INDEX((ROW('Game Records'!$U$5:$U$504)&gt;$H266)*(('Game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8" ht="24" customHeight="1">
      <c r="A268" s="332" t="str">
        <f>IF($H268="","",ROWS($A$5:A268))</f>
        <v/>
      </c>
      <c r="B268" s="332" t="str">
        <f>IF($H268="","","G-"&amp;TEXT($A268,"0000"))</f>
        <v/>
      </c>
      <c r="C268" s="331" t="str">
        <f>IF($H268="","",IFERROR(INDEX('Game Records'!$A:$A,$H268),""))</f>
        <v/>
      </c>
      <c r="D268" s="331" t="str">
        <f>IF($H268="","",IFERROR(INDEX('Game Records'!$U:$U,$H268),""))</f>
        <v/>
      </c>
      <c r="E268" s="331" t="str">
        <f>IF($H268="","",IF($F268="","No Highlighted Fields","Highlighted Fields Present"))</f>
        <v/>
      </c>
      <c r="F268" s="331" t="str">
        <f>IF($H268="","",IF(OR(NOT(ISFORMULA(INDEX('Game Records'!$N:$N,$H268))),NOT(ISFORMULA(INDEX('Game Records'!$O:$O,$H268))),NOT(ISFORMULA(INDEX('Game Records'!$P:$P,$H268))),NOT(ISFORMULA(INDEX('Game Records'!$Q:$Q,$H268))),NOT(ISFORMULA(INDEX('Game Records'!$R:$R,$H268))),NOT(ISFORMULA(INDEX('Game Records'!$S:$S,$H268))),NOT(ISFORMULA(INDEX('Game Records'!$T:$T,$H268))),NOT(ISFORMULA(INDEX('Game Records'!$U:$U,$H268))),NOT(ISFORMULA(INDEX('Game Records'!$V:$V,$H268))),NOT(ISFORMULA(INDEX('Game Records'!$W:$W,$H268))),NOT(ISFORMULA(INDEX('Game Records'!$X:$X,$H268))),NOT(ISFORMULA(INDEX('Game Records'!$Y:$Y,$H268))),NOT(ISFORMULA(INDEX('Game Records'!$Z:$Z,$H268)))),"Formula columns missing; ","")&amp;IF(INDEX('Game Records'!$B:$B,$H268)="","Start Date; ","")&amp;IF(INDEX('Game Records'!$C:$C,$H268)="","End Date; ","")&amp;IF(AND(INDEX('Game Records'!$U:$U,$H268)&lt;&gt;"Subscription",INDEX('Game Records'!$U:$U,$H268)&lt;&gt;"Free Game",INDEX('Game Records'!$U:$U,$H268)&lt;&gt;"Disqualified — Free Game",OR(INDEX('Game Records'!$D:$D,$H268)="",LOWER(INDEX('Game Records'!$D:$D,$H268)&amp;"")="n/a")),"Entry Mode; ","")&amp;IF(AND(INDEX('Game Records'!$U:$U,$H268)&lt;&gt;"Subscription",INDEX('Game Records'!$U:$U,$H268)&lt;&gt;"Free Game",INDEX('Game Records'!$U:$U,$H268)&lt;&gt;"Disqualified — Free Game",OR(INDEX('Game Records'!$E:$E,$H268)="",LOWER(INDEX('Game Records'!$E:$E,$H268)&amp;"")="n/a")),"Game Type; ","")&amp;IF(INDEX('Game Records'!$F:$F,$H268)="","Payment Type; ","")&amp;IF(AND(INDEX('Game Records'!$U:$U,$H268)&lt;&gt;"Subscription",INDEX('Game Records'!$U:$U,$H268)&lt;&gt;"Free Game",INDEX('Game Records'!$U:$U,$H268)&lt;&gt;"Disqualified — Free Game",INDEX('Game Records'!$G:$G,$H268)=""),"Gross Pot; ","")&amp;IF(AND(INDEX('Game Records'!$U:$U,$H268)&lt;&gt;"Free Game",INDEX('Game Records'!$U:$U,$H268)&lt;&gt;"Disqualified — Free Game",INDEX('Game Records'!$H:$H,$H268)=""),"Entry Fee; ","")&amp;IF(AND(INDEX('Game Records'!$U:$U,$H268)&lt;&gt;"Subscription",INDEX('Game Records'!$U:$U,$H268)&lt;&gt;"Free Game",INDEX('Game Records'!$U:$U,$H268)&lt;&gt;"Disqualified — Free Game",INDEX('Game Records'!$I:$I,$H268)=""),"Eligible Players; ","")&amp;IF(AND(INDEX('Game Records'!$U:$U,$H268)&lt;&gt;"Subscription",INDEX('Game Records'!$U:$U,$H268)&lt;&gt;"Free Game",INDEX('Game Records'!$U:$U,$H268)&lt;&gt;"Disqualified — Free Game",INDEX('Game Records'!$J:$J,$H268)=""),"Total Players; ","")&amp;IF(AND(LOWER(INDEX('Game Records'!$D:$D,$H268)&amp;"")="finalized",LOWER(INDEX('Game Records'!$L:$L,$H268)&amp;"")&lt;&gt;"yes",INDEX('Game Records'!$U:$U,$H268)&lt;&gt;"Subscription",INDEX('Game Records'!$U:$U,$H268)&lt;&gt;"Free Game",INDEX('Game Records'!$U:$U,$H268)&lt;&gt;"Disqualified — Free Game",INDEX('Game Records'!$K:$K,$H268)=""),"Final Earned; ","")&amp;IF(AND(LOWER(INDEX('Game Records'!$D:$D,$H268)&amp;"")="finalized",INDEX('Game Records'!$U:$U,$H268)&lt;&gt;"Subscription",INDEX('Game Records'!$U:$U,$H268)&lt;&gt;"Free Game",INDEX('Game Records'!$U:$U,$H268)&lt;&gt;"Disqualified — Free Game",OR(INDEX('Game Records'!$L:$L,$H268)="",LOWER(INDEX('Game Records'!$L:$L,$H268)&amp;"")="n/a")),"Disqualified Status; ","")&amp;IF(AND(OR(LOWER(TRIM(INDEX('Game Records'!$F:$F,$H268)&amp;""))="free game",INDEX('Game Records'!$U:$U,$H268)="Free Game",INDEX('Game Records'!$U:$U,$H268)="Disqualified — Free Game"),N(INDEX('Game Records'!$H:$H,$H268))&lt;&gt;0),"Free Game has a non-zero Entry Fee. Free Game records require a $0 Entry Fee; ",""))</f>
        <v/>
      </c>
      <c r="G268" s="331" t="str">
        <f>IF($H268="","",IFERROR(INDEX('Game Records'!$M:$M,$H268),""))</f>
        <v/>
      </c>
      <c r="H268" s="104" t="str">
        <f>IF($H267="","",IFERROR(MATCH(1,INDEX((ROW('Game Records'!$U$5:$U$504)&gt;$H267)*(('Game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9" ht="24" customHeight="1">
      <c r="A269" s="332" t="str">
        <f>IF($H269="","",ROWS($A$5:A269))</f>
        <v/>
      </c>
      <c r="B269" s="332" t="str">
        <f>IF($H269="","","G-"&amp;TEXT($A269,"0000"))</f>
        <v/>
      </c>
      <c r="C269" s="331" t="str">
        <f>IF($H269="","",IFERROR(INDEX('Game Records'!$A:$A,$H269),""))</f>
        <v/>
      </c>
      <c r="D269" s="331" t="str">
        <f>IF($H269="","",IFERROR(INDEX('Game Records'!$U:$U,$H269),""))</f>
        <v/>
      </c>
      <c r="E269" s="331" t="str">
        <f>IF($H269="","",IF($F269="","No Highlighted Fields","Highlighted Fields Present"))</f>
        <v/>
      </c>
      <c r="F269" s="331" t="str">
        <f>IF($H269="","",IF(OR(NOT(ISFORMULA(INDEX('Game Records'!$N:$N,$H269))),NOT(ISFORMULA(INDEX('Game Records'!$O:$O,$H269))),NOT(ISFORMULA(INDEX('Game Records'!$P:$P,$H269))),NOT(ISFORMULA(INDEX('Game Records'!$Q:$Q,$H269))),NOT(ISFORMULA(INDEX('Game Records'!$R:$R,$H269))),NOT(ISFORMULA(INDEX('Game Records'!$S:$S,$H269))),NOT(ISFORMULA(INDEX('Game Records'!$T:$T,$H269))),NOT(ISFORMULA(INDEX('Game Records'!$U:$U,$H269))),NOT(ISFORMULA(INDEX('Game Records'!$V:$V,$H269))),NOT(ISFORMULA(INDEX('Game Records'!$W:$W,$H269))),NOT(ISFORMULA(INDEX('Game Records'!$X:$X,$H269))),NOT(ISFORMULA(INDEX('Game Records'!$Y:$Y,$H269))),NOT(ISFORMULA(INDEX('Game Records'!$Z:$Z,$H269)))),"Formula columns missing; ","")&amp;IF(INDEX('Game Records'!$B:$B,$H269)="","Start Date; ","")&amp;IF(INDEX('Game Records'!$C:$C,$H269)="","End Date; ","")&amp;IF(AND(INDEX('Game Records'!$U:$U,$H269)&lt;&gt;"Subscription",INDEX('Game Records'!$U:$U,$H269)&lt;&gt;"Free Game",INDEX('Game Records'!$U:$U,$H269)&lt;&gt;"Disqualified — Free Game",OR(INDEX('Game Records'!$D:$D,$H269)="",LOWER(INDEX('Game Records'!$D:$D,$H269)&amp;"")="n/a")),"Entry Mode; ","")&amp;IF(AND(INDEX('Game Records'!$U:$U,$H269)&lt;&gt;"Subscription",INDEX('Game Records'!$U:$U,$H269)&lt;&gt;"Free Game",INDEX('Game Records'!$U:$U,$H269)&lt;&gt;"Disqualified — Free Game",OR(INDEX('Game Records'!$E:$E,$H269)="",LOWER(INDEX('Game Records'!$E:$E,$H269)&amp;"")="n/a")),"Game Type; ","")&amp;IF(INDEX('Game Records'!$F:$F,$H269)="","Payment Type; ","")&amp;IF(AND(INDEX('Game Records'!$U:$U,$H269)&lt;&gt;"Subscription",INDEX('Game Records'!$U:$U,$H269)&lt;&gt;"Free Game",INDEX('Game Records'!$U:$U,$H269)&lt;&gt;"Disqualified — Free Game",INDEX('Game Records'!$G:$G,$H269)=""),"Gross Pot; ","")&amp;IF(AND(INDEX('Game Records'!$U:$U,$H269)&lt;&gt;"Free Game",INDEX('Game Records'!$U:$U,$H269)&lt;&gt;"Disqualified — Free Game",INDEX('Game Records'!$H:$H,$H269)=""),"Entry Fee; ","")&amp;IF(AND(INDEX('Game Records'!$U:$U,$H269)&lt;&gt;"Subscription",INDEX('Game Records'!$U:$U,$H269)&lt;&gt;"Free Game",INDEX('Game Records'!$U:$U,$H269)&lt;&gt;"Disqualified — Free Game",INDEX('Game Records'!$I:$I,$H269)=""),"Eligible Players; ","")&amp;IF(AND(INDEX('Game Records'!$U:$U,$H269)&lt;&gt;"Subscription",INDEX('Game Records'!$U:$U,$H269)&lt;&gt;"Free Game",INDEX('Game Records'!$U:$U,$H269)&lt;&gt;"Disqualified — Free Game",INDEX('Game Records'!$J:$J,$H269)=""),"Total Players; ","")&amp;IF(AND(LOWER(INDEX('Game Records'!$D:$D,$H269)&amp;"")="finalized",LOWER(INDEX('Game Records'!$L:$L,$H269)&amp;"")&lt;&gt;"yes",INDEX('Game Records'!$U:$U,$H269)&lt;&gt;"Subscription",INDEX('Game Records'!$U:$U,$H269)&lt;&gt;"Free Game",INDEX('Game Records'!$U:$U,$H269)&lt;&gt;"Disqualified — Free Game",INDEX('Game Records'!$K:$K,$H269)=""),"Final Earned; ","")&amp;IF(AND(LOWER(INDEX('Game Records'!$D:$D,$H269)&amp;"")="finalized",INDEX('Game Records'!$U:$U,$H269)&lt;&gt;"Subscription",INDEX('Game Records'!$U:$U,$H269)&lt;&gt;"Free Game",INDEX('Game Records'!$U:$U,$H269)&lt;&gt;"Disqualified — Free Game",OR(INDEX('Game Records'!$L:$L,$H269)="",LOWER(INDEX('Game Records'!$L:$L,$H269)&amp;"")="n/a")),"Disqualified Status; ","")&amp;IF(AND(OR(LOWER(TRIM(INDEX('Game Records'!$F:$F,$H269)&amp;""))="free game",INDEX('Game Records'!$U:$U,$H269)="Free Game",INDEX('Game Records'!$U:$U,$H269)="Disqualified — Free Game"),N(INDEX('Game Records'!$H:$H,$H269))&lt;&gt;0),"Free Game has a non-zero Entry Fee. Free Game records require a $0 Entry Fee; ",""))</f>
        <v/>
      </c>
      <c r="G269" s="331" t="str">
        <f>IF($H269="","",IFERROR(INDEX('Game Records'!$M:$M,$H269),""))</f>
        <v/>
      </c>
      <c r="H269" s="104" t="str">
        <f>IF($H268="","",IFERROR(MATCH(1,INDEX((ROW('Game Records'!$U$5:$U$504)&gt;$H268)*(('Game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0" ht="24" customHeight="1">
      <c r="A270" s="332" t="str">
        <f>IF($H270="","",ROWS($A$5:A270))</f>
        <v/>
      </c>
      <c r="B270" s="332" t="str">
        <f>IF($H270="","","G-"&amp;TEXT($A270,"0000"))</f>
        <v/>
      </c>
      <c r="C270" s="331" t="str">
        <f>IF($H270="","",IFERROR(INDEX('Game Records'!$A:$A,$H270),""))</f>
        <v/>
      </c>
      <c r="D270" s="331" t="str">
        <f>IF($H270="","",IFERROR(INDEX('Game Records'!$U:$U,$H270),""))</f>
        <v/>
      </c>
      <c r="E270" s="331" t="str">
        <f>IF($H270="","",IF($F270="","No Highlighted Fields","Highlighted Fields Present"))</f>
        <v/>
      </c>
      <c r="F270" s="331" t="str">
        <f>IF($H270="","",IF(OR(NOT(ISFORMULA(INDEX('Game Records'!$N:$N,$H270))),NOT(ISFORMULA(INDEX('Game Records'!$O:$O,$H270))),NOT(ISFORMULA(INDEX('Game Records'!$P:$P,$H270))),NOT(ISFORMULA(INDEX('Game Records'!$Q:$Q,$H270))),NOT(ISFORMULA(INDEX('Game Records'!$R:$R,$H270))),NOT(ISFORMULA(INDEX('Game Records'!$S:$S,$H270))),NOT(ISFORMULA(INDEX('Game Records'!$T:$T,$H270))),NOT(ISFORMULA(INDEX('Game Records'!$U:$U,$H270))),NOT(ISFORMULA(INDEX('Game Records'!$V:$V,$H270))),NOT(ISFORMULA(INDEX('Game Records'!$W:$W,$H270))),NOT(ISFORMULA(INDEX('Game Records'!$X:$X,$H270))),NOT(ISFORMULA(INDEX('Game Records'!$Y:$Y,$H270))),NOT(ISFORMULA(INDEX('Game Records'!$Z:$Z,$H270)))),"Formula columns missing; ","")&amp;IF(INDEX('Game Records'!$B:$B,$H270)="","Start Date; ","")&amp;IF(INDEX('Game Records'!$C:$C,$H270)="","End Date; ","")&amp;IF(AND(INDEX('Game Records'!$U:$U,$H270)&lt;&gt;"Subscription",INDEX('Game Records'!$U:$U,$H270)&lt;&gt;"Free Game",INDEX('Game Records'!$U:$U,$H270)&lt;&gt;"Disqualified — Free Game",OR(INDEX('Game Records'!$D:$D,$H270)="",LOWER(INDEX('Game Records'!$D:$D,$H270)&amp;"")="n/a")),"Entry Mode; ","")&amp;IF(AND(INDEX('Game Records'!$U:$U,$H270)&lt;&gt;"Subscription",INDEX('Game Records'!$U:$U,$H270)&lt;&gt;"Free Game",INDEX('Game Records'!$U:$U,$H270)&lt;&gt;"Disqualified — Free Game",OR(INDEX('Game Records'!$E:$E,$H270)="",LOWER(INDEX('Game Records'!$E:$E,$H270)&amp;"")="n/a")),"Game Type; ","")&amp;IF(INDEX('Game Records'!$F:$F,$H270)="","Payment Type; ","")&amp;IF(AND(INDEX('Game Records'!$U:$U,$H270)&lt;&gt;"Subscription",INDEX('Game Records'!$U:$U,$H270)&lt;&gt;"Free Game",INDEX('Game Records'!$U:$U,$H270)&lt;&gt;"Disqualified — Free Game",INDEX('Game Records'!$G:$G,$H270)=""),"Gross Pot; ","")&amp;IF(AND(INDEX('Game Records'!$U:$U,$H270)&lt;&gt;"Free Game",INDEX('Game Records'!$U:$U,$H270)&lt;&gt;"Disqualified — Free Game",INDEX('Game Records'!$H:$H,$H270)=""),"Entry Fee; ","")&amp;IF(AND(INDEX('Game Records'!$U:$U,$H270)&lt;&gt;"Subscription",INDEX('Game Records'!$U:$U,$H270)&lt;&gt;"Free Game",INDEX('Game Records'!$U:$U,$H270)&lt;&gt;"Disqualified — Free Game",INDEX('Game Records'!$I:$I,$H270)=""),"Eligible Players; ","")&amp;IF(AND(INDEX('Game Records'!$U:$U,$H270)&lt;&gt;"Subscription",INDEX('Game Records'!$U:$U,$H270)&lt;&gt;"Free Game",INDEX('Game Records'!$U:$U,$H270)&lt;&gt;"Disqualified — Free Game",INDEX('Game Records'!$J:$J,$H270)=""),"Total Players; ","")&amp;IF(AND(LOWER(INDEX('Game Records'!$D:$D,$H270)&amp;"")="finalized",LOWER(INDEX('Game Records'!$L:$L,$H270)&amp;"")&lt;&gt;"yes",INDEX('Game Records'!$U:$U,$H270)&lt;&gt;"Subscription",INDEX('Game Records'!$U:$U,$H270)&lt;&gt;"Free Game",INDEX('Game Records'!$U:$U,$H270)&lt;&gt;"Disqualified — Free Game",INDEX('Game Records'!$K:$K,$H270)=""),"Final Earned; ","")&amp;IF(AND(LOWER(INDEX('Game Records'!$D:$D,$H270)&amp;"")="finalized",INDEX('Game Records'!$U:$U,$H270)&lt;&gt;"Subscription",INDEX('Game Records'!$U:$U,$H270)&lt;&gt;"Free Game",INDEX('Game Records'!$U:$U,$H270)&lt;&gt;"Disqualified — Free Game",OR(INDEX('Game Records'!$L:$L,$H270)="",LOWER(INDEX('Game Records'!$L:$L,$H270)&amp;"")="n/a")),"Disqualified Status; ","")&amp;IF(AND(OR(LOWER(TRIM(INDEX('Game Records'!$F:$F,$H270)&amp;""))="free game",INDEX('Game Records'!$U:$U,$H270)="Free Game",INDEX('Game Records'!$U:$U,$H270)="Disqualified — Free Game"),N(INDEX('Game Records'!$H:$H,$H270))&lt;&gt;0),"Free Game has a non-zero Entry Fee. Free Game records require a $0 Entry Fee; ",""))</f>
        <v/>
      </c>
      <c r="G270" s="331" t="str">
        <f>IF($H270="","",IFERROR(INDEX('Game Records'!$M:$M,$H270),""))</f>
        <v/>
      </c>
      <c r="H270" s="104" t="str">
        <f>IF($H269="","",IFERROR(MATCH(1,INDEX((ROW('Game Records'!$U$5:$U$504)&gt;$H269)*(('Game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1" ht="24" customHeight="1">
      <c r="A271" s="332" t="str">
        <f>IF($H271="","",ROWS($A$5:A271))</f>
        <v/>
      </c>
      <c r="B271" s="332" t="str">
        <f>IF($H271="","","G-"&amp;TEXT($A271,"0000"))</f>
        <v/>
      </c>
      <c r="C271" s="331" t="str">
        <f>IF($H271="","",IFERROR(INDEX('Game Records'!$A:$A,$H271),""))</f>
        <v/>
      </c>
      <c r="D271" s="331" t="str">
        <f>IF($H271="","",IFERROR(INDEX('Game Records'!$U:$U,$H271),""))</f>
        <v/>
      </c>
      <c r="E271" s="331" t="str">
        <f>IF($H271="","",IF($F271="","No Highlighted Fields","Highlighted Fields Present"))</f>
        <v/>
      </c>
      <c r="F271" s="331" t="str">
        <f>IF($H271="","",IF(OR(NOT(ISFORMULA(INDEX('Game Records'!$N:$N,$H271))),NOT(ISFORMULA(INDEX('Game Records'!$O:$O,$H271))),NOT(ISFORMULA(INDEX('Game Records'!$P:$P,$H271))),NOT(ISFORMULA(INDEX('Game Records'!$Q:$Q,$H271))),NOT(ISFORMULA(INDEX('Game Records'!$R:$R,$H271))),NOT(ISFORMULA(INDEX('Game Records'!$S:$S,$H271))),NOT(ISFORMULA(INDEX('Game Records'!$T:$T,$H271))),NOT(ISFORMULA(INDEX('Game Records'!$U:$U,$H271))),NOT(ISFORMULA(INDEX('Game Records'!$V:$V,$H271))),NOT(ISFORMULA(INDEX('Game Records'!$W:$W,$H271))),NOT(ISFORMULA(INDEX('Game Records'!$X:$X,$H271))),NOT(ISFORMULA(INDEX('Game Records'!$Y:$Y,$H271))),NOT(ISFORMULA(INDEX('Game Records'!$Z:$Z,$H271)))),"Formula columns missing; ","")&amp;IF(INDEX('Game Records'!$B:$B,$H271)="","Start Date; ","")&amp;IF(INDEX('Game Records'!$C:$C,$H271)="","End Date; ","")&amp;IF(AND(INDEX('Game Records'!$U:$U,$H271)&lt;&gt;"Subscription",INDEX('Game Records'!$U:$U,$H271)&lt;&gt;"Free Game",INDEX('Game Records'!$U:$U,$H271)&lt;&gt;"Disqualified — Free Game",OR(INDEX('Game Records'!$D:$D,$H271)="",LOWER(INDEX('Game Records'!$D:$D,$H271)&amp;"")="n/a")),"Entry Mode; ","")&amp;IF(AND(INDEX('Game Records'!$U:$U,$H271)&lt;&gt;"Subscription",INDEX('Game Records'!$U:$U,$H271)&lt;&gt;"Free Game",INDEX('Game Records'!$U:$U,$H271)&lt;&gt;"Disqualified — Free Game",OR(INDEX('Game Records'!$E:$E,$H271)="",LOWER(INDEX('Game Records'!$E:$E,$H271)&amp;"")="n/a")),"Game Type; ","")&amp;IF(INDEX('Game Records'!$F:$F,$H271)="","Payment Type; ","")&amp;IF(AND(INDEX('Game Records'!$U:$U,$H271)&lt;&gt;"Subscription",INDEX('Game Records'!$U:$U,$H271)&lt;&gt;"Free Game",INDEX('Game Records'!$U:$U,$H271)&lt;&gt;"Disqualified — Free Game",INDEX('Game Records'!$G:$G,$H271)=""),"Gross Pot; ","")&amp;IF(AND(INDEX('Game Records'!$U:$U,$H271)&lt;&gt;"Free Game",INDEX('Game Records'!$U:$U,$H271)&lt;&gt;"Disqualified — Free Game",INDEX('Game Records'!$H:$H,$H271)=""),"Entry Fee; ","")&amp;IF(AND(INDEX('Game Records'!$U:$U,$H271)&lt;&gt;"Subscription",INDEX('Game Records'!$U:$U,$H271)&lt;&gt;"Free Game",INDEX('Game Records'!$U:$U,$H271)&lt;&gt;"Disqualified — Free Game",INDEX('Game Records'!$I:$I,$H271)=""),"Eligible Players; ","")&amp;IF(AND(INDEX('Game Records'!$U:$U,$H271)&lt;&gt;"Subscription",INDEX('Game Records'!$U:$U,$H271)&lt;&gt;"Free Game",INDEX('Game Records'!$U:$U,$H271)&lt;&gt;"Disqualified — Free Game",INDEX('Game Records'!$J:$J,$H271)=""),"Total Players; ","")&amp;IF(AND(LOWER(INDEX('Game Records'!$D:$D,$H271)&amp;"")="finalized",LOWER(INDEX('Game Records'!$L:$L,$H271)&amp;"")&lt;&gt;"yes",INDEX('Game Records'!$U:$U,$H271)&lt;&gt;"Subscription",INDEX('Game Records'!$U:$U,$H271)&lt;&gt;"Free Game",INDEX('Game Records'!$U:$U,$H271)&lt;&gt;"Disqualified — Free Game",INDEX('Game Records'!$K:$K,$H271)=""),"Final Earned; ","")&amp;IF(AND(LOWER(INDEX('Game Records'!$D:$D,$H271)&amp;"")="finalized",INDEX('Game Records'!$U:$U,$H271)&lt;&gt;"Subscription",INDEX('Game Records'!$U:$U,$H271)&lt;&gt;"Free Game",INDEX('Game Records'!$U:$U,$H271)&lt;&gt;"Disqualified — Free Game",OR(INDEX('Game Records'!$L:$L,$H271)="",LOWER(INDEX('Game Records'!$L:$L,$H271)&amp;"")="n/a")),"Disqualified Status; ","")&amp;IF(AND(OR(LOWER(TRIM(INDEX('Game Records'!$F:$F,$H271)&amp;""))="free game",INDEX('Game Records'!$U:$U,$H271)="Free Game",INDEX('Game Records'!$U:$U,$H271)="Disqualified — Free Game"),N(INDEX('Game Records'!$H:$H,$H271))&lt;&gt;0),"Free Game has a non-zero Entry Fee. Free Game records require a $0 Entry Fee; ",""))</f>
        <v/>
      </c>
      <c r="G271" s="331" t="str">
        <f>IF($H271="","",IFERROR(INDEX('Game Records'!$M:$M,$H271),""))</f>
        <v/>
      </c>
      <c r="H271" s="104" t="str">
        <f>IF($H270="","",IFERROR(MATCH(1,INDEX((ROW('Game Records'!$U$5:$U$504)&gt;$H270)*(('Game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2" ht="24" customHeight="1">
      <c r="A272" s="332" t="str">
        <f>IF($H272="","",ROWS($A$5:A272))</f>
        <v/>
      </c>
      <c r="B272" s="332" t="str">
        <f>IF($H272="","","G-"&amp;TEXT($A272,"0000"))</f>
        <v/>
      </c>
      <c r="C272" s="331" t="str">
        <f>IF($H272="","",IFERROR(INDEX('Game Records'!$A:$A,$H272),""))</f>
        <v/>
      </c>
      <c r="D272" s="331" t="str">
        <f>IF($H272="","",IFERROR(INDEX('Game Records'!$U:$U,$H272),""))</f>
        <v/>
      </c>
      <c r="E272" s="331" t="str">
        <f>IF($H272="","",IF($F272="","No Highlighted Fields","Highlighted Fields Present"))</f>
        <v/>
      </c>
      <c r="F272" s="331" t="str">
        <f>IF($H272="","",IF(OR(NOT(ISFORMULA(INDEX('Game Records'!$N:$N,$H272))),NOT(ISFORMULA(INDEX('Game Records'!$O:$O,$H272))),NOT(ISFORMULA(INDEX('Game Records'!$P:$P,$H272))),NOT(ISFORMULA(INDEX('Game Records'!$Q:$Q,$H272))),NOT(ISFORMULA(INDEX('Game Records'!$R:$R,$H272))),NOT(ISFORMULA(INDEX('Game Records'!$S:$S,$H272))),NOT(ISFORMULA(INDEX('Game Records'!$T:$T,$H272))),NOT(ISFORMULA(INDEX('Game Records'!$U:$U,$H272))),NOT(ISFORMULA(INDEX('Game Records'!$V:$V,$H272))),NOT(ISFORMULA(INDEX('Game Records'!$W:$W,$H272))),NOT(ISFORMULA(INDEX('Game Records'!$X:$X,$H272))),NOT(ISFORMULA(INDEX('Game Records'!$Y:$Y,$H272))),NOT(ISFORMULA(INDEX('Game Records'!$Z:$Z,$H272)))),"Formula columns missing; ","")&amp;IF(INDEX('Game Records'!$B:$B,$H272)="","Start Date; ","")&amp;IF(INDEX('Game Records'!$C:$C,$H272)="","End Date; ","")&amp;IF(AND(INDEX('Game Records'!$U:$U,$H272)&lt;&gt;"Subscription",INDEX('Game Records'!$U:$U,$H272)&lt;&gt;"Free Game",INDEX('Game Records'!$U:$U,$H272)&lt;&gt;"Disqualified — Free Game",OR(INDEX('Game Records'!$D:$D,$H272)="",LOWER(INDEX('Game Records'!$D:$D,$H272)&amp;"")="n/a")),"Entry Mode; ","")&amp;IF(AND(INDEX('Game Records'!$U:$U,$H272)&lt;&gt;"Subscription",INDEX('Game Records'!$U:$U,$H272)&lt;&gt;"Free Game",INDEX('Game Records'!$U:$U,$H272)&lt;&gt;"Disqualified — Free Game",OR(INDEX('Game Records'!$E:$E,$H272)="",LOWER(INDEX('Game Records'!$E:$E,$H272)&amp;"")="n/a")),"Game Type; ","")&amp;IF(INDEX('Game Records'!$F:$F,$H272)="","Payment Type; ","")&amp;IF(AND(INDEX('Game Records'!$U:$U,$H272)&lt;&gt;"Subscription",INDEX('Game Records'!$U:$U,$H272)&lt;&gt;"Free Game",INDEX('Game Records'!$U:$U,$H272)&lt;&gt;"Disqualified — Free Game",INDEX('Game Records'!$G:$G,$H272)=""),"Gross Pot; ","")&amp;IF(AND(INDEX('Game Records'!$U:$U,$H272)&lt;&gt;"Free Game",INDEX('Game Records'!$U:$U,$H272)&lt;&gt;"Disqualified — Free Game",INDEX('Game Records'!$H:$H,$H272)=""),"Entry Fee; ","")&amp;IF(AND(INDEX('Game Records'!$U:$U,$H272)&lt;&gt;"Subscription",INDEX('Game Records'!$U:$U,$H272)&lt;&gt;"Free Game",INDEX('Game Records'!$U:$U,$H272)&lt;&gt;"Disqualified — Free Game",INDEX('Game Records'!$I:$I,$H272)=""),"Eligible Players; ","")&amp;IF(AND(INDEX('Game Records'!$U:$U,$H272)&lt;&gt;"Subscription",INDEX('Game Records'!$U:$U,$H272)&lt;&gt;"Free Game",INDEX('Game Records'!$U:$U,$H272)&lt;&gt;"Disqualified — Free Game",INDEX('Game Records'!$J:$J,$H272)=""),"Total Players; ","")&amp;IF(AND(LOWER(INDEX('Game Records'!$D:$D,$H272)&amp;"")="finalized",LOWER(INDEX('Game Records'!$L:$L,$H272)&amp;"")&lt;&gt;"yes",INDEX('Game Records'!$U:$U,$H272)&lt;&gt;"Subscription",INDEX('Game Records'!$U:$U,$H272)&lt;&gt;"Free Game",INDEX('Game Records'!$U:$U,$H272)&lt;&gt;"Disqualified — Free Game",INDEX('Game Records'!$K:$K,$H272)=""),"Final Earned; ","")&amp;IF(AND(LOWER(INDEX('Game Records'!$D:$D,$H272)&amp;"")="finalized",INDEX('Game Records'!$U:$U,$H272)&lt;&gt;"Subscription",INDEX('Game Records'!$U:$U,$H272)&lt;&gt;"Free Game",INDEX('Game Records'!$U:$U,$H272)&lt;&gt;"Disqualified — Free Game",OR(INDEX('Game Records'!$L:$L,$H272)="",LOWER(INDEX('Game Records'!$L:$L,$H272)&amp;"")="n/a")),"Disqualified Status; ","")&amp;IF(AND(OR(LOWER(TRIM(INDEX('Game Records'!$F:$F,$H272)&amp;""))="free game",INDEX('Game Records'!$U:$U,$H272)="Free Game",INDEX('Game Records'!$U:$U,$H272)="Disqualified — Free Game"),N(INDEX('Game Records'!$H:$H,$H272))&lt;&gt;0),"Free Game has a non-zero Entry Fee. Free Game records require a $0 Entry Fee; ",""))</f>
        <v/>
      </c>
      <c r="G272" s="331" t="str">
        <f>IF($H272="","",IFERROR(INDEX('Game Records'!$M:$M,$H272),""))</f>
        <v/>
      </c>
      <c r="H272" s="104" t="str">
        <f>IF($H271="","",IFERROR(MATCH(1,INDEX((ROW('Game Records'!$U$5:$U$504)&gt;$H271)*(('Game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3" ht="24" customHeight="1">
      <c r="A273" s="332" t="str">
        <f>IF($H273="","",ROWS($A$5:A273))</f>
        <v/>
      </c>
      <c r="B273" s="332" t="str">
        <f>IF($H273="","","G-"&amp;TEXT($A273,"0000"))</f>
        <v/>
      </c>
      <c r="C273" s="331" t="str">
        <f>IF($H273="","",IFERROR(INDEX('Game Records'!$A:$A,$H273),""))</f>
        <v/>
      </c>
      <c r="D273" s="331" t="str">
        <f>IF($H273="","",IFERROR(INDEX('Game Records'!$U:$U,$H273),""))</f>
        <v/>
      </c>
      <c r="E273" s="331" t="str">
        <f>IF($H273="","",IF($F273="","No Highlighted Fields","Highlighted Fields Present"))</f>
        <v/>
      </c>
      <c r="F273" s="331" t="str">
        <f>IF($H273="","",IF(OR(NOT(ISFORMULA(INDEX('Game Records'!$N:$N,$H273))),NOT(ISFORMULA(INDEX('Game Records'!$O:$O,$H273))),NOT(ISFORMULA(INDEX('Game Records'!$P:$P,$H273))),NOT(ISFORMULA(INDEX('Game Records'!$Q:$Q,$H273))),NOT(ISFORMULA(INDEX('Game Records'!$R:$R,$H273))),NOT(ISFORMULA(INDEX('Game Records'!$S:$S,$H273))),NOT(ISFORMULA(INDEX('Game Records'!$T:$T,$H273))),NOT(ISFORMULA(INDEX('Game Records'!$U:$U,$H273))),NOT(ISFORMULA(INDEX('Game Records'!$V:$V,$H273))),NOT(ISFORMULA(INDEX('Game Records'!$W:$W,$H273))),NOT(ISFORMULA(INDEX('Game Records'!$X:$X,$H273))),NOT(ISFORMULA(INDEX('Game Records'!$Y:$Y,$H273))),NOT(ISFORMULA(INDEX('Game Records'!$Z:$Z,$H273)))),"Formula columns missing; ","")&amp;IF(INDEX('Game Records'!$B:$B,$H273)="","Start Date; ","")&amp;IF(INDEX('Game Records'!$C:$C,$H273)="","End Date; ","")&amp;IF(AND(INDEX('Game Records'!$U:$U,$H273)&lt;&gt;"Subscription",INDEX('Game Records'!$U:$U,$H273)&lt;&gt;"Free Game",INDEX('Game Records'!$U:$U,$H273)&lt;&gt;"Disqualified — Free Game",OR(INDEX('Game Records'!$D:$D,$H273)="",LOWER(INDEX('Game Records'!$D:$D,$H273)&amp;"")="n/a")),"Entry Mode; ","")&amp;IF(AND(INDEX('Game Records'!$U:$U,$H273)&lt;&gt;"Subscription",INDEX('Game Records'!$U:$U,$H273)&lt;&gt;"Free Game",INDEX('Game Records'!$U:$U,$H273)&lt;&gt;"Disqualified — Free Game",OR(INDEX('Game Records'!$E:$E,$H273)="",LOWER(INDEX('Game Records'!$E:$E,$H273)&amp;"")="n/a")),"Game Type; ","")&amp;IF(INDEX('Game Records'!$F:$F,$H273)="","Payment Type; ","")&amp;IF(AND(INDEX('Game Records'!$U:$U,$H273)&lt;&gt;"Subscription",INDEX('Game Records'!$U:$U,$H273)&lt;&gt;"Free Game",INDEX('Game Records'!$U:$U,$H273)&lt;&gt;"Disqualified — Free Game",INDEX('Game Records'!$G:$G,$H273)=""),"Gross Pot; ","")&amp;IF(AND(INDEX('Game Records'!$U:$U,$H273)&lt;&gt;"Free Game",INDEX('Game Records'!$U:$U,$H273)&lt;&gt;"Disqualified — Free Game",INDEX('Game Records'!$H:$H,$H273)=""),"Entry Fee; ","")&amp;IF(AND(INDEX('Game Records'!$U:$U,$H273)&lt;&gt;"Subscription",INDEX('Game Records'!$U:$U,$H273)&lt;&gt;"Free Game",INDEX('Game Records'!$U:$U,$H273)&lt;&gt;"Disqualified — Free Game",INDEX('Game Records'!$I:$I,$H273)=""),"Eligible Players; ","")&amp;IF(AND(INDEX('Game Records'!$U:$U,$H273)&lt;&gt;"Subscription",INDEX('Game Records'!$U:$U,$H273)&lt;&gt;"Free Game",INDEX('Game Records'!$U:$U,$H273)&lt;&gt;"Disqualified — Free Game",INDEX('Game Records'!$J:$J,$H273)=""),"Total Players; ","")&amp;IF(AND(LOWER(INDEX('Game Records'!$D:$D,$H273)&amp;"")="finalized",LOWER(INDEX('Game Records'!$L:$L,$H273)&amp;"")&lt;&gt;"yes",INDEX('Game Records'!$U:$U,$H273)&lt;&gt;"Subscription",INDEX('Game Records'!$U:$U,$H273)&lt;&gt;"Free Game",INDEX('Game Records'!$U:$U,$H273)&lt;&gt;"Disqualified — Free Game",INDEX('Game Records'!$K:$K,$H273)=""),"Final Earned; ","")&amp;IF(AND(LOWER(INDEX('Game Records'!$D:$D,$H273)&amp;"")="finalized",INDEX('Game Records'!$U:$U,$H273)&lt;&gt;"Subscription",INDEX('Game Records'!$U:$U,$H273)&lt;&gt;"Free Game",INDEX('Game Records'!$U:$U,$H273)&lt;&gt;"Disqualified — Free Game",OR(INDEX('Game Records'!$L:$L,$H273)="",LOWER(INDEX('Game Records'!$L:$L,$H273)&amp;"")="n/a")),"Disqualified Status; ","")&amp;IF(AND(OR(LOWER(TRIM(INDEX('Game Records'!$F:$F,$H273)&amp;""))="free game",INDEX('Game Records'!$U:$U,$H273)="Free Game",INDEX('Game Records'!$U:$U,$H273)="Disqualified — Free Game"),N(INDEX('Game Records'!$H:$H,$H273))&lt;&gt;0),"Free Game has a non-zero Entry Fee. Free Game records require a $0 Entry Fee; ",""))</f>
        <v/>
      </c>
      <c r="G273" s="331" t="str">
        <f>IF($H273="","",IFERROR(INDEX('Game Records'!$M:$M,$H273),""))</f>
        <v/>
      </c>
      <c r="H273" s="104" t="str">
        <f>IF($H272="","",IFERROR(MATCH(1,INDEX((ROW('Game Records'!$U$5:$U$504)&gt;$H272)*(('Game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4" ht="24" customHeight="1">
      <c r="A274" s="332" t="str">
        <f>IF($H274="","",ROWS($A$5:A274))</f>
        <v/>
      </c>
      <c r="B274" s="332" t="str">
        <f>IF($H274="","","G-"&amp;TEXT($A274,"0000"))</f>
        <v/>
      </c>
      <c r="C274" s="331" t="str">
        <f>IF($H274="","",IFERROR(INDEX('Game Records'!$A:$A,$H274),""))</f>
        <v/>
      </c>
      <c r="D274" s="331" t="str">
        <f>IF($H274="","",IFERROR(INDEX('Game Records'!$U:$U,$H274),""))</f>
        <v/>
      </c>
      <c r="E274" s="331" t="str">
        <f>IF($H274="","",IF($F274="","No Highlighted Fields","Highlighted Fields Present"))</f>
        <v/>
      </c>
      <c r="F274" s="331" t="str">
        <f>IF($H274="","",IF(OR(NOT(ISFORMULA(INDEX('Game Records'!$N:$N,$H274))),NOT(ISFORMULA(INDEX('Game Records'!$O:$O,$H274))),NOT(ISFORMULA(INDEX('Game Records'!$P:$P,$H274))),NOT(ISFORMULA(INDEX('Game Records'!$Q:$Q,$H274))),NOT(ISFORMULA(INDEX('Game Records'!$R:$R,$H274))),NOT(ISFORMULA(INDEX('Game Records'!$S:$S,$H274))),NOT(ISFORMULA(INDEX('Game Records'!$T:$T,$H274))),NOT(ISFORMULA(INDEX('Game Records'!$U:$U,$H274))),NOT(ISFORMULA(INDEX('Game Records'!$V:$V,$H274))),NOT(ISFORMULA(INDEX('Game Records'!$W:$W,$H274))),NOT(ISFORMULA(INDEX('Game Records'!$X:$X,$H274))),NOT(ISFORMULA(INDEX('Game Records'!$Y:$Y,$H274))),NOT(ISFORMULA(INDEX('Game Records'!$Z:$Z,$H274)))),"Formula columns missing; ","")&amp;IF(INDEX('Game Records'!$B:$B,$H274)="","Start Date; ","")&amp;IF(INDEX('Game Records'!$C:$C,$H274)="","End Date; ","")&amp;IF(AND(INDEX('Game Records'!$U:$U,$H274)&lt;&gt;"Subscription",INDEX('Game Records'!$U:$U,$H274)&lt;&gt;"Free Game",INDEX('Game Records'!$U:$U,$H274)&lt;&gt;"Disqualified — Free Game",OR(INDEX('Game Records'!$D:$D,$H274)="",LOWER(INDEX('Game Records'!$D:$D,$H274)&amp;"")="n/a")),"Entry Mode; ","")&amp;IF(AND(INDEX('Game Records'!$U:$U,$H274)&lt;&gt;"Subscription",INDEX('Game Records'!$U:$U,$H274)&lt;&gt;"Free Game",INDEX('Game Records'!$U:$U,$H274)&lt;&gt;"Disqualified — Free Game",OR(INDEX('Game Records'!$E:$E,$H274)="",LOWER(INDEX('Game Records'!$E:$E,$H274)&amp;"")="n/a")),"Game Type; ","")&amp;IF(INDEX('Game Records'!$F:$F,$H274)="","Payment Type; ","")&amp;IF(AND(INDEX('Game Records'!$U:$U,$H274)&lt;&gt;"Subscription",INDEX('Game Records'!$U:$U,$H274)&lt;&gt;"Free Game",INDEX('Game Records'!$U:$U,$H274)&lt;&gt;"Disqualified — Free Game",INDEX('Game Records'!$G:$G,$H274)=""),"Gross Pot; ","")&amp;IF(AND(INDEX('Game Records'!$U:$U,$H274)&lt;&gt;"Free Game",INDEX('Game Records'!$U:$U,$H274)&lt;&gt;"Disqualified — Free Game",INDEX('Game Records'!$H:$H,$H274)=""),"Entry Fee; ","")&amp;IF(AND(INDEX('Game Records'!$U:$U,$H274)&lt;&gt;"Subscription",INDEX('Game Records'!$U:$U,$H274)&lt;&gt;"Free Game",INDEX('Game Records'!$U:$U,$H274)&lt;&gt;"Disqualified — Free Game",INDEX('Game Records'!$I:$I,$H274)=""),"Eligible Players; ","")&amp;IF(AND(INDEX('Game Records'!$U:$U,$H274)&lt;&gt;"Subscription",INDEX('Game Records'!$U:$U,$H274)&lt;&gt;"Free Game",INDEX('Game Records'!$U:$U,$H274)&lt;&gt;"Disqualified — Free Game",INDEX('Game Records'!$J:$J,$H274)=""),"Total Players; ","")&amp;IF(AND(LOWER(INDEX('Game Records'!$D:$D,$H274)&amp;"")="finalized",LOWER(INDEX('Game Records'!$L:$L,$H274)&amp;"")&lt;&gt;"yes",INDEX('Game Records'!$U:$U,$H274)&lt;&gt;"Subscription",INDEX('Game Records'!$U:$U,$H274)&lt;&gt;"Free Game",INDEX('Game Records'!$U:$U,$H274)&lt;&gt;"Disqualified — Free Game",INDEX('Game Records'!$K:$K,$H274)=""),"Final Earned; ","")&amp;IF(AND(LOWER(INDEX('Game Records'!$D:$D,$H274)&amp;"")="finalized",INDEX('Game Records'!$U:$U,$H274)&lt;&gt;"Subscription",INDEX('Game Records'!$U:$U,$H274)&lt;&gt;"Free Game",INDEX('Game Records'!$U:$U,$H274)&lt;&gt;"Disqualified — Free Game",OR(INDEX('Game Records'!$L:$L,$H274)="",LOWER(INDEX('Game Records'!$L:$L,$H274)&amp;"")="n/a")),"Disqualified Status; ","")&amp;IF(AND(OR(LOWER(TRIM(INDEX('Game Records'!$F:$F,$H274)&amp;""))="free game",INDEX('Game Records'!$U:$U,$H274)="Free Game",INDEX('Game Records'!$U:$U,$H274)="Disqualified — Free Game"),N(INDEX('Game Records'!$H:$H,$H274))&lt;&gt;0),"Free Game has a non-zero Entry Fee. Free Game records require a $0 Entry Fee; ",""))</f>
        <v/>
      </c>
      <c r="G274" s="331" t="str">
        <f>IF($H274="","",IFERROR(INDEX('Game Records'!$M:$M,$H274),""))</f>
        <v/>
      </c>
      <c r="H274" s="104" t="str">
        <f>IF($H273="","",IFERROR(MATCH(1,INDEX((ROW('Game Records'!$U$5:$U$504)&gt;$H273)*(('Game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5" ht="24" customHeight="1">
      <c r="A275" s="332" t="str">
        <f>IF($H275="","",ROWS($A$5:A275))</f>
        <v/>
      </c>
      <c r="B275" s="332" t="str">
        <f>IF($H275="","","G-"&amp;TEXT($A275,"0000"))</f>
        <v/>
      </c>
      <c r="C275" s="331" t="str">
        <f>IF($H275="","",IFERROR(INDEX('Game Records'!$A:$A,$H275),""))</f>
        <v/>
      </c>
      <c r="D275" s="331" t="str">
        <f>IF($H275="","",IFERROR(INDEX('Game Records'!$U:$U,$H275),""))</f>
        <v/>
      </c>
      <c r="E275" s="331" t="str">
        <f>IF($H275="","",IF($F275="","No Highlighted Fields","Highlighted Fields Present"))</f>
        <v/>
      </c>
      <c r="F275" s="331" t="str">
        <f>IF($H275="","",IF(OR(NOT(ISFORMULA(INDEX('Game Records'!$N:$N,$H275))),NOT(ISFORMULA(INDEX('Game Records'!$O:$O,$H275))),NOT(ISFORMULA(INDEX('Game Records'!$P:$P,$H275))),NOT(ISFORMULA(INDEX('Game Records'!$Q:$Q,$H275))),NOT(ISFORMULA(INDEX('Game Records'!$R:$R,$H275))),NOT(ISFORMULA(INDEX('Game Records'!$S:$S,$H275))),NOT(ISFORMULA(INDEX('Game Records'!$T:$T,$H275))),NOT(ISFORMULA(INDEX('Game Records'!$U:$U,$H275))),NOT(ISFORMULA(INDEX('Game Records'!$V:$V,$H275))),NOT(ISFORMULA(INDEX('Game Records'!$W:$W,$H275))),NOT(ISFORMULA(INDEX('Game Records'!$X:$X,$H275))),NOT(ISFORMULA(INDEX('Game Records'!$Y:$Y,$H275))),NOT(ISFORMULA(INDEX('Game Records'!$Z:$Z,$H275)))),"Formula columns missing; ","")&amp;IF(INDEX('Game Records'!$B:$B,$H275)="","Start Date; ","")&amp;IF(INDEX('Game Records'!$C:$C,$H275)="","End Date; ","")&amp;IF(AND(INDEX('Game Records'!$U:$U,$H275)&lt;&gt;"Subscription",INDEX('Game Records'!$U:$U,$H275)&lt;&gt;"Free Game",INDEX('Game Records'!$U:$U,$H275)&lt;&gt;"Disqualified — Free Game",OR(INDEX('Game Records'!$D:$D,$H275)="",LOWER(INDEX('Game Records'!$D:$D,$H275)&amp;"")="n/a")),"Entry Mode; ","")&amp;IF(AND(INDEX('Game Records'!$U:$U,$H275)&lt;&gt;"Subscription",INDEX('Game Records'!$U:$U,$H275)&lt;&gt;"Free Game",INDEX('Game Records'!$U:$U,$H275)&lt;&gt;"Disqualified — Free Game",OR(INDEX('Game Records'!$E:$E,$H275)="",LOWER(INDEX('Game Records'!$E:$E,$H275)&amp;"")="n/a")),"Game Type; ","")&amp;IF(INDEX('Game Records'!$F:$F,$H275)="","Payment Type; ","")&amp;IF(AND(INDEX('Game Records'!$U:$U,$H275)&lt;&gt;"Subscription",INDEX('Game Records'!$U:$U,$H275)&lt;&gt;"Free Game",INDEX('Game Records'!$U:$U,$H275)&lt;&gt;"Disqualified — Free Game",INDEX('Game Records'!$G:$G,$H275)=""),"Gross Pot; ","")&amp;IF(AND(INDEX('Game Records'!$U:$U,$H275)&lt;&gt;"Free Game",INDEX('Game Records'!$U:$U,$H275)&lt;&gt;"Disqualified — Free Game",INDEX('Game Records'!$H:$H,$H275)=""),"Entry Fee; ","")&amp;IF(AND(INDEX('Game Records'!$U:$U,$H275)&lt;&gt;"Subscription",INDEX('Game Records'!$U:$U,$H275)&lt;&gt;"Free Game",INDEX('Game Records'!$U:$U,$H275)&lt;&gt;"Disqualified — Free Game",INDEX('Game Records'!$I:$I,$H275)=""),"Eligible Players; ","")&amp;IF(AND(INDEX('Game Records'!$U:$U,$H275)&lt;&gt;"Subscription",INDEX('Game Records'!$U:$U,$H275)&lt;&gt;"Free Game",INDEX('Game Records'!$U:$U,$H275)&lt;&gt;"Disqualified — Free Game",INDEX('Game Records'!$J:$J,$H275)=""),"Total Players; ","")&amp;IF(AND(LOWER(INDEX('Game Records'!$D:$D,$H275)&amp;"")="finalized",LOWER(INDEX('Game Records'!$L:$L,$H275)&amp;"")&lt;&gt;"yes",INDEX('Game Records'!$U:$U,$H275)&lt;&gt;"Subscription",INDEX('Game Records'!$U:$U,$H275)&lt;&gt;"Free Game",INDEX('Game Records'!$U:$U,$H275)&lt;&gt;"Disqualified — Free Game",INDEX('Game Records'!$K:$K,$H275)=""),"Final Earned; ","")&amp;IF(AND(LOWER(INDEX('Game Records'!$D:$D,$H275)&amp;"")="finalized",INDEX('Game Records'!$U:$U,$H275)&lt;&gt;"Subscription",INDEX('Game Records'!$U:$U,$H275)&lt;&gt;"Free Game",INDEX('Game Records'!$U:$U,$H275)&lt;&gt;"Disqualified — Free Game",OR(INDEX('Game Records'!$L:$L,$H275)="",LOWER(INDEX('Game Records'!$L:$L,$H275)&amp;"")="n/a")),"Disqualified Status; ","")&amp;IF(AND(OR(LOWER(TRIM(INDEX('Game Records'!$F:$F,$H275)&amp;""))="free game",INDEX('Game Records'!$U:$U,$H275)="Free Game",INDEX('Game Records'!$U:$U,$H275)="Disqualified — Free Game"),N(INDEX('Game Records'!$H:$H,$H275))&lt;&gt;0),"Free Game has a non-zero Entry Fee. Free Game records require a $0 Entry Fee; ",""))</f>
        <v/>
      </c>
      <c r="G275" s="331" t="str">
        <f>IF($H275="","",IFERROR(INDEX('Game Records'!$M:$M,$H275),""))</f>
        <v/>
      </c>
      <c r="H275" s="104" t="str">
        <f>IF($H274="","",IFERROR(MATCH(1,INDEX((ROW('Game Records'!$U$5:$U$504)&gt;$H274)*(('Game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6" ht="24" customHeight="1">
      <c r="A276" s="332" t="str">
        <f>IF($H276="","",ROWS($A$5:A276))</f>
        <v/>
      </c>
      <c r="B276" s="332" t="str">
        <f>IF($H276="","","G-"&amp;TEXT($A276,"0000"))</f>
        <v/>
      </c>
      <c r="C276" s="331" t="str">
        <f>IF($H276="","",IFERROR(INDEX('Game Records'!$A:$A,$H276),""))</f>
        <v/>
      </c>
      <c r="D276" s="331" t="str">
        <f>IF($H276="","",IFERROR(INDEX('Game Records'!$U:$U,$H276),""))</f>
        <v/>
      </c>
      <c r="E276" s="331" t="str">
        <f>IF($H276="","",IF($F276="","No Highlighted Fields","Highlighted Fields Present"))</f>
        <v/>
      </c>
      <c r="F276" s="331" t="str">
        <f>IF($H276="","",IF(OR(NOT(ISFORMULA(INDEX('Game Records'!$N:$N,$H276))),NOT(ISFORMULA(INDEX('Game Records'!$O:$O,$H276))),NOT(ISFORMULA(INDEX('Game Records'!$P:$P,$H276))),NOT(ISFORMULA(INDEX('Game Records'!$Q:$Q,$H276))),NOT(ISFORMULA(INDEX('Game Records'!$R:$R,$H276))),NOT(ISFORMULA(INDEX('Game Records'!$S:$S,$H276))),NOT(ISFORMULA(INDEX('Game Records'!$T:$T,$H276))),NOT(ISFORMULA(INDEX('Game Records'!$U:$U,$H276))),NOT(ISFORMULA(INDEX('Game Records'!$V:$V,$H276))),NOT(ISFORMULA(INDEX('Game Records'!$W:$W,$H276))),NOT(ISFORMULA(INDEX('Game Records'!$X:$X,$H276))),NOT(ISFORMULA(INDEX('Game Records'!$Y:$Y,$H276))),NOT(ISFORMULA(INDEX('Game Records'!$Z:$Z,$H276)))),"Formula columns missing; ","")&amp;IF(INDEX('Game Records'!$B:$B,$H276)="","Start Date; ","")&amp;IF(INDEX('Game Records'!$C:$C,$H276)="","End Date; ","")&amp;IF(AND(INDEX('Game Records'!$U:$U,$H276)&lt;&gt;"Subscription",INDEX('Game Records'!$U:$U,$H276)&lt;&gt;"Free Game",INDEX('Game Records'!$U:$U,$H276)&lt;&gt;"Disqualified — Free Game",OR(INDEX('Game Records'!$D:$D,$H276)="",LOWER(INDEX('Game Records'!$D:$D,$H276)&amp;"")="n/a")),"Entry Mode; ","")&amp;IF(AND(INDEX('Game Records'!$U:$U,$H276)&lt;&gt;"Subscription",INDEX('Game Records'!$U:$U,$H276)&lt;&gt;"Free Game",INDEX('Game Records'!$U:$U,$H276)&lt;&gt;"Disqualified — Free Game",OR(INDEX('Game Records'!$E:$E,$H276)="",LOWER(INDEX('Game Records'!$E:$E,$H276)&amp;"")="n/a")),"Game Type; ","")&amp;IF(INDEX('Game Records'!$F:$F,$H276)="","Payment Type; ","")&amp;IF(AND(INDEX('Game Records'!$U:$U,$H276)&lt;&gt;"Subscription",INDEX('Game Records'!$U:$U,$H276)&lt;&gt;"Free Game",INDEX('Game Records'!$U:$U,$H276)&lt;&gt;"Disqualified — Free Game",INDEX('Game Records'!$G:$G,$H276)=""),"Gross Pot; ","")&amp;IF(AND(INDEX('Game Records'!$U:$U,$H276)&lt;&gt;"Free Game",INDEX('Game Records'!$U:$U,$H276)&lt;&gt;"Disqualified — Free Game",INDEX('Game Records'!$H:$H,$H276)=""),"Entry Fee; ","")&amp;IF(AND(INDEX('Game Records'!$U:$U,$H276)&lt;&gt;"Subscription",INDEX('Game Records'!$U:$U,$H276)&lt;&gt;"Free Game",INDEX('Game Records'!$U:$U,$H276)&lt;&gt;"Disqualified — Free Game",INDEX('Game Records'!$I:$I,$H276)=""),"Eligible Players; ","")&amp;IF(AND(INDEX('Game Records'!$U:$U,$H276)&lt;&gt;"Subscription",INDEX('Game Records'!$U:$U,$H276)&lt;&gt;"Free Game",INDEX('Game Records'!$U:$U,$H276)&lt;&gt;"Disqualified — Free Game",INDEX('Game Records'!$J:$J,$H276)=""),"Total Players; ","")&amp;IF(AND(LOWER(INDEX('Game Records'!$D:$D,$H276)&amp;"")="finalized",LOWER(INDEX('Game Records'!$L:$L,$H276)&amp;"")&lt;&gt;"yes",INDEX('Game Records'!$U:$U,$H276)&lt;&gt;"Subscription",INDEX('Game Records'!$U:$U,$H276)&lt;&gt;"Free Game",INDEX('Game Records'!$U:$U,$H276)&lt;&gt;"Disqualified — Free Game",INDEX('Game Records'!$K:$K,$H276)=""),"Final Earned; ","")&amp;IF(AND(LOWER(INDEX('Game Records'!$D:$D,$H276)&amp;"")="finalized",INDEX('Game Records'!$U:$U,$H276)&lt;&gt;"Subscription",INDEX('Game Records'!$U:$U,$H276)&lt;&gt;"Free Game",INDEX('Game Records'!$U:$U,$H276)&lt;&gt;"Disqualified — Free Game",OR(INDEX('Game Records'!$L:$L,$H276)="",LOWER(INDEX('Game Records'!$L:$L,$H276)&amp;"")="n/a")),"Disqualified Status; ","")&amp;IF(AND(OR(LOWER(TRIM(INDEX('Game Records'!$F:$F,$H276)&amp;""))="free game",INDEX('Game Records'!$U:$U,$H276)="Free Game",INDEX('Game Records'!$U:$U,$H276)="Disqualified — Free Game"),N(INDEX('Game Records'!$H:$H,$H276))&lt;&gt;0),"Free Game has a non-zero Entry Fee. Free Game records require a $0 Entry Fee; ",""))</f>
        <v/>
      </c>
      <c r="G276" s="331" t="str">
        <f>IF($H276="","",IFERROR(INDEX('Game Records'!$M:$M,$H276),""))</f>
        <v/>
      </c>
      <c r="H276" s="104" t="str">
        <f>IF($H275="","",IFERROR(MATCH(1,INDEX((ROW('Game Records'!$U$5:$U$504)&gt;$H275)*(('Game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7" ht="24" customHeight="1">
      <c r="A277" s="332" t="str">
        <f>IF($H277="","",ROWS($A$5:A277))</f>
        <v/>
      </c>
      <c r="B277" s="332" t="str">
        <f>IF($H277="","","G-"&amp;TEXT($A277,"0000"))</f>
        <v/>
      </c>
      <c r="C277" s="331" t="str">
        <f>IF($H277="","",IFERROR(INDEX('Game Records'!$A:$A,$H277),""))</f>
        <v/>
      </c>
      <c r="D277" s="331" t="str">
        <f>IF($H277="","",IFERROR(INDEX('Game Records'!$U:$U,$H277),""))</f>
        <v/>
      </c>
      <c r="E277" s="331" t="str">
        <f>IF($H277="","",IF($F277="","No Highlighted Fields","Highlighted Fields Present"))</f>
        <v/>
      </c>
      <c r="F277" s="331" t="str">
        <f>IF($H277="","",IF(OR(NOT(ISFORMULA(INDEX('Game Records'!$N:$N,$H277))),NOT(ISFORMULA(INDEX('Game Records'!$O:$O,$H277))),NOT(ISFORMULA(INDEX('Game Records'!$P:$P,$H277))),NOT(ISFORMULA(INDEX('Game Records'!$Q:$Q,$H277))),NOT(ISFORMULA(INDEX('Game Records'!$R:$R,$H277))),NOT(ISFORMULA(INDEX('Game Records'!$S:$S,$H277))),NOT(ISFORMULA(INDEX('Game Records'!$T:$T,$H277))),NOT(ISFORMULA(INDEX('Game Records'!$U:$U,$H277))),NOT(ISFORMULA(INDEX('Game Records'!$V:$V,$H277))),NOT(ISFORMULA(INDEX('Game Records'!$W:$W,$H277))),NOT(ISFORMULA(INDEX('Game Records'!$X:$X,$H277))),NOT(ISFORMULA(INDEX('Game Records'!$Y:$Y,$H277))),NOT(ISFORMULA(INDEX('Game Records'!$Z:$Z,$H277)))),"Formula columns missing; ","")&amp;IF(INDEX('Game Records'!$B:$B,$H277)="","Start Date; ","")&amp;IF(INDEX('Game Records'!$C:$C,$H277)="","End Date; ","")&amp;IF(AND(INDEX('Game Records'!$U:$U,$H277)&lt;&gt;"Subscription",INDEX('Game Records'!$U:$U,$H277)&lt;&gt;"Free Game",INDEX('Game Records'!$U:$U,$H277)&lt;&gt;"Disqualified — Free Game",OR(INDEX('Game Records'!$D:$D,$H277)="",LOWER(INDEX('Game Records'!$D:$D,$H277)&amp;"")="n/a")),"Entry Mode; ","")&amp;IF(AND(INDEX('Game Records'!$U:$U,$H277)&lt;&gt;"Subscription",INDEX('Game Records'!$U:$U,$H277)&lt;&gt;"Free Game",INDEX('Game Records'!$U:$U,$H277)&lt;&gt;"Disqualified — Free Game",OR(INDEX('Game Records'!$E:$E,$H277)="",LOWER(INDEX('Game Records'!$E:$E,$H277)&amp;"")="n/a")),"Game Type; ","")&amp;IF(INDEX('Game Records'!$F:$F,$H277)="","Payment Type; ","")&amp;IF(AND(INDEX('Game Records'!$U:$U,$H277)&lt;&gt;"Subscription",INDEX('Game Records'!$U:$U,$H277)&lt;&gt;"Free Game",INDEX('Game Records'!$U:$U,$H277)&lt;&gt;"Disqualified — Free Game",INDEX('Game Records'!$G:$G,$H277)=""),"Gross Pot; ","")&amp;IF(AND(INDEX('Game Records'!$U:$U,$H277)&lt;&gt;"Free Game",INDEX('Game Records'!$U:$U,$H277)&lt;&gt;"Disqualified — Free Game",INDEX('Game Records'!$H:$H,$H277)=""),"Entry Fee; ","")&amp;IF(AND(INDEX('Game Records'!$U:$U,$H277)&lt;&gt;"Subscription",INDEX('Game Records'!$U:$U,$H277)&lt;&gt;"Free Game",INDEX('Game Records'!$U:$U,$H277)&lt;&gt;"Disqualified — Free Game",INDEX('Game Records'!$I:$I,$H277)=""),"Eligible Players; ","")&amp;IF(AND(INDEX('Game Records'!$U:$U,$H277)&lt;&gt;"Subscription",INDEX('Game Records'!$U:$U,$H277)&lt;&gt;"Free Game",INDEX('Game Records'!$U:$U,$H277)&lt;&gt;"Disqualified — Free Game",INDEX('Game Records'!$J:$J,$H277)=""),"Total Players; ","")&amp;IF(AND(LOWER(INDEX('Game Records'!$D:$D,$H277)&amp;"")="finalized",LOWER(INDEX('Game Records'!$L:$L,$H277)&amp;"")&lt;&gt;"yes",INDEX('Game Records'!$U:$U,$H277)&lt;&gt;"Subscription",INDEX('Game Records'!$U:$U,$H277)&lt;&gt;"Free Game",INDEX('Game Records'!$U:$U,$H277)&lt;&gt;"Disqualified — Free Game",INDEX('Game Records'!$K:$K,$H277)=""),"Final Earned; ","")&amp;IF(AND(LOWER(INDEX('Game Records'!$D:$D,$H277)&amp;"")="finalized",INDEX('Game Records'!$U:$U,$H277)&lt;&gt;"Subscription",INDEX('Game Records'!$U:$U,$H277)&lt;&gt;"Free Game",INDEX('Game Records'!$U:$U,$H277)&lt;&gt;"Disqualified — Free Game",OR(INDEX('Game Records'!$L:$L,$H277)="",LOWER(INDEX('Game Records'!$L:$L,$H277)&amp;"")="n/a")),"Disqualified Status; ","")&amp;IF(AND(OR(LOWER(TRIM(INDEX('Game Records'!$F:$F,$H277)&amp;""))="free game",INDEX('Game Records'!$U:$U,$H277)="Free Game",INDEX('Game Records'!$U:$U,$H277)="Disqualified — Free Game"),N(INDEX('Game Records'!$H:$H,$H277))&lt;&gt;0),"Free Game has a non-zero Entry Fee. Free Game records require a $0 Entry Fee; ",""))</f>
        <v/>
      </c>
      <c r="G277" s="331" t="str">
        <f>IF($H277="","",IFERROR(INDEX('Game Records'!$M:$M,$H277),""))</f>
        <v/>
      </c>
      <c r="H277" s="104" t="str">
        <f>IF($H276="","",IFERROR(MATCH(1,INDEX((ROW('Game Records'!$U$5:$U$504)&gt;$H276)*(('Game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8" ht="24" customHeight="1">
      <c r="A278" s="332" t="str">
        <f>IF($H278="","",ROWS($A$5:A278))</f>
        <v/>
      </c>
      <c r="B278" s="332" t="str">
        <f>IF($H278="","","G-"&amp;TEXT($A278,"0000"))</f>
        <v/>
      </c>
      <c r="C278" s="331" t="str">
        <f>IF($H278="","",IFERROR(INDEX('Game Records'!$A:$A,$H278),""))</f>
        <v/>
      </c>
      <c r="D278" s="331" t="str">
        <f>IF($H278="","",IFERROR(INDEX('Game Records'!$U:$U,$H278),""))</f>
        <v/>
      </c>
      <c r="E278" s="331" t="str">
        <f>IF($H278="","",IF($F278="","No Highlighted Fields","Highlighted Fields Present"))</f>
        <v/>
      </c>
      <c r="F278" s="331" t="str">
        <f>IF($H278="","",IF(OR(NOT(ISFORMULA(INDEX('Game Records'!$N:$N,$H278))),NOT(ISFORMULA(INDEX('Game Records'!$O:$O,$H278))),NOT(ISFORMULA(INDEX('Game Records'!$P:$P,$H278))),NOT(ISFORMULA(INDEX('Game Records'!$Q:$Q,$H278))),NOT(ISFORMULA(INDEX('Game Records'!$R:$R,$H278))),NOT(ISFORMULA(INDEX('Game Records'!$S:$S,$H278))),NOT(ISFORMULA(INDEX('Game Records'!$T:$T,$H278))),NOT(ISFORMULA(INDEX('Game Records'!$U:$U,$H278))),NOT(ISFORMULA(INDEX('Game Records'!$V:$V,$H278))),NOT(ISFORMULA(INDEX('Game Records'!$W:$W,$H278))),NOT(ISFORMULA(INDEX('Game Records'!$X:$X,$H278))),NOT(ISFORMULA(INDEX('Game Records'!$Y:$Y,$H278))),NOT(ISFORMULA(INDEX('Game Records'!$Z:$Z,$H278)))),"Formula columns missing; ","")&amp;IF(INDEX('Game Records'!$B:$B,$H278)="","Start Date; ","")&amp;IF(INDEX('Game Records'!$C:$C,$H278)="","End Date; ","")&amp;IF(AND(INDEX('Game Records'!$U:$U,$H278)&lt;&gt;"Subscription",INDEX('Game Records'!$U:$U,$H278)&lt;&gt;"Free Game",INDEX('Game Records'!$U:$U,$H278)&lt;&gt;"Disqualified — Free Game",OR(INDEX('Game Records'!$D:$D,$H278)="",LOWER(INDEX('Game Records'!$D:$D,$H278)&amp;"")="n/a")),"Entry Mode; ","")&amp;IF(AND(INDEX('Game Records'!$U:$U,$H278)&lt;&gt;"Subscription",INDEX('Game Records'!$U:$U,$H278)&lt;&gt;"Free Game",INDEX('Game Records'!$U:$U,$H278)&lt;&gt;"Disqualified — Free Game",OR(INDEX('Game Records'!$E:$E,$H278)="",LOWER(INDEX('Game Records'!$E:$E,$H278)&amp;"")="n/a")),"Game Type; ","")&amp;IF(INDEX('Game Records'!$F:$F,$H278)="","Payment Type; ","")&amp;IF(AND(INDEX('Game Records'!$U:$U,$H278)&lt;&gt;"Subscription",INDEX('Game Records'!$U:$U,$H278)&lt;&gt;"Free Game",INDEX('Game Records'!$U:$U,$H278)&lt;&gt;"Disqualified — Free Game",INDEX('Game Records'!$G:$G,$H278)=""),"Gross Pot; ","")&amp;IF(AND(INDEX('Game Records'!$U:$U,$H278)&lt;&gt;"Free Game",INDEX('Game Records'!$U:$U,$H278)&lt;&gt;"Disqualified — Free Game",INDEX('Game Records'!$H:$H,$H278)=""),"Entry Fee; ","")&amp;IF(AND(INDEX('Game Records'!$U:$U,$H278)&lt;&gt;"Subscription",INDEX('Game Records'!$U:$U,$H278)&lt;&gt;"Free Game",INDEX('Game Records'!$U:$U,$H278)&lt;&gt;"Disqualified — Free Game",INDEX('Game Records'!$I:$I,$H278)=""),"Eligible Players; ","")&amp;IF(AND(INDEX('Game Records'!$U:$U,$H278)&lt;&gt;"Subscription",INDEX('Game Records'!$U:$U,$H278)&lt;&gt;"Free Game",INDEX('Game Records'!$U:$U,$H278)&lt;&gt;"Disqualified — Free Game",INDEX('Game Records'!$J:$J,$H278)=""),"Total Players; ","")&amp;IF(AND(LOWER(INDEX('Game Records'!$D:$D,$H278)&amp;"")="finalized",LOWER(INDEX('Game Records'!$L:$L,$H278)&amp;"")&lt;&gt;"yes",INDEX('Game Records'!$U:$U,$H278)&lt;&gt;"Subscription",INDEX('Game Records'!$U:$U,$H278)&lt;&gt;"Free Game",INDEX('Game Records'!$U:$U,$H278)&lt;&gt;"Disqualified — Free Game",INDEX('Game Records'!$K:$K,$H278)=""),"Final Earned; ","")&amp;IF(AND(LOWER(INDEX('Game Records'!$D:$D,$H278)&amp;"")="finalized",INDEX('Game Records'!$U:$U,$H278)&lt;&gt;"Subscription",INDEX('Game Records'!$U:$U,$H278)&lt;&gt;"Free Game",INDEX('Game Records'!$U:$U,$H278)&lt;&gt;"Disqualified — Free Game",OR(INDEX('Game Records'!$L:$L,$H278)="",LOWER(INDEX('Game Records'!$L:$L,$H278)&amp;"")="n/a")),"Disqualified Status; ","")&amp;IF(AND(OR(LOWER(TRIM(INDEX('Game Records'!$F:$F,$H278)&amp;""))="free game",INDEX('Game Records'!$U:$U,$H278)="Free Game",INDEX('Game Records'!$U:$U,$H278)="Disqualified — Free Game"),N(INDEX('Game Records'!$H:$H,$H278))&lt;&gt;0),"Free Game has a non-zero Entry Fee. Free Game records require a $0 Entry Fee; ",""))</f>
        <v/>
      </c>
      <c r="G278" s="331" t="str">
        <f>IF($H278="","",IFERROR(INDEX('Game Records'!$M:$M,$H278),""))</f>
        <v/>
      </c>
      <c r="H278" s="104" t="str">
        <f>IF($H277="","",IFERROR(MATCH(1,INDEX((ROW('Game Records'!$U$5:$U$504)&gt;$H277)*(('Game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9" ht="24" customHeight="1">
      <c r="A279" s="332" t="str">
        <f>IF($H279="","",ROWS($A$5:A279))</f>
        <v/>
      </c>
      <c r="B279" s="332" t="str">
        <f>IF($H279="","","G-"&amp;TEXT($A279,"0000"))</f>
        <v/>
      </c>
      <c r="C279" s="331" t="str">
        <f>IF($H279="","",IFERROR(INDEX('Game Records'!$A:$A,$H279),""))</f>
        <v/>
      </c>
      <c r="D279" s="331" t="str">
        <f>IF($H279="","",IFERROR(INDEX('Game Records'!$U:$U,$H279),""))</f>
        <v/>
      </c>
      <c r="E279" s="331" t="str">
        <f>IF($H279="","",IF($F279="","No Highlighted Fields","Highlighted Fields Present"))</f>
        <v/>
      </c>
      <c r="F279" s="331" t="str">
        <f>IF($H279="","",IF(OR(NOT(ISFORMULA(INDEX('Game Records'!$N:$N,$H279))),NOT(ISFORMULA(INDEX('Game Records'!$O:$O,$H279))),NOT(ISFORMULA(INDEX('Game Records'!$P:$P,$H279))),NOT(ISFORMULA(INDEX('Game Records'!$Q:$Q,$H279))),NOT(ISFORMULA(INDEX('Game Records'!$R:$R,$H279))),NOT(ISFORMULA(INDEX('Game Records'!$S:$S,$H279))),NOT(ISFORMULA(INDEX('Game Records'!$T:$T,$H279))),NOT(ISFORMULA(INDEX('Game Records'!$U:$U,$H279))),NOT(ISFORMULA(INDEX('Game Records'!$V:$V,$H279))),NOT(ISFORMULA(INDEX('Game Records'!$W:$W,$H279))),NOT(ISFORMULA(INDEX('Game Records'!$X:$X,$H279))),NOT(ISFORMULA(INDEX('Game Records'!$Y:$Y,$H279))),NOT(ISFORMULA(INDEX('Game Records'!$Z:$Z,$H279)))),"Formula columns missing; ","")&amp;IF(INDEX('Game Records'!$B:$B,$H279)="","Start Date; ","")&amp;IF(INDEX('Game Records'!$C:$C,$H279)="","End Date; ","")&amp;IF(AND(INDEX('Game Records'!$U:$U,$H279)&lt;&gt;"Subscription",INDEX('Game Records'!$U:$U,$H279)&lt;&gt;"Free Game",INDEX('Game Records'!$U:$U,$H279)&lt;&gt;"Disqualified — Free Game",OR(INDEX('Game Records'!$D:$D,$H279)="",LOWER(INDEX('Game Records'!$D:$D,$H279)&amp;"")="n/a")),"Entry Mode; ","")&amp;IF(AND(INDEX('Game Records'!$U:$U,$H279)&lt;&gt;"Subscription",INDEX('Game Records'!$U:$U,$H279)&lt;&gt;"Free Game",INDEX('Game Records'!$U:$U,$H279)&lt;&gt;"Disqualified — Free Game",OR(INDEX('Game Records'!$E:$E,$H279)="",LOWER(INDEX('Game Records'!$E:$E,$H279)&amp;"")="n/a")),"Game Type; ","")&amp;IF(INDEX('Game Records'!$F:$F,$H279)="","Payment Type; ","")&amp;IF(AND(INDEX('Game Records'!$U:$U,$H279)&lt;&gt;"Subscription",INDEX('Game Records'!$U:$U,$H279)&lt;&gt;"Free Game",INDEX('Game Records'!$U:$U,$H279)&lt;&gt;"Disqualified — Free Game",INDEX('Game Records'!$G:$G,$H279)=""),"Gross Pot; ","")&amp;IF(AND(INDEX('Game Records'!$U:$U,$H279)&lt;&gt;"Free Game",INDEX('Game Records'!$U:$U,$H279)&lt;&gt;"Disqualified — Free Game",INDEX('Game Records'!$H:$H,$H279)=""),"Entry Fee; ","")&amp;IF(AND(INDEX('Game Records'!$U:$U,$H279)&lt;&gt;"Subscription",INDEX('Game Records'!$U:$U,$H279)&lt;&gt;"Free Game",INDEX('Game Records'!$U:$U,$H279)&lt;&gt;"Disqualified — Free Game",INDEX('Game Records'!$I:$I,$H279)=""),"Eligible Players; ","")&amp;IF(AND(INDEX('Game Records'!$U:$U,$H279)&lt;&gt;"Subscription",INDEX('Game Records'!$U:$U,$H279)&lt;&gt;"Free Game",INDEX('Game Records'!$U:$U,$H279)&lt;&gt;"Disqualified — Free Game",INDEX('Game Records'!$J:$J,$H279)=""),"Total Players; ","")&amp;IF(AND(LOWER(INDEX('Game Records'!$D:$D,$H279)&amp;"")="finalized",LOWER(INDEX('Game Records'!$L:$L,$H279)&amp;"")&lt;&gt;"yes",INDEX('Game Records'!$U:$U,$H279)&lt;&gt;"Subscription",INDEX('Game Records'!$U:$U,$H279)&lt;&gt;"Free Game",INDEX('Game Records'!$U:$U,$H279)&lt;&gt;"Disqualified — Free Game",INDEX('Game Records'!$K:$K,$H279)=""),"Final Earned; ","")&amp;IF(AND(LOWER(INDEX('Game Records'!$D:$D,$H279)&amp;"")="finalized",INDEX('Game Records'!$U:$U,$H279)&lt;&gt;"Subscription",INDEX('Game Records'!$U:$U,$H279)&lt;&gt;"Free Game",INDEX('Game Records'!$U:$U,$H279)&lt;&gt;"Disqualified — Free Game",OR(INDEX('Game Records'!$L:$L,$H279)="",LOWER(INDEX('Game Records'!$L:$L,$H279)&amp;"")="n/a")),"Disqualified Status; ","")&amp;IF(AND(OR(LOWER(TRIM(INDEX('Game Records'!$F:$F,$H279)&amp;""))="free game",INDEX('Game Records'!$U:$U,$H279)="Free Game",INDEX('Game Records'!$U:$U,$H279)="Disqualified — Free Game"),N(INDEX('Game Records'!$H:$H,$H279))&lt;&gt;0),"Free Game has a non-zero Entry Fee. Free Game records require a $0 Entry Fee; ",""))</f>
        <v/>
      </c>
      <c r="G279" s="331" t="str">
        <f>IF($H279="","",IFERROR(INDEX('Game Records'!$M:$M,$H279),""))</f>
        <v/>
      </c>
      <c r="H279" s="104" t="str">
        <f>IF($H278="","",IFERROR(MATCH(1,INDEX((ROW('Game Records'!$U$5:$U$504)&gt;$H278)*(('Game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0" ht="24" customHeight="1">
      <c r="A280" s="332" t="str">
        <f>IF($H280="","",ROWS($A$5:A280))</f>
        <v/>
      </c>
      <c r="B280" s="332" t="str">
        <f>IF($H280="","","G-"&amp;TEXT($A280,"0000"))</f>
        <v/>
      </c>
      <c r="C280" s="331" t="str">
        <f>IF($H280="","",IFERROR(INDEX('Game Records'!$A:$A,$H280),""))</f>
        <v/>
      </c>
      <c r="D280" s="331" t="str">
        <f>IF($H280="","",IFERROR(INDEX('Game Records'!$U:$U,$H280),""))</f>
        <v/>
      </c>
      <c r="E280" s="331" t="str">
        <f>IF($H280="","",IF($F280="","No Highlighted Fields","Highlighted Fields Present"))</f>
        <v/>
      </c>
      <c r="F280" s="331" t="str">
        <f>IF($H280="","",IF(OR(NOT(ISFORMULA(INDEX('Game Records'!$N:$N,$H280))),NOT(ISFORMULA(INDEX('Game Records'!$O:$O,$H280))),NOT(ISFORMULA(INDEX('Game Records'!$P:$P,$H280))),NOT(ISFORMULA(INDEX('Game Records'!$Q:$Q,$H280))),NOT(ISFORMULA(INDEX('Game Records'!$R:$R,$H280))),NOT(ISFORMULA(INDEX('Game Records'!$S:$S,$H280))),NOT(ISFORMULA(INDEX('Game Records'!$T:$T,$H280))),NOT(ISFORMULA(INDEX('Game Records'!$U:$U,$H280))),NOT(ISFORMULA(INDEX('Game Records'!$V:$V,$H280))),NOT(ISFORMULA(INDEX('Game Records'!$W:$W,$H280))),NOT(ISFORMULA(INDEX('Game Records'!$X:$X,$H280))),NOT(ISFORMULA(INDEX('Game Records'!$Y:$Y,$H280))),NOT(ISFORMULA(INDEX('Game Records'!$Z:$Z,$H280)))),"Formula columns missing; ","")&amp;IF(INDEX('Game Records'!$B:$B,$H280)="","Start Date; ","")&amp;IF(INDEX('Game Records'!$C:$C,$H280)="","End Date; ","")&amp;IF(AND(INDEX('Game Records'!$U:$U,$H280)&lt;&gt;"Subscription",INDEX('Game Records'!$U:$U,$H280)&lt;&gt;"Free Game",INDEX('Game Records'!$U:$U,$H280)&lt;&gt;"Disqualified — Free Game",OR(INDEX('Game Records'!$D:$D,$H280)="",LOWER(INDEX('Game Records'!$D:$D,$H280)&amp;"")="n/a")),"Entry Mode; ","")&amp;IF(AND(INDEX('Game Records'!$U:$U,$H280)&lt;&gt;"Subscription",INDEX('Game Records'!$U:$U,$H280)&lt;&gt;"Free Game",INDEX('Game Records'!$U:$U,$H280)&lt;&gt;"Disqualified — Free Game",OR(INDEX('Game Records'!$E:$E,$H280)="",LOWER(INDEX('Game Records'!$E:$E,$H280)&amp;"")="n/a")),"Game Type; ","")&amp;IF(INDEX('Game Records'!$F:$F,$H280)="","Payment Type; ","")&amp;IF(AND(INDEX('Game Records'!$U:$U,$H280)&lt;&gt;"Subscription",INDEX('Game Records'!$U:$U,$H280)&lt;&gt;"Free Game",INDEX('Game Records'!$U:$U,$H280)&lt;&gt;"Disqualified — Free Game",INDEX('Game Records'!$G:$G,$H280)=""),"Gross Pot; ","")&amp;IF(AND(INDEX('Game Records'!$U:$U,$H280)&lt;&gt;"Free Game",INDEX('Game Records'!$U:$U,$H280)&lt;&gt;"Disqualified — Free Game",INDEX('Game Records'!$H:$H,$H280)=""),"Entry Fee; ","")&amp;IF(AND(INDEX('Game Records'!$U:$U,$H280)&lt;&gt;"Subscription",INDEX('Game Records'!$U:$U,$H280)&lt;&gt;"Free Game",INDEX('Game Records'!$U:$U,$H280)&lt;&gt;"Disqualified — Free Game",INDEX('Game Records'!$I:$I,$H280)=""),"Eligible Players; ","")&amp;IF(AND(INDEX('Game Records'!$U:$U,$H280)&lt;&gt;"Subscription",INDEX('Game Records'!$U:$U,$H280)&lt;&gt;"Free Game",INDEX('Game Records'!$U:$U,$H280)&lt;&gt;"Disqualified — Free Game",INDEX('Game Records'!$J:$J,$H280)=""),"Total Players; ","")&amp;IF(AND(LOWER(INDEX('Game Records'!$D:$D,$H280)&amp;"")="finalized",LOWER(INDEX('Game Records'!$L:$L,$H280)&amp;"")&lt;&gt;"yes",INDEX('Game Records'!$U:$U,$H280)&lt;&gt;"Subscription",INDEX('Game Records'!$U:$U,$H280)&lt;&gt;"Free Game",INDEX('Game Records'!$U:$U,$H280)&lt;&gt;"Disqualified — Free Game",INDEX('Game Records'!$K:$K,$H280)=""),"Final Earned; ","")&amp;IF(AND(LOWER(INDEX('Game Records'!$D:$D,$H280)&amp;"")="finalized",INDEX('Game Records'!$U:$U,$H280)&lt;&gt;"Subscription",INDEX('Game Records'!$U:$U,$H280)&lt;&gt;"Free Game",INDEX('Game Records'!$U:$U,$H280)&lt;&gt;"Disqualified — Free Game",OR(INDEX('Game Records'!$L:$L,$H280)="",LOWER(INDEX('Game Records'!$L:$L,$H280)&amp;"")="n/a")),"Disqualified Status; ","")&amp;IF(AND(OR(LOWER(TRIM(INDEX('Game Records'!$F:$F,$H280)&amp;""))="free game",INDEX('Game Records'!$U:$U,$H280)="Free Game",INDEX('Game Records'!$U:$U,$H280)="Disqualified — Free Game"),N(INDEX('Game Records'!$H:$H,$H280))&lt;&gt;0),"Free Game has a non-zero Entry Fee. Free Game records require a $0 Entry Fee; ",""))</f>
        <v/>
      </c>
      <c r="G280" s="331" t="str">
        <f>IF($H280="","",IFERROR(INDEX('Game Records'!$M:$M,$H280),""))</f>
        <v/>
      </c>
      <c r="H280" s="104" t="str">
        <f>IF($H279="","",IFERROR(MATCH(1,INDEX((ROW('Game Records'!$U$5:$U$504)&gt;$H279)*(('Game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1" ht="24" customHeight="1">
      <c r="A281" s="332" t="str">
        <f>IF($H281="","",ROWS($A$5:A281))</f>
        <v/>
      </c>
      <c r="B281" s="332" t="str">
        <f>IF($H281="","","G-"&amp;TEXT($A281,"0000"))</f>
        <v/>
      </c>
      <c r="C281" s="331" t="str">
        <f>IF($H281="","",IFERROR(INDEX('Game Records'!$A:$A,$H281),""))</f>
        <v/>
      </c>
      <c r="D281" s="331" t="str">
        <f>IF($H281="","",IFERROR(INDEX('Game Records'!$U:$U,$H281),""))</f>
        <v/>
      </c>
      <c r="E281" s="331" t="str">
        <f>IF($H281="","",IF($F281="","No Highlighted Fields","Highlighted Fields Present"))</f>
        <v/>
      </c>
      <c r="F281" s="331" t="str">
        <f>IF($H281="","",IF(OR(NOT(ISFORMULA(INDEX('Game Records'!$N:$N,$H281))),NOT(ISFORMULA(INDEX('Game Records'!$O:$O,$H281))),NOT(ISFORMULA(INDEX('Game Records'!$P:$P,$H281))),NOT(ISFORMULA(INDEX('Game Records'!$Q:$Q,$H281))),NOT(ISFORMULA(INDEX('Game Records'!$R:$R,$H281))),NOT(ISFORMULA(INDEX('Game Records'!$S:$S,$H281))),NOT(ISFORMULA(INDEX('Game Records'!$T:$T,$H281))),NOT(ISFORMULA(INDEX('Game Records'!$U:$U,$H281))),NOT(ISFORMULA(INDEX('Game Records'!$V:$V,$H281))),NOT(ISFORMULA(INDEX('Game Records'!$W:$W,$H281))),NOT(ISFORMULA(INDEX('Game Records'!$X:$X,$H281))),NOT(ISFORMULA(INDEX('Game Records'!$Y:$Y,$H281))),NOT(ISFORMULA(INDEX('Game Records'!$Z:$Z,$H281)))),"Formula columns missing; ","")&amp;IF(INDEX('Game Records'!$B:$B,$H281)="","Start Date; ","")&amp;IF(INDEX('Game Records'!$C:$C,$H281)="","End Date; ","")&amp;IF(AND(INDEX('Game Records'!$U:$U,$H281)&lt;&gt;"Subscription",INDEX('Game Records'!$U:$U,$H281)&lt;&gt;"Free Game",INDEX('Game Records'!$U:$U,$H281)&lt;&gt;"Disqualified — Free Game",OR(INDEX('Game Records'!$D:$D,$H281)="",LOWER(INDEX('Game Records'!$D:$D,$H281)&amp;"")="n/a")),"Entry Mode; ","")&amp;IF(AND(INDEX('Game Records'!$U:$U,$H281)&lt;&gt;"Subscription",INDEX('Game Records'!$U:$U,$H281)&lt;&gt;"Free Game",INDEX('Game Records'!$U:$U,$H281)&lt;&gt;"Disqualified — Free Game",OR(INDEX('Game Records'!$E:$E,$H281)="",LOWER(INDEX('Game Records'!$E:$E,$H281)&amp;"")="n/a")),"Game Type; ","")&amp;IF(INDEX('Game Records'!$F:$F,$H281)="","Payment Type; ","")&amp;IF(AND(INDEX('Game Records'!$U:$U,$H281)&lt;&gt;"Subscription",INDEX('Game Records'!$U:$U,$H281)&lt;&gt;"Free Game",INDEX('Game Records'!$U:$U,$H281)&lt;&gt;"Disqualified — Free Game",INDEX('Game Records'!$G:$G,$H281)=""),"Gross Pot; ","")&amp;IF(AND(INDEX('Game Records'!$U:$U,$H281)&lt;&gt;"Free Game",INDEX('Game Records'!$U:$U,$H281)&lt;&gt;"Disqualified — Free Game",INDEX('Game Records'!$H:$H,$H281)=""),"Entry Fee; ","")&amp;IF(AND(INDEX('Game Records'!$U:$U,$H281)&lt;&gt;"Subscription",INDEX('Game Records'!$U:$U,$H281)&lt;&gt;"Free Game",INDEX('Game Records'!$U:$U,$H281)&lt;&gt;"Disqualified — Free Game",INDEX('Game Records'!$I:$I,$H281)=""),"Eligible Players; ","")&amp;IF(AND(INDEX('Game Records'!$U:$U,$H281)&lt;&gt;"Subscription",INDEX('Game Records'!$U:$U,$H281)&lt;&gt;"Free Game",INDEX('Game Records'!$U:$U,$H281)&lt;&gt;"Disqualified — Free Game",INDEX('Game Records'!$J:$J,$H281)=""),"Total Players; ","")&amp;IF(AND(LOWER(INDEX('Game Records'!$D:$D,$H281)&amp;"")="finalized",LOWER(INDEX('Game Records'!$L:$L,$H281)&amp;"")&lt;&gt;"yes",INDEX('Game Records'!$U:$U,$H281)&lt;&gt;"Subscription",INDEX('Game Records'!$U:$U,$H281)&lt;&gt;"Free Game",INDEX('Game Records'!$U:$U,$H281)&lt;&gt;"Disqualified — Free Game",INDEX('Game Records'!$K:$K,$H281)=""),"Final Earned; ","")&amp;IF(AND(LOWER(INDEX('Game Records'!$D:$D,$H281)&amp;"")="finalized",INDEX('Game Records'!$U:$U,$H281)&lt;&gt;"Subscription",INDEX('Game Records'!$U:$U,$H281)&lt;&gt;"Free Game",INDEX('Game Records'!$U:$U,$H281)&lt;&gt;"Disqualified — Free Game",OR(INDEX('Game Records'!$L:$L,$H281)="",LOWER(INDEX('Game Records'!$L:$L,$H281)&amp;"")="n/a")),"Disqualified Status; ","")&amp;IF(AND(OR(LOWER(TRIM(INDEX('Game Records'!$F:$F,$H281)&amp;""))="free game",INDEX('Game Records'!$U:$U,$H281)="Free Game",INDEX('Game Records'!$U:$U,$H281)="Disqualified — Free Game"),N(INDEX('Game Records'!$H:$H,$H281))&lt;&gt;0),"Free Game has a non-zero Entry Fee. Free Game records require a $0 Entry Fee; ",""))</f>
        <v/>
      </c>
      <c r="G281" s="331" t="str">
        <f>IF($H281="","",IFERROR(INDEX('Game Records'!$M:$M,$H281),""))</f>
        <v/>
      </c>
      <c r="H281" s="104" t="str">
        <f>IF($H280="","",IFERROR(MATCH(1,INDEX((ROW('Game Records'!$U$5:$U$504)&gt;$H280)*(('Game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2" ht="24" customHeight="1">
      <c r="A282" s="332" t="str">
        <f>IF($H282="","",ROWS($A$5:A282))</f>
        <v/>
      </c>
      <c r="B282" s="332" t="str">
        <f>IF($H282="","","G-"&amp;TEXT($A282,"0000"))</f>
        <v/>
      </c>
      <c r="C282" s="331" t="str">
        <f>IF($H282="","",IFERROR(INDEX('Game Records'!$A:$A,$H282),""))</f>
        <v/>
      </c>
      <c r="D282" s="331" t="str">
        <f>IF($H282="","",IFERROR(INDEX('Game Records'!$U:$U,$H282),""))</f>
        <v/>
      </c>
      <c r="E282" s="331" t="str">
        <f>IF($H282="","",IF($F282="","No Highlighted Fields","Highlighted Fields Present"))</f>
        <v/>
      </c>
      <c r="F282" s="331" t="str">
        <f>IF($H282="","",IF(OR(NOT(ISFORMULA(INDEX('Game Records'!$N:$N,$H282))),NOT(ISFORMULA(INDEX('Game Records'!$O:$O,$H282))),NOT(ISFORMULA(INDEX('Game Records'!$P:$P,$H282))),NOT(ISFORMULA(INDEX('Game Records'!$Q:$Q,$H282))),NOT(ISFORMULA(INDEX('Game Records'!$R:$R,$H282))),NOT(ISFORMULA(INDEX('Game Records'!$S:$S,$H282))),NOT(ISFORMULA(INDEX('Game Records'!$T:$T,$H282))),NOT(ISFORMULA(INDEX('Game Records'!$U:$U,$H282))),NOT(ISFORMULA(INDEX('Game Records'!$V:$V,$H282))),NOT(ISFORMULA(INDEX('Game Records'!$W:$W,$H282))),NOT(ISFORMULA(INDEX('Game Records'!$X:$X,$H282))),NOT(ISFORMULA(INDEX('Game Records'!$Y:$Y,$H282))),NOT(ISFORMULA(INDEX('Game Records'!$Z:$Z,$H282)))),"Formula columns missing; ","")&amp;IF(INDEX('Game Records'!$B:$B,$H282)="","Start Date; ","")&amp;IF(INDEX('Game Records'!$C:$C,$H282)="","End Date; ","")&amp;IF(AND(INDEX('Game Records'!$U:$U,$H282)&lt;&gt;"Subscription",INDEX('Game Records'!$U:$U,$H282)&lt;&gt;"Free Game",INDEX('Game Records'!$U:$U,$H282)&lt;&gt;"Disqualified — Free Game",OR(INDEX('Game Records'!$D:$D,$H282)="",LOWER(INDEX('Game Records'!$D:$D,$H282)&amp;"")="n/a")),"Entry Mode; ","")&amp;IF(AND(INDEX('Game Records'!$U:$U,$H282)&lt;&gt;"Subscription",INDEX('Game Records'!$U:$U,$H282)&lt;&gt;"Free Game",INDEX('Game Records'!$U:$U,$H282)&lt;&gt;"Disqualified — Free Game",OR(INDEX('Game Records'!$E:$E,$H282)="",LOWER(INDEX('Game Records'!$E:$E,$H282)&amp;"")="n/a")),"Game Type; ","")&amp;IF(INDEX('Game Records'!$F:$F,$H282)="","Payment Type; ","")&amp;IF(AND(INDEX('Game Records'!$U:$U,$H282)&lt;&gt;"Subscription",INDEX('Game Records'!$U:$U,$H282)&lt;&gt;"Free Game",INDEX('Game Records'!$U:$U,$H282)&lt;&gt;"Disqualified — Free Game",INDEX('Game Records'!$G:$G,$H282)=""),"Gross Pot; ","")&amp;IF(AND(INDEX('Game Records'!$U:$U,$H282)&lt;&gt;"Free Game",INDEX('Game Records'!$U:$U,$H282)&lt;&gt;"Disqualified — Free Game",INDEX('Game Records'!$H:$H,$H282)=""),"Entry Fee; ","")&amp;IF(AND(INDEX('Game Records'!$U:$U,$H282)&lt;&gt;"Subscription",INDEX('Game Records'!$U:$U,$H282)&lt;&gt;"Free Game",INDEX('Game Records'!$U:$U,$H282)&lt;&gt;"Disqualified — Free Game",INDEX('Game Records'!$I:$I,$H282)=""),"Eligible Players; ","")&amp;IF(AND(INDEX('Game Records'!$U:$U,$H282)&lt;&gt;"Subscription",INDEX('Game Records'!$U:$U,$H282)&lt;&gt;"Free Game",INDEX('Game Records'!$U:$U,$H282)&lt;&gt;"Disqualified — Free Game",INDEX('Game Records'!$J:$J,$H282)=""),"Total Players; ","")&amp;IF(AND(LOWER(INDEX('Game Records'!$D:$D,$H282)&amp;"")="finalized",LOWER(INDEX('Game Records'!$L:$L,$H282)&amp;"")&lt;&gt;"yes",INDEX('Game Records'!$U:$U,$H282)&lt;&gt;"Subscription",INDEX('Game Records'!$U:$U,$H282)&lt;&gt;"Free Game",INDEX('Game Records'!$U:$U,$H282)&lt;&gt;"Disqualified — Free Game",INDEX('Game Records'!$K:$K,$H282)=""),"Final Earned; ","")&amp;IF(AND(LOWER(INDEX('Game Records'!$D:$D,$H282)&amp;"")="finalized",INDEX('Game Records'!$U:$U,$H282)&lt;&gt;"Subscription",INDEX('Game Records'!$U:$U,$H282)&lt;&gt;"Free Game",INDEX('Game Records'!$U:$U,$H282)&lt;&gt;"Disqualified — Free Game",OR(INDEX('Game Records'!$L:$L,$H282)="",LOWER(INDEX('Game Records'!$L:$L,$H282)&amp;"")="n/a")),"Disqualified Status; ","")&amp;IF(AND(OR(LOWER(TRIM(INDEX('Game Records'!$F:$F,$H282)&amp;""))="free game",INDEX('Game Records'!$U:$U,$H282)="Free Game",INDEX('Game Records'!$U:$U,$H282)="Disqualified — Free Game"),N(INDEX('Game Records'!$H:$H,$H282))&lt;&gt;0),"Free Game has a non-zero Entry Fee. Free Game records require a $0 Entry Fee; ",""))</f>
        <v/>
      </c>
      <c r="G282" s="331" t="str">
        <f>IF($H282="","",IFERROR(INDEX('Game Records'!$M:$M,$H282),""))</f>
        <v/>
      </c>
      <c r="H282" s="104" t="str">
        <f>IF($H281="","",IFERROR(MATCH(1,INDEX((ROW('Game Records'!$U$5:$U$504)&gt;$H281)*(('Game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3" ht="24" customHeight="1">
      <c r="A283" s="332" t="str">
        <f>IF($H283="","",ROWS($A$5:A283))</f>
        <v/>
      </c>
      <c r="B283" s="332" t="str">
        <f>IF($H283="","","G-"&amp;TEXT($A283,"0000"))</f>
        <v/>
      </c>
      <c r="C283" s="331" t="str">
        <f>IF($H283="","",IFERROR(INDEX('Game Records'!$A:$A,$H283),""))</f>
        <v/>
      </c>
      <c r="D283" s="331" t="str">
        <f>IF($H283="","",IFERROR(INDEX('Game Records'!$U:$U,$H283),""))</f>
        <v/>
      </c>
      <c r="E283" s="331" t="str">
        <f>IF($H283="","",IF($F283="","No Highlighted Fields","Highlighted Fields Present"))</f>
        <v/>
      </c>
      <c r="F283" s="331" t="str">
        <f>IF($H283="","",IF(OR(NOT(ISFORMULA(INDEX('Game Records'!$N:$N,$H283))),NOT(ISFORMULA(INDEX('Game Records'!$O:$O,$H283))),NOT(ISFORMULA(INDEX('Game Records'!$P:$P,$H283))),NOT(ISFORMULA(INDEX('Game Records'!$Q:$Q,$H283))),NOT(ISFORMULA(INDEX('Game Records'!$R:$R,$H283))),NOT(ISFORMULA(INDEX('Game Records'!$S:$S,$H283))),NOT(ISFORMULA(INDEX('Game Records'!$T:$T,$H283))),NOT(ISFORMULA(INDEX('Game Records'!$U:$U,$H283))),NOT(ISFORMULA(INDEX('Game Records'!$V:$V,$H283))),NOT(ISFORMULA(INDEX('Game Records'!$W:$W,$H283))),NOT(ISFORMULA(INDEX('Game Records'!$X:$X,$H283))),NOT(ISFORMULA(INDEX('Game Records'!$Y:$Y,$H283))),NOT(ISFORMULA(INDEX('Game Records'!$Z:$Z,$H283)))),"Formula columns missing; ","")&amp;IF(INDEX('Game Records'!$B:$B,$H283)="","Start Date; ","")&amp;IF(INDEX('Game Records'!$C:$C,$H283)="","End Date; ","")&amp;IF(AND(INDEX('Game Records'!$U:$U,$H283)&lt;&gt;"Subscription",INDEX('Game Records'!$U:$U,$H283)&lt;&gt;"Free Game",INDEX('Game Records'!$U:$U,$H283)&lt;&gt;"Disqualified — Free Game",OR(INDEX('Game Records'!$D:$D,$H283)="",LOWER(INDEX('Game Records'!$D:$D,$H283)&amp;"")="n/a")),"Entry Mode; ","")&amp;IF(AND(INDEX('Game Records'!$U:$U,$H283)&lt;&gt;"Subscription",INDEX('Game Records'!$U:$U,$H283)&lt;&gt;"Free Game",INDEX('Game Records'!$U:$U,$H283)&lt;&gt;"Disqualified — Free Game",OR(INDEX('Game Records'!$E:$E,$H283)="",LOWER(INDEX('Game Records'!$E:$E,$H283)&amp;"")="n/a")),"Game Type; ","")&amp;IF(INDEX('Game Records'!$F:$F,$H283)="","Payment Type; ","")&amp;IF(AND(INDEX('Game Records'!$U:$U,$H283)&lt;&gt;"Subscription",INDEX('Game Records'!$U:$U,$H283)&lt;&gt;"Free Game",INDEX('Game Records'!$U:$U,$H283)&lt;&gt;"Disqualified — Free Game",INDEX('Game Records'!$G:$G,$H283)=""),"Gross Pot; ","")&amp;IF(AND(INDEX('Game Records'!$U:$U,$H283)&lt;&gt;"Free Game",INDEX('Game Records'!$U:$U,$H283)&lt;&gt;"Disqualified — Free Game",INDEX('Game Records'!$H:$H,$H283)=""),"Entry Fee; ","")&amp;IF(AND(INDEX('Game Records'!$U:$U,$H283)&lt;&gt;"Subscription",INDEX('Game Records'!$U:$U,$H283)&lt;&gt;"Free Game",INDEX('Game Records'!$U:$U,$H283)&lt;&gt;"Disqualified — Free Game",INDEX('Game Records'!$I:$I,$H283)=""),"Eligible Players; ","")&amp;IF(AND(INDEX('Game Records'!$U:$U,$H283)&lt;&gt;"Subscription",INDEX('Game Records'!$U:$U,$H283)&lt;&gt;"Free Game",INDEX('Game Records'!$U:$U,$H283)&lt;&gt;"Disqualified — Free Game",INDEX('Game Records'!$J:$J,$H283)=""),"Total Players; ","")&amp;IF(AND(LOWER(INDEX('Game Records'!$D:$D,$H283)&amp;"")="finalized",LOWER(INDEX('Game Records'!$L:$L,$H283)&amp;"")&lt;&gt;"yes",INDEX('Game Records'!$U:$U,$H283)&lt;&gt;"Subscription",INDEX('Game Records'!$U:$U,$H283)&lt;&gt;"Free Game",INDEX('Game Records'!$U:$U,$H283)&lt;&gt;"Disqualified — Free Game",INDEX('Game Records'!$K:$K,$H283)=""),"Final Earned; ","")&amp;IF(AND(LOWER(INDEX('Game Records'!$D:$D,$H283)&amp;"")="finalized",INDEX('Game Records'!$U:$U,$H283)&lt;&gt;"Subscription",INDEX('Game Records'!$U:$U,$H283)&lt;&gt;"Free Game",INDEX('Game Records'!$U:$U,$H283)&lt;&gt;"Disqualified — Free Game",OR(INDEX('Game Records'!$L:$L,$H283)="",LOWER(INDEX('Game Records'!$L:$L,$H283)&amp;"")="n/a")),"Disqualified Status; ","")&amp;IF(AND(OR(LOWER(TRIM(INDEX('Game Records'!$F:$F,$H283)&amp;""))="free game",INDEX('Game Records'!$U:$U,$H283)="Free Game",INDEX('Game Records'!$U:$U,$H283)="Disqualified — Free Game"),N(INDEX('Game Records'!$H:$H,$H283))&lt;&gt;0),"Free Game has a non-zero Entry Fee. Free Game records require a $0 Entry Fee; ",""))</f>
        <v/>
      </c>
      <c r="G283" s="331" t="str">
        <f>IF($H283="","",IFERROR(INDEX('Game Records'!$M:$M,$H283),""))</f>
        <v/>
      </c>
      <c r="H283" s="104" t="str">
        <f>IF($H282="","",IFERROR(MATCH(1,INDEX((ROW('Game Records'!$U$5:$U$504)&gt;$H282)*(('Game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4" ht="24" customHeight="1">
      <c r="A284" s="332" t="str">
        <f>IF($H284="","",ROWS($A$5:A284))</f>
        <v/>
      </c>
      <c r="B284" s="332" t="str">
        <f>IF($H284="","","G-"&amp;TEXT($A284,"0000"))</f>
        <v/>
      </c>
      <c r="C284" s="331" t="str">
        <f>IF($H284="","",IFERROR(INDEX('Game Records'!$A:$A,$H284),""))</f>
        <v/>
      </c>
      <c r="D284" s="331" t="str">
        <f>IF($H284="","",IFERROR(INDEX('Game Records'!$U:$U,$H284),""))</f>
        <v/>
      </c>
      <c r="E284" s="331" t="str">
        <f>IF($H284="","",IF($F284="","No Highlighted Fields","Highlighted Fields Present"))</f>
        <v/>
      </c>
      <c r="F284" s="331" t="str">
        <f>IF($H284="","",IF(OR(NOT(ISFORMULA(INDEX('Game Records'!$N:$N,$H284))),NOT(ISFORMULA(INDEX('Game Records'!$O:$O,$H284))),NOT(ISFORMULA(INDEX('Game Records'!$P:$P,$H284))),NOT(ISFORMULA(INDEX('Game Records'!$Q:$Q,$H284))),NOT(ISFORMULA(INDEX('Game Records'!$R:$R,$H284))),NOT(ISFORMULA(INDEX('Game Records'!$S:$S,$H284))),NOT(ISFORMULA(INDEX('Game Records'!$T:$T,$H284))),NOT(ISFORMULA(INDEX('Game Records'!$U:$U,$H284))),NOT(ISFORMULA(INDEX('Game Records'!$V:$V,$H284))),NOT(ISFORMULA(INDEX('Game Records'!$W:$W,$H284))),NOT(ISFORMULA(INDEX('Game Records'!$X:$X,$H284))),NOT(ISFORMULA(INDEX('Game Records'!$Y:$Y,$H284))),NOT(ISFORMULA(INDEX('Game Records'!$Z:$Z,$H284)))),"Formula columns missing; ","")&amp;IF(INDEX('Game Records'!$B:$B,$H284)="","Start Date; ","")&amp;IF(INDEX('Game Records'!$C:$C,$H284)="","End Date; ","")&amp;IF(AND(INDEX('Game Records'!$U:$U,$H284)&lt;&gt;"Subscription",INDEX('Game Records'!$U:$U,$H284)&lt;&gt;"Free Game",INDEX('Game Records'!$U:$U,$H284)&lt;&gt;"Disqualified — Free Game",OR(INDEX('Game Records'!$D:$D,$H284)="",LOWER(INDEX('Game Records'!$D:$D,$H284)&amp;"")="n/a")),"Entry Mode; ","")&amp;IF(AND(INDEX('Game Records'!$U:$U,$H284)&lt;&gt;"Subscription",INDEX('Game Records'!$U:$U,$H284)&lt;&gt;"Free Game",INDEX('Game Records'!$U:$U,$H284)&lt;&gt;"Disqualified — Free Game",OR(INDEX('Game Records'!$E:$E,$H284)="",LOWER(INDEX('Game Records'!$E:$E,$H284)&amp;"")="n/a")),"Game Type; ","")&amp;IF(INDEX('Game Records'!$F:$F,$H284)="","Payment Type; ","")&amp;IF(AND(INDEX('Game Records'!$U:$U,$H284)&lt;&gt;"Subscription",INDEX('Game Records'!$U:$U,$H284)&lt;&gt;"Free Game",INDEX('Game Records'!$U:$U,$H284)&lt;&gt;"Disqualified — Free Game",INDEX('Game Records'!$G:$G,$H284)=""),"Gross Pot; ","")&amp;IF(AND(INDEX('Game Records'!$U:$U,$H284)&lt;&gt;"Free Game",INDEX('Game Records'!$U:$U,$H284)&lt;&gt;"Disqualified — Free Game",INDEX('Game Records'!$H:$H,$H284)=""),"Entry Fee; ","")&amp;IF(AND(INDEX('Game Records'!$U:$U,$H284)&lt;&gt;"Subscription",INDEX('Game Records'!$U:$U,$H284)&lt;&gt;"Free Game",INDEX('Game Records'!$U:$U,$H284)&lt;&gt;"Disqualified — Free Game",INDEX('Game Records'!$I:$I,$H284)=""),"Eligible Players; ","")&amp;IF(AND(INDEX('Game Records'!$U:$U,$H284)&lt;&gt;"Subscription",INDEX('Game Records'!$U:$U,$H284)&lt;&gt;"Free Game",INDEX('Game Records'!$U:$U,$H284)&lt;&gt;"Disqualified — Free Game",INDEX('Game Records'!$J:$J,$H284)=""),"Total Players; ","")&amp;IF(AND(LOWER(INDEX('Game Records'!$D:$D,$H284)&amp;"")="finalized",LOWER(INDEX('Game Records'!$L:$L,$H284)&amp;"")&lt;&gt;"yes",INDEX('Game Records'!$U:$U,$H284)&lt;&gt;"Subscription",INDEX('Game Records'!$U:$U,$H284)&lt;&gt;"Free Game",INDEX('Game Records'!$U:$U,$H284)&lt;&gt;"Disqualified — Free Game",INDEX('Game Records'!$K:$K,$H284)=""),"Final Earned; ","")&amp;IF(AND(LOWER(INDEX('Game Records'!$D:$D,$H284)&amp;"")="finalized",INDEX('Game Records'!$U:$U,$H284)&lt;&gt;"Subscription",INDEX('Game Records'!$U:$U,$H284)&lt;&gt;"Free Game",INDEX('Game Records'!$U:$U,$H284)&lt;&gt;"Disqualified — Free Game",OR(INDEX('Game Records'!$L:$L,$H284)="",LOWER(INDEX('Game Records'!$L:$L,$H284)&amp;"")="n/a")),"Disqualified Status; ","")&amp;IF(AND(OR(LOWER(TRIM(INDEX('Game Records'!$F:$F,$H284)&amp;""))="free game",INDEX('Game Records'!$U:$U,$H284)="Free Game",INDEX('Game Records'!$U:$U,$H284)="Disqualified — Free Game"),N(INDEX('Game Records'!$H:$H,$H284))&lt;&gt;0),"Free Game has a non-zero Entry Fee. Free Game records require a $0 Entry Fee; ",""))</f>
        <v/>
      </c>
      <c r="G284" s="331" t="str">
        <f>IF($H284="","",IFERROR(INDEX('Game Records'!$M:$M,$H284),""))</f>
        <v/>
      </c>
      <c r="H284" s="104" t="str">
        <f>IF($H283="","",IFERROR(MATCH(1,INDEX((ROW('Game Records'!$U$5:$U$504)&gt;$H283)*(('Game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5" ht="24" customHeight="1">
      <c r="A285" s="332" t="str">
        <f>IF($H285="","",ROWS($A$5:A285))</f>
        <v/>
      </c>
      <c r="B285" s="332" t="str">
        <f>IF($H285="","","G-"&amp;TEXT($A285,"0000"))</f>
        <v/>
      </c>
      <c r="C285" s="331" t="str">
        <f>IF($H285="","",IFERROR(INDEX('Game Records'!$A:$A,$H285),""))</f>
        <v/>
      </c>
      <c r="D285" s="331" t="str">
        <f>IF($H285="","",IFERROR(INDEX('Game Records'!$U:$U,$H285),""))</f>
        <v/>
      </c>
      <c r="E285" s="331" t="str">
        <f>IF($H285="","",IF($F285="","No Highlighted Fields","Highlighted Fields Present"))</f>
        <v/>
      </c>
      <c r="F285" s="331" t="str">
        <f>IF($H285="","",IF(OR(NOT(ISFORMULA(INDEX('Game Records'!$N:$N,$H285))),NOT(ISFORMULA(INDEX('Game Records'!$O:$O,$H285))),NOT(ISFORMULA(INDEX('Game Records'!$P:$P,$H285))),NOT(ISFORMULA(INDEX('Game Records'!$Q:$Q,$H285))),NOT(ISFORMULA(INDEX('Game Records'!$R:$R,$H285))),NOT(ISFORMULA(INDEX('Game Records'!$S:$S,$H285))),NOT(ISFORMULA(INDEX('Game Records'!$T:$T,$H285))),NOT(ISFORMULA(INDEX('Game Records'!$U:$U,$H285))),NOT(ISFORMULA(INDEX('Game Records'!$V:$V,$H285))),NOT(ISFORMULA(INDEX('Game Records'!$W:$W,$H285))),NOT(ISFORMULA(INDEX('Game Records'!$X:$X,$H285))),NOT(ISFORMULA(INDEX('Game Records'!$Y:$Y,$H285))),NOT(ISFORMULA(INDEX('Game Records'!$Z:$Z,$H285)))),"Formula columns missing; ","")&amp;IF(INDEX('Game Records'!$B:$B,$H285)="","Start Date; ","")&amp;IF(INDEX('Game Records'!$C:$C,$H285)="","End Date; ","")&amp;IF(AND(INDEX('Game Records'!$U:$U,$H285)&lt;&gt;"Subscription",INDEX('Game Records'!$U:$U,$H285)&lt;&gt;"Free Game",INDEX('Game Records'!$U:$U,$H285)&lt;&gt;"Disqualified — Free Game",OR(INDEX('Game Records'!$D:$D,$H285)="",LOWER(INDEX('Game Records'!$D:$D,$H285)&amp;"")="n/a")),"Entry Mode; ","")&amp;IF(AND(INDEX('Game Records'!$U:$U,$H285)&lt;&gt;"Subscription",INDEX('Game Records'!$U:$U,$H285)&lt;&gt;"Free Game",INDEX('Game Records'!$U:$U,$H285)&lt;&gt;"Disqualified — Free Game",OR(INDEX('Game Records'!$E:$E,$H285)="",LOWER(INDEX('Game Records'!$E:$E,$H285)&amp;"")="n/a")),"Game Type; ","")&amp;IF(INDEX('Game Records'!$F:$F,$H285)="","Payment Type; ","")&amp;IF(AND(INDEX('Game Records'!$U:$U,$H285)&lt;&gt;"Subscription",INDEX('Game Records'!$U:$U,$H285)&lt;&gt;"Free Game",INDEX('Game Records'!$U:$U,$H285)&lt;&gt;"Disqualified — Free Game",INDEX('Game Records'!$G:$G,$H285)=""),"Gross Pot; ","")&amp;IF(AND(INDEX('Game Records'!$U:$U,$H285)&lt;&gt;"Free Game",INDEX('Game Records'!$U:$U,$H285)&lt;&gt;"Disqualified — Free Game",INDEX('Game Records'!$H:$H,$H285)=""),"Entry Fee; ","")&amp;IF(AND(INDEX('Game Records'!$U:$U,$H285)&lt;&gt;"Subscription",INDEX('Game Records'!$U:$U,$H285)&lt;&gt;"Free Game",INDEX('Game Records'!$U:$U,$H285)&lt;&gt;"Disqualified — Free Game",INDEX('Game Records'!$I:$I,$H285)=""),"Eligible Players; ","")&amp;IF(AND(INDEX('Game Records'!$U:$U,$H285)&lt;&gt;"Subscription",INDEX('Game Records'!$U:$U,$H285)&lt;&gt;"Free Game",INDEX('Game Records'!$U:$U,$H285)&lt;&gt;"Disqualified — Free Game",INDEX('Game Records'!$J:$J,$H285)=""),"Total Players; ","")&amp;IF(AND(LOWER(INDEX('Game Records'!$D:$D,$H285)&amp;"")="finalized",LOWER(INDEX('Game Records'!$L:$L,$H285)&amp;"")&lt;&gt;"yes",INDEX('Game Records'!$U:$U,$H285)&lt;&gt;"Subscription",INDEX('Game Records'!$U:$U,$H285)&lt;&gt;"Free Game",INDEX('Game Records'!$U:$U,$H285)&lt;&gt;"Disqualified — Free Game",INDEX('Game Records'!$K:$K,$H285)=""),"Final Earned; ","")&amp;IF(AND(LOWER(INDEX('Game Records'!$D:$D,$H285)&amp;"")="finalized",INDEX('Game Records'!$U:$U,$H285)&lt;&gt;"Subscription",INDEX('Game Records'!$U:$U,$H285)&lt;&gt;"Free Game",INDEX('Game Records'!$U:$U,$H285)&lt;&gt;"Disqualified — Free Game",OR(INDEX('Game Records'!$L:$L,$H285)="",LOWER(INDEX('Game Records'!$L:$L,$H285)&amp;"")="n/a")),"Disqualified Status; ","")&amp;IF(AND(OR(LOWER(TRIM(INDEX('Game Records'!$F:$F,$H285)&amp;""))="free game",INDEX('Game Records'!$U:$U,$H285)="Free Game",INDEX('Game Records'!$U:$U,$H285)="Disqualified — Free Game"),N(INDEX('Game Records'!$H:$H,$H285))&lt;&gt;0),"Free Game has a non-zero Entry Fee. Free Game records require a $0 Entry Fee; ",""))</f>
        <v/>
      </c>
      <c r="G285" s="331" t="str">
        <f>IF($H285="","",IFERROR(INDEX('Game Records'!$M:$M,$H285),""))</f>
        <v/>
      </c>
      <c r="H285" s="104" t="str">
        <f>IF($H284="","",IFERROR(MATCH(1,INDEX((ROW('Game Records'!$U$5:$U$504)&gt;$H284)*(('Game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6" ht="24" customHeight="1">
      <c r="A286" s="332" t="str">
        <f>IF($H286="","",ROWS($A$5:A286))</f>
        <v/>
      </c>
      <c r="B286" s="332" t="str">
        <f>IF($H286="","","G-"&amp;TEXT($A286,"0000"))</f>
        <v/>
      </c>
      <c r="C286" s="331" t="str">
        <f>IF($H286="","",IFERROR(INDEX('Game Records'!$A:$A,$H286),""))</f>
        <v/>
      </c>
      <c r="D286" s="331" t="str">
        <f>IF($H286="","",IFERROR(INDEX('Game Records'!$U:$U,$H286),""))</f>
        <v/>
      </c>
      <c r="E286" s="331" t="str">
        <f>IF($H286="","",IF($F286="","No Highlighted Fields","Highlighted Fields Present"))</f>
        <v/>
      </c>
      <c r="F286" s="331" t="str">
        <f>IF($H286="","",IF(OR(NOT(ISFORMULA(INDEX('Game Records'!$N:$N,$H286))),NOT(ISFORMULA(INDEX('Game Records'!$O:$O,$H286))),NOT(ISFORMULA(INDEX('Game Records'!$P:$P,$H286))),NOT(ISFORMULA(INDEX('Game Records'!$Q:$Q,$H286))),NOT(ISFORMULA(INDEX('Game Records'!$R:$R,$H286))),NOT(ISFORMULA(INDEX('Game Records'!$S:$S,$H286))),NOT(ISFORMULA(INDEX('Game Records'!$T:$T,$H286))),NOT(ISFORMULA(INDEX('Game Records'!$U:$U,$H286))),NOT(ISFORMULA(INDEX('Game Records'!$V:$V,$H286))),NOT(ISFORMULA(INDEX('Game Records'!$W:$W,$H286))),NOT(ISFORMULA(INDEX('Game Records'!$X:$X,$H286))),NOT(ISFORMULA(INDEX('Game Records'!$Y:$Y,$H286))),NOT(ISFORMULA(INDEX('Game Records'!$Z:$Z,$H286)))),"Formula columns missing; ","")&amp;IF(INDEX('Game Records'!$B:$B,$H286)="","Start Date; ","")&amp;IF(INDEX('Game Records'!$C:$C,$H286)="","End Date; ","")&amp;IF(AND(INDEX('Game Records'!$U:$U,$H286)&lt;&gt;"Subscription",INDEX('Game Records'!$U:$U,$H286)&lt;&gt;"Free Game",INDEX('Game Records'!$U:$U,$H286)&lt;&gt;"Disqualified — Free Game",OR(INDEX('Game Records'!$D:$D,$H286)="",LOWER(INDEX('Game Records'!$D:$D,$H286)&amp;"")="n/a")),"Entry Mode; ","")&amp;IF(AND(INDEX('Game Records'!$U:$U,$H286)&lt;&gt;"Subscription",INDEX('Game Records'!$U:$U,$H286)&lt;&gt;"Free Game",INDEX('Game Records'!$U:$U,$H286)&lt;&gt;"Disqualified — Free Game",OR(INDEX('Game Records'!$E:$E,$H286)="",LOWER(INDEX('Game Records'!$E:$E,$H286)&amp;"")="n/a")),"Game Type; ","")&amp;IF(INDEX('Game Records'!$F:$F,$H286)="","Payment Type; ","")&amp;IF(AND(INDEX('Game Records'!$U:$U,$H286)&lt;&gt;"Subscription",INDEX('Game Records'!$U:$U,$H286)&lt;&gt;"Free Game",INDEX('Game Records'!$U:$U,$H286)&lt;&gt;"Disqualified — Free Game",INDEX('Game Records'!$G:$G,$H286)=""),"Gross Pot; ","")&amp;IF(AND(INDEX('Game Records'!$U:$U,$H286)&lt;&gt;"Free Game",INDEX('Game Records'!$U:$U,$H286)&lt;&gt;"Disqualified — Free Game",INDEX('Game Records'!$H:$H,$H286)=""),"Entry Fee; ","")&amp;IF(AND(INDEX('Game Records'!$U:$U,$H286)&lt;&gt;"Subscription",INDEX('Game Records'!$U:$U,$H286)&lt;&gt;"Free Game",INDEX('Game Records'!$U:$U,$H286)&lt;&gt;"Disqualified — Free Game",INDEX('Game Records'!$I:$I,$H286)=""),"Eligible Players; ","")&amp;IF(AND(INDEX('Game Records'!$U:$U,$H286)&lt;&gt;"Subscription",INDEX('Game Records'!$U:$U,$H286)&lt;&gt;"Free Game",INDEX('Game Records'!$U:$U,$H286)&lt;&gt;"Disqualified — Free Game",INDEX('Game Records'!$J:$J,$H286)=""),"Total Players; ","")&amp;IF(AND(LOWER(INDEX('Game Records'!$D:$D,$H286)&amp;"")="finalized",LOWER(INDEX('Game Records'!$L:$L,$H286)&amp;"")&lt;&gt;"yes",INDEX('Game Records'!$U:$U,$H286)&lt;&gt;"Subscription",INDEX('Game Records'!$U:$U,$H286)&lt;&gt;"Free Game",INDEX('Game Records'!$U:$U,$H286)&lt;&gt;"Disqualified — Free Game",INDEX('Game Records'!$K:$K,$H286)=""),"Final Earned; ","")&amp;IF(AND(LOWER(INDEX('Game Records'!$D:$D,$H286)&amp;"")="finalized",INDEX('Game Records'!$U:$U,$H286)&lt;&gt;"Subscription",INDEX('Game Records'!$U:$U,$H286)&lt;&gt;"Free Game",INDEX('Game Records'!$U:$U,$H286)&lt;&gt;"Disqualified — Free Game",OR(INDEX('Game Records'!$L:$L,$H286)="",LOWER(INDEX('Game Records'!$L:$L,$H286)&amp;"")="n/a")),"Disqualified Status; ","")&amp;IF(AND(OR(LOWER(TRIM(INDEX('Game Records'!$F:$F,$H286)&amp;""))="free game",INDEX('Game Records'!$U:$U,$H286)="Free Game",INDEX('Game Records'!$U:$U,$H286)="Disqualified — Free Game"),N(INDEX('Game Records'!$H:$H,$H286))&lt;&gt;0),"Free Game has a non-zero Entry Fee. Free Game records require a $0 Entry Fee; ",""))</f>
        <v/>
      </c>
      <c r="G286" s="331" t="str">
        <f>IF($H286="","",IFERROR(INDEX('Game Records'!$M:$M,$H286),""))</f>
        <v/>
      </c>
      <c r="H286" s="104" t="str">
        <f>IF($H285="","",IFERROR(MATCH(1,INDEX((ROW('Game Records'!$U$5:$U$504)&gt;$H285)*(('Game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7" ht="24" customHeight="1">
      <c r="A287" s="332" t="str">
        <f>IF($H287="","",ROWS($A$5:A287))</f>
        <v/>
      </c>
      <c r="B287" s="332" t="str">
        <f>IF($H287="","","G-"&amp;TEXT($A287,"0000"))</f>
        <v/>
      </c>
      <c r="C287" s="331" t="str">
        <f>IF($H287="","",IFERROR(INDEX('Game Records'!$A:$A,$H287),""))</f>
        <v/>
      </c>
      <c r="D287" s="331" t="str">
        <f>IF($H287="","",IFERROR(INDEX('Game Records'!$U:$U,$H287),""))</f>
        <v/>
      </c>
      <c r="E287" s="331" t="str">
        <f>IF($H287="","",IF($F287="","No Highlighted Fields","Highlighted Fields Present"))</f>
        <v/>
      </c>
      <c r="F287" s="331" t="str">
        <f>IF($H287="","",IF(OR(NOT(ISFORMULA(INDEX('Game Records'!$N:$N,$H287))),NOT(ISFORMULA(INDEX('Game Records'!$O:$O,$H287))),NOT(ISFORMULA(INDEX('Game Records'!$P:$P,$H287))),NOT(ISFORMULA(INDEX('Game Records'!$Q:$Q,$H287))),NOT(ISFORMULA(INDEX('Game Records'!$R:$R,$H287))),NOT(ISFORMULA(INDEX('Game Records'!$S:$S,$H287))),NOT(ISFORMULA(INDEX('Game Records'!$T:$T,$H287))),NOT(ISFORMULA(INDEX('Game Records'!$U:$U,$H287))),NOT(ISFORMULA(INDEX('Game Records'!$V:$V,$H287))),NOT(ISFORMULA(INDEX('Game Records'!$W:$W,$H287))),NOT(ISFORMULA(INDEX('Game Records'!$X:$X,$H287))),NOT(ISFORMULA(INDEX('Game Records'!$Y:$Y,$H287))),NOT(ISFORMULA(INDEX('Game Records'!$Z:$Z,$H287)))),"Formula columns missing; ","")&amp;IF(INDEX('Game Records'!$B:$B,$H287)="","Start Date; ","")&amp;IF(INDEX('Game Records'!$C:$C,$H287)="","End Date; ","")&amp;IF(AND(INDEX('Game Records'!$U:$U,$H287)&lt;&gt;"Subscription",INDEX('Game Records'!$U:$U,$H287)&lt;&gt;"Free Game",INDEX('Game Records'!$U:$U,$H287)&lt;&gt;"Disqualified — Free Game",OR(INDEX('Game Records'!$D:$D,$H287)="",LOWER(INDEX('Game Records'!$D:$D,$H287)&amp;"")="n/a")),"Entry Mode; ","")&amp;IF(AND(INDEX('Game Records'!$U:$U,$H287)&lt;&gt;"Subscription",INDEX('Game Records'!$U:$U,$H287)&lt;&gt;"Free Game",INDEX('Game Records'!$U:$U,$H287)&lt;&gt;"Disqualified — Free Game",OR(INDEX('Game Records'!$E:$E,$H287)="",LOWER(INDEX('Game Records'!$E:$E,$H287)&amp;"")="n/a")),"Game Type; ","")&amp;IF(INDEX('Game Records'!$F:$F,$H287)="","Payment Type; ","")&amp;IF(AND(INDEX('Game Records'!$U:$U,$H287)&lt;&gt;"Subscription",INDEX('Game Records'!$U:$U,$H287)&lt;&gt;"Free Game",INDEX('Game Records'!$U:$U,$H287)&lt;&gt;"Disqualified — Free Game",INDEX('Game Records'!$G:$G,$H287)=""),"Gross Pot; ","")&amp;IF(AND(INDEX('Game Records'!$U:$U,$H287)&lt;&gt;"Free Game",INDEX('Game Records'!$U:$U,$H287)&lt;&gt;"Disqualified — Free Game",INDEX('Game Records'!$H:$H,$H287)=""),"Entry Fee; ","")&amp;IF(AND(INDEX('Game Records'!$U:$U,$H287)&lt;&gt;"Subscription",INDEX('Game Records'!$U:$U,$H287)&lt;&gt;"Free Game",INDEX('Game Records'!$U:$U,$H287)&lt;&gt;"Disqualified — Free Game",INDEX('Game Records'!$I:$I,$H287)=""),"Eligible Players; ","")&amp;IF(AND(INDEX('Game Records'!$U:$U,$H287)&lt;&gt;"Subscription",INDEX('Game Records'!$U:$U,$H287)&lt;&gt;"Free Game",INDEX('Game Records'!$U:$U,$H287)&lt;&gt;"Disqualified — Free Game",INDEX('Game Records'!$J:$J,$H287)=""),"Total Players; ","")&amp;IF(AND(LOWER(INDEX('Game Records'!$D:$D,$H287)&amp;"")="finalized",LOWER(INDEX('Game Records'!$L:$L,$H287)&amp;"")&lt;&gt;"yes",INDEX('Game Records'!$U:$U,$H287)&lt;&gt;"Subscription",INDEX('Game Records'!$U:$U,$H287)&lt;&gt;"Free Game",INDEX('Game Records'!$U:$U,$H287)&lt;&gt;"Disqualified — Free Game",INDEX('Game Records'!$K:$K,$H287)=""),"Final Earned; ","")&amp;IF(AND(LOWER(INDEX('Game Records'!$D:$D,$H287)&amp;"")="finalized",INDEX('Game Records'!$U:$U,$H287)&lt;&gt;"Subscription",INDEX('Game Records'!$U:$U,$H287)&lt;&gt;"Free Game",INDEX('Game Records'!$U:$U,$H287)&lt;&gt;"Disqualified — Free Game",OR(INDEX('Game Records'!$L:$L,$H287)="",LOWER(INDEX('Game Records'!$L:$L,$H287)&amp;"")="n/a")),"Disqualified Status; ","")&amp;IF(AND(OR(LOWER(TRIM(INDEX('Game Records'!$F:$F,$H287)&amp;""))="free game",INDEX('Game Records'!$U:$U,$H287)="Free Game",INDEX('Game Records'!$U:$U,$H287)="Disqualified — Free Game"),N(INDEX('Game Records'!$H:$H,$H287))&lt;&gt;0),"Free Game has a non-zero Entry Fee. Free Game records require a $0 Entry Fee; ",""))</f>
        <v/>
      </c>
      <c r="G287" s="331" t="str">
        <f>IF($H287="","",IFERROR(INDEX('Game Records'!$M:$M,$H287),""))</f>
        <v/>
      </c>
      <c r="H287" s="104" t="str">
        <f>IF($H286="","",IFERROR(MATCH(1,INDEX((ROW('Game Records'!$U$5:$U$504)&gt;$H286)*(('Game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8" ht="24" customHeight="1">
      <c r="A288" s="332" t="str">
        <f>IF($H288="","",ROWS($A$5:A288))</f>
        <v/>
      </c>
      <c r="B288" s="332" t="str">
        <f>IF($H288="","","G-"&amp;TEXT($A288,"0000"))</f>
        <v/>
      </c>
      <c r="C288" s="331" t="str">
        <f>IF($H288="","",IFERROR(INDEX('Game Records'!$A:$A,$H288),""))</f>
        <v/>
      </c>
      <c r="D288" s="331" t="str">
        <f>IF($H288="","",IFERROR(INDEX('Game Records'!$U:$U,$H288),""))</f>
        <v/>
      </c>
      <c r="E288" s="331" t="str">
        <f>IF($H288="","",IF($F288="","No Highlighted Fields","Highlighted Fields Present"))</f>
        <v/>
      </c>
      <c r="F288" s="331" t="str">
        <f>IF($H288="","",IF(OR(NOT(ISFORMULA(INDEX('Game Records'!$N:$N,$H288))),NOT(ISFORMULA(INDEX('Game Records'!$O:$O,$H288))),NOT(ISFORMULA(INDEX('Game Records'!$P:$P,$H288))),NOT(ISFORMULA(INDEX('Game Records'!$Q:$Q,$H288))),NOT(ISFORMULA(INDEX('Game Records'!$R:$R,$H288))),NOT(ISFORMULA(INDEX('Game Records'!$S:$S,$H288))),NOT(ISFORMULA(INDEX('Game Records'!$T:$T,$H288))),NOT(ISFORMULA(INDEX('Game Records'!$U:$U,$H288))),NOT(ISFORMULA(INDEX('Game Records'!$V:$V,$H288))),NOT(ISFORMULA(INDEX('Game Records'!$W:$W,$H288))),NOT(ISFORMULA(INDEX('Game Records'!$X:$X,$H288))),NOT(ISFORMULA(INDEX('Game Records'!$Y:$Y,$H288))),NOT(ISFORMULA(INDEX('Game Records'!$Z:$Z,$H288)))),"Formula columns missing; ","")&amp;IF(INDEX('Game Records'!$B:$B,$H288)="","Start Date; ","")&amp;IF(INDEX('Game Records'!$C:$C,$H288)="","End Date; ","")&amp;IF(AND(INDEX('Game Records'!$U:$U,$H288)&lt;&gt;"Subscription",INDEX('Game Records'!$U:$U,$H288)&lt;&gt;"Free Game",INDEX('Game Records'!$U:$U,$H288)&lt;&gt;"Disqualified — Free Game",OR(INDEX('Game Records'!$D:$D,$H288)="",LOWER(INDEX('Game Records'!$D:$D,$H288)&amp;"")="n/a")),"Entry Mode; ","")&amp;IF(AND(INDEX('Game Records'!$U:$U,$H288)&lt;&gt;"Subscription",INDEX('Game Records'!$U:$U,$H288)&lt;&gt;"Free Game",INDEX('Game Records'!$U:$U,$H288)&lt;&gt;"Disqualified — Free Game",OR(INDEX('Game Records'!$E:$E,$H288)="",LOWER(INDEX('Game Records'!$E:$E,$H288)&amp;"")="n/a")),"Game Type; ","")&amp;IF(INDEX('Game Records'!$F:$F,$H288)="","Payment Type; ","")&amp;IF(AND(INDEX('Game Records'!$U:$U,$H288)&lt;&gt;"Subscription",INDEX('Game Records'!$U:$U,$H288)&lt;&gt;"Free Game",INDEX('Game Records'!$U:$U,$H288)&lt;&gt;"Disqualified — Free Game",INDEX('Game Records'!$G:$G,$H288)=""),"Gross Pot; ","")&amp;IF(AND(INDEX('Game Records'!$U:$U,$H288)&lt;&gt;"Free Game",INDEX('Game Records'!$U:$U,$H288)&lt;&gt;"Disqualified — Free Game",INDEX('Game Records'!$H:$H,$H288)=""),"Entry Fee; ","")&amp;IF(AND(INDEX('Game Records'!$U:$U,$H288)&lt;&gt;"Subscription",INDEX('Game Records'!$U:$U,$H288)&lt;&gt;"Free Game",INDEX('Game Records'!$U:$U,$H288)&lt;&gt;"Disqualified — Free Game",INDEX('Game Records'!$I:$I,$H288)=""),"Eligible Players; ","")&amp;IF(AND(INDEX('Game Records'!$U:$U,$H288)&lt;&gt;"Subscription",INDEX('Game Records'!$U:$U,$H288)&lt;&gt;"Free Game",INDEX('Game Records'!$U:$U,$H288)&lt;&gt;"Disqualified — Free Game",INDEX('Game Records'!$J:$J,$H288)=""),"Total Players; ","")&amp;IF(AND(LOWER(INDEX('Game Records'!$D:$D,$H288)&amp;"")="finalized",LOWER(INDEX('Game Records'!$L:$L,$H288)&amp;"")&lt;&gt;"yes",INDEX('Game Records'!$U:$U,$H288)&lt;&gt;"Subscription",INDEX('Game Records'!$U:$U,$H288)&lt;&gt;"Free Game",INDEX('Game Records'!$U:$U,$H288)&lt;&gt;"Disqualified — Free Game",INDEX('Game Records'!$K:$K,$H288)=""),"Final Earned; ","")&amp;IF(AND(LOWER(INDEX('Game Records'!$D:$D,$H288)&amp;"")="finalized",INDEX('Game Records'!$U:$U,$H288)&lt;&gt;"Subscription",INDEX('Game Records'!$U:$U,$H288)&lt;&gt;"Free Game",INDEX('Game Records'!$U:$U,$H288)&lt;&gt;"Disqualified — Free Game",OR(INDEX('Game Records'!$L:$L,$H288)="",LOWER(INDEX('Game Records'!$L:$L,$H288)&amp;"")="n/a")),"Disqualified Status; ","")&amp;IF(AND(OR(LOWER(TRIM(INDEX('Game Records'!$F:$F,$H288)&amp;""))="free game",INDEX('Game Records'!$U:$U,$H288)="Free Game",INDEX('Game Records'!$U:$U,$H288)="Disqualified — Free Game"),N(INDEX('Game Records'!$H:$H,$H288))&lt;&gt;0),"Free Game has a non-zero Entry Fee. Free Game records require a $0 Entry Fee; ",""))</f>
        <v/>
      </c>
      <c r="G288" s="331" t="str">
        <f>IF($H288="","",IFERROR(INDEX('Game Records'!$M:$M,$H288),""))</f>
        <v/>
      </c>
      <c r="H288" s="104" t="str">
        <f>IF($H287="","",IFERROR(MATCH(1,INDEX((ROW('Game Records'!$U$5:$U$504)&gt;$H287)*(('Game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9" ht="24" customHeight="1">
      <c r="A289" s="332" t="str">
        <f>IF($H289="","",ROWS($A$5:A289))</f>
        <v/>
      </c>
      <c r="B289" s="332" t="str">
        <f>IF($H289="","","G-"&amp;TEXT($A289,"0000"))</f>
        <v/>
      </c>
      <c r="C289" s="331" t="str">
        <f>IF($H289="","",IFERROR(INDEX('Game Records'!$A:$A,$H289),""))</f>
        <v/>
      </c>
      <c r="D289" s="331" t="str">
        <f>IF($H289="","",IFERROR(INDEX('Game Records'!$U:$U,$H289),""))</f>
        <v/>
      </c>
      <c r="E289" s="331" t="str">
        <f>IF($H289="","",IF($F289="","No Highlighted Fields","Highlighted Fields Present"))</f>
        <v/>
      </c>
      <c r="F289" s="331" t="str">
        <f>IF($H289="","",IF(OR(NOT(ISFORMULA(INDEX('Game Records'!$N:$N,$H289))),NOT(ISFORMULA(INDEX('Game Records'!$O:$O,$H289))),NOT(ISFORMULA(INDEX('Game Records'!$P:$P,$H289))),NOT(ISFORMULA(INDEX('Game Records'!$Q:$Q,$H289))),NOT(ISFORMULA(INDEX('Game Records'!$R:$R,$H289))),NOT(ISFORMULA(INDEX('Game Records'!$S:$S,$H289))),NOT(ISFORMULA(INDEX('Game Records'!$T:$T,$H289))),NOT(ISFORMULA(INDEX('Game Records'!$U:$U,$H289))),NOT(ISFORMULA(INDEX('Game Records'!$V:$V,$H289))),NOT(ISFORMULA(INDEX('Game Records'!$W:$W,$H289))),NOT(ISFORMULA(INDEX('Game Records'!$X:$X,$H289))),NOT(ISFORMULA(INDEX('Game Records'!$Y:$Y,$H289))),NOT(ISFORMULA(INDEX('Game Records'!$Z:$Z,$H289)))),"Formula columns missing; ","")&amp;IF(INDEX('Game Records'!$B:$B,$H289)="","Start Date; ","")&amp;IF(INDEX('Game Records'!$C:$C,$H289)="","End Date; ","")&amp;IF(AND(INDEX('Game Records'!$U:$U,$H289)&lt;&gt;"Subscription",INDEX('Game Records'!$U:$U,$H289)&lt;&gt;"Free Game",INDEX('Game Records'!$U:$U,$H289)&lt;&gt;"Disqualified — Free Game",OR(INDEX('Game Records'!$D:$D,$H289)="",LOWER(INDEX('Game Records'!$D:$D,$H289)&amp;"")="n/a")),"Entry Mode; ","")&amp;IF(AND(INDEX('Game Records'!$U:$U,$H289)&lt;&gt;"Subscription",INDEX('Game Records'!$U:$U,$H289)&lt;&gt;"Free Game",INDEX('Game Records'!$U:$U,$H289)&lt;&gt;"Disqualified — Free Game",OR(INDEX('Game Records'!$E:$E,$H289)="",LOWER(INDEX('Game Records'!$E:$E,$H289)&amp;"")="n/a")),"Game Type; ","")&amp;IF(INDEX('Game Records'!$F:$F,$H289)="","Payment Type; ","")&amp;IF(AND(INDEX('Game Records'!$U:$U,$H289)&lt;&gt;"Subscription",INDEX('Game Records'!$U:$U,$H289)&lt;&gt;"Free Game",INDEX('Game Records'!$U:$U,$H289)&lt;&gt;"Disqualified — Free Game",INDEX('Game Records'!$G:$G,$H289)=""),"Gross Pot; ","")&amp;IF(AND(INDEX('Game Records'!$U:$U,$H289)&lt;&gt;"Free Game",INDEX('Game Records'!$U:$U,$H289)&lt;&gt;"Disqualified — Free Game",INDEX('Game Records'!$H:$H,$H289)=""),"Entry Fee; ","")&amp;IF(AND(INDEX('Game Records'!$U:$U,$H289)&lt;&gt;"Subscription",INDEX('Game Records'!$U:$U,$H289)&lt;&gt;"Free Game",INDEX('Game Records'!$U:$U,$H289)&lt;&gt;"Disqualified — Free Game",INDEX('Game Records'!$I:$I,$H289)=""),"Eligible Players; ","")&amp;IF(AND(INDEX('Game Records'!$U:$U,$H289)&lt;&gt;"Subscription",INDEX('Game Records'!$U:$U,$H289)&lt;&gt;"Free Game",INDEX('Game Records'!$U:$U,$H289)&lt;&gt;"Disqualified — Free Game",INDEX('Game Records'!$J:$J,$H289)=""),"Total Players; ","")&amp;IF(AND(LOWER(INDEX('Game Records'!$D:$D,$H289)&amp;"")="finalized",LOWER(INDEX('Game Records'!$L:$L,$H289)&amp;"")&lt;&gt;"yes",INDEX('Game Records'!$U:$U,$H289)&lt;&gt;"Subscription",INDEX('Game Records'!$U:$U,$H289)&lt;&gt;"Free Game",INDEX('Game Records'!$U:$U,$H289)&lt;&gt;"Disqualified — Free Game",INDEX('Game Records'!$K:$K,$H289)=""),"Final Earned; ","")&amp;IF(AND(LOWER(INDEX('Game Records'!$D:$D,$H289)&amp;"")="finalized",INDEX('Game Records'!$U:$U,$H289)&lt;&gt;"Subscription",INDEX('Game Records'!$U:$U,$H289)&lt;&gt;"Free Game",INDEX('Game Records'!$U:$U,$H289)&lt;&gt;"Disqualified — Free Game",OR(INDEX('Game Records'!$L:$L,$H289)="",LOWER(INDEX('Game Records'!$L:$L,$H289)&amp;"")="n/a")),"Disqualified Status; ","")&amp;IF(AND(OR(LOWER(TRIM(INDEX('Game Records'!$F:$F,$H289)&amp;""))="free game",INDEX('Game Records'!$U:$U,$H289)="Free Game",INDEX('Game Records'!$U:$U,$H289)="Disqualified — Free Game"),N(INDEX('Game Records'!$H:$H,$H289))&lt;&gt;0),"Free Game has a non-zero Entry Fee. Free Game records require a $0 Entry Fee; ",""))</f>
        <v/>
      </c>
      <c r="G289" s="331" t="str">
        <f>IF($H289="","",IFERROR(INDEX('Game Records'!$M:$M,$H289),""))</f>
        <v/>
      </c>
      <c r="H289" s="104" t="str">
        <f>IF($H288="","",IFERROR(MATCH(1,INDEX((ROW('Game Records'!$U$5:$U$504)&gt;$H288)*(('Game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0" ht="24" customHeight="1">
      <c r="A290" s="332" t="str">
        <f>IF($H290="","",ROWS($A$5:A290))</f>
        <v/>
      </c>
      <c r="B290" s="332" t="str">
        <f>IF($H290="","","G-"&amp;TEXT($A290,"0000"))</f>
        <v/>
      </c>
      <c r="C290" s="331" t="str">
        <f>IF($H290="","",IFERROR(INDEX('Game Records'!$A:$A,$H290),""))</f>
        <v/>
      </c>
      <c r="D290" s="331" t="str">
        <f>IF($H290="","",IFERROR(INDEX('Game Records'!$U:$U,$H290),""))</f>
        <v/>
      </c>
      <c r="E290" s="331" t="str">
        <f>IF($H290="","",IF($F290="","No Highlighted Fields","Highlighted Fields Present"))</f>
        <v/>
      </c>
      <c r="F290" s="331" t="str">
        <f>IF($H290="","",IF(OR(NOT(ISFORMULA(INDEX('Game Records'!$N:$N,$H290))),NOT(ISFORMULA(INDEX('Game Records'!$O:$O,$H290))),NOT(ISFORMULA(INDEX('Game Records'!$P:$P,$H290))),NOT(ISFORMULA(INDEX('Game Records'!$Q:$Q,$H290))),NOT(ISFORMULA(INDEX('Game Records'!$R:$R,$H290))),NOT(ISFORMULA(INDEX('Game Records'!$S:$S,$H290))),NOT(ISFORMULA(INDEX('Game Records'!$T:$T,$H290))),NOT(ISFORMULA(INDEX('Game Records'!$U:$U,$H290))),NOT(ISFORMULA(INDEX('Game Records'!$V:$V,$H290))),NOT(ISFORMULA(INDEX('Game Records'!$W:$W,$H290))),NOT(ISFORMULA(INDEX('Game Records'!$X:$X,$H290))),NOT(ISFORMULA(INDEX('Game Records'!$Y:$Y,$H290))),NOT(ISFORMULA(INDEX('Game Records'!$Z:$Z,$H290)))),"Formula columns missing; ","")&amp;IF(INDEX('Game Records'!$B:$B,$H290)="","Start Date; ","")&amp;IF(INDEX('Game Records'!$C:$C,$H290)="","End Date; ","")&amp;IF(AND(INDEX('Game Records'!$U:$U,$H290)&lt;&gt;"Subscription",INDEX('Game Records'!$U:$U,$H290)&lt;&gt;"Free Game",INDEX('Game Records'!$U:$U,$H290)&lt;&gt;"Disqualified — Free Game",OR(INDEX('Game Records'!$D:$D,$H290)="",LOWER(INDEX('Game Records'!$D:$D,$H290)&amp;"")="n/a")),"Entry Mode; ","")&amp;IF(AND(INDEX('Game Records'!$U:$U,$H290)&lt;&gt;"Subscription",INDEX('Game Records'!$U:$U,$H290)&lt;&gt;"Free Game",INDEX('Game Records'!$U:$U,$H290)&lt;&gt;"Disqualified — Free Game",OR(INDEX('Game Records'!$E:$E,$H290)="",LOWER(INDEX('Game Records'!$E:$E,$H290)&amp;"")="n/a")),"Game Type; ","")&amp;IF(INDEX('Game Records'!$F:$F,$H290)="","Payment Type; ","")&amp;IF(AND(INDEX('Game Records'!$U:$U,$H290)&lt;&gt;"Subscription",INDEX('Game Records'!$U:$U,$H290)&lt;&gt;"Free Game",INDEX('Game Records'!$U:$U,$H290)&lt;&gt;"Disqualified — Free Game",INDEX('Game Records'!$G:$G,$H290)=""),"Gross Pot; ","")&amp;IF(AND(INDEX('Game Records'!$U:$U,$H290)&lt;&gt;"Free Game",INDEX('Game Records'!$U:$U,$H290)&lt;&gt;"Disqualified — Free Game",INDEX('Game Records'!$H:$H,$H290)=""),"Entry Fee; ","")&amp;IF(AND(INDEX('Game Records'!$U:$U,$H290)&lt;&gt;"Subscription",INDEX('Game Records'!$U:$U,$H290)&lt;&gt;"Free Game",INDEX('Game Records'!$U:$U,$H290)&lt;&gt;"Disqualified — Free Game",INDEX('Game Records'!$I:$I,$H290)=""),"Eligible Players; ","")&amp;IF(AND(INDEX('Game Records'!$U:$U,$H290)&lt;&gt;"Subscription",INDEX('Game Records'!$U:$U,$H290)&lt;&gt;"Free Game",INDEX('Game Records'!$U:$U,$H290)&lt;&gt;"Disqualified — Free Game",INDEX('Game Records'!$J:$J,$H290)=""),"Total Players; ","")&amp;IF(AND(LOWER(INDEX('Game Records'!$D:$D,$H290)&amp;"")="finalized",LOWER(INDEX('Game Records'!$L:$L,$H290)&amp;"")&lt;&gt;"yes",INDEX('Game Records'!$U:$U,$H290)&lt;&gt;"Subscription",INDEX('Game Records'!$U:$U,$H290)&lt;&gt;"Free Game",INDEX('Game Records'!$U:$U,$H290)&lt;&gt;"Disqualified — Free Game",INDEX('Game Records'!$K:$K,$H290)=""),"Final Earned; ","")&amp;IF(AND(LOWER(INDEX('Game Records'!$D:$D,$H290)&amp;"")="finalized",INDEX('Game Records'!$U:$U,$H290)&lt;&gt;"Subscription",INDEX('Game Records'!$U:$U,$H290)&lt;&gt;"Free Game",INDEX('Game Records'!$U:$U,$H290)&lt;&gt;"Disqualified — Free Game",OR(INDEX('Game Records'!$L:$L,$H290)="",LOWER(INDEX('Game Records'!$L:$L,$H290)&amp;"")="n/a")),"Disqualified Status; ","")&amp;IF(AND(OR(LOWER(TRIM(INDEX('Game Records'!$F:$F,$H290)&amp;""))="free game",INDEX('Game Records'!$U:$U,$H290)="Free Game",INDEX('Game Records'!$U:$U,$H290)="Disqualified — Free Game"),N(INDEX('Game Records'!$H:$H,$H290))&lt;&gt;0),"Free Game has a non-zero Entry Fee. Free Game records require a $0 Entry Fee; ",""))</f>
        <v/>
      </c>
      <c r="G290" s="331" t="str">
        <f>IF($H290="","",IFERROR(INDEX('Game Records'!$M:$M,$H290),""))</f>
        <v/>
      </c>
      <c r="H290" s="104" t="str">
        <f>IF($H289="","",IFERROR(MATCH(1,INDEX((ROW('Game Records'!$U$5:$U$504)&gt;$H289)*(('Game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1" ht="24" customHeight="1">
      <c r="A291" s="332" t="str">
        <f>IF($H291="","",ROWS($A$5:A291))</f>
        <v/>
      </c>
      <c r="B291" s="332" t="str">
        <f>IF($H291="","","G-"&amp;TEXT($A291,"0000"))</f>
        <v/>
      </c>
      <c r="C291" s="331" t="str">
        <f>IF($H291="","",IFERROR(INDEX('Game Records'!$A:$A,$H291),""))</f>
        <v/>
      </c>
      <c r="D291" s="331" t="str">
        <f>IF($H291="","",IFERROR(INDEX('Game Records'!$U:$U,$H291),""))</f>
        <v/>
      </c>
      <c r="E291" s="331" t="str">
        <f>IF($H291="","",IF($F291="","No Highlighted Fields","Highlighted Fields Present"))</f>
        <v/>
      </c>
      <c r="F291" s="331" t="str">
        <f>IF($H291="","",IF(OR(NOT(ISFORMULA(INDEX('Game Records'!$N:$N,$H291))),NOT(ISFORMULA(INDEX('Game Records'!$O:$O,$H291))),NOT(ISFORMULA(INDEX('Game Records'!$P:$P,$H291))),NOT(ISFORMULA(INDEX('Game Records'!$Q:$Q,$H291))),NOT(ISFORMULA(INDEX('Game Records'!$R:$R,$H291))),NOT(ISFORMULA(INDEX('Game Records'!$S:$S,$H291))),NOT(ISFORMULA(INDEX('Game Records'!$T:$T,$H291))),NOT(ISFORMULA(INDEX('Game Records'!$U:$U,$H291))),NOT(ISFORMULA(INDEX('Game Records'!$V:$V,$H291))),NOT(ISFORMULA(INDEX('Game Records'!$W:$W,$H291))),NOT(ISFORMULA(INDEX('Game Records'!$X:$X,$H291))),NOT(ISFORMULA(INDEX('Game Records'!$Y:$Y,$H291))),NOT(ISFORMULA(INDEX('Game Records'!$Z:$Z,$H291)))),"Formula columns missing; ","")&amp;IF(INDEX('Game Records'!$B:$B,$H291)="","Start Date; ","")&amp;IF(INDEX('Game Records'!$C:$C,$H291)="","End Date; ","")&amp;IF(AND(INDEX('Game Records'!$U:$U,$H291)&lt;&gt;"Subscription",INDEX('Game Records'!$U:$U,$H291)&lt;&gt;"Free Game",INDEX('Game Records'!$U:$U,$H291)&lt;&gt;"Disqualified — Free Game",OR(INDEX('Game Records'!$D:$D,$H291)="",LOWER(INDEX('Game Records'!$D:$D,$H291)&amp;"")="n/a")),"Entry Mode; ","")&amp;IF(AND(INDEX('Game Records'!$U:$U,$H291)&lt;&gt;"Subscription",INDEX('Game Records'!$U:$U,$H291)&lt;&gt;"Free Game",INDEX('Game Records'!$U:$U,$H291)&lt;&gt;"Disqualified — Free Game",OR(INDEX('Game Records'!$E:$E,$H291)="",LOWER(INDEX('Game Records'!$E:$E,$H291)&amp;"")="n/a")),"Game Type; ","")&amp;IF(INDEX('Game Records'!$F:$F,$H291)="","Payment Type; ","")&amp;IF(AND(INDEX('Game Records'!$U:$U,$H291)&lt;&gt;"Subscription",INDEX('Game Records'!$U:$U,$H291)&lt;&gt;"Free Game",INDEX('Game Records'!$U:$U,$H291)&lt;&gt;"Disqualified — Free Game",INDEX('Game Records'!$G:$G,$H291)=""),"Gross Pot; ","")&amp;IF(AND(INDEX('Game Records'!$U:$U,$H291)&lt;&gt;"Free Game",INDEX('Game Records'!$U:$U,$H291)&lt;&gt;"Disqualified — Free Game",INDEX('Game Records'!$H:$H,$H291)=""),"Entry Fee; ","")&amp;IF(AND(INDEX('Game Records'!$U:$U,$H291)&lt;&gt;"Subscription",INDEX('Game Records'!$U:$U,$H291)&lt;&gt;"Free Game",INDEX('Game Records'!$U:$U,$H291)&lt;&gt;"Disqualified — Free Game",INDEX('Game Records'!$I:$I,$H291)=""),"Eligible Players; ","")&amp;IF(AND(INDEX('Game Records'!$U:$U,$H291)&lt;&gt;"Subscription",INDEX('Game Records'!$U:$U,$H291)&lt;&gt;"Free Game",INDEX('Game Records'!$U:$U,$H291)&lt;&gt;"Disqualified — Free Game",INDEX('Game Records'!$J:$J,$H291)=""),"Total Players; ","")&amp;IF(AND(LOWER(INDEX('Game Records'!$D:$D,$H291)&amp;"")="finalized",LOWER(INDEX('Game Records'!$L:$L,$H291)&amp;"")&lt;&gt;"yes",INDEX('Game Records'!$U:$U,$H291)&lt;&gt;"Subscription",INDEX('Game Records'!$U:$U,$H291)&lt;&gt;"Free Game",INDEX('Game Records'!$U:$U,$H291)&lt;&gt;"Disqualified — Free Game",INDEX('Game Records'!$K:$K,$H291)=""),"Final Earned; ","")&amp;IF(AND(LOWER(INDEX('Game Records'!$D:$D,$H291)&amp;"")="finalized",INDEX('Game Records'!$U:$U,$H291)&lt;&gt;"Subscription",INDEX('Game Records'!$U:$U,$H291)&lt;&gt;"Free Game",INDEX('Game Records'!$U:$U,$H291)&lt;&gt;"Disqualified — Free Game",OR(INDEX('Game Records'!$L:$L,$H291)="",LOWER(INDEX('Game Records'!$L:$L,$H291)&amp;"")="n/a")),"Disqualified Status; ","")&amp;IF(AND(OR(LOWER(TRIM(INDEX('Game Records'!$F:$F,$H291)&amp;""))="free game",INDEX('Game Records'!$U:$U,$H291)="Free Game",INDEX('Game Records'!$U:$U,$H291)="Disqualified — Free Game"),N(INDEX('Game Records'!$H:$H,$H291))&lt;&gt;0),"Free Game has a non-zero Entry Fee. Free Game records require a $0 Entry Fee; ",""))</f>
        <v/>
      </c>
      <c r="G291" s="331" t="str">
        <f>IF($H291="","",IFERROR(INDEX('Game Records'!$M:$M,$H291),""))</f>
        <v/>
      </c>
      <c r="H291" s="104" t="str">
        <f>IF($H290="","",IFERROR(MATCH(1,INDEX((ROW('Game Records'!$U$5:$U$504)&gt;$H290)*(('Game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2" ht="24" customHeight="1">
      <c r="A292" s="332" t="str">
        <f>IF($H292="","",ROWS($A$5:A292))</f>
        <v/>
      </c>
      <c r="B292" s="332" t="str">
        <f>IF($H292="","","G-"&amp;TEXT($A292,"0000"))</f>
        <v/>
      </c>
      <c r="C292" s="331" t="str">
        <f>IF($H292="","",IFERROR(INDEX('Game Records'!$A:$A,$H292),""))</f>
        <v/>
      </c>
      <c r="D292" s="331" t="str">
        <f>IF($H292="","",IFERROR(INDEX('Game Records'!$U:$U,$H292),""))</f>
        <v/>
      </c>
      <c r="E292" s="331" t="str">
        <f>IF($H292="","",IF($F292="","No Highlighted Fields","Highlighted Fields Present"))</f>
        <v/>
      </c>
      <c r="F292" s="331" t="str">
        <f>IF($H292="","",IF(OR(NOT(ISFORMULA(INDEX('Game Records'!$N:$N,$H292))),NOT(ISFORMULA(INDEX('Game Records'!$O:$O,$H292))),NOT(ISFORMULA(INDEX('Game Records'!$P:$P,$H292))),NOT(ISFORMULA(INDEX('Game Records'!$Q:$Q,$H292))),NOT(ISFORMULA(INDEX('Game Records'!$R:$R,$H292))),NOT(ISFORMULA(INDEX('Game Records'!$S:$S,$H292))),NOT(ISFORMULA(INDEX('Game Records'!$T:$T,$H292))),NOT(ISFORMULA(INDEX('Game Records'!$U:$U,$H292))),NOT(ISFORMULA(INDEX('Game Records'!$V:$V,$H292))),NOT(ISFORMULA(INDEX('Game Records'!$W:$W,$H292))),NOT(ISFORMULA(INDEX('Game Records'!$X:$X,$H292))),NOT(ISFORMULA(INDEX('Game Records'!$Y:$Y,$H292))),NOT(ISFORMULA(INDEX('Game Records'!$Z:$Z,$H292)))),"Formula columns missing; ","")&amp;IF(INDEX('Game Records'!$B:$B,$H292)="","Start Date; ","")&amp;IF(INDEX('Game Records'!$C:$C,$H292)="","End Date; ","")&amp;IF(AND(INDEX('Game Records'!$U:$U,$H292)&lt;&gt;"Subscription",INDEX('Game Records'!$U:$U,$H292)&lt;&gt;"Free Game",INDEX('Game Records'!$U:$U,$H292)&lt;&gt;"Disqualified — Free Game",OR(INDEX('Game Records'!$D:$D,$H292)="",LOWER(INDEX('Game Records'!$D:$D,$H292)&amp;"")="n/a")),"Entry Mode; ","")&amp;IF(AND(INDEX('Game Records'!$U:$U,$H292)&lt;&gt;"Subscription",INDEX('Game Records'!$U:$U,$H292)&lt;&gt;"Free Game",INDEX('Game Records'!$U:$U,$H292)&lt;&gt;"Disqualified — Free Game",OR(INDEX('Game Records'!$E:$E,$H292)="",LOWER(INDEX('Game Records'!$E:$E,$H292)&amp;"")="n/a")),"Game Type; ","")&amp;IF(INDEX('Game Records'!$F:$F,$H292)="","Payment Type; ","")&amp;IF(AND(INDEX('Game Records'!$U:$U,$H292)&lt;&gt;"Subscription",INDEX('Game Records'!$U:$U,$H292)&lt;&gt;"Free Game",INDEX('Game Records'!$U:$U,$H292)&lt;&gt;"Disqualified — Free Game",INDEX('Game Records'!$G:$G,$H292)=""),"Gross Pot; ","")&amp;IF(AND(INDEX('Game Records'!$U:$U,$H292)&lt;&gt;"Free Game",INDEX('Game Records'!$U:$U,$H292)&lt;&gt;"Disqualified — Free Game",INDEX('Game Records'!$H:$H,$H292)=""),"Entry Fee; ","")&amp;IF(AND(INDEX('Game Records'!$U:$U,$H292)&lt;&gt;"Subscription",INDEX('Game Records'!$U:$U,$H292)&lt;&gt;"Free Game",INDEX('Game Records'!$U:$U,$H292)&lt;&gt;"Disqualified — Free Game",INDEX('Game Records'!$I:$I,$H292)=""),"Eligible Players; ","")&amp;IF(AND(INDEX('Game Records'!$U:$U,$H292)&lt;&gt;"Subscription",INDEX('Game Records'!$U:$U,$H292)&lt;&gt;"Free Game",INDEX('Game Records'!$U:$U,$H292)&lt;&gt;"Disqualified — Free Game",INDEX('Game Records'!$J:$J,$H292)=""),"Total Players; ","")&amp;IF(AND(LOWER(INDEX('Game Records'!$D:$D,$H292)&amp;"")="finalized",LOWER(INDEX('Game Records'!$L:$L,$H292)&amp;"")&lt;&gt;"yes",INDEX('Game Records'!$U:$U,$H292)&lt;&gt;"Subscription",INDEX('Game Records'!$U:$U,$H292)&lt;&gt;"Free Game",INDEX('Game Records'!$U:$U,$H292)&lt;&gt;"Disqualified — Free Game",INDEX('Game Records'!$K:$K,$H292)=""),"Final Earned; ","")&amp;IF(AND(LOWER(INDEX('Game Records'!$D:$D,$H292)&amp;"")="finalized",INDEX('Game Records'!$U:$U,$H292)&lt;&gt;"Subscription",INDEX('Game Records'!$U:$U,$H292)&lt;&gt;"Free Game",INDEX('Game Records'!$U:$U,$H292)&lt;&gt;"Disqualified — Free Game",OR(INDEX('Game Records'!$L:$L,$H292)="",LOWER(INDEX('Game Records'!$L:$L,$H292)&amp;"")="n/a")),"Disqualified Status; ","")&amp;IF(AND(OR(LOWER(TRIM(INDEX('Game Records'!$F:$F,$H292)&amp;""))="free game",INDEX('Game Records'!$U:$U,$H292)="Free Game",INDEX('Game Records'!$U:$U,$H292)="Disqualified — Free Game"),N(INDEX('Game Records'!$H:$H,$H292))&lt;&gt;0),"Free Game has a non-zero Entry Fee. Free Game records require a $0 Entry Fee; ",""))</f>
        <v/>
      </c>
      <c r="G292" s="331" t="str">
        <f>IF($H292="","",IFERROR(INDEX('Game Records'!$M:$M,$H292),""))</f>
        <v/>
      </c>
      <c r="H292" s="104" t="str">
        <f>IF($H291="","",IFERROR(MATCH(1,INDEX((ROW('Game Records'!$U$5:$U$504)&gt;$H291)*(('Game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3" ht="24" customHeight="1">
      <c r="A293" s="332" t="str">
        <f>IF($H293="","",ROWS($A$5:A293))</f>
        <v/>
      </c>
      <c r="B293" s="332" t="str">
        <f>IF($H293="","","G-"&amp;TEXT($A293,"0000"))</f>
        <v/>
      </c>
      <c r="C293" s="331" t="str">
        <f>IF($H293="","",IFERROR(INDEX('Game Records'!$A:$A,$H293),""))</f>
        <v/>
      </c>
      <c r="D293" s="331" t="str">
        <f>IF($H293="","",IFERROR(INDEX('Game Records'!$U:$U,$H293),""))</f>
        <v/>
      </c>
      <c r="E293" s="331" t="str">
        <f>IF($H293="","",IF($F293="","No Highlighted Fields","Highlighted Fields Present"))</f>
        <v/>
      </c>
      <c r="F293" s="331" t="str">
        <f>IF($H293="","",IF(OR(NOT(ISFORMULA(INDEX('Game Records'!$N:$N,$H293))),NOT(ISFORMULA(INDEX('Game Records'!$O:$O,$H293))),NOT(ISFORMULA(INDEX('Game Records'!$P:$P,$H293))),NOT(ISFORMULA(INDEX('Game Records'!$Q:$Q,$H293))),NOT(ISFORMULA(INDEX('Game Records'!$R:$R,$H293))),NOT(ISFORMULA(INDEX('Game Records'!$S:$S,$H293))),NOT(ISFORMULA(INDEX('Game Records'!$T:$T,$H293))),NOT(ISFORMULA(INDEX('Game Records'!$U:$U,$H293))),NOT(ISFORMULA(INDEX('Game Records'!$V:$V,$H293))),NOT(ISFORMULA(INDEX('Game Records'!$W:$W,$H293))),NOT(ISFORMULA(INDEX('Game Records'!$X:$X,$H293))),NOT(ISFORMULA(INDEX('Game Records'!$Y:$Y,$H293))),NOT(ISFORMULA(INDEX('Game Records'!$Z:$Z,$H293)))),"Formula columns missing; ","")&amp;IF(INDEX('Game Records'!$B:$B,$H293)="","Start Date; ","")&amp;IF(INDEX('Game Records'!$C:$C,$H293)="","End Date; ","")&amp;IF(AND(INDEX('Game Records'!$U:$U,$H293)&lt;&gt;"Subscription",INDEX('Game Records'!$U:$U,$H293)&lt;&gt;"Free Game",INDEX('Game Records'!$U:$U,$H293)&lt;&gt;"Disqualified — Free Game",OR(INDEX('Game Records'!$D:$D,$H293)="",LOWER(INDEX('Game Records'!$D:$D,$H293)&amp;"")="n/a")),"Entry Mode; ","")&amp;IF(AND(INDEX('Game Records'!$U:$U,$H293)&lt;&gt;"Subscription",INDEX('Game Records'!$U:$U,$H293)&lt;&gt;"Free Game",INDEX('Game Records'!$U:$U,$H293)&lt;&gt;"Disqualified — Free Game",OR(INDEX('Game Records'!$E:$E,$H293)="",LOWER(INDEX('Game Records'!$E:$E,$H293)&amp;"")="n/a")),"Game Type; ","")&amp;IF(INDEX('Game Records'!$F:$F,$H293)="","Payment Type; ","")&amp;IF(AND(INDEX('Game Records'!$U:$U,$H293)&lt;&gt;"Subscription",INDEX('Game Records'!$U:$U,$H293)&lt;&gt;"Free Game",INDEX('Game Records'!$U:$U,$H293)&lt;&gt;"Disqualified — Free Game",INDEX('Game Records'!$G:$G,$H293)=""),"Gross Pot; ","")&amp;IF(AND(INDEX('Game Records'!$U:$U,$H293)&lt;&gt;"Free Game",INDEX('Game Records'!$U:$U,$H293)&lt;&gt;"Disqualified — Free Game",INDEX('Game Records'!$H:$H,$H293)=""),"Entry Fee; ","")&amp;IF(AND(INDEX('Game Records'!$U:$U,$H293)&lt;&gt;"Subscription",INDEX('Game Records'!$U:$U,$H293)&lt;&gt;"Free Game",INDEX('Game Records'!$U:$U,$H293)&lt;&gt;"Disqualified — Free Game",INDEX('Game Records'!$I:$I,$H293)=""),"Eligible Players; ","")&amp;IF(AND(INDEX('Game Records'!$U:$U,$H293)&lt;&gt;"Subscription",INDEX('Game Records'!$U:$U,$H293)&lt;&gt;"Free Game",INDEX('Game Records'!$U:$U,$H293)&lt;&gt;"Disqualified — Free Game",INDEX('Game Records'!$J:$J,$H293)=""),"Total Players; ","")&amp;IF(AND(LOWER(INDEX('Game Records'!$D:$D,$H293)&amp;"")="finalized",LOWER(INDEX('Game Records'!$L:$L,$H293)&amp;"")&lt;&gt;"yes",INDEX('Game Records'!$U:$U,$H293)&lt;&gt;"Subscription",INDEX('Game Records'!$U:$U,$H293)&lt;&gt;"Free Game",INDEX('Game Records'!$U:$U,$H293)&lt;&gt;"Disqualified — Free Game",INDEX('Game Records'!$K:$K,$H293)=""),"Final Earned; ","")&amp;IF(AND(LOWER(INDEX('Game Records'!$D:$D,$H293)&amp;"")="finalized",INDEX('Game Records'!$U:$U,$H293)&lt;&gt;"Subscription",INDEX('Game Records'!$U:$U,$H293)&lt;&gt;"Free Game",INDEX('Game Records'!$U:$U,$H293)&lt;&gt;"Disqualified — Free Game",OR(INDEX('Game Records'!$L:$L,$H293)="",LOWER(INDEX('Game Records'!$L:$L,$H293)&amp;"")="n/a")),"Disqualified Status; ","")&amp;IF(AND(OR(LOWER(TRIM(INDEX('Game Records'!$F:$F,$H293)&amp;""))="free game",INDEX('Game Records'!$U:$U,$H293)="Free Game",INDEX('Game Records'!$U:$U,$H293)="Disqualified — Free Game"),N(INDEX('Game Records'!$H:$H,$H293))&lt;&gt;0),"Free Game has a non-zero Entry Fee. Free Game records require a $0 Entry Fee; ",""))</f>
        <v/>
      </c>
      <c r="G293" s="331" t="str">
        <f>IF($H293="","",IFERROR(INDEX('Game Records'!$M:$M,$H293),""))</f>
        <v/>
      </c>
      <c r="H293" s="104" t="str">
        <f>IF($H292="","",IFERROR(MATCH(1,INDEX((ROW('Game Records'!$U$5:$U$504)&gt;$H292)*(('Game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4" ht="24" customHeight="1">
      <c r="A294" s="332" t="str">
        <f>IF($H294="","",ROWS($A$5:A294))</f>
        <v/>
      </c>
      <c r="B294" s="332" t="str">
        <f>IF($H294="","","G-"&amp;TEXT($A294,"0000"))</f>
        <v/>
      </c>
      <c r="C294" s="331" t="str">
        <f>IF($H294="","",IFERROR(INDEX('Game Records'!$A:$A,$H294),""))</f>
        <v/>
      </c>
      <c r="D294" s="331" t="str">
        <f>IF($H294="","",IFERROR(INDEX('Game Records'!$U:$U,$H294),""))</f>
        <v/>
      </c>
      <c r="E294" s="331" t="str">
        <f>IF($H294="","",IF($F294="","No Highlighted Fields","Highlighted Fields Present"))</f>
        <v/>
      </c>
      <c r="F294" s="331" t="str">
        <f>IF($H294="","",IF(OR(NOT(ISFORMULA(INDEX('Game Records'!$N:$N,$H294))),NOT(ISFORMULA(INDEX('Game Records'!$O:$O,$H294))),NOT(ISFORMULA(INDEX('Game Records'!$P:$P,$H294))),NOT(ISFORMULA(INDEX('Game Records'!$Q:$Q,$H294))),NOT(ISFORMULA(INDEX('Game Records'!$R:$R,$H294))),NOT(ISFORMULA(INDEX('Game Records'!$S:$S,$H294))),NOT(ISFORMULA(INDEX('Game Records'!$T:$T,$H294))),NOT(ISFORMULA(INDEX('Game Records'!$U:$U,$H294))),NOT(ISFORMULA(INDEX('Game Records'!$V:$V,$H294))),NOT(ISFORMULA(INDEX('Game Records'!$W:$W,$H294))),NOT(ISFORMULA(INDEX('Game Records'!$X:$X,$H294))),NOT(ISFORMULA(INDEX('Game Records'!$Y:$Y,$H294))),NOT(ISFORMULA(INDEX('Game Records'!$Z:$Z,$H294)))),"Formula columns missing; ","")&amp;IF(INDEX('Game Records'!$B:$B,$H294)="","Start Date; ","")&amp;IF(INDEX('Game Records'!$C:$C,$H294)="","End Date; ","")&amp;IF(AND(INDEX('Game Records'!$U:$U,$H294)&lt;&gt;"Subscription",INDEX('Game Records'!$U:$U,$H294)&lt;&gt;"Free Game",INDEX('Game Records'!$U:$U,$H294)&lt;&gt;"Disqualified — Free Game",OR(INDEX('Game Records'!$D:$D,$H294)="",LOWER(INDEX('Game Records'!$D:$D,$H294)&amp;"")="n/a")),"Entry Mode; ","")&amp;IF(AND(INDEX('Game Records'!$U:$U,$H294)&lt;&gt;"Subscription",INDEX('Game Records'!$U:$U,$H294)&lt;&gt;"Free Game",INDEX('Game Records'!$U:$U,$H294)&lt;&gt;"Disqualified — Free Game",OR(INDEX('Game Records'!$E:$E,$H294)="",LOWER(INDEX('Game Records'!$E:$E,$H294)&amp;"")="n/a")),"Game Type; ","")&amp;IF(INDEX('Game Records'!$F:$F,$H294)="","Payment Type; ","")&amp;IF(AND(INDEX('Game Records'!$U:$U,$H294)&lt;&gt;"Subscription",INDEX('Game Records'!$U:$U,$H294)&lt;&gt;"Free Game",INDEX('Game Records'!$U:$U,$H294)&lt;&gt;"Disqualified — Free Game",INDEX('Game Records'!$G:$G,$H294)=""),"Gross Pot; ","")&amp;IF(AND(INDEX('Game Records'!$U:$U,$H294)&lt;&gt;"Free Game",INDEX('Game Records'!$U:$U,$H294)&lt;&gt;"Disqualified — Free Game",INDEX('Game Records'!$H:$H,$H294)=""),"Entry Fee; ","")&amp;IF(AND(INDEX('Game Records'!$U:$U,$H294)&lt;&gt;"Subscription",INDEX('Game Records'!$U:$U,$H294)&lt;&gt;"Free Game",INDEX('Game Records'!$U:$U,$H294)&lt;&gt;"Disqualified — Free Game",INDEX('Game Records'!$I:$I,$H294)=""),"Eligible Players; ","")&amp;IF(AND(INDEX('Game Records'!$U:$U,$H294)&lt;&gt;"Subscription",INDEX('Game Records'!$U:$U,$H294)&lt;&gt;"Free Game",INDEX('Game Records'!$U:$U,$H294)&lt;&gt;"Disqualified — Free Game",INDEX('Game Records'!$J:$J,$H294)=""),"Total Players; ","")&amp;IF(AND(LOWER(INDEX('Game Records'!$D:$D,$H294)&amp;"")="finalized",LOWER(INDEX('Game Records'!$L:$L,$H294)&amp;"")&lt;&gt;"yes",INDEX('Game Records'!$U:$U,$H294)&lt;&gt;"Subscription",INDEX('Game Records'!$U:$U,$H294)&lt;&gt;"Free Game",INDEX('Game Records'!$U:$U,$H294)&lt;&gt;"Disqualified — Free Game",INDEX('Game Records'!$K:$K,$H294)=""),"Final Earned; ","")&amp;IF(AND(LOWER(INDEX('Game Records'!$D:$D,$H294)&amp;"")="finalized",INDEX('Game Records'!$U:$U,$H294)&lt;&gt;"Subscription",INDEX('Game Records'!$U:$U,$H294)&lt;&gt;"Free Game",INDEX('Game Records'!$U:$U,$H294)&lt;&gt;"Disqualified — Free Game",OR(INDEX('Game Records'!$L:$L,$H294)="",LOWER(INDEX('Game Records'!$L:$L,$H294)&amp;"")="n/a")),"Disqualified Status; ","")&amp;IF(AND(OR(LOWER(TRIM(INDEX('Game Records'!$F:$F,$H294)&amp;""))="free game",INDEX('Game Records'!$U:$U,$H294)="Free Game",INDEX('Game Records'!$U:$U,$H294)="Disqualified — Free Game"),N(INDEX('Game Records'!$H:$H,$H294))&lt;&gt;0),"Free Game has a non-zero Entry Fee. Free Game records require a $0 Entry Fee; ",""))</f>
        <v/>
      </c>
      <c r="G294" s="331" t="str">
        <f>IF($H294="","",IFERROR(INDEX('Game Records'!$M:$M,$H294),""))</f>
        <v/>
      </c>
      <c r="H294" s="104" t="str">
        <f>IF($H293="","",IFERROR(MATCH(1,INDEX((ROW('Game Records'!$U$5:$U$504)&gt;$H293)*(('Game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5" ht="24" customHeight="1">
      <c r="A295" s="332" t="str">
        <f>IF($H295="","",ROWS($A$5:A295))</f>
        <v/>
      </c>
      <c r="B295" s="332" t="str">
        <f>IF($H295="","","G-"&amp;TEXT($A295,"0000"))</f>
        <v/>
      </c>
      <c r="C295" s="331" t="str">
        <f>IF($H295="","",IFERROR(INDEX('Game Records'!$A:$A,$H295),""))</f>
        <v/>
      </c>
      <c r="D295" s="331" t="str">
        <f>IF($H295="","",IFERROR(INDEX('Game Records'!$U:$U,$H295),""))</f>
        <v/>
      </c>
      <c r="E295" s="331" t="str">
        <f>IF($H295="","",IF($F295="","No Highlighted Fields","Highlighted Fields Present"))</f>
        <v/>
      </c>
      <c r="F295" s="331" t="str">
        <f>IF($H295="","",IF(OR(NOT(ISFORMULA(INDEX('Game Records'!$N:$N,$H295))),NOT(ISFORMULA(INDEX('Game Records'!$O:$O,$H295))),NOT(ISFORMULA(INDEX('Game Records'!$P:$P,$H295))),NOT(ISFORMULA(INDEX('Game Records'!$Q:$Q,$H295))),NOT(ISFORMULA(INDEX('Game Records'!$R:$R,$H295))),NOT(ISFORMULA(INDEX('Game Records'!$S:$S,$H295))),NOT(ISFORMULA(INDEX('Game Records'!$T:$T,$H295))),NOT(ISFORMULA(INDEX('Game Records'!$U:$U,$H295))),NOT(ISFORMULA(INDEX('Game Records'!$V:$V,$H295))),NOT(ISFORMULA(INDEX('Game Records'!$W:$W,$H295))),NOT(ISFORMULA(INDEX('Game Records'!$X:$X,$H295))),NOT(ISFORMULA(INDEX('Game Records'!$Y:$Y,$H295))),NOT(ISFORMULA(INDEX('Game Records'!$Z:$Z,$H295)))),"Formula columns missing; ","")&amp;IF(INDEX('Game Records'!$B:$B,$H295)="","Start Date; ","")&amp;IF(INDEX('Game Records'!$C:$C,$H295)="","End Date; ","")&amp;IF(AND(INDEX('Game Records'!$U:$U,$H295)&lt;&gt;"Subscription",INDEX('Game Records'!$U:$U,$H295)&lt;&gt;"Free Game",INDEX('Game Records'!$U:$U,$H295)&lt;&gt;"Disqualified — Free Game",OR(INDEX('Game Records'!$D:$D,$H295)="",LOWER(INDEX('Game Records'!$D:$D,$H295)&amp;"")="n/a")),"Entry Mode; ","")&amp;IF(AND(INDEX('Game Records'!$U:$U,$H295)&lt;&gt;"Subscription",INDEX('Game Records'!$U:$U,$H295)&lt;&gt;"Free Game",INDEX('Game Records'!$U:$U,$H295)&lt;&gt;"Disqualified — Free Game",OR(INDEX('Game Records'!$E:$E,$H295)="",LOWER(INDEX('Game Records'!$E:$E,$H295)&amp;"")="n/a")),"Game Type; ","")&amp;IF(INDEX('Game Records'!$F:$F,$H295)="","Payment Type; ","")&amp;IF(AND(INDEX('Game Records'!$U:$U,$H295)&lt;&gt;"Subscription",INDEX('Game Records'!$U:$U,$H295)&lt;&gt;"Free Game",INDEX('Game Records'!$U:$U,$H295)&lt;&gt;"Disqualified — Free Game",INDEX('Game Records'!$G:$G,$H295)=""),"Gross Pot; ","")&amp;IF(AND(INDEX('Game Records'!$U:$U,$H295)&lt;&gt;"Free Game",INDEX('Game Records'!$U:$U,$H295)&lt;&gt;"Disqualified — Free Game",INDEX('Game Records'!$H:$H,$H295)=""),"Entry Fee; ","")&amp;IF(AND(INDEX('Game Records'!$U:$U,$H295)&lt;&gt;"Subscription",INDEX('Game Records'!$U:$U,$H295)&lt;&gt;"Free Game",INDEX('Game Records'!$U:$U,$H295)&lt;&gt;"Disqualified — Free Game",INDEX('Game Records'!$I:$I,$H295)=""),"Eligible Players; ","")&amp;IF(AND(INDEX('Game Records'!$U:$U,$H295)&lt;&gt;"Subscription",INDEX('Game Records'!$U:$U,$H295)&lt;&gt;"Free Game",INDEX('Game Records'!$U:$U,$H295)&lt;&gt;"Disqualified — Free Game",INDEX('Game Records'!$J:$J,$H295)=""),"Total Players; ","")&amp;IF(AND(LOWER(INDEX('Game Records'!$D:$D,$H295)&amp;"")="finalized",LOWER(INDEX('Game Records'!$L:$L,$H295)&amp;"")&lt;&gt;"yes",INDEX('Game Records'!$U:$U,$H295)&lt;&gt;"Subscription",INDEX('Game Records'!$U:$U,$H295)&lt;&gt;"Free Game",INDEX('Game Records'!$U:$U,$H295)&lt;&gt;"Disqualified — Free Game",INDEX('Game Records'!$K:$K,$H295)=""),"Final Earned; ","")&amp;IF(AND(LOWER(INDEX('Game Records'!$D:$D,$H295)&amp;"")="finalized",INDEX('Game Records'!$U:$U,$H295)&lt;&gt;"Subscription",INDEX('Game Records'!$U:$U,$H295)&lt;&gt;"Free Game",INDEX('Game Records'!$U:$U,$H295)&lt;&gt;"Disqualified — Free Game",OR(INDEX('Game Records'!$L:$L,$H295)="",LOWER(INDEX('Game Records'!$L:$L,$H295)&amp;"")="n/a")),"Disqualified Status; ","")&amp;IF(AND(OR(LOWER(TRIM(INDEX('Game Records'!$F:$F,$H295)&amp;""))="free game",INDEX('Game Records'!$U:$U,$H295)="Free Game",INDEX('Game Records'!$U:$U,$H295)="Disqualified — Free Game"),N(INDEX('Game Records'!$H:$H,$H295))&lt;&gt;0),"Free Game has a non-zero Entry Fee. Free Game records require a $0 Entry Fee; ",""))</f>
        <v/>
      </c>
      <c r="G295" s="331" t="str">
        <f>IF($H295="","",IFERROR(INDEX('Game Records'!$M:$M,$H295),""))</f>
        <v/>
      </c>
      <c r="H295" s="104" t="str">
        <f>IF($H294="","",IFERROR(MATCH(1,INDEX((ROW('Game Records'!$U$5:$U$504)&gt;$H294)*(('Game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6" ht="24" customHeight="1">
      <c r="A296" s="332" t="str">
        <f>IF($H296="","",ROWS($A$5:A296))</f>
        <v/>
      </c>
      <c r="B296" s="332" t="str">
        <f>IF($H296="","","G-"&amp;TEXT($A296,"0000"))</f>
        <v/>
      </c>
      <c r="C296" s="331" t="str">
        <f>IF($H296="","",IFERROR(INDEX('Game Records'!$A:$A,$H296),""))</f>
        <v/>
      </c>
      <c r="D296" s="331" t="str">
        <f>IF($H296="","",IFERROR(INDEX('Game Records'!$U:$U,$H296),""))</f>
        <v/>
      </c>
      <c r="E296" s="331" t="str">
        <f>IF($H296="","",IF($F296="","No Highlighted Fields","Highlighted Fields Present"))</f>
        <v/>
      </c>
      <c r="F296" s="331" t="str">
        <f>IF($H296="","",IF(OR(NOT(ISFORMULA(INDEX('Game Records'!$N:$N,$H296))),NOT(ISFORMULA(INDEX('Game Records'!$O:$O,$H296))),NOT(ISFORMULA(INDEX('Game Records'!$P:$P,$H296))),NOT(ISFORMULA(INDEX('Game Records'!$Q:$Q,$H296))),NOT(ISFORMULA(INDEX('Game Records'!$R:$R,$H296))),NOT(ISFORMULA(INDEX('Game Records'!$S:$S,$H296))),NOT(ISFORMULA(INDEX('Game Records'!$T:$T,$H296))),NOT(ISFORMULA(INDEX('Game Records'!$U:$U,$H296))),NOT(ISFORMULA(INDEX('Game Records'!$V:$V,$H296))),NOT(ISFORMULA(INDEX('Game Records'!$W:$W,$H296))),NOT(ISFORMULA(INDEX('Game Records'!$X:$X,$H296))),NOT(ISFORMULA(INDEX('Game Records'!$Y:$Y,$H296))),NOT(ISFORMULA(INDEX('Game Records'!$Z:$Z,$H296)))),"Formula columns missing; ","")&amp;IF(INDEX('Game Records'!$B:$B,$H296)="","Start Date; ","")&amp;IF(INDEX('Game Records'!$C:$C,$H296)="","End Date; ","")&amp;IF(AND(INDEX('Game Records'!$U:$U,$H296)&lt;&gt;"Subscription",INDEX('Game Records'!$U:$U,$H296)&lt;&gt;"Free Game",INDEX('Game Records'!$U:$U,$H296)&lt;&gt;"Disqualified — Free Game",OR(INDEX('Game Records'!$D:$D,$H296)="",LOWER(INDEX('Game Records'!$D:$D,$H296)&amp;"")="n/a")),"Entry Mode; ","")&amp;IF(AND(INDEX('Game Records'!$U:$U,$H296)&lt;&gt;"Subscription",INDEX('Game Records'!$U:$U,$H296)&lt;&gt;"Free Game",INDEX('Game Records'!$U:$U,$H296)&lt;&gt;"Disqualified — Free Game",OR(INDEX('Game Records'!$E:$E,$H296)="",LOWER(INDEX('Game Records'!$E:$E,$H296)&amp;"")="n/a")),"Game Type; ","")&amp;IF(INDEX('Game Records'!$F:$F,$H296)="","Payment Type; ","")&amp;IF(AND(INDEX('Game Records'!$U:$U,$H296)&lt;&gt;"Subscription",INDEX('Game Records'!$U:$U,$H296)&lt;&gt;"Free Game",INDEX('Game Records'!$U:$U,$H296)&lt;&gt;"Disqualified — Free Game",INDEX('Game Records'!$G:$G,$H296)=""),"Gross Pot; ","")&amp;IF(AND(INDEX('Game Records'!$U:$U,$H296)&lt;&gt;"Free Game",INDEX('Game Records'!$U:$U,$H296)&lt;&gt;"Disqualified — Free Game",INDEX('Game Records'!$H:$H,$H296)=""),"Entry Fee; ","")&amp;IF(AND(INDEX('Game Records'!$U:$U,$H296)&lt;&gt;"Subscription",INDEX('Game Records'!$U:$U,$H296)&lt;&gt;"Free Game",INDEX('Game Records'!$U:$U,$H296)&lt;&gt;"Disqualified — Free Game",INDEX('Game Records'!$I:$I,$H296)=""),"Eligible Players; ","")&amp;IF(AND(INDEX('Game Records'!$U:$U,$H296)&lt;&gt;"Subscription",INDEX('Game Records'!$U:$U,$H296)&lt;&gt;"Free Game",INDEX('Game Records'!$U:$U,$H296)&lt;&gt;"Disqualified — Free Game",INDEX('Game Records'!$J:$J,$H296)=""),"Total Players; ","")&amp;IF(AND(LOWER(INDEX('Game Records'!$D:$D,$H296)&amp;"")="finalized",LOWER(INDEX('Game Records'!$L:$L,$H296)&amp;"")&lt;&gt;"yes",INDEX('Game Records'!$U:$U,$H296)&lt;&gt;"Subscription",INDEX('Game Records'!$U:$U,$H296)&lt;&gt;"Free Game",INDEX('Game Records'!$U:$U,$H296)&lt;&gt;"Disqualified — Free Game",INDEX('Game Records'!$K:$K,$H296)=""),"Final Earned; ","")&amp;IF(AND(LOWER(INDEX('Game Records'!$D:$D,$H296)&amp;"")="finalized",INDEX('Game Records'!$U:$U,$H296)&lt;&gt;"Subscription",INDEX('Game Records'!$U:$U,$H296)&lt;&gt;"Free Game",INDEX('Game Records'!$U:$U,$H296)&lt;&gt;"Disqualified — Free Game",OR(INDEX('Game Records'!$L:$L,$H296)="",LOWER(INDEX('Game Records'!$L:$L,$H296)&amp;"")="n/a")),"Disqualified Status; ","")&amp;IF(AND(OR(LOWER(TRIM(INDEX('Game Records'!$F:$F,$H296)&amp;""))="free game",INDEX('Game Records'!$U:$U,$H296)="Free Game",INDEX('Game Records'!$U:$U,$H296)="Disqualified — Free Game"),N(INDEX('Game Records'!$H:$H,$H296))&lt;&gt;0),"Free Game has a non-zero Entry Fee. Free Game records require a $0 Entry Fee; ",""))</f>
        <v/>
      </c>
      <c r="G296" s="331" t="str">
        <f>IF($H296="","",IFERROR(INDEX('Game Records'!$M:$M,$H296),""))</f>
        <v/>
      </c>
      <c r="H296" s="104" t="str">
        <f>IF($H295="","",IFERROR(MATCH(1,INDEX((ROW('Game Records'!$U$5:$U$504)&gt;$H295)*(('Game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7" ht="24" customHeight="1">
      <c r="A297" s="332" t="str">
        <f>IF($H297="","",ROWS($A$5:A297))</f>
        <v/>
      </c>
      <c r="B297" s="332" t="str">
        <f>IF($H297="","","G-"&amp;TEXT($A297,"0000"))</f>
        <v/>
      </c>
      <c r="C297" s="331" t="str">
        <f>IF($H297="","",IFERROR(INDEX('Game Records'!$A:$A,$H297),""))</f>
        <v/>
      </c>
      <c r="D297" s="331" t="str">
        <f>IF($H297="","",IFERROR(INDEX('Game Records'!$U:$U,$H297),""))</f>
        <v/>
      </c>
      <c r="E297" s="331" t="str">
        <f>IF($H297="","",IF($F297="","No Highlighted Fields","Highlighted Fields Present"))</f>
        <v/>
      </c>
      <c r="F297" s="331" t="str">
        <f>IF($H297="","",IF(OR(NOT(ISFORMULA(INDEX('Game Records'!$N:$N,$H297))),NOT(ISFORMULA(INDEX('Game Records'!$O:$O,$H297))),NOT(ISFORMULA(INDEX('Game Records'!$P:$P,$H297))),NOT(ISFORMULA(INDEX('Game Records'!$Q:$Q,$H297))),NOT(ISFORMULA(INDEX('Game Records'!$R:$R,$H297))),NOT(ISFORMULA(INDEX('Game Records'!$S:$S,$H297))),NOT(ISFORMULA(INDEX('Game Records'!$T:$T,$H297))),NOT(ISFORMULA(INDEX('Game Records'!$U:$U,$H297))),NOT(ISFORMULA(INDEX('Game Records'!$V:$V,$H297))),NOT(ISFORMULA(INDEX('Game Records'!$W:$W,$H297))),NOT(ISFORMULA(INDEX('Game Records'!$X:$X,$H297))),NOT(ISFORMULA(INDEX('Game Records'!$Y:$Y,$H297))),NOT(ISFORMULA(INDEX('Game Records'!$Z:$Z,$H297)))),"Formula columns missing; ","")&amp;IF(INDEX('Game Records'!$B:$B,$H297)="","Start Date; ","")&amp;IF(INDEX('Game Records'!$C:$C,$H297)="","End Date; ","")&amp;IF(AND(INDEX('Game Records'!$U:$U,$H297)&lt;&gt;"Subscription",INDEX('Game Records'!$U:$U,$H297)&lt;&gt;"Free Game",INDEX('Game Records'!$U:$U,$H297)&lt;&gt;"Disqualified — Free Game",OR(INDEX('Game Records'!$D:$D,$H297)="",LOWER(INDEX('Game Records'!$D:$D,$H297)&amp;"")="n/a")),"Entry Mode; ","")&amp;IF(AND(INDEX('Game Records'!$U:$U,$H297)&lt;&gt;"Subscription",INDEX('Game Records'!$U:$U,$H297)&lt;&gt;"Free Game",INDEX('Game Records'!$U:$U,$H297)&lt;&gt;"Disqualified — Free Game",OR(INDEX('Game Records'!$E:$E,$H297)="",LOWER(INDEX('Game Records'!$E:$E,$H297)&amp;"")="n/a")),"Game Type; ","")&amp;IF(INDEX('Game Records'!$F:$F,$H297)="","Payment Type; ","")&amp;IF(AND(INDEX('Game Records'!$U:$U,$H297)&lt;&gt;"Subscription",INDEX('Game Records'!$U:$U,$H297)&lt;&gt;"Free Game",INDEX('Game Records'!$U:$U,$H297)&lt;&gt;"Disqualified — Free Game",INDEX('Game Records'!$G:$G,$H297)=""),"Gross Pot; ","")&amp;IF(AND(INDEX('Game Records'!$U:$U,$H297)&lt;&gt;"Free Game",INDEX('Game Records'!$U:$U,$H297)&lt;&gt;"Disqualified — Free Game",INDEX('Game Records'!$H:$H,$H297)=""),"Entry Fee; ","")&amp;IF(AND(INDEX('Game Records'!$U:$U,$H297)&lt;&gt;"Subscription",INDEX('Game Records'!$U:$U,$H297)&lt;&gt;"Free Game",INDEX('Game Records'!$U:$U,$H297)&lt;&gt;"Disqualified — Free Game",INDEX('Game Records'!$I:$I,$H297)=""),"Eligible Players; ","")&amp;IF(AND(INDEX('Game Records'!$U:$U,$H297)&lt;&gt;"Subscription",INDEX('Game Records'!$U:$U,$H297)&lt;&gt;"Free Game",INDEX('Game Records'!$U:$U,$H297)&lt;&gt;"Disqualified — Free Game",INDEX('Game Records'!$J:$J,$H297)=""),"Total Players; ","")&amp;IF(AND(LOWER(INDEX('Game Records'!$D:$D,$H297)&amp;"")="finalized",LOWER(INDEX('Game Records'!$L:$L,$H297)&amp;"")&lt;&gt;"yes",INDEX('Game Records'!$U:$U,$H297)&lt;&gt;"Subscription",INDEX('Game Records'!$U:$U,$H297)&lt;&gt;"Free Game",INDEX('Game Records'!$U:$U,$H297)&lt;&gt;"Disqualified — Free Game",INDEX('Game Records'!$K:$K,$H297)=""),"Final Earned; ","")&amp;IF(AND(LOWER(INDEX('Game Records'!$D:$D,$H297)&amp;"")="finalized",INDEX('Game Records'!$U:$U,$H297)&lt;&gt;"Subscription",INDEX('Game Records'!$U:$U,$H297)&lt;&gt;"Free Game",INDEX('Game Records'!$U:$U,$H297)&lt;&gt;"Disqualified — Free Game",OR(INDEX('Game Records'!$L:$L,$H297)="",LOWER(INDEX('Game Records'!$L:$L,$H297)&amp;"")="n/a")),"Disqualified Status; ","")&amp;IF(AND(OR(LOWER(TRIM(INDEX('Game Records'!$F:$F,$H297)&amp;""))="free game",INDEX('Game Records'!$U:$U,$H297)="Free Game",INDEX('Game Records'!$U:$U,$H297)="Disqualified — Free Game"),N(INDEX('Game Records'!$H:$H,$H297))&lt;&gt;0),"Free Game has a non-zero Entry Fee. Free Game records require a $0 Entry Fee; ",""))</f>
        <v/>
      </c>
      <c r="G297" s="331" t="str">
        <f>IF($H297="","",IFERROR(INDEX('Game Records'!$M:$M,$H297),""))</f>
        <v/>
      </c>
      <c r="H297" s="104" t="str">
        <f>IF($H296="","",IFERROR(MATCH(1,INDEX((ROW('Game Records'!$U$5:$U$504)&gt;$H296)*(('Game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8" ht="24" customHeight="1">
      <c r="A298" s="332" t="str">
        <f>IF($H298="","",ROWS($A$5:A298))</f>
        <v/>
      </c>
      <c r="B298" s="332" t="str">
        <f>IF($H298="","","G-"&amp;TEXT($A298,"0000"))</f>
        <v/>
      </c>
      <c r="C298" s="331" t="str">
        <f>IF($H298="","",IFERROR(INDEX('Game Records'!$A:$A,$H298),""))</f>
        <v/>
      </c>
      <c r="D298" s="331" t="str">
        <f>IF($H298="","",IFERROR(INDEX('Game Records'!$U:$U,$H298),""))</f>
        <v/>
      </c>
      <c r="E298" s="331" t="str">
        <f>IF($H298="","",IF($F298="","No Highlighted Fields","Highlighted Fields Present"))</f>
        <v/>
      </c>
      <c r="F298" s="331" t="str">
        <f>IF($H298="","",IF(OR(NOT(ISFORMULA(INDEX('Game Records'!$N:$N,$H298))),NOT(ISFORMULA(INDEX('Game Records'!$O:$O,$H298))),NOT(ISFORMULA(INDEX('Game Records'!$P:$P,$H298))),NOT(ISFORMULA(INDEX('Game Records'!$Q:$Q,$H298))),NOT(ISFORMULA(INDEX('Game Records'!$R:$R,$H298))),NOT(ISFORMULA(INDEX('Game Records'!$S:$S,$H298))),NOT(ISFORMULA(INDEX('Game Records'!$T:$T,$H298))),NOT(ISFORMULA(INDEX('Game Records'!$U:$U,$H298))),NOT(ISFORMULA(INDEX('Game Records'!$V:$V,$H298))),NOT(ISFORMULA(INDEX('Game Records'!$W:$W,$H298))),NOT(ISFORMULA(INDEX('Game Records'!$X:$X,$H298))),NOT(ISFORMULA(INDEX('Game Records'!$Y:$Y,$H298))),NOT(ISFORMULA(INDEX('Game Records'!$Z:$Z,$H298)))),"Formula columns missing; ","")&amp;IF(INDEX('Game Records'!$B:$B,$H298)="","Start Date; ","")&amp;IF(INDEX('Game Records'!$C:$C,$H298)="","End Date; ","")&amp;IF(AND(INDEX('Game Records'!$U:$U,$H298)&lt;&gt;"Subscription",INDEX('Game Records'!$U:$U,$H298)&lt;&gt;"Free Game",INDEX('Game Records'!$U:$U,$H298)&lt;&gt;"Disqualified — Free Game",OR(INDEX('Game Records'!$D:$D,$H298)="",LOWER(INDEX('Game Records'!$D:$D,$H298)&amp;"")="n/a")),"Entry Mode; ","")&amp;IF(AND(INDEX('Game Records'!$U:$U,$H298)&lt;&gt;"Subscription",INDEX('Game Records'!$U:$U,$H298)&lt;&gt;"Free Game",INDEX('Game Records'!$U:$U,$H298)&lt;&gt;"Disqualified — Free Game",OR(INDEX('Game Records'!$E:$E,$H298)="",LOWER(INDEX('Game Records'!$E:$E,$H298)&amp;"")="n/a")),"Game Type; ","")&amp;IF(INDEX('Game Records'!$F:$F,$H298)="","Payment Type; ","")&amp;IF(AND(INDEX('Game Records'!$U:$U,$H298)&lt;&gt;"Subscription",INDEX('Game Records'!$U:$U,$H298)&lt;&gt;"Free Game",INDEX('Game Records'!$U:$U,$H298)&lt;&gt;"Disqualified — Free Game",INDEX('Game Records'!$G:$G,$H298)=""),"Gross Pot; ","")&amp;IF(AND(INDEX('Game Records'!$U:$U,$H298)&lt;&gt;"Free Game",INDEX('Game Records'!$U:$U,$H298)&lt;&gt;"Disqualified — Free Game",INDEX('Game Records'!$H:$H,$H298)=""),"Entry Fee; ","")&amp;IF(AND(INDEX('Game Records'!$U:$U,$H298)&lt;&gt;"Subscription",INDEX('Game Records'!$U:$U,$H298)&lt;&gt;"Free Game",INDEX('Game Records'!$U:$U,$H298)&lt;&gt;"Disqualified — Free Game",INDEX('Game Records'!$I:$I,$H298)=""),"Eligible Players; ","")&amp;IF(AND(INDEX('Game Records'!$U:$U,$H298)&lt;&gt;"Subscription",INDEX('Game Records'!$U:$U,$H298)&lt;&gt;"Free Game",INDEX('Game Records'!$U:$U,$H298)&lt;&gt;"Disqualified — Free Game",INDEX('Game Records'!$J:$J,$H298)=""),"Total Players; ","")&amp;IF(AND(LOWER(INDEX('Game Records'!$D:$D,$H298)&amp;"")="finalized",LOWER(INDEX('Game Records'!$L:$L,$H298)&amp;"")&lt;&gt;"yes",INDEX('Game Records'!$U:$U,$H298)&lt;&gt;"Subscription",INDEX('Game Records'!$U:$U,$H298)&lt;&gt;"Free Game",INDEX('Game Records'!$U:$U,$H298)&lt;&gt;"Disqualified — Free Game",INDEX('Game Records'!$K:$K,$H298)=""),"Final Earned; ","")&amp;IF(AND(LOWER(INDEX('Game Records'!$D:$D,$H298)&amp;"")="finalized",INDEX('Game Records'!$U:$U,$H298)&lt;&gt;"Subscription",INDEX('Game Records'!$U:$U,$H298)&lt;&gt;"Free Game",INDEX('Game Records'!$U:$U,$H298)&lt;&gt;"Disqualified — Free Game",OR(INDEX('Game Records'!$L:$L,$H298)="",LOWER(INDEX('Game Records'!$L:$L,$H298)&amp;"")="n/a")),"Disqualified Status; ","")&amp;IF(AND(OR(LOWER(TRIM(INDEX('Game Records'!$F:$F,$H298)&amp;""))="free game",INDEX('Game Records'!$U:$U,$H298)="Free Game",INDEX('Game Records'!$U:$U,$H298)="Disqualified — Free Game"),N(INDEX('Game Records'!$H:$H,$H298))&lt;&gt;0),"Free Game has a non-zero Entry Fee. Free Game records require a $0 Entry Fee; ",""))</f>
        <v/>
      </c>
      <c r="G298" s="331" t="str">
        <f>IF($H298="","",IFERROR(INDEX('Game Records'!$M:$M,$H298),""))</f>
        <v/>
      </c>
      <c r="H298" s="104" t="str">
        <f>IF($H297="","",IFERROR(MATCH(1,INDEX((ROW('Game Records'!$U$5:$U$504)&gt;$H297)*(('Game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9" ht="24" customHeight="1">
      <c r="A299" s="332" t="str">
        <f>IF($H299="","",ROWS($A$5:A299))</f>
        <v/>
      </c>
      <c r="B299" s="332" t="str">
        <f>IF($H299="","","G-"&amp;TEXT($A299,"0000"))</f>
        <v/>
      </c>
      <c r="C299" s="331" t="str">
        <f>IF($H299="","",IFERROR(INDEX('Game Records'!$A:$A,$H299),""))</f>
        <v/>
      </c>
      <c r="D299" s="331" t="str">
        <f>IF($H299="","",IFERROR(INDEX('Game Records'!$U:$U,$H299),""))</f>
        <v/>
      </c>
      <c r="E299" s="331" t="str">
        <f>IF($H299="","",IF($F299="","No Highlighted Fields","Highlighted Fields Present"))</f>
        <v/>
      </c>
      <c r="F299" s="331" t="str">
        <f>IF($H299="","",IF(OR(NOT(ISFORMULA(INDEX('Game Records'!$N:$N,$H299))),NOT(ISFORMULA(INDEX('Game Records'!$O:$O,$H299))),NOT(ISFORMULA(INDEX('Game Records'!$P:$P,$H299))),NOT(ISFORMULA(INDEX('Game Records'!$Q:$Q,$H299))),NOT(ISFORMULA(INDEX('Game Records'!$R:$R,$H299))),NOT(ISFORMULA(INDEX('Game Records'!$S:$S,$H299))),NOT(ISFORMULA(INDEX('Game Records'!$T:$T,$H299))),NOT(ISFORMULA(INDEX('Game Records'!$U:$U,$H299))),NOT(ISFORMULA(INDEX('Game Records'!$V:$V,$H299))),NOT(ISFORMULA(INDEX('Game Records'!$W:$W,$H299))),NOT(ISFORMULA(INDEX('Game Records'!$X:$X,$H299))),NOT(ISFORMULA(INDEX('Game Records'!$Y:$Y,$H299))),NOT(ISFORMULA(INDEX('Game Records'!$Z:$Z,$H299)))),"Formula columns missing; ","")&amp;IF(INDEX('Game Records'!$B:$B,$H299)="","Start Date; ","")&amp;IF(INDEX('Game Records'!$C:$C,$H299)="","End Date; ","")&amp;IF(AND(INDEX('Game Records'!$U:$U,$H299)&lt;&gt;"Subscription",INDEX('Game Records'!$U:$U,$H299)&lt;&gt;"Free Game",INDEX('Game Records'!$U:$U,$H299)&lt;&gt;"Disqualified — Free Game",OR(INDEX('Game Records'!$D:$D,$H299)="",LOWER(INDEX('Game Records'!$D:$D,$H299)&amp;"")="n/a")),"Entry Mode; ","")&amp;IF(AND(INDEX('Game Records'!$U:$U,$H299)&lt;&gt;"Subscription",INDEX('Game Records'!$U:$U,$H299)&lt;&gt;"Free Game",INDEX('Game Records'!$U:$U,$H299)&lt;&gt;"Disqualified — Free Game",OR(INDEX('Game Records'!$E:$E,$H299)="",LOWER(INDEX('Game Records'!$E:$E,$H299)&amp;"")="n/a")),"Game Type; ","")&amp;IF(INDEX('Game Records'!$F:$F,$H299)="","Payment Type; ","")&amp;IF(AND(INDEX('Game Records'!$U:$U,$H299)&lt;&gt;"Subscription",INDEX('Game Records'!$U:$U,$H299)&lt;&gt;"Free Game",INDEX('Game Records'!$U:$U,$H299)&lt;&gt;"Disqualified — Free Game",INDEX('Game Records'!$G:$G,$H299)=""),"Gross Pot; ","")&amp;IF(AND(INDEX('Game Records'!$U:$U,$H299)&lt;&gt;"Free Game",INDEX('Game Records'!$U:$U,$H299)&lt;&gt;"Disqualified — Free Game",INDEX('Game Records'!$H:$H,$H299)=""),"Entry Fee; ","")&amp;IF(AND(INDEX('Game Records'!$U:$U,$H299)&lt;&gt;"Subscription",INDEX('Game Records'!$U:$U,$H299)&lt;&gt;"Free Game",INDEX('Game Records'!$U:$U,$H299)&lt;&gt;"Disqualified — Free Game",INDEX('Game Records'!$I:$I,$H299)=""),"Eligible Players; ","")&amp;IF(AND(INDEX('Game Records'!$U:$U,$H299)&lt;&gt;"Subscription",INDEX('Game Records'!$U:$U,$H299)&lt;&gt;"Free Game",INDEX('Game Records'!$U:$U,$H299)&lt;&gt;"Disqualified — Free Game",INDEX('Game Records'!$J:$J,$H299)=""),"Total Players; ","")&amp;IF(AND(LOWER(INDEX('Game Records'!$D:$D,$H299)&amp;"")="finalized",LOWER(INDEX('Game Records'!$L:$L,$H299)&amp;"")&lt;&gt;"yes",INDEX('Game Records'!$U:$U,$H299)&lt;&gt;"Subscription",INDEX('Game Records'!$U:$U,$H299)&lt;&gt;"Free Game",INDEX('Game Records'!$U:$U,$H299)&lt;&gt;"Disqualified — Free Game",INDEX('Game Records'!$K:$K,$H299)=""),"Final Earned; ","")&amp;IF(AND(LOWER(INDEX('Game Records'!$D:$D,$H299)&amp;"")="finalized",INDEX('Game Records'!$U:$U,$H299)&lt;&gt;"Subscription",INDEX('Game Records'!$U:$U,$H299)&lt;&gt;"Free Game",INDEX('Game Records'!$U:$U,$H299)&lt;&gt;"Disqualified — Free Game",OR(INDEX('Game Records'!$L:$L,$H299)="",LOWER(INDEX('Game Records'!$L:$L,$H299)&amp;"")="n/a")),"Disqualified Status; ","")&amp;IF(AND(OR(LOWER(TRIM(INDEX('Game Records'!$F:$F,$H299)&amp;""))="free game",INDEX('Game Records'!$U:$U,$H299)="Free Game",INDEX('Game Records'!$U:$U,$H299)="Disqualified — Free Game"),N(INDEX('Game Records'!$H:$H,$H299))&lt;&gt;0),"Free Game has a non-zero Entry Fee. Free Game records require a $0 Entry Fee; ",""))</f>
        <v/>
      </c>
      <c r="G299" s="331" t="str">
        <f>IF($H299="","",IFERROR(INDEX('Game Records'!$M:$M,$H299),""))</f>
        <v/>
      </c>
      <c r="H299" s="104" t="str">
        <f>IF($H298="","",IFERROR(MATCH(1,INDEX((ROW('Game Records'!$U$5:$U$504)&gt;$H298)*(('Game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0" ht="24" customHeight="1">
      <c r="A300" s="332" t="str">
        <f>IF($H300="","",ROWS($A$5:A300))</f>
        <v/>
      </c>
      <c r="B300" s="332" t="str">
        <f>IF($H300="","","G-"&amp;TEXT($A300,"0000"))</f>
        <v/>
      </c>
      <c r="C300" s="331" t="str">
        <f>IF($H300="","",IFERROR(INDEX('Game Records'!$A:$A,$H300),""))</f>
        <v/>
      </c>
      <c r="D300" s="331" t="str">
        <f>IF($H300="","",IFERROR(INDEX('Game Records'!$U:$U,$H300),""))</f>
        <v/>
      </c>
      <c r="E300" s="331" t="str">
        <f>IF($H300="","",IF($F300="","No Highlighted Fields","Highlighted Fields Present"))</f>
        <v/>
      </c>
      <c r="F300" s="331" t="str">
        <f>IF($H300="","",IF(OR(NOT(ISFORMULA(INDEX('Game Records'!$N:$N,$H300))),NOT(ISFORMULA(INDEX('Game Records'!$O:$O,$H300))),NOT(ISFORMULA(INDEX('Game Records'!$P:$P,$H300))),NOT(ISFORMULA(INDEX('Game Records'!$Q:$Q,$H300))),NOT(ISFORMULA(INDEX('Game Records'!$R:$R,$H300))),NOT(ISFORMULA(INDEX('Game Records'!$S:$S,$H300))),NOT(ISFORMULA(INDEX('Game Records'!$T:$T,$H300))),NOT(ISFORMULA(INDEX('Game Records'!$U:$U,$H300))),NOT(ISFORMULA(INDEX('Game Records'!$V:$V,$H300))),NOT(ISFORMULA(INDEX('Game Records'!$W:$W,$H300))),NOT(ISFORMULA(INDEX('Game Records'!$X:$X,$H300))),NOT(ISFORMULA(INDEX('Game Records'!$Y:$Y,$H300))),NOT(ISFORMULA(INDEX('Game Records'!$Z:$Z,$H300)))),"Formula columns missing; ","")&amp;IF(INDEX('Game Records'!$B:$B,$H300)="","Start Date; ","")&amp;IF(INDEX('Game Records'!$C:$C,$H300)="","End Date; ","")&amp;IF(AND(INDEX('Game Records'!$U:$U,$H300)&lt;&gt;"Subscription",INDEX('Game Records'!$U:$U,$H300)&lt;&gt;"Free Game",INDEX('Game Records'!$U:$U,$H300)&lt;&gt;"Disqualified — Free Game",OR(INDEX('Game Records'!$D:$D,$H300)="",LOWER(INDEX('Game Records'!$D:$D,$H300)&amp;"")="n/a")),"Entry Mode; ","")&amp;IF(AND(INDEX('Game Records'!$U:$U,$H300)&lt;&gt;"Subscription",INDEX('Game Records'!$U:$U,$H300)&lt;&gt;"Free Game",INDEX('Game Records'!$U:$U,$H300)&lt;&gt;"Disqualified — Free Game",OR(INDEX('Game Records'!$E:$E,$H300)="",LOWER(INDEX('Game Records'!$E:$E,$H300)&amp;"")="n/a")),"Game Type; ","")&amp;IF(INDEX('Game Records'!$F:$F,$H300)="","Payment Type; ","")&amp;IF(AND(INDEX('Game Records'!$U:$U,$H300)&lt;&gt;"Subscription",INDEX('Game Records'!$U:$U,$H300)&lt;&gt;"Free Game",INDEX('Game Records'!$U:$U,$H300)&lt;&gt;"Disqualified — Free Game",INDEX('Game Records'!$G:$G,$H300)=""),"Gross Pot; ","")&amp;IF(AND(INDEX('Game Records'!$U:$U,$H300)&lt;&gt;"Free Game",INDEX('Game Records'!$U:$U,$H300)&lt;&gt;"Disqualified — Free Game",INDEX('Game Records'!$H:$H,$H300)=""),"Entry Fee; ","")&amp;IF(AND(INDEX('Game Records'!$U:$U,$H300)&lt;&gt;"Subscription",INDEX('Game Records'!$U:$U,$H300)&lt;&gt;"Free Game",INDEX('Game Records'!$U:$U,$H300)&lt;&gt;"Disqualified — Free Game",INDEX('Game Records'!$I:$I,$H300)=""),"Eligible Players; ","")&amp;IF(AND(INDEX('Game Records'!$U:$U,$H300)&lt;&gt;"Subscription",INDEX('Game Records'!$U:$U,$H300)&lt;&gt;"Free Game",INDEX('Game Records'!$U:$U,$H300)&lt;&gt;"Disqualified — Free Game",INDEX('Game Records'!$J:$J,$H300)=""),"Total Players; ","")&amp;IF(AND(LOWER(INDEX('Game Records'!$D:$D,$H300)&amp;"")="finalized",LOWER(INDEX('Game Records'!$L:$L,$H300)&amp;"")&lt;&gt;"yes",INDEX('Game Records'!$U:$U,$H300)&lt;&gt;"Subscription",INDEX('Game Records'!$U:$U,$H300)&lt;&gt;"Free Game",INDEX('Game Records'!$U:$U,$H300)&lt;&gt;"Disqualified — Free Game",INDEX('Game Records'!$K:$K,$H300)=""),"Final Earned; ","")&amp;IF(AND(LOWER(INDEX('Game Records'!$D:$D,$H300)&amp;"")="finalized",INDEX('Game Records'!$U:$U,$H300)&lt;&gt;"Subscription",INDEX('Game Records'!$U:$U,$H300)&lt;&gt;"Free Game",INDEX('Game Records'!$U:$U,$H300)&lt;&gt;"Disqualified — Free Game",OR(INDEX('Game Records'!$L:$L,$H300)="",LOWER(INDEX('Game Records'!$L:$L,$H300)&amp;"")="n/a")),"Disqualified Status; ","")&amp;IF(AND(OR(LOWER(TRIM(INDEX('Game Records'!$F:$F,$H300)&amp;""))="free game",INDEX('Game Records'!$U:$U,$H300)="Free Game",INDEX('Game Records'!$U:$U,$H300)="Disqualified — Free Game"),N(INDEX('Game Records'!$H:$H,$H300))&lt;&gt;0),"Free Game has a non-zero Entry Fee. Free Game records require a $0 Entry Fee; ",""))</f>
        <v/>
      </c>
      <c r="G300" s="331" t="str">
        <f>IF($H300="","",IFERROR(INDEX('Game Records'!$M:$M,$H300),""))</f>
        <v/>
      </c>
      <c r="H300" s="104" t="str">
        <f>IF($H299="","",IFERROR(MATCH(1,INDEX((ROW('Game Records'!$U$5:$U$504)&gt;$H299)*(('Game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1" ht="24" customHeight="1">
      <c r="A301" s="332" t="str">
        <f>IF($H301="","",ROWS($A$5:A301))</f>
        <v/>
      </c>
      <c r="B301" s="332" t="str">
        <f>IF($H301="","","G-"&amp;TEXT($A301,"0000"))</f>
        <v/>
      </c>
      <c r="C301" s="331" t="str">
        <f>IF($H301="","",IFERROR(INDEX('Game Records'!$A:$A,$H301),""))</f>
        <v/>
      </c>
      <c r="D301" s="331" t="str">
        <f>IF($H301="","",IFERROR(INDEX('Game Records'!$U:$U,$H301),""))</f>
        <v/>
      </c>
      <c r="E301" s="331" t="str">
        <f>IF($H301="","",IF($F301="","No Highlighted Fields","Highlighted Fields Present"))</f>
        <v/>
      </c>
      <c r="F301" s="331" t="str">
        <f>IF($H301="","",IF(OR(NOT(ISFORMULA(INDEX('Game Records'!$N:$N,$H301))),NOT(ISFORMULA(INDEX('Game Records'!$O:$O,$H301))),NOT(ISFORMULA(INDEX('Game Records'!$P:$P,$H301))),NOT(ISFORMULA(INDEX('Game Records'!$Q:$Q,$H301))),NOT(ISFORMULA(INDEX('Game Records'!$R:$R,$H301))),NOT(ISFORMULA(INDEX('Game Records'!$S:$S,$H301))),NOT(ISFORMULA(INDEX('Game Records'!$T:$T,$H301))),NOT(ISFORMULA(INDEX('Game Records'!$U:$U,$H301))),NOT(ISFORMULA(INDEX('Game Records'!$V:$V,$H301))),NOT(ISFORMULA(INDEX('Game Records'!$W:$W,$H301))),NOT(ISFORMULA(INDEX('Game Records'!$X:$X,$H301))),NOT(ISFORMULA(INDEX('Game Records'!$Y:$Y,$H301))),NOT(ISFORMULA(INDEX('Game Records'!$Z:$Z,$H301)))),"Formula columns missing; ","")&amp;IF(INDEX('Game Records'!$B:$B,$H301)="","Start Date; ","")&amp;IF(INDEX('Game Records'!$C:$C,$H301)="","End Date; ","")&amp;IF(AND(INDEX('Game Records'!$U:$U,$H301)&lt;&gt;"Subscription",INDEX('Game Records'!$U:$U,$H301)&lt;&gt;"Free Game",INDEX('Game Records'!$U:$U,$H301)&lt;&gt;"Disqualified — Free Game",OR(INDEX('Game Records'!$D:$D,$H301)="",LOWER(INDEX('Game Records'!$D:$D,$H301)&amp;"")="n/a")),"Entry Mode; ","")&amp;IF(AND(INDEX('Game Records'!$U:$U,$H301)&lt;&gt;"Subscription",INDEX('Game Records'!$U:$U,$H301)&lt;&gt;"Free Game",INDEX('Game Records'!$U:$U,$H301)&lt;&gt;"Disqualified — Free Game",OR(INDEX('Game Records'!$E:$E,$H301)="",LOWER(INDEX('Game Records'!$E:$E,$H301)&amp;"")="n/a")),"Game Type; ","")&amp;IF(INDEX('Game Records'!$F:$F,$H301)="","Payment Type; ","")&amp;IF(AND(INDEX('Game Records'!$U:$U,$H301)&lt;&gt;"Subscription",INDEX('Game Records'!$U:$U,$H301)&lt;&gt;"Free Game",INDEX('Game Records'!$U:$U,$H301)&lt;&gt;"Disqualified — Free Game",INDEX('Game Records'!$G:$G,$H301)=""),"Gross Pot; ","")&amp;IF(AND(INDEX('Game Records'!$U:$U,$H301)&lt;&gt;"Free Game",INDEX('Game Records'!$U:$U,$H301)&lt;&gt;"Disqualified — Free Game",INDEX('Game Records'!$H:$H,$H301)=""),"Entry Fee; ","")&amp;IF(AND(INDEX('Game Records'!$U:$U,$H301)&lt;&gt;"Subscription",INDEX('Game Records'!$U:$U,$H301)&lt;&gt;"Free Game",INDEX('Game Records'!$U:$U,$H301)&lt;&gt;"Disqualified — Free Game",INDEX('Game Records'!$I:$I,$H301)=""),"Eligible Players; ","")&amp;IF(AND(INDEX('Game Records'!$U:$U,$H301)&lt;&gt;"Subscription",INDEX('Game Records'!$U:$U,$H301)&lt;&gt;"Free Game",INDEX('Game Records'!$U:$U,$H301)&lt;&gt;"Disqualified — Free Game",INDEX('Game Records'!$J:$J,$H301)=""),"Total Players; ","")&amp;IF(AND(LOWER(INDEX('Game Records'!$D:$D,$H301)&amp;"")="finalized",LOWER(INDEX('Game Records'!$L:$L,$H301)&amp;"")&lt;&gt;"yes",INDEX('Game Records'!$U:$U,$H301)&lt;&gt;"Subscription",INDEX('Game Records'!$U:$U,$H301)&lt;&gt;"Free Game",INDEX('Game Records'!$U:$U,$H301)&lt;&gt;"Disqualified — Free Game",INDEX('Game Records'!$K:$K,$H301)=""),"Final Earned; ","")&amp;IF(AND(LOWER(INDEX('Game Records'!$D:$D,$H301)&amp;"")="finalized",INDEX('Game Records'!$U:$U,$H301)&lt;&gt;"Subscription",INDEX('Game Records'!$U:$U,$H301)&lt;&gt;"Free Game",INDEX('Game Records'!$U:$U,$H301)&lt;&gt;"Disqualified — Free Game",OR(INDEX('Game Records'!$L:$L,$H301)="",LOWER(INDEX('Game Records'!$L:$L,$H301)&amp;"")="n/a")),"Disqualified Status; ","")&amp;IF(AND(OR(LOWER(TRIM(INDEX('Game Records'!$F:$F,$H301)&amp;""))="free game",INDEX('Game Records'!$U:$U,$H301)="Free Game",INDEX('Game Records'!$U:$U,$H301)="Disqualified — Free Game"),N(INDEX('Game Records'!$H:$H,$H301))&lt;&gt;0),"Free Game has a non-zero Entry Fee. Free Game records require a $0 Entry Fee; ",""))</f>
        <v/>
      </c>
      <c r="G301" s="331" t="str">
        <f>IF($H301="","",IFERROR(INDEX('Game Records'!$M:$M,$H301),""))</f>
        <v/>
      </c>
      <c r="H301" s="104" t="str">
        <f>IF($H300="","",IFERROR(MATCH(1,INDEX((ROW('Game Records'!$U$5:$U$504)&gt;$H300)*(('Game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2" ht="24" customHeight="1">
      <c r="A302" s="332" t="str">
        <f>IF($H302="","",ROWS($A$5:A302))</f>
        <v/>
      </c>
      <c r="B302" s="332" t="str">
        <f>IF($H302="","","G-"&amp;TEXT($A302,"0000"))</f>
        <v/>
      </c>
      <c r="C302" s="331" t="str">
        <f>IF($H302="","",IFERROR(INDEX('Game Records'!$A:$A,$H302),""))</f>
        <v/>
      </c>
      <c r="D302" s="331" t="str">
        <f>IF($H302="","",IFERROR(INDEX('Game Records'!$U:$U,$H302),""))</f>
        <v/>
      </c>
      <c r="E302" s="331" t="str">
        <f>IF($H302="","",IF($F302="","No Highlighted Fields","Highlighted Fields Present"))</f>
        <v/>
      </c>
      <c r="F302" s="331" t="str">
        <f>IF($H302="","",IF(OR(NOT(ISFORMULA(INDEX('Game Records'!$N:$N,$H302))),NOT(ISFORMULA(INDEX('Game Records'!$O:$O,$H302))),NOT(ISFORMULA(INDEX('Game Records'!$P:$P,$H302))),NOT(ISFORMULA(INDEX('Game Records'!$Q:$Q,$H302))),NOT(ISFORMULA(INDEX('Game Records'!$R:$R,$H302))),NOT(ISFORMULA(INDEX('Game Records'!$S:$S,$H302))),NOT(ISFORMULA(INDEX('Game Records'!$T:$T,$H302))),NOT(ISFORMULA(INDEX('Game Records'!$U:$U,$H302))),NOT(ISFORMULA(INDEX('Game Records'!$V:$V,$H302))),NOT(ISFORMULA(INDEX('Game Records'!$W:$W,$H302))),NOT(ISFORMULA(INDEX('Game Records'!$X:$X,$H302))),NOT(ISFORMULA(INDEX('Game Records'!$Y:$Y,$H302))),NOT(ISFORMULA(INDEX('Game Records'!$Z:$Z,$H302)))),"Formula columns missing; ","")&amp;IF(INDEX('Game Records'!$B:$B,$H302)="","Start Date; ","")&amp;IF(INDEX('Game Records'!$C:$C,$H302)="","End Date; ","")&amp;IF(AND(INDEX('Game Records'!$U:$U,$H302)&lt;&gt;"Subscription",INDEX('Game Records'!$U:$U,$H302)&lt;&gt;"Free Game",INDEX('Game Records'!$U:$U,$H302)&lt;&gt;"Disqualified — Free Game",OR(INDEX('Game Records'!$D:$D,$H302)="",LOWER(INDEX('Game Records'!$D:$D,$H302)&amp;"")="n/a")),"Entry Mode; ","")&amp;IF(AND(INDEX('Game Records'!$U:$U,$H302)&lt;&gt;"Subscription",INDEX('Game Records'!$U:$U,$H302)&lt;&gt;"Free Game",INDEX('Game Records'!$U:$U,$H302)&lt;&gt;"Disqualified — Free Game",OR(INDEX('Game Records'!$E:$E,$H302)="",LOWER(INDEX('Game Records'!$E:$E,$H302)&amp;"")="n/a")),"Game Type; ","")&amp;IF(INDEX('Game Records'!$F:$F,$H302)="","Payment Type; ","")&amp;IF(AND(INDEX('Game Records'!$U:$U,$H302)&lt;&gt;"Subscription",INDEX('Game Records'!$U:$U,$H302)&lt;&gt;"Free Game",INDEX('Game Records'!$U:$U,$H302)&lt;&gt;"Disqualified — Free Game",INDEX('Game Records'!$G:$G,$H302)=""),"Gross Pot; ","")&amp;IF(AND(INDEX('Game Records'!$U:$U,$H302)&lt;&gt;"Free Game",INDEX('Game Records'!$U:$U,$H302)&lt;&gt;"Disqualified — Free Game",INDEX('Game Records'!$H:$H,$H302)=""),"Entry Fee; ","")&amp;IF(AND(INDEX('Game Records'!$U:$U,$H302)&lt;&gt;"Subscription",INDEX('Game Records'!$U:$U,$H302)&lt;&gt;"Free Game",INDEX('Game Records'!$U:$U,$H302)&lt;&gt;"Disqualified — Free Game",INDEX('Game Records'!$I:$I,$H302)=""),"Eligible Players; ","")&amp;IF(AND(INDEX('Game Records'!$U:$U,$H302)&lt;&gt;"Subscription",INDEX('Game Records'!$U:$U,$H302)&lt;&gt;"Free Game",INDEX('Game Records'!$U:$U,$H302)&lt;&gt;"Disqualified — Free Game",INDEX('Game Records'!$J:$J,$H302)=""),"Total Players; ","")&amp;IF(AND(LOWER(INDEX('Game Records'!$D:$D,$H302)&amp;"")="finalized",LOWER(INDEX('Game Records'!$L:$L,$H302)&amp;"")&lt;&gt;"yes",INDEX('Game Records'!$U:$U,$H302)&lt;&gt;"Subscription",INDEX('Game Records'!$U:$U,$H302)&lt;&gt;"Free Game",INDEX('Game Records'!$U:$U,$H302)&lt;&gt;"Disqualified — Free Game",INDEX('Game Records'!$K:$K,$H302)=""),"Final Earned; ","")&amp;IF(AND(LOWER(INDEX('Game Records'!$D:$D,$H302)&amp;"")="finalized",INDEX('Game Records'!$U:$U,$H302)&lt;&gt;"Subscription",INDEX('Game Records'!$U:$U,$H302)&lt;&gt;"Free Game",INDEX('Game Records'!$U:$U,$H302)&lt;&gt;"Disqualified — Free Game",OR(INDEX('Game Records'!$L:$L,$H302)="",LOWER(INDEX('Game Records'!$L:$L,$H302)&amp;"")="n/a")),"Disqualified Status; ","")&amp;IF(AND(OR(LOWER(TRIM(INDEX('Game Records'!$F:$F,$H302)&amp;""))="free game",INDEX('Game Records'!$U:$U,$H302)="Free Game",INDEX('Game Records'!$U:$U,$H302)="Disqualified — Free Game"),N(INDEX('Game Records'!$H:$H,$H302))&lt;&gt;0),"Free Game has a non-zero Entry Fee. Free Game records require a $0 Entry Fee; ",""))</f>
        <v/>
      </c>
      <c r="G302" s="331" t="str">
        <f>IF($H302="","",IFERROR(INDEX('Game Records'!$M:$M,$H302),""))</f>
        <v/>
      </c>
      <c r="H302" s="104" t="str">
        <f>IF($H301="","",IFERROR(MATCH(1,INDEX((ROW('Game Records'!$U$5:$U$504)&gt;$H301)*(('Game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3" ht="24" customHeight="1">
      <c r="A303" s="332" t="str">
        <f>IF($H303="","",ROWS($A$5:A303))</f>
        <v/>
      </c>
      <c r="B303" s="332" t="str">
        <f>IF($H303="","","G-"&amp;TEXT($A303,"0000"))</f>
        <v/>
      </c>
      <c r="C303" s="331" t="str">
        <f>IF($H303="","",IFERROR(INDEX('Game Records'!$A:$A,$H303),""))</f>
        <v/>
      </c>
      <c r="D303" s="331" t="str">
        <f>IF($H303="","",IFERROR(INDEX('Game Records'!$U:$U,$H303),""))</f>
        <v/>
      </c>
      <c r="E303" s="331" t="str">
        <f>IF($H303="","",IF($F303="","No Highlighted Fields","Highlighted Fields Present"))</f>
        <v/>
      </c>
      <c r="F303" s="331" t="str">
        <f>IF($H303="","",IF(OR(NOT(ISFORMULA(INDEX('Game Records'!$N:$N,$H303))),NOT(ISFORMULA(INDEX('Game Records'!$O:$O,$H303))),NOT(ISFORMULA(INDEX('Game Records'!$P:$P,$H303))),NOT(ISFORMULA(INDEX('Game Records'!$Q:$Q,$H303))),NOT(ISFORMULA(INDEX('Game Records'!$R:$R,$H303))),NOT(ISFORMULA(INDEX('Game Records'!$S:$S,$H303))),NOT(ISFORMULA(INDEX('Game Records'!$T:$T,$H303))),NOT(ISFORMULA(INDEX('Game Records'!$U:$U,$H303))),NOT(ISFORMULA(INDEX('Game Records'!$V:$V,$H303))),NOT(ISFORMULA(INDEX('Game Records'!$W:$W,$H303))),NOT(ISFORMULA(INDEX('Game Records'!$X:$X,$H303))),NOT(ISFORMULA(INDEX('Game Records'!$Y:$Y,$H303))),NOT(ISFORMULA(INDEX('Game Records'!$Z:$Z,$H303)))),"Formula columns missing; ","")&amp;IF(INDEX('Game Records'!$B:$B,$H303)="","Start Date; ","")&amp;IF(INDEX('Game Records'!$C:$C,$H303)="","End Date; ","")&amp;IF(AND(INDEX('Game Records'!$U:$U,$H303)&lt;&gt;"Subscription",INDEX('Game Records'!$U:$U,$H303)&lt;&gt;"Free Game",INDEX('Game Records'!$U:$U,$H303)&lt;&gt;"Disqualified — Free Game",OR(INDEX('Game Records'!$D:$D,$H303)="",LOWER(INDEX('Game Records'!$D:$D,$H303)&amp;"")="n/a")),"Entry Mode; ","")&amp;IF(AND(INDEX('Game Records'!$U:$U,$H303)&lt;&gt;"Subscription",INDEX('Game Records'!$U:$U,$H303)&lt;&gt;"Free Game",INDEX('Game Records'!$U:$U,$H303)&lt;&gt;"Disqualified — Free Game",OR(INDEX('Game Records'!$E:$E,$H303)="",LOWER(INDEX('Game Records'!$E:$E,$H303)&amp;"")="n/a")),"Game Type; ","")&amp;IF(INDEX('Game Records'!$F:$F,$H303)="","Payment Type; ","")&amp;IF(AND(INDEX('Game Records'!$U:$U,$H303)&lt;&gt;"Subscription",INDEX('Game Records'!$U:$U,$H303)&lt;&gt;"Free Game",INDEX('Game Records'!$U:$U,$H303)&lt;&gt;"Disqualified — Free Game",INDEX('Game Records'!$G:$G,$H303)=""),"Gross Pot; ","")&amp;IF(AND(INDEX('Game Records'!$U:$U,$H303)&lt;&gt;"Free Game",INDEX('Game Records'!$U:$U,$H303)&lt;&gt;"Disqualified — Free Game",INDEX('Game Records'!$H:$H,$H303)=""),"Entry Fee; ","")&amp;IF(AND(INDEX('Game Records'!$U:$U,$H303)&lt;&gt;"Subscription",INDEX('Game Records'!$U:$U,$H303)&lt;&gt;"Free Game",INDEX('Game Records'!$U:$U,$H303)&lt;&gt;"Disqualified — Free Game",INDEX('Game Records'!$I:$I,$H303)=""),"Eligible Players; ","")&amp;IF(AND(INDEX('Game Records'!$U:$U,$H303)&lt;&gt;"Subscription",INDEX('Game Records'!$U:$U,$H303)&lt;&gt;"Free Game",INDEX('Game Records'!$U:$U,$H303)&lt;&gt;"Disqualified — Free Game",INDEX('Game Records'!$J:$J,$H303)=""),"Total Players; ","")&amp;IF(AND(LOWER(INDEX('Game Records'!$D:$D,$H303)&amp;"")="finalized",LOWER(INDEX('Game Records'!$L:$L,$H303)&amp;"")&lt;&gt;"yes",INDEX('Game Records'!$U:$U,$H303)&lt;&gt;"Subscription",INDEX('Game Records'!$U:$U,$H303)&lt;&gt;"Free Game",INDEX('Game Records'!$U:$U,$H303)&lt;&gt;"Disqualified — Free Game",INDEX('Game Records'!$K:$K,$H303)=""),"Final Earned; ","")&amp;IF(AND(LOWER(INDEX('Game Records'!$D:$D,$H303)&amp;"")="finalized",INDEX('Game Records'!$U:$U,$H303)&lt;&gt;"Subscription",INDEX('Game Records'!$U:$U,$H303)&lt;&gt;"Free Game",INDEX('Game Records'!$U:$U,$H303)&lt;&gt;"Disqualified — Free Game",OR(INDEX('Game Records'!$L:$L,$H303)="",LOWER(INDEX('Game Records'!$L:$L,$H303)&amp;"")="n/a")),"Disqualified Status; ","")&amp;IF(AND(OR(LOWER(TRIM(INDEX('Game Records'!$F:$F,$H303)&amp;""))="free game",INDEX('Game Records'!$U:$U,$H303)="Free Game",INDEX('Game Records'!$U:$U,$H303)="Disqualified — Free Game"),N(INDEX('Game Records'!$H:$H,$H303))&lt;&gt;0),"Free Game has a non-zero Entry Fee. Free Game records require a $0 Entry Fee; ",""))</f>
        <v/>
      </c>
      <c r="G303" s="331" t="str">
        <f>IF($H303="","",IFERROR(INDEX('Game Records'!$M:$M,$H303),""))</f>
        <v/>
      </c>
      <c r="H303" s="104" t="str">
        <f>IF($H302="","",IFERROR(MATCH(1,INDEX((ROW('Game Records'!$U$5:$U$504)&gt;$H302)*(('Game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4" ht="24" customHeight="1">
      <c r="A304" s="332" t="str">
        <f>IF($H304="","",ROWS($A$5:A304))</f>
        <v/>
      </c>
      <c r="B304" s="332" t="str">
        <f>IF($H304="","","G-"&amp;TEXT($A304,"0000"))</f>
        <v/>
      </c>
      <c r="C304" s="331" t="str">
        <f>IF($H304="","",IFERROR(INDEX('Game Records'!$A:$A,$H304),""))</f>
        <v/>
      </c>
      <c r="D304" s="331" t="str">
        <f>IF($H304="","",IFERROR(INDEX('Game Records'!$U:$U,$H304),""))</f>
        <v/>
      </c>
      <c r="E304" s="331" t="str">
        <f>IF($H304="","",IF($F304="","No Highlighted Fields","Highlighted Fields Present"))</f>
        <v/>
      </c>
      <c r="F304" s="331" t="str">
        <f>IF($H304="","",IF(OR(NOT(ISFORMULA(INDEX('Game Records'!$N:$N,$H304))),NOT(ISFORMULA(INDEX('Game Records'!$O:$O,$H304))),NOT(ISFORMULA(INDEX('Game Records'!$P:$P,$H304))),NOT(ISFORMULA(INDEX('Game Records'!$Q:$Q,$H304))),NOT(ISFORMULA(INDEX('Game Records'!$R:$R,$H304))),NOT(ISFORMULA(INDEX('Game Records'!$S:$S,$H304))),NOT(ISFORMULA(INDEX('Game Records'!$T:$T,$H304))),NOT(ISFORMULA(INDEX('Game Records'!$U:$U,$H304))),NOT(ISFORMULA(INDEX('Game Records'!$V:$V,$H304))),NOT(ISFORMULA(INDEX('Game Records'!$W:$W,$H304))),NOT(ISFORMULA(INDEX('Game Records'!$X:$X,$H304))),NOT(ISFORMULA(INDEX('Game Records'!$Y:$Y,$H304))),NOT(ISFORMULA(INDEX('Game Records'!$Z:$Z,$H304)))),"Formula columns missing; ","")&amp;IF(INDEX('Game Records'!$B:$B,$H304)="","Start Date; ","")&amp;IF(INDEX('Game Records'!$C:$C,$H304)="","End Date; ","")&amp;IF(AND(INDEX('Game Records'!$U:$U,$H304)&lt;&gt;"Subscription",INDEX('Game Records'!$U:$U,$H304)&lt;&gt;"Free Game",INDEX('Game Records'!$U:$U,$H304)&lt;&gt;"Disqualified — Free Game",OR(INDEX('Game Records'!$D:$D,$H304)="",LOWER(INDEX('Game Records'!$D:$D,$H304)&amp;"")="n/a")),"Entry Mode; ","")&amp;IF(AND(INDEX('Game Records'!$U:$U,$H304)&lt;&gt;"Subscription",INDEX('Game Records'!$U:$U,$H304)&lt;&gt;"Free Game",INDEX('Game Records'!$U:$U,$H304)&lt;&gt;"Disqualified — Free Game",OR(INDEX('Game Records'!$E:$E,$H304)="",LOWER(INDEX('Game Records'!$E:$E,$H304)&amp;"")="n/a")),"Game Type; ","")&amp;IF(INDEX('Game Records'!$F:$F,$H304)="","Payment Type; ","")&amp;IF(AND(INDEX('Game Records'!$U:$U,$H304)&lt;&gt;"Subscription",INDEX('Game Records'!$U:$U,$H304)&lt;&gt;"Free Game",INDEX('Game Records'!$U:$U,$H304)&lt;&gt;"Disqualified — Free Game",INDEX('Game Records'!$G:$G,$H304)=""),"Gross Pot; ","")&amp;IF(AND(INDEX('Game Records'!$U:$U,$H304)&lt;&gt;"Free Game",INDEX('Game Records'!$U:$U,$H304)&lt;&gt;"Disqualified — Free Game",INDEX('Game Records'!$H:$H,$H304)=""),"Entry Fee; ","")&amp;IF(AND(INDEX('Game Records'!$U:$U,$H304)&lt;&gt;"Subscription",INDEX('Game Records'!$U:$U,$H304)&lt;&gt;"Free Game",INDEX('Game Records'!$U:$U,$H304)&lt;&gt;"Disqualified — Free Game",INDEX('Game Records'!$I:$I,$H304)=""),"Eligible Players; ","")&amp;IF(AND(INDEX('Game Records'!$U:$U,$H304)&lt;&gt;"Subscription",INDEX('Game Records'!$U:$U,$H304)&lt;&gt;"Free Game",INDEX('Game Records'!$U:$U,$H304)&lt;&gt;"Disqualified — Free Game",INDEX('Game Records'!$J:$J,$H304)=""),"Total Players; ","")&amp;IF(AND(LOWER(INDEX('Game Records'!$D:$D,$H304)&amp;"")="finalized",LOWER(INDEX('Game Records'!$L:$L,$H304)&amp;"")&lt;&gt;"yes",INDEX('Game Records'!$U:$U,$H304)&lt;&gt;"Subscription",INDEX('Game Records'!$U:$U,$H304)&lt;&gt;"Free Game",INDEX('Game Records'!$U:$U,$H304)&lt;&gt;"Disqualified — Free Game",INDEX('Game Records'!$K:$K,$H304)=""),"Final Earned; ","")&amp;IF(AND(LOWER(INDEX('Game Records'!$D:$D,$H304)&amp;"")="finalized",INDEX('Game Records'!$U:$U,$H304)&lt;&gt;"Subscription",INDEX('Game Records'!$U:$U,$H304)&lt;&gt;"Free Game",INDEX('Game Records'!$U:$U,$H304)&lt;&gt;"Disqualified — Free Game",OR(INDEX('Game Records'!$L:$L,$H304)="",LOWER(INDEX('Game Records'!$L:$L,$H304)&amp;"")="n/a")),"Disqualified Status; ","")&amp;IF(AND(OR(LOWER(TRIM(INDEX('Game Records'!$F:$F,$H304)&amp;""))="free game",INDEX('Game Records'!$U:$U,$H304)="Free Game",INDEX('Game Records'!$U:$U,$H304)="Disqualified — Free Game"),N(INDEX('Game Records'!$H:$H,$H304))&lt;&gt;0),"Free Game has a non-zero Entry Fee. Free Game records require a $0 Entry Fee; ",""))</f>
        <v/>
      </c>
      <c r="G304" s="331" t="str">
        <f>IF($H304="","",IFERROR(INDEX('Game Records'!$M:$M,$H304),""))</f>
        <v/>
      </c>
      <c r="H304" s="104" t="str">
        <f>IF($H303="","",IFERROR(MATCH(1,INDEX((ROW('Game Records'!$U$5:$U$504)&gt;$H303)*(('Game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5" ht="24" customHeight="1">
      <c r="A305" s="332" t="str">
        <f>IF($H305="","",ROWS($A$5:A305))</f>
        <v/>
      </c>
      <c r="B305" s="332" t="str">
        <f>IF($H305="","","G-"&amp;TEXT($A305,"0000"))</f>
        <v/>
      </c>
      <c r="C305" s="331" t="str">
        <f>IF($H305="","",IFERROR(INDEX('Game Records'!$A:$A,$H305),""))</f>
        <v/>
      </c>
      <c r="D305" s="331" t="str">
        <f>IF($H305="","",IFERROR(INDEX('Game Records'!$U:$U,$H305),""))</f>
        <v/>
      </c>
      <c r="E305" s="331" t="str">
        <f>IF($H305="","",IF($F305="","No Highlighted Fields","Highlighted Fields Present"))</f>
        <v/>
      </c>
      <c r="F305" s="331" t="str">
        <f>IF($H305="","",IF(OR(NOT(ISFORMULA(INDEX('Game Records'!$N:$N,$H305))),NOT(ISFORMULA(INDEX('Game Records'!$O:$O,$H305))),NOT(ISFORMULA(INDEX('Game Records'!$P:$P,$H305))),NOT(ISFORMULA(INDEX('Game Records'!$Q:$Q,$H305))),NOT(ISFORMULA(INDEX('Game Records'!$R:$R,$H305))),NOT(ISFORMULA(INDEX('Game Records'!$S:$S,$H305))),NOT(ISFORMULA(INDEX('Game Records'!$T:$T,$H305))),NOT(ISFORMULA(INDEX('Game Records'!$U:$U,$H305))),NOT(ISFORMULA(INDEX('Game Records'!$V:$V,$H305))),NOT(ISFORMULA(INDEX('Game Records'!$W:$W,$H305))),NOT(ISFORMULA(INDEX('Game Records'!$X:$X,$H305))),NOT(ISFORMULA(INDEX('Game Records'!$Y:$Y,$H305))),NOT(ISFORMULA(INDEX('Game Records'!$Z:$Z,$H305)))),"Formula columns missing; ","")&amp;IF(INDEX('Game Records'!$B:$B,$H305)="","Start Date; ","")&amp;IF(INDEX('Game Records'!$C:$C,$H305)="","End Date; ","")&amp;IF(AND(INDEX('Game Records'!$U:$U,$H305)&lt;&gt;"Subscription",INDEX('Game Records'!$U:$U,$H305)&lt;&gt;"Free Game",INDEX('Game Records'!$U:$U,$H305)&lt;&gt;"Disqualified — Free Game",OR(INDEX('Game Records'!$D:$D,$H305)="",LOWER(INDEX('Game Records'!$D:$D,$H305)&amp;"")="n/a")),"Entry Mode; ","")&amp;IF(AND(INDEX('Game Records'!$U:$U,$H305)&lt;&gt;"Subscription",INDEX('Game Records'!$U:$U,$H305)&lt;&gt;"Free Game",INDEX('Game Records'!$U:$U,$H305)&lt;&gt;"Disqualified — Free Game",OR(INDEX('Game Records'!$E:$E,$H305)="",LOWER(INDEX('Game Records'!$E:$E,$H305)&amp;"")="n/a")),"Game Type; ","")&amp;IF(INDEX('Game Records'!$F:$F,$H305)="","Payment Type; ","")&amp;IF(AND(INDEX('Game Records'!$U:$U,$H305)&lt;&gt;"Subscription",INDEX('Game Records'!$U:$U,$H305)&lt;&gt;"Free Game",INDEX('Game Records'!$U:$U,$H305)&lt;&gt;"Disqualified — Free Game",INDEX('Game Records'!$G:$G,$H305)=""),"Gross Pot; ","")&amp;IF(AND(INDEX('Game Records'!$U:$U,$H305)&lt;&gt;"Free Game",INDEX('Game Records'!$U:$U,$H305)&lt;&gt;"Disqualified — Free Game",INDEX('Game Records'!$H:$H,$H305)=""),"Entry Fee; ","")&amp;IF(AND(INDEX('Game Records'!$U:$U,$H305)&lt;&gt;"Subscription",INDEX('Game Records'!$U:$U,$H305)&lt;&gt;"Free Game",INDEX('Game Records'!$U:$U,$H305)&lt;&gt;"Disqualified — Free Game",INDEX('Game Records'!$I:$I,$H305)=""),"Eligible Players; ","")&amp;IF(AND(INDEX('Game Records'!$U:$U,$H305)&lt;&gt;"Subscription",INDEX('Game Records'!$U:$U,$H305)&lt;&gt;"Free Game",INDEX('Game Records'!$U:$U,$H305)&lt;&gt;"Disqualified — Free Game",INDEX('Game Records'!$J:$J,$H305)=""),"Total Players; ","")&amp;IF(AND(LOWER(INDEX('Game Records'!$D:$D,$H305)&amp;"")="finalized",LOWER(INDEX('Game Records'!$L:$L,$H305)&amp;"")&lt;&gt;"yes",INDEX('Game Records'!$U:$U,$H305)&lt;&gt;"Subscription",INDEX('Game Records'!$U:$U,$H305)&lt;&gt;"Free Game",INDEX('Game Records'!$U:$U,$H305)&lt;&gt;"Disqualified — Free Game",INDEX('Game Records'!$K:$K,$H305)=""),"Final Earned; ","")&amp;IF(AND(LOWER(INDEX('Game Records'!$D:$D,$H305)&amp;"")="finalized",INDEX('Game Records'!$U:$U,$H305)&lt;&gt;"Subscription",INDEX('Game Records'!$U:$U,$H305)&lt;&gt;"Free Game",INDEX('Game Records'!$U:$U,$H305)&lt;&gt;"Disqualified — Free Game",OR(INDEX('Game Records'!$L:$L,$H305)="",LOWER(INDEX('Game Records'!$L:$L,$H305)&amp;"")="n/a")),"Disqualified Status; ","")&amp;IF(AND(OR(LOWER(TRIM(INDEX('Game Records'!$F:$F,$H305)&amp;""))="free game",INDEX('Game Records'!$U:$U,$H305)="Free Game",INDEX('Game Records'!$U:$U,$H305)="Disqualified — Free Game"),N(INDEX('Game Records'!$H:$H,$H305))&lt;&gt;0),"Free Game has a non-zero Entry Fee. Free Game records require a $0 Entry Fee; ",""))</f>
        <v/>
      </c>
      <c r="G305" s="331" t="str">
        <f>IF($H305="","",IFERROR(INDEX('Game Records'!$M:$M,$H305),""))</f>
        <v/>
      </c>
      <c r="H305" s="104" t="str">
        <f>IF($H304="","",IFERROR(MATCH(1,INDEX((ROW('Game Records'!$U$5:$U$504)&gt;$H304)*(('Game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6" ht="24" customHeight="1">
      <c r="A306" s="332" t="str">
        <f>IF($H306="","",ROWS($A$5:A306))</f>
        <v/>
      </c>
      <c r="B306" s="332" t="str">
        <f>IF($H306="","","G-"&amp;TEXT($A306,"0000"))</f>
        <v/>
      </c>
      <c r="C306" s="331" t="str">
        <f>IF($H306="","",IFERROR(INDEX('Game Records'!$A:$A,$H306),""))</f>
        <v/>
      </c>
      <c r="D306" s="331" t="str">
        <f>IF($H306="","",IFERROR(INDEX('Game Records'!$U:$U,$H306),""))</f>
        <v/>
      </c>
      <c r="E306" s="331" t="str">
        <f>IF($H306="","",IF($F306="","No Highlighted Fields","Highlighted Fields Present"))</f>
        <v/>
      </c>
      <c r="F306" s="331" t="str">
        <f>IF($H306="","",IF(OR(NOT(ISFORMULA(INDEX('Game Records'!$N:$N,$H306))),NOT(ISFORMULA(INDEX('Game Records'!$O:$O,$H306))),NOT(ISFORMULA(INDEX('Game Records'!$P:$P,$H306))),NOT(ISFORMULA(INDEX('Game Records'!$Q:$Q,$H306))),NOT(ISFORMULA(INDEX('Game Records'!$R:$R,$H306))),NOT(ISFORMULA(INDEX('Game Records'!$S:$S,$H306))),NOT(ISFORMULA(INDEX('Game Records'!$T:$T,$H306))),NOT(ISFORMULA(INDEX('Game Records'!$U:$U,$H306))),NOT(ISFORMULA(INDEX('Game Records'!$V:$V,$H306))),NOT(ISFORMULA(INDEX('Game Records'!$W:$W,$H306))),NOT(ISFORMULA(INDEX('Game Records'!$X:$X,$H306))),NOT(ISFORMULA(INDEX('Game Records'!$Y:$Y,$H306))),NOT(ISFORMULA(INDEX('Game Records'!$Z:$Z,$H306)))),"Formula columns missing; ","")&amp;IF(INDEX('Game Records'!$B:$B,$H306)="","Start Date; ","")&amp;IF(INDEX('Game Records'!$C:$C,$H306)="","End Date; ","")&amp;IF(AND(INDEX('Game Records'!$U:$U,$H306)&lt;&gt;"Subscription",INDEX('Game Records'!$U:$U,$H306)&lt;&gt;"Free Game",INDEX('Game Records'!$U:$U,$H306)&lt;&gt;"Disqualified — Free Game",OR(INDEX('Game Records'!$D:$D,$H306)="",LOWER(INDEX('Game Records'!$D:$D,$H306)&amp;"")="n/a")),"Entry Mode; ","")&amp;IF(AND(INDEX('Game Records'!$U:$U,$H306)&lt;&gt;"Subscription",INDEX('Game Records'!$U:$U,$H306)&lt;&gt;"Free Game",INDEX('Game Records'!$U:$U,$H306)&lt;&gt;"Disqualified — Free Game",OR(INDEX('Game Records'!$E:$E,$H306)="",LOWER(INDEX('Game Records'!$E:$E,$H306)&amp;"")="n/a")),"Game Type; ","")&amp;IF(INDEX('Game Records'!$F:$F,$H306)="","Payment Type; ","")&amp;IF(AND(INDEX('Game Records'!$U:$U,$H306)&lt;&gt;"Subscription",INDEX('Game Records'!$U:$U,$H306)&lt;&gt;"Free Game",INDEX('Game Records'!$U:$U,$H306)&lt;&gt;"Disqualified — Free Game",INDEX('Game Records'!$G:$G,$H306)=""),"Gross Pot; ","")&amp;IF(AND(INDEX('Game Records'!$U:$U,$H306)&lt;&gt;"Free Game",INDEX('Game Records'!$U:$U,$H306)&lt;&gt;"Disqualified — Free Game",INDEX('Game Records'!$H:$H,$H306)=""),"Entry Fee; ","")&amp;IF(AND(INDEX('Game Records'!$U:$U,$H306)&lt;&gt;"Subscription",INDEX('Game Records'!$U:$U,$H306)&lt;&gt;"Free Game",INDEX('Game Records'!$U:$U,$H306)&lt;&gt;"Disqualified — Free Game",INDEX('Game Records'!$I:$I,$H306)=""),"Eligible Players; ","")&amp;IF(AND(INDEX('Game Records'!$U:$U,$H306)&lt;&gt;"Subscription",INDEX('Game Records'!$U:$U,$H306)&lt;&gt;"Free Game",INDEX('Game Records'!$U:$U,$H306)&lt;&gt;"Disqualified — Free Game",INDEX('Game Records'!$J:$J,$H306)=""),"Total Players; ","")&amp;IF(AND(LOWER(INDEX('Game Records'!$D:$D,$H306)&amp;"")="finalized",LOWER(INDEX('Game Records'!$L:$L,$H306)&amp;"")&lt;&gt;"yes",INDEX('Game Records'!$U:$U,$H306)&lt;&gt;"Subscription",INDEX('Game Records'!$U:$U,$H306)&lt;&gt;"Free Game",INDEX('Game Records'!$U:$U,$H306)&lt;&gt;"Disqualified — Free Game",INDEX('Game Records'!$K:$K,$H306)=""),"Final Earned; ","")&amp;IF(AND(LOWER(INDEX('Game Records'!$D:$D,$H306)&amp;"")="finalized",INDEX('Game Records'!$U:$U,$H306)&lt;&gt;"Subscription",INDEX('Game Records'!$U:$U,$H306)&lt;&gt;"Free Game",INDEX('Game Records'!$U:$U,$H306)&lt;&gt;"Disqualified — Free Game",OR(INDEX('Game Records'!$L:$L,$H306)="",LOWER(INDEX('Game Records'!$L:$L,$H306)&amp;"")="n/a")),"Disqualified Status; ","")&amp;IF(AND(OR(LOWER(TRIM(INDEX('Game Records'!$F:$F,$H306)&amp;""))="free game",INDEX('Game Records'!$U:$U,$H306)="Free Game",INDEX('Game Records'!$U:$U,$H306)="Disqualified — Free Game"),N(INDEX('Game Records'!$H:$H,$H306))&lt;&gt;0),"Free Game has a non-zero Entry Fee. Free Game records require a $0 Entry Fee; ",""))</f>
        <v/>
      </c>
      <c r="G306" s="331" t="str">
        <f>IF($H306="","",IFERROR(INDEX('Game Records'!$M:$M,$H306),""))</f>
        <v/>
      </c>
      <c r="H306" s="104" t="str">
        <f>IF($H305="","",IFERROR(MATCH(1,INDEX((ROW('Game Records'!$U$5:$U$504)&gt;$H305)*(('Game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7" ht="24" customHeight="1">
      <c r="A307" s="332" t="str">
        <f>IF($H307="","",ROWS($A$5:A307))</f>
        <v/>
      </c>
      <c r="B307" s="332" t="str">
        <f>IF($H307="","","G-"&amp;TEXT($A307,"0000"))</f>
        <v/>
      </c>
      <c r="C307" s="331" t="str">
        <f>IF($H307="","",IFERROR(INDEX('Game Records'!$A:$A,$H307),""))</f>
        <v/>
      </c>
      <c r="D307" s="331" t="str">
        <f>IF($H307="","",IFERROR(INDEX('Game Records'!$U:$U,$H307),""))</f>
        <v/>
      </c>
      <c r="E307" s="331" t="str">
        <f>IF($H307="","",IF($F307="","No Highlighted Fields","Highlighted Fields Present"))</f>
        <v/>
      </c>
      <c r="F307" s="331" t="str">
        <f>IF($H307="","",IF(OR(NOT(ISFORMULA(INDEX('Game Records'!$N:$N,$H307))),NOT(ISFORMULA(INDEX('Game Records'!$O:$O,$H307))),NOT(ISFORMULA(INDEX('Game Records'!$P:$P,$H307))),NOT(ISFORMULA(INDEX('Game Records'!$Q:$Q,$H307))),NOT(ISFORMULA(INDEX('Game Records'!$R:$R,$H307))),NOT(ISFORMULA(INDEX('Game Records'!$S:$S,$H307))),NOT(ISFORMULA(INDEX('Game Records'!$T:$T,$H307))),NOT(ISFORMULA(INDEX('Game Records'!$U:$U,$H307))),NOT(ISFORMULA(INDEX('Game Records'!$V:$V,$H307))),NOT(ISFORMULA(INDEX('Game Records'!$W:$W,$H307))),NOT(ISFORMULA(INDEX('Game Records'!$X:$X,$H307))),NOT(ISFORMULA(INDEX('Game Records'!$Y:$Y,$H307))),NOT(ISFORMULA(INDEX('Game Records'!$Z:$Z,$H307)))),"Formula columns missing; ","")&amp;IF(INDEX('Game Records'!$B:$B,$H307)="","Start Date; ","")&amp;IF(INDEX('Game Records'!$C:$C,$H307)="","End Date; ","")&amp;IF(AND(INDEX('Game Records'!$U:$U,$H307)&lt;&gt;"Subscription",INDEX('Game Records'!$U:$U,$H307)&lt;&gt;"Free Game",INDEX('Game Records'!$U:$U,$H307)&lt;&gt;"Disqualified — Free Game",OR(INDEX('Game Records'!$D:$D,$H307)="",LOWER(INDEX('Game Records'!$D:$D,$H307)&amp;"")="n/a")),"Entry Mode; ","")&amp;IF(AND(INDEX('Game Records'!$U:$U,$H307)&lt;&gt;"Subscription",INDEX('Game Records'!$U:$U,$H307)&lt;&gt;"Free Game",INDEX('Game Records'!$U:$U,$H307)&lt;&gt;"Disqualified — Free Game",OR(INDEX('Game Records'!$E:$E,$H307)="",LOWER(INDEX('Game Records'!$E:$E,$H307)&amp;"")="n/a")),"Game Type; ","")&amp;IF(INDEX('Game Records'!$F:$F,$H307)="","Payment Type; ","")&amp;IF(AND(INDEX('Game Records'!$U:$U,$H307)&lt;&gt;"Subscription",INDEX('Game Records'!$U:$U,$H307)&lt;&gt;"Free Game",INDEX('Game Records'!$U:$U,$H307)&lt;&gt;"Disqualified — Free Game",INDEX('Game Records'!$G:$G,$H307)=""),"Gross Pot; ","")&amp;IF(AND(INDEX('Game Records'!$U:$U,$H307)&lt;&gt;"Free Game",INDEX('Game Records'!$U:$U,$H307)&lt;&gt;"Disqualified — Free Game",INDEX('Game Records'!$H:$H,$H307)=""),"Entry Fee; ","")&amp;IF(AND(INDEX('Game Records'!$U:$U,$H307)&lt;&gt;"Subscription",INDEX('Game Records'!$U:$U,$H307)&lt;&gt;"Free Game",INDEX('Game Records'!$U:$U,$H307)&lt;&gt;"Disqualified — Free Game",INDEX('Game Records'!$I:$I,$H307)=""),"Eligible Players; ","")&amp;IF(AND(INDEX('Game Records'!$U:$U,$H307)&lt;&gt;"Subscription",INDEX('Game Records'!$U:$U,$H307)&lt;&gt;"Free Game",INDEX('Game Records'!$U:$U,$H307)&lt;&gt;"Disqualified — Free Game",INDEX('Game Records'!$J:$J,$H307)=""),"Total Players; ","")&amp;IF(AND(LOWER(INDEX('Game Records'!$D:$D,$H307)&amp;"")="finalized",LOWER(INDEX('Game Records'!$L:$L,$H307)&amp;"")&lt;&gt;"yes",INDEX('Game Records'!$U:$U,$H307)&lt;&gt;"Subscription",INDEX('Game Records'!$U:$U,$H307)&lt;&gt;"Free Game",INDEX('Game Records'!$U:$U,$H307)&lt;&gt;"Disqualified — Free Game",INDEX('Game Records'!$K:$K,$H307)=""),"Final Earned; ","")&amp;IF(AND(LOWER(INDEX('Game Records'!$D:$D,$H307)&amp;"")="finalized",INDEX('Game Records'!$U:$U,$H307)&lt;&gt;"Subscription",INDEX('Game Records'!$U:$U,$H307)&lt;&gt;"Free Game",INDEX('Game Records'!$U:$U,$H307)&lt;&gt;"Disqualified — Free Game",OR(INDEX('Game Records'!$L:$L,$H307)="",LOWER(INDEX('Game Records'!$L:$L,$H307)&amp;"")="n/a")),"Disqualified Status; ","")&amp;IF(AND(OR(LOWER(TRIM(INDEX('Game Records'!$F:$F,$H307)&amp;""))="free game",INDEX('Game Records'!$U:$U,$H307)="Free Game",INDEX('Game Records'!$U:$U,$H307)="Disqualified — Free Game"),N(INDEX('Game Records'!$H:$H,$H307))&lt;&gt;0),"Free Game has a non-zero Entry Fee. Free Game records require a $0 Entry Fee; ",""))</f>
        <v/>
      </c>
      <c r="G307" s="331" t="str">
        <f>IF($H307="","",IFERROR(INDEX('Game Records'!$M:$M,$H307),""))</f>
        <v/>
      </c>
      <c r="H307" s="104" t="str">
        <f>IF($H306="","",IFERROR(MATCH(1,INDEX((ROW('Game Records'!$U$5:$U$504)&gt;$H306)*(('Game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8" ht="24" customHeight="1">
      <c r="A308" s="332" t="str">
        <f>IF($H308="","",ROWS($A$5:A308))</f>
        <v/>
      </c>
      <c r="B308" s="332" t="str">
        <f>IF($H308="","","G-"&amp;TEXT($A308,"0000"))</f>
        <v/>
      </c>
      <c r="C308" s="331" t="str">
        <f>IF($H308="","",IFERROR(INDEX('Game Records'!$A:$A,$H308),""))</f>
        <v/>
      </c>
      <c r="D308" s="331" t="str">
        <f>IF($H308="","",IFERROR(INDEX('Game Records'!$U:$U,$H308),""))</f>
        <v/>
      </c>
      <c r="E308" s="331" t="str">
        <f>IF($H308="","",IF($F308="","No Highlighted Fields","Highlighted Fields Present"))</f>
        <v/>
      </c>
      <c r="F308" s="331" t="str">
        <f>IF($H308="","",IF(OR(NOT(ISFORMULA(INDEX('Game Records'!$N:$N,$H308))),NOT(ISFORMULA(INDEX('Game Records'!$O:$O,$H308))),NOT(ISFORMULA(INDEX('Game Records'!$P:$P,$H308))),NOT(ISFORMULA(INDEX('Game Records'!$Q:$Q,$H308))),NOT(ISFORMULA(INDEX('Game Records'!$R:$R,$H308))),NOT(ISFORMULA(INDEX('Game Records'!$S:$S,$H308))),NOT(ISFORMULA(INDEX('Game Records'!$T:$T,$H308))),NOT(ISFORMULA(INDEX('Game Records'!$U:$U,$H308))),NOT(ISFORMULA(INDEX('Game Records'!$V:$V,$H308))),NOT(ISFORMULA(INDEX('Game Records'!$W:$W,$H308))),NOT(ISFORMULA(INDEX('Game Records'!$X:$X,$H308))),NOT(ISFORMULA(INDEX('Game Records'!$Y:$Y,$H308))),NOT(ISFORMULA(INDEX('Game Records'!$Z:$Z,$H308)))),"Formula columns missing; ","")&amp;IF(INDEX('Game Records'!$B:$B,$H308)="","Start Date; ","")&amp;IF(INDEX('Game Records'!$C:$C,$H308)="","End Date; ","")&amp;IF(AND(INDEX('Game Records'!$U:$U,$H308)&lt;&gt;"Subscription",INDEX('Game Records'!$U:$U,$H308)&lt;&gt;"Free Game",INDEX('Game Records'!$U:$U,$H308)&lt;&gt;"Disqualified — Free Game",OR(INDEX('Game Records'!$D:$D,$H308)="",LOWER(INDEX('Game Records'!$D:$D,$H308)&amp;"")="n/a")),"Entry Mode; ","")&amp;IF(AND(INDEX('Game Records'!$U:$U,$H308)&lt;&gt;"Subscription",INDEX('Game Records'!$U:$U,$H308)&lt;&gt;"Free Game",INDEX('Game Records'!$U:$U,$H308)&lt;&gt;"Disqualified — Free Game",OR(INDEX('Game Records'!$E:$E,$H308)="",LOWER(INDEX('Game Records'!$E:$E,$H308)&amp;"")="n/a")),"Game Type; ","")&amp;IF(INDEX('Game Records'!$F:$F,$H308)="","Payment Type; ","")&amp;IF(AND(INDEX('Game Records'!$U:$U,$H308)&lt;&gt;"Subscription",INDEX('Game Records'!$U:$U,$H308)&lt;&gt;"Free Game",INDEX('Game Records'!$U:$U,$H308)&lt;&gt;"Disqualified — Free Game",INDEX('Game Records'!$G:$G,$H308)=""),"Gross Pot; ","")&amp;IF(AND(INDEX('Game Records'!$U:$U,$H308)&lt;&gt;"Free Game",INDEX('Game Records'!$U:$U,$H308)&lt;&gt;"Disqualified — Free Game",INDEX('Game Records'!$H:$H,$H308)=""),"Entry Fee; ","")&amp;IF(AND(INDEX('Game Records'!$U:$U,$H308)&lt;&gt;"Subscription",INDEX('Game Records'!$U:$U,$H308)&lt;&gt;"Free Game",INDEX('Game Records'!$U:$U,$H308)&lt;&gt;"Disqualified — Free Game",INDEX('Game Records'!$I:$I,$H308)=""),"Eligible Players; ","")&amp;IF(AND(INDEX('Game Records'!$U:$U,$H308)&lt;&gt;"Subscription",INDEX('Game Records'!$U:$U,$H308)&lt;&gt;"Free Game",INDEX('Game Records'!$U:$U,$H308)&lt;&gt;"Disqualified — Free Game",INDEX('Game Records'!$J:$J,$H308)=""),"Total Players; ","")&amp;IF(AND(LOWER(INDEX('Game Records'!$D:$D,$H308)&amp;"")="finalized",LOWER(INDEX('Game Records'!$L:$L,$H308)&amp;"")&lt;&gt;"yes",INDEX('Game Records'!$U:$U,$H308)&lt;&gt;"Subscription",INDEX('Game Records'!$U:$U,$H308)&lt;&gt;"Free Game",INDEX('Game Records'!$U:$U,$H308)&lt;&gt;"Disqualified — Free Game",INDEX('Game Records'!$K:$K,$H308)=""),"Final Earned; ","")&amp;IF(AND(LOWER(INDEX('Game Records'!$D:$D,$H308)&amp;"")="finalized",INDEX('Game Records'!$U:$U,$H308)&lt;&gt;"Subscription",INDEX('Game Records'!$U:$U,$H308)&lt;&gt;"Free Game",INDEX('Game Records'!$U:$U,$H308)&lt;&gt;"Disqualified — Free Game",OR(INDEX('Game Records'!$L:$L,$H308)="",LOWER(INDEX('Game Records'!$L:$L,$H308)&amp;"")="n/a")),"Disqualified Status; ","")&amp;IF(AND(OR(LOWER(TRIM(INDEX('Game Records'!$F:$F,$H308)&amp;""))="free game",INDEX('Game Records'!$U:$U,$H308)="Free Game",INDEX('Game Records'!$U:$U,$H308)="Disqualified — Free Game"),N(INDEX('Game Records'!$H:$H,$H308))&lt;&gt;0),"Free Game has a non-zero Entry Fee. Free Game records require a $0 Entry Fee; ",""))</f>
        <v/>
      </c>
      <c r="G308" s="331" t="str">
        <f>IF($H308="","",IFERROR(INDEX('Game Records'!$M:$M,$H308),""))</f>
        <v/>
      </c>
      <c r="H308" s="104" t="str">
        <f>IF($H307="","",IFERROR(MATCH(1,INDEX((ROW('Game Records'!$U$5:$U$504)&gt;$H307)*(('Game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9" ht="24" customHeight="1">
      <c r="A309" s="332" t="str">
        <f>IF($H309="","",ROWS($A$5:A309))</f>
        <v/>
      </c>
      <c r="B309" s="332" t="str">
        <f>IF($H309="","","G-"&amp;TEXT($A309,"0000"))</f>
        <v/>
      </c>
      <c r="C309" s="331" t="str">
        <f>IF($H309="","",IFERROR(INDEX('Game Records'!$A:$A,$H309),""))</f>
        <v/>
      </c>
      <c r="D309" s="331" t="str">
        <f>IF($H309="","",IFERROR(INDEX('Game Records'!$U:$U,$H309),""))</f>
        <v/>
      </c>
      <c r="E309" s="331" t="str">
        <f>IF($H309="","",IF($F309="","No Highlighted Fields","Highlighted Fields Present"))</f>
        <v/>
      </c>
      <c r="F309" s="331" t="str">
        <f>IF($H309="","",IF(OR(NOT(ISFORMULA(INDEX('Game Records'!$N:$N,$H309))),NOT(ISFORMULA(INDEX('Game Records'!$O:$O,$H309))),NOT(ISFORMULA(INDEX('Game Records'!$P:$P,$H309))),NOT(ISFORMULA(INDEX('Game Records'!$Q:$Q,$H309))),NOT(ISFORMULA(INDEX('Game Records'!$R:$R,$H309))),NOT(ISFORMULA(INDEX('Game Records'!$S:$S,$H309))),NOT(ISFORMULA(INDEX('Game Records'!$T:$T,$H309))),NOT(ISFORMULA(INDEX('Game Records'!$U:$U,$H309))),NOT(ISFORMULA(INDEX('Game Records'!$V:$V,$H309))),NOT(ISFORMULA(INDEX('Game Records'!$W:$W,$H309))),NOT(ISFORMULA(INDEX('Game Records'!$X:$X,$H309))),NOT(ISFORMULA(INDEX('Game Records'!$Y:$Y,$H309))),NOT(ISFORMULA(INDEX('Game Records'!$Z:$Z,$H309)))),"Formula columns missing; ","")&amp;IF(INDEX('Game Records'!$B:$B,$H309)="","Start Date; ","")&amp;IF(INDEX('Game Records'!$C:$C,$H309)="","End Date; ","")&amp;IF(AND(INDEX('Game Records'!$U:$U,$H309)&lt;&gt;"Subscription",INDEX('Game Records'!$U:$U,$H309)&lt;&gt;"Free Game",INDEX('Game Records'!$U:$U,$H309)&lt;&gt;"Disqualified — Free Game",OR(INDEX('Game Records'!$D:$D,$H309)="",LOWER(INDEX('Game Records'!$D:$D,$H309)&amp;"")="n/a")),"Entry Mode; ","")&amp;IF(AND(INDEX('Game Records'!$U:$U,$H309)&lt;&gt;"Subscription",INDEX('Game Records'!$U:$U,$H309)&lt;&gt;"Free Game",INDEX('Game Records'!$U:$U,$H309)&lt;&gt;"Disqualified — Free Game",OR(INDEX('Game Records'!$E:$E,$H309)="",LOWER(INDEX('Game Records'!$E:$E,$H309)&amp;"")="n/a")),"Game Type; ","")&amp;IF(INDEX('Game Records'!$F:$F,$H309)="","Payment Type; ","")&amp;IF(AND(INDEX('Game Records'!$U:$U,$H309)&lt;&gt;"Subscription",INDEX('Game Records'!$U:$U,$H309)&lt;&gt;"Free Game",INDEX('Game Records'!$U:$U,$H309)&lt;&gt;"Disqualified — Free Game",INDEX('Game Records'!$G:$G,$H309)=""),"Gross Pot; ","")&amp;IF(AND(INDEX('Game Records'!$U:$U,$H309)&lt;&gt;"Free Game",INDEX('Game Records'!$U:$U,$H309)&lt;&gt;"Disqualified — Free Game",INDEX('Game Records'!$H:$H,$H309)=""),"Entry Fee; ","")&amp;IF(AND(INDEX('Game Records'!$U:$U,$H309)&lt;&gt;"Subscription",INDEX('Game Records'!$U:$U,$H309)&lt;&gt;"Free Game",INDEX('Game Records'!$U:$U,$H309)&lt;&gt;"Disqualified — Free Game",INDEX('Game Records'!$I:$I,$H309)=""),"Eligible Players; ","")&amp;IF(AND(INDEX('Game Records'!$U:$U,$H309)&lt;&gt;"Subscription",INDEX('Game Records'!$U:$U,$H309)&lt;&gt;"Free Game",INDEX('Game Records'!$U:$U,$H309)&lt;&gt;"Disqualified — Free Game",INDEX('Game Records'!$J:$J,$H309)=""),"Total Players; ","")&amp;IF(AND(LOWER(INDEX('Game Records'!$D:$D,$H309)&amp;"")="finalized",LOWER(INDEX('Game Records'!$L:$L,$H309)&amp;"")&lt;&gt;"yes",INDEX('Game Records'!$U:$U,$H309)&lt;&gt;"Subscription",INDEX('Game Records'!$U:$U,$H309)&lt;&gt;"Free Game",INDEX('Game Records'!$U:$U,$H309)&lt;&gt;"Disqualified — Free Game",INDEX('Game Records'!$K:$K,$H309)=""),"Final Earned; ","")&amp;IF(AND(LOWER(INDEX('Game Records'!$D:$D,$H309)&amp;"")="finalized",INDEX('Game Records'!$U:$U,$H309)&lt;&gt;"Subscription",INDEX('Game Records'!$U:$U,$H309)&lt;&gt;"Free Game",INDEX('Game Records'!$U:$U,$H309)&lt;&gt;"Disqualified — Free Game",OR(INDEX('Game Records'!$L:$L,$H309)="",LOWER(INDEX('Game Records'!$L:$L,$H309)&amp;"")="n/a")),"Disqualified Status; ","")&amp;IF(AND(OR(LOWER(TRIM(INDEX('Game Records'!$F:$F,$H309)&amp;""))="free game",INDEX('Game Records'!$U:$U,$H309)="Free Game",INDEX('Game Records'!$U:$U,$H309)="Disqualified — Free Game"),N(INDEX('Game Records'!$H:$H,$H309))&lt;&gt;0),"Free Game has a non-zero Entry Fee. Free Game records require a $0 Entry Fee; ",""))</f>
        <v/>
      </c>
      <c r="G309" s="331" t="str">
        <f>IF($H309="","",IFERROR(INDEX('Game Records'!$M:$M,$H309),""))</f>
        <v/>
      </c>
      <c r="H309" s="104" t="str">
        <f>IF($H308="","",IFERROR(MATCH(1,INDEX((ROW('Game Records'!$U$5:$U$504)&gt;$H308)*(('Game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0" ht="24" customHeight="1">
      <c r="A310" s="332" t="str">
        <f>IF($H310="","",ROWS($A$5:A310))</f>
        <v/>
      </c>
      <c r="B310" s="332" t="str">
        <f>IF($H310="","","G-"&amp;TEXT($A310,"0000"))</f>
        <v/>
      </c>
      <c r="C310" s="331" t="str">
        <f>IF($H310="","",IFERROR(INDEX('Game Records'!$A:$A,$H310),""))</f>
        <v/>
      </c>
      <c r="D310" s="331" t="str">
        <f>IF($H310="","",IFERROR(INDEX('Game Records'!$U:$U,$H310),""))</f>
        <v/>
      </c>
      <c r="E310" s="331" t="str">
        <f>IF($H310="","",IF($F310="","No Highlighted Fields","Highlighted Fields Present"))</f>
        <v/>
      </c>
      <c r="F310" s="331" t="str">
        <f>IF($H310="","",IF(OR(NOT(ISFORMULA(INDEX('Game Records'!$N:$N,$H310))),NOT(ISFORMULA(INDEX('Game Records'!$O:$O,$H310))),NOT(ISFORMULA(INDEX('Game Records'!$P:$P,$H310))),NOT(ISFORMULA(INDEX('Game Records'!$Q:$Q,$H310))),NOT(ISFORMULA(INDEX('Game Records'!$R:$R,$H310))),NOT(ISFORMULA(INDEX('Game Records'!$S:$S,$H310))),NOT(ISFORMULA(INDEX('Game Records'!$T:$T,$H310))),NOT(ISFORMULA(INDEX('Game Records'!$U:$U,$H310))),NOT(ISFORMULA(INDEX('Game Records'!$V:$V,$H310))),NOT(ISFORMULA(INDEX('Game Records'!$W:$W,$H310))),NOT(ISFORMULA(INDEX('Game Records'!$X:$X,$H310))),NOT(ISFORMULA(INDEX('Game Records'!$Y:$Y,$H310))),NOT(ISFORMULA(INDEX('Game Records'!$Z:$Z,$H310)))),"Formula columns missing; ","")&amp;IF(INDEX('Game Records'!$B:$B,$H310)="","Start Date; ","")&amp;IF(INDEX('Game Records'!$C:$C,$H310)="","End Date; ","")&amp;IF(AND(INDEX('Game Records'!$U:$U,$H310)&lt;&gt;"Subscription",INDEX('Game Records'!$U:$U,$H310)&lt;&gt;"Free Game",INDEX('Game Records'!$U:$U,$H310)&lt;&gt;"Disqualified — Free Game",OR(INDEX('Game Records'!$D:$D,$H310)="",LOWER(INDEX('Game Records'!$D:$D,$H310)&amp;"")="n/a")),"Entry Mode; ","")&amp;IF(AND(INDEX('Game Records'!$U:$U,$H310)&lt;&gt;"Subscription",INDEX('Game Records'!$U:$U,$H310)&lt;&gt;"Free Game",INDEX('Game Records'!$U:$U,$H310)&lt;&gt;"Disqualified — Free Game",OR(INDEX('Game Records'!$E:$E,$H310)="",LOWER(INDEX('Game Records'!$E:$E,$H310)&amp;"")="n/a")),"Game Type; ","")&amp;IF(INDEX('Game Records'!$F:$F,$H310)="","Payment Type; ","")&amp;IF(AND(INDEX('Game Records'!$U:$U,$H310)&lt;&gt;"Subscription",INDEX('Game Records'!$U:$U,$H310)&lt;&gt;"Free Game",INDEX('Game Records'!$U:$U,$H310)&lt;&gt;"Disqualified — Free Game",INDEX('Game Records'!$G:$G,$H310)=""),"Gross Pot; ","")&amp;IF(AND(INDEX('Game Records'!$U:$U,$H310)&lt;&gt;"Free Game",INDEX('Game Records'!$U:$U,$H310)&lt;&gt;"Disqualified — Free Game",INDEX('Game Records'!$H:$H,$H310)=""),"Entry Fee; ","")&amp;IF(AND(INDEX('Game Records'!$U:$U,$H310)&lt;&gt;"Subscription",INDEX('Game Records'!$U:$U,$H310)&lt;&gt;"Free Game",INDEX('Game Records'!$U:$U,$H310)&lt;&gt;"Disqualified — Free Game",INDEX('Game Records'!$I:$I,$H310)=""),"Eligible Players; ","")&amp;IF(AND(INDEX('Game Records'!$U:$U,$H310)&lt;&gt;"Subscription",INDEX('Game Records'!$U:$U,$H310)&lt;&gt;"Free Game",INDEX('Game Records'!$U:$U,$H310)&lt;&gt;"Disqualified — Free Game",INDEX('Game Records'!$J:$J,$H310)=""),"Total Players; ","")&amp;IF(AND(LOWER(INDEX('Game Records'!$D:$D,$H310)&amp;"")="finalized",LOWER(INDEX('Game Records'!$L:$L,$H310)&amp;"")&lt;&gt;"yes",INDEX('Game Records'!$U:$U,$H310)&lt;&gt;"Subscription",INDEX('Game Records'!$U:$U,$H310)&lt;&gt;"Free Game",INDEX('Game Records'!$U:$U,$H310)&lt;&gt;"Disqualified — Free Game",INDEX('Game Records'!$K:$K,$H310)=""),"Final Earned; ","")&amp;IF(AND(LOWER(INDEX('Game Records'!$D:$D,$H310)&amp;"")="finalized",INDEX('Game Records'!$U:$U,$H310)&lt;&gt;"Subscription",INDEX('Game Records'!$U:$U,$H310)&lt;&gt;"Free Game",INDEX('Game Records'!$U:$U,$H310)&lt;&gt;"Disqualified — Free Game",OR(INDEX('Game Records'!$L:$L,$H310)="",LOWER(INDEX('Game Records'!$L:$L,$H310)&amp;"")="n/a")),"Disqualified Status; ","")&amp;IF(AND(OR(LOWER(TRIM(INDEX('Game Records'!$F:$F,$H310)&amp;""))="free game",INDEX('Game Records'!$U:$U,$H310)="Free Game",INDEX('Game Records'!$U:$U,$H310)="Disqualified — Free Game"),N(INDEX('Game Records'!$H:$H,$H310))&lt;&gt;0),"Free Game has a non-zero Entry Fee. Free Game records require a $0 Entry Fee; ",""))</f>
        <v/>
      </c>
      <c r="G310" s="331" t="str">
        <f>IF($H310="","",IFERROR(INDEX('Game Records'!$M:$M,$H310),""))</f>
        <v/>
      </c>
      <c r="H310" s="104" t="str">
        <f>IF($H309="","",IFERROR(MATCH(1,INDEX((ROW('Game Records'!$U$5:$U$504)&gt;$H309)*(('Game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1" ht="24" customHeight="1">
      <c r="A311" s="332" t="str">
        <f>IF($H311="","",ROWS($A$5:A311))</f>
        <v/>
      </c>
      <c r="B311" s="332" t="str">
        <f>IF($H311="","","G-"&amp;TEXT($A311,"0000"))</f>
        <v/>
      </c>
      <c r="C311" s="331" t="str">
        <f>IF($H311="","",IFERROR(INDEX('Game Records'!$A:$A,$H311),""))</f>
        <v/>
      </c>
      <c r="D311" s="331" t="str">
        <f>IF($H311="","",IFERROR(INDEX('Game Records'!$U:$U,$H311),""))</f>
        <v/>
      </c>
      <c r="E311" s="331" t="str">
        <f>IF($H311="","",IF($F311="","No Highlighted Fields","Highlighted Fields Present"))</f>
        <v/>
      </c>
      <c r="F311" s="331" t="str">
        <f>IF($H311="","",IF(OR(NOT(ISFORMULA(INDEX('Game Records'!$N:$N,$H311))),NOT(ISFORMULA(INDEX('Game Records'!$O:$O,$H311))),NOT(ISFORMULA(INDEX('Game Records'!$P:$P,$H311))),NOT(ISFORMULA(INDEX('Game Records'!$Q:$Q,$H311))),NOT(ISFORMULA(INDEX('Game Records'!$R:$R,$H311))),NOT(ISFORMULA(INDEX('Game Records'!$S:$S,$H311))),NOT(ISFORMULA(INDEX('Game Records'!$T:$T,$H311))),NOT(ISFORMULA(INDEX('Game Records'!$U:$U,$H311))),NOT(ISFORMULA(INDEX('Game Records'!$V:$V,$H311))),NOT(ISFORMULA(INDEX('Game Records'!$W:$W,$H311))),NOT(ISFORMULA(INDEX('Game Records'!$X:$X,$H311))),NOT(ISFORMULA(INDEX('Game Records'!$Y:$Y,$H311))),NOT(ISFORMULA(INDEX('Game Records'!$Z:$Z,$H311)))),"Formula columns missing; ","")&amp;IF(INDEX('Game Records'!$B:$B,$H311)="","Start Date; ","")&amp;IF(INDEX('Game Records'!$C:$C,$H311)="","End Date; ","")&amp;IF(AND(INDEX('Game Records'!$U:$U,$H311)&lt;&gt;"Subscription",INDEX('Game Records'!$U:$U,$H311)&lt;&gt;"Free Game",INDEX('Game Records'!$U:$U,$H311)&lt;&gt;"Disqualified — Free Game",OR(INDEX('Game Records'!$D:$D,$H311)="",LOWER(INDEX('Game Records'!$D:$D,$H311)&amp;"")="n/a")),"Entry Mode; ","")&amp;IF(AND(INDEX('Game Records'!$U:$U,$H311)&lt;&gt;"Subscription",INDEX('Game Records'!$U:$U,$H311)&lt;&gt;"Free Game",INDEX('Game Records'!$U:$U,$H311)&lt;&gt;"Disqualified — Free Game",OR(INDEX('Game Records'!$E:$E,$H311)="",LOWER(INDEX('Game Records'!$E:$E,$H311)&amp;"")="n/a")),"Game Type; ","")&amp;IF(INDEX('Game Records'!$F:$F,$H311)="","Payment Type; ","")&amp;IF(AND(INDEX('Game Records'!$U:$U,$H311)&lt;&gt;"Subscription",INDEX('Game Records'!$U:$U,$H311)&lt;&gt;"Free Game",INDEX('Game Records'!$U:$U,$H311)&lt;&gt;"Disqualified — Free Game",INDEX('Game Records'!$G:$G,$H311)=""),"Gross Pot; ","")&amp;IF(AND(INDEX('Game Records'!$U:$U,$H311)&lt;&gt;"Free Game",INDEX('Game Records'!$U:$U,$H311)&lt;&gt;"Disqualified — Free Game",INDEX('Game Records'!$H:$H,$H311)=""),"Entry Fee; ","")&amp;IF(AND(INDEX('Game Records'!$U:$U,$H311)&lt;&gt;"Subscription",INDEX('Game Records'!$U:$U,$H311)&lt;&gt;"Free Game",INDEX('Game Records'!$U:$U,$H311)&lt;&gt;"Disqualified — Free Game",INDEX('Game Records'!$I:$I,$H311)=""),"Eligible Players; ","")&amp;IF(AND(INDEX('Game Records'!$U:$U,$H311)&lt;&gt;"Subscription",INDEX('Game Records'!$U:$U,$H311)&lt;&gt;"Free Game",INDEX('Game Records'!$U:$U,$H311)&lt;&gt;"Disqualified — Free Game",INDEX('Game Records'!$J:$J,$H311)=""),"Total Players; ","")&amp;IF(AND(LOWER(INDEX('Game Records'!$D:$D,$H311)&amp;"")="finalized",LOWER(INDEX('Game Records'!$L:$L,$H311)&amp;"")&lt;&gt;"yes",INDEX('Game Records'!$U:$U,$H311)&lt;&gt;"Subscription",INDEX('Game Records'!$U:$U,$H311)&lt;&gt;"Free Game",INDEX('Game Records'!$U:$U,$H311)&lt;&gt;"Disqualified — Free Game",INDEX('Game Records'!$K:$K,$H311)=""),"Final Earned; ","")&amp;IF(AND(LOWER(INDEX('Game Records'!$D:$D,$H311)&amp;"")="finalized",INDEX('Game Records'!$U:$U,$H311)&lt;&gt;"Subscription",INDEX('Game Records'!$U:$U,$H311)&lt;&gt;"Free Game",INDEX('Game Records'!$U:$U,$H311)&lt;&gt;"Disqualified — Free Game",OR(INDEX('Game Records'!$L:$L,$H311)="",LOWER(INDEX('Game Records'!$L:$L,$H311)&amp;"")="n/a")),"Disqualified Status; ","")&amp;IF(AND(OR(LOWER(TRIM(INDEX('Game Records'!$F:$F,$H311)&amp;""))="free game",INDEX('Game Records'!$U:$U,$H311)="Free Game",INDEX('Game Records'!$U:$U,$H311)="Disqualified — Free Game"),N(INDEX('Game Records'!$H:$H,$H311))&lt;&gt;0),"Free Game has a non-zero Entry Fee. Free Game records require a $0 Entry Fee; ",""))</f>
        <v/>
      </c>
      <c r="G311" s="331" t="str">
        <f>IF($H311="","",IFERROR(INDEX('Game Records'!$M:$M,$H311),""))</f>
        <v/>
      </c>
      <c r="H311" s="104" t="str">
        <f>IF($H310="","",IFERROR(MATCH(1,INDEX((ROW('Game Records'!$U$5:$U$504)&gt;$H310)*(('Game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2" ht="24" customHeight="1">
      <c r="A312" s="332" t="str">
        <f>IF($H312="","",ROWS($A$5:A312))</f>
        <v/>
      </c>
      <c r="B312" s="332" t="str">
        <f>IF($H312="","","G-"&amp;TEXT($A312,"0000"))</f>
        <v/>
      </c>
      <c r="C312" s="331" t="str">
        <f>IF($H312="","",IFERROR(INDEX('Game Records'!$A:$A,$H312),""))</f>
        <v/>
      </c>
      <c r="D312" s="331" t="str">
        <f>IF($H312="","",IFERROR(INDEX('Game Records'!$U:$U,$H312),""))</f>
        <v/>
      </c>
      <c r="E312" s="331" t="str">
        <f>IF($H312="","",IF($F312="","No Highlighted Fields","Highlighted Fields Present"))</f>
        <v/>
      </c>
      <c r="F312" s="331" t="str">
        <f>IF($H312="","",IF(OR(NOT(ISFORMULA(INDEX('Game Records'!$N:$N,$H312))),NOT(ISFORMULA(INDEX('Game Records'!$O:$O,$H312))),NOT(ISFORMULA(INDEX('Game Records'!$P:$P,$H312))),NOT(ISFORMULA(INDEX('Game Records'!$Q:$Q,$H312))),NOT(ISFORMULA(INDEX('Game Records'!$R:$R,$H312))),NOT(ISFORMULA(INDEX('Game Records'!$S:$S,$H312))),NOT(ISFORMULA(INDEX('Game Records'!$T:$T,$H312))),NOT(ISFORMULA(INDEX('Game Records'!$U:$U,$H312))),NOT(ISFORMULA(INDEX('Game Records'!$V:$V,$H312))),NOT(ISFORMULA(INDEX('Game Records'!$W:$W,$H312))),NOT(ISFORMULA(INDEX('Game Records'!$X:$X,$H312))),NOT(ISFORMULA(INDEX('Game Records'!$Y:$Y,$H312))),NOT(ISFORMULA(INDEX('Game Records'!$Z:$Z,$H312)))),"Formula columns missing; ","")&amp;IF(INDEX('Game Records'!$B:$B,$H312)="","Start Date; ","")&amp;IF(INDEX('Game Records'!$C:$C,$H312)="","End Date; ","")&amp;IF(AND(INDEX('Game Records'!$U:$U,$H312)&lt;&gt;"Subscription",INDEX('Game Records'!$U:$U,$H312)&lt;&gt;"Free Game",INDEX('Game Records'!$U:$U,$H312)&lt;&gt;"Disqualified — Free Game",OR(INDEX('Game Records'!$D:$D,$H312)="",LOWER(INDEX('Game Records'!$D:$D,$H312)&amp;"")="n/a")),"Entry Mode; ","")&amp;IF(AND(INDEX('Game Records'!$U:$U,$H312)&lt;&gt;"Subscription",INDEX('Game Records'!$U:$U,$H312)&lt;&gt;"Free Game",INDEX('Game Records'!$U:$U,$H312)&lt;&gt;"Disqualified — Free Game",OR(INDEX('Game Records'!$E:$E,$H312)="",LOWER(INDEX('Game Records'!$E:$E,$H312)&amp;"")="n/a")),"Game Type; ","")&amp;IF(INDEX('Game Records'!$F:$F,$H312)="","Payment Type; ","")&amp;IF(AND(INDEX('Game Records'!$U:$U,$H312)&lt;&gt;"Subscription",INDEX('Game Records'!$U:$U,$H312)&lt;&gt;"Free Game",INDEX('Game Records'!$U:$U,$H312)&lt;&gt;"Disqualified — Free Game",INDEX('Game Records'!$G:$G,$H312)=""),"Gross Pot; ","")&amp;IF(AND(INDEX('Game Records'!$U:$U,$H312)&lt;&gt;"Free Game",INDEX('Game Records'!$U:$U,$H312)&lt;&gt;"Disqualified — Free Game",INDEX('Game Records'!$H:$H,$H312)=""),"Entry Fee; ","")&amp;IF(AND(INDEX('Game Records'!$U:$U,$H312)&lt;&gt;"Subscription",INDEX('Game Records'!$U:$U,$H312)&lt;&gt;"Free Game",INDEX('Game Records'!$U:$U,$H312)&lt;&gt;"Disqualified — Free Game",INDEX('Game Records'!$I:$I,$H312)=""),"Eligible Players; ","")&amp;IF(AND(INDEX('Game Records'!$U:$U,$H312)&lt;&gt;"Subscription",INDEX('Game Records'!$U:$U,$H312)&lt;&gt;"Free Game",INDEX('Game Records'!$U:$U,$H312)&lt;&gt;"Disqualified — Free Game",INDEX('Game Records'!$J:$J,$H312)=""),"Total Players; ","")&amp;IF(AND(LOWER(INDEX('Game Records'!$D:$D,$H312)&amp;"")="finalized",LOWER(INDEX('Game Records'!$L:$L,$H312)&amp;"")&lt;&gt;"yes",INDEX('Game Records'!$U:$U,$H312)&lt;&gt;"Subscription",INDEX('Game Records'!$U:$U,$H312)&lt;&gt;"Free Game",INDEX('Game Records'!$U:$U,$H312)&lt;&gt;"Disqualified — Free Game",INDEX('Game Records'!$K:$K,$H312)=""),"Final Earned; ","")&amp;IF(AND(LOWER(INDEX('Game Records'!$D:$D,$H312)&amp;"")="finalized",INDEX('Game Records'!$U:$U,$H312)&lt;&gt;"Subscription",INDEX('Game Records'!$U:$U,$H312)&lt;&gt;"Free Game",INDEX('Game Records'!$U:$U,$H312)&lt;&gt;"Disqualified — Free Game",OR(INDEX('Game Records'!$L:$L,$H312)="",LOWER(INDEX('Game Records'!$L:$L,$H312)&amp;"")="n/a")),"Disqualified Status; ","")&amp;IF(AND(OR(LOWER(TRIM(INDEX('Game Records'!$F:$F,$H312)&amp;""))="free game",INDEX('Game Records'!$U:$U,$H312)="Free Game",INDEX('Game Records'!$U:$U,$H312)="Disqualified — Free Game"),N(INDEX('Game Records'!$H:$H,$H312))&lt;&gt;0),"Free Game has a non-zero Entry Fee. Free Game records require a $0 Entry Fee; ",""))</f>
        <v/>
      </c>
      <c r="G312" s="331" t="str">
        <f>IF($H312="","",IFERROR(INDEX('Game Records'!$M:$M,$H312),""))</f>
        <v/>
      </c>
      <c r="H312" s="104" t="str">
        <f>IF($H311="","",IFERROR(MATCH(1,INDEX((ROW('Game Records'!$U$5:$U$504)&gt;$H311)*(('Game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3" ht="24" customHeight="1">
      <c r="A313" s="332" t="str">
        <f>IF($H313="","",ROWS($A$5:A313))</f>
        <v/>
      </c>
      <c r="B313" s="332" t="str">
        <f>IF($H313="","","G-"&amp;TEXT($A313,"0000"))</f>
        <v/>
      </c>
      <c r="C313" s="331" t="str">
        <f>IF($H313="","",IFERROR(INDEX('Game Records'!$A:$A,$H313),""))</f>
        <v/>
      </c>
      <c r="D313" s="331" t="str">
        <f>IF($H313="","",IFERROR(INDEX('Game Records'!$U:$U,$H313),""))</f>
        <v/>
      </c>
      <c r="E313" s="331" t="str">
        <f>IF($H313="","",IF($F313="","No Highlighted Fields","Highlighted Fields Present"))</f>
        <v/>
      </c>
      <c r="F313" s="331" t="str">
        <f>IF($H313="","",IF(OR(NOT(ISFORMULA(INDEX('Game Records'!$N:$N,$H313))),NOT(ISFORMULA(INDEX('Game Records'!$O:$O,$H313))),NOT(ISFORMULA(INDEX('Game Records'!$P:$P,$H313))),NOT(ISFORMULA(INDEX('Game Records'!$Q:$Q,$H313))),NOT(ISFORMULA(INDEX('Game Records'!$R:$R,$H313))),NOT(ISFORMULA(INDEX('Game Records'!$S:$S,$H313))),NOT(ISFORMULA(INDEX('Game Records'!$T:$T,$H313))),NOT(ISFORMULA(INDEX('Game Records'!$U:$U,$H313))),NOT(ISFORMULA(INDEX('Game Records'!$V:$V,$H313))),NOT(ISFORMULA(INDEX('Game Records'!$W:$W,$H313))),NOT(ISFORMULA(INDEX('Game Records'!$X:$X,$H313))),NOT(ISFORMULA(INDEX('Game Records'!$Y:$Y,$H313))),NOT(ISFORMULA(INDEX('Game Records'!$Z:$Z,$H313)))),"Formula columns missing; ","")&amp;IF(INDEX('Game Records'!$B:$B,$H313)="","Start Date; ","")&amp;IF(INDEX('Game Records'!$C:$C,$H313)="","End Date; ","")&amp;IF(AND(INDEX('Game Records'!$U:$U,$H313)&lt;&gt;"Subscription",INDEX('Game Records'!$U:$U,$H313)&lt;&gt;"Free Game",INDEX('Game Records'!$U:$U,$H313)&lt;&gt;"Disqualified — Free Game",OR(INDEX('Game Records'!$D:$D,$H313)="",LOWER(INDEX('Game Records'!$D:$D,$H313)&amp;"")="n/a")),"Entry Mode; ","")&amp;IF(AND(INDEX('Game Records'!$U:$U,$H313)&lt;&gt;"Subscription",INDEX('Game Records'!$U:$U,$H313)&lt;&gt;"Free Game",INDEX('Game Records'!$U:$U,$H313)&lt;&gt;"Disqualified — Free Game",OR(INDEX('Game Records'!$E:$E,$H313)="",LOWER(INDEX('Game Records'!$E:$E,$H313)&amp;"")="n/a")),"Game Type; ","")&amp;IF(INDEX('Game Records'!$F:$F,$H313)="","Payment Type; ","")&amp;IF(AND(INDEX('Game Records'!$U:$U,$H313)&lt;&gt;"Subscription",INDEX('Game Records'!$U:$U,$H313)&lt;&gt;"Free Game",INDEX('Game Records'!$U:$U,$H313)&lt;&gt;"Disqualified — Free Game",INDEX('Game Records'!$G:$G,$H313)=""),"Gross Pot; ","")&amp;IF(AND(INDEX('Game Records'!$U:$U,$H313)&lt;&gt;"Free Game",INDEX('Game Records'!$U:$U,$H313)&lt;&gt;"Disqualified — Free Game",INDEX('Game Records'!$H:$H,$H313)=""),"Entry Fee; ","")&amp;IF(AND(INDEX('Game Records'!$U:$U,$H313)&lt;&gt;"Subscription",INDEX('Game Records'!$U:$U,$H313)&lt;&gt;"Free Game",INDEX('Game Records'!$U:$U,$H313)&lt;&gt;"Disqualified — Free Game",INDEX('Game Records'!$I:$I,$H313)=""),"Eligible Players; ","")&amp;IF(AND(INDEX('Game Records'!$U:$U,$H313)&lt;&gt;"Subscription",INDEX('Game Records'!$U:$U,$H313)&lt;&gt;"Free Game",INDEX('Game Records'!$U:$U,$H313)&lt;&gt;"Disqualified — Free Game",INDEX('Game Records'!$J:$J,$H313)=""),"Total Players; ","")&amp;IF(AND(LOWER(INDEX('Game Records'!$D:$D,$H313)&amp;"")="finalized",LOWER(INDEX('Game Records'!$L:$L,$H313)&amp;"")&lt;&gt;"yes",INDEX('Game Records'!$U:$U,$H313)&lt;&gt;"Subscription",INDEX('Game Records'!$U:$U,$H313)&lt;&gt;"Free Game",INDEX('Game Records'!$U:$U,$H313)&lt;&gt;"Disqualified — Free Game",INDEX('Game Records'!$K:$K,$H313)=""),"Final Earned; ","")&amp;IF(AND(LOWER(INDEX('Game Records'!$D:$D,$H313)&amp;"")="finalized",INDEX('Game Records'!$U:$U,$H313)&lt;&gt;"Subscription",INDEX('Game Records'!$U:$U,$H313)&lt;&gt;"Free Game",INDEX('Game Records'!$U:$U,$H313)&lt;&gt;"Disqualified — Free Game",OR(INDEX('Game Records'!$L:$L,$H313)="",LOWER(INDEX('Game Records'!$L:$L,$H313)&amp;"")="n/a")),"Disqualified Status; ","")&amp;IF(AND(OR(LOWER(TRIM(INDEX('Game Records'!$F:$F,$H313)&amp;""))="free game",INDEX('Game Records'!$U:$U,$H313)="Free Game",INDEX('Game Records'!$U:$U,$H313)="Disqualified — Free Game"),N(INDEX('Game Records'!$H:$H,$H313))&lt;&gt;0),"Free Game has a non-zero Entry Fee. Free Game records require a $0 Entry Fee; ",""))</f>
        <v/>
      </c>
      <c r="G313" s="331" t="str">
        <f>IF($H313="","",IFERROR(INDEX('Game Records'!$M:$M,$H313),""))</f>
        <v/>
      </c>
      <c r="H313" s="104" t="str">
        <f>IF($H312="","",IFERROR(MATCH(1,INDEX((ROW('Game Records'!$U$5:$U$504)&gt;$H312)*(('Game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4" ht="24" customHeight="1">
      <c r="A314" s="332" t="str">
        <f>IF($H314="","",ROWS($A$5:A314))</f>
        <v/>
      </c>
      <c r="B314" s="332" t="str">
        <f>IF($H314="","","G-"&amp;TEXT($A314,"0000"))</f>
        <v/>
      </c>
      <c r="C314" s="331" t="str">
        <f>IF($H314="","",IFERROR(INDEX('Game Records'!$A:$A,$H314),""))</f>
        <v/>
      </c>
      <c r="D314" s="331" t="str">
        <f>IF($H314="","",IFERROR(INDEX('Game Records'!$U:$U,$H314),""))</f>
        <v/>
      </c>
      <c r="E314" s="331" t="str">
        <f>IF($H314="","",IF($F314="","No Highlighted Fields","Highlighted Fields Present"))</f>
        <v/>
      </c>
      <c r="F314" s="331" t="str">
        <f>IF($H314="","",IF(OR(NOT(ISFORMULA(INDEX('Game Records'!$N:$N,$H314))),NOT(ISFORMULA(INDEX('Game Records'!$O:$O,$H314))),NOT(ISFORMULA(INDEX('Game Records'!$P:$P,$H314))),NOT(ISFORMULA(INDEX('Game Records'!$Q:$Q,$H314))),NOT(ISFORMULA(INDEX('Game Records'!$R:$R,$H314))),NOT(ISFORMULA(INDEX('Game Records'!$S:$S,$H314))),NOT(ISFORMULA(INDEX('Game Records'!$T:$T,$H314))),NOT(ISFORMULA(INDEX('Game Records'!$U:$U,$H314))),NOT(ISFORMULA(INDEX('Game Records'!$V:$V,$H314))),NOT(ISFORMULA(INDEX('Game Records'!$W:$W,$H314))),NOT(ISFORMULA(INDEX('Game Records'!$X:$X,$H314))),NOT(ISFORMULA(INDEX('Game Records'!$Y:$Y,$H314))),NOT(ISFORMULA(INDEX('Game Records'!$Z:$Z,$H314)))),"Formula columns missing; ","")&amp;IF(INDEX('Game Records'!$B:$B,$H314)="","Start Date; ","")&amp;IF(INDEX('Game Records'!$C:$C,$H314)="","End Date; ","")&amp;IF(AND(INDEX('Game Records'!$U:$U,$H314)&lt;&gt;"Subscription",INDEX('Game Records'!$U:$U,$H314)&lt;&gt;"Free Game",INDEX('Game Records'!$U:$U,$H314)&lt;&gt;"Disqualified — Free Game",OR(INDEX('Game Records'!$D:$D,$H314)="",LOWER(INDEX('Game Records'!$D:$D,$H314)&amp;"")="n/a")),"Entry Mode; ","")&amp;IF(AND(INDEX('Game Records'!$U:$U,$H314)&lt;&gt;"Subscription",INDEX('Game Records'!$U:$U,$H314)&lt;&gt;"Free Game",INDEX('Game Records'!$U:$U,$H314)&lt;&gt;"Disqualified — Free Game",OR(INDEX('Game Records'!$E:$E,$H314)="",LOWER(INDEX('Game Records'!$E:$E,$H314)&amp;"")="n/a")),"Game Type; ","")&amp;IF(INDEX('Game Records'!$F:$F,$H314)="","Payment Type; ","")&amp;IF(AND(INDEX('Game Records'!$U:$U,$H314)&lt;&gt;"Subscription",INDEX('Game Records'!$U:$U,$H314)&lt;&gt;"Free Game",INDEX('Game Records'!$U:$U,$H314)&lt;&gt;"Disqualified — Free Game",INDEX('Game Records'!$G:$G,$H314)=""),"Gross Pot; ","")&amp;IF(AND(INDEX('Game Records'!$U:$U,$H314)&lt;&gt;"Free Game",INDEX('Game Records'!$U:$U,$H314)&lt;&gt;"Disqualified — Free Game",INDEX('Game Records'!$H:$H,$H314)=""),"Entry Fee; ","")&amp;IF(AND(INDEX('Game Records'!$U:$U,$H314)&lt;&gt;"Subscription",INDEX('Game Records'!$U:$U,$H314)&lt;&gt;"Free Game",INDEX('Game Records'!$U:$U,$H314)&lt;&gt;"Disqualified — Free Game",INDEX('Game Records'!$I:$I,$H314)=""),"Eligible Players; ","")&amp;IF(AND(INDEX('Game Records'!$U:$U,$H314)&lt;&gt;"Subscription",INDEX('Game Records'!$U:$U,$H314)&lt;&gt;"Free Game",INDEX('Game Records'!$U:$U,$H314)&lt;&gt;"Disqualified — Free Game",INDEX('Game Records'!$J:$J,$H314)=""),"Total Players; ","")&amp;IF(AND(LOWER(INDEX('Game Records'!$D:$D,$H314)&amp;"")="finalized",LOWER(INDEX('Game Records'!$L:$L,$H314)&amp;"")&lt;&gt;"yes",INDEX('Game Records'!$U:$U,$H314)&lt;&gt;"Subscription",INDEX('Game Records'!$U:$U,$H314)&lt;&gt;"Free Game",INDEX('Game Records'!$U:$U,$H314)&lt;&gt;"Disqualified — Free Game",INDEX('Game Records'!$K:$K,$H314)=""),"Final Earned; ","")&amp;IF(AND(LOWER(INDEX('Game Records'!$D:$D,$H314)&amp;"")="finalized",INDEX('Game Records'!$U:$U,$H314)&lt;&gt;"Subscription",INDEX('Game Records'!$U:$U,$H314)&lt;&gt;"Free Game",INDEX('Game Records'!$U:$U,$H314)&lt;&gt;"Disqualified — Free Game",OR(INDEX('Game Records'!$L:$L,$H314)="",LOWER(INDEX('Game Records'!$L:$L,$H314)&amp;"")="n/a")),"Disqualified Status; ","")&amp;IF(AND(OR(LOWER(TRIM(INDEX('Game Records'!$F:$F,$H314)&amp;""))="free game",INDEX('Game Records'!$U:$U,$H314)="Free Game",INDEX('Game Records'!$U:$U,$H314)="Disqualified — Free Game"),N(INDEX('Game Records'!$H:$H,$H314))&lt;&gt;0),"Free Game has a non-zero Entry Fee. Free Game records require a $0 Entry Fee; ",""))</f>
        <v/>
      </c>
      <c r="G314" s="331" t="str">
        <f>IF($H314="","",IFERROR(INDEX('Game Records'!$M:$M,$H314),""))</f>
        <v/>
      </c>
      <c r="H314" s="104" t="str">
        <f>IF($H313="","",IFERROR(MATCH(1,INDEX((ROW('Game Records'!$U$5:$U$504)&gt;$H313)*(('Game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5" ht="24" customHeight="1">
      <c r="A315" s="332" t="str">
        <f>IF($H315="","",ROWS($A$5:A315))</f>
        <v/>
      </c>
      <c r="B315" s="332" t="str">
        <f>IF($H315="","","G-"&amp;TEXT($A315,"0000"))</f>
        <v/>
      </c>
      <c r="C315" s="331" t="str">
        <f>IF($H315="","",IFERROR(INDEX('Game Records'!$A:$A,$H315),""))</f>
        <v/>
      </c>
      <c r="D315" s="331" t="str">
        <f>IF($H315="","",IFERROR(INDEX('Game Records'!$U:$U,$H315),""))</f>
        <v/>
      </c>
      <c r="E315" s="331" t="str">
        <f>IF($H315="","",IF($F315="","No Highlighted Fields","Highlighted Fields Present"))</f>
        <v/>
      </c>
      <c r="F315" s="331" t="str">
        <f>IF($H315="","",IF(OR(NOT(ISFORMULA(INDEX('Game Records'!$N:$N,$H315))),NOT(ISFORMULA(INDEX('Game Records'!$O:$O,$H315))),NOT(ISFORMULA(INDEX('Game Records'!$P:$P,$H315))),NOT(ISFORMULA(INDEX('Game Records'!$Q:$Q,$H315))),NOT(ISFORMULA(INDEX('Game Records'!$R:$R,$H315))),NOT(ISFORMULA(INDEX('Game Records'!$S:$S,$H315))),NOT(ISFORMULA(INDEX('Game Records'!$T:$T,$H315))),NOT(ISFORMULA(INDEX('Game Records'!$U:$U,$H315))),NOT(ISFORMULA(INDEX('Game Records'!$V:$V,$H315))),NOT(ISFORMULA(INDEX('Game Records'!$W:$W,$H315))),NOT(ISFORMULA(INDEX('Game Records'!$X:$X,$H315))),NOT(ISFORMULA(INDEX('Game Records'!$Y:$Y,$H315))),NOT(ISFORMULA(INDEX('Game Records'!$Z:$Z,$H315)))),"Formula columns missing; ","")&amp;IF(INDEX('Game Records'!$B:$B,$H315)="","Start Date; ","")&amp;IF(INDEX('Game Records'!$C:$C,$H315)="","End Date; ","")&amp;IF(AND(INDEX('Game Records'!$U:$U,$H315)&lt;&gt;"Subscription",INDEX('Game Records'!$U:$U,$H315)&lt;&gt;"Free Game",INDEX('Game Records'!$U:$U,$H315)&lt;&gt;"Disqualified — Free Game",OR(INDEX('Game Records'!$D:$D,$H315)="",LOWER(INDEX('Game Records'!$D:$D,$H315)&amp;"")="n/a")),"Entry Mode; ","")&amp;IF(AND(INDEX('Game Records'!$U:$U,$H315)&lt;&gt;"Subscription",INDEX('Game Records'!$U:$U,$H315)&lt;&gt;"Free Game",INDEX('Game Records'!$U:$U,$H315)&lt;&gt;"Disqualified — Free Game",OR(INDEX('Game Records'!$E:$E,$H315)="",LOWER(INDEX('Game Records'!$E:$E,$H315)&amp;"")="n/a")),"Game Type; ","")&amp;IF(INDEX('Game Records'!$F:$F,$H315)="","Payment Type; ","")&amp;IF(AND(INDEX('Game Records'!$U:$U,$H315)&lt;&gt;"Subscription",INDEX('Game Records'!$U:$U,$H315)&lt;&gt;"Free Game",INDEX('Game Records'!$U:$U,$H315)&lt;&gt;"Disqualified — Free Game",INDEX('Game Records'!$G:$G,$H315)=""),"Gross Pot; ","")&amp;IF(AND(INDEX('Game Records'!$U:$U,$H315)&lt;&gt;"Free Game",INDEX('Game Records'!$U:$U,$H315)&lt;&gt;"Disqualified — Free Game",INDEX('Game Records'!$H:$H,$H315)=""),"Entry Fee; ","")&amp;IF(AND(INDEX('Game Records'!$U:$U,$H315)&lt;&gt;"Subscription",INDEX('Game Records'!$U:$U,$H315)&lt;&gt;"Free Game",INDEX('Game Records'!$U:$U,$H315)&lt;&gt;"Disqualified — Free Game",INDEX('Game Records'!$I:$I,$H315)=""),"Eligible Players; ","")&amp;IF(AND(INDEX('Game Records'!$U:$U,$H315)&lt;&gt;"Subscription",INDEX('Game Records'!$U:$U,$H315)&lt;&gt;"Free Game",INDEX('Game Records'!$U:$U,$H315)&lt;&gt;"Disqualified — Free Game",INDEX('Game Records'!$J:$J,$H315)=""),"Total Players; ","")&amp;IF(AND(LOWER(INDEX('Game Records'!$D:$D,$H315)&amp;"")="finalized",LOWER(INDEX('Game Records'!$L:$L,$H315)&amp;"")&lt;&gt;"yes",INDEX('Game Records'!$U:$U,$H315)&lt;&gt;"Subscription",INDEX('Game Records'!$U:$U,$H315)&lt;&gt;"Free Game",INDEX('Game Records'!$U:$U,$H315)&lt;&gt;"Disqualified — Free Game",INDEX('Game Records'!$K:$K,$H315)=""),"Final Earned; ","")&amp;IF(AND(LOWER(INDEX('Game Records'!$D:$D,$H315)&amp;"")="finalized",INDEX('Game Records'!$U:$U,$H315)&lt;&gt;"Subscription",INDEX('Game Records'!$U:$U,$H315)&lt;&gt;"Free Game",INDEX('Game Records'!$U:$U,$H315)&lt;&gt;"Disqualified — Free Game",OR(INDEX('Game Records'!$L:$L,$H315)="",LOWER(INDEX('Game Records'!$L:$L,$H315)&amp;"")="n/a")),"Disqualified Status; ","")&amp;IF(AND(OR(LOWER(TRIM(INDEX('Game Records'!$F:$F,$H315)&amp;""))="free game",INDEX('Game Records'!$U:$U,$H315)="Free Game",INDEX('Game Records'!$U:$U,$H315)="Disqualified — Free Game"),N(INDEX('Game Records'!$H:$H,$H315))&lt;&gt;0),"Free Game has a non-zero Entry Fee. Free Game records require a $0 Entry Fee; ",""))</f>
        <v/>
      </c>
      <c r="G315" s="331" t="str">
        <f>IF($H315="","",IFERROR(INDEX('Game Records'!$M:$M,$H315),""))</f>
        <v/>
      </c>
      <c r="H315" s="104" t="str">
        <f>IF($H314="","",IFERROR(MATCH(1,INDEX((ROW('Game Records'!$U$5:$U$504)&gt;$H314)*(('Game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6" ht="24" customHeight="1">
      <c r="A316" s="332" t="str">
        <f>IF($H316="","",ROWS($A$5:A316))</f>
        <v/>
      </c>
      <c r="B316" s="332" t="str">
        <f>IF($H316="","","G-"&amp;TEXT($A316,"0000"))</f>
        <v/>
      </c>
      <c r="C316" s="331" t="str">
        <f>IF($H316="","",IFERROR(INDEX('Game Records'!$A:$A,$H316),""))</f>
        <v/>
      </c>
      <c r="D316" s="331" t="str">
        <f>IF($H316="","",IFERROR(INDEX('Game Records'!$U:$U,$H316),""))</f>
        <v/>
      </c>
      <c r="E316" s="331" t="str">
        <f>IF($H316="","",IF($F316="","No Highlighted Fields","Highlighted Fields Present"))</f>
        <v/>
      </c>
      <c r="F316" s="331" t="str">
        <f>IF($H316="","",IF(OR(NOT(ISFORMULA(INDEX('Game Records'!$N:$N,$H316))),NOT(ISFORMULA(INDEX('Game Records'!$O:$O,$H316))),NOT(ISFORMULA(INDEX('Game Records'!$P:$P,$H316))),NOT(ISFORMULA(INDEX('Game Records'!$Q:$Q,$H316))),NOT(ISFORMULA(INDEX('Game Records'!$R:$R,$H316))),NOT(ISFORMULA(INDEX('Game Records'!$S:$S,$H316))),NOT(ISFORMULA(INDEX('Game Records'!$T:$T,$H316))),NOT(ISFORMULA(INDEX('Game Records'!$U:$U,$H316))),NOT(ISFORMULA(INDEX('Game Records'!$V:$V,$H316))),NOT(ISFORMULA(INDEX('Game Records'!$W:$W,$H316))),NOT(ISFORMULA(INDEX('Game Records'!$X:$X,$H316))),NOT(ISFORMULA(INDEX('Game Records'!$Y:$Y,$H316))),NOT(ISFORMULA(INDEX('Game Records'!$Z:$Z,$H316)))),"Formula columns missing; ","")&amp;IF(INDEX('Game Records'!$B:$B,$H316)="","Start Date; ","")&amp;IF(INDEX('Game Records'!$C:$C,$H316)="","End Date; ","")&amp;IF(AND(INDEX('Game Records'!$U:$U,$H316)&lt;&gt;"Subscription",INDEX('Game Records'!$U:$U,$H316)&lt;&gt;"Free Game",INDEX('Game Records'!$U:$U,$H316)&lt;&gt;"Disqualified — Free Game",OR(INDEX('Game Records'!$D:$D,$H316)="",LOWER(INDEX('Game Records'!$D:$D,$H316)&amp;"")="n/a")),"Entry Mode; ","")&amp;IF(AND(INDEX('Game Records'!$U:$U,$H316)&lt;&gt;"Subscription",INDEX('Game Records'!$U:$U,$H316)&lt;&gt;"Free Game",INDEX('Game Records'!$U:$U,$H316)&lt;&gt;"Disqualified — Free Game",OR(INDEX('Game Records'!$E:$E,$H316)="",LOWER(INDEX('Game Records'!$E:$E,$H316)&amp;"")="n/a")),"Game Type; ","")&amp;IF(INDEX('Game Records'!$F:$F,$H316)="","Payment Type; ","")&amp;IF(AND(INDEX('Game Records'!$U:$U,$H316)&lt;&gt;"Subscription",INDEX('Game Records'!$U:$U,$H316)&lt;&gt;"Free Game",INDEX('Game Records'!$U:$U,$H316)&lt;&gt;"Disqualified — Free Game",INDEX('Game Records'!$G:$G,$H316)=""),"Gross Pot; ","")&amp;IF(AND(INDEX('Game Records'!$U:$U,$H316)&lt;&gt;"Free Game",INDEX('Game Records'!$U:$U,$H316)&lt;&gt;"Disqualified — Free Game",INDEX('Game Records'!$H:$H,$H316)=""),"Entry Fee; ","")&amp;IF(AND(INDEX('Game Records'!$U:$U,$H316)&lt;&gt;"Subscription",INDEX('Game Records'!$U:$U,$H316)&lt;&gt;"Free Game",INDEX('Game Records'!$U:$U,$H316)&lt;&gt;"Disqualified — Free Game",INDEX('Game Records'!$I:$I,$H316)=""),"Eligible Players; ","")&amp;IF(AND(INDEX('Game Records'!$U:$U,$H316)&lt;&gt;"Subscription",INDEX('Game Records'!$U:$U,$H316)&lt;&gt;"Free Game",INDEX('Game Records'!$U:$U,$H316)&lt;&gt;"Disqualified — Free Game",INDEX('Game Records'!$J:$J,$H316)=""),"Total Players; ","")&amp;IF(AND(LOWER(INDEX('Game Records'!$D:$D,$H316)&amp;"")="finalized",LOWER(INDEX('Game Records'!$L:$L,$H316)&amp;"")&lt;&gt;"yes",INDEX('Game Records'!$U:$U,$H316)&lt;&gt;"Subscription",INDEX('Game Records'!$U:$U,$H316)&lt;&gt;"Free Game",INDEX('Game Records'!$U:$U,$H316)&lt;&gt;"Disqualified — Free Game",INDEX('Game Records'!$K:$K,$H316)=""),"Final Earned; ","")&amp;IF(AND(LOWER(INDEX('Game Records'!$D:$D,$H316)&amp;"")="finalized",INDEX('Game Records'!$U:$U,$H316)&lt;&gt;"Subscription",INDEX('Game Records'!$U:$U,$H316)&lt;&gt;"Free Game",INDEX('Game Records'!$U:$U,$H316)&lt;&gt;"Disqualified — Free Game",OR(INDEX('Game Records'!$L:$L,$H316)="",LOWER(INDEX('Game Records'!$L:$L,$H316)&amp;"")="n/a")),"Disqualified Status; ","")&amp;IF(AND(OR(LOWER(TRIM(INDEX('Game Records'!$F:$F,$H316)&amp;""))="free game",INDEX('Game Records'!$U:$U,$H316)="Free Game",INDEX('Game Records'!$U:$U,$H316)="Disqualified — Free Game"),N(INDEX('Game Records'!$H:$H,$H316))&lt;&gt;0),"Free Game has a non-zero Entry Fee. Free Game records require a $0 Entry Fee; ",""))</f>
        <v/>
      </c>
      <c r="G316" s="331" t="str">
        <f>IF($H316="","",IFERROR(INDEX('Game Records'!$M:$M,$H316),""))</f>
        <v/>
      </c>
      <c r="H316" s="104" t="str">
        <f>IF($H315="","",IFERROR(MATCH(1,INDEX((ROW('Game Records'!$U$5:$U$504)&gt;$H315)*(('Game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7" ht="24" customHeight="1">
      <c r="A317" s="332" t="str">
        <f>IF($H317="","",ROWS($A$5:A317))</f>
        <v/>
      </c>
      <c r="B317" s="332" t="str">
        <f>IF($H317="","","G-"&amp;TEXT($A317,"0000"))</f>
        <v/>
      </c>
      <c r="C317" s="331" t="str">
        <f>IF($H317="","",IFERROR(INDEX('Game Records'!$A:$A,$H317),""))</f>
        <v/>
      </c>
      <c r="D317" s="331" t="str">
        <f>IF($H317="","",IFERROR(INDEX('Game Records'!$U:$U,$H317),""))</f>
        <v/>
      </c>
      <c r="E317" s="331" t="str">
        <f>IF($H317="","",IF($F317="","No Highlighted Fields","Highlighted Fields Present"))</f>
        <v/>
      </c>
      <c r="F317" s="331" t="str">
        <f>IF($H317="","",IF(OR(NOT(ISFORMULA(INDEX('Game Records'!$N:$N,$H317))),NOT(ISFORMULA(INDEX('Game Records'!$O:$O,$H317))),NOT(ISFORMULA(INDEX('Game Records'!$P:$P,$H317))),NOT(ISFORMULA(INDEX('Game Records'!$Q:$Q,$H317))),NOT(ISFORMULA(INDEX('Game Records'!$R:$R,$H317))),NOT(ISFORMULA(INDEX('Game Records'!$S:$S,$H317))),NOT(ISFORMULA(INDEX('Game Records'!$T:$T,$H317))),NOT(ISFORMULA(INDEX('Game Records'!$U:$U,$H317))),NOT(ISFORMULA(INDEX('Game Records'!$V:$V,$H317))),NOT(ISFORMULA(INDEX('Game Records'!$W:$W,$H317))),NOT(ISFORMULA(INDEX('Game Records'!$X:$X,$H317))),NOT(ISFORMULA(INDEX('Game Records'!$Y:$Y,$H317))),NOT(ISFORMULA(INDEX('Game Records'!$Z:$Z,$H317)))),"Formula columns missing; ","")&amp;IF(INDEX('Game Records'!$B:$B,$H317)="","Start Date; ","")&amp;IF(INDEX('Game Records'!$C:$C,$H317)="","End Date; ","")&amp;IF(AND(INDEX('Game Records'!$U:$U,$H317)&lt;&gt;"Subscription",INDEX('Game Records'!$U:$U,$H317)&lt;&gt;"Free Game",INDEX('Game Records'!$U:$U,$H317)&lt;&gt;"Disqualified — Free Game",OR(INDEX('Game Records'!$D:$D,$H317)="",LOWER(INDEX('Game Records'!$D:$D,$H317)&amp;"")="n/a")),"Entry Mode; ","")&amp;IF(AND(INDEX('Game Records'!$U:$U,$H317)&lt;&gt;"Subscription",INDEX('Game Records'!$U:$U,$H317)&lt;&gt;"Free Game",INDEX('Game Records'!$U:$U,$H317)&lt;&gt;"Disqualified — Free Game",OR(INDEX('Game Records'!$E:$E,$H317)="",LOWER(INDEX('Game Records'!$E:$E,$H317)&amp;"")="n/a")),"Game Type; ","")&amp;IF(INDEX('Game Records'!$F:$F,$H317)="","Payment Type; ","")&amp;IF(AND(INDEX('Game Records'!$U:$U,$H317)&lt;&gt;"Subscription",INDEX('Game Records'!$U:$U,$H317)&lt;&gt;"Free Game",INDEX('Game Records'!$U:$U,$H317)&lt;&gt;"Disqualified — Free Game",INDEX('Game Records'!$G:$G,$H317)=""),"Gross Pot; ","")&amp;IF(AND(INDEX('Game Records'!$U:$U,$H317)&lt;&gt;"Free Game",INDEX('Game Records'!$U:$U,$H317)&lt;&gt;"Disqualified — Free Game",INDEX('Game Records'!$H:$H,$H317)=""),"Entry Fee; ","")&amp;IF(AND(INDEX('Game Records'!$U:$U,$H317)&lt;&gt;"Subscription",INDEX('Game Records'!$U:$U,$H317)&lt;&gt;"Free Game",INDEX('Game Records'!$U:$U,$H317)&lt;&gt;"Disqualified — Free Game",INDEX('Game Records'!$I:$I,$H317)=""),"Eligible Players; ","")&amp;IF(AND(INDEX('Game Records'!$U:$U,$H317)&lt;&gt;"Subscription",INDEX('Game Records'!$U:$U,$H317)&lt;&gt;"Free Game",INDEX('Game Records'!$U:$U,$H317)&lt;&gt;"Disqualified — Free Game",INDEX('Game Records'!$J:$J,$H317)=""),"Total Players; ","")&amp;IF(AND(LOWER(INDEX('Game Records'!$D:$D,$H317)&amp;"")="finalized",LOWER(INDEX('Game Records'!$L:$L,$H317)&amp;"")&lt;&gt;"yes",INDEX('Game Records'!$U:$U,$H317)&lt;&gt;"Subscription",INDEX('Game Records'!$U:$U,$H317)&lt;&gt;"Free Game",INDEX('Game Records'!$U:$U,$H317)&lt;&gt;"Disqualified — Free Game",INDEX('Game Records'!$K:$K,$H317)=""),"Final Earned; ","")&amp;IF(AND(LOWER(INDEX('Game Records'!$D:$D,$H317)&amp;"")="finalized",INDEX('Game Records'!$U:$U,$H317)&lt;&gt;"Subscription",INDEX('Game Records'!$U:$U,$H317)&lt;&gt;"Free Game",INDEX('Game Records'!$U:$U,$H317)&lt;&gt;"Disqualified — Free Game",OR(INDEX('Game Records'!$L:$L,$H317)="",LOWER(INDEX('Game Records'!$L:$L,$H317)&amp;"")="n/a")),"Disqualified Status; ","")&amp;IF(AND(OR(LOWER(TRIM(INDEX('Game Records'!$F:$F,$H317)&amp;""))="free game",INDEX('Game Records'!$U:$U,$H317)="Free Game",INDEX('Game Records'!$U:$U,$H317)="Disqualified — Free Game"),N(INDEX('Game Records'!$H:$H,$H317))&lt;&gt;0),"Free Game has a non-zero Entry Fee. Free Game records require a $0 Entry Fee; ",""))</f>
        <v/>
      </c>
      <c r="G317" s="331" t="str">
        <f>IF($H317="","",IFERROR(INDEX('Game Records'!$M:$M,$H317),""))</f>
        <v/>
      </c>
      <c r="H317" s="104" t="str">
        <f>IF($H316="","",IFERROR(MATCH(1,INDEX((ROW('Game Records'!$U$5:$U$504)&gt;$H316)*(('Game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8" ht="24" customHeight="1">
      <c r="A318" s="332" t="str">
        <f>IF($H318="","",ROWS($A$5:A318))</f>
        <v/>
      </c>
      <c r="B318" s="332" t="str">
        <f>IF($H318="","","G-"&amp;TEXT($A318,"0000"))</f>
        <v/>
      </c>
      <c r="C318" s="331" t="str">
        <f>IF($H318="","",IFERROR(INDEX('Game Records'!$A:$A,$H318),""))</f>
        <v/>
      </c>
      <c r="D318" s="331" t="str">
        <f>IF($H318="","",IFERROR(INDEX('Game Records'!$U:$U,$H318),""))</f>
        <v/>
      </c>
      <c r="E318" s="331" t="str">
        <f>IF($H318="","",IF($F318="","No Highlighted Fields","Highlighted Fields Present"))</f>
        <v/>
      </c>
      <c r="F318" s="331" t="str">
        <f>IF($H318="","",IF(OR(NOT(ISFORMULA(INDEX('Game Records'!$N:$N,$H318))),NOT(ISFORMULA(INDEX('Game Records'!$O:$O,$H318))),NOT(ISFORMULA(INDEX('Game Records'!$P:$P,$H318))),NOT(ISFORMULA(INDEX('Game Records'!$Q:$Q,$H318))),NOT(ISFORMULA(INDEX('Game Records'!$R:$R,$H318))),NOT(ISFORMULA(INDEX('Game Records'!$S:$S,$H318))),NOT(ISFORMULA(INDEX('Game Records'!$T:$T,$H318))),NOT(ISFORMULA(INDEX('Game Records'!$U:$U,$H318))),NOT(ISFORMULA(INDEX('Game Records'!$V:$V,$H318))),NOT(ISFORMULA(INDEX('Game Records'!$W:$W,$H318))),NOT(ISFORMULA(INDEX('Game Records'!$X:$X,$H318))),NOT(ISFORMULA(INDEX('Game Records'!$Y:$Y,$H318))),NOT(ISFORMULA(INDEX('Game Records'!$Z:$Z,$H318)))),"Formula columns missing; ","")&amp;IF(INDEX('Game Records'!$B:$B,$H318)="","Start Date; ","")&amp;IF(INDEX('Game Records'!$C:$C,$H318)="","End Date; ","")&amp;IF(AND(INDEX('Game Records'!$U:$U,$H318)&lt;&gt;"Subscription",INDEX('Game Records'!$U:$U,$H318)&lt;&gt;"Free Game",INDEX('Game Records'!$U:$U,$H318)&lt;&gt;"Disqualified — Free Game",OR(INDEX('Game Records'!$D:$D,$H318)="",LOWER(INDEX('Game Records'!$D:$D,$H318)&amp;"")="n/a")),"Entry Mode; ","")&amp;IF(AND(INDEX('Game Records'!$U:$U,$H318)&lt;&gt;"Subscription",INDEX('Game Records'!$U:$U,$H318)&lt;&gt;"Free Game",INDEX('Game Records'!$U:$U,$H318)&lt;&gt;"Disqualified — Free Game",OR(INDEX('Game Records'!$E:$E,$H318)="",LOWER(INDEX('Game Records'!$E:$E,$H318)&amp;"")="n/a")),"Game Type; ","")&amp;IF(INDEX('Game Records'!$F:$F,$H318)="","Payment Type; ","")&amp;IF(AND(INDEX('Game Records'!$U:$U,$H318)&lt;&gt;"Subscription",INDEX('Game Records'!$U:$U,$H318)&lt;&gt;"Free Game",INDEX('Game Records'!$U:$U,$H318)&lt;&gt;"Disqualified — Free Game",INDEX('Game Records'!$G:$G,$H318)=""),"Gross Pot; ","")&amp;IF(AND(INDEX('Game Records'!$U:$U,$H318)&lt;&gt;"Free Game",INDEX('Game Records'!$U:$U,$H318)&lt;&gt;"Disqualified — Free Game",INDEX('Game Records'!$H:$H,$H318)=""),"Entry Fee; ","")&amp;IF(AND(INDEX('Game Records'!$U:$U,$H318)&lt;&gt;"Subscription",INDEX('Game Records'!$U:$U,$H318)&lt;&gt;"Free Game",INDEX('Game Records'!$U:$U,$H318)&lt;&gt;"Disqualified — Free Game",INDEX('Game Records'!$I:$I,$H318)=""),"Eligible Players; ","")&amp;IF(AND(INDEX('Game Records'!$U:$U,$H318)&lt;&gt;"Subscription",INDEX('Game Records'!$U:$U,$H318)&lt;&gt;"Free Game",INDEX('Game Records'!$U:$U,$H318)&lt;&gt;"Disqualified — Free Game",INDEX('Game Records'!$J:$J,$H318)=""),"Total Players; ","")&amp;IF(AND(LOWER(INDEX('Game Records'!$D:$D,$H318)&amp;"")="finalized",LOWER(INDEX('Game Records'!$L:$L,$H318)&amp;"")&lt;&gt;"yes",INDEX('Game Records'!$U:$U,$H318)&lt;&gt;"Subscription",INDEX('Game Records'!$U:$U,$H318)&lt;&gt;"Free Game",INDEX('Game Records'!$U:$U,$H318)&lt;&gt;"Disqualified — Free Game",INDEX('Game Records'!$K:$K,$H318)=""),"Final Earned; ","")&amp;IF(AND(LOWER(INDEX('Game Records'!$D:$D,$H318)&amp;"")="finalized",INDEX('Game Records'!$U:$U,$H318)&lt;&gt;"Subscription",INDEX('Game Records'!$U:$U,$H318)&lt;&gt;"Free Game",INDEX('Game Records'!$U:$U,$H318)&lt;&gt;"Disqualified — Free Game",OR(INDEX('Game Records'!$L:$L,$H318)="",LOWER(INDEX('Game Records'!$L:$L,$H318)&amp;"")="n/a")),"Disqualified Status; ","")&amp;IF(AND(OR(LOWER(TRIM(INDEX('Game Records'!$F:$F,$H318)&amp;""))="free game",INDEX('Game Records'!$U:$U,$H318)="Free Game",INDEX('Game Records'!$U:$U,$H318)="Disqualified — Free Game"),N(INDEX('Game Records'!$H:$H,$H318))&lt;&gt;0),"Free Game has a non-zero Entry Fee. Free Game records require a $0 Entry Fee; ",""))</f>
        <v/>
      </c>
      <c r="G318" s="331" t="str">
        <f>IF($H318="","",IFERROR(INDEX('Game Records'!$M:$M,$H318),""))</f>
        <v/>
      </c>
      <c r="H318" s="104" t="str">
        <f>IF($H317="","",IFERROR(MATCH(1,INDEX((ROW('Game Records'!$U$5:$U$504)&gt;$H317)*(('Game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9" ht="24" customHeight="1">
      <c r="A319" s="332" t="str">
        <f>IF($H319="","",ROWS($A$5:A319))</f>
        <v/>
      </c>
      <c r="B319" s="332" t="str">
        <f>IF($H319="","","G-"&amp;TEXT($A319,"0000"))</f>
        <v/>
      </c>
      <c r="C319" s="331" t="str">
        <f>IF($H319="","",IFERROR(INDEX('Game Records'!$A:$A,$H319),""))</f>
        <v/>
      </c>
      <c r="D319" s="331" t="str">
        <f>IF($H319="","",IFERROR(INDEX('Game Records'!$U:$U,$H319),""))</f>
        <v/>
      </c>
      <c r="E319" s="331" t="str">
        <f>IF($H319="","",IF($F319="","No Highlighted Fields","Highlighted Fields Present"))</f>
        <v/>
      </c>
      <c r="F319" s="331" t="str">
        <f>IF($H319="","",IF(OR(NOT(ISFORMULA(INDEX('Game Records'!$N:$N,$H319))),NOT(ISFORMULA(INDEX('Game Records'!$O:$O,$H319))),NOT(ISFORMULA(INDEX('Game Records'!$P:$P,$H319))),NOT(ISFORMULA(INDEX('Game Records'!$Q:$Q,$H319))),NOT(ISFORMULA(INDEX('Game Records'!$R:$R,$H319))),NOT(ISFORMULA(INDEX('Game Records'!$S:$S,$H319))),NOT(ISFORMULA(INDEX('Game Records'!$T:$T,$H319))),NOT(ISFORMULA(INDEX('Game Records'!$U:$U,$H319))),NOT(ISFORMULA(INDEX('Game Records'!$V:$V,$H319))),NOT(ISFORMULA(INDEX('Game Records'!$W:$W,$H319))),NOT(ISFORMULA(INDEX('Game Records'!$X:$X,$H319))),NOT(ISFORMULA(INDEX('Game Records'!$Y:$Y,$H319))),NOT(ISFORMULA(INDEX('Game Records'!$Z:$Z,$H319)))),"Formula columns missing; ","")&amp;IF(INDEX('Game Records'!$B:$B,$H319)="","Start Date; ","")&amp;IF(INDEX('Game Records'!$C:$C,$H319)="","End Date; ","")&amp;IF(AND(INDEX('Game Records'!$U:$U,$H319)&lt;&gt;"Subscription",INDEX('Game Records'!$U:$U,$H319)&lt;&gt;"Free Game",INDEX('Game Records'!$U:$U,$H319)&lt;&gt;"Disqualified — Free Game",OR(INDEX('Game Records'!$D:$D,$H319)="",LOWER(INDEX('Game Records'!$D:$D,$H319)&amp;"")="n/a")),"Entry Mode; ","")&amp;IF(AND(INDEX('Game Records'!$U:$U,$H319)&lt;&gt;"Subscription",INDEX('Game Records'!$U:$U,$H319)&lt;&gt;"Free Game",INDEX('Game Records'!$U:$U,$H319)&lt;&gt;"Disqualified — Free Game",OR(INDEX('Game Records'!$E:$E,$H319)="",LOWER(INDEX('Game Records'!$E:$E,$H319)&amp;"")="n/a")),"Game Type; ","")&amp;IF(INDEX('Game Records'!$F:$F,$H319)="","Payment Type; ","")&amp;IF(AND(INDEX('Game Records'!$U:$U,$H319)&lt;&gt;"Subscription",INDEX('Game Records'!$U:$U,$H319)&lt;&gt;"Free Game",INDEX('Game Records'!$U:$U,$H319)&lt;&gt;"Disqualified — Free Game",INDEX('Game Records'!$G:$G,$H319)=""),"Gross Pot; ","")&amp;IF(AND(INDEX('Game Records'!$U:$U,$H319)&lt;&gt;"Free Game",INDEX('Game Records'!$U:$U,$H319)&lt;&gt;"Disqualified — Free Game",INDEX('Game Records'!$H:$H,$H319)=""),"Entry Fee; ","")&amp;IF(AND(INDEX('Game Records'!$U:$U,$H319)&lt;&gt;"Subscription",INDEX('Game Records'!$U:$U,$H319)&lt;&gt;"Free Game",INDEX('Game Records'!$U:$U,$H319)&lt;&gt;"Disqualified — Free Game",INDEX('Game Records'!$I:$I,$H319)=""),"Eligible Players; ","")&amp;IF(AND(INDEX('Game Records'!$U:$U,$H319)&lt;&gt;"Subscription",INDEX('Game Records'!$U:$U,$H319)&lt;&gt;"Free Game",INDEX('Game Records'!$U:$U,$H319)&lt;&gt;"Disqualified — Free Game",INDEX('Game Records'!$J:$J,$H319)=""),"Total Players; ","")&amp;IF(AND(LOWER(INDEX('Game Records'!$D:$D,$H319)&amp;"")="finalized",LOWER(INDEX('Game Records'!$L:$L,$H319)&amp;"")&lt;&gt;"yes",INDEX('Game Records'!$U:$U,$H319)&lt;&gt;"Subscription",INDEX('Game Records'!$U:$U,$H319)&lt;&gt;"Free Game",INDEX('Game Records'!$U:$U,$H319)&lt;&gt;"Disqualified — Free Game",INDEX('Game Records'!$K:$K,$H319)=""),"Final Earned; ","")&amp;IF(AND(LOWER(INDEX('Game Records'!$D:$D,$H319)&amp;"")="finalized",INDEX('Game Records'!$U:$U,$H319)&lt;&gt;"Subscription",INDEX('Game Records'!$U:$U,$H319)&lt;&gt;"Free Game",INDEX('Game Records'!$U:$U,$H319)&lt;&gt;"Disqualified — Free Game",OR(INDEX('Game Records'!$L:$L,$H319)="",LOWER(INDEX('Game Records'!$L:$L,$H319)&amp;"")="n/a")),"Disqualified Status; ","")&amp;IF(AND(OR(LOWER(TRIM(INDEX('Game Records'!$F:$F,$H319)&amp;""))="free game",INDEX('Game Records'!$U:$U,$H319)="Free Game",INDEX('Game Records'!$U:$U,$H319)="Disqualified — Free Game"),N(INDEX('Game Records'!$H:$H,$H319))&lt;&gt;0),"Free Game has a non-zero Entry Fee. Free Game records require a $0 Entry Fee; ",""))</f>
        <v/>
      </c>
      <c r="G319" s="331" t="str">
        <f>IF($H319="","",IFERROR(INDEX('Game Records'!$M:$M,$H319),""))</f>
        <v/>
      </c>
      <c r="H319" s="104" t="str">
        <f>IF($H318="","",IFERROR(MATCH(1,INDEX((ROW('Game Records'!$U$5:$U$504)&gt;$H318)*(('Game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0" ht="24" customHeight="1">
      <c r="A320" s="332" t="str">
        <f>IF($H320="","",ROWS($A$5:A320))</f>
        <v/>
      </c>
      <c r="B320" s="332" t="str">
        <f>IF($H320="","","G-"&amp;TEXT($A320,"0000"))</f>
        <v/>
      </c>
      <c r="C320" s="331" t="str">
        <f>IF($H320="","",IFERROR(INDEX('Game Records'!$A:$A,$H320),""))</f>
        <v/>
      </c>
      <c r="D320" s="331" t="str">
        <f>IF($H320="","",IFERROR(INDEX('Game Records'!$U:$U,$H320),""))</f>
        <v/>
      </c>
      <c r="E320" s="331" t="str">
        <f>IF($H320="","",IF($F320="","No Highlighted Fields","Highlighted Fields Present"))</f>
        <v/>
      </c>
      <c r="F320" s="331" t="str">
        <f>IF($H320="","",IF(OR(NOT(ISFORMULA(INDEX('Game Records'!$N:$N,$H320))),NOT(ISFORMULA(INDEX('Game Records'!$O:$O,$H320))),NOT(ISFORMULA(INDEX('Game Records'!$P:$P,$H320))),NOT(ISFORMULA(INDEX('Game Records'!$Q:$Q,$H320))),NOT(ISFORMULA(INDEX('Game Records'!$R:$R,$H320))),NOT(ISFORMULA(INDEX('Game Records'!$S:$S,$H320))),NOT(ISFORMULA(INDEX('Game Records'!$T:$T,$H320))),NOT(ISFORMULA(INDEX('Game Records'!$U:$U,$H320))),NOT(ISFORMULA(INDEX('Game Records'!$V:$V,$H320))),NOT(ISFORMULA(INDEX('Game Records'!$W:$W,$H320))),NOT(ISFORMULA(INDEX('Game Records'!$X:$X,$H320))),NOT(ISFORMULA(INDEX('Game Records'!$Y:$Y,$H320))),NOT(ISFORMULA(INDEX('Game Records'!$Z:$Z,$H320)))),"Formula columns missing; ","")&amp;IF(INDEX('Game Records'!$B:$B,$H320)="","Start Date; ","")&amp;IF(INDEX('Game Records'!$C:$C,$H320)="","End Date; ","")&amp;IF(AND(INDEX('Game Records'!$U:$U,$H320)&lt;&gt;"Subscription",INDEX('Game Records'!$U:$U,$H320)&lt;&gt;"Free Game",INDEX('Game Records'!$U:$U,$H320)&lt;&gt;"Disqualified — Free Game",OR(INDEX('Game Records'!$D:$D,$H320)="",LOWER(INDEX('Game Records'!$D:$D,$H320)&amp;"")="n/a")),"Entry Mode; ","")&amp;IF(AND(INDEX('Game Records'!$U:$U,$H320)&lt;&gt;"Subscription",INDEX('Game Records'!$U:$U,$H320)&lt;&gt;"Free Game",INDEX('Game Records'!$U:$U,$H320)&lt;&gt;"Disqualified — Free Game",OR(INDEX('Game Records'!$E:$E,$H320)="",LOWER(INDEX('Game Records'!$E:$E,$H320)&amp;"")="n/a")),"Game Type; ","")&amp;IF(INDEX('Game Records'!$F:$F,$H320)="","Payment Type; ","")&amp;IF(AND(INDEX('Game Records'!$U:$U,$H320)&lt;&gt;"Subscription",INDEX('Game Records'!$U:$U,$H320)&lt;&gt;"Free Game",INDEX('Game Records'!$U:$U,$H320)&lt;&gt;"Disqualified — Free Game",INDEX('Game Records'!$G:$G,$H320)=""),"Gross Pot; ","")&amp;IF(AND(INDEX('Game Records'!$U:$U,$H320)&lt;&gt;"Free Game",INDEX('Game Records'!$U:$U,$H320)&lt;&gt;"Disqualified — Free Game",INDEX('Game Records'!$H:$H,$H320)=""),"Entry Fee; ","")&amp;IF(AND(INDEX('Game Records'!$U:$U,$H320)&lt;&gt;"Subscription",INDEX('Game Records'!$U:$U,$H320)&lt;&gt;"Free Game",INDEX('Game Records'!$U:$U,$H320)&lt;&gt;"Disqualified — Free Game",INDEX('Game Records'!$I:$I,$H320)=""),"Eligible Players; ","")&amp;IF(AND(INDEX('Game Records'!$U:$U,$H320)&lt;&gt;"Subscription",INDEX('Game Records'!$U:$U,$H320)&lt;&gt;"Free Game",INDEX('Game Records'!$U:$U,$H320)&lt;&gt;"Disqualified — Free Game",INDEX('Game Records'!$J:$J,$H320)=""),"Total Players; ","")&amp;IF(AND(LOWER(INDEX('Game Records'!$D:$D,$H320)&amp;"")="finalized",LOWER(INDEX('Game Records'!$L:$L,$H320)&amp;"")&lt;&gt;"yes",INDEX('Game Records'!$U:$U,$H320)&lt;&gt;"Subscription",INDEX('Game Records'!$U:$U,$H320)&lt;&gt;"Free Game",INDEX('Game Records'!$U:$U,$H320)&lt;&gt;"Disqualified — Free Game",INDEX('Game Records'!$K:$K,$H320)=""),"Final Earned; ","")&amp;IF(AND(LOWER(INDEX('Game Records'!$D:$D,$H320)&amp;"")="finalized",INDEX('Game Records'!$U:$U,$H320)&lt;&gt;"Subscription",INDEX('Game Records'!$U:$U,$H320)&lt;&gt;"Free Game",INDEX('Game Records'!$U:$U,$H320)&lt;&gt;"Disqualified — Free Game",OR(INDEX('Game Records'!$L:$L,$H320)="",LOWER(INDEX('Game Records'!$L:$L,$H320)&amp;"")="n/a")),"Disqualified Status; ","")&amp;IF(AND(OR(LOWER(TRIM(INDEX('Game Records'!$F:$F,$H320)&amp;""))="free game",INDEX('Game Records'!$U:$U,$H320)="Free Game",INDEX('Game Records'!$U:$U,$H320)="Disqualified — Free Game"),N(INDEX('Game Records'!$H:$H,$H320))&lt;&gt;0),"Free Game has a non-zero Entry Fee. Free Game records require a $0 Entry Fee; ",""))</f>
        <v/>
      </c>
      <c r="G320" s="331" t="str">
        <f>IF($H320="","",IFERROR(INDEX('Game Records'!$M:$M,$H320),""))</f>
        <v/>
      </c>
      <c r="H320" s="104" t="str">
        <f>IF($H319="","",IFERROR(MATCH(1,INDEX((ROW('Game Records'!$U$5:$U$504)&gt;$H319)*(('Game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1" ht="24" customHeight="1">
      <c r="A321" s="332" t="str">
        <f>IF($H321="","",ROWS($A$5:A321))</f>
        <v/>
      </c>
      <c r="B321" s="332" t="str">
        <f>IF($H321="","","G-"&amp;TEXT($A321,"0000"))</f>
        <v/>
      </c>
      <c r="C321" s="331" t="str">
        <f>IF($H321="","",IFERROR(INDEX('Game Records'!$A:$A,$H321),""))</f>
        <v/>
      </c>
      <c r="D321" s="331" t="str">
        <f>IF($H321="","",IFERROR(INDEX('Game Records'!$U:$U,$H321),""))</f>
        <v/>
      </c>
      <c r="E321" s="331" t="str">
        <f>IF($H321="","",IF($F321="","No Highlighted Fields","Highlighted Fields Present"))</f>
        <v/>
      </c>
      <c r="F321" s="331" t="str">
        <f>IF($H321="","",IF(OR(NOT(ISFORMULA(INDEX('Game Records'!$N:$N,$H321))),NOT(ISFORMULA(INDEX('Game Records'!$O:$O,$H321))),NOT(ISFORMULA(INDEX('Game Records'!$P:$P,$H321))),NOT(ISFORMULA(INDEX('Game Records'!$Q:$Q,$H321))),NOT(ISFORMULA(INDEX('Game Records'!$R:$R,$H321))),NOT(ISFORMULA(INDEX('Game Records'!$S:$S,$H321))),NOT(ISFORMULA(INDEX('Game Records'!$T:$T,$H321))),NOT(ISFORMULA(INDEX('Game Records'!$U:$U,$H321))),NOT(ISFORMULA(INDEX('Game Records'!$V:$V,$H321))),NOT(ISFORMULA(INDEX('Game Records'!$W:$W,$H321))),NOT(ISFORMULA(INDEX('Game Records'!$X:$X,$H321))),NOT(ISFORMULA(INDEX('Game Records'!$Y:$Y,$H321))),NOT(ISFORMULA(INDEX('Game Records'!$Z:$Z,$H321)))),"Formula columns missing; ","")&amp;IF(INDEX('Game Records'!$B:$B,$H321)="","Start Date; ","")&amp;IF(INDEX('Game Records'!$C:$C,$H321)="","End Date; ","")&amp;IF(AND(INDEX('Game Records'!$U:$U,$H321)&lt;&gt;"Subscription",INDEX('Game Records'!$U:$U,$H321)&lt;&gt;"Free Game",INDEX('Game Records'!$U:$U,$H321)&lt;&gt;"Disqualified — Free Game",OR(INDEX('Game Records'!$D:$D,$H321)="",LOWER(INDEX('Game Records'!$D:$D,$H321)&amp;"")="n/a")),"Entry Mode; ","")&amp;IF(AND(INDEX('Game Records'!$U:$U,$H321)&lt;&gt;"Subscription",INDEX('Game Records'!$U:$U,$H321)&lt;&gt;"Free Game",INDEX('Game Records'!$U:$U,$H321)&lt;&gt;"Disqualified — Free Game",OR(INDEX('Game Records'!$E:$E,$H321)="",LOWER(INDEX('Game Records'!$E:$E,$H321)&amp;"")="n/a")),"Game Type; ","")&amp;IF(INDEX('Game Records'!$F:$F,$H321)="","Payment Type; ","")&amp;IF(AND(INDEX('Game Records'!$U:$U,$H321)&lt;&gt;"Subscription",INDEX('Game Records'!$U:$U,$H321)&lt;&gt;"Free Game",INDEX('Game Records'!$U:$U,$H321)&lt;&gt;"Disqualified — Free Game",INDEX('Game Records'!$G:$G,$H321)=""),"Gross Pot; ","")&amp;IF(AND(INDEX('Game Records'!$U:$U,$H321)&lt;&gt;"Free Game",INDEX('Game Records'!$U:$U,$H321)&lt;&gt;"Disqualified — Free Game",INDEX('Game Records'!$H:$H,$H321)=""),"Entry Fee; ","")&amp;IF(AND(INDEX('Game Records'!$U:$U,$H321)&lt;&gt;"Subscription",INDEX('Game Records'!$U:$U,$H321)&lt;&gt;"Free Game",INDEX('Game Records'!$U:$U,$H321)&lt;&gt;"Disqualified — Free Game",INDEX('Game Records'!$I:$I,$H321)=""),"Eligible Players; ","")&amp;IF(AND(INDEX('Game Records'!$U:$U,$H321)&lt;&gt;"Subscription",INDEX('Game Records'!$U:$U,$H321)&lt;&gt;"Free Game",INDEX('Game Records'!$U:$U,$H321)&lt;&gt;"Disqualified — Free Game",INDEX('Game Records'!$J:$J,$H321)=""),"Total Players; ","")&amp;IF(AND(LOWER(INDEX('Game Records'!$D:$D,$H321)&amp;"")="finalized",LOWER(INDEX('Game Records'!$L:$L,$H321)&amp;"")&lt;&gt;"yes",INDEX('Game Records'!$U:$U,$H321)&lt;&gt;"Subscription",INDEX('Game Records'!$U:$U,$H321)&lt;&gt;"Free Game",INDEX('Game Records'!$U:$U,$H321)&lt;&gt;"Disqualified — Free Game",INDEX('Game Records'!$K:$K,$H321)=""),"Final Earned; ","")&amp;IF(AND(LOWER(INDEX('Game Records'!$D:$D,$H321)&amp;"")="finalized",INDEX('Game Records'!$U:$U,$H321)&lt;&gt;"Subscription",INDEX('Game Records'!$U:$U,$H321)&lt;&gt;"Free Game",INDEX('Game Records'!$U:$U,$H321)&lt;&gt;"Disqualified — Free Game",OR(INDEX('Game Records'!$L:$L,$H321)="",LOWER(INDEX('Game Records'!$L:$L,$H321)&amp;"")="n/a")),"Disqualified Status; ","")&amp;IF(AND(OR(LOWER(TRIM(INDEX('Game Records'!$F:$F,$H321)&amp;""))="free game",INDEX('Game Records'!$U:$U,$H321)="Free Game",INDEX('Game Records'!$U:$U,$H321)="Disqualified — Free Game"),N(INDEX('Game Records'!$H:$H,$H321))&lt;&gt;0),"Free Game has a non-zero Entry Fee. Free Game records require a $0 Entry Fee; ",""))</f>
        <v/>
      </c>
      <c r="G321" s="331" t="str">
        <f>IF($H321="","",IFERROR(INDEX('Game Records'!$M:$M,$H321),""))</f>
        <v/>
      </c>
      <c r="H321" s="104" t="str">
        <f>IF($H320="","",IFERROR(MATCH(1,INDEX((ROW('Game Records'!$U$5:$U$504)&gt;$H320)*(('Game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2" ht="24" customHeight="1">
      <c r="A322" s="332" t="str">
        <f>IF($H322="","",ROWS($A$5:A322))</f>
        <v/>
      </c>
      <c r="B322" s="332" t="str">
        <f>IF($H322="","","G-"&amp;TEXT($A322,"0000"))</f>
        <v/>
      </c>
      <c r="C322" s="331" t="str">
        <f>IF($H322="","",IFERROR(INDEX('Game Records'!$A:$A,$H322),""))</f>
        <v/>
      </c>
      <c r="D322" s="331" t="str">
        <f>IF($H322="","",IFERROR(INDEX('Game Records'!$U:$U,$H322),""))</f>
        <v/>
      </c>
      <c r="E322" s="331" t="str">
        <f>IF($H322="","",IF($F322="","No Highlighted Fields","Highlighted Fields Present"))</f>
        <v/>
      </c>
      <c r="F322" s="331" t="str">
        <f>IF($H322="","",IF(OR(NOT(ISFORMULA(INDEX('Game Records'!$N:$N,$H322))),NOT(ISFORMULA(INDEX('Game Records'!$O:$O,$H322))),NOT(ISFORMULA(INDEX('Game Records'!$P:$P,$H322))),NOT(ISFORMULA(INDEX('Game Records'!$Q:$Q,$H322))),NOT(ISFORMULA(INDEX('Game Records'!$R:$R,$H322))),NOT(ISFORMULA(INDEX('Game Records'!$S:$S,$H322))),NOT(ISFORMULA(INDEX('Game Records'!$T:$T,$H322))),NOT(ISFORMULA(INDEX('Game Records'!$U:$U,$H322))),NOT(ISFORMULA(INDEX('Game Records'!$V:$V,$H322))),NOT(ISFORMULA(INDEX('Game Records'!$W:$W,$H322))),NOT(ISFORMULA(INDEX('Game Records'!$X:$X,$H322))),NOT(ISFORMULA(INDEX('Game Records'!$Y:$Y,$H322))),NOT(ISFORMULA(INDEX('Game Records'!$Z:$Z,$H322)))),"Formula columns missing; ","")&amp;IF(INDEX('Game Records'!$B:$B,$H322)="","Start Date; ","")&amp;IF(INDEX('Game Records'!$C:$C,$H322)="","End Date; ","")&amp;IF(AND(INDEX('Game Records'!$U:$U,$H322)&lt;&gt;"Subscription",INDEX('Game Records'!$U:$U,$H322)&lt;&gt;"Free Game",INDEX('Game Records'!$U:$U,$H322)&lt;&gt;"Disqualified — Free Game",OR(INDEX('Game Records'!$D:$D,$H322)="",LOWER(INDEX('Game Records'!$D:$D,$H322)&amp;"")="n/a")),"Entry Mode; ","")&amp;IF(AND(INDEX('Game Records'!$U:$U,$H322)&lt;&gt;"Subscription",INDEX('Game Records'!$U:$U,$H322)&lt;&gt;"Free Game",INDEX('Game Records'!$U:$U,$H322)&lt;&gt;"Disqualified — Free Game",OR(INDEX('Game Records'!$E:$E,$H322)="",LOWER(INDEX('Game Records'!$E:$E,$H322)&amp;"")="n/a")),"Game Type; ","")&amp;IF(INDEX('Game Records'!$F:$F,$H322)="","Payment Type; ","")&amp;IF(AND(INDEX('Game Records'!$U:$U,$H322)&lt;&gt;"Subscription",INDEX('Game Records'!$U:$U,$H322)&lt;&gt;"Free Game",INDEX('Game Records'!$U:$U,$H322)&lt;&gt;"Disqualified — Free Game",INDEX('Game Records'!$G:$G,$H322)=""),"Gross Pot; ","")&amp;IF(AND(INDEX('Game Records'!$U:$U,$H322)&lt;&gt;"Free Game",INDEX('Game Records'!$U:$U,$H322)&lt;&gt;"Disqualified — Free Game",INDEX('Game Records'!$H:$H,$H322)=""),"Entry Fee; ","")&amp;IF(AND(INDEX('Game Records'!$U:$U,$H322)&lt;&gt;"Subscription",INDEX('Game Records'!$U:$U,$H322)&lt;&gt;"Free Game",INDEX('Game Records'!$U:$U,$H322)&lt;&gt;"Disqualified — Free Game",INDEX('Game Records'!$I:$I,$H322)=""),"Eligible Players; ","")&amp;IF(AND(INDEX('Game Records'!$U:$U,$H322)&lt;&gt;"Subscription",INDEX('Game Records'!$U:$U,$H322)&lt;&gt;"Free Game",INDEX('Game Records'!$U:$U,$H322)&lt;&gt;"Disqualified — Free Game",INDEX('Game Records'!$J:$J,$H322)=""),"Total Players; ","")&amp;IF(AND(LOWER(INDEX('Game Records'!$D:$D,$H322)&amp;"")="finalized",LOWER(INDEX('Game Records'!$L:$L,$H322)&amp;"")&lt;&gt;"yes",INDEX('Game Records'!$U:$U,$H322)&lt;&gt;"Subscription",INDEX('Game Records'!$U:$U,$H322)&lt;&gt;"Free Game",INDEX('Game Records'!$U:$U,$H322)&lt;&gt;"Disqualified — Free Game",INDEX('Game Records'!$K:$K,$H322)=""),"Final Earned; ","")&amp;IF(AND(LOWER(INDEX('Game Records'!$D:$D,$H322)&amp;"")="finalized",INDEX('Game Records'!$U:$U,$H322)&lt;&gt;"Subscription",INDEX('Game Records'!$U:$U,$H322)&lt;&gt;"Free Game",INDEX('Game Records'!$U:$U,$H322)&lt;&gt;"Disqualified — Free Game",OR(INDEX('Game Records'!$L:$L,$H322)="",LOWER(INDEX('Game Records'!$L:$L,$H322)&amp;"")="n/a")),"Disqualified Status; ","")&amp;IF(AND(OR(LOWER(TRIM(INDEX('Game Records'!$F:$F,$H322)&amp;""))="free game",INDEX('Game Records'!$U:$U,$H322)="Free Game",INDEX('Game Records'!$U:$U,$H322)="Disqualified — Free Game"),N(INDEX('Game Records'!$H:$H,$H322))&lt;&gt;0),"Free Game has a non-zero Entry Fee. Free Game records require a $0 Entry Fee; ",""))</f>
        <v/>
      </c>
      <c r="G322" s="331" t="str">
        <f>IF($H322="","",IFERROR(INDEX('Game Records'!$M:$M,$H322),""))</f>
        <v/>
      </c>
      <c r="H322" s="104" t="str">
        <f>IF($H321="","",IFERROR(MATCH(1,INDEX((ROW('Game Records'!$U$5:$U$504)&gt;$H321)*(('Game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3" ht="24" customHeight="1">
      <c r="A323" s="332" t="str">
        <f>IF($H323="","",ROWS($A$5:A323))</f>
        <v/>
      </c>
      <c r="B323" s="332" t="str">
        <f>IF($H323="","","G-"&amp;TEXT($A323,"0000"))</f>
        <v/>
      </c>
      <c r="C323" s="331" t="str">
        <f>IF($H323="","",IFERROR(INDEX('Game Records'!$A:$A,$H323),""))</f>
        <v/>
      </c>
      <c r="D323" s="331" t="str">
        <f>IF($H323="","",IFERROR(INDEX('Game Records'!$U:$U,$H323),""))</f>
        <v/>
      </c>
      <c r="E323" s="331" t="str">
        <f>IF($H323="","",IF($F323="","No Highlighted Fields","Highlighted Fields Present"))</f>
        <v/>
      </c>
      <c r="F323" s="331" t="str">
        <f>IF($H323="","",IF(OR(NOT(ISFORMULA(INDEX('Game Records'!$N:$N,$H323))),NOT(ISFORMULA(INDEX('Game Records'!$O:$O,$H323))),NOT(ISFORMULA(INDEX('Game Records'!$P:$P,$H323))),NOT(ISFORMULA(INDEX('Game Records'!$Q:$Q,$H323))),NOT(ISFORMULA(INDEX('Game Records'!$R:$R,$H323))),NOT(ISFORMULA(INDEX('Game Records'!$S:$S,$H323))),NOT(ISFORMULA(INDEX('Game Records'!$T:$T,$H323))),NOT(ISFORMULA(INDEX('Game Records'!$U:$U,$H323))),NOT(ISFORMULA(INDEX('Game Records'!$V:$V,$H323))),NOT(ISFORMULA(INDEX('Game Records'!$W:$W,$H323))),NOT(ISFORMULA(INDEX('Game Records'!$X:$X,$H323))),NOT(ISFORMULA(INDEX('Game Records'!$Y:$Y,$H323))),NOT(ISFORMULA(INDEX('Game Records'!$Z:$Z,$H323)))),"Formula columns missing; ","")&amp;IF(INDEX('Game Records'!$B:$B,$H323)="","Start Date; ","")&amp;IF(INDEX('Game Records'!$C:$C,$H323)="","End Date; ","")&amp;IF(AND(INDEX('Game Records'!$U:$U,$H323)&lt;&gt;"Subscription",INDEX('Game Records'!$U:$U,$H323)&lt;&gt;"Free Game",INDEX('Game Records'!$U:$U,$H323)&lt;&gt;"Disqualified — Free Game",OR(INDEX('Game Records'!$D:$D,$H323)="",LOWER(INDEX('Game Records'!$D:$D,$H323)&amp;"")="n/a")),"Entry Mode; ","")&amp;IF(AND(INDEX('Game Records'!$U:$U,$H323)&lt;&gt;"Subscription",INDEX('Game Records'!$U:$U,$H323)&lt;&gt;"Free Game",INDEX('Game Records'!$U:$U,$H323)&lt;&gt;"Disqualified — Free Game",OR(INDEX('Game Records'!$E:$E,$H323)="",LOWER(INDEX('Game Records'!$E:$E,$H323)&amp;"")="n/a")),"Game Type; ","")&amp;IF(INDEX('Game Records'!$F:$F,$H323)="","Payment Type; ","")&amp;IF(AND(INDEX('Game Records'!$U:$U,$H323)&lt;&gt;"Subscription",INDEX('Game Records'!$U:$U,$H323)&lt;&gt;"Free Game",INDEX('Game Records'!$U:$U,$H323)&lt;&gt;"Disqualified — Free Game",INDEX('Game Records'!$G:$G,$H323)=""),"Gross Pot; ","")&amp;IF(AND(INDEX('Game Records'!$U:$U,$H323)&lt;&gt;"Free Game",INDEX('Game Records'!$U:$U,$H323)&lt;&gt;"Disqualified — Free Game",INDEX('Game Records'!$H:$H,$H323)=""),"Entry Fee; ","")&amp;IF(AND(INDEX('Game Records'!$U:$U,$H323)&lt;&gt;"Subscription",INDEX('Game Records'!$U:$U,$H323)&lt;&gt;"Free Game",INDEX('Game Records'!$U:$U,$H323)&lt;&gt;"Disqualified — Free Game",INDEX('Game Records'!$I:$I,$H323)=""),"Eligible Players; ","")&amp;IF(AND(INDEX('Game Records'!$U:$U,$H323)&lt;&gt;"Subscription",INDEX('Game Records'!$U:$U,$H323)&lt;&gt;"Free Game",INDEX('Game Records'!$U:$U,$H323)&lt;&gt;"Disqualified — Free Game",INDEX('Game Records'!$J:$J,$H323)=""),"Total Players; ","")&amp;IF(AND(LOWER(INDEX('Game Records'!$D:$D,$H323)&amp;"")="finalized",LOWER(INDEX('Game Records'!$L:$L,$H323)&amp;"")&lt;&gt;"yes",INDEX('Game Records'!$U:$U,$H323)&lt;&gt;"Subscription",INDEX('Game Records'!$U:$U,$H323)&lt;&gt;"Free Game",INDEX('Game Records'!$U:$U,$H323)&lt;&gt;"Disqualified — Free Game",INDEX('Game Records'!$K:$K,$H323)=""),"Final Earned; ","")&amp;IF(AND(LOWER(INDEX('Game Records'!$D:$D,$H323)&amp;"")="finalized",INDEX('Game Records'!$U:$U,$H323)&lt;&gt;"Subscription",INDEX('Game Records'!$U:$U,$H323)&lt;&gt;"Free Game",INDEX('Game Records'!$U:$U,$H323)&lt;&gt;"Disqualified — Free Game",OR(INDEX('Game Records'!$L:$L,$H323)="",LOWER(INDEX('Game Records'!$L:$L,$H323)&amp;"")="n/a")),"Disqualified Status; ","")&amp;IF(AND(OR(LOWER(TRIM(INDEX('Game Records'!$F:$F,$H323)&amp;""))="free game",INDEX('Game Records'!$U:$U,$H323)="Free Game",INDEX('Game Records'!$U:$U,$H323)="Disqualified — Free Game"),N(INDEX('Game Records'!$H:$H,$H323))&lt;&gt;0),"Free Game has a non-zero Entry Fee. Free Game records require a $0 Entry Fee; ",""))</f>
        <v/>
      </c>
      <c r="G323" s="331" t="str">
        <f>IF($H323="","",IFERROR(INDEX('Game Records'!$M:$M,$H323),""))</f>
        <v/>
      </c>
      <c r="H323" s="104" t="str">
        <f>IF($H322="","",IFERROR(MATCH(1,INDEX((ROW('Game Records'!$U$5:$U$504)&gt;$H322)*(('Game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4" ht="24" customHeight="1">
      <c r="A324" s="332" t="str">
        <f>IF($H324="","",ROWS($A$5:A324))</f>
        <v/>
      </c>
      <c r="B324" s="332" t="str">
        <f>IF($H324="","","G-"&amp;TEXT($A324,"0000"))</f>
        <v/>
      </c>
      <c r="C324" s="331" t="str">
        <f>IF($H324="","",IFERROR(INDEX('Game Records'!$A:$A,$H324),""))</f>
        <v/>
      </c>
      <c r="D324" s="331" t="str">
        <f>IF($H324="","",IFERROR(INDEX('Game Records'!$U:$U,$H324),""))</f>
        <v/>
      </c>
      <c r="E324" s="331" t="str">
        <f>IF($H324="","",IF($F324="","No Highlighted Fields","Highlighted Fields Present"))</f>
        <v/>
      </c>
      <c r="F324" s="331" t="str">
        <f>IF($H324="","",IF(OR(NOT(ISFORMULA(INDEX('Game Records'!$N:$N,$H324))),NOT(ISFORMULA(INDEX('Game Records'!$O:$O,$H324))),NOT(ISFORMULA(INDEX('Game Records'!$P:$P,$H324))),NOT(ISFORMULA(INDEX('Game Records'!$Q:$Q,$H324))),NOT(ISFORMULA(INDEX('Game Records'!$R:$R,$H324))),NOT(ISFORMULA(INDEX('Game Records'!$S:$S,$H324))),NOT(ISFORMULA(INDEX('Game Records'!$T:$T,$H324))),NOT(ISFORMULA(INDEX('Game Records'!$U:$U,$H324))),NOT(ISFORMULA(INDEX('Game Records'!$V:$V,$H324))),NOT(ISFORMULA(INDEX('Game Records'!$W:$W,$H324))),NOT(ISFORMULA(INDEX('Game Records'!$X:$X,$H324))),NOT(ISFORMULA(INDEX('Game Records'!$Y:$Y,$H324))),NOT(ISFORMULA(INDEX('Game Records'!$Z:$Z,$H324)))),"Formula columns missing; ","")&amp;IF(INDEX('Game Records'!$B:$B,$H324)="","Start Date; ","")&amp;IF(INDEX('Game Records'!$C:$C,$H324)="","End Date; ","")&amp;IF(AND(INDEX('Game Records'!$U:$U,$H324)&lt;&gt;"Subscription",INDEX('Game Records'!$U:$U,$H324)&lt;&gt;"Free Game",INDEX('Game Records'!$U:$U,$H324)&lt;&gt;"Disqualified — Free Game",OR(INDEX('Game Records'!$D:$D,$H324)="",LOWER(INDEX('Game Records'!$D:$D,$H324)&amp;"")="n/a")),"Entry Mode; ","")&amp;IF(AND(INDEX('Game Records'!$U:$U,$H324)&lt;&gt;"Subscription",INDEX('Game Records'!$U:$U,$H324)&lt;&gt;"Free Game",INDEX('Game Records'!$U:$U,$H324)&lt;&gt;"Disqualified — Free Game",OR(INDEX('Game Records'!$E:$E,$H324)="",LOWER(INDEX('Game Records'!$E:$E,$H324)&amp;"")="n/a")),"Game Type; ","")&amp;IF(INDEX('Game Records'!$F:$F,$H324)="","Payment Type; ","")&amp;IF(AND(INDEX('Game Records'!$U:$U,$H324)&lt;&gt;"Subscription",INDEX('Game Records'!$U:$U,$H324)&lt;&gt;"Free Game",INDEX('Game Records'!$U:$U,$H324)&lt;&gt;"Disqualified — Free Game",INDEX('Game Records'!$G:$G,$H324)=""),"Gross Pot; ","")&amp;IF(AND(INDEX('Game Records'!$U:$U,$H324)&lt;&gt;"Free Game",INDEX('Game Records'!$U:$U,$H324)&lt;&gt;"Disqualified — Free Game",INDEX('Game Records'!$H:$H,$H324)=""),"Entry Fee; ","")&amp;IF(AND(INDEX('Game Records'!$U:$U,$H324)&lt;&gt;"Subscription",INDEX('Game Records'!$U:$U,$H324)&lt;&gt;"Free Game",INDEX('Game Records'!$U:$U,$H324)&lt;&gt;"Disqualified — Free Game",INDEX('Game Records'!$I:$I,$H324)=""),"Eligible Players; ","")&amp;IF(AND(INDEX('Game Records'!$U:$U,$H324)&lt;&gt;"Subscription",INDEX('Game Records'!$U:$U,$H324)&lt;&gt;"Free Game",INDEX('Game Records'!$U:$U,$H324)&lt;&gt;"Disqualified — Free Game",INDEX('Game Records'!$J:$J,$H324)=""),"Total Players; ","")&amp;IF(AND(LOWER(INDEX('Game Records'!$D:$D,$H324)&amp;"")="finalized",LOWER(INDEX('Game Records'!$L:$L,$H324)&amp;"")&lt;&gt;"yes",INDEX('Game Records'!$U:$U,$H324)&lt;&gt;"Subscription",INDEX('Game Records'!$U:$U,$H324)&lt;&gt;"Free Game",INDEX('Game Records'!$U:$U,$H324)&lt;&gt;"Disqualified — Free Game",INDEX('Game Records'!$K:$K,$H324)=""),"Final Earned; ","")&amp;IF(AND(LOWER(INDEX('Game Records'!$D:$D,$H324)&amp;"")="finalized",INDEX('Game Records'!$U:$U,$H324)&lt;&gt;"Subscription",INDEX('Game Records'!$U:$U,$H324)&lt;&gt;"Free Game",INDEX('Game Records'!$U:$U,$H324)&lt;&gt;"Disqualified — Free Game",OR(INDEX('Game Records'!$L:$L,$H324)="",LOWER(INDEX('Game Records'!$L:$L,$H324)&amp;"")="n/a")),"Disqualified Status; ","")&amp;IF(AND(OR(LOWER(TRIM(INDEX('Game Records'!$F:$F,$H324)&amp;""))="free game",INDEX('Game Records'!$U:$U,$H324)="Free Game",INDEX('Game Records'!$U:$U,$H324)="Disqualified — Free Game"),N(INDEX('Game Records'!$H:$H,$H324))&lt;&gt;0),"Free Game has a non-zero Entry Fee. Free Game records require a $0 Entry Fee; ",""))</f>
        <v/>
      </c>
      <c r="G324" s="331" t="str">
        <f>IF($H324="","",IFERROR(INDEX('Game Records'!$M:$M,$H324),""))</f>
        <v/>
      </c>
      <c r="H324" s="104" t="str">
        <f>IF($H323="","",IFERROR(MATCH(1,INDEX((ROW('Game Records'!$U$5:$U$504)&gt;$H323)*(('Game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5" ht="24" customHeight="1">
      <c r="A325" s="332" t="str">
        <f>IF($H325="","",ROWS($A$5:A325))</f>
        <v/>
      </c>
      <c r="B325" s="332" t="str">
        <f>IF($H325="","","G-"&amp;TEXT($A325,"0000"))</f>
        <v/>
      </c>
      <c r="C325" s="331" t="str">
        <f>IF($H325="","",IFERROR(INDEX('Game Records'!$A:$A,$H325),""))</f>
        <v/>
      </c>
      <c r="D325" s="331" t="str">
        <f>IF($H325="","",IFERROR(INDEX('Game Records'!$U:$U,$H325),""))</f>
        <v/>
      </c>
      <c r="E325" s="331" t="str">
        <f>IF($H325="","",IF($F325="","No Highlighted Fields","Highlighted Fields Present"))</f>
        <v/>
      </c>
      <c r="F325" s="331" t="str">
        <f>IF($H325="","",IF(OR(NOT(ISFORMULA(INDEX('Game Records'!$N:$N,$H325))),NOT(ISFORMULA(INDEX('Game Records'!$O:$O,$H325))),NOT(ISFORMULA(INDEX('Game Records'!$P:$P,$H325))),NOT(ISFORMULA(INDEX('Game Records'!$Q:$Q,$H325))),NOT(ISFORMULA(INDEX('Game Records'!$R:$R,$H325))),NOT(ISFORMULA(INDEX('Game Records'!$S:$S,$H325))),NOT(ISFORMULA(INDEX('Game Records'!$T:$T,$H325))),NOT(ISFORMULA(INDEX('Game Records'!$U:$U,$H325))),NOT(ISFORMULA(INDEX('Game Records'!$V:$V,$H325))),NOT(ISFORMULA(INDEX('Game Records'!$W:$W,$H325))),NOT(ISFORMULA(INDEX('Game Records'!$X:$X,$H325))),NOT(ISFORMULA(INDEX('Game Records'!$Y:$Y,$H325))),NOT(ISFORMULA(INDEX('Game Records'!$Z:$Z,$H325)))),"Formula columns missing; ","")&amp;IF(INDEX('Game Records'!$B:$B,$H325)="","Start Date; ","")&amp;IF(INDEX('Game Records'!$C:$C,$H325)="","End Date; ","")&amp;IF(AND(INDEX('Game Records'!$U:$U,$H325)&lt;&gt;"Subscription",INDEX('Game Records'!$U:$U,$H325)&lt;&gt;"Free Game",INDEX('Game Records'!$U:$U,$H325)&lt;&gt;"Disqualified — Free Game",OR(INDEX('Game Records'!$D:$D,$H325)="",LOWER(INDEX('Game Records'!$D:$D,$H325)&amp;"")="n/a")),"Entry Mode; ","")&amp;IF(AND(INDEX('Game Records'!$U:$U,$H325)&lt;&gt;"Subscription",INDEX('Game Records'!$U:$U,$H325)&lt;&gt;"Free Game",INDEX('Game Records'!$U:$U,$H325)&lt;&gt;"Disqualified — Free Game",OR(INDEX('Game Records'!$E:$E,$H325)="",LOWER(INDEX('Game Records'!$E:$E,$H325)&amp;"")="n/a")),"Game Type; ","")&amp;IF(INDEX('Game Records'!$F:$F,$H325)="","Payment Type; ","")&amp;IF(AND(INDEX('Game Records'!$U:$U,$H325)&lt;&gt;"Subscription",INDEX('Game Records'!$U:$U,$H325)&lt;&gt;"Free Game",INDEX('Game Records'!$U:$U,$H325)&lt;&gt;"Disqualified — Free Game",INDEX('Game Records'!$G:$G,$H325)=""),"Gross Pot; ","")&amp;IF(AND(INDEX('Game Records'!$U:$U,$H325)&lt;&gt;"Free Game",INDEX('Game Records'!$U:$U,$H325)&lt;&gt;"Disqualified — Free Game",INDEX('Game Records'!$H:$H,$H325)=""),"Entry Fee; ","")&amp;IF(AND(INDEX('Game Records'!$U:$U,$H325)&lt;&gt;"Subscription",INDEX('Game Records'!$U:$U,$H325)&lt;&gt;"Free Game",INDEX('Game Records'!$U:$U,$H325)&lt;&gt;"Disqualified — Free Game",INDEX('Game Records'!$I:$I,$H325)=""),"Eligible Players; ","")&amp;IF(AND(INDEX('Game Records'!$U:$U,$H325)&lt;&gt;"Subscription",INDEX('Game Records'!$U:$U,$H325)&lt;&gt;"Free Game",INDEX('Game Records'!$U:$U,$H325)&lt;&gt;"Disqualified — Free Game",INDEX('Game Records'!$J:$J,$H325)=""),"Total Players; ","")&amp;IF(AND(LOWER(INDEX('Game Records'!$D:$D,$H325)&amp;"")="finalized",LOWER(INDEX('Game Records'!$L:$L,$H325)&amp;"")&lt;&gt;"yes",INDEX('Game Records'!$U:$U,$H325)&lt;&gt;"Subscription",INDEX('Game Records'!$U:$U,$H325)&lt;&gt;"Free Game",INDEX('Game Records'!$U:$U,$H325)&lt;&gt;"Disqualified — Free Game",INDEX('Game Records'!$K:$K,$H325)=""),"Final Earned; ","")&amp;IF(AND(LOWER(INDEX('Game Records'!$D:$D,$H325)&amp;"")="finalized",INDEX('Game Records'!$U:$U,$H325)&lt;&gt;"Subscription",INDEX('Game Records'!$U:$U,$H325)&lt;&gt;"Free Game",INDEX('Game Records'!$U:$U,$H325)&lt;&gt;"Disqualified — Free Game",OR(INDEX('Game Records'!$L:$L,$H325)="",LOWER(INDEX('Game Records'!$L:$L,$H325)&amp;"")="n/a")),"Disqualified Status; ","")&amp;IF(AND(OR(LOWER(TRIM(INDEX('Game Records'!$F:$F,$H325)&amp;""))="free game",INDEX('Game Records'!$U:$U,$H325)="Free Game",INDEX('Game Records'!$U:$U,$H325)="Disqualified — Free Game"),N(INDEX('Game Records'!$H:$H,$H325))&lt;&gt;0),"Free Game has a non-zero Entry Fee. Free Game records require a $0 Entry Fee; ",""))</f>
        <v/>
      </c>
      <c r="G325" s="331" t="str">
        <f>IF($H325="","",IFERROR(INDEX('Game Records'!$M:$M,$H325),""))</f>
        <v/>
      </c>
      <c r="H325" s="104" t="str">
        <f>IF($H324="","",IFERROR(MATCH(1,INDEX((ROW('Game Records'!$U$5:$U$504)&gt;$H324)*(('Game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6" ht="24" customHeight="1">
      <c r="A326" s="332" t="str">
        <f>IF($H326="","",ROWS($A$5:A326))</f>
        <v/>
      </c>
      <c r="B326" s="332" t="str">
        <f>IF($H326="","","G-"&amp;TEXT($A326,"0000"))</f>
        <v/>
      </c>
      <c r="C326" s="331" t="str">
        <f>IF($H326="","",IFERROR(INDEX('Game Records'!$A:$A,$H326),""))</f>
        <v/>
      </c>
      <c r="D326" s="331" t="str">
        <f>IF($H326="","",IFERROR(INDEX('Game Records'!$U:$U,$H326),""))</f>
        <v/>
      </c>
      <c r="E326" s="331" t="str">
        <f>IF($H326="","",IF($F326="","No Highlighted Fields","Highlighted Fields Present"))</f>
        <v/>
      </c>
      <c r="F326" s="331" t="str">
        <f>IF($H326="","",IF(OR(NOT(ISFORMULA(INDEX('Game Records'!$N:$N,$H326))),NOT(ISFORMULA(INDEX('Game Records'!$O:$O,$H326))),NOT(ISFORMULA(INDEX('Game Records'!$P:$P,$H326))),NOT(ISFORMULA(INDEX('Game Records'!$Q:$Q,$H326))),NOT(ISFORMULA(INDEX('Game Records'!$R:$R,$H326))),NOT(ISFORMULA(INDEX('Game Records'!$S:$S,$H326))),NOT(ISFORMULA(INDEX('Game Records'!$T:$T,$H326))),NOT(ISFORMULA(INDEX('Game Records'!$U:$U,$H326))),NOT(ISFORMULA(INDEX('Game Records'!$V:$V,$H326))),NOT(ISFORMULA(INDEX('Game Records'!$W:$W,$H326))),NOT(ISFORMULA(INDEX('Game Records'!$X:$X,$H326))),NOT(ISFORMULA(INDEX('Game Records'!$Y:$Y,$H326))),NOT(ISFORMULA(INDEX('Game Records'!$Z:$Z,$H326)))),"Formula columns missing; ","")&amp;IF(INDEX('Game Records'!$B:$B,$H326)="","Start Date; ","")&amp;IF(INDEX('Game Records'!$C:$C,$H326)="","End Date; ","")&amp;IF(AND(INDEX('Game Records'!$U:$U,$H326)&lt;&gt;"Subscription",INDEX('Game Records'!$U:$U,$H326)&lt;&gt;"Free Game",INDEX('Game Records'!$U:$U,$H326)&lt;&gt;"Disqualified — Free Game",OR(INDEX('Game Records'!$D:$D,$H326)="",LOWER(INDEX('Game Records'!$D:$D,$H326)&amp;"")="n/a")),"Entry Mode; ","")&amp;IF(AND(INDEX('Game Records'!$U:$U,$H326)&lt;&gt;"Subscription",INDEX('Game Records'!$U:$U,$H326)&lt;&gt;"Free Game",INDEX('Game Records'!$U:$U,$H326)&lt;&gt;"Disqualified — Free Game",OR(INDEX('Game Records'!$E:$E,$H326)="",LOWER(INDEX('Game Records'!$E:$E,$H326)&amp;"")="n/a")),"Game Type; ","")&amp;IF(INDEX('Game Records'!$F:$F,$H326)="","Payment Type; ","")&amp;IF(AND(INDEX('Game Records'!$U:$U,$H326)&lt;&gt;"Subscription",INDEX('Game Records'!$U:$U,$H326)&lt;&gt;"Free Game",INDEX('Game Records'!$U:$U,$H326)&lt;&gt;"Disqualified — Free Game",INDEX('Game Records'!$G:$G,$H326)=""),"Gross Pot; ","")&amp;IF(AND(INDEX('Game Records'!$U:$U,$H326)&lt;&gt;"Free Game",INDEX('Game Records'!$U:$U,$H326)&lt;&gt;"Disqualified — Free Game",INDEX('Game Records'!$H:$H,$H326)=""),"Entry Fee; ","")&amp;IF(AND(INDEX('Game Records'!$U:$U,$H326)&lt;&gt;"Subscription",INDEX('Game Records'!$U:$U,$H326)&lt;&gt;"Free Game",INDEX('Game Records'!$U:$U,$H326)&lt;&gt;"Disqualified — Free Game",INDEX('Game Records'!$I:$I,$H326)=""),"Eligible Players; ","")&amp;IF(AND(INDEX('Game Records'!$U:$U,$H326)&lt;&gt;"Subscription",INDEX('Game Records'!$U:$U,$H326)&lt;&gt;"Free Game",INDEX('Game Records'!$U:$U,$H326)&lt;&gt;"Disqualified — Free Game",INDEX('Game Records'!$J:$J,$H326)=""),"Total Players; ","")&amp;IF(AND(LOWER(INDEX('Game Records'!$D:$D,$H326)&amp;"")="finalized",LOWER(INDEX('Game Records'!$L:$L,$H326)&amp;"")&lt;&gt;"yes",INDEX('Game Records'!$U:$U,$H326)&lt;&gt;"Subscription",INDEX('Game Records'!$U:$U,$H326)&lt;&gt;"Free Game",INDEX('Game Records'!$U:$U,$H326)&lt;&gt;"Disqualified — Free Game",INDEX('Game Records'!$K:$K,$H326)=""),"Final Earned; ","")&amp;IF(AND(LOWER(INDEX('Game Records'!$D:$D,$H326)&amp;"")="finalized",INDEX('Game Records'!$U:$U,$H326)&lt;&gt;"Subscription",INDEX('Game Records'!$U:$U,$H326)&lt;&gt;"Free Game",INDEX('Game Records'!$U:$U,$H326)&lt;&gt;"Disqualified — Free Game",OR(INDEX('Game Records'!$L:$L,$H326)="",LOWER(INDEX('Game Records'!$L:$L,$H326)&amp;"")="n/a")),"Disqualified Status; ","")&amp;IF(AND(OR(LOWER(TRIM(INDEX('Game Records'!$F:$F,$H326)&amp;""))="free game",INDEX('Game Records'!$U:$U,$H326)="Free Game",INDEX('Game Records'!$U:$U,$H326)="Disqualified — Free Game"),N(INDEX('Game Records'!$H:$H,$H326))&lt;&gt;0),"Free Game has a non-zero Entry Fee. Free Game records require a $0 Entry Fee; ",""))</f>
        <v/>
      </c>
      <c r="G326" s="331" t="str">
        <f>IF($H326="","",IFERROR(INDEX('Game Records'!$M:$M,$H326),""))</f>
        <v/>
      </c>
      <c r="H326" s="104" t="str">
        <f>IF($H325="","",IFERROR(MATCH(1,INDEX((ROW('Game Records'!$U$5:$U$504)&gt;$H325)*(('Game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7" ht="24" customHeight="1">
      <c r="A327" s="332" t="str">
        <f>IF($H327="","",ROWS($A$5:A327))</f>
        <v/>
      </c>
      <c r="B327" s="332" t="str">
        <f>IF($H327="","","G-"&amp;TEXT($A327,"0000"))</f>
        <v/>
      </c>
      <c r="C327" s="331" t="str">
        <f>IF($H327="","",IFERROR(INDEX('Game Records'!$A:$A,$H327),""))</f>
        <v/>
      </c>
      <c r="D327" s="331" t="str">
        <f>IF($H327="","",IFERROR(INDEX('Game Records'!$U:$U,$H327),""))</f>
        <v/>
      </c>
      <c r="E327" s="331" t="str">
        <f>IF($H327="","",IF($F327="","No Highlighted Fields","Highlighted Fields Present"))</f>
        <v/>
      </c>
      <c r="F327" s="331" t="str">
        <f>IF($H327="","",IF(OR(NOT(ISFORMULA(INDEX('Game Records'!$N:$N,$H327))),NOT(ISFORMULA(INDEX('Game Records'!$O:$O,$H327))),NOT(ISFORMULA(INDEX('Game Records'!$P:$P,$H327))),NOT(ISFORMULA(INDEX('Game Records'!$Q:$Q,$H327))),NOT(ISFORMULA(INDEX('Game Records'!$R:$R,$H327))),NOT(ISFORMULA(INDEX('Game Records'!$S:$S,$H327))),NOT(ISFORMULA(INDEX('Game Records'!$T:$T,$H327))),NOT(ISFORMULA(INDEX('Game Records'!$U:$U,$H327))),NOT(ISFORMULA(INDEX('Game Records'!$V:$V,$H327))),NOT(ISFORMULA(INDEX('Game Records'!$W:$W,$H327))),NOT(ISFORMULA(INDEX('Game Records'!$X:$X,$H327))),NOT(ISFORMULA(INDEX('Game Records'!$Y:$Y,$H327))),NOT(ISFORMULA(INDEX('Game Records'!$Z:$Z,$H327)))),"Formula columns missing; ","")&amp;IF(INDEX('Game Records'!$B:$B,$H327)="","Start Date; ","")&amp;IF(INDEX('Game Records'!$C:$C,$H327)="","End Date; ","")&amp;IF(AND(INDEX('Game Records'!$U:$U,$H327)&lt;&gt;"Subscription",INDEX('Game Records'!$U:$U,$H327)&lt;&gt;"Free Game",INDEX('Game Records'!$U:$U,$H327)&lt;&gt;"Disqualified — Free Game",OR(INDEX('Game Records'!$D:$D,$H327)="",LOWER(INDEX('Game Records'!$D:$D,$H327)&amp;"")="n/a")),"Entry Mode; ","")&amp;IF(AND(INDEX('Game Records'!$U:$U,$H327)&lt;&gt;"Subscription",INDEX('Game Records'!$U:$U,$H327)&lt;&gt;"Free Game",INDEX('Game Records'!$U:$U,$H327)&lt;&gt;"Disqualified — Free Game",OR(INDEX('Game Records'!$E:$E,$H327)="",LOWER(INDEX('Game Records'!$E:$E,$H327)&amp;"")="n/a")),"Game Type; ","")&amp;IF(INDEX('Game Records'!$F:$F,$H327)="","Payment Type; ","")&amp;IF(AND(INDEX('Game Records'!$U:$U,$H327)&lt;&gt;"Subscription",INDEX('Game Records'!$U:$U,$H327)&lt;&gt;"Free Game",INDEX('Game Records'!$U:$U,$H327)&lt;&gt;"Disqualified — Free Game",INDEX('Game Records'!$G:$G,$H327)=""),"Gross Pot; ","")&amp;IF(AND(INDEX('Game Records'!$U:$U,$H327)&lt;&gt;"Free Game",INDEX('Game Records'!$U:$U,$H327)&lt;&gt;"Disqualified — Free Game",INDEX('Game Records'!$H:$H,$H327)=""),"Entry Fee; ","")&amp;IF(AND(INDEX('Game Records'!$U:$U,$H327)&lt;&gt;"Subscription",INDEX('Game Records'!$U:$U,$H327)&lt;&gt;"Free Game",INDEX('Game Records'!$U:$U,$H327)&lt;&gt;"Disqualified — Free Game",INDEX('Game Records'!$I:$I,$H327)=""),"Eligible Players; ","")&amp;IF(AND(INDEX('Game Records'!$U:$U,$H327)&lt;&gt;"Subscription",INDEX('Game Records'!$U:$U,$H327)&lt;&gt;"Free Game",INDEX('Game Records'!$U:$U,$H327)&lt;&gt;"Disqualified — Free Game",INDEX('Game Records'!$J:$J,$H327)=""),"Total Players; ","")&amp;IF(AND(LOWER(INDEX('Game Records'!$D:$D,$H327)&amp;"")="finalized",LOWER(INDEX('Game Records'!$L:$L,$H327)&amp;"")&lt;&gt;"yes",INDEX('Game Records'!$U:$U,$H327)&lt;&gt;"Subscription",INDEX('Game Records'!$U:$U,$H327)&lt;&gt;"Free Game",INDEX('Game Records'!$U:$U,$H327)&lt;&gt;"Disqualified — Free Game",INDEX('Game Records'!$K:$K,$H327)=""),"Final Earned; ","")&amp;IF(AND(LOWER(INDEX('Game Records'!$D:$D,$H327)&amp;"")="finalized",INDEX('Game Records'!$U:$U,$H327)&lt;&gt;"Subscription",INDEX('Game Records'!$U:$U,$H327)&lt;&gt;"Free Game",INDEX('Game Records'!$U:$U,$H327)&lt;&gt;"Disqualified — Free Game",OR(INDEX('Game Records'!$L:$L,$H327)="",LOWER(INDEX('Game Records'!$L:$L,$H327)&amp;"")="n/a")),"Disqualified Status; ","")&amp;IF(AND(OR(LOWER(TRIM(INDEX('Game Records'!$F:$F,$H327)&amp;""))="free game",INDEX('Game Records'!$U:$U,$H327)="Free Game",INDEX('Game Records'!$U:$U,$H327)="Disqualified — Free Game"),N(INDEX('Game Records'!$H:$H,$H327))&lt;&gt;0),"Free Game has a non-zero Entry Fee. Free Game records require a $0 Entry Fee; ",""))</f>
        <v/>
      </c>
      <c r="G327" s="331" t="str">
        <f>IF($H327="","",IFERROR(INDEX('Game Records'!$M:$M,$H327),""))</f>
        <v/>
      </c>
      <c r="H327" s="104" t="str">
        <f>IF($H326="","",IFERROR(MATCH(1,INDEX((ROW('Game Records'!$U$5:$U$504)&gt;$H326)*(('Game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8" ht="24" customHeight="1">
      <c r="A328" s="332" t="str">
        <f>IF($H328="","",ROWS($A$5:A328))</f>
        <v/>
      </c>
      <c r="B328" s="332" t="str">
        <f>IF($H328="","","G-"&amp;TEXT($A328,"0000"))</f>
        <v/>
      </c>
      <c r="C328" s="331" t="str">
        <f>IF($H328="","",IFERROR(INDEX('Game Records'!$A:$A,$H328),""))</f>
        <v/>
      </c>
      <c r="D328" s="331" t="str">
        <f>IF($H328="","",IFERROR(INDEX('Game Records'!$U:$U,$H328),""))</f>
        <v/>
      </c>
      <c r="E328" s="331" t="str">
        <f>IF($H328="","",IF($F328="","No Highlighted Fields","Highlighted Fields Present"))</f>
        <v/>
      </c>
      <c r="F328" s="331" t="str">
        <f>IF($H328="","",IF(OR(NOT(ISFORMULA(INDEX('Game Records'!$N:$N,$H328))),NOT(ISFORMULA(INDEX('Game Records'!$O:$O,$H328))),NOT(ISFORMULA(INDEX('Game Records'!$P:$P,$H328))),NOT(ISFORMULA(INDEX('Game Records'!$Q:$Q,$H328))),NOT(ISFORMULA(INDEX('Game Records'!$R:$R,$H328))),NOT(ISFORMULA(INDEX('Game Records'!$S:$S,$H328))),NOT(ISFORMULA(INDEX('Game Records'!$T:$T,$H328))),NOT(ISFORMULA(INDEX('Game Records'!$U:$U,$H328))),NOT(ISFORMULA(INDEX('Game Records'!$V:$V,$H328))),NOT(ISFORMULA(INDEX('Game Records'!$W:$W,$H328))),NOT(ISFORMULA(INDEX('Game Records'!$X:$X,$H328))),NOT(ISFORMULA(INDEX('Game Records'!$Y:$Y,$H328))),NOT(ISFORMULA(INDEX('Game Records'!$Z:$Z,$H328)))),"Formula columns missing; ","")&amp;IF(INDEX('Game Records'!$B:$B,$H328)="","Start Date; ","")&amp;IF(INDEX('Game Records'!$C:$C,$H328)="","End Date; ","")&amp;IF(AND(INDEX('Game Records'!$U:$U,$H328)&lt;&gt;"Subscription",INDEX('Game Records'!$U:$U,$H328)&lt;&gt;"Free Game",INDEX('Game Records'!$U:$U,$H328)&lt;&gt;"Disqualified — Free Game",OR(INDEX('Game Records'!$D:$D,$H328)="",LOWER(INDEX('Game Records'!$D:$D,$H328)&amp;"")="n/a")),"Entry Mode; ","")&amp;IF(AND(INDEX('Game Records'!$U:$U,$H328)&lt;&gt;"Subscription",INDEX('Game Records'!$U:$U,$H328)&lt;&gt;"Free Game",INDEX('Game Records'!$U:$U,$H328)&lt;&gt;"Disqualified — Free Game",OR(INDEX('Game Records'!$E:$E,$H328)="",LOWER(INDEX('Game Records'!$E:$E,$H328)&amp;"")="n/a")),"Game Type; ","")&amp;IF(INDEX('Game Records'!$F:$F,$H328)="","Payment Type; ","")&amp;IF(AND(INDEX('Game Records'!$U:$U,$H328)&lt;&gt;"Subscription",INDEX('Game Records'!$U:$U,$H328)&lt;&gt;"Free Game",INDEX('Game Records'!$U:$U,$H328)&lt;&gt;"Disqualified — Free Game",INDEX('Game Records'!$G:$G,$H328)=""),"Gross Pot; ","")&amp;IF(AND(INDEX('Game Records'!$U:$U,$H328)&lt;&gt;"Free Game",INDEX('Game Records'!$U:$U,$H328)&lt;&gt;"Disqualified — Free Game",INDEX('Game Records'!$H:$H,$H328)=""),"Entry Fee; ","")&amp;IF(AND(INDEX('Game Records'!$U:$U,$H328)&lt;&gt;"Subscription",INDEX('Game Records'!$U:$U,$H328)&lt;&gt;"Free Game",INDEX('Game Records'!$U:$U,$H328)&lt;&gt;"Disqualified — Free Game",INDEX('Game Records'!$I:$I,$H328)=""),"Eligible Players; ","")&amp;IF(AND(INDEX('Game Records'!$U:$U,$H328)&lt;&gt;"Subscription",INDEX('Game Records'!$U:$U,$H328)&lt;&gt;"Free Game",INDEX('Game Records'!$U:$U,$H328)&lt;&gt;"Disqualified — Free Game",INDEX('Game Records'!$J:$J,$H328)=""),"Total Players; ","")&amp;IF(AND(LOWER(INDEX('Game Records'!$D:$D,$H328)&amp;"")="finalized",LOWER(INDEX('Game Records'!$L:$L,$H328)&amp;"")&lt;&gt;"yes",INDEX('Game Records'!$U:$U,$H328)&lt;&gt;"Subscription",INDEX('Game Records'!$U:$U,$H328)&lt;&gt;"Free Game",INDEX('Game Records'!$U:$U,$H328)&lt;&gt;"Disqualified — Free Game",INDEX('Game Records'!$K:$K,$H328)=""),"Final Earned; ","")&amp;IF(AND(LOWER(INDEX('Game Records'!$D:$D,$H328)&amp;"")="finalized",INDEX('Game Records'!$U:$U,$H328)&lt;&gt;"Subscription",INDEX('Game Records'!$U:$U,$H328)&lt;&gt;"Free Game",INDEX('Game Records'!$U:$U,$H328)&lt;&gt;"Disqualified — Free Game",OR(INDEX('Game Records'!$L:$L,$H328)="",LOWER(INDEX('Game Records'!$L:$L,$H328)&amp;"")="n/a")),"Disqualified Status; ","")&amp;IF(AND(OR(LOWER(TRIM(INDEX('Game Records'!$F:$F,$H328)&amp;""))="free game",INDEX('Game Records'!$U:$U,$H328)="Free Game",INDEX('Game Records'!$U:$U,$H328)="Disqualified — Free Game"),N(INDEX('Game Records'!$H:$H,$H328))&lt;&gt;0),"Free Game has a non-zero Entry Fee. Free Game records require a $0 Entry Fee; ",""))</f>
        <v/>
      </c>
      <c r="G328" s="331" t="str">
        <f>IF($H328="","",IFERROR(INDEX('Game Records'!$M:$M,$H328),""))</f>
        <v/>
      </c>
      <c r="H328" s="104" t="str">
        <f>IF($H327="","",IFERROR(MATCH(1,INDEX((ROW('Game Records'!$U$5:$U$504)&gt;$H327)*(('Game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9" ht="24" customHeight="1">
      <c r="A329" s="332" t="str">
        <f>IF($H329="","",ROWS($A$5:A329))</f>
        <v/>
      </c>
      <c r="B329" s="332" t="str">
        <f>IF($H329="","","G-"&amp;TEXT($A329,"0000"))</f>
        <v/>
      </c>
      <c r="C329" s="331" t="str">
        <f>IF($H329="","",IFERROR(INDEX('Game Records'!$A:$A,$H329),""))</f>
        <v/>
      </c>
      <c r="D329" s="331" t="str">
        <f>IF($H329="","",IFERROR(INDEX('Game Records'!$U:$U,$H329),""))</f>
        <v/>
      </c>
      <c r="E329" s="331" t="str">
        <f>IF($H329="","",IF($F329="","No Highlighted Fields","Highlighted Fields Present"))</f>
        <v/>
      </c>
      <c r="F329" s="331" t="str">
        <f>IF($H329="","",IF(OR(NOT(ISFORMULA(INDEX('Game Records'!$N:$N,$H329))),NOT(ISFORMULA(INDEX('Game Records'!$O:$O,$H329))),NOT(ISFORMULA(INDEX('Game Records'!$P:$P,$H329))),NOT(ISFORMULA(INDEX('Game Records'!$Q:$Q,$H329))),NOT(ISFORMULA(INDEX('Game Records'!$R:$R,$H329))),NOT(ISFORMULA(INDEX('Game Records'!$S:$S,$H329))),NOT(ISFORMULA(INDEX('Game Records'!$T:$T,$H329))),NOT(ISFORMULA(INDEX('Game Records'!$U:$U,$H329))),NOT(ISFORMULA(INDEX('Game Records'!$V:$V,$H329))),NOT(ISFORMULA(INDEX('Game Records'!$W:$W,$H329))),NOT(ISFORMULA(INDEX('Game Records'!$X:$X,$H329))),NOT(ISFORMULA(INDEX('Game Records'!$Y:$Y,$H329))),NOT(ISFORMULA(INDEX('Game Records'!$Z:$Z,$H329)))),"Formula columns missing; ","")&amp;IF(INDEX('Game Records'!$B:$B,$H329)="","Start Date; ","")&amp;IF(INDEX('Game Records'!$C:$C,$H329)="","End Date; ","")&amp;IF(AND(INDEX('Game Records'!$U:$U,$H329)&lt;&gt;"Subscription",INDEX('Game Records'!$U:$U,$H329)&lt;&gt;"Free Game",INDEX('Game Records'!$U:$U,$H329)&lt;&gt;"Disqualified — Free Game",OR(INDEX('Game Records'!$D:$D,$H329)="",LOWER(INDEX('Game Records'!$D:$D,$H329)&amp;"")="n/a")),"Entry Mode; ","")&amp;IF(AND(INDEX('Game Records'!$U:$U,$H329)&lt;&gt;"Subscription",INDEX('Game Records'!$U:$U,$H329)&lt;&gt;"Free Game",INDEX('Game Records'!$U:$U,$H329)&lt;&gt;"Disqualified — Free Game",OR(INDEX('Game Records'!$E:$E,$H329)="",LOWER(INDEX('Game Records'!$E:$E,$H329)&amp;"")="n/a")),"Game Type; ","")&amp;IF(INDEX('Game Records'!$F:$F,$H329)="","Payment Type; ","")&amp;IF(AND(INDEX('Game Records'!$U:$U,$H329)&lt;&gt;"Subscription",INDEX('Game Records'!$U:$U,$H329)&lt;&gt;"Free Game",INDEX('Game Records'!$U:$U,$H329)&lt;&gt;"Disqualified — Free Game",INDEX('Game Records'!$G:$G,$H329)=""),"Gross Pot; ","")&amp;IF(AND(INDEX('Game Records'!$U:$U,$H329)&lt;&gt;"Free Game",INDEX('Game Records'!$U:$U,$H329)&lt;&gt;"Disqualified — Free Game",INDEX('Game Records'!$H:$H,$H329)=""),"Entry Fee; ","")&amp;IF(AND(INDEX('Game Records'!$U:$U,$H329)&lt;&gt;"Subscription",INDEX('Game Records'!$U:$U,$H329)&lt;&gt;"Free Game",INDEX('Game Records'!$U:$U,$H329)&lt;&gt;"Disqualified — Free Game",INDEX('Game Records'!$I:$I,$H329)=""),"Eligible Players; ","")&amp;IF(AND(INDEX('Game Records'!$U:$U,$H329)&lt;&gt;"Subscription",INDEX('Game Records'!$U:$U,$H329)&lt;&gt;"Free Game",INDEX('Game Records'!$U:$U,$H329)&lt;&gt;"Disqualified — Free Game",INDEX('Game Records'!$J:$J,$H329)=""),"Total Players; ","")&amp;IF(AND(LOWER(INDEX('Game Records'!$D:$D,$H329)&amp;"")="finalized",LOWER(INDEX('Game Records'!$L:$L,$H329)&amp;"")&lt;&gt;"yes",INDEX('Game Records'!$U:$U,$H329)&lt;&gt;"Subscription",INDEX('Game Records'!$U:$U,$H329)&lt;&gt;"Free Game",INDEX('Game Records'!$U:$U,$H329)&lt;&gt;"Disqualified — Free Game",INDEX('Game Records'!$K:$K,$H329)=""),"Final Earned; ","")&amp;IF(AND(LOWER(INDEX('Game Records'!$D:$D,$H329)&amp;"")="finalized",INDEX('Game Records'!$U:$U,$H329)&lt;&gt;"Subscription",INDEX('Game Records'!$U:$U,$H329)&lt;&gt;"Free Game",INDEX('Game Records'!$U:$U,$H329)&lt;&gt;"Disqualified — Free Game",OR(INDEX('Game Records'!$L:$L,$H329)="",LOWER(INDEX('Game Records'!$L:$L,$H329)&amp;"")="n/a")),"Disqualified Status; ","")&amp;IF(AND(OR(LOWER(TRIM(INDEX('Game Records'!$F:$F,$H329)&amp;""))="free game",INDEX('Game Records'!$U:$U,$H329)="Free Game",INDEX('Game Records'!$U:$U,$H329)="Disqualified — Free Game"),N(INDEX('Game Records'!$H:$H,$H329))&lt;&gt;0),"Free Game has a non-zero Entry Fee. Free Game records require a $0 Entry Fee; ",""))</f>
        <v/>
      </c>
      <c r="G329" s="331" t="str">
        <f>IF($H329="","",IFERROR(INDEX('Game Records'!$M:$M,$H329),""))</f>
        <v/>
      </c>
      <c r="H329" s="104" t="str">
        <f>IF($H328="","",IFERROR(MATCH(1,INDEX((ROW('Game Records'!$U$5:$U$504)&gt;$H328)*(('Game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0" ht="24" customHeight="1">
      <c r="A330" s="332" t="str">
        <f>IF($H330="","",ROWS($A$5:A330))</f>
        <v/>
      </c>
      <c r="B330" s="332" t="str">
        <f>IF($H330="","","G-"&amp;TEXT($A330,"0000"))</f>
        <v/>
      </c>
      <c r="C330" s="331" t="str">
        <f>IF($H330="","",IFERROR(INDEX('Game Records'!$A:$A,$H330),""))</f>
        <v/>
      </c>
      <c r="D330" s="331" t="str">
        <f>IF($H330="","",IFERROR(INDEX('Game Records'!$U:$U,$H330),""))</f>
        <v/>
      </c>
      <c r="E330" s="331" t="str">
        <f>IF($H330="","",IF($F330="","No Highlighted Fields","Highlighted Fields Present"))</f>
        <v/>
      </c>
      <c r="F330" s="331" t="str">
        <f>IF($H330="","",IF(OR(NOT(ISFORMULA(INDEX('Game Records'!$N:$N,$H330))),NOT(ISFORMULA(INDEX('Game Records'!$O:$O,$H330))),NOT(ISFORMULA(INDEX('Game Records'!$P:$P,$H330))),NOT(ISFORMULA(INDEX('Game Records'!$Q:$Q,$H330))),NOT(ISFORMULA(INDEX('Game Records'!$R:$R,$H330))),NOT(ISFORMULA(INDEX('Game Records'!$S:$S,$H330))),NOT(ISFORMULA(INDEX('Game Records'!$T:$T,$H330))),NOT(ISFORMULA(INDEX('Game Records'!$U:$U,$H330))),NOT(ISFORMULA(INDEX('Game Records'!$V:$V,$H330))),NOT(ISFORMULA(INDEX('Game Records'!$W:$W,$H330))),NOT(ISFORMULA(INDEX('Game Records'!$X:$X,$H330))),NOT(ISFORMULA(INDEX('Game Records'!$Y:$Y,$H330))),NOT(ISFORMULA(INDEX('Game Records'!$Z:$Z,$H330)))),"Formula columns missing; ","")&amp;IF(INDEX('Game Records'!$B:$B,$H330)="","Start Date; ","")&amp;IF(INDEX('Game Records'!$C:$C,$H330)="","End Date; ","")&amp;IF(AND(INDEX('Game Records'!$U:$U,$H330)&lt;&gt;"Subscription",INDEX('Game Records'!$U:$U,$H330)&lt;&gt;"Free Game",INDEX('Game Records'!$U:$U,$H330)&lt;&gt;"Disqualified — Free Game",OR(INDEX('Game Records'!$D:$D,$H330)="",LOWER(INDEX('Game Records'!$D:$D,$H330)&amp;"")="n/a")),"Entry Mode; ","")&amp;IF(AND(INDEX('Game Records'!$U:$U,$H330)&lt;&gt;"Subscription",INDEX('Game Records'!$U:$U,$H330)&lt;&gt;"Free Game",INDEX('Game Records'!$U:$U,$H330)&lt;&gt;"Disqualified — Free Game",OR(INDEX('Game Records'!$E:$E,$H330)="",LOWER(INDEX('Game Records'!$E:$E,$H330)&amp;"")="n/a")),"Game Type; ","")&amp;IF(INDEX('Game Records'!$F:$F,$H330)="","Payment Type; ","")&amp;IF(AND(INDEX('Game Records'!$U:$U,$H330)&lt;&gt;"Subscription",INDEX('Game Records'!$U:$U,$H330)&lt;&gt;"Free Game",INDEX('Game Records'!$U:$U,$H330)&lt;&gt;"Disqualified — Free Game",INDEX('Game Records'!$G:$G,$H330)=""),"Gross Pot; ","")&amp;IF(AND(INDEX('Game Records'!$U:$U,$H330)&lt;&gt;"Free Game",INDEX('Game Records'!$U:$U,$H330)&lt;&gt;"Disqualified — Free Game",INDEX('Game Records'!$H:$H,$H330)=""),"Entry Fee; ","")&amp;IF(AND(INDEX('Game Records'!$U:$U,$H330)&lt;&gt;"Subscription",INDEX('Game Records'!$U:$U,$H330)&lt;&gt;"Free Game",INDEX('Game Records'!$U:$U,$H330)&lt;&gt;"Disqualified — Free Game",INDEX('Game Records'!$I:$I,$H330)=""),"Eligible Players; ","")&amp;IF(AND(INDEX('Game Records'!$U:$U,$H330)&lt;&gt;"Subscription",INDEX('Game Records'!$U:$U,$H330)&lt;&gt;"Free Game",INDEX('Game Records'!$U:$U,$H330)&lt;&gt;"Disqualified — Free Game",INDEX('Game Records'!$J:$J,$H330)=""),"Total Players; ","")&amp;IF(AND(LOWER(INDEX('Game Records'!$D:$D,$H330)&amp;"")="finalized",LOWER(INDEX('Game Records'!$L:$L,$H330)&amp;"")&lt;&gt;"yes",INDEX('Game Records'!$U:$U,$H330)&lt;&gt;"Subscription",INDEX('Game Records'!$U:$U,$H330)&lt;&gt;"Free Game",INDEX('Game Records'!$U:$U,$H330)&lt;&gt;"Disqualified — Free Game",INDEX('Game Records'!$K:$K,$H330)=""),"Final Earned; ","")&amp;IF(AND(LOWER(INDEX('Game Records'!$D:$D,$H330)&amp;"")="finalized",INDEX('Game Records'!$U:$U,$H330)&lt;&gt;"Subscription",INDEX('Game Records'!$U:$U,$H330)&lt;&gt;"Free Game",INDEX('Game Records'!$U:$U,$H330)&lt;&gt;"Disqualified — Free Game",OR(INDEX('Game Records'!$L:$L,$H330)="",LOWER(INDEX('Game Records'!$L:$L,$H330)&amp;"")="n/a")),"Disqualified Status; ","")&amp;IF(AND(OR(LOWER(TRIM(INDEX('Game Records'!$F:$F,$H330)&amp;""))="free game",INDEX('Game Records'!$U:$U,$H330)="Free Game",INDEX('Game Records'!$U:$U,$H330)="Disqualified — Free Game"),N(INDEX('Game Records'!$H:$H,$H330))&lt;&gt;0),"Free Game has a non-zero Entry Fee. Free Game records require a $0 Entry Fee; ",""))</f>
        <v/>
      </c>
      <c r="G330" s="331" t="str">
        <f>IF($H330="","",IFERROR(INDEX('Game Records'!$M:$M,$H330),""))</f>
        <v/>
      </c>
      <c r="H330" s="104" t="str">
        <f>IF($H329="","",IFERROR(MATCH(1,INDEX((ROW('Game Records'!$U$5:$U$504)&gt;$H329)*(('Game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1" ht="24" customHeight="1">
      <c r="A331" s="332" t="str">
        <f>IF($H331="","",ROWS($A$5:A331))</f>
        <v/>
      </c>
      <c r="B331" s="332" t="str">
        <f>IF($H331="","","G-"&amp;TEXT($A331,"0000"))</f>
        <v/>
      </c>
      <c r="C331" s="331" t="str">
        <f>IF($H331="","",IFERROR(INDEX('Game Records'!$A:$A,$H331),""))</f>
        <v/>
      </c>
      <c r="D331" s="331" t="str">
        <f>IF($H331="","",IFERROR(INDEX('Game Records'!$U:$U,$H331),""))</f>
        <v/>
      </c>
      <c r="E331" s="331" t="str">
        <f>IF($H331="","",IF($F331="","No Highlighted Fields","Highlighted Fields Present"))</f>
        <v/>
      </c>
      <c r="F331" s="331" t="str">
        <f>IF($H331="","",IF(OR(NOT(ISFORMULA(INDEX('Game Records'!$N:$N,$H331))),NOT(ISFORMULA(INDEX('Game Records'!$O:$O,$H331))),NOT(ISFORMULA(INDEX('Game Records'!$P:$P,$H331))),NOT(ISFORMULA(INDEX('Game Records'!$Q:$Q,$H331))),NOT(ISFORMULA(INDEX('Game Records'!$R:$R,$H331))),NOT(ISFORMULA(INDEX('Game Records'!$S:$S,$H331))),NOT(ISFORMULA(INDEX('Game Records'!$T:$T,$H331))),NOT(ISFORMULA(INDEX('Game Records'!$U:$U,$H331))),NOT(ISFORMULA(INDEX('Game Records'!$V:$V,$H331))),NOT(ISFORMULA(INDEX('Game Records'!$W:$W,$H331))),NOT(ISFORMULA(INDEX('Game Records'!$X:$X,$H331))),NOT(ISFORMULA(INDEX('Game Records'!$Y:$Y,$H331))),NOT(ISFORMULA(INDEX('Game Records'!$Z:$Z,$H331)))),"Formula columns missing; ","")&amp;IF(INDEX('Game Records'!$B:$B,$H331)="","Start Date; ","")&amp;IF(INDEX('Game Records'!$C:$C,$H331)="","End Date; ","")&amp;IF(AND(INDEX('Game Records'!$U:$U,$H331)&lt;&gt;"Subscription",INDEX('Game Records'!$U:$U,$H331)&lt;&gt;"Free Game",INDEX('Game Records'!$U:$U,$H331)&lt;&gt;"Disqualified — Free Game",OR(INDEX('Game Records'!$D:$D,$H331)="",LOWER(INDEX('Game Records'!$D:$D,$H331)&amp;"")="n/a")),"Entry Mode; ","")&amp;IF(AND(INDEX('Game Records'!$U:$U,$H331)&lt;&gt;"Subscription",INDEX('Game Records'!$U:$U,$H331)&lt;&gt;"Free Game",INDEX('Game Records'!$U:$U,$H331)&lt;&gt;"Disqualified — Free Game",OR(INDEX('Game Records'!$E:$E,$H331)="",LOWER(INDEX('Game Records'!$E:$E,$H331)&amp;"")="n/a")),"Game Type; ","")&amp;IF(INDEX('Game Records'!$F:$F,$H331)="","Payment Type; ","")&amp;IF(AND(INDEX('Game Records'!$U:$U,$H331)&lt;&gt;"Subscription",INDEX('Game Records'!$U:$U,$H331)&lt;&gt;"Free Game",INDEX('Game Records'!$U:$U,$H331)&lt;&gt;"Disqualified — Free Game",INDEX('Game Records'!$G:$G,$H331)=""),"Gross Pot; ","")&amp;IF(AND(INDEX('Game Records'!$U:$U,$H331)&lt;&gt;"Free Game",INDEX('Game Records'!$U:$U,$H331)&lt;&gt;"Disqualified — Free Game",INDEX('Game Records'!$H:$H,$H331)=""),"Entry Fee; ","")&amp;IF(AND(INDEX('Game Records'!$U:$U,$H331)&lt;&gt;"Subscription",INDEX('Game Records'!$U:$U,$H331)&lt;&gt;"Free Game",INDEX('Game Records'!$U:$U,$H331)&lt;&gt;"Disqualified — Free Game",INDEX('Game Records'!$I:$I,$H331)=""),"Eligible Players; ","")&amp;IF(AND(INDEX('Game Records'!$U:$U,$H331)&lt;&gt;"Subscription",INDEX('Game Records'!$U:$U,$H331)&lt;&gt;"Free Game",INDEX('Game Records'!$U:$U,$H331)&lt;&gt;"Disqualified — Free Game",INDEX('Game Records'!$J:$J,$H331)=""),"Total Players; ","")&amp;IF(AND(LOWER(INDEX('Game Records'!$D:$D,$H331)&amp;"")="finalized",LOWER(INDEX('Game Records'!$L:$L,$H331)&amp;"")&lt;&gt;"yes",INDEX('Game Records'!$U:$U,$H331)&lt;&gt;"Subscription",INDEX('Game Records'!$U:$U,$H331)&lt;&gt;"Free Game",INDEX('Game Records'!$U:$U,$H331)&lt;&gt;"Disqualified — Free Game",INDEX('Game Records'!$K:$K,$H331)=""),"Final Earned; ","")&amp;IF(AND(LOWER(INDEX('Game Records'!$D:$D,$H331)&amp;"")="finalized",INDEX('Game Records'!$U:$U,$H331)&lt;&gt;"Subscription",INDEX('Game Records'!$U:$U,$H331)&lt;&gt;"Free Game",INDEX('Game Records'!$U:$U,$H331)&lt;&gt;"Disqualified — Free Game",OR(INDEX('Game Records'!$L:$L,$H331)="",LOWER(INDEX('Game Records'!$L:$L,$H331)&amp;"")="n/a")),"Disqualified Status; ","")&amp;IF(AND(OR(LOWER(TRIM(INDEX('Game Records'!$F:$F,$H331)&amp;""))="free game",INDEX('Game Records'!$U:$U,$H331)="Free Game",INDEX('Game Records'!$U:$U,$H331)="Disqualified — Free Game"),N(INDEX('Game Records'!$H:$H,$H331))&lt;&gt;0),"Free Game has a non-zero Entry Fee. Free Game records require a $0 Entry Fee; ",""))</f>
        <v/>
      </c>
      <c r="G331" s="331" t="str">
        <f>IF($H331="","",IFERROR(INDEX('Game Records'!$M:$M,$H331),""))</f>
        <v/>
      </c>
      <c r="H331" s="104" t="str">
        <f>IF($H330="","",IFERROR(MATCH(1,INDEX((ROW('Game Records'!$U$5:$U$504)&gt;$H330)*(('Game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2" ht="24" customHeight="1">
      <c r="A332" s="332" t="str">
        <f>IF($H332="","",ROWS($A$5:A332))</f>
        <v/>
      </c>
      <c r="B332" s="332" t="str">
        <f>IF($H332="","","G-"&amp;TEXT($A332,"0000"))</f>
        <v/>
      </c>
      <c r="C332" s="331" t="str">
        <f>IF($H332="","",IFERROR(INDEX('Game Records'!$A:$A,$H332),""))</f>
        <v/>
      </c>
      <c r="D332" s="331" t="str">
        <f>IF($H332="","",IFERROR(INDEX('Game Records'!$U:$U,$H332),""))</f>
        <v/>
      </c>
      <c r="E332" s="331" t="str">
        <f>IF($H332="","",IF($F332="","No Highlighted Fields","Highlighted Fields Present"))</f>
        <v/>
      </c>
      <c r="F332" s="331" t="str">
        <f>IF($H332="","",IF(OR(NOT(ISFORMULA(INDEX('Game Records'!$N:$N,$H332))),NOT(ISFORMULA(INDEX('Game Records'!$O:$O,$H332))),NOT(ISFORMULA(INDEX('Game Records'!$P:$P,$H332))),NOT(ISFORMULA(INDEX('Game Records'!$Q:$Q,$H332))),NOT(ISFORMULA(INDEX('Game Records'!$R:$R,$H332))),NOT(ISFORMULA(INDEX('Game Records'!$S:$S,$H332))),NOT(ISFORMULA(INDEX('Game Records'!$T:$T,$H332))),NOT(ISFORMULA(INDEX('Game Records'!$U:$U,$H332))),NOT(ISFORMULA(INDEX('Game Records'!$V:$V,$H332))),NOT(ISFORMULA(INDEX('Game Records'!$W:$W,$H332))),NOT(ISFORMULA(INDEX('Game Records'!$X:$X,$H332))),NOT(ISFORMULA(INDEX('Game Records'!$Y:$Y,$H332))),NOT(ISFORMULA(INDEX('Game Records'!$Z:$Z,$H332)))),"Formula columns missing; ","")&amp;IF(INDEX('Game Records'!$B:$B,$H332)="","Start Date; ","")&amp;IF(INDEX('Game Records'!$C:$C,$H332)="","End Date; ","")&amp;IF(AND(INDEX('Game Records'!$U:$U,$H332)&lt;&gt;"Subscription",INDEX('Game Records'!$U:$U,$H332)&lt;&gt;"Free Game",INDEX('Game Records'!$U:$U,$H332)&lt;&gt;"Disqualified — Free Game",OR(INDEX('Game Records'!$D:$D,$H332)="",LOWER(INDEX('Game Records'!$D:$D,$H332)&amp;"")="n/a")),"Entry Mode; ","")&amp;IF(AND(INDEX('Game Records'!$U:$U,$H332)&lt;&gt;"Subscription",INDEX('Game Records'!$U:$U,$H332)&lt;&gt;"Free Game",INDEX('Game Records'!$U:$U,$H332)&lt;&gt;"Disqualified — Free Game",OR(INDEX('Game Records'!$E:$E,$H332)="",LOWER(INDEX('Game Records'!$E:$E,$H332)&amp;"")="n/a")),"Game Type; ","")&amp;IF(INDEX('Game Records'!$F:$F,$H332)="","Payment Type; ","")&amp;IF(AND(INDEX('Game Records'!$U:$U,$H332)&lt;&gt;"Subscription",INDEX('Game Records'!$U:$U,$H332)&lt;&gt;"Free Game",INDEX('Game Records'!$U:$U,$H332)&lt;&gt;"Disqualified — Free Game",INDEX('Game Records'!$G:$G,$H332)=""),"Gross Pot; ","")&amp;IF(AND(INDEX('Game Records'!$U:$U,$H332)&lt;&gt;"Free Game",INDEX('Game Records'!$U:$U,$H332)&lt;&gt;"Disqualified — Free Game",INDEX('Game Records'!$H:$H,$H332)=""),"Entry Fee; ","")&amp;IF(AND(INDEX('Game Records'!$U:$U,$H332)&lt;&gt;"Subscription",INDEX('Game Records'!$U:$U,$H332)&lt;&gt;"Free Game",INDEX('Game Records'!$U:$U,$H332)&lt;&gt;"Disqualified — Free Game",INDEX('Game Records'!$I:$I,$H332)=""),"Eligible Players; ","")&amp;IF(AND(INDEX('Game Records'!$U:$U,$H332)&lt;&gt;"Subscription",INDEX('Game Records'!$U:$U,$H332)&lt;&gt;"Free Game",INDEX('Game Records'!$U:$U,$H332)&lt;&gt;"Disqualified — Free Game",INDEX('Game Records'!$J:$J,$H332)=""),"Total Players; ","")&amp;IF(AND(LOWER(INDEX('Game Records'!$D:$D,$H332)&amp;"")="finalized",LOWER(INDEX('Game Records'!$L:$L,$H332)&amp;"")&lt;&gt;"yes",INDEX('Game Records'!$U:$U,$H332)&lt;&gt;"Subscription",INDEX('Game Records'!$U:$U,$H332)&lt;&gt;"Free Game",INDEX('Game Records'!$U:$U,$H332)&lt;&gt;"Disqualified — Free Game",INDEX('Game Records'!$K:$K,$H332)=""),"Final Earned; ","")&amp;IF(AND(LOWER(INDEX('Game Records'!$D:$D,$H332)&amp;"")="finalized",INDEX('Game Records'!$U:$U,$H332)&lt;&gt;"Subscription",INDEX('Game Records'!$U:$U,$H332)&lt;&gt;"Free Game",INDEX('Game Records'!$U:$U,$H332)&lt;&gt;"Disqualified — Free Game",OR(INDEX('Game Records'!$L:$L,$H332)="",LOWER(INDEX('Game Records'!$L:$L,$H332)&amp;"")="n/a")),"Disqualified Status; ","")&amp;IF(AND(OR(LOWER(TRIM(INDEX('Game Records'!$F:$F,$H332)&amp;""))="free game",INDEX('Game Records'!$U:$U,$H332)="Free Game",INDEX('Game Records'!$U:$U,$H332)="Disqualified — Free Game"),N(INDEX('Game Records'!$H:$H,$H332))&lt;&gt;0),"Free Game has a non-zero Entry Fee. Free Game records require a $0 Entry Fee; ",""))</f>
        <v/>
      </c>
      <c r="G332" s="331" t="str">
        <f>IF($H332="","",IFERROR(INDEX('Game Records'!$M:$M,$H332),""))</f>
        <v/>
      </c>
      <c r="H332" s="104" t="str">
        <f>IF($H331="","",IFERROR(MATCH(1,INDEX((ROW('Game Records'!$U$5:$U$504)&gt;$H331)*(('Game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3" ht="24" customHeight="1">
      <c r="A333" s="332" t="str">
        <f>IF($H333="","",ROWS($A$5:A333))</f>
        <v/>
      </c>
      <c r="B333" s="332" t="str">
        <f>IF($H333="","","G-"&amp;TEXT($A333,"0000"))</f>
        <v/>
      </c>
      <c r="C333" s="331" t="str">
        <f>IF($H333="","",IFERROR(INDEX('Game Records'!$A:$A,$H333),""))</f>
        <v/>
      </c>
      <c r="D333" s="331" t="str">
        <f>IF($H333="","",IFERROR(INDEX('Game Records'!$U:$U,$H333),""))</f>
        <v/>
      </c>
      <c r="E333" s="331" t="str">
        <f>IF($H333="","",IF($F333="","No Highlighted Fields","Highlighted Fields Present"))</f>
        <v/>
      </c>
      <c r="F333" s="331" t="str">
        <f>IF($H333="","",IF(OR(NOT(ISFORMULA(INDEX('Game Records'!$N:$N,$H333))),NOT(ISFORMULA(INDEX('Game Records'!$O:$O,$H333))),NOT(ISFORMULA(INDEX('Game Records'!$P:$P,$H333))),NOT(ISFORMULA(INDEX('Game Records'!$Q:$Q,$H333))),NOT(ISFORMULA(INDEX('Game Records'!$R:$R,$H333))),NOT(ISFORMULA(INDEX('Game Records'!$S:$S,$H333))),NOT(ISFORMULA(INDEX('Game Records'!$T:$T,$H333))),NOT(ISFORMULA(INDEX('Game Records'!$U:$U,$H333))),NOT(ISFORMULA(INDEX('Game Records'!$V:$V,$H333))),NOT(ISFORMULA(INDEX('Game Records'!$W:$W,$H333))),NOT(ISFORMULA(INDEX('Game Records'!$X:$X,$H333))),NOT(ISFORMULA(INDEX('Game Records'!$Y:$Y,$H333))),NOT(ISFORMULA(INDEX('Game Records'!$Z:$Z,$H333)))),"Formula columns missing; ","")&amp;IF(INDEX('Game Records'!$B:$B,$H333)="","Start Date; ","")&amp;IF(INDEX('Game Records'!$C:$C,$H333)="","End Date; ","")&amp;IF(AND(INDEX('Game Records'!$U:$U,$H333)&lt;&gt;"Subscription",INDEX('Game Records'!$U:$U,$H333)&lt;&gt;"Free Game",INDEX('Game Records'!$U:$U,$H333)&lt;&gt;"Disqualified — Free Game",OR(INDEX('Game Records'!$D:$D,$H333)="",LOWER(INDEX('Game Records'!$D:$D,$H333)&amp;"")="n/a")),"Entry Mode; ","")&amp;IF(AND(INDEX('Game Records'!$U:$U,$H333)&lt;&gt;"Subscription",INDEX('Game Records'!$U:$U,$H333)&lt;&gt;"Free Game",INDEX('Game Records'!$U:$U,$H333)&lt;&gt;"Disqualified — Free Game",OR(INDEX('Game Records'!$E:$E,$H333)="",LOWER(INDEX('Game Records'!$E:$E,$H333)&amp;"")="n/a")),"Game Type; ","")&amp;IF(INDEX('Game Records'!$F:$F,$H333)="","Payment Type; ","")&amp;IF(AND(INDEX('Game Records'!$U:$U,$H333)&lt;&gt;"Subscription",INDEX('Game Records'!$U:$U,$H333)&lt;&gt;"Free Game",INDEX('Game Records'!$U:$U,$H333)&lt;&gt;"Disqualified — Free Game",INDEX('Game Records'!$G:$G,$H333)=""),"Gross Pot; ","")&amp;IF(AND(INDEX('Game Records'!$U:$U,$H333)&lt;&gt;"Free Game",INDEX('Game Records'!$U:$U,$H333)&lt;&gt;"Disqualified — Free Game",INDEX('Game Records'!$H:$H,$H333)=""),"Entry Fee; ","")&amp;IF(AND(INDEX('Game Records'!$U:$U,$H333)&lt;&gt;"Subscription",INDEX('Game Records'!$U:$U,$H333)&lt;&gt;"Free Game",INDEX('Game Records'!$U:$U,$H333)&lt;&gt;"Disqualified — Free Game",INDEX('Game Records'!$I:$I,$H333)=""),"Eligible Players; ","")&amp;IF(AND(INDEX('Game Records'!$U:$U,$H333)&lt;&gt;"Subscription",INDEX('Game Records'!$U:$U,$H333)&lt;&gt;"Free Game",INDEX('Game Records'!$U:$U,$H333)&lt;&gt;"Disqualified — Free Game",INDEX('Game Records'!$J:$J,$H333)=""),"Total Players; ","")&amp;IF(AND(LOWER(INDEX('Game Records'!$D:$D,$H333)&amp;"")="finalized",LOWER(INDEX('Game Records'!$L:$L,$H333)&amp;"")&lt;&gt;"yes",INDEX('Game Records'!$U:$U,$H333)&lt;&gt;"Subscription",INDEX('Game Records'!$U:$U,$H333)&lt;&gt;"Free Game",INDEX('Game Records'!$U:$U,$H333)&lt;&gt;"Disqualified — Free Game",INDEX('Game Records'!$K:$K,$H333)=""),"Final Earned; ","")&amp;IF(AND(LOWER(INDEX('Game Records'!$D:$D,$H333)&amp;"")="finalized",INDEX('Game Records'!$U:$U,$H333)&lt;&gt;"Subscription",INDEX('Game Records'!$U:$U,$H333)&lt;&gt;"Free Game",INDEX('Game Records'!$U:$U,$H333)&lt;&gt;"Disqualified — Free Game",OR(INDEX('Game Records'!$L:$L,$H333)="",LOWER(INDEX('Game Records'!$L:$L,$H333)&amp;"")="n/a")),"Disqualified Status; ","")&amp;IF(AND(OR(LOWER(TRIM(INDEX('Game Records'!$F:$F,$H333)&amp;""))="free game",INDEX('Game Records'!$U:$U,$H333)="Free Game",INDEX('Game Records'!$U:$U,$H333)="Disqualified — Free Game"),N(INDEX('Game Records'!$H:$H,$H333))&lt;&gt;0),"Free Game has a non-zero Entry Fee. Free Game records require a $0 Entry Fee; ",""))</f>
        <v/>
      </c>
      <c r="G333" s="331" t="str">
        <f>IF($H333="","",IFERROR(INDEX('Game Records'!$M:$M,$H333),""))</f>
        <v/>
      </c>
      <c r="H333" s="104" t="str">
        <f>IF($H332="","",IFERROR(MATCH(1,INDEX((ROW('Game Records'!$U$5:$U$504)&gt;$H332)*(('Game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4" ht="24" customHeight="1">
      <c r="A334" s="332" t="str">
        <f>IF($H334="","",ROWS($A$5:A334))</f>
        <v/>
      </c>
      <c r="B334" s="332" t="str">
        <f>IF($H334="","","G-"&amp;TEXT($A334,"0000"))</f>
        <v/>
      </c>
      <c r="C334" s="331" t="str">
        <f>IF($H334="","",IFERROR(INDEX('Game Records'!$A:$A,$H334),""))</f>
        <v/>
      </c>
      <c r="D334" s="331" t="str">
        <f>IF($H334="","",IFERROR(INDEX('Game Records'!$U:$U,$H334),""))</f>
        <v/>
      </c>
      <c r="E334" s="331" t="str">
        <f>IF($H334="","",IF($F334="","No Highlighted Fields","Highlighted Fields Present"))</f>
        <v/>
      </c>
      <c r="F334" s="331" t="str">
        <f>IF($H334="","",IF(OR(NOT(ISFORMULA(INDEX('Game Records'!$N:$N,$H334))),NOT(ISFORMULA(INDEX('Game Records'!$O:$O,$H334))),NOT(ISFORMULA(INDEX('Game Records'!$P:$P,$H334))),NOT(ISFORMULA(INDEX('Game Records'!$Q:$Q,$H334))),NOT(ISFORMULA(INDEX('Game Records'!$R:$R,$H334))),NOT(ISFORMULA(INDEX('Game Records'!$S:$S,$H334))),NOT(ISFORMULA(INDEX('Game Records'!$T:$T,$H334))),NOT(ISFORMULA(INDEX('Game Records'!$U:$U,$H334))),NOT(ISFORMULA(INDEX('Game Records'!$V:$V,$H334))),NOT(ISFORMULA(INDEX('Game Records'!$W:$W,$H334))),NOT(ISFORMULA(INDEX('Game Records'!$X:$X,$H334))),NOT(ISFORMULA(INDEX('Game Records'!$Y:$Y,$H334))),NOT(ISFORMULA(INDEX('Game Records'!$Z:$Z,$H334)))),"Formula columns missing; ","")&amp;IF(INDEX('Game Records'!$B:$B,$H334)="","Start Date; ","")&amp;IF(INDEX('Game Records'!$C:$C,$H334)="","End Date; ","")&amp;IF(AND(INDEX('Game Records'!$U:$U,$H334)&lt;&gt;"Subscription",INDEX('Game Records'!$U:$U,$H334)&lt;&gt;"Free Game",INDEX('Game Records'!$U:$U,$H334)&lt;&gt;"Disqualified — Free Game",OR(INDEX('Game Records'!$D:$D,$H334)="",LOWER(INDEX('Game Records'!$D:$D,$H334)&amp;"")="n/a")),"Entry Mode; ","")&amp;IF(AND(INDEX('Game Records'!$U:$U,$H334)&lt;&gt;"Subscription",INDEX('Game Records'!$U:$U,$H334)&lt;&gt;"Free Game",INDEX('Game Records'!$U:$U,$H334)&lt;&gt;"Disqualified — Free Game",OR(INDEX('Game Records'!$E:$E,$H334)="",LOWER(INDEX('Game Records'!$E:$E,$H334)&amp;"")="n/a")),"Game Type; ","")&amp;IF(INDEX('Game Records'!$F:$F,$H334)="","Payment Type; ","")&amp;IF(AND(INDEX('Game Records'!$U:$U,$H334)&lt;&gt;"Subscription",INDEX('Game Records'!$U:$U,$H334)&lt;&gt;"Free Game",INDEX('Game Records'!$U:$U,$H334)&lt;&gt;"Disqualified — Free Game",INDEX('Game Records'!$G:$G,$H334)=""),"Gross Pot; ","")&amp;IF(AND(INDEX('Game Records'!$U:$U,$H334)&lt;&gt;"Free Game",INDEX('Game Records'!$U:$U,$H334)&lt;&gt;"Disqualified — Free Game",INDEX('Game Records'!$H:$H,$H334)=""),"Entry Fee; ","")&amp;IF(AND(INDEX('Game Records'!$U:$U,$H334)&lt;&gt;"Subscription",INDEX('Game Records'!$U:$U,$H334)&lt;&gt;"Free Game",INDEX('Game Records'!$U:$U,$H334)&lt;&gt;"Disqualified — Free Game",INDEX('Game Records'!$I:$I,$H334)=""),"Eligible Players; ","")&amp;IF(AND(INDEX('Game Records'!$U:$U,$H334)&lt;&gt;"Subscription",INDEX('Game Records'!$U:$U,$H334)&lt;&gt;"Free Game",INDEX('Game Records'!$U:$U,$H334)&lt;&gt;"Disqualified — Free Game",INDEX('Game Records'!$J:$J,$H334)=""),"Total Players; ","")&amp;IF(AND(LOWER(INDEX('Game Records'!$D:$D,$H334)&amp;"")="finalized",LOWER(INDEX('Game Records'!$L:$L,$H334)&amp;"")&lt;&gt;"yes",INDEX('Game Records'!$U:$U,$H334)&lt;&gt;"Subscription",INDEX('Game Records'!$U:$U,$H334)&lt;&gt;"Free Game",INDEX('Game Records'!$U:$U,$H334)&lt;&gt;"Disqualified — Free Game",INDEX('Game Records'!$K:$K,$H334)=""),"Final Earned; ","")&amp;IF(AND(LOWER(INDEX('Game Records'!$D:$D,$H334)&amp;"")="finalized",INDEX('Game Records'!$U:$U,$H334)&lt;&gt;"Subscription",INDEX('Game Records'!$U:$U,$H334)&lt;&gt;"Free Game",INDEX('Game Records'!$U:$U,$H334)&lt;&gt;"Disqualified — Free Game",OR(INDEX('Game Records'!$L:$L,$H334)="",LOWER(INDEX('Game Records'!$L:$L,$H334)&amp;"")="n/a")),"Disqualified Status; ","")&amp;IF(AND(OR(LOWER(TRIM(INDEX('Game Records'!$F:$F,$H334)&amp;""))="free game",INDEX('Game Records'!$U:$U,$H334)="Free Game",INDEX('Game Records'!$U:$U,$H334)="Disqualified — Free Game"),N(INDEX('Game Records'!$H:$H,$H334))&lt;&gt;0),"Free Game has a non-zero Entry Fee. Free Game records require a $0 Entry Fee; ",""))</f>
        <v/>
      </c>
      <c r="G334" s="331" t="str">
        <f>IF($H334="","",IFERROR(INDEX('Game Records'!$M:$M,$H334),""))</f>
        <v/>
      </c>
      <c r="H334" s="104" t="str">
        <f>IF($H333="","",IFERROR(MATCH(1,INDEX((ROW('Game Records'!$U$5:$U$504)&gt;$H333)*(('Game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5" ht="24" customHeight="1">
      <c r="A335" s="332" t="str">
        <f>IF($H335="","",ROWS($A$5:A335))</f>
        <v/>
      </c>
      <c r="B335" s="332" t="str">
        <f>IF($H335="","","G-"&amp;TEXT($A335,"0000"))</f>
        <v/>
      </c>
      <c r="C335" s="331" t="str">
        <f>IF($H335="","",IFERROR(INDEX('Game Records'!$A:$A,$H335),""))</f>
        <v/>
      </c>
      <c r="D335" s="331" t="str">
        <f>IF($H335="","",IFERROR(INDEX('Game Records'!$U:$U,$H335),""))</f>
        <v/>
      </c>
      <c r="E335" s="331" t="str">
        <f>IF($H335="","",IF($F335="","No Highlighted Fields","Highlighted Fields Present"))</f>
        <v/>
      </c>
      <c r="F335" s="331" t="str">
        <f>IF($H335="","",IF(OR(NOT(ISFORMULA(INDEX('Game Records'!$N:$N,$H335))),NOT(ISFORMULA(INDEX('Game Records'!$O:$O,$H335))),NOT(ISFORMULA(INDEX('Game Records'!$P:$P,$H335))),NOT(ISFORMULA(INDEX('Game Records'!$Q:$Q,$H335))),NOT(ISFORMULA(INDEX('Game Records'!$R:$R,$H335))),NOT(ISFORMULA(INDEX('Game Records'!$S:$S,$H335))),NOT(ISFORMULA(INDEX('Game Records'!$T:$T,$H335))),NOT(ISFORMULA(INDEX('Game Records'!$U:$U,$H335))),NOT(ISFORMULA(INDEX('Game Records'!$V:$V,$H335))),NOT(ISFORMULA(INDEX('Game Records'!$W:$W,$H335))),NOT(ISFORMULA(INDEX('Game Records'!$X:$X,$H335))),NOT(ISFORMULA(INDEX('Game Records'!$Y:$Y,$H335))),NOT(ISFORMULA(INDEX('Game Records'!$Z:$Z,$H335)))),"Formula columns missing; ","")&amp;IF(INDEX('Game Records'!$B:$B,$H335)="","Start Date; ","")&amp;IF(INDEX('Game Records'!$C:$C,$H335)="","End Date; ","")&amp;IF(AND(INDEX('Game Records'!$U:$U,$H335)&lt;&gt;"Subscription",INDEX('Game Records'!$U:$U,$H335)&lt;&gt;"Free Game",INDEX('Game Records'!$U:$U,$H335)&lt;&gt;"Disqualified — Free Game",OR(INDEX('Game Records'!$D:$D,$H335)="",LOWER(INDEX('Game Records'!$D:$D,$H335)&amp;"")="n/a")),"Entry Mode; ","")&amp;IF(AND(INDEX('Game Records'!$U:$U,$H335)&lt;&gt;"Subscription",INDEX('Game Records'!$U:$U,$H335)&lt;&gt;"Free Game",INDEX('Game Records'!$U:$U,$H335)&lt;&gt;"Disqualified — Free Game",OR(INDEX('Game Records'!$E:$E,$H335)="",LOWER(INDEX('Game Records'!$E:$E,$H335)&amp;"")="n/a")),"Game Type; ","")&amp;IF(INDEX('Game Records'!$F:$F,$H335)="","Payment Type; ","")&amp;IF(AND(INDEX('Game Records'!$U:$U,$H335)&lt;&gt;"Subscription",INDEX('Game Records'!$U:$U,$H335)&lt;&gt;"Free Game",INDEX('Game Records'!$U:$U,$H335)&lt;&gt;"Disqualified — Free Game",INDEX('Game Records'!$G:$G,$H335)=""),"Gross Pot; ","")&amp;IF(AND(INDEX('Game Records'!$U:$U,$H335)&lt;&gt;"Free Game",INDEX('Game Records'!$U:$U,$H335)&lt;&gt;"Disqualified — Free Game",INDEX('Game Records'!$H:$H,$H335)=""),"Entry Fee; ","")&amp;IF(AND(INDEX('Game Records'!$U:$U,$H335)&lt;&gt;"Subscription",INDEX('Game Records'!$U:$U,$H335)&lt;&gt;"Free Game",INDEX('Game Records'!$U:$U,$H335)&lt;&gt;"Disqualified — Free Game",INDEX('Game Records'!$I:$I,$H335)=""),"Eligible Players; ","")&amp;IF(AND(INDEX('Game Records'!$U:$U,$H335)&lt;&gt;"Subscription",INDEX('Game Records'!$U:$U,$H335)&lt;&gt;"Free Game",INDEX('Game Records'!$U:$U,$H335)&lt;&gt;"Disqualified — Free Game",INDEX('Game Records'!$J:$J,$H335)=""),"Total Players; ","")&amp;IF(AND(LOWER(INDEX('Game Records'!$D:$D,$H335)&amp;"")="finalized",LOWER(INDEX('Game Records'!$L:$L,$H335)&amp;"")&lt;&gt;"yes",INDEX('Game Records'!$U:$U,$H335)&lt;&gt;"Subscription",INDEX('Game Records'!$U:$U,$H335)&lt;&gt;"Free Game",INDEX('Game Records'!$U:$U,$H335)&lt;&gt;"Disqualified — Free Game",INDEX('Game Records'!$K:$K,$H335)=""),"Final Earned; ","")&amp;IF(AND(LOWER(INDEX('Game Records'!$D:$D,$H335)&amp;"")="finalized",INDEX('Game Records'!$U:$U,$H335)&lt;&gt;"Subscription",INDEX('Game Records'!$U:$U,$H335)&lt;&gt;"Free Game",INDEX('Game Records'!$U:$U,$H335)&lt;&gt;"Disqualified — Free Game",OR(INDEX('Game Records'!$L:$L,$H335)="",LOWER(INDEX('Game Records'!$L:$L,$H335)&amp;"")="n/a")),"Disqualified Status; ","")&amp;IF(AND(OR(LOWER(TRIM(INDEX('Game Records'!$F:$F,$H335)&amp;""))="free game",INDEX('Game Records'!$U:$U,$H335)="Free Game",INDEX('Game Records'!$U:$U,$H335)="Disqualified — Free Game"),N(INDEX('Game Records'!$H:$H,$H335))&lt;&gt;0),"Free Game has a non-zero Entry Fee. Free Game records require a $0 Entry Fee; ",""))</f>
        <v/>
      </c>
      <c r="G335" s="331" t="str">
        <f>IF($H335="","",IFERROR(INDEX('Game Records'!$M:$M,$H335),""))</f>
        <v/>
      </c>
      <c r="H335" s="104" t="str">
        <f>IF($H334="","",IFERROR(MATCH(1,INDEX((ROW('Game Records'!$U$5:$U$504)&gt;$H334)*(('Game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6" ht="24" customHeight="1">
      <c r="A336" s="332" t="str">
        <f>IF($H336="","",ROWS($A$5:A336))</f>
        <v/>
      </c>
      <c r="B336" s="332" t="str">
        <f>IF($H336="","","G-"&amp;TEXT($A336,"0000"))</f>
        <v/>
      </c>
      <c r="C336" s="331" t="str">
        <f>IF($H336="","",IFERROR(INDEX('Game Records'!$A:$A,$H336),""))</f>
        <v/>
      </c>
      <c r="D336" s="331" t="str">
        <f>IF($H336="","",IFERROR(INDEX('Game Records'!$U:$U,$H336),""))</f>
        <v/>
      </c>
      <c r="E336" s="331" t="str">
        <f>IF($H336="","",IF($F336="","No Highlighted Fields","Highlighted Fields Present"))</f>
        <v/>
      </c>
      <c r="F336" s="331" t="str">
        <f>IF($H336="","",IF(OR(NOT(ISFORMULA(INDEX('Game Records'!$N:$N,$H336))),NOT(ISFORMULA(INDEX('Game Records'!$O:$O,$H336))),NOT(ISFORMULA(INDEX('Game Records'!$P:$P,$H336))),NOT(ISFORMULA(INDEX('Game Records'!$Q:$Q,$H336))),NOT(ISFORMULA(INDEX('Game Records'!$R:$R,$H336))),NOT(ISFORMULA(INDEX('Game Records'!$S:$S,$H336))),NOT(ISFORMULA(INDEX('Game Records'!$T:$T,$H336))),NOT(ISFORMULA(INDEX('Game Records'!$U:$U,$H336))),NOT(ISFORMULA(INDEX('Game Records'!$V:$V,$H336))),NOT(ISFORMULA(INDEX('Game Records'!$W:$W,$H336))),NOT(ISFORMULA(INDEX('Game Records'!$X:$X,$H336))),NOT(ISFORMULA(INDEX('Game Records'!$Y:$Y,$H336))),NOT(ISFORMULA(INDEX('Game Records'!$Z:$Z,$H336)))),"Formula columns missing; ","")&amp;IF(INDEX('Game Records'!$B:$B,$H336)="","Start Date; ","")&amp;IF(INDEX('Game Records'!$C:$C,$H336)="","End Date; ","")&amp;IF(AND(INDEX('Game Records'!$U:$U,$H336)&lt;&gt;"Subscription",INDEX('Game Records'!$U:$U,$H336)&lt;&gt;"Free Game",INDEX('Game Records'!$U:$U,$H336)&lt;&gt;"Disqualified — Free Game",OR(INDEX('Game Records'!$D:$D,$H336)="",LOWER(INDEX('Game Records'!$D:$D,$H336)&amp;"")="n/a")),"Entry Mode; ","")&amp;IF(AND(INDEX('Game Records'!$U:$U,$H336)&lt;&gt;"Subscription",INDEX('Game Records'!$U:$U,$H336)&lt;&gt;"Free Game",INDEX('Game Records'!$U:$U,$H336)&lt;&gt;"Disqualified — Free Game",OR(INDEX('Game Records'!$E:$E,$H336)="",LOWER(INDEX('Game Records'!$E:$E,$H336)&amp;"")="n/a")),"Game Type; ","")&amp;IF(INDEX('Game Records'!$F:$F,$H336)="","Payment Type; ","")&amp;IF(AND(INDEX('Game Records'!$U:$U,$H336)&lt;&gt;"Subscription",INDEX('Game Records'!$U:$U,$H336)&lt;&gt;"Free Game",INDEX('Game Records'!$U:$U,$H336)&lt;&gt;"Disqualified — Free Game",INDEX('Game Records'!$G:$G,$H336)=""),"Gross Pot; ","")&amp;IF(AND(INDEX('Game Records'!$U:$U,$H336)&lt;&gt;"Free Game",INDEX('Game Records'!$U:$U,$H336)&lt;&gt;"Disqualified — Free Game",INDEX('Game Records'!$H:$H,$H336)=""),"Entry Fee; ","")&amp;IF(AND(INDEX('Game Records'!$U:$U,$H336)&lt;&gt;"Subscription",INDEX('Game Records'!$U:$U,$H336)&lt;&gt;"Free Game",INDEX('Game Records'!$U:$U,$H336)&lt;&gt;"Disqualified — Free Game",INDEX('Game Records'!$I:$I,$H336)=""),"Eligible Players; ","")&amp;IF(AND(INDEX('Game Records'!$U:$U,$H336)&lt;&gt;"Subscription",INDEX('Game Records'!$U:$U,$H336)&lt;&gt;"Free Game",INDEX('Game Records'!$U:$U,$H336)&lt;&gt;"Disqualified — Free Game",INDEX('Game Records'!$J:$J,$H336)=""),"Total Players; ","")&amp;IF(AND(LOWER(INDEX('Game Records'!$D:$D,$H336)&amp;"")="finalized",LOWER(INDEX('Game Records'!$L:$L,$H336)&amp;"")&lt;&gt;"yes",INDEX('Game Records'!$U:$U,$H336)&lt;&gt;"Subscription",INDEX('Game Records'!$U:$U,$H336)&lt;&gt;"Free Game",INDEX('Game Records'!$U:$U,$H336)&lt;&gt;"Disqualified — Free Game",INDEX('Game Records'!$K:$K,$H336)=""),"Final Earned; ","")&amp;IF(AND(LOWER(INDEX('Game Records'!$D:$D,$H336)&amp;"")="finalized",INDEX('Game Records'!$U:$U,$H336)&lt;&gt;"Subscription",INDEX('Game Records'!$U:$U,$H336)&lt;&gt;"Free Game",INDEX('Game Records'!$U:$U,$H336)&lt;&gt;"Disqualified — Free Game",OR(INDEX('Game Records'!$L:$L,$H336)="",LOWER(INDEX('Game Records'!$L:$L,$H336)&amp;"")="n/a")),"Disqualified Status; ","")&amp;IF(AND(OR(LOWER(TRIM(INDEX('Game Records'!$F:$F,$H336)&amp;""))="free game",INDEX('Game Records'!$U:$U,$H336)="Free Game",INDEX('Game Records'!$U:$U,$H336)="Disqualified — Free Game"),N(INDEX('Game Records'!$H:$H,$H336))&lt;&gt;0),"Free Game has a non-zero Entry Fee. Free Game records require a $0 Entry Fee; ",""))</f>
        <v/>
      </c>
      <c r="G336" s="331" t="str">
        <f>IF($H336="","",IFERROR(INDEX('Game Records'!$M:$M,$H336),""))</f>
        <v/>
      </c>
      <c r="H336" s="104" t="str">
        <f>IF($H335="","",IFERROR(MATCH(1,INDEX((ROW('Game Records'!$U$5:$U$504)&gt;$H335)*(('Game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7" ht="24" customHeight="1">
      <c r="A337" s="332" t="str">
        <f>IF($H337="","",ROWS($A$5:A337))</f>
        <v/>
      </c>
      <c r="B337" s="332" t="str">
        <f>IF($H337="","","G-"&amp;TEXT($A337,"0000"))</f>
        <v/>
      </c>
      <c r="C337" s="331" t="str">
        <f>IF($H337="","",IFERROR(INDEX('Game Records'!$A:$A,$H337),""))</f>
        <v/>
      </c>
      <c r="D337" s="331" t="str">
        <f>IF($H337="","",IFERROR(INDEX('Game Records'!$U:$U,$H337),""))</f>
        <v/>
      </c>
      <c r="E337" s="331" t="str">
        <f>IF($H337="","",IF($F337="","No Highlighted Fields","Highlighted Fields Present"))</f>
        <v/>
      </c>
      <c r="F337" s="331" t="str">
        <f>IF($H337="","",IF(OR(NOT(ISFORMULA(INDEX('Game Records'!$N:$N,$H337))),NOT(ISFORMULA(INDEX('Game Records'!$O:$O,$H337))),NOT(ISFORMULA(INDEX('Game Records'!$P:$P,$H337))),NOT(ISFORMULA(INDEX('Game Records'!$Q:$Q,$H337))),NOT(ISFORMULA(INDEX('Game Records'!$R:$R,$H337))),NOT(ISFORMULA(INDEX('Game Records'!$S:$S,$H337))),NOT(ISFORMULA(INDEX('Game Records'!$T:$T,$H337))),NOT(ISFORMULA(INDEX('Game Records'!$U:$U,$H337))),NOT(ISFORMULA(INDEX('Game Records'!$V:$V,$H337))),NOT(ISFORMULA(INDEX('Game Records'!$W:$W,$H337))),NOT(ISFORMULA(INDEX('Game Records'!$X:$X,$H337))),NOT(ISFORMULA(INDEX('Game Records'!$Y:$Y,$H337))),NOT(ISFORMULA(INDEX('Game Records'!$Z:$Z,$H337)))),"Formula columns missing; ","")&amp;IF(INDEX('Game Records'!$B:$B,$H337)="","Start Date; ","")&amp;IF(INDEX('Game Records'!$C:$C,$H337)="","End Date; ","")&amp;IF(AND(INDEX('Game Records'!$U:$U,$H337)&lt;&gt;"Subscription",INDEX('Game Records'!$U:$U,$H337)&lt;&gt;"Free Game",INDEX('Game Records'!$U:$U,$H337)&lt;&gt;"Disqualified — Free Game",OR(INDEX('Game Records'!$D:$D,$H337)="",LOWER(INDEX('Game Records'!$D:$D,$H337)&amp;"")="n/a")),"Entry Mode; ","")&amp;IF(AND(INDEX('Game Records'!$U:$U,$H337)&lt;&gt;"Subscription",INDEX('Game Records'!$U:$U,$H337)&lt;&gt;"Free Game",INDEX('Game Records'!$U:$U,$H337)&lt;&gt;"Disqualified — Free Game",OR(INDEX('Game Records'!$E:$E,$H337)="",LOWER(INDEX('Game Records'!$E:$E,$H337)&amp;"")="n/a")),"Game Type; ","")&amp;IF(INDEX('Game Records'!$F:$F,$H337)="","Payment Type; ","")&amp;IF(AND(INDEX('Game Records'!$U:$U,$H337)&lt;&gt;"Subscription",INDEX('Game Records'!$U:$U,$H337)&lt;&gt;"Free Game",INDEX('Game Records'!$U:$U,$H337)&lt;&gt;"Disqualified — Free Game",INDEX('Game Records'!$G:$G,$H337)=""),"Gross Pot; ","")&amp;IF(AND(INDEX('Game Records'!$U:$U,$H337)&lt;&gt;"Free Game",INDEX('Game Records'!$U:$U,$H337)&lt;&gt;"Disqualified — Free Game",INDEX('Game Records'!$H:$H,$H337)=""),"Entry Fee; ","")&amp;IF(AND(INDEX('Game Records'!$U:$U,$H337)&lt;&gt;"Subscription",INDEX('Game Records'!$U:$U,$H337)&lt;&gt;"Free Game",INDEX('Game Records'!$U:$U,$H337)&lt;&gt;"Disqualified — Free Game",INDEX('Game Records'!$I:$I,$H337)=""),"Eligible Players; ","")&amp;IF(AND(INDEX('Game Records'!$U:$U,$H337)&lt;&gt;"Subscription",INDEX('Game Records'!$U:$U,$H337)&lt;&gt;"Free Game",INDEX('Game Records'!$U:$U,$H337)&lt;&gt;"Disqualified — Free Game",INDEX('Game Records'!$J:$J,$H337)=""),"Total Players; ","")&amp;IF(AND(LOWER(INDEX('Game Records'!$D:$D,$H337)&amp;"")="finalized",LOWER(INDEX('Game Records'!$L:$L,$H337)&amp;"")&lt;&gt;"yes",INDEX('Game Records'!$U:$U,$H337)&lt;&gt;"Subscription",INDEX('Game Records'!$U:$U,$H337)&lt;&gt;"Free Game",INDEX('Game Records'!$U:$U,$H337)&lt;&gt;"Disqualified — Free Game",INDEX('Game Records'!$K:$K,$H337)=""),"Final Earned; ","")&amp;IF(AND(LOWER(INDEX('Game Records'!$D:$D,$H337)&amp;"")="finalized",INDEX('Game Records'!$U:$U,$H337)&lt;&gt;"Subscription",INDEX('Game Records'!$U:$U,$H337)&lt;&gt;"Free Game",INDEX('Game Records'!$U:$U,$H337)&lt;&gt;"Disqualified — Free Game",OR(INDEX('Game Records'!$L:$L,$H337)="",LOWER(INDEX('Game Records'!$L:$L,$H337)&amp;"")="n/a")),"Disqualified Status; ","")&amp;IF(AND(OR(LOWER(TRIM(INDEX('Game Records'!$F:$F,$H337)&amp;""))="free game",INDEX('Game Records'!$U:$U,$H337)="Free Game",INDEX('Game Records'!$U:$U,$H337)="Disqualified — Free Game"),N(INDEX('Game Records'!$H:$H,$H337))&lt;&gt;0),"Free Game has a non-zero Entry Fee. Free Game records require a $0 Entry Fee; ",""))</f>
        <v/>
      </c>
      <c r="G337" s="331" t="str">
        <f>IF($H337="","",IFERROR(INDEX('Game Records'!$M:$M,$H337),""))</f>
        <v/>
      </c>
      <c r="H337" s="104" t="str">
        <f>IF($H336="","",IFERROR(MATCH(1,INDEX((ROW('Game Records'!$U$5:$U$504)&gt;$H336)*(('Game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8" ht="24" customHeight="1">
      <c r="A338" s="332" t="str">
        <f>IF($H338="","",ROWS($A$5:A338))</f>
        <v/>
      </c>
      <c r="B338" s="332" t="str">
        <f>IF($H338="","","G-"&amp;TEXT($A338,"0000"))</f>
        <v/>
      </c>
      <c r="C338" s="331" t="str">
        <f>IF($H338="","",IFERROR(INDEX('Game Records'!$A:$A,$H338),""))</f>
        <v/>
      </c>
      <c r="D338" s="331" t="str">
        <f>IF($H338="","",IFERROR(INDEX('Game Records'!$U:$U,$H338),""))</f>
        <v/>
      </c>
      <c r="E338" s="331" t="str">
        <f>IF($H338="","",IF($F338="","No Highlighted Fields","Highlighted Fields Present"))</f>
        <v/>
      </c>
      <c r="F338" s="331" t="str">
        <f>IF($H338="","",IF(OR(NOT(ISFORMULA(INDEX('Game Records'!$N:$N,$H338))),NOT(ISFORMULA(INDEX('Game Records'!$O:$O,$H338))),NOT(ISFORMULA(INDEX('Game Records'!$P:$P,$H338))),NOT(ISFORMULA(INDEX('Game Records'!$Q:$Q,$H338))),NOT(ISFORMULA(INDEX('Game Records'!$R:$R,$H338))),NOT(ISFORMULA(INDEX('Game Records'!$S:$S,$H338))),NOT(ISFORMULA(INDEX('Game Records'!$T:$T,$H338))),NOT(ISFORMULA(INDEX('Game Records'!$U:$U,$H338))),NOT(ISFORMULA(INDEX('Game Records'!$V:$V,$H338))),NOT(ISFORMULA(INDEX('Game Records'!$W:$W,$H338))),NOT(ISFORMULA(INDEX('Game Records'!$X:$X,$H338))),NOT(ISFORMULA(INDEX('Game Records'!$Y:$Y,$H338))),NOT(ISFORMULA(INDEX('Game Records'!$Z:$Z,$H338)))),"Formula columns missing; ","")&amp;IF(INDEX('Game Records'!$B:$B,$H338)="","Start Date; ","")&amp;IF(INDEX('Game Records'!$C:$C,$H338)="","End Date; ","")&amp;IF(AND(INDEX('Game Records'!$U:$U,$H338)&lt;&gt;"Subscription",INDEX('Game Records'!$U:$U,$H338)&lt;&gt;"Free Game",INDEX('Game Records'!$U:$U,$H338)&lt;&gt;"Disqualified — Free Game",OR(INDEX('Game Records'!$D:$D,$H338)="",LOWER(INDEX('Game Records'!$D:$D,$H338)&amp;"")="n/a")),"Entry Mode; ","")&amp;IF(AND(INDEX('Game Records'!$U:$U,$H338)&lt;&gt;"Subscription",INDEX('Game Records'!$U:$U,$H338)&lt;&gt;"Free Game",INDEX('Game Records'!$U:$U,$H338)&lt;&gt;"Disqualified — Free Game",OR(INDEX('Game Records'!$E:$E,$H338)="",LOWER(INDEX('Game Records'!$E:$E,$H338)&amp;"")="n/a")),"Game Type; ","")&amp;IF(INDEX('Game Records'!$F:$F,$H338)="","Payment Type; ","")&amp;IF(AND(INDEX('Game Records'!$U:$U,$H338)&lt;&gt;"Subscription",INDEX('Game Records'!$U:$U,$H338)&lt;&gt;"Free Game",INDEX('Game Records'!$U:$U,$H338)&lt;&gt;"Disqualified — Free Game",INDEX('Game Records'!$G:$G,$H338)=""),"Gross Pot; ","")&amp;IF(AND(INDEX('Game Records'!$U:$U,$H338)&lt;&gt;"Free Game",INDEX('Game Records'!$U:$U,$H338)&lt;&gt;"Disqualified — Free Game",INDEX('Game Records'!$H:$H,$H338)=""),"Entry Fee; ","")&amp;IF(AND(INDEX('Game Records'!$U:$U,$H338)&lt;&gt;"Subscription",INDEX('Game Records'!$U:$U,$H338)&lt;&gt;"Free Game",INDEX('Game Records'!$U:$U,$H338)&lt;&gt;"Disqualified — Free Game",INDEX('Game Records'!$I:$I,$H338)=""),"Eligible Players; ","")&amp;IF(AND(INDEX('Game Records'!$U:$U,$H338)&lt;&gt;"Subscription",INDEX('Game Records'!$U:$U,$H338)&lt;&gt;"Free Game",INDEX('Game Records'!$U:$U,$H338)&lt;&gt;"Disqualified — Free Game",INDEX('Game Records'!$J:$J,$H338)=""),"Total Players; ","")&amp;IF(AND(LOWER(INDEX('Game Records'!$D:$D,$H338)&amp;"")="finalized",LOWER(INDEX('Game Records'!$L:$L,$H338)&amp;"")&lt;&gt;"yes",INDEX('Game Records'!$U:$U,$H338)&lt;&gt;"Subscription",INDEX('Game Records'!$U:$U,$H338)&lt;&gt;"Free Game",INDEX('Game Records'!$U:$U,$H338)&lt;&gt;"Disqualified — Free Game",INDEX('Game Records'!$K:$K,$H338)=""),"Final Earned; ","")&amp;IF(AND(LOWER(INDEX('Game Records'!$D:$D,$H338)&amp;"")="finalized",INDEX('Game Records'!$U:$U,$H338)&lt;&gt;"Subscription",INDEX('Game Records'!$U:$U,$H338)&lt;&gt;"Free Game",INDEX('Game Records'!$U:$U,$H338)&lt;&gt;"Disqualified — Free Game",OR(INDEX('Game Records'!$L:$L,$H338)="",LOWER(INDEX('Game Records'!$L:$L,$H338)&amp;"")="n/a")),"Disqualified Status; ","")&amp;IF(AND(OR(LOWER(TRIM(INDEX('Game Records'!$F:$F,$H338)&amp;""))="free game",INDEX('Game Records'!$U:$U,$H338)="Free Game",INDEX('Game Records'!$U:$U,$H338)="Disqualified — Free Game"),N(INDEX('Game Records'!$H:$H,$H338))&lt;&gt;0),"Free Game has a non-zero Entry Fee. Free Game records require a $0 Entry Fee; ",""))</f>
        <v/>
      </c>
      <c r="G338" s="331" t="str">
        <f>IF($H338="","",IFERROR(INDEX('Game Records'!$M:$M,$H338),""))</f>
        <v/>
      </c>
      <c r="H338" s="104" t="str">
        <f>IF($H337="","",IFERROR(MATCH(1,INDEX((ROW('Game Records'!$U$5:$U$504)&gt;$H337)*(('Game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9" ht="24" customHeight="1">
      <c r="A339" s="332" t="str">
        <f>IF($H339="","",ROWS($A$5:A339))</f>
        <v/>
      </c>
      <c r="B339" s="332" t="str">
        <f>IF($H339="","","G-"&amp;TEXT($A339,"0000"))</f>
        <v/>
      </c>
      <c r="C339" s="331" t="str">
        <f>IF($H339="","",IFERROR(INDEX('Game Records'!$A:$A,$H339),""))</f>
        <v/>
      </c>
      <c r="D339" s="331" t="str">
        <f>IF($H339="","",IFERROR(INDEX('Game Records'!$U:$U,$H339),""))</f>
        <v/>
      </c>
      <c r="E339" s="331" t="str">
        <f>IF($H339="","",IF($F339="","No Highlighted Fields","Highlighted Fields Present"))</f>
        <v/>
      </c>
      <c r="F339" s="331" t="str">
        <f>IF($H339="","",IF(OR(NOT(ISFORMULA(INDEX('Game Records'!$N:$N,$H339))),NOT(ISFORMULA(INDEX('Game Records'!$O:$O,$H339))),NOT(ISFORMULA(INDEX('Game Records'!$P:$P,$H339))),NOT(ISFORMULA(INDEX('Game Records'!$Q:$Q,$H339))),NOT(ISFORMULA(INDEX('Game Records'!$R:$R,$H339))),NOT(ISFORMULA(INDEX('Game Records'!$S:$S,$H339))),NOT(ISFORMULA(INDEX('Game Records'!$T:$T,$H339))),NOT(ISFORMULA(INDEX('Game Records'!$U:$U,$H339))),NOT(ISFORMULA(INDEX('Game Records'!$V:$V,$H339))),NOT(ISFORMULA(INDEX('Game Records'!$W:$W,$H339))),NOT(ISFORMULA(INDEX('Game Records'!$X:$X,$H339))),NOT(ISFORMULA(INDEX('Game Records'!$Y:$Y,$H339))),NOT(ISFORMULA(INDEX('Game Records'!$Z:$Z,$H339)))),"Formula columns missing; ","")&amp;IF(INDEX('Game Records'!$B:$B,$H339)="","Start Date; ","")&amp;IF(INDEX('Game Records'!$C:$C,$H339)="","End Date; ","")&amp;IF(AND(INDEX('Game Records'!$U:$U,$H339)&lt;&gt;"Subscription",INDEX('Game Records'!$U:$U,$H339)&lt;&gt;"Free Game",INDEX('Game Records'!$U:$U,$H339)&lt;&gt;"Disqualified — Free Game",OR(INDEX('Game Records'!$D:$D,$H339)="",LOWER(INDEX('Game Records'!$D:$D,$H339)&amp;"")="n/a")),"Entry Mode; ","")&amp;IF(AND(INDEX('Game Records'!$U:$U,$H339)&lt;&gt;"Subscription",INDEX('Game Records'!$U:$U,$H339)&lt;&gt;"Free Game",INDEX('Game Records'!$U:$U,$H339)&lt;&gt;"Disqualified — Free Game",OR(INDEX('Game Records'!$E:$E,$H339)="",LOWER(INDEX('Game Records'!$E:$E,$H339)&amp;"")="n/a")),"Game Type; ","")&amp;IF(INDEX('Game Records'!$F:$F,$H339)="","Payment Type; ","")&amp;IF(AND(INDEX('Game Records'!$U:$U,$H339)&lt;&gt;"Subscription",INDEX('Game Records'!$U:$U,$H339)&lt;&gt;"Free Game",INDEX('Game Records'!$U:$U,$H339)&lt;&gt;"Disqualified — Free Game",INDEX('Game Records'!$G:$G,$H339)=""),"Gross Pot; ","")&amp;IF(AND(INDEX('Game Records'!$U:$U,$H339)&lt;&gt;"Free Game",INDEX('Game Records'!$U:$U,$H339)&lt;&gt;"Disqualified — Free Game",INDEX('Game Records'!$H:$H,$H339)=""),"Entry Fee; ","")&amp;IF(AND(INDEX('Game Records'!$U:$U,$H339)&lt;&gt;"Subscription",INDEX('Game Records'!$U:$U,$H339)&lt;&gt;"Free Game",INDEX('Game Records'!$U:$U,$H339)&lt;&gt;"Disqualified — Free Game",INDEX('Game Records'!$I:$I,$H339)=""),"Eligible Players; ","")&amp;IF(AND(INDEX('Game Records'!$U:$U,$H339)&lt;&gt;"Subscription",INDEX('Game Records'!$U:$U,$H339)&lt;&gt;"Free Game",INDEX('Game Records'!$U:$U,$H339)&lt;&gt;"Disqualified — Free Game",INDEX('Game Records'!$J:$J,$H339)=""),"Total Players; ","")&amp;IF(AND(LOWER(INDEX('Game Records'!$D:$D,$H339)&amp;"")="finalized",LOWER(INDEX('Game Records'!$L:$L,$H339)&amp;"")&lt;&gt;"yes",INDEX('Game Records'!$U:$U,$H339)&lt;&gt;"Subscription",INDEX('Game Records'!$U:$U,$H339)&lt;&gt;"Free Game",INDEX('Game Records'!$U:$U,$H339)&lt;&gt;"Disqualified — Free Game",INDEX('Game Records'!$K:$K,$H339)=""),"Final Earned; ","")&amp;IF(AND(LOWER(INDEX('Game Records'!$D:$D,$H339)&amp;"")="finalized",INDEX('Game Records'!$U:$U,$H339)&lt;&gt;"Subscription",INDEX('Game Records'!$U:$U,$H339)&lt;&gt;"Free Game",INDEX('Game Records'!$U:$U,$H339)&lt;&gt;"Disqualified — Free Game",OR(INDEX('Game Records'!$L:$L,$H339)="",LOWER(INDEX('Game Records'!$L:$L,$H339)&amp;"")="n/a")),"Disqualified Status; ","")&amp;IF(AND(OR(LOWER(TRIM(INDEX('Game Records'!$F:$F,$H339)&amp;""))="free game",INDEX('Game Records'!$U:$U,$H339)="Free Game",INDEX('Game Records'!$U:$U,$H339)="Disqualified — Free Game"),N(INDEX('Game Records'!$H:$H,$H339))&lt;&gt;0),"Free Game has a non-zero Entry Fee. Free Game records require a $0 Entry Fee; ",""))</f>
        <v/>
      </c>
      <c r="G339" s="331" t="str">
        <f>IF($H339="","",IFERROR(INDEX('Game Records'!$M:$M,$H339),""))</f>
        <v/>
      </c>
      <c r="H339" s="104" t="str">
        <f>IF($H338="","",IFERROR(MATCH(1,INDEX((ROW('Game Records'!$U$5:$U$504)&gt;$H338)*(('Game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0" ht="24" customHeight="1">
      <c r="A340" s="332" t="str">
        <f>IF($H340="","",ROWS($A$5:A340))</f>
        <v/>
      </c>
      <c r="B340" s="332" t="str">
        <f>IF($H340="","","G-"&amp;TEXT($A340,"0000"))</f>
        <v/>
      </c>
      <c r="C340" s="331" t="str">
        <f>IF($H340="","",IFERROR(INDEX('Game Records'!$A:$A,$H340),""))</f>
        <v/>
      </c>
      <c r="D340" s="331" t="str">
        <f>IF($H340="","",IFERROR(INDEX('Game Records'!$U:$U,$H340),""))</f>
        <v/>
      </c>
      <c r="E340" s="331" t="str">
        <f>IF($H340="","",IF($F340="","No Highlighted Fields","Highlighted Fields Present"))</f>
        <v/>
      </c>
      <c r="F340" s="331" t="str">
        <f>IF($H340="","",IF(OR(NOT(ISFORMULA(INDEX('Game Records'!$N:$N,$H340))),NOT(ISFORMULA(INDEX('Game Records'!$O:$O,$H340))),NOT(ISFORMULA(INDEX('Game Records'!$P:$P,$H340))),NOT(ISFORMULA(INDEX('Game Records'!$Q:$Q,$H340))),NOT(ISFORMULA(INDEX('Game Records'!$R:$R,$H340))),NOT(ISFORMULA(INDEX('Game Records'!$S:$S,$H340))),NOT(ISFORMULA(INDEX('Game Records'!$T:$T,$H340))),NOT(ISFORMULA(INDEX('Game Records'!$U:$U,$H340))),NOT(ISFORMULA(INDEX('Game Records'!$V:$V,$H340))),NOT(ISFORMULA(INDEX('Game Records'!$W:$W,$H340))),NOT(ISFORMULA(INDEX('Game Records'!$X:$X,$H340))),NOT(ISFORMULA(INDEX('Game Records'!$Y:$Y,$H340))),NOT(ISFORMULA(INDEX('Game Records'!$Z:$Z,$H340)))),"Formula columns missing; ","")&amp;IF(INDEX('Game Records'!$B:$B,$H340)="","Start Date; ","")&amp;IF(INDEX('Game Records'!$C:$C,$H340)="","End Date; ","")&amp;IF(AND(INDEX('Game Records'!$U:$U,$H340)&lt;&gt;"Subscription",INDEX('Game Records'!$U:$U,$H340)&lt;&gt;"Free Game",INDEX('Game Records'!$U:$U,$H340)&lt;&gt;"Disqualified — Free Game",OR(INDEX('Game Records'!$D:$D,$H340)="",LOWER(INDEX('Game Records'!$D:$D,$H340)&amp;"")="n/a")),"Entry Mode; ","")&amp;IF(AND(INDEX('Game Records'!$U:$U,$H340)&lt;&gt;"Subscription",INDEX('Game Records'!$U:$U,$H340)&lt;&gt;"Free Game",INDEX('Game Records'!$U:$U,$H340)&lt;&gt;"Disqualified — Free Game",OR(INDEX('Game Records'!$E:$E,$H340)="",LOWER(INDEX('Game Records'!$E:$E,$H340)&amp;"")="n/a")),"Game Type; ","")&amp;IF(INDEX('Game Records'!$F:$F,$H340)="","Payment Type; ","")&amp;IF(AND(INDEX('Game Records'!$U:$U,$H340)&lt;&gt;"Subscription",INDEX('Game Records'!$U:$U,$H340)&lt;&gt;"Free Game",INDEX('Game Records'!$U:$U,$H340)&lt;&gt;"Disqualified — Free Game",INDEX('Game Records'!$G:$G,$H340)=""),"Gross Pot; ","")&amp;IF(AND(INDEX('Game Records'!$U:$U,$H340)&lt;&gt;"Free Game",INDEX('Game Records'!$U:$U,$H340)&lt;&gt;"Disqualified — Free Game",INDEX('Game Records'!$H:$H,$H340)=""),"Entry Fee; ","")&amp;IF(AND(INDEX('Game Records'!$U:$U,$H340)&lt;&gt;"Subscription",INDEX('Game Records'!$U:$U,$H340)&lt;&gt;"Free Game",INDEX('Game Records'!$U:$U,$H340)&lt;&gt;"Disqualified — Free Game",INDEX('Game Records'!$I:$I,$H340)=""),"Eligible Players; ","")&amp;IF(AND(INDEX('Game Records'!$U:$U,$H340)&lt;&gt;"Subscription",INDEX('Game Records'!$U:$U,$H340)&lt;&gt;"Free Game",INDEX('Game Records'!$U:$U,$H340)&lt;&gt;"Disqualified — Free Game",INDEX('Game Records'!$J:$J,$H340)=""),"Total Players; ","")&amp;IF(AND(LOWER(INDEX('Game Records'!$D:$D,$H340)&amp;"")="finalized",LOWER(INDEX('Game Records'!$L:$L,$H340)&amp;"")&lt;&gt;"yes",INDEX('Game Records'!$U:$U,$H340)&lt;&gt;"Subscription",INDEX('Game Records'!$U:$U,$H340)&lt;&gt;"Free Game",INDEX('Game Records'!$U:$U,$H340)&lt;&gt;"Disqualified — Free Game",INDEX('Game Records'!$K:$K,$H340)=""),"Final Earned; ","")&amp;IF(AND(LOWER(INDEX('Game Records'!$D:$D,$H340)&amp;"")="finalized",INDEX('Game Records'!$U:$U,$H340)&lt;&gt;"Subscription",INDEX('Game Records'!$U:$U,$H340)&lt;&gt;"Free Game",INDEX('Game Records'!$U:$U,$H340)&lt;&gt;"Disqualified — Free Game",OR(INDEX('Game Records'!$L:$L,$H340)="",LOWER(INDEX('Game Records'!$L:$L,$H340)&amp;"")="n/a")),"Disqualified Status; ","")&amp;IF(AND(OR(LOWER(TRIM(INDEX('Game Records'!$F:$F,$H340)&amp;""))="free game",INDEX('Game Records'!$U:$U,$H340)="Free Game",INDEX('Game Records'!$U:$U,$H340)="Disqualified — Free Game"),N(INDEX('Game Records'!$H:$H,$H340))&lt;&gt;0),"Free Game has a non-zero Entry Fee. Free Game records require a $0 Entry Fee; ",""))</f>
        <v/>
      </c>
      <c r="G340" s="331" t="str">
        <f>IF($H340="","",IFERROR(INDEX('Game Records'!$M:$M,$H340),""))</f>
        <v/>
      </c>
      <c r="H340" s="104" t="str">
        <f>IF($H339="","",IFERROR(MATCH(1,INDEX((ROW('Game Records'!$U$5:$U$504)&gt;$H339)*(('Game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1" ht="24" customHeight="1">
      <c r="A341" s="332" t="str">
        <f>IF($H341="","",ROWS($A$5:A341))</f>
        <v/>
      </c>
      <c r="B341" s="332" t="str">
        <f>IF($H341="","","G-"&amp;TEXT($A341,"0000"))</f>
        <v/>
      </c>
      <c r="C341" s="331" t="str">
        <f>IF($H341="","",IFERROR(INDEX('Game Records'!$A:$A,$H341),""))</f>
        <v/>
      </c>
      <c r="D341" s="331" t="str">
        <f>IF($H341="","",IFERROR(INDEX('Game Records'!$U:$U,$H341),""))</f>
        <v/>
      </c>
      <c r="E341" s="331" t="str">
        <f>IF($H341="","",IF($F341="","No Highlighted Fields","Highlighted Fields Present"))</f>
        <v/>
      </c>
      <c r="F341" s="331" t="str">
        <f>IF($H341="","",IF(OR(NOT(ISFORMULA(INDEX('Game Records'!$N:$N,$H341))),NOT(ISFORMULA(INDEX('Game Records'!$O:$O,$H341))),NOT(ISFORMULA(INDEX('Game Records'!$P:$P,$H341))),NOT(ISFORMULA(INDEX('Game Records'!$Q:$Q,$H341))),NOT(ISFORMULA(INDEX('Game Records'!$R:$R,$H341))),NOT(ISFORMULA(INDEX('Game Records'!$S:$S,$H341))),NOT(ISFORMULA(INDEX('Game Records'!$T:$T,$H341))),NOT(ISFORMULA(INDEX('Game Records'!$U:$U,$H341))),NOT(ISFORMULA(INDEX('Game Records'!$V:$V,$H341))),NOT(ISFORMULA(INDEX('Game Records'!$W:$W,$H341))),NOT(ISFORMULA(INDEX('Game Records'!$X:$X,$H341))),NOT(ISFORMULA(INDEX('Game Records'!$Y:$Y,$H341))),NOT(ISFORMULA(INDEX('Game Records'!$Z:$Z,$H341)))),"Formula columns missing; ","")&amp;IF(INDEX('Game Records'!$B:$B,$H341)="","Start Date; ","")&amp;IF(INDEX('Game Records'!$C:$C,$H341)="","End Date; ","")&amp;IF(AND(INDEX('Game Records'!$U:$U,$H341)&lt;&gt;"Subscription",INDEX('Game Records'!$U:$U,$H341)&lt;&gt;"Free Game",INDEX('Game Records'!$U:$U,$H341)&lt;&gt;"Disqualified — Free Game",OR(INDEX('Game Records'!$D:$D,$H341)="",LOWER(INDEX('Game Records'!$D:$D,$H341)&amp;"")="n/a")),"Entry Mode; ","")&amp;IF(AND(INDEX('Game Records'!$U:$U,$H341)&lt;&gt;"Subscription",INDEX('Game Records'!$U:$U,$H341)&lt;&gt;"Free Game",INDEX('Game Records'!$U:$U,$H341)&lt;&gt;"Disqualified — Free Game",OR(INDEX('Game Records'!$E:$E,$H341)="",LOWER(INDEX('Game Records'!$E:$E,$H341)&amp;"")="n/a")),"Game Type; ","")&amp;IF(INDEX('Game Records'!$F:$F,$H341)="","Payment Type; ","")&amp;IF(AND(INDEX('Game Records'!$U:$U,$H341)&lt;&gt;"Subscription",INDEX('Game Records'!$U:$U,$H341)&lt;&gt;"Free Game",INDEX('Game Records'!$U:$U,$H341)&lt;&gt;"Disqualified — Free Game",INDEX('Game Records'!$G:$G,$H341)=""),"Gross Pot; ","")&amp;IF(AND(INDEX('Game Records'!$U:$U,$H341)&lt;&gt;"Free Game",INDEX('Game Records'!$U:$U,$H341)&lt;&gt;"Disqualified — Free Game",INDEX('Game Records'!$H:$H,$H341)=""),"Entry Fee; ","")&amp;IF(AND(INDEX('Game Records'!$U:$U,$H341)&lt;&gt;"Subscription",INDEX('Game Records'!$U:$U,$H341)&lt;&gt;"Free Game",INDEX('Game Records'!$U:$U,$H341)&lt;&gt;"Disqualified — Free Game",INDEX('Game Records'!$I:$I,$H341)=""),"Eligible Players; ","")&amp;IF(AND(INDEX('Game Records'!$U:$U,$H341)&lt;&gt;"Subscription",INDEX('Game Records'!$U:$U,$H341)&lt;&gt;"Free Game",INDEX('Game Records'!$U:$U,$H341)&lt;&gt;"Disqualified — Free Game",INDEX('Game Records'!$J:$J,$H341)=""),"Total Players; ","")&amp;IF(AND(LOWER(INDEX('Game Records'!$D:$D,$H341)&amp;"")="finalized",LOWER(INDEX('Game Records'!$L:$L,$H341)&amp;"")&lt;&gt;"yes",INDEX('Game Records'!$U:$U,$H341)&lt;&gt;"Subscription",INDEX('Game Records'!$U:$U,$H341)&lt;&gt;"Free Game",INDEX('Game Records'!$U:$U,$H341)&lt;&gt;"Disqualified — Free Game",INDEX('Game Records'!$K:$K,$H341)=""),"Final Earned; ","")&amp;IF(AND(LOWER(INDEX('Game Records'!$D:$D,$H341)&amp;"")="finalized",INDEX('Game Records'!$U:$U,$H341)&lt;&gt;"Subscription",INDEX('Game Records'!$U:$U,$H341)&lt;&gt;"Free Game",INDEX('Game Records'!$U:$U,$H341)&lt;&gt;"Disqualified — Free Game",OR(INDEX('Game Records'!$L:$L,$H341)="",LOWER(INDEX('Game Records'!$L:$L,$H341)&amp;"")="n/a")),"Disqualified Status; ","")&amp;IF(AND(OR(LOWER(TRIM(INDEX('Game Records'!$F:$F,$H341)&amp;""))="free game",INDEX('Game Records'!$U:$U,$H341)="Free Game",INDEX('Game Records'!$U:$U,$H341)="Disqualified — Free Game"),N(INDEX('Game Records'!$H:$H,$H341))&lt;&gt;0),"Free Game has a non-zero Entry Fee. Free Game records require a $0 Entry Fee; ",""))</f>
        <v/>
      </c>
      <c r="G341" s="331" t="str">
        <f>IF($H341="","",IFERROR(INDEX('Game Records'!$M:$M,$H341),""))</f>
        <v/>
      </c>
      <c r="H341" s="104" t="str">
        <f>IF($H340="","",IFERROR(MATCH(1,INDEX((ROW('Game Records'!$U$5:$U$504)&gt;$H340)*(('Game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2" ht="24" customHeight="1">
      <c r="A342" s="332" t="str">
        <f>IF($H342="","",ROWS($A$5:A342))</f>
        <v/>
      </c>
      <c r="B342" s="332" t="str">
        <f>IF($H342="","","G-"&amp;TEXT($A342,"0000"))</f>
        <v/>
      </c>
      <c r="C342" s="331" t="str">
        <f>IF($H342="","",IFERROR(INDEX('Game Records'!$A:$A,$H342),""))</f>
        <v/>
      </c>
      <c r="D342" s="331" t="str">
        <f>IF($H342="","",IFERROR(INDEX('Game Records'!$U:$U,$H342),""))</f>
        <v/>
      </c>
      <c r="E342" s="331" t="str">
        <f>IF($H342="","",IF($F342="","No Highlighted Fields","Highlighted Fields Present"))</f>
        <v/>
      </c>
      <c r="F342" s="331" t="str">
        <f>IF($H342="","",IF(OR(NOT(ISFORMULA(INDEX('Game Records'!$N:$N,$H342))),NOT(ISFORMULA(INDEX('Game Records'!$O:$O,$H342))),NOT(ISFORMULA(INDEX('Game Records'!$P:$P,$H342))),NOT(ISFORMULA(INDEX('Game Records'!$Q:$Q,$H342))),NOT(ISFORMULA(INDEX('Game Records'!$R:$R,$H342))),NOT(ISFORMULA(INDEX('Game Records'!$S:$S,$H342))),NOT(ISFORMULA(INDEX('Game Records'!$T:$T,$H342))),NOT(ISFORMULA(INDEX('Game Records'!$U:$U,$H342))),NOT(ISFORMULA(INDEX('Game Records'!$V:$V,$H342))),NOT(ISFORMULA(INDEX('Game Records'!$W:$W,$H342))),NOT(ISFORMULA(INDEX('Game Records'!$X:$X,$H342))),NOT(ISFORMULA(INDEX('Game Records'!$Y:$Y,$H342))),NOT(ISFORMULA(INDEX('Game Records'!$Z:$Z,$H342)))),"Formula columns missing; ","")&amp;IF(INDEX('Game Records'!$B:$B,$H342)="","Start Date; ","")&amp;IF(INDEX('Game Records'!$C:$C,$H342)="","End Date; ","")&amp;IF(AND(INDEX('Game Records'!$U:$U,$H342)&lt;&gt;"Subscription",INDEX('Game Records'!$U:$U,$H342)&lt;&gt;"Free Game",INDEX('Game Records'!$U:$U,$H342)&lt;&gt;"Disqualified — Free Game",OR(INDEX('Game Records'!$D:$D,$H342)="",LOWER(INDEX('Game Records'!$D:$D,$H342)&amp;"")="n/a")),"Entry Mode; ","")&amp;IF(AND(INDEX('Game Records'!$U:$U,$H342)&lt;&gt;"Subscription",INDEX('Game Records'!$U:$U,$H342)&lt;&gt;"Free Game",INDEX('Game Records'!$U:$U,$H342)&lt;&gt;"Disqualified — Free Game",OR(INDEX('Game Records'!$E:$E,$H342)="",LOWER(INDEX('Game Records'!$E:$E,$H342)&amp;"")="n/a")),"Game Type; ","")&amp;IF(INDEX('Game Records'!$F:$F,$H342)="","Payment Type; ","")&amp;IF(AND(INDEX('Game Records'!$U:$U,$H342)&lt;&gt;"Subscription",INDEX('Game Records'!$U:$U,$H342)&lt;&gt;"Free Game",INDEX('Game Records'!$U:$U,$H342)&lt;&gt;"Disqualified — Free Game",INDEX('Game Records'!$G:$G,$H342)=""),"Gross Pot; ","")&amp;IF(AND(INDEX('Game Records'!$U:$U,$H342)&lt;&gt;"Free Game",INDEX('Game Records'!$U:$U,$H342)&lt;&gt;"Disqualified — Free Game",INDEX('Game Records'!$H:$H,$H342)=""),"Entry Fee; ","")&amp;IF(AND(INDEX('Game Records'!$U:$U,$H342)&lt;&gt;"Subscription",INDEX('Game Records'!$U:$U,$H342)&lt;&gt;"Free Game",INDEX('Game Records'!$U:$U,$H342)&lt;&gt;"Disqualified — Free Game",INDEX('Game Records'!$I:$I,$H342)=""),"Eligible Players; ","")&amp;IF(AND(INDEX('Game Records'!$U:$U,$H342)&lt;&gt;"Subscription",INDEX('Game Records'!$U:$U,$H342)&lt;&gt;"Free Game",INDEX('Game Records'!$U:$U,$H342)&lt;&gt;"Disqualified — Free Game",INDEX('Game Records'!$J:$J,$H342)=""),"Total Players; ","")&amp;IF(AND(LOWER(INDEX('Game Records'!$D:$D,$H342)&amp;"")="finalized",LOWER(INDEX('Game Records'!$L:$L,$H342)&amp;"")&lt;&gt;"yes",INDEX('Game Records'!$U:$U,$H342)&lt;&gt;"Subscription",INDEX('Game Records'!$U:$U,$H342)&lt;&gt;"Free Game",INDEX('Game Records'!$U:$U,$H342)&lt;&gt;"Disqualified — Free Game",INDEX('Game Records'!$K:$K,$H342)=""),"Final Earned; ","")&amp;IF(AND(LOWER(INDEX('Game Records'!$D:$D,$H342)&amp;"")="finalized",INDEX('Game Records'!$U:$U,$H342)&lt;&gt;"Subscription",INDEX('Game Records'!$U:$U,$H342)&lt;&gt;"Free Game",INDEX('Game Records'!$U:$U,$H342)&lt;&gt;"Disqualified — Free Game",OR(INDEX('Game Records'!$L:$L,$H342)="",LOWER(INDEX('Game Records'!$L:$L,$H342)&amp;"")="n/a")),"Disqualified Status; ","")&amp;IF(AND(OR(LOWER(TRIM(INDEX('Game Records'!$F:$F,$H342)&amp;""))="free game",INDEX('Game Records'!$U:$U,$H342)="Free Game",INDEX('Game Records'!$U:$U,$H342)="Disqualified — Free Game"),N(INDEX('Game Records'!$H:$H,$H342))&lt;&gt;0),"Free Game has a non-zero Entry Fee. Free Game records require a $0 Entry Fee; ",""))</f>
        <v/>
      </c>
      <c r="G342" s="331" t="str">
        <f>IF($H342="","",IFERROR(INDEX('Game Records'!$M:$M,$H342),""))</f>
        <v/>
      </c>
      <c r="H342" s="104" t="str">
        <f>IF($H341="","",IFERROR(MATCH(1,INDEX((ROW('Game Records'!$U$5:$U$504)&gt;$H341)*(('Game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3" ht="24" customHeight="1">
      <c r="A343" s="332" t="str">
        <f>IF($H343="","",ROWS($A$5:A343))</f>
        <v/>
      </c>
      <c r="B343" s="332" t="str">
        <f>IF($H343="","","G-"&amp;TEXT($A343,"0000"))</f>
        <v/>
      </c>
      <c r="C343" s="331" t="str">
        <f>IF($H343="","",IFERROR(INDEX('Game Records'!$A:$A,$H343),""))</f>
        <v/>
      </c>
      <c r="D343" s="331" t="str">
        <f>IF($H343="","",IFERROR(INDEX('Game Records'!$U:$U,$H343),""))</f>
        <v/>
      </c>
      <c r="E343" s="331" t="str">
        <f>IF($H343="","",IF($F343="","No Highlighted Fields","Highlighted Fields Present"))</f>
        <v/>
      </c>
      <c r="F343" s="331" t="str">
        <f>IF($H343="","",IF(OR(NOT(ISFORMULA(INDEX('Game Records'!$N:$N,$H343))),NOT(ISFORMULA(INDEX('Game Records'!$O:$O,$H343))),NOT(ISFORMULA(INDEX('Game Records'!$P:$P,$H343))),NOT(ISFORMULA(INDEX('Game Records'!$Q:$Q,$H343))),NOT(ISFORMULA(INDEX('Game Records'!$R:$R,$H343))),NOT(ISFORMULA(INDEX('Game Records'!$S:$S,$H343))),NOT(ISFORMULA(INDEX('Game Records'!$T:$T,$H343))),NOT(ISFORMULA(INDEX('Game Records'!$U:$U,$H343))),NOT(ISFORMULA(INDEX('Game Records'!$V:$V,$H343))),NOT(ISFORMULA(INDEX('Game Records'!$W:$W,$H343))),NOT(ISFORMULA(INDEX('Game Records'!$X:$X,$H343))),NOT(ISFORMULA(INDEX('Game Records'!$Y:$Y,$H343))),NOT(ISFORMULA(INDEX('Game Records'!$Z:$Z,$H343)))),"Formula columns missing; ","")&amp;IF(INDEX('Game Records'!$B:$B,$H343)="","Start Date; ","")&amp;IF(INDEX('Game Records'!$C:$C,$H343)="","End Date; ","")&amp;IF(AND(INDEX('Game Records'!$U:$U,$H343)&lt;&gt;"Subscription",INDEX('Game Records'!$U:$U,$H343)&lt;&gt;"Free Game",INDEX('Game Records'!$U:$U,$H343)&lt;&gt;"Disqualified — Free Game",OR(INDEX('Game Records'!$D:$D,$H343)="",LOWER(INDEX('Game Records'!$D:$D,$H343)&amp;"")="n/a")),"Entry Mode; ","")&amp;IF(AND(INDEX('Game Records'!$U:$U,$H343)&lt;&gt;"Subscription",INDEX('Game Records'!$U:$U,$H343)&lt;&gt;"Free Game",INDEX('Game Records'!$U:$U,$H343)&lt;&gt;"Disqualified — Free Game",OR(INDEX('Game Records'!$E:$E,$H343)="",LOWER(INDEX('Game Records'!$E:$E,$H343)&amp;"")="n/a")),"Game Type; ","")&amp;IF(INDEX('Game Records'!$F:$F,$H343)="","Payment Type; ","")&amp;IF(AND(INDEX('Game Records'!$U:$U,$H343)&lt;&gt;"Subscription",INDEX('Game Records'!$U:$U,$H343)&lt;&gt;"Free Game",INDEX('Game Records'!$U:$U,$H343)&lt;&gt;"Disqualified — Free Game",INDEX('Game Records'!$G:$G,$H343)=""),"Gross Pot; ","")&amp;IF(AND(INDEX('Game Records'!$U:$U,$H343)&lt;&gt;"Free Game",INDEX('Game Records'!$U:$U,$H343)&lt;&gt;"Disqualified — Free Game",INDEX('Game Records'!$H:$H,$H343)=""),"Entry Fee; ","")&amp;IF(AND(INDEX('Game Records'!$U:$U,$H343)&lt;&gt;"Subscription",INDEX('Game Records'!$U:$U,$H343)&lt;&gt;"Free Game",INDEX('Game Records'!$U:$U,$H343)&lt;&gt;"Disqualified — Free Game",INDEX('Game Records'!$I:$I,$H343)=""),"Eligible Players; ","")&amp;IF(AND(INDEX('Game Records'!$U:$U,$H343)&lt;&gt;"Subscription",INDEX('Game Records'!$U:$U,$H343)&lt;&gt;"Free Game",INDEX('Game Records'!$U:$U,$H343)&lt;&gt;"Disqualified — Free Game",INDEX('Game Records'!$J:$J,$H343)=""),"Total Players; ","")&amp;IF(AND(LOWER(INDEX('Game Records'!$D:$D,$H343)&amp;"")="finalized",LOWER(INDEX('Game Records'!$L:$L,$H343)&amp;"")&lt;&gt;"yes",INDEX('Game Records'!$U:$U,$H343)&lt;&gt;"Subscription",INDEX('Game Records'!$U:$U,$H343)&lt;&gt;"Free Game",INDEX('Game Records'!$U:$U,$H343)&lt;&gt;"Disqualified — Free Game",INDEX('Game Records'!$K:$K,$H343)=""),"Final Earned; ","")&amp;IF(AND(LOWER(INDEX('Game Records'!$D:$D,$H343)&amp;"")="finalized",INDEX('Game Records'!$U:$U,$H343)&lt;&gt;"Subscription",INDEX('Game Records'!$U:$U,$H343)&lt;&gt;"Free Game",INDEX('Game Records'!$U:$U,$H343)&lt;&gt;"Disqualified — Free Game",OR(INDEX('Game Records'!$L:$L,$H343)="",LOWER(INDEX('Game Records'!$L:$L,$H343)&amp;"")="n/a")),"Disqualified Status; ","")&amp;IF(AND(OR(LOWER(TRIM(INDEX('Game Records'!$F:$F,$H343)&amp;""))="free game",INDEX('Game Records'!$U:$U,$H343)="Free Game",INDEX('Game Records'!$U:$U,$H343)="Disqualified — Free Game"),N(INDEX('Game Records'!$H:$H,$H343))&lt;&gt;0),"Free Game has a non-zero Entry Fee. Free Game records require a $0 Entry Fee; ",""))</f>
        <v/>
      </c>
      <c r="G343" s="331" t="str">
        <f>IF($H343="","",IFERROR(INDEX('Game Records'!$M:$M,$H343),""))</f>
        <v/>
      </c>
      <c r="H343" s="104" t="str">
        <f>IF($H342="","",IFERROR(MATCH(1,INDEX((ROW('Game Records'!$U$5:$U$504)&gt;$H342)*(('Game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4" ht="24" customHeight="1">
      <c r="A344" s="332" t="str">
        <f>IF($H344="","",ROWS($A$5:A344))</f>
        <v/>
      </c>
      <c r="B344" s="332" t="str">
        <f>IF($H344="","","G-"&amp;TEXT($A344,"0000"))</f>
        <v/>
      </c>
      <c r="C344" s="331" t="str">
        <f>IF($H344="","",IFERROR(INDEX('Game Records'!$A:$A,$H344),""))</f>
        <v/>
      </c>
      <c r="D344" s="331" t="str">
        <f>IF($H344="","",IFERROR(INDEX('Game Records'!$U:$U,$H344),""))</f>
        <v/>
      </c>
      <c r="E344" s="331" t="str">
        <f>IF($H344="","",IF($F344="","No Highlighted Fields","Highlighted Fields Present"))</f>
        <v/>
      </c>
      <c r="F344" s="331" t="str">
        <f>IF($H344="","",IF(OR(NOT(ISFORMULA(INDEX('Game Records'!$N:$N,$H344))),NOT(ISFORMULA(INDEX('Game Records'!$O:$O,$H344))),NOT(ISFORMULA(INDEX('Game Records'!$P:$P,$H344))),NOT(ISFORMULA(INDEX('Game Records'!$Q:$Q,$H344))),NOT(ISFORMULA(INDEX('Game Records'!$R:$R,$H344))),NOT(ISFORMULA(INDEX('Game Records'!$S:$S,$H344))),NOT(ISFORMULA(INDEX('Game Records'!$T:$T,$H344))),NOT(ISFORMULA(INDEX('Game Records'!$U:$U,$H344))),NOT(ISFORMULA(INDEX('Game Records'!$V:$V,$H344))),NOT(ISFORMULA(INDEX('Game Records'!$W:$W,$H344))),NOT(ISFORMULA(INDEX('Game Records'!$X:$X,$H344))),NOT(ISFORMULA(INDEX('Game Records'!$Y:$Y,$H344))),NOT(ISFORMULA(INDEX('Game Records'!$Z:$Z,$H344)))),"Formula columns missing; ","")&amp;IF(INDEX('Game Records'!$B:$B,$H344)="","Start Date; ","")&amp;IF(INDEX('Game Records'!$C:$C,$H344)="","End Date; ","")&amp;IF(AND(INDEX('Game Records'!$U:$U,$H344)&lt;&gt;"Subscription",INDEX('Game Records'!$U:$U,$H344)&lt;&gt;"Free Game",INDEX('Game Records'!$U:$U,$H344)&lt;&gt;"Disqualified — Free Game",OR(INDEX('Game Records'!$D:$D,$H344)="",LOWER(INDEX('Game Records'!$D:$D,$H344)&amp;"")="n/a")),"Entry Mode; ","")&amp;IF(AND(INDEX('Game Records'!$U:$U,$H344)&lt;&gt;"Subscription",INDEX('Game Records'!$U:$U,$H344)&lt;&gt;"Free Game",INDEX('Game Records'!$U:$U,$H344)&lt;&gt;"Disqualified — Free Game",OR(INDEX('Game Records'!$E:$E,$H344)="",LOWER(INDEX('Game Records'!$E:$E,$H344)&amp;"")="n/a")),"Game Type; ","")&amp;IF(INDEX('Game Records'!$F:$F,$H344)="","Payment Type; ","")&amp;IF(AND(INDEX('Game Records'!$U:$U,$H344)&lt;&gt;"Subscription",INDEX('Game Records'!$U:$U,$H344)&lt;&gt;"Free Game",INDEX('Game Records'!$U:$U,$H344)&lt;&gt;"Disqualified — Free Game",INDEX('Game Records'!$G:$G,$H344)=""),"Gross Pot; ","")&amp;IF(AND(INDEX('Game Records'!$U:$U,$H344)&lt;&gt;"Free Game",INDEX('Game Records'!$U:$U,$H344)&lt;&gt;"Disqualified — Free Game",INDEX('Game Records'!$H:$H,$H344)=""),"Entry Fee; ","")&amp;IF(AND(INDEX('Game Records'!$U:$U,$H344)&lt;&gt;"Subscription",INDEX('Game Records'!$U:$U,$H344)&lt;&gt;"Free Game",INDEX('Game Records'!$U:$U,$H344)&lt;&gt;"Disqualified — Free Game",INDEX('Game Records'!$I:$I,$H344)=""),"Eligible Players; ","")&amp;IF(AND(INDEX('Game Records'!$U:$U,$H344)&lt;&gt;"Subscription",INDEX('Game Records'!$U:$U,$H344)&lt;&gt;"Free Game",INDEX('Game Records'!$U:$U,$H344)&lt;&gt;"Disqualified — Free Game",INDEX('Game Records'!$J:$J,$H344)=""),"Total Players; ","")&amp;IF(AND(LOWER(INDEX('Game Records'!$D:$D,$H344)&amp;"")="finalized",LOWER(INDEX('Game Records'!$L:$L,$H344)&amp;"")&lt;&gt;"yes",INDEX('Game Records'!$U:$U,$H344)&lt;&gt;"Subscription",INDEX('Game Records'!$U:$U,$H344)&lt;&gt;"Free Game",INDEX('Game Records'!$U:$U,$H344)&lt;&gt;"Disqualified — Free Game",INDEX('Game Records'!$K:$K,$H344)=""),"Final Earned; ","")&amp;IF(AND(LOWER(INDEX('Game Records'!$D:$D,$H344)&amp;"")="finalized",INDEX('Game Records'!$U:$U,$H344)&lt;&gt;"Subscription",INDEX('Game Records'!$U:$U,$H344)&lt;&gt;"Free Game",INDEX('Game Records'!$U:$U,$H344)&lt;&gt;"Disqualified — Free Game",OR(INDEX('Game Records'!$L:$L,$H344)="",LOWER(INDEX('Game Records'!$L:$L,$H344)&amp;"")="n/a")),"Disqualified Status; ","")&amp;IF(AND(OR(LOWER(TRIM(INDEX('Game Records'!$F:$F,$H344)&amp;""))="free game",INDEX('Game Records'!$U:$U,$H344)="Free Game",INDEX('Game Records'!$U:$U,$H344)="Disqualified — Free Game"),N(INDEX('Game Records'!$H:$H,$H344))&lt;&gt;0),"Free Game has a non-zero Entry Fee. Free Game records require a $0 Entry Fee; ",""))</f>
        <v/>
      </c>
      <c r="G344" s="331" t="str">
        <f>IF($H344="","",IFERROR(INDEX('Game Records'!$M:$M,$H344),""))</f>
        <v/>
      </c>
      <c r="H344" s="104" t="str">
        <f>IF($H343="","",IFERROR(MATCH(1,INDEX((ROW('Game Records'!$U$5:$U$504)&gt;$H343)*(('Game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5" ht="24" customHeight="1">
      <c r="A345" s="332" t="str">
        <f>IF($H345="","",ROWS($A$5:A345))</f>
        <v/>
      </c>
      <c r="B345" s="332" t="str">
        <f>IF($H345="","","G-"&amp;TEXT($A345,"0000"))</f>
        <v/>
      </c>
      <c r="C345" s="331" t="str">
        <f>IF($H345="","",IFERROR(INDEX('Game Records'!$A:$A,$H345),""))</f>
        <v/>
      </c>
      <c r="D345" s="331" t="str">
        <f>IF($H345="","",IFERROR(INDEX('Game Records'!$U:$U,$H345),""))</f>
        <v/>
      </c>
      <c r="E345" s="331" t="str">
        <f>IF($H345="","",IF($F345="","No Highlighted Fields","Highlighted Fields Present"))</f>
        <v/>
      </c>
      <c r="F345" s="331" t="str">
        <f>IF($H345="","",IF(OR(NOT(ISFORMULA(INDEX('Game Records'!$N:$N,$H345))),NOT(ISFORMULA(INDEX('Game Records'!$O:$O,$H345))),NOT(ISFORMULA(INDEX('Game Records'!$P:$P,$H345))),NOT(ISFORMULA(INDEX('Game Records'!$Q:$Q,$H345))),NOT(ISFORMULA(INDEX('Game Records'!$R:$R,$H345))),NOT(ISFORMULA(INDEX('Game Records'!$S:$S,$H345))),NOT(ISFORMULA(INDEX('Game Records'!$T:$T,$H345))),NOT(ISFORMULA(INDEX('Game Records'!$U:$U,$H345))),NOT(ISFORMULA(INDEX('Game Records'!$V:$V,$H345))),NOT(ISFORMULA(INDEX('Game Records'!$W:$W,$H345))),NOT(ISFORMULA(INDEX('Game Records'!$X:$X,$H345))),NOT(ISFORMULA(INDEX('Game Records'!$Y:$Y,$H345))),NOT(ISFORMULA(INDEX('Game Records'!$Z:$Z,$H345)))),"Formula columns missing; ","")&amp;IF(INDEX('Game Records'!$B:$B,$H345)="","Start Date; ","")&amp;IF(INDEX('Game Records'!$C:$C,$H345)="","End Date; ","")&amp;IF(AND(INDEX('Game Records'!$U:$U,$H345)&lt;&gt;"Subscription",INDEX('Game Records'!$U:$U,$H345)&lt;&gt;"Free Game",INDEX('Game Records'!$U:$U,$H345)&lt;&gt;"Disqualified — Free Game",OR(INDEX('Game Records'!$D:$D,$H345)="",LOWER(INDEX('Game Records'!$D:$D,$H345)&amp;"")="n/a")),"Entry Mode; ","")&amp;IF(AND(INDEX('Game Records'!$U:$U,$H345)&lt;&gt;"Subscription",INDEX('Game Records'!$U:$U,$H345)&lt;&gt;"Free Game",INDEX('Game Records'!$U:$U,$H345)&lt;&gt;"Disqualified — Free Game",OR(INDEX('Game Records'!$E:$E,$H345)="",LOWER(INDEX('Game Records'!$E:$E,$H345)&amp;"")="n/a")),"Game Type; ","")&amp;IF(INDEX('Game Records'!$F:$F,$H345)="","Payment Type; ","")&amp;IF(AND(INDEX('Game Records'!$U:$U,$H345)&lt;&gt;"Subscription",INDEX('Game Records'!$U:$U,$H345)&lt;&gt;"Free Game",INDEX('Game Records'!$U:$U,$H345)&lt;&gt;"Disqualified — Free Game",INDEX('Game Records'!$G:$G,$H345)=""),"Gross Pot; ","")&amp;IF(AND(INDEX('Game Records'!$U:$U,$H345)&lt;&gt;"Free Game",INDEX('Game Records'!$U:$U,$H345)&lt;&gt;"Disqualified — Free Game",INDEX('Game Records'!$H:$H,$H345)=""),"Entry Fee; ","")&amp;IF(AND(INDEX('Game Records'!$U:$U,$H345)&lt;&gt;"Subscription",INDEX('Game Records'!$U:$U,$H345)&lt;&gt;"Free Game",INDEX('Game Records'!$U:$U,$H345)&lt;&gt;"Disqualified — Free Game",INDEX('Game Records'!$I:$I,$H345)=""),"Eligible Players; ","")&amp;IF(AND(INDEX('Game Records'!$U:$U,$H345)&lt;&gt;"Subscription",INDEX('Game Records'!$U:$U,$H345)&lt;&gt;"Free Game",INDEX('Game Records'!$U:$U,$H345)&lt;&gt;"Disqualified — Free Game",INDEX('Game Records'!$J:$J,$H345)=""),"Total Players; ","")&amp;IF(AND(LOWER(INDEX('Game Records'!$D:$D,$H345)&amp;"")="finalized",LOWER(INDEX('Game Records'!$L:$L,$H345)&amp;"")&lt;&gt;"yes",INDEX('Game Records'!$U:$U,$H345)&lt;&gt;"Subscription",INDEX('Game Records'!$U:$U,$H345)&lt;&gt;"Free Game",INDEX('Game Records'!$U:$U,$H345)&lt;&gt;"Disqualified — Free Game",INDEX('Game Records'!$K:$K,$H345)=""),"Final Earned; ","")&amp;IF(AND(LOWER(INDEX('Game Records'!$D:$D,$H345)&amp;"")="finalized",INDEX('Game Records'!$U:$U,$H345)&lt;&gt;"Subscription",INDEX('Game Records'!$U:$U,$H345)&lt;&gt;"Free Game",INDEX('Game Records'!$U:$U,$H345)&lt;&gt;"Disqualified — Free Game",OR(INDEX('Game Records'!$L:$L,$H345)="",LOWER(INDEX('Game Records'!$L:$L,$H345)&amp;"")="n/a")),"Disqualified Status; ","")&amp;IF(AND(OR(LOWER(TRIM(INDEX('Game Records'!$F:$F,$H345)&amp;""))="free game",INDEX('Game Records'!$U:$U,$H345)="Free Game",INDEX('Game Records'!$U:$U,$H345)="Disqualified — Free Game"),N(INDEX('Game Records'!$H:$H,$H345))&lt;&gt;0),"Free Game has a non-zero Entry Fee. Free Game records require a $0 Entry Fee; ",""))</f>
        <v/>
      </c>
      <c r="G345" s="331" t="str">
        <f>IF($H345="","",IFERROR(INDEX('Game Records'!$M:$M,$H345),""))</f>
        <v/>
      </c>
      <c r="H345" s="104" t="str">
        <f>IF($H344="","",IFERROR(MATCH(1,INDEX((ROW('Game Records'!$U$5:$U$504)&gt;$H344)*(('Game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6" ht="24" customHeight="1">
      <c r="A346" s="332" t="str">
        <f>IF($H346="","",ROWS($A$5:A346))</f>
        <v/>
      </c>
      <c r="B346" s="332" t="str">
        <f>IF($H346="","","G-"&amp;TEXT($A346,"0000"))</f>
        <v/>
      </c>
      <c r="C346" s="331" t="str">
        <f>IF($H346="","",IFERROR(INDEX('Game Records'!$A:$A,$H346),""))</f>
        <v/>
      </c>
      <c r="D346" s="331" t="str">
        <f>IF($H346="","",IFERROR(INDEX('Game Records'!$U:$U,$H346),""))</f>
        <v/>
      </c>
      <c r="E346" s="331" t="str">
        <f>IF($H346="","",IF($F346="","No Highlighted Fields","Highlighted Fields Present"))</f>
        <v/>
      </c>
      <c r="F346" s="331" t="str">
        <f>IF($H346="","",IF(OR(NOT(ISFORMULA(INDEX('Game Records'!$N:$N,$H346))),NOT(ISFORMULA(INDEX('Game Records'!$O:$O,$H346))),NOT(ISFORMULA(INDEX('Game Records'!$P:$P,$H346))),NOT(ISFORMULA(INDEX('Game Records'!$Q:$Q,$H346))),NOT(ISFORMULA(INDEX('Game Records'!$R:$R,$H346))),NOT(ISFORMULA(INDEX('Game Records'!$S:$S,$H346))),NOT(ISFORMULA(INDEX('Game Records'!$T:$T,$H346))),NOT(ISFORMULA(INDEX('Game Records'!$U:$U,$H346))),NOT(ISFORMULA(INDEX('Game Records'!$V:$V,$H346))),NOT(ISFORMULA(INDEX('Game Records'!$W:$W,$H346))),NOT(ISFORMULA(INDEX('Game Records'!$X:$X,$H346))),NOT(ISFORMULA(INDEX('Game Records'!$Y:$Y,$H346))),NOT(ISFORMULA(INDEX('Game Records'!$Z:$Z,$H346)))),"Formula columns missing; ","")&amp;IF(INDEX('Game Records'!$B:$B,$H346)="","Start Date; ","")&amp;IF(INDEX('Game Records'!$C:$C,$H346)="","End Date; ","")&amp;IF(AND(INDEX('Game Records'!$U:$U,$H346)&lt;&gt;"Subscription",INDEX('Game Records'!$U:$U,$H346)&lt;&gt;"Free Game",INDEX('Game Records'!$U:$U,$H346)&lt;&gt;"Disqualified — Free Game",OR(INDEX('Game Records'!$D:$D,$H346)="",LOWER(INDEX('Game Records'!$D:$D,$H346)&amp;"")="n/a")),"Entry Mode; ","")&amp;IF(AND(INDEX('Game Records'!$U:$U,$H346)&lt;&gt;"Subscription",INDEX('Game Records'!$U:$U,$H346)&lt;&gt;"Free Game",INDEX('Game Records'!$U:$U,$H346)&lt;&gt;"Disqualified — Free Game",OR(INDEX('Game Records'!$E:$E,$H346)="",LOWER(INDEX('Game Records'!$E:$E,$H346)&amp;"")="n/a")),"Game Type; ","")&amp;IF(INDEX('Game Records'!$F:$F,$H346)="","Payment Type; ","")&amp;IF(AND(INDEX('Game Records'!$U:$U,$H346)&lt;&gt;"Subscription",INDEX('Game Records'!$U:$U,$H346)&lt;&gt;"Free Game",INDEX('Game Records'!$U:$U,$H346)&lt;&gt;"Disqualified — Free Game",INDEX('Game Records'!$G:$G,$H346)=""),"Gross Pot; ","")&amp;IF(AND(INDEX('Game Records'!$U:$U,$H346)&lt;&gt;"Free Game",INDEX('Game Records'!$U:$U,$H346)&lt;&gt;"Disqualified — Free Game",INDEX('Game Records'!$H:$H,$H346)=""),"Entry Fee; ","")&amp;IF(AND(INDEX('Game Records'!$U:$U,$H346)&lt;&gt;"Subscription",INDEX('Game Records'!$U:$U,$H346)&lt;&gt;"Free Game",INDEX('Game Records'!$U:$U,$H346)&lt;&gt;"Disqualified — Free Game",INDEX('Game Records'!$I:$I,$H346)=""),"Eligible Players; ","")&amp;IF(AND(INDEX('Game Records'!$U:$U,$H346)&lt;&gt;"Subscription",INDEX('Game Records'!$U:$U,$H346)&lt;&gt;"Free Game",INDEX('Game Records'!$U:$U,$H346)&lt;&gt;"Disqualified — Free Game",INDEX('Game Records'!$J:$J,$H346)=""),"Total Players; ","")&amp;IF(AND(LOWER(INDEX('Game Records'!$D:$D,$H346)&amp;"")="finalized",LOWER(INDEX('Game Records'!$L:$L,$H346)&amp;"")&lt;&gt;"yes",INDEX('Game Records'!$U:$U,$H346)&lt;&gt;"Subscription",INDEX('Game Records'!$U:$U,$H346)&lt;&gt;"Free Game",INDEX('Game Records'!$U:$U,$H346)&lt;&gt;"Disqualified — Free Game",INDEX('Game Records'!$K:$K,$H346)=""),"Final Earned; ","")&amp;IF(AND(LOWER(INDEX('Game Records'!$D:$D,$H346)&amp;"")="finalized",INDEX('Game Records'!$U:$U,$H346)&lt;&gt;"Subscription",INDEX('Game Records'!$U:$U,$H346)&lt;&gt;"Free Game",INDEX('Game Records'!$U:$U,$H346)&lt;&gt;"Disqualified — Free Game",OR(INDEX('Game Records'!$L:$L,$H346)="",LOWER(INDEX('Game Records'!$L:$L,$H346)&amp;"")="n/a")),"Disqualified Status; ","")&amp;IF(AND(OR(LOWER(TRIM(INDEX('Game Records'!$F:$F,$H346)&amp;""))="free game",INDEX('Game Records'!$U:$U,$H346)="Free Game",INDEX('Game Records'!$U:$U,$H346)="Disqualified — Free Game"),N(INDEX('Game Records'!$H:$H,$H346))&lt;&gt;0),"Free Game has a non-zero Entry Fee. Free Game records require a $0 Entry Fee; ",""))</f>
        <v/>
      </c>
      <c r="G346" s="331" t="str">
        <f>IF($H346="","",IFERROR(INDEX('Game Records'!$M:$M,$H346),""))</f>
        <v/>
      </c>
      <c r="H346" s="104" t="str">
        <f>IF($H345="","",IFERROR(MATCH(1,INDEX((ROW('Game Records'!$U$5:$U$504)&gt;$H345)*(('Game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7" ht="24" customHeight="1">
      <c r="A347" s="332" t="str">
        <f>IF($H347="","",ROWS($A$5:A347))</f>
        <v/>
      </c>
      <c r="B347" s="332" t="str">
        <f>IF($H347="","","G-"&amp;TEXT($A347,"0000"))</f>
        <v/>
      </c>
      <c r="C347" s="331" t="str">
        <f>IF($H347="","",IFERROR(INDEX('Game Records'!$A:$A,$H347),""))</f>
        <v/>
      </c>
      <c r="D347" s="331" t="str">
        <f>IF($H347="","",IFERROR(INDEX('Game Records'!$U:$U,$H347),""))</f>
        <v/>
      </c>
      <c r="E347" s="331" t="str">
        <f>IF($H347="","",IF($F347="","No Highlighted Fields","Highlighted Fields Present"))</f>
        <v/>
      </c>
      <c r="F347" s="331" t="str">
        <f>IF($H347="","",IF(OR(NOT(ISFORMULA(INDEX('Game Records'!$N:$N,$H347))),NOT(ISFORMULA(INDEX('Game Records'!$O:$O,$H347))),NOT(ISFORMULA(INDEX('Game Records'!$P:$P,$H347))),NOT(ISFORMULA(INDEX('Game Records'!$Q:$Q,$H347))),NOT(ISFORMULA(INDEX('Game Records'!$R:$R,$H347))),NOT(ISFORMULA(INDEX('Game Records'!$S:$S,$H347))),NOT(ISFORMULA(INDEX('Game Records'!$T:$T,$H347))),NOT(ISFORMULA(INDEX('Game Records'!$U:$U,$H347))),NOT(ISFORMULA(INDEX('Game Records'!$V:$V,$H347))),NOT(ISFORMULA(INDEX('Game Records'!$W:$W,$H347))),NOT(ISFORMULA(INDEX('Game Records'!$X:$X,$H347))),NOT(ISFORMULA(INDEX('Game Records'!$Y:$Y,$H347))),NOT(ISFORMULA(INDEX('Game Records'!$Z:$Z,$H347)))),"Formula columns missing; ","")&amp;IF(INDEX('Game Records'!$B:$B,$H347)="","Start Date; ","")&amp;IF(INDEX('Game Records'!$C:$C,$H347)="","End Date; ","")&amp;IF(AND(INDEX('Game Records'!$U:$U,$H347)&lt;&gt;"Subscription",INDEX('Game Records'!$U:$U,$H347)&lt;&gt;"Free Game",INDEX('Game Records'!$U:$U,$H347)&lt;&gt;"Disqualified — Free Game",OR(INDEX('Game Records'!$D:$D,$H347)="",LOWER(INDEX('Game Records'!$D:$D,$H347)&amp;"")="n/a")),"Entry Mode; ","")&amp;IF(AND(INDEX('Game Records'!$U:$U,$H347)&lt;&gt;"Subscription",INDEX('Game Records'!$U:$U,$H347)&lt;&gt;"Free Game",INDEX('Game Records'!$U:$U,$H347)&lt;&gt;"Disqualified — Free Game",OR(INDEX('Game Records'!$E:$E,$H347)="",LOWER(INDEX('Game Records'!$E:$E,$H347)&amp;"")="n/a")),"Game Type; ","")&amp;IF(INDEX('Game Records'!$F:$F,$H347)="","Payment Type; ","")&amp;IF(AND(INDEX('Game Records'!$U:$U,$H347)&lt;&gt;"Subscription",INDEX('Game Records'!$U:$U,$H347)&lt;&gt;"Free Game",INDEX('Game Records'!$U:$U,$H347)&lt;&gt;"Disqualified — Free Game",INDEX('Game Records'!$G:$G,$H347)=""),"Gross Pot; ","")&amp;IF(AND(INDEX('Game Records'!$U:$U,$H347)&lt;&gt;"Free Game",INDEX('Game Records'!$U:$U,$H347)&lt;&gt;"Disqualified — Free Game",INDEX('Game Records'!$H:$H,$H347)=""),"Entry Fee; ","")&amp;IF(AND(INDEX('Game Records'!$U:$U,$H347)&lt;&gt;"Subscription",INDEX('Game Records'!$U:$U,$H347)&lt;&gt;"Free Game",INDEX('Game Records'!$U:$U,$H347)&lt;&gt;"Disqualified — Free Game",INDEX('Game Records'!$I:$I,$H347)=""),"Eligible Players; ","")&amp;IF(AND(INDEX('Game Records'!$U:$U,$H347)&lt;&gt;"Subscription",INDEX('Game Records'!$U:$U,$H347)&lt;&gt;"Free Game",INDEX('Game Records'!$U:$U,$H347)&lt;&gt;"Disqualified — Free Game",INDEX('Game Records'!$J:$J,$H347)=""),"Total Players; ","")&amp;IF(AND(LOWER(INDEX('Game Records'!$D:$D,$H347)&amp;"")="finalized",LOWER(INDEX('Game Records'!$L:$L,$H347)&amp;"")&lt;&gt;"yes",INDEX('Game Records'!$U:$U,$H347)&lt;&gt;"Subscription",INDEX('Game Records'!$U:$U,$H347)&lt;&gt;"Free Game",INDEX('Game Records'!$U:$U,$H347)&lt;&gt;"Disqualified — Free Game",INDEX('Game Records'!$K:$K,$H347)=""),"Final Earned; ","")&amp;IF(AND(LOWER(INDEX('Game Records'!$D:$D,$H347)&amp;"")="finalized",INDEX('Game Records'!$U:$U,$H347)&lt;&gt;"Subscription",INDEX('Game Records'!$U:$U,$H347)&lt;&gt;"Free Game",INDEX('Game Records'!$U:$U,$H347)&lt;&gt;"Disqualified — Free Game",OR(INDEX('Game Records'!$L:$L,$H347)="",LOWER(INDEX('Game Records'!$L:$L,$H347)&amp;"")="n/a")),"Disqualified Status; ","")&amp;IF(AND(OR(LOWER(TRIM(INDEX('Game Records'!$F:$F,$H347)&amp;""))="free game",INDEX('Game Records'!$U:$U,$H347)="Free Game",INDEX('Game Records'!$U:$U,$H347)="Disqualified — Free Game"),N(INDEX('Game Records'!$H:$H,$H347))&lt;&gt;0),"Free Game has a non-zero Entry Fee. Free Game records require a $0 Entry Fee; ",""))</f>
        <v/>
      </c>
      <c r="G347" s="331" t="str">
        <f>IF($H347="","",IFERROR(INDEX('Game Records'!$M:$M,$H347),""))</f>
        <v/>
      </c>
      <c r="H347" s="104" t="str">
        <f>IF($H346="","",IFERROR(MATCH(1,INDEX((ROW('Game Records'!$U$5:$U$504)&gt;$H346)*(('Game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8" ht="24" customHeight="1">
      <c r="A348" s="332" t="str">
        <f>IF($H348="","",ROWS($A$5:A348))</f>
        <v/>
      </c>
      <c r="B348" s="332" t="str">
        <f>IF($H348="","","G-"&amp;TEXT($A348,"0000"))</f>
        <v/>
      </c>
      <c r="C348" s="331" t="str">
        <f>IF($H348="","",IFERROR(INDEX('Game Records'!$A:$A,$H348),""))</f>
        <v/>
      </c>
      <c r="D348" s="331" t="str">
        <f>IF($H348="","",IFERROR(INDEX('Game Records'!$U:$U,$H348),""))</f>
        <v/>
      </c>
      <c r="E348" s="331" t="str">
        <f>IF($H348="","",IF($F348="","No Highlighted Fields","Highlighted Fields Present"))</f>
        <v/>
      </c>
      <c r="F348" s="331" t="str">
        <f>IF($H348="","",IF(OR(NOT(ISFORMULA(INDEX('Game Records'!$N:$N,$H348))),NOT(ISFORMULA(INDEX('Game Records'!$O:$O,$H348))),NOT(ISFORMULA(INDEX('Game Records'!$P:$P,$H348))),NOT(ISFORMULA(INDEX('Game Records'!$Q:$Q,$H348))),NOT(ISFORMULA(INDEX('Game Records'!$R:$R,$H348))),NOT(ISFORMULA(INDEX('Game Records'!$S:$S,$H348))),NOT(ISFORMULA(INDEX('Game Records'!$T:$T,$H348))),NOT(ISFORMULA(INDEX('Game Records'!$U:$U,$H348))),NOT(ISFORMULA(INDEX('Game Records'!$V:$V,$H348))),NOT(ISFORMULA(INDEX('Game Records'!$W:$W,$H348))),NOT(ISFORMULA(INDEX('Game Records'!$X:$X,$H348))),NOT(ISFORMULA(INDEX('Game Records'!$Y:$Y,$H348))),NOT(ISFORMULA(INDEX('Game Records'!$Z:$Z,$H348)))),"Formula columns missing; ","")&amp;IF(INDEX('Game Records'!$B:$B,$H348)="","Start Date; ","")&amp;IF(INDEX('Game Records'!$C:$C,$H348)="","End Date; ","")&amp;IF(AND(INDEX('Game Records'!$U:$U,$H348)&lt;&gt;"Subscription",INDEX('Game Records'!$U:$U,$H348)&lt;&gt;"Free Game",INDEX('Game Records'!$U:$U,$H348)&lt;&gt;"Disqualified — Free Game",OR(INDEX('Game Records'!$D:$D,$H348)="",LOWER(INDEX('Game Records'!$D:$D,$H348)&amp;"")="n/a")),"Entry Mode; ","")&amp;IF(AND(INDEX('Game Records'!$U:$U,$H348)&lt;&gt;"Subscription",INDEX('Game Records'!$U:$U,$H348)&lt;&gt;"Free Game",INDEX('Game Records'!$U:$U,$H348)&lt;&gt;"Disqualified — Free Game",OR(INDEX('Game Records'!$E:$E,$H348)="",LOWER(INDEX('Game Records'!$E:$E,$H348)&amp;"")="n/a")),"Game Type; ","")&amp;IF(INDEX('Game Records'!$F:$F,$H348)="","Payment Type; ","")&amp;IF(AND(INDEX('Game Records'!$U:$U,$H348)&lt;&gt;"Subscription",INDEX('Game Records'!$U:$U,$H348)&lt;&gt;"Free Game",INDEX('Game Records'!$U:$U,$H348)&lt;&gt;"Disqualified — Free Game",INDEX('Game Records'!$G:$G,$H348)=""),"Gross Pot; ","")&amp;IF(AND(INDEX('Game Records'!$U:$U,$H348)&lt;&gt;"Free Game",INDEX('Game Records'!$U:$U,$H348)&lt;&gt;"Disqualified — Free Game",INDEX('Game Records'!$H:$H,$H348)=""),"Entry Fee; ","")&amp;IF(AND(INDEX('Game Records'!$U:$U,$H348)&lt;&gt;"Subscription",INDEX('Game Records'!$U:$U,$H348)&lt;&gt;"Free Game",INDEX('Game Records'!$U:$U,$H348)&lt;&gt;"Disqualified — Free Game",INDEX('Game Records'!$I:$I,$H348)=""),"Eligible Players; ","")&amp;IF(AND(INDEX('Game Records'!$U:$U,$H348)&lt;&gt;"Subscription",INDEX('Game Records'!$U:$U,$H348)&lt;&gt;"Free Game",INDEX('Game Records'!$U:$U,$H348)&lt;&gt;"Disqualified — Free Game",INDEX('Game Records'!$J:$J,$H348)=""),"Total Players; ","")&amp;IF(AND(LOWER(INDEX('Game Records'!$D:$D,$H348)&amp;"")="finalized",LOWER(INDEX('Game Records'!$L:$L,$H348)&amp;"")&lt;&gt;"yes",INDEX('Game Records'!$U:$U,$H348)&lt;&gt;"Subscription",INDEX('Game Records'!$U:$U,$H348)&lt;&gt;"Free Game",INDEX('Game Records'!$U:$U,$H348)&lt;&gt;"Disqualified — Free Game",INDEX('Game Records'!$K:$K,$H348)=""),"Final Earned; ","")&amp;IF(AND(LOWER(INDEX('Game Records'!$D:$D,$H348)&amp;"")="finalized",INDEX('Game Records'!$U:$U,$H348)&lt;&gt;"Subscription",INDEX('Game Records'!$U:$U,$H348)&lt;&gt;"Free Game",INDEX('Game Records'!$U:$U,$H348)&lt;&gt;"Disqualified — Free Game",OR(INDEX('Game Records'!$L:$L,$H348)="",LOWER(INDEX('Game Records'!$L:$L,$H348)&amp;"")="n/a")),"Disqualified Status; ","")&amp;IF(AND(OR(LOWER(TRIM(INDEX('Game Records'!$F:$F,$H348)&amp;""))="free game",INDEX('Game Records'!$U:$U,$H348)="Free Game",INDEX('Game Records'!$U:$U,$H348)="Disqualified — Free Game"),N(INDEX('Game Records'!$H:$H,$H348))&lt;&gt;0),"Free Game has a non-zero Entry Fee. Free Game records require a $0 Entry Fee; ",""))</f>
        <v/>
      </c>
      <c r="G348" s="331" t="str">
        <f>IF($H348="","",IFERROR(INDEX('Game Records'!$M:$M,$H348),""))</f>
        <v/>
      </c>
      <c r="H348" s="104" t="str">
        <f>IF($H347="","",IFERROR(MATCH(1,INDEX((ROW('Game Records'!$U$5:$U$504)&gt;$H347)*(('Game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9" ht="24" customHeight="1">
      <c r="A349" s="332" t="str">
        <f>IF($H349="","",ROWS($A$5:A349))</f>
        <v/>
      </c>
      <c r="B349" s="332" t="str">
        <f>IF($H349="","","G-"&amp;TEXT($A349,"0000"))</f>
        <v/>
      </c>
      <c r="C349" s="331" t="str">
        <f>IF($H349="","",IFERROR(INDEX('Game Records'!$A:$A,$H349),""))</f>
        <v/>
      </c>
      <c r="D349" s="331" t="str">
        <f>IF($H349="","",IFERROR(INDEX('Game Records'!$U:$U,$H349),""))</f>
        <v/>
      </c>
      <c r="E349" s="331" t="str">
        <f>IF($H349="","",IF($F349="","No Highlighted Fields","Highlighted Fields Present"))</f>
        <v/>
      </c>
      <c r="F349" s="331" t="str">
        <f>IF($H349="","",IF(OR(NOT(ISFORMULA(INDEX('Game Records'!$N:$N,$H349))),NOT(ISFORMULA(INDEX('Game Records'!$O:$O,$H349))),NOT(ISFORMULA(INDEX('Game Records'!$P:$P,$H349))),NOT(ISFORMULA(INDEX('Game Records'!$Q:$Q,$H349))),NOT(ISFORMULA(INDEX('Game Records'!$R:$R,$H349))),NOT(ISFORMULA(INDEX('Game Records'!$S:$S,$H349))),NOT(ISFORMULA(INDEX('Game Records'!$T:$T,$H349))),NOT(ISFORMULA(INDEX('Game Records'!$U:$U,$H349))),NOT(ISFORMULA(INDEX('Game Records'!$V:$V,$H349))),NOT(ISFORMULA(INDEX('Game Records'!$W:$W,$H349))),NOT(ISFORMULA(INDEX('Game Records'!$X:$X,$H349))),NOT(ISFORMULA(INDEX('Game Records'!$Y:$Y,$H349))),NOT(ISFORMULA(INDEX('Game Records'!$Z:$Z,$H349)))),"Formula columns missing; ","")&amp;IF(INDEX('Game Records'!$B:$B,$H349)="","Start Date; ","")&amp;IF(INDEX('Game Records'!$C:$C,$H349)="","End Date; ","")&amp;IF(AND(INDEX('Game Records'!$U:$U,$H349)&lt;&gt;"Subscription",INDEX('Game Records'!$U:$U,$H349)&lt;&gt;"Free Game",INDEX('Game Records'!$U:$U,$H349)&lt;&gt;"Disqualified — Free Game",OR(INDEX('Game Records'!$D:$D,$H349)="",LOWER(INDEX('Game Records'!$D:$D,$H349)&amp;"")="n/a")),"Entry Mode; ","")&amp;IF(AND(INDEX('Game Records'!$U:$U,$H349)&lt;&gt;"Subscription",INDEX('Game Records'!$U:$U,$H349)&lt;&gt;"Free Game",INDEX('Game Records'!$U:$U,$H349)&lt;&gt;"Disqualified — Free Game",OR(INDEX('Game Records'!$E:$E,$H349)="",LOWER(INDEX('Game Records'!$E:$E,$H349)&amp;"")="n/a")),"Game Type; ","")&amp;IF(INDEX('Game Records'!$F:$F,$H349)="","Payment Type; ","")&amp;IF(AND(INDEX('Game Records'!$U:$U,$H349)&lt;&gt;"Subscription",INDEX('Game Records'!$U:$U,$H349)&lt;&gt;"Free Game",INDEX('Game Records'!$U:$U,$H349)&lt;&gt;"Disqualified — Free Game",INDEX('Game Records'!$G:$G,$H349)=""),"Gross Pot; ","")&amp;IF(AND(INDEX('Game Records'!$U:$U,$H349)&lt;&gt;"Free Game",INDEX('Game Records'!$U:$U,$H349)&lt;&gt;"Disqualified — Free Game",INDEX('Game Records'!$H:$H,$H349)=""),"Entry Fee; ","")&amp;IF(AND(INDEX('Game Records'!$U:$U,$H349)&lt;&gt;"Subscription",INDEX('Game Records'!$U:$U,$H349)&lt;&gt;"Free Game",INDEX('Game Records'!$U:$U,$H349)&lt;&gt;"Disqualified — Free Game",INDEX('Game Records'!$I:$I,$H349)=""),"Eligible Players; ","")&amp;IF(AND(INDEX('Game Records'!$U:$U,$H349)&lt;&gt;"Subscription",INDEX('Game Records'!$U:$U,$H349)&lt;&gt;"Free Game",INDEX('Game Records'!$U:$U,$H349)&lt;&gt;"Disqualified — Free Game",INDEX('Game Records'!$J:$J,$H349)=""),"Total Players; ","")&amp;IF(AND(LOWER(INDEX('Game Records'!$D:$D,$H349)&amp;"")="finalized",LOWER(INDEX('Game Records'!$L:$L,$H349)&amp;"")&lt;&gt;"yes",INDEX('Game Records'!$U:$U,$H349)&lt;&gt;"Subscription",INDEX('Game Records'!$U:$U,$H349)&lt;&gt;"Free Game",INDEX('Game Records'!$U:$U,$H349)&lt;&gt;"Disqualified — Free Game",INDEX('Game Records'!$K:$K,$H349)=""),"Final Earned; ","")&amp;IF(AND(LOWER(INDEX('Game Records'!$D:$D,$H349)&amp;"")="finalized",INDEX('Game Records'!$U:$U,$H349)&lt;&gt;"Subscription",INDEX('Game Records'!$U:$U,$H349)&lt;&gt;"Free Game",INDEX('Game Records'!$U:$U,$H349)&lt;&gt;"Disqualified — Free Game",OR(INDEX('Game Records'!$L:$L,$H349)="",LOWER(INDEX('Game Records'!$L:$L,$H349)&amp;"")="n/a")),"Disqualified Status; ","")&amp;IF(AND(OR(LOWER(TRIM(INDEX('Game Records'!$F:$F,$H349)&amp;""))="free game",INDEX('Game Records'!$U:$U,$H349)="Free Game",INDEX('Game Records'!$U:$U,$H349)="Disqualified — Free Game"),N(INDEX('Game Records'!$H:$H,$H349))&lt;&gt;0),"Free Game has a non-zero Entry Fee. Free Game records require a $0 Entry Fee; ",""))</f>
        <v/>
      </c>
      <c r="G349" s="331" t="str">
        <f>IF($H349="","",IFERROR(INDEX('Game Records'!$M:$M,$H349),""))</f>
        <v/>
      </c>
      <c r="H349" s="104" t="str">
        <f>IF($H348="","",IFERROR(MATCH(1,INDEX((ROW('Game Records'!$U$5:$U$504)&gt;$H348)*(('Game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0" ht="24" customHeight="1">
      <c r="A350" s="332" t="str">
        <f>IF($H350="","",ROWS($A$5:A350))</f>
        <v/>
      </c>
      <c r="B350" s="332" t="str">
        <f>IF($H350="","","G-"&amp;TEXT($A350,"0000"))</f>
        <v/>
      </c>
      <c r="C350" s="331" t="str">
        <f>IF($H350="","",IFERROR(INDEX('Game Records'!$A:$A,$H350),""))</f>
        <v/>
      </c>
      <c r="D350" s="331" t="str">
        <f>IF($H350="","",IFERROR(INDEX('Game Records'!$U:$U,$H350),""))</f>
        <v/>
      </c>
      <c r="E350" s="331" t="str">
        <f>IF($H350="","",IF($F350="","No Highlighted Fields","Highlighted Fields Present"))</f>
        <v/>
      </c>
      <c r="F350" s="331" t="str">
        <f>IF($H350="","",IF(OR(NOT(ISFORMULA(INDEX('Game Records'!$N:$N,$H350))),NOT(ISFORMULA(INDEX('Game Records'!$O:$O,$H350))),NOT(ISFORMULA(INDEX('Game Records'!$P:$P,$H350))),NOT(ISFORMULA(INDEX('Game Records'!$Q:$Q,$H350))),NOT(ISFORMULA(INDEX('Game Records'!$R:$R,$H350))),NOT(ISFORMULA(INDEX('Game Records'!$S:$S,$H350))),NOT(ISFORMULA(INDEX('Game Records'!$T:$T,$H350))),NOT(ISFORMULA(INDEX('Game Records'!$U:$U,$H350))),NOT(ISFORMULA(INDEX('Game Records'!$V:$V,$H350))),NOT(ISFORMULA(INDEX('Game Records'!$W:$W,$H350))),NOT(ISFORMULA(INDEX('Game Records'!$X:$X,$H350))),NOT(ISFORMULA(INDEX('Game Records'!$Y:$Y,$H350))),NOT(ISFORMULA(INDEX('Game Records'!$Z:$Z,$H350)))),"Formula columns missing; ","")&amp;IF(INDEX('Game Records'!$B:$B,$H350)="","Start Date; ","")&amp;IF(INDEX('Game Records'!$C:$C,$H350)="","End Date; ","")&amp;IF(AND(INDEX('Game Records'!$U:$U,$H350)&lt;&gt;"Subscription",INDEX('Game Records'!$U:$U,$H350)&lt;&gt;"Free Game",INDEX('Game Records'!$U:$U,$H350)&lt;&gt;"Disqualified — Free Game",OR(INDEX('Game Records'!$D:$D,$H350)="",LOWER(INDEX('Game Records'!$D:$D,$H350)&amp;"")="n/a")),"Entry Mode; ","")&amp;IF(AND(INDEX('Game Records'!$U:$U,$H350)&lt;&gt;"Subscription",INDEX('Game Records'!$U:$U,$H350)&lt;&gt;"Free Game",INDEX('Game Records'!$U:$U,$H350)&lt;&gt;"Disqualified — Free Game",OR(INDEX('Game Records'!$E:$E,$H350)="",LOWER(INDEX('Game Records'!$E:$E,$H350)&amp;"")="n/a")),"Game Type; ","")&amp;IF(INDEX('Game Records'!$F:$F,$H350)="","Payment Type; ","")&amp;IF(AND(INDEX('Game Records'!$U:$U,$H350)&lt;&gt;"Subscription",INDEX('Game Records'!$U:$U,$H350)&lt;&gt;"Free Game",INDEX('Game Records'!$U:$U,$H350)&lt;&gt;"Disqualified — Free Game",INDEX('Game Records'!$G:$G,$H350)=""),"Gross Pot; ","")&amp;IF(AND(INDEX('Game Records'!$U:$U,$H350)&lt;&gt;"Free Game",INDEX('Game Records'!$U:$U,$H350)&lt;&gt;"Disqualified — Free Game",INDEX('Game Records'!$H:$H,$H350)=""),"Entry Fee; ","")&amp;IF(AND(INDEX('Game Records'!$U:$U,$H350)&lt;&gt;"Subscription",INDEX('Game Records'!$U:$U,$H350)&lt;&gt;"Free Game",INDEX('Game Records'!$U:$U,$H350)&lt;&gt;"Disqualified — Free Game",INDEX('Game Records'!$I:$I,$H350)=""),"Eligible Players; ","")&amp;IF(AND(INDEX('Game Records'!$U:$U,$H350)&lt;&gt;"Subscription",INDEX('Game Records'!$U:$U,$H350)&lt;&gt;"Free Game",INDEX('Game Records'!$U:$U,$H350)&lt;&gt;"Disqualified — Free Game",INDEX('Game Records'!$J:$J,$H350)=""),"Total Players; ","")&amp;IF(AND(LOWER(INDEX('Game Records'!$D:$D,$H350)&amp;"")="finalized",LOWER(INDEX('Game Records'!$L:$L,$H350)&amp;"")&lt;&gt;"yes",INDEX('Game Records'!$U:$U,$H350)&lt;&gt;"Subscription",INDEX('Game Records'!$U:$U,$H350)&lt;&gt;"Free Game",INDEX('Game Records'!$U:$U,$H350)&lt;&gt;"Disqualified — Free Game",INDEX('Game Records'!$K:$K,$H350)=""),"Final Earned; ","")&amp;IF(AND(LOWER(INDEX('Game Records'!$D:$D,$H350)&amp;"")="finalized",INDEX('Game Records'!$U:$U,$H350)&lt;&gt;"Subscription",INDEX('Game Records'!$U:$U,$H350)&lt;&gt;"Free Game",INDEX('Game Records'!$U:$U,$H350)&lt;&gt;"Disqualified — Free Game",OR(INDEX('Game Records'!$L:$L,$H350)="",LOWER(INDEX('Game Records'!$L:$L,$H350)&amp;"")="n/a")),"Disqualified Status; ","")&amp;IF(AND(OR(LOWER(TRIM(INDEX('Game Records'!$F:$F,$H350)&amp;""))="free game",INDEX('Game Records'!$U:$U,$H350)="Free Game",INDEX('Game Records'!$U:$U,$H350)="Disqualified — Free Game"),N(INDEX('Game Records'!$H:$H,$H350))&lt;&gt;0),"Free Game has a non-zero Entry Fee. Free Game records require a $0 Entry Fee; ",""))</f>
        <v/>
      </c>
      <c r="G350" s="331" t="str">
        <f>IF($H350="","",IFERROR(INDEX('Game Records'!$M:$M,$H350),""))</f>
        <v/>
      </c>
      <c r="H350" s="104" t="str">
        <f>IF($H349="","",IFERROR(MATCH(1,INDEX((ROW('Game Records'!$U$5:$U$504)&gt;$H349)*(('Game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1" ht="24" customHeight="1">
      <c r="A351" s="332" t="str">
        <f>IF($H351="","",ROWS($A$5:A351))</f>
        <v/>
      </c>
      <c r="B351" s="332" t="str">
        <f>IF($H351="","","G-"&amp;TEXT($A351,"0000"))</f>
        <v/>
      </c>
      <c r="C351" s="331" t="str">
        <f>IF($H351="","",IFERROR(INDEX('Game Records'!$A:$A,$H351),""))</f>
        <v/>
      </c>
      <c r="D351" s="331" t="str">
        <f>IF($H351="","",IFERROR(INDEX('Game Records'!$U:$U,$H351),""))</f>
        <v/>
      </c>
      <c r="E351" s="331" t="str">
        <f>IF($H351="","",IF($F351="","No Highlighted Fields","Highlighted Fields Present"))</f>
        <v/>
      </c>
      <c r="F351" s="331" t="str">
        <f>IF($H351="","",IF(OR(NOT(ISFORMULA(INDEX('Game Records'!$N:$N,$H351))),NOT(ISFORMULA(INDEX('Game Records'!$O:$O,$H351))),NOT(ISFORMULA(INDEX('Game Records'!$P:$P,$H351))),NOT(ISFORMULA(INDEX('Game Records'!$Q:$Q,$H351))),NOT(ISFORMULA(INDEX('Game Records'!$R:$R,$H351))),NOT(ISFORMULA(INDEX('Game Records'!$S:$S,$H351))),NOT(ISFORMULA(INDEX('Game Records'!$T:$T,$H351))),NOT(ISFORMULA(INDEX('Game Records'!$U:$U,$H351))),NOT(ISFORMULA(INDEX('Game Records'!$V:$V,$H351))),NOT(ISFORMULA(INDEX('Game Records'!$W:$W,$H351))),NOT(ISFORMULA(INDEX('Game Records'!$X:$X,$H351))),NOT(ISFORMULA(INDEX('Game Records'!$Y:$Y,$H351))),NOT(ISFORMULA(INDEX('Game Records'!$Z:$Z,$H351)))),"Formula columns missing; ","")&amp;IF(INDEX('Game Records'!$B:$B,$H351)="","Start Date; ","")&amp;IF(INDEX('Game Records'!$C:$C,$H351)="","End Date; ","")&amp;IF(AND(INDEX('Game Records'!$U:$U,$H351)&lt;&gt;"Subscription",INDEX('Game Records'!$U:$U,$H351)&lt;&gt;"Free Game",INDEX('Game Records'!$U:$U,$H351)&lt;&gt;"Disqualified — Free Game",OR(INDEX('Game Records'!$D:$D,$H351)="",LOWER(INDEX('Game Records'!$D:$D,$H351)&amp;"")="n/a")),"Entry Mode; ","")&amp;IF(AND(INDEX('Game Records'!$U:$U,$H351)&lt;&gt;"Subscription",INDEX('Game Records'!$U:$U,$H351)&lt;&gt;"Free Game",INDEX('Game Records'!$U:$U,$H351)&lt;&gt;"Disqualified — Free Game",OR(INDEX('Game Records'!$E:$E,$H351)="",LOWER(INDEX('Game Records'!$E:$E,$H351)&amp;"")="n/a")),"Game Type; ","")&amp;IF(INDEX('Game Records'!$F:$F,$H351)="","Payment Type; ","")&amp;IF(AND(INDEX('Game Records'!$U:$U,$H351)&lt;&gt;"Subscription",INDEX('Game Records'!$U:$U,$H351)&lt;&gt;"Free Game",INDEX('Game Records'!$U:$U,$H351)&lt;&gt;"Disqualified — Free Game",INDEX('Game Records'!$G:$G,$H351)=""),"Gross Pot; ","")&amp;IF(AND(INDEX('Game Records'!$U:$U,$H351)&lt;&gt;"Free Game",INDEX('Game Records'!$U:$U,$H351)&lt;&gt;"Disqualified — Free Game",INDEX('Game Records'!$H:$H,$H351)=""),"Entry Fee; ","")&amp;IF(AND(INDEX('Game Records'!$U:$U,$H351)&lt;&gt;"Subscription",INDEX('Game Records'!$U:$U,$H351)&lt;&gt;"Free Game",INDEX('Game Records'!$U:$U,$H351)&lt;&gt;"Disqualified — Free Game",INDEX('Game Records'!$I:$I,$H351)=""),"Eligible Players; ","")&amp;IF(AND(INDEX('Game Records'!$U:$U,$H351)&lt;&gt;"Subscription",INDEX('Game Records'!$U:$U,$H351)&lt;&gt;"Free Game",INDEX('Game Records'!$U:$U,$H351)&lt;&gt;"Disqualified — Free Game",INDEX('Game Records'!$J:$J,$H351)=""),"Total Players; ","")&amp;IF(AND(LOWER(INDEX('Game Records'!$D:$D,$H351)&amp;"")="finalized",LOWER(INDEX('Game Records'!$L:$L,$H351)&amp;"")&lt;&gt;"yes",INDEX('Game Records'!$U:$U,$H351)&lt;&gt;"Subscription",INDEX('Game Records'!$U:$U,$H351)&lt;&gt;"Free Game",INDEX('Game Records'!$U:$U,$H351)&lt;&gt;"Disqualified — Free Game",INDEX('Game Records'!$K:$K,$H351)=""),"Final Earned; ","")&amp;IF(AND(LOWER(INDEX('Game Records'!$D:$D,$H351)&amp;"")="finalized",INDEX('Game Records'!$U:$U,$H351)&lt;&gt;"Subscription",INDEX('Game Records'!$U:$U,$H351)&lt;&gt;"Free Game",INDEX('Game Records'!$U:$U,$H351)&lt;&gt;"Disqualified — Free Game",OR(INDEX('Game Records'!$L:$L,$H351)="",LOWER(INDEX('Game Records'!$L:$L,$H351)&amp;"")="n/a")),"Disqualified Status; ","")&amp;IF(AND(OR(LOWER(TRIM(INDEX('Game Records'!$F:$F,$H351)&amp;""))="free game",INDEX('Game Records'!$U:$U,$H351)="Free Game",INDEX('Game Records'!$U:$U,$H351)="Disqualified — Free Game"),N(INDEX('Game Records'!$H:$H,$H351))&lt;&gt;0),"Free Game has a non-zero Entry Fee. Free Game records require a $0 Entry Fee; ",""))</f>
        <v/>
      </c>
      <c r="G351" s="331" t="str">
        <f>IF($H351="","",IFERROR(INDEX('Game Records'!$M:$M,$H351),""))</f>
        <v/>
      </c>
      <c r="H351" s="104" t="str">
        <f>IF($H350="","",IFERROR(MATCH(1,INDEX((ROW('Game Records'!$U$5:$U$504)&gt;$H350)*(('Game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2" ht="24" customHeight="1">
      <c r="A352" s="332" t="str">
        <f>IF($H352="","",ROWS($A$5:A352))</f>
        <v/>
      </c>
      <c r="B352" s="332" t="str">
        <f>IF($H352="","","G-"&amp;TEXT($A352,"0000"))</f>
        <v/>
      </c>
      <c r="C352" s="331" t="str">
        <f>IF($H352="","",IFERROR(INDEX('Game Records'!$A:$A,$H352),""))</f>
        <v/>
      </c>
      <c r="D352" s="331" t="str">
        <f>IF($H352="","",IFERROR(INDEX('Game Records'!$U:$U,$H352),""))</f>
        <v/>
      </c>
      <c r="E352" s="331" t="str">
        <f>IF($H352="","",IF($F352="","No Highlighted Fields","Highlighted Fields Present"))</f>
        <v/>
      </c>
      <c r="F352" s="331" t="str">
        <f>IF($H352="","",IF(OR(NOT(ISFORMULA(INDEX('Game Records'!$N:$N,$H352))),NOT(ISFORMULA(INDEX('Game Records'!$O:$O,$H352))),NOT(ISFORMULA(INDEX('Game Records'!$P:$P,$H352))),NOT(ISFORMULA(INDEX('Game Records'!$Q:$Q,$H352))),NOT(ISFORMULA(INDEX('Game Records'!$R:$R,$H352))),NOT(ISFORMULA(INDEX('Game Records'!$S:$S,$H352))),NOT(ISFORMULA(INDEX('Game Records'!$T:$T,$H352))),NOT(ISFORMULA(INDEX('Game Records'!$U:$U,$H352))),NOT(ISFORMULA(INDEX('Game Records'!$V:$V,$H352))),NOT(ISFORMULA(INDEX('Game Records'!$W:$W,$H352))),NOT(ISFORMULA(INDEX('Game Records'!$X:$X,$H352))),NOT(ISFORMULA(INDEX('Game Records'!$Y:$Y,$H352))),NOT(ISFORMULA(INDEX('Game Records'!$Z:$Z,$H352)))),"Formula columns missing; ","")&amp;IF(INDEX('Game Records'!$B:$B,$H352)="","Start Date; ","")&amp;IF(INDEX('Game Records'!$C:$C,$H352)="","End Date; ","")&amp;IF(AND(INDEX('Game Records'!$U:$U,$H352)&lt;&gt;"Subscription",INDEX('Game Records'!$U:$U,$H352)&lt;&gt;"Free Game",INDEX('Game Records'!$U:$U,$H352)&lt;&gt;"Disqualified — Free Game",OR(INDEX('Game Records'!$D:$D,$H352)="",LOWER(INDEX('Game Records'!$D:$D,$H352)&amp;"")="n/a")),"Entry Mode; ","")&amp;IF(AND(INDEX('Game Records'!$U:$U,$H352)&lt;&gt;"Subscription",INDEX('Game Records'!$U:$U,$H352)&lt;&gt;"Free Game",INDEX('Game Records'!$U:$U,$H352)&lt;&gt;"Disqualified — Free Game",OR(INDEX('Game Records'!$E:$E,$H352)="",LOWER(INDEX('Game Records'!$E:$E,$H352)&amp;"")="n/a")),"Game Type; ","")&amp;IF(INDEX('Game Records'!$F:$F,$H352)="","Payment Type; ","")&amp;IF(AND(INDEX('Game Records'!$U:$U,$H352)&lt;&gt;"Subscription",INDEX('Game Records'!$U:$U,$H352)&lt;&gt;"Free Game",INDEX('Game Records'!$U:$U,$H352)&lt;&gt;"Disqualified — Free Game",INDEX('Game Records'!$G:$G,$H352)=""),"Gross Pot; ","")&amp;IF(AND(INDEX('Game Records'!$U:$U,$H352)&lt;&gt;"Free Game",INDEX('Game Records'!$U:$U,$H352)&lt;&gt;"Disqualified — Free Game",INDEX('Game Records'!$H:$H,$H352)=""),"Entry Fee; ","")&amp;IF(AND(INDEX('Game Records'!$U:$U,$H352)&lt;&gt;"Subscription",INDEX('Game Records'!$U:$U,$H352)&lt;&gt;"Free Game",INDEX('Game Records'!$U:$U,$H352)&lt;&gt;"Disqualified — Free Game",INDEX('Game Records'!$I:$I,$H352)=""),"Eligible Players; ","")&amp;IF(AND(INDEX('Game Records'!$U:$U,$H352)&lt;&gt;"Subscription",INDEX('Game Records'!$U:$U,$H352)&lt;&gt;"Free Game",INDEX('Game Records'!$U:$U,$H352)&lt;&gt;"Disqualified — Free Game",INDEX('Game Records'!$J:$J,$H352)=""),"Total Players; ","")&amp;IF(AND(LOWER(INDEX('Game Records'!$D:$D,$H352)&amp;"")="finalized",LOWER(INDEX('Game Records'!$L:$L,$H352)&amp;"")&lt;&gt;"yes",INDEX('Game Records'!$U:$U,$H352)&lt;&gt;"Subscription",INDEX('Game Records'!$U:$U,$H352)&lt;&gt;"Free Game",INDEX('Game Records'!$U:$U,$H352)&lt;&gt;"Disqualified — Free Game",INDEX('Game Records'!$K:$K,$H352)=""),"Final Earned; ","")&amp;IF(AND(LOWER(INDEX('Game Records'!$D:$D,$H352)&amp;"")="finalized",INDEX('Game Records'!$U:$U,$H352)&lt;&gt;"Subscription",INDEX('Game Records'!$U:$U,$H352)&lt;&gt;"Free Game",INDEX('Game Records'!$U:$U,$H352)&lt;&gt;"Disqualified — Free Game",OR(INDEX('Game Records'!$L:$L,$H352)="",LOWER(INDEX('Game Records'!$L:$L,$H352)&amp;"")="n/a")),"Disqualified Status; ","")&amp;IF(AND(OR(LOWER(TRIM(INDEX('Game Records'!$F:$F,$H352)&amp;""))="free game",INDEX('Game Records'!$U:$U,$H352)="Free Game",INDEX('Game Records'!$U:$U,$H352)="Disqualified — Free Game"),N(INDEX('Game Records'!$H:$H,$H352))&lt;&gt;0),"Free Game has a non-zero Entry Fee. Free Game records require a $0 Entry Fee; ",""))</f>
        <v/>
      </c>
      <c r="G352" s="331" t="str">
        <f>IF($H352="","",IFERROR(INDEX('Game Records'!$M:$M,$H352),""))</f>
        <v/>
      </c>
      <c r="H352" s="104" t="str">
        <f>IF($H351="","",IFERROR(MATCH(1,INDEX((ROW('Game Records'!$U$5:$U$504)&gt;$H351)*(('Game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3" ht="24" customHeight="1">
      <c r="A353" s="332" t="str">
        <f>IF($H353="","",ROWS($A$5:A353))</f>
        <v/>
      </c>
      <c r="B353" s="332" t="str">
        <f>IF($H353="","","G-"&amp;TEXT($A353,"0000"))</f>
        <v/>
      </c>
      <c r="C353" s="331" t="str">
        <f>IF($H353="","",IFERROR(INDEX('Game Records'!$A:$A,$H353),""))</f>
        <v/>
      </c>
      <c r="D353" s="331" t="str">
        <f>IF($H353="","",IFERROR(INDEX('Game Records'!$U:$U,$H353),""))</f>
        <v/>
      </c>
      <c r="E353" s="331" t="str">
        <f>IF($H353="","",IF($F353="","No Highlighted Fields","Highlighted Fields Present"))</f>
        <v/>
      </c>
      <c r="F353" s="331" t="str">
        <f>IF($H353="","",IF(OR(NOT(ISFORMULA(INDEX('Game Records'!$N:$N,$H353))),NOT(ISFORMULA(INDEX('Game Records'!$O:$O,$H353))),NOT(ISFORMULA(INDEX('Game Records'!$P:$P,$H353))),NOT(ISFORMULA(INDEX('Game Records'!$Q:$Q,$H353))),NOT(ISFORMULA(INDEX('Game Records'!$R:$R,$H353))),NOT(ISFORMULA(INDEX('Game Records'!$S:$S,$H353))),NOT(ISFORMULA(INDEX('Game Records'!$T:$T,$H353))),NOT(ISFORMULA(INDEX('Game Records'!$U:$U,$H353))),NOT(ISFORMULA(INDEX('Game Records'!$V:$V,$H353))),NOT(ISFORMULA(INDEX('Game Records'!$W:$W,$H353))),NOT(ISFORMULA(INDEX('Game Records'!$X:$X,$H353))),NOT(ISFORMULA(INDEX('Game Records'!$Y:$Y,$H353))),NOT(ISFORMULA(INDEX('Game Records'!$Z:$Z,$H353)))),"Formula columns missing; ","")&amp;IF(INDEX('Game Records'!$B:$B,$H353)="","Start Date; ","")&amp;IF(INDEX('Game Records'!$C:$C,$H353)="","End Date; ","")&amp;IF(AND(INDEX('Game Records'!$U:$U,$H353)&lt;&gt;"Subscription",INDEX('Game Records'!$U:$U,$H353)&lt;&gt;"Free Game",INDEX('Game Records'!$U:$U,$H353)&lt;&gt;"Disqualified — Free Game",OR(INDEX('Game Records'!$D:$D,$H353)="",LOWER(INDEX('Game Records'!$D:$D,$H353)&amp;"")="n/a")),"Entry Mode; ","")&amp;IF(AND(INDEX('Game Records'!$U:$U,$H353)&lt;&gt;"Subscription",INDEX('Game Records'!$U:$U,$H353)&lt;&gt;"Free Game",INDEX('Game Records'!$U:$U,$H353)&lt;&gt;"Disqualified — Free Game",OR(INDEX('Game Records'!$E:$E,$H353)="",LOWER(INDEX('Game Records'!$E:$E,$H353)&amp;"")="n/a")),"Game Type; ","")&amp;IF(INDEX('Game Records'!$F:$F,$H353)="","Payment Type; ","")&amp;IF(AND(INDEX('Game Records'!$U:$U,$H353)&lt;&gt;"Subscription",INDEX('Game Records'!$U:$U,$H353)&lt;&gt;"Free Game",INDEX('Game Records'!$U:$U,$H353)&lt;&gt;"Disqualified — Free Game",INDEX('Game Records'!$G:$G,$H353)=""),"Gross Pot; ","")&amp;IF(AND(INDEX('Game Records'!$U:$U,$H353)&lt;&gt;"Free Game",INDEX('Game Records'!$U:$U,$H353)&lt;&gt;"Disqualified — Free Game",INDEX('Game Records'!$H:$H,$H353)=""),"Entry Fee; ","")&amp;IF(AND(INDEX('Game Records'!$U:$U,$H353)&lt;&gt;"Subscription",INDEX('Game Records'!$U:$U,$H353)&lt;&gt;"Free Game",INDEX('Game Records'!$U:$U,$H353)&lt;&gt;"Disqualified — Free Game",INDEX('Game Records'!$I:$I,$H353)=""),"Eligible Players; ","")&amp;IF(AND(INDEX('Game Records'!$U:$U,$H353)&lt;&gt;"Subscription",INDEX('Game Records'!$U:$U,$H353)&lt;&gt;"Free Game",INDEX('Game Records'!$U:$U,$H353)&lt;&gt;"Disqualified — Free Game",INDEX('Game Records'!$J:$J,$H353)=""),"Total Players; ","")&amp;IF(AND(LOWER(INDEX('Game Records'!$D:$D,$H353)&amp;"")="finalized",LOWER(INDEX('Game Records'!$L:$L,$H353)&amp;"")&lt;&gt;"yes",INDEX('Game Records'!$U:$U,$H353)&lt;&gt;"Subscription",INDEX('Game Records'!$U:$U,$H353)&lt;&gt;"Free Game",INDEX('Game Records'!$U:$U,$H353)&lt;&gt;"Disqualified — Free Game",INDEX('Game Records'!$K:$K,$H353)=""),"Final Earned; ","")&amp;IF(AND(LOWER(INDEX('Game Records'!$D:$D,$H353)&amp;"")="finalized",INDEX('Game Records'!$U:$U,$H353)&lt;&gt;"Subscription",INDEX('Game Records'!$U:$U,$H353)&lt;&gt;"Free Game",INDEX('Game Records'!$U:$U,$H353)&lt;&gt;"Disqualified — Free Game",OR(INDEX('Game Records'!$L:$L,$H353)="",LOWER(INDEX('Game Records'!$L:$L,$H353)&amp;"")="n/a")),"Disqualified Status; ","")&amp;IF(AND(OR(LOWER(TRIM(INDEX('Game Records'!$F:$F,$H353)&amp;""))="free game",INDEX('Game Records'!$U:$U,$H353)="Free Game",INDEX('Game Records'!$U:$U,$H353)="Disqualified — Free Game"),N(INDEX('Game Records'!$H:$H,$H353))&lt;&gt;0),"Free Game has a non-zero Entry Fee. Free Game records require a $0 Entry Fee; ",""))</f>
        <v/>
      </c>
      <c r="G353" s="331" t="str">
        <f>IF($H353="","",IFERROR(INDEX('Game Records'!$M:$M,$H353),""))</f>
        <v/>
      </c>
      <c r="H353" s="104" t="str">
        <f>IF($H352="","",IFERROR(MATCH(1,INDEX((ROW('Game Records'!$U$5:$U$504)&gt;$H352)*(('Game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4" ht="24" customHeight="1">
      <c r="A354" s="332" t="str">
        <f>IF($H354="","",ROWS($A$5:A354))</f>
        <v/>
      </c>
      <c r="B354" s="332" t="str">
        <f>IF($H354="","","G-"&amp;TEXT($A354,"0000"))</f>
        <v/>
      </c>
      <c r="C354" s="331" t="str">
        <f>IF($H354="","",IFERROR(INDEX('Game Records'!$A:$A,$H354),""))</f>
        <v/>
      </c>
      <c r="D354" s="331" t="str">
        <f>IF($H354="","",IFERROR(INDEX('Game Records'!$U:$U,$H354),""))</f>
        <v/>
      </c>
      <c r="E354" s="331" t="str">
        <f>IF($H354="","",IF($F354="","No Highlighted Fields","Highlighted Fields Present"))</f>
        <v/>
      </c>
      <c r="F354" s="331" t="str">
        <f>IF($H354="","",IF(OR(NOT(ISFORMULA(INDEX('Game Records'!$N:$N,$H354))),NOT(ISFORMULA(INDEX('Game Records'!$O:$O,$H354))),NOT(ISFORMULA(INDEX('Game Records'!$P:$P,$H354))),NOT(ISFORMULA(INDEX('Game Records'!$Q:$Q,$H354))),NOT(ISFORMULA(INDEX('Game Records'!$R:$R,$H354))),NOT(ISFORMULA(INDEX('Game Records'!$S:$S,$H354))),NOT(ISFORMULA(INDEX('Game Records'!$T:$T,$H354))),NOT(ISFORMULA(INDEX('Game Records'!$U:$U,$H354))),NOT(ISFORMULA(INDEX('Game Records'!$V:$V,$H354))),NOT(ISFORMULA(INDEX('Game Records'!$W:$W,$H354))),NOT(ISFORMULA(INDEX('Game Records'!$X:$X,$H354))),NOT(ISFORMULA(INDEX('Game Records'!$Y:$Y,$H354))),NOT(ISFORMULA(INDEX('Game Records'!$Z:$Z,$H354)))),"Formula columns missing; ","")&amp;IF(INDEX('Game Records'!$B:$B,$H354)="","Start Date; ","")&amp;IF(INDEX('Game Records'!$C:$C,$H354)="","End Date; ","")&amp;IF(AND(INDEX('Game Records'!$U:$U,$H354)&lt;&gt;"Subscription",INDEX('Game Records'!$U:$U,$H354)&lt;&gt;"Free Game",INDEX('Game Records'!$U:$U,$H354)&lt;&gt;"Disqualified — Free Game",OR(INDEX('Game Records'!$D:$D,$H354)="",LOWER(INDEX('Game Records'!$D:$D,$H354)&amp;"")="n/a")),"Entry Mode; ","")&amp;IF(AND(INDEX('Game Records'!$U:$U,$H354)&lt;&gt;"Subscription",INDEX('Game Records'!$U:$U,$H354)&lt;&gt;"Free Game",INDEX('Game Records'!$U:$U,$H354)&lt;&gt;"Disqualified — Free Game",OR(INDEX('Game Records'!$E:$E,$H354)="",LOWER(INDEX('Game Records'!$E:$E,$H354)&amp;"")="n/a")),"Game Type; ","")&amp;IF(INDEX('Game Records'!$F:$F,$H354)="","Payment Type; ","")&amp;IF(AND(INDEX('Game Records'!$U:$U,$H354)&lt;&gt;"Subscription",INDEX('Game Records'!$U:$U,$H354)&lt;&gt;"Free Game",INDEX('Game Records'!$U:$U,$H354)&lt;&gt;"Disqualified — Free Game",INDEX('Game Records'!$G:$G,$H354)=""),"Gross Pot; ","")&amp;IF(AND(INDEX('Game Records'!$U:$U,$H354)&lt;&gt;"Free Game",INDEX('Game Records'!$U:$U,$H354)&lt;&gt;"Disqualified — Free Game",INDEX('Game Records'!$H:$H,$H354)=""),"Entry Fee; ","")&amp;IF(AND(INDEX('Game Records'!$U:$U,$H354)&lt;&gt;"Subscription",INDEX('Game Records'!$U:$U,$H354)&lt;&gt;"Free Game",INDEX('Game Records'!$U:$U,$H354)&lt;&gt;"Disqualified — Free Game",INDEX('Game Records'!$I:$I,$H354)=""),"Eligible Players; ","")&amp;IF(AND(INDEX('Game Records'!$U:$U,$H354)&lt;&gt;"Subscription",INDEX('Game Records'!$U:$U,$H354)&lt;&gt;"Free Game",INDEX('Game Records'!$U:$U,$H354)&lt;&gt;"Disqualified — Free Game",INDEX('Game Records'!$J:$J,$H354)=""),"Total Players; ","")&amp;IF(AND(LOWER(INDEX('Game Records'!$D:$D,$H354)&amp;"")="finalized",LOWER(INDEX('Game Records'!$L:$L,$H354)&amp;"")&lt;&gt;"yes",INDEX('Game Records'!$U:$U,$H354)&lt;&gt;"Subscription",INDEX('Game Records'!$U:$U,$H354)&lt;&gt;"Free Game",INDEX('Game Records'!$U:$U,$H354)&lt;&gt;"Disqualified — Free Game",INDEX('Game Records'!$K:$K,$H354)=""),"Final Earned; ","")&amp;IF(AND(LOWER(INDEX('Game Records'!$D:$D,$H354)&amp;"")="finalized",INDEX('Game Records'!$U:$U,$H354)&lt;&gt;"Subscription",INDEX('Game Records'!$U:$U,$H354)&lt;&gt;"Free Game",INDEX('Game Records'!$U:$U,$H354)&lt;&gt;"Disqualified — Free Game",OR(INDEX('Game Records'!$L:$L,$H354)="",LOWER(INDEX('Game Records'!$L:$L,$H354)&amp;"")="n/a")),"Disqualified Status; ","")&amp;IF(AND(OR(LOWER(TRIM(INDEX('Game Records'!$F:$F,$H354)&amp;""))="free game",INDEX('Game Records'!$U:$U,$H354)="Free Game",INDEX('Game Records'!$U:$U,$H354)="Disqualified — Free Game"),N(INDEX('Game Records'!$H:$H,$H354))&lt;&gt;0),"Free Game has a non-zero Entry Fee. Free Game records require a $0 Entry Fee; ",""))</f>
        <v/>
      </c>
      <c r="G354" s="331" t="str">
        <f>IF($H354="","",IFERROR(INDEX('Game Records'!$M:$M,$H354),""))</f>
        <v/>
      </c>
      <c r="H354" s="104" t="str">
        <f>IF($H353="","",IFERROR(MATCH(1,INDEX((ROW('Game Records'!$U$5:$U$504)&gt;$H353)*(('Game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5" ht="24" customHeight="1">
      <c r="A355" s="332" t="str">
        <f>IF($H355="","",ROWS($A$5:A355))</f>
        <v/>
      </c>
      <c r="B355" s="332" t="str">
        <f>IF($H355="","","G-"&amp;TEXT($A355,"0000"))</f>
        <v/>
      </c>
      <c r="C355" s="331" t="str">
        <f>IF($H355="","",IFERROR(INDEX('Game Records'!$A:$A,$H355),""))</f>
        <v/>
      </c>
      <c r="D355" s="331" t="str">
        <f>IF($H355="","",IFERROR(INDEX('Game Records'!$U:$U,$H355),""))</f>
        <v/>
      </c>
      <c r="E355" s="331" t="str">
        <f>IF($H355="","",IF($F355="","No Highlighted Fields","Highlighted Fields Present"))</f>
        <v/>
      </c>
      <c r="F355" s="331" t="str">
        <f>IF($H355="","",IF(OR(NOT(ISFORMULA(INDEX('Game Records'!$N:$N,$H355))),NOT(ISFORMULA(INDEX('Game Records'!$O:$O,$H355))),NOT(ISFORMULA(INDEX('Game Records'!$P:$P,$H355))),NOT(ISFORMULA(INDEX('Game Records'!$Q:$Q,$H355))),NOT(ISFORMULA(INDEX('Game Records'!$R:$R,$H355))),NOT(ISFORMULA(INDEX('Game Records'!$S:$S,$H355))),NOT(ISFORMULA(INDEX('Game Records'!$T:$T,$H355))),NOT(ISFORMULA(INDEX('Game Records'!$U:$U,$H355))),NOT(ISFORMULA(INDEX('Game Records'!$V:$V,$H355))),NOT(ISFORMULA(INDEX('Game Records'!$W:$W,$H355))),NOT(ISFORMULA(INDEX('Game Records'!$X:$X,$H355))),NOT(ISFORMULA(INDEX('Game Records'!$Y:$Y,$H355))),NOT(ISFORMULA(INDEX('Game Records'!$Z:$Z,$H355)))),"Formula columns missing; ","")&amp;IF(INDEX('Game Records'!$B:$B,$H355)="","Start Date; ","")&amp;IF(INDEX('Game Records'!$C:$C,$H355)="","End Date; ","")&amp;IF(AND(INDEX('Game Records'!$U:$U,$H355)&lt;&gt;"Subscription",INDEX('Game Records'!$U:$U,$H355)&lt;&gt;"Free Game",INDEX('Game Records'!$U:$U,$H355)&lt;&gt;"Disqualified — Free Game",OR(INDEX('Game Records'!$D:$D,$H355)="",LOWER(INDEX('Game Records'!$D:$D,$H355)&amp;"")="n/a")),"Entry Mode; ","")&amp;IF(AND(INDEX('Game Records'!$U:$U,$H355)&lt;&gt;"Subscription",INDEX('Game Records'!$U:$U,$H355)&lt;&gt;"Free Game",INDEX('Game Records'!$U:$U,$H355)&lt;&gt;"Disqualified — Free Game",OR(INDEX('Game Records'!$E:$E,$H355)="",LOWER(INDEX('Game Records'!$E:$E,$H355)&amp;"")="n/a")),"Game Type; ","")&amp;IF(INDEX('Game Records'!$F:$F,$H355)="","Payment Type; ","")&amp;IF(AND(INDEX('Game Records'!$U:$U,$H355)&lt;&gt;"Subscription",INDEX('Game Records'!$U:$U,$H355)&lt;&gt;"Free Game",INDEX('Game Records'!$U:$U,$H355)&lt;&gt;"Disqualified — Free Game",INDEX('Game Records'!$G:$G,$H355)=""),"Gross Pot; ","")&amp;IF(AND(INDEX('Game Records'!$U:$U,$H355)&lt;&gt;"Free Game",INDEX('Game Records'!$U:$U,$H355)&lt;&gt;"Disqualified — Free Game",INDEX('Game Records'!$H:$H,$H355)=""),"Entry Fee; ","")&amp;IF(AND(INDEX('Game Records'!$U:$U,$H355)&lt;&gt;"Subscription",INDEX('Game Records'!$U:$U,$H355)&lt;&gt;"Free Game",INDEX('Game Records'!$U:$U,$H355)&lt;&gt;"Disqualified — Free Game",INDEX('Game Records'!$I:$I,$H355)=""),"Eligible Players; ","")&amp;IF(AND(INDEX('Game Records'!$U:$U,$H355)&lt;&gt;"Subscription",INDEX('Game Records'!$U:$U,$H355)&lt;&gt;"Free Game",INDEX('Game Records'!$U:$U,$H355)&lt;&gt;"Disqualified — Free Game",INDEX('Game Records'!$J:$J,$H355)=""),"Total Players; ","")&amp;IF(AND(LOWER(INDEX('Game Records'!$D:$D,$H355)&amp;"")="finalized",LOWER(INDEX('Game Records'!$L:$L,$H355)&amp;"")&lt;&gt;"yes",INDEX('Game Records'!$U:$U,$H355)&lt;&gt;"Subscription",INDEX('Game Records'!$U:$U,$H355)&lt;&gt;"Free Game",INDEX('Game Records'!$U:$U,$H355)&lt;&gt;"Disqualified — Free Game",INDEX('Game Records'!$K:$K,$H355)=""),"Final Earned; ","")&amp;IF(AND(LOWER(INDEX('Game Records'!$D:$D,$H355)&amp;"")="finalized",INDEX('Game Records'!$U:$U,$H355)&lt;&gt;"Subscription",INDEX('Game Records'!$U:$U,$H355)&lt;&gt;"Free Game",INDEX('Game Records'!$U:$U,$H355)&lt;&gt;"Disqualified — Free Game",OR(INDEX('Game Records'!$L:$L,$H355)="",LOWER(INDEX('Game Records'!$L:$L,$H355)&amp;"")="n/a")),"Disqualified Status; ","")&amp;IF(AND(OR(LOWER(TRIM(INDEX('Game Records'!$F:$F,$H355)&amp;""))="free game",INDEX('Game Records'!$U:$U,$H355)="Free Game",INDEX('Game Records'!$U:$U,$H355)="Disqualified — Free Game"),N(INDEX('Game Records'!$H:$H,$H355))&lt;&gt;0),"Free Game has a non-zero Entry Fee. Free Game records require a $0 Entry Fee; ",""))</f>
        <v/>
      </c>
      <c r="G355" s="331" t="str">
        <f>IF($H355="","",IFERROR(INDEX('Game Records'!$M:$M,$H355),""))</f>
        <v/>
      </c>
      <c r="H355" s="104" t="str">
        <f>IF($H354="","",IFERROR(MATCH(1,INDEX((ROW('Game Records'!$U$5:$U$504)&gt;$H354)*(('Game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6" ht="24" customHeight="1">
      <c r="A356" s="332" t="str">
        <f>IF($H356="","",ROWS($A$5:A356))</f>
        <v/>
      </c>
      <c r="B356" s="332" t="str">
        <f>IF($H356="","","G-"&amp;TEXT($A356,"0000"))</f>
        <v/>
      </c>
      <c r="C356" s="331" t="str">
        <f>IF($H356="","",IFERROR(INDEX('Game Records'!$A:$A,$H356),""))</f>
        <v/>
      </c>
      <c r="D356" s="331" t="str">
        <f>IF($H356="","",IFERROR(INDEX('Game Records'!$U:$U,$H356),""))</f>
        <v/>
      </c>
      <c r="E356" s="331" t="str">
        <f>IF($H356="","",IF($F356="","No Highlighted Fields","Highlighted Fields Present"))</f>
        <v/>
      </c>
      <c r="F356" s="331" t="str">
        <f>IF($H356="","",IF(OR(NOT(ISFORMULA(INDEX('Game Records'!$N:$N,$H356))),NOT(ISFORMULA(INDEX('Game Records'!$O:$O,$H356))),NOT(ISFORMULA(INDEX('Game Records'!$P:$P,$H356))),NOT(ISFORMULA(INDEX('Game Records'!$Q:$Q,$H356))),NOT(ISFORMULA(INDEX('Game Records'!$R:$R,$H356))),NOT(ISFORMULA(INDEX('Game Records'!$S:$S,$H356))),NOT(ISFORMULA(INDEX('Game Records'!$T:$T,$H356))),NOT(ISFORMULA(INDEX('Game Records'!$U:$U,$H356))),NOT(ISFORMULA(INDEX('Game Records'!$V:$V,$H356))),NOT(ISFORMULA(INDEX('Game Records'!$W:$W,$H356))),NOT(ISFORMULA(INDEX('Game Records'!$X:$X,$H356))),NOT(ISFORMULA(INDEX('Game Records'!$Y:$Y,$H356))),NOT(ISFORMULA(INDEX('Game Records'!$Z:$Z,$H356)))),"Formula columns missing; ","")&amp;IF(INDEX('Game Records'!$B:$B,$H356)="","Start Date; ","")&amp;IF(INDEX('Game Records'!$C:$C,$H356)="","End Date; ","")&amp;IF(AND(INDEX('Game Records'!$U:$U,$H356)&lt;&gt;"Subscription",INDEX('Game Records'!$U:$U,$H356)&lt;&gt;"Free Game",INDEX('Game Records'!$U:$U,$H356)&lt;&gt;"Disqualified — Free Game",OR(INDEX('Game Records'!$D:$D,$H356)="",LOWER(INDEX('Game Records'!$D:$D,$H356)&amp;"")="n/a")),"Entry Mode; ","")&amp;IF(AND(INDEX('Game Records'!$U:$U,$H356)&lt;&gt;"Subscription",INDEX('Game Records'!$U:$U,$H356)&lt;&gt;"Free Game",INDEX('Game Records'!$U:$U,$H356)&lt;&gt;"Disqualified — Free Game",OR(INDEX('Game Records'!$E:$E,$H356)="",LOWER(INDEX('Game Records'!$E:$E,$H356)&amp;"")="n/a")),"Game Type; ","")&amp;IF(INDEX('Game Records'!$F:$F,$H356)="","Payment Type; ","")&amp;IF(AND(INDEX('Game Records'!$U:$U,$H356)&lt;&gt;"Subscription",INDEX('Game Records'!$U:$U,$H356)&lt;&gt;"Free Game",INDEX('Game Records'!$U:$U,$H356)&lt;&gt;"Disqualified — Free Game",INDEX('Game Records'!$G:$G,$H356)=""),"Gross Pot; ","")&amp;IF(AND(INDEX('Game Records'!$U:$U,$H356)&lt;&gt;"Free Game",INDEX('Game Records'!$U:$U,$H356)&lt;&gt;"Disqualified — Free Game",INDEX('Game Records'!$H:$H,$H356)=""),"Entry Fee; ","")&amp;IF(AND(INDEX('Game Records'!$U:$U,$H356)&lt;&gt;"Subscription",INDEX('Game Records'!$U:$U,$H356)&lt;&gt;"Free Game",INDEX('Game Records'!$U:$U,$H356)&lt;&gt;"Disqualified — Free Game",INDEX('Game Records'!$I:$I,$H356)=""),"Eligible Players; ","")&amp;IF(AND(INDEX('Game Records'!$U:$U,$H356)&lt;&gt;"Subscription",INDEX('Game Records'!$U:$U,$H356)&lt;&gt;"Free Game",INDEX('Game Records'!$U:$U,$H356)&lt;&gt;"Disqualified — Free Game",INDEX('Game Records'!$J:$J,$H356)=""),"Total Players; ","")&amp;IF(AND(LOWER(INDEX('Game Records'!$D:$D,$H356)&amp;"")="finalized",LOWER(INDEX('Game Records'!$L:$L,$H356)&amp;"")&lt;&gt;"yes",INDEX('Game Records'!$U:$U,$H356)&lt;&gt;"Subscription",INDEX('Game Records'!$U:$U,$H356)&lt;&gt;"Free Game",INDEX('Game Records'!$U:$U,$H356)&lt;&gt;"Disqualified — Free Game",INDEX('Game Records'!$K:$K,$H356)=""),"Final Earned; ","")&amp;IF(AND(LOWER(INDEX('Game Records'!$D:$D,$H356)&amp;"")="finalized",INDEX('Game Records'!$U:$U,$H356)&lt;&gt;"Subscription",INDEX('Game Records'!$U:$U,$H356)&lt;&gt;"Free Game",INDEX('Game Records'!$U:$U,$H356)&lt;&gt;"Disqualified — Free Game",OR(INDEX('Game Records'!$L:$L,$H356)="",LOWER(INDEX('Game Records'!$L:$L,$H356)&amp;"")="n/a")),"Disqualified Status; ","")&amp;IF(AND(OR(LOWER(TRIM(INDEX('Game Records'!$F:$F,$H356)&amp;""))="free game",INDEX('Game Records'!$U:$U,$H356)="Free Game",INDEX('Game Records'!$U:$U,$H356)="Disqualified — Free Game"),N(INDEX('Game Records'!$H:$H,$H356))&lt;&gt;0),"Free Game has a non-zero Entry Fee. Free Game records require a $0 Entry Fee; ",""))</f>
        <v/>
      </c>
      <c r="G356" s="331" t="str">
        <f>IF($H356="","",IFERROR(INDEX('Game Records'!$M:$M,$H356),""))</f>
        <v/>
      </c>
      <c r="H356" s="104" t="str">
        <f>IF($H355="","",IFERROR(MATCH(1,INDEX((ROW('Game Records'!$U$5:$U$504)&gt;$H355)*(('Game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7" ht="24" customHeight="1">
      <c r="A357" s="332" t="str">
        <f>IF($H357="","",ROWS($A$5:A357))</f>
        <v/>
      </c>
      <c r="B357" s="332" t="str">
        <f>IF($H357="","","G-"&amp;TEXT($A357,"0000"))</f>
        <v/>
      </c>
      <c r="C357" s="331" t="str">
        <f>IF($H357="","",IFERROR(INDEX('Game Records'!$A:$A,$H357),""))</f>
        <v/>
      </c>
      <c r="D357" s="331" t="str">
        <f>IF($H357="","",IFERROR(INDEX('Game Records'!$U:$U,$H357),""))</f>
        <v/>
      </c>
      <c r="E357" s="331" t="str">
        <f>IF($H357="","",IF($F357="","No Highlighted Fields","Highlighted Fields Present"))</f>
        <v/>
      </c>
      <c r="F357" s="331" t="str">
        <f>IF($H357="","",IF(OR(NOT(ISFORMULA(INDEX('Game Records'!$N:$N,$H357))),NOT(ISFORMULA(INDEX('Game Records'!$O:$O,$H357))),NOT(ISFORMULA(INDEX('Game Records'!$P:$P,$H357))),NOT(ISFORMULA(INDEX('Game Records'!$Q:$Q,$H357))),NOT(ISFORMULA(INDEX('Game Records'!$R:$R,$H357))),NOT(ISFORMULA(INDEX('Game Records'!$S:$S,$H357))),NOT(ISFORMULA(INDEX('Game Records'!$T:$T,$H357))),NOT(ISFORMULA(INDEX('Game Records'!$U:$U,$H357))),NOT(ISFORMULA(INDEX('Game Records'!$V:$V,$H357))),NOT(ISFORMULA(INDEX('Game Records'!$W:$W,$H357))),NOT(ISFORMULA(INDEX('Game Records'!$X:$X,$H357))),NOT(ISFORMULA(INDEX('Game Records'!$Y:$Y,$H357))),NOT(ISFORMULA(INDEX('Game Records'!$Z:$Z,$H357)))),"Formula columns missing; ","")&amp;IF(INDEX('Game Records'!$B:$B,$H357)="","Start Date; ","")&amp;IF(INDEX('Game Records'!$C:$C,$H357)="","End Date; ","")&amp;IF(AND(INDEX('Game Records'!$U:$U,$H357)&lt;&gt;"Subscription",INDEX('Game Records'!$U:$U,$H357)&lt;&gt;"Free Game",INDEX('Game Records'!$U:$U,$H357)&lt;&gt;"Disqualified — Free Game",OR(INDEX('Game Records'!$D:$D,$H357)="",LOWER(INDEX('Game Records'!$D:$D,$H357)&amp;"")="n/a")),"Entry Mode; ","")&amp;IF(AND(INDEX('Game Records'!$U:$U,$H357)&lt;&gt;"Subscription",INDEX('Game Records'!$U:$U,$H357)&lt;&gt;"Free Game",INDEX('Game Records'!$U:$U,$H357)&lt;&gt;"Disqualified — Free Game",OR(INDEX('Game Records'!$E:$E,$H357)="",LOWER(INDEX('Game Records'!$E:$E,$H357)&amp;"")="n/a")),"Game Type; ","")&amp;IF(INDEX('Game Records'!$F:$F,$H357)="","Payment Type; ","")&amp;IF(AND(INDEX('Game Records'!$U:$U,$H357)&lt;&gt;"Subscription",INDEX('Game Records'!$U:$U,$H357)&lt;&gt;"Free Game",INDEX('Game Records'!$U:$U,$H357)&lt;&gt;"Disqualified — Free Game",INDEX('Game Records'!$G:$G,$H357)=""),"Gross Pot; ","")&amp;IF(AND(INDEX('Game Records'!$U:$U,$H357)&lt;&gt;"Free Game",INDEX('Game Records'!$U:$U,$H357)&lt;&gt;"Disqualified — Free Game",INDEX('Game Records'!$H:$H,$H357)=""),"Entry Fee; ","")&amp;IF(AND(INDEX('Game Records'!$U:$U,$H357)&lt;&gt;"Subscription",INDEX('Game Records'!$U:$U,$H357)&lt;&gt;"Free Game",INDEX('Game Records'!$U:$U,$H357)&lt;&gt;"Disqualified — Free Game",INDEX('Game Records'!$I:$I,$H357)=""),"Eligible Players; ","")&amp;IF(AND(INDEX('Game Records'!$U:$U,$H357)&lt;&gt;"Subscription",INDEX('Game Records'!$U:$U,$H357)&lt;&gt;"Free Game",INDEX('Game Records'!$U:$U,$H357)&lt;&gt;"Disqualified — Free Game",INDEX('Game Records'!$J:$J,$H357)=""),"Total Players; ","")&amp;IF(AND(LOWER(INDEX('Game Records'!$D:$D,$H357)&amp;"")="finalized",LOWER(INDEX('Game Records'!$L:$L,$H357)&amp;"")&lt;&gt;"yes",INDEX('Game Records'!$U:$U,$H357)&lt;&gt;"Subscription",INDEX('Game Records'!$U:$U,$H357)&lt;&gt;"Free Game",INDEX('Game Records'!$U:$U,$H357)&lt;&gt;"Disqualified — Free Game",INDEX('Game Records'!$K:$K,$H357)=""),"Final Earned; ","")&amp;IF(AND(LOWER(INDEX('Game Records'!$D:$D,$H357)&amp;"")="finalized",INDEX('Game Records'!$U:$U,$H357)&lt;&gt;"Subscription",INDEX('Game Records'!$U:$U,$H357)&lt;&gt;"Free Game",INDEX('Game Records'!$U:$U,$H357)&lt;&gt;"Disqualified — Free Game",OR(INDEX('Game Records'!$L:$L,$H357)="",LOWER(INDEX('Game Records'!$L:$L,$H357)&amp;"")="n/a")),"Disqualified Status; ","")&amp;IF(AND(OR(LOWER(TRIM(INDEX('Game Records'!$F:$F,$H357)&amp;""))="free game",INDEX('Game Records'!$U:$U,$H357)="Free Game",INDEX('Game Records'!$U:$U,$H357)="Disqualified — Free Game"),N(INDEX('Game Records'!$H:$H,$H357))&lt;&gt;0),"Free Game has a non-zero Entry Fee. Free Game records require a $0 Entry Fee; ",""))</f>
        <v/>
      </c>
      <c r="G357" s="331" t="str">
        <f>IF($H357="","",IFERROR(INDEX('Game Records'!$M:$M,$H357),""))</f>
        <v/>
      </c>
      <c r="H357" s="104" t="str">
        <f>IF($H356="","",IFERROR(MATCH(1,INDEX((ROW('Game Records'!$U$5:$U$504)&gt;$H356)*(('Game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8" ht="24" customHeight="1">
      <c r="A358" s="332" t="str">
        <f>IF($H358="","",ROWS($A$5:A358))</f>
        <v/>
      </c>
      <c r="B358" s="332" t="str">
        <f>IF($H358="","","G-"&amp;TEXT($A358,"0000"))</f>
        <v/>
      </c>
      <c r="C358" s="331" t="str">
        <f>IF($H358="","",IFERROR(INDEX('Game Records'!$A:$A,$H358),""))</f>
        <v/>
      </c>
      <c r="D358" s="331" t="str">
        <f>IF($H358="","",IFERROR(INDEX('Game Records'!$U:$U,$H358),""))</f>
        <v/>
      </c>
      <c r="E358" s="331" t="str">
        <f>IF($H358="","",IF($F358="","No Highlighted Fields","Highlighted Fields Present"))</f>
        <v/>
      </c>
      <c r="F358" s="331" t="str">
        <f>IF($H358="","",IF(OR(NOT(ISFORMULA(INDEX('Game Records'!$N:$N,$H358))),NOT(ISFORMULA(INDEX('Game Records'!$O:$O,$H358))),NOT(ISFORMULA(INDEX('Game Records'!$P:$P,$H358))),NOT(ISFORMULA(INDEX('Game Records'!$Q:$Q,$H358))),NOT(ISFORMULA(INDEX('Game Records'!$R:$R,$H358))),NOT(ISFORMULA(INDEX('Game Records'!$S:$S,$H358))),NOT(ISFORMULA(INDEX('Game Records'!$T:$T,$H358))),NOT(ISFORMULA(INDEX('Game Records'!$U:$U,$H358))),NOT(ISFORMULA(INDEX('Game Records'!$V:$V,$H358))),NOT(ISFORMULA(INDEX('Game Records'!$W:$W,$H358))),NOT(ISFORMULA(INDEX('Game Records'!$X:$X,$H358))),NOT(ISFORMULA(INDEX('Game Records'!$Y:$Y,$H358))),NOT(ISFORMULA(INDEX('Game Records'!$Z:$Z,$H358)))),"Formula columns missing; ","")&amp;IF(INDEX('Game Records'!$B:$B,$H358)="","Start Date; ","")&amp;IF(INDEX('Game Records'!$C:$C,$H358)="","End Date; ","")&amp;IF(AND(INDEX('Game Records'!$U:$U,$H358)&lt;&gt;"Subscription",INDEX('Game Records'!$U:$U,$H358)&lt;&gt;"Free Game",INDEX('Game Records'!$U:$U,$H358)&lt;&gt;"Disqualified — Free Game",OR(INDEX('Game Records'!$D:$D,$H358)="",LOWER(INDEX('Game Records'!$D:$D,$H358)&amp;"")="n/a")),"Entry Mode; ","")&amp;IF(AND(INDEX('Game Records'!$U:$U,$H358)&lt;&gt;"Subscription",INDEX('Game Records'!$U:$U,$H358)&lt;&gt;"Free Game",INDEX('Game Records'!$U:$U,$H358)&lt;&gt;"Disqualified — Free Game",OR(INDEX('Game Records'!$E:$E,$H358)="",LOWER(INDEX('Game Records'!$E:$E,$H358)&amp;"")="n/a")),"Game Type; ","")&amp;IF(INDEX('Game Records'!$F:$F,$H358)="","Payment Type; ","")&amp;IF(AND(INDEX('Game Records'!$U:$U,$H358)&lt;&gt;"Subscription",INDEX('Game Records'!$U:$U,$H358)&lt;&gt;"Free Game",INDEX('Game Records'!$U:$U,$H358)&lt;&gt;"Disqualified — Free Game",INDEX('Game Records'!$G:$G,$H358)=""),"Gross Pot; ","")&amp;IF(AND(INDEX('Game Records'!$U:$U,$H358)&lt;&gt;"Free Game",INDEX('Game Records'!$U:$U,$H358)&lt;&gt;"Disqualified — Free Game",INDEX('Game Records'!$H:$H,$H358)=""),"Entry Fee; ","")&amp;IF(AND(INDEX('Game Records'!$U:$U,$H358)&lt;&gt;"Subscription",INDEX('Game Records'!$U:$U,$H358)&lt;&gt;"Free Game",INDEX('Game Records'!$U:$U,$H358)&lt;&gt;"Disqualified — Free Game",INDEX('Game Records'!$I:$I,$H358)=""),"Eligible Players; ","")&amp;IF(AND(INDEX('Game Records'!$U:$U,$H358)&lt;&gt;"Subscription",INDEX('Game Records'!$U:$U,$H358)&lt;&gt;"Free Game",INDEX('Game Records'!$U:$U,$H358)&lt;&gt;"Disqualified — Free Game",INDEX('Game Records'!$J:$J,$H358)=""),"Total Players; ","")&amp;IF(AND(LOWER(INDEX('Game Records'!$D:$D,$H358)&amp;"")="finalized",LOWER(INDEX('Game Records'!$L:$L,$H358)&amp;"")&lt;&gt;"yes",INDEX('Game Records'!$U:$U,$H358)&lt;&gt;"Subscription",INDEX('Game Records'!$U:$U,$H358)&lt;&gt;"Free Game",INDEX('Game Records'!$U:$U,$H358)&lt;&gt;"Disqualified — Free Game",INDEX('Game Records'!$K:$K,$H358)=""),"Final Earned; ","")&amp;IF(AND(LOWER(INDEX('Game Records'!$D:$D,$H358)&amp;"")="finalized",INDEX('Game Records'!$U:$U,$H358)&lt;&gt;"Subscription",INDEX('Game Records'!$U:$U,$H358)&lt;&gt;"Free Game",INDEX('Game Records'!$U:$U,$H358)&lt;&gt;"Disqualified — Free Game",OR(INDEX('Game Records'!$L:$L,$H358)="",LOWER(INDEX('Game Records'!$L:$L,$H358)&amp;"")="n/a")),"Disqualified Status; ","")&amp;IF(AND(OR(LOWER(TRIM(INDEX('Game Records'!$F:$F,$H358)&amp;""))="free game",INDEX('Game Records'!$U:$U,$H358)="Free Game",INDEX('Game Records'!$U:$U,$H358)="Disqualified — Free Game"),N(INDEX('Game Records'!$H:$H,$H358))&lt;&gt;0),"Free Game has a non-zero Entry Fee. Free Game records require a $0 Entry Fee; ",""))</f>
        <v/>
      </c>
      <c r="G358" s="331" t="str">
        <f>IF($H358="","",IFERROR(INDEX('Game Records'!$M:$M,$H358),""))</f>
        <v/>
      </c>
      <c r="H358" s="104" t="str">
        <f>IF($H357="","",IFERROR(MATCH(1,INDEX((ROW('Game Records'!$U$5:$U$504)&gt;$H357)*(('Game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9" ht="24" customHeight="1">
      <c r="A359" s="332" t="str">
        <f>IF($H359="","",ROWS($A$5:A359))</f>
        <v/>
      </c>
      <c r="B359" s="332" t="str">
        <f>IF($H359="","","G-"&amp;TEXT($A359,"0000"))</f>
        <v/>
      </c>
      <c r="C359" s="331" t="str">
        <f>IF($H359="","",IFERROR(INDEX('Game Records'!$A:$A,$H359),""))</f>
        <v/>
      </c>
      <c r="D359" s="331" t="str">
        <f>IF($H359="","",IFERROR(INDEX('Game Records'!$U:$U,$H359),""))</f>
        <v/>
      </c>
      <c r="E359" s="331" t="str">
        <f>IF($H359="","",IF($F359="","No Highlighted Fields","Highlighted Fields Present"))</f>
        <v/>
      </c>
      <c r="F359" s="331" t="str">
        <f>IF($H359="","",IF(OR(NOT(ISFORMULA(INDEX('Game Records'!$N:$N,$H359))),NOT(ISFORMULA(INDEX('Game Records'!$O:$O,$H359))),NOT(ISFORMULA(INDEX('Game Records'!$P:$P,$H359))),NOT(ISFORMULA(INDEX('Game Records'!$Q:$Q,$H359))),NOT(ISFORMULA(INDEX('Game Records'!$R:$R,$H359))),NOT(ISFORMULA(INDEX('Game Records'!$S:$S,$H359))),NOT(ISFORMULA(INDEX('Game Records'!$T:$T,$H359))),NOT(ISFORMULA(INDEX('Game Records'!$U:$U,$H359))),NOT(ISFORMULA(INDEX('Game Records'!$V:$V,$H359))),NOT(ISFORMULA(INDEX('Game Records'!$W:$W,$H359))),NOT(ISFORMULA(INDEX('Game Records'!$X:$X,$H359))),NOT(ISFORMULA(INDEX('Game Records'!$Y:$Y,$H359))),NOT(ISFORMULA(INDEX('Game Records'!$Z:$Z,$H359)))),"Formula columns missing; ","")&amp;IF(INDEX('Game Records'!$B:$B,$H359)="","Start Date; ","")&amp;IF(INDEX('Game Records'!$C:$C,$H359)="","End Date; ","")&amp;IF(AND(INDEX('Game Records'!$U:$U,$H359)&lt;&gt;"Subscription",INDEX('Game Records'!$U:$U,$H359)&lt;&gt;"Free Game",INDEX('Game Records'!$U:$U,$H359)&lt;&gt;"Disqualified — Free Game",OR(INDEX('Game Records'!$D:$D,$H359)="",LOWER(INDEX('Game Records'!$D:$D,$H359)&amp;"")="n/a")),"Entry Mode; ","")&amp;IF(AND(INDEX('Game Records'!$U:$U,$H359)&lt;&gt;"Subscription",INDEX('Game Records'!$U:$U,$H359)&lt;&gt;"Free Game",INDEX('Game Records'!$U:$U,$H359)&lt;&gt;"Disqualified — Free Game",OR(INDEX('Game Records'!$E:$E,$H359)="",LOWER(INDEX('Game Records'!$E:$E,$H359)&amp;"")="n/a")),"Game Type; ","")&amp;IF(INDEX('Game Records'!$F:$F,$H359)="","Payment Type; ","")&amp;IF(AND(INDEX('Game Records'!$U:$U,$H359)&lt;&gt;"Subscription",INDEX('Game Records'!$U:$U,$H359)&lt;&gt;"Free Game",INDEX('Game Records'!$U:$U,$H359)&lt;&gt;"Disqualified — Free Game",INDEX('Game Records'!$G:$G,$H359)=""),"Gross Pot; ","")&amp;IF(AND(INDEX('Game Records'!$U:$U,$H359)&lt;&gt;"Free Game",INDEX('Game Records'!$U:$U,$H359)&lt;&gt;"Disqualified — Free Game",INDEX('Game Records'!$H:$H,$H359)=""),"Entry Fee; ","")&amp;IF(AND(INDEX('Game Records'!$U:$U,$H359)&lt;&gt;"Subscription",INDEX('Game Records'!$U:$U,$H359)&lt;&gt;"Free Game",INDEX('Game Records'!$U:$U,$H359)&lt;&gt;"Disqualified — Free Game",INDEX('Game Records'!$I:$I,$H359)=""),"Eligible Players; ","")&amp;IF(AND(INDEX('Game Records'!$U:$U,$H359)&lt;&gt;"Subscription",INDEX('Game Records'!$U:$U,$H359)&lt;&gt;"Free Game",INDEX('Game Records'!$U:$U,$H359)&lt;&gt;"Disqualified — Free Game",INDEX('Game Records'!$J:$J,$H359)=""),"Total Players; ","")&amp;IF(AND(LOWER(INDEX('Game Records'!$D:$D,$H359)&amp;"")="finalized",LOWER(INDEX('Game Records'!$L:$L,$H359)&amp;"")&lt;&gt;"yes",INDEX('Game Records'!$U:$U,$H359)&lt;&gt;"Subscription",INDEX('Game Records'!$U:$U,$H359)&lt;&gt;"Free Game",INDEX('Game Records'!$U:$U,$H359)&lt;&gt;"Disqualified — Free Game",INDEX('Game Records'!$K:$K,$H359)=""),"Final Earned; ","")&amp;IF(AND(LOWER(INDEX('Game Records'!$D:$D,$H359)&amp;"")="finalized",INDEX('Game Records'!$U:$U,$H359)&lt;&gt;"Subscription",INDEX('Game Records'!$U:$U,$H359)&lt;&gt;"Free Game",INDEX('Game Records'!$U:$U,$H359)&lt;&gt;"Disqualified — Free Game",OR(INDEX('Game Records'!$L:$L,$H359)="",LOWER(INDEX('Game Records'!$L:$L,$H359)&amp;"")="n/a")),"Disqualified Status; ","")&amp;IF(AND(OR(LOWER(TRIM(INDEX('Game Records'!$F:$F,$H359)&amp;""))="free game",INDEX('Game Records'!$U:$U,$H359)="Free Game",INDEX('Game Records'!$U:$U,$H359)="Disqualified — Free Game"),N(INDEX('Game Records'!$H:$H,$H359))&lt;&gt;0),"Free Game has a non-zero Entry Fee. Free Game records require a $0 Entry Fee; ",""))</f>
        <v/>
      </c>
      <c r="G359" s="331" t="str">
        <f>IF($H359="","",IFERROR(INDEX('Game Records'!$M:$M,$H359),""))</f>
        <v/>
      </c>
      <c r="H359" s="104" t="str">
        <f>IF($H358="","",IFERROR(MATCH(1,INDEX((ROW('Game Records'!$U$5:$U$504)&gt;$H358)*(('Game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0" ht="24" customHeight="1">
      <c r="A360" s="332" t="str">
        <f>IF($H360="","",ROWS($A$5:A360))</f>
        <v/>
      </c>
      <c r="B360" s="332" t="str">
        <f>IF($H360="","","G-"&amp;TEXT($A360,"0000"))</f>
        <v/>
      </c>
      <c r="C360" s="331" t="str">
        <f>IF($H360="","",IFERROR(INDEX('Game Records'!$A:$A,$H360),""))</f>
        <v/>
      </c>
      <c r="D360" s="331" t="str">
        <f>IF($H360="","",IFERROR(INDEX('Game Records'!$U:$U,$H360),""))</f>
        <v/>
      </c>
      <c r="E360" s="331" t="str">
        <f>IF($H360="","",IF($F360="","No Highlighted Fields","Highlighted Fields Present"))</f>
        <v/>
      </c>
      <c r="F360" s="331" t="str">
        <f>IF($H360="","",IF(OR(NOT(ISFORMULA(INDEX('Game Records'!$N:$N,$H360))),NOT(ISFORMULA(INDEX('Game Records'!$O:$O,$H360))),NOT(ISFORMULA(INDEX('Game Records'!$P:$P,$H360))),NOT(ISFORMULA(INDEX('Game Records'!$Q:$Q,$H360))),NOT(ISFORMULA(INDEX('Game Records'!$R:$R,$H360))),NOT(ISFORMULA(INDEX('Game Records'!$S:$S,$H360))),NOT(ISFORMULA(INDEX('Game Records'!$T:$T,$H360))),NOT(ISFORMULA(INDEX('Game Records'!$U:$U,$H360))),NOT(ISFORMULA(INDEX('Game Records'!$V:$V,$H360))),NOT(ISFORMULA(INDEX('Game Records'!$W:$W,$H360))),NOT(ISFORMULA(INDEX('Game Records'!$X:$X,$H360))),NOT(ISFORMULA(INDEX('Game Records'!$Y:$Y,$H360))),NOT(ISFORMULA(INDEX('Game Records'!$Z:$Z,$H360)))),"Formula columns missing; ","")&amp;IF(INDEX('Game Records'!$B:$B,$H360)="","Start Date; ","")&amp;IF(INDEX('Game Records'!$C:$C,$H360)="","End Date; ","")&amp;IF(AND(INDEX('Game Records'!$U:$U,$H360)&lt;&gt;"Subscription",INDEX('Game Records'!$U:$U,$H360)&lt;&gt;"Free Game",INDEX('Game Records'!$U:$U,$H360)&lt;&gt;"Disqualified — Free Game",OR(INDEX('Game Records'!$D:$D,$H360)="",LOWER(INDEX('Game Records'!$D:$D,$H360)&amp;"")="n/a")),"Entry Mode; ","")&amp;IF(AND(INDEX('Game Records'!$U:$U,$H360)&lt;&gt;"Subscription",INDEX('Game Records'!$U:$U,$H360)&lt;&gt;"Free Game",INDEX('Game Records'!$U:$U,$H360)&lt;&gt;"Disqualified — Free Game",OR(INDEX('Game Records'!$E:$E,$H360)="",LOWER(INDEX('Game Records'!$E:$E,$H360)&amp;"")="n/a")),"Game Type; ","")&amp;IF(INDEX('Game Records'!$F:$F,$H360)="","Payment Type; ","")&amp;IF(AND(INDEX('Game Records'!$U:$U,$H360)&lt;&gt;"Subscription",INDEX('Game Records'!$U:$U,$H360)&lt;&gt;"Free Game",INDEX('Game Records'!$U:$U,$H360)&lt;&gt;"Disqualified — Free Game",INDEX('Game Records'!$G:$G,$H360)=""),"Gross Pot; ","")&amp;IF(AND(INDEX('Game Records'!$U:$U,$H360)&lt;&gt;"Free Game",INDEX('Game Records'!$U:$U,$H360)&lt;&gt;"Disqualified — Free Game",INDEX('Game Records'!$H:$H,$H360)=""),"Entry Fee; ","")&amp;IF(AND(INDEX('Game Records'!$U:$U,$H360)&lt;&gt;"Subscription",INDEX('Game Records'!$U:$U,$H360)&lt;&gt;"Free Game",INDEX('Game Records'!$U:$U,$H360)&lt;&gt;"Disqualified — Free Game",INDEX('Game Records'!$I:$I,$H360)=""),"Eligible Players; ","")&amp;IF(AND(INDEX('Game Records'!$U:$U,$H360)&lt;&gt;"Subscription",INDEX('Game Records'!$U:$U,$H360)&lt;&gt;"Free Game",INDEX('Game Records'!$U:$U,$H360)&lt;&gt;"Disqualified — Free Game",INDEX('Game Records'!$J:$J,$H360)=""),"Total Players; ","")&amp;IF(AND(LOWER(INDEX('Game Records'!$D:$D,$H360)&amp;"")="finalized",LOWER(INDEX('Game Records'!$L:$L,$H360)&amp;"")&lt;&gt;"yes",INDEX('Game Records'!$U:$U,$H360)&lt;&gt;"Subscription",INDEX('Game Records'!$U:$U,$H360)&lt;&gt;"Free Game",INDEX('Game Records'!$U:$U,$H360)&lt;&gt;"Disqualified — Free Game",INDEX('Game Records'!$K:$K,$H360)=""),"Final Earned; ","")&amp;IF(AND(LOWER(INDEX('Game Records'!$D:$D,$H360)&amp;"")="finalized",INDEX('Game Records'!$U:$U,$H360)&lt;&gt;"Subscription",INDEX('Game Records'!$U:$U,$H360)&lt;&gt;"Free Game",INDEX('Game Records'!$U:$U,$H360)&lt;&gt;"Disqualified — Free Game",OR(INDEX('Game Records'!$L:$L,$H360)="",LOWER(INDEX('Game Records'!$L:$L,$H360)&amp;"")="n/a")),"Disqualified Status; ","")&amp;IF(AND(OR(LOWER(TRIM(INDEX('Game Records'!$F:$F,$H360)&amp;""))="free game",INDEX('Game Records'!$U:$U,$H360)="Free Game",INDEX('Game Records'!$U:$U,$H360)="Disqualified — Free Game"),N(INDEX('Game Records'!$H:$H,$H360))&lt;&gt;0),"Free Game has a non-zero Entry Fee. Free Game records require a $0 Entry Fee; ",""))</f>
        <v/>
      </c>
      <c r="G360" s="331" t="str">
        <f>IF($H360="","",IFERROR(INDEX('Game Records'!$M:$M,$H360),""))</f>
        <v/>
      </c>
      <c r="H360" s="104" t="str">
        <f>IF($H359="","",IFERROR(MATCH(1,INDEX((ROW('Game Records'!$U$5:$U$504)&gt;$H359)*(('Game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1" ht="24" customHeight="1">
      <c r="A361" s="332" t="str">
        <f>IF($H361="","",ROWS($A$5:A361))</f>
        <v/>
      </c>
      <c r="B361" s="332" t="str">
        <f>IF($H361="","","G-"&amp;TEXT($A361,"0000"))</f>
        <v/>
      </c>
      <c r="C361" s="331" t="str">
        <f>IF($H361="","",IFERROR(INDEX('Game Records'!$A:$A,$H361),""))</f>
        <v/>
      </c>
      <c r="D361" s="331" t="str">
        <f>IF($H361="","",IFERROR(INDEX('Game Records'!$U:$U,$H361),""))</f>
        <v/>
      </c>
      <c r="E361" s="331" t="str">
        <f>IF($H361="","",IF($F361="","No Highlighted Fields","Highlighted Fields Present"))</f>
        <v/>
      </c>
      <c r="F361" s="331" t="str">
        <f>IF($H361="","",IF(OR(NOT(ISFORMULA(INDEX('Game Records'!$N:$N,$H361))),NOT(ISFORMULA(INDEX('Game Records'!$O:$O,$H361))),NOT(ISFORMULA(INDEX('Game Records'!$P:$P,$H361))),NOT(ISFORMULA(INDEX('Game Records'!$Q:$Q,$H361))),NOT(ISFORMULA(INDEX('Game Records'!$R:$R,$H361))),NOT(ISFORMULA(INDEX('Game Records'!$S:$S,$H361))),NOT(ISFORMULA(INDEX('Game Records'!$T:$T,$H361))),NOT(ISFORMULA(INDEX('Game Records'!$U:$U,$H361))),NOT(ISFORMULA(INDEX('Game Records'!$V:$V,$H361))),NOT(ISFORMULA(INDEX('Game Records'!$W:$W,$H361))),NOT(ISFORMULA(INDEX('Game Records'!$X:$X,$H361))),NOT(ISFORMULA(INDEX('Game Records'!$Y:$Y,$H361))),NOT(ISFORMULA(INDEX('Game Records'!$Z:$Z,$H361)))),"Formula columns missing; ","")&amp;IF(INDEX('Game Records'!$B:$B,$H361)="","Start Date; ","")&amp;IF(INDEX('Game Records'!$C:$C,$H361)="","End Date; ","")&amp;IF(AND(INDEX('Game Records'!$U:$U,$H361)&lt;&gt;"Subscription",INDEX('Game Records'!$U:$U,$H361)&lt;&gt;"Free Game",INDEX('Game Records'!$U:$U,$H361)&lt;&gt;"Disqualified — Free Game",OR(INDEX('Game Records'!$D:$D,$H361)="",LOWER(INDEX('Game Records'!$D:$D,$H361)&amp;"")="n/a")),"Entry Mode; ","")&amp;IF(AND(INDEX('Game Records'!$U:$U,$H361)&lt;&gt;"Subscription",INDEX('Game Records'!$U:$U,$H361)&lt;&gt;"Free Game",INDEX('Game Records'!$U:$U,$H361)&lt;&gt;"Disqualified — Free Game",OR(INDEX('Game Records'!$E:$E,$H361)="",LOWER(INDEX('Game Records'!$E:$E,$H361)&amp;"")="n/a")),"Game Type; ","")&amp;IF(INDEX('Game Records'!$F:$F,$H361)="","Payment Type; ","")&amp;IF(AND(INDEX('Game Records'!$U:$U,$H361)&lt;&gt;"Subscription",INDEX('Game Records'!$U:$U,$H361)&lt;&gt;"Free Game",INDEX('Game Records'!$U:$U,$H361)&lt;&gt;"Disqualified — Free Game",INDEX('Game Records'!$G:$G,$H361)=""),"Gross Pot; ","")&amp;IF(AND(INDEX('Game Records'!$U:$U,$H361)&lt;&gt;"Free Game",INDEX('Game Records'!$U:$U,$H361)&lt;&gt;"Disqualified — Free Game",INDEX('Game Records'!$H:$H,$H361)=""),"Entry Fee; ","")&amp;IF(AND(INDEX('Game Records'!$U:$U,$H361)&lt;&gt;"Subscription",INDEX('Game Records'!$U:$U,$H361)&lt;&gt;"Free Game",INDEX('Game Records'!$U:$U,$H361)&lt;&gt;"Disqualified — Free Game",INDEX('Game Records'!$I:$I,$H361)=""),"Eligible Players; ","")&amp;IF(AND(INDEX('Game Records'!$U:$U,$H361)&lt;&gt;"Subscription",INDEX('Game Records'!$U:$U,$H361)&lt;&gt;"Free Game",INDEX('Game Records'!$U:$U,$H361)&lt;&gt;"Disqualified — Free Game",INDEX('Game Records'!$J:$J,$H361)=""),"Total Players; ","")&amp;IF(AND(LOWER(INDEX('Game Records'!$D:$D,$H361)&amp;"")="finalized",LOWER(INDEX('Game Records'!$L:$L,$H361)&amp;"")&lt;&gt;"yes",INDEX('Game Records'!$U:$U,$H361)&lt;&gt;"Subscription",INDEX('Game Records'!$U:$U,$H361)&lt;&gt;"Free Game",INDEX('Game Records'!$U:$U,$H361)&lt;&gt;"Disqualified — Free Game",INDEX('Game Records'!$K:$K,$H361)=""),"Final Earned; ","")&amp;IF(AND(LOWER(INDEX('Game Records'!$D:$D,$H361)&amp;"")="finalized",INDEX('Game Records'!$U:$U,$H361)&lt;&gt;"Subscription",INDEX('Game Records'!$U:$U,$H361)&lt;&gt;"Free Game",INDEX('Game Records'!$U:$U,$H361)&lt;&gt;"Disqualified — Free Game",OR(INDEX('Game Records'!$L:$L,$H361)="",LOWER(INDEX('Game Records'!$L:$L,$H361)&amp;"")="n/a")),"Disqualified Status; ","")&amp;IF(AND(OR(LOWER(TRIM(INDEX('Game Records'!$F:$F,$H361)&amp;""))="free game",INDEX('Game Records'!$U:$U,$H361)="Free Game",INDEX('Game Records'!$U:$U,$H361)="Disqualified — Free Game"),N(INDEX('Game Records'!$H:$H,$H361))&lt;&gt;0),"Free Game has a non-zero Entry Fee. Free Game records require a $0 Entry Fee; ",""))</f>
        <v/>
      </c>
      <c r="G361" s="331" t="str">
        <f>IF($H361="","",IFERROR(INDEX('Game Records'!$M:$M,$H361),""))</f>
        <v/>
      </c>
      <c r="H361" s="104" t="str">
        <f>IF($H360="","",IFERROR(MATCH(1,INDEX((ROW('Game Records'!$U$5:$U$504)&gt;$H360)*(('Game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2" ht="24" customHeight="1">
      <c r="A362" s="332" t="str">
        <f>IF($H362="","",ROWS($A$5:A362))</f>
        <v/>
      </c>
      <c r="B362" s="332" t="str">
        <f>IF($H362="","","G-"&amp;TEXT($A362,"0000"))</f>
        <v/>
      </c>
      <c r="C362" s="331" t="str">
        <f>IF($H362="","",IFERROR(INDEX('Game Records'!$A:$A,$H362),""))</f>
        <v/>
      </c>
      <c r="D362" s="331" t="str">
        <f>IF($H362="","",IFERROR(INDEX('Game Records'!$U:$U,$H362),""))</f>
        <v/>
      </c>
      <c r="E362" s="331" t="str">
        <f>IF($H362="","",IF($F362="","No Highlighted Fields","Highlighted Fields Present"))</f>
        <v/>
      </c>
      <c r="F362" s="331" t="str">
        <f>IF($H362="","",IF(OR(NOT(ISFORMULA(INDEX('Game Records'!$N:$N,$H362))),NOT(ISFORMULA(INDEX('Game Records'!$O:$O,$H362))),NOT(ISFORMULA(INDEX('Game Records'!$P:$P,$H362))),NOT(ISFORMULA(INDEX('Game Records'!$Q:$Q,$H362))),NOT(ISFORMULA(INDEX('Game Records'!$R:$R,$H362))),NOT(ISFORMULA(INDEX('Game Records'!$S:$S,$H362))),NOT(ISFORMULA(INDEX('Game Records'!$T:$T,$H362))),NOT(ISFORMULA(INDEX('Game Records'!$U:$U,$H362))),NOT(ISFORMULA(INDEX('Game Records'!$V:$V,$H362))),NOT(ISFORMULA(INDEX('Game Records'!$W:$W,$H362))),NOT(ISFORMULA(INDEX('Game Records'!$X:$X,$H362))),NOT(ISFORMULA(INDEX('Game Records'!$Y:$Y,$H362))),NOT(ISFORMULA(INDEX('Game Records'!$Z:$Z,$H362)))),"Formula columns missing; ","")&amp;IF(INDEX('Game Records'!$B:$B,$H362)="","Start Date; ","")&amp;IF(INDEX('Game Records'!$C:$C,$H362)="","End Date; ","")&amp;IF(AND(INDEX('Game Records'!$U:$U,$H362)&lt;&gt;"Subscription",INDEX('Game Records'!$U:$U,$H362)&lt;&gt;"Free Game",INDEX('Game Records'!$U:$U,$H362)&lt;&gt;"Disqualified — Free Game",OR(INDEX('Game Records'!$D:$D,$H362)="",LOWER(INDEX('Game Records'!$D:$D,$H362)&amp;"")="n/a")),"Entry Mode; ","")&amp;IF(AND(INDEX('Game Records'!$U:$U,$H362)&lt;&gt;"Subscription",INDEX('Game Records'!$U:$U,$H362)&lt;&gt;"Free Game",INDEX('Game Records'!$U:$U,$H362)&lt;&gt;"Disqualified — Free Game",OR(INDEX('Game Records'!$E:$E,$H362)="",LOWER(INDEX('Game Records'!$E:$E,$H362)&amp;"")="n/a")),"Game Type; ","")&amp;IF(INDEX('Game Records'!$F:$F,$H362)="","Payment Type; ","")&amp;IF(AND(INDEX('Game Records'!$U:$U,$H362)&lt;&gt;"Subscription",INDEX('Game Records'!$U:$U,$H362)&lt;&gt;"Free Game",INDEX('Game Records'!$U:$U,$H362)&lt;&gt;"Disqualified — Free Game",INDEX('Game Records'!$G:$G,$H362)=""),"Gross Pot; ","")&amp;IF(AND(INDEX('Game Records'!$U:$U,$H362)&lt;&gt;"Free Game",INDEX('Game Records'!$U:$U,$H362)&lt;&gt;"Disqualified — Free Game",INDEX('Game Records'!$H:$H,$H362)=""),"Entry Fee; ","")&amp;IF(AND(INDEX('Game Records'!$U:$U,$H362)&lt;&gt;"Subscription",INDEX('Game Records'!$U:$U,$H362)&lt;&gt;"Free Game",INDEX('Game Records'!$U:$U,$H362)&lt;&gt;"Disqualified — Free Game",INDEX('Game Records'!$I:$I,$H362)=""),"Eligible Players; ","")&amp;IF(AND(INDEX('Game Records'!$U:$U,$H362)&lt;&gt;"Subscription",INDEX('Game Records'!$U:$U,$H362)&lt;&gt;"Free Game",INDEX('Game Records'!$U:$U,$H362)&lt;&gt;"Disqualified — Free Game",INDEX('Game Records'!$J:$J,$H362)=""),"Total Players; ","")&amp;IF(AND(LOWER(INDEX('Game Records'!$D:$D,$H362)&amp;"")="finalized",LOWER(INDEX('Game Records'!$L:$L,$H362)&amp;"")&lt;&gt;"yes",INDEX('Game Records'!$U:$U,$H362)&lt;&gt;"Subscription",INDEX('Game Records'!$U:$U,$H362)&lt;&gt;"Free Game",INDEX('Game Records'!$U:$U,$H362)&lt;&gt;"Disqualified — Free Game",INDEX('Game Records'!$K:$K,$H362)=""),"Final Earned; ","")&amp;IF(AND(LOWER(INDEX('Game Records'!$D:$D,$H362)&amp;"")="finalized",INDEX('Game Records'!$U:$U,$H362)&lt;&gt;"Subscription",INDEX('Game Records'!$U:$U,$H362)&lt;&gt;"Free Game",INDEX('Game Records'!$U:$U,$H362)&lt;&gt;"Disqualified — Free Game",OR(INDEX('Game Records'!$L:$L,$H362)="",LOWER(INDEX('Game Records'!$L:$L,$H362)&amp;"")="n/a")),"Disqualified Status; ","")&amp;IF(AND(OR(LOWER(TRIM(INDEX('Game Records'!$F:$F,$H362)&amp;""))="free game",INDEX('Game Records'!$U:$U,$H362)="Free Game",INDEX('Game Records'!$U:$U,$H362)="Disqualified — Free Game"),N(INDEX('Game Records'!$H:$H,$H362))&lt;&gt;0),"Free Game has a non-zero Entry Fee. Free Game records require a $0 Entry Fee; ",""))</f>
        <v/>
      </c>
      <c r="G362" s="331" t="str">
        <f>IF($H362="","",IFERROR(INDEX('Game Records'!$M:$M,$H362),""))</f>
        <v/>
      </c>
      <c r="H362" s="104" t="str">
        <f>IF($H361="","",IFERROR(MATCH(1,INDEX((ROW('Game Records'!$U$5:$U$504)&gt;$H361)*(('Game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3" ht="24" customHeight="1">
      <c r="A363" s="332" t="str">
        <f>IF($H363="","",ROWS($A$5:A363))</f>
        <v/>
      </c>
      <c r="B363" s="332" t="str">
        <f>IF($H363="","","G-"&amp;TEXT($A363,"0000"))</f>
        <v/>
      </c>
      <c r="C363" s="331" t="str">
        <f>IF($H363="","",IFERROR(INDEX('Game Records'!$A:$A,$H363),""))</f>
        <v/>
      </c>
      <c r="D363" s="331" t="str">
        <f>IF($H363="","",IFERROR(INDEX('Game Records'!$U:$U,$H363),""))</f>
        <v/>
      </c>
      <c r="E363" s="331" t="str">
        <f>IF($H363="","",IF($F363="","No Highlighted Fields","Highlighted Fields Present"))</f>
        <v/>
      </c>
      <c r="F363" s="331" t="str">
        <f>IF($H363="","",IF(OR(NOT(ISFORMULA(INDEX('Game Records'!$N:$N,$H363))),NOT(ISFORMULA(INDEX('Game Records'!$O:$O,$H363))),NOT(ISFORMULA(INDEX('Game Records'!$P:$P,$H363))),NOT(ISFORMULA(INDEX('Game Records'!$Q:$Q,$H363))),NOT(ISFORMULA(INDEX('Game Records'!$R:$R,$H363))),NOT(ISFORMULA(INDEX('Game Records'!$S:$S,$H363))),NOT(ISFORMULA(INDEX('Game Records'!$T:$T,$H363))),NOT(ISFORMULA(INDEX('Game Records'!$U:$U,$H363))),NOT(ISFORMULA(INDEX('Game Records'!$V:$V,$H363))),NOT(ISFORMULA(INDEX('Game Records'!$W:$W,$H363))),NOT(ISFORMULA(INDEX('Game Records'!$X:$X,$H363))),NOT(ISFORMULA(INDEX('Game Records'!$Y:$Y,$H363))),NOT(ISFORMULA(INDEX('Game Records'!$Z:$Z,$H363)))),"Formula columns missing; ","")&amp;IF(INDEX('Game Records'!$B:$B,$H363)="","Start Date; ","")&amp;IF(INDEX('Game Records'!$C:$C,$H363)="","End Date; ","")&amp;IF(AND(INDEX('Game Records'!$U:$U,$H363)&lt;&gt;"Subscription",INDEX('Game Records'!$U:$U,$H363)&lt;&gt;"Free Game",INDEX('Game Records'!$U:$U,$H363)&lt;&gt;"Disqualified — Free Game",OR(INDEX('Game Records'!$D:$D,$H363)="",LOWER(INDEX('Game Records'!$D:$D,$H363)&amp;"")="n/a")),"Entry Mode; ","")&amp;IF(AND(INDEX('Game Records'!$U:$U,$H363)&lt;&gt;"Subscription",INDEX('Game Records'!$U:$U,$H363)&lt;&gt;"Free Game",INDEX('Game Records'!$U:$U,$H363)&lt;&gt;"Disqualified — Free Game",OR(INDEX('Game Records'!$E:$E,$H363)="",LOWER(INDEX('Game Records'!$E:$E,$H363)&amp;"")="n/a")),"Game Type; ","")&amp;IF(INDEX('Game Records'!$F:$F,$H363)="","Payment Type; ","")&amp;IF(AND(INDEX('Game Records'!$U:$U,$H363)&lt;&gt;"Subscription",INDEX('Game Records'!$U:$U,$H363)&lt;&gt;"Free Game",INDEX('Game Records'!$U:$U,$H363)&lt;&gt;"Disqualified — Free Game",INDEX('Game Records'!$G:$G,$H363)=""),"Gross Pot; ","")&amp;IF(AND(INDEX('Game Records'!$U:$U,$H363)&lt;&gt;"Free Game",INDEX('Game Records'!$U:$U,$H363)&lt;&gt;"Disqualified — Free Game",INDEX('Game Records'!$H:$H,$H363)=""),"Entry Fee; ","")&amp;IF(AND(INDEX('Game Records'!$U:$U,$H363)&lt;&gt;"Subscription",INDEX('Game Records'!$U:$U,$H363)&lt;&gt;"Free Game",INDEX('Game Records'!$U:$U,$H363)&lt;&gt;"Disqualified — Free Game",INDEX('Game Records'!$I:$I,$H363)=""),"Eligible Players; ","")&amp;IF(AND(INDEX('Game Records'!$U:$U,$H363)&lt;&gt;"Subscription",INDEX('Game Records'!$U:$U,$H363)&lt;&gt;"Free Game",INDEX('Game Records'!$U:$U,$H363)&lt;&gt;"Disqualified — Free Game",INDEX('Game Records'!$J:$J,$H363)=""),"Total Players; ","")&amp;IF(AND(LOWER(INDEX('Game Records'!$D:$D,$H363)&amp;"")="finalized",LOWER(INDEX('Game Records'!$L:$L,$H363)&amp;"")&lt;&gt;"yes",INDEX('Game Records'!$U:$U,$H363)&lt;&gt;"Subscription",INDEX('Game Records'!$U:$U,$H363)&lt;&gt;"Free Game",INDEX('Game Records'!$U:$U,$H363)&lt;&gt;"Disqualified — Free Game",INDEX('Game Records'!$K:$K,$H363)=""),"Final Earned; ","")&amp;IF(AND(LOWER(INDEX('Game Records'!$D:$D,$H363)&amp;"")="finalized",INDEX('Game Records'!$U:$U,$H363)&lt;&gt;"Subscription",INDEX('Game Records'!$U:$U,$H363)&lt;&gt;"Free Game",INDEX('Game Records'!$U:$U,$H363)&lt;&gt;"Disqualified — Free Game",OR(INDEX('Game Records'!$L:$L,$H363)="",LOWER(INDEX('Game Records'!$L:$L,$H363)&amp;"")="n/a")),"Disqualified Status; ","")&amp;IF(AND(OR(LOWER(TRIM(INDEX('Game Records'!$F:$F,$H363)&amp;""))="free game",INDEX('Game Records'!$U:$U,$H363)="Free Game",INDEX('Game Records'!$U:$U,$H363)="Disqualified — Free Game"),N(INDEX('Game Records'!$H:$H,$H363))&lt;&gt;0),"Free Game has a non-zero Entry Fee. Free Game records require a $0 Entry Fee; ",""))</f>
        <v/>
      </c>
      <c r="G363" s="331" t="str">
        <f>IF($H363="","",IFERROR(INDEX('Game Records'!$M:$M,$H363),""))</f>
        <v/>
      </c>
      <c r="H363" s="104" t="str">
        <f>IF($H362="","",IFERROR(MATCH(1,INDEX((ROW('Game Records'!$U$5:$U$504)&gt;$H362)*(('Game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4" ht="24" customHeight="1">
      <c r="A364" s="332" t="str">
        <f>IF($H364="","",ROWS($A$5:A364))</f>
        <v/>
      </c>
      <c r="B364" s="332" t="str">
        <f>IF($H364="","","G-"&amp;TEXT($A364,"0000"))</f>
        <v/>
      </c>
      <c r="C364" s="331" t="str">
        <f>IF($H364="","",IFERROR(INDEX('Game Records'!$A:$A,$H364),""))</f>
        <v/>
      </c>
      <c r="D364" s="331" t="str">
        <f>IF($H364="","",IFERROR(INDEX('Game Records'!$U:$U,$H364),""))</f>
        <v/>
      </c>
      <c r="E364" s="331" t="str">
        <f>IF($H364="","",IF($F364="","No Highlighted Fields","Highlighted Fields Present"))</f>
        <v/>
      </c>
      <c r="F364" s="331" t="str">
        <f>IF($H364="","",IF(OR(NOT(ISFORMULA(INDEX('Game Records'!$N:$N,$H364))),NOT(ISFORMULA(INDEX('Game Records'!$O:$O,$H364))),NOT(ISFORMULA(INDEX('Game Records'!$P:$P,$H364))),NOT(ISFORMULA(INDEX('Game Records'!$Q:$Q,$H364))),NOT(ISFORMULA(INDEX('Game Records'!$R:$R,$H364))),NOT(ISFORMULA(INDEX('Game Records'!$S:$S,$H364))),NOT(ISFORMULA(INDEX('Game Records'!$T:$T,$H364))),NOT(ISFORMULA(INDEX('Game Records'!$U:$U,$H364))),NOT(ISFORMULA(INDEX('Game Records'!$V:$V,$H364))),NOT(ISFORMULA(INDEX('Game Records'!$W:$W,$H364))),NOT(ISFORMULA(INDEX('Game Records'!$X:$X,$H364))),NOT(ISFORMULA(INDEX('Game Records'!$Y:$Y,$H364))),NOT(ISFORMULA(INDEX('Game Records'!$Z:$Z,$H364)))),"Formula columns missing; ","")&amp;IF(INDEX('Game Records'!$B:$B,$H364)="","Start Date; ","")&amp;IF(INDEX('Game Records'!$C:$C,$H364)="","End Date; ","")&amp;IF(AND(INDEX('Game Records'!$U:$U,$H364)&lt;&gt;"Subscription",INDEX('Game Records'!$U:$U,$H364)&lt;&gt;"Free Game",INDEX('Game Records'!$U:$U,$H364)&lt;&gt;"Disqualified — Free Game",OR(INDEX('Game Records'!$D:$D,$H364)="",LOWER(INDEX('Game Records'!$D:$D,$H364)&amp;"")="n/a")),"Entry Mode; ","")&amp;IF(AND(INDEX('Game Records'!$U:$U,$H364)&lt;&gt;"Subscription",INDEX('Game Records'!$U:$U,$H364)&lt;&gt;"Free Game",INDEX('Game Records'!$U:$U,$H364)&lt;&gt;"Disqualified — Free Game",OR(INDEX('Game Records'!$E:$E,$H364)="",LOWER(INDEX('Game Records'!$E:$E,$H364)&amp;"")="n/a")),"Game Type; ","")&amp;IF(INDEX('Game Records'!$F:$F,$H364)="","Payment Type; ","")&amp;IF(AND(INDEX('Game Records'!$U:$U,$H364)&lt;&gt;"Subscription",INDEX('Game Records'!$U:$U,$H364)&lt;&gt;"Free Game",INDEX('Game Records'!$U:$U,$H364)&lt;&gt;"Disqualified — Free Game",INDEX('Game Records'!$G:$G,$H364)=""),"Gross Pot; ","")&amp;IF(AND(INDEX('Game Records'!$U:$U,$H364)&lt;&gt;"Free Game",INDEX('Game Records'!$U:$U,$H364)&lt;&gt;"Disqualified — Free Game",INDEX('Game Records'!$H:$H,$H364)=""),"Entry Fee; ","")&amp;IF(AND(INDEX('Game Records'!$U:$U,$H364)&lt;&gt;"Subscription",INDEX('Game Records'!$U:$U,$H364)&lt;&gt;"Free Game",INDEX('Game Records'!$U:$U,$H364)&lt;&gt;"Disqualified — Free Game",INDEX('Game Records'!$I:$I,$H364)=""),"Eligible Players; ","")&amp;IF(AND(INDEX('Game Records'!$U:$U,$H364)&lt;&gt;"Subscription",INDEX('Game Records'!$U:$U,$H364)&lt;&gt;"Free Game",INDEX('Game Records'!$U:$U,$H364)&lt;&gt;"Disqualified — Free Game",INDEX('Game Records'!$J:$J,$H364)=""),"Total Players; ","")&amp;IF(AND(LOWER(INDEX('Game Records'!$D:$D,$H364)&amp;"")="finalized",LOWER(INDEX('Game Records'!$L:$L,$H364)&amp;"")&lt;&gt;"yes",INDEX('Game Records'!$U:$U,$H364)&lt;&gt;"Subscription",INDEX('Game Records'!$U:$U,$H364)&lt;&gt;"Free Game",INDEX('Game Records'!$U:$U,$H364)&lt;&gt;"Disqualified — Free Game",INDEX('Game Records'!$K:$K,$H364)=""),"Final Earned; ","")&amp;IF(AND(LOWER(INDEX('Game Records'!$D:$D,$H364)&amp;"")="finalized",INDEX('Game Records'!$U:$U,$H364)&lt;&gt;"Subscription",INDEX('Game Records'!$U:$U,$H364)&lt;&gt;"Free Game",INDEX('Game Records'!$U:$U,$H364)&lt;&gt;"Disqualified — Free Game",OR(INDEX('Game Records'!$L:$L,$H364)="",LOWER(INDEX('Game Records'!$L:$L,$H364)&amp;"")="n/a")),"Disqualified Status; ","")&amp;IF(AND(OR(LOWER(TRIM(INDEX('Game Records'!$F:$F,$H364)&amp;""))="free game",INDEX('Game Records'!$U:$U,$H364)="Free Game",INDEX('Game Records'!$U:$U,$H364)="Disqualified — Free Game"),N(INDEX('Game Records'!$H:$H,$H364))&lt;&gt;0),"Free Game has a non-zero Entry Fee. Free Game records require a $0 Entry Fee; ",""))</f>
        <v/>
      </c>
      <c r="G364" s="331" t="str">
        <f>IF($H364="","",IFERROR(INDEX('Game Records'!$M:$M,$H364),""))</f>
        <v/>
      </c>
      <c r="H364" s="104" t="str">
        <f>IF($H363="","",IFERROR(MATCH(1,INDEX((ROW('Game Records'!$U$5:$U$504)&gt;$H363)*(('Game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5" ht="24" customHeight="1">
      <c r="A365" s="332" t="str">
        <f>IF($H365="","",ROWS($A$5:A365))</f>
        <v/>
      </c>
      <c r="B365" s="332" t="str">
        <f>IF($H365="","","G-"&amp;TEXT($A365,"0000"))</f>
        <v/>
      </c>
      <c r="C365" s="331" t="str">
        <f>IF($H365="","",IFERROR(INDEX('Game Records'!$A:$A,$H365),""))</f>
        <v/>
      </c>
      <c r="D365" s="331" t="str">
        <f>IF($H365="","",IFERROR(INDEX('Game Records'!$U:$U,$H365),""))</f>
        <v/>
      </c>
      <c r="E365" s="331" t="str">
        <f>IF($H365="","",IF($F365="","No Highlighted Fields","Highlighted Fields Present"))</f>
        <v/>
      </c>
      <c r="F365" s="331" t="str">
        <f>IF($H365="","",IF(OR(NOT(ISFORMULA(INDEX('Game Records'!$N:$N,$H365))),NOT(ISFORMULA(INDEX('Game Records'!$O:$O,$H365))),NOT(ISFORMULA(INDEX('Game Records'!$P:$P,$H365))),NOT(ISFORMULA(INDEX('Game Records'!$Q:$Q,$H365))),NOT(ISFORMULA(INDEX('Game Records'!$R:$R,$H365))),NOT(ISFORMULA(INDEX('Game Records'!$S:$S,$H365))),NOT(ISFORMULA(INDEX('Game Records'!$T:$T,$H365))),NOT(ISFORMULA(INDEX('Game Records'!$U:$U,$H365))),NOT(ISFORMULA(INDEX('Game Records'!$V:$V,$H365))),NOT(ISFORMULA(INDEX('Game Records'!$W:$W,$H365))),NOT(ISFORMULA(INDEX('Game Records'!$X:$X,$H365))),NOT(ISFORMULA(INDEX('Game Records'!$Y:$Y,$H365))),NOT(ISFORMULA(INDEX('Game Records'!$Z:$Z,$H365)))),"Formula columns missing; ","")&amp;IF(INDEX('Game Records'!$B:$B,$H365)="","Start Date; ","")&amp;IF(INDEX('Game Records'!$C:$C,$H365)="","End Date; ","")&amp;IF(AND(INDEX('Game Records'!$U:$U,$H365)&lt;&gt;"Subscription",INDEX('Game Records'!$U:$U,$H365)&lt;&gt;"Free Game",INDEX('Game Records'!$U:$U,$H365)&lt;&gt;"Disqualified — Free Game",OR(INDEX('Game Records'!$D:$D,$H365)="",LOWER(INDEX('Game Records'!$D:$D,$H365)&amp;"")="n/a")),"Entry Mode; ","")&amp;IF(AND(INDEX('Game Records'!$U:$U,$H365)&lt;&gt;"Subscription",INDEX('Game Records'!$U:$U,$H365)&lt;&gt;"Free Game",INDEX('Game Records'!$U:$U,$H365)&lt;&gt;"Disqualified — Free Game",OR(INDEX('Game Records'!$E:$E,$H365)="",LOWER(INDEX('Game Records'!$E:$E,$H365)&amp;"")="n/a")),"Game Type; ","")&amp;IF(INDEX('Game Records'!$F:$F,$H365)="","Payment Type; ","")&amp;IF(AND(INDEX('Game Records'!$U:$U,$H365)&lt;&gt;"Subscription",INDEX('Game Records'!$U:$U,$H365)&lt;&gt;"Free Game",INDEX('Game Records'!$U:$U,$H365)&lt;&gt;"Disqualified — Free Game",INDEX('Game Records'!$G:$G,$H365)=""),"Gross Pot; ","")&amp;IF(AND(INDEX('Game Records'!$U:$U,$H365)&lt;&gt;"Free Game",INDEX('Game Records'!$U:$U,$H365)&lt;&gt;"Disqualified — Free Game",INDEX('Game Records'!$H:$H,$H365)=""),"Entry Fee; ","")&amp;IF(AND(INDEX('Game Records'!$U:$U,$H365)&lt;&gt;"Subscription",INDEX('Game Records'!$U:$U,$H365)&lt;&gt;"Free Game",INDEX('Game Records'!$U:$U,$H365)&lt;&gt;"Disqualified — Free Game",INDEX('Game Records'!$I:$I,$H365)=""),"Eligible Players; ","")&amp;IF(AND(INDEX('Game Records'!$U:$U,$H365)&lt;&gt;"Subscription",INDEX('Game Records'!$U:$U,$H365)&lt;&gt;"Free Game",INDEX('Game Records'!$U:$U,$H365)&lt;&gt;"Disqualified — Free Game",INDEX('Game Records'!$J:$J,$H365)=""),"Total Players; ","")&amp;IF(AND(LOWER(INDEX('Game Records'!$D:$D,$H365)&amp;"")="finalized",LOWER(INDEX('Game Records'!$L:$L,$H365)&amp;"")&lt;&gt;"yes",INDEX('Game Records'!$U:$U,$H365)&lt;&gt;"Subscription",INDEX('Game Records'!$U:$U,$H365)&lt;&gt;"Free Game",INDEX('Game Records'!$U:$U,$H365)&lt;&gt;"Disqualified — Free Game",INDEX('Game Records'!$K:$K,$H365)=""),"Final Earned; ","")&amp;IF(AND(LOWER(INDEX('Game Records'!$D:$D,$H365)&amp;"")="finalized",INDEX('Game Records'!$U:$U,$H365)&lt;&gt;"Subscription",INDEX('Game Records'!$U:$U,$H365)&lt;&gt;"Free Game",INDEX('Game Records'!$U:$U,$H365)&lt;&gt;"Disqualified — Free Game",OR(INDEX('Game Records'!$L:$L,$H365)="",LOWER(INDEX('Game Records'!$L:$L,$H365)&amp;"")="n/a")),"Disqualified Status; ","")&amp;IF(AND(OR(LOWER(TRIM(INDEX('Game Records'!$F:$F,$H365)&amp;""))="free game",INDEX('Game Records'!$U:$U,$H365)="Free Game",INDEX('Game Records'!$U:$U,$H365)="Disqualified — Free Game"),N(INDEX('Game Records'!$H:$H,$H365))&lt;&gt;0),"Free Game has a non-zero Entry Fee. Free Game records require a $0 Entry Fee; ",""))</f>
        <v/>
      </c>
      <c r="G365" s="331" t="str">
        <f>IF($H365="","",IFERROR(INDEX('Game Records'!$M:$M,$H365),""))</f>
        <v/>
      </c>
      <c r="H365" s="104" t="str">
        <f>IF($H364="","",IFERROR(MATCH(1,INDEX((ROW('Game Records'!$U$5:$U$504)&gt;$H364)*(('Game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6" ht="24" customHeight="1">
      <c r="A366" s="332" t="str">
        <f>IF($H366="","",ROWS($A$5:A366))</f>
        <v/>
      </c>
      <c r="B366" s="332" t="str">
        <f>IF($H366="","","G-"&amp;TEXT($A366,"0000"))</f>
        <v/>
      </c>
      <c r="C366" s="331" t="str">
        <f>IF($H366="","",IFERROR(INDEX('Game Records'!$A:$A,$H366),""))</f>
        <v/>
      </c>
      <c r="D366" s="331" t="str">
        <f>IF($H366="","",IFERROR(INDEX('Game Records'!$U:$U,$H366),""))</f>
        <v/>
      </c>
      <c r="E366" s="331" t="str">
        <f>IF($H366="","",IF($F366="","No Highlighted Fields","Highlighted Fields Present"))</f>
        <v/>
      </c>
      <c r="F366" s="331" t="str">
        <f>IF($H366="","",IF(OR(NOT(ISFORMULA(INDEX('Game Records'!$N:$N,$H366))),NOT(ISFORMULA(INDEX('Game Records'!$O:$O,$H366))),NOT(ISFORMULA(INDEX('Game Records'!$P:$P,$H366))),NOT(ISFORMULA(INDEX('Game Records'!$Q:$Q,$H366))),NOT(ISFORMULA(INDEX('Game Records'!$R:$R,$H366))),NOT(ISFORMULA(INDEX('Game Records'!$S:$S,$H366))),NOT(ISFORMULA(INDEX('Game Records'!$T:$T,$H366))),NOT(ISFORMULA(INDEX('Game Records'!$U:$U,$H366))),NOT(ISFORMULA(INDEX('Game Records'!$V:$V,$H366))),NOT(ISFORMULA(INDEX('Game Records'!$W:$W,$H366))),NOT(ISFORMULA(INDEX('Game Records'!$X:$X,$H366))),NOT(ISFORMULA(INDEX('Game Records'!$Y:$Y,$H366))),NOT(ISFORMULA(INDEX('Game Records'!$Z:$Z,$H366)))),"Formula columns missing; ","")&amp;IF(INDEX('Game Records'!$B:$B,$H366)="","Start Date; ","")&amp;IF(INDEX('Game Records'!$C:$C,$H366)="","End Date; ","")&amp;IF(AND(INDEX('Game Records'!$U:$U,$H366)&lt;&gt;"Subscription",INDEX('Game Records'!$U:$U,$H366)&lt;&gt;"Free Game",INDEX('Game Records'!$U:$U,$H366)&lt;&gt;"Disqualified — Free Game",OR(INDEX('Game Records'!$D:$D,$H366)="",LOWER(INDEX('Game Records'!$D:$D,$H366)&amp;"")="n/a")),"Entry Mode; ","")&amp;IF(AND(INDEX('Game Records'!$U:$U,$H366)&lt;&gt;"Subscription",INDEX('Game Records'!$U:$U,$H366)&lt;&gt;"Free Game",INDEX('Game Records'!$U:$U,$H366)&lt;&gt;"Disqualified — Free Game",OR(INDEX('Game Records'!$E:$E,$H366)="",LOWER(INDEX('Game Records'!$E:$E,$H366)&amp;"")="n/a")),"Game Type; ","")&amp;IF(INDEX('Game Records'!$F:$F,$H366)="","Payment Type; ","")&amp;IF(AND(INDEX('Game Records'!$U:$U,$H366)&lt;&gt;"Subscription",INDEX('Game Records'!$U:$U,$H366)&lt;&gt;"Free Game",INDEX('Game Records'!$U:$U,$H366)&lt;&gt;"Disqualified — Free Game",INDEX('Game Records'!$G:$G,$H366)=""),"Gross Pot; ","")&amp;IF(AND(INDEX('Game Records'!$U:$U,$H366)&lt;&gt;"Free Game",INDEX('Game Records'!$U:$U,$H366)&lt;&gt;"Disqualified — Free Game",INDEX('Game Records'!$H:$H,$H366)=""),"Entry Fee; ","")&amp;IF(AND(INDEX('Game Records'!$U:$U,$H366)&lt;&gt;"Subscription",INDEX('Game Records'!$U:$U,$H366)&lt;&gt;"Free Game",INDEX('Game Records'!$U:$U,$H366)&lt;&gt;"Disqualified — Free Game",INDEX('Game Records'!$I:$I,$H366)=""),"Eligible Players; ","")&amp;IF(AND(INDEX('Game Records'!$U:$U,$H366)&lt;&gt;"Subscription",INDEX('Game Records'!$U:$U,$H366)&lt;&gt;"Free Game",INDEX('Game Records'!$U:$U,$H366)&lt;&gt;"Disqualified — Free Game",INDEX('Game Records'!$J:$J,$H366)=""),"Total Players; ","")&amp;IF(AND(LOWER(INDEX('Game Records'!$D:$D,$H366)&amp;"")="finalized",LOWER(INDEX('Game Records'!$L:$L,$H366)&amp;"")&lt;&gt;"yes",INDEX('Game Records'!$U:$U,$H366)&lt;&gt;"Subscription",INDEX('Game Records'!$U:$U,$H366)&lt;&gt;"Free Game",INDEX('Game Records'!$U:$U,$H366)&lt;&gt;"Disqualified — Free Game",INDEX('Game Records'!$K:$K,$H366)=""),"Final Earned; ","")&amp;IF(AND(LOWER(INDEX('Game Records'!$D:$D,$H366)&amp;"")="finalized",INDEX('Game Records'!$U:$U,$H366)&lt;&gt;"Subscription",INDEX('Game Records'!$U:$U,$H366)&lt;&gt;"Free Game",INDEX('Game Records'!$U:$U,$H366)&lt;&gt;"Disqualified — Free Game",OR(INDEX('Game Records'!$L:$L,$H366)="",LOWER(INDEX('Game Records'!$L:$L,$H366)&amp;"")="n/a")),"Disqualified Status; ","")&amp;IF(AND(OR(LOWER(TRIM(INDEX('Game Records'!$F:$F,$H366)&amp;""))="free game",INDEX('Game Records'!$U:$U,$H366)="Free Game",INDEX('Game Records'!$U:$U,$H366)="Disqualified — Free Game"),N(INDEX('Game Records'!$H:$H,$H366))&lt;&gt;0),"Free Game has a non-zero Entry Fee. Free Game records require a $0 Entry Fee; ",""))</f>
        <v/>
      </c>
      <c r="G366" s="331" t="str">
        <f>IF($H366="","",IFERROR(INDEX('Game Records'!$M:$M,$H366),""))</f>
        <v/>
      </c>
      <c r="H366" s="104" t="str">
        <f>IF($H365="","",IFERROR(MATCH(1,INDEX((ROW('Game Records'!$U$5:$U$504)&gt;$H365)*(('Game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7" ht="24" customHeight="1">
      <c r="A367" s="332" t="str">
        <f>IF($H367="","",ROWS($A$5:A367))</f>
        <v/>
      </c>
      <c r="B367" s="332" t="str">
        <f>IF($H367="","","G-"&amp;TEXT($A367,"0000"))</f>
        <v/>
      </c>
      <c r="C367" s="331" t="str">
        <f>IF($H367="","",IFERROR(INDEX('Game Records'!$A:$A,$H367),""))</f>
        <v/>
      </c>
      <c r="D367" s="331" t="str">
        <f>IF($H367="","",IFERROR(INDEX('Game Records'!$U:$U,$H367),""))</f>
        <v/>
      </c>
      <c r="E367" s="331" t="str">
        <f>IF($H367="","",IF($F367="","No Highlighted Fields","Highlighted Fields Present"))</f>
        <v/>
      </c>
      <c r="F367" s="331" t="str">
        <f>IF($H367="","",IF(OR(NOT(ISFORMULA(INDEX('Game Records'!$N:$N,$H367))),NOT(ISFORMULA(INDEX('Game Records'!$O:$O,$H367))),NOT(ISFORMULA(INDEX('Game Records'!$P:$P,$H367))),NOT(ISFORMULA(INDEX('Game Records'!$Q:$Q,$H367))),NOT(ISFORMULA(INDEX('Game Records'!$R:$R,$H367))),NOT(ISFORMULA(INDEX('Game Records'!$S:$S,$H367))),NOT(ISFORMULA(INDEX('Game Records'!$T:$T,$H367))),NOT(ISFORMULA(INDEX('Game Records'!$U:$U,$H367))),NOT(ISFORMULA(INDEX('Game Records'!$V:$V,$H367))),NOT(ISFORMULA(INDEX('Game Records'!$W:$W,$H367))),NOT(ISFORMULA(INDEX('Game Records'!$X:$X,$H367))),NOT(ISFORMULA(INDEX('Game Records'!$Y:$Y,$H367))),NOT(ISFORMULA(INDEX('Game Records'!$Z:$Z,$H367)))),"Formula columns missing; ","")&amp;IF(INDEX('Game Records'!$B:$B,$H367)="","Start Date; ","")&amp;IF(INDEX('Game Records'!$C:$C,$H367)="","End Date; ","")&amp;IF(AND(INDEX('Game Records'!$U:$U,$H367)&lt;&gt;"Subscription",INDEX('Game Records'!$U:$U,$H367)&lt;&gt;"Free Game",INDEX('Game Records'!$U:$U,$H367)&lt;&gt;"Disqualified — Free Game",OR(INDEX('Game Records'!$D:$D,$H367)="",LOWER(INDEX('Game Records'!$D:$D,$H367)&amp;"")="n/a")),"Entry Mode; ","")&amp;IF(AND(INDEX('Game Records'!$U:$U,$H367)&lt;&gt;"Subscription",INDEX('Game Records'!$U:$U,$H367)&lt;&gt;"Free Game",INDEX('Game Records'!$U:$U,$H367)&lt;&gt;"Disqualified — Free Game",OR(INDEX('Game Records'!$E:$E,$H367)="",LOWER(INDEX('Game Records'!$E:$E,$H367)&amp;"")="n/a")),"Game Type; ","")&amp;IF(INDEX('Game Records'!$F:$F,$H367)="","Payment Type; ","")&amp;IF(AND(INDEX('Game Records'!$U:$U,$H367)&lt;&gt;"Subscription",INDEX('Game Records'!$U:$U,$H367)&lt;&gt;"Free Game",INDEX('Game Records'!$U:$U,$H367)&lt;&gt;"Disqualified — Free Game",INDEX('Game Records'!$G:$G,$H367)=""),"Gross Pot; ","")&amp;IF(AND(INDEX('Game Records'!$U:$U,$H367)&lt;&gt;"Free Game",INDEX('Game Records'!$U:$U,$H367)&lt;&gt;"Disqualified — Free Game",INDEX('Game Records'!$H:$H,$H367)=""),"Entry Fee; ","")&amp;IF(AND(INDEX('Game Records'!$U:$U,$H367)&lt;&gt;"Subscription",INDEX('Game Records'!$U:$U,$H367)&lt;&gt;"Free Game",INDEX('Game Records'!$U:$U,$H367)&lt;&gt;"Disqualified — Free Game",INDEX('Game Records'!$I:$I,$H367)=""),"Eligible Players; ","")&amp;IF(AND(INDEX('Game Records'!$U:$U,$H367)&lt;&gt;"Subscription",INDEX('Game Records'!$U:$U,$H367)&lt;&gt;"Free Game",INDEX('Game Records'!$U:$U,$H367)&lt;&gt;"Disqualified — Free Game",INDEX('Game Records'!$J:$J,$H367)=""),"Total Players; ","")&amp;IF(AND(LOWER(INDEX('Game Records'!$D:$D,$H367)&amp;"")="finalized",LOWER(INDEX('Game Records'!$L:$L,$H367)&amp;"")&lt;&gt;"yes",INDEX('Game Records'!$U:$U,$H367)&lt;&gt;"Subscription",INDEX('Game Records'!$U:$U,$H367)&lt;&gt;"Free Game",INDEX('Game Records'!$U:$U,$H367)&lt;&gt;"Disqualified — Free Game",INDEX('Game Records'!$K:$K,$H367)=""),"Final Earned; ","")&amp;IF(AND(LOWER(INDEX('Game Records'!$D:$D,$H367)&amp;"")="finalized",INDEX('Game Records'!$U:$U,$H367)&lt;&gt;"Subscription",INDEX('Game Records'!$U:$U,$H367)&lt;&gt;"Free Game",INDEX('Game Records'!$U:$U,$H367)&lt;&gt;"Disqualified — Free Game",OR(INDEX('Game Records'!$L:$L,$H367)="",LOWER(INDEX('Game Records'!$L:$L,$H367)&amp;"")="n/a")),"Disqualified Status; ","")&amp;IF(AND(OR(LOWER(TRIM(INDEX('Game Records'!$F:$F,$H367)&amp;""))="free game",INDEX('Game Records'!$U:$U,$H367)="Free Game",INDEX('Game Records'!$U:$U,$H367)="Disqualified — Free Game"),N(INDEX('Game Records'!$H:$H,$H367))&lt;&gt;0),"Free Game has a non-zero Entry Fee. Free Game records require a $0 Entry Fee; ",""))</f>
        <v/>
      </c>
      <c r="G367" s="331" t="str">
        <f>IF($H367="","",IFERROR(INDEX('Game Records'!$M:$M,$H367),""))</f>
        <v/>
      </c>
      <c r="H367" s="104" t="str">
        <f>IF($H366="","",IFERROR(MATCH(1,INDEX((ROW('Game Records'!$U$5:$U$504)&gt;$H366)*(('Game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8" ht="24" customHeight="1">
      <c r="A368" s="332" t="str">
        <f>IF($H368="","",ROWS($A$5:A368))</f>
        <v/>
      </c>
      <c r="B368" s="332" t="str">
        <f>IF($H368="","","G-"&amp;TEXT($A368,"0000"))</f>
        <v/>
      </c>
      <c r="C368" s="331" t="str">
        <f>IF($H368="","",IFERROR(INDEX('Game Records'!$A:$A,$H368),""))</f>
        <v/>
      </c>
      <c r="D368" s="331" t="str">
        <f>IF($H368="","",IFERROR(INDEX('Game Records'!$U:$U,$H368),""))</f>
        <v/>
      </c>
      <c r="E368" s="331" t="str">
        <f>IF($H368="","",IF($F368="","No Highlighted Fields","Highlighted Fields Present"))</f>
        <v/>
      </c>
      <c r="F368" s="331" t="str">
        <f>IF($H368="","",IF(OR(NOT(ISFORMULA(INDEX('Game Records'!$N:$N,$H368))),NOT(ISFORMULA(INDEX('Game Records'!$O:$O,$H368))),NOT(ISFORMULA(INDEX('Game Records'!$P:$P,$H368))),NOT(ISFORMULA(INDEX('Game Records'!$Q:$Q,$H368))),NOT(ISFORMULA(INDEX('Game Records'!$R:$R,$H368))),NOT(ISFORMULA(INDEX('Game Records'!$S:$S,$H368))),NOT(ISFORMULA(INDEX('Game Records'!$T:$T,$H368))),NOT(ISFORMULA(INDEX('Game Records'!$U:$U,$H368))),NOT(ISFORMULA(INDEX('Game Records'!$V:$V,$H368))),NOT(ISFORMULA(INDEX('Game Records'!$W:$W,$H368))),NOT(ISFORMULA(INDEX('Game Records'!$X:$X,$H368))),NOT(ISFORMULA(INDEX('Game Records'!$Y:$Y,$H368))),NOT(ISFORMULA(INDEX('Game Records'!$Z:$Z,$H368)))),"Formula columns missing; ","")&amp;IF(INDEX('Game Records'!$B:$B,$H368)="","Start Date; ","")&amp;IF(INDEX('Game Records'!$C:$C,$H368)="","End Date; ","")&amp;IF(AND(INDEX('Game Records'!$U:$U,$H368)&lt;&gt;"Subscription",INDEX('Game Records'!$U:$U,$H368)&lt;&gt;"Free Game",INDEX('Game Records'!$U:$U,$H368)&lt;&gt;"Disqualified — Free Game",OR(INDEX('Game Records'!$D:$D,$H368)="",LOWER(INDEX('Game Records'!$D:$D,$H368)&amp;"")="n/a")),"Entry Mode; ","")&amp;IF(AND(INDEX('Game Records'!$U:$U,$H368)&lt;&gt;"Subscription",INDEX('Game Records'!$U:$U,$H368)&lt;&gt;"Free Game",INDEX('Game Records'!$U:$U,$H368)&lt;&gt;"Disqualified — Free Game",OR(INDEX('Game Records'!$E:$E,$H368)="",LOWER(INDEX('Game Records'!$E:$E,$H368)&amp;"")="n/a")),"Game Type; ","")&amp;IF(INDEX('Game Records'!$F:$F,$H368)="","Payment Type; ","")&amp;IF(AND(INDEX('Game Records'!$U:$U,$H368)&lt;&gt;"Subscription",INDEX('Game Records'!$U:$U,$H368)&lt;&gt;"Free Game",INDEX('Game Records'!$U:$U,$H368)&lt;&gt;"Disqualified — Free Game",INDEX('Game Records'!$G:$G,$H368)=""),"Gross Pot; ","")&amp;IF(AND(INDEX('Game Records'!$U:$U,$H368)&lt;&gt;"Free Game",INDEX('Game Records'!$U:$U,$H368)&lt;&gt;"Disqualified — Free Game",INDEX('Game Records'!$H:$H,$H368)=""),"Entry Fee; ","")&amp;IF(AND(INDEX('Game Records'!$U:$U,$H368)&lt;&gt;"Subscription",INDEX('Game Records'!$U:$U,$H368)&lt;&gt;"Free Game",INDEX('Game Records'!$U:$U,$H368)&lt;&gt;"Disqualified — Free Game",INDEX('Game Records'!$I:$I,$H368)=""),"Eligible Players; ","")&amp;IF(AND(INDEX('Game Records'!$U:$U,$H368)&lt;&gt;"Subscription",INDEX('Game Records'!$U:$U,$H368)&lt;&gt;"Free Game",INDEX('Game Records'!$U:$U,$H368)&lt;&gt;"Disqualified — Free Game",INDEX('Game Records'!$J:$J,$H368)=""),"Total Players; ","")&amp;IF(AND(LOWER(INDEX('Game Records'!$D:$D,$H368)&amp;"")="finalized",LOWER(INDEX('Game Records'!$L:$L,$H368)&amp;"")&lt;&gt;"yes",INDEX('Game Records'!$U:$U,$H368)&lt;&gt;"Subscription",INDEX('Game Records'!$U:$U,$H368)&lt;&gt;"Free Game",INDEX('Game Records'!$U:$U,$H368)&lt;&gt;"Disqualified — Free Game",INDEX('Game Records'!$K:$K,$H368)=""),"Final Earned; ","")&amp;IF(AND(LOWER(INDEX('Game Records'!$D:$D,$H368)&amp;"")="finalized",INDEX('Game Records'!$U:$U,$H368)&lt;&gt;"Subscription",INDEX('Game Records'!$U:$U,$H368)&lt;&gt;"Free Game",INDEX('Game Records'!$U:$U,$H368)&lt;&gt;"Disqualified — Free Game",OR(INDEX('Game Records'!$L:$L,$H368)="",LOWER(INDEX('Game Records'!$L:$L,$H368)&amp;"")="n/a")),"Disqualified Status; ","")&amp;IF(AND(OR(LOWER(TRIM(INDEX('Game Records'!$F:$F,$H368)&amp;""))="free game",INDEX('Game Records'!$U:$U,$H368)="Free Game",INDEX('Game Records'!$U:$U,$H368)="Disqualified — Free Game"),N(INDEX('Game Records'!$H:$H,$H368))&lt;&gt;0),"Free Game has a non-zero Entry Fee. Free Game records require a $0 Entry Fee; ",""))</f>
        <v/>
      </c>
      <c r="G368" s="331" t="str">
        <f>IF($H368="","",IFERROR(INDEX('Game Records'!$M:$M,$H368),""))</f>
        <v/>
      </c>
      <c r="H368" s="104" t="str">
        <f>IF($H367="","",IFERROR(MATCH(1,INDEX((ROW('Game Records'!$U$5:$U$504)&gt;$H367)*(('Game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9" ht="24" customHeight="1">
      <c r="A369" s="332" t="str">
        <f>IF($H369="","",ROWS($A$5:A369))</f>
        <v/>
      </c>
      <c r="B369" s="332" t="str">
        <f>IF($H369="","","G-"&amp;TEXT($A369,"0000"))</f>
        <v/>
      </c>
      <c r="C369" s="331" t="str">
        <f>IF($H369="","",IFERROR(INDEX('Game Records'!$A:$A,$H369),""))</f>
        <v/>
      </c>
      <c r="D369" s="331" t="str">
        <f>IF($H369="","",IFERROR(INDEX('Game Records'!$U:$U,$H369),""))</f>
        <v/>
      </c>
      <c r="E369" s="331" t="str">
        <f>IF($H369="","",IF($F369="","No Highlighted Fields","Highlighted Fields Present"))</f>
        <v/>
      </c>
      <c r="F369" s="331" t="str">
        <f>IF($H369="","",IF(OR(NOT(ISFORMULA(INDEX('Game Records'!$N:$N,$H369))),NOT(ISFORMULA(INDEX('Game Records'!$O:$O,$H369))),NOT(ISFORMULA(INDEX('Game Records'!$P:$P,$H369))),NOT(ISFORMULA(INDEX('Game Records'!$Q:$Q,$H369))),NOT(ISFORMULA(INDEX('Game Records'!$R:$R,$H369))),NOT(ISFORMULA(INDEX('Game Records'!$S:$S,$H369))),NOT(ISFORMULA(INDEX('Game Records'!$T:$T,$H369))),NOT(ISFORMULA(INDEX('Game Records'!$U:$U,$H369))),NOT(ISFORMULA(INDEX('Game Records'!$V:$V,$H369))),NOT(ISFORMULA(INDEX('Game Records'!$W:$W,$H369))),NOT(ISFORMULA(INDEX('Game Records'!$X:$X,$H369))),NOT(ISFORMULA(INDEX('Game Records'!$Y:$Y,$H369))),NOT(ISFORMULA(INDEX('Game Records'!$Z:$Z,$H369)))),"Formula columns missing; ","")&amp;IF(INDEX('Game Records'!$B:$B,$H369)="","Start Date; ","")&amp;IF(INDEX('Game Records'!$C:$C,$H369)="","End Date; ","")&amp;IF(AND(INDEX('Game Records'!$U:$U,$H369)&lt;&gt;"Subscription",INDEX('Game Records'!$U:$U,$H369)&lt;&gt;"Free Game",INDEX('Game Records'!$U:$U,$H369)&lt;&gt;"Disqualified — Free Game",OR(INDEX('Game Records'!$D:$D,$H369)="",LOWER(INDEX('Game Records'!$D:$D,$H369)&amp;"")="n/a")),"Entry Mode; ","")&amp;IF(AND(INDEX('Game Records'!$U:$U,$H369)&lt;&gt;"Subscription",INDEX('Game Records'!$U:$U,$H369)&lt;&gt;"Free Game",INDEX('Game Records'!$U:$U,$H369)&lt;&gt;"Disqualified — Free Game",OR(INDEX('Game Records'!$E:$E,$H369)="",LOWER(INDEX('Game Records'!$E:$E,$H369)&amp;"")="n/a")),"Game Type; ","")&amp;IF(INDEX('Game Records'!$F:$F,$H369)="","Payment Type; ","")&amp;IF(AND(INDEX('Game Records'!$U:$U,$H369)&lt;&gt;"Subscription",INDEX('Game Records'!$U:$U,$H369)&lt;&gt;"Free Game",INDEX('Game Records'!$U:$U,$H369)&lt;&gt;"Disqualified — Free Game",INDEX('Game Records'!$G:$G,$H369)=""),"Gross Pot; ","")&amp;IF(AND(INDEX('Game Records'!$U:$U,$H369)&lt;&gt;"Free Game",INDEX('Game Records'!$U:$U,$H369)&lt;&gt;"Disqualified — Free Game",INDEX('Game Records'!$H:$H,$H369)=""),"Entry Fee; ","")&amp;IF(AND(INDEX('Game Records'!$U:$U,$H369)&lt;&gt;"Subscription",INDEX('Game Records'!$U:$U,$H369)&lt;&gt;"Free Game",INDEX('Game Records'!$U:$U,$H369)&lt;&gt;"Disqualified — Free Game",INDEX('Game Records'!$I:$I,$H369)=""),"Eligible Players; ","")&amp;IF(AND(INDEX('Game Records'!$U:$U,$H369)&lt;&gt;"Subscription",INDEX('Game Records'!$U:$U,$H369)&lt;&gt;"Free Game",INDEX('Game Records'!$U:$U,$H369)&lt;&gt;"Disqualified — Free Game",INDEX('Game Records'!$J:$J,$H369)=""),"Total Players; ","")&amp;IF(AND(LOWER(INDEX('Game Records'!$D:$D,$H369)&amp;"")="finalized",LOWER(INDEX('Game Records'!$L:$L,$H369)&amp;"")&lt;&gt;"yes",INDEX('Game Records'!$U:$U,$H369)&lt;&gt;"Subscription",INDEX('Game Records'!$U:$U,$H369)&lt;&gt;"Free Game",INDEX('Game Records'!$U:$U,$H369)&lt;&gt;"Disqualified — Free Game",INDEX('Game Records'!$K:$K,$H369)=""),"Final Earned; ","")&amp;IF(AND(LOWER(INDEX('Game Records'!$D:$D,$H369)&amp;"")="finalized",INDEX('Game Records'!$U:$U,$H369)&lt;&gt;"Subscription",INDEX('Game Records'!$U:$U,$H369)&lt;&gt;"Free Game",INDEX('Game Records'!$U:$U,$H369)&lt;&gt;"Disqualified — Free Game",OR(INDEX('Game Records'!$L:$L,$H369)="",LOWER(INDEX('Game Records'!$L:$L,$H369)&amp;"")="n/a")),"Disqualified Status; ","")&amp;IF(AND(OR(LOWER(TRIM(INDEX('Game Records'!$F:$F,$H369)&amp;""))="free game",INDEX('Game Records'!$U:$U,$H369)="Free Game",INDEX('Game Records'!$U:$U,$H369)="Disqualified — Free Game"),N(INDEX('Game Records'!$H:$H,$H369))&lt;&gt;0),"Free Game has a non-zero Entry Fee. Free Game records require a $0 Entry Fee; ",""))</f>
        <v/>
      </c>
      <c r="G369" s="331" t="str">
        <f>IF($H369="","",IFERROR(INDEX('Game Records'!$M:$M,$H369),""))</f>
        <v/>
      </c>
      <c r="H369" s="104" t="str">
        <f>IF($H368="","",IFERROR(MATCH(1,INDEX((ROW('Game Records'!$U$5:$U$504)&gt;$H368)*(('Game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0" ht="24" customHeight="1">
      <c r="A370" s="332" t="str">
        <f>IF($H370="","",ROWS($A$5:A370))</f>
        <v/>
      </c>
      <c r="B370" s="332" t="str">
        <f>IF($H370="","","G-"&amp;TEXT($A370,"0000"))</f>
        <v/>
      </c>
      <c r="C370" s="331" t="str">
        <f>IF($H370="","",IFERROR(INDEX('Game Records'!$A:$A,$H370),""))</f>
        <v/>
      </c>
      <c r="D370" s="331" t="str">
        <f>IF($H370="","",IFERROR(INDEX('Game Records'!$U:$U,$H370),""))</f>
        <v/>
      </c>
      <c r="E370" s="331" t="str">
        <f>IF($H370="","",IF($F370="","No Highlighted Fields","Highlighted Fields Present"))</f>
        <v/>
      </c>
      <c r="F370" s="331" t="str">
        <f>IF($H370="","",IF(OR(NOT(ISFORMULA(INDEX('Game Records'!$N:$N,$H370))),NOT(ISFORMULA(INDEX('Game Records'!$O:$O,$H370))),NOT(ISFORMULA(INDEX('Game Records'!$P:$P,$H370))),NOT(ISFORMULA(INDEX('Game Records'!$Q:$Q,$H370))),NOT(ISFORMULA(INDEX('Game Records'!$R:$R,$H370))),NOT(ISFORMULA(INDEX('Game Records'!$S:$S,$H370))),NOT(ISFORMULA(INDEX('Game Records'!$T:$T,$H370))),NOT(ISFORMULA(INDEX('Game Records'!$U:$U,$H370))),NOT(ISFORMULA(INDEX('Game Records'!$V:$V,$H370))),NOT(ISFORMULA(INDEX('Game Records'!$W:$W,$H370))),NOT(ISFORMULA(INDEX('Game Records'!$X:$X,$H370))),NOT(ISFORMULA(INDEX('Game Records'!$Y:$Y,$H370))),NOT(ISFORMULA(INDEX('Game Records'!$Z:$Z,$H370)))),"Formula columns missing; ","")&amp;IF(INDEX('Game Records'!$B:$B,$H370)="","Start Date; ","")&amp;IF(INDEX('Game Records'!$C:$C,$H370)="","End Date; ","")&amp;IF(AND(INDEX('Game Records'!$U:$U,$H370)&lt;&gt;"Subscription",INDEX('Game Records'!$U:$U,$H370)&lt;&gt;"Free Game",INDEX('Game Records'!$U:$U,$H370)&lt;&gt;"Disqualified — Free Game",OR(INDEX('Game Records'!$D:$D,$H370)="",LOWER(INDEX('Game Records'!$D:$D,$H370)&amp;"")="n/a")),"Entry Mode; ","")&amp;IF(AND(INDEX('Game Records'!$U:$U,$H370)&lt;&gt;"Subscription",INDEX('Game Records'!$U:$U,$H370)&lt;&gt;"Free Game",INDEX('Game Records'!$U:$U,$H370)&lt;&gt;"Disqualified — Free Game",OR(INDEX('Game Records'!$E:$E,$H370)="",LOWER(INDEX('Game Records'!$E:$E,$H370)&amp;"")="n/a")),"Game Type; ","")&amp;IF(INDEX('Game Records'!$F:$F,$H370)="","Payment Type; ","")&amp;IF(AND(INDEX('Game Records'!$U:$U,$H370)&lt;&gt;"Subscription",INDEX('Game Records'!$U:$U,$H370)&lt;&gt;"Free Game",INDEX('Game Records'!$U:$U,$H370)&lt;&gt;"Disqualified — Free Game",INDEX('Game Records'!$G:$G,$H370)=""),"Gross Pot; ","")&amp;IF(AND(INDEX('Game Records'!$U:$U,$H370)&lt;&gt;"Free Game",INDEX('Game Records'!$U:$U,$H370)&lt;&gt;"Disqualified — Free Game",INDEX('Game Records'!$H:$H,$H370)=""),"Entry Fee; ","")&amp;IF(AND(INDEX('Game Records'!$U:$U,$H370)&lt;&gt;"Subscription",INDEX('Game Records'!$U:$U,$H370)&lt;&gt;"Free Game",INDEX('Game Records'!$U:$U,$H370)&lt;&gt;"Disqualified — Free Game",INDEX('Game Records'!$I:$I,$H370)=""),"Eligible Players; ","")&amp;IF(AND(INDEX('Game Records'!$U:$U,$H370)&lt;&gt;"Subscription",INDEX('Game Records'!$U:$U,$H370)&lt;&gt;"Free Game",INDEX('Game Records'!$U:$U,$H370)&lt;&gt;"Disqualified — Free Game",INDEX('Game Records'!$J:$J,$H370)=""),"Total Players; ","")&amp;IF(AND(LOWER(INDEX('Game Records'!$D:$D,$H370)&amp;"")="finalized",LOWER(INDEX('Game Records'!$L:$L,$H370)&amp;"")&lt;&gt;"yes",INDEX('Game Records'!$U:$U,$H370)&lt;&gt;"Subscription",INDEX('Game Records'!$U:$U,$H370)&lt;&gt;"Free Game",INDEX('Game Records'!$U:$U,$H370)&lt;&gt;"Disqualified — Free Game",INDEX('Game Records'!$K:$K,$H370)=""),"Final Earned; ","")&amp;IF(AND(LOWER(INDEX('Game Records'!$D:$D,$H370)&amp;"")="finalized",INDEX('Game Records'!$U:$U,$H370)&lt;&gt;"Subscription",INDEX('Game Records'!$U:$U,$H370)&lt;&gt;"Free Game",INDEX('Game Records'!$U:$U,$H370)&lt;&gt;"Disqualified — Free Game",OR(INDEX('Game Records'!$L:$L,$H370)="",LOWER(INDEX('Game Records'!$L:$L,$H370)&amp;"")="n/a")),"Disqualified Status; ","")&amp;IF(AND(OR(LOWER(TRIM(INDEX('Game Records'!$F:$F,$H370)&amp;""))="free game",INDEX('Game Records'!$U:$U,$H370)="Free Game",INDEX('Game Records'!$U:$U,$H370)="Disqualified — Free Game"),N(INDEX('Game Records'!$H:$H,$H370))&lt;&gt;0),"Free Game has a non-zero Entry Fee. Free Game records require a $0 Entry Fee; ",""))</f>
        <v/>
      </c>
      <c r="G370" s="331" t="str">
        <f>IF($H370="","",IFERROR(INDEX('Game Records'!$M:$M,$H370),""))</f>
        <v/>
      </c>
      <c r="H370" s="104" t="str">
        <f>IF($H369="","",IFERROR(MATCH(1,INDEX((ROW('Game Records'!$U$5:$U$504)&gt;$H369)*(('Game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1" ht="24" customHeight="1">
      <c r="A371" s="332" t="str">
        <f>IF($H371="","",ROWS($A$5:A371))</f>
        <v/>
      </c>
      <c r="B371" s="332" t="str">
        <f>IF($H371="","","G-"&amp;TEXT($A371,"0000"))</f>
        <v/>
      </c>
      <c r="C371" s="331" t="str">
        <f>IF($H371="","",IFERROR(INDEX('Game Records'!$A:$A,$H371),""))</f>
        <v/>
      </c>
      <c r="D371" s="331" t="str">
        <f>IF($H371="","",IFERROR(INDEX('Game Records'!$U:$U,$H371),""))</f>
        <v/>
      </c>
      <c r="E371" s="331" t="str">
        <f>IF($H371="","",IF($F371="","No Highlighted Fields","Highlighted Fields Present"))</f>
        <v/>
      </c>
      <c r="F371" s="331" t="str">
        <f>IF($H371="","",IF(OR(NOT(ISFORMULA(INDEX('Game Records'!$N:$N,$H371))),NOT(ISFORMULA(INDEX('Game Records'!$O:$O,$H371))),NOT(ISFORMULA(INDEX('Game Records'!$P:$P,$H371))),NOT(ISFORMULA(INDEX('Game Records'!$Q:$Q,$H371))),NOT(ISFORMULA(INDEX('Game Records'!$R:$R,$H371))),NOT(ISFORMULA(INDEX('Game Records'!$S:$S,$H371))),NOT(ISFORMULA(INDEX('Game Records'!$T:$T,$H371))),NOT(ISFORMULA(INDEX('Game Records'!$U:$U,$H371))),NOT(ISFORMULA(INDEX('Game Records'!$V:$V,$H371))),NOT(ISFORMULA(INDEX('Game Records'!$W:$W,$H371))),NOT(ISFORMULA(INDEX('Game Records'!$X:$X,$H371))),NOT(ISFORMULA(INDEX('Game Records'!$Y:$Y,$H371))),NOT(ISFORMULA(INDEX('Game Records'!$Z:$Z,$H371)))),"Formula columns missing; ","")&amp;IF(INDEX('Game Records'!$B:$B,$H371)="","Start Date; ","")&amp;IF(INDEX('Game Records'!$C:$C,$H371)="","End Date; ","")&amp;IF(AND(INDEX('Game Records'!$U:$U,$H371)&lt;&gt;"Subscription",INDEX('Game Records'!$U:$U,$H371)&lt;&gt;"Free Game",INDEX('Game Records'!$U:$U,$H371)&lt;&gt;"Disqualified — Free Game",OR(INDEX('Game Records'!$D:$D,$H371)="",LOWER(INDEX('Game Records'!$D:$D,$H371)&amp;"")="n/a")),"Entry Mode; ","")&amp;IF(AND(INDEX('Game Records'!$U:$U,$H371)&lt;&gt;"Subscription",INDEX('Game Records'!$U:$U,$H371)&lt;&gt;"Free Game",INDEX('Game Records'!$U:$U,$H371)&lt;&gt;"Disqualified — Free Game",OR(INDEX('Game Records'!$E:$E,$H371)="",LOWER(INDEX('Game Records'!$E:$E,$H371)&amp;"")="n/a")),"Game Type; ","")&amp;IF(INDEX('Game Records'!$F:$F,$H371)="","Payment Type; ","")&amp;IF(AND(INDEX('Game Records'!$U:$U,$H371)&lt;&gt;"Subscription",INDEX('Game Records'!$U:$U,$H371)&lt;&gt;"Free Game",INDEX('Game Records'!$U:$U,$H371)&lt;&gt;"Disqualified — Free Game",INDEX('Game Records'!$G:$G,$H371)=""),"Gross Pot; ","")&amp;IF(AND(INDEX('Game Records'!$U:$U,$H371)&lt;&gt;"Free Game",INDEX('Game Records'!$U:$U,$H371)&lt;&gt;"Disqualified — Free Game",INDEX('Game Records'!$H:$H,$H371)=""),"Entry Fee; ","")&amp;IF(AND(INDEX('Game Records'!$U:$U,$H371)&lt;&gt;"Subscription",INDEX('Game Records'!$U:$U,$H371)&lt;&gt;"Free Game",INDEX('Game Records'!$U:$U,$H371)&lt;&gt;"Disqualified — Free Game",INDEX('Game Records'!$I:$I,$H371)=""),"Eligible Players; ","")&amp;IF(AND(INDEX('Game Records'!$U:$U,$H371)&lt;&gt;"Subscription",INDEX('Game Records'!$U:$U,$H371)&lt;&gt;"Free Game",INDEX('Game Records'!$U:$U,$H371)&lt;&gt;"Disqualified — Free Game",INDEX('Game Records'!$J:$J,$H371)=""),"Total Players; ","")&amp;IF(AND(LOWER(INDEX('Game Records'!$D:$D,$H371)&amp;"")="finalized",LOWER(INDEX('Game Records'!$L:$L,$H371)&amp;"")&lt;&gt;"yes",INDEX('Game Records'!$U:$U,$H371)&lt;&gt;"Subscription",INDEX('Game Records'!$U:$U,$H371)&lt;&gt;"Free Game",INDEX('Game Records'!$U:$U,$H371)&lt;&gt;"Disqualified — Free Game",INDEX('Game Records'!$K:$K,$H371)=""),"Final Earned; ","")&amp;IF(AND(LOWER(INDEX('Game Records'!$D:$D,$H371)&amp;"")="finalized",INDEX('Game Records'!$U:$U,$H371)&lt;&gt;"Subscription",INDEX('Game Records'!$U:$U,$H371)&lt;&gt;"Free Game",INDEX('Game Records'!$U:$U,$H371)&lt;&gt;"Disqualified — Free Game",OR(INDEX('Game Records'!$L:$L,$H371)="",LOWER(INDEX('Game Records'!$L:$L,$H371)&amp;"")="n/a")),"Disqualified Status; ","")&amp;IF(AND(OR(LOWER(TRIM(INDEX('Game Records'!$F:$F,$H371)&amp;""))="free game",INDEX('Game Records'!$U:$U,$H371)="Free Game",INDEX('Game Records'!$U:$U,$H371)="Disqualified — Free Game"),N(INDEX('Game Records'!$H:$H,$H371))&lt;&gt;0),"Free Game has a non-zero Entry Fee. Free Game records require a $0 Entry Fee; ",""))</f>
        <v/>
      </c>
      <c r="G371" s="331" t="str">
        <f>IF($H371="","",IFERROR(INDEX('Game Records'!$M:$M,$H371),""))</f>
        <v/>
      </c>
      <c r="H371" s="104" t="str">
        <f>IF($H370="","",IFERROR(MATCH(1,INDEX((ROW('Game Records'!$U$5:$U$504)&gt;$H370)*(('Game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2" ht="24" customHeight="1">
      <c r="A372" s="332" t="str">
        <f>IF($H372="","",ROWS($A$5:A372))</f>
        <v/>
      </c>
      <c r="B372" s="332" t="str">
        <f>IF($H372="","","G-"&amp;TEXT($A372,"0000"))</f>
        <v/>
      </c>
      <c r="C372" s="331" t="str">
        <f>IF($H372="","",IFERROR(INDEX('Game Records'!$A:$A,$H372),""))</f>
        <v/>
      </c>
      <c r="D372" s="331" t="str">
        <f>IF($H372="","",IFERROR(INDEX('Game Records'!$U:$U,$H372),""))</f>
        <v/>
      </c>
      <c r="E372" s="331" t="str">
        <f>IF($H372="","",IF($F372="","No Highlighted Fields","Highlighted Fields Present"))</f>
        <v/>
      </c>
      <c r="F372" s="331" t="str">
        <f>IF($H372="","",IF(OR(NOT(ISFORMULA(INDEX('Game Records'!$N:$N,$H372))),NOT(ISFORMULA(INDEX('Game Records'!$O:$O,$H372))),NOT(ISFORMULA(INDEX('Game Records'!$P:$P,$H372))),NOT(ISFORMULA(INDEX('Game Records'!$Q:$Q,$H372))),NOT(ISFORMULA(INDEX('Game Records'!$R:$R,$H372))),NOT(ISFORMULA(INDEX('Game Records'!$S:$S,$H372))),NOT(ISFORMULA(INDEX('Game Records'!$T:$T,$H372))),NOT(ISFORMULA(INDEX('Game Records'!$U:$U,$H372))),NOT(ISFORMULA(INDEX('Game Records'!$V:$V,$H372))),NOT(ISFORMULA(INDEX('Game Records'!$W:$W,$H372))),NOT(ISFORMULA(INDEX('Game Records'!$X:$X,$H372))),NOT(ISFORMULA(INDEX('Game Records'!$Y:$Y,$H372))),NOT(ISFORMULA(INDEX('Game Records'!$Z:$Z,$H372)))),"Formula columns missing; ","")&amp;IF(INDEX('Game Records'!$B:$B,$H372)="","Start Date; ","")&amp;IF(INDEX('Game Records'!$C:$C,$H372)="","End Date; ","")&amp;IF(AND(INDEX('Game Records'!$U:$U,$H372)&lt;&gt;"Subscription",INDEX('Game Records'!$U:$U,$H372)&lt;&gt;"Free Game",INDEX('Game Records'!$U:$U,$H372)&lt;&gt;"Disqualified — Free Game",OR(INDEX('Game Records'!$D:$D,$H372)="",LOWER(INDEX('Game Records'!$D:$D,$H372)&amp;"")="n/a")),"Entry Mode; ","")&amp;IF(AND(INDEX('Game Records'!$U:$U,$H372)&lt;&gt;"Subscription",INDEX('Game Records'!$U:$U,$H372)&lt;&gt;"Free Game",INDEX('Game Records'!$U:$U,$H372)&lt;&gt;"Disqualified — Free Game",OR(INDEX('Game Records'!$E:$E,$H372)="",LOWER(INDEX('Game Records'!$E:$E,$H372)&amp;"")="n/a")),"Game Type; ","")&amp;IF(INDEX('Game Records'!$F:$F,$H372)="","Payment Type; ","")&amp;IF(AND(INDEX('Game Records'!$U:$U,$H372)&lt;&gt;"Subscription",INDEX('Game Records'!$U:$U,$H372)&lt;&gt;"Free Game",INDEX('Game Records'!$U:$U,$H372)&lt;&gt;"Disqualified — Free Game",INDEX('Game Records'!$G:$G,$H372)=""),"Gross Pot; ","")&amp;IF(AND(INDEX('Game Records'!$U:$U,$H372)&lt;&gt;"Free Game",INDEX('Game Records'!$U:$U,$H372)&lt;&gt;"Disqualified — Free Game",INDEX('Game Records'!$H:$H,$H372)=""),"Entry Fee; ","")&amp;IF(AND(INDEX('Game Records'!$U:$U,$H372)&lt;&gt;"Subscription",INDEX('Game Records'!$U:$U,$H372)&lt;&gt;"Free Game",INDEX('Game Records'!$U:$U,$H372)&lt;&gt;"Disqualified — Free Game",INDEX('Game Records'!$I:$I,$H372)=""),"Eligible Players; ","")&amp;IF(AND(INDEX('Game Records'!$U:$U,$H372)&lt;&gt;"Subscription",INDEX('Game Records'!$U:$U,$H372)&lt;&gt;"Free Game",INDEX('Game Records'!$U:$U,$H372)&lt;&gt;"Disqualified — Free Game",INDEX('Game Records'!$J:$J,$H372)=""),"Total Players; ","")&amp;IF(AND(LOWER(INDEX('Game Records'!$D:$D,$H372)&amp;"")="finalized",LOWER(INDEX('Game Records'!$L:$L,$H372)&amp;"")&lt;&gt;"yes",INDEX('Game Records'!$U:$U,$H372)&lt;&gt;"Subscription",INDEX('Game Records'!$U:$U,$H372)&lt;&gt;"Free Game",INDEX('Game Records'!$U:$U,$H372)&lt;&gt;"Disqualified — Free Game",INDEX('Game Records'!$K:$K,$H372)=""),"Final Earned; ","")&amp;IF(AND(LOWER(INDEX('Game Records'!$D:$D,$H372)&amp;"")="finalized",INDEX('Game Records'!$U:$U,$H372)&lt;&gt;"Subscription",INDEX('Game Records'!$U:$U,$H372)&lt;&gt;"Free Game",INDEX('Game Records'!$U:$U,$H372)&lt;&gt;"Disqualified — Free Game",OR(INDEX('Game Records'!$L:$L,$H372)="",LOWER(INDEX('Game Records'!$L:$L,$H372)&amp;"")="n/a")),"Disqualified Status; ","")&amp;IF(AND(OR(LOWER(TRIM(INDEX('Game Records'!$F:$F,$H372)&amp;""))="free game",INDEX('Game Records'!$U:$U,$H372)="Free Game",INDEX('Game Records'!$U:$U,$H372)="Disqualified — Free Game"),N(INDEX('Game Records'!$H:$H,$H372))&lt;&gt;0),"Free Game has a non-zero Entry Fee. Free Game records require a $0 Entry Fee; ",""))</f>
        <v/>
      </c>
      <c r="G372" s="331" t="str">
        <f>IF($H372="","",IFERROR(INDEX('Game Records'!$M:$M,$H372),""))</f>
        <v/>
      </c>
      <c r="H372" s="104" t="str">
        <f>IF($H371="","",IFERROR(MATCH(1,INDEX((ROW('Game Records'!$U$5:$U$504)&gt;$H371)*(('Game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3" ht="24" customHeight="1">
      <c r="A373" s="332" t="str">
        <f>IF($H373="","",ROWS($A$5:A373))</f>
        <v/>
      </c>
      <c r="B373" s="332" t="str">
        <f>IF($H373="","","G-"&amp;TEXT($A373,"0000"))</f>
        <v/>
      </c>
      <c r="C373" s="331" t="str">
        <f>IF($H373="","",IFERROR(INDEX('Game Records'!$A:$A,$H373),""))</f>
        <v/>
      </c>
      <c r="D373" s="331" t="str">
        <f>IF($H373="","",IFERROR(INDEX('Game Records'!$U:$U,$H373),""))</f>
        <v/>
      </c>
      <c r="E373" s="331" t="str">
        <f>IF($H373="","",IF($F373="","No Highlighted Fields","Highlighted Fields Present"))</f>
        <v/>
      </c>
      <c r="F373" s="331" t="str">
        <f>IF($H373="","",IF(OR(NOT(ISFORMULA(INDEX('Game Records'!$N:$N,$H373))),NOT(ISFORMULA(INDEX('Game Records'!$O:$O,$H373))),NOT(ISFORMULA(INDEX('Game Records'!$P:$P,$H373))),NOT(ISFORMULA(INDEX('Game Records'!$Q:$Q,$H373))),NOT(ISFORMULA(INDEX('Game Records'!$R:$R,$H373))),NOT(ISFORMULA(INDEX('Game Records'!$S:$S,$H373))),NOT(ISFORMULA(INDEX('Game Records'!$T:$T,$H373))),NOT(ISFORMULA(INDEX('Game Records'!$U:$U,$H373))),NOT(ISFORMULA(INDEX('Game Records'!$V:$V,$H373))),NOT(ISFORMULA(INDEX('Game Records'!$W:$W,$H373))),NOT(ISFORMULA(INDEX('Game Records'!$X:$X,$H373))),NOT(ISFORMULA(INDEX('Game Records'!$Y:$Y,$H373))),NOT(ISFORMULA(INDEX('Game Records'!$Z:$Z,$H373)))),"Formula columns missing; ","")&amp;IF(INDEX('Game Records'!$B:$B,$H373)="","Start Date; ","")&amp;IF(INDEX('Game Records'!$C:$C,$H373)="","End Date; ","")&amp;IF(AND(INDEX('Game Records'!$U:$U,$H373)&lt;&gt;"Subscription",INDEX('Game Records'!$U:$U,$H373)&lt;&gt;"Free Game",INDEX('Game Records'!$U:$U,$H373)&lt;&gt;"Disqualified — Free Game",OR(INDEX('Game Records'!$D:$D,$H373)="",LOWER(INDEX('Game Records'!$D:$D,$H373)&amp;"")="n/a")),"Entry Mode; ","")&amp;IF(AND(INDEX('Game Records'!$U:$U,$H373)&lt;&gt;"Subscription",INDEX('Game Records'!$U:$U,$H373)&lt;&gt;"Free Game",INDEX('Game Records'!$U:$U,$H373)&lt;&gt;"Disqualified — Free Game",OR(INDEX('Game Records'!$E:$E,$H373)="",LOWER(INDEX('Game Records'!$E:$E,$H373)&amp;"")="n/a")),"Game Type; ","")&amp;IF(INDEX('Game Records'!$F:$F,$H373)="","Payment Type; ","")&amp;IF(AND(INDEX('Game Records'!$U:$U,$H373)&lt;&gt;"Subscription",INDEX('Game Records'!$U:$U,$H373)&lt;&gt;"Free Game",INDEX('Game Records'!$U:$U,$H373)&lt;&gt;"Disqualified — Free Game",INDEX('Game Records'!$G:$G,$H373)=""),"Gross Pot; ","")&amp;IF(AND(INDEX('Game Records'!$U:$U,$H373)&lt;&gt;"Free Game",INDEX('Game Records'!$U:$U,$H373)&lt;&gt;"Disqualified — Free Game",INDEX('Game Records'!$H:$H,$H373)=""),"Entry Fee; ","")&amp;IF(AND(INDEX('Game Records'!$U:$U,$H373)&lt;&gt;"Subscription",INDEX('Game Records'!$U:$U,$H373)&lt;&gt;"Free Game",INDEX('Game Records'!$U:$U,$H373)&lt;&gt;"Disqualified — Free Game",INDEX('Game Records'!$I:$I,$H373)=""),"Eligible Players; ","")&amp;IF(AND(INDEX('Game Records'!$U:$U,$H373)&lt;&gt;"Subscription",INDEX('Game Records'!$U:$U,$H373)&lt;&gt;"Free Game",INDEX('Game Records'!$U:$U,$H373)&lt;&gt;"Disqualified — Free Game",INDEX('Game Records'!$J:$J,$H373)=""),"Total Players; ","")&amp;IF(AND(LOWER(INDEX('Game Records'!$D:$D,$H373)&amp;"")="finalized",LOWER(INDEX('Game Records'!$L:$L,$H373)&amp;"")&lt;&gt;"yes",INDEX('Game Records'!$U:$U,$H373)&lt;&gt;"Subscription",INDEX('Game Records'!$U:$U,$H373)&lt;&gt;"Free Game",INDEX('Game Records'!$U:$U,$H373)&lt;&gt;"Disqualified — Free Game",INDEX('Game Records'!$K:$K,$H373)=""),"Final Earned; ","")&amp;IF(AND(LOWER(INDEX('Game Records'!$D:$D,$H373)&amp;"")="finalized",INDEX('Game Records'!$U:$U,$H373)&lt;&gt;"Subscription",INDEX('Game Records'!$U:$U,$H373)&lt;&gt;"Free Game",INDEX('Game Records'!$U:$U,$H373)&lt;&gt;"Disqualified — Free Game",OR(INDEX('Game Records'!$L:$L,$H373)="",LOWER(INDEX('Game Records'!$L:$L,$H373)&amp;"")="n/a")),"Disqualified Status; ","")&amp;IF(AND(OR(LOWER(TRIM(INDEX('Game Records'!$F:$F,$H373)&amp;""))="free game",INDEX('Game Records'!$U:$U,$H373)="Free Game",INDEX('Game Records'!$U:$U,$H373)="Disqualified — Free Game"),N(INDEX('Game Records'!$H:$H,$H373))&lt;&gt;0),"Free Game has a non-zero Entry Fee. Free Game records require a $0 Entry Fee; ",""))</f>
        <v/>
      </c>
      <c r="G373" s="331" t="str">
        <f>IF($H373="","",IFERROR(INDEX('Game Records'!$M:$M,$H373),""))</f>
        <v/>
      </c>
      <c r="H373" s="104" t="str">
        <f>IF($H372="","",IFERROR(MATCH(1,INDEX((ROW('Game Records'!$U$5:$U$504)&gt;$H372)*(('Game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4" ht="24" customHeight="1">
      <c r="A374" s="332" t="str">
        <f>IF($H374="","",ROWS($A$5:A374))</f>
        <v/>
      </c>
      <c r="B374" s="332" t="str">
        <f>IF($H374="","","G-"&amp;TEXT($A374,"0000"))</f>
        <v/>
      </c>
      <c r="C374" s="331" t="str">
        <f>IF($H374="","",IFERROR(INDEX('Game Records'!$A:$A,$H374),""))</f>
        <v/>
      </c>
      <c r="D374" s="331" t="str">
        <f>IF($H374="","",IFERROR(INDEX('Game Records'!$U:$U,$H374),""))</f>
        <v/>
      </c>
      <c r="E374" s="331" t="str">
        <f>IF($H374="","",IF($F374="","No Highlighted Fields","Highlighted Fields Present"))</f>
        <v/>
      </c>
      <c r="F374" s="331" t="str">
        <f>IF($H374="","",IF(OR(NOT(ISFORMULA(INDEX('Game Records'!$N:$N,$H374))),NOT(ISFORMULA(INDEX('Game Records'!$O:$O,$H374))),NOT(ISFORMULA(INDEX('Game Records'!$P:$P,$H374))),NOT(ISFORMULA(INDEX('Game Records'!$Q:$Q,$H374))),NOT(ISFORMULA(INDEX('Game Records'!$R:$R,$H374))),NOT(ISFORMULA(INDEX('Game Records'!$S:$S,$H374))),NOT(ISFORMULA(INDEX('Game Records'!$T:$T,$H374))),NOT(ISFORMULA(INDEX('Game Records'!$U:$U,$H374))),NOT(ISFORMULA(INDEX('Game Records'!$V:$V,$H374))),NOT(ISFORMULA(INDEX('Game Records'!$W:$W,$H374))),NOT(ISFORMULA(INDEX('Game Records'!$X:$X,$H374))),NOT(ISFORMULA(INDEX('Game Records'!$Y:$Y,$H374))),NOT(ISFORMULA(INDEX('Game Records'!$Z:$Z,$H374)))),"Formula columns missing; ","")&amp;IF(INDEX('Game Records'!$B:$B,$H374)="","Start Date; ","")&amp;IF(INDEX('Game Records'!$C:$C,$H374)="","End Date; ","")&amp;IF(AND(INDEX('Game Records'!$U:$U,$H374)&lt;&gt;"Subscription",INDEX('Game Records'!$U:$U,$H374)&lt;&gt;"Free Game",INDEX('Game Records'!$U:$U,$H374)&lt;&gt;"Disqualified — Free Game",OR(INDEX('Game Records'!$D:$D,$H374)="",LOWER(INDEX('Game Records'!$D:$D,$H374)&amp;"")="n/a")),"Entry Mode; ","")&amp;IF(AND(INDEX('Game Records'!$U:$U,$H374)&lt;&gt;"Subscription",INDEX('Game Records'!$U:$U,$H374)&lt;&gt;"Free Game",INDEX('Game Records'!$U:$U,$H374)&lt;&gt;"Disqualified — Free Game",OR(INDEX('Game Records'!$E:$E,$H374)="",LOWER(INDEX('Game Records'!$E:$E,$H374)&amp;"")="n/a")),"Game Type; ","")&amp;IF(INDEX('Game Records'!$F:$F,$H374)="","Payment Type; ","")&amp;IF(AND(INDEX('Game Records'!$U:$U,$H374)&lt;&gt;"Subscription",INDEX('Game Records'!$U:$U,$H374)&lt;&gt;"Free Game",INDEX('Game Records'!$U:$U,$H374)&lt;&gt;"Disqualified — Free Game",INDEX('Game Records'!$G:$G,$H374)=""),"Gross Pot; ","")&amp;IF(AND(INDEX('Game Records'!$U:$U,$H374)&lt;&gt;"Free Game",INDEX('Game Records'!$U:$U,$H374)&lt;&gt;"Disqualified — Free Game",INDEX('Game Records'!$H:$H,$H374)=""),"Entry Fee; ","")&amp;IF(AND(INDEX('Game Records'!$U:$U,$H374)&lt;&gt;"Subscription",INDEX('Game Records'!$U:$U,$H374)&lt;&gt;"Free Game",INDEX('Game Records'!$U:$U,$H374)&lt;&gt;"Disqualified — Free Game",INDEX('Game Records'!$I:$I,$H374)=""),"Eligible Players; ","")&amp;IF(AND(INDEX('Game Records'!$U:$U,$H374)&lt;&gt;"Subscription",INDEX('Game Records'!$U:$U,$H374)&lt;&gt;"Free Game",INDEX('Game Records'!$U:$U,$H374)&lt;&gt;"Disqualified — Free Game",INDEX('Game Records'!$J:$J,$H374)=""),"Total Players; ","")&amp;IF(AND(LOWER(INDEX('Game Records'!$D:$D,$H374)&amp;"")="finalized",LOWER(INDEX('Game Records'!$L:$L,$H374)&amp;"")&lt;&gt;"yes",INDEX('Game Records'!$U:$U,$H374)&lt;&gt;"Subscription",INDEX('Game Records'!$U:$U,$H374)&lt;&gt;"Free Game",INDEX('Game Records'!$U:$U,$H374)&lt;&gt;"Disqualified — Free Game",INDEX('Game Records'!$K:$K,$H374)=""),"Final Earned; ","")&amp;IF(AND(LOWER(INDEX('Game Records'!$D:$D,$H374)&amp;"")="finalized",INDEX('Game Records'!$U:$U,$H374)&lt;&gt;"Subscription",INDEX('Game Records'!$U:$U,$H374)&lt;&gt;"Free Game",INDEX('Game Records'!$U:$U,$H374)&lt;&gt;"Disqualified — Free Game",OR(INDEX('Game Records'!$L:$L,$H374)="",LOWER(INDEX('Game Records'!$L:$L,$H374)&amp;"")="n/a")),"Disqualified Status; ","")&amp;IF(AND(OR(LOWER(TRIM(INDEX('Game Records'!$F:$F,$H374)&amp;""))="free game",INDEX('Game Records'!$U:$U,$H374)="Free Game",INDEX('Game Records'!$U:$U,$H374)="Disqualified — Free Game"),N(INDEX('Game Records'!$H:$H,$H374))&lt;&gt;0),"Free Game has a non-zero Entry Fee. Free Game records require a $0 Entry Fee; ",""))</f>
        <v/>
      </c>
      <c r="G374" s="331" t="str">
        <f>IF($H374="","",IFERROR(INDEX('Game Records'!$M:$M,$H374),""))</f>
        <v/>
      </c>
      <c r="H374" s="104" t="str">
        <f>IF($H373="","",IFERROR(MATCH(1,INDEX((ROW('Game Records'!$U$5:$U$504)&gt;$H373)*(('Game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5" ht="24" customHeight="1">
      <c r="A375" s="332" t="str">
        <f>IF($H375="","",ROWS($A$5:A375))</f>
        <v/>
      </c>
      <c r="B375" s="332" t="str">
        <f>IF($H375="","","G-"&amp;TEXT($A375,"0000"))</f>
        <v/>
      </c>
      <c r="C375" s="331" t="str">
        <f>IF($H375="","",IFERROR(INDEX('Game Records'!$A:$A,$H375),""))</f>
        <v/>
      </c>
      <c r="D375" s="331" t="str">
        <f>IF($H375="","",IFERROR(INDEX('Game Records'!$U:$U,$H375),""))</f>
        <v/>
      </c>
      <c r="E375" s="331" t="str">
        <f>IF($H375="","",IF($F375="","No Highlighted Fields","Highlighted Fields Present"))</f>
        <v/>
      </c>
      <c r="F375" s="331" t="str">
        <f>IF($H375="","",IF(OR(NOT(ISFORMULA(INDEX('Game Records'!$N:$N,$H375))),NOT(ISFORMULA(INDEX('Game Records'!$O:$O,$H375))),NOT(ISFORMULA(INDEX('Game Records'!$P:$P,$H375))),NOT(ISFORMULA(INDEX('Game Records'!$Q:$Q,$H375))),NOT(ISFORMULA(INDEX('Game Records'!$R:$R,$H375))),NOT(ISFORMULA(INDEX('Game Records'!$S:$S,$H375))),NOT(ISFORMULA(INDEX('Game Records'!$T:$T,$H375))),NOT(ISFORMULA(INDEX('Game Records'!$U:$U,$H375))),NOT(ISFORMULA(INDEX('Game Records'!$V:$V,$H375))),NOT(ISFORMULA(INDEX('Game Records'!$W:$W,$H375))),NOT(ISFORMULA(INDEX('Game Records'!$X:$X,$H375))),NOT(ISFORMULA(INDEX('Game Records'!$Y:$Y,$H375))),NOT(ISFORMULA(INDEX('Game Records'!$Z:$Z,$H375)))),"Formula columns missing; ","")&amp;IF(INDEX('Game Records'!$B:$B,$H375)="","Start Date; ","")&amp;IF(INDEX('Game Records'!$C:$C,$H375)="","End Date; ","")&amp;IF(AND(INDEX('Game Records'!$U:$U,$H375)&lt;&gt;"Subscription",INDEX('Game Records'!$U:$U,$H375)&lt;&gt;"Free Game",INDEX('Game Records'!$U:$U,$H375)&lt;&gt;"Disqualified — Free Game",OR(INDEX('Game Records'!$D:$D,$H375)="",LOWER(INDEX('Game Records'!$D:$D,$H375)&amp;"")="n/a")),"Entry Mode; ","")&amp;IF(AND(INDEX('Game Records'!$U:$U,$H375)&lt;&gt;"Subscription",INDEX('Game Records'!$U:$U,$H375)&lt;&gt;"Free Game",INDEX('Game Records'!$U:$U,$H375)&lt;&gt;"Disqualified — Free Game",OR(INDEX('Game Records'!$E:$E,$H375)="",LOWER(INDEX('Game Records'!$E:$E,$H375)&amp;"")="n/a")),"Game Type; ","")&amp;IF(INDEX('Game Records'!$F:$F,$H375)="","Payment Type; ","")&amp;IF(AND(INDEX('Game Records'!$U:$U,$H375)&lt;&gt;"Subscription",INDEX('Game Records'!$U:$U,$H375)&lt;&gt;"Free Game",INDEX('Game Records'!$U:$U,$H375)&lt;&gt;"Disqualified — Free Game",INDEX('Game Records'!$G:$G,$H375)=""),"Gross Pot; ","")&amp;IF(AND(INDEX('Game Records'!$U:$U,$H375)&lt;&gt;"Free Game",INDEX('Game Records'!$U:$U,$H375)&lt;&gt;"Disqualified — Free Game",INDEX('Game Records'!$H:$H,$H375)=""),"Entry Fee; ","")&amp;IF(AND(INDEX('Game Records'!$U:$U,$H375)&lt;&gt;"Subscription",INDEX('Game Records'!$U:$U,$H375)&lt;&gt;"Free Game",INDEX('Game Records'!$U:$U,$H375)&lt;&gt;"Disqualified — Free Game",INDEX('Game Records'!$I:$I,$H375)=""),"Eligible Players; ","")&amp;IF(AND(INDEX('Game Records'!$U:$U,$H375)&lt;&gt;"Subscription",INDEX('Game Records'!$U:$U,$H375)&lt;&gt;"Free Game",INDEX('Game Records'!$U:$U,$H375)&lt;&gt;"Disqualified — Free Game",INDEX('Game Records'!$J:$J,$H375)=""),"Total Players; ","")&amp;IF(AND(LOWER(INDEX('Game Records'!$D:$D,$H375)&amp;"")="finalized",LOWER(INDEX('Game Records'!$L:$L,$H375)&amp;"")&lt;&gt;"yes",INDEX('Game Records'!$U:$U,$H375)&lt;&gt;"Subscription",INDEX('Game Records'!$U:$U,$H375)&lt;&gt;"Free Game",INDEX('Game Records'!$U:$U,$H375)&lt;&gt;"Disqualified — Free Game",INDEX('Game Records'!$K:$K,$H375)=""),"Final Earned; ","")&amp;IF(AND(LOWER(INDEX('Game Records'!$D:$D,$H375)&amp;"")="finalized",INDEX('Game Records'!$U:$U,$H375)&lt;&gt;"Subscription",INDEX('Game Records'!$U:$U,$H375)&lt;&gt;"Free Game",INDEX('Game Records'!$U:$U,$H375)&lt;&gt;"Disqualified — Free Game",OR(INDEX('Game Records'!$L:$L,$H375)="",LOWER(INDEX('Game Records'!$L:$L,$H375)&amp;"")="n/a")),"Disqualified Status; ","")&amp;IF(AND(OR(LOWER(TRIM(INDEX('Game Records'!$F:$F,$H375)&amp;""))="free game",INDEX('Game Records'!$U:$U,$H375)="Free Game",INDEX('Game Records'!$U:$U,$H375)="Disqualified — Free Game"),N(INDEX('Game Records'!$H:$H,$H375))&lt;&gt;0),"Free Game has a non-zero Entry Fee. Free Game records require a $0 Entry Fee; ",""))</f>
        <v/>
      </c>
      <c r="G375" s="331" t="str">
        <f>IF($H375="","",IFERROR(INDEX('Game Records'!$M:$M,$H375),""))</f>
        <v/>
      </c>
      <c r="H375" s="104" t="str">
        <f>IF($H374="","",IFERROR(MATCH(1,INDEX((ROW('Game Records'!$U$5:$U$504)&gt;$H374)*(('Game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6" ht="24" customHeight="1">
      <c r="A376" s="332" t="str">
        <f>IF($H376="","",ROWS($A$5:A376))</f>
        <v/>
      </c>
      <c r="B376" s="332" t="str">
        <f>IF($H376="","","G-"&amp;TEXT($A376,"0000"))</f>
        <v/>
      </c>
      <c r="C376" s="331" t="str">
        <f>IF($H376="","",IFERROR(INDEX('Game Records'!$A:$A,$H376),""))</f>
        <v/>
      </c>
      <c r="D376" s="331" t="str">
        <f>IF($H376="","",IFERROR(INDEX('Game Records'!$U:$U,$H376),""))</f>
        <v/>
      </c>
      <c r="E376" s="331" t="str">
        <f>IF($H376="","",IF($F376="","No Highlighted Fields","Highlighted Fields Present"))</f>
        <v/>
      </c>
      <c r="F376" s="331" t="str">
        <f>IF($H376="","",IF(OR(NOT(ISFORMULA(INDEX('Game Records'!$N:$N,$H376))),NOT(ISFORMULA(INDEX('Game Records'!$O:$O,$H376))),NOT(ISFORMULA(INDEX('Game Records'!$P:$P,$H376))),NOT(ISFORMULA(INDEX('Game Records'!$Q:$Q,$H376))),NOT(ISFORMULA(INDEX('Game Records'!$R:$R,$H376))),NOT(ISFORMULA(INDEX('Game Records'!$S:$S,$H376))),NOT(ISFORMULA(INDEX('Game Records'!$T:$T,$H376))),NOT(ISFORMULA(INDEX('Game Records'!$U:$U,$H376))),NOT(ISFORMULA(INDEX('Game Records'!$V:$V,$H376))),NOT(ISFORMULA(INDEX('Game Records'!$W:$W,$H376))),NOT(ISFORMULA(INDEX('Game Records'!$X:$X,$H376))),NOT(ISFORMULA(INDEX('Game Records'!$Y:$Y,$H376))),NOT(ISFORMULA(INDEX('Game Records'!$Z:$Z,$H376)))),"Formula columns missing; ","")&amp;IF(INDEX('Game Records'!$B:$B,$H376)="","Start Date; ","")&amp;IF(INDEX('Game Records'!$C:$C,$H376)="","End Date; ","")&amp;IF(AND(INDEX('Game Records'!$U:$U,$H376)&lt;&gt;"Subscription",INDEX('Game Records'!$U:$U,$H376)&lt;&gt;"Free Game",INDEX('Game Records'!$U:$U,$H376)&lt;&gt;"Disqualified — Free Game",OR(INDEX('Game Records'!$D:$D,$H376)="",LOWER(INDEX('Game Records'!$D:$D,$H376)&amp;"")="n/a")),"Entry Mode; ","")&amp;IF(AND(INDEX('Game Records'!$U:$U,$H376)&lt;&gt;"Subscription",INDEX('Game Records'!$U:$U,$H376)&lt;&gt;"Free Game",INDEX('Game Records'!$U:$U,$H376)&lt;&gt;"Disqualified — Free Game",OR(INDEX('Game Records'!$E:$E,$H376)="",LOWER(INDEX('Game Records'!$E:$E,$H376)&amp;"")="n/a")),"Game Type; ","")&amp;IF(INDEX('Game Records'!$F:$F,$H376)="","Payment Type; ","")&amp;IF(AND(INDEX('Game Records'!$U:$U,$H376)&lt;&gt;"Subscription",INDEX('Game Records'!$U:$U,$H376)&lt;&gt;"Free Game",INDEX('Game Records'!$U:$U,$H376)&lt;&gt;"Disqualified — Free Game",INDEX('Game Records'!$G:$G,$H376)=""),"Gross Pot; ","")&amp;IF(AND(INDEX('Game Records'!$U:$U,$H376)&lt;&gt;"Free Game",INDEX('Game Records'!$U:$U,$H376)&lt;&gt;"Disqualified — Free Game",INDEX('Game Records'!$H:$H,$H376)=""),"Entry Fee; ","")&amp;IF(AND(INDEX('Game Records'!$U:$U,$H376)&lt;&gt;"Subscription",INDEX('Game Records'!$U:$U,$H376)&lt;&gt;"Free Game",INDEX('Game Records'!$U:$U,$H376)&lt;&gt;"Disqualified — Free Game",INDEX('Game Records'!$I:$I,$H376)=""),"Eligible Players; ","")&amp;IF(AND(INDEX('Game Records'!$U:$U,$H376)&lt;&gt;"Subscription",INDEX('Game Records'!$U:$U,$H376)&lt;&gt;"Free Game",INDEX('Game Records'!$U:$U,$H376)&lt;&gt;"Disqualified — Free Game",INDEX('Game Records'!$J:$J,$H376)=""),"Total Players; ","")&amp;IF(AND(LOWER(INDEX('Game Records'!$D:$D,$H376)&amp;"")="finalized",LOWER(INDEX('Game Records'!$L:$L,$H376)&amp;"")&lt;&gt;"yes",INDEX('Game Records'!$U:$U,$H376)&lt;&gt;"Subscription",INDEX('Game Records'!$U:$U,$H376)&lt;&gt;"Free Game",INDEX('Game Records'!$U:$U,$H376)&lt;&gt;"Disqualified — Free Game",INDEX('Game Records'!$K:$K,$H376)=""),"Final Earned; ","")&amp;IF(AND(LOWER(INDEX('Game Records'!$D:$D,$H376)&amp;"")="finalized",INDEX('Game Records'!$U:$U,$H376)&lt;&gt;"Subscription",INDEX('Game Records'!$U:$U,$H376)&lt;&gt;"Free Game",INDEX('Game Records'!$U:$U,$H376)&lt;&gt;"Disqualified — Free Game",OR(INDEX('Game Records'!$L:$L,$H376)="",LOWER(INDEX('Game Records'!$L:$L,$H376)&amp;"")="n/a")),"Disqualified Status; ","")&amp;IF(AND(OR(LOWER(TRIM(INDEX('Game Records'!$F:$F,$H376)&amp;""))="free game",INDEX('Game Records'!$U:$U,$H376)="Free Game",INDEX('Game Records'!$U:$U,$H376)="Disqualified — Free Game"),N(INDEX('Game Records'!$H:$H,$H376))&lt;&gt;0),"Free Game has a non-zero Entry Fee. Free Game records require a $0 Entry Fee; ",""))</f>
        <v/>
      </c>
      <c r="G376" s="331" t="str">
        <f>IF($H376="","",IFERROR(INDEX('Game Records'!$M:$M,$H376),""))</f>
        <v/>
      </c>
      <c r="H376" s="104" t="str">
        <f>IF($H375="","",IFERROR(MATCH(1,INDEX((ROW('Game Records'!$U$5:$U$504)&gt;$H375)*(('Game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7" ht="24" customHeight="1">
      <c r="A377" s="332" t="str">
        <f>IF($H377="","",ROWS($A$5:A377))</f>
        <v/>
      </c>
      <c r="B377" s="332" t="str">
        <f>IF($H377="","","G-"&amp;TEXT($A377,"0000"))</f>
        <v/>
      </c>
      <c r="C377" s="331" t="str">
        <f>IF($H377="","",IFERROR(INDEX('Game Records'!$A:$A,$H377),""))</f>
        <v/>
      </c>
      <c r="D377" s="331" t="str">
        <f>IF($H377="","",IFERROR(INDEX('Game Records'!$U:$U,$H377),""))</f>
        <v/>
      </c>
      <c r="E377" s="331" t="str">
        <f>IF($H377="","",IF($F377="","No Highlighted Fields","Highlighted Fields Present"))</f>
        <v/>
      </c>
      <c r="F377" s="331" t="str">
        <f>IF($H377="","",IF(OR(NOT(ISFORMULA(INDEX('Game Records'!$N:$N,$H377))),NOT(ISFORMULA(INDEX('Game Records'!$O:$O,$H377))),NOT(ISFORMULA(INDEX('Game Records'!$P:$P,$H377))),NOT(ISFORMULA(INDEX('Game Records'!$Q:$Q,$H377))),NOT(ISFORMULA(INDEX('Game Records'!$R:$R,$H377))),NOT(ISFORMULA(INDEX('Game Records'!$S:$S,$H377))),NOT(ISFORMULA(INDEX('Game Records'!$T:$T,$H377))),NOT(ISFORMULA(INDEX('Game Records'!$U:$U,$H377))),NOT(ISFORMULA(INDEX('Game Records'!$V:$V,$H377))),NOT(ISFORMULA(INDEX('Game Records'!$W:$W,$H377))),NOT(ISFORMULA(INDEX('Game Records'!$X:$X,$H377))),NOT(ISFORMULA(INDEX('Game Records'!$Y:$Y,$H377))),NOT(ISFORMULA(INDEX('Game Records'!$Z:$Z,$H377)))),"Formula columns missing; ","")&amp;IF(INDEX('Game Records'!$B:$B,$H377)="","Start Date; ","")&amp;IF(INDEX('Game Records'!$C:$C,$H377)="","End Date; ","")&amp;IF(AND(INDEX('Game Records'!$U:$U,$H377)&lt;&gt;"Subscription",INDEX('Game Records'!$U:$U,$H377)&lt;&gt;"Free Game",INDEX('Game Records'!$U:$U,$H377)&lt;&gt;"Disqualified — Free Game",OR(INDEX('Game Records'!$D:$D,$H377)="",LOWER(INDEX('Game Records'!$D:$D,$H377)&amp;"")="n/a")),"Entry Mode; ","")&amp;IF(AND(INDEX('Game Records'!$U:$U,$H377)&lt;&gt;"Subscription",INDEX('Game Records'!$U:$U,$H377)&lt;&gt;"Free Game",INDEX('Game Records'!$U:$U,$H377)&lt;&gt;"Disqualified — Free Game",OR(INDEX('Game Records'!$E:$E,$H377)="",LOWER(INDEX('Game Records'!$E:$E,$H377)&amp;"")="n/a")),"Game Type; ","")&amp;IF(INDEX('Game Records'!$F:$F,$H377)="","Payment Type; ","")&amp;IF(AND(INDEX('Game Records'!$U:$U,$H377)&lt;&gt;"Subscription",INDEX('Game Records'!$U:$U,$H377)&lt;&gt;"Free Game",INDEX('Game Records'!$U:$U,$H377)&lt;&gt;"Disqualified — Free Game",INDEX('Game Records'!$G:$G,$H377)=""),"Gross Pot; ","")&amp;IF(AND(INDEX('Game Records'!$U:$U,$H377)&lt;&gt;"Free Game",INDEX('Game Records'!$U:$U,$H377)&lt;&gt;"Disqualified — Free Game",INDEX('Game Records'!$H:$H,$H377)=""),"Entry Fee; ","")&amp;IF(AND(INDEX('Game Records'!$U:$U,$H377)&lt;&gt;"Subscription",INDEX('Game Records'!$U:$U,$H377)&lt;&gt;"Free Game",INDEX('Game Records'!$U:$U,$H377)&lt;&gt;"Disqualified — Free Game",INDEX('Game Records'!$I:$I,$H377)=""),"Eligible Players; ","")&amp;IF(AND(INDEX('Game Records'!$U:$U,$H377)&lt;&gt;"Subscription",INDEX('Game Records'!$U:$U,$H377)&lt;&gt;"Free Game",INDEX('Game Records'!$U:$U,$H377)&lt;&gt;"Disqualified — Free Game",INDEX('Game Records'!$J:$J,$H377)=""),"Total Players; ","")&amp;IF(AND(LOWER(INDEX('Game Records'!$D:$D,$H377)&amp;"")="finalized",LOWER(INDEX('Game Records'!$L:$L,$H377)&amp;"")&lt;&gt;"yes",INDEX('Game Records'!$U:$U,$H377)&lt;&gt;"Subscription",INDEX('Game Records'!$U:$U,$H377)&lt;&gt;"Free Game",INDEX('Game Records'!$U:$U,$H377)&lt;&gt;"Disqualified — Free Game",INDEX('Game Records'!$K:$K,$H377)=""),"Final Earned; ","")&amp;IF(AND(LOWER(INDEX('Game Records'!$D:$D,$H377)&amp;"")="finalized",INDEX('Game Records'!$U:$U,$H377)&lt;&gt;"Subscription",INDEX('Game Records'!$U:$U,$H377)&lt;&gt;"Free Game",INDEX('Game Records'!$U:$U,$H377)&lt;&gt;"Disqualified — Free Game",OR(INDEX('Game Records'!$L:$L,$H377)="",LOWER(INDEX('Game Records'!$L:$L,$H377)&amp;"")="n/a")),"Disqualified Status; ","")&amp;IF(AND(OR(LOWER(TRIM(INDEX('Game Records'!$F:$F,$H377)&amp;""))="free game",INDEX('Game Records'!$U:$U,$H377)="Free Game",INDEX('Game Records'!$U:$U,$H377)="Disqualified — Free Game"),N(INDEX('Game Records'!$H:$H,$H377))&lt;&gt;0),"Free Game has a non-zero Entry Fee. Free Game records require a $0 Entry Fee; ",""))</f>
        <v/>
      </c>
      <c r="G377" s="331" t="str">
        <f>IF($H377="","",IFERROR(INDEX('Game Records'!$M:$M,$H377),""))</f>
        <v/>
      </c>
      <c r="H377" s="104" t="str">
        <f>IF($H376="","",IFERROR(MATCH(1,INDEX((ROW('Game Records'!$U$5:$U$504)&gt;$H376)*(('Game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8" ht="24" customHeight="1">
      <c r="A378" s="332" t="str">
        <f>IF($H378="","",ROWS($A$5:A378))</f>
        <v/>
      </c>
      <c r="B378" s="332" t="str">
        <f>IF($H378="","","G-"&amp;TEXT($A378,"0000"))</f>
        <v/>
      </c>
      <c r="C378" s="331" t="str">
        <f>IF($H378="","",IFERROR(INDEX('Game Records'!$A:$A,$H378),""))</f>
        <v/>
      </c>
      <c r="D378" s="331" t="str">
        <f>IF($H378="","",IFERROR(INDEX('Game Records'!$U:$U,$H378),""))</f>
        <v/>
      </c>
      <c r="E378" s="331" t="str">
        <f>IF($H378="","",IF($F378="","No Highlighted Fields","Highlighted Fields Present"))</f>
        <v/>
      </c>
      <c r="F378" s="331" t="str">
        <f>IF($H378="","",IF(OR(NOT(ISFORMULA(INDEX('Game Records'!$N:$N,$H378))),NOT(ISFORMULA(INDEX('Game Records'!$O:$O,$H378))),NOT(ISFORMULA(INDEX('Game Records'!$P:$P,$H378))),NOT(ISFORMULA(INDEX('Game Records'!$Q:$Q,$H378))),NOT(ISFORMULA(INDEX('Game Records'!$R:$R,$H378))),NOT(ISFORMULA(INDEX('Game Records'!$S:$S,$H378))),NOT(ISFORMULA(INDEX('Game Records'!$T:$T,$H378))),NOT(ISFORMULA(INDEX('Game Records'!$U:$U,$H378))),NOT(ISFORMULA(INDEX('Game Records'!$V:$V,$H378))),NOT(ISFORMULA(INDEX('Game Records'!$W:$W,$H378))),NOT(ISFORMULA(INDEX('Game Records'!$X:$X,$H378))),NOT(ISFORMULA(INDEX('Game Records'!$Y:$Y,$H378))),NOT(ISFORMULA(INDEX('Game Records'!$Z:$Z,$H378)))),"Formula columns missing; ","")&amp;IF(INDEX('Game Records'!$B:$B,$H378)="","Start Date; ","")&amp;IF(INDEX('Game Records'!$C:$C,$H378)="","End Date; ","")&amp;IF(AND(INDEX('Game Records'!$U:$U,$H378)&lt;&gt;"Subscription",INDEX('Game Records'!$U:$U,$H378)&lt;&gt;"Free Game",INDEX('Game Records'!$U:$U,$H378)&lt;&gt;"Disqualified — Free Game",OR(INDEX('Game Records'!$D:$D,$H378)="",LOWER(INDEX('Game Records'!$D:$D,$H378)&amp;"")="n/a")),"Entry Mode; ","")&amp;IF(AND(INDEX('Game Records'!$U:$U,$H378)&lt;&gt;"Subscription",INDEX('Game Records'!$U:$U,$H378)&lt;&gt;"Free Game",INDEX('Game Records'!$U:$U,$H378)&lt;&gt;"Disqualified — Free Game",OR(INDEX('Game Records'!$E:$E,$H378)="",LOWER(INDEX('Game Records'!$E:$E,$H378)&amp;"")="n/a")),"Game Type; ","")&amp;IF(INDEX('Game Records'!$F:$F,$H378)="","Payment Type; ","")&amp;IF(AND(INDEX('Game Records'!$U:$U,$H378)&lt;&gt;"Subscription",INDEX('Game Records'!$U:$U,$H378)&lt;&gt;"Free Game",INDEX('Game Records'!$U:$U,$H378)&lt;&gt;"Disqualified — Free Game",INDEX('Game Records'!$G:$G,$H378)=""),"Gross Pot; ","")&amp;IF(AND(INDEX('Game Records'!$U:$U,$H378)&lt;&gt;"Free Game",INDEX('Game Records'!$U:$U,$H378)&lt;&gt;"Disqualified — Free Game",INDEX('Game Records'!$H:$H,$H378)=""),"Entry Fee; ","")&amp;IF(AND(INDEX('Game Records'!$U:$U,$H378)&lt;&gt;"Subscription",INDEX('Game Records'!$U:$U,$H378)&lt;&gt;"Free Game",INDEX('Game Records'!$U:$U,$H378)&lt;&gt;"Disqualified — Free Game",INDEX('Game Records'!$I:$I,$H378)=""),"Eligible Players; ","")&amp;IF(AND(INDEX('Game Records'!$U:$U,$H378)&lt;&gt;"Subscription",INDEX('Game Records'!$U:$U,$H378)&lt;&gt;"Free Game",INDEX('Game Records'!$U:$U,$H378)&lt;&gt;"Disqualified — Free Game",INDEX('Game Records'!$J:$J,$H378)=""),"Total Players; ","")&amp;IF(AND(LOWER(INDEX('Game Records'!$D:$D,$H378)&amp;"")="finalized",LOWER(INDEX('Game Records'!$L:$L,$H378)&amp;"")&lt;&gt;"yes",INDEX('Game Records'!$U:$U,$H378)&lt;&gt;"Subscription",INDEX('Game Records'!$U:$U,$H378)&lt;&gt;"Free Game",INDEX('Game Records'!$U:$U,$H378)&lt;&gt;"Disqualified — Free Game",INDEX('Game Records'!$K:$K,$H378)=""),"Final Earned; ","")&amp;IF(AND(LOWER(INDEX('Game Records'!$D:$D,$H378)&amp;"")="finalized",INDEX('Game Records'!$U:$U,$H378)&lt;&gt;"Subscription",INDEX('Game Records'!$U:$U,$H378)&lt;&gt;"Free Game",INDEX('Game Records'!$U:$U,$H378)&lt;&gt;"Disqualified — Free Game",OR(INDEX('Game Records'!$L:$L,$H378)="",LOWER(INDEX('Game Records'!$L:$L,$H378)&amp;"")="n/a")),"Disqualified Status; ","")&amp;IF(AND(OR(LOWER(TRIM(INDEX('Game Records'!$F:$F,$H378)&amp;""))="free game",INDEX('Game Records'!$U:$U,$H378)="Free Game",INDEX('Game Records'!$U:$U,$H378)="Disqualified — Free Game"),N(INDEX('Game Records'!$H:$H,$H378))&lt;&gt;0),"Free Game has a non-zero Entry Fee. Free Game records require a $0 Entry Fee; ",""))</f>
        <v/>
      </c>
      <c r="G378" s="331" t="str">
        <f>IF($H378="","",IFERROR(INDEX('Game Records'!$M:$M,$H378),""))</f>
        <v/>
      </c>
      <c r="H378" s="104" t="str">
        <f>IF($H377="","",IFERROR(MATCH(1,INDEX((ROW('Game Records'!$U$5:$U$504)&gt;$H377)*(('Game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9" ht="24" customHeight="1">
      <c r="A379" s="332" t="str">
        <f>IF($H379="","",ROWS($A$5:A379))</f>
        <v/>
      </c>
      <c r="B379" s="332" t="str">
        <f>IF($H379="","","G-"&amp;TEXT($A379,"0000"))</f>
        <v/>
      </c>
      <c r="C379" s="331" t="str">
        <f>IF($H379="","",IFERROR(INDEX('Game Records'!$A:$A,$H379),""))</f>
        <v/>
      </c>
      <c r="D379" s="331" t="str">
        <f>IF($H379="","",IFERROR(INDEX('Game Records'!$U:$U,$H379),""))</f>
        <v/>
      </c>
      <c r="E379" s="331" t="str">
        <f>IF($H379="","",IF($F379="","No Highlighted Fields","Highlighted Fields Present"))</f>
        <v/>
      </c>
      <c r="F379" s="331" t="str">
        <f>IF($H379="","",IF(OR(NOT(ISFORMULA(INDEX('Game Records'!$N:$N,$H379))),NOT(ISFORMULA(INDEX('Game Records'!$O:$O,$H379))),NOT(ISFORMULA(INDEX('Game Records'!$P:$P,$H379))),NOT(ISFORMULA(INDEX('Game Records'!$Q:$Q,$H379))),NOT(ISFORMULA(INDEX('Game Records'!$R:$R,$H379))),NOT(ISFORMULA(INDEX('Game Records'!$S:$S,$H379))),NOT(ISFORMULA(INDEX('Game Records'!$T:$T,$H379))),NOT(ISFORMULA(INDEX('Game Records'!$U:$U,$H379))),NOT(ISFORMULA(INDEX('Game Records'!$V:$V,$H379))),NOT(ISFORMULA(INDEX('Game Records'!$W:$W,$H379))),NOT(ISFORMULA(INDEX('Game Records'!$X:$X,$H379))),NOT(ISFORMULA(INDEX('Game Records'!$Y:$Y,$H379))),NOT(ISFORMULA(INDEX('Game Records'!$Z:$Z,$H379)))),"Formula columns missing; ","")&amp;IF(INDEX('Game Records'!$B:$B,$H379)="","Start Date; ","")&amp;IF(INDEX('Game Records'!$C:$C,$H379)="","End Date; ","")&amp;IF(AND(INDEX('Game Records'!$U:$U,$H379)&lt;&gt;"Subscription",INDEX('Game Records'!$U:$U,$H379)&lt;&gt;"Free Game",INDEX('Game Records'!$U:$U,$H379)&lt;&gt;"Disqualified — Free Game",OR(INDEX('Game Records'!$D:$D,$H379)="",LOWER(INDEX('Game Records'!$D:$D,$H379)&amp;"")="n/a")),"Entry Mode; ","")&amp;IF(AND(INDEX('Game Records'!$U:$U,$H379)&lt;&gt;"Subscription",INDEX('Game Records'!$U:$U,$H379)&lt;&gt;"Free Game",INDEX('Game Records'!$U:$U,$H379)&lt;&gt;"Disqualified — Free Game",OR(INDEX('Game Records'!$E:$E,$H379)="",LOWER(INDEX('Game Records'!$E:$E,$H379)&amp;"")="n/a")),"Game Type; ","")&amp;IF(INDEX('Game Records'!$F:$F,$H379)="","Payment Type; ","")&amp;IF(AND(INDEX('Game Records'!$U:$U,$H379)&lt;&gt;"Subscription",INDEX('Game Records'!$U:$U,$H379)&lt;&gt;"Free Game",INDEX('Game Records'!$U:$U,$H379)&lt;&gt;"Disqualified — Free Game",INDEX('Game Records'!$G:$G,$H379)=""),"Gross Pot; ","")&amp;IF(AND(INDEX('Game Records'!$U:$U,$H379)&lt;&gt;"Free Game",INDEX('Game Records'!$U:$U,$H379)&lt;&gt;"Disqualified — Free Game",INDEX('Game Records'!$H:$H,$H379)=""),"Entry Fee; ","")&amp;IF(AND(INDEX('Game Records'!$U:$U,$H379)&lt;&gt;"Subscription",INDEX('Game Records'!$U:$U,$H379)&lt;&gt;"Free Game",INDEX('Game Records'!$U:$U,$H379)&lt;&gt;"Disqualified — Free Game",INDEX('Game Records'!$I:$I,$H379)=""),"Eligible Players; ","")&amp;IF(AND(INDEX('Game Records'!$U:$U,$H379)&lt;&gt;"Subscription",INDEX('Game Records'!$U:$U,$H379)&lt;&gt;"Free Game",INDEX('Game Records'!$U:$U,$H379)&lt;&gt;"Disqualified — Free Game",INDEX('Game Records'!$J:$J,$H379)=""),"Total Players; ","")&amp;IF(AND(LOWER(INDEX('Game Records'!$D:$D,$H379)&amp;"")="finalized",LOWER(INDEX('Game Records'!$L:$L,$H379)&amp;"")&lt;&gt;"yes",INDEX('Game Records'!$U:$U,$H379)&lt;&gt;"Subscription",INDEX('Game Records'!$U:$U,$H379)&lt;&gt;"Free Game",INDEX('Game Records'!$U:$U,$H379)&lt;&gt;"Disqualified — Free Game",INDEX('Game Records'!$K:$K,$H379)=""),"Final Earned; ","")&amp;IF(AND(LOWER(INDEX('Game Records'!$D:$D,$H379)&amp;"")="finalized",INDEX('Game Records'!$U:$U,$H379)&lt;&gt;"Subscription",INDEX('Game Records'!$U:$U,$H379)&lt;&gt;"Free Game",INDEX('Game Records'!$U:$U,$H379)&lt;&gt;"Disqualified — Free Game",OR(INDEX('Game Records'!$L:$L,$H379)="",LOWER(INDEX('Game Records'!$L:$L,$H379)&amp;"")="n/a")),"Disqualified Status; ","")&amp;IF(AND(OR(LOWER(TRIM(INDEX('Game Records'!$F:$F,$H379)&amp;""))="free game",INDEX('Game Records'!$U:$U,$H379)="Free Game",INDEX('Game Records'!$U:$U,$H379)="Disqualified — Free Game"),N(INDEX('Game Records'!$H:$H,$H379))&lt;&gt;0),"Free Game has a non-zero Entry Fee. Free Game records require a $0 Entry Fee; ",""))</f>
        <v/>
      </c>
      <c r="G379" s="331" t="str">
        <f>IF($H379="","",IFERROR(INDEX('Game Records'!$M:$M,$H379),""))</f>
        <v/>
      </c>
      <c r="H379" s="104" t="str">
        <f>IF($H378="","",IFERROR(MATCH(1,INDEX((ROW('Game Records'!$U$5:$U$504)&gt;$H378)*(('Game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0" ht="24" customHeight="1">
      <c r="A380" s="332" t="str">
        <f>IF($H380="","",ROWS($A$5:A380))</f>
        <v/>
      </c>
      <c r="B380" s="332" t="str">
        <f>IF($H380="","","G-"&amp;TEXT($A380,"0000"))</f>
        <v/>
      </c>
      <c r="C380" s="331" t="str">
        <f>IF($H380="","",IFERROR(INDEX('Game Records'!$A:$A,$H380),""))</f>
        <v/>
      </c>
      <c r="D380" s="331" t="str">
        <f>IF($H380="","",IFERROR(INDEX('Game Records'!$U:$U,$H380),""))</f>
        <v/>
      </c>
      <c r="E380" s="331" t="str">
        <f>IF($H380="","",IF($F380="","No Highlighted Fields","Highlighted Fields Present"))</f>
        <v/>
      </c>
      <c r="F380" s="331" t="str">
        <f>IF($H380="","",IF(OR(NOT(ISFORMULA(INDEX('Game Records'!$N:$N,$H380))),NOT(ISFORMULA(INDEX('Game Records'!$O:$O,$H380))),NOT(ISFORMULA(INDEX('Game Records'!$P:$P,$H380))),NOT(ISFORMULA(INDEX('Game Records'!$Q:$Q,$H380))),NOT(ISFORMULA(INDEX('Game Records'!$R:$R,$H380))),NOT(ISFORMULA(INDEX('Game Records'!$S:$S,$H380))),NOT(ISFORMULA(INDEX('Game Records'!$T:$T,$H380))),NOT(ISFORMULA(INDEX('Game Records'!$U:$U,$H380))),NOT(ISFORMULA(INDEX('Game Records'!$V:$V,$H380))),NOT(ISFORMULA(INDEX('Game Records'!$W:$W,$H380))),NOT(ISFORMULA(INDEX('Game Records'!$X:$X,$H380))),NOT(ISFORMULA(INDEX('Game Records'!$Y:$Y,$H380))),NOT(ISFORMULA(INDEX('Game Records'!$Z:$Z,$H380)))),"Formula columns missing; ","")&amp;IF(INDEX('Game Records'!$B:$B,$H380)="","Start Date; ","")&amp;IF(INDEX('Game Records'!$C:$C,$H380)="","End Date; ","")&amp;IF(AND(INDEX('Game Records'!$U:$U,$H380)&lt;&gt;"Subscription",INDEX('Game Records'!$U:$U,$H380)&lt;&gt;"Free Game",INDEX('Game Records'!$U:$U,$H380)&lt;&gt;"Disqualified — Free Game",OR(INDEX('Game Records'!$D:$D,$H380)="",LOWER(INDEX('Game Records'!$D:$D,$H380)&amp;"")="n/a")),"Entry Mode; ","")&amp;IF(AND(INDEX('Game Records'!$U:$U,$H380)&lt;&gt;"Subscription",INDEX('Game Records'!$U:$U,$H380)&lt;&gt;"Free Game",INDEX('Game Records'!$U:$U,$H380)&lt;&gt;"Disqualified — Free Game",OR(INDEX('Game Records'!$E:$E,$H380)="",LOWER(INDEX('Game Records'!$E:$E,$H380)&amp;"")="n/a")),"Game Type; ","")&amp;IF(INDEX('Game Records'!$F:$F,$H380)="","Payment Type; ","")&amp;IF(AND(INDEX('Game Records'!$U:$U,$H380)&lt;&gt;"Subscription",INDEX('Game Records'!$U:$U,$H380)&lt;&gt;"Free Game",INDEX('Game Records'!$U:$U,$H380)&lt;&gt;"Disqualified — Free Game",INDEX('Game Records'!$G:$G,$H380)=""),"Gross Pot; ","")&amp;IF(AND(INDEX('Game Records'!$U:$U,$H380)&lt;&gt;"Free Game",INDEX('Game Records'!$U:$U,$H380)&lt;&gt;"Disqualified — Free Game",INDEX('Game Records'!$H:$H,$H380)=""),"Entry Fee; ","")&amp;IF(AND(INDEX('Game Records'!$U:$U,$H380)&lt;&gt;"Subscription",INDEX('Game Records'!$U:$U,$H380)&lt;&gt;"Free Game",INDEX('Game Records'!$U:$U,$H380)&lt;&gt;"Disqualified — Free Game",INDEX('Game Records'!$I:$I,$H380)=""),"Eligible Players; ","")&amp;IF(AND(INDEX('Game Records'!$U:$U,$H380)&lt;&gt;"Subscription",INDEX('Game Records'!$U:$U,$H380)&lt;&gt;"Free Game",INDEX('Game Records'!$U:$U,$H380)&lt;&gt;"Disqualified — Free Game",INDEX('Game Records'!$J:$J,$H380)=""),"Total Players; ","")&amp;IF(AND(LOWER(INDEX('Game Records'!$D:$D,$H380)&amp;"")="finalized",LOWER(INDEX('Game Records'!$L:$L,$H380)&amp;"")&lt;&gt;"yes",INDEX('Game Records'!$U:$U,$H380)&lt;&gt;"Subscription",INDEX('Game Records'!$U:$U,$H380)&lt;&gt;"Free Game",INDEX('Game Records'!$U:$U,$H380)&lt;&gt;"Disqualified — Free Game",INDEX('Game Records'!$K:$K,$H380)=""),"Final Earned; ","")&amp;IF(AND(LOWER(INDEX('Game Records'!$D:$D,$H380)&amp;"")="finalized",INDEX('Game Records'!$U:$U,$H380)&lt;&gt;"Subscription",INDEX('Game Records'!$U:$U,$H380)&lt;&gt;"Free Game",INDEX('Game Records'!$U:$U,$H380)&lt;&gt;"Disqualified — Free Game",OR(INDEX('Game Records'!$L:$L,$H380)="",LOWER(INDEX('Game Records'!$L:$L,$H380)&amp;"")="n/a")),"Disqualified Status; ","")&amp;IF(AND(OR(LOWER(TRIM(INDEX('Game Records'!$F:$F,$H380)&amp;""))="free game",INDEX('Game Records'!$U:$U,$H380)="Free Game",INDEX('Game Records'!$U:$U,$H380)="Disqualified — Free Game"),N(INDEX('Game Records'!$H:$H,$H380))&lt;&gt;0),"Free Game has a non-zero Entry Fee. Free Game records require a $0 Entry Fee; ",""))</f>
        <v/>
      </c>
      <c r="G380" s="331" t="str">
        <f>IF($H380="","",IFERROR(INDEX('Game Records'!$M:$M,$H380),""))</f>
        <v/>
      </c>
      <c r="H380" s="104" t="str">
        <f>IF($H379="","",IFERROR(MATCH(1,INDEX((ROW('Game Records'!$U$5:$U$504)&gt;$H379)*(('Game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1" ht="24" customHeight="1">
      <c r="A381" s="332" t="str">
        <f>IF($H381="","",ROWS($A$5:A381))</f>
        <v/>
      </c>
      <c r="B381" s="332" t="str">
        <f>IF($H381="","","G-"&amp;TEXT($A381,"0000"))</f>
        <v/>
      </c>
      <c r="C381" s="331" t="str">
        <f>IF($H381="","",IFERROR(INDEX('Game Records'!$A:$A,$H381),""))</f>
        <v/>
      </c>
      <c r="D381" s="331" t="str">
        <f>IF($H381="","",IFERROR(INDEX('Game Records'!$U:$U,$H381),""))</f>
        <v/>
      </c>
      <c r="E381" s="331" t="str">
        <f>IF($H381="","",IF($F381="","No Highlighted Fields","Highlighted Fields Present"))</f>
        <v/>
      </c>
      <c r="F381" s="331" t="str">
        <f>IF($H381="","",IF(OR(NOT(ISFORMULA(INDEX('Game Records'!$N:$N,$H381))),NOT(ISFORMULA(INDEX('Game Records'!$O:$O,$H381))),NOT(ISFORMULA(INDEX('Game Records'!$P:$P,$H381))),NOT(ISFORMULA(INDEX('Game Records'!$Q:$Q,$H381))),NOT(ISFORMULA(INDEX('Game Records'!$R:$R,$H381))),NOT(ISFORMULA(INDEX('Game Records'!$S:$S,$H381))),NOT(ISFORMULA(INDEX('Game Records'!$T:$T,$H381))),NOT(ISFORMULA(INDEX('Game Records'!$U:$U,$H381))),NOT(ISFORMULA(INDEX('Game Records'!$V:$V,$H381))),NOT(ISFORMULA(INDEX('Game Records'!$W:$W,$H381))),NOT(ISFORMULA(INDEX('Game Records'!$X:$X,$H381))),NOT(ISFORMULA(INDEX('Game Records'!$Y:$Y,$H381))),NOT(ISFORMULA(INDEX('Game Records'!$Z:$Z,$H381)))),"Formula columns missing; ","")&amp;IF(INDEX('Game Records'!$B:$B,$H381)="","Start Date; ","")&amp;IF(INDEX('Game Records'!$C:$C,$H381)="","End Date; ","")&amp;IF(AND(INDEX('Game Records'!$U:$U,$H381)&lt;&gt;"Subscription",INDEX('Game Records'!$U:$U,$H381)&lt;&gt;"Free Game",INDEX('Game Records'!$U:$U,$H381)&lt;&gt;"Disqualified — Free Game",OR(INDEX('Game Records'!$D:$D,$H381)="",LOWER(INDEX('Game Records'!$D:$D,$H381)&amp;"")="n/a")),"Entry Mode; ","")&amp;IF(AND(INDEX('Game Records'!$U:$U,$H381)&lt;&gt;"Subscription",INDEX('Game Records'!$U:$U,$H381)&lt;&gt;"Free Game",INDEX('Game Records'!$U:$U,$H381)&lt;&gt;"Disqualified — Free Game",OR(INDEX('Game Records'!$E:$E,$H381)="",LOWER(INDEX('Game Records'!$E:$E,$H381)&amp;"")="n/a")),"Game Type; ","")&amp;IF(INDEX('Game Records'!$F:$F,$H381)="","Payment Type; ","")&amp;IF(AND(INDEX('Game Records'!$U:$U,$H381)&lt;&gt;"Subscription",INDEX('Game Records'!$U:$U,$H381)&lt;&gt;"Free Game",INDEX('Game Records'!$U:$U,$H381)&lt;&gt;"Disqualified — Free Game",INDEX('Game Records'!$G:$G,$H381)=""),"Gross Pot; ","")&amp;IF(AND(INDEX('Game Records'!$U:$U,$H381)&lt;&gt;"Free Game",INDEX('Game Records'!$U:$U,$H381)&lt;&gt;"Disqualified — Free Game",INDEX('Game Records'!$H:$H,$H381)=""),"Entry Fee; ","")&amp;IF(AND(INDEX('Game Records'!$U:$U,$H381)&lt;&gt;"Subscription",INDEX('Game Records'!$U:$U,$H381)&lt;&gt;"Free Game",INDEX('Game Records'!$U:$U,$H381)&lt;&gt;"Disqualified — Free Game",INDEX('Game Records'!$I:$I,$H381)=""),"Eligible Players; ","")&amp;IF(AND(INDEX('Game Records'!$U:$U,$H381)&lt;&gt;"Subscription",INDEX('Game Records'!$U:$U,$H381)&lt;&gt;"Free Game",INDEX('Game Records'!$U:$U,$H381)&lt;&gt;"Disqualified — Free Game",INDEX('Game Records'!$J:$J,$H381)=""),"Total Players; ","")&amp;IF(AND(LOWER(INDEX('Game Records'!$D:$D,$H381)&amp;"")="finalized",LOWER(INDEX('Game Records'!$L:$L,$H381)&amp;"")&lt;&gt;"yes",INDEX('Game Records'!$U:$U,$H381)&lt;&gt;"Subscription",INDEX('Game Records'!$U:$U,$H381)&lt;&gt;"Free Game",INDEX('Game Records'!$U:$U,$H381)&lt;&gt;"Disqualified — Free Game",INDEX('Game Records'!$K:$K,$H381)=""),"Final Earned; ","")&amp;IF(AND(LOWER(INDEX('Game Records'!$D:$D,$H381)&amp;"")="finalized",INDEX('Game Records'!$U:$U,$H381)&lt;&gt;"Subscription",INDEX('Game Records'!$U:$U,$H381)&lt;&gt;"Free Game",INDEX('Game Records'!$U:$U,$H381)&lt;&gt;"Disqualified — Free Game",OR(INDEX('Game Records'!$L:$L,$H381)="",LOWER(INDEX('Game Records'!$L:$L,$H381)&amp;"")="n/a")),"Disqualified Status; ","")&amp;IF(AND(OR(LOWER(TRIM(INDEX('Game Records'!$F:$F,$H381)&amp;""))="free game",INDEX('Game Records'!$U:$U,$H381)="Free Game",INDEX('Game Records'!$U:$U,$H381)="Disqualified — Free Game"),N(INDEX('Game Records'!$H:$H,$H381))&lt;&gt;0),"Free Game has a non-zero Entry Fee. Free Game records require a $0 Entry Fee; ",""))</f>
        <v/>
      </c>
      <c r="G381" s="331" t="str">
        <f>IF($H381="","",IFERROR(INDEX('Game Records'!$M:$M,$H381),""))</f>
        <v/>
      </c>
      <c r="H381" s="104" t="str">
        <f>IF($H380="","",IFERROR(MATCH(1,INDEX((ROW('Game Records'!$U$5:$U$504)&gt;$H380)*(('Game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2" ht="24" customHeight="1">
      <c r="A382" s="332" t="str">
        <f>IF($H382="","",ROWS($A$5:A382))</f>
        <v/>
      </c>
      <c r="B382" s="332" t="str">
        <f>IF($H382="","","G-"&amp;TEXT($A382,"0000"))</f>
        <v/>
      </c>
      <c r="C382" s="331" t="str">
        <f>IF($H382="","",IFERROR(INDEX('Game Records'!$A:$A,$H382),""))</f>
        <v/>
      </c>
      <c r="D382" s="331" t="str">
        <f>IF($H382="","",IFERROR(INDEX('Game Records'!$U:$U,$H382),""))</f>
        <v/>
      </c>
      <c r="E382" s="331" t="str">
        <f>IF($H382="","",IF($F382="","No Highlighted Fields","Highlighted Fields Present"))</f>
        <v/>
      </c>
      <c r="F382" s="331" t="str">
        <f>IF($H382="","",IF(OR(NOT(ISFORMULA(INDEX('Game Records'!$N:$N,$H382))),NOT(ISFORMULA(INDEX('Game Records'!$O:$O,$H382))),NOT(ISFORMULA(INDEX('Game Records'!$P:$P,$H382))),NOT(ISFORMULA(INDEX('Game Records'!$Q:$Q,$H382))),NOT(ISFORMULA(INDEX('Game Records'!$R:$R,$H382))),NOT(ISFORMULA(INDEX('Game Records'!$S:$S,$H382))),NOT(ISFORMULA(INDEX('Game Records'!$T:$T,$H382))),NOT(ISFORMULA(INDEX('Game Records'!$U:$U,$H382))),NOT(ISFORMULA(INDEX('Game Records'!$V:$V,$H382))),NOT(ISFORMULA(INDEX('Game Records'!$W:$W,$H382))),NOT(ISFORMULA(INDEX('Game Records'!$X:$X,$H382))),NOT(ISFORMULA(INDEX('Game Records'!$Y:$Y,$H382))),NOT(ISFORMULA(INDEX('Game Records'!$Z:$Z,$H382)))),"Formula columns missing; ","")&amp;IF(INDEX('Game Records'!$B:$B,$H382)="","Start Date; ","")&amp;IF(INDEX('Game Records'!$C:$C,$H382)="","End Date; ","")&amp;IF(AND(INDEX('Game Records'!$U:$U,$H382)&lt;&gt;"Subscription",INDEX('Game Records'!$U:$U,$H382)&lt;&gt;"Free Game",INDEX('Game Records'!$U:$U,$H382)&lt;&gt;"Disqualified — Free Game",OR(INDEX('Game Records'!$D:$D,$H382)="",LOWER(INDEX('Game Records'!$D:$D,$H382)&amp;"")="n/a")),"Entry Mode; ","")&amp;IF(AND(INDEX('Game Records'!$U:$U,$H382)&lt;&gt;"Subscription",INDEX('Game Records'!$U:$U,$H382)&lt;&gt;"Free Game",INDEX('Game Records'!$U:$U,$H382)&lt;&gt;"Disqualified — Free Game",OR(INDEX('Game Records'!$E:$E,$H382)="",LOWER(INDEX('Game Records'!$E:$E,$H382)&amp;"")="n/a")),"Game Type; ","")&amp;IF(INDEX('Game Records'!$F:$F,$H382)="","Payment Type; ","")&amp;IF(AND(INDEX('Game Records'!$U:$U,$H382)&lt;&gt;"Subscription",INDEX('Game Records'!$U:$U,$H382)&lt;&gt;"Free Game",INDEX('Game Records'!$U:$U,$H382)&lt;&gt;"Disqualified — Free Game",INDEX('Game Records'!$G:$G,$H382)=""),"Gross Pot; ","")&amp;IF(AND(INDEX('Game Records'!$U:$U,$H382)&lt;&gt;"Free Game",INDEX('Game Records'!$U:$U,$H382)&lt;&gt;"Disqualified — Free Game",INDEX('Game Records'!$H:$H,$H382)=""),"Entry Fee; ","")&amp;IF(AND(INDEX('Game Records'!$U:$U,$H382)&lt;&gt;"Subscription",INDEX('Game Records'!$U:$U,$H382)&lt;&gt;"Free Game",INDEX('Game Records'!$U:$U,$H382)&lt;&gt;"Disqualified — Free Game",INDEX('Game Records'!$I:$I,$H382)=""),"Eligible Players; ","")&amp;IF(AND(INDEX('Game Records'!$U:$U,$H382)&lt;&gt;"Subscription",INDEX('Game Records'!$U:$U,$H382)&lt;&gt;"Free Game",INDEX('Game Records'!$U:$U,$H382)&lt;&gt;"Disqualified — Free Game",INDEX('Game Records'!$J:$J,$H382)=""),"Total Players; ","")&amp;IF(AND(LOWER(INDEX('Game Records'!$D:$D,$H382)&amp;"")="finalized",LOWER(INDEX('Game Records'!$L:$L,$H382)&amp;"")&lt;&gt;"yes",INDEX('Game Records'!$U:$U,$H382)&lt;&gt;"Subscription",INDEX('Game Records'!$U:$U,$H382)&lt;&gt;"Free Game",INDEX('Game Records'!$U:$U,$H382)&lt;&gt;"Disqualified — Free Game",INDEX('Game Records'!$K:$K,$H382)=""),"Final Earned; ","")&amp;IF(AND(LOWER(INDEX('Game Records'!$D:$D,$H382)&amp;"")="finalized",INDEX('Game Records'!$U:$U,$H382)&lt;&gt;"Subscription",INDEX('Game Records'!$U:$U,$H382)&lt;&gt;"Free Game",INDEX('Game Records'!$U:$U,$H382)&lt;&gt;"Disqualified — Free Game",OR(INDEX('Game Records'!$L:$L,$H382)="",LOWER(INDEX('Game Records'!$L:$L,$H382)&amp;"")="n/a")),"Disqualified Status; ","")&amp;IF(AND(OR(LOWER(TRIM(INDEX('Game Records'!$F:$F,$H382)&amp;""))="free game",INDEX('Game Records'!$U:$U,$H382)="Free Game",INDEX('Game Records'!$U:$U,$H382)="Disqualified — Free Game"),N(INDEX('Game Records'!$H:$H,$H382))&lt;&gt;0),"Free Game has a non-zero Entry Fee. Free Game records require a $0 Entry Fee; ",""))</f>
        <v/>
      </c>
      <c r="G382" s="331" t="str">
        <f>IF($H382="","",IFERROR(INDEX('Game Records'!$M:$M,$H382),""))</f>
        <v/>
      </c>
      <c r="H382" s="104" t="str">
        <f>IF($H381="","",IFERROR(MATCH(1,INDEX((ROW('Game Records'!$U$5:$U$504)&gt;$H381)*(('Game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3" ht="24" customHeight="1">
      <c r="A383" s="332" t="str">
        <f>IF($H383="","",ROWS($A$5:A383))</f>
        <v/>
      </c>
      <c r="B383" s="332" t="str">
        <f>IF($H383="","","G-"&amp;TEXT($A383,"0000"))</f>
        <v/>
      </c>
      <c r="C383" s="331" t="str">
        <f>IF($H383="","",IFERROR(INDEX('Game Records'!$A:$A,$H383),""))</f>
        <v/>
      </c>
      <c r="D383" s="331" t="str">
        <f>IF($H383="","",IFERROR(INDEX('Game Records'!$U:$U,$H383),""))</f>
        <v/>
      </c>
      <c r="E383" s="331" t="str">
        <f>IF($H383="","",IF($F383="","No Highlighted Fields","Highlighted Fields Present"))</f>
        <v/>
      </c>
      <c r="F383" s="331" t="str">
        <f>IF($H383="","",IF(OR(NOT(ISFORMULA(INDEX('Game Records'!$N:$N,$H383))),NOT(ISFORMULA(INDEX('Game Records'!$O:$O,$H383))),NOT(ISFORMULA(INDEX('Game Records'!$P:$P,$H383))),NOT(ISFORMULA(INDEX('Game Records'!$Q:$Q,$H383))),NOT(ISFORMULA(INDEX('Game Records'!$R:$R,$H383))),NOT(ISFORMULA(INDEX('Game Records'!$S:$S,$H383))),NOT(ISFORMULA(INDEX('Game Records'!$T:$T,$H383))),NOT(ISFORMULA(INDEX('Game Records'!$U:$U,$H383))),NOT(ISFORMULA(INDEX('Game Records'!$V:$V,$H383))),NOT(ISFORMULA(INDEX('Game Records'!$W:$W,$H383))),NOT(ISFORMULA(INDEX('Game Records'!$X:$X,$H383))),NOT(ISFORMULA(INDEX('Game Records'!$Y:$Y,$H383))),NOT(ISFORMULA(INDEX('Game Records'!$Z:$Z,$H383)))),"Formula columns missing; ","")&amp;IF(INDEX('Game Records'!$B:$B,$H383)="","Start Date; ","")&amp;IF(INDEX('Game Records'!$C:$C,$H383)="","End Date; ","")&amp;IF(AND(INDEX('Game Records'!$U:$U,$H383)&lt;&gt;"Subscription",INDEX('Game Records'!$U:$U,$H383)&lt;&gt;"Free Game",INDEX('Game Records'!$U:$U,$H383)&lt;&gt;"Disqualified — Free Game",OR(INDEX('Game Records'!$D:$D,$H383)="",LOWER(INDEX('Game Records'!$D:$D,$H383)&amp;"")="n/a")),"Entry Mode; ","")&amp;IF(AND(INDEX('Game Records'!$U:$U,$H383)&lt;&gt;"Subscription",INDEX('Game Records'!$U:$U,$H383)&lt;&gt;"Free Game",INDEX('Game Records'!$U:$U,$H383)&lt;&gt;"Disqualified — Free Game",OR(INDEX('Game Records'!$E:$E,$H383)="",LOWER(INDEX('Game Records'!$E:$E,$H383)&amp;"")="n/a")),"Game Type; ","")&amp;IF(INDEX('Game Records'!$F:$F,$H383)="","Payment Type; ","")&amp;IF(AND(INDEX('Game Records'!$U:$U,$H383)&lt;&gt;"Subscription",INDEX('Game Records'!$U:$U,$H383)&lt;&gt;"Free Game",INDEX('Game Records'!$U:$U,$H383)&lt;&gt;"Disqualified — Free Game",INDEX('Game Records'!$G:$G,$H383)=""),"Gross Pot; ","")&amp;IF(AND(INDEX('Game Records'!$U:$U,$H383)&lt;&gt;"Free Game",INDEX('Game Records'!$U:$U,$H383)&lt;&gt;"Disqualified — Free Game",INDEX('Game Records'!$H:$H,$H383)=""),"Entry Fee; ","")&amp;IF(AND(INDEX('Game Records'!$U:$U,$H383)&lt;&gt;"Subscription",INDEX('Game Records'!$U:$U,$H383)&lt;&gt;"Free Game",INDEX('Game Records'!$U:$U,$H383)&lt;&gt;"Disqualified — Free Game",INDEX('Game Records'!$I:$I,$H383)=""),"Eligible Players; ","")&amp;IF(AND(INDEX('Game Records'!$U:$U,$H383)&lt;&gt;"Subscription",INDEX('Game Records'!$U:$U,$H383)&lt;&gt;"Free Game",INDEX('Game Records'!$U:$U,$H383)&lt;&gt;"Disqualified — Free Game",INDEX('Game Records'!$J:$J,$H383)=""),"Total Players; ","")&amp;IF(AND(LOWER(INDEX('Game Records'!$D:$D,$H383)&amp;"")="finalized",LOWER(INDEX('Game Records'!$L:$L,$H383)&amp;"")&lt;&gt;"yes",INDEX('Game Records'!$U:$U,$H383)&lt;&gt;"Subscription",INDEX('Game Records'!$U:$U,$H383)&lt;&gt;"Free Game",INDEX('Game Records'!$U:$U,$H383)&lt;&gt;"Disqualified — Free Game",INDEX('Game Records'!$K:$K,$H383)=""),"Final Earned; ","")&amp;IF(AND(LOWER(INDEX('Game Records'!$D:$D,$H383)&amp;"")="finalized",INDEX('Game Records'!$U:$U,$H383)&lt;&gt;"Subscription",INDEX('Game Records'!$U:$U,$H383)&lt;&gt;"Free Game",INDEX('Game Records'!$U:$U,$H383)&lt;&gt;"Disqualified — Free Game",OR(INDEX('Game Records'!$L:$L,$H383)="",LOWER(INDEX('Game Records'!$L:$L,$H383)&amp;"")="n/a")),"Disqualified Status; ","")&amp;IF(AND(OR(LOWER(TRIM(INDEX('Game Records'!$F:$F,$H383)&amp;""))="free game",INDEX('Game Records'!$U:$U,$H383)="Free Game",INDEX('Game Records'!$U:$U,$H383)="Disqualified — Free Game"),N(INDEX('Game Records'!$H:$H,$H383))&lt;&gt;0),"Free Game has a non-zero Entry Fee. Free Game records require a $0 Entry Fee; ",""))</f>
        <v/>
      </c>
      <c r="G383" s="331" t="str">
        <f>IF($H383="","",IFERROR(INDEX('Game Records'!$M:$M,$H383),""))</f>
        <v/>
      </c>
      <c r="H383" s="104" t="str">
        <f>IF($H382="","",IFERROR(MATCH(1,INDEX((ROW('Game Records'!$U$5:$U$504)&gt;$H382)*(('Game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4" ht="24" customHeight="1">
      <c r="A384" s="332" t="str">
        <f>IF($H384="","",ROWS($A$5:A384))</f>
        <v/>
      </c>
      <c r="B384" s="332" t="str">
        <f>IF($H384="","","G-"&amp;TEXT($A384,"0000"))</f>
        <v/>
      </c>
      <c r="C384" s="331" t="str">
        <f>IF($H384="","",IFERROR(INDEX('Game Records'!$A:$A,$H384),""))</f>
        <v/>
      </c>
      <c r="D384" s="331" t="str">
        <f>IF($H384="","",IFERROR(INDEX('Game Records'!$U:$U,$H384),""))</f>
        <v/>
      </c>
      <c r="E384" s="331" t="str">
        <f>IF($H384="","",IF($F384="","No Highlighted Fields","Highlighted Fields Present"))</f>
        <v/>
      </c>
      <c r="F384" s="331" t="str">
        <f>IF($H384="","",IF(OR(NOT(ISFORMULA(INDEX('Game Records'!$N:$N,$H384))),NOT(ISFORMULA(INDEX('Game Records'!$O:$O,$H384))),NOT(ISFORMULA(INDEX('Game Records'!$P:$P,$H384))),NOT(ISFORMULA(INDEX('Game Records'!$Q:$Q,$H384))),NOT(ISFORMULA(INDEX('Game Records'!$R:$R,$H384))),NOT(ISFORMULA(INDEX('Game Records'!$S:$S,$H384))),NOT(ISFORMULA(INDEX('Game Records'!$T:$T,$H384))),NOT(ISFORMULA(INDEX('Game Records'!$U:$U,$H384))),NOT(ISFORMULA(INDEX('Game Records'!$V:$V,$H384))),NOT(ISFORMULA(INDEX('Game Records'!$W:$W,$H384))),NOT(ISFORMULA(INDEX('Game Records'!$X:$X,$H384))),NOT(ISFORMULA(INDEX('Game Records'!$Y:$Y,$H384))),NOT(ISFORMULA(INDEX('Game Records'!$Z:$Z,$H384)))),"Formula columns missing; ","")&amp;IF(INDEX('Game Records'!$B:$B,$H384)="","Start Date; ","")&amp;IF(INDEX('Game Records'!$C:$C,$H384)="","End Date; ","")&amp;IF(AND(INDEX('Game Records'!$U:$U,$H384)&lt;&gt;"Subscription",INDEX('Game Records'!$U:$U,$H384)&lt;&gt;"Free Game",INDEX('Game Records'!$U:$U,$H384)&lt;&gt;"Disqualified — Free Game",OR(INDEX('Game Records'!$D:$D,$H384)="",LOWER(INDEX('Game Records'!$D:$D,$H384)&amp;"")="n/a")),"Entry Mode; ","")&amp;IF(AND(INDEX('Game Records'!$U:$U,$H384)&lt;&gt;"Subscription",INDEX('Game Records'!$U:$U,$H384)&lt;&gt;"Free Game",INDEX('Game Records'!$U:$U,$H384)&lt;&gt;"Disqualified — Free Game",OR(INDEX('Game Records'!$E:$E,$H384)="",LOWER(INDEX('Game Records'!$E:$E,$H384)&amp;"")="n/a")),"Game Type; ","")&amp;IF(INDEX('Game Records'!$F:$F,$H384)="","Payment Type; ","")&amp;IF(AND(INDEX('Game Records'!$U:$U,$H384)&lt;&gt;"Subscription",INDEX('Game Records'!$U:$U,$H384)&lt;&gt;"Free Game",INDEX('Game Records'!$U:$U,$H384)&lt;&gt;"Disqualified — Free Game",INDEX('Game Records'!$G:$G,$H384)=""),"Gross Pot; ","")&amp;IF(AND(INDEX('Game Records'!$U:$U,$H384)&lt;&gt;"Free Game",INDEX('Game Records'!$U:$U,$H384)&lt;&gt;"Disqualified — Free Game",INDEX('Game Records'!$H:$H,$H384)=""),"Entry Fee; ","")&amp;IF(AND(INDEX('Game Records'!$U:$U,$H384)&lt;&gt;"Subscription",INDEX('Game Records'!$U:$U,$H384)&lt;&gt;"Free Game",INDEX('Game Records'!$U:$U,$H384)&lt;&gt;"Disqualified — Free Game",INDEX('Game Records'!$I:$I,$H384)=""),"Eligible Players; ","")&amp;IF(AND(INDEX('Game Records'!$U:$U,$H384)&lt;&gt;"Subscription",INDEX('Game Records'!$U:$U,$H384)&lt;&gt;"Free Game",INDEX('Game Records'!$U:$U,$H384)&lt;&gt;"Disqualified — Free Game",INDEX('Game Records'!$J:$J,$H384)=""),"Total Players; ","")&amp;IF(AND(LOWER(INDEX('Game Records'!$D:$D,$H384)&amp;"")="finalized",LOWER(INDEX('Game Records'!$L:$L,$H384)&amp;"")&lt;&gt;"yes",INDEX('Game Records'!$U:$U,$H384)&lt;&gt;"Subscription",INDEX('Game Records'!$U:$U,$H384)&lt;&gt;"Free Game",INDEX('Game Records'!$U:$U,$H384)&lt;&gt;"Disqualified — Free Game",INDEX('Game Records'!$K:$K,$H384)=""),"Final Earned; ","")&amp;IF(AND(LOWER(INDEX('Game Records'!$D:$D,$H384)&amp;"")="finalized",INDEX('Game Records'!$U:$U,$H384)&lt;&gt;"Subscription",INDEX('Game Records'!$U:$U,$H384)&lt;&gt;"Free Game",INDEX('Game Records'!$U:$U,$H384)&lt;&gt;"Disqualified — Free Game",OR(INDEX('Game Records'!$L:$L,$H384)="",LOWER(INDEX('Game Records'!$L:$L,$H384)&amp;"")="n/a")),"Disqualified Status; ","")&amp;IF(AND(OR(LOWER(TRIM(INDEX('Game Records'!$F:$F,$H384)&amp;""))="free game",INDEX('Game Records'!$U:$U,$H384)="Free Game",INDEX('Game Records'!$U:$U,$H384)="Disqualified — Free Game"),N(INDEX('Game Records'!$H:$H,$H384))&lt;&gt;0),"Free Game has a non-zero Entry Fee. Free Game records require a $0 Entry Fee; ",""))</f>
        <v/>
      </c>
      <c r="G384" s="331" t="str">
        <f>IF($H384="","",IFERROR(INDEX('Game Records'!$M:$M,$H384),""))</f>
        <v/>
      </c>
      <c r="H384" s="104" t="str">
        <f>IF($H383="","",IFERROR(MATCH(1,INDEX((ROW('Game Records'!$U$5:$U$504)&gt;$H383)*(('Game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5" ht="24" customHeight="1">
      <c r="A385" s="332" t="str">
        <f>IF($H385="","",ROWS($A$5:A385))</f>
        <v/>
      </c>
      <c r="B385" s="332" t="str">
        <f>IF($H385="","","G-"&amp;TEXT($A385,"0000"))</f>
        <v/>
      </c>
      <c r="C385" s="331" t="str">
        <f>IF($H385="","",IFERROR(INDEX('Game Records'!$A:$A,$H385),""))</f>
        <v/>
      </c>
      <c r="D385" s="331" t="str">
        <f>IF($H385="","",IFERROR(INDEX('Game Records'!$U:$U,$H385),""))</f>
        <v/>
      </c>
      <c r="E385" s="331" t="str">
        <f>IF($H385="","",IF($F385="","No Highlighted Fields","Highlighted Fields Present"))</f>
        <v/>
      </c>
      <c r="F385" s="331" t="str">
        <f>IF($H385="","",IF(OR(NOT(ISFORMULA(INDEX('Game Records'!$N:$N,$H385))),NOT(ISFORMULA(INDEX('Game Records'!$O:$O,$H385))),NOT(ISFORMULA(INDEX('Game Records'!$P:$P,$H385))),NOT(ISFORMULA(INDEX('Game Records'!$Q:$Q,$H385))),NOT(ISFORMULA(INDEX('Game Records'!$R:$R,$H385))),NOT(ISFORMULA(INDEX('Game Records'!$S:$S,$H385))),NOT(ISFORMULA(INDEX('Game Records'!$T:$T,$H385))),NOT(ISFORMULA(INDEX('Game Records'!$U:$U,$H385))),NOT(ISFORMULA(INDEX('Game Records'!$V:$V,$H385))),NOT(ISFORMULA(INDEX('Game Records'!$W:$W,$H385))),NOT(ISFORMULA(INDEX('Game Records'!$X:$X,$H385))),NOT(ISFORMULA(INDEX('Game Records'!$Y:$Y,$H385))),NOT(ISFORMULA(INDEX('Game Records'!$Z:$Z,$H385)))),"Formula columns missing; ","")&amp;IF(INDEX('Game Records'!$B:$B,$H385)="","Start Date; ","")&amp;IF(INDEX('Game Records'!$C:$C,$H385)="","End Date; ","")&amp;IF(AND(INDEX('Game Records'!$U:$U,$H385)&lt;&gt;"Subscription",INDEX('Game Records'!$U:$U,$H385)&lt;&gt;"Free Game",INDEX('Game Records'!$U:$U,$H385)&lt;&gt;"Disqualified — Free Game",OR(INDEX('Game Records'!$D:$D,$H385)="",LOWER(INDEX('Game Records'!$D:$D,$H385)&amp;"")="n/a")),"Entry Mode; ","")&amp;IF(AND(INDEX('Game Records'!$U:$U,$H385)&lt;&gt;"Subscription",INDEX('Game Records'!$U:$U,$H385)&lt;&gt;"Free Game",INDEX('Game Records'!$U:$U,$H385)&lt;&gt;"Disqualified — Free Game",OR(INDEX('Game Records'!$E:$E,$H385)="",LOWER(INDEX('Game Records'!$E:$E,$H385)&amp;"")="n/a")),"Game Type; ","")&amp;IF(INDEX('Game Records'!$F:$F,$H385)="","Payment Type; ","")&amp;IF(AND(INDEX('Game Records'!$U:$U,$H385)&lt;&gt;"Subscription",INDEX('Game Records'!$U:$U,$H385)&lt;&gt;"Free Game",INDEX('Game Records'!$U:$U,$H385)&lt;&gt;"Disqualified — Free Game",INDEX('Game Records'!$G:$G,$H385)=""),"Gross Pot; ","")&amp;IF(AND(INDEX('Game Records'!$U:$U,$H385)&lt;&gt;"Free Game",INDEX('Game Records'!$U:$U,$H385)&lt;&gt;"Disqualified — Free Game",INDEX('Game Records'!$H:$H,$H385)=""),"Entry Fee; ","")&amp;IF(AND(INDEX('Game Records'!$U:$U,$H385)&lt;&gt;"Subscription",INDEX('Game Records'!$U:$U,$H385)&lt;&gt;"Free Game",INDEX('Game Records'!$U:$U,$H385)&lt;&gt;"Disqualified — Free Game",INDEX('Game Records'!$I:$I,$H385)=""),"Eligible Players; ","")&amp;IF(AND(INDEX('Game Records'!$U:$U,$H385)&lt;&gt;"Subscription",INDEX('Game Records'!$U:$U,$H385)&lt;&gt;"Free Game",INDEX('Game Records'!$U:$U,$H385)&lt;&gt;"Disqualified — Free Game",INDEX('Game Records'!$J:$J,$H385)=""),"Total Players; ","")&amp;IF(AND(LOWER(INDEX('Game Records'!$D:$D,$H385)&amp;"")="finalized",LOWER(INDEX('Game Records'!$L:$L,$H385)&amp;"")&lt;&gt;"yes",INDEX('Game Records'!$U:$U,$H385)&lt;&gt;"Subscription",INDEX('Game Records'!$U:$U,$H385)&lt;&gt;"Free Game",INDEX('Game Records'!$U:$U,$H385)&lt;&gt;"Disqualified — Free Game",INDEX('Game Records'!$K:$K,$H385)=""),"Final Earned; ","")&amp;IF(AND(LOWER(INDEX('Game Records'!$D:$D,$H385)&amp;"")="finalized",INDEX('Game Records'!$U:$U,$H385)&lt;&gt;"Subscription",INDEX('Game Records'!$U:$U,$H385)&lt;&gt;"Free Game",INDEX('Game Records'!$U:$U,$H385)&lt;&gt;"Disqualified — Free Game",OR(INDEX('Game Records'!$L:$L,$H385)="",LOWER(INDEX('Game Records'!$L:$L,$H385)&amp;"")="n/a")),"Disqualified Status; ","")&amp;IF(AND(OR(LOWER(TRIM(INDEX('Game Records'!$F:$F,$H385)&amp;""))="free game",INDEX('Game Records'!$U:$U,$H385)="Free Game",INDEX('Game Records'!$U:$U,$H385)="Disqualified — Free Game"),N(INDEX('Game Records'!$H:$H,$H385))&lt;&gt;0),"Free Game has a non-zero Entry Fee. Free Game records require a $0 Entry Fee; ",""))</f>
        <v/>
      </c>
      <c r="G385" s="331" t="str">
        <f>IF($H385="","",IFERROR(INDEX('Game Records'!$M:$M,$H385),""))</f>
        <v/>
      </c>
      <c r="H385" s="104" t="str">
        <f>IF($H384="","",IFERROR(MATCH(1,INDEX((ROW('Game Records'!$U$5:$U$504)&gt;$H384)*(('Game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6" ht="24" customHeight="1">
      <c r="A386" s="332" t="str">
        <f>IF($H386="","",ROWS($A$5:A386))</f>
        <v/>
      </c>
      <c r="B386" s="332" t="str">
        <f>IF($H386="","","G-"&amp;TEXT($A386,"0000"))</f>
        <v/>
      </c>
      <c r="C386" s="331" t="str">
        <f>IF($H386="","",IFERROR(INDEX('Game Records'!$A:$A,$H386),""))</f>
        <v/>
      </c>
      <c r="D386" s="331" t="str">
        <f>IF($H386="","",IFERROR(INDEX('Game Records'!$U:$U,$H386),""))</f>
        <v/>
      </c>
      <c r="E386" s="331" t="str">
        <f>IF($H386="","",IF($F386="","No Highlighted Fields","Highlighted Fields Present"))</f>
        <v/>
      </c>
      <c r="F386" s="331" t="str">
        <f>IF($H386="","",IF(OR(NOT(ISFORMULA(INDEX('Game Records'!$N:$N,$H386))),NOT(ISFORMULA(INDEX('Game Records'!$O:$O,$H386))),NOT(ISFORMULA(INDEX('Game Records'!$P:$P,$H386))),NOT(ISFORMULA(INDEX('Game Records'!$Q:$Q,$H386))),NOT(ISFORMULA(INDEX('Game Records'!$R:$R,$H386))),NOT(ISFORMULA(INDEX('Game Records'!$S:$S,$H386))),NOT(ISFORMULA(INDEX('Game Records'!$T:$T,$H386))),NOT(ISFORMULA(INDEX('Game Records'!$U:$U,$H386))),NOT(ISFORMULA(INDEX('Game Records'!$V:$V,$H386))),NOT(ISFORMULA(INDEX('Game Records'!$W:$W,$H386))),NOT(ISFORMULA(INDEX('Game Records'!$X:$X,$H386))),NOT(ISFORMULA(INDEX('Game Records'!$Y:$Y,$H386))),NOT(ISFORMULA(INDEX('Game Records'!$Z:$Z,$H386)))),"Formula columns missing; ","")&amp;IF(INDEX('Game Records'!$B:$B,$H386)="","Start Date; ","")&amp;IF(INDEX('Game Records'!$C:$C,$H386)="","End Date; ","")&amp;IF(AND(INDEX('Game Records'!$U:$U,$H386)&lt;&gt;"Subscription",INDEX('Game Records'!$U:$U,$H386)&lt;&gt;"Free Game",INDEX('Game Records'!$U:$U,$H386)&lt;&gt;"Disqualified — Free Game",OR(INDEX('Game Records'!$D:$D,$H386)="",LOWER(INDEX('Game Records'!$D:$D,$H386)&amp;"")="n/a")),"Entry Mode; ","")&amp;IF(AND(INDEX('Game Records'!$U:$U,$H386)&lt;&gt;"Subscription",INDEX('Game Records'!$U:$U,$H386)&lt;&gt;"Free Game",INDEX('Game Records'!$U:$U,$H386)&lt;&gt;"Disqualified — Free Game",OR(INDEX('Game Records'!$E:$E,$H386)="",LOWER(INDEX('Game Records'!$E:$E,$H386)&amp;"")="n/a")),"Game Type; ","")&amp;IF(INDEX('Game Records'!$F:$F,$H386)="","Payment Type; ","")&amp;IF(AND(INDEX('Game Records'!$U:$U,$H386)&lt;&gt;"Subscription",INDEX('Game Records'!$U:$U,$H386)&lt;&gt;"Free Game",INDEX('Game Records'!$U:$U,$H386)&lt;&gt;"Disqualified — Free Game",INDEX('Game Records'!$G:$G,$H386)=""),"Gross Pot; ","")&amp;IF(AND(INDEX('Game Records'!$U:$U,$H386)&lt;&gt;"Free Game",INDEX('Game Records'!$U:$U,$H386)&lt;&gt;"Disqualified — Free Game",INDEX('Game Records'!$H:$H,$H386)=""),"Entry Fee; ","")&amp;IF(AND(INDEX('Game Records'!$U:$U,$H386)&lt;&gt;"Subscription",INDEX('Game Records'!$U:$U,$H386)&lt;&gt;"Free Game",INDEX('Game Records'!$U:$U,$H386)&lt;&gt;"Disqualified — Free Game",INDEX('Game Records'!$I:$I,$H386)=""),"Eligible Players; ","")&amp;IF(AND(INDEX('Game Records'!$U:$U,$H386)&lt;&gt;"Subscription",INDEX('Game Records'!$U:$U,$H386)&lt;&gt;"Free Game",INDEX('Game Records'!$U:$U,$H386)&lt;&gt;"Disqualified — Free Game",INDEX('Game Records'!$J:$J,$H386)=""),"Total Players; ","")&amp;IF(AND(LOWER(INDEX('Game Records'!$D:$D,$H386)&amp;"")="finalized",LOWER(INDEX('Game Records'!$L:$L,$H386)&amp;"")&lt;&gt;"yes",INDEX('Game Records'!$U:$U,$H386)&lt;&gt;"Subscription",INDEX('Game Records'!$U:$U,$H386)&lt;&gt;"Free Game",INDEX('Game Records'!$U:$U,$H386)&lt;&gt;"Disqualified — Free Game",INDEX('Game Records'!$K:$K,$H386)=""),"Final Earned; ","")&amp;IF(AND(LOWER(INDEX('Game Records'!$D:$D,$H386)&amp;"")="finalized",INDEX('Game Records'!$U:$U,$H386)&lt;&gt;"Subscription",INDEX('Game Records'!$U:$U,$H386)&lt;&gt;"Free Game",INDEX('Game Records'!$U:$U,$H386)&lt;&gt;"Disqualified — Free Game",OR(INDEX('Game Records'!$L:$L,$H386)="",LOWER(INDEX('Game Records'!$L:$L,$H386)&amp;"")="n/a")),"Disqualified Status; ","")&amp;IF(AND(OR(LOWER(TRIM(INDEX('Game Records'!$F:$F,$H386)&amp;""))="free game",INDEX('Game Records'!$U:$U,$H386)="Free Game",INDEX('Game Records'!$U:$U,$H386)="Disqualified — Free Game"),N(INDEX('Game Records'!$H:$H,$H386))&lt;&gt;0),"Free Game has a non-zero Entry Fee. Free Game records require a $0 Entry Fee; ",""))</f>
        <v/>
      </c>
      <c r="G386" s="331" t="str">
        <f>IF($H386="","",IFERROR(INDEX('Game Records'!$M:$M,$H386),""))</f>
        <v/>
      </c>
      <c r="H386" s="104" t="str">
        <f>IF($H385="","",IFERROR(MATCH(1,INDEX((ROW('Game Records'!$U$5:$U$504)&gt;$H385)*(('Game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7" ht="24" customHeight="1">
      <c r="A387" s="332" t="str">
        <f>IF($H387="","",ROWS($A$5:A387))</f>
        <v/>
      </c>
      <c r="B387" s="332" t="str">
        <f>IF($H387="","","G-"&amp;TEXT($A387,"0000"))</f>
        <v/>
      </c>
      <c r="C387" s="331" t="str">
        <f>IF($H387="","",IFERROR(INDEX('Game Records'!$A:$A,$H387),""))</f>
        <v/>
      </c>
      <c r="D387" s="331" t="str">
        <f>IF($H387="","",IFERROR(INDEX('Game Records'!$U:$U,$H387),""))</f>
        <v/>
      </c>
      <c r="E387" s="331" t="str">
        <f>IF($H387="","",IF($F387="","No Highlighted Fields","Highlighted Fields Present"))</f>
        <v/>
      </c>
      <c r="F387" s="331" t="str">
        <f>IF($H387="","",IF(OR(NOT(ISFORMULA(INDEX('Game Records'!$N:$N,$H387))),NOT(ISFORMULA(INDEX('Game Records'!$O:$O,$H387))),NOT(ISFORMULA(INDEX('Game Records'!$P:$P,$H387))),NOT(ISFORMULA(INDEX('Game Records'!$Q:$Q,$H387))),NOT(ISFORMULA(INDEX('Game Records'!$R:$R,$H387))),NOT(ISFORMULA(INDEX('Game Records'!$S:$S,$H387))),NOT(ISFORMULA(INDEX('Game Records'!$T:$T,$H387))),NOT(ISFORMULA(INDEX('Game Records'!$U:$U,$H387))),NOT(ISFORMULA(INDEX('Game Records'!$V:$V,$H387))),NOT(ISFORMULA(INDEX('Game Records'!$W:$W,$H387))),NOT(ISFORMULA(INDEX('Game Records'!$X:$X,$H387))),NOT(ISFORMULA(INDEX('Game Records'!$Y:$Y,$H387))),NOT(ISFORMULA(INDEX('Game Records'!$Z:$Z,$H387)))),"Formula columns missing; ","")&amp;IF(INDEX('Game Records'!$B:$B,$H387)="","Start Date; ","")&amp;IF(INDEX('Game Records'!$C:$C,$H387)="","End Date; ","")&amp;IF(AND(INDEX('Game Records'!$U:$U,$H387)&lt;&gt;"Subscription",INDEX('Game Records'!$U:$U,$H387)&lt;&gt;"Free Game",INDEX('Game Records'!$U:$U,$H387)&lt;&gt;"Disqualified — Free Game",OR(INDEX('Game Records'!$D:$D,$H387)="",LOWER(INDEX('Game Records'!$D:$D,$H387)&amp;"")="n/a")),"Entry Mode; ","")&amp;IF(AND(INDEX('Game Records'!$U:$U,$H387)&lt;&gt;"Subscription",INDEX('Game Records'!$U:$U,$H387)&lt;&gt;"Free Game",INDEX('Game Records'!$U:$U,$H387)&lt;&gt;"Disqualified — Free Game",OR(INDEX('Game Records'!$E:$E,$H387)="",LOWER(INDEX('Game Records'!$E:$E,$H387)&amp;"")="n/a")),"Game Type; ","")&amp;IF(INDEX('Game Records'!$F:$F,$H387)="","Payment Type; ","")&amp;IF(AND(INDEX('Game Records'!$U:$U,$H387)&lt;&gt;"Subscription",INDEX('Game Records'!$U:$U,$H387)&lt;&gt;"Free Game",INDEX('Game Records'!$U:$U,$H387)&lt;&gt;"Disqualified — Free Game",INDEX('Game Records'!$G:$G,$H387)=""),"Gross Pot; ","")&amp;IF(AND(INDEX('Game Records'!$U:$U,$H387)&lt;&gt;"Free Game",INDEX('Game Records'!$U:$U,$H387)&lt;&gt;"Disqualified — Free Game",INDEX('Game Records'!$H:$H,$H387)=""),"Entry Fee; ","")&amp;IF(AND(INDEX('Game Records'!$U:$U,$H387)&lt;&gt;"Subscription",INDEX('Game Records'!$U:$U,$H387)&lt;&gt;"Free Game",INDEX('Game Records'!$U:$U,$H387)&lt;&gt;"Disqualified — Free Game",INDEX('Game Records'!$I:$I,$H387)=""),"Eligible Players; ","")&amp;IF(AND(INDEX('Game Records'!$U:$U,$H387)&lt;&gt;"Subscription",INDEX('Game Records'!$U:$U,$H387)&lt;&gt;"Free Game",INDEX('Game Records'!$U:$U,$H387)&lt;&gt;"Disqualified — Free Game",INDEX('Game Records'!$J:$J,$H387)=""),"Total Players; ","")&amp;IF(AND(LOWER(INDEX('Game Records'!$D:$D,$H387)&amp;"")="finalized",LOWER(INDEX('Game Records'!$L:$L,$H387)&amp;"")&lt;&gt;"yes",INDEX('Game Records'!$U:$U,$H387)&lt;&gt;"Subscription",INDEX('Game Records'!$U:$U,$H387)&lt;&gt;"Free Game",INDEX('Game Records'!$U:$U,$H387)&lt;&gt;"Disqualified — Free Game",INDEX('Game Records'!$K:$K,$H387)=""),"Final Earned; ","")&amp;IF(AND(LOWER(INDEX('Game Records'!$D:$D,$H387)&amp;"")="finalized",INDEX('Game Records'!$U:$U,$H387)&lt;&gt;"Subscription",INDEX('Game Records'!$U:$U,$H387)&lt;&gt;"Free Game",INDEX('Game Records'!$U:$U,$H387)&lt;&gt;"Disqualified — Free Game",OR(INDEX('Game Records'!$L:$L,$H387)="",LOWER(INDEX('Game Records'!$L:$L,$H387)&amp;"")="n/a")),"Disqualified Status; ","")&amp;IF(AND(OR(LOWER(TRIM(INDEX('Game Records'!$F:$F,$H387)&amp;""))="free game",INDEX('Game Records'!$U:$U,$H387)="Free Game",INDEX('Game Records'!$U:$U,$H387)="Disqualified — Free Game"),N(INDEX('Game Records'!$H:$H,$H387))&lt;&gt;0),"Free Game has a non-zero Entry Fee. Free Game records require a $0 Entry Fee; ",""))</f>
        <v/>
      </c>
      <c r="G387" s="331" t="str">
        <f>IF($H387="","",IFERROR(INDEX('Game Records'!$M:$M,$H387),""))</f>
        <v/>
      </c>
      <c r="H387" s="104" t="str">
        <f>IF($H386="","",IFERROR(MATCH(1,INDEX((ROW('Game Records'!$U$5:$U$504)&gt;$H386)*(('Game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8" ht="24" customHeight="1">
      <c r="A388" s="332" t="str">
        <f>IF($H388="","",ROWS($A$5:A388))</f>
        <v/>
      </c>
      <c r="B388" s="332" t="str">
        <f>IF($H388="","","G-"&amp;TEXT($A388,"0000"))</f>
        <v/>
      </c>
      <c r="C388" s="331" t="str">
        <f>IF($H388="","",IFERROR(INDEX('Game Records'!$A:$A,$H388),""))</f>
        <v/>
      </c>
      <c r="D388" s="331" t="str">
        <f>IF($H388="","",IFERROR(INDEX('Game Records'!$U:$U,$H388),""))</f>
        <v/>
      </c>
      <c r="E388" s="331" t="str">
        <f>IF($H388="","",IF($F388="","No Highlighted Fields","Highlighted Fields Present"))</f>
        <v/>
      </c>
      <c r="F388" s="331" t="str">
        <f>IF($H388="","",IF(OR(NOT(ISFORMULA(INDEX('Game Records'!$N:$N,$H388))),NOT(ISFORMULA(INDEX('Game Records'!$O:$O,$H388))),NOT(ISFORMULA(INDEX('Game Records'!$P:$P,$H388))),NOT(ISFORMULA(INDEX('Game Records'!$Q:$Q,$H388))),NOT(ISFORMULA(INDEX('Game Records'!$R:$R,$H388))),NOT(ISFORMULA(INDEX('Game Records'!$S:$S,$H388))),NOT(ISFORMULA(INDEX('Game Records'!$T:$T,$H388))),NOT(ISFORMULA(INDEX('Game Records'!$U:$U,$H388))),NOT(ISFORMULA(INDEX('Game Records'!$V:$V,$H388))),NOT(ISFORMULA(INDEX('Game Records'!$W:$W,$H388))),NOT(ISFORMULA(INDEX('Game Records'!$X:$X,$H388))),NOT(ISFORMULA(INDEX('Game Records'!$Y:$Y,$H388))),NOT(ISFORMULA(INDEX('Game Records'!$Z:$Z,$H388)))),"Formula columns missing; ","")&amp;IF(INDEX('Game Records'!$B:$B,$H388)="","Start Date; ","")&amp;IF(INDEX('Game Records'!$C:$C,$H388)="","End Date; ","")&amp;IF(AND(INDEX('Game Records'!$U:$U,$H388)&lt;&gt;"Subscription",INDEX('Game Records'!$U:$U,$H388)&lt;&gt;"Free Game",INDEX('Game Records'!$U:$U,$H388)&lt;&gt;"Disqualified — Free Game",OR(INDEX('Game Records'!$D:$D,$H388)="",LOWER(INDEX('Game Records'!$D:$D,$H388)&amp;"")="n/a")),"Entry Mode; ","")&amp;IF(AND(INDEX('Game Records'!$U:$U,$H388)&lt;&gt;"Subscription",INDEX('Game Records'!$U:$U,$H388)&lt;&gt;"Free Game",INDEX('Game Records'!$U:$U,$H388)&lt;&gt;"Disqualified — Free Game",OR(INDEX('Game Records'!$E:$E,$H388)="",LOWER(INDEX('Game Records'!$E:$E,$H388)&amp;"")="n/a")),"Game Type; ","")&amp;IF(INDEX('Game Records'!$F:$F,$H388)="","Payment Type; ","")&amp;IF(AND(INDEX('Game Records'!$U:$U,$H388)&lt;&gt;"Subscription",INDEX('Game Records'!$U:$U,$H388)&lt;&gt;"Free Game",INDEX('Game Records'!$U:$U,$H388)&lt;&gt;"Disqualified — Free Game",INDEX('Game Records'!$G:$G,$H388)=""),"Gross Pot; ","")&amp;IF(AND(INDEX('Game Records'!$U:$U,$H388)&lt;&gt;"Free Game",INDEX('Game Records'!$U:$U,$H388)&lt;&gt;"Disqualified — Free Game",INDEX('Game Records'!$H:$H,$H388)=""),"Entry Fee; ","")&amp;IF(AND(INDEX('Game Records'!$U:$U,$H388)&lt;&gt;"Subscription",INDEX('Game Records'!$U:$U,$H388)&lt;&gt;"Free Game",INDEX('Game Records'!$U:$U,$H388)&lt;&gt;"Disqualified — Free Game",INDEX('Game Records'!$I:$I,$H388)=""),"Eligible Players; ","")&amp;IF(AND(INDEX('Game Records'!$U:$U,$H388)&lt;&gt;"Subscription",INDEX('Game Records'!$U:$U,$H388)&lt;&gt;"Free Game",INDEX('Game Records'!$U:$U,$H388)&lt;&gt;"Disqualified — Free Game",INDEX('Game Records'!$J:$J,$H388)=""),"Total Players; ","")&amp;IF(AND(LOWER(INDEX('Game Records'!$D:$D,$H388)&amp;"")="finalized",LOWER(INDEX('Game Records'!$L:$L,$H388)&amp;"")&lt;&gt;"yes",INDEX('Game Records'!$U:$U,$H388)&lt;&gt;"Subscription",INDEX('Game Records'!$U:$U,$H388)&lt;&gt;"Free Game",INDEX('Game Records'!$U:$U,$H388)&lt;&gt;"Disqualified — Free Game",INDEX('Game Records'!$K:$K,$H388)=""),"Final Earned; ","")&amp;IF(AND(LOWER(INDEX('Game Records'!$D:$D,$H388)&amp;"")="finalized",INDEX('Game Records'!$U:$U,$H388)&lt;&gt;"Subscription",INDEX('Game Records'!$U:$U,$H388)&lt;&gt;"Free Game",INDEX('Game Records'!$U:$U,$H388)&lt;&gt;"Disqualified — Free Game",OR(INDEX('Game Records'!$L:$L,$H388)="",LOWER(INDEX('Game Records'!$L:$L,$H388)&amp;"")="n/a")),"Disqualified Status; ","")&amp;IF(AND(OR(LOWER(TRIM(INDEX('Game Records'!$F:$F,$H388)&amp;""))="free game",INDEX('Game Records'!$U:$U,$H388)="Free Game",INDEX('Game Records'!$U:$U,$H388)="Disqualified — Free Game"),N(INDEX('Game Records'!$H:$H,$H388))&lt;&gt;0),"Free Game has a non-zero Entry Fee. Free Game records require a $0 Entry Fee; ",""))</f>
        <v/>
      </c>
      <c r="G388" s="331" t="str">
        <f>IF($H388="","",IFERROR(INDEX('Game Records'!$M:$M,$H388),""))</f>
        <v/>
      </c>
      <c r="H388" s="104" t="str">
        <f>IF($H387="","",IFERROR(MATCH(1,INDEX((ROW('Game Records'!$U$5:$U$504)&gt;$H387)*(('Game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9" ht="24" customHeight="1">
      <c r="A389" s="332" t="str">
        <f>IF($H389="","",ROWS($A$5:A389))</f>
        <v/>
      </c>
      <c r="B389" s="332" t="str">
        <f>IF($H389="","","G-"&amp;TEXT($A389,"0000"))</f>
        <v/>
      </c>
      <c r="C389" s="331" t="str">
        <f>IF($H389="","",IFERROR(INDEX('Game Records'!$A:$A,$H389),""))</f>
        <v/>
      </c>
      <c r="D389" s="331" t="str">
        <f>IF($H389="","",IFERROR(INDEX('Game Records'!$U:$U,$H389),""))</f>
        <v/>
      </c>
      <c r="E389" s="331" t="str">
        <f>IF($H389="","",IF($F389="","No Highlighted Fields","Highlighted Fields Present"))</f>
        <v/>
      </c>
      <c r="F389" s="331" t="str">
        <f>IF($H389="","",IF(OR(NOT(ISFORMULA(INDEX('Game Records'!$N:$N,$H389))),NOT(ISFORMULA(INDEX('Game Records'!$O:$O,$H389))),NOT(ISFORMULA(INDEX('Game Records'!$P:$P,$H389))),NOT(ISFORMULA(INDEX('Game Records'!$Q:$Q,$H389))),NOT(ISFORMULA(INDEX('Game Records'!$R:$R,$H389))),NOT(ISFORMULA(INDEX('Game Records'!$S:$S,$H389))),NOT(ISFORMULA(INDEX('Game Records'!$T:$T,$H389))),NOT(ISFORMULA(INDEX('Game Records'!$U:$U,$H389))),NOT(ISFORMULA(INDEX('Game Records'!$V:$V,$H389))),NOT(ISFORMULA(INDEX('Game Records'!$W:$W,$H389))),NOT(ISFORMULA(INDEX('Game Records'!$X:$X,$H389))),NOT(ISFORMULA(INDEX('Game Records'!$Y:$Y,$H389))),NOT(ISFORMULA(INDEX('Game Records'!$Z:$Z,$H389)))),"Formula columns missing; ","")&amp;IF(INDEX('Game Records'!$B:$B,$H389)="","Start Date; ","")&amp;IF(INDEX('Game Records'!$C:$C,$H389)="","End Date; ","")&amp;IF(AND(INDEX('Game Records'!$U:$U,$H389)&lt;&gt;"Subscription",INDEX('Game Records'!$U:$U,$H389)&lt;&gt;"Free Game",INDEX('Game Records'!$U:$U,$H389)&lt;&gt;"Disqualified — Free Game",OR(INDEX('Game Records'!$D:$D,$H389)="",LOWER(INDEX('Game Records'!$D:$D,$H389)&amp;"")="n/a")),"Entry Mode; ","")&amp;IF(AND(INDEX('Game Records'!$U:$U,$H389)&lt;&gt;"Subscription",INDEX('Game Records'!$U:$U,$H389)&lt;&gt;"Free Game",INDEX('Game Records'!$U:$U,$H389)&lt;&gt;"Disqualified — Free Game",OR(INDEX('Game Records'!$E:$E,$H389)="",LOWER(INDEX('Game Records'!$E:$E,$H389)&amp;"")="n/a")),"Game Type; ","")&amp;IF(INDEX('Game Records'!$F:$F,$H389)="","Payment Type; ","")&amp;IF(AND(INDEX('Game Records'!$U:$U,$H389)&lt;&gt;"Subscription",INDEX('Game Records'!$U:$U,$H389)&lt;&gt;"Free Game",INDEX('Game Records'!$U:$U,$H389)&lt;&gt;"Disqualified — Free Game",INDEX('Game Records'!$G:$G,$H389)=""),"Gross Pot; ","")&amp;IF(AND(INDEX('Game Records'!$U:$U,$H389)&lt;&gt;"Free Game",INDEX('Game Records'!$U:$U,$H389)&lt;&gt;"Disqualified — Free Game",INDEX('Game Records'!$H:$H,$H389)=""),"Entry Fee; ","")&amp;IF(AND(INDEX('Game Records'!$U:$U,$H389)&lt;&gt;"Subscription",INDEX('Game Records'!$U:$U,$H389)&lt;&gt;"Free Game",INDEX('Game Records'!$U:$U,$H389)&lt;&gt;"Disqualified — Free Game",INDEX('Game Records'!$I:$I,$H389)=""),"Eligible Players; ","")&amp;IF(AND(INDEX('Game Records'!$U:$U,$H389)&lt;&gt;"Subscription",INDEX('Game Records'!$U:$U,$H389)&lt;&gt;"Free Game",INDEX('Game Records'!$U:$U,$H389)&lt;&gt;"Disqualified — Free Game",INDEX('Game Records'!$J:$J,$H389)=""),"Total Players; ","")&amp;IF(AND(LOWER(INDEX('Game Records'!$D:$D,$H389)&amp;"")="finalized",LOWER(INDEX('Game Records'!$L:$L,$H389)&amp;"")&lt;&gt;"yes",INDEX('Game Records'!$U:$U,$H389)&lt;&gt;"Subscription",INDEX('Game Records'!$U:$U,$H389)&lt;&gt;"Free Game",INDEX('Game Records'!$U:$U,$H389)&lt;&gt;"Disqualified — Free Game",INDEX('Game Records'!$K:$K,$H389)=""),"Final Earned; ","")&amp;IF(AND(LOWER(INDEX('Game Records'!$D:$D,$H389)&amp;"")="finalized",INDEX('Game Records'!$U:$U,$H389)&lt;&gt;"Subscription",INDEX('Game Records'!$U:$U,$H389)&lt;&gt;"Free Game",INDEX('Game Records'!$U:$U,$H389)&lt;&gt;"Disqualified — Free Game",OR(INDEX('Game Records'!$L:$L,$H389)="",LOWER(INDEX('Game Records'!$L:$L,$H389)&amp;"")="n/a")),"Disqualified Status; ","")&amp;IF(AND(OR(LOWER(TRIM(INDEX('Game Records'!$F:$F,$H389)&amp;""))="free game",INDEX('Game Records'!$U:$U,$H389)="Free Game",INDEX('Game Records'!$U:$U,$H389)="Disqualified — Free Game"),N(INDEX('Game Records'!$H:$H,$H389))&lt;&gt;0),"Free Game has a non-zero Entry Fee. Free Game records require a $0 Entry Fee; ",""))</f>
        <v/>
      </c>
      <c r="G389" s="331" t="str">
        <f>IF($H389="","",IFERROR(INDEX('Game Records'!$M:$M,$H389),""))</f>
        <v/>
      </c>
      <c r="H389" s="104" t="str">
        <f>IF($H388="","",IFERROR(MATCH(1,INDEX((ROW('Game Records'!$U$5:$U$504)&gt;$H388)*(('Game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0" ht="24" customHeight="1">
      <c r="A390" s="332" t="str">
        <f>IF($H390="","",ROWS($A$5:A390))</f>
        <v/>
      </c>
      <c r="B390" s="332" t="str">
        <f>IF($H390="","","G-"&amp;TEXT($A390,"0000"))</f>
        <v/>
      </c>
      <c r="C390" s="331" t="str">
        <f>IF($H390="","",IFERROR(INDEX('Game Records'!$A:$A,$H390),""))</f>
        <v/>
      </c>
      <c r="D390" s="331" t="str">
        <f>IF($H390="","",IFERROR(INDEX('Game Records'!$U:$U,$H390),""))</f>
        <v/>
      </c>
      <c r="E390" s="331" t="str">
        <f>IF($H390="","",IF($F390="","No Highlighted Fields","Highlighted Fields Present"))</f>
        <v/>
      </c>
      <c r="F390" s="331" t="str">
        <f>IF($H390="","",IF(OR(NOT(ISFORMULA(INDEX('Game Records'!$N:$N,$H390))),NOT(ISFORMULA(INDEX('Game Records'!$O:$O,$H390))),NOT(ISFORMULA(INDEX('Game Records'!$P:$P,$H390))),NOT(ISFORMULA(INDEX('Game Records'!$Q:$Q,$H390))),NOT(ISFORMULA(INDEX('Game Records'!$R:$R,$H390))),NOT(ISFORMULA(INDEX('Game Records'!$S:$S,$H390))),NOT(ISFORMULA(INDEX('Game Records'!$T:$T,$H390))),NOT(ISFORMULA(INDEX('Game Records'!$U:$U,$H390))),NOT(ISFORMULA(INDEX('Game Records'!$V:$V,$H390))),NOT(ISFORMULA(INDEX('Game Records'!$W:$W,$H390))),NOT(ISFORMULA(INDEX('Game Records'!$X:$X,$H390))),NOT(ISFORMULA(INDEX('Game Records'!$Y:$Y,$H390))),NOT(ISFORMULA(INDEX('Game Records'!$Z:$Z,$H390)))),"Formula columns missing; ","")&amp;IF(INDEX('Game Records'!$B:$B,$H390)="","Start Date; ","")&amp;IF(INDEX('Game Records'!$C:$C,$H390)="","End Date; ","")&amp;IF(AND(INDEX('Game Records'!$U:$U,$H390)&lt;&gt;"Subscription",INDEX('Game Records'!$U:$U,$H390)&lt;&gt;"Free Game",INDEX('Game Records'!$U:$U,$H390)&lt;&gt;"Disqualified — Free Game",OR(INDEX('Game Records'!$D:$D,$H390)="",LOWER(INDEX('Game Records'!$D:$D,$H390)&amp;"")="n/a")),"Entry Mode; ","")&amp;IF(AND(INDEX('Game Records'!$U:$U,$H390)&lt;&gt;"Subscription",INDEX('Game Records'!$U:$U,$H390)&lt;&gt;"Free Game",INDEX('Game Records'!$U:$U,$H390)&lt;&gt;"Disqualified — Free Game",OR(INDEX('Game Records'!$E:$E,$H390)="",LOWER(INDEX('Game Records'!$E:$E,$H390)&amp;"")="n/a")),"Game Type; ","")&amp;IF(INDEX('Game Records'!$F:$F,$H390)="","Payment Type; ","")&amp;IF(AND(INDEX('Game Records'!$U:$U,$H390)&lt;&gt;"Subscription",INDEX('Game Records'!$U:$U,$H390)&lt;&gt;"Free Game",INDEX('Game Records'!$U:$U,$H390)&lt;&gt;"Disqualified — Free Game",INDEX('Game Records'!$G:$G,$H390)=""),"Gross Pot; ","")&amp;IF(AND(INDEX('Game Records'!$U:$U,$H390)&lt;&gt;"Free Game",INDEX('Game Records'!$U:$U,$H390)&lt;&gt;"Disqualified — Free Game",INDEX('Game Records'!$H:$H,$H390)=""),"Entry Fee; ","")&amp;IF(AND(INDEX('Game Records'!$U:$U,$H390)&lt;&gt;"Subscription",INDEX('Game Records'!$U:$U,$H390)&lt;&gt;"Free Game",INDEX('Game Records'!$U:$U,$H390)&lt;&gt;"Disqualified — Free Game",INDEX('Game Records'!$I:$I,$H390)=""),"Eligible Players; ","")&amp;IF(AND(INDEX('Game Records'!$U:$U,$H390)&lt;&gt;"Subscription",INDEX('Game Records'!$U:$U,$H390)&lt;&gt;"Free Game",INDEX('Game Records'!$U:$U,$H390)&lt;&gt;"Disqualified — Free Game",INDEX('Game Records'!$J:$J,$H390)=""),"Total Players; ","")&amp;IF(AND(LOWER(INDEX('Game Records'!$D:$D,$H390)&amp;"")="finalized",LOWER(INDEX('Game Records'!$L:$L,$H390)&amp;"")&lt;&gt;"yes",INDEX('Game Records'!$U:$U,$H390)&lt;&gt;"Subscription",INDEX('Game Records'!$U:$U,$H390)&lt;&gt;"Free Game",INDEX('Game Records'!$U:$U,$H390)&lt;&gt;"Disqualified — Free Game",INDEX('Game Records'!$K:$K,$H390)=""),"Final Earned; ","")&amp;IF(AND(LOWER(INDEX('Game Records'!$D:$D,$H390)&amp;"")="finalized",INDEX('Game Records'!$U:$U,$H390)&lt;&gt;"Subscription",INDEX('Game Records'!$U:$U,$H390)&lt;&gt;"Free Game",INDEX('Game Records'!$U:$U,$H390)&lt;&gt;"Disqualified — Free Game",OR(INDEX('Game Records'!$L:$L,$H390)="",LOWER(INDEX('Game Records'!$L:$L,$H390)&amp;"")="n/a")),"Disqualified Status; ","")&amp;IF(AND(OR(LOWER(TRIM(INDEX('Game Records'!$F:$F,$H390)&amp;""))="free game",INDEX('Game Records'!$U:$U,$H390)="Free Game",INDEX('Game Records'!$U:$U,$H390)="Disqualified — Free Game"),N(INDEX('Game Records'!$H:$H,$H390))&lt;&gt;0),"Free Game has a non-zero Entry Fee. Free Game records require a $0 Entry Fee; ",""))</f>
        <v/>
      </c>
      <c r="G390" s="331" t="str">
        <f>IF($H390="","",IFERROR(INDEX('Game Records'!$M:$M,$H390),""))</f>
        <v/>
      </c>
      <c r="H390" s="104" t="str">
        <f>IF($H389="","",IFERROR(MATCH(1,INDEX((ROW('Game Records'!$U$5:$U$504)&gt;$H389)*(('Game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1" ht="24" customHeight="1">
      <c r="A391" s="332" t="str">
        <f>IF($H391="","",ROWS($A$5:A391))</f>
        <v/>
      </c>
      <c r="B391" s="332" t="str">
        <f>IF($H391="","","G-"&amp;TEXT($A391,"0000"))</f>
        <v/>
      </c>
      <c r="C391" s="331" t="str">
        <f>IF($H391="","",IFERROR(INDEX('Game Records'!$A:$A,$H391),""))</f>
        <v/>
      </c>
      <c r="D391" s="331" t="str">
        <f>IF($H391="","",IFERROR(INDEX('Game Records'!$U:$U,$H391),""))</f>
        <v/>
      </c>
      <c r="E391" s="331" t="str">
        <f>IF($H391="","",IF($F391="","No Highlighted Fields","Highlighted Fields Present"))</f>
        <v/>
      </c>
      <c r="F391" s="331" t="str">
        <f>IF($H391="","",IF(OR(NOT(ISFORMULA(INDEX('Game Records'!$N:$N,$H391))),NOT(ISFORMULA(INDEX('Game Records'!$O:$O,$H391))),NOT(ISFORMULA(INDEX('Game Records'!$P:$P,$H391))),NOT(ISFORMULA(INDEX('Game Records'!$Q:$Q,$H391))),NOT(ISFORMULA(INDEX('Game Records'!$R:$R,$H391))),NOT(ISFORMULA(INDEX('Game Records'!$S:$S,$H391))),NOT(ISFORMULA(INDEX('Game Records'!$T:$T,$H391))),NOT(ISFORMULA(INDEX('Game Records'!$U:$U,$H391))),NOT(ISFORMULA(INDEX('Game Records'!$V:$V,$H391))),NOT(ISFORMULA(INDEX('Game Records'!$W:$W,$H391))),NOT(ISFORMULA(INDEX('Game Records'!$X:$X,$H391))),NOT(ISFORMULA(INDEX('Game Records'!$Y:$Y,$H391))),NOT(ISFORMULA(INDEX('Game Records'!$Z:$Z,$H391)))),"Formula columns missing; ","")&amp;IF(INDEX('Game Records'!$B:$B,$H391)="","Start Date; ","")&amp;IF(INDEX('Game Records'!$C:$C,$H391)="","End Date; ","")&amp;IF(AND(INDEX('Game Records'!$U:$U,$H391)&lt;&gt;"Subscription",INDEX('Game Records'!$U:$U,$H391)&lt;&gt;"Free Game",INDEX('Game Records'!$U:$U,$H391)&lt;&gt;"Disqualified — Free Game",OR(INDEX('Game Records'!$D:$D,$H391)="",LOWER(INDEX('Game Records'!$D:$D,$H391)&amp;"")="n/a")),"Entry Mode; ","")&amp;IF(AND(INDEX('Game Records'!$U:$U,$H391)&lt;&gt;"Subscription",INDEX('Game Records'!$U:$U,$H391)&lt;&gt;"Free Game",INDEX('Game Records'!$U:$U,$H391)&lt;&gt;"Disqualified — Free Game",OR(INDEX('Game Records'!$E:$E,$H391)="",LOWER(INDEX('Game Records'!$E:$E,$H391)&amp;"")="n/a")),"Game Type; ","")&amp;IF(INDEX('Game Records'!$F:$F,$H391)="","Payment Type; ","")&amp;IF(AND(INDEX('Game Records'!$U:$U,$H391)&lt;&gt;"Subscription",INDEX('Game Records'!$U:$U,$H391)&lt;&gt;"Free Game",INDEX('Game Records'!$U:$U,$H391)&lt;&gt;"Disqualified — Free Game",INDEX('Game Records'!$G:$G,$H391)=""),"Gross Pot; ","")&amp;IF(AND(INDEX('Game Records'!$U:$U,$H391)&lt;&gt;"Free Game",INDEX('Game Records'!$U:$U,$H391)&lt;&gt;"Disqualified — Free Game",INDEX('Game Records'!$H:$H,$H391)=""),"Entry Fee; ","")&amp;IF(AND(INDEX('Game Records'!$U:$U,$H391)&lt;&gt;"Subscription",INDEX('Game Records'!$U:$U,$H391)&lt;&gt;"Free Game",INDEX('Game Records'!$U:$U,$H391)&lt;&gt;"Disqualified — Free Game",INDEX('Game Records'!$I:$I,$H391)=""),"Eligible Players; ","")&amp;IF(AND(INDEX('Game Records'!$U:$U,$H391)&lt;&gt;"Subscription",INDEX('Game Records'!$U:$U,$H391)&lt;&gt;"Free Game",INDEX('Game Records'!$U:$U,$H391)&lt;&gt;"Disqualified — Free Game",INDEX('Game Records'!$J:$J,$H391)=""),"Total Players; ","")&amp;IF(AND(LOWER(INDEX('Game Records'!$D:$D,$H391)&amp;"")="finalized",LOWER(INDEX('Game Records'!$L:$L,$H391)&amp;"")&lt;&gt;"yes",INDEX('Game Records'!$U:$U,$H391)&lt;&gt;"Subscription",INDEX('Game Records'!$U:$U,$H391)&lt;&gt;"Free Game",INDEX('Game Records'!$U:$U,$H391)&lt;&gt;"Disqualified — Free Game",INDEX('Game Records'!$K:$K,$H391)=""),"Final Earned; ","")&amp;IF(AND(LOWER(INDEX('Game Records'!$D:$D,$H391)&amp;"")="finalized",INDEX('Game Records'!$U:$U,$H391)&lt;&gt;"Subscription",INDEX('Game Records'!$U:$U,$H391)&lt;&gt;"Free Game",INDEX('Game Records'!$U:$U,$H391)&lt;&gt;"Disqualified — Free Game",OR(INDEX('Game Records'!$L:$L,$H391)="",LOWER(INDEX('Game Records'!$L:$L,$H391)&amp;"")="n/a")),"Disqualified Status; ","")&amp;IF(AND(OR(LOWER(TRIM(INDEX('Game Records'!$F:$F,$H391)&amp;""))="free game",INDEX('Game Records'!$U:$U,$H391)="Free Game",INDEX('Game Records'!$U:$U,$H391)="Disqualified — Free Game"),N(INDEX('Game Records'!$H:$H,$H391))&lt;&gt;0),"Free Game has a non-zero Entry Fee. Free Game records require a $0 Entry Fee; ",""))</f>
        <v/>
      </c>
      <c r="G391" s="331" t="str">
        <f>IF($H391="","",IFERROR(INDEX('Game Records'!$M:$M,$H391),""))</f>
        <v/>
      </c>
      <c r="H391" s="104" t="str">
        <f>IF($H390="","",IFERROR(MATCH(1,INDEX((ROW('Game Records'!$U$5:$U$504)&gt;$H390)*(('Game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2" ht="24" customHeight="1">
      <c r="A392" s="332" t="str">
        <f>IF($H392="","",ROWS($A$5:A392))</f>
        <v/>
      </c>
      <c r="B392" s="332" t="str">
        <f>IF($H392="","","G-"&amp;TEXT($A392,"0000"))</f>
        <v/>
      </c>
      <c r="C392" s="331" t="str">
        <f>IF($H392="","",IFERROR(INDEX('Game Records'!$A:$A,$H392),""))</f>
        <v/>
      </c>
      <c r="D392" s="331" t="str">
        <f>IF($H392="","",IFERROR(INDEX('Game Records'!$U:$U,$H392),""))</f>
        <v/>
      </c>
      <c r="E392" s="331" t="str">
        <f>IF($H392="","",IF($F392="","No Highlighted Fields","Highlighted Fields Present"))</f>
        <v/>
      </c>
      <c r="F392" s="331" t="str">
        <f>IF($H392="","",IF(OR(NOT(ISFORMULA(INDEX('Game Records'!$N:$N,$H392))),NOT(ISFORMULA(INDEX('Game Records'!$O:$O,$H392))),NOT(ISFORMULA(INDEX('Game Records'!$P:$P,$H392))),NOT(ISFORMULA(INDEX('Game Records'!$Q:$Q,$H392))),NOT(ISFORMULA(INDEX('Game Records'!$R:$R,$H392))),NOT(ISFORMULA(INDEX('Game Records'!$S:$S,$H392))),NOT(ISFORMULA(INDEX('Game Records'!$T:$T,$H392))),NOT(ISFORMULA(INDEX('Game Records'!$U:$U,$H392))),NOT(ISFORMULA(INDEX('Game Records'!$V:$V,$H392))),NOT(ISFORMULA(INDEX('Game Records'!$W:$W,$H392))),NOT(ISFORMULA(INDEX('Game Records'!$X:$X,$H392))),NOT(ISFORMULA(INDEX('Game Records'!$Y:$Y,$H392))),NOT(ISFORMULA(INDEX('Game Records'!$Z:$Z,$H392)))),"Formula columns missing; ","")&amp;IF(INDEX('Game Records'!$B:$B,$H392)="","Start Date; ","")&amp;IF(INDEX('Game Records'!$C:$C,$H392)="","End Date; ","")&amp;IF(AND(INDEX('Game Records'!$U:$U,$H392)&lt;&gt;"Subscription",INDEX('Game Records'!$U:$U,$H392)&lt;&gt;"Free Game",INDEX('Game Records'!$U:$U,$H392)&lt;&gt;"Disqualified — Free Game",OR(INDEX('Game Records'!$D:$D,$H392)="",LOWER(INDEX('Game Records'!$D:$D,$H392)&amp;"")="n/a")),"Entry Mode; ","")&amp;IF(AND(INDEX('Game Records'!$U:$U,$H392)&lt;&gt;"Subscription",INDEX('Game Records'!$U:$U,$H392)&lt;&gt;"Free Game",INDEX('Game Records'!$U:$U,$H392)&lt;&gt;"Disqualified — Free Game",OR(INDEX('Game Records'!$E:$E,$H392)="",LOWER(INDEX('Game Records'!$E:$E,$H392)&amp;"")="n/a")),"Game Type; ","")&amp;IF(INDEX('Game Records'!$F:$F,$H392)="","Payment Type; ","")&amp;IF(AND(INDEX('Game Records'!$U:$U,$H392)&lt;&gt;"Subscription",INDEX('Game Records'!$U:$U,$H392)&lt;&gt;"Free Game",INDEX('Game Records'!$U:$U,$H392)&lt;&gt;"Disqualified — Free Game",INDEX('Game Records'!$G:$G,$H392)=""),"Gross Pot; ","")&amp;IF(AND(INDEX('Game Records'!$U:$U,$H392)&lt;&gt;"Free Game",INDEX('Game Records'!$U:$U,$H392)&lt;&gt;"Disqualified — Free Game",INDEX('Game Records'!$H:$H,$H392)=""),"Entry Fee; ","")&amp;IF(AND(INDEX('Game Records'!$U:$U,$H392)&lt;&gt;"Subscription",INDEX('Game Records'!$U:$U,$H392)&lt;&gt;"Free Game",INDEX('Game Records'!$U:$U,$H392)&lt;&gt;"Disqualified — Free Game",INDEX('Game Records'!$I:$I,$H392)=""),"Eligible Players; ","")&amp;IF(AND(INDEX('Game Records'!$U:$U,$H392)&lt;&gt;"Subscription",INDEX('Game Records'!$U:$U,$H392)&lt;&gt;"Free Game",INDEX('Game Records'!$U:$U,$H392)&lt;&gt;"Disqualified — Free Game",INDEX('Game Records'!$J:$J,$H392)=""),"Total Players; ","")&amp;IF(AND(LOWER(INDEX('Game Records'!$D:$D,$H392)&amp;"")="finalized",LOWER(INDEX('Game Records'!$L:$L,$H392)&amp;"")&lt;&gt;"yes",INDEX('Game Records'!$U:$U,$H392)&lt;&gt;"Subscription",INDEX('Game Records'!$U:$U,$H392)&lt;&gt;"Free Game",INDEX('Game Records'!$U:$U,$H392)&lt;&gt;"Disqualified — Free Game",INDEX('Game Records'!$K:$K,$H392)=""),"Final Earned; ","")&amp;IF(AND(LOWER(INDEX('Game Records'!$D:$D,$H392)&amp;"")="finalized",INDEX('Game Records'!$U:$U,$H392)&lt;&gt;"Subscription",INDEX('Game Records'!$U:$U,$H392)&lt;&gt;"Free Game",INDEX('Game Records'!$U:$U,$H392)&lt;&gt;"Disqualified — Free Game",OR(INDEX('Game Records'!$L:$L,$H392)="",LOWER(INDEX('Game Records'!$L:$L,$H392)&amp;"")="n/a")),"Disqualified Status; ","")&amp;IF(AND(OR(LOWER(TRIM(INDEX('Game Records'!$F:$F,$H392)&amp;""))="free game",INDEX('Game Records'!$U:$U,$H392)="Free Game",INDEX('Game Records'!$U:$U,$H392)="Disqualified — Free Game"),N(INDEX('Game Records'!$H:$H,$H392))&lt;&gt;0),"Free Game has a non-zero Entry Fee. Free Game records require a $0 Entry Fee; ",""))</f>
        <v/>
      </c>
      <c r="G392" s="331" t="str">
        <f>IF($H392="","",IFERROR(INDEX('Game Records'!$M:$M,$H392),""))</f>
        <v/>
      </c>
      <c r="H392" s="104" t="str">
        <f>IF($H391="","",IFERROR(MATCH(1,INDEX((ROW('Game Records'!$U$5:$U$504)&gt;$H391)*(('Game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3" ht="24" customHeight="1">
      <c r="A393" s="332" t="str">
        <f>IF($H393="","",ROWS($A$5:A393))</f>
        <v/>
      </c>
      <c r="B393" s="332" t="str">
        <f>IF($H393="","","G-"&amp;TEXT($A393,"0000"))</f>
        <v/>
      </c>
      <c r="C393" s="331" t="str">
        <f>IF($H393="","",IFERROR(INDEX('Game Records'!$A:$A,$H393),""))</f>
        <v/>
      </c>
      <c r="D393" s="331" t="str">
        <f>IF($H393="","",IFERROR(INDEX('Game Records'!$U:$U,$H393),""))</f>
        <v/>
      </c>
      <c r="E393" s="331" t="str">
        <f>IF($H393="","",IF($F393="","No Highlighted Fields","Highlighted Fields Present"))</f>
        <v/>
      </c>
      <c r="F393" s="331" t="str">
        <f>IF($H393="","",IF(OR(NOT(ISFORMULA(INDEX('Game Records'!$N:$N,$H393))),NOT(ISFORMULA(INDEX('Game Records'!$O:$O,$H393))),NOT(ISFORMULA(INDEX('Game Records'!$P:$P,$H393))),NOT(ISFORMULA(INDEX('Game Records'!$Q:$Q,$H393))),NOT(ISFORMULA(INDEX('Game Records'!$R:$R,$H393))),NOT(ISFORMULA(INDEX('Game Records'!$S:$S,$H393))),NOT(ISFORMULA(INDEX('Game Records'!$T:$T,$H393))),NOT(ISFORMULA(INDEX('Game Records'!$U:$U,$H393))),NOT(ISFORMULA(INDEX('Game Records'!$V:$V,$H393))),NOT(ISFORMULA(INDEX('Game Records'!$W:$W,$H393))),NOT(ISFORMULA(INDEX('Game Records'!$X:$X,$H393))),NOT(ISFORMULA(INDEX('Game Records'!$Y:$Y,$H393))),NOT(ISFORMULA(INDEX('Game Records'!$Z:$Z,$H393)))),"Formula columns missing; ","")&amp;IF(INDEX('Game Records'!$B:$B,$H393)="","Start Date; ","")&amp;IF(INDEX('Game Records'!$C:$C,$H393)="","End Date; ","")&amp;IF(AND(INDEX('Game Records'!$U:$U,$H393)&lt;&gt;"Subscription",INDEX('Game Records'!$U:$U,$H393)&lt;&gt;"Free Game",INDEX('Game Records'!$U:$U,$H393)&lt;&gt;"Disqualified — Free Game",OR(INDEX('Game Records'!$D:$D,$H393)="",LOWER(INDEX('Game Records'!$D:$D,$H393)&amp;"")="n/a")),"Entry Mode; ","")&amp;IF(AND(INDEX('Game Records'!$U:$U,$H393)&lt;&gt;"Subscription",INDEX('Game Records'!$U:$U,$H393)&lt;&gt;"Free Game",INDEX('Game Records'!$U:$U,$H393)&lt;&gt;"Disqualified — Free Game",OR(INDEX('Game Records'!$E:$E,$H393)="",LOWER(INDEX('Game Records'!$E:$E,$H393)&amp;"")="n/a")),"Game Type; ","")&amp;IF(INDEX('Game Records'!$F:$F,$H393)="","Payment Type; ","")&amp;IF(AND(INDEX('Game Records'!$U:$U,$H393)&lt;&gt;"Subscription",INDEX('Game Records'!$U:$U,$H393)&lt;&gt;"Free Game",INDEX('Game Records'!$U:$U,$H393)&lt;&gt;"Disqualified — Free Game",INDEX('Game Records'!$G:$G,$H393)=""),"Gross Pot; ","")&amp;IF(AND(INDEX('Game Records'!$U:$U,$H393)&lt;&gt;"Free Game",INDEX('Game Records'!$U:$U,$H393)&lt;&gt;"Disqualified — Free Game",INDEX('Game Records'!$H:$H,$H393)=""),"Entry Fee; ","")&amp;IF(AND(INDEX('Game Records'!$U:$U,$H393)&lt;&gt;"Subscription",INDEX('Game Records'!$U:$U,$H393)&lt;&gt;"Free Game",INDEX('Game Records'!$U:$U,$H393)&lt;&gt;"Disqualified — Free Game",INDEX('Game Records'!$I:$I,$H393)=""),"Eligible Players; ","")&amp;IF(AND(INDEX('Game Records'!$U:$U,$H393)&lt;&gt;"Subscription",INDEX('Game Records'!$U:$U,$H393)&lt;&gt;"Free Game",INDEX('Game Records'!$U:$U,$H393)&lt;&gt;"Disqualified — Free Game",INDEX('Game Records'!$J:$J,$H393)=""),"Total Players; ","")&amp;IF(AND(LOWER(INDEX('Game Records'!$D:$D,$H393)&amp;"")="finalized",LOWER(INDEX('Game Records'!$L:$L,$H393)&amp;"")&lt;&gt;"yes",INDEX('Game Records'!$U:$U,$H393)&lt;&gt;"Subscription",INDEX('Game Records'!$U:$U,$H393)&lt;&gt;"Free Game",INDEX('Game Records'!$U:$U,$H393)&lt;&gt;"Disqualified — Free Game",INDEX('Game Records'!$K:$K,$H393)=""),"Final Earned; ","")&amp;IF(AND(LOWER(INDEX('Game Records'!$D:$D,$H393)&amp;"")="finalized",INDEX('Game Records'!$U:$U,$H393)&lt;&gt;"Subscription",INDEX('Game Records'!$U:$U,$H393)&lt;&gt;"Free Game",INDEX('Game Records'!$U:$U,$H393)&lt;&gt;"Disqualified — Free Game",OR(INDEX('Game Records'!$L:$L,$H393)="",LOWER(INDEX('Game Records'!$L:$L,$H393)&amp;"")="n/a")),"Disqualified Status; ","")&amp;IF(AND(OR(LOWER(TRIM(INDEX('Game Records'!$F:$F,$H393)&amp;""))="free game",INDEX('Game Records'!$U:$U,$H393)="Free Game",INDEX('Game Records'!$U:$U,$H393)="Disqualified — Free Game"),N(INDEX('Game Records'!$H:$H,$H393))&lt;&gt;0),"Free Game has a non-zero Entry Fee. Free Game records require a $0 Entry Fee; ",""))</f>
        <v/>
      </c>
      <c r="G393" s="331" t="str">
        <f>IF($H393="","",IFERROR(INDEX('Game Records'!$M:$M,$H393),""))</f>
        <v/>
      </c>
      <c r="H393" s="104" t="str">
        <f>IF($H392="","",IFERROR(MATCH(1,INDEX((ROW('Game Records'!$U$5:$U$504)&gt;$H392)*(('Game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4" ht="24" customHeight="1">
      <c r="A394" s="332" t="str">
        <f>IF($H394="","",ROWS($A$5:A394))</f>
        <v/>
      </c>
      <c r="B394" s="332" t="str">
        <f>IF($H394="","","G-"&amp;TEXT($A394,"0000"))</f>
        <v/>
      </c>
      <c r="C394" s="331" t="str">
        <f>IF($H394="","",IFERROR(INDEX('Game Records'!$A:$A,$H394),""))</f>
        <v/>
      </c>
      <c r="D394" s="331" t="str">
        <f>IF($H394="","",IFERROR(INDEX('Game Records'!$U:$U,$H394),""))</f>
        <v/>
      </c>
      <c r="E394" s="331" t="str">
        <f>IF($H394="","",IF($F394="","No Highlighted Fields","Highlighted Fields Present"))</f>
        <v/>
      </c>
      <c r="F394" s="331" t="str">
        <f>IF($H394="","",IF(OR(NOT(ISFORMULA(INDEX('Game Records'!$N:$N,$H394))),NOT(ISFORMULA(INDEX('Game Records'!$O:$O,$H394))),NOT(ISFORMULA(INDEX('Game Records'!$P:$P,$H394))),NOT(ISFORMULA(INDEX('Game Records'!$Q:$Q,$H394))),NOT(ISFORMULA(INDEX('Game Records'!$R:$R,$H394))),NOT(ISFORMULA(INDEX('Game Records'!$S:$S,$H394))),NOT(ISFORMULA(INDEX('Game Records'!$T:$T,$H394))),NOT(ISFORMULA(INDEX('Game Records'!$U:$U,$H394))),NOT(ISFORMULA(INDEX('Game Records'!$V:$V,$H394))),NOT(ISFORMULA(INDEX('Game Records'!$W:$W,$H394))),NOT(ISFORMULA(INDEX('Game Records'!$X:$X,$H394))),NOT(ISFORMULA(INDEX('Game Records'!$Y:$Y,$H394))),NOT(ISFORMULA(INDEX('Game Records'!$Z:$Z,$H394)))),"Formula columns missing; ","")&amp;IF(INDEX('Game Records'!$B:$B,$H394)="","Start Date; ","")&amp;IF(INDEX('Game Records'!$C:$C,$H394)="","End Date; ","")&amp;IF(AND(INDEX('Game Records'!$U:$U,$H394)&lt;&gt;"Subscription",INDEX('Game Records'!$U:$U,$H394)&lt;&gt;"Free Game",INDEX('Game Records'!$U:$U,$H394)&lt;&gt;"Disqualified — Free Game",OR(INDEX('Game Records'!$D:$D,$H394)="",LOWER(INDEX('Game Records'!$D:$D,$H394)&amp;"")="n/a")),"Entry Mode; ","")&amp;IF(AND(INDEX('Game Records'!$U:$U,$H394)&lt;&gt;"Subscription",INDEX('Game Records'!$U:$U,$H394)&lt;&gt;"Free Game",INDEX('Game Records'!$U:$U,$H394)&lt;&gt;"Disqualified — Free Game",OR(INDEX('Game Records'!$E:$E,$H394)="",LOWER(INDEX('Game Records'!$E:$E,$H394)&amp;"")="n/a")),"Game Type; ","")&amp;IF(INDEX('Game Records'!$F:$F,$H394)="","Payment Type; ","")&amp;IF(AND(INDEX('Game Records'!$U:$U,$H394)&lt;&gt;"Subscription",INDEX('Game Records'!$U:$U,$H394)&lt;&gt;"Free Game",INDEX('Game Records'!$U:$U,$H394)&lt;&gt;"Disqualified — Free Game",INDEX('Game Records'!$G:$G,$H394)=""),"Gross Pot; ","")&amp;IF(AND(INDEX('Game Records'!$U:$U,$H394)&lt;&gt;"Free Game",INDEX('Game Records'!$U:$U,$H394)&lt;&gt;"Disqualified — Free Game",INDEX('Game Records'!$H:$H,$H394)=""),"Entry Fee; ","")&amp;IF(AND(INDEX('Game Records'!$U:$U,$H394)&lt;&gt;"Subscription",INDEX('Game Records'!$U:$U,$H394)&lt;&gt;"Free Game",INDEX('Game Records'!$U:$U,$H394)&lt;&gt;"Disqualified — Free Game",INDEX('Game Records'!$I:$I,$H394)=""),"Eligible Players; ","")&amp;IF(AND(INDEX('Game Records'!$U:$U,$H394)&lt;&gt;"Subscription",INDEX('Game Records'!$U:$U,$H394)&lt;&gt;"Free Game",INDEX('Game Records'!$U:$U,$H394)&lt;&gt;"Disqualified — Free Game",INDEX('Game Records'!$J:$J,$H394)=""),"Total Players; ","")&amp;IF(AND(LOWER(INDEX('Game Records'!$D:$D,$H394)&amp;"")="finalized",LOWER(INDEX('Game Records'!$L:$L,$H394)&amp;"")&lt;&gt;"yes",INDEX('Game Records'!$U:$U,$H394)&lt;&gt;"Subscription",INDEX('Game Records'!$U:$U,$H394)&lt;&gt;"Free Game",INDEX('Game Records'!$U:$U,$H394)&lt;&gt;"Disqualified — Free Game",INDEX('Game Records'!$K:$K,$H394)=""),"Final Earned; ","")&amp;IF(AND(LOWER(INDEX('Game Records'!$D:$D,$H394)&amp;"")="finalized",INDEX('Game Records'!$U:$U,$H394)&lt;&gt;"Subscription",INDEX('Game Records'!$U:$U,$H394)&lt;&gt;"Free Game",INDEX('Game Records'!$U:$U,$H394)&lt;&gt;"Disqualified — Free Game",OR(INDEX('Game Records'!$L:$L,$H394)="",LOWER(INDEX('Game Records'!$L:$L,$H394)&amp;"")="n/a")),"Disqualified Status; ","")&amp;IF(AND(OR(LOWER(TRIM(INDEX('Game Records'!$F:$F,$H394)&amp;""))="free game",INDEX('Game Records'!$U:$U,$H394)="Free Game",INDEX('Game Records'!$U:$U,$H394)="Disqualified — Free Game"),N(INDEX('Game Records'!$H:$H,$H394))&lt;&gt;0),"Free Game has a non-zero Entry Fee. Free Game records require a $0 Entry Fee; ",""))</f>
        <v/>
      </c>
      <c r="G394" s="331" t="str">
        <f>IF($H394="","",IFERROR(INDEX('Game Records'!$M:$M,$H394),""))</f>
        <v/>
      </c>
      <c r="H394" s="104" t="str">
        <f>IF($H393="","",IFERROR(MATCH(1,INDEX((ROW('Game Records'!$U$5:$U$504)&gt;$H393)*(('Game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5" ht="24" customHeight="1">
      <c r="A395" s="332" t="str">
        <f>IF($H395="","",ROWS($A$5:A395))</f>
        <v/>
      </c>
      <c r="B395" s="332" t="str">
        <f>IF($H395="","","G-"&amp;TEXT($A395,"0000"))</f>
        <v/>
      </c>
      <c r="C395" s="331" t="str">
        <f>IF($H395="","",IFERROR(INDEX('Game Records'!$A:$A,$H395),""))</f>
        <v/>
      </c>
      <c r="D395" s="331" t="str">
        <f>IF($H395="","",IFERROR(INDEX('Game Records'!$U:$U,$H395),""))</f>
        <v/>
      </c>
      <c r="E395" s="331" t="str">
        <f>IF($H395="","",IF($F395="","No Highlighted Fields","Highlighted Fields Present"))</f>
        <v/>
      </c>
      <c r="F395" s="331" t="str">
        <f>IF($H395="","",IF(OR(NOT(ISFORMULA(INDEX('Game Records'!$N:$N,$H395))),NOT(ISFORMULA(INDEX('Game Records'!$O:$O,$H395))),NOT(ISFORMULA(INDEX('Game Records'!$P:$P,$H395))),NOT(ISFORMULA(INDEX('Game Records'!$Q:$Q,$H395))),NOT(ISFORMULA(INDEX('Game Records'!$R:$R,$H395))),NOT(ISFORMULA(INDEX('Game Records'!$S:$S,$H395))),NOT(ISFORMULA(INDEX('Game Records'!$T:$T,$H395))),NOT(ISFORMULA(INDEX('Game Records'!$U:$U,$H395))),NOT(ISFORMULA(INDEX('Game Records'!$V:$V,$H395))),NOT(ISFORMULA(INDEX('Game Records'!$W:$W,$H395))),NOT(ISFORMULA(INDEX('Game Records'!$X:$X,$H395))),NOT(ISFORMULA(INDEX('Game Records'!$Y:$Y,$H395))),NOT(ISFORMULA(INDEX('Game Records'!$Z:$Z,$H395)))),"Formula columns missing; ","")&amp;IF(INDEX('Game Records'!$B:$B,$H395)="","Start Date; ","")&amp;IF(INDEX('Game Records'!$C:$C,$H395)="","End Date; ","")&amp;IF(AND(INDEX('Game Records'!$U:$U,$H395)&lt;&gt;"Subscription",INDEX('Game Records'!$U:$U,$H395)&lt;&gt;"Free Game",INDEX('Game Records'!$U:$U,$H395)&lt;&gt;"Disqualified — Free Game",OR(INDEX('Game Records'!$D:$D,$H395)="",LOWER(INDEX('Game Records'!$D:$D,$H395)&amp;"")="n/a")),"Entry Mode; ","")&amp;IF(AND(INDEX('Game Records'!$U:$U,$H395)&lt;&gt;"Subscription",INDEX('Game Records'!$U:$U,$H395)&lt;&gt;"Free Game",INDEX('Game Records'!$U:$U,$H395)&lt;&gt;"Disqualified — Free Game",OR(INDEX('Game Records'!$E:$E,$H395)="",LOWER(INDEX('Game Records'!$E:$E,$H395)&amp;"")="n/a")),"Game Type; ","")&amp;IF(INDEX('Game Records'!$F:$F,$H395)="","Payment Type; ","")&amp;IF(AND(INDEX('Game Records'!$U:$U,$H395)&lt;&gt;"Subscription",INDEX('Game Records'!$U:$U,$H395)&lt;&gt;"Free Game",INDEX('Game Records'!$U:$U,$H395)&lt;&gt;"Disqualified — Free Game",INDEX('Game Records'!$G:$G,$H395)=""),"Gross Pot; ","")&amp;IF(AND(INDEX('Game Records'!$U:$U,$H395)&lt;&gt;"Free Game",INDEX('Game Records'!$U:$U,$H395)&lt;&gt;"Disqualified — Free Game",INDEX('Game Records'!$H:$H,$H395)=""),"Entry Fee; ","")&amp;IF(AND(INDEX('Game Records'!$U:$U,$H395)&lt;&gt;"Subscription",INDEX('Game Records'!$U:$U,$H395)&lt;&gt;"Free Game",INDEX('Game Records'!$U:$U,$H395)&lt;&gt;"Disqualified — Free Game",INDEX('Game Records'!$I:$I,$H395)=""),"Eligible Players; ","")&amp;IF(AND(INDEX('Game Records'!$U:$U,$H395)&lt;&gt;"Subscription",INDEX('Game Records'!$U:$U,$H395)&lt;&gt;"Free Game",INDEX('Game Records'!$U:$U,$H395)&lt;&gt;"Disqualified — Free Game",INDEX('Game Records'!$J:$J,$H395)=""),"Total Players; ","")&amp;IF(AND(LOWER(INDEX('Game Records'!$D:$D,$H395)&amp;"")="finalized",LOWER(INDEX('Game Records'!$L:$L,$H395)&amp;"")&lt;&gt;"yes",INDEX('Game Records'!$U:$U,$H395)&lt;&gt;"Subscription",INDEX('Game Records'!$U:$U,$H395)&lt;&gt;"Free Game",INDEX('Game Records'!$U:$U,$H395)&lt;&gt;"Disqualified — Free Game",INDEX('Game Records'!$K:$K,$H395)=""),"Final Earned; ","")&amp;IF(AND(LOWER(INDEX('Game Records'!$D:$D,$H395)&amp;"")="finalized",INDEX('Game Records'!$U:$U,$H395)&lt;&gt;"Subscription",INDEX('Game Records'!$U:$U,$H395)&lt;&gt;"Free Game",INDEX('Game Records'!$U:$U,$H395)&lt;&gt;"Disqualified — Free Game",OR(INDEX('Game Records'!$L:$L,$H395)="",LOWER(INDEX('Game Records'!$L:$L,$H395)&amp;"")="n/a")),"Disqualified Status; ","")&amp;IF(AND(OR(LOWER(TRIM(INDEX('Game Records'!$F:$F,$H395)&amp;""))="free game",INDEX('Game Records'!$U:$U,$H395)="Free Game",INDEX('Game Records'!$U:$U,$H395)="Disqualified — Free Game"),N(INDEX('Game Records'!$H:$H,$H395))&lt;&gt;0),"Free Game has a non-zero Entry Fee. Free Game records require a $0 Entry Fee; ",""))</f>
        <v/>
      </c>
      <c r="G395" s="331" t="str">
        <f>IF($H395="","",IFERROR(INDEX('Game Records'!$M:$M,$H395),""))</f>
        <v/>
      </c>
      <c r="H395" s="104" t="str">
        <f>IF($H394="","",IFERROR(MATCH(1,INDEX((ROW('Game Records'!$U$5:$U$504)&gt;$H394)*(('Game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6" ht="24" customHeight="1">
      <c r="A396" s="332" t="str">
        <f>IF($H396="","",ROWS($A$5:A396))</f>
        <v/>
      </c>
      <c r="B396" s="332" t="str">
        <f>IF($H396="","","G-"&amp;TEXT($A396,"0000"))</f>
        <v/>
      </c>
      <c r="C396" s="331" t="str">
        <f>IF($H396="","",IFERROR(INDEX('Game Records'!$A:$A,$H396),""))</f>
        <v/>
      </c>
      <c r="D396" s="331" t="str">
        <f>IF($H396="","",IFERROR(INDEX('Game Records'!$U:$U,$H396),""))</f>
        <v/>
      </c>
      <c r="E396" s="331" t="str">
        <f>IF($H396="","",IF($F396="","No Highlighted Fields","Highlighted Fields Present"))</f>
        <v/>
      </c>
      <c r="F396" s="331" t="str">
        <f>IF($H396="","",IF(OR(NOT(ISFORMULA(INDEX('Game Records'!$N:$N,$H396))),NOT(ISFORMULA(INDEX('Game Records'!$O:$O,$H396))),NOT(ISFORMULA(INDEX('Game Records'!$P:$P,$H396))),NOT(ISFORMULA(INDEX('Game Records'!$Q:$Q,$H396))),NOT(ISFORMULA(INDEX('Game Records'!$R:$R,$H396))),NOT(ISFORMULA(INDEX('Game Records'!$S:$S,$H396))),NOT(ISFORMULA(INDEX('Game Records'!$T:$T,$H396))),NOT(ISFORMULA(INDEX('Game Records'!$U:$U,$H396))),NOT(ISFORMULA(INDEX('Game Records'!$V:$V,$H396))),NOT(ISFORMULA(INDEX('Game Records'!$W:$W,$H396))),NOT(ISFORMULA(INDEX('Game Records'!$X:$X,$H396))),NOT(ISFORMULA(INDEX('Game Records'!$Y:$Y,$H396))),NOT(ISFORMULA(INDEX('Game Records'!$Z:$Z,$H396)))),"Formula columns missing; ","")&amp;IF(INDEX('Game Records'!$B:$B,$H396)="","Start Date; ","")&amp;IF(INDEX('Game Records'!$C:$C,$H396)="","End Date; ","")&amp;IF(AND(INDEX('Game Records'!$U:$U,$H396)&lt;&gt;"Subscription",INDEX('Game Records'!$U:$U,$H396)&lt;&gt;"Free Game",INDEX('Game Records'!$U:$U,$H396)&lt;&gt;"Disqualified — Free Game",OR(INDEX('Game Records'!$D:$D,$H396)="",LOWER(INDEX('Game Records'!$D:$D,$H396)&amp;"")="n/a")),"Entry Mode; ","")&amp;IF(AND(INDEX('Game Records'!$U:$U,$H396)&lt;&gt;"Subscription",INDEX('Game Records'!$U:$U,$H396)&lt;&gt;"Free Game",INDEX('Game Records'!$U:$U,$H396)&lt;&gt;"Disqualified — Free Game",OR(INDEX('Game Records'!$E:$E,$H396)="",LOWER(INDEX('Game Records'!$E:$E,$H396)&amp;"")="n/a")),"Game Type; ","")&amp;IF(INDEX('Game Records'!$F:$F,$H396)="","Payment Type; ","")&amp;IF(AND(INDEX('Game Records'!$U:$U,$H396)&lt;&gt;"Subscription",INDEX('Game Records'!$U:$U,$H396)&lt;&gt;"Free Game",INDEX('Game Records'!$U:$U,$H396)&lt;&gt;"Disqualified — Free Game",INDEX('Game Records'!$G:$G,$H396)=""),"Gross Pot; ","")&amp;IF(AND(INDEX('Game Records'!$U:$U,$H396)&lt;&gt;"Free Game",INDEX('Game Records'!$U:$U,$H396)&lt;&gt;"Disqualified — Free Game",INDEX('Game Records'!$H:$H,$H396)=""),"Entry Fee; ","")&amp;IF(AND(INDEX('Game Records'!$U:$U,$H396)&lt;&gt;"Subscription",INDEX('Game Records'!$U:$U,$H396)&lt;&gt;"Free Game",INDEX('Game Records'!$U:$U,$H396)&lt;&gt;"Disqualified — Free Game",INDEX('Game Records'!$I:$I,$H396)=""),"Eligible Players; ","")&amp;IF(AND(INDEX('Game Records'!$U:$U,$H396)&lt;&gt;"Subscription",INDEX('Game Records'!$U:$U,$H396)&lt;&gt;"Free Game",INDEX('Game Records'!$U:$U,$H396)&lt;&gt;"Disqualified — Free Game",INDEX('Game Records'!$J:$J,$H396)=""),"Total Players; ","")&amp;IF(AND(LOWER(INDEX('Game Records'!$D:$D,$H396)&amp;"")="finalized",LOWER(INDEX('Game Records'!$L:$L,$H396)&amp;"")&lt;&gt;"yes",INDEX('Game Records'!$U:$U,$H396)&lt;&gt;"Subscription",INDEX('Game Records'!$U:$U,$H396)&lt;&gt;"Free Game",INDEX('Game Records'!$U:$U,$H396)&lt;&gt;"Disqualified — Free Game",INDEX('Game Records'!$K:$K,$H396)=""),"Final Earned; ","")&amp;IF(AND(LOWER(INDEX('Game Records'!$D:$D,$H396)&amp;"")="finalized",INDEX('Game Records'!$U:$U,$H396)&lt;&gt;"Subscription",INDEX('Game Records'!$U:$U,$H396)&lt;&gt;"Free Game",INDEX('Game Records'!$U:$U,$H396)&lt;&gt;"Disqualified — Free Game",OR(INDEX('Game Records'!$L:$L,$H396)="",LOWER(INDEX('Game Records'!$L:$L,$H396)&amp;"")="n/a")),"Disqualified Status; ","")&amp;IF(AND(OR(LOWER(TRIM(INDEX('Game Records'!$F:$F,$H396)&amp;""))="free game",INDEX('Game Records'!$U:$U,$H396)="Free Game",INDEX('Game Records'!$U:$U,$H396)="Disqualified — Free Game"),N(INDEX('Game Records'!$H:$H,$H396))&lt;&gt;0),"Free Game has a non-zero Entry Fee. Free Game records require a $0 Entry Fee; ",""))</f>
        <v/>
      </c>
      <c r="G396" s="331" t="str">
        <f>IF($H396="","",IFERROR(INDEX('Game Records'!$M:$M,$H396),""))</f>
        <v/>
      </c>
      <c r="H396" s="104" t="str">
        <f>IF($H395="","",IFERROR(MATCH(1,INDEX((ROW('Game Records'!$U$5:$U$504)&gt;$H395)*(('Game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7" ht="24" customHeight="1">
      <c r="A397" s="332" t="str">
        <f>IF($H397="","",ROWS($A$5:A397))</f>
        <v/>
      </c>
      <c r="B397" s="332" t="str">
        <f>IF($H397="","","G-"&amp;TEXT($A397,"0000"))</f>
        <v/>
      </c>
      <c r="C397" s="331" t="str">
        <f>IF($H397="","",IFERROR(INDEX('Game Records'!$A:$A,$H397),""))</f>
        <v/>
      </c>
      <c r="D397" s="331" t="str">
        <f>IF($H397="","",IFERROR(INDEX('Game Records'!$U:$U,$H397),""))</f>
        <v/>
      </c>
      <c r="E397" s="331" t="str">
        <f>IF($H397="","",IF($F397="","No Highlighted Fields","Highlighted Fields Present"))</f>
        <v/>
      </c>
      <c r="F397" s="331" t="str">
        <f>IF($H397="","",IF(OR(NOT(ISFORMULA(INDEX('Game Records'!$N:$N,$H397))),NOT(ISFORMULA(INDEX('Game Records'!$O:$O,$H397))),NOT(ISFORMULA(INDEX('Game Records'!$P:$P,$H397))),NOT(ISFORMULA(INDEX('Game Records'!$Q:$Q,$H397))),NOT(ISFORMULA(INDEX('Game Records'!$R:$R,$H397))),NOT(ISFORMULA(INDEX('Game Records'!$S:$S,$H397))),NOT(ISFORMULA(INDEX('Game Records'!$T:$T,$H397))),NOT(ISFORMULA(INDEX('Game Records'!$U:$U,$H397))),NOT(ISFORMULA(INDEX('Game Records'!$V:$V,$H397))),NOT(ISFORMULA(INDEX('Game Records'!$W:$W,$H397))),NOT(ISFORMULA(INDEX('Game Records'!$X:$X,$H397))),NOT(ISFORMULA(INDEX('Game Records'!$Y:$Y,$H397))),NOT(ISFORMULA(INDEX('Game Records'!$Z:$Z,$H397)))),"Formula columns missing; ","")&amp;IF(INDEX('Game Records'!$B:$B,$H397)="","Start Date; ","")&amp;IF(INDEX('Game Records'!$C:$C,$H397)="","End Date; ","")&amp;IF(AND(INDEX('Game Records'!$U:$U,$H397)&lt;&gt;"Subscription",INDEX('Game Records'!$U:$U,$H397)&lt;&gt;"Free Game",INDEX('Game Records'!$U:$U,$H397)&lt;&gt;"Disqualified — Free Game",OR(INDEX('Game Records'!$D:$D,$H397)="",LOWER(INDEX('Game Records'!$D:$D,$H397)&amp;"")="n/a")),"Entry Mode; ","")&amp;IF(AND(INDEX('Game Records'!$U:$U,$H397)&lt;&gt;"Subscription",INDEX('Game Records'!$U:$U,$H397)&lt;&gt;"Free Game",INDEX('Game Records'!$U:$U,$H397)&lt;&gt;"Disqualified — Free Game",OR(INDEX('Game Records'!$E:$E,$H397)="",LOWER(INDEX('Game Records'!$E:$E,$H397)&amp;"")="n/a")),"Game Type; ","")&amp;IF(INDEX('Game Records'!$F:$F,$H397)="","Payment Type; ","")&amp;IF(AND(INDEX('Game Records'!$U:$U,$H397)&lt;&gt;"Subscription",INDEX('Game Records'!$U:$U,$H397)&lt;&gt;"Free Game",INDEX('Game Records'!$U:$U,$H397)&lt;&gt;"Disqualified — Free Game",INDEX('Game Records'!$G:$G,$H397)=""),"Gross Pot; ","")&amp;IF(AND(INDEX('Game Records'!$U:$U,$H397)&lt;&gt;"Free Game",INDEX('Game Records'!$U:$U,$H397)&lt;&gt;"Disqualified — Free Game",INDEX('Game Records'!$H:$H,$H397)=""),"Entry Fee; ","")&amp;IF(AND(INDEX('Game Records'!$U:$U,$H397)&lt;&gt;"Subscription",INDEX('Game Records'!$U:$U,$H397)&lt;&gt;"Free Game",INDEX('Game Records'!$U:$U,$H397)&lt;&gt;"Disqualified — Free Game",INDEX('Game Records'!$I:$I,$H397)=""),"Eligible Players; ","")&amp;IF(AND(INDEX('Game Records'!$U:$U,$H397)&lt;&gt;"Subscription",INDEX('Game Records'!$U:$U,$H397)&lt;&gt;"Free Game",INDEX('Game Records'!$U:$U,$H397)&lt;&gt;"Disqualified — Free Game",INDEX('Game Records'!$J:$J,$H397)=""),"Total Players; ","")&amp;IF(AND(LOWER(INDEX('Game Records'!$D:$D,$H397)&amp;"")="finalized",LOWER(INDEX('Game Records'!$L:$L,$H397)&amp;"")&lt;&gt;"yes",INDEX('Game Records'!$U:$U,$H397)&lt;&gt;"Subscription",INDEX('Game Records'!$U:$U,$H397)&lt;&gt;"Free Game",INDEX('Game Records'!$U:$U,$H397)&lt;&gt;"Disqualified — Free Game",INDEX('Game Records'!$K:$K,$H397)=""),"Final Earned; ","")&amp;IF(AND(LOWER(INDEX('Game Records'!$D:$D,$H397)&amp;"")="finalized",INDEX('Game Records'!$U:$U,$H397)&lt;&gt;"Subscription",INDEX('Game Records'!$U:$U,$H397)&lt;&gt;"Free Game",INDEX('Game Records'!$U:$U,$H397)&lt;&gt;"Disqualified — Free Game",OR(INDEX('Game Records'!$L:$L,$H397)="",LOWER(INDEX('Game Records'!$L:$L,$H397)&amp;"")="n/a")),"Disqualified Status; ","")&amp;IF(AND(OR(LOWER(TRIM(INDEX('Game Records'!$F:$F,$H397)&amp;""))="free game",INDEX('Game Records'!$U:$U,$H397)="Free Game",INDEX('Game Records'!$U:$U,$H397)="Disqualified — Free Game"),N(INDEX('Game Records'!$H:$H,$H397))&lt;&gt;0),"Free Game has a non-zero Entry Fee. Free Game records require a $0 Entry Fee; ",""))</f>
        <v/>
      </c>
      <c r="G397" s="331" t="str">
        <f>IF($H397="","",IFERROR(INDEX('Game Records'!$M:$M,$H397),""))</f>
        <v/>
      </c>
      <c r="H397" s="104" t="str">
        <f>IF($H396="","",IFERROR(MATCH(1,INDEX((ROW('Game Records'!$U$5:$U$504)&gt;$H396)*(('Game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8" ht="24" customHeight="1">
      <c r="A398" s="332" t="str">
        <f>IF($H398="","",ROWS($A$5:A398))</f>
        <v/>
      </c>
      <c r="B398" s="332" t="str">
        <f>IF($H398="","","G-"&amp;TEXT($A398,"0000"))</f>
        <v/>
      </c>
      <c r="C398" s="331" t="str">
        <f>IF($H398="","",IFERROR(INDEX('Game Records'!$A:$A,$H398),""))</f>
        <v/>
      </c>
      <c r="D398" s="331" t="str">
        <f>IF($H398="","",IFERROR(INDEX('Game Records'!$U:$U,$H398),""))</f>
        <v/>
      </c>
      <c r="E398" s="331" t="str">
        <f>IF($H398="","",IF($F398="","No Highlighted Fields","Highlighted Fields Present"))</f>
        <v/>
      </c>
      <c r="F398" s="331" t="str">
        <f>IF($H398="","",IF(OR(NOT(ISFORMULA(INDEX('Game Records'!$N:$N,$H398))),NOT(ISFORMULA(INDEX('Game Records'!$O:$O,$H398))),NOT(ISFORMULA(INDEX('Game Records'!$P:$P,$H398))),NOT(ISFORMULA(INDEX('Game Records'!$Q:$Q,$H398))),NOT(ISFORMULA(INDEX('Game Records'!$R:$R,$H398))),NOT(ISFORMULA(INDEX('Game Records'!$S:$S,$H398))),NOT(ISFORMULA(INDEX('Game Records'!$T:$T,$H398))),NOT(ISFORMULA(INDEX('Game Records'!$U:$U,$H398))),NOT(ISFORMULA(INDEX('Game Records'!$V:$V,$H398))),NOT(ISFORMULA(INDEX('Game Records'!$W:$W,$H398))),NOT(ISFORMULA(INDEX('Game Records'!$X:$X,$H398))),NOT(ISFORMULA(INDEX('Game Records'!$Y:$Y,$H398))),NOT(ISFORMULA(INDEX('Game Records'!$Z:$Z,$H398)))),"Formula columns missing; ","")&amp;IF(INDEX('Game Records'!$B:$B,$H398)="","Start Date; ","")&amp;IF(INDEX('Game Records'!$C:$C,$H398)="","End Date; ","")&amp;IF(AND(INDEX('Game Records'!$U:$U,$H398)&lt;&gt;"Subscription",INDEX('Game Records'!$U:$U,$H398)&lt;&gt;"Free Game",INDEX('Game Records'!$U:$U,$H398)&lt;&gt;"Disqualified — Free Game",OR(INDEX('Game Records'!$D:$D,$H398)="",LOWER(INDEX('Game Records'!$D:$D,$H398)&amp;"")="n/a")),"Entry Mode; ","")&amp;IF(AND(INDEX('Game Records'!$U:$U,$H398)&lt;&gt;"Subscription",INDEX('Game Records'!$U:$U,$H398)&lt;&gt;"Free Game",INDEX('Game Records'!$U:$U,$H398)&lt;&gt;"Disqualified — Free Game",OR(INDEX('Game Records'!$E:$E,$H398)="",LOWER(INDEX('Game Records'!$E:$E,$H398)&amp;"")="n/a")),"Game Type; ","")&amp;IF(INDEX('Game Records'!$F:$F,$H398)="","Payment Type; ","")&amp;IF(AND(INDEX('Game Records'!$U:$U,$H398)&lt;&gt;"Subscription",INDEX('Game Records'!$U:$U,$H398)&lt;&gt;"Free Game",INDEX('Game Records'!$U:$U,$H398)&lt;&gt;"Disqualified — Free Game",INDEX('Game Records'!$G:$G,$H398)=""),"Gross Pot; ","")&amp;IF(AND(INDEX('Game Records'!$U:$U,$H398)&lt;&gt;"Free Game",INDEX('Game Records'!$U:$U,$H398)&lt;&gt;"Disqualified — Free Game",INDEX('Game Records'!$H:$H,$H398)=""),"Entry Fee; ","")&amp;IF(AND(INDEX('Game Records'!$U:$U,$H398)&lt;&gt;"Subscription",INDEX('Game Records'!$U:$U,$H398)&lt;&gt;"Free Game",INDEX('Game Records'!$U:$U,$H398)&lt;&gt;"Disqualified — Free Game",INDEX('Game Records'!$I:$I,$H398)=""),"Eligible Players; ","")&amp;IF(AND(INDEX('Game Records'!$U:$U,$H398)&lt;&gt;"Subscription",INDEX('Game Records'!$U:$U,$H398)&lt;&gt;"Free Game",INDEX('Game Records'!$U:$U,$H398)&lt;&gt;"Disqualified — Free Game",INDEX('Game Records'!$J:$J,$H398)=""),"Total Players; ","")&amp;IF(AND(LOWER(INDEX('Game Records'!$D:$D,$H398)&amp;"")="finalized",LOWER(INDEX('Game Records'!$L:$L,$H398)&amp;"")&lt;&gt;"yes",INDEX('Game Records'!$U:$U,$H398)&lt;&gt;"Subscription",INDEX('Game Records'!$U:$U,$H398)&lt;&gt;"Free Game",INDEX('Game Records'!$U:$U,$H398)&lt;&gt;"Disqualified — Free Game",INDEX('Game Records'!$K:$K,$H398)=""),"Final Earned; ","")&amp;IF(AND(LOWER(INDEX('Game Records'!$D:$D,$H398)&amp;"")="finalized",INDEX('Game Records'!$U:$U,$H398)&lt;&gt;"Subscription",INDEX('Game Records'!$U:$U,$H398)&lt;&gt;"Free Game",INDEX('Game Records'!$U:$U,$H398)&lt;&gt;"Disqualified — Free Game",OR(INDEX('Game Records'!$L:$L,$H398)="",LOWER(INDEX('Game Records'!$L:$L,$H398)&amp;"")="n/a")),"Disqualified Status; ","")&amp;IF(AND(OR(LOWER(TRIM(INDEX('Game Records'!$F:$F,$H398)&amp;""))="free game",INDEX('Game Records'!$U:$U,$H398)="Free Game",INDEX('Game Records'!$U:$U,$H398)="Disqualified — Free Game"),N(INDEX('Game Records'!$H:$H,$H398))&lt;&gt;0),"Free Game has a non-zero Entry Fee. Free Game records require a $0 Entry Fee; ",""))</f>
        <v/>
      </c>
      <c r="G398" s="331" t="str">
        <f>IF($H398="","",IFERROR(INDEX('Game Records'!$M:$M,$H398),""))</f>
        <v/>
      </c>
      <c r="H398" s="104" t="str">
        <f>IF($H397="","",IFERROR(MATCH(1,INDEX((ROW('Game Records'!$U$5:$U$504)&gt;$H397)*(('Game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9" ht="24" customHeight="1">
      <c r="A399" s="332" t="str">
        <f>IF($H399="","",ROWS($A$5:A399))</f>
        <v/>
      </c>
      <c r="B399" s="332" t="str">
        <f>IF($H399="","","G-"&amp;TEXT($A399,"0000"))</f>
        <v/>
      </c>
      <c r="C399" s="331" t="str">
        <f>IF($H399="","",IFERROR(INDEX('Game Records'!$A:$A,$H399),""))</f>
        <v/>
      </c>
      <c r="D399" s="331" t="str">
        <f>IF($H399="","",IFERROR(INDEX('Game Records'!$U:$U,$H399),""))</f>
        <v/>
      </c>
      <c r="E399" s="331" t="str">
        <f>IF($H399="","",IF($F399="","No Highlighted Fields","Highlighted Fields Present"))</f>
        <v/>
      </c>
      <c r="F399" s="331" t="str">
        <f>IF($H399="","",IF(OR(NOT(ISFORMULA(INDEX('Game Records'!$N:$N,$H399))),NOT(ISFORMULA(INDEX('Game Records'!$O:$O,$H399))),NOT(ISFORMULA(INDEX('Game Records'!$P:$P,$H399))),NOT(ISFORMULA(INDEX('Game Records'!$Q:$Q,$H399))),NOT(ISFORMULA(INDEX('Game Records'!$R:$R,$H399))),NOT(ISFORMULA(INDEX('Game Records'!$S:$S,$H399))),NOT(ISFORMULA(INDEX('Game Records'!$T:$T,$H399))),NOT(ISFORMULA(INDEX('Game Records'!$U:$U,$H399))),NOT(ISFORMULA(INDEX('Game Records'!$V:$V,$H399))),NOT(ISFORMULA(INDEX('Game Records'!$W:$W,$H399))),NOT(ISFORMULA(INDEX('Game Records'!$X:$X,$H399))),NOT(ISFORMULA(INDEX('Game Records'!$Y:$Y,$H399))),NOT(ISFORMULA(INDEX('Game Records'!$Z:$Z,$H399)))),"Formula columns missing; ","")&amp;IF(INDEX('Game Records'!$B:$B,$H399)="","Start Date; ","")&amp;IF(INDEX('Game Records'!$C:$C,$H399)="","End Date; ","")&amp;IF(AND(INDEX('Game Records'!$U:$U,$H399)&lt;&gt;"Subscription",INDEX('Game Records'!$U:$U,$H399)&lt;&gt;"Free Game",INDEX('Game Records'!$U:$U,$H399)&lt;&gt;"Disqualified — Free Game",OR(INDEX('Game Records'!$D:$D,$H399)="",LOWER(INDEX('Game Records'!$D:$D,$H399)&amp;"")="n/a")),"Entry Mode; ","")&amp;IF(AND(INDEX('Game Records'!$U:$U,$H399)&lt;&gt;"Subscription",INDEX('Game Records'!$U:$U,$H399)&lt;&gt;"Free Game",INDEX('Game Records'!$U:$U,$H399)&lt;&gt;"Disqualified — Free Game",OR(INDEX('Game Records'!$E:$E,$H399)="",LOWER(INDEX('Game Records'!$E:$E,$H399)&amp;"")="n/a")),"Game Type; ","")&amp;IF(INDEX('Game Records'!$F:$F,$H399)="","Payment Type; ","")&amp;IF(AND(INDEX('Game Records'!$U:$U,$H399)&lt;&gt;"Subscription",INDEX('Game Records'!$U:$U,$H399)&lt;&gt;"Free Game",INDEX('Game Records'!$U:$U,$H399)&lt;&gt;"Disqualified — Free Game",INDEX('Game Records'!$G:$G,$H399)=""),"Gross Pot; ","")&amp;IF(AND(INDEX('Game Records'!$U:$U,$H399)&lt;&gt;"Free Game",INDEX('Game Records'!$U:$U,$H399)&lt;&gt;"Disqualified — Free Game",INDEX('Game Records'!$H:$H,$H399)=""),"Entry Fee; ","")&amp;IF(AND(INDEX('Game Records'!$U:$U,$H399)&lt;&gt;"Subscription",INDEX('Game Records'!$U:$U,$H399)&lt;&gt;"Free Game",INDEX('Game Records'!$U:$U,$H399)&lt;&gt;"Disqualified — Free Game",INDEX('Game Records'!$I:$I,$H399)=""),"Eligible Players; ","")&amp;IF(AND(INDEX('Game Records'!$U:$U,$H399)&lt;&gt;"Subscription",INDEX('Game Records'!$U:$U,$H399)&lt;&gt;"Free Game",INDEX('Game Records'!$U:$U,$H399)&lt;&gt;"Disqualified — Free Game",INDEX('Game Records'!$J:$J,$H399)=""),"Total Players; ","")&amp;IF(AND(LOWER(INDEX('Game Records'!$D:$D,$H399)&amp;"")="finalized",LOWER(INDEX('Game Records'!$L:$L,$H399)&amp;"")&lt;&gt;"yes",INDEX('Game Records'!$U:$U,$H399)&lt;&gt;"Subscription",INDEX('Game Records'!$U:$U,$H399)&lt;&gt;"Free Game",INDEX('Game Records'!$U:$U,$H399)&lt;&gt;"Disqualified — Free Game",INDEX('Game Records'!$K:$K,$H399)=""),"Final Earned; ","")&amp;IF(AND(LOWER(INDEX('Game Records'!$D:$D,$H399)&amp;"")="finalized",INDEX('Game Records'!$U:$U,$H399)&lt;&gt;"Subscription",INDEX('Game Records'!$U:$U,$H399)&lt;&gt;"Free Game",INDEX('Game Records'!$U:$U,$H399)&lt;&gt;"Disqualified — Free Game",OR(INDEX('Game Records'!$L:$L,$H399)="",LOWER(INDEX('Game Records'!$L:$L,$H399)&amp;"")="n/a")),"Disqualified Status; ","")&amp;IF(AND(OR(LOWER(TRIM(INDEX('Game Records'!$F:$F,$H399)&amp;""))="free game",INDEX('Game Records'!$U:$U,$H399)="Free Game",INDEX('Game Records'!$U:$U,$H399)="Disqualified — Free Game"),N(INDEX('Game Records'!$H:$H,$H399))&lt;&gt;0),"Free Game has a non-zero Entry Fee. Free Game records require a $0 Entry Fee; ",""))</f>
        <v/>
      </c>
      <c r="G399" s="331" t="str">
        <f>IF($H399="","",IFERROR(INDEX('Game Records'!$M:$M,$H399),""))</f>
        <v/>
      </c>
      <c r="H399" s="104" t="str">
        <f>IF($H398="","",IFERROR(MATCH(1,INDEX((ROW('Game Records'!$U$5:$U$504)&gt;$H398)*(('Game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0" ht="24" customHeight="1">
      <c r="A400" s="332" t="str">
        <f>IF($H400="","",ROWS($A$5:A400))</f>
        <v/>
      </c>
      <c r="B400" s="332" t="str">
        <f>IF($H400="","","G-"&amp;TEXT($A400,"0000"))</f>
        <v/>
      </c>
      <c r="C400" s="331" t="str">
        <f>IF($H400="","",IFERROR(INDEX('Game Records'!$A:$A,$H400),""))</f>
        <v/>
      </c>
      <c r="D400" s="331" t="str">
        <f>IF($H400="","",IFERROR(INDEX('Game Records'!$U:$U,$H400),""))</f>
        <v/>
      </c>
      <c r="E400" s="331" t="str">
        <f>IF($H400="","",IF($F400="","No Highlighted Fields","Highlighted Fields Present"))</f>
        <v/>
      </c>
      <c r="F400" s="331" t="str">
        <f>IF($H400="","",IF(OR(NOT(ISFORMULA(INDEX('Game Records'!$N:$N,$H400))),NOT(ISFORMULA(INDEX('Game Records'!$O:$O,$H400))),NOT(ISFORMULA(INDEX('Game Records'!$P:$P,$H400))),NOT(ISFORMULA(INDEX('Game Records'!$Q:$Q,$H400))),NOT(ISFORMULA(INDEX('Game Records'!$R:$R,$H400))),NOT(ISFORMULA(INDEX('Game Records'!$S:$S,$H400))),NOT(ISFORMULA(INDEX('Game Records'!$T:$T,$H400))),NOT(ISFORMULA(INDEX('Game Records'!$U:$U,$H400))),NOT(ISFORMULA(INDEX('Game Records'!$V:$V,$H400))),NOT(ISFORMULA(INDEX('Game Records'!$W:$W,$H400))),NOT(ISFORMULA(INDEX('Game Records'!$X:$X,$H400))),NOT(ISFORMULA(INDEX('Game Records'!$Y:$Y,$H400))),NOT(ISFORMULA(INDEX('Game Records'!$Z:$Z,$H400)))),"Formula columns missing; ","")&amp;IF(INDEX('Game Records'!$B:$B,$H400)="","Start Date; ","")&amp;IF(INDEX('Game Records'!$C:$C,$H400)="","End Date; ","")&amp;IF(AND(INDEX('Game Records'!$U:$U,$H400)&lt;&gt;"Subscription",INDEX('Game Records'!$U:$U,$H400)&lt;&gt;"Free Game",INDEX('Game Records'!$U:$U,$H400)&lt;&gt;"Disqualified — Free Game",OR(INDEX('Game Records'!$D:$D,$H400)="",LOWER(INDEX('Game Records'!$D:$D,$H400)&amp;"")="n/a")),"Entry Mode; ","")&amp;IF(AND(INDEX('Game Records'!$U:$U,$H400)&lt;&gt;"Subscription",INDEX('Game Records'!$U:$U,$H400)&lt;&gt;"Free Game",INDEX('Game Records'!$U:$U,$H400)&lt;&gt;"Disqualified — Free Game",OR(INDEX('Game Records'!$E:$E,$H400)="",LOWER(INDEX('Game Records'!$E:$E,$H400)&amp;"")="n/a")),"Game Type; ","")&amp;IF(INDEX('Game Records'!$F:$F,$H400)="","Payment Type; ","")&amp;IF(AND(INDEX('Game Records'!$U:$U,$H400)&lt;&gt;"Subscription",INDEX('Game Records'!$U:$U,$H400)&lt;&gt;"Free Game",INDEX('Game Records'!$U:$U,$H400)&lt;&gt;"Disqualified — Free Game",INDEX('Game Records'!$G:$G,$H400)=""),"Gross Pot; ","")&amp;IF(AND(INDEX('Game Records'!$U:$U,$H400)&lt;&gt;"Free Game",INDEX('Game Records'!$U:$U,$H400)&lt;&gt;"Disqualified — Free Game",INDEX('Game Records'!$H:$H,$H400)=""),"Entry Fee; ","")&amp;IF(AND(INDEX('Game Records'!$U:$U,$H400)&lt;&gt;"Subscription",INDEX('Game Records'!$U:$U,$H400)&lt;&gt;"Free Game",INDEX('Game Records'!$U:$U,$H400)&lt;&gt;"Disqualified — Free Game",INDEX('Game Records'!$I:$I,$H400)=""),"Eligible Players; ","")&amp;IF(AND(INDEX('Game Records'!$U:$U,$H400)&lt;&gt;"Subscription",INDEX('Game Records'!$U:$U,$H400)&lt;&gt;"Free Game",INDEX('Game Records'!$U:$U,$H400)&lt;&gt;"Disqualified — Free Game",INDEX('Game Records'!$J:$J,$H400)=""),"Total Players; ","")&amp;IF(AND(LOWER(INDEX('Game Records'!$D:$D,$H400)&amp;"")="finalized",LOWER(INDEX('Game Records'!$L:$L,$H400)&amp;"")&lt;&gt;"yes",INDEX('Game Records'!$U:$U,$H400)&lt;&gt;"Subscription",INDEX('Game Records'!$U:$U,$H400)&lt;&gt;"Free Game",INDEX('Game Records'!$U:$U,$H400)&lt;&gt;"Disqualified — Free Game",INDEX('Game Records'!$K:$K,$H400)=""),"Final Earned; ","")&amp;IF(AND(LOWER(INDEX('Game Records'!$D:$D,$H400)&amp;"")="finalized",INDEX('Game Records'!$U:$U,$H400)&lt;&gt;"Subscription",INDEX('Game Records'!$U:$U,$H400)&lt;&gt;"Free Game",INDEX('Game Records'!$U:$U,$H400)&lt;&gt;"Disqualified — Free Game",OR(INDEX('Game Records'!$L:$L,$H400)="",LOWER(INDEX('Game Records'!$L:$L,$H400)&amp;"")="n/a")),"Disqualified Status; ","")&amp;IF(AND(OR(LOWER(TRIM(INDEX('Game Records'!$F:$F,$H400)&amp;""))="free game",INDEX('Game Records'!$U:$U,$H400)="Free Game",INDEX('Game Records'!$U:$U,$H400)="Disqualified — Free Game"),N(INDEX('Game Records'!$H:$H,$H400))&lt;&gt;0),"Free Game has a non-zero Entry Fee. Free Game records require a $0 Entry Fee; ",""))</f>
        <v/>
      </c>
      <c r="G400" s="331" t="str">
        <f>IF($H400="","",IFERROR(INDEX('Game Records'!$M:$M,$H400),""))</f>
        <v/>
      </c>
      <c r="H400" s="104" t="str">
        <f>IF($H399="","",IFERROR(MATCH(1,INDEX((ROW('Game Records'!$U$5:$U$504)&gt;$H399)*(('Game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1" ht="24" customHeight="1">
      <c r="A401" s="332" t="str">
        <f>IF($H401="","",ROWS($A$5:A401))</f>
        <v/>
      </c>
      <c r="B401" s="332" t="str">
        <f>IF($H401="","","G-"&amp;TEXT($A401,"0000"))</f>
        <v/>
      </c>
      <c r="C401" s="331" t="str">
        <f>IF($H401="","",IFERROR(INDEX('Game Records'!$A:$A,$H401),""))</f>
        <v/>
      </c>
      <c r="D401" s="331" t="str">
        <f>IF($H401="","",IFERROR(INDEX('Game Records'!$U:$U,$H401),""))</f>
        <v/>
      </c>
      <c r="E401" s="331" t="str">
        <f>IF($H401="","",IF($F401="","No Highlighted Fields","Highlighted Fields Present"))</f>
        <v/>
      </c>
      <c r="F401" s="331" t="str">
        <f>IF($H401="","",IF(OR(NOT(ISFORMULA(INDEX('Game Records'!$N:$N,$H401))),NOT(ISFORMULA(INDEX('Game Records'!$O:$O,$H401))),NOT(ISFORMULA(INDEX('Game Records'!$P:$P,$H401))),NOT(ISFORMULA(INDEX('Game Records'!$Q:$Q,$H401))),NOT(ISFORMULA(INDEX('Game Records'!$R:$R,$H401))),NOT(ISFORMULA(INDEX('Game Records'!$S:$S,$H401))),NOT(ISFORMULA(INDEX('Game Records'!$T:$T,$H401))),NOT(ISFORMULA(INDEX('Game Records'!$U:$U,$H401))),NOT(ISFORMULA(INDEX('Game Records'!$V:$V,$H401))),NOT(ISFORMULA(INDEX('Game Records'!$W:$W,$H401))),NOT(ISFORMULA(INDEX('Game Records'!$X:$X,$H401))),NOT(ISFORMULA(INDEX('Game Records'!$Y:$Y,$H401))),NOT(ISFORMULA(INDEX('Game Records'!$Z:$Z,$H401)))),"Formula columns missing; ","")&amp;IF(INDEX('Game Records'!$B:$B,$H401)="","Start Date; ","")&amp;IF(INDEX('Game Records'!$C:$C,$H401)="","End Date; ","")&amp;IF(AND(INDEX('Game Records'!$U:$U,$H401)&lt;&gt;"Subscription",INDEX('Game Records'!$U:$U,$H401)&lt;&gt;"Free Game",INDEX('Game Records'!$U:$U,$H401)&lt;&gt;"Disqualified — Free Game",OR(INDEX('Game Records'!$D:$D,$H401)="",LOWER(INDEX('Game Records'!$D:$D,$H401)&amp;"")="n/a")),"Entry Mode; ","")&amp;IF(AND(INDEX('Game Records'!$U:$U,$H401)&lt;&gt;"Subscription",INDEX('Game Records'!$U:$U,$H401)&lt;&gt;"Free Game",INDEX('Game Records'!$U:$U,$H401)&lt;&gt;"Disqualified — Free Game",OR(INDEX('Game Records'!$E:$E,$H401)="",LOWER(INDEX('Game Records'!$E:$E,$H401)&amp;"")="n/a")),"Game Type; ","")&amp;IF(INDEX('Game Records'!$F:$F,$H401)="","Payment Type; ","")&amp;IF(AND(INDEX('Game Records'!$U:$U,$H401)&lt;&gt;"Subscription",INDEX('Game Records'!$U:$U,$H401)&lt;&gt;"Free Game",INDEX('Game Records'!$U:$U,$H401)&lt;&gt;"Disqualified — Free Game",INDEX('Game Records'!$G:$G,$H401)=""),"Gross Pot; ","")&amp;IF(AND(INDEX('Game Records'!$U:$U,$H401)&lt;&gt;"Free Game",INDEX('Game Records'!$U:$U,$H401)&lt;&gt;"Disqualified — Free Game",INDEX('Game Records'!$H:$H,$H401)=""),"Entry Fee; ","")&amp;IF(AND(INDEX('Game Records'!$U:$U,$H401)&lt;&gt;"Subscription",INDEX('Game Records'!$U:$U,$H401)&lt;&gt;"Free Game",INDEX('Game Records'!$U:$U,$H401)&lt;&gt;"Disqualified — Free Game",INDEX('Game Records'!$I:$I,$H401)=""),"Eligible Players; ","")&amp;IF(AND(INDEX('Game Records'!$U:$U,$H401)&lt;&gt;"Subscription",INDEX('Game Records'!$U:$U,$H401)&lt;&gt;"Free Game",INDEX('Game Records'!$U:$U,$H401)&lt;&gt;"Disqualified — Free Game",INDEX('Game Records'!$J:$J,$H401)=""),"Total Players; ","")&amp;IF(AND(LOWER(INDEX('Game Records'!$D:$D,$H401)&amp;"")="finalized",LOWER(INDEX('Game Records'!$L:$L,$H401)&amp;"")&lt;&gt;"yes",INDEX('Game Records'!$U:$U,$H401)&lt;&gt;"Subscription",INDEX('Game Records'!$U:$U,$H401)&lt;&gt;"Free Game",INDEX('Game Records'!$U:$U,$H401)&lt;&gt;"Disqualified — Free Game",INDEX('Game Records'!$K:$K,$H401)=""),"Final Earned; ","")&amp;IF(AND(LOWER(INDEX('Game Records'!$D:$D,$H401)&amp;"")="finalized",INDEX('Game Records'!$U:$U,$H401)&lt;&gt;"Subscription",INDEX('Game Records'!$U:$U,$H401)&lt;&gt;"Free Game",INDEX('Game Records'!$U:$U,$H401)&lt;&gt;"Disqualified — Free Game",OR(INDEX('Game Records'!$L:$L,$H401)="",LOWER(INDEX('Game Records'!$L:$L,$H401)&amp;"")="n/a")),"Disqualified Status; ","")&amp;IF(AND(OR(LOWER(TRIM(INDEX('Game Records'!$F:$F,$H401)&amp;""))="free game",INDEX('Game Records'!$U:$U,$H401)="Free Game",INDEX('Game Records'!$U:$U,$H401)="Disqualified — Free Game"),N(INDEX('Game Records'!$H:$H,$H401))&lt;&gt;0),"Free Game has a non-zero Entry Fee. Free Game records require a $0 Entry Fee; ",""))</f>
        <v/>
      </c>
      <c r="G401" s="331" t="str">
        <f>IF($H401="","",IFERROR(INDEX('Game Records'!$M:$M,$H401),""))</f>
        <v/>
      </c>
      <c r="H401" s="104" t="str">
        <f>IF($H400="","",IFERROR(MATCH(1,INDEX((ROW('Game Records'!$U$5:$U$504)&gt;$H400)*(('Game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2" ht="24" customHeight="1">
      <c r="A402" s="332" t="str">
        <f>IF($H402="","",ROWS($A$5:A402))</f>
        <v/>
      </c>
      <c r="B402" s="332" t="str">
        <f>IF($H402="","","G-"&amp;TEXT($A402,"0000"))</f>
        <v/>
      </c>
      <c r="C402" s="331" t="str">
        <f>IF($H402="","",IFERROR(INDEX('Game Records'!$A:$A,$H402),""))</f>
        <v/>
      </c>
      <c r="D402" s="331" t="str">
        <f>IF($H402="","",IFERROR(INDEX('Game Records'!$U:$U,$H402),""))</f>
        <v/>
      </c>
      <c r="E402" s="331" t="str">
        <f>IF($H402="","",IF($F402="","No Highlighted Fields","Highlighted Fields Present"))</f>
        <v/>
      </c>
      <c r="F402" s="331" t="str">
        <f>IF($H402="","",IF(OR(NOT(ISFORMULA(INDEX('Game Records'!$N:$N,$H402))),NOT(ISFORMULA(INDEX('Game Records'!$O:$O,$H402))),NOT(ISFORMULA(INDEX('Game Records'!$P:$P,$H402))),NOT(ISFORMULA(INDEX('Game Records'!$Q:$Q,$H402))),NOT(ISFORMULA(INDEX('Game Records'!$R:$R,$H402))),NOT(ISFORMULA(INDEX('Game Records'!$S:$S,$H402))),NOT(ISFORMULA(INDEX('Game Records'!$T:$T,$H402))),NOT(ISFORMULA(INDEX('Game Records'!$U:$U,$H402))),NOT(ISFORMULA(INDEX('Game Records'!$V:$V,$H402))),NOT(ISFORMULA(INDEX('Game Records'!$W:$W,$H402))),NOT(ISFORMULA(INDEX('Game Records'!$X:$X,$H402))),NOT(ISFORMULA(INDEX('Game Records'!$Y:$Y,$H402))),NOT(ISFORMULA(INDEX('Game Records'!$Z:$Z,$H402)))),"Formula columns missing; ","")&amp;IF(INDEX('Game Records'!$B:$B,$H402)="","Start Date; ","")&amp;IF(INDEX('Game Records'!$C:$C,$H402)="","End Date; ","")&amp;IF(AND(INDEX('Game Records'!$U:$U,$H402)&lt;&gt;"Subscription",INDEX('Game Records'!$U:$U,$H402)&lt;&gt;"Free Game",INDEX('Game Records'!$U:$U,$H402)&lt;&gt;"Disqualified — Free Game",OR(INDEX('Game Records'!$D:$D,$H402)="",LOWER(INDEX('Game Records'!$D:$D,$H402)&amp;"")="n/a")),"Entry Mode; ","")&amp;IF(AND(INDEX('Game Records'!$U:$U,$H402)&lt;&gt;"Subscription",INDEX('Game Records'!$U:$U,$H402)&lt;&gt;"Free Game",INDEX('Game Records'!$U:$U,$H402)&lt;&gt;"Disqualified — Free Game",OR(INDEX('Game Records'!$E:$E,$H402)="",LOWER(INDEX('Game Records'!$E:$E,$H402)&amp;"")="n/a")),"Game Type; ","")&amp;IF(INDEX('Game Records'!$F:$F,$H402)="","Payment Type; ","")&amp;IF(AND(INDEX('Game Records'!$U:$U,$H402)&lt;&gt;"Subscription",INDEX('Game Records'!$U:$U,$H402)&lt;&gt;"Free Game",INDEX('Game Records'!$U:$U,$H402)&lt;&gt;"Disqualified — Free Game",INDEX('Game Records'!$G:$G,$H402)=""),"Gross Pot; ","")&amp;IF(AND(INDEX('Game Records'!$U:$U,$H402)&lt;&gt;"Free Game",INDEX('Game Records'!$U:$U,$H402)&lt;&gt;"Disqualified — Free Game",INDEX('Game Records'!$H:$H,$H402)=""),"Entry Fee; ","")&amp;IF(AND(INDEX('Game Records'!$U:$U,$H402)&lt;&gt;"Subscription",INDEX('Game Records'!$U:$U,$H402)&lt;&gt;"Free Game",INDEX('Game Records'!$U:$U,$H402)&lt;&gt;"Disqualified — Free Game",INDEX('Game Records'!$I:$I,$H402)=""),"Eligible Players; ","")&amp;IF(AND(INDEX('Game Records'!$U:$U,$H402)&lt;&gt;"Subscription",INDEX('Game Records'!$U:$U,$H402)&lt;&gt;"Free Game",INDEX('Game Records'!$U:$U,$H402)&lt;&gt;"Disqualified — Free Game",INDEX('Game Records'!$J:$J,$H402)=""),"Total Players; ","")&amp;IF(AND(LOWER(INDEX('Game Records'!$D:$D,$H402)&amp;"")="finalized",LOWER(INDEX('Game Records'!$L:$L,$H402)&amp;"")&lt;&gt;"yes",INDEX('Game Records'!$U:$U,$H402)&lt;&gt;"Subscription",INDEX('Game Records'!$U:$U,$H402)&lt;&gt;"Free Game",INDEX('Game Records'!$U:$U,$H402)&lt;&gt;"Disqualified — Free Game",INDEX('Game Records'!$K:$K,$H402)=""),"Final Earned; ","")&amp;IF(AND(LOWER(INDEX('Game Records'!$D:$D,$H402)&amp;"")="finalized",INDEX('Game Records'!$U:$U,$H402)&lt;&gt;"Subscription",INDEX('Game Records'!$U:$U,$H402)&lt;&gt;"Free Game",INDEX('Game Records'!$U:$U,$H402)&lt;&gt;"Disqualified — Free Game",OR(INDEX('Game Records'!$L:$L,$H402)="",LOWER(INDEX('Game Records'!$L:$L,$H402)&amp;"")="n/a")),"Disqualified Status; ","")&amp;IF(AND(OR(LOWER(TRIM(INDEX('Game Records'!$F:$F,$H402)&amp;""))="free game",INDEX('Game Records'!$U:$U,$H402)="Free Game",INDEX('Game Records'!$U:$U,$H402)="Disqualified — Free Game"),N(INDEX('Game Records'!$H:$H,$H402))&lt;&gt;0),"Free Game has a non-zero Entry Fee. Free Game records require a $0 Entry Fee; ",""))</f>
        <v/>
      </c>
      <c r="G402" s="331" t="str">
        <f>IF($H402="","",IFERROR(INDEX('Game Records'!$M:$M,$H402),""))</f>
        <v/>
      </c>
      <c r="H402" s="104" t="str">
        <f>IF($H401="","",IFERROR(MATCH(1,INDEX((ROW('Game Records'!$U$5:$U$504)&gt;$H401)*(('Game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3" ht="24" customHeight="1">
      <c r="A403" s="332" t="str">
        <f>IF($H403="","",ROWS($A$5:A403))</f>
        <v/>
      </c>
      <c r="B403" s="332" t="str">
        <f>IF($H403="","","G-"&amp;TEXT($A403,"0000"))</f>
        <v/>
      </c>
      <c r="C403" s="331" t="str">
        <f>IF($H403="","",IFERROR(INDEX('Game Records'!$A:$A,$H403),""))</f>
        <v/>
      </c>
      <c r="D403" s="331" t="str">
        <f>IF($H403="","",IFERROR(INDEX('Game Records'!$U:$U,$H403),""))</f>
        <v/>
      </c>
      <c r="E403" s="331" t="str">
        <f>IF($H403="","",IF($F403="","No Highlighted Fields","Highlighted Fields Present"))</f>
        <v/>
      </c>
      <c r="F403" s="331" t="str">
        <f>IF($H403="","",IF(OR(NOT(ISFORMULA(INDEX('Game Records'!$N:$N,$H403))),NOT(ISFORMULA(INDEX('Game Records'!$O:$O,$H403))),NOT(ISFORMULA(INDEX('Game Records'!$P:$P,$H403))),NOT(ISFORMULA(INDEX('Game Records'!$Q:$Q,$H403))),NOT(ISFORMULA(INDEX('Game Records'!$R:$R,$H403))),NOT(ISFORMULA(INDEX('Game Records'!$S:$S,$H403))),NOT(ISFORMULA(INDEX('Game Records'!$T:$T,$H403))),NOT(ISFORMULA(INDEX('Game Records'!$U:$U,$H403))),NOT(ISFORMULA(INDEX('Game Records'!$V:$V,$H403))),NOT(ISFORMULA(INDEX('Game Records'!$W:$W,$H403))),NOT(ISFORMULA(INDEX('Game Records'!$X:$X,$H403))),NOT(ISFORMULA(INDEX('Game Records'!$Y:$Y,$H403))),NOT(ISFORMULA(INDEX('Game Records'!$Z:$Z,$H403)))),"Formula columns missing; ","")&amp;IF(INDEX('Game Records'!$B:$B,$H403)="","Start Date; ","")&amp;IF(INDEX('Game Records'!$C:$C,$H403)="","End Date; ","")&amp;IF(AND(INDEX('Game Records'!$U:$U,$H403)&lt;&gt;"Subscription",INDEX('Game Records'!$U:$U,$H403)&lt;&gt;"Free Game",INDEX('Game Records'!$U:$U,$H403)&lt;&gt;"Disqualified — Free Game",OR(INDEX('Game Records'!$D:$D,$H403)="",LOWER(INDEX('Game Records'!$D:$D,$H403)&amp;"")="n/a")),"Entry Mode; ","")&amp;IF(AND(INDEX('Game Records'!$U:$U,$H403)&lt;&gt;"Subscription",INDEX('Game Records'!$U:$U,$H403)&lt;&gt;"Free Game",INDEX('Game Records'!$U:$U,$H403)&lt;&gt;"Disqualified — Free Game",OR(INDEX('Game Records'!$E:$E,$H403)="",LOWER(INDEX('Game Records'!$E:$E,$H403)&amp;"")="n/a")),"Game Type; ","")&amp;IF(INDEX('Game Records'!$F:$F,$H403)="","Payment Type; ","")&amp;IF(AND(INDEX('Game Records'!$U:$U,$H403)&lt;&gt;"Subscription",INDEX('Game Records'!$U:$U,$H403)&lt;&gt;"Free Game",INDEX('Game Records'!$U:$U,$H403)&lt;&gt;"Disqualified — Free Game",INDEX('Game Records'!$G:$G,$H403)=""),"Gross Pot; ","")&amp;IF(AND(INDEX('Game Records'!$U:$U,$H403)&lt;&gt;"Free Game",INDEX('Game Records'!$U:$U,$H403)&lt;&gt;"Disqualified — Free Game",INDEX('Game Records'!$H:$H,$H403)=""),"Entry Fee; ","")&amp;IF(AND(INDEX('Game Records'!$U:$U,$H403)&lt;&gt;"Subscription",INDEX('Game Records'!$U:$U,$H403)&lt;&gt;"Free Game",INDEX('Game Records'!$U:$U,$H403)&lt;&gt;"Disqualified — Free Game",INDEX('Game Records'!$I:$I,$H403)=""),"Eligible Players; ","")&amp;IF(AND(INDEX('Game Records'!$U:$U,$H403)&lt;&gt;"Subscription",INDEX('Game Records'!$U:$U,$H403)&lt;&gt;"Free Game",INDEX('Game Records'!$U:$U,$H403)&lt;&gt;"Disqualified — Free Game",INDEX('Game Records'!$J:$J,$H403)=""),"Total Players; ","")&amp;IF(AND(LOWER(INDEX('Game Records'!$D:$D,$H403)&amp;"")="finalized",LOWER(INDEX('Game Records'!$L:$L,$H403)&amp;"")&lt;&gt;"yes",INDEX('Game Records'!$U:$U,$H403)&lt;&gt;"Subscription",INDEX('Game Records'!$U:$U,$H403)&lt;&gt;"Free Game",INDEX('Game Records'!$U:$U,$H403)&lt;&gt;"Disqualified — Free Game",INDEX('Game Records'!$K:$K,$H403)=""),"Final Earned; ","")&amp;IF(AND(LOWER(INDEX('Game Records'!$D:$D,$H403)&amp;"")="finalized",INDEX('Game Records'!$U:$U,$H403)&lt;&gt;"Subscription",INDEX('Game Records'!$U:$U,$H403)&lt;&gt;"Free Game",INDEX('Game Records'!$U:$U,$H403)&lt;&gt;"Disqualified — Free Game",OR(INDEX('Game Records'!$L:$L,$H403)="",LOWER(INDEX('Game Records'!$L:$L,$H403)&amp;"")="n/a")),"Disqualified Status; ","")&amp;IF(AND(OR(LOWER(TRIM(INDEX('Game Records'!$F:$F,$H403)&amp;""))="free game",INDEX('Game Records'!$U:$U,$H403)="Free Game",INDEX('Game Records'!$U:$U,$H403)="Disqualified — Free Game"),N(INDEX('Game Records'!$H:$H,$H403))&lt;&gt;0),"Free Game has a non-zero Entry Fee. Free Game records require a $0 Entry Fee; ",""))</f>
        <v/>
      </c>
      <c r="G403" s="331" t="str">
        <f>IF($H403="","",IFERROR(INDEX('Game Records'!$M:$M,$H403),""))</f>
        <v/>
      </c>
      <c r="H403" s="104" t="str">
        <f>IF($H402="","",IFERROR(MATCH(1,INDEX((ROW('Game Records'!$U$5:$U$504)&gt;$H402)*(('Game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4" ht="24" customHeight="1">
      <c r="A404" s="332" t="str">
        <f>IF($H404="","",ROWS($A$5:A404))</f>
        <v/>
      </c>
      <c r="B404" s="332" t="str">
        <f>IF($H404="","","G-"&amp;TEXT($A404,"0000"))</f>
        <v/>
      </c>
      <c r="C404" s="331" t="str">
        <f>IF($H404="","",IFERROR(INDEX('Game Records'!$A:$A,$H404),""))</f>
        <v/>
      </c>
      <c r="D404" s="331" t="str">
        <f>IF($H404="","",IFERROR(INDEX('Game Records'!$U:$U,$H404),""))</f>
        <v/>
      </c>
      <c r="E404" s="331" t="str">
        <f>IF($H404="","",IF($F404="","No Highlighted Fields","Highlighted Fields Present"))</f>
        <v/>
      </c>
      <c r="F404" s="331" t="str">
        <f>IF($H404="","",IF(OR(NOT(ISFORMULA(INDEX('Game Records'!$N:$N,$H404))),NOT(ISFORMULA(INDEX('Game Records'!$O:$O,$H404))),NOT(ISFORMULA(INDEX('Game Records'!$P:$P,$H404))),NOT(ISFORMULA(INDEX('Game Records'!$Q:$Q,$H404))),NOT(ISFORMULA(INDEX('Game Records'!$R:$R,$H404))),NOT(ISFORMULA(INDEX('Game Records'!$S:$S,$H404))),NOT(ISFORMULA(INDEX('Game Records'!$T:$T,$H404))),NOT(ISFORMULA(INDEX('Game Records'!$U:$U,$H404))),NOT(ISFORMULA(INDEX('Game Records'!$V:$V,$H404))),NOT(ISFORMULA(INDEX('Game Records'!$W:$W,$H404))),NOT(ISFORMULA(INDEX('Game Records'!$X:$X,$H404))),NOT(ISFORMULA(INDEX('Game Records'!$Y:$Y,$H404))),NOT(ISFORMULA(INDEX('Game Records'!$Z:$Z,$H404)))),"Formula columns missing; ","")&amp;IF(INDEX('Game Records'!$B:$B,$H404)="","Start Date; ","")&amp;IF(INDEX('Game Records'!$C:$C,$H404)="","End Date; ","")&amp;IF(AND(INDEX('Game Records'!$U:$U,$H404)&lt;&gt;"Subscription",INDEX('Game Records'!$U:$U,$H404)&lt;&gt;"Free Game",INDEX('Game Records'!$U:$U,$H404)&lt;&gt;"Disqualified — Free Game",OR(INDEX('Game Records'!$D:$D,$H404)="",LOWER(INDEX('Game Records'!$D:$D,$H404)&amp;"")="n/a")),"Entry Mode; ","")&amp;IF(AND(INDEX('Game Records'!$U:$U,$H404)&lt;&gt;"Subscription",INDEX('Game Records'!$U:$U,$H404)&lt;&gt;"Free Game",INDEX('Game Records'!$U:$U,$H404)&lt;&gt;"Disqualified — Free Game",OR(INDEX('Game Records'!$E:$E,$H404)="",LOWER(INDEX('Game Records'!$E:$E,$H404)&amp;"")="n/a")),"Game Type; ","")&amp;IF(INDEX('Game Records'!$F:$F,$H404)="","Payment Type; ","")&amp;IF(AND(INDEX('Game Records'!$U:$U,$H404)&lt;&gt;"Subscription",INDEX('Game Records'!$U:$U,$H404)&lt;&gt;"Free Game",INDEX('Game Records'!$U:$U,$H404)&lt;&gt;"Disqualified — Free Game",INDEX('Game Records'!$G:$G,$H404)=""),"Gross Pot; ","")&amp;IF(AND(INDEX('Game Records'!$U:$U,$H404)&lt;&gt;"Free Game",INDEX('Game Records'!$U:$U,$H404)&lt;&gt;"Disqualified — Free Game",INDEX('Game Records'!$H:$H,$H404)=""),"Entry Fee; ","")&amp;IF(AND(INDEX('Game Records'!$U:$U,$H404)&lt;&gt;"Subscription",INDEX('Game Records'!$U:$U,$H404)&lt;&gt;"Free Game",INDEX('Game Records'!$U:$U,$H404)&lt;&gt;"Disqualified — Free Game",INDEX('Game Records'!$I:$I,$H404)=""),"Eligible Players; ","")&amp;IF(AND(INDEX('Game Records'!$U:$U,$H404)&lt;&gt;"Subscription",INDEX('Game Records'!$U:$U,$H404)&lt;&gt;"Free Game",INDEX('Game Records'!$U:$U,$H404)&lt;&gt;"Disqualified — Free Game",INDEX('Game Records'!$J:$J,$H404)=""),"Total Players; ","")&amp;IF(AND(LOWER(INDEX('Game Records'!$D:$D,$H404)&amp;"")="finalized",LOWER(INDEX('Game Records'!$L:$L,$H404)&amp;"")&lt;&gt;"yes",INDEX('Game Records'!$U:$U,$H404)&lt;&gt;"Subscription",INDEX('Game Records'!$U:$U,$H404)&lt;&gt;"Free Game",INDEX('Game Records'!$U:$U,$H404)&lt;&gt;"Disqualified — Free Game",INDEX('Game Records'!$K:$K,$H404)=""),"Final Earned; ","")&amp;IF(AND(LOWER(INDEX('Game Records'!$D:$D,$H404)&amp;"")="finalized",INDEX('Game Records'!$U:$U,$H404)&lt;&gt;"Subscription",INDEX('Game Records'!$U:$U,$H404)&lt;&gt;"Free Game",INDEX('Game Records'!$U:$U,$H404)&lt;&gt;"Disqualified — Free Game",OR(INDEX('Game Records'!$L:$L,$H404)="",LOWER(INDEX('Game Records'!$L:$L,$H404)&amp;"")="n/a")),"Disqualified Status; ","")&amp;IF(AND(OR(LOWER(TRIM(INDEX('Game Records'!$F:$F,$H404)&amp;""))="free game",INDEX('Game Records'!$U:$U,$H404)="Free Game",INDEX('Game Records'!$U:$U,$H404)="Disqualified — Free Game"),N(INDEX('Game Records'!$H:$H,$H404))&lt;&gt;0),"Free Game has a non-zero Entry Fee. Free Game records require a $0 Entry Fee; ",""))</f>
        <v/>
      </c>
      <c r="G404" s="331" t="str">
        <f>IF($H404="","",IFERROR(INDEX('Game Records'!$M:$M,$H404),""))</f>
        <v/>
      </c>
      <c r="H404" s="104" t="str">
        <f>IF($H403="","",IFERROR(MATCH(1,INDEX((ROW('Game Records'!$U$5:$U$504)&gt;$H403)*(('Game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5" ht="24" customHeight="1">
      <c r="A405" s="332" t="str">
        <f>IF($H405="","",ROWS($A$5:A405))</f>
        <v/>
      </c>
      <c r="B405" s="332" t="str">
        <f>IF($H405="","","G-"&amp;TEXT($A405,"0000"))</f>
        <v/>
      </c>
      <c r="C405" s="331" t="str">
        <f>IF($H405="","",IFERROR(INDEX('Game Records'!$A:$A,$H405),""))</f>
        <v/>
      </c>
      <c r="D405" s="331" t="str">
        <f>IF($H405="","",IFERROR(INDEX('Game Records'!$U:$U,$H405),""))</f>
        <v/>
      </c>
      <c r="E405" s="331" t="str">
        <f>IF($H405="","",IF($F405="","No Highlighted Fields","Highlighted Fields Present"))</f>
        <v/>
      </c>
      <c r="F405" s="331" t="str">
        <f>IF($H405="","",IF(OR(NOT(ISFORMULA(INDEX('Game Records'!$N:$N,$H405))),NOT(ISFORMULA(INDEX('Game Records'!$O:$O,$H405))),NOT(ISFORMULA(INDEX('Game Records'!$P:$P,$H405))),NOT(ISFORMULA(INDEX('Game Records'!$Q:$Q,$H405))),NOT(ISFORMULA(INDEX('Game Records'!$R:$R,$H405))),NOT(ISFORMULA(INDEX('Game Records'!$S:$S,$H405))),NOT(ISFORMULA(INDEX('Game Records'!$T:$T,$H405))),NOT(ISFORMULA(INDEX('Game Records'!$U:$U,$H405))),NOT(ISFORMULA(INDEX('Game Records'!$V:$V,$H405))),NOT(ISFORMULA(INDEX('Game Records'!$W:$W,$H405))),NOT(ISFORMULA(INDEX('Game Records'!$X:$X,$H405))),NOT(ISFORMULA(INDEX('Game Records'!$Y:$Y,$H405))),NOT(ISFORMULA(INDEX('Game Records'!$Z:$Z,$H405)))),"Formula columns missing; ","")&amp;IF(INDEX('Game Records'!$B:$B,$H405)="","Start Date; ","")&amp;IF(INDEX('Game Records'!$C:$C,$H405)="","End Date; ","")&amp;IF(AND(INDEX('Game Records'!$U:$U,$H405)&lt;&gt;"Subscription",INDEX('Game Records'!$U:$U,$H405)&lt;&gt;"Free Game",INDEX('Game Records'!$U:$U,$H405)&lt;&gt;"Disqualified — Free Game",OR(INDEX('Game Records'!$D:$D,$H405)="",LOWER(INDEX('Game Records'!$D:$D,$H405)&amp;"")="n/a")),"Entry Mode; ","")&amp;IF(AND(INDEX('Game Records'!$U:$U,$H405)&lt;&gt;"Subscription",INDEX('Game Records'!$U:$U,$H405)&lt;&gt;"Free Game",INDEX('Game Records'!$U:$U,$H405)&lt;&gt;"Disqualified — Free Game",OR(INDEX('Game Records'!$E:$E,$H405)="",LOWER(INDEX('Game Records'!$E:$E,$H405)&amp;"")="n/a")),"Game Type; ","")&amp;IF(INDEX('Game Records'!$F:$F,$H405)="","Payment Type; ","")&amp;IF(AND(INDEX('Game Records'!$U:$U,$H405)&lt;&gt;"Subscription",INDEX('Game Records'!$U:$U,$H405)&lt;&gt;"Free Game",INDEX('Game Records'!$U:$U,$H405)&lt;&gt;"Disqualified — Free Game",INDEX('Game Records'!$G:$G,$H405)=""),"Gross Pot; ","")&amp;IF(AND(INDEX('Game Records'!$U:$U,$H405)&lt;&gt;"Free Game",INDEX('Game Records'!$U:$U,$H405)&lt;&gt;"Disqualified — Free Game",INDEX('Game Records'!$H:$H,$H405)=""),"Entry Fee; ","")&amp;IF(AND(INDEX('Game Records'!$U:$U,$H405)&lt;&gt;"Subscription",INDEX('Game Records'!$U:$U,$H405)&lt;&gt;"Free Game",INDEX('Game Records'!$U:$U,$H405)&lt;&gt;"Disqualified — Free Game",INDEX('Game Records'!$I:$I,$H405)=""),"Eligible Players; ","")&amp;IF(AND(INDEX('Game Records'!$U:$U,$H405)&lt;&gt;"Subscription",INDEX('Game Records'!$U:$U,$H405)&lt;&gt;"Free Game",INDEX('Game Records'!$U:$U,$H405)&lt;&gt;"Disqualified — Free Game",INDEX('Game Records'!$J:$J,$H405)=""),"Total Players; ","")&amp;IF(AND(LOWER(INDEX('Game Records'!$D:$D,$H405)&amp;"")="finalized",LOWER(INDEX('Game Records'!$L:$L,$H405)&amp;"")&lt;&gt;"yes",INDEX('Game Records'!$U:$U,$H405)&lt;&gt;"Subscription",INDEX('Game Records'!$U:$U,$H405)&lt;&gt;"Free Game",INDEX('Game Records'!$U:$U,$H405)&lt;&gt;"Disqualified — Free Game",INDEX('Game Records'!$K:$K,$H405)=""),"Final Earned; ","")&amp;IF(AND(LOWER(INDEX('Game Records'!$D:$D,$H405)&amp;"")="finalized",INDEX('Game Records'!$U:$U,$H405)&lt;&gt;"Subscription",INDEX('Game Records'!$U:$U,$H405)&lt;&gt;"Free Game",INDEX('Game Records'!$U:$U,$H405)&lt;&gt;"Disqualified — Free Game",OR(INDEX('Game Records'!$L:$L,$H405)="",LOWER(INDEX('Game Records'!$L:$L,$H405)&amp;"")="n/a")),"Disqualified Status; ","")&amp;IF(AND(OR(LOWER(TRIM(INDEX('Game Records'!$F:$F,$H405)&amp;""))="free game",INDEX('Game Records'!$U:$U,$H405)="Free Game",INDEX('Game Records'!$U:$U,$H405)="Disqualified — Free Game"),N(INDEX('Game Records'!$H:$H,$H405))&lt;&gt;0),"Free Game has a non-zero Entry Fee. Free Game records require a $0 Entry Fee; ",""))</f>
        <v/>
      </c>
      <c r="G405" s="331" t="str">
        <f>IF($H405="","",IFERROR(INDEX('Game Records'!$M:$M,$H405),""))</f>
        <v/>
      </c>
      <c r="H405" s="104" t="str">
        <f>IF($H404="","",IFERROR(MATCH(1,INDEX((ROW('Game Records'!$U$5:$U$504)&gt;$H404)*(('Game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6" ht="24" customHeight="1">
      <c r="A406" s="332" t="str">
        <f>IF($H406="","",ROWS($A$5:A406))</f>
        <v/>
      </c>
      <c r="B406" s="332" t="str">
        <f>IF($H406="","","G-"&amp;TEXT($A406,"0000"))</f>
        <v/>
      </c>
      <c r="C406" s="331" t="str">
        <f>IF($H406="","",IFERROR(INDEX('Game Records'!$A:$A,$H406),""))</f>
        <v/>
      </c>
      <c r="D406" s="331" t="str">
        <f>IF($H406="","",IFERROR(INDEX('Game Records'!$U:$U,$H406),""))</f>
        <v/>
      </c>
      <c r="E406" s="331" t="str">
        <f>IF($H406="","",IF($F406="","No Highlighted Fields","Highlighted Fields Present"))</f>
        <v/>
      </c>
      <c r="F406" s="331" t="str">
        <f>IF($H406="","",IF(OR(NOT(ISFORMULA(INDEX('Game Records'!$N:$N,$H406))),NOT(ISFORMULA(INDEX('Game Records'!$O:$O,$H406))),NOT(ISFORMULA(INDEX('Game Records'!$P:$P,$H406))),NOT(ISFORMULA(INDEX('Game Records'!$Q:$Q,$H406))),NOT(ISFORMULA(INDEX('Game Records'!$R:$R,$H406))),NOT(ISFORMULA(INDEX('Game Records'!$S:$S,$H406))),NOT(ISFORMULA(INDEX('Game Records'!$T:$T,$H406))),NOT(ISFORMULA(INDEX('Game Records'!$U:$U,$H406))),NOT(ISFORMULA(INDEX('Game Records'!$V:$V,$H406))),NOT(ISFORMULA(INDEX('Game Records'!$W:$W,$H406))),NOT(ISFORMULA(INDEX('Game Records'!$X:$X,$H406))),NOT(ISFORMULA(INDEX('Game Records'!$Y:$Y,$H406))),NOT(ISFORMULA(INDEX('Game Records'!$Z:$Z,$H406)))),"Formula columns missing; ","")&amp;IF(INDEX('Game Records'!$B:$B,$H406)="","Start Date; ","")&amp;IF(INDEX('Game Records'!$C:$C,$H406)="","End Date; ","")&amp;IF(AND(INDEX('Game Records'!$U:$U,$H406)&lt;&gt;"Subscription",INDEX('Game Records'!$U:$U,$H406)&lt;&gt;"Free Game",INDEX('Game Records'!$U:$U,$H406)&lt;&gt;"Disqualified — Free Game",OR(INDEX('Game Records'!$D:$D,$H406)="",LOWER(INDEX('Game Records'!$D:$D,$H406)&amp;"")="n/a")),"Entry Mode; ","")&amp;IF(AND(INDEX('Game Records'!$U:$U,$H406)&lt;&gt;"Subscription",INDEX('Game Records'!$U:$U,$H406)&lt;&gt;"Free Game",INDEX('Game Records'!$U:$U,$H406)&lt;&gt;"Disqualified — Free Game",OR(INDEX('Game Records'!$E:$E,$H406)="",LOWER(INDEX('Game Records'!$E:$E,$H406)&amp;"")="n/a")),"Game Type; ","")&amp;IF(INDEX('Game Records'!$F:$F,$H406)="","Payment Type; ","")&amp;IF(AND(INDEX('Game Records'!$U:$U,$H406)&lt;&gt;"Subscription",INDEX('Game Records'!$U:$U,$H406)&lt;&gt;"Free Game",INDEX('Game Records'!$U:$U,$H406)&lt;&gt;"Disqualified — Free Game",INDEX('Game Records'!$G:$G,$H406)=""),"Gross Pot; ","")&amp;IF(AND(INDEX('Game Records'!$U:$U,$H406)&lt;&gt;"Free Game",INDEX('Game Records'!$U:$U,$H406)&lt;&gt;"Disqualified — Free Game",INDEX('Game Records'!$H:$H,$H406)=""),"Entry Fee; ","")&amp;IF(AND(INDEX('Game Records'!$U:$U,$H406)&lt;&gt;"Subscription",INDEX('Game Records'!$U:$U,$H406)&lt;&gt;"Free Game",INDEX('Game Records'!$U:$U,$H406)&lt;&gt;"Disqualified — Free Game",INDEX('Game Records'!$I:$I,$H406)=""),"Eligible Players; ","")&amp;IF(AND(INDEX('Game Records'!$U:$U,$H406)&lt;&gt;"Subscription",INDEX('Game Records'!$U:$U,$H406)&lt;&gt;"Free Game",INDEX('Game Records'!$U:$U,$H406)&lt;&gt;"Disqualified — Free Game",INDEX('Game Records'!$J:$J,$H406)=""),"Total Players; ","")&amp;IF(AND(LOWER(INDEX('Game Records'!$D:$D,$H406)&amp;"")="finalized",LOWER(INDEX('Game Records'!$L:$L,$H406)&amp;"")&lt;&gt;"yes",INDEX('Game Records'!$U:$U,$H406)&lt;&gt;"Subscription",INDEX('Game Records'!$U:$U,$H406)&lt;&gt;"Free Game",INDEX('Game Records'!$U:$U,$H406)&lt;&gt;"Disqualified — Free Game",INDEX('Game Records'!$K:$K,$H406)=""),"Final Earned; ","")&amp;IF(AND(LOWER(INDEX('Game Records'!$D:$D,$H406)&amp;"")="finalized",INDEX('Game Records'!$U:$U,$H406)&lt;&gt;"Subscription",INDEX('Game Records'!$U:$U,$H406)&lt;&gt;"Free Game",INDEX('Game Records'!$U:$U,$H406)&lt;&gt;"Disqualified — Free Game",OR(INDEX('Game Records'!$L:$L,$H406)="",LOWER(INDEX('Game Records'!$L:$L,$H406)&amp;"")="n/a")),"Disqualified Status; ","")&amp;IF(AND(OR(LOWER(TRIM(INDEX('Game Records'!$F:$F,$H406)&amp;""))="free game",INDEX('Game Records'!$U:$U,$H406)="Free Game",INDEX('Game Records'!$U:$U,$H406)="Disqualified — Free Game"),N(INDEX('Game Records'!$H:$H,$H406))&lt;&gt;0),"Free Game has a non-zero Entry Fee. Free Game records require a $0 Entry Fee; ",""))</f>
        <v/>
      </c>
      <c r="G406" s="331" t="str">
        <f>IF($H406="","",IFERROR(INDEX('Game Records'!$M:$M,$H406),""))</f>
        <v/>
      </c>
      <c r="H406" s="104" t="str">
        <f>IF($H405="","",IFERROR(MATCH(1,INDEX((ROW('Game Records'!$U$5:$U$504)&gt;$H405)*(('Game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7" ht="24" customHeight="1">
      <c r="A407" s="332" t="str">
        <f>IF($H407="","",ROWS($A$5:A407))</f>
        <v/>
      </c>
      <c r="B407" s="332" t="str">
        <f>IF($H407="","","G-"&amp;TEXT($A407,"0000"))</f>
        <v/>
      </c>
      <c r="C407" s="331" t="str">
        <f>IF($H407="","",IFERROR(INDEX('Game Records'!$A:$A,$H407),""))</f>
        <v/>
      </c>
      <c r="D407" s="331" t="str">
        <f>IF($H407="","",IFERROR(INDEX('Game Records'!$U:$U,$H407),""))</f>
        <v/>
      </c>
      <c r="E407" s="331" t="str">
        <f>IF($H407="","",IF($F407="","No Highlighted Fields","Highlighted Fields Present"))</f>
        <v/>
      </c>
      <c r="F407" s="331" t="str">
        <f>IF($H407="","",IF(OR(NOT(ISFORMULA(INDEX('Game Records'!$N:$N,$H407))),NOT(ISFORMULA(INDEX('Game Records'!$O:$O,$H407))),NOT(ISFORMULA(INDEX('Game Records'!$P:$P,$H407))),NOT(ISFORMULA(INDEX('Game Records'!$Q:$Q,$H407))),NOT(ISFORMULA(INDEX('Game Records'!$R:$R,$H407))),NOT(ISFORMULA(INDEX('Game Records'!$S:$S,$H407))),NOT(ISFORMULA(INDEX('Game Records'!$T:$T,$H407))),NOT(ISFORMULA(INDEX('Game Records'!$U:$U,$H407))),NOT(ISFORMULA(INDEX('Game Records'!$V:$V,$H407))),NOT(ISFORMULA(INDEX('Game Records'!$W:$W,$H407))),NOT(ISFORMULA(INDEX('Game Records'!$X:$X,$H407))),NOT(ISFORMULA(INDEX('Game Records'!$Y:$Y,$H407))),NOT(ISFORMULA(INDEX('Game Records'!$Z:$Z,$H407)))),"Formula columns missing; ","")&amp;IF(INDEX('Game Records'!$B:$B,$H407)="","Start Date; ","")&amp;IF(INDEX('Game Records'!$C:$C,$H407)="","End Date; ","")&amp;IF(AND(INDEX('Game Records'!$U:$U,$H407)&lt;&gt;"Subscription",INDEX('Game Records'!$U:$U,$H407)&lt;&gt;"Free Game",INDEX('Game Records'!$U:$U,$H407)&lt;&gt;"Disqualified — Free Game",OR(INDEX('Game Records'!$D:$D,$H407)="",LOWER(INDEX('Game Records'!$D:$D,$H407)&amp;"")="n/a")),"Entry Mode; ","")&amp;IF(AND(INDEX('Game Records'!$U:$U,$H407)&lt;&gt;"Subscription",INDEX('Game Records'!$U:$U,$H407)&lt;&gt;"Free Game",INDEX('Game Records'!$U:$U,$H407)&lt;&gt;"Disqualified — Free Game",OR(INDEX('Game Records'!$E:$E,$H407)="",LOWER(INDEX('Game Records'!$E:$E,$H407)&amp;"")="n/a")),"Game Type; ","")&amp;IF(INDEX('Game Records'!$F:$F,$H407)="","Payment Type; ","")&amp;IF(AND(INDEX('Game Records'!$U:$U,$H407)&lt;&gt;"Subscription",INDEX('Game Records'!$U:$U,$H407)&lt;&gt;"Free Game",INDEX('Game Records'!$U:$U,$H407)&lt;&gt;"Disqualified — Free Game",INDEX('Game Records'!$G:$G,$H407)=""),"Gross Pot; ","")&amp;IF(AND(INDEX('Game Records'!$U:$U,$H407)&lt;&gt;"Free Game",INDEX('Game Records'!$U:$U,$H407)&lt;&gt;"Disqualified — Free Game",INDEX('Game Records'!$H:$H,$H407)=""),"Entry Fee; ","")&amp;IF(AND(INDEX('Game Records'!$U:$U,$H407)&lt;&gt;"Subscription",INDEX('Game Records'!$U:$U,$H407)&lt;&gt;"Free Game",INDEX('Game Records'!$U:$U,$H407)&lt;&gt;"Disqualified — Free Game",INDEX('Game Records'!$I:$I,$H407)=""),"Eligible Players; ","")&amp;IF(AND(INDEX('Game Records'!$U:$U,$H407)&lt;&gt;"Subscription",INDEX('Game Records'!$U:$U,$H407)&lt;&gt;"Free Game",INDEX('Game Records'!$U:$U,$H407)&lt;&gt;"Disqualified — Free Game",INDEX('Game Records'!$J:$J,$H407)=""),"Total Players; ","")&amp;IF(AND(LOWER(INDEX('Game Records'!$D:$D,$H407)&amp;"")="finalized",LOWER(INDEX('Game Records'!$L:$L,$H407)&amp;"")&lt;&gt;"yes",INDEX('Game Records'!$U:$U,$H407)&lt;&gt;"Subscription",INDEX('Game Records'!$U:$U,$H407)&lt;&gt;"Free Game",INDEX('Game Records'!$U:$U,$H407)&lt;&gt;"Disqualified — Free Game",INDEX('Game Records'!$K:$K,$H407)=""),"Final Earned; ","")&amp;IF(AND(LOWER(INDEX('Game Records'!$D:$D,$H407)&amp;"")="finalized",INDEX('Game Records'!$U:$U,$H407)&lt;&gt;"Subscription",INDEX('Game Records'!$U:$U,$H407)&lt;&gt;"Free Game",INDEX('Game Records'!$U:$U,$H407)&lt;&gt;"Disqualified — Free Game",OR(INDEX('Game Records'!$L:$L,$H407)="",LOWER(INDEX('Game Records'!$L:$L,$H407)&amp;"")="n/a")),"Disqualified Status; ","")&amp;IF(AND(OR(LOWER(TRIM(INDEX('Game Records'!$F:$F,$H407)&amp;""))="free game",INDEX('Game Records'!$U:$U,$H407)="Free Game",INDEX('Game Records'!$U:$U,$H407)="Disqualified — Free Game"),N(INDEX('Game Records'!$H:$H,$H407))&lt;&gt;0),"Free Game has a non-zero Entry Fee. Free Game records require a $0 Entry Fee; ",""))</f>
        <v/>
      </c>
      <c r="G407" s="331" t="str">
        <f>IF($H407="","",IFERROR(INDEX('Game Records'!$M:$M,$H407),""))</f>
        <v/>
      </c>
      <c r="H407" s="104" t="str">
        <f>IF($H406="","",IFERROR(MATCH(1,INDEX((ROW('Game Records'!$U$5:$U$504)&gt;$H406)*(('Game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8" ht="24" customHeight="1">
      <c r="A408" s="332" t="str">
        <f>IF($H408="","",ROWS($A$5:A408))</f>
        <v/>
      </c>
      <c r="B408" s="332" t="str">
        <f>IF($H408="","","G-"&amp;TEXT($A408,"0000"))</f>
        <v/>
      </c>
      <c r="C408" s="331" t="str">
        <f>IF($H408="","",IFERROR(INDEX('Game Records'!$A:$A,$H408),""))</f>
        <v/>
      </c>
      <c r="D408" s="331" t="str">
        <f>IF($H408="","",IFERROR(INDEX('Game Records'!$U:$U,$H408),""))</f>
        <v/>
      </c>
      <c r="E408" s="331" t="str">
        <f>IF($H408="","",IF($F408="","No Highlighted Fields","Highlighted Fields Present"))</f>
        <v/>
      </c>
      <c r="F408" s="331" t="str">
        <f>IF($H408="","",IF(OR(NOT(ISFORMULA(INDEX('Game Records'!$N:$N,$H408))),NOT(ISFORMULA(INDEX('Game Records'!$O:$O,$H408))),NOT(ISFORMULA(INDEX('Game Records'!$P:$P,$H408))),NOT(ISFORMULA(INDEX('Game Records'!$Q:$Q,$H408))),NOT(ISFORMULA(INDEX('Game Records'!$R:$R,$H408))),NOT(ISFORMULA(INDEX('Game Records'!$S:$S,$H408))),NOT(ISFORMULA(INDEX('Game Records'!$T:$T,$H408))),NOT(ISFORMULA(INDEX('Game Records'!$U:$U,$H408))),NOT(ISFORMULA(INDEX('Game Records'!$V:$V,$H408))),NOT(ISFORMULA(INDEX('Game Records'!$W:$W,$H408))),NOT(ISFORMULA(INDEX('Game Records'!$X:$X,$H408))),NOT(ISFORMULA(INDEX('Game Records'!$Y:$Y,$H408))),NOT(ISFORMULA(INDEX('Game Records'!$Z:$Z,$H408)))),"Formula columns missing; ","")&amp;IF(INDEX('Game Records'!$B:$B,$H408)="","Start Date; ","")&amp;IF(INDEX('Game Records'!$C:$C,$H408)="","End Date; ","")&amp;IF(AND(INDEX('Game Records'!$U:$U,$H408)&lt;&gt;"Subscription",INDEX('Game Records'!$U:$U,$H408)&lt;&gt;"Free Game",INDEX('Game Records'!$U:$U,$H408)&lt;&gt;"Disqualified — Free Game",OR(INDEX('Game Records'!$D:$D,$H408)="",LOWER(INDEX('Game Records'!$D:$D,$H408)&amp;"")="n/a")),"Entry Mode; ","")&amp;IF(AND(INDEX('Game Records'!$U:$U,$H408)&lt;&gt;"Subscription",INDEX('Game Records'!$U:$U,$H408)&lt;&gt;"Free Game",INDEX('Game Records'!$U:$U,$H408)&lt;&gt;"Disqualified — Free Game",OR(INDEX('Game Records'!$E:$E,$H408)="",LOWER(INDEX('Game Records'!$E:$E,$H408)&amp;"")="n/a")),"Game Type; ","")&amp;IF(INDEX('Game Records'!$F:$F,$H408)="","Payment Type; ","")&amp;IF(AND(INDEX('Game Records'!$U:$U,$H408)&lt;&gt;"Subscription",INDEX('Game Records'!$U:$U,$H408)&lt;&gt;"Free Game",INDEX('Game Records'!$U:$U,$H408)&lt;&gt;"Disqualified — Free Game",INDEX('Game Records'!$G:$G,$H408)=""),"Gross Pot; ","")&amp;IF(AND(INDEX('Game Records'!$U:$U,$H408)&lt;&gt;"Free Game",INDEX('Game Records'!$U:$U,$H408)&lt;&gt;"Disqualified — Free Game",INDEX('Game Records'!$H:$H,$H408)=""),"Entry Fee; ","")&amp;IF(AND(INDEX('Game Records'!$U:$U,$H408)&lt;&gt;"Subscription",INDEX('Game Records'!$U:$U,$H408)&lt;&gt;"Free Game",INDEX('Game Records'!$U:$U,$H408)&lt;&gt;"Disqualified — Free Game",INDEX('Game Records'!$I:$I,$H408)=""),"Eligible Players; ","")&amp;IF(AND(INDEX('Game Records'!$U:$U,$H408)&lt;&gt;"Subscription",INDEX('Game Records'!$U:$U,$H408)&lt;&gt;"Free Game",INDEX('Game Records'!$U:$U,$H408)&lt;&gt;"Disqualified — Free Game",INDEX('Game Records'!$J:$J,$H408)=""),"Total Players; ","")&amp;IF(AND(LOWER(INDEX('Game Records'!$D:$D,$H408)&amp;"")="finalized",LOWER(INDEX('Game Records'!$L:$L,$H408)&amp;"")&lt;&gt;"yes",INDEX('Game Records'!$U:$U,$H408)&lt;&gt;"Subscription",INDEX('Game Records'!$U:$U,$H408)&lt;&gt;"Free Game",INDEX('Game Records'!$U:$U,$H408)&lt;&gt;"Disqualified — Free Game",INDEX('Game Records'!$K:$K,$H408)=""),"Final Earned; ","")&amp;IF(AND(LOWER(INDEX('Game Records'!$D:$D,$H408)&amp;"")="finalized",INDEX('Game Records'!$U:$U,$H408)&lt;&gt;"Subscription",INDEX('Game Records'!$U:$U,$H408)&lt;&gt;"Free Game",INDEX('Game Records'!$U:$U,$H408)&lt;&gt;"Disqualified — Free Game",OR(INDEX('Game Records'!$L:$L,$H408)="",LOWER(INDEX('Game Records'!$L:$L,$H408)&amp;"")="n/a")),"Disqualified Status; ","")&amp;IF(AND(OR(LOWER(TRIM(INDEX('Game Records'!$F:$F,$H408)&amp;""))="free game",INDEX('Game Records'!$U:$U,$H408)="Free Game",INDEX('Game Records'!$U:$U,$H408)="Disqualified — Free Game"),N(INDEX('Game Records'!$H:$H,$H408))&lt;&gt;0),"Free Game has a non-zero Entry Fee. Free Game records require a $0 Entry Fee; ",""))</f>
        <v/>
      </c>
      <c r="G408" s="331" t="str">
        <f>IF($H408="","",IFERROR(INDEX('Game Records'!$M:$M,$H408),""))</f>
        <v/>
      </c>
      <c r="H408" s="104" t="str">
        <f>IF($H407="","",IFERROR(MATCH(1,INDEX((ROW('Game Records'!$U$5:$U$504)&gt;$H407)*(('Game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9" ht="24" customHeight="1">
      <c r="A409" s="332" t="str">
        <f>IF($H409="","",ROWS($A$5:A409))</f>
        <v/>
      </c>
      <c r="B409" s="332" t="str">
        <f>IF($H409="","","G-"&amp;TEXT($A409,"0000"))</f>
        <v/>
      </c>
      <c r="C409" s="331" t="str">
        <f>IF($H409="","",IFERROR(INDEX('Game Records'!$A:$A,$H409),""))</f>
        <v/>
      </c>
      <c r="D409" s="331" t="str">
        <f>IF($H409="","",IFERROR(INDEX('Game Records'!$U:$U,$H409),""))</f>
        <v/>
      </c>
      <c r="E409" s="331" t="str">
        <f>IF($H409="","",IF($F409="","No Highlighted Fields","Highlighted Fields Present"))</f>
        <v/>
      </c>
      <c r="F409" s="331" t="str">
        <f>IF($H409="","",IF(OR(NOT(ISFORMULA(INDEX('Game Records'!$N:$N,$H409))),NOT(ISFORMULA(INDEX('Game Records'!$O:$O,$H409))),NOT(ISFORMULA(INDEX('Game Records'!$P:$P,$H409))),NOT(ISFORMULA(INDEX('Game Records'!$Q:$Q,$H409))),NOT(ISFORMULA(INDEX('Game Records'!$R:$R,$H409))),NOT(ISFORMULA(INDEX('Game Records'!$S:$S,$H409))),NOT(ISFORMULA(INDEX('Game Records'!$T:$T,$H409))),NOT(ISFORMULA(INDEX('Game Records'!$U:$U,$H409))),NOT(ISFORMULA(INDEX('Game Records'!$V:$V,$H409))),NOT(ISFORMULA(INDEX('Game Records'!$W:$W,$H409))),NOT(ISFORMULA(INDEX('Game Records'!$X:$X,$H409))),NOT(ISFORMULA(INDEX('Game Records'!$Y:$Y,$H409))),NOT(ISFORMULA(INDEX('Game Records'!$Z:$Z,$H409)))),"Formula columns missing; ","")&amp;IF(INDEX('Game Records'!$B:$B,$H409)="","Start Date; ","")&amp;IF(INDEX('Game Records'!$C:$C,$H409)="","End Date; ","")&amp;IF(AND(INDEX('Game Records'!$U:$U,$H409)&lt;&gt;"Subscription",INDEX('Game Records'!$U:$U,$H409)&lt;&gt;"Free Game",INDEX('Game Records'!$U:$U,$H409)&lt;&gt;"Disqualified — Free Game",OR(INDEX('Game Records'!$D:$D,$H409)="",LOWER(INDEX('Game Records'!$D:$D,$H409)&amp;"")="n/a")),"Entry Mode; ","")&amp;IF(AND(INDEX('Game Records'!$U:$U,$H409)&lt;&gt;"Subscription",INDEX('Game Records'!$U:$U,$H409)&lt;&gt;"Free Game",INDEX('Game Records'!$U:$U,$H409)&lt;&gt;"Disqualified — Free Game",OR(INDEX('Game Records'!$E:$E,$H409)="",LOWER(INDEX('Game Records'!$E:$E,$H409)&amp;"")="n/a")),"Game Type; ","")&amp;IF(INDEX('Game Records'!$F:$F,$H409)="","Payment Type; ","")&amp;IF(AND(INDEX('Game Records'!$U:$U,$H409)&lt;&gt;"Subscription",INDEX('Game Records'!$U:$U,$H409)&lt;&gt;"Free Game",INDEX('Game Records'!$U:$U,$H409)&lt;&gt;"Disqualified — Free Game",INDEX('Game Records'!$G:$G,$H409)=""),"Gross Pot; ","")&amp;IF(AND(INDEX('Game Records'!$U:$U,$H409)&lt;&gt;"Free Game",INDEX('Game Records'!$U:$U,$H409)&lt;&gt;"Disqualified — Free Game",INDEX('Game Records'!$H:$H,$H409)=""),"Entry Fee; ","")&amp;IF(AND(INDEX('Game Records'!$U:$U,$H409)&lt;&gt;"Subscription",INDEX('Game Records'!$U:$U,$H409)&lt;&gt;"Free Game",INDEX('Game Records'!$U:$U,$H409)&lt;&gt;"Disqualified — Free Game",INDEX('Game Records'!$I:$I,$H409)=""),"Eligible Players; ","")&amp;IF(AND(INDEX('Game Records'!$U:$U,$H409)&lt;&gt;"Subscription",INDEX('Game Records'!$U:$U,$H409)&lt;&gt;"Free Game",INDEX('Game Records'!$U:$U,$H409)&lt;&gt;"Disqualified — Free Game",INDEX('Game Records'!$J:$J,$H409)=""),"Total Players; ","")&amp;IF(AND(LOWER(INDEX('Game Records'!$D:$D,$H409)&amp;"")="finalized",LOWER(INDEX('Game Records'!$L:$L,$H409)&amp;"")&lt;&gt;"yes",INDEX('Game Records'!$U:$U,$H409)&lt;&gt;"Subscription",INDEX('Game Records'!$U:$U,$H409)&lt;&gt;"Free Game",INDEX('Game Records'!$U:$U,$H409)&lt;&gt;"Disqualified — Free Game",INDEX('Game Records'!$K:$K,$H409)=""),"Final Earned; ","")&amp;IF(AND(LOWER(INDEX('Game Records'!$D:$D,$H409)&amp;"")="finalized",INDEX('Game Records'!$U:$U,$H409)&lt;&gt;"Subscription",INDEX('Game Records'!$U:$U,$H409)&lt;&gt;"Free Game",INDEX('Game Records'!$U:$U,$H409)&lt;&gt;"Disqualified — Free Game",OR(INDEX('Game Records'!$L:$L,$H409)="",LOWER(INDEX('Game Records'!$L:$L,$H409)&amp;"")="n/a")),"Disqualified Status; ","")&amp;IF(AND(OR(LOWER(TRIM(INDEX('Game Records'!$F:$F,$H409)&amp;""))="free game",INDEX('Game Records'!$U:$U,$H409)="Free Game",INDEX('Game Records'!$U:$U,$H409)="Disqualified — Free Game"),N(INDEX('Game Records'!$H:$H,$H409))&lt;&gt;0),"Free Game has a non-zero Entry Fee. Free Game records require a $0 Entry Fee; ",""))</f>
        <v/>
      </c>
      <c r="G409" s="331" t="str">
        <f>IF($H409="","",IFERROR(INDEX('Game Records'!$M:$M,$H409),""))</f>
        <v/>
      </c>
      <c r="H409" s="104" t="str">
        <f>IF($H408="","",IFERROR(MATCH(1,INDEX((ROW('Game Records'!$U$5:$U$504)&gt;$H408)*(('Game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0" ht="24" customHeight="1">
      <c r="A410" s="332" t="str">
        <f>IF($H410="","",ROWS($A$5:A410))</f>
        <v/>
      </c>
      <c r="B410" s="332" t="str">
        <f>IF($H410="","","G-"&amp;TEXT($A410,"0000"))</f>
        <v/>
      </c>
      <c r="C410" s="331" t="str">
        <f>IF($H410="","",IFERROR(INDEX('Game Records'!$A:$A,$H410),""))</f>
        <v/>
      </c>
      <c r="D410" s="331" t="str">
        <f>IF($H410="","",IFERROR(INDEX('Game Records'!$U:$U,$H410),""))</f>
        <v/>
      </c>
      <c r="E410" s="331" t="str">
        <f>IF($H410="","",IF($F410="","No Highlighted Fields","Highlighted Fields Present"))</f>
        <v/>
      </c>
      <c r="F410" s="331" t="str">
        <f>IF($H410="","",IF(OR(NOT(ISFORMULA(INDEX('Game Records'!$N:$N,$H410))),NOT(ISFORMULA(INDEX('Game Records'!$O:$O,$H410))),NOT(ISFORMULA(INDEX('Game Records'!$P:$P,$H410))),NOT(ISFORMULA(INDEX('Game Records'!$Q:$Q,$H410))),NOT(ISFORMULA(INDEX('Game Records'!$R:$R,$H410))),NOT(ISFORMULA(INDEX('Game Records'!$S:$S,$H410))),NOT(ISFORMULA(INDEX('Game Records'!$T:$T,$H410))),NOT(ISFORMULA(INDEX('Game Records'!$U:$U,$H410))),NOT(ISFORMULA(INDEX('Game Records'!$V:$V,$H410))),NOT(ISFORMULA(INDEX('Game Records'!$W:$W,$H410))),NOT(ISFORMULA(INDEX('Game Records'!$X:$X,$H410))),NOT(ISFORMULA(INDEX('Game Records'!$Y:$Y,$H410))),NOT(ISFORMULA(INDEX('Game Records'!$Z:$Z,$H410)))),"Formula columns missing; ","")&amp;IF(INDEX('Game Records'!$B:$B,$H410)="","Start Date; ","")&amp;IF(INDEX('Game Records'!$C:$C,$H410)="","End Date; ","")&amp;IF(AND(INDEX('Game Records'!$U:$U,$H410)&lt;&gt;"Subscription",INDEX('Game Records'!$U:$U,$H410)&lt;&gt;"Free Game",INDEX('Game Records'!$U:$U,$H410)&lt;&gt;"Disqualified — Free Game",OR(INDEX('Game Records'!$D:$D,$H410)="",LOWER(INDEX('Game Records'!$D:$D,$H410)&amp;"")="n/a")),"Entry Mode; ","")&amp;IF(AND(INDEX('Game Records'!$U:$U,$H410)&lt;&gt;"Subscription",INDEX('Game Records'!$U:$U,$H410)&lt;&gt;"Free Game",INDEX('Game Records'!$U:$U,$H410)&lt;&gt;"Disqualified — Free Game",OR(INDEX('Game Records'!$E:$E,$H410)="",LOWER(INDEX('Game Records'!$E:$E,$H410)&amp;"")="n/a")),"Game Type; ","")&amp;IF(INDEX('Game Records'!$F:$F,$H410)="","Payment Type; ","")&amp;IF(AND(INDEX('Game Records'!$U:$U,$H410)&lt;&gt;"Subscription",INDEX('Game Records'!$U:$U,$H410)&lt;&gt;"Free Game",INDEX('Game Records'!$U:$U,$H410)&lt;&gt;"Disqualified — Free Game",INDEX('Game Records'!$G:$G,$H410)=""),"Gross Pot; ","")&amp;IF(AND(INDEX('Game Records'!$U:$U,$H410)&lt;&gt;"Free Game",INDEX('Game Records'!$U:$U,$H410)&lt;&gt;"Disqualified — Free Game",INDEX('Game Records'!$H:$H,$H410)=""),"Entry Fee; ","")&amp;IF(AND(INDEX('Game Records'!$U:$U,$H410)&lt;&gt;"Subscription",INDEX('Game Records'!$U:$U,$H410)&lt;&gt;"Free Game",INDEX('Game Records'!$U:$U,$H410)&lt;&gt;"Disqualified — Free Game",INDEX('Game Records'!$I:$I,$H410)=""),"Eligible Players; ","")&amp;IF(AND(INDEX('Game Records'!$U:$U,$H410)&lt;&gt;"Subscription",INDEX('Game Records'!$U:$U,$H410)&lt;&gt;"Free Game",INDEX('Game Records'!$U:$U,$H410)&lt;&gt;"Disqualified — Free Game",INDEX('Game Records'!$J:$J,$H410)=""),"Total Players; ","")&amp;IF(AND(LOWER(INDEX('Game Records'!$D:$D,$H410)&amp;"")="finalized",LOWER(INDEX('Game Records'!$L:$L,$H410)&amp;"")&lt;&gt;"yes",INDEX('Game Records'!$U:$U,$H410)&lt;&gt;"Subscription",INDEX('Game Records'!$U:$U,$H410)&lt;&gt;"Free Game",INDEX('Game Records'!$U:$U,$H410)&lt;&gt;"Disqualified — Free Game",INDEX('Game Records'!$K:$K,$H410)=""),"Final Earned; ","")&amp;IF(AND(LOWER(INDEX('Game Records'!$D:$D,$H410)&amp;"")="finalized",INDEX('Game Records'!$U:$U,$H410)&lt;&gt;"Subscription",INDEX('Game Records'!$U:$U,$H410)&lt;&gt;"Free Game",INDEX('Game Records'!$U:$U,$H410)&lt;&gt;"Disqualified — Free Game",OR(INDEX('Game Records'!$L:$L,$H410)="",LOWER(INDEX('Game Records'!$L:$L,$H410)&amp;"")="n/a")),"Disqualified Status; ","")&amp;IF(AND(OR(LOWER(TRIM(INDEX('Game Records'!$F:$F,$H410)&amp;""))="free game",INDEX('Game Records'!$U:$U,$H410)="Free Game",INDEX('Game Records'!$U:$U,$H410)="Disqualified — Free Game"),N(INDEX('Game Records'!$H:$H,$H410))&lt;&gt;0),"Free Game has a non-zero Entry Fee. Free Game records require a $0 Entry Fee; ",""))</f>
        <v/>
      </c>
      <c r="G410" s="331" t="str">
        <f>IF($H410="","",IFERROR(INDEX('Game Records'!$M:$M,$H410),""))</f>
        <v/>
      </c>
      <c r="H410" s="104" t="str">
        <f>IF($H409="","",IFERROR(MATCH(1,INDEX((ROW('Game Records'!$U$5:$U$504)&gt;$H409)*(('Game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1" ht="24" customHeight="1">
      <c r="A411" s="332" t="str">
        <f>IF($H411="","",ROWS($A$5:A411))</f>
        <v/>
      </c>
      <c r="B411" s="332" t="str">
        <f>IF($H411="","","G-"&amp;TEXT($A411,"0000"))</f>
        <v/>
      </c>
      <c r="C411" s="331" t="str">
        <f>IF($H411="","",IFERROR(INDEX('Game Records'!$A:$A,$H411),""))</f>
        <v/>
      </c>
      <c r="D411" s="331" t="str">
        <f>IF($H411="","",IFERROR(INDEX('Game Records'!$U:$U,$H411),""))</f>
        <v/>
      </c>
      <c r="E411" s="331" t="str">
        <f>IF($H411="","",IF($F411="","No Highlighted Fields","Highlighted Fields Present"))</f>
        <v/>
      </c>
      <c r="F411" s="331" t="str">
        <f>IF($H411="","",IF(OR(NOT(ISFORMULA(INDEX('Game Records'!$N:$N,$H411))),NOT(ISFORMULA(INDEX('Game Records'!$O:$O,$H411))),NOT(ISFORMULA(INDEX('Game Records'!$P:$P,$H411))),NOT(ISFORMULA(INDEX('Game Records'!$Q:$Q,$H411))),NOT(ISFORMULA(INDEX('Game Records'!$R:$R,$H411))),NOT(ISFORMULA(INDEX('Game Records'!$S:$S,$H411))),NOT(ISFORMULA(INDEX('Game Records'!$T:$T,$H411))),NOT(ISFORMULA(INDEX('Game Records'!$U:$U,$H411))),NOT(ISFORMULA(INDEX('Game Records'!$V:$V,$H411))),NOT(ISFORMULA(INDEX('Game Records'!$W:$W,$H411))),NOT(ISFORMULA(INDEX('Game Records'!$X:$X,$H411))),NOT(ISFORMULA(INDEX('Game Records'!$Y:$Y,$H411))),NOT(ISFORMULA(INDEX('Game Records'!$Z:$Z,$H411)))),"Formula columns missing; ","")&amp;IF(INDEX('Game Records'!$B:$B,$H411)="","Start Date; ","")&amp;IF(INDEX('Game Records'!$C:$C,$H411)="","End Date; ","")&amp;IF(AND(INDEX('Game Records'!$U:$U,$H411)&lt;&gt;"Subscription",INDEX('Game Records'!$U:$U,$H411)&lt;&gt;"Free Game",INDEX('Game Records'!$U:$U,$H411)&lt;&gt;"Disqualified — Free Game",OR(INDEX('Game Records'!$D:$D,$H411)="",LOWER(INDEX('Game Records'!$D:$D,$H411)&amp;"")="n/a")),"Entry Mode; ","")&amp;IF(AND(INDEX('Game Records'!$U:$U,$H411)&lt;&gt;"Subscription",INDEX('Game Records'!$U:$U,$H411)&lt;&gt;"Free Game",INDEX('Game Records'!$U:$U,$H411)&lt;&gt;"Disqualified — Free Game",OR(INDEX('Game Records'!$E:$E,$H411)="",LOWER(INDEX('Game Records'!$E:$E,$H411)&amp;"")="n/a")),"Game Type; ","")&amp;IF(INDEX('Game Records'!$F:$F,$H411)="","Payment Type; ","")&amp;IF(AND(INDEX('Game Records'!$U:$U,$H411)&lt;&gt;"Subscription",INDEX('Game Records'!$U:$U,$H411)&lt;&gt;"Free Game",INDEX('Game Records'!$U:$U,$H411)&lt;&gt;"Disqualified — Free Game",INDEX('Game Records'!$G:$G,$H411)=""),"Gross Pot; ","")&amp;IF(AND(INDEX('Game Records'!$U:$U,$H411)&lt;&gt;"Free Game",INDEX('Game Records'!$U:$U,$H411)&lt;&gt;"Disqualified — Free Game",INDEX('Game Records'!$H:$H,$H411)=""),"Entry Fee; ","")&amp;IF(AND(INDEX('Game Records'!$U:$U,$H411)&lt;&gt;"Subscription",INDEX('Game Records'!$U:$U,$H411)&lt;&gt;"Free Game",INDEX('Game Records'!$U:$U,$H411)&lt;&gt;"Disqualified — Free Game",INDEX('Game Records'!$I:$I,$H411)=""),"Eligible Players; ","")&amp;IF(AND(INDEX('Game Records'!$U:$U,$H411)&lt;&gt;"Subscription",INDEX('Game Records'!$U:$U,$H411)&lt;&gt;"Free Game",INDEX('Game Records'!$U:$U,$H411)&lt;&gt;"Disqualified — Free Game",INDEX('Game Records'!$J:$J,$H411)=""),"Total Players; ","")&amp;IF(AND(LOWER(INDEX('Game Records'!$D:$D,$H411)&amp;"")="finalized",LOWER(INDEX('Game Records'!$L:$L,$H411)&amp;"")&lt;&gt;"yes",INDEX('Game Records'!$U:$U,$H411)&lt;&gt;"Subscription",INDEX('Game Records'!$U:$U,$H411)&lt;&gt;"Free Game",INDEX('Game Records'!$U:$U,$H411)&lt;&gt;"Disqualified — Free Game",INDEX('Game Records'!$K:$K,$H411)=""),"Final Earned; ","")&amp;IF(AND(LOWER(INDEX('Game Records'!$D:$D,$H411)&amp;"")="finalized",INDEX('Game Records'!$U:$U,$H411)&lt;&gt;"Subscription",INDEX('Game Records'!$U:$U,$H411)&lt;&gt;"Free Game",INDEX('Game Records'!$U:$U,$H411)&lt;&gt;"Disqualified — Free Game",OR(INDEX('Game Records'!$L:$L,$H411)="",LOWER(INDEX('Game Records'!$L:$L,$H411)&amp;"")="n/a")),"Disqualified Status; ","")&amp;IF(AND(OR(LOWER(TRIM(INDEX('Game Records'!$F:$F,$H411)&amp;""))="free game",INDEX('Game Records'!$U:$U,$H411)="Free Game",INDEX('Game Records'!$U:$U,$H411)="Disqualified — Free Game"),N(INDEX('Game Records'!$H:$H,$H411))&lt;&gt;0),"Free Game has a non-zero Entry Fee. Free Game records require a $0 Entry Fee; ",""))</f>
        <v/>
      </c>
      <c r="G411" s="331" t="str">
        <f>IF($H411="","",IFERROR(INDEX('Game Records'!$M:$M,$H411),""))</f>
        <v/>
      </c>
      <c r="H411" s="104" t="str">
        <f>IF($H410="","",IFERROR(MATCH(1,INDEX((ROW('Game Records'!$U$5:$U$504)&gt;$H410)*(('Game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2" ht="24" customHeight="1">
      <c r="A412" s="332" t="str">
        <f>IF($H412="","",ROWS($A$5:A412))</f>
        <v/>
      </c>
      <c r="B412" s="332" t="str">
        <f>IF($H412="","","G-"&amp;TEXT($A412,"0000"))</f>
        <v/>
      </c>
      <c r="C412" s="331" t="str">
        <f>IF($H412="","",IFERROR(INDEX('Game Records'!$A:$A,$H412),""))</f>
        <v/>
      </c>
      <c r="D412" s="331" t="str">
        <f>IF($H412="","",IFERROR(INDEX('Game Records'!$U:$U,$H412),""))</f>
        <v/>
      </c>
      <c r="E412" s="331" t="str">
        <f>IF($H412="","",IF($F412="","No Highlighted Fields","Highlighted Fields Present"))</f>
        <v/>
      </c>
      <c r="F412" s="331" t="str">
        <f>IF($H412="","",IF(OR(NOT(ISFORMULA(INDEX('Game Records'!$N:$N,$H412))),NOT(ISFORMULA(INDEX('Game Records'!$O:$O,$H412))),NOT(ISFORMULA(INDEX('Game Records'!$P:$P,$H412))),NOT(ISFORMULA(INDEX('Game Records'!$Q:$Q,$H412))),NOT(ISFORMULA(INDEX('Game Records'!$R:$R,$H412))),NOT(ISFORMULA(INDEX('Game Records'!$S:$S,$H412))),NOT(ISFORMULA(INDEX('Game Records'!$T:$T,$H412))),NOT(ISFORMULA(INDEX('Game Records'!$U:$U,$H412))),NOT(ISFORMULA(INDEX('Game Records'!$V:$V,$H412))),NOT(ISFORMULA(INDEX('Game Records'!$W:$W,$H412))),NOT(ISFORMULA(INDEX('Game Records'!$X:$X,$H412))),NOT(ISFORMULA(INDEX('Game Records'!$Y:$Y,$H412))),NOT(ISFORMULA(INDEX('Game Records'!$Z:$Z,$H412)))),"Formula columns missing; ","")&amp;IF(INDEX('Game Records'!$B:$B,$H412)="","Start Date; ","")&amp;IF(INDEX('Game Records'!$C:$C,$H412)="","End Date; ","")&amp;IF(AND(INDEX('Game Records'!$U:$U,$H412)&lt;&gt;"Subscription",INDEX('Game Records'!$U:$U,$H412)&lt;&gt;"Free Game",INDEX('Game Records'!$U:$U,$H412)&lt;&gt;"Disqualified — Free Game",OR(INDEX('Game Records'!$D:$D,$H412)="",LOWER(INDEX('Game Records'!$D:$D,$H412)&amp;"")="n/a")),"Entry Mode; ","")&amp;IF(AND(INDEX('Game Records'!$U:$U,$H412)&lt;&gt;"Subscription",INDEX('Game Records'!$U:$U,$H412)&lt;&gt;"Free Game",INDEX('Game Records'!$U:$U,$H412)&lt;&gt;"Disqualified — Free Game",OR(INDEX('Game Records'!$E:$E,$H412)="",LOWER(INDEX('Game Records'!$E:$E,$H412)&amp;"")="n/a")),"Game Type; ","")&amp;IF(INDEX('Game Records'!$F:$F,$H412)="","Payment Type; ","")&amp;IF(AND(INDEX('Game Records'!$U:$U,$H412)&lt;&gt;"Subscription",INDEX('Game Records'!$U:$U,$H412)&lt;&gt;"Free Game",INDEX('Game Records'!$U:$U,$H412)&lt;&gt;"Disqualified — Free Game",INDEX('Game Records'!$G:$G,$H412)=""),"Gross Pot; ","")&amp;IF(AND(INDEX('Game Records'!$U:$U,$H412)&lt;&gt;"Free Game",INDEX('Game Records'!$U:$U,$H412)&lt;&gt;"Disqualified — Free Game",INDEX('Game Records'!$H:$H,$H412)=""),"Entry Fee; ","")&amp;IF(AND(INDEX('Game Records'!$U:$U,$H412)&lt;&gt;"Subscription",INDEX('Game Records'!$U:$U,$H412)&lt;&gt;"Free Game",INDEX('Game Records'!$U:$U,$H412)&lt;&gt;"Disqualified — Free Game",INDEX('Game Records'!$I:$I,$H412)=""),"Eligible Players; ","")&amp;IF(AND(INDEX('Game Records'!$U:$U,$H412)&lt;&gt;"Subscription",INDEX('Game Records'!$U:$U,$H412)&lt;&gt;"Free Game",INDEX('Game Records'!$U:$U,$H412)&lt;&gt;"Disqualified — Free Game",INDEX('Game Records'!$J:$J,$H412)=""),"Total Players; ","")&amp;IF(AND(LOWER(INDEX('Game Records'!$D:$D,$H412)&amp;"")="finalized",LOWER(INDEX('Game Records'!$L:$L,$H412)&amp;"")&lt;&gt;"yes",INDEX('Game Records'!$U:$U,$H412)&lt;&gt;"Subscription",INDEX('Game Records'!$U:$U,$H412)&lt;&gt;"Free Game",INDEX('Game Records'!$U:$U,$H412)&lt;&gt;"Disqualified — Free Game",INDEX('Game Records'!$K:$K,$H412)=""),"Final Earned; ","")&amp;IF(AND(LOWER(INDEX('Game Records'!$D:$D,$H412)&amp;"")="finalized",INDEX('Game Records'!$U:$U,$H412)&lt;&gt;"Subscription",INDEX('Game Records'!$U:$U,$H412)&lt;&gt;"Free Game",INDEX('Game Records'!$U:$U,$H412)&lt;&gt;"Disqualified — Free Game",OR(INDEX('Game Records'!$L:$L,$H412)="",LOWER(INDEX('Game Records'!$L:$L,$H412)&amp;"")="n/a")),"Disqualified Status; ","")&amp;IF(AND(OR(LOWER(TRIM(INDEX('Game Records'!$F:$F,$H412)&amp;""))="free game",INDEX('Game Records'!$U:$U,$H412)="Free Game",INDEX('Game Records'!$U:$U,$H412)="Disqualified — Free Game"),N(INDEX('Game Records'!$H:$H,$H412))&lt;&gt;0),"Free Game has a non-zero Entry Fee. Free Game records require a $0 Entry Fee; ",""))</f>
        <v/>
      </c>
      <c r="G412" s="331" t="str">
        <f>IF($H412="","",IFERROR(INDEX('Game Records'!$M:$M,$H412),""))</f>
        <v/>
      </c>
      <c r="H412" s="104" t="str">
        <f>IF($H411="","",IFERROR(MATCH(1,INDEX((ROW('Game Records'!$U$5:$U$504)&gt;$H411)*(('Game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3" ht="24" customHeight="1">
      <c r="A413" s="332" t="str">
        <f>IF($H413="","",ROWS($A$5:A413))</f>
        <v/>
      </c>
      <c r="B413" s="332" t="str">
        <f>IF($H413="","","G-"&amp;TEXT($A413,"0000"))</f>
        <v/>
      </c>
      <c r="C413" s="331" t="str">
        <f>IF($H413="","",IFERROR(INDEX('Game Records'!$A:$A,$H413),""))</f>
        <v/>
      </c>
      <c r="D413" s="331" t="str">
        <f>IF($H413="","",IFERROR(INDEX('Game Records'!$U:$U,$H413),""))</f>
        <v/>
      </c>
      <c r="E413" s="331" t="str">
        <f>IF($H413="","",IF($F413="","No Highlighted Fields","Highlighted Fields Present"))</f>
        <v/>
      </c>
      <c r="F413" s="331" t="str">
        <f>IF($H413="","",IF(OR(NOT(ISFORMULA(INDEX('Game Records'!$N:$N,$H413))),NOT(ISFORMULA(INDEX('Game Records'!$O:$O,$H413))),NOT(ISFORMULA(INDEX('Game Records'!$P:$P,$H413))),NOT(ISFORMULA(INDEX('Game Records'!$Q:$Q,$H413))),NOT(ISFORMULA(INDEX('Game Records'!$R:$R,$H413))),NOT(ISFORMULA(INDEX('Game Records'!$S:$S,$H413))),NOT(ISFORMULA(INDEX('Game Records'!$T:$T,$H413))),NOT(ISFORMULA(INDEX('Game Records'!$U:$U,$H413))),NOT(ISFORMULA(INDEX('Game Records'!$V:$V,$H413))),NOT(ISFORMULA(INDEX('Game Records'!$W:$W,$H413))),NOT(ISFORMULA(INDEX('Game Records'!$X:$X,$H413))),NOT(ISFORMULA(INDEX('Game Records'!$Y:$Y,$H413))),NOT(ISFORMULA(INDEX('Game Records'!$Z:$Z,$H413)))),"Formula columns missing; ","")&amp;IF(INDEX('Game Records'!$B:$B,$H413)="","Start Date; ","")&amp;IF(INDEX('Game Records'!$C:$C,$H413)="","End Date; ","")&amp;IF(AND(INDEX('Game Records'!$U:$U,$H413)&lt;&gt;"Subscription",INDEX('Game Records'!$U:$U,$H413)&lt;&gt;"Free Game",INDEX('Game Records'!$U:$U,$H413)&lt;&gt;"Disqualified — Free Game",OR(INDEX('Game Records'!$D:$D,$H413)="",LOWER(INDEX('Game Records'!$D:$D,$H413)&amp;"")="n/a")),"Entry Mode; ","")&amp;IF(AND(INDEX('Game Records'!$U:$U,$H413)&lt;&gt;"Subscription",INDEX('Game Records'!$U:$U,$H413)&lt;&gt;"Free Game",INDEX('Game Records'!$U:$U,$H413)&lt;&gt;"Disqualified — Free Game",OR(INDEX('Game Records'!$E:$E,$H413)="",LOWER(INDEX('Game Records'!$E:$E,$H413)&amp;"")="n/a")),"Game Type; ","")&amp;IF(INDEX('Game Records'!$F:$F,$H413)="","Payment Type; ","")&amp;IF(AND(INDEX('Game Records'!$U:$U,$H413)&lt;&gt;"Subscription",INDEX('Game Records'!$U:$U,$H413)&lt;&gt;"Free Game",INDEX('Game Records'!$U:$U,$H413)&lt;&gt;"Disqualified — Free Game",INDEX('Game Records'!$G:$G,$H413)=""),"Gross Pot; ","")&amp;IF(AND(INDEX('Game Records'!$U:$U,$H413)&lt;&gt;"Free Game",INDEX('Game Records'!$U:$U,$H413)&lt;&gt;"Disqualified — Free Game",INDEX('Game Records'!$H:$H,$H413)=""),"Entry Fee; ","")&amp;IF(AND(INDEX('Game Records'!$U:$U,$H413)&lt;&gt;"Subscription",INDEX('Game Records'!$U:$U,$H413)&lt;&gt;"Free Game",INDEX('Game Records'!$U:$U,$H413)&lt;&gt;"Disqualified — Free Game",INDEX('Game Records'!$I:$I,$H413)=""),"Eligible Players; ","")&amp;IF(AND(INDEX('Game Records'!$U:$U,$H413)&lt;&gt;"Subscription",INDEX('Game Records'!$U:$U,$H413)&lt;&gt;"Free Game",INDEX('Game Records'!$U:$U,$H413)&lt;&gt;"Disqualified — Free Game",INDEX('Game Records'!$J:$J,$H413)=""),"Total Players; ","")&amp;IF(AND(LOWER(INDEX('Game Records'!$D:$D,$H413)&amp;"")="finalized",LOWER(INDEX('Game Records'!$L:$L,$H413)&amp;"")&lt;&gt;"yes",INDEX('Game Records'!$U:$U,$H413)&lt;&gt;"Subscription",INDEX('Game Records'!$U:$U,$H413)&lt;&gt;"Free Game",INDEX('Game Records'!$U:$U,$H413)&lt;&gt;"Disqualified — Free Game",INDEX('Game Records'!$K:$K,$H413)=""),"Final Earned; ","")&amp;IF(AND(LOWER(INDEX('Game Records'!$D:$D,$H413)&amp;"")="finalized",INDEX('Game Records'!$U:$U,$H413)&lt;&gt;"Subscription",INDEX('Game Records'!$U:$U,$H413)&lt;&gt;"Free Game",INDEX('Game Records'!$U:$U,$H413)&lt;&gt;"Disqualified — Free Game",OR(INDEX('Game Records'!$L:$L,$H413)="",LOWER(INDEX('Game Records'!$L:$L,$H413)&amp;"")="n/a")),"Disqualified Status; ","")&amp;IF(AND(OR(LOWER(TRIM(INDEX('Game Records'!$F:$F,$H413)&amp;""))="free game",INDEX('Game Records'!$U:$U,$H413)="Free Game",INDEX('Game Records'!$U:$U,$H413)="Disqualified — Free Game"),N(INDEX('Game Records'!$H:$H,$H413))&lt;&gt;0),"Free Game has a non-zero Entry Fee. Free Game records require a $0 Entry Fee; ",""))</f>
        <v/>
      </c>
      <c r="G413" s="331" t="str">
        <f>IF($H413="","",IFERROR(INDEX('Game Records'!$M:$M,$H413),""))</f>
        <v/>
      </c>
      <c r="H413" s="104" t="str">
        <f>IF($H412="","",IFERROR(MATCH(1,INDEX((ROW('Game Records'!$U$5:$U$504)&gt;$H412)*(('Game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4" ht="24" customHeight="1">
      <c r="A414" s="332" t="str">
        <f>IF($H414="","",ROWS($A$5:A414))</f>
        <v/>
      </c>
      <c r="B414" s="332" t="str">
        <f>IF($H414="","","G-"&amp;TEXT($A414,"0000"))</f>
        <v/>
      </c>
      <c r="C414" s="331" t="str">
        <f>IF($H414="","",IFERROR(INDEX('Game Records'!$A:$A,$H414),""))</f>
        <v/>
      </c>
      <c r="D414" s="331" t="str">
        <f>IF($H414="","",IFERROR(INDEX('Game Records'!$U:$U,$H414),""))</f>
        <v/>
      </c>
      <c r="E414" s="331" t="str">
        <f>IF($H414="","",IF($F414="","No Highlighted Fields","Highlighted Fields Present"))</f>
        <v/>
      </c>
      <c r="F414" s="331" t="str">
        <f>IF($H414="","",IF(OR(NOT(ISFORMULA(INDEX('Game Records'!$N:$N,$H414))),NOT(ISFORMULA(INDEX('Game Records'!$O:$O,$H414))),NOT(ISFORMULA(INDEX('Game Records'!$P:$P,$H414))),NOT(ISFORMULA(INDEX('Game Records'!$Q:$Q,$H414))),NOT(ISFORMULA(INDEX('Game Records'!$R:$R,$H414))),NOT(ISFORMULA(INDEX('Game Records'!$S:$S,$H414))),NOT(ISFORMULA(INDEX('Game Records'!$T:$T,$H414))),NOT(ISFORMULA(INDEX('Game Records'!$U:$U,$H414))),NOT(ISFORMULA(INDEX('Game Records'!$V:$V,$H414))),NOT(ISFORMULA(INDEX('Game Records'!$W:$W,$H414))),NOT(ISFORMULA(INDEX('Game Records'!$X:$X,$H414))),NOT(ISFORMULA(INDEX('Game Records'!$Y:$Y,$H414))),NOT(ISFORMULA(INDEX('Game Records'!$Z:$Z,$H414)))),"Formula columns missing; ","")&amp;IF(INDEX('Game Records'!$B:$B,$H414)="","Start Date; ","")&amp;IF(INDEX('Game Records'!$C:$C,$H414)="","End Date; ","")&amp;IF(AND(INDEX('Game Records'!$U:$U,$H414)&lt;&gt;"Subscription",INDEX('Game Records'!$U:$U,$H414)&lt;&gt;"Free Game",INDEX('Game Records'!$U:$U,$H414)&lt;&gt;"Disqualified — Free Game",OR(INDEX('Game Records'!$D:$D,$H414)="",LOWER(INDEX('Game Records'!$D:$D,$H414)&amp;"")="n/a")),"Entry Mode; ","")&amp;IF(AND(INDEX('Game Records'!$U:$U,$H414)&lt;&gt;"Subscription",INDEX('Game Records'!$U:$U,$H414)&lt;&gt;"Free Game",INDEX('Game Records'!$U:$U,$H414)&lt;&gt;"Disqualified — Free Game",OR(INDEX('Game Records'!$E:$E,$H414)="",LOWER(INDEX('Game Records'!$E:$E,$H414)&amp;"")="n/a")),"Game Type; ","")&amp;IF(INDEX('Game Records'!$F:$F,$H414)="","Payment Type; ","")&amp;IF(AND(INDEX('Game Records'!$U:$U,$H414)&lt;&gt;"Subscription",INDEX('Game Records'!$U:$U,$H414)&lt;&gt;"Free Game",INDEX('Game Records'!$U:$U,$H414)&lt;&gt;"Disqualified — Free Game",INDEX('Game Records'!$G:$G,$H414)=""),"Gross Pot; ","")&amp;IF(AND(INDEX('Game Records'!$U:$U,$H414)&lt;&gt;"Free Game",INDEX('Game Records'!$U:$U,$H414)&lt;&gt;"Disqualified — Free Game",INDEX('Game Records'!$H:$H,$H414)=""),"Entry Fee; ","")&amp;IF(AND(INDEX('Game Records'!$U:$U,$H414)&lt;&gt;"Subscription",INDEX('Game Records'!$U:$U,$H414)&lt;&gt;"Free Game",INDEX('Game Records'!$U:$U,$H414)&lt;&gt;"Disqualified — Free Game",INDEX('Game Records'!$I:$I,$H414)=""),"Eligible Players; ","")&amp;IF(AND(INDEX('Game Records'!$U:$U,$H414)&lt;&gt;"Subscription",INDEX('Game Records'!$U:$U,$H414)&lt;&gt;"Free Game",INDEX('Game Records'!$U:$U,$H414)&lt;&gt;"Disqualified — Free Game",INDEX('Game Records'!$J:$J,$H414)=""),"Total Players; ","")&amp;IF(AND(LOWER(INDEX('Game Records'!$D:$D,$H414)&amp;"")="finalized",LOWER(INDEX('Game Records'!$L:$L,$H414)&amp;"")&lt;&gt;"yes",INDEX('Game Records'!$U:$U,$H414)&lt;&gt;"Subscription",INDEX('Game Records'!$U:$U,$H414)&lt;&gt;"Free Game",INDEX('Game Records'!$U:$U,$H414)&lt;&gt;"Disqualified — Free Game",INDEX('Game Records'!$K:$K,$H414)=""),"Final Earned; ","")&amp;IF(AND(LOWER(INDEX('Game Records'!$D:$D,$H414)&amp;"")="finalized",INDEX('Game Records'!$U:$U,$H414)&lt;&gt;"Subscription",INDEX('Game Records'!$U:$U,$H414)&lt;&gt;"Free Game",INDEX('Game Records'!$U:$U,$H414)&lt;&gt;"Disqualified — Free Game",OR(INDEX('Game Records'!$L:$L,$H414)="",LOWER(INDEX('Game Records'!$L:$L,$H414)&amp;"")="n/a")),"Disqualified Status; ","")&amp;IF(AND(OR(LOWER(TRIM(INDEX('Game Records'!$F:$F,$H414)&amp;""))="free game",INDEX('Game Records'!$U:$U,$H414)="Free Game",INDEX('Game Records'!$U:$U,$H414)="Disqualified — Free Game"),N(INDEX('Game Records'!$H:$H,$H414))&lt;&gt;0),"Free Game has a non-zero Entry Fee. Free Game records require a $0 Entry Fee; ",""))</f>
        <v/>
      </c>
      <c r="G414" s="331" t="str">
        <f>IF($H414="","",IFERROR(INDEX('Game Records'!$M:$M,$H414),""))</f>
        <v/>
      </c>
      <c r="H414" s="104" t="str">
        <f>IF($H413="","",IFERROR(MATCH(1,INDEX((ROW('Game Records'!$U$5:$U$504)&gt;$H413)*(('Game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5" ht="24" customHeight="1">
      <c r="A415" s="332" t="str">
        <f>IF($H415="","",ROWS($A$5:A415))</f>
        <v/>
      </c>
      <c r="B415" s="332" t="str">
        <f>IF($H415="","","G-"&amp;TEXT($A415,"0000"))</f>
        <v/>
      </c>
      <c r="C415" s="331" t="str">
        <f>IF($H415="","",IFERROR(INDEX('Game Records'!$A:$A,$H415),""))</f>
        <v/>
      </c>
      <c r="D415" s="331" t="str">
        <f>IF($H415="","",IFERROR(INDEX('Game Records'!$U:$U,$H415),""))</f>
        <v/>
      </c>
      <c r="E415" s="331" t="str">
        <f>IF($H415="","",IF($F415="","No Highlighted Fields","Highlighted Fields Present"))</f>
        <v/>
      </c>
      <c r="F415" s="331" t="str">
        <f>IF($H415="","",IF(OR(NOT(ISFORMULA(INDEX('Game Records'!$N:$N,$H415))),NOT(ISFORMULA(INDEX('Game Records'!$O:$O,$H415))),NOT(ISFORMULA(INDEX('Game Records'!$P:$P,$H415))),NOT(ISFORMULA(INDEX('Game Records'!$Q:$Q,$H415))),NOT(ISFORMULA(INDEX('Game Records'!$R:$R,$H415))),NOT(ISFORMULA(INDEX('Game Records'!$S:$S,$H415))),NOT(ISFORMULA(INDEX('Game Records'!$T:$T,$H415))),NOT(ISFORMULA(INDEX('Game Records'!$U:$U,$H415))),NOT(ISFORMULA(INDEX('Game Records'!$V:$V,$H415))),NOT(ISFORMULA(INDEX('Game Records'!$W:$W,$H415))),NOT(ISFORMULA(INDEX('Game Records'!$X:$X,$H415))),NOT(ISFORMULA(INDEX('Game Records'!$Y:$Y,$H415))),NOT(ISFORMULA(INDEX('Game Records'!$Z:$Z,$H415)))),"Formula columns missing; ","")&amp;IF(INDEX('Game Records'!$B:$B,$H415)="","Start Date; ","")&amp;IF(INDEX('Game Records'!$C:$C,$H415)="","End Date; ","")&amp;IF(AND(INDEX('Game Records'!$U:$U,$H415)&lt;&gt;"Subscription",INDEX('Game Records'!$U:$U,$H415)&lt;&gt;"Free Game",INDEX('Game Records'!$U:$U,$H415)&lt;&gt;"Disqualified — Free Game",OR(INDEX('Game Records'!$D:$D,$H415)="",LOWER(INDEX('Game Records'!$D:$D,$H415)&amp;"")="n/a")),"Entry Mode; ","")&amp;IF(AND(INDEX('Game Records'!$U:$U,$H415)&lt;&gt;"Subscription",INDEX('Game Records'!$U:$U,$H415)&lt;&gt;"Free Game",INDEX('Game Records'!$U:$U,$H415)&lt;&gt;"Disqualified — Free Game",OR(INDEX('Game Records'!$E:$E,$H415)="",LOWER(INDEX('Game Records'!$E:$E,$H415)&amp;"")="n/a")),"Game Type; ","")&amp;IF(INDEX('Game Records'!$F:$F,$H415)="","Payment Type; ","")&amp;IF(AND(INDEX('Game Records'!$U:$U,$H415)&lt;&gt;"Subscription",INDEX('Game Records'!$U:$U,$H415)&lt;&gt;"Free Game",INDEX('Game Records'!$U:$U,$H415)&lt;&gt;"Disqualified — Free Game",INDEX('Game Records'!$G:$G,$H415)=""),"Gross Pot; ","")&amp;IF(AND(INDEX('Game Records'!$U:$U,$H415)&lt;&gt;"Free Game",INDEX('Game Records'!$U:$U,$H415)&lt;&gt;"Disqualified — Free Game",INDEX('Game Records'!$H:$H,$H415)=""),"Entry Fee; ","")&amp;IF(AND(INDEX('Game Records'!$U:$U,$H415)&lt;&gt;"Subscription",INDEX('Game Records'!$U:$U,$H415)&lt;&gt;"Free Game",INDEX('Game Records'!$U:$U,$H415)&lt;&gt;"Disqualified — Free Game",INDEX('Game Records'!$I:$I,$H415)=""),"Eligible Players; ","")&amp;IF(AND(INDEX('Game Records'!$U:$U,$H415)&lt;&gt;"Subscription",INDEX('Game Records'!$U:$U,$H415)&lt;&gt;"Free Game",INDEX('Game Records'!$U:$U,$H415)&lt;&gt;"Disqualified — Free Game",INDEX('Game Records'!$J:$J,$H415)=""),"Total Players; ","")&amp;IF(AND(LOWER(INDEX('Game Records'!$D:$D,$H415)&amp;"")="finalized",LOWER(INDEX('Game Records'!$L:$L,$H415)&amp;"")&lt;&gt;"yes",INDEX('Game Records'!$U:$U,$H415)&lt;&gt;"Subscription",INDEX('Game Records'!$U:$U,$H415)&lt;&gt;"Free Game",INDEX('Game Records'!$U:$U,$H415)&lt;&gt;"Disqualified — Free Game",INDEX('Game Records'!$K:$K,$H415)=""),"Final Earned; ","")&amp;IF(AND(LOWER(INDEX('Game Records'!$D:$D,$H415)&amp;"")="finalized",INDEX('Game Records'!$U:$U,$H415)&lt;&gt;"Subscription",INDEX('Game Records'!$U:$U,$H415)&lt;&gt;"Free Game",INDEX('Game Records'!$U:$U,$H415)&lt;&gt;"Disqualified — Free Game",OR(INDEX('Game Records'!$L:$L,$H415)="",LOWER(INDEX('Game Records'!$L:$L,$H415)&amp;"")="n/a")),"Disqualified Status; ","")&amp;IF(AND(OR(LOWER(TRIM(INDEX('Game Records'!$F:$F,$H415)&amp;""))="free game",INDEX('Game Records'!$U:$U,$H415)="Free Game",INDEX('Game Records'!$U:$U,$H415)="Disqualified — Free Game"),N(INDEX('Game Records'!$H:$H,$H415))&lt;&gt;0),"Free Game has a non-zero Entry Fee. Free Game records require a $0 Entry Fee; ",""))</f>
        <v/>
      </c>
      <c r="G415" s="331" t="str">
        <f>IF($H415="","",IFERROR(INDEX('Game Records'!$M:$M,$H415),""))</f>
        <v/>
      </c>
      <c r="H415" s="104" t="str">
        <f>IF($H414="","",IFERROR(MATCH(1,INDEX((ROW('Game Records'!$U$5:$U$504)&gt;$H414)*(('Game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6" ht="24" customHeight="1">
      <c r="A416" s="332" t="str">
        <f>IF($H416="","",ROWS($A$5:A416))</f>
        <v/>
      </c>
      <c r="B416" s="332" t="str">
        <f>IF($H416="","","G-"&amp;TEXT($A416,"0000"))</f>
        <v/>
      </c>
      <c r="C416" s="331" t="str">
        <f>IF($H416="","",IFERROR(INDEX('Game Records'!$A:$A,$H416),""))</f>
        <v/>
      </c>
      <c r="D416" s="331" t="str">
        <f>IF($H416="","",IFERROR(INDEX('Game Records'!$U:$U,$H416),""))</f>
        <v/>
      </c>
      <c r="E416" s="331" t="str">
        <f>IF($H416="","",IF($F416="","No Highlighted Fields","Highlighted Fields Present"))</f>
        <v/>
      </c>
      <c r="F416" s="331" t="str">
        <f>IF($H416="","",IF(OR(NOT(ISFORMULA(INDEX('Game Records'!$N:$N,$H416))),NOT(ISFORMULA(INDEX('Game Records'!$O:$O,$H416))),NOT(ISFORMULA(INDEX('Game Records'!$P:$P,$H416))),NOT(ISFORMULA(INDEX('Game Records'!$Q:$Q,$H416))),NOT(ISFORMULA(INDEX('Game Records'!$R:$R,$H416))),NOT(ISFORMULA(INDEX('Game Records'!$S:$S,$H416))),NOT(ISFORMULA(INDEX('Game Records'!$T:$T,$H416))),NOT(ISFORMULA(INDEX('Game Records'!$U:$U,$H416))),NOT(ISFORMULA(INDEX('Game Records'!$V:$V,$H416))),NOT(ISFORMULA(INDEX('Game Records'!$W:$W,$H416))),NOT(ISFORMULA(INDEX('Game Records'!$X:$X,$H416))),NOT(ISFORMULA(INDEX('Game Records'!$Y:$Y,$H416))),NOT(ISFORMULA(INDEX('Game Records'!$Z:$Z,$H416)))),"Formula columns missing; ","")&amp;IF(INDEX('Game Records'!$B:$B,$H416)="","Start Date; ","")&amp;IF(INDEX('Game Records'!$C:$C,$H416)="","End Date; ","")&amp;IF(AND(INDEX('Game Records'!$U:$U,$H416)&lt;&gt;"Subscription",INDEX('Game Records'!$U:$U,$H416)&lt;&gt;"Free Game",INDEX('Game Records'!$U:$U,$H416)&lt;&gt;"Disqualified — Free Game",OR(INDEX('Game Records'!$D:$D,$H416)="",LOWER(INDEX('Game Records'!$D:$D,$H416)&amp;"")="n/a")),"Entry Mode; ","")&amp;IF(AND(INDEX('Game Records'!$U:$U,$H416)&lt;&gt;"Subscription",INDEX('Game Records'!$U:$U,$H416)&lt;&gt;"Free Game",INDEX('Game Records'!$U:$U,$H416)&lt;&gt;"Disqualified — Free Game",OR(INDEX('Game Records'!$E:$E,$H416)="",LOWER(INDEX('Game Records'!$E:$E,$H416)&amp;"")="n/a")),"Game Type; ","")&amp;IF(INDEX('Game Records'!$F:$F,$H416)="","Payment Type; ","")&amp;IF(AND(INDEX('Game Records'!$U:$U,$H416)&lt;&gt;"Subscription",INDEX('Game Records'!$U:$U,$H416)&lt;&gt;"Free Game",INDEX('Game Records'!$U:$U,$H416)&lt;&gt;"Disqualified — Free Game",INDEX('Game Records'!$G:$G,$H416)=""),"Gross Pot; ","")&amp;IF(AND(INDEX('Game Records'!$U:$U,$H416)&lt;&gt;"Free Game",INDEX('Game Records'!$U:$U,$H416)&lt;&gt;"Disqualified — Free Game",INDEX('Game Records'!$H:$H,$H416)=""),"Entry Fee; ","")&amp;IF(AND(INDEX('Game Records'!$U:$U,$H416)&lt;&gt;"Subscription",INDEX('Game Records'!$U:$U,$H416)&lt;&gt;"Free Game",INDEX('Game Records'!$U:$U,$H416)&lt;&gt;"Disqualified — Free Game",INDEX('Game Records'!$I:$I,$H416)=""),"Eligible Players; ","")&amp;IF(AND(INDEX('Game Records'!$U:$U,$H416)&lt;&gt;"Subscription",INDEX('Game Records'!$U:$U,$H416)&lt;&gt;"Free Game",INDEX('Game Records'!$U:$U,$H416)&lt;&gt;"Disqualified — Free Game",INDEX('Game Records'!$J:$J,$H416)=""),"Total Players; ","")&amp;IF(AND(LOWER(INDEX('Game Records'!$D:$D,$H416)&amp;"")="finalized",LOWER(INDEX('Game Records'!$L:$L,$H416)&amp;"")&lt;&gt;"yes",INDEX('Game Records'!$U:$U,$H416)&lt;&gt;"Subscription",INDEX('Game Records'!$U:$U,$H416)&lt;&gt;"Free Game",INDEX('Game Records'!$U:$U,$H416)&lt;&gt;"Disqualified — Free Game",INDEX('Game Records'!$K:$K,$H416)=""),"Final Earned; ","")&amp;IF(AND(LOWER(INDEX('Game Records'!$D:$D,$H416)&amp;"")="finalized",INDEX('Game Records'!$U:$U,$H416)&lt;&gt;"Subscription",INDEX('Game Records'!$U:$U,$H416)&lt;&gt;"Free Game",INDEX('Game Records'!$U:$U,$H416)&lt;&gt;"Disqualified — Free Game",OR(INDEX('Game Records'!$L:$L,$H416)="",LOWER(INDEX('Game Records'!$L:$L,$H416)&amp;"")="n/a")),"Disqualified Status; ","")&amp;IF(AND(OR(LOWER(TRIM(INDEX('Game Records'!$F:$F,$H416)&amp;""))="free game",INDEX('Game Records'!$U:$U,$H416)="Free Game",INDEX('Game Records'!$U:$U,$H416)="Disqualified — Free Game"),N(INDEX('Game Records'!$H:$H,$H416))&lt;&gt;0),"Free Game has a non-zero Entry Fee. Free Game records require a $0 Entry Fee; ",""))</f>
        <v/>
      </c>
      <c r="G416" s="331" t="str">
        <f>IF($H416="","",IFERROR(INDEX('Game Records'!$M:$M,$H416),""))</f>
        <v/>
      </c>
      <c r="H416" s="104" t="str">
        <f>IF($H415="","",IFERROR(MATCH(1,INDEX((ROW('Game Records'!$U$5:$U$504)&gt;$H415)*(('Game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7" ht="24" customHeight="1">
      <c r="A417" s="332" t="str">
        <f>IF($H417="","",ROWS($A$5:A417))</f>
        <v/>
      </c>
      <c r="B417" s="332" t="str">
        <f>IF($H417="","","G-"&amp;TEXT($A417,"0000"))</f>
        <v/>
      </c>
      <c r="C417" s="331" t="str">
        <f>IF($H417="","",IFERROR(INDEX('Game Records'!$A:$A,$H417),""))</f>
        <v/>
      </c>
      <c r="D417" s="331" t="str">
        <f>IF($H417="","",IFERROR(INDEX('Game Records'!$U:$U,$H417),""))</f>
        <v/>
      </c>
      <c r="E417" s="331" t="str">
        <f>IF($H417="","",IF($F417="","No Highlighted Fields","Highlighted Fields Present"))</f>
        <v/>
      </c>
      <c r="F417" s="331" t="str">
        <f>IF($H417="","",IF(OR(NOT(ISFORMULA(INDEX('Game Records'!$N:$N,$H417))),NOT(ISFORMULA(INDEX('Game Records'!$O:$O,$H417))),NOT(ISFORMULA(INDEX('Game Records'!$P:$P,$H417))),NOT(ISFORMULA(INDEX('Game Records'!$Q:$Q,$H417))),NOT(ISFORMULA(INDEX('Game Records'!$R:$R,$H417))),NOT(ISFORMULA(INDEX('Game Records'!$S:$S,$H417))),NOT(ISFORMULA(INDEX('Game Records'!$T:$T,$H417))),NOT(ISFORMULA(INDEX('Game Records'!$U:$U,$H417))),NOT(ISFORMULA(INDEX('Game Records'!$V:$V,$H417))),NOT(ISFORMULA(INDEX('Game Records'!$W:$W,$H417))),NOT(ISFORMULA(INDEX('Game Records'!$X:$X,$H417))),NOT(ISFORMULA(INDEX('Game Records'!$Y:$Y,$H417))),NOT(ISFORMULA(INDEX('Game Records'!$Z:$Z,$H417)))),"Formula columns missing; ","")&amp;IF(INDEX('Game Records'!$B:$B,$H417)="","Start Date; ","")&amp;IF(INDEX('Game Records'!$C:$C,$H417)="","End Date; ","")&amp;IF(AND(INDEX('Game Records'!$U:$U,$H417)&lt;&gt;"Subscription",INDEX('Game Records'!$U:$U,$H417)&lt;&gt;"Free Game",INDEX('Game Records'!$U:$U,$H417)&lt;&gt;"Disqualified — Free Game",OR(INDEX('Game Records'!$D:$D,$H417)="",LOWER(INDEX('Game Records'!$D:$D,$H417)&amp;"")="n/a")),"Entry Mode; ","")&amp;IF(AND(INDEX('Game Records'!$U:$U,$H417)&lt;&gt;"Subscription",INDEX('Game Records'!$U:$U,$H417)&lt;&gt;"Free Game",INDEX('Game Records'!$U:$U,$H417)&lt;&gt;"Disqualified — Free Game",OR(INDEX('Game Records'!$E:$E,$H417)="",LOWER(INDEX('Game Records'!$E:$E,$H417)&amp;"")="n/a")),"Game Type; ","")&amp;IF(INDEX('Game Records'!$F:$F,$H417)="","Payment Type; ","")&amp;IF(AND(INDEX('Game Records'!$U:$U,$H417)&lt;&gt;"Subscription",INDEX('Game Records'!$U:$U,$H417)&lt;&gt;"Free Game",INDEX('Game Records'!$U:$U,$H417)&lt;&gt;"Disqualified — Free Game",INDEX('Game Records'!$G:$G,$H417)=""),"Gross Pot; ","")&amp;IF(AND(INDEX('Game Records'!$U:$U,$H417)&lt;&gt;"Free Game",INDEX('Game Records'!$U:$U,$H417)&lt;&gt;"Disqualified — Free Game",INDEX('Game Records'!$H:$H,$H417)=""),"Entry Fee; ","")&amp;IF(AND(INDEX('Game Records'!$U:$U,$H417)&lt;&gt;"Subscription",INDEX('Game Records'!$U:$U,$H417)&lt;&gt;"Free Game",INDEX('Game Records'!$U:$U,$H417)&lt;&gt;"Disqualified — Free Game",INDEX('Game Records'!$I:$I,$H417)=""),"Eligible Players; ","")&amp;IF(AND(INDEX('Game Records'!$U:$U,$H417)&lt;&gt;"Subscription",INDEX('Game Records'!$U:$U,$H417)&lt;&gt;"Free Game",INDEX('Game Records'!$U:$U,$H417)&lt;&gt;"Disqualified — Free Game",INDEX('Game Records'!$J:$J,$H417)=""),"Total Players; ","")&amp;IF(AND(LOWER(INDEX('Game Records'!$D:$D,$H417)&amp;"")="finalized",LOWER(INDEX('Game Records'!$L:$L,$H417)&amp;"")&lt;&gt;"yes",INDEX('Game Records'!$U:$U,$H417)&lt;&gt;"Subscription",INDEX('Game Records'!$U:$U,$H417)&lt;&gt;"Free Game",INDEX('Game Records'!$U:$U,$H417)&lt;&gt;"Disqualified — Free Game",INDEX('Game Records'!$K:$K,$H417)=""),"Final Earned; ","")&amp;IF(AND(LOWER(INDEX('Game Records'!$D:$D,$H417)&amp;"")="finalized",INDEX('Game Records'!$U:$U,$H417)&lt;&gt;"Subscription",INDEX('Game Records'!$U:$U,$H417)&lt;&gt;"Free Game",INDEX('Game Records'!$U:$U,$H417)&lt;&gt;"Disqualified — Free Game",OR(INDEX('Game Records'!$L:$L,$H417)="",LOWER(INDEX('Game Records'!$L:$L,$H417)&amp;"")="n/a")),"Disqualified Status; ","")&amp;IF(AND(OR(LOWER(TRIM(INDEX('Game Records'!$F:$F,$H417)&amp;""))="free game",INDEX('Game Records'!$U:$U,$H417)="Free Game",INDEX('Game Records'!$U:$U,$H417)="Disqualified — Free Game"),N(INDEX('Game Records'!$H:$H,$H417))&lt;&gt;0),"Free Game has a non-zero Entry Fee. Free Game records require a $0 Entry Fee; ",""))</f>
        <v/>
      </c>
      <c r="G417" s="331" t="str">
        <f>IF($H417="","",IFERROR(INDEX('Game Records'!$M:$M,$H417),""))</f>
        <v/>
      </c>
      <c r="H417" s="104" t="str">
        <f>IF($H416="","",IFERROR(MATCH(1,INDEX((ROW('Game Records'!$U$5:$U$504)&gt;$H416)*(('Game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8" ht="24" customHeight="1">
      <c r="A418" s="332" t="str">
        <f>IF($H418="","",ROWS($A$5:A418))</f>
        <v/>
      </c>
      <c r="B418" s="332" t="str">
        <f>IF($H418="","","G-"&amp;TEXT($A418,"0000"))</f>
        <v/>
      </c>
      <c r="C418" s="331" t="str">
        <f>IF($H418="","",IFERROR(INDEX('Game Records'!$A:$A,$H418),""))</f>
        <v/>
      </c>
      <c r="D418" s="331" t="str">
        <f>IF($H418="","",IFERROR(INDEX('Game Records'!$U:$U,$H418),""))</f>
        <v/>
      </c>
      <c r="E418" s="331" t="str">
        <f>IF($H418="","",IF($F418="","No Highlighted Fields","Highlighted Fields Present"))</f>
        <v/>
      </c>
      <c r="F418" s="331" t="str">
        <f>IF($H418="","",IF(OR(NOT(ISFORMULA(INDEX('Game Records'!$N:$N,$H418))),NOT(ISFORMULA(INDEX('Game Records'!$O:$O,$H418))),NOT(ISFORMULA(INDEX('Game Records'!$P:$P,$H418))),NOT(ISFORMULA(INDEX('Game Records'!$Q:$Q,$H418))),NOT(ISFORMULA(INDEX('Game Records'!$R:$R,$H418))),NOT(ISFORMULA(INDEX('Game Records'!$S:$S,$H418))),NOT(ISFORMULA(INDEX('Game Records'!$T:$T,$H418))),NOT(ISFORMULA(INDEX('Game Records'!$U:$U,$H418))),NOT(ISFORMULA(INDEX('Game Records'!$V:$V,$H418))),NOT(ISFORMULA(INDEX('Game Records'!$W:$W,$H418))),NOT(ISFORMULA(INDEX('Game Records'!$X:$X,$H418))),NOT(ISFORMULA(INDEX('Game Records'!$Y:$Y,$H418))),NOT(ISFORMULA(INDEX('Game Records'!$Z:$Z,$H418)))),"Formula columns missing; ","")&amp;IF(INDEX('Game Records'!$B:$B,$H418)="","Start Date; ","")&amp;IF(INDEX('Game Records'!$C:$C,$H418)="","End Date; ","")&amp;IF(AND(INDEX('Game Records'!$U:$U,$H418)&lt;&gt;"Subscription",INDEX('Game Records'!$U:$U,$H418)&lt;&gt;"Free Game",INDEX('Game Records'!$U:$U,$H418)&lt;&gt;"Disqualified — Free Game",OR(INDEX('Game Records'!$D:$D,$H418)="",LOWER(INDEX('Game Records'!$D:$D,$H418)&amp;"")="n/a")),"Entry Mode; ","")&amp;IF(AND(INDEX('Game Records'!$U:$U,$H418)&lt;&gt;"Subscription",INDEX('Game Records'!$U:$U,$H418)&lt;&gt;"Free Game",INDEX('Game Records'!$U:$U,$H418)&lt;&gt;"Disqualified — Free Game",OR(INDEX('Game Records'!$E:$E,$H418)="",LOWER(INDEX('Game Records'!$E:$E,$H418)&amp;"")="n/a")),"Game Type; ","")&amp;IF(INDEX('Game Records'!$F:$F,$H418)="","Payment Type; ","")&amp;IF(AND(INDEX('Game Records'!$U:$U,$H418)&lt;&gt;"Subscription",INDEX('Game Records'!$U:$U,$H418)&lt;&gt;"Free Game",INDEX('Game Records'!$U:$U,$H418)&lt;&gt;"Disqualified — Free Game",INDEX('Game Records'!$G:$G,$H418)=""),"Gross Pot; ","")&amp;IF(AND(INDEX('Game Records'!$U:$U,$H418)&lt;&gt;"Free Game",INDEX('Game Records'!$U:$U,$H418)&lt;&gt;"Disqualified — Free Game",INDEX('Game Records'!$H:$H,$H418)=""),"Entry Fee; ","")&amp;IF(AND(INDEX('Game Records'!$U:$U,$H418)&lt;&gt;"Subscription",INDEX('Game Records'!$U:$U,$H418)&lt;&gt;"Free Game",INDEX('Game Records'!$U:$U,$H418)&lt;&gt;"Disqualified — Free Game",INDEX('Game Records'!$I:$I,$H418)=""),"Eligible Players; ","")&amp;IF(AND(INDEX('Game Records'!$U:$U,$H418)&lt;&gt;"Subscription",INDEX('Game Records'!$U:$U,$H418)&lt;&gt;"Free Game",INDEX('Game Records'!$U:$U,$H418)&lt;&gt;"Disqualified — Free Game",INDEX('Game Records'!$J:$J,$H418)=""),"Total Players; ","")&amp;IF(AND(LOWER(INDEX('Game Records'!$D:$D,$H418)&amp;"")="finalized",LOWER(INDEX('Game Records'!$L:$L,$H418)&amp;"")&lt;&gt;"yes",INDEX('Game Records'!$U:$U,$H418)&lt;&gt;"Subscription",INDEX('Game Records'!$U:$U,$H418)&lt;&gt;"Free Game",INDEX('Game Records'!$U:$U,$H418)&lt;&gt;"Disqualified — Free Game",INDEX('Game Records'!$K:$K,$H418)=""),"Final Earned; ","")&amp;IF(AND(LOWER(INDEX('Game Records'!$D:$D,$H418)&amp;"")="finalized",INDEX('Game Records'!$U:$U,$H418)&lt;&gt;"Subscription",INDEX('Game Records'!$U:$U,$H418)&lt;&gt;"Free Game",INDEX('Game Records'!$U:$U,$H418)&lt;&gt;"Disqualified — Free Game",OR(INDEX('Game Records'!$L:$L,$H418)="",LOWER(INDEX('Game Records'!$L:$L,$H418)&amp;"")="n/a")),"Disqualified Status; ","")&amp;IF(AND(OR(LOWER(TRIM(INDEX('Game Records'!$F:$F,$H418)&amp;""))="free game",INDEX('Game Records'!$U:$U,$H418)="Free Game",INDEX('Game Records'!$U:$U,$H418)="Disqualified — Free Game"),N(INDEX('Game Records'!$H:$H,$H418))&lt;&gt;0),"Free Game has a non-zero Entry Fee. Free Game records require a $0 Entry Fee; ",""))</f>
        <v/>
      </c>
      <c r="G418" s="331" t="str">
        <f>IF($H418="","",IFERROR(INDEX('Game Records'!$M:$M,$H418),""))</f>
        <v/>
      </c>
      <c r="H418" s="104" t="str">
        <f>IF($H417="","",IFERROR(MATCH(1,INDEX((ROW('Game Records'!$U$5:$U$504)&gt;$H417)*(('Game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9" ht="24" customHeight="1">
      <c r="A419" s="332" t="str">
        <f>IF($H419="","",ROWS($A$5:A419))</f>
        <v/>
      </c>
      <c r="B419" s="332" t="str">
        <f>IF($H419="","","G-"&amp;TEXT($A419,"0000"))</f>
        <v/>
      </c>
      <c r="C419" s="331" t="str">
        <f>IF($H419="","",IFERROR(INDEX('Game Records'!$A:$A,$H419),""))</f>
        <v/>
      </c>
      <c r="D419" s="331" t="str">
        <f>IF($H419="","",IFERROR(INDEX('Game Records'!$U:$U,$H419),""))</f>
        <v/>
      </c>
      <c r="E419" s="331" t="str">
        <f>IF($H419="","",IF($F419="","No Highlighted Fields","Highlighted Fields Present"))</f>
        <v/>
      </c>
      <c r="F419" s="331" t="str">
        <f>IF($H419="","",IF(OR(NOT(ISFORMULA(INDEX('Game Records'!$N:$N,$H419))),NOT(ISFORMULA(INDEX('Game Records'!$O:$O,$H419))),NOT(ISFORMULA(INDEX('Game Records'!$P:$P,$H419))),NOT(ISFORMULA(INDEX('Game Records'!$Q:$Q,$H419))),NOT(ISFORMULA(INDEX('Game Records'!$R:$R,$H419))),NOT(ISFORMULA(INDEX('Game Records'!$S:$S,$H419))),NOT(ISFORMULA(INDEX('Game Records'!$T:$T,$H419))),NOT(ISFORMULA(INDEX('Game Records'!$U:$U,$H419))),NOT(ISFORMULA(INDEX('Game Records'!$V:$V,$H419))),NOT(ISFORMULA(INDEX('Game Records'!$W:$W,$H419))),NOT(ISFORMULA(INDEX('Game Records'!$X:$X,$H419))),NOT(ISFORMULA(INDEX('Game Records'!$Y:$Y,$H419))),NOT(ISFORMULA(INDEX('Game Records'!$Z:$Z,$H419)))),"Formula columns missing; ","")&amp;IF(INDEX('Game Records'!$B:$B,$H419)="","Start Date; ","")&amp;IF(INDEX('Game Records'!$C:$C,$H419)="","End Date; ","")&amp;IF(AND(INDEX('Game Records'!$U:$U,$H419)&lt;&gt;"Subscription",INDEX('Game Records'!$U:$U,$H419)&lt;&gt;"Free Game",INDEX('Game Records'!$U:$U,$H419)&lt;&gt;"Disqualified — Free Game",OR(INDEX('Game Records'!$D:$D,$H419)="",LOWER(INDEX('Game Records'!$D:$D,$H419)&amp;"")="n/a")),"Entry Mode; ","")&amp;IF(AND(INDEX('Game Records'!$U:$U,$H419)&lt;&gt;"Subscription",INDEX('Game Records'!$U:$U,$H419)&lt;&gt;"Free Game",INDEX('Game Records'!$U:$U,$H419)&lt;&gt;"Disqualified — Free Game",OR(INDEX('Game Records'!$E:$E,$H419)="",LOWER(INDEX('Game Records'!$E:$E,$H419)&amp;"")="n/a")),"Game Type; ","")&amp;IF(INDEX('Game Records'!$F:$F,$H419)="","Payment Type; ","")&amp;IF(AND(INDEX('Game Records'!$U:$U,$H419)&lt;&gt;"Subscription",INDEX('Game Records'!$U:$U,$H419)&lt;&gt;"Free Game",INDEX('Game Records'!$U:$U,$H419)&lt;&gt;"Disqualified — Free Game",INDEX('Game Records'!$G:$G,$H419)=""),"Gross Pot; ","")&amp;IF(AND(INDEX('Game Records'!$U:$U,$H419)&lt;&gt;"Free Game",INDEX('Game Records'!$U:$U,$H419)&lt;&gt;"Disqualified — Free Game",INDEX('Game Records'!$H:$H,$H419)=""),"Entry Fee; ","")&amp;IF(AND(INDEX('Game Records'!$U:$U,$H419)&lt;&gt;"Subscription",INDEX('Game Records'!$U:$U,$H419)&lt;&gt;"Free Game",INDEX('Game Records'!$U:$U,$H419)&lt;&gt;"Disqualified — Free Game",INDEX('Game Records'!$I:$I,$H419)=""),"Eligible Players; ","")&amp;IF(AND(INDEX('Game Records'!$U:$U,$H419)&lt;&gt;"Subscription",INDEX('Game Records'!$U:$U,$H419)&lt;&gt;"Free Game",INDEX('Game Records'!$U:$U,$H419)&lt;&gt;"Disqualified — Free Game",INDEX('Game Records'!$J:$J,$H419)=""),"Total Players; ","")&amp;IF(AND(LOWER(INDEX('Game Records'!$D:$D,$H419)&amp;"")="finalized",LOWER(INDEX('Game Records'!$L:$L,$H419)&amp;"")&lt;&gt;"yes",INDEX('Game Records'!$U:$U,$H419)&lt;&gt;"Subscription",INDEX('Game Records'!$U:$U,$H419)&lt;&gt;"Free Game",INDEX('Game Records'!$U:$U,$H419)&lt;&gt;"Disqualified — Free Game",INDEX('Game Records'!$K:$K,$H419)=""),"Final Earned; ","")&amp;IF(AND(LOWER(INDEX('Game Records'!$D:$D,$H419)&amp;"")="finalized",INDEX('Game Records'!$U:$U,$H419)&lt;&gt;"Subscription",INDEX('Game Records'!$U:$U,$H419)&lt;&gt;"Free Game",INDEX('Game Records'!$U:$U,$H419)&lt;&gt;"Disqualified — Free Game",OR(INDEX('Game Records'!$L:$L,$H419)="",LOWER(INDEX('Game Records'!$L:$L,$H419)&amp;"")="n/a")),"Disqualified Status; ","")&amp;IF(AND(OR(LOWER(TRIM(INDEX('Game Records'!$F:$F,$H419)&amp;""))="free game",INDEX('Game Records'!$U:$U,$H419)="Free Game",INDEX('Game Records'!$U:$U,$H419)="Disqualified — Free Game"),N(INDEX('Game Records'!$H:$H,$H419))&lt;&gt;0),"Free Game has a non-zero Entry Fee. Free Game records require a $0 Entry Fee; ",""))</f>
        <v/>
      </c>
      <c r="G419" s="331" t="str">
        <f>IF($H419="","",IFERROR(INDEX('Game Records'!$M:$M,$H419),""))</f>
        <v/>
      </c>
      <c r="H419" s="104" t="str">
        <f>IF($H418="","",IFERROR(MATCH(1,INDEX((ROW('Game Records'!$U$5:$U$504)&gt;$H418)*(('Game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0" ht="24" customHeight="1">
      <c r="A420" s="332" t="str">
        <f>IF($H420="","",ROWS($A$5:A420))</f>
        <v/>
      </c>
      <c r="B420" s="332" t="str">
        <f>IF($H420="","","G-"&amp;TEXT($A420,"0000"))</f>
        <v/>
      </c>
      <c r="C420" s="331" t="str">
        <f>IF($H420="","",IFERROR(INDEX('Game Records'!$A:$A,$H420),""))</f>
        <v/>
      </c>
      <c r="D420" s="331" t="str">
        <f>IF($H420="","",IFERROR(INDEX('Game Records'!$U:$U,$H420),""))</f>
        <v/>
      </c>
      <c r="E420" s="331" t="str">
        <f>IF($H420="","",IF($F420="","No Highlighted Fields","Highlighted Fields Present"))</f>
        <v/>
      </c>
      <c r="F420" s="331" t="str">
        <f>IF($H420="","",IF(OR(NOT(ISFORMULA(INDEX('Game Records'!$N:$N,$H420))),NOT(ISFORMULA(INDEX('Game Records'!$O:$O,$H420))),NOT(ISFORMULA(INDEX('Game Records'!$P:$P,$H420))),NOT(ISFORMULA(INDEX('Game Records'!$Q:$Q,$H420))),NOT(ISFORMULA(INDEX('Game Records'!$R:$R,$H420))),NOT(ISFORMULA(INDEX('Game Records'!$S:$S,$H420))),NOT(ISFORMULA(INDEX('Game Records'!$T:$T,$H420))),NOT(ISFORMULA(INDEX('Game Records'!$U:$U,$H420))),NOT(ISFORMULA(INDEX('Game Records'!$V:$V,$H420))),NOT(ISFORMULA(INDEX('Game Records'!$W:$W,$H420))),NOT(ISFORMULA(INDEX('Game Records'!$X:$X,$H420))),NOT(ISFORMULA(INDEX('Game Records'!$Y:$Y,$H420))),NOT(ISFORMULA(INDEX('Game Records'!$Z:$Z,$H420)))),"Formula columns missing; ","")&amp;IF(INDEX('Game Records'!$B:$B,$H420)="","Start Date; ","")&amp;IF(INDEX('Game Records'!$C:$C,$H420)="","End Date; ","")&amp;IF(AND(INDEX('Game Records'!$U:$U,$H420)&lt;&gt;"Subscription",INDEX('Game Records'!$U:$U,$H420)&lt;&gt;"Free Game",INDEX('Game Records'!$U:$U,$H420)&lt;&gt;"Disqualified — Free Game",OR(INDEX('Game Records'!$D:$D,$H420)="",LOWER(INDEX('Game Records'!$D:$D,$H420)&amp;"")="n/a")),"Entry Mode; ","")&amp;IF(AND(INDEX('Game Records'!$U:$U,$H420)&lt;&gt;"Subscription",INDEX('Game Records'!$U:$U,$H420)&lt;&gt;"Free Game",INDEX('Game Records'!$U:$U,$H420)&lt;&gt;"Disqualified — Free Game",OR(INDEX('Game Records'!$E:$E,$H420)="",LOWER(INDEX('Game Records'!$E:$E,$H420)&amp;"")="n/a")),"Game Type; ","")&amp;IF(INDEX('Game Records'!$F:$F,$H420)="","Payment Type; ","")&amp;IF(AND(INDEX('Game Records'!$U:$U,$H420)&lt;&gt;"Subscription",INDEX('Game Records'!$U:$U,$H420)&lt;&gt;"Free Game",INDEX('Game Records'!$U:$U,$H420)&lt;&gt;"Disqualified — Free Game",INDEX('Game Records'!$G:$G,$H420)=""),"Gross Pot; ","")&amp;IF(AND(INDEX('Game Records'!$U:$U,$H420)&lt;&gt;"Free Game",INDEX('Game Records'!$U:$U,$H420)&lt;&gt;"Disqualified — Free Game",INDEX('Game Records'!$H:$H,$H420)=""),"Entry Fee; ","")&amp;IF(AND(INDEX('Game Records'!$U:$U,$H420)&lt;&gt;"Subscription",INDEX('Game Records'!$U:$U,$H420)&lt;&gt;"Free Game",INDEX('Game Records'!$U:$U,$H420)&lt;&gt;"Disqualified — Free Game",INDEX('Game Records'!$I:$I,$H420)=""),"Eligible Players; ","")&amp;IF(AND(INDEX('Game Records'!$U:$U,$H420)&lt;&gt;"Subscription",INDEX('Game Records'!$U:$U,$H420)&lt;&gt;"Free Game",INDEX('Game Records'!$U:$U,$H420)&lt;&gt;"Disqualified — Free Game",INDEX('Game Records'!$J:$J,$H420)=""),"Total Players; ","")&amp;IF(AND(LOWER(INDEX('Game Records'!$D:$D,$H420)&amp;"")="finalized",LOWER(INDEX('Game Records'!$L:$L,$H420)&amp;"")&lt;&gt;"yes",INDEX('Game Records'!$U:$U,$H420)&lt;&gt;"Subscription",INDEX('Game Records'!$U:$U,$H420)&lt;&gt;"Free Game",INDEX('Game Records'!$U:$U,$H420)&lt;&gt;"Disqualified — Free Game",INDEX('Game Records'!$K:$K,$H420)=""),"Final Earned; ","")&amp;IF(AND(LOWER(INDEX('Game Records'!$D:$D,$H420)&amp;"")="finalized",INDEX('Game Records'!$U:$U,$H420)&lt;&gt;"Subscription",INDEX('Game Records'!$U:$U,$H420)&lt;&gt;"Free Game",INDEX('Game Records'!$U:$U,$H420)&lt;&gt;"Disqualified — Free Game",OR(INDEX('Game Records'!$L:$L,$H420)="",LOWER(INDEX('Game Records'!$L:$L,$H420)&amp;"")="n/a")),"Disqualified Status; ","")&amp;IF(AND(OR(LOWER(TRIM(INDEX('Game Records'!$F:$F,$H420)&amp;""))="free game",INDEX('Game Records'!$U:$U,$H420)="Free Game",INDEX('Game Records'!$U:$U,$H420)="Disqualified — Free Game"),N(INDEX('Game Records'!$H:$H,$H420))&lt;&gt;0),"Free Game has a non-zero Entry Fee. Free Game records require a $0 Entry Fee; ",""))</f>
        <v/>
      </c>
      <c r="G420" s="331" t="str">
        <f>IF($H420="","",IFERROR(INDEX('Game Records'!$M:$M,$H420),""))</f>
        <v/>
      </c>
      <c r="H420" s="104" t="str">
        <f>IF($H419="","",IFERROR(MATCH(1,INDEX((ROW('Game Records'!$U$5:$U$504)&gt;$H419)*(('Game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1" ht="24" customHeight="1">
      <c r="A421" s="332" t="str">
        <f>IF($H421="","",ROWS($A$5:A421))</f>
        <v/>
      </c>
      <c r="B421" s="332" t="str">
        <f>IF($H421="","","G-"&amp;TEXT($A421,"0000"))</f>
        <v/>
      </c>
      <c r="C421" s="331" t="str">
        <f>IF($H421="","",IFERROR(INDEX('Game Records'!$A:$A,$H421),""))</f>
        <v/>
      </c>
      <c r="D421" s="331" t="str">
        <f>IF($H421="","",IFERROR(INDEX('Game Records'!$U:$U,$H421),""))</f>
        <v/>
      </c>
      <c r="E421" s="331" t="str">
        <f>IF($H421="","",IF($F421="","No Highlighted Fields","Highlighted Fields Present"))</f>
        <v/>
      </c>
      <c r="F421" s="331" t="str">
        <f>IF($H421="","",IF(OR(NOT(ISFORMULA(INDEX('Game Records'!$N:$N,$H421))),NOT(ISFORMULA(INDEX('Game Records'!$O:$O,$H421))),NOT(ISFORMULA(INDEX('Game Records'!$P:$P,$H421))),NOT(ISFORMULA(INDEX('Game Records'!$Q:$Q,$H421))),NOT(ISFORMULA(INDEX('Game Records'!$R:$R,$H421))),NOT(ISFORMULA(INDEX('Game Records'!$S:$S,$H421))),NOT(ISFORMULA(INDEX('Game Records'!$T:$T,$H421))),NOT(ISFORMULA(INDEX('Game Records'!$U:$U,$H421))),NOT(ISFORMULA(INDEX('Game Records'!$V:$V,$H421))),NOT(ISFORMULA(INDEX('Game Records'!$W:$W,$H421))),NOT(ISFORMULA(INDEX('Game Records'!$X:$X,$H421))),NOT(ISFORMULA(INDEX('Game Records'!$Y:$Y,$H421))),NOT(ISFORMULA(INDEX('Game Records'!$Z:$Z,$H421)))),"Formula columns missing; ","")&amp;IF(INDEX('Game Records'!$B:$B,$H421)="","Start Date; ","")&amp;IF(INDEX('Game Records'!$C:$C,$H421)="","End Date; ","")&amp;IF(AND(INDEX('Game Records'!$U:$U,$H421)&lt;&gt;"Subscription",INDEX('Game Records'!$U:$U,$H421)&lt;&gt;"Free Game",INDEX('Game Records'!$U:$U,$H421)&lt;&gt;"Disqualified — Free Game",OR(INDEX('Game Records'!$D:$D,$H421)="",LOWER(INDEX('Game Records'!$D:$D,$H421)&amp;"")="n/a")),"Entry Mode; ","")&amp;IF(AND(INDEX('Game Records'!$U:$U,$H421)&lt;&gt;"Subscription",INDEX('Game Records'!$U:$U,$H421)&lt;&gt;"Free Game",INDEX('Game Records'!$U:$U,$H421)&lt;&gt;"Disqualified — Free Game",OR(INDEX('Game Records'!$E:$E,$H421)="",LOWER(INDEX('Game Records'!$E:$E,$H421)&amp;"")="n/a")),"Game Type; ","")&amp;IF(INDEX('Game Records'!$F:$F,$H421)="","Payment Type; ","")&amp;IF(AND(INDEX('Game Records'!$U:$U,$H421)&lt;&gt;"Subscription",INDEX('Game Records'!$U:$U,$H421)&lt;&gt;"Free Game",INDEX('Game Records'!$U:$U,$H421)&lt;&gt;"Disqualified — Free Game",INDEX('Game Records'!$G:$G,$H421)=""),"Gross Pot; ","")&amp;IF(AND(INDEX('Game Records'!$U:$U,$H421)&lt;&gt;"Free Game",INDEX('Game Records'!$U:$U,$H421)&lt;&gt;"Disqualified — Free Game",INDEX('Game Records'!$H:$H,$H421)=""),"Entry Fee; ","")&amp;IF(AND(INDEX('Game Records'!$U:$U,$H421)&lt;&gt;"Subscription",INDEX('Game Records'!$U:$U,$H421)&lt;&gt;"Free Game",INDEX('Game Records'!$U:$U,$H421)&lt;&gt;"Disqualified — Free Game",INDEX('Game Records'!$I:$I,$H421)=""),"Eligible Players; ","")&amp;IF(AND(INDEX('Game Records'!$U:$U,$H421)&lt;&gt;"Subscription",INDEX('Game Records'!$U:$U,$H421)&lt;&gt;"Free Game",INDEX('Game Records'!$U:$U,$H421)&lt;&gt;"Disqualified — Free Game",INDEX('Game Records'!$J:$J,$H421)=""),"Total Players; ","")&amp;IF(AND(LOWER(INDEX('Game Records'!$D:$D,$H421)&amp;"")="finalized",LOWER(INDEX('Game Records'!$L:$L,$H421)&amp;"")&lt;&gt;"yes",INDEX('Game Records'!$U:$U,$H421)&lt;&gt;"Subscription",INDEX('Game Records'!$U:$U,$H421)&lt;&gt;"Free Game",INDEX('Game Records'!$U:$U,$H421)&lt;&gt;"Disqualified — Free Game",INDEX('Game Records'!$K:$K,$H421)=""),"Final Earned; ","")&amp;IF(AND(LOWER(INDEX('Game Records'!$D:$D,$H421)&amp;"")="finalized",INDEX('Game Records'!$U:$U,$H421)&lt;&gt;"Subscription",INDEX('Game Records'!$U:$U,$H421)&lt;&gt;"Free Game",INDEX('Game Records'!$U:$U,$H421)&lt;&gt;"Disqualified — Free Game",OR(INDEX('Game Records'!$L:$L,$H421)="",LOWER(INDEX('Game Records'!$L:$L,$H421)&amp;"")="n/a")),"Disqualified Status; ","")&amp;IF(AND(OR(LOWER(TRIM(INDEX('Game Records'!$F:$F,$H421)&amp;""))="free game",INDEX('Game Records'!$U:$U,$H421)="Free Game",INDEX('Game Records'!$U:$U,$H421)="Disqualified — Free Game"),N(INDEX('Game Records'!$H:$H,$H421))&lt;&gt;0),"Free Game has a non-zero Entry Fee. Free Game records require a $0 Entry Fee; ",""))</f>
        <v/>
      </c>
      <c r="G421" s="331" t="str">
        <f>IF($H421="","",IFERROR(INDEX('Game Records'!$M:$M,$H421),""))</f>
        <v/>
      </c>
      <c r="H421" s="104" t="str">
        <f>IF($H420="","",IFERROR(MATCH(1,INDEX((ROW('Game Records'!$U$5:$U$504)&gt;$H420)*(('Game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2" ht="24" customHeight="1">
      <c r="A422" s="332" t="str">
        <f>IF($H422="","",ROWS($A$5:A422))</f>
        <v/>
      </c>
      <c r="B422" s="332" t="str">
        <f>IF($H422="","","G-"&amp;TEXT($A422,"0000"))</f>
        <v/>
      </c>
      <c r="C422" s="331" t="str">
        <f>IF($H422="","",IFERROR(INDEX('Game Records'!$A:$A,$H422),""))</f>
        <v/>
      </c>
      <c r="D422" s="331" t="str">
        <f>IF($H422="","",IFERROR(INDEX('Game Records'!$U:$U,$H422),""))</f>
        <v/>
      </c>
      <c r="E422" s="331" t="str">
        <f>IF($H422="","",IF($F422="","No Highlighted Fields","Highlighted Fields Present"))</f>
        <v/>
      </c>
      <c r="F422" s="331" t="str">
        <f>IF($H422="","",IF(OR(NOT(ISFORMULA(INDEX('Game Records'!$N:$N,$H422))),NOT(ISFORMULA(INDEX('Game Records'!$O:$O,$H422))),NOT(ISFORMULA(INDEX('Game Records'!$P:$P,$H422))),NOT(ISFORMULA(INDEX('Game Records'!$Q:$Q,$H422))),NOT(ISFORMULA(INDEX('Game Records'!$R:$R,$H422))),NOT(ISFORMULA(INDEX('Game Records'!$S:$S,$H422))),NOT(ISFORMULA(INDEX('Game Records'!$T:$T,$H422))),NOT(ISFORMULA(INDEX('Game Records'!$U:$U,$H422))),NOT(ISFORMULA(INDEX('Game Records'!$V:$V,$H422))),NOT(ISFORMULA(INDEX('Game Records'!$W:$W,$H422))),NOT(ISFORMULA(INDEX('Game Records'!$X:$X,$H422))),NOT(ISFORMULA(INDEX('Game Records'!$Y:$Y,$H422))),NOT(ISFORMULA(INDEX('Game Records'!$Z:$Z,$H422)))),"Formula columns missing; ","")&amp;IF(INDEX('Game Records'!$B:$B,$H422)="","Start Date; ","")&amp;IF(INDEX('Game Records'!$C:$C,$H422)="","End Date; ","")&amp;IF(AND(INDEX('Game Records'!$U:$U,$H422)&lt;&gt;"Subscription",INDEX('Game Records'!$U:$U,$H422)&lt;&gt;"Free Game",INDEX('Game Records'!$U:$U,$H422)&lt;&gt;"Disqualified — Free Game",OR(INDEX('Game Records'!$D:$D,$H422)="",LOWER(INDEX('Game Records'!$D:$D,$H422)&amp;"")="n/a")),"Entry Mode; ","")&amp;IF(AND(INDEX('Game Records'!$U:$U,$H422)&lt;&gt;"Subscription",INDEX('Game Records'!$U:$U,$H422)&lt;&gt;"Free Game",INDEX('Game Records'!$U:$U,$H422)&lt;&gt;"Disqualified — Free Game",OR(INDEX('Game Records'!$E:$E,$H422)="",LOWER(INDEX('Game Records'!$E:$E,$H422)&amp;"")="n/a")),"Game Type; ","")&amp;IF(INDEX('Game Records'!$F:$F,$H422)="","Payment Type; ","")&amp;IF(AND(INDEX('Game Records'!$U:$U,$H422)&lt;&gt;"Subscription",INDEX('Game Records'!$U:$U,$H422)&lt;&gt;"Free Game",INDEX('Game Records'!$U:$U,$H422)&lt;&gt;"Disqualified — Free Game",INDEX('Game Records'!$G:$G,$H422)=""),"Gross Pot; ","")&amp;IF(AND(INDEX('Game Records'!$U:$U,$H422)&lt;&gt;"Free Game",INDEX('Game Records'!$U:$U,$H422)&lt;&gt;"Disqualified — Free Game",INDEX('Game Records'!$H:$H,$H422)=""),"Entry Fee; ","")&amp;IF(AND(INDEX('Game Records'!$U:$U,$H422)&lt;&gt;"Subscription",INDEX('Game Records'!$U:$U,$H422)&lt;&gt;"Free Game",INDEX('Game Records'!$U:$U,$H422)&lt;&gt;"Disqualified — Free Game",INDEX('Game Records'!$I:$I,$H422)=""),"Eligible Players; ","")&amp;IF(AND(INDEX('Game Records'!$U:$U,$H422)&lt;&gt;"Subscription",INDEX('Game Records'!$U:$U,$H422)&lt;&gt;"Free Game",INDEX('Game Records'!$U:$U,$H422)&lt;&gt;"Disqualified — Free Game",INDEX('Game Records'!$J:$J,$H422)=""),"Total Players; ","")&amp;IF(AND(LOWER(INDEX('Game Records'!$D:$D,$H422)&amp;"")="finalized",LOWER(INDEX('Game Records'!$L:$L,$H422)&amp;"")&lt;&gt;"yes",INDEX('Game Records'!$U:$U,$H422)&lt;&gt;"Subscription",INDEX('Game Records'!$U:$U,$H422)&lt;&gt;"Free Game",INDEX('Game Records'!$U:$U,$H422)&lt;&gt;"Disqualified — Free Game",INDEX('Game Records'!$K:$K,$H422)=""),"Final Earned; ","")&amp;IF(AND(LOWER(INDEX('Game Records'!$D:$D,$H422)&amp;"")="finalized",INDEX('Game Records'!$U:$U,$H422)&lt;&gt;"Subscription",INDEX('Game Records'!$U:$U,$H422)&lt;&gt;"Free Game",INDEX('Game Records'!$U:$U,$H422)&lt;&gt;"Disqualified — Free Game",OR(INDEX('Game Records'!$L:$L,$H422)="",LOWER(INDEX('Game Records'!$L:$L,$H422)&amp;"")="n/a")),"Disqualified Status; ","")&amp;IF(AND(OR(LOWER(TRIM(INDEX('Game Records'!$F:$F,$H422)&amp;""))="free game",INDEX('Game Records'!$U:$U,$H422)="Free Game",INDEX('Game Records'!$U:$U,$H422)="Disqualified — Free Game"),N(INDEX('Game Records'!$H:$H,$H422))&lt;&gt;0),"Free Game has a non-zero Entry Fee. Free Game records require a $0 Entry Fee; ",""))</f>
        <v/>
      </c>
      <c r="G422" s="331" t="str">
        <f>IF($H422="","",IFERROR(INDEX('Game Records'!$M:$M,$H422),""))</f>
        <v/>
      </c>
      <c r="H422" s="104" t="str">
        <f>IF($H421="","",IFERROR(MATCH(1,INDEX((ROW('Game Records'!$U$5:$U$504)&gt;$H421)*(('Game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3" ht="24" customHeight="1">
      <c r="A423" s="332" t="str">
        <f>IF($H423="","",ROWS($A$5:A423))</f>
        <v/>
      </c>
      <c r="B423" s="332" t="str">
        <f>IF($H423="","","G-"&amp;TEXT($A423,"0000"))</f>
        <v/>
      </c>
      <c r="C423" s="331" t="str">
        <f>IF($H423="","",IFERROR(INDEX('Game Records'!$A:$A,$H423),""))</f>
        <v/>
      </c>
      <c r="D423" s="331" t="str">
        <f>IF($H423="","",IFERROR(INDEX('Game Records'!$U:$U,$H423),""))</f>
        <v/>
      </c>
      <c r="E423" s="331" t="str">
        <f>IF($H423="","",IF($F423="","No Highlighted Fields","Highlighted Fields Present"))</f>
        <v/>
      </c>
      <c r="F423" s="331" t="str">
        <f>IF($H423="","",IF(OR(NOT(ISFORMULA(INDEX('Game Records'!$N:$N,$H423))),NOT(ISFORMULA(INDEX('Game Records'!$O:$O,$H423))),NOT(ISFORMULA(INDEX('Game Records'!$P:$P,$H423))),NOT(ISFORMULA(INDEX('Game Records'!$Q:$Q,$H423))),NOT(ISFORMULA(INDEX('Game Records'!$R:$R,$H423))),NOT(ISFORMULA(INDEX('Game Records'!$S:$S,$H423))),NOT(ISFORMULA(INDEX('Game Records'!$T:$T,$H423))),NOT(ISFORMULA(INDEX('Game Records'!$U:$U,$H423))),NOT(ISFORMULA(INDEX('Game Records'!$V:$V,$H423))),NOT(ISFORMULA(INDEX('Game Records'!$W:$W,$H423))),NOT(ISFORMULA(INDEX('Game Records'!$X:$X,$H423))),NOT(ISFORMULA(INDEX('Game Records'!$Y:$Y,$H423))),NOT(ISFORMULA(INDEX('Game Records'!$Z:$Z,$H423)))),"Formula columns missing; ","")&amp;IF(INDEX('Game Records'!$B:$B,$H423)="","Start Date; ","")&amp;IF(INDEX('Game Records'!$C:$C,$H423)="","End Date; ","")&amp;IF(AND(INDEX('Game Records'!$U:$U,$H423)&lt;&gt;"Subscription",INDEX('Game Records'!$U:$U,$H423)&lt;&gt;"Free Game",INDEX('Game Records'!$U:$U,$H423)&lt;&gt;"Disqualified — Free Game",OR(INDEX('Game Records'!$D:$D,$H423)="",LOWER(INDEX('Game Records'!$D:$D,$H423)&amp;"")="n/a")),"Entry Mode; ","")&amp;IF(AND(INDEX('Game Records'!$U:$U,$H423)&lt;&gt;"Subscription",INDEX('Game Records'!$U:$U,$H423)&lt;&gt;"Free Game",INDEX('Game Records'!$U:$U,$H423)&lt;&gt;"Disqualified — Free Game",OR(INDEX('Game Records'!$E:$E,$H423)="",LOWER(INDEX('Game Records'!$E:$E,$H423)&amp;"")="n/a")),"Game Type; ","")&amp;IF(INDEX('Game Records'!$F:$F,$H423)="","Payment Type; ","")&amp;IF(AND(INDEX('Game Records'!$U:$U,$H423)&lt;&gt;"Subscription",INDEX('Game Records'!$U:$U,$H423)&lt;&gt;"Free Game",INDEX('Game Records'!$U:$U,$H423)&lt;&gt;"Disqualified — Free Game",INDEX('Game Records'!$G:$G,$H423)=""),"Gross Pot; ","")&amp;IF(AND(INDEX('Game Records'!$U:$U,$H423)&lt;&gt;"Free Game",INDEX('Game Records'!$U:$U,$H423)&lt;&gt;"Disqualified — Free Game",INDEX('Game Records'!$H:$H,$H423)=""),"Entry Fee; ","")&amp;IF(AND(INDEX('Game Records'!$U:$U,$H423)&lt;&gt;"Subscription",INDEX('Game Records'!$U:$U,$H423)&lt;&gt;"Free Game",INDEX('Game Records'!$U:$U,$H423)&lt;&gt;"Disqualified — Free Game",INDEX('Game Records'!$I:$I,$H423)=""),"Eligible Players; ","")&amp;IF(AND(INDEX('Game Records'!$U:$U,$H423)&lt;&gt;"Subscription",INDEX('Game Records'!$U:$U,$H423)&lt;&gt;"Free Game",INDEX('Game Records'!$U:$U,$H423)&lt;&gt;"Disqualified — Free Game",INDEX('Game Records'!$J:$J,$H423)=""),"Total Players; ","")&amp;IF(AND(LOWER(INDEX('Game Records'!$D:$D,$H423)&amp;"")="finalized",LOWER(INDEX('Game Records'!$L:$L,$H423)&amp;"")&lt;&gt;"yes",INDEX('Game Records'!$U:$U,$H423)&lt;&gt;"Subscription",INDEX('Game Records'!$U:$U,$H423)&lt;&gt;"Free Game",INDEX('Game Records'!$U:$U,$H423)&lt;&gt;"Disqualified — Free Game",INDEX('Game Records'!$K:$K,$H423)=""),"Final Earned; ","")&amp;IF(AND(LOWER(INDEX('Game Records'!$D:$D,$H423)&amp;"")="finalized",INDEX('Game Records'!$U:$U,$H423)&lt;&gt;"Subscription",INDEX('Game Records'!$U:$U,$H423)&lt;&gt;"Free Game",INDEX('Game Records'!$U:$U,$H423)&lt;&gt;"Disqualified — Free Game",OR(INDEX('Game Records'!$L:$L,$H423)="",LOWER(INDEX('Game Records'!$L:$L,$H423)&amp;"")="n/a")),"Disqualified Status; ","")&amp;IF(AND(OR(LOWER(TRIM(INDEX('Game Records'!$F:$F,$H423)&amp;""))="free game",INDEX('Game Records'!$U:$U,$H423)="Free Game",INDEX('Game Records'!$U:$U,$H423)="Disqualified — Free Game"),N(INDEX('Game Records'!$H:$H,$H423))&lt;&gt;0),"Free Game has a non-zero Entry Fee. Free Game records require a $0 Entry Fee; ",""))</f>
        <v/>
      </c>
      <c r="G423" s="331" t="str">
        <f>IF($H423="","",IFERROR(INDEX('Game Records'!$M:$M,$H423),""))</f>
        <v/>
      </c>
      <c r="H423" s="104" t="str">
        <f>IF($H422="","",IFERROR(MATCH(1,INDEX((ROW('Game Records'!$U$5:$U$504)&gt;$H422)*(('Game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4" ht="24" customHeight="1">
      <c r="A424" s="332" t="str">
        <f>IF($H424="","",ROWS($A$5:A424))</f>
        <v/>
      </c>
      <c r="B424" s="332" t="str">
        <f>IF($H424="","","G-"&amp;TEXT($A424,"0000"))</f>
        <v/>
      </c>
      <c r="C424" s="331" t="str">
        <f>IF($H424="","",IFERROR(INDEX('Game Records'!$A:$A,$H424),""))</f>
        <v/>
      </c>
      <c r="D424" s="331" t="str">
        <f>IF($H424="","",IFERROR(INDEX('Game Records'!$U:$U,$H424),""))</f>
        <v/>
      </c>
      <c r="E424" s="331" t="str">
        <f>IF($H424="","",IF($F424="","No Highlighted Fields","Highlighted Fields Present"))</f>
        <v/>
      </c>
      <c r="F424" s="331" t="str">
        <f>IF($H424="","",IF(OR(NOT(ISFORMULA(INDEX('Game Records'!$N:$N,$H424))),NOT(ISFORMULA(INDEX('Game Records'!$O:$O,$H424))),NOT(ISFORMULA(INDEX('Game Records'!$P:$P,$H424))),NOT(ISFORMULA(INDEX('Game Records'!$Q:$Q,$H424))),NOT(ISFORMULA(INDEX('Game Records'!$R:$R,$H424))),NOT(ISFORMULA(INDEX('Game Records'!$S:$S,$H424))),NOT(ISFORMULA(INDEX('Game Records'!$T:$T,$H424))),NOT(ISFORMULA(INDEX('Game Records'!$U:$U,$H424))),NOT(ISFORMULA(INDEX('Game Records'!$V:$V,$H424))),NOT(ISFORMULA(INDEX('Game Records'!$W:$W,$H424))),NOT(ISFORMULA(INDEX('Game Records'!$X:$X,$H424))),NOT(ISFORMULA(INDEX('Game Records'!$Y:$Y,$H424))),NOT(ISFORMULA(INDEX('Game Records'!$Z:$Z,$H424)))),"Formula columns missing; ","")&amp;IF(INDEX('Game Records'!$B:$B,$H424)="","Start Date; ","")&amp;IF(INDEX('Game Records'!$C:$C,$H424)="","End Date; ","")&amp;IF(AND(INDEX('Game Records'!$U:$U,$H424)&lt;&gt;"Subscription",INDEX('Game Records'!$U:$U,$H424)&lt;&gt;"Free Game",INDEX('Game Records'!$U:$U,$H424)&lt;&gt;"Disqualified — Free Game",OR(INDEX('Game Records'!$D:$D,$H424)="",LOWER(INDEX('Game Records'!$D:$D,$H424)&amp;"")="n/a")),"Entry Mode; ","")&amp;IF(AND(INDEX('Game Records'!$U:$U,$H424)&lt;&gt;"Subscription",INDEX('Game Records'!$U:$U,$H424)&lt;&gt;"Free Game",INDEX('Game Records'!$U:$U,$H424)&lt;&gt;"Disqualified — Free Game",OR(INDEX('Game Records'!$E:$E,$H424)="",LOWER(INDEX('Game Records'!$E:$E,$H424)&amp;"")="n/a")),"Game Type; ","")&amp;IF(INDEX('Game Records'!$F:$F,$H424)="","Payment Type; ","")&amp;IF(AND(INDEX('Game Records'!$U:$U,$H424)&lt;&gt;"Subscription",INDEX('Game Records'!$U:$U,$H424)&lt;&gt;"Free Game",INDEX('Game Records'!$U:$U,$H424)&lt;&gt;"Disqualified — Free Game",INDEX('Game Records'!$G:$G,$H424)=""),"Gross Pot; ","")&amp;IF(AND(INDEX('Game Records'!$U:$U,$H424)&lt;&gt;"Free Game",INDEX('Game Records'!$U:$U,$H424)&lt;&gt;"Disqualified — Free Game",INDEX('Game Records'!$H:$H,$H424)=""),"Entry Fee; ","")&amp;IF(AND(INDEX('Game Records'!$U:$U,$H424)&lt;&gt;"Subscription",INDEX('Game Records'!$U:$U,$H424)&lt;&gt;"Free Game",INDEX('Game Records'!$U:$U,$H424)&lt;&gt;"Disqualified — Free Game",INDEX('Game Records'!$I:$I,$H424)=""),"Eligible Players; ","")&amp;IF(AND(INDEX('Game Records'!$U:$U,$H424)&lt;&gt;"Subscription",INDEX('Game Records'!$U:$U,$H424)&lt;&gt;"Free Game",INDEX('Game Records'!$U:$U,$H424)&lt;&gt;"Disqualified — Free Game",INDEX('Game Records'!$J:$J,$H424)=""),"Total Players; ","")&amp;IF(AND(LOWER(INDEX('Game Records'!$D:$D,$H424)&amp;"")="finalized",LOWER(INDEX('Game Records'!$L:$L,$H424)&amp;"")&lt;&gt;"yes",INDEX('Game Records'!$U:$U,$H424)&lt;&gt;"Subscription",INDEX('Game Records'!$U:$U,$H424)&lt;&gt;"Free Game",INDEX('Game Records'!$U:$U,$H424)&lt;&gt;"Disqualified — Free Game",INDEX('Game Records'!$K:$K,$H424)=""),"Final Earned; ","")&amp;IF(AND(LOWER(INDEX('Game Records'!$D:$D,$H424)&amp;"")="finalized",INDEX('Game Records'!$U:$U,$H424)&lt;&gt;"Subscription",INDEX('Game Records'!$U:$U,$H424)&lt;&gt;"Free Game",INDEX('Game Records'!$U:$U,$H424)&lt;&gt;"Disqualified — Free Game",OR(INDEX('Game Records'!$L:$L,$H424)="",LOWER(INDEX('Game Records'!$L:$L,$H424)&amp;"")="n/a")),"Disqualified Status; ","")&amp;IF(AND(OR(LOWER(TRIM(INDEX('Game Records'!$F:$F,$H424)&amp;""))="free game",INDEX('Game Records'!$U:$U,$H424)="Free Game",INDEX('Game Records'!$U:$U,$H424)="Disqualified — Free Game"),N(INDEX('Game Records'!$H:$H,$H424))&lt;&gt;0),"Free Game has a non-zero Entry Fee. Free Game records require a $0 Entry Fee; ",""))</f>
        <v/>
      </c>
      <c r="G424" s="331" t="str">
        <f>IF($H424="","",IFERROR(INDEX('Game Records'!$M:$M,$H424),""))</f>
        <v/>
      </c>
      <c r="H424" s="104" t="str">
        <f>IF($H423="","",IFERROR(MATCH(1,INDEX((ROW('Game Records'!$U$5:$U$504)&gt;$H423)*(('Game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5" ht="24" customHeight="1">
      <c r="A425" s="332" t="str">
        <f>IF($H425="","",ROWS($A$5:A425))</f>
        <v/>
      </c>
      <c r="B425" s="332" t="str">
        <f>IF($H425="","","G-"&amp;TEXT($A425,"0000"))</f>
        <v/>
      </c>
      <c r="C425" s="331" t="str">
        <f>IF($H425="","",IFERROR(INDEX('Game Records'!$A:$A,$H425),""))</f>
        <v/>
      </c>
      <c r="D425" s="331" t="str">
        <f>IF($H425="","",IFERROR(INDEX('Game Records'!$U:$U,$H425),""))</f>
        <v/>
      </c>
      <c r="E425" s="331" t="str">
        <f>IF($H425="","",IF($F425="","No Highlighted Fields","Highlighted Fields Present"))</f>
        <v/>
      </c>
      <c r="F425" s="331" t="str">
        <f>IF($H425="","",IF(OR(NOT(ISFORMULA(INDEX('Game Records'!$N:$N,$H425))),NOT(ISFORMULA(INDEX('Game Records'!$O:$O,$H425))),NOT(ISFORMULA(INDEX('Game Records'!$P:$P,$H425))),NOT(ISFORMULA(INDEX('Game Records'!$Q:$Q,$H425))),NOT(ISFORMULA(INDEX('Game Records'!$R:$R,$H425))),NOT(ISFORMULA(INDEX('Game Records'!$S:$S,$H425))),NOT(ISFORMULA(INDEX('Game Records'!$T:$T,$H425))),NOT(ISFORMULA(INDEX('Game Records'!$U:$U,$H425))),NOT(ISFORMULA(INDEX('Game Records'!$V:$V,$H425))),NOT(ISFORMULA(INDEX('Game Records'!$W:$W,$H425))),NOT(ISFORMULA(INDEX('Game Records'!$X:$X,$H425))),NOT(ISFORMULA(INDEX('Game Records'!$Y:$Y,$H425))),NOT(ISFORMULA(INDEX('Game Records'!$Z:$Z,$H425)))),"Formula columns missing; ","")&amp;IF(INDEX('Game Records'!$B:$B,$H425)="","Start Date; ","")&amp;IF(INDEX('Game Records'!$C:$C,$H425)="","End Date; ","")&amp;IF(AND(INDEX('Game Records'!$U:$U,$H425)&lt;&gt;"Subscription",INDEX('Game Records'!$U:$U,$H425)&lt;&gt;"Free Game",INDEX('Game Records'!$U:$U,$H425)&lt;&gt;"Disqualified — Free Game",OR(INDEX('Game Records'!$D:$D,$H425)="",LOWER(INDEX('Game Records'!$D:$D,$H425)&amp;"")="n/a")),"Entry Mode; ","")&amp;IF(AND(INDEX('Game Records'!$U:$U,$H425)&lt;&gt;"Subscription",INDEX('Game Records'!$U:$U,$H425)&lt;&gt;"Free Game",INDEX('Game Records'!$U:$U,$H425)&lt;&gt;"Disqualified — Free Game",OR(INDEX('Game Records'!$E:$E,$H425)="",LOWER(INDEX('Game Records'!$E:$E,$H425)&amp;"")="n/a")),"Game Type; ","")&amp;IF(INDEX('Game Records'!$F:$F,$H425)="","Payment Type; ","")&amp;IF(AND(INDEX('Game Records'!$U:$U,$H425)&lt;&gt;"Subscription",INDEX('Game Records'!$U:$U,$H425)&lt;&gt;"Free Game",INDEX('Game Records'!$U:$U,$H425)&lt;&gt;"Disqualified — Free Game",INDEX('Game Records'!$G:$G,$H425)=""),"Gross Pot; ","")&amp;IF(AND(INDEX('Game Records'!$U:$U,$H425)&lt;&gt;"Free Game",INDEX('Game Records'!$U:$U,$H425)&lt;&gt;"Disqualified — Free Game",INDEX('Game Records'!$H:$H,$H425)=""),"Entry Fee; ","")&amp;IF(AND(INDEX('Game Records'!$U:$U,$H425)&lt;&gt;"Subscription",INDEX('Game Records'!$U:$U,$H425)&lt;&gt;"Free Game",INDEX('Game Records'!$U:$U,$H425)&lt;&gt;"Disqualified — Free Game",INDEX('Game Records'!$I:$I,$H425)=""),"Eligible Players; ","")&amp;IF(AND(INDEX('Game Records'!$U:$U,$H425)&lt;&gt;"Subscription",INDEX('Game Records'!$U:$U,$H425)&lt;&gt;"Free Game",INDEX('Game Records'!$U:$U,$H425)&lt;&gt;"Disqualified — Free Game",INDEX('Game Records'!$J:$J,$H425)=""),"Total Players; ","")&amp;IF(AND(LOWER(INDEX('Game Records'!$D:$D,$H425)&amp;"")="finalized",LOWER(INDEX('Game Records'!$L:$L,$H425)&amp;"")&lt;&gt;"yes",INDEX('Game Records'!$U:$U,$H425)&lt;&gt;"Subscription",INDEX('Game Records'!$U:$U,$H425)&lt;&gt;"Free Game",INDEX('Game Records'!$U:$U,$H425)&lt;&gt;"Disqualified — Free Game",INDEX('Game Records'!$K:$K,$H425)=""),"Final Earned; ","")&amp;IF(AND(LOWER(INDEX('Game Records'!$D:$D,$H425)&amp;"")="finalized",INDEX('Game Records'!$U:$U,$H425)&lt;&gt;"Subscription",INDEX('Game Records'!$U:$U,$H425)&lt;&gt;"Free Game",INDEX('Game Records'!$U:$U,$H425)&lt;&gt;"Disqualified — Free Game",OR(INDEX('Game Records'!$L:$L,$H425)="",LOWER(INDEX('Game Records'!$L:$L,$H425)&amp;"")="n/a")),"Disqualified Status; ","")&amp;IF(AND(OR(LOWER(TRIM(INDEX('Game Records'!$F:$F,$H425)&amp;""))="free game",INDEX('Game Records'!$U:$U,$H425)="Free Game",INDEX('Game Records'!$U:$U,$H425)="Disqualified — Free Game"),N(INDEX('Game Records'!$H:$H,$H425))&lt;&gt;0),"Free Game has a non-zero Entry Fee. Free Game records require a $0 Entry Fee; ",""))</f>
        <v/>
      </c>
      <c r="G425" s="331" t="str">
        <f>IF($H425="","",IFERROR(INDEX('Game Records'!$M:$M,$H425),""))</f>
        <v/>
      </c>
      <c r="H425" s="104" t="str">
        <f>IF($H424="","",IFERROR(MATCH(1,INDEX((ROW('Game Records'!$U$5:$U$504)&gt;$H424)*(('Game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6" ht="24" customHeight="1">
      <c r="A426" s="332" t="str">
        <f>IF($H426="","",ROWS($A$5:A426))</f>
        <v/>
      </c>
      <c r="B426" s="332" t="str">
        <f>IF($H426="","","G-"&amp;TEXT($A426,"0000"))</f>
        <v/>
      </c>
      <c r="C426" s="331" t="str">
        <f>IF($H426="","",IFERROR(INDEX('Game Records'!$A:$A,$H426),""))</f>
        <v/>
      </c>
      <c r="D426" s="331" t="str">
        <f>IF($H426="","",IFERROR(INDEX('Game Records'!$U:$U,$H426),""))</f>
        <v/>
      </c>
      <c r="E426" s="331" t="str">
        <f>IF($H426="","",IF($F426="","No Highlighted Fields","Highlighted Fields Present"))</f>
        <v/>
      </c>
      <c r="F426" s="331" t="str">
        <f>IF($H426="","",IF(OR(NOT(ISFORMULA(INDEX('Game Records'!$N:$N,$H426))),NOT(ISFORMULA(INDEX('Game Records'!$O:$O,$H426))),NOT(ISFORMULA(INDEX('Game Records'!$P:$P,$H426))),NOT(ISFORMULA(INDEX('Game Records'!$Q:$Q,$H426))),NOT(ISFORMULA(INDEX('Game Records'!$R:$R,$H426))),NOT(ISFORMULA(INDEX('Game Records'!$S:$S,$H426))),NOT(ISFORMULA(INDEX('Game Records'!$T:$T,$H426))),NOT(ISFORMULA(INDEX('Game Records'!$U:$U,$H426))),NOT(ISFORMULA(INDEX('Game Records'!$V:$V,$H426))),NOT(ISFORMULA(INDEX('Game Records'!$W:$W,$H426))),NOT(ISFORMULA(INDEX('Game Records'!$X:$X,$H426))),NOT(ISFORMULA(INDEX('Game Records'!$Y:$Y,$H426))),NOT(ISFORMULA(INDEX('Game Records'!$Z:$Z,$H426)))),"Formula columns missing; ","")&amp;IF(INDEX('Game Records'!$B:$B,$H426)="","Start Date; ","")&amp;IF(INDEX('Game Records'!$C:$C,$H426)="","End Date; ","")&amp;IF(AND(INDEX('Game Records'!$U:$U,$H426)&lt;&gt;"Subscription",INDEX('Game Records'!$U:$U,$H426)&lt;&gt;"Free Game",INDEX('Game Records'!$U:$U,$H426)&lt;&gt;"Disqualified — Free Game",OR(INDEX('Game Records'!$D:$D,$H426)="",LOWER(INDEX('Game Records'!$D:$D,$H426)&amp;"")="n/a")),"Entry Mode; ","")&amp;IF(AND(INDEX('Game Records'!$U:$U,$H426)&lt;&gt;"Subscription",INDEX('Game Records'!$U:$U,$H426)&lt;&gt;"Free Game",INDEX('Game Records'!$U:$U,$H426)&lt;&gt;"Disqualified — Free Game",OR(INDEX('Game Records'!$E:$E,$H426)="",LOWER(INDEX('Game Records'!$E:$E,$H426)&amp;"")="n/a")),"Game Type; ","")&amp;IF(INDEX('Game Records'!$F:$F,$H426)="","Payment Type; ","")&amp;IF(AND(INDEX('Game Records'!$U:$U,$H426)&lt;&gt;"Subscription",INDEX('Game Records'!$U:$U,$H426)&lt;&gt;"Free Game",INDEX('Game Records'!$U:$U,$H426)&lt;&gt;"Disqualified — Free Game",INDEX('Game Records'!$G:$G,$H426)=""),"Gross Pot; ","")&amp;IF(AND(INDEX('Game Records'!$U:$U,$H426)&lt;&gt;"Free Game",INDEX('Game Records'!$U:$U,$H426)&lt;&gt;"Disqualified — Free Game",INDEX('Game Records'!$H:$H,$H426)=""),"Entry Fee; ","")&amp;IF(AND(INDEX('Game Records'!$U:$U,$H426)&lt;&gt;"Subscription",INDEX('Game Records'!$U:$U,$H426)&lt;&gt;"Free Game",INDEX('Game Records'!$U:$U,$H426)&lt;&gt;"Disqualified — Free Game",INDEX('Game Records'!$I:$I,$H426)=""),"Eligible Players; ","")&amp;IF(AND(INDEX('Game Records'!$U:$U,$H426)&lt;&gt;"Subscription",INDEX('Game Records'!$U:$U,$H426)&lt;&gt;"Free Game",INDEX('Game Records'!$U:$U,$H426)&lt;&gt;"Disqualified — Free Game",INDEX('Game Records'!$J:$J,$H426)=""),"Total Players; ","")&amp;IF(AND(LOWER(INDEX('Game Records'!$D:$D,$H426)&amp;"")="finalized",LOWER(INDEX('Game Records'!$L:$L,$H426)&amp;"")&lt;&gt;"yes",INDEX('Game Records'!$U:$U,$H426)&lt;&gt;"Subscription",INDEX('Game Records'!$U:$U,$H426)&lt;&gt;"Free Game",INDEX('Game Records'!$U:$U,$H426)&lt;&gt;"Disqualified — Free Game",INDEX('Game Records'!$K:$K,$H426)=""),"Final Earned; ","")&amp;IF(AND(LOWER(INDEX('Game Records'!$D:$D,$H426)&amp;"")="finalized",INDEX('Game Records'!$U:$U,$H426)&lt;&gt;"Subscription",INDEX('Game Records'!$U:$U,$H426)&lt;&gt;"Free Game",INDEX('Game Records'!$U:$U,$H426)&lt;&gt;"Disqualified — Free Game",OR(INDEX('Game Records'!$L:$L,$H426)="",LOWER(INDEX('Game Records'!$L:$L,$H426)&amp;"")="n/a")),"Disqualified Status; ","")&amp;IF(AND(OR(LOWER(TRIM(INDEX('Game Records'!$F:$F,$H426)&amp;""))="free game",INDEX('Game Records'!$U:$U,$H426)="Free Game",INDEX('Game Records'!$U:$U,$H426)="Disqualified — Free Game"),N(INDEX('Game Records'!$H:$H,$H426))&lt;&gt;0),"Free Game has a non-zero Entry Fee. Free Game records require a $0 Entry Fee; ",""))</f>
        <v/>
      </c>
      <c r="G426" s="331" t="str">
        <f>IF($H426="","",IFERROR(INDEX('Game Records'!$M:$M,$H426),""))</f>
        <v/>
      </c>
      <c r="H426" s="104" t="str">
        <f>IF($H425="","",IFERROR(MATCH(1,INDEX((ROW('Game Records'!$U$5:$U$504)&gt;$H425)*(('Game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7" ht="24" customHeight="1">
      <c r="A427" s="332" t="str">
        <f>IF($H427="","",ROWS($A$5:A427))</f>
        <v/>
      </c>
      <c r="B427" s="332" t="str">
        <f>IF($H427="","","G-"&amp;TEXT($A427,"0000"))</f>
        <v/>
      </c>
      <c r="C427" s="331" t="str">
        <f>IF($H427="","",IFERROR(INDEX('Game Records'!$A:$A,$H427),""))</f>
        <v/>
      </c>
      <c r="D427" s="331" t="str">
        <f>IF($H427="","",IFERROR(INDEX('Game Records'!$U:$U,$H427),""))</f>
        <v/>
      </c>
      <c r="E427" s="331" t="str">
        <f>IF($H427="","",IF($F427="","No Highlighted Fields","Highlighted Fields Present"))</f>
        <v/>
      </c>
      <c r="F427" s="331" t="str">
        <f>IF($H427="","",IF(OR(NOT(ISFORMULA(INDEX('Game Records'!$N:$N,$H427))),NOT(ISFORMULA(INDEX('Game Records'!$O:$O,$H427))),NOT(ISFORMULA(INDEX('Game Records'!$P:$P,$H427))),NOT(ISFORMULA(INDEX('Game Records'!$Q:$Q,$H427))),NOT(ISFORMULA(INDEX('Game Records'!$R:$R,$H427))),NOT(ISFORMULA(INDEX('Game Records'!$S:$S,$H427))),NOT(ISFORMULA(INDEX('Game Records'!$T:$T,$H427))),NOT(ISFORMULA(INDEX('Game Records'!$U:$U,$H427))),NOT(ISFORMULA(INDEX('Game Records'!$V:$V,$H427))),NOT(ISFORMULA(INDEX('Game Records'!$W:$W,$H427))),NOT(ISFORMULA(INDEX('Game Records'!$X:$X,$H427))),NOT(ISFORMULA(INDEX('Game Records'!$Y:$Y,$H427))),NOT(ISFORMULA(INDEX('Game Records'!$Z:$Z,$H427)))),"Formula columns missing; ","")&amp;IF(INDEX('Game Records'!$B:$B,$H427)="","Start Date; ","")&amp;IF(INDEX('Game Records'!$C:$C,$H427)="","End Date; ","")&amp;IF(AND(INDEX('Game Records'!$U:$U,$H427)&lt;&gt;"Subscription",INDEX('Game Records'!$U:$U,$H427)&lt;&gt;"Free Game",INDEX('Game Records'!$U:$U,$H427)&lt;&gt;"Disqualified — Free Game",OR(INDEX('Game Records'!$D:$D,$H427)="",LOWER(INDEX('Game Records'!$D:$D,$H427)&amp;"")="n/a")),"Entry Mode; ","")&amp;IF(AND(INDEX('Game Records'!$U:$U,$H427)&lt;&gt;"Subscription",INDEX('Game Records'!$U:$U,$H427)&lt;&gt;"Free Game",INDEX('Game Records'!$U:$U,$H427)&lt;&gt;"Disqualified — Free Game",OR(INDEX('Game Records'!$E:$E,$H427)="",LOWER(INDEX('Game Records'!$E:$E,$H427)&amp;"")="n/a")),"Game Type; ","")&amp;IF(INDEX('Game Records'!$F:$F,$H427)="","Payment Type; ","")&amp;IF(AND(INDEX('Game Records'!$U:$U,$H427)&lt;&gt;"Subscription",INDEX('Game Records'!$U:$U,$H427)&lt;&gt;"Free Game",INDEX('Game Records'!$U:$U,$H427)&lt;&gt;"Disqualified — Free Game",INDEX('Game Records'!$G:$G,$H427)=""),"Gross Pot; ","")&amp;IF(AND(INDEX('Game Records'!$U:$U,$H427)&lt;&gt;"Free Game",INDEX('Game Records'!$U:$U,$H427)&lt;&gt;"Disqualified — Free Game",INDEX('Game Records'!$H:$H,$H427)=""),"Entry Fee; ","")&amp;IF(AND(INDEX('Game Records'!$U:$U,$H427)&lt;&gt;"Subscription",INDEX('Game Records'!$U:$U,$H427)&lt;&gt;"Free Game",INDEX('Game Records'!$U:$U,$H427)&lt;&gt;"Disqualified — Free Game",INDEX('Game Records'!$I:$I,$H427)=""),"Eligible Players; ","")&amp;IF(AND(INDEX('Game Records'!$U:$U,$H427)&lt;&gt;"Subscription",INDEX('Game Records'!$U:$U,$H427)&lt;&gt;"Free Game",INDEX('Game Records'!$U:$U,$H427)&lt;&gt;"Disqualified — Free Game",INDEX('Game Records'!$J:$J,$H427)=""),"Total Players; ","")&amp;IF(AND(LOWER(INDEX('Game Records'!$D:$D,$H427)&amp;"")="finalized",LOWER(INDEX('Game Records'!$L:$L,$H427)&amp;"")&lt;&gt;"yes",INDEX('Game Records'!$U:$U,$H427)&lt;&gt;"Subscription",INDEX('Game Records'!$U:$U,$H427)&lt;&gt;"Free Game",INDEX('Game Records'!$U:$U,$H427)&lt;&gt;"Disqualified — Free Game",INDEX('Game Records'!$K:$K,$H427)=""),"Final Earned; ","")&amp;IF(AND(LOWER(INDEX('Game Records'!$D:$D,$H427)&amp;"")="finalized",INDEX('Game Records'!$U:$U,$H427)&lt;&gt;"Subscription",INDEX('Game Records'!$U:$U,$H427)&lt;&gt;"Free Game",INDEX('Game Records'!$U:$U,$H427)&lt;&gt;"Disqualified — Free Game",OR(INDEX('Game Records'!$L:$L,$H427)="",LOWER(INDEX('Game Records'!$L:$L,$H427)&amp;"")="n/a")),"Disqualified Status; ","")&amp;IF(AND(OR(LOWER(TRIM(INDEX('Game Records'!$F:$F,$H427)&amp;""))="free game",INDEX('Game Records'!$U:$U,$H427)="Free Game",INDEX('Game Records'!$U:$U,$H427)="Disqualified — Free Game"),N(INDEX('Game Records'!$H:$H,$H427))&lt;&gt;0),"Free Game has a non-zero Entry Fee. Free Game records require a $0 Entry Fee; ",""))</f>
        <v/>
      </c>
      <c r="G427" s="331" t="str">
        <f>IF($H427="","",IFERROR(INDEX('Game Records'!$M:$M,$H427),""))</f>
        <v/>
      </c>
      <c r="H427" s="104" t="str">
        <f>IF($H426="","",IFERROR(MATCH(1,INDEX((ROW('Game Records'!$U$5:$U$504)&gt;$H426)*(('Game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8" ht="24" customHeight="1">
      <c r="A428" s="332" t="str">
        <f>IF($H428="","",ROWS($A$5:A428))</f>
        <v/>
      </c>
      <c r="B428" s="332" t="str">
        <f>IF($H428="","","G-"&amp;TEXT($A428,"0000"))</f>
        <v/>
      </c>
      <c r="C428" s="331" t="str">
        <f>IF($H428="","",IFERROR(INDEX('Game Records'!$A:$A,$H428),""))</f>
        <v/>
      </c>
      <c r="D428" s="331" t="str">
        <f>IF($H428="","",IFERROR(INDEX('Game Records'!$U:$U,$H428),""))</f>
        <v/>
      </c>
      <c r="E428" s="331" t="str">
        <f>IF($H428="","",IF($F428="","No Highlighted Fields","Highlighted Fields Present"))</f>
        <v/>
      </c>
      <c r="F428" s="331" t="str">
        <f>IF($H428="","",IF(OR(NOT(ISFORMULA(INDEX('Game Records'!$N:$N,$H428))),NOT(ISFORMULA(INDEX('Game Records'!$O:$O,$H428))),NOT(ISFORMULA(INDEX('Game Records'!$P:$P,$H428))),NOT(ISFORMULA(INDEX('Game Records'!$Q:$Q,$H428))),NOT(ISFORMULA(INDEX('Game Records'!$R:$R,$H428))),NOT(ISFORMULA(INDEX('Game Records'!$S:$S,$H428))),NOT(ISFORMULA(INDEX('Game Records'!$T:$T,$H428))),NOT(ISFORMULA(INDEX('Game Records'!$U:$U,$H428))),NOT(ISFORMULA(INDEX('Game Records'!$V:$V,$H428))),NOT(ISFORMULA(INDEX('Game Records'!$W:$W,$H428))),NOT(ISFORMULA(INDEX('Game Records'!$X:$X,$H428))),NOT(ISFORMULA(INDEX('Game Records'!$Y:$Y,$H428))),NOT(ISFORMULA(INDEX('Game Records'!$Z:$Z,$H428)))),"Formula columns missing; ","")&amp;IF(INDEX('Game Records'!$B:$B,$H428)="","Start Date; ","")&amp;IF(INDEX('Game Records'!$C:$C,$H428)="","End Date; ","")&amp;IF(AND(INDEX('Game Records'!$U:$U,$H428)&lt;&gt;"Subscription",INDEX('Game Records'!$U:$U,$H428)&lt;&gt;"Free Game",INDEX('Game Records'!$U:$U,$H428)&lt;&gt;"Disqualified — Free Game",OR(INDEX('Game Records'!$D:$D,$H428)="",LOWER(INDEX('Game Records'!$D:$D,$H428)&amp;"")="n/a")),"Entry Mode; ","")&amp;IF(AND(INDEX('Game Records'!$U:$U,$H428)&lt;&gt;"Subscription",INDEX('Game Records'!$U:$U,$H428)&lt;&gt;"Free Game",INDEX('Game Records'!$U:$U,$H428)&lt;&gt;"Disqualified — Free Game",OR(INDEX('Game Records'!$E:$E,$H428)="",LOWER(INDEX('Game Records'!$E:$E,$H428)&amp;"")="n/a")),"Game Type; ","")&amp;IF(INDEX('Game Records'!$F:$F,$H428)="","Payment Type; ","")&amp;IF(AND(INDEX('Game Records'!$U:$U,$H428)&lt;&gt;"Subscription",INDEX('Game Records'!$U:$U,$H428)&lt;&gt;"Free Game",INDEX('Game Records'!$U:$U,$H428)&lt;&gt;"Disqualified — Free Game",INDEX('Game Records'!$G:$G,$H428)=""),"Gross Pot; ","")&amp;IF(AND(INDEX('Game Records'!$U:$U,$H428)&lt;&gt;"Free Game",INDEX('Game Records'!$U:$U,$H428)&lt;&gt;"Disqualified — Free Game",INDEX('Game Records'!$H:$H,$H428)=""),"Entry Fee; ","")&amp;IF(AND(INDEX('Game Records'!$U:$U,$H428)&lt;&gt;"Subscription",INDEX('Game Records'!$U:$U,$H428)&lt;&gt;"Free Game",INDEX('Game Records'!$U:$U,$H428)&lt;&gt;"Disqualified — Free Game",INDEX('Game Records'!$I:$I,$H428)=""),"Eligible Players; ","")&amp;IF(AND(INDEX('Game Records'!$U:$U,$H428)&lt;&gt;"Subscription",INDEX('Game Records'!$U:$U,$H428)&lt;&gt;"Free Game",INDEX('Game Records'!$U:$U,$H428)&lt;&gt;"Disqualified — Free Game",INDEX('Game Records'!$J:$J,$H428)=""),"Total Players; ","")&amp;IF(AND(LOWER(INDEX('Game Records'!$D:$D,$H428)&amp;"")="finalized",LOWER(INDEX('Game Records'!$L:$L,$H428)&amp;"")&lt;&gt;"yes",INDEX('Game Records'!$U:$U,$H428)&lt;&gt;"Subscription",INDEX('Game Records'!$U:$U,$H428)&lt;&gt;"Free Game",INDEX('Game Records'!$U:$U,$H428)&lt;&gt;"Disqualified — Free Game",INDEX('Game Records'!$K:$K,$H428)=""),"Final Earned; ","")&amp;IF(AND(LOWER(INDEX('Game Records'!$D:$D,$H428)&amp;"")="finalized",INDEX('Game Records'!$U:$U,$H428)&lt;&gt;"Subscription",INDEX('Game Records'!$U:$U,$H428)&lt;&gt;"Free Game",INDEX('Game Records'!$U:$U,$H428)&lt;&gt;"Disqualified — Free Game",OR(INDEX('Game Records'!$L:$L,$H428)="",LOWER(INDEX('Game Records'!$L:$L,$H428)&amp;"")="n/a")),"Disqualified Status; ","")&amp;IF(AND(OR(LOWER(TRIM(INDEX('Game Records'!$F:$F,$H428)&amp;""))="free game",INDEX('Game Records'!$U:$U,$H428)="Free Game",INDEX('Game Records'!$U:$U,$H428)="Disqualified — Free Game"),N(INDEX('Game Records'!$H:$H,$H428))&lt;&gt;0),"Free Game has a non-zero Entry Fee. Free Game records require a $0 Entry Fee; ",""))</f>
        <v/>
      </c>
      <c r="G428" s="331" t="str">
        <f>IF($H428="","",IFERROR(INDEX('Game Records'!$M:$M,$H428),""))</f>
        <v/>
      </c>
      <c r="H428" s="104" t="str">
        <f>IF($H427="","",IFERROR(MATCH(1,INDEX((ROW('Game Records'!$U$5:$U$504)&gt;$H427)*(('Game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9" ht="24" customHeight="1">
      <c r="A429" s="332" t="str">
        <f>IF($H429="","",ROWS($A$5:A429))</f>
        <v/>
      </c>
      <c r="B429" s="332" t="str">
        <f>IF($H429="","","G-"&amp;TEXT($A429,"0000"))</f>
        <v/>
      </c>
      <c r="C429" s="331" t="str">
        <f>IF($H429="","",IFERROR(INDEX('Game Records'!$A:$A,$H429),""))</f>
        <v/>
      </c>
      <c r="D429" s="331" t="str">
        <f>IF($H429="","",IFERROR(INDEX('Game Records'!$U:$U,$H429),""))</f>
        <v/>
      </c>
      <c r="E429" s="331" t="str">
        <f>IF($H429="","",IF($F429="","No Highlighted Fields","Highlighted Fields Present"))</f>
        <v/>
      </c>
      <c r="F429" s="331" t="str">
        <f>IF($H429="","",IF(OR(NOT(ISFORMULA(INDEX('Game Records'!$N:$N,$H429))),NOT(ISFORMULA(INDEX('Game Records'!$O:$O,$H429))),NOT(ISFORMULA(INDEX('Game Records'!$P:$P,$H429))),NOT(ISFORMULA(INDEX('Game Records'!$Q:$Q,$H429))),NOT(ISFORMULA(INDEX('Game Records'!$R:$R,$H429))),NOT(ISFORMULA(INDEX('Game Records'!$S:$S,$H429))),NOT(ISFORMULA(INDEX('Game Records'!$T:$T,$H429))),NOT(ISFORMULA(INDEX('Game Records'!$U:$U,$H429))),NOT(ISFORMULA(INDEX('Game Records'!$V:$V,$H429))),NOT(ISFORMULA(INDEX('Game Records'!$W:$W,$H429))),NOT(ISFORMULA(INDEX('Game Records'!$X:$X,$H429))),NOT(ISFORMULA(INDEX('Game Records'!$Y:$Y,$H429))),NOT(ISFORMULA(INDEX('Game Records'!$Z:$Z,$H429)))),"Formula columns missing; ","")&amp;IF(INDEX('Game Records'!$B:$B,$H429)="","Start Date; ","")&amp;IF(INDEX('Game Records'!$C:$C,$H429)="","End Date; ","")&amp;IF(AND(INDEX('Game Records'!$U:$U,$H429)&lt;&gt;"Subscription",INDEX('Game Records'!$U:$U,$H429)&lt;&gt;"Free Game",INDEX('Game Records'!$U:$U,$H429)&lt;&gt;"Disqualified — Free Game",OR(INDEX('Game Records'!$D:$D,$H429)="",LOWER(INDEX('Game Records'!$D:$D,$H429)&amp;"")="n/a")),"Entry Mode; ","")&amp;IF(AND(INDEX('Game Records'!$U:$U,$H429)&lt;&gt;"Subscription",INDEX('Game Records'!$U:$U,$H429)&lt;&gt;"Free Game",INDEX('Game Records'!$U:$U,$H429)&lt;&gt;"Disqualified — Free Game",OR(INDEX('Game Records'!$E:$E,$H429)="",LOWER(INDEX('Game Records'!$E:$E,$H429)&amp;"")="n/a")),"Game Type; ","")&amp;IF(INDEX('Game Records'!$F:$F,$H429)="","Payment Type; ","")&amp;IF(AND(INDEX('Game Records'!$U:$U,$H429)&lt;&gt;"Subscription",INDEX('Game Records'!$U:$U,$H429)&lt;&gt;"Free Game",INDEX('Game Records'!$U:$U,$H429)&lt;&gt;"Disqualified — Free Game",INDEX('Game Records'!$G:$G,$H429)=""),"Gross Pot; ","")&amp;IF(AND(INDEX('Game Records'!$U:$U,$H429)&lt;&gt;"Free Game",INDEX('Game Records'!$U:$U,$H429)&lt;&gt;"Disqualified — Free Game",INDEX('Game Records'!$H:$H,$H429)=""),"Entry Fee; ","")&amp;IF(AND(INDEX('Game Records'!$U:$U,$H429)&lt;&gt;"Subscription",INDEX('Game Records'!$U:$U,$H429)&lt;&gt;"Free Game",INDEX('Game Records'!$U:$U,$H429)&lt;&gt;"Disqualified — Free Game",INDEX('Game Records'!$I:$I,$H429)=""),"Eligible Players; ","")&amp;IF(AND(INDEX('Game Records'!$U:$U,$H429)&lt;&gt;"Subscription",INDEX('Game Records'!$U:$U,$H429)&lt;&gt;"Free Game",INDEX('Game Records'!$U:$U,$H429)&lt;&gt;"Disqualified — Free Game",INDEX('Game Records'!$J:$J,$H429)=""),"Total Players; ","")&amp;IF(AND(LOWER(INDEX('Game Records'!$D:$D,$H429)&amp;"")="finalized",LOWER(INDEX('Game Records'!$L:$L,$H429)&amp;"")&lt;&gt;"yes",INDEX('Game Records'!$U:$U,$H429)&lt;&gt;"Subscription",INDEX('Game Records'!$U:$U,$H429)&lt;&gt;"Free Game",INDEX('Game Records'!$U:$U,$H429)&lt;&gt;"Disqualified — Free Game",INDEX('Game Records'!$K:$K,$H429)=""),"Final Earned; ","")&amp;IF(AND(LOWER(INDEX('Game Records'!$D:$D,$H429)&amp;"")="finalized",INDEX('Game Records'!$U:$U,$H429)&lt;&gt;"Subscription",INDEX('Game Records'!$U:$U,$H429)&lt;&gt;"Free Game",INDEX('Game Records'!$U:$U,$H429)&lt;&gt;"Disqualified — Free Game",OR(INDEX('Game Records'!$L:$L,$H429)="",LOWER(INDEX('Game Records'!$L:$L,$H429)&amp;"")="n/a")),"Disqualified Status; ","")&amp;IF(AND(OR(LOWER(TRIM(INDEX('Game Records'!$F:$F,$H429)&amp;""))="free game",INDEX('Game Records'!$U:$U,$H429)="Free Game",INDEX('Game Records'!$U:$U,$H429)="Disqualified — Free Game"),N(INDEX('Game Records'!$H:$H,$H429))&lt;&gt;0),"Free Game has a non-zero Entry Fee. Free Game records require a $0 Entry Fee; ",""))</f>
        <v/>
      </c>
      <c r="G429" s="331" t="str">
        <f>IF($H429="","",IFERROR(INDEX('Game Records'!$M:$M,$H429),""))</f>
        <v/>
      </c>
      <c r="H429" s="104" t="str">
        <f>IF($H428="","",IFERROR(MATCH(1,INDEX((ROW('Game Records'!$U$5:$U$504)&gt;$H428)*(('Game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0" ht="24" customHeight="1">
      <c r="A430" s="332" t="str">
        <f>IF($H430="","",ROWS($A$5:A430))</f>
        <v/>
      </c>
      <c r="B430" s="332" t="str">
        <f>IF($H430="","","G-"&amp;TEXT($A430,"0000"))</f>
        <v/>
      </c>
      <c r="C430" s="331" t="str">
        <f>IF($H430="","",IFERROR(INDEX('Game Records'!$A:$A,$H430),""))</f>
        <v/>
      </c>
      <c r="D430" s="331" t="str">
        <f>IF($H430="","",IFERROR(INDEX('Game Records'!$U:$U,$H430),""))</f>
        <v/>
      </c>
      <c r="E430" s="331" t="str">
        <f>IF($H430="","",IF($F430="","No Highlighted Fields","Highlighted Fields Present"))</f>
        <v/>
      </c>
      <c r="F430" s="331" t="str">
        <f>IF($H430="","",IF(OR(NOT(ISFORMULA(INDEX('Game Records'!$N:$N,$H430))),NOT(ISFORMULA(INDEX('Game Records'!$O:$O,$H430))),NOT(ISFORMULA(INDEX('Game Records'!$P:$P,$H430))),NOT(ISFORMULA(INDEX('Game Records'!$Q:$Q,$H430))),NOT(ISFORMULA(INDEX('Game Records'!$R:$R,$H430))),NOT(ISFORMULA(INDEX('Game Records'!$S:$S,$H430))),NOT(ISFORMULA(INDEX('Game Records'!$T:$T,$H430))),NOT(ISFORMULA(INDEX('Game Records'!$U:$U,$H430))),NOT(ISFORMULA(INDEX('Game Records'!$V:$V,$H430))),NOT(ISFORMULA(INDEX('Game Records'!$W:$W,$H430))),NOT(ISFORMULA(INDEX('Game Records'!$X:$X,$H430))),NOT(ISFORMULA(INDEX('Game Records'!$Y:$Y,$H430))),NOT(ISFORMULA(INDEX('Game Records'!$Z:$Z,$H430)))),"Formula columns missing; ","")&amp;IF(INDEX('Game Records'!$B:$B,$H430)="","Start Date; ","")&amp;IF(INDEX('Game Records'!$C:$C,$H430)="","End Date; ","")&amp;IF(AND(INDEX('Game Records'!$U:$U,$H430)&lt;&gt;"Subscription",INDEX('Game Records'!$U:$U,$H430)&lt;&gt;"Free Game",INDEX('Game Records'!$U:$U,$H430)&lt;&gt;"Disqualified — Free Game",OR(INDEX('Game Records'!$D:$D,$H430)="",LOWER(INDEX('Game Records'!$D:$D,$H430)&amp;"")="n/a")),"Entry Mode; ","")&amp;IF(AND(INDEX('Game Records'!$U:$U,$H430)&lt;&gt;"Subscription",INDEX('Game Records'!$U:$U,$H430)&lt;&gt;"Free Game",INDEX('Game Records'!$U:$U,$H430)&lt;&gt;"Disqualified — Free Game",OR(INDEX('Game Records'!$E:$E,$H430)="",LOWER(INDEX('Game Records'!$E:$E,$H430)&amp;"")="n/a")),"Game Type; ","")&amp;IF(INDEX('Game Records'!$F:$F,$H430)="","Payment Type; ","")&amp;IF(AND(INDEX('Game Records'!$U:$U,$H430)&lt;&gt;"Subscription",INDEX('Game Records'!$U:$U,$H430)&lt;&gt;"Free Game",INDEX('Game Records'!$U:$U,$H430)&lt;&gt;"Disqualified — Free Game",INDEX('Game Records'!$G:$G,$H430)=""),"Gross Pot; ","")&amp;IF(AND(INDEX('Game Records'!$U:$U,$H430)&lt;&gt;"Free Game",INDEX('Game Records'!$U:$U,$H430)&lt;&gt;"Disqualified — Free Game",INDEX('Game Records'!$H:$H,$H430)=""),"Entry Fee; ","")&amp;IF(AND(INDEX('Game Records'!$U:$U,$H430)&lt;&gt;"Subscription",INDEX('Game Records'!$U:$U,$H430)&lt;&gt;"Free Game",INDEX('Game Records'!$U:$U,$H430)&lt;&gt;"Disqualified — Free Game",INDEX('Game Records'!$I:$I,$H430)=""),"Eligible Players; ","")&amp;IF(AND(INDEX('Game Records'!$U:$U,$H430)&lt;&gt;"Subscription",INDEX('Game Records'!$U:$U,$H430)&lt;&gt;"Free Game",INDEX('Game Records'!$U:$U,$H430)&lt;&gt;"Disqualified — Free Game",INDEX('Game Records'!$J:$J,$H430)=""),"Total Players; ","")&amp;IF(AND(LOWER(INDEX('Game Records'!$D:$D,$H430)&amp;"")="finalized",LOWER(INDEX('Game Records'!$L:$L,$H430)&amp;"")&lt;&gt;"yes",INDEX('Game Records'!$U:$U,$H430)&lt;&gt;"Subscription",INDEX('Game Records'!$U:$U,$H430)&lt;&gt;"Free Game",INDEX('Game Records'!$U:$U,$H430)&lt;&gt;"Disqualified — Free Game",INDEX('Game Records'!$K:$K,$H430)=""),"Final Earned; ","")&amp;IF(AND(LOWER(INDEX('Game Records'!$D:$D,$H430)&amp;"")="finalized",INDEX('Game Records'!$U:$U,$H430)&lt;&gt;"Subscription",INDEX('Game Records'!$U:$U,$H430)&lt;&gt;"Free Game",INDEX('Game Records'!$U:$U,$H430)&lt;&gt;"Disqualified — Free Game",OR(INDEX('Game Records'!$L:$L,$H430)="",LOWER(INDEX('Game Records'!$L:$L,$H430)&amp;"")="n/a")),"Disqualified Status; ","")&amp;IF(AND(OR(LOWER(TRIM(INDEX('Game Records'!$F:$F,$H430)&amp;""))="free game",INDEX('Game Records'!$U:$U,$H430)="Free Game",INDEX('Game Records'!$U:$U,$H430)="Disqualified — Free Game"),N(INDEX('Game Records'!$H:$H,$H430))&lt;&gt;0),"Free Game has a non-zero Entry Fee. Free Game records require a $0 Entry Fee; ",""))</f>
        <v/>
      </c>
      <c r="G430" s="331" t="str">
        <f>IF($H430="","",IFERROR(INDEX('Game Records'!$M:$M,$H430),""))</f>
        <v/>
      </c>
      <c r="H430" s="104" t="str">
        <f>IF($H429="","",IFERROR(MATCH(1,INDEX((ROW('Game Records'!$U$5:$U$504)&gt;$H429)*(('Game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1" ht="24" customHeight="1">
      <c r="A431" s="332" t="str">
        <f>IF($H431="","",ROWS($A$5:A431))</f>
        <v/>
      </c>
      <c r="B431" s="332" t="str">
        <f>IF($H431="","","G-"&amp;TEXT($A431,"0000"))</f>
        <v/>
      </c>
      <c r="C431" s="331" t="str">
        <f>IF($H431="","",IFERROR(INDEX('Game Records'!$A:$A,$H431),""))</f>
        <v/>
      </c>
      <c r="D431" s="331" t="str">
        <f>IF($H431="","",IFERROR(INDEX('Game Records'!$U:$U,$H431),""))</f>
        <v/>
      </c>
      <c r="E431" s="331" t="str">
        <f>IF($H431="","",IF($F431="","No Highlighted Fields","Highlighted Fields Present"))</f>
        <v/>
      </c>
      <c r="F431" s="331" t="str">
        <f>IF($H431="","",IF(OR(NOT(ISFORMULA(INDEX('Game Records'!$N:$N,$H431))),NOT(ISFORMULA(INDEX('Game Records'!$O:$O,$H431))),NOT(ISFORMULA(INDEX('Game Records'!$P:$P,$H431))),NOT(ISFORMULA(INDEX('Game Records'!$Q:$Q,$H431))),NOT(ISFORMULA(INDEX('Game Records'!$R:$R,$H431))),NOT(ISFORMULA(INDEX('Game Records'!$S:$S,$H431))),NOT(ISFORMULA(INDEX('Game Records'!$T:$T,$H431))),NOT(ISFORMULA(INDEX('Game Records'!$U:$U,$H431))),NOT(ISFORMULA(INDEX('Game Records'!$V:$V,$H431))),NOT(ISFORMULA(INDEX('Game Records'!$W:$W,$H431))),NOT(ISFORMULA(INDEX('Game Records'!$X:$X,$H431))),NOT(ISFORMULA(INDEX('Game Records'!$Y:$Y,$H431))),NOT(ISFORMULA(INDEX('Game Records'!$Z:$Z,$H431)))),"Formula columns missing; ","")&amp;IF(INDEX('Game Records'!$B:$B,$H431)="","Start Date; ","")&amp;IF(INDEX('Game Records'!$C:$C,$H431)="","End Date; ","")&amp;IF(AND(INDEX('Game Records'!$U:$U,$H431)&lt;&gt;"Subscription",INDEX('Game Records'!$U:$U,$H431)&lt;&gt;"Free Game",INDEX('Game Records'!$U:$U,$H431)&lt;&gt;"Disqualified — Free Game",OR(INDEX('Game Records'!$D:$D,$H431)="",LOWER(INDEX('Game Records'!$D:$D,$H431)&amp;"")="n/a")),"Entry Mode; ","")&amp;IF(AND(INDEX('Game Records'!$U:$U,$H431)&lt;&gt;"Subscription",INDEX('Game Records'!$U:$U,$H431)&lt;&gt;"Free Game",INDEX('Game Records'!$U:$U,$H431)&lt;&gt;"Disqualified — Free Game",OR(INDEX('Game Records'!$E:$E,$H431)="",LOWER(INDEX('Game Records'!$E:$E,$H431)&amp;"")="n/a")),"Game Type; ","")&amp;IF(INDEX('Game Records'!$F:$F,$H431)="","Payment Type; ","")&amp;IF(AND(INDEX('Game Records'!$U:$U,$H431)&lt;&gt;"Subscription",INDEX('Game Records'!$U:$U,$H431)&lt;&gt;"Free Game",INDEX('Game Records'!$U:$U,$H431)&lt;&gt;"Disqualified — Free Game",INDEX('Game Records'!$G:$G,$H431)=""),"Gross Pot; ","")&amp;IF(AND(INDEX('Game Records'!$U:$U,$H431)&lt;&gt;"Free Game",INDEX('Game Records'!$U:$U,$H431)&lt;&gt;"Disqualified — Free Game",INDEX('Game Records'!$H:$H,$H431)=""),"Entry Fee; ","")&amp;IF(AND(INDEX('Game Records'!$U:$U,$H431)&lt;&gt;"Subscription",INDEX('Game Records'!$U:$U,$H431)&lt;&gt;"Free Game",INDEX('Game Records'!$U:$U,$H431)&lt;&gt;"Disqualified — Free Game",INDEX('Game Records'!$I:$I,$H431)=""),"Eligible Players; ","")&amp;IF(AND(INDEX('Game Records'!$U:$U,$H431)&lt;&gt;"Subscription",INDEX('Game Records'!$U:$U,$H431)&lt;&gt;"Free Game",INDEX('Game Records'!$U:$U,$H431)&lt;&gt;"Disqualified — Free Game",INDEX('Game Records'!$J:$J,$H431)=""),"Total Players; ","")&amp;IF(AND(LOWER(INDEX('Game Records'!$D:$D,$H431)&amp;"")="finalized",LOWER(INDEX('Game Records'!$L:$L,$H431)&amp;"")&lt;&gt;"yes",INDEX('Game Records'!$U:$U,$H431)&lt;&gt;"Subscription",INDEX('Game Records'!$U:$U,$H431)&lt;&gt;"Free Game",INDEX('Game Records'!$U:$U,$H431)&lt;&gt;"Disqualified — Free Game",INDEX('Game Records'!$K:$K,$H431)=""),"Final Earned; ","")&amp;IF(AND(LOWER(INDEX('Game Records'!$D:$D,$H431)&amp;"")="finalized",INDEX('Game Records'!$U:$U,$H431)&lt;&gt;"Subscription",INDEX('Game Records'!$U:$U,$H431)&lt;&gt;"Free Game",INDEX('Game Records'!$U:$U,$H431)&lt;&gt;"Disqualified — Free Game",OR(INDEX('Game Records'!$L:$L,$H431)="",LOWER(INDEX('Game Records'!$L:$L,$H431)&amp;"")="n/a")),"Disqualified Status; ","")&amp;IF(AND(OR(LOWER(TRIM(INDEX('Game Records'!$F:$F,$H431)&amp;""))="free game",INDEX('Game Records'!$U:$U,$H431)="Free Game",INDEX('Game Records'!$U:$U,$H431)="Disqualified — Free Game"),N(INDEX('Game Records'!$H:$H,$H431))&lt;&gt;0),"Free Game has a non-zero Entry Fee. Free Game records require a $0 Entry Fee; ",""))</f>
        <v/>
      </c>
      <c r="G431" s="331" t="str">
        <f>IF($H431="","",IFERROR(INDEX('Game Records'!$M:$M,$H431),""))</f>
        <v/>
      </c>
      <c r="H431" s="104" t="str">
        <f>IF($H430="","",IFERROR(MATCH(1,INDEX((ROW('Game Records'!$U$5:$U$504)&gt;$H430)*(('Game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2" ht="24" customHeight="1">
      <c r="A432" s="332" t="str">
        <f>IF($H432="","",ROWS($A$5:A432))</f>
        <v/>
      </c>
      <c r="B432" s="332" t="str">
        <f>IF($H432="","","G-"&amp;TEXT($A432,"0000"))</f>
        <v/>
      </c>
      <c r="C432" s="331" t="str">
        <f>IF($H432="","",IFERROR(INDEX('Game Records'!$A:$A,$H432),""))</f>
        <v/>
      </c>
      <c r="D432" s="331" t="str">
        <f>IF($H432="","",IFERROR(INDEX('Game Records'!$U:$U,$H432),""))</f>
        <v/>
      </c>
      <c r="E432" s="331" t="str">
        <f>IF($H432="","",IF($F432="","No Highlighted Fields","Highlighted Fields Present"))</f>
        <v/>
      </c>
      <c r="F432" s="331" t="str">
        <f>IF($H432="","",IF(OR(NOT(ISFORMULA(INDEX('Game Records'!$N:$N,$H432))),NOT(ISFORMULA(INDEX('Game Records'!$O:$O,$H432))),NOT(ISFORMULA(INDEX('Game Records'!$P:$P,$H432))),NOT(ISFORMULA(INDEX('Game Records'!$Q:$Q,$H432))),NOT(ISFORMULA(INDEX('Game Records'!$R:$R,$H432))),NOT(ISFORMULA(INDEX('Game Records'!$S:$S,$H432))),NOT(ISFORMULA(INDEX('Game Records'!$T:$T,$H432))),NOT(ISFORMULA(INDEX('Game Records'!$U:$U,$H432))),NOT(ISFORMULA(INDEX('Game Records'!$V:$V,$H432))),NOT(ISFORMULA(INDEX('Game Records'!$W:$W,$H432))),NOT(ISFORMULA(INDEX('Game Records'!$X:$X,$H432))),NOT(ISFORMULA(INDEX('Game Records'!$Y:$Y,$H432))),NOT(ISFORMULA(INDEX('Game Records'!$Z:$Z,$H432)))),"Formula columns missing; ","")&amp;IF(INDEX('Game Records'!$B:$B,$H432)="","Start Date; ","")&amp;IF(INDEX('Game Records'!$C:$C,$H432)="","End Date; ","")&amp;IF(AND(INDEX('Game Records'!$U:$U,$H432)&lt;&gt;"Subscription",INDEX('Game Records'!$U:$U,$H432)&lt;&gt;"Free Game",INDEX('Game Records'!$U:$U,$H432)&lt;&gt;"Disqualified — Free Game",OR(INDEX('Game Records'!$D:$D,$H432)="",LOWER(INDEX('Game Records'!$D:$D,$H432)&amp;"")="n/a")),"Entry Mode; ","")&amp;IF(AND(INDEX('Game Records'!$U:$U,$H432)&lt;&gt;"Subscription",INDEX('Game Records'!$U:$U,$H432)&lt;&gt;"Free Game",INDEX('Game Records'!$U:$U,$H432)&lt;&gt;"Disqualified — Free Game",OR(INDEX('Game Records'!$E:$E,$H432)="",LOWER(INDEX('Game Records'!$E:$E,$H432)&amp;"")="n/a")),"Game Type; ","")&amp;IF(INDEX('Game Records'!$F:$F,$H432)="","Payment Type; ","")&amp;IF(AND(INDEX('Game Records'!$U:$U,$H432)&lt;&gt;"Subscription",INDEX('Game Records'!$U:$U,$H432)&lt;&gt;"Free Game",INDEX('Game Records'!$U:$U,$H432)&lt;&gt;"Disqualified — Free Game",INDEX('Game Records'!$G:$G,$H432)=""),"Gross Pot; ","")&amp;IF(AND(INDEX('Game Records'!$U:$U,$H432)&lt;&gt;"Free Game",INDEX('Game Records'!$U:$U,$H432)&lt;&gt;"Disqualified — Free Game",INDEX('Game Records'!$H:$H,$H432)=""),"Entry Fee; ","")&amp;IF(AND(INDEX('Game Records'!$U:$U,$H432)&lt;&gt;"Subscription",INDEX('Game Records'!$U:$U,$H432)&lt;&gt;"Free Game",INDEX('Game Records'!$U:$U,$H432)&lt;&gt;"Disqualified — Free Game",INDEX('Game Records'!$I:$I,$H432)=""),"Eligible Players; ","")&amp;IF(AND(INDEX('Game Records'!$U:$U,$H432)&lt;&gt;"Subscription",INDEX('Game Records'!$U:$U,$H432)&lt;&gt;"Free Game",INDEX('Game Records'!$U:$U,$H432)&lt;&gt;"Disqualified — Free Game",INDEX('Game Records'!$J:$J,$H432)=""),"Total Players; ","")&amp;IF(AND(LOWER(INDEX('Game Records'!$D:$D,$H432)&amp;"")="finalized",LOWER(INDEX('Game Records'!$L:$L,$H432)&amp;"")&lt;&gt;"yes",INDEX('Game Records'!$U:$U,$H432)&lt;&gt;"Subscription",INDEX('Game Records'!$U:$U,$H432)&lt;&gt;"Free Game",INDEX('Game Records'!$U:$U,$H432)&lt;&gt;"Disqualified — Free Game",INDEX('Game Records'!$K:$K,$H432)=""),"Final Earned; ","")&amp;IF(AND(LOWER(INDEX('Game Records'!$D:$D,$H432)&amp;"")="finalized",INDEX('Game Records'!$U:$U,$H432)&lt;&gt;"Subscription",INDEX('Game Records'!$U:$U,$H432)&lt;&gt;"Free Game",INDEX('Game Records'!$U:$U,$H432)&lt;&gt;"Disqualified — Free Game",OR(INDEX('Game Records'!$L:$L,$H432)="",LOWER(INDEX('Game Records'!$L:$L,$H432)&amp;"")="n/a")),"Disqualified Status; ","")&amp;IF(AND(OR(LOWER(TRIM(INDEX('Game Records'!$F:$F,$H432)&amp;""))="free game",INDEX('Game Records'!$U:$U,$H432)="Free Game",INDEX('Game Records'!$U:$U,$H432)="Disqualified — Free Game"),N(INDEX('Game Records'!$H:$H,$H432))&lt;&gt;0),"Free Game has a non-zero Entry Fee. Free Game records require a $0 Entry Fee; ",""))</f>
        <v/>
      </c>
      <c r="G432" s="331" t="str">
        <f>IF($H432="","",IFERROR(INDEX('Game Records'!$M:$M,$H432),""))</f>
        <v/>
      </c>
      <c r="H432" s="104" t="str">
        <f>IF($H431="","",IFERROR(MATCH(1,INDEX((ROW('Game Records'!$U$5:$U$504)&gt;$H431)*(('Game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3" ht="24" customHeight="1">
      <c r="A433" s="332" t="str">
        <f>IF($H433="","",ROWS($A$5:A433))</f>
        <v/>
      </c>
      <c r="B433" s="332" t="str">
        <f>IF($H433="","","G-"&amp;TEXT($A433,"0000"))</f>
        <v/>
      </c>
      <c r="C433" s="331" t="str">
        <f>IF($H433="","",IFERROR(INDEX('Game Records'!$A:$A,$H433),""))</f>
        <v/>
      </c>
      <c r="D433" s="331" t="str">
        <f>IF($H433="","",IFERROR(INDEX('Game Records'!$U:$U,$H433),""))</f>
        <v/>
      </c>
      <c r="E433" s="331" t="str">
        <f>IF($H433="","",IF($F433="","No Highlighted Fields","Highlighted Fields Present"))</f>
        <v/>
      </c>
      <c r="F433" s="331" t="str">
        <f>IF($H433="","",IF(OR(NOT(ISFORMULA(INDEX('Game Records'!$N:$N,$H433))),NOT(ISFORMULA(INDEX('Game Records'!$O:$O,$H433))),NOT(ISFORMULA(INDEX('Game Records'!$P:$P,$H433))),NOT(ISFORMULA(INDEX('Game Records'!$Q:$Q,$H433))),NOT(ISFORMULA(INDEX('Game Records'!$R:$R,$H433))),NOT(ISFORMULA(INDEX('Game Records'!$S:$S,$H433))),NOT(ISFORMULA(INDEX('Game Records'!$T:$T,$H433))),NOT(ISFORMULA(INDEX('Game Records'!$U:$U,$H433))),NOT(ISFORMULA(INDEX('Game Records'!$V:$V,$H433))),NOT(ISFORMULA(INDEX('Game Records'!$W:$W,$H433))),NOT(ISFORMULA(INDEX('Game Records'!$X:$X,$H433))),NOT(ISFORMULA(INDEX('Game Records'!$Y:$Y,$H433))),NOT(ISFORMULA(INDEX('Game Records'!$Z:$Z,$H433)))),"Formula columns missing; ","")&amp;IF(INDEX('Game Records'!$B:$B,$H433)="","Start Date; ","")&amp;IF(INDEX('Game Records'!$C:$C,$H433)="","End Date; ","")&amp;IF(AND(INDEX('Game Records'!$U:$U,$H433)&lt;&gt;"Subscription",INDEX('Game Records'!$U:$U,$H433)&lt;&gt;"Free Game",INDEX('Game Records'!$U:$U,$H433)&lt;&gt;"Disqualified — Free Game",OR(INDEX('Game Records'!$D:$D,$H433)="",LOWER(INDEX('Game Records'!$D:$D,$H433)&amp;"")="n/a")),"Entry Mode; ","")&amp;IF(AND(INDEX('Game Records'!$U:$U,$H433)&lt;&gt;"Subscription",INDEX('Game Records'!$U:$U,$H433)&lt;&gt;"Free Game",INDEX('Game Records'!$U:$U,$H433)&lt;&gt;"Disqualified — Free Game",OR(INDEX('Game Records'!$E:$E,$H433)="",LOWER(INDEX('Game Records'!$E:$E,$H433)&amp;"")="n/a")),"Game Type; ","")&amp;IF(INDEX('Game Records'!$F:$F,$H433)="","Payment Type; ","")&amp;IF(AND(INDEX('Game Records'!$U:$U,$H433)&lt;&gt;"Subscription",INDEX('Game Records'!$U:$U,$H433)&lt;&gt;"Free Game",INDEX('Game Records'!$U:$U,$H433)&lt;&gt;"Disqualified — Free Game",INDEX('Game Records'!$G:$G,$H433)=""),"Gross Pot; ","")&amp;IF(AND(INDEX('Game Records'!$U:$U,$H433)&lt;&gt;"Free Game",INDEX('Game Records'!$U:$U,$H433)&lt;&gt;"Disqualified — Free Game",INDEX('Game Records'!$H:$H,$H433)=""),"Entry Fee; ","")&amp;IF(AND(INDEX('Game Records'!$U:$U,$H433)&lt;&gt;"Subscription",INDEX('Game Records'!$U:$U,$H433)&lt;&gt;"Free Game",INDEX('Game Records'!$U:$U,$H433)&lt;&gt;"Disqualified — Free Game",INDEX('Game Records'!$I:$I,$H433)=""),"Eligible Players; ","")&amp;IF(AND(INDEX('Game Records'!$U:$U,$H433)&lt;&gt;"Subscription",INDEX('Game Records'!$U:$U,$H433)&lt;&gt;"Free Game",INDEX('Game Records'!$U:$U,$H433)&lt;&gt;"Disqualified — Free Game",INDEX('Game Records'!$J:$J,$H433)=""),"Total Players; ","")&amp;IF(AND(LOWER(INDEX('Game Records'!$D:$D,$H433)&amp;"")="finalized",LOWER(INDEX('Game Records'!$L:$L,$H433)&amp;"")&lt;&gt;"yes",INDEX('Game Records'!$U:$U,$H433)&lt;&gt;"Subscription",INDEX('Game Records'!$U:$U,$H433)&lt;&gt;"Free Game",INDEX('Game Records'!$U:$U,$H433)&lt;&gt;"Disqualified — Free Game",INDEX('Game Records'!$K:$K,$H433)=""),"Final Earned; ","")&amp;IF(AND(LOWER(INDEX('Game Records'!$D:$D,$H433)&amp;"")="finalized",INDEX('Game Records'!$U:$U,$H433)&lt;&gt;"Subscription",INDEX('Game Records'!$U:$U,$H433)&lt;&gt;"Free Game",INDEX('Game Records'!$U:$U,$H433)&lt;&gt;"Disqualified — Free Game",OR(INDEX('Game Records'!$L:$L,$H433)="",LOWER(INDEX('Game Records'!$L:$L,$H433)&amp;"")="n/a")),"Disqualified Status; ","")&amp;IF(AND(OR(LOWER(TRIM(INDEX('Game Records'!$F:$F,$H433)&amp;""))="free game",INDEX('Game Records'!$U:$U,$H433)="Free Game",INDEX('Game Records'!$U:$U,$H433)="Disqualified — Free Game"),N(INDEX('Game Records'!$H:$H,$H433))&lt;&gt;0),"Free Game has a non-zero Entry Fee. Free Game records require a $0 Entry Fee; ",""))</f>
        <v/>
      </c>
      <c r="G433" s="331" t="str">
        <f>IF($H433="","",IFERROR(INDEX('Game Records'!$M:$M,$H433),""))</f>
        <v/>
      </c>
      <c r="H433" s="104" t="str">
        <f>IF($H432="","",IFERROR(MATCH(1,INDEX((ROW('Game Records'!$U$5:$U$504)&gt;$H432)*(('Game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4" ht="24" customHeight="1">
      <c r="A434" s="332" t="str">
        <f>IF($H434="","",ROWS($A$5:A434))</f>
        <v/>
      </c>
      <c r="B434" s="332" t="str">
        <f>IF($H434="","","G-"&amp;TEXT($A434,"0000"))</f>
        <v/>
      </c>
      <c r="C434" s="331" t="str">
        <f>IF($H434="","",IFERROR(INDEX('Game Records'!$A:$A,$H434),""))</f>
        <v/>
      </c>
      <c r="D434" s="331" t="str">
        <f>IF($H434="","",IFERROR(INDEX('Game Records'!$U:$U,$H434),""))</f>
        <v/>
      </c>
      <c r="E434" s="331" t="str">
        <f>IF($H434="","",IF($F434="","No Highlighted Fields","Highlighted Fields Present"))</f>
        <v/>
      </c>
      <c r="F434" s="331" t="str">
        <f>IF($H434="","",IF(OR(NOT(ISFORMULA(INDEX('Game Records'!$N:$N,$H434))),NOT(ISFORMULA(INDEX('Game Records'!$O:$O,$H434))),NOT(ISFORMULA(INDEX('Game Records'!$P:$P,$H434))),NOT(ISFORMULA(INDEX('Game Records'!$Q:$Q,$H434))),NOT(ISFORMULA(INDEX('Game Records'!$R:$R,$H434))),NOT(ISFORMULA(INDEX('Game Records'!$S:$S,$H434))),NOT(ISFORMULA(INDEX('Game Records'!$T:$T,$H434))),NOT(ISFORMULA(INDEX('Game Records'!$U:$U,$H434))),NOT(ISFORMULA(INDEX('Game Records'!$V:$V,$H434))),NOT(ISFORMULA(INDEX('Game Records'!$W:$W,$H434))),NOT(ISFORMULA(INDEX('Game Records'!$X:$X,$H434))),NOT(ISFORMULA(INDEX('Game Records'!$Y:$Y,$H434))),NOT(ISFORMULA(INDEX('Game Records'!$Z:$Z,$H434)))),"Formula columns missing; ","")&amp;IF(INDEX('Game Records'!$B:$B,$H434)="","Start Date; ","")&amp;IF(INDEX('Game Records'!$C:$C,$H434)="","End Date; ","")&amp;IF(AND(INDEX('Game Records'!$U:$U,$H434)&lt;&gt;"Subscription",INDEX('Game Records'!$U:$U,$H434)&lt;&gt;"Free Game",INDEX('Game Records'!$U:$U,$H434)&lt;&gt;"Disqualified — Free Game",OR(INDEX('Game Records'!$D:$D,$H434)="",LOWER(INDEX('Game Records'!$D:$D,$H434)&amp;"")="n/a")),"Entry Mode; ","")&amp;IF(AND(INDEX('Game Records'!$U:$U,$H434)&lt;&gt;"Subscription",INDEX('Game Records'!$U:$U,$H434)&lt;&gt;"Free Game",INDEX('Game Records'!$U:$U,$H434)&lt;&gt;"Disqualified — Free Game",OR(INDEX('Game Records'!$E:$E,$H434)="",LOWER(INDEX('Game Records'!$E:$E,$H434)&amp;"")="n/a")),"Game Type; ","")&amp;IF(INDEX('Game Records'!$F:$F,$H434)="","Payment Type; ","")&amp;IF(AND(INDEX('Game Records'!$U:$U,$H434)&lt;&gt;"Subscription",INDEX('Game Records'!$U:$U,$H434)&lt;&gt;"Free Game",INDEX('Game Records'!$U:$U,$H434)&lt;&gt;"Disqualified — Free Game",INDEX('Game Records'!$G:$G,$H434)=""),"Gross Pot; ","")&amp;IF(AND(INDEX('Game Records'!$U:$U,$H434)&lt;&gt;"Free Game",INDEX('Game Records'!$U:$U,$H434)&lt;&gt;"Disqualified — Free Game",INDEX('Game Records'!$H:$H,$H434)=""),"Entry Fee; ","")&amp;IF(AND(INDEX('Game Records'!$U:$U,$H434)&lt;&gt;"Subscription",INDEX('Game Records'!$U:$U,$H434)&lt;&gt;"Free Game",INDEX('Game Records'!$U:$U,$H434)&lt;&gt;"Disqualified — Free Game",INDEX('Game Records'!$I:$I,$H434)=""),"Eligible Players; ","")&amp;IF(AND(INDEX('Game Records'!$U:$U,$H434)&lt;&gt;"Subscription",INDEX('Game Records'!$U:$U,$H434)&lt;&gt;"Free Game",INDEX('Game Records'!$U:$U,$H434)&lt;&gt;"Disqualified — Free Game",INDEX('Game Records'!$J:$J,$H434)=""),"Total Players; ","")&amp;IF(AND(LOWER(INDEX('Game Records'!$D:$D,$H434)&amp;"")="finalized",LOWER(INDEX('Game Records'!$L:$L,$H434)&amp;"")&lt;&gt;"yes",INDEX('Game Records'!$U:$U,$H434)&lt;&gt;"Subscription",INDEX('Game Records'!$U:$U,$H434)&lt;&gt;"Free Game",INDEX('Game Records'!$U:$U,$H434)&lt;&gt;"Disqualified — Free Game",INDEX('Game Records'!$K:$K,$H434)=""),"Final Earned; ","")&amp;IF(AND(LOWER(INDEX('Game Records'!$D:$D,$H434)&amp;"")="finalized",INDEX('Game Records'!$U:$U,$H434)&lt;&gt;"Subscription",INDEX('Game Records'!$U:$U,$H434)&lt;&gt;"Free Game",INDEX('Game Records'!$U:$U,$H434)&lt;&gt;"Disqualified — Free Game",OR(INDEX('Game Records'!$L:$L,$H434)="",LOWER(INDEX('Game Records'!$L:$L,$H434)&amp;"")="n/a")),"Disqualified Status; ","")&amp;IF(AND(OR(LOWER(TRIM(INDEX('Game Records'!$F:$F,$H434)&amp;""))="free game",INDEX('Game Records'!$U:$U,$H434)="Free Game",INDEX('Game Records'!$U:$U,$H434)="Disqualified — Free Game"),N(INDEX('Game Records'!$H:$H,$H434))&lt;&gt;0),"Free Game has a non-zero Entry Fee. Free Game records require a $0 Entry Fee; ",""))</f>
        <v/>
      </c>
      <c r="G434" s="331" t="str">
        <f>IF($H434="","",IFERROR(INDEX('Game Records'!$M:$M,$H434),""))</f>
        <v/>
      </c>
      <c r="H434" s="104" t="str">
        <f>IF($H433="","",IFERROR(MATCH(1,INDEX((ROW('Game Records'!$U$5:$U$504)&gt;$H433)*(('Game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5" ht="24" customHeight="1">
      <c r="A435" s="332" t="str">
        <f>IF($H435="","",ROWS($A$5:A435))</f>
        <v/>
      </c>
      <c r="B435" s="332" t="str">
        <f>IF($H435="","","G-"&amp;TEXT($A435,"0000"))</f>
        <v/>
      </c>
      <c r="C435" s="331" t="str">
        <f>IF($H435="","",IFERROR(INDEX('Game Records'!$A:$A,$H435),""))</f>
        <v/>
      </c>
      <c r="D435" s="331" t="str">
        <f>IF($H435="","",IFERROR(INDEX('Game Records'!$U:$U,$H435),""))</f>
        <v/>
      </c>
      <c r="E435" s="331" t="str">
        <f>IF($H435="","",IF($F435="","No Highlighted Fields","Highlighted Fields Present"))</f>
        <v/>
      </c>
      <c r="F435" s="331" t="str">
        <f>IF($H435="","",IF(OR(NOT(ISFORMULA(INDEX('Game Records'!$N:$N,$H435))),NOT(ISFORMULA(INDEX('Game Records'!$O:$O,$H435))),NOT(ISFORMULA(INDEX('Game Records'!$P:$P,$H435))),NOT(ISFORMULA(INDEX('Game Records'!$Q:$Q,$H435))),NOT(ISFORMULA(INDEX('Game Records'!$R:$R,$H435))),NOT(ISFORMULA(INDEX('Game Records'!$S:$S,$H435))),NOT(ISFORMULA(INDEX('Game Records'!$T:$T,$H435))),NOT(ISFORMULA(INDEX('Game Records'!$U:$U,$H435))),NOT(ISFORMULA(INDEX('Game Records'!$V:$V,$H435))),NOT(ISFORMULA(INDEX('Game Records'!$W:$W,$H435))),NOT(ISFORMULA(INDEX('Game Records'!$X:$X,$H435))),NOT(ISFORMULA(INDEX('Game Records'!$Y:$Y,$H435))),NOT(ISFORMULA(INDEX('Game Records'!$Z:$Z,$H435)))),"Formula columns missing; ","")&amp;IF(INDEX('Game Records'!$B:$B,$H435)="","Start Date; ","")&amp;IF(INDEX('Game Records'!$C:$C,$H435)="","End Date; ","")&amp;IF(AND(INDEX('Game Records'!$U:$U,$H435)&lt;&gt;"Subscription",INDEX('Game Records'!$U:$U,$H435)&lt;&gt;"Free Game",INDEX('Game Records'!$U:$U,$H435)&lt;&gt;"Disqualified — Free Game",OR(INDEX('Game Records'!$D:$D,$H435)="",LOWER(INDEX('Game Records'!$D:$D,$H435)&amp;"")="n/a")),"Entry Mode; ","")&amp;IF(AND(INDEX('Game Records'!$U:$U,$H435)&lt;&gt;"Subscription",INDEX('Game Records'!$U:$U,$H435)&lt;&gt;"Free Game",INDEX('Game Records'!$U:$U,$H435)&lt;&gt;"Disqualified — Free Game",OR(INDEX('Game Records'!$E:$E,$H435)="",LOWER(INDEX('Game Records'!$E:$E,$H435)&amp;"")="n/a")),"Game Type; ","")&amp;IF(INDEX('Game Records'!$F:$F,$H435)="","Payment Type; ","")&amp;IF(AND(INDEX('Game Records'!$U:$U,$H435)&lt;&gt;"Subscription",INDEX('Game Records'!$U:$U,$H435)&lt;&gt;"Free Game",INDEX('Game Records'!$U:$U,$H435)&lt;&gt;"Disqualified — Free Game",INDEX('Game Records'!$G:$G,$H435)=""),"Gross Pot; ","")&amp;IF(AND(INDEX('Game Records'!$U:$U,$H435)&lt;&gt;"Free Game",INDEX('Game Records'!$U:$U,$H435)&lt;&gt;"Disqualified — Free Game",INDEX('Game Records'!$H:$H,$H435)=""),"Entry Fee; ","")&amp;IF(AND(INDEX('Game Records'!$U:$U,$H435)&lt;&gt;"Subscription",INDEX('Game Records'!$U:$U,$H435)&lt;&gt;"Free Game",INDEX('Game Records'!$U:$U,$H435)&lt;&gt;"Disqualified — Free Game",INDEX('Game Records'!$I:$I,$H435)=""),"Eligible Players; ","")&amp;IF(AND(INDEX('Game Records'!$U:$U,$H435)&lt;&gt;"Subscription",INDEX('Game Records'!$U:$U,$H435)&lt;&gt;"Free Game",INDEX('Game Records'!$U:$U,$H435)&lt;&gt;"Disqualified — Free Game",INDEX('Game Records'!$J:$J,$H435)=""),"Total Players; ","")&amp;IF(AND(LOWER(INDEX('Game Records'!$D:$D,$H435)&amp;"")="finalized",LOWER(INDEX('Game Records'!$L:$L,$H435)&amp;"")&lt;&gt;"yes",INDEX('Game Records'!$U:$U,$H435)&lt;&gt;"Subscription",INDEX('Game Records'!$U:$U,$H435)&lt;&gt;"Free Game",INDEX('Game Records'!$U:$U,$H435)&lt;&gt;"Disqualified — Free Game",INDEX('Game Records'!$K:$K,$H435)=""),"Final Earned; ","")&amp;IF(AND(LOWER(INDEX('Game Records'!$D:$D,$H435)&amp;"")="finalized",INDEX('Game Records'!$U:$U,$H435)&lt;&gt;"Subscription",INDEX('Game Records'!$U:$U,$H435)&lt;&gt;"Free Game",INDEX('Game Records'!$U:$U,$H435)&lt;&gt;"Disqualified — Free Game",OR(INDEX('Game Records'!$L:$L,$H435)="",LOWER(INDEX('Game Records'!$L:$L,$H435)&amp;"")="n/a")),"Disqualified Status; ","")&amp;IF(AND(OR(LOWER(TRIM(INDEX('Game Records'!$F:$F,$H435)&amp;""))="free game",INDEX('Game Records'!$U:$U,$H435)="Free Game",INDEX('Game Records'!$U:$U,$H435)="Disqualified — Free Game"),N(INDEX('Game Records'!$H:$H,$H435))&lt;&gt;0),"Free Game has a non-zero Entry Fee. Free Game records require a $0 Entry Fee; ",""))</f>
        <v/>
      </c>
      <c r="G435" s="331" t="str">
        <f>IF($H435="","",IFERROR(INDEX('Game Records'!$M:$M,$H435),""))</f>
        <v/>
      </c>
      <c r="H435" s="104" t="str">
        <f>IF($H434="","",IFERROR(MATCH(1,INDEX((ROW('Game Records'!$U$5:$U$504)&gt;$H434)*(('Game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6" ht="24" customHeight="1">
      <c r="A436" s="332" t="str">
        <f>IF($H436="","",ROWS($A$5:A436))</f>
        <v/>
      </c>
      <c r="B436" s="332" t="str">
        <f>IF($H436="","","G-"&amp;TEXT($A436,"0000"))</f>
        <v/>
      </c>
      <c r="C436" s="331" t="str">
        <f>IF($H436="","",IFERROR(INDEX('Game Records'!$A:$A,$H436),""))</f>
        <v/>
      </c>
      <c r="D436" s="331" t="str">
        <f>IF($H436="","",IFERROR(INDEX('Game Records'!$U:$U,$H436),""))</f>
        <v/>
      </c>
      <c r="E436" s="331" t="str">
        <f>IF($H436="","",IF($F436="","No Highlighted Fields","Highlighted Fields Present"))</f>
        <v/>
      </c>
      <c r="F436" s="331" t="str">
        <f>IF($H436="","",IF(OR(NOT(ISFORMULA(INDEX('Game Records'!$N:$N,$H436))),NOT(ISFORMULA(INDEX('Game Records'!$O:$O,$H436))),NOT(ISFORMULA(INDEX('Game Records'!$P:$P,$H436))),NOT(ISFORMULA(INDEX('Game Records'!$Q:$Q,$H436))),NOT(ISFORMULA(INDEX('Game Records'!$R:$R,$H436))),NOT(ISFORMULA(INDEX('Game Records'!$S:$S,$H436))),NOT(ISFORMULA(INDEX('Game Records'!$T:$T,$H436))),NOT(ISFORMULA(INDEX('Game Records'!$U:$U,$H436))),NOT(ISFORMULA(INDEX('Game Records'!$V:$V,$H436))),NOT(ISFORMULA(INDEX('Game Records'!$W:$W,$H436))),NOT(ISFORMULA(INDEX('Game Records'!$X:$X,$H436))),NOT(ISFORMULA(INDEX('Game Records'!$Y:$Y,$H436))),NOT(ISFORMULA(INDEX('Game Records'!$Z:$Z,$H436)))),"Formula columns missing; ","")&amp;IF(INDEX('Game Records'!$B:$B,$H436)="","Start Date; ","")&amp;IF(INDEX('Game Records'!$C:$C,$H436)="","End Date; ","")&amp;IF(AND(INDEX('Game Records'!$U:$U,$H436)&lt;&gt;"Subscription",INDEX('Game Records'!$U:$U,$H436)&lt;&gt;"Free Game",INDEX('Game Records'!$U:$U,$H436)&lt;&gt;"Disqualified — Free Game",OR(INDEX('Game Records'!$D:$D,$H436)="",LOWER(INDEX('Game Records'!$D:$D,$H436)&amp;"")="n/a")),"Entry Mode; ","")&amp;IF(AND(INDEX('Game Records'!$U:$U,$H436)&lt;&gt;"Subscription",INDEX('Game Records'!$U:$U,$H436)&lt;&gt;"Free Game",INDEX('Game Records'!$U:$U,$H436)&lt;&gt;"Disqualified — Free Game",OR(INDEX('Game Records'!$E:$E,$H436)="",LOWER(INDEX('Game Records'!$E:$E,$H436)&amp;"")="n/a")),"Game Type; ","")&amp;IF(INDEX('Game Records'!$F:$F,$H436)="","Payment Type; ","")&amp;IF(AND(INDEX('Game Records'!$U:$U,$H436)&lt;&gt;"Subscription",INDEX('Game Records'!$U:$U,$H436)&lt;&gt;"Free Game",INDEX('Game Records'!$U:$U,$H436)&lt;&gt;"Disqualified — Free Game",INDEX('Game Records'!$G:$G,$H436)=""),"Gross Pot; ","")&amp;IF(AND(INDEX('Game Records'!$U:$U,$H436)&lt;&gt;"Free Game",INDEX('Game Records'!$U:$U,$H436)&lt;&gt;"Disqualified — Free Game",INDEX('Game Records'!$H:$H,$H436)=""),"Entry Fee; ","")&amp;IF(AND(INDEX('Game Records'!$U:$U,$H436)&lt;&gt;"Subscription",INDEX('Game Records'!$U:$U,$H436)&lt;&gt;"Free Game",INDEX('Game Records'!$U:$U,$H436)&lt;&gt;"Disqualified — Free Game",INDEX('Game Records'!$I:$I,$H436)=""),"Eligible Players; ","")&amp;IF(AND(INDEX('Game Records'!$U:$U,$H436)&lt;&gt;"Subscription",INDEX('Game Records'!$U:$U,$H436)&lt;&gt;"Free Game",INDEX('Game Records'!$U:$U,$H436)&lt;&gt;"Disqualified — Free Game",INDEX('Game Records'!$J:$J,$H436)=""),"Total Players; ","")&amp;IF(AND(LOWER(INDEX('Game Records'!$D:$D,$H436)&amp;"")="finalized",LOWER(INDEX('Game Records'!$L:$L,$H436)&amp;"")&lt;&gt;"yes",INDEX('Game Records'!$U:$U,$H436)&lt;&gt;"Subscription",INDEX('Game Records'!$U:$U,$H436)&lt;&gt;"Free Game",INDEX('Game Records'!$U:$U,$H436)&lt;&gt;"Disqualified — Free Game",INDEX('Game Records'!$K:$K,$H436)=""),"Final Earned; ","")&amp;IF(AND(LOWER(INDEX('Game Records'!$D:$D,$H436)&amp;"")="finalized",INDEX('Game Records'!$U:$U,$H436)&lt;&gt;"Subscription",INDEX('Game Records'!$U:$U,$H436)&lt;&gt;"Free Game",INDEX('Game Records'!$U:$U,$H436)&lt;&gt;"Disqualified — Free Game",OR(INDEX('Game Records'!$L:$L,$H436)="",LOWER(INDEX('Game Records'!$L:$L,$H436)&amp;"")="n/a")),"Disqualified Status; ","")&amp;IF(AND(OR(LOWER(TRIM(INDEX('Game Records'!$F:$F,$H436)&amp;""))="free game",INDEX('Game Records'!$U:$U,$H436)="Free Game",INDEX('Game Records'!$U:$U,$H436)="Disqualified — Free Game"),N(INDEX('Game Records'!$H:$H,$H436))&lt;&gt;0),"Free Game has a non-zero Entry Fee. Free Game records require a $0 Entry Fee; ",""))</f>
        <v/>
      </c>
      <c r="G436" s="331" t="str">
        <f>IF($H436="","",IFERROR(INDEX('Game Records'!$M:$M,$H436),""))</f>
        <v/>
      </c>
      <c r="H436" s="104" t="str">
        <f>IF($H435="","",IFERROR(MATCH(1,INDEX((ROW('Game Records'!$U$5:$U$504)&gt;$H435)*(('Game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7" ht="24" customHeight="1">
      <c r="A437" s="332" t="str">
        <f>IF($H437="","",ROWS($A$5:A437))</f>
        <v/>
      </c>
      <c r="B437" s="332" t="str">
        <f>IF($H437="","","G-"&amp;TEXT($A437,"0000"))</f>
        <v/>
      </c>
      <c r="C437" s="331" t="str">
        <f>IF($H437="","",IFERROR(INDEX('Game Records'!$A:$A,$H437),""))</f>
        <v/>
      </c>
      <c r="D437" s="331" t="str">
        <f>IF($H437="","",IFERROR(INDEX('Game Records'!$U:$U,$H437),""))</f>
        <v/>
      </c>
      <c r="E437" s="331" t="str">
        <f>IF($H437="","",IF($F437="","No Highlighted Fields","Highlighted Fields Present"))</f>
        <v/>
      </c>
      <c r="F437" s="331" t="str">
        <f>IF($H437="","",IF(OR(NOT(ISFORMULA(INDEX('Game Records'!$N:$N,$H437))),NOT(ISFORMULA(INDEX('Game Records'!$O:$O,$H437))),NOT(ISFORMULA(INDEX('Game Records'!$P:$P,$H437))),NOT(ISFORMULA(INDEX('Game Records'!$Q:$Q,$H437))),NOT(ISFORMULA(INDEX('Game Records'!$R:$R,$H437))),NOT(ISFORMULA(INDEX('Game Records'!$S:$S,$H437))),NOT(ISFORMULA(INDEX('Game Records'!$T:$T,$H437))),NOT(ISFORMULA(INDEX('Game Records'!$U:$U,$H437))),NOT(ISFORMULA(INDEX('Game Records'!$V:$V,$H437))),NOT(ISFORMULA(INDEX('Game Records'!$W:$W,$H437))),NOT(ISFORMULA(INDEX('Game Records'!$X:$X,$H437))),NOT(ISFORMULA(INDEX('Game Records'!$Y:$Y,$H437))),NOT(ISFORMULA(INDEX('Game Records'!$Z:$Z,$H437)))),"Formula columns missing; ","")&amp;IF(INDEX('Game Records'!$B:$B,$H437)="","Start Date; ","")&amp;IF(INDEX('Game Records'!$C:$C,$H437)="","End Date; ","")&amp;IF(AND(INDEX('Game Records'!$U:$U,$H437)&lt;&gt;"Subscription",INDEX('Game Records'!$U:$U,$H437)&lt;&gt;"Free Game",INDEX('Game Records'!$U:$U,$H437)&lt;&gt;"Disqualified — Free Game",OR(INDEX('Game Records'!$D:$D,$H437)="",LOWER(INDEX('Game Records'!$D:$D,$H437)&amp;"")="n/a")),"Entry Mode; ","")&amp;IF(AND(INDEX('Game Records'!$U:$U,$H437)&lt;&gt;"Subscription",INDEX('Game Records'!$U:$U,$H437)&lt;&gt;"Free Game",INDEX('Game Records'!$U:$U,$H437)&lt;&gt;"Disqualified — Free Game",OR(INDEX('Game Records'!$E:$E,$H437)="",LOWER(INDEX('Game Records'!$E:$E,$H437)&amp;"")="n/a")),"Game Type; ","")&amp;IF(INDEX('Game Records'!$F:$F,$H437)="","Payment Type; ","")&amp;IF(AND(INDEX('Game Records'!$U:$U,$H437)&lt;&gt;"Subscription",INDEX('Game Records'!$U:$U,$H437)&lt;&gt;"Free Game",INDEX('Game Records'!$U:$U,$H437)&lt;&gt;"Disqualified — Free Game",INDEX('Game Records'!$G:$G,$H437)=""),"Gross Pot; ","")&amp;IF(AND(INDEX('Game Records'!$U:$U,$H437)&lt;&gt;"Free Game",INDEX('Game Records'!$U:$U,$H437)&lt;&gt;"Disqualified — Free Game",INDEX('Game Records'!$H:$H,$H437)=""),"Entry Fee; ","")&amp;IF(AND(INDEX('Game Records'!$U:$U,$H437)&lt;&gt;"Subscription",INDEX('Game Records'!$U:$U,$H437)&lt;&gt;"Free Game",INDEX('Game Records'!$U:$U,$H437)&lt;&gt;"Disqualified — Free Game",INDEX('Game Records'!$I:$I,$H437)=""),"Eligible Players; ","")&amp;IF(AND(INDEX('Game Records'!$U:$U,$H437)&lt;&gt;"Subscription",INDEX('Game Records'!$U:$U,$H437)&lt;&gt;"Free Game",INDEX('Game Records'!$U:$U,$H437)&lt;&gt;"Disqualified — Free Game",INDEX('Game Records'!$J:$J,$H437)=""),"Total Players; ","")&amp;IF(AND(LOWER(INDEX('Game Records'!$D:$D,$H437)&amp;"")="finalized",LOWER(INDEX('Game Records'!$L:$L,$H437)&amp;"")&lt;&gt;"yes",INDEX('Game Records'!$U:$U,$H437)&lt;&gt;"Subscription",INDEX('Game Records'!$U:$U,$H437)&lt;&gt;"Free Game",INDEX('Game Records'!$U:$U,$H437)&lt;&gt;"Disqualified — Free Game",INDEX('Game Records'!$K:$K,$H437)=""),"Final Earned; ","")&amp;IF(AND(LOWER(INDEX('Game Records'!$D:$D,$H437)&amp;"")="finalized",INDEX('Game Records'!$U:$U,$H437)&lt;&gt;"Subscription",INDEX('Game Records'!$U:$U,$H437)&lt;&gt;"Free Game",INDEX('Game Records'!$U:$U,$H437)&lt;&gt;"Disqualified — Free Game",OR(INDEX('Game Records'!$L:$L,$H437)="",LOWER(INDEX('Game Records'!$L:$L,$H437)&amp;"")="n/a")),"Disqualified Status; ","")&amp;IF(AND(OR(LOWER(TRIM(INDEX('Game Records'!$F:$F,$H437)&amp;""))="free game",INDEX('Game Records'!$U:$U,$H437)="Free Game",INDEX('Game Records'!$U:$U,$H437)="Disqualified — Free Game"),N(INDEX('Game Records'!$H:$H,$H437))&lt;&gt;0),"Free Game has a non-zero Entry Fee. Free Game records require a $0 Entry Fee; ",""))</f>
        <v/>
      </c>
      <c r="G437" s="331" t="str">
        <f>IF($H437="","",IFERROR(INDEX('Game Records'!$M:$M,$H437),""))</f>
        <v/>
      </c>
      <c r="H437" s="104" t="str">
        <f>IF($H436="","",IFERROR(MATCH(1,INDEX((ROW('Game Records'!$U$5:$U$504)&gt;$H436)*(('Game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8" ht="24" customHeight="1">
      <c r="A438" s="332" t="str">
        <f>IF($H438="","",ROWS($A$5:A438))</f>
        <v/>
      </c>
      <c r="B438" s="332" t="str">
        <f>IF($H438="","","G-"&amp;TEXT($A438,"0000"))</f>
        <v/>
      </c>
      <c r="C438" s="331" t="str">
        <f>IF($H438="","",IFERROR(INDEX('Game Records'!$A:$A,$H438),""))</f>
        <v/>
      </c>
      <c r="D438" s="331" t="str">
        <f>IF($H438="","",IFERROR(INDEX('Game Records'!$U:$U,$H438),""))</f>
        <v/>
      </c>
      <c r="E438" s="331" t="str">
        <f>IF($H438="","",IF($F438="","No Highlighted Fields","Highlighted Fields Present"))</f>
        <v/>
      </c>
      <c r="F438" s="331" t="str">
        <f>IF($H438="","",IF(OR(NOT(ISFORMULA(INDEX('Game Records'!$N:$N,$H438))),NOT(ISFORMULA(INDEX('Game Records'!$O:$O,$H438))),NOT(ISFORMULA(INDEX('Game Records'!$P:$P,$H438))),NOT(ISFORMULA(INDEX('Game Records'!$Q:$Q,$H438))),NOT(ISFORMULA(INDEX('Game Records'!$R:$R,$H438))),NOT(ISFORMULA(INDEX('Game Records'!$S:$S,$H438))),NOT(ISFORMULA(INDEX('Game Records'!$T:$T,$H438))),NOT(ISFORMULA(INDEX('Game Records'!$U:$U,$H438))),NOT(ISFORMULA(INDEX('Game Records'!$V:$V,$H438))),NOT(ISFORMULA(INDEX('Game Records'!$W:$W,$H438))),NOT(ISFORMULA(INDEX('Game Records'!$X:$X,$H438))),NOT(ISFORMULA(INDEX('Game Records'!$Y:$Y,$H438))),NOT(ISFORMULA(INDEX('Game Records'!$Z:$Z,$H438)))),"Formula columns missing; ","")&amp;IF(INDEX('Game Records'!$B:$B,$H438)="","Start Date; ","")&amp;IF(INDEX('Game Records'!$C:$C,$H438)="","End Date; ","")&amp;IF(AND(INDEX('Game Records'!$U:$U,$H438)&lt;&gt;"Subscription",INDEX('Game Records'!$U:$U,$H438)&lt;&gt;"Free Game",INDEX('Game Records'!$U:$U,$H438)&lt;&gt;"Disqualified — Free Game",OR(INDEX('Game Records'!$D:$D,$H438)="",LOWER(INDEX('Game Records'!$D:$D,$H438)&amp;"")="n/a")),"Entry Mode; ","")&amp;IF(AND(INDEX('Game Records'!$U:$U,$H438)&lt;&gt;"Subscription",INDEX('Game Records'!$U:$U,$H438)&lt;&gt;"Free Game",INDEX('Game Records'!$U:$U,$H438)&lt;&gt;"Disqualified — Free Game",OR(INDEX('Game Records'!$E:$E,$H438)="",LOWER(INDEX('Game Records'!$E:$E,$H438)&amp;"")="n/a")),"Game Type; ","")&amp;IF(INDEX('Game Records'!$F:$F,$H438)="","Payment Type; ","")&amp;IF(AND(INDEX('Game Records'!$U:$U,$H438)&lt;&gt;"Subscription",INDEX('Game Records'!$U:$U,$H438)&lt;&gt;"Free Game",INDEX('Game Records'!$U:$U,$H438)&lt;&gt;"Disqualified — Free Game",INDEX('Game Records'!$G:$G,$H438)=""),"Gross Pot; ","")&amp;IF(AND(INDEX('Game Records'!$U:$U,$H438)&lt;&gt;"Free Game",INDEX('Game Records'!$U:$U,$H438)&lt;&gt;"Disqualified — Free Game",INDEX('Game Records'!$H:$H,$H438)=""),"Entry Fee; ","")&amp;IF(AND(INDEX('Game Records'!$U:$U,$H438)&lt;&gt;"Subscription",INDEX('Game Records'!$U:$U,$H438)&lt;&gt;"Free Game",INDEX('Game Records'!$U:$U,$H438)&lt;&gt;"Disqualified — Free Game",INDEX('Game Records'!$I:$I,$H438)=""),"Eligible Players; ","")&amp;IF(AND(INDEX('Game Records'!$U:$U,$H438)&lt;&gt;"Subscription",INDEX('Game Records'!$U:$U,$H438)&lt;&gt;"Free Game",INDEX('Game Records'!$U:$U,$H438)&lt;&gt;"Disqualified — Free Game",INDEX('Game Records'!$J:$J,$H438)=""),"Total Players; ","")&amp;IF(AND(LOWER(INDEX('Game Records'!$D:$D,$H438)&amp;"")="finalized",LOWER(INDEX('Game Records'!$L:$L,$H438)&amp;"")&lt;&gt;"yes",INDEX('Game Records'!$U:$U,$H438)&lt;&gt;"Subscription",INDEX('Game Records'!$U:$U,$H438)&lt;&gt;"Free Game",INDEX('Game Records'!$U:$U,$H438)&lt;&gt;"Disqualified — Free Game",INDEX('Game Records'!$K:$K,$H438)=""),"Final Earned; ","")&amp;IF(AND(LOWER(INDEX('Game Records'!$D:$D,$H438)&amp;"")="finalized",INDEX('Game Records'!$U:$U,$H438)&lt;&gt;"Subscription",INDEX('Game Records'!$U:$U,$H438)&lt;&gt;"Free Game",INDEX('Game Records'!$U:$U,$H438)&lt;&gt;"Disqualified — Free Game",OR(INDEX('Game Records'!$L:$L,$H438)="",LOWER(INDEX('Game Records'!$L:$L,$H438)&amp;"")="n/a")),"Disqualified Status; ","")&amp;IF(AND(OR(LOWER(TRIM(INDEX('Game Records'!$F:$F,$H438)&amp;""))="free game",INDEX('Game Records'!$U:$U,$H438)="Free Game",INDEX('Game Records'!$U:$U,$H438)="Disqualified — Free Game"),N(INDEX('Game Records'!$H:$H,$H438))&lt;&gt;0),"Free Game has a non-zero Entry Fee. Free Game records require a $0 Entry Fee; ",""))</f>
        <v/>
      </c>
      <c r="G438" s="331" t="str">
        <f>IF($H438="","",IFERROR(INDEX('Game Records'!$M:$M,$H438),""))</f>
        <v/>
      </c>
      <c r="H438" s="104" t="str">
        <f>IF($H437="","",IFERROR(MATCH(1,INDEX((ROW('Game Records'!$U$5:$U$504)&gt;$H437)*(('Game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9" ht="24" customHeight="1">
      <c r="A439" s="332" t="str">
        <f>IF($H439="","",ROWS($A$5:A439))</f>
        <v/>
      </c>
      <c r="B439" s="332" t="str">
        <f>IF($H439="","","G-"&amp;TEXT($A439,"0000"))</f>
        <v/>
      </c>
      <c r="C439" s="331" t="str">
        <f>IF($H439="","",IFERROR(INDEX('Game Records'!$A:$A,$H439),""))</f>
        <v/>
      </c>
      <c r="D439" s="331" t="str">
        <f>IF($H439="","",IFERROR(INDEX('Game Records'!$U:$U,$H439),""))</f>
        <v/>
      </c>
      <c r="E439" s="331" t="str">
        <f>IF($H439="","",IF($F439="","No Highlighted Fields","Highlighted Fields Present"))</f>
        <v/>
      </c>
      <c r="F439" s="331" t="str">
        <f>IF($H439="","",IF(OR(NOT(ISFORMULA(INDEX('Game Records'!$N:$N,$H439))),NOT(ISFORMULA(INDEX('Game Records'!$O:$O,$H439))),NOT(ISFORMULA(INDEX('Game Records'!$P:$P,$H439))),NOT(ISFORMULA(INDEX('Game Records'!$Q:$Q,$H439))),NOT(ISFORMULA(INDEX('Game Records'!$R:$R,$H439))),NOT(ISFORMULA(INDEX('Game Records'!$S:$S,$H439))),NOT(ISFORMULA(INDEX('Game Records'!$T:$T,$H439))),NOT(ISFORMULA(INDEX('Game Records'!$U:$U,$H439))),NOT(ISFORMULA(INDEX('Game Records'!$V:$V,$H439))),NOT(ISFORMULA(INDEX('Game Records'!$W:$W,$H439))),NOT(ISFORMULA(INDEX('Game Records'!$X:$X,$H439))),NOT(ISFORMULA(INDEX('Game Records'!$Y:$Y,$H439))),NOT(ISFORMULA(INDEX('Game Records'!$Z:$Z,$H439)))),"Formula columns missing; ","")&amp;IF(INDEX('Game Records'!$B:$B,$H439)="","Start Date; ","")&amp;IF(INDEX('Game Records'!$C:$C,$H439)="","End Date; ","")&amp;IF(AND(INDEX('Game Records'!$U:$U,$H439)&lt;&gt;"Subscription",INDEX('Game Records'!$U:$U,$H439)&lt;&gt;"Free Game",INDEX('Game Records'!$U:$U,$H439)&lt;&gt;"Disqualified — Free Game",OR(INDEX('Game Records'!$D:$D,$H439)="",LOWER(INDEX('Game Records'!$D:$D,$H439)&amp;"")="n/a")),"Entry Mode; ","")&amp;IF(AND(INDEX('Game Records'!$U:$U,$H439)&lt;&gt;"Subscription",INDEX('Game Records'!$U:$U,$H439)&lt;&gt;"Free Game",INDEX('Game Records'!$U:$U,$H439)&lt;&gt;"Disqualified — Free Game",OR(INDEX('Game Records'!$E:$E,$H439)="",LOWER(INDEX('Game Records'!$E:$E,$H439)&amp;"")="n/a")),"Game Type; ","")&amp;IF(INDEX('Game Records'!$F:$F,$H439)="","Payment Type; ","")&amp;IF(AND(INDEX('Game Records'!$U:$U,$H439)&lt;&gt;"Subscription",INDEX('Game Records'!$U:$U,$H439)&lt;&gt;"Free Game",INDEX('Game Records'!$U:$U,$H439)&lt;&gt;"Disqualified — Free Game",INDEX('Game Records'!$G:$G,$H439)=""),"Gross Pot; ","")&amp;IF(AND(INDEX('Game Records'!$U:$U,$H439)&lt;&gt;"Free Game",INDEX('Game Records'!$U:$U,$H439)&lt;&gt;"Disqualified — Free Game",INDEX('Game Records'!$H:$H,$H439)=""),"Entry Fee; ","")&amp;IF(AND(INDEX('Game Records'!$U:$U,$H439)&lt;&gt;"Subscription",INDEX('Game Records'!$U:$U,$H439)&lt;&gt;"Free Game",INDEX('Game Records'!$U:$U,$H439)&lt;&gt;"Disqualified — Free Game",INDEX('Game Records'!$I:$I,$H439)=""),"Eligible Players; ","")&amp;IF(AND(INDEX('Game Records'!$U:$U,$H439)&lt;&gt;"Subscription",INDEX('Game Records'!$U:$U,$H439)&lt;&gt;"Free Game",INDEX('Game Records'!$U:$U,$H439)&lt;&gt;"Disqualified — Free Game",INDEX('Game Records'!$J:$J,$H439)=""),"Total Players; ","")&amp;IF(AND(LOWER(INDEX('Game Records'!$D:$D,$H439)&amp;"")="finalized",LOWER(INDEX('Game Records'!$L:$L,$H439)&amp;"")&lt;&gt;"yes",INDEX('Game Records'!$U:$U,$H439)&lt;&gt;"Subscription",INDEX('Game Records'!$U:$U,$H439)&lt;&gt;"Free Game",INDEX('Game Records'!$U:$U,$H439)&lt;&gt;"Disqualified — Free Game",INDEX('Game Records'!$K:$K,$H439)=""),"Final Earned; ","")&amp;IF(AND(LOWER(INDEX('Game Records'!$D:$D,$H439)&amp;"")="finalized",INDEX('Game Records'!$U:$U,$H439)&lt;&gt;"Subscription",INDEX('Game Records'!$U:$U,$H439)&lt;&gt;"Free Game",INDEX('Game Records'!$U:$U,$H439)&lt;&gt;"Disqualified — Free Game",OR(INDEX('Game Records'!$L:$L,$H439)="",LOWER(INDEX('Game Records'!$L:$L,$H439)&amp;"")="n/a")),"Disqualified Status; ","")&amp;IF(AND(OR(LOWER(TRIM(INDEX('Game Records'!$F:$F,$H439)&amp;""))="free game",INDEX('Game Records'!$U:$U,$H439)="Free Game",INDEX('Game Records'!$U:$U,$H439)="Disqualified — Free Game"),N(INDEX('Game Records'!$H:$H,$H439))&lt;&gt;0),"Free Game has a non-zero Entry Fee. Free Game records require a $0 Entry Fee; ",""))</f>
        <v/>
      </c>
      <c r="G439" s="331" t="str">
        <f>IF($H439="","",IFERROR(INDEX('Game Records'!$M:$M,$H439),""))</f>
        <v/>
      </c>
      <c r="H439" s="104" t="str">
        <f>IF($H438="","",IFERROR(MATCH(1,INDEX((ROW('Game Records'!$U$5:$U$504)&gt;$H438)*(('Game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0" ht="24" customHeight="1">
      <c r="A440" s="332" t="str">
        <f>IF($H440="","",ROWS($A$5:A440))</f>
        <v/>
      </c>
      <c r="B440" s="332" t="str">
        <f>IF($H440="","","G-"&amp;TEXT($A440,"0000"))</f>
        <v/>
      </c>
      <c r="C440" s="331" t="str">
        <f>IF($H440="","",IFERROR(INDEX('Game Records'!$A:$A,$H440),""))</f>
        <v/>
      </c>
      <c r="D440" s="331" t="str">
        <f>IF($H440="","",IFERROR(INDEX('Game Records'!$U:$U,$H440),""))</f>
        <v/>
      </c>
      <c r="E440" s="331" t="str">
        <f>IF($H440="","",IF($F440="","No Highlighted Fields","Highlighted Fields Present"))</f>
        <v/>
      </c>
      <c r="F440" s="331" t="str">
        <f>IF($H440="","",IF(OR(NOT(ISFORMULA(INDEX('Game Records'!$N:$N,$H440))),NOT(ISFORMULA(INDEX('Game Records'!$O:$O,$H440))),NOT(ISFORMULA(INDEX('Game Records'!$P:$P,$H440))),NOT(ISFORMULA(INDEX('Game Records'!$Q:$Q,$H440))),NOT(ISFORMULA(INDEX('Game Records'!$R:$R,$H440))),NOT(ISFORMULA(INDEX('Game Records'!$S:$S,$H440))),NOT(ISFORMULA(INDEX('Game Records'!$T:$T,$H440))),NOT(ISFORMULA(INDEX('Game Records'!$U:$U,$H440))),NOT(ISFORMULA(INDEX('Game Records'!$V:$V,$H440))),NOT(ISFORMULA(INDEX('Game Records'!$W:$W,$H440))),NOT(ISFORMULA(INDEX('Game Records'!$X:$X,$H440))),NOT(ISFORMULA(INDEX('Game Records'!$Y:$Y,$H440))),NOT(ISFORMULA(INDEX('Game Records'!$Z:$Z,$H440)))),"Formula columns missing; ","")&amp;IF(INDEX('Game Records'!$B:$B,$H440)="","Start Date; ","")&amp;IF(INDEX('Game Records'!$C:$C,$H440)="","End Date; ","")&amp;IF(AND(INDEX('Game Records'!$U:$U,$H440)&lt;&gt;"Subscription",INDEX('Game Records'!$U:$U,$H440)&lt;&gt;"Free Game",INDEX('Game Records'!$U:$U,$H440)&lt;&gt;"Disqualified — Free Game",OR(INDEX('Game Records'!$D:$D,$H440)="",LOWER(INDEX('Game Records'!$D:$D,$H440)&amp;"")="n/a")),"Entry Mode; ","")&amp;IF(AND(INDEX('Game Records'!$U:$U,$H440)&lt;&gt;"Subscription",INDEX('Game Records'!$U:$U,$H440)&lt;&gt;"Free Game",INDEX('Game Records'!$U:$U,$H440)&lt;&gt;"Disqualified — Free Game",OR(INDEX('Game Records'!$E:$E,$H440)="",LOWER(INDEX('Game Records'!$E:$E,$H440)&amp;"")="n/a")),"Game Type; ","")&amp;IF(INDEX('Game Records'!$F:$F,$H440)="","Payment Type; ","")&amp;IF(AND(INDEX('Game Records'!$U:$U,$H440)&lt;&gt;"Subscription",INDEX('Game Records'!$U:$U,$H440)&lt;&gt;"Free Game",INDEX('Game Records'!$U:$U,$H440)&lt;&gt;"Disqualified — Free Game",INDEX('Game Records'!$G:$G,$H440)=""),"Gross Pot; ","")&amp;IF(AND(INDEX('Game Records'!$U:$U,$H440)&lt;&gt;"Free Game",INDEX('Game Records'!$U:$U,$H440)&lt;&gt;"Disqualified — Free Game",INDEX('Game Records'!$H:$H,$H440)=""),"Entry Fee; ","")&amp;IF(AND(INDEX('Game Records'!$U:$U,$H440)&lt;&gt;"Subscription",INDEX('Game Records'!$U:$U,$H440)&lt;&gt;"Free Game",INDEX('Game Records'!$U:$U,$H440)&lt;&gt;"Disqualified — Free Game",INDEX('Game Records'!$I:$I,$H440)=""),"Eligible Players; ","")&amp;IF(AND(INDEX('Game Records'!$U:$U,$H440)&lt;&gt;"Subscription",INDEX('Game Records'!$U:$U,$H440)&lt;&gt;"Free Game",INDEX('Game Records'!$U:$U,$H440)&lt;&gt;"Disqualified — Free Game",INDEX('Game Records'!$J:$J,$H440)=""),"Total Players; ","")&amp;IF(AND(LOWER(INDEX('Game Records'!$D:$D,$H440)&amp;"")="finalized",LOWER(INDEX('Game Records'!$L:$L,$H440)&amp;"")&lt;&gt;"yes",INDEX('Game Records'!$U:$U,$H440)&lt;&gt;"Subscription",INDEX('Game Records'!$U:$U,$H440)&lt;&gt;"Free Game",INDEX('Game Records'!$U:$U,$H440)&lt;&gt;"Disqualified — Free Game",INDEX('Game Records'!$K:$K,$H440)=""),"Final Earned; ","")&amp;IF(AND(LOWER(INDEX('Game Records'!$D:$D,$H440)&amp;"")="finalized",INDEX('Game Records'!$U:$U,$H440)&lt;&gt;"Subscription",INDEX('Game Records'!$U:$U,$H440)&lt;&gt;"Free Game",INDEX('Game Records'!$U:$U,$H440)&lt;&gt;"Disqualified — Free Game",OR(INDEX('Game Records'!$L:$L,$H440)="",LOWER(INDEX('Game Records'!$L:$L,$H440)&amp;"")="n/a")),"Disqualified Status; ","")&amp;IF(AND(OR(LOWER(TRIM(INDEX('Game Records'!$F:$F,$H440)&amp;""))="free game",INDEX('Game Records'!$U:$U,$H440)="Free Game",INDEX('Game Records'!$U:$U,$H440)="Disqualified — Free Game"),N(INDEX('Game Records'!$H:$H,$H440))&lt;&gt;0),"Free Game has a non-zero Entry Fee. Free Game records require a $0 Entry Fee; ",""))</f>
        <v/>
      </c>
      <c r="G440" s="331" t="str">
        <f>IF($H440="","",IFERROR(INDEX('Game Records'!$M:$M,$H440),""))</f>
        <v/>
      </c>
      <c r="H440" s="104" t="str">
        <f>IF($H439="","",IFERROR(MATCH(1,INDEX((ROW('Game Records'!$U$5:$U$504)&gt;$H439)*(('Game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1" ht="24" customHeight="1">
      <c r="A441" s="332" t="str">
        <f>IF($H441="","",ROWS($A$5:A441))</f>
        <v/>
      </c>
      <c r="B441" s="332" t="str">
        <f>IF($H441="","","G-"&amp;TEXT($A441,"0000"))</f>
        <v/>
      </c>
      <c r="C441" s="331" t="str">
        <f>IF($H441="","",IFERROR(INDEX('Game Records'!$A:$A,$H441),""))</f>
        <v/>
      </c>
      <c r="D441" s="331" t="str">
        <f>IF($H441="","",IFERROR(INDEX('Game Records'!$U:$U,$H441),""))</f>
        <v/>
      </c>
      <c r="E441" s="331" t="str">
        <f>IF($H441="","",IF($F441="","No Highlighted Fields","Highlighted Fields Present"))</f>
        <v/>
      </c>
      <c r="F441" s="331" t="str">
        <f>IF($H441="","",IF(OR(NOT(ISFORMULA(INDEX('Game Records'!$N:$N,$H441))),NOT(ISFORMULA(INDEX('Game Records'!$O:$O,$H441))),NOT(ISFORMULA(INDEX('Game Records'!$P:$P,$H441))),NOT(ISFORMULA(INDEX('Game Records'!$Q:$Q,$H441))),NOT(ISFORMULA(INDEX('Game Records'!$R:$R,$H441))),NOT(ISFORMULA(INDEX('Game Records'!$S:$S,$H441))),NOT(ISFORMULA(INDEX('Game Records'!$T:$T,$H441))),NOT(ISFORMULA(INDEX('Game Records'!$U:$U,$H441))),NOT(ISFORMULA(INDEX('Game Records'!$V:$V,$H441))),NOT(ISFORMULA(INDEX('Game Records'!$W:$W,$H441))),NOT(ISFORMULA(INDEX('Game Records'!$X:$X,$H441))),NOT(ISFORMULA(INDEX('Game Records'!$Y:$Y,$H441))),NOT(ISFORMULA(INDEX('Game Records'!$Z:$Z,$H441)))),"Formula columns missing; ","")&amp;IF(INDEX('Game Records'!$B:$B,$H441)="","Start Date; ","")&amp;IF(INDEX('Game Records'!$C:$C,$H441)="","End Date; ","")&amp;IF(AND(INDEX('Game Records'!$U:$U,$H441)&lt;&gt;"Subscription",INDEX('Game Records'!$U:$U,$H441)&lt;&gt;"Free Game",INDEX('Game Records'!$U:$U,$H441)&lt;&gt;"Disqualified — Free Game",OR(INDEX('Game Records'!$D:$D,$H441)="",LOWER(INDEX('Game Records'!$D:$D,$H441)&amp;"")="n/a")),"Entry Mode; ","")&amp;IF(AND(INDEX('Game Records'!$U:$U,$H441)&lt;&gt;"Subscription",INDEX('Game Records'!$U:$U,$H441)&lt;&gt;"Free Game",INDEX('Game Records'!$U:$U,$H441)&lt;&gt;"Disqualified — Free Game",OR(INDEX('Game Records'!$E:$E,$H441)="",LOWER(INDEX('Game Records'!$E:$E,$H441)&amp;"")="n/a")),"Game Type; ","")&amp;IF(INDEX('Game Records'!$F:$F,$H441)="","Payment Type; ","")&amp;IF(AND(INDEX('Game Records'!$U:$U,$H441)&lt;&gt;"Subscription",INDEX('Game Records'!$U:$U,$H441)&lt;&gt;"Free Game",INDEX('Game Records'!$U:$U,$H441)&lt;&gt;"Disqualified — Free Game",INDEX('Game Records'!$G:$G,$H441)=""),"Gross Pot; ","")&amp;IF(AND(INDEX('Game Records'!$U:$U,$H441)&lt;&gt;"Free Game",INDEX('Game Records'!$U:$U,$H441)&lt;&gt;"Disqualified — Free Game",INDEX('Game Records'!$H:$H,$H441)=""),"Entry Fee; ","")&amp;IF(AND(INDEX('Game Records'!$U:$U,$H441)&lt;&gt;"Subscription",INDEX('Game Records'!$U:$U,$H441)&lt;&gt;"Free Game",INDEX('Game Records'!$U:$U,$H441)&lt;&gt;"Disqualified — Free Game",INDEX('Game Records'!$I:$I,$H441)=""),"Eligible Players; ","")&amp;IF(AND(INDEX('Game Records'!$U:$U,$H441)&lt;&gt;"Subscription",INDEX('Game Records'!$U:$U,$H441)&lt;&gt;"Free Game",INDEX('Game Records'!$U:$U,$H441)&lt;&gt;"Disqualified — Free Game",INDEX('Game Records'!$J:$J,$H441)=""),"Total Players; ","")&amp;IF(AND(LOWER(INDEX('Game Records'!$D:$D,$H441)&amp;"")="finalized",LOWER(INDEX('Game Records'!$L:$L,$H441)&amp;"")&lt;&gt;"yes",INDEX('Game Records'!$U:$U,$H441)&lt;&gt;"Subscription",INDEX('Game Records'!$U:$U,$H441)&lt;&gt;"Free Game",INDEX('Game Records'!$U:$U,$H441)&lt;&gt;"Disqualified — Free Game",INDEX('Game Records'!$K:$K,$H441)=""),"Final Earned; ","")&amp;IF(AND(LOWER(INDEX('Game Records'!$D:$D,$H441)&amp;"")="finalized",INDEX('Game Records'!$U:$U,$H441)&lt;&gt;"Subscription",INDEX('Game Records'!$U:$U,$H441)&lt;&gt;"Free Game",INDEX('Game Records'!$U:$U,$H441)&lt;&gt;"Disqualified — Free Game",OR(INDEX('Game Records'!$L:$L,$H441)="",LOWER(INDEX('Game Records'!$L:$L,$H441)&amp;"")="n/a")),"Disqualified Status; ","")&amp;IF(AND(OR(LOWER(TRIM(INDEX('Game Records'!$F:$F,$H441)&amp;""))="free game",INDEX('Game Records'!$U:$U,$H441)="Free Game",INDEX('Game Records'!$U:$U,$H441)="Disqualified — Free Game"),N(INDEX('Game Records'!$H:$H,$H441))&lt;&gt;0),"Free Game has a non-zero Entry Fee. Free Game records require a $0 Entry Fee; ",""))</f>
        <v/>
      </c>
      <c r="G441" s="331" t="str">
        <f>IF($H441="","",IFERROR(INDEX('Game Records'!$M:$M,$H441),""))</f>
        <v/>
      </c>
      <c r="H441" s="104" t="str">
        <f>IF($H440="","",IFERROR(MATCH(1,INDEX((ROW('Game Records'!$U$5:$U$504)&gt;$H440)*(('Game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2" ht="24" customHeight="1">
      <c r="A442" s="332" t="str">
        <f>IF($H442="","",ROWS($A$5:A442))</f>
        <v/>
      </c>
      <c r="B442" s="332" t="str">
        <f>IF($H442="","","G-"&amp;TEXT($A442,"0000"))</f>
        <v/>
      </c>
      <c r="C442" s="331" t="str">
        <f>IF($H442="","",IFERROR(INDEX('Game Records'!$A:$A,$H442),""))</f>
        <v/>
      </c>
      <c r="D442" s="331" t="str">
        <f>IF($H442="","",IFERROR(INDEX('Game Records'!$U:$U,$H442),""))</f>
        <v/>
      </c>
      <c r="E442" s="331" t="str">
        <f>IF($H442="","",IF($F442="","No Highlighted Fields","Highlighted Fields Present"))</f>
        <v/>
      </c>
      <c r="F442" s="331" t="str">
        <f>IF($H442="","",IF(OR(NOT(ISFORMULA(INDEX('Game Records'!$N:$N,$H442))),NOT(ISFORMULA(INDEX('Game Records'!$O:$O,$H442))),NOT(ISFORMULA(INDEX('Game Records'!$P:$P,$H442))),NOT(ISFORMULA(INDEX('Game Records'!$Q:$Q,$H442))),NOT(ISFORMULA(INDEX('Game Records'!$R:$R,$H442))),NOT(ISFORMULA(INDEX('Game Records'!$S:$S,$H442))),NOT(ISFORMULA(INDEX('Game Records'!$T:$T,$H442))),NOT(ISFORMULA(INDEX('Game Records'!$U:$U,$H442))),NOT(ISFORMULA(INDEX('Game Records'!$V:$V,$H442))),NOT(ISFORMULA(INDEX('Game Records'!$W:$W,$H442))),NOT(ISFORMULA(INDEX('Game Records'!$X:$X,$H442))),NOT(ISFORMULA(INDEX('Game Records'!$Y:$Y,$H442))),NOT(ISFORMULA(INDEX('Game Records'!$Z:$Z,$H442)))),"Formula columns missing; ","")&amp;IF(INDEX('Game Records'!$B:$B,$H442)="","Start Date; ","")&amp;IF(INDEX('Game Records'!$C:$C,$H442)="","End Date; ","")&amp;IF(AND(INDEX('Game Records'!$U:$U,$H442)&lt;&gt;"Subscription",INDEX('Game Records'!$U:$U,$H442)&lt;&gt;"Free Game",INDEX('Game Records'!$U:$U,$H442)&lt;&gt;"Disqualified — Free Game",OR(INDEX('Game Records'!$D:$D,$H442)="",LOWER(INDEX('Game Records'!$D:$D,$H442)&amp;"")="n/a")),"Entry Mode; ","")&amp;IF(AND(INDEX('Game Records'!$U:$U,$H442)&lt;&gt;"Subscription",INDEX('Game Records'!$U:$U,$H442)&lt;&gt;"Free Game",INDEX('Game Records'!$U:$U,$H442)&lt;&gt;"Disqualified — Free Game",OR(INDEX('Game Records'!$E:$E,$H442)="",LOWER(INDEX('Game Records'!$E:$E,$H442)&amp;"")="n/a")),"Game Type; ","")&amp;IF(INDEX('Game Records'!$F:$F,$H442)="","Payment Type; ","")&amp;IF(AND(INDEX('Game Records'!$U:$U,$H442)&lt;&gt;"Subscription",INDEX('Game Records'!$U:$U,$H442)&lt;&gt;"Free Game",INDEX('Game Records'!$U:$U,$H442)&lt;&gt;"Disqualified — Free Game",INDEX('Game Records'!$G:$G,$H442)=""),"Gross Pot; ","")&amp;IF(AND(INDEX('Game Records'!$U:$U,$H442)&lt;&gt;"Free Game",INDEX('Game Records'!$U:$U,$H442)&lt;&gt;"Disqualified — Free Game",INDEX('Game Records'!$H:$H,$H442)=""),"Entry Fee; ","")&amp;IF(AND(INDEX('Game Records'!$U:$U,$H442)&lt;&gt;"Subscription",INDEX('Game Records'!$U:$U,$H442)&lt;&gt;"Free Game",INDEX('Game Records'!$U:$U,$H442)&lt;&gt;"Disqualified — Free Game",INDEX('Game Records'!$I:$I,$H442)=""),"Eligible Players; ","")&amp;IF(AND(INDEX('Game Records'!$U:$U,$H442)&lt;&gt;"Subscription",INDEX('Game Records'!$U:$U,$H442)&lt;&gt;"Free Game",INDEX('Game Records'!$U:$U,$H442)&lt;&gt;"Disqualified — Free Game",INDEX('Game Records'!$J:$J,$H442)=""),"Total Players; ","")&amp;IF(AND(LOWER(INDEX('Game Records'!$D:$D,$H442)&amp;"")="finalized",LOWER(INDEX('Game Records'!$L:$L,$H442)&amp;"")&lt;&gt;"yes",INDEX('Game Records'!$U:$U,$H442)&lt;&gt;"Subscription",INDEX('Game Records'!$U:$U,$H442)&lt;&gt;"Free Game",INDEX('Game Records'!$U:$U,$H442)&lt;&gt;"Disqualified — Free Game",INDEX('Game Records'!$K:$K,$H442)=""),"Final Earned; ","")&amp;IF(AND(LOWER(INDEX('Game Records'!$D:$D,$H442)&amp;"")="finalized",INDEX('Game Records'!$U:$U,$H442)&lt;&gt;"Subscription",INDEX('Game Records'!$U:$U,$H442)&lt;&gt;"Free Game",INDEX('Game Records'!$U:$U,$H442)&lt;&gt;"Disqualified — Free Game",OR(INDEX('Game Records'!$L:$L,$H442)="",LOWER(INDEX('Game Records'!$L:$L,$H442)&amp;"")="n/a")),"Disqualified Status; ","")&amp;IF(AND(OR(LOWER(TRIM(INDEX('Game Records'!$F:$F,$H442)&amp;""))="free game",INDEX('Game Records'!$U:$U,$H442)="Free Game",INDEX('Game Records'!$U:$U,$H442)="Disqualified — Free Game"),N(INDEX('Game Records'!$H:$H,$H442))&lt;&gt;0),"Free Game has a non-zero Entry Fee. Free Game records require a $0 Entry Fee; ",""))</f>
        <v/>
      </c>
      <c r="G442" s="331" t="str">
        <f>IF($H442="","",IFERROR(INDEX('Game Records'!$M:$M,$H442),""))</f>
        <v/>
      </c>
      <c r="H442" s="104" t="str">
        <f>IF($H441="","",IFERROR(MATCH(1,INDEX((ROW('Game Records'!$U$5:$U$504)&gt;$H441)*(('Game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3" ht="24" customHeight="1">
      <c r="A443" s="332" t="str">
        <f>IF($H443="","",ROWS($A$5:A443))</f>
        <v/>
      </c>
      <c r="B443" s="332" t="str">
        <f>IF($H443="","","G-"&amp;TEXT($A443,"0000"))</f>
        <v/>
      </c>
      <c r="C443" s="331" t="str">
        <f>IF($H443="","",IFERROR(INDEX('Game Records'!$A:$A,$H443),""))</f>
        <v/>
      </c>
      <c r="D443" s="331" t="str">
        <f>IF($H443="","",IFERROR(INDEX('Game Records'!$U:$U,$H443),""))</f>
        <v/>
      </c>
      <c r="E443" s="331" t="str">
        <f>IF($H443="","",IF($F443="","No Highlighted Fields","Highlighted Fields Present"))</f>
        <v/>
      </c>
      <c r="F443" s="331" t="str">
        <f>IF($H443="","",IF(OR(NOT(ISFORMULA(INDEX('Game Records'!$N:$N,$H443))),NOT(ISFORMULA(INDEX('Game Records'!$O:$O,$H443))),NOT(ISFORMULA(INDEX('Game Records'!$P:$P,$H443))),NOT(ISFORMULA(INDEX('Game Records'!$Q:$Q,$H443))),NOT(ISFORMULA(INDEX('Game Records'!$R:$R,$H443))),NOT(ISFORMULA(INDEX('Game Records'!$S:$S,$H443))),NOT(ISFORMULA(INDEX('Game Records'!$T:$T,$H443))),NOT(ISFORMULA(INDEX('Game Records'!$U:$U,$H443))),NOT(ISFORMULA(INDEX('Game Records'!$V:$V,$H443))),NOT(ISFORMULA(INDEX('Game Records'!$W:$W,$H443))),NOT(ISFORMULA(INDEX('Game Records'!$X:$X,$H443))),NOT(ISFORMULA(INDEX('Game Records'!$Y:$Y,$H443))),NOT(ISFORMULA(INDEX('Game Records'!$Z:$Z,$H443)))),"Formula columns missing; ","")&amp;IF(INDEX('Game Records'!$B:$B,$H443)="","Start Date; ","")&amp;IF(INDEX('Game Records'!$C:$C,$H443)="","End Date; ","")&amp;IF(AND(INDEX('Game Records'!$U:$U,$H443)&lt;&gt;"Subscription",INDEX('Game Records'!$U:$U,$H443)&lt;&gt;"Free Game",INDEX('Game Records'!$U:$U,$H443)&lt;&gt;"Disqualified — Free Game",OR(INDEX('Game Records'!$D:$D,$H443)="",LOWER(INDEX('Game Records'!$D:$D,$H443)&amp;"")="n/a")),"Entry Mode; ","")&amp;IF(AND(INDEX('Game Records'!$U:$U,$H443)&lt;&gt;"Subscription",INDEX('Game Records'!$U:$U,$H443)&lt;&gt;"Free Game",INDEX('Game Records'!$U:$U,$H443)&lt;&gt;"Disqualified — Free Game",OR(INDEX('Game Records'!$E:$E,$H443)="",LOWER(INDEX('Game Records'!$E:$E,$H443)&amp;"")="n/a")),"Game Type; ","")&amp;IF(INDEX('Game Records'!$F:$F,$H443)="","Payment Type; ","")&amp;IF(AND(INDEX('Game Records'!$U:$U,$H443)&lt;&gt;"Subscription",INDEX('Game Records'!$U:$U,$H443)&lt;&gt;"Free Game",INDEX('Game Records'!$U:$U,$H443)&lt;&gt;"Disqualified — Free Game",INDEX('Game Records'!$G:$G,$H443)=""),"Gross Pot; ","")&amp;IF(AND(INDEX('Game Records'!$U:$U,$H443)&lt;&gt;"Free Game",INDEX('Game Records'!$U:$U,$H443)&lt;&gt;"Disqualified — Free Game",INDEX('Game Records'!$H:$H,$H443)=""),"Entry Fee; ","")&amp;IF(AND(INDEX('Game Records'!$U:$U,$H443)&lt;&gt;"Subscription",INDEX('Game Records'!$U:$U,$H443)&lt;&gt;"Free Game",INDEX('Game Records'!$U:$U,$H443)&lt;&gt;"Disqualified — Free Game",INDEX('Game Records'!$I:$I,$H443)=""),"Eligible Players; ","")&amp;IF(AND(INDEX('Game Records'!$U:$U,$H443)&lt;&gt;"Subscription",INDEX('Game Records'!$U:$U,$H443)&lt;&gt;"Free Game",INDEX('Game Records'!$U:$U,$H443)&lt;&gt;"Disqualified — Free Game",INDEX('Game Records'!$J:$J,$H443)=""),"Total Players; ","")&amp;IF(AND(LOWER(INDEX('Game Records'!$D:$D,$H443)&amp;"")="finalized",LOWER(INDEX('Game Records'!$L:$L,$H443)&amp;"")&lt;&gt;"yes",INDEX('Game Records'!$U:$U,$H443)&lt;&gt;"Subscription",INDEX('Game Records'!$U:$U,$H443)&lt;&gt;"Free Game",INDEX('Game Records'!$U:$U,$H443)&lt;&gt;"Disqualified — Free Game",INDEX('Game Records'!$K:$K,$H443)=""),"Final Earned; ","")&amp;IF(AND(LOWER(INDEX('Game Records'!$D:$D,$H443)&amp;"")="finalized",INDEX('Game Records'!$U:$U,$H443)&lt;&gt;"Subscription",INDEX('Game Records'!$U:$U,$H443)&lt;&gt;"Free Game",INDEX('Game Records'!$U:$U,$H443)&lt;&gt;"Disqualified — Free Game",OR(INDEX('Game Records'!$L:$L,$H443)="",LOWER(INDEX('Game Records'!$L:$L,$H443)&amp;"")="n/a")),"Disqualified Status; ","")&amp;IF(AND(OR(LOWER(TRIM(INDEX('Game Records'!$F:$F,$H443)&amp;""))="free game",INDEX('Game Records'!$U:$U,$H443)="Free Game",INDEX('Game Records'!$U:$U,$H443)="Disqualified — Free Game"),N(INDEX('Game Records'!$H:$H,$H443))&lt;&gt;0),"Free Game has a non-zero Entry Fee. Free Game records require a $0 Entry Fee; ",""))</f>
        <v/>
      </c>
      <c r="G443" s="331" t="str">
        <f>IF($H443="","",IFERROR(INDEX('Game Records'!$M:$M,$H443),""))</f>
        <v/>
      </c>
      <c r="H443" s="104" t="str">
        <f>IF($H442="","",IFERROR(MATCH(1,INDEX((ROW('Game Records'!$U$5:$U$504)&gt;$H442)*(('Game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4" ht="24" customHeight="1">
      <c r="A444" s="332" t="str">
        <f>IF($H444="","",ROWS($A$5:A444))</f>
        <v/>
      </c>
      <c r="B444" s="332" t="str">
        <f>IF($H444="","","G-"&amp;TEXT($A444,"0000"))</f>
        <v/>
      </c>
      <c r="C444" s="331" t="str">
        <f>IF($H444="","",IFERROR(INDEX('Game Records'!$A:$A,$H444),""))</f>
        <v/>
      </c>
      <c r="D444" s="331" t="str">
        <f>IF($H444="","",IFERROR(INDEX('Game Records'!$U:$U,$H444),""))</f>
        <v/>
      </c>
      <c r="E444" s="331" t="str">
        <f>IF($H444="","",IF($F444="","No Highlighted Fields","Highlighted Fields Present"))</f>
        <v/>
      </c>
      <c r="F444" s="331" t="str">
        <f>IF($H444="","",IF(OR(NOT(ISFORMULA(INDEX('Game Records'!$N:$N,$H444))),NOT(ISFORMULA(INDEX('Game Records'!$O:$O,$H444))),NOT(ISFORMULA(INDEX('Game Records'!$P:$P,$H444))),NOT(ISFORMULA(INDEX('Game Records'!$Q:$Q,$H444))),NOT(ISFORMULA(INDEX('Game Records'!$R:$R,$H444))),NOT(ISFORMULA(INDEX('Game Records'!$S:$S,$H444))),NOT(ISFORMULA(INDEX('Game Records'!$T:$T,$H444))),NOT(ISFORMULA(INDEX('Game Records'!$U:$U,$H444))),NOT(ISFORMULA(INDEX('Game Records'!$V:$V,$H444))),NOT(ISFORMULA(INDEX('Game Records'!$W:$W,$H444))),NOT(ISFORMULA(INDEX('Game Records'!$X:$X,$H444))),NOT(ISFORMULA(INDEX('Game Records'!$Y:$Y,$H444))),NOT(ISFORMULA(INDEX('Game Records'!$Z:$Z,$H444)))),"Formula columns missing; ","")&amp;IF(INDEX('Game Records'!$B:$B,$H444)="","Start Date; ","")&amp;IF(INDEX('Game Records'!$C:$C,$H444)="","End Date; ","")&amp;IF(AND(INDEX('Game Records'!$U:$U,$H444)&lt;&gt;"Subscription",INDEX('Game Records'!$U:$U,$H444)&lt;&gt;"Free Game",INDEX('Game Records'!$U:$U,$H444)&lt;&gt;"Disqualified — Free Game",OR(INDEX('Game Records'!$D:$D,$H444)="",LOWER(INDEX('Game Records'!$D:$D,$H444)&amp;"")="n/a")),"Entry Mode; ","")&amp;IF(AND(INDEX('Game Records'!$U:$U,$H444)&lt;&gt;"Subscription",INDEX('Game Records'!$U:$U,$H444)&lt;&gt;"Free Game",INDEX('Game Records'!$U:$U,$H444)&lt;&gt;"Disqualified — Free Game",OR(INDEX('Game Records'!$E:$E,$H444)="",LOWER(INDEX('Game Records'!$E:$E,$H444)&amp;"")="n/a")),"Game Type; ","")&amp;IF(INDEX('Game Records'!$F:$F,$H444)="","Payment Type; ","")&amp;IF(AND(INDEX('Game Records'!$U:$U,$H444)&lt;&gt;"Subscription",INDEX('Game Records'!$U:$U,$H444)&lt;&gt;"Free Game",INDEX('Game Records'!$U:$U,$H444)&lt;&gt;"Disqualified — Free Game",INDEX('Game Records'!$G:$G,$H444)=""),"Gross Pot; ","")&amp;IF(AND(INDEX('Game Records'!$U:$U,$H444)&lt;&gt;"Free Game",INDEX('Game Records'!$U:$U,$H444)&lt;&gt;"Disqualified — Free Game",INDEX('Game Records'!$H:$H,$H444)=""),"Entry Fee; ","")&amp;IF(AND(INDEX('Game Records'!$U:$U,$H444)&lt;&gt;"Subscription",INDEX('Game Records'!$U:$U,$H444)&lt;&gt;"Free Game",INDEX('Game Records'!$U:$U,$H444)&lt;&gt;"Disqualified — Free Game",INDEX('Game Records'!$I:$I,$H444)=""),"Eligible Players; ","")&amp;IF(AND(INDEX('Game Records'!$U:$U,$H444)&lt;&gt;"Subscription",INDEX('Game Records'!$U:$U,$H444)&lt;&gt;"Free Game",INDEX('Game Records'!$U:$U,$H444)&lt;&gt;"Disqualified — Free Game",INDEX('Game Records'!$J:$J,$H444)=""),"Total Players; ","")&amp;IF(AND(LOWER(INDEX('Game Records'!$D:$D,$H444)&amp;"")="finalized",LOWER(INDEX('Game Records'!$L:$L,$H444)&amp;"")&lt;&gt;"yes",INDEX('Game Records'!$U:$U,$H444)&lt;&gt;"Subscription",INDEX('Game Records'!$U:$U,$H444)&lt;&gt;"Free Game",INDEX('Game Records'!$U:$U,$H444)&lt;&gt;"Disqualified — Free Game",INDEX('Game Records'!$K:$K,$H444)=""),"Final Earned; ","")&amp;IF(AND(LOWER(INDEX('Game Records'!$D:$D,$H444)&amp;"")="finalized",INDEX('Game Records'!$U:$U,$H444)&lt;&gt;"Subscription",INDEX('Game Records'!$U:$U,$H444)&lt;&gt;"Free Game",INDEX('Game Records'!$U:$U,$H444)&lt;&gt;"Disqualified — Free Game",OR(INDEX('Game Records'!$L:$L,$H444)="",LOWER(INDEX('Game Records'!$L:$L,$H444)&amp;"")="n/a")),"Disqualified Status; ","")&amp;IF(AND(OR(LOWER(TRIM(INDEX('Game Records'!$F:$F,$H444)&amp;""))="free game",INDEX('Game Records'!$U:$U,$H444)="Free Game",INDEX('Game Records'!$U:$U,$H444)="Disqualified — Free Game"),N(INDEX('Game Records'!$H:$H,$H444))&lt;&gt;0),"Free Game has a non-zero Entry Fee. Free Game records require a $0 Entry Fee; ",""))</f>
        <v/>
      </c>
      <c r="G444" s="331" t="str">
        <f>IF($H444="","",IFERROR(INDEX('Game Records'!$M:$M,$H444),""))</f>
        <v/>
      </c>
      <c r="H444" s="104" t="str">
        <f>IF($H443="","",IFERROR(MATCH(1,INDEX((ROW('Game Records'!$U$5:$U$504)&gt;$H443)*(('Game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5" ht="24" customHeight="1">
      <c r="A445" s="332" t="str">
        <f>IF($H445="","",ROWS($A$5:A445))</f>
        <v/>
      </c>
      <c r="B445" s="332" t="str">
        <f>IF($H445="","","G-"&amp;TEXT($A445,"0000"))</f>
        <v/>
      </c>
      <c r="C445" s="331" t="str">
        <f>IF($H445="","",IFERROR(INDEX('Game Records'!$A:$A,$H445),""))</f>
        <v/>
      </c>
      <c r="D445" s="331" t="str">
        <f>IF($H445="","",IFERROR(INDEX('Game Records'!$U:$U,$H445),""))</f>
        <v/>
      </c>
      <c r="E445" s="331" t="str">
        <f>IF($H445="","",IF($F445="","No Highlighted Fields","Highlighted Fields Present"))</f>
        <v/>
      </c>
      <c r="F445" s="331" t="str">
        <f>IF($H445="","",IF(OR(NOT(ISFORMULA(INDEX('Game Records'!$N:$N,$H445))),NOT(ISFORMULA(INDEX('Game Records'!$O:$O,$H445))),NOT(ISFORMULA(INDEX('Game Records'!$P:$P,$H445))),NOT(ISFORMULA(INDEX('Game Records'!$Q:$Q,$H445))),NOT(ISFORMULA(INDEX('Game Records'!$R:$R,$H445))),NOT(ISFORMULA(INDEX('Game Records'!$S:$S,$H445))),NOT(ISFORMULA(INDEX('Game Records'!$T:$T,$H445))),NOT(ISFORMULA(INDEX('Game Records'!$U:$U,$H445))),NOT(ISFORMULA(INDEX('Game Records'!$V:$V,$H445))),NOT(ISFORMULA(INDEX('Game Records'!$W:$W,$H445))),NOT(ISFORMULA(INDEX('Game Records'!$X:$X,$H445))),NOT(ISFORMULA(INDEX('Game Records'!$Y:$Y,$H445))),NOT(ISFORMULA(INDEX('Game Records'!$Z:$Z,$H445)))),"Formula columns missing; ","")&amp;IF(INDEX('Game Records'!$B:$B,$H445)="","Start Date; ","")&amp;IF(INDEX('Game Records'!$C:$C,$H445)="","End Date; ","")&amp;IF(AND(INDEX('Game Records'!$U:$U,$H445)&lt;&gt;"Subscription",INDEX('Game Records'!$U:$U,$H445)&lt;&gt;"Free Game",INDEX('Game Records'!$U:$U,$H445)&lt;&gt;"Disqualified — Free Game",OR(INDEX('Game Records'!$D:$D,$H445)="",LOWER(INDEX('Game Records'!$D:$D,$H445)&amp;"")="n/a")),"Entry Mode; ","")&amp;IF(AND(INDEX('Game Records'!$U:$U,$H445)&lt;&gt;"Subscription",INDEX('Game Records'!$U:$U,$H445)&lt;&gt;"Free Game",INDEX('Game Records'!$U:$U,$H445)&lt;&gt;"Disqualified — Free Game",OR(INDEX('Game Records'!$E:$E,$H445)="",LOWER(INDEX('Game Records'!$E:$E,$H445)&amp;"")="n/a")),"Game Type; ","")&amp;IF(INDEX('Game Records'!$F:$F,$H445)="","Payment Type; ","")&amp;IF(AND(INDEX('Game Records'!$U:$U,$H445)&lt;&gt;"Subscription",INDEX('Game Records'!$U:$U,$H445)&lt;&gt;"Free Game",INDEX('Game Records'!$U:$U,$H445)&lt;&gt;"Disqualified — Free Game",INDEX('Game Records'!$G:$G,$H445)=""),"Gross Pot; ","")&amp;IF(AND(INDEX('Game Records'!$U:$U,$H445)&lt;&gt;"Free Game",INDEX('Game Records'!$U:$U,$H445)&lt;&gt;"Disqualified — Free Game",INDEX('Game Records'!$H:$H,$H445)=""),"Entry Fee; ","")&amp;IF(AND(INDEX('Game Records'!$U:$U,$H445)&lt;&gt;"Subscription",INDEX('Game Records'!$U:$U,$H445)&lt;&gt;"Free Game",INDEX('Game Records'!$U:$U,$H445)&lt;&gt;"Disqualified — Free Game",INDEX('Game Records'!$I:$I,$H445)=""),"Eligible Players; ","")&amp;IF(AND(INDEX('Game Records'!$U:$U,$H445)&lt;&gt;"Subscription",INDEX('Game Records'!$U:$U,$H445)&lt;&gt;"Free Game",INDEX('Game Records'!$U:$U,$H445)&lt;&gt;"Disqualified — Free Game",INDEX('Game Records'!$J:$J,$H445)=""),"Total Players; ","")&amp;IF(AND(LOWER(INDEX('Game Records'!$D:$D,$H445)&amp;"")="finalized",LOWER(INDEX('Game Records'!$L:$L,$H445)&amp;"")&lt;&gt;"yes",INDEX('Game Records'!$U:$U,$H445)&lt;&gt;"Subscription",INDEX('Game Records'!$U:$U,$H445)&lt;&gt;"Free Game",INDEX('Game Records'!$U:$U,$H445)&lt;&gt;"Disqualified — Free Game",INDEX('Game Records'!$K:$K,$H445)=""),"Final Earned; ","")&amp;IF(AND(LOWER(INDEX('Game Records'!$D:$D,$H445)&amp;"")="finalized",INDEX('Game Records'!$U:$U,$H445)&lt;&gt;"Subscription",INDEX('Game Records'!$U:$U,$H445)&lt;&gt;"Free Game",INDEX('Game Records'!$U:$U,$H445)&lt;&gt;"Disqualified — Free Game",OR(INDEX('Game Records'!$L:$L,$H445)="",LOWER(INDEX('Game Records'!$L:$L,$H445)&amp;"")="n/a")),"Disqualified Status; ","")&amp;IF(AND(OR(LOWER(TRIM(INDEX('Game Records'!$F:$F,$H445)&amp;""))="free game",INDEX('Game Records'!$U:$U,$H445)="Free Game",INDEX('Game Records'!$U:$U,$H445)="Disqualified — Free Game"),N(INDEX('Game Records'!$H:$H,$H445))&lt;&gt;0),"Free Game has a non-zero Entry Fee. Free Game records require a $0 Entry Fee; ",""))</f>
        <v/>
      </c>
      <c r="G445" s="331" t="str">
        <f>IF($H445="","",IFERROR(INDEX('Game Records'!$M:$M,$H445),""))</f>
        <v/>
      </c>
      <c r="H445" s="104" t="str">
        <f>IF($H444="","",IFERROR(MATCH(1,INDEX((ROW('Game Records'!$U$5:$U$504)&gt;$H444)*(('Game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6" ht="24" customHeight="1">
      <c r="A446" s="332" t="str">
        <f>IF($H446="","",ROWS($A$5:A446))</f>
        <v/>
      </c>
      <c r="B446" s="332" t="str">
        <f>IF($H446="","","G-"&amp;TEXT($A446,"0000"))</f>
        <v/>
      </c>
      <c r="C446" s="331" t="str">
        <f>IF($H446="","",IFERROR(INDEX('Game Records'!$A:$A,$H446),""))</f>
        <v/>
      </c>
      <c r="D446" s="331" t="str">
        <f>IF($H446="","",IFERROR(INDEX('Game Records'!$U:$U,$H446),""))</f>
        <v/>
      </c>
      <c r="E446" s="331" t="str">
        <f>IF($H446="","",IF($F446="","No Highlighted Fields","Highlighted Fields Present"))</f>
        <v/>
      </c>
      <c r="F446" s="331" t="str">
        <f>IF($H446="","",IF(OR(NOT(ISFORMULA(INDEX('Game Records'!$N:$N,$H446))),NOT(ISFORMULA(INDEX('Game Records'!$O:$O,$H446))),NOT(ISFORMULA(INDEX('Game Records'!$P:$P,$H446))),NOT(ISFORMULA(INDEX('Game Records'!$Q:$Q,$H446))),NOT(ISFORMULA(INDEX('Game Records'!$R:$R,$H446))),NOT(ISFORMULA(INDEX('Game Records'!$S:$S,$H446))),NOT(ISFORMULA(INDEX('Game Records'!$T:$T,$H446))),NOT(ISFORMULA(INDEX('Game Records'!$U:$U,$H446))),NOT(ISFORMULA(INDEX('Game Records'!$V:$V,$H446))),NOT(ISFORMULA(INDEX('Game Records'!$W:$W,$H446))),NOT(ISFORMULA(INDEX('Game Records'!$X:$X,$H446))),NOT(ISFORMULA(INDEX('Game Records'!$Y:$Y,$H446))),NOT(ISFORMULA(INDEX('Game Records'!$Z:$Z,$H446)))),"Formula columns missing; ","")&amp;IF(INDEX('Game Records'!$B:$B,$H446)="","Start Date; ","")&amp;IF(INDEX('Game Records'!$C:$C,$H446)="","End Date; ","")&amp;IF(AND(INDEX('Game Records'!$U:$U,$H446)&lt;&gt;"Subscription",INDEX('Game Records'!$U:$U,$H446)&lt;&gt;"Free Game",INDEX('Game Records'!$U:$U,$H446)&lt;&gt;"Disqualified — Free Game",OR(INDEX('Game Records'!$D:$D,$H446)="",LOWER(INDEX('Game Records'!$D:$D,$H446)&amp;"")="n/a")),"Entry Mode; ","")&amp;IF(AND(INDEX('Game Records'!$U:$U,$H446)&lt;&gt;"Subscription",INDEX('Game Records'!$U:$U,$H446)&lt;&gt;"Free Game",INDEX('Game Records'!$U:$U,$H446)&lt;&gt;"Disqualified — Free Game",OR(INDEX('Game Records'!$E:$E,$H446)="",LOWER(INDEX('Game Records'!$E:$E,$H446)&amp;"")="n/a")),"Game Type; ","")&amp;IF(INDEX('Game Records'!$F:$F,$H446)="","Payment Type; ","")&amp;IF(AND(INDEX('Game Records'!$U:$U,$H446)&lt;&gt;"Subscription",INDEX('Game Records'!$U:$U,$H446)&lt;&gt;"Free Game",INDEX('Game Records'!$U:$U,$H446)&lt;&gt;"Disqualified — Free Game",INDEX('Game Records'!$G:$G,$H446)=""),"Gross Pot; ","")&amp;IF(AND(INDEX('Game Records'!$U:$U,$H446)&lt;&gt;"Free Game",INDEX('Game Records'!$U:$U,$H446)&lt;&gt;"Disqualified — Free Game",INDEX('Game Records'!$H:$H,$H446)=""),"Entry Fee; ","")&amp;IF(AND(INDEX('Game Records'!$U:$U,$H446)&lt;&gt;"Subscription",INDEX('Game Records'!$U:$U,$H446)&lt;&gt;"Free Game",INDEX('Game Records'!$U:$U,$H446)&lt;&gt;"Disqualified — Free Game",INDEX('Game Records'!$I:$I,$H446)=""),"Eligible Players; ","")&amp;IF(AND(INDEX('Game Records'!$U:$U,$H446)&lt;&gt;"Subscription",INDEX('Game Records'!$U:$U,$H446)&lt;&gt;"Free Game",INDEX('Game Records'!$U:$U,$H446)&lt;&gt;"Disqualified — Free Game",INDEX('Game Records'!$J:$J,$H446)=""),"Total Players; ","")&amp;IF(AND(LOWER(INDEX('Game Records'!$D:$D,$H446)&amp;"")="finalized",LOWER(INDEX('Game Records'!$L:$L,$H446)&amp;"")&lt;&gt;"yes",INDEX('Game Records'!$U:$U,$H446)&lt;&gt;"Subscription",INDEX('Game Records'!$U:$U,$H446)&lt;&gt;"Free Game",INDEX('Game Records'!$U:$U,$H446)&lt;&gt;"Disqualified — Free Game",INDEX('Game Records'!$K:$K,$H446)=""),"Final Earned; ","")&amp;IF(AND(LOWER(INDEX('Game Records'!$D:$D,$H446)&amp;"")="finalized",INDEX('Game Records'!$U:$U,$H446)&lt;&gt;"Subscription",INDEX('Game Records'!$U:$U,$H446)&lt;&gt;"Free Game",INDEX('Game Records'!$U:$U,$H446)&lt;&gt;"Disqualified — Free Game",OR(INDEX('Game Records'!$L:$L,$H446)="",LOWER(INDEX('Game Records'!$L:$L,$H446)&amp;"")="n/a")),"Disqualified Status; ","")&amp;IF(AND(OR(LOWER(TRIM(INDEX('Game Records'!$F:$F,$H446)&amp;""))="free game",INDEX('Game Records'!$U:$U,$H446)="Free Game",INDEX('Game Records'!$U:$U,$H446)="Disqualified — Free Game"),N(INDEX('Game Records'!$H:$H,$H446))&lt;&gt;0),"Free Game has a non-zero Entry Fee. Free Game records require a $0 Entry Fee; ",""))</f>
        <v/>
      </c>
      <c r="G446" s="331" t="str">
        <f>IF($H446="","",IFERROR(INDEX('Game Records'!$M:$M,$H446),""))</f>
        <v/>
      </c>
      <c r="H446" s="104" t="str">
        <f>IF($H445="","",IFERROR(MATCH(1,INDEX((ROW('Game Records'!$U$5:$U$504)&gt;$H445)*(('Game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7" ht="24" customHeight="1">
      <c r="A447" s="332" t="str">
        <f>IF($H447="","",ROWS($A$5:A447))</f>
        <v/>
      </c>
      <c r="B447" s="332" t="str">
        <f>IF($H447="","","G-"&amp;TEXT($A447,"0000"))</f>
        <v/>
      </c>
      <c r="C447" s="331" t="str">
        <f>IF($H447="","",IFERROR(INDEX('Game Records'!$A:$A,$H447),""))</f>
        <v/>
      </c>
      <c r="D447" s="331" t="str">
        <f>IF($H447="","",IFERROR(INDEX('Game Records'!$U:$U,$H447),""))</f>
        <v/>
      </c>
      <c r="E447" s="331" t="str">
        <f>IF($H447="","",IF($F447="","No Highlighted Fields","Highlighted Fields Present"))</f>
        <v/>
      </c>
      <c r="F447" s="331" t="str">
        <f>IF($H447="","",IF(OR(NOT(ISFORMULA(INDEX('Game Records'!$N:$N,$H447))),NOT(ISFORMULA(INDEX('Game Records'!$O:$O,$H447))),NOT(ISFORMULA(INDEX('Game Records'!$P:$P,$H447))),NOT(ISFORMULA(INDEX('Game Records'!$Q:$Q,$H447))),NOT(ISFORMULA(INDEX('Game Records'!$R:$R,$H447))),NOT(ISFORMULA(INDEX('Game Records'!$S:$S,$H447))),NOT(ISFORMULA(INDEX('Game Records'!$T:$T,$H447))),NOT(ISFORMULA(INDEX('Game Records'!$U:$U,$H447))),NOT(ISFORMULA(INDEX('Game Records'!$V:$V,$H447))),NOT(ISFORMULA(INDEX('Game Records'!$W:$W,$H447))),NOT(ISFORMULA(INDEX('Game Records'!$X:$X,$H447))),NOT(ISFORMULA(INDEX('Game Records'!$Y:$Y,$H447))),NOT(ISFORMULA(INDEX('Game Records'!$Z:$Z,$H447)))),"Formula columns missing; ","")&amp;IF(INDEX('Game Records'!$B:$B,$H447)="","Start Date; ","")&amp;IF(INDEX('Game Records'!$C:$C,$H447)="","End Date; ","")&amp;IF(AND(INDEX('Game Records'!$U:$U,$H447)&lt;&gt;"Subscription",INDEX('Game Records'!$U:$U,$H447)&lt;&gt;"Free Game",INDEX('Game Records'!$U:$U,$H447)&lt;&gt;"Disqualified — Free Game",OR(INDEX('Game Records'!$D:$D,$H447)="",LOWER(INDEX('Game Records'!$D:$D,$H447)&amp;"")="n/a")),"Entry Mode; ","")&amp;IF(AND(INDEX('Game Records'!$U:$U,$H447)&lt;&gt;"Subscription",INDEX('Game Records'!$U:$U,$H447)&lt;&gt;"Free Game",INDEX('Game Records'!$U:$U,$H447)&lt;&gt;"Disqualified — Free Game",OR(INDEX('Game Records'!$E:$E,$H447)="",LOWER(INDEX('Game Records'!$E:$E,$H447)&amp;"")="n/a")),"Game Type; ","")&amp;IF(INDEX('Game Records'!$F:$F,$H447)="","Payment Type; ","")&amp;IF(AND(INDEX('Game Records'!$U:$U,$H447)&lt;&gt;"Subscription",INDEX('Game Records'!$U:$U,$H447)&lt;&gt;"Free Game",INDEX('Game Records'!$U:$U,$H447)&lt;&gt;"Disqualified — Free Game",INDEX('Game Records'!$G:$G,$H447)=""),"Gross Pot; ","")&amp;IF(AND(INDEX('Game Records'!$U:$U,$H447)&lt;&gt;"Free Game",INDEX('Game Records'!$U:$U,$H447)&lt;&gt;"Disqualified — Free Game",INDEX('Game Records'!$H:$H,$H447)=""),"Entry Fee; ","")&amp;IF(AND(INDEX('Game Records'!$U:$U,$H447)&lt;&gt;"Subscription",INDEX('Game Records'!$U:$U,$H447)&lt;&gt;"Free Game",INDEX('Game Records'!$U:$U,$H447)&lt;&gt;"Disqualified — Free Game",INDEX('Game Records'!$I:$I,$H447)=""),"Eligible Players; ","")&amp;IF(AND(INDEX('Game Records'!$U:$U,$H447)&lt;&gt;"Subscription",INDEX('Game Records'!$U:$U,$H447)&lt;&gt;"Free Game",INDEX('Game Records'!$U:$U,$H447)&lt;&gt;"Disqualified — Free Game",INDEX('Game Records'!$J:$J,$H447)=""),"Total Players; ","")&amp;IF(AND(LOWER(INDEX('Game Records'!$D:$D,$H447)&amp;"")="finalized",LOWER(INDEX('Game Records'!$L:$L,$H447)&amp;"")&lt;&gt;"yes",INDEX('Game Records'!$U:$U,$H447)&lt;&gt;"Subscription",INDEX('Game Records'!$U:$U,$H447)&lt;&gt;"Free Game",INDEX('Game Records'!$U:$U,$H447)&lt;&gt;"Disqualified — Free Game",INDEX('Game Records'!$K:$K,$H447)=""),"Final Earned; ","")&amp;IF(AND(LOWER(INDEX('Game Records'!$D:$D,$H447)&amp;"")="finalized",INDEX('Game Records'!$U:$U,$H447)&lt;&gt;"Subscription",INDEX('Game Records'!$U:$U,$H447)&lt;&gt;"Free Game",INDEX('Game Records'!$U:$U,$H447)&lt;&gt;"Disqualified — Free Game",OR(INDEX('Game Records'!$L:$L,$H447)="",LOWER(INDEX('Game Records'!$L:$L,$H447)&amp;"")="n/a")),"Disqualified Status; ","")&amp;IF(AND(OR(LOWER(TRIM(INDEX('Game Records'!$F:$F,$H447)&amp;""))="free game",INDEX('Game Records'!$U:$U,$H447)="Free Game",INDEX('Game Records'!$U:$U,$H447)="Disqualified — Free Game"),N(INDEX('Game Records'!$H:$H,$H447))&lt;&gt;0),"Free Game has a non-zero Entry Fee. Free Game records require a $0 Entry Fee; ",""))</f>
        <v/>
      </c>
      <c r="G447" s="331" t="str">
        <f>IF($H447="","",IFERROR(INDEX('Game Records'!$M:$M,$H447),""))</f>
        <v/>
      </c>
      <c r="H447" s="104" t="str">
        <f>IF($H446="","",IFERROR(MATCH(1,INDEX((ROW('Game Records'!$U$5:$U$504)&gt;$H446)*(('Game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8" ht="24" customHeight="1">
      <c r="A448" s="332" t="str">
        <f>IF($H448="","",ROWS($A$5:A448))</f>
        <v/>
      </c>
      <c r="B448" s="332" t="str">
        <f>IF($H448="","","G-"&amp;TEXT($A448,"0000"))</f>
        <v/>
      </c>
      <c r="C448" s="331" t="str">
        <f>IF($H448="","",IFERROR(INDEX('Game Records'!$A:$A,$H448),""))</f>
        <v/>
      </c>
      <c r="D448" s="331" t="str">
        <f>IF($H448="","",IFERROR(INDEX('Game Records'!$U:$U,$H448),""))</f>
        <v/>
      </c>
      <c r="E448" s="331" t="str">
        <f>IF($H448="","",IF($F448="","No Highlighted Fields","Highlighted Fields Present"))</f>
        <v/>
      </c>
      <c r="F448" s="331" t="str">
        <f>IF($H448="","",IF(OR(NOT(ISFORMULA(INDEX('Game Records'!$N:$N,$H448))),NOT(ISFORMULA(INDEX('Game Records'!$O:$O,$H448))),NOT(ISFORMULA(INDEX('Game Records'!$P:$P,$H448))),NOT(ISFORMULA(INDEX('Game Records'!$Q:$Q,$H448))),NOT(ISFORMULA(INDEX('Game Records'!$R:$R,$H448))),NOT(ISFORMULA(INDEX('Game Records'!$S:$S,$H448))),NOT(ISFORMULA(INDEX('Game Records'!$T:$T,$H448))),NOT(ISFORMULA(INDEX('Game Records'!$U:$U,$H448))),NOT(ISFORMULA(INDEX('Game Records'!$V:$V,$H448))),NOT(ISFORMULA(INDEX('Game Records'!$W:$W,$H448))),NOT(ISFORMULA(INDEX('Game Records'!$X:$X,$H448))),NOT(ISFORMULA(INDEX('Game Records'!$Y:$Y,$H448))),NOT(ISFORMULA(INDEX('Game Records'!$Z:$Z,$H448)))),"Formula columns missing; ","")&amp;IF(INDEX('Game Records'!$B:$B,$H448)="","Start Date; ","")&amp;IF(INDEX('Game Records'!$C:$C,$H448)="","End Date; ","")&amp;IF(AND(INDEX('Game Records'!$U:$U,$H448)&lt;&gt;"Subscription",INDEX('Game Records'!$U:$U,$H448)&lt;&gt;"Free Game",INDEX('Game Records'!$U:$U,$H448)&lt;&gt;"Disqualified — Free Game",OR(INDEX('Game Records'!$D:$D,$H448)="",LOWER(INDEX('Game Records'!$D:$D,$H448)&amp;"")="n/a")),"Entry Mode; ","")&amp;IF(AND(INDEX('Game Records'!$U:$U,$H448)&lt;&gt;"Subscription",INDEX('Game Records'!$U:$U,$H448)&lt;&gt;"Free Game",INDEX('Game Records'!$U:$U,$H448)&lt;&gt;"Disqualified — Free Game",OR(INDEX('Game Records'!$E:$E,$H448)="",LOWER(INDEX('Game Records'!$E:$E,$H448)&amp;"")="n/a")),"Game Type; ","")&amp;IF(INDEX('Game Records'!$F:$F,$H448)="","Payment Type; ","")&amp;IF(AND(INDEX('Game Records'!$U:$U,$H448)&lt;&gt;"Subscription",INDEX('Game Records'!$U:$U,$H448)&lt;&gt;"Free Game",INDEX('Game Records'!$U:$U,$H448)&lt;&gt;"Disqualified — Free Game",INDEX('Game Records'!$G:$G,$H448)=""),"Gross Pot; ","")&amp;IF(AND(INDEX('Game Records'!$U:$U,$H448)&lt;&gt;"Free Game",INDEX('Game Records'!$U:$U,$H448)&lt;&gt;"Disqualified — Free Game",INDEX('Game Records'!$H:$H,$H448)=""),"Entry Fee; ","")&amp;IF(AND(INDEX('Game Records'!$U:$U,$H448)&lt;&gt;"Subscription",INDEX('Game Records'!$U:$U,$H448)&lt;&gt;"Free Game",INDEX('Game Records'!$U:$U,$H448)&lt;&gt;"Disqualified — Free Game",INDEX('Game Records'!$I:$I,$H448)=""),"Eligible Players; ","")&amp;IF(AND(INDEX('Game Records'!$U:$U,$H448)&lt;&gt;"Subscription",INDEX('Game Records'!$U:$U,$H448)&lt;&gt;"Free Game",INDEX('Game Records'!$U:$U,$H448)&lt;&gt;"Disqualified — Free Game",INDEX('Game Records'!$J:$J,$H448)=""),"Total Players; ","")&amp;IF(AND(LOWER(INDEX('Game Records'!$D:$D,$H448)&amp;"")="finalized",LOWER(INDEX('Game Records'!$L:$L,$H448)&amp;"")&lt;&gt;"yes",INDEX('Game Records'!$U:$U,$H448)&lt;&gt;"Subscription",INDEX('Game Records'!$U:$U,$H448)&lt;&gt;"Free Game",INDEX('Game Records'!$U:$U,$H448)&lt;&gt;"Disqualified — Free Game",INDEX('Game Records'!$K:$K,$H448)=""),"Final Earned; ","")&amp;IF(AND(LOWER(INDEX('Game Records'!$D:$D,$H448)&amp;"")="finalized",INDEX('Game Records'!$U:$U,$H448)&lt;&gt;"Subscription",INDEX('Game Records'!$U:$U,$H448)&lt;&gt;"Free Game",INDEX('Game Records'!$U:$U,$H448)&lt;&gt;"Disqualified — Free Game",OR(INDEX('Game Records'!$L:$L,$H448)="",LOWER(INDEX('Game Records'!$L:$L,$H448)&amp;"")="n/a")),"Disqualified Status; ","")&amp;IF(AND(OR(LOWER(TRIM(INDEX('Game Records'!$F:$F,$H448)&amp;""))="free game",INDEX('Game Records'!$U:$U,$H448)="Free Game",INDEX('Game Records'!$U:$U,$H448)="Disqualified — Free Game"),N(INDEX('Game Records'!$H:$H,$H448))&lt;&gt;0),"Free Game has a non-zero Entry Fee. Free Game records require a $0 Entry Fee; ",""))</f>
        <v/>
      </c>
      <c r="G448" s="331" t="str">
        <f>IF($H448="","",IFERROR(INDEX('Game Records'!$M:$M,$H448),""))</f>
        <v/>
      </c>
      <c r="H448" s="104" t="str">
        <f>IF($H447="","",IFERROR(MATCH(1,INDEX((ROW('Game Records'!$U$5:$U$504)&gt;$H447)*(('Game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9" ht="24" customHeight="1">
      <c r="A449" s="332" t="str">
        <f>IF($H449="","",ROWS($A$5:A449))</f>
        <v/>
      </c>
      <c r="B449" s="332" t="str">
        <f>IF($H449="","","G-"&amp;TEXT($A449,"0000"))</f>
        <v/>
      </c>
      <c r="C449" s="331" t="str">
        <f>IF($H449="","",IFERROR(INDEX('Game Records'!$A:$A,$H449),""))</f>
        <v/>
      </c>
      <c r="D449" s="331" t="str">
        <f>IF($H449="","",IFERROR(INDEX('Game Records'!$U:$U,$H449),""))</f>
        <v/>
      </c>
      <c r="E449" s="331" t="str">
        <f>IF($H449="","",IF($F449="","No Highlighted Fields","Highlighted Fields Present"))</f>
        <v/>
      </c>
      <c r="F449" s="331" t="str">
        <f>IF($H449="","",IF(OR(NOT(ISFORMULA(INDEX('Game Records'!$N:$N,$H449))),NOT(ISFORMULA(INDEX('Game Records'!$O:$O,$H449))),NOT(ISFORMULA(INDEX('Game Records'!$P:$P,$H449))),NOT(ISFORMULA(INDEX('Game Records'!$Q:$Q,$H449))),NOT(ISFORMULA(INDEX('Game Records'!$R:$R,$H449))),NOT(ISFORMULA(INDEX('Game Records'!$S:$S,$H449))),NOT(ISFORMULA(INDEX('Game Records'!$T:$T,$H449))),NOT(ISFORMULA(INDEX('Game Records'!$U:$U,$H449))),NOT(ISFORMULA(INDEX('Game Records'!$V:$V,$H449))),NOT(ISFORMULA(INDEX('Game Records'!$W:$W,$H449))),NOT(ISFORMULA(INDEX('Game Records'!$X:$X,$H449))),NOT(ISFORMULA(INDEX('Game Records'!$Y:$Y,$H449))),NOT(ISFORMULA(INDEX('Game Records'!$Z:$Z,$H449)))),"Formula columns missing; ","")&amp;IF(INDEX('Game Records'!$B:$B,$H449)="","Start Date; ","")&amp;IF(INDEX('Game Records'!$C:$C,$H449)="","End Date; ","")&amp;IF(AND(INDEX('Game Records'!$U:$U,$H449)&lt;&gt;"Subscription",INDEX('Game Records'!$U:$U,$H449)&lt;&gt;"Free Game",INDEX('Game Records'!$U:$U,$H449)&lt;&gt;"Disqualified — Free Game",OR(INDEX('Game Records'!$D:$D,$H449)="",LOWER(INDEX('Game Records'!$D:$D,$H449)&amp;"")="n/a")),"Entry Mode; ","")&amp;IF(AND(INDEX('Game Records'!$U:$U,$H449)&lt;&gt;"Subscription",INDEX('Game Records'!$U:$U,$H449)&lt;&gt;"Free Game",INDEX('Game Records'!$U:$U,$H449)&lt;&gt;"Disqualified — Free Game",OR(INDEX('Game Records'!$E:$E,$H449)="",LOWER(INDEX('Game Records'!$E:$E,$H449)&amp;"")="n/a")),"Game Type; ","")&amp;IF(INDEX('Game Records'!$F:$F,$H449)="","Payment Type; ","")&amp;IF(AND(INDEX('Game Records'!$U:$U,$H449)&lt;&gt;"Subscription",INDEX('Game Records'!$U:$U,$H449)&lt;&gt;"Free Game",INDEX('Game Records'!$U:$U,$H449)&lt;&gt;"Disqualified — Free Game",INDEX('Game Records'!$G:$G,$H449)=""),"Gross Pot; ","")&amp;IF(AND(INDEX('Game Records'!$U:$U,$H449)&lt;&gt;"Free Game",INDEX('Game Records'!$U:$U,$H449)&lt;&gt;"Disqualified — Free Game",INDEX('Game Records'!$H:$H,$H449)=""),"Entry Fee; ","")&amp;IF(AND(INDEX('Game Records'!$U:$U,$H449)&lt;&gt;"Subscription",INDEX('Game Records'!$U:$U,$H449)&lt;&gt;"Free Game",INDEX('Game Records'!$U:$U,$H449)&lt;&gt;"Disqualified — Free Game",INDEX('Game Records'!$I:$I,$H449)=""),"Eligible Players; ","")&amp;IF(AND(INDEX('Game Records'!$U:$U,$H449)&lt;&gt;"Subscription",INDEX('Game Records'!$U:$U,$H449)&lt;&gt;"Free Game",INDEX('Game Records'!$U:$U,$H449)&lt;&gt;"Disqualified — Free Game",INDEX('Game Records'!$J:$J,$H449)=""),"Total Players; ","")&amp;IF(AND(LOWER(INDEX('Game Records'!$D:$D,$H449)&amp;"")="finalized",LOWER(INDEX('Game Records'!$L:$L,$H449)&amp;"")&lt;&gt;"yes",INDEX('Game Records'!$U:$U,$H449)&lt;&gt;"Subscription",INDEX('Game Records'!$U:$U,$H449)&lt;&gt;"Free Game",INDEX('Game Records'!$U:$U,$H449)&lt;&gt;"Disqualified — Free Game",INDEX('Game Records'!$K:$K,$H449)=""),"Final Earned; ","")&amp;IF(AND(LOWER(INDEX('Game Records'!$D:$D,$H449)&amp;"")="finalized",INDEX('Game Records'!$U:$U,$H449)&lt;&gt;"Subscription",INDEX('Game Records'!$U:$U,$H449)&lt;&gt;"Free Game",INDEX('Game Records'!$U:$U,$H449)&lt;&gt;"Disqualified — Free Game",OR(INDEX('Game Records'!$L:$L,$H449)="",LOWER(INDEX('Game Records'!$L:$L,$H449)&amp;"")="n/a")),"Disqualified Status; ","")&amp;IF(AND(OR(LOWER(TRIM(INDEX('Game Records'!$F:$F,$H449)&amp;""))="free game",INDEX('Game Records'!$U:$U,$H449)="Free Game",INDEX('Game Records'!$U:$U,$H449)="Disqualified — Free Game"),N(INDEX('Game Records'!$H:$H,$H449))&lt;&gt;0),"Free Game has a non-zero Entry Fee. Free Game records require a $0 Entry Fee; ",""))</f>
        <v/>
      </c>
      <c r="G449" s="331" t="str">
        <f>IF($H449="","",IFERROR(INDEX('Game Records'!$M:$M,$H449),""))</f>
        <v/>
      </c>
      <c r="H449" s="104" t="str">
        <f>IF($H448="","",IFERROR(MATCH(1,INDEX((ROW('Game Records'!$U$5:$U$504)&gt;$H448)*(('Game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0" ht="24" customHeight="1">
      <c r="A450" s="332" t="str">
        <f>IF($H450="","",ROWS($A$5:A450))</f>
        <v/>
      </c>
      <c r="B450" s="332" t="str">
        <f>IF($H450="","","G-"&amp;TEXT($A450,"0000"))</f>
        <v/>
      </c>
      <c r="C450" s="331" t="str">
        <f>IF($H450="","",IFERROR(INDEX('Game Records'!$A:$A,$H450),""))</f>
        <v/>
      </c>
      <c r="D450" s="331" t="str">
        <f>IF($H450="","",IFERROR(INDEX('Game Records'!$U:$U,$H450),""))</f>
        <v/>
      </c>
      <c r="E450" s="331" t="str">
        <f>IF($H450="","",IF($F450="","No Highlighted Fields","Highlighted Fields Present"))</f>
        <v/>
      </c>
      <c r="F450" s="331" t="str">
        <f>IF($H450="","",IF(OR(NOT(ISFORMULA(INDEX('Game Records'!$N:$N,$H450))),NOT(ISFORMULA(INDEX('Game Records'!$O:$O,$H450))),NOT(ISFORMULA(INDEX('Game Records'!$P:$P,$H450))),NOT(ISFORMULA(INDEX('Game Records'!$Q:$Q,$H450))),NOT(ISFORMULA(INDEX('Game Records'!$R:$R,$H450))),NOT(ISFORMULA(INDEX('Game Records'!$S:$S,$H450))),NOT(ISFORMULA(INDEX('Game Records'!$T:$T,$H450))),NOT(ISFORMULA(INDEX('Game Records'!$U:$U,$H450))),NOT(ISFORMULA(INDEX('Game Records'!$V:$V,$H450))),NOT(ISFORMULA(INDEX('Game Records'!$W:$W,$H450))),NOT(ISFORMULA(INDEX('Game Records'!$X:$X,$H450))),NOT(ISFORMULA(INDEX('Game Records'!$Y:$Y,$H450))),NOT(ISFORMULA(INDEX('Game Records'!$Z:$Z,$H450)))),"Formula columns missing; ","")&amp;IF(INDEX('Game Records'!$B:$B,$H450)="","Start Date; ","")&amp;IF(INDEX('Game Records'!$C:$C,$H450)="","End Date; ","")&amp;IF(AND(INDEX('Game Records'!$U:$U,$H450)&lt;&gt;"Subscription",INDEX('Game Records'!$U:$U,$H450)&lt;&gt;"Free Game",INDEX('Game Records'!$U:$U,$H450)&lt;&gt;"Disqualified — Free Game",OR(INDEX('Game Records'!$D:$D,$H450)="",LOWER(INDEX('Game Records'!$D:$D,$H450)&amp;"")="n/a")),"Entry Mode; ","")&amp;IF(AND(INDEX('Game Records'!$U:$U,$H450)&lt;&gt;"Subscription",INDEX('Game Records'!$U:$U,$H450)&lt;&gt;"Free Game",INDEX('Game Records'!$U:$U,$H450)&lt;&gt;"Disqualified — Free Game",OR(INDEX('Game Records'!$E:$E,$H450)="",LOWER(INDEX('Game Records'!$E:$E,$H450)&amp;"")="n/a")),"Game Type; ","")&amp;IF(INDEX('Game Records'!$F:$F,$H450)="","Payment Type; ","")&amp;IF(AND(INDEX('Game Records'!$U:$U,$H450)&lt;&gt;"Subscription",INDEX('Game Records'!$U:$U,$H450)&lt;&gt;"Free Game",INDEX('Game Records'!$U:$U,$H450)&lt;&gt;"Disqualified — Free Game",INDEX('Game Records'!$G:$G,$H450)=""),"Gross Pot; ","")&amp;IF(AND(INDEX('Game Records'!$U:$U,$H450)&lt;&gt;"Free Game",INDEX('Game Records'!$U:$U,$H450)&lt;&gt;"Disqualified — Free Game",INDEX('Game Records'!$H:$H,$H450)=""),"Entry Fee; ","")&amp;IF(AND(INDEX('Game Records'!$U:$U,$H450)&lt;&gt;"Subscription",INDEX('Game Records'!$U:$U,$H450)&lt;&gt;"Free Game",INDEX('Game Records'!$U:$U,$H450)&lt;&gt;"Disqualified — Free Game",INDEX('Game Records'!$I:$I,$H450)=""),"Eligible Players; ","")&amp;IF(AND(INDEX('Game Records'!$U:$U,$H450)&lt;&gt;"Subscription",INDEX('Game Records'!$U:$U,$H450)&lt;&gt;"Free Game",INDEX('Game Records'!$U:$U,$H450)&lt;&gt;"Disqualified — Free Game",INDEX('Game Records'!$J:$J,$H450)=""),"Total Players; ","")&amp;IF(AND(LOWER(INDEX('Game Records'!$D:$D,$H450)&amp;"")="finalized",LOWER(INDEX('Game Records'!$L:$L,$H450)&amp;"")&lt;&gt;"yes",INDEX('Game Records'!$U:$U,$H450)&lt;&gt;"Subscription",INDEX('Game Records'!$U:$U,$H450)&lt;&gt;"Free Game",INDEX('Game Records'!$U:$U,$H450)&lt;&gt;"Disqualified — Free Game",INDEX('Game Records'!$K:$K,$H450)=""),"Final Earned; ","")&amp;IF(AND(LOWER(INDEX('Game Records'!$D:$D,$H450)&amp;"")="finalized",INDEX('Game Records'!$U:$U,$H450)&lt;&gt;"Subscription",INDEX('Game Records'!$U:$U,$H450)&lt;&gt;"Free Game",INDEX('Game Records'!$U:$U,$H450)&lt;&gt;"Disqualified — Free Game",OR(INDEX('Game Records'!$L:$L,$H450)="",LOWER(INDEX('Game Records'!$L:$L,$H450)&amp;"")="n/a")),"Disqualified Status; ","")&amp;IF(AND(OR(LOWER(TRIM(INDEX('Game Records'!$F:$F,$H450)&amp;""))="free game",INDEX('Game Records'!$U:$U,$H450)="Free Game",INDEX('Game Records'!$U:$U,$H450)="Disqualified — Free Game"),N(INDEX('Game Records'!$H:$H,$H450))&lt;&gt;0),"Free Game has a non-zero Entry Fee. Free Game records require a $0 Entry Fee; ",""))</f>
        <v/>
      </c>
      <c r="G450" s="331" t="str">
        <f>IF($H450="","",IFERROR(INDEX('Game Records'!$M:$M,$H450),""))</f>
        <v/>
      </c>
      <c r="H450" s="104" t="str">
        <f>IF($H449="","",IFERROR(MATCH(1,INDEX((ROW('Game Records'!$U$5:$U$504)&gt;$H449)*(('Game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1" ht="24" customHeight="1">
      <c r="A451" s="332" t="str">
        <f>IF($H451="","",ROWS($A$5:A451))</f>
        <v/>
      </c>
      <c r="B451" s="332" t="str">
        <f>IF($H451="","","G-"&amp;TEXT($A451,"0000"))</f>
        <v/>
      </c>
      <c r="C451" s="331" t="str">
        <f>IF($H451="","",IFERROR(INDEX('Game Records'!$A:$A,$H451),""))</f>
        <v/>
      </c>
      <c r="D451" s="331" t="str">
        <f>IF($H451="","",IFERROR(INDEX('Game Records'!$U:$U,$H451),""))</f>
        <v/>
      </c>
      <c r="E451" s="331" t="str">
        <f>IF($H451="","",IF($F451="","No Highlighted Fields","Highlighted Fields Present"))</f>
        <v/>
      </c>
      <c r="F451" s="331" t="str">
        <f>IF($H451="","",IF(OR(NOT(ISFORMULA(INDEX('Game Records'!$N:$N,$H451))),NOT(ISFORMULA(INDEX('Game Records'!$O:$O,$H451))),NOT(ISFORMULA(INDEX('Game Records'!$P:$P,$H451))),NOT(ISFORMULA(INDEX('Game Records'!$Q:$Q,$H451))),NOT(ISFORMULA(INDEX('Game Records'!$R:$R,$H451))),NOT(ISFORMULA(INDEX('Game Records'!$S:$S,$H451))),NOT(ISFORMULA(INDEX('Game Records'!$T:$T,$H451))),NOT(ISFORMULA(INDEX('Game Records'!$U:$U,$H451))),NOT(ISFORMULA(INDEX('Game Records'!$V:$V,$H451))),NOT(ISFORMULA(INDEX('Game Records'!$W:$W,$H451))),NOT(ISFORMULA(INDEX('Game Records'!$X:$X,$H451))),NOT(ISFORMULA(INDEX('Game Records'!$Y:$Y,$H451))),NOT(ISFORMULA(INDEX('Game Records'!$Z:$Z,$H451)))),"Formula columns missing; ","")&amp;IF(INDEX('Game Records'!$B:$B,$H451)="","Start Date; ","")&amp;IF(INDEX('Game Records'!$C:$C,$H451)="","End Date; ","")&amp;IF(AND(INDEX('Game Records'!$U:$U,$H451)&lt;&gt;"Subscription",INDEX('Game Records'!$U:$U,$H451)&lt;&gt;"Free Game",INDEX('Game Records'!$U:$U,$H451)&lt;&gt;"Disqualified — Free Game",OR(INDEX('Game Records'!$D:$D,$H451)="",LOWER(INDEX('Game Records'!$D:$D,$H451)&amp;"")="n/a")),"Entry Mode; ","")&amp;IF(AND(INDEX('Game Records'!$U:$U,$H451)&lt;&gt;"Subscription",INDEX('Game Records'!$U:$U,$H451)&lt;&gt;"Free Game",INDEX('Game Records'!$U:$U,$H451)&lt;&gt;"Disqualified — Free Game",OR(INDEX('Game Records'!$E:$E,$H451)="",LOWER(INDEX('Game Records'!$E:$E,$H451)&amp;"")="n/a")),"Game Type; ","")&amp;IF(INDEX('Game Records'!$F:$F,$H451)="","Payment Type; ","")&amp;IF(AND(INDEX('Game Records'!$U:$U,$H451)&lt;&gt;"Subscription",INDEX('Game Records'!$U:$U,$H451)&lt;&gt;"Free Game",INDEX('Game Records'!$U:$U,$H451)&lt;&gt;"Disqualified — Free Game",INDEX('Game Records'!$G:$G,$H451)=""),"Gross Pot; ","")&amp;IF(AND(INDEX('Game Records'!$U:$U,$H451)&lt;&gt;"Free Game",INDEX('Game Records'!$U:$U,$H451)&lt;&gt;"Disqualified — Free Game",INDEX('Game Records'!$H:$H,$H451)=""),"Entry Fee; ","")&amp;IF(AND(INDEX('Game Records'!$U:$U,$H451)&lt;&gt;"Subscription",INDEX('Game Records'!$U:$U,$H451)&lt;&gt;"Free Game",INDEX('Game Records'!$U:$U,$H451)&lt;&gt;"Disqualified — Free Game",INDEX('Game Records'!$I:$I,$H451)=""),"Eligible Players; ","")&amp;IF(AND(INDEX('Game Records'!$U:$U,$H451)&lt;&gt;"Subscription",INDEX('Game Records'!$U:$U,$H451)&lt;&gt;"Free Game",INDEX('Game Records'!$U:$U,$H451)&lt;&gt;"Disqualified — Free Game",INDEX('Game Records'!$J:$J,$H451)=""),"Total Players; ","")&amp;IF(AND(LOWER(INDEX('Game Records'!$D:$D,$H451)&amp;"")="finalized",LOWER(INDEX('Game Records'!$L:$L,$H451)&amp;"")&lt;&gt;"yes",INDEX('Game Records'!$U:$U,$H451)&lt;&gt;"Subscription",INDEX('Game Records'!$U:$U,$H451)&lt;&gt;"Free Game",INDEX('Game Records'!$U:$U,$H451)&lt;&gt;"Disqualified — Free Game",INDEX('Game Records'!$K:$K,$H451)=""),"Final Earned; ","")&amp;IF(AND(LOWER(INDEX('Game Records'!$D:$D,$H451)&amp;"")="finalized",INDEX('Game Records'!$U:$U,$H451)&lt;&gt;"Subscription",INDEX('Game Records'!$U:$U,$H451)&lt;&gt;"Free Game",INDEX('Game Records'!$U:$U,$H451)&lt;&gt;"Disqualified — Free Game",OR(INDEX('Game Records'!$L:$L,$H451)="",LOWER(INDEX('Game Records'!$L:$L,$H451)&amp;"")="n/a")),"Disqualified Status; ","")&amp;IF(AND(OR(LOWER(TRIM(INDEX('Game Records'!$F:$F,$H451)&amp;""))="free game",INDEX('Game Records'!$U:$U,$H451)="Free Game",INDEX('Game Records'!$U:$U,$H451)="Disqualified — Free Game"),N(INDEX('Game Records'!$H:$H,$H451))&lt;&gt;0),"Free Game has a non-zero Entry Fee. Free Game records require a $0 Entry Fee; ",""))</f>
        <v/>
      </c>
      <c r="G451" s="331" t="str">
        <f>IF($H451="","",IFERROR(INDEX('Game Records'!$M:$M,$H451),""))</f>
        <v/>
      </c>
      <c r="H451" s="104" t="str">
        <f>IF($H450="","",IFERROR(MATCH(1,INDEX((ROW('Game Records'!$U$5:$U$504)&gt;$H450)*(('Game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2" ht="24" customHeight="1">
      <c r="A452" s="332" t="str">
        <f>IF($H452="","",ROWS($A$5:A452))</f>
        <v/>
      </c>
      <c r="B452" s="332" t="str">
        <f>IF($H452="","","G-"&amp;TEXT($A452,"0000"))</f>
        <v/>
      </c>
      <c r="C452" s="331" t="str">
        <f>IF($H452="","",IFERROR(INDEX('Game Records'!$A:$A,$H452),""))</f>
        <v/>
      </c>
      <c r="D452" s="331" t="str">
        <f>IF($H452="","",IFERROR(INDEX('Game Records'!$U:$U,$H452),""))</f>
        <v/>
      </c>
      <c r="E452" s="331" t="str">
        <f>IF($H452="","",IF($F452="","No Highlighted Fields","Highlighted Fields Present"))</f>
        <v/>
      </c>
      <c r="F452" s="331" t="str">
        <f>IF($H452="","",IF(OR(NOT(ISFORMULA(INDEX('Game Records'!$N:$N,$H452))),NOT(ISFORMULA(INDEX('Game Records'!$O:$O,$H452))),NOT(ISFORMULA(INDEX('Game Records'!$P:$P,$H452))),NOT(ISFORMULA(INDEX('Game Records'!$Q:$Q,$H452))),NOT(ISFORMULA(INDEX('Game Records'!$R:$R,$H452))),NOT(ISFORMULA(INDEX('Game Records'!$S:$S,$H452))),NOT(ISFORMULA(INDEX('Game Records'!$T:$T,$H452))),NOT(ISFORMULA(INDEX('Game Records'!$U:$U,$H452))),NOT(ISFORMULA(INDEX('Game Records'!$V:$V,$H452))),NOT(ISFORMULA(INDEX('Game Records'!$W:$W,$H452))),NOT(ISFORMULA(INDEX('Game Records'!$X:$X,$H452))),NOT(ISFORMULA(INDEX('Game Records'!$Y:$Y,$H452))),NOT(ISFORMULA(INDEX('Game Records'!$Z:$Z,$H452)))),"Formula columns missing; ","")&amp;IF(INDEX('Game Records'!$B:$B,$H452)="","Start Date; ","")&amp;IF(INDEX('Game Records'!$C:$C,$H452)="","End Date; ","")&amp;IF(AND(INDEX('Game Records'!$U:$U,$H452)&lt;&gt;"Subscription",INDEX('Game Records'!$U:$U,$H452)&lt;&gt;"Free Game",INDEX('Game Records'!$U:$U,$H452)&lt;&gt;"Disqualified — Free Game",OR(INDEX('Game Records'!$D:$D,$H452)="",LOWER(INDEX('Game Records'!$D:$D,$H452)&amp;"")="n/a")),"Entry Mode; ","")&amp;IF(AND(INDEX('Game Records'!$U:$U,$H452)&lt;&gt;"Subscription",INDEX('Game Records'!$U:$U,$H452)&lt;&gt;"Free Game",INDEX('Game Records'!$U:$U,$H452)&lt;&gt;"Disqualified — Free Game",OR(INDEX('Game Records'!$E:$E,$H452)="",LOWER(INDEX('Game Records'!$E:$E,$H452)&amp;"")="n/a")),"Game Type; ","")&amp;IF(INDEX('Game Records'!$F:$F,$H452)="","Payment Type; ","")&amp;IF(AND(INDEX('Game Records'!$U:$U,$H452)&lt;&gt;"Subscription",INDEX('Game Records'!$U:$U,$H452)&lt;&gt;"Free Game",INDEX('Game Records'!$U:$U,$H452)&lt;&gt;"Disqualified — Free Game",INDEX('Game Records'!$G:$G,$H452)=""),"Gross Pot; ","")&amp;IF(AND(INDEX('Game Records'!$U:$U,$H452)&lt;&gt;"Free Game",INDEX('Game Records'!$U:$U,$H452)&lt;&gt;"Disqualified — Free Game",INDEX('Game Records'!$H:$H,$H452)=""),"Entry Fee; ","")&amp;IF(AND(INDEX('Game Records'!$U:$U,$H452)&lt;&gt;"Subscription",INDEX('Game Records'!$U:$U,$H452)&lt;&gt;"Free Game",INDEX('Game Records'!$U:$U,$H452)&lt;&gt;"Disqualified — Free Game",INDEX('Game Records'!$I:$I,$H452)=""),"Eligible Players; ","")&amp;IF(AND(INDEX('Game Records'!$U:$U,$H452)&lt;&gt;"Subscription",INDEX('Game Records'!$U:$U,$H452)&lt;&gt;"Free Game",INDEX('Game Records'!$U:$U,$H452)&lt;&gt;"Disqualified — Free Game",INDEX('Game Records'!$J:$J,$H452)=""),"Total Players; ","")&amp;IF(AND(LOWER(INDEX('Game Records'!$D:$D,$H452)&amp;"")="finalized",LOWER(INDEX('Game Records'!$L:$L,$H452)&amp;"")&lt;&gt;"yes",INDEX('Game Records'!$U:$U,$H452)&lt;&gt;"Subscription",INDEX('Game Records'!$U:$U,$H452)&lt;&gt;"Free Game",INDEX('Game Records'!$U:$U,$H452)&lt;&gt;"Disqualified — Free Game",INDEX('Game Records'!$K:$K,$H452)=""),"Final Earned; ","")&amp;IF(AND(LOWER(INDEX('Game Records'!$D:$D,$H452)&amp;"")="finalized",INDEX('Game Records'!$U:$U,$H452)&lt;&gt;"Subscription",INDEX('Game Records'!$U:$U,$H452)&lt;&gt;"Free Game",INDEX('Game Records'!$U:$U,$H452)&lt;&gt;"Disqualified — Free Game",OR(INDEX('Game Records'!$L:$L,$H452)="",LOWER(INDEX('Game Records'!$L:$L,$H452)&amp;"")="n/a")),"Disqualified Status; ","")&amp;IF(AND(OR(LOWER(TRIM(INDEX('Game Records'!$F:$F,$H452)&amp;""))="free game",INDEX('Game Records'!$U:$U,$H452)="Free Game",INDEX('Game Records'!$U:$U,$H452)="Disqualified — Free Game"),N(INDEX('Game Records'!$H:$H,$H452))&lt;&gt;0),"Free Game has a non-zero Entry Fee. Free Game records require a $0 Entry Fee; ",""))</f>
        <v/>
      </c>
      <c r="G452" s="331" t="str">
        <f>IF($H452="","",IFERROR(INDEX('Game Records'!$M:$M,$H452),""))</f>
        <v/>
      </c>
      <c r="H452" s="104" t="str">
        <f>IF($H451="","",IFERROR(MATCH(1,INDEX((ROW('Game Records'!$U$5:$U$504)&gt;$H451)*(('Game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3" ht="24" customHeight="1">
      <c r="A453" s="332" t="str">
        <f>IF($H453="","",ROWS($A$5:A453))</f>
        <v/>
      </c>
      <c r="B453" s="332" t="str">
        <f>IF($H453="","","G-"&amp;TEXT($A453,"0000"))</f>
        <v/>
      </c>
      <c r="C453" s="331" t="str">
        <f>IF($H453="","",IFERROR(INDEX('Game Records'!$A:$A,$H453),""))</f>
        <v/>
      </c>
      <c r="D453" s="331" t="str">
        <f>IF($H453="","",IFERROR(INDEX('Game Records'!$U:$U,$H453),""))</f>
        <v/>
      </c>
      <c r="E453" s="331" t="str">
        <f>IF($H453="","",IF($F453="","No Highlighted Fields","Highlighted Fields Present"))</f>
        <v/>
      </c>
      <c r="F453" s="331" t="str">
        <f>IF($H453="","",IF(OR(NOT(ISFORMULA(INDEX('Game Records'!$N:$N,$H453))),NOT(ISFORMULA(INDEX('Game Records'!$O:$O,$H453))),NOT(ISFORMULA(INDEX('Game Records'!$P:$P,$H453))),NOT(ISFORMULA(INDEX('Game Records'!$Q:$Q,$H453))),NOT(ISFORMULA(INDEX('Game Records'!$R:$R,$H453))),NOT(ISFORMULA(INDEX('Game Records'!$S:$S,$H453))),NOT(ISFORMULA(INDEX('Game Records'!$T:$T,$H453))),NOT(ISFORMULA(INDEX('Game Records'!$U:$U,$H453))),NOT(ISFORMULA(INDEX('Game Records'!$V:$V,$H453))),NOT(ISFORMULA(INDEX('Game Records'!$W:$W,$H453))),NOT(ISFORMULA(INDEX('Game Records'!$X:$X,$H453))),NOT(ISFORMULA(INDEX('Game Records'!$Y:$Y,$H453))),NOT(ISFORMULA(INDEX('Game Records'!$Z:$Z,$H453)))),"Formula columns missing; ","")&amp;IF(INDEX('Game Records'!$B:$B,$H453)="","Start Date; ","")&amp;IF(INDEX('Game Records'!$C:$C,$H453)="","End Date; ","")&amp;IF(AND(INDEX('Game Records'!$U:$U,$H453)&lt;&gt;"Subscription",INDEX('Game Records'!$U:$U,$H453)&lt;&gt;"Free Game",INDEX('Game Records'!$U:$U,$H453)&lt;&gt;"Disqualified — Free Game",OR(INDEX('Game Records'!$D:$D,$H453)="",LOWER(INDEX('Game Records'!$D:$D,$H453)&amp;"")="n/a")),"Entry Mode; ","")&amp;IF(AND(INDEX('Game Records'!$U:$U,$H453)&lt;&gt;"Subscription",INDEX('Game Records'!$U:$U,$H453)&lt;&gt;"Free Game",INDEX('Game Records'!$U:$U,$H453)&lt;&gt;"Disqualified — Free Game",OR(INDEX('Game Records'!$E:$E,$H453)="",LOWER(INDEX('Game Records'!$E:$E,$H453)&amp;"")="n/a")),"Game Type; ","")&amp;IF(INDEX('Game Records'!$F:$F,$H453)="","Payment Type; ","")&amp;IF(AND(INDEX('Game Records'!$U:$U,$H453)&lt;&gt;"Subscription",INDEX('Game Records'!$U:$U,$H453)&lt;&gt;"Free Game",INDEX('Game Records'!$U:$U,$H453)&lt;&gt;"Disqualified — Free Game",INDEX('Game Records'!$G:$G,$H453)=""),"Gross Pot; ","")&amp;IF(AND(INDEX('Game Records'!$U:$U,$H453)&lt;&gt;"Free Game",INDEX('Game Records'!$U:$U,$H453)&lt;&gt;"Disqualified — Free Game",INDEX('Game Records'!$H:$H,$H453)=""),"Entry Fee; ","")&amp;IF(AND(INDEX('Game Records'!$U:$U,$H453)&lt;&gt;"Subscription",INDEX('Game Records'!$U:$U,$H453)&lt;&gt;"Free Game",INDEX('Game Records'!$U:$U,$H453)&lt;&gt;"Disqualified — Free Game",INDEX('Game Records'!$I:$I,$H453)=""),"Eligible Players; ","")&amp;IF(AND(INDEX('Game Records'!$U:$U,$H453)&lt;&gt;"Subscription",INDEX('Game Records'!$U:$U,$H453)&lt;&gt;"Free Game",INDEX('Game Records'!$U:$U,$H453)&lt;&gt;"Disqualified — Free Game",INDEX('Game Records'!$J:$J,$H453)=""),"Total Players; ","")&amp;IF(AND(LOWER(INDEX('Game Records'!$D:$D,$H453)&amp;"")="finalized",LOWER(INDEX('Game Records'!$L:$L,$H453)&amp;"")&lt;&gt;"yes",INDEX('Game Records'!$U:$U,$H453)&lt;&gt;"Subscription",INDEX('Game Records'!$U:$U,$H453)&lt;&gt;"Free Game",INDEX('Game Records'!$U:$U,$H453)&lt;&gt;"Disqualified — Free Game",INDEX('Game Records'!$K:$K,$H453)=""),"Final Earned; ","")&amp;IF(AND(LOWER(INDEX('Game Records'!$D:$D,$H453)&amp;"")="finalized",INDEX('Game Records'!$U:$U,$H453)&lt;&gt;"Subscription",INDEX('Game Records'!$U:$U,$H453)&lt;&gt;"Free Game",INDEX('Game Records'!$U:$U,$H453)&lt;&gt;"Disqualified — Free Game",OR(INDEX('Game Records'!$L:$L,$H453)="",LOWER(INDEX('Game Records'!$L:$L,$H453)&amp;"")="n/a")),"Disqualified Status; ","")&amp;IF(AND(OR(LOWER(TRIM(INDEX('Game Records'!$F:$F,$H453)&amp;""))="free game",INDEX('Game Records'!$U:$U,$H453)="Free Game",INDEX('Game Records'!$U:$U,$H453)="Disqualified — Free Game"),N(INDEX('Game Records'!$H:$H,$H453))&lt;&gt;0),"Free Game has a non-zero Entry Fee. Free Game records require a $0 Entry Fee; ",""))</f>
        <v/>
      </c>
      <c r="G453" s="331" t="str">
        <f>IF($H453="","",IFERROR(INDEX('Game Records'!$M:$M,$H453),""))</f>
        <v/>
      </c>
      <c r="H453" s="104" t="str">
        <f>IF($H452="","",IFERROR(MATCH(1,INDEX((ROW('Game Records'!$U$5:$U$504)&gt;$H452)*(('Game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4" ht="24" customHeight="1">
      <c r="A454" s="332" t="str">
        <f>IF($H454="","",ROWS($A$5:A454))</f>
        <v/>
      </c>
      <c r="B454" s="332" t="str">
        <f>IF($H454="","","G-"&amp;TEXT($A454,"0000"))</f>
        <v/>
      </c>
      <c r="C454" s="331" t="str">
        <f>IF($H454="","",IFERROR(INDEX('Game Records'!$A:$A,$H454),""))</f>
        <v/>
      </c>
      <c r="D454" s="331" t="str">
        <f>IF($H454="","",IFERROR(INDEX('Game Records'!$U:$U,$H454),""))</f>
        <v/>
      </c>
      <c r="E454" s="331" t="str">
        <f>IF($H454="","",IF($F454="","No Highlighted Fields","Highlighted Fields Present"))</f>
        <v/>
      </c>
      <c r="F454" s="331" t="str">
        <f>IF($H454="","",IF(OR(NOT(ISFORMULA(INDEX('Game Records'!$N:$N,$H454))),NOT(ISFORMULA(INDEX('Game Records'!$O:$O,$H454))),NOT(ISFORMULA(INDEX('Game Records'!$P:$P,$H454))),NOT(ISFORMULA(INDEX('Game Records'!$Q:$Q,$H454))),NOT(ISFORMULA(INDEX('Game Records'!$R:$R,$H454))),NOT(ISFORMULA(INDEX('Game Records'!$S:$S,$H454))),NOT(ISFORMULA(INDEX('Game Records'!$T:$T,$H454))),NOT(ISFORMULA(INDEX('Game Records'!$U:$U,$H454))),NOT(ISFORMULA(INDEX('Game Records'!$V:$V,$H454))),NOT(ISFORMULA(INDEX('Game Records'!$W:$W,$H454))),NOT(ISFORMULA(INDEX('Game Records'!$X:$X,$H454))),NOT(ISFORMULA(INDEX('Game Records'!$Y:$Y,$H454))),NOT(ISFORMULA(INDEX('Game Records'!$Z:$Z,$H454)))),"Formula columns missing; ","")&amp;IF(INDEX('Game Records'!$B:$B,$H454)="","Start Date; ","")&amp;IF(INDEX('Game Records'!$C:$C,$H454)="","End Date; ","")&amp;IF(AND(INDEX('Game Records'!$U:$U,$H454)&lt;&gt;"Subscription",INDEX('Game Records'!$U:$U,$H454)&lt;&gt;"Free Game",INDEX('Game Records'!$U:$U,$H454)&lt;&gt;"Disqualified — Free Game",OR(INDEX('Game Records'!$D:$D,$H454)="",LOWER(INDEX('Game Records'!$D:$D,$H454)&amp;"")="n/a")),"Entry Mode; ","")&amp;IF(AND(INDEX('Game Records'!$U:$U,$H454)&lt;&gt;"Subscription",INDEX('Game Records'!$U:$U,$H454)&lt;&gt;"Free Game",INDEX('Game Records'!$U:$U,$H454)&lt;&gt;"Disqualified — Free Game",OR(INDEX('Game Records'!$E:$E,$H454)="",LOWER(INDEX('Game Records'!$E:$E,$H454)&amp;"")="n/a")),"Game Type; ","")&amp;IF(INDEX('Game Records'!$F:$F,$H454)="","Payment Type; ","")&amp;IF(AND(INDEX('Game Records'!$U:$U,$H454)&lt;&gt;"Subscription",INDEX('Game Records'!$U:$U,$H454)&lt;&gt;"Free Game",INDEX('Game Records'!$U:$U,$H454)&lt;&gt;"Disqualified — Free Game",INDEX('Game Records'!$G:$G,$H454)=""),"Gross Pot; ","")&amp;IF(AND(INDEX('Game Records'!$U:$U,$H454)&lt;&gt;"Free Game",INDEX('Game Records'!$U:$U,$H454)&lt;&gt;"Disqualified — Free Game",INDEX('Game Records'!$H:$H,$H454)=""),"Entry Fee; ","")&amp;IF(AND(INDEX('Game Records'!$U:$U,$H454)&lt;&gt;"Subscription",INDEX('Game Records'!$U:$U,$H454)&lt;&gt;"Free Game",INDEX('Game Records'!$U:$U,$H454)&lt;&gt;"Disqualified — Free Game",INDEX('Game Records'!$I:$I,$H454)=""),"Eligible Players; ","")&amp;IF(AND(INDEX('Game Records'!$U:$U,$H454)&lt;&gt;"Subscription",INDEX('Game Records'!$U:$U,$H454)&lt;&gt;"Free Game",INDEX('Game Records'!$U:$U,$H454)&lt;&gt;"Disqualified — Free Game",INDEX('Game Records'!$J:$J,$H454)=""),"Total Players; ","")&amp;IF(AND(LOWER(INDEX('Game Records'!$D:$D,$H454)&amp;"")="finalized",LOWER(INDEX('Game Records'!$L:$L,$H454)&amp;"")&lt;&gt;"yes",INDEX('Game Records'!$U:$U,$H454)&lt;&gt;"Subscription",INDEX('Game Records'!$U:$U,$H454)&lt;&gt;"Free Game",INDEX('Game Records'!$U:$U,$H454)&lt;&gt;"Disqualified — Free Game",INDEX('Game Records'!$K:$K,$H454)=""),"Final Earned; ","")&amp;IF(AND(LOWER(INDEX('Game Records'!$D:$D,$H454)&amp;"")="finalized",INDEX('Game Records'!$U:$U,$H454)&lt;&gt;"Subscription",INDEX('Game Records'!$U:$U,$H454)&lt;&gt;"Free Game",INDEX('Game Records'!$U:$U,$H454)&lt;&gt;"Disqualified — Free Game",OR(INDEX('Game Records'!$L:$L,$H454)="",LOWER(INDEX('Game Records'!$L:$L,$H454)&amp;"")="n/a")),"Disqualified Status; ","")&amp;IF(AND(OR(LOWER(TRIM(INDEX('Game Records'!$F:$F,$H454)&amp;""))="free game",INDEX('Game Records'!$U:$U,$H454)="Free Game",INDEX('Game Records'!$U:$U,$H454)="Disqualified — Free Game"),N(INDEX('Game Records'!$H:$H,$H454))&lt;&gt;0),"Free Game has a non-zero Entry Fee. Free Game records require a $0 Entry Fee; ",""))</f>
        <v/>
      </c>
      <c r="G454" s="331" t="str">
        <f>IF($H454="","",IFERROR(INDEX('Game Records'!$M:$M,$H454),""))</f>
        <v/>
      </c>
      <c r="H454" s="104" t="str">
        <f>IF($H453="","",IFERROR(MATCH(1,INDEX((ROW('Game Records'!$U$5:$U$504)&gt;$H453)*(('Game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5" ht="24" customHeight="1">
      <c r="A455" s="332" t="str">
        <f>IF($H455="","",ROWS($A$5:A455))</f>
        <v/>
      </c>
      <c r="B455" s="332" t="str">
        <f>IF($H455="","","G-"&amp;TEXT($A455,"0000"))</f>
        <v/>
      </c>
      <c r="C455" s="331" t="str">
        <f>IF($H455="","",IFERROR(INDEX('Game Records'!$A:$A,$H455),""))</f>
        <v/>
      </c>
      <c r="D455" s="331" t="str">
        <f>IF($H455="","",IFERROR(INDEX('Game Records'!$U:$U,$H455),""))</f>
        <v/>
      </c>
      <c r="E455" s="331" t="str">
        <f>IF($H455="","",IF($F455="","No Highlighted Fields","Highlighted Fields Present"))</f>
        <v/>
      </c>
      <c r="F455" s="331" t="str">
        <f>IF($H455="","",IF(OR(NOT(ISFORMULA(INDEX('Game Records'!$N:$N,$H455))),NOT(ISFORMULA(INDEX('Game Records'!$O:$O,$H455))),NOT(ISFORMULA(INDEX('Game Records'!$P:$P,$H455))),NOT(ISFORMULA(INDEX('Game Records'!$Q:$Q,$H455))),NOT(ISFORMULA(INDEX('Game Records'!$R:$R,$H455))),NOT(ISFORMULA(INDEX('Game Records'!$S:$S,$H455))),NOT(ISFORMULA(INDEX('Game Records'!$T:$T,$H455))),NOT(ISFORMULA(INDEX('Game Records'!$U:$U,$H455))),NOT(ISFORMULA(INDEX('Game Records'!$V:$V,$H455))),NOT(ISFORMULA(INDEX('Game Records'!$W:$W,$H455))),NOT(ISFORMULA(INDEX('Game Records'!$X:$X,$H455))),NOT(ISFORMULA(INDEX('Game Records'!$Y:$Y,$H455))),NOT(ISFORMULA(INDEX('Game Records'!$Z:$Z,$H455)))),"Formula columns missing; ","")&amp;IF(INDEX('Game Records'!$B:$B,$H455)="","Start Date; ","")&amp;IF(INDEX('Game Records'!$C:$C,$H455)="","End Date; ","")&amp;IF(AND(INDEX('Game Records'!$U:$U,$H455)&lt;&gt;"Subscription",INDEX('Game Records'!$U:$U,$H455)&lt;&gt;"Free Game",INDEX('Game Records'!$U:$U,$H455)&lt;&gt;"Disqualified — Free Game",OR(INDEX('Game Records'!$D:$D,$H455)="",LOWER(INDEX('Game Records'!$D:$D,$H455)&amp;"")="n/a")),"Entry Mode; ","")&amp;IF(AND(INDEX('Game Records'!$U:$U,$H455)&lt;&gt;"Subscription",INDEX('Game Records'!$U:$U,$H455)&lt;&gt;"Free Game",INDEX('Game Records'!$U:$U,$H455)&lt;&gt;"Disqualified — Free Game",OR(INDEX('Game Records'!$E:$E,$H455)="",LOWER(INDEX('Game Records'!$E:$E,$H455)&amp;"")="n/a")),"Game Type; ","")&amp;IF(INDEX('Game Records'!$F:$F,$H455)="","Payment Type; ","")&amp;IF(AND(INDEX('Game Records'!$U:$U,$H455)&lt;&gt;"Subscription",INDEX('Game Records'!$U:$U,$H455)&lt;&gt;"Free Game",INDEX('Game Records'!$U:$U,$H455)&lt;&gt;"Disqualified — Free Game",INDEX('Game Records'!$G:$G,$H455)=""),"Gross Pot; ","")&amp;IF(AND(INDEX('Game Records'!$U:$U,$H455)&lt;&gt;"Free Game",INDEX('Game Records'!$U:$U,$H455)&lt;&gt;"Disqualified — Free Game",INDEX('Game Records'!$H:$H,$H455)=""),"Entry Fee; ","")&amp;IF(AND(INDEX('Game Records'!$U:$U,$H455)&lt;&gt;"Subscription",INDEX('Game Records'!$U:$U,$H455)&lt;&gt;"Free Game",INDEX('Game Records'!$U:$U,$H455)&lt;&gt;"Disqualified — Free Game",INDEX('Game Records'!$I:$I,$H455)=""),"Eligible Players; ","")&amp;IF(AND(INDEX('Game Records'!$U:$U,$H455)&lt;&gt;"Subscription",INDEX('Game Records'!$U:$U,$H455)&lt;&gt;"Free Game",INDEX('Game Records'!$U:$U,$H455)&lt;&gt;"Disqualified — Free Game",INDEX('Game Records'!$J:$J,$H455)=""),"Total Players; ","")&amp;IF(AND(LOWER(INDEX('Game Records'!$D:$D,$H455)&amp;"")="finalized",LOWER(INDEX('Game Records'!$L:$L,$H455)&amp;"")&lt;&gt;"yes",INDEX('Game Records'!$U:$U,$H455)&lt;&gt;"Subscription",INDEX('Game Records'!$U:$U,$H455)&lt;&gt;"Free Game",INDEX('Game Records'!$U:$U,$H455)&lt;&gt;"Disqualified — Free Game",INDEX('Game Records'!$K:$K,$H455)=""),"Final Earned; ","")&amp;IF(AND(LOWER(INDEX('Game Records'!$D:$D,$H455)&amp;"")="finalized",INDEX('Game Records'!$U:$U,$H455)&lt;&gt;"Subscription",INDEX('Game Records'!$U:$U,$H455)&lt;&gt;"Free Game",INDEX('Game Records'!$U:$U,$H455)&lt;&gt;"Disqualified — Free Game",OR(INDEX('Game Records'!$L:$L,$H455)="",LOWER(INDEX('Game Records'!$L:$L,$H455)&amp;"")="n/a")),"Disqualified Status; ","")&amp;IF(AND(OR(LOWER(TRIM(INDEX('Game Records'!$F:$F,$H455)&amp;""))="free game",INDEX('Game Records'!$U:$U,$H455)="Free Game",INDEX('Game Records'!$U:$U,$H455)="Disqualified — Free Game"),N(INDEX('Game Records'!$H:$H,$H455))&lt;&gt;0),"Free Game has a non-zero Entry Fee. Free Game records require a $0 Entry Fee; ",""))</f>
        <v/>
      </c>
      <c r="G455" s="331" t="str">
        <f>IF($H455="","",IFERROR(INDEX('Game Records'!$M:$M,$H455),""))</f>
        <v/>
      </c>
      <c r="H455" s="104" t="str">
        <f>IF($H454="","",IFERROR(MATCH(1,INDEX((ROW('Game Records'!$U$5:$U$504)&gt;$H454)*(('Game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6" ht="24" customHeight="1">
      <c r="A456" s="332" t="str">
        <f>IF($H456="","",ROWS($A$5:A456))</f>
        <v/>
      </c>
      <c r="B456" s="332" t="str">
        <f>IF($H456="","","G-"&amp;TEXT($A456,"0000"))</f>
        <v/>
      </c>
      <c r="C456" s="331" t="str">
        <f>IF($H456="","",IFERROR(INDEX('Game Records'!$A:$A,$H456),""))</f>
        <v/>
      </c>
      <c r="D456" s="331" t="str">
        <f>IF($H456="","",IFERROR(INDEX('Game Records'!$U:$U,$H456),""))</f>
        <v/>
      </c>
      <c r="E456" s="331" t="str">
        <f>IF($H456="","",IF($F456="","No Highlighted Fields","Highlighted Fields Present"))</f>
        <v/>
      </c>
      <c r="F456" s="331" t="str">
        <f>IF($H456="","",IF(OR(NOT(ISFORMULA(INDEX('Game Records'!$N:$N,$H456))),NOT(ISFORMULA(INDEX('Game Records'!$O:$O,$H456))),NOT(ISFORMULA(INDEX('Game Records'!$P:$P,$H456))),NOT(ISFORMULA(INDEX('Game Records'!$Q:$Q,$H456))),NOT(ISFORMULA(INDEX('Game Records'!$R:$R,$H456))),NOT(ISFORMULA(INDEX('Game Records'!$S:$S,$H456))),NOT(ISFORMULA(INDEX('Game Records'!$T:$T,$H456))),NOT(ISFORMULA(INDEX('Game Records'!$U:$U,$H456))),NOT(ISFORMULA(INDEX('Game Records'!$V:$V,$H456))),NOT(ISFORMULA(INDEX('Game Records'!$W:$W,$H456))),NOT(ISFORMULA(INDEX('Game Records'!$X:$X,$H456))),NOT(ISFORMULA(INDEX('Game Records'!$Y:$Y,$H456))),NOT(ISFORMULA(INDEX('Game Records'!$Z:$Z,$H456)))),"Formula columns missing; ","")&amp;IF(INDEX('Game Records'!$B:$B,$H456)="","Start Date; ","")&amp;IF(INDEX('Game Records'!$C:$C,$H456)="","End Date; ","")&amp;IF(AND(INDEX('Game Records'!$U:$U,$H456)&lt;&gt;"Subscription",INDEX('Game Records'!$U:$U,$H456)&lt;&gt;"Free Game",INDEX('Game Records'!$U:$U,$H456)&lt;&gt;"Disqualified — Free Game",OR(INDEX('Game Records'!$D:$D,$H456)="",LOWER(INDEX('Game Records'!$D:$D,$H456)&amp;"")="n/a")),"Entry Mode; ","")&amp;IF(AND(INDEX('Game Records'!$U:$U,$H456)&lt;&gt;"Subscription",INDEX('Game Records'!$U:$U,$H456)&lt;&gt;"Free Game",INDEX('Game Records'!$U:$U,$H456)&lt;&gt;"Disqualified — Free Game",OR(INDEX('Game Records'!$E:$E,$H456)="",LOWER(INDEX('Game Records'!$E:$E,$H456)&amp;"")="n/a")),"Game Type; ","")&amp;IF(INDEX('Game Records'!$F:$F,$H456)="","Payment Type; ","")&amp;IF(AND(INDEX('Game Records'!$U:$U,$H456)&lt;&gt;"Subscription",INDEX('Game Records'!$U:$U,$H456)&lt;&gt;"Free Game",INDEX('Game Records'!$U:$U,$H456)&lt;&gt;"Disqualified — Free Game",INDEX('Game Records'!$G:$G,$H456)=""),"Gross Pot; ","")&amp;IF(AND(INDEX('Game Records'!$U:$U,$H456)&lt;&gt;"Free Game",INDEX('Game Records'!$U:$U,$H456)&lt;&gt;"Disqualified — Free Game",INDEX('Game Records'!$H:$H,$H456)=""),"Entry Fee; ","")&amp;IF(AND(INDEX('Game Records'!$U:$U,$H456)&lt;&gt;"Subscription",INDEX('Game Records'!$U:$U,$H456)&lt;&gt;"Free Game",INDEX('Game Records'!$U:$U,$H456)&lt;&gt;"Disqualified — Free Game",INDEX('Game Records'!$I:$I,$H456)=""),"Eligible Players; ","")&amp;IF(AND(INDEX('Game Records'!$U:$U,$H456)&lt;&gt;"Subscription",INDEX('Game Records'!$U:$U,$H456)&lt;&gt;"Free Game",INDEX('Game Records'!$U:$U,$H456)&lt;&gt;"Disqualified — Free Game",INDEX('Game Records'!$J:$J,$H456)=""),"Total Players; ","")&amp;IF(AND(LOWER(INDEX('Game Records'!$D:$D,$H456)&amp;"")="finalized",LOWER(INDEX('Game Records'!$L:$L,$H456)&amp;"")&lt;&gt;"yes",INDEX('Game Records'!$U:$U,$H456)&lt;&gt;"Subscription",INDEX('Game Records'!$U:$U,$H456)&lt;&gt;"Free Game",INDEX('Game Records'!$U:$U,$H456)&lt;&gt;"Disqualified — Free Game",INDEX('Game Records'!$K:$K,$H456)=""),"Final Earned; ","")&amp;IF(AND(LOWER(INDEX('Game Records'!$D:$D,$H456)&amp;"")="finalized",INDEX('Game Records'!$U:$U,$H456)&lt;&gt;"Subscription",INDEX('Game Records'!$U:$U,$H456)&lt;&gt;"Free Game",INDEX('Game Records'!$U:$U,$H456)&lt;&gt;"Disqualified — Free Game",OR(INDEX('Game Records'!$L:$L,$H456)="",LOWER(INDEX('Game Records'!$L:$L,$H456)&amp;"")="n/a")),"Disqualified Status; ","")&amp;IF(AND(OR(LOWER(TRIM(INDEX('Game Records'!$F:$F,$H456)&amp;""))="free game",INDEX('Game Records'!$U:$U,$H456)="Free Game",INDEX('Game Records'!$U:$U,$H456)="Disqualified — Free Game"),N(INDEX('Game Records'!$H:$H,$H456))&lt;&gt;0),"Free Game has a non-zero Entry Fee. Free Game records require a $0 Entry Fee; ",""))</f>
        <v/>
      </c>
      <c r="G456" s="331" t="str">
        <f>IF($H456="","",IFERROR(INDEX('Game Records'!$M:$M,$H456),""))</f>
        <v/>
      </c>
      <c r="H456" s="104" t="str">
        <f>IF($H455="","",IFERROR(MATCH(1,INDEX((ROW('Game Records'!$U$5:$U$504)&gt;$H455)*(('Game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7" ht="24" customHeight="1">
      <c r="A457" s="332" t="str">
        <f>IF($H457="","",ROWS($A$5:A457))</f>
        <v/>
      </c>
      <c r="B457" s="332" t="str">
        <f>IF($H457="","","G-"&amp;TEXT($A457,"0000"))</f>
        <v/>
      </c>
      <c r="C457" s="331" t="str">
        <f>IF($H457="","",IFERROR(INDEX('Game Records'!$A:$A,$H457),""))</f>
        <v/>
      </c>
      <c r="D457" s="331" t="str">
        <f>IF($H457="","",IFERROR(INDEX('Game Records'!$U:$U,$H457),""))</f>
        <v/>
      </c>
      <c r="E457" s="331" t="str">
        <f>IF($H457="","",IF($F457="","No Highlighted Fields","Highlighted Fields Present"))</f>
        <v/>
      </c>
      <c r="F457" s="331" t="str">
        <f>IF($H457="","",IF(OR(NOT(ISFORMULA(INDEX('Game Records'!$N:$N,$H457))),NOT(ISFORMULA(INDEX('Game Records'!$O:$O,$H457))),NOT(ISFORMULA(INDEX('Game Records'!$P:$P,$H457))),NOT(ISFORMULA(INDEX('Game Records'!$Q:$Q,$H457))),NOT(ISFORMULA(INDEX('Game Records'!$R:$R,$H457))),NOT(ISFORMULA(INDEX('Game Records'!$S:$S,$H457))),NOT(ISFORMULA(INDEX('Game Records'!$T:$T,$H457))),NOT(ISFORMULA(INDEX('Game Records'!$U:$U,$H457))),NOT(ISFORMULA(INDEX('Game Records'!$V:$V,$H457))),NOT(ISFORMULA(INDEX('Game Records'!$W:$W,$H457))),NOT(ISFORMULA(INDEX('Game Records'!$X:$X,$H457))),NOT(ISFORMULA(INDEX('Game Records'!$Y:$Y,$H457))),NOT(ISFORMULA(INDEX('Game Records'!$Z:$Z,$H457)))),"Formula columns missing; ","")&amp;IF(INDEX('Game Records'!$B:$B,$H457)="","Start Date; ","")&amp;IF(INDEX('Game Records'!$C:$C,$H457)="","End Date; ","")&amp;IF(AND(INDEX('Game Records'!$U:$U,$H457)&lt;&gt;"Subscription",INDEX('Game Records'!$U:$U,$H457)&lt;&gt;"Free Game",INDEX('Game Records'!$U:$U,$H457)&lt;&gt;"Disqualified — Free Game",OR(INDEX('Game Records'!$D:$D,$H457)="",LOWER(INDEX('Game Records'!$D:$D,$H457)&amp;"")="n/a")),"Entry Mode; ","")&amp;IF(AND(INDEX('Game Records'!$U:$U,$H457)&lt;&gt;"Subscription",INDEX('Game Records'!$U:$U,$H457)&lt;&gt;"Free Game",INDEX('Game Records'!$U:$U,$H457)&lt;&gt;"Disqualified — Free Game",OR(INDEX('Game Records'!$E:$E,$H457)="",LOWER(INDEX('Game Records'!$E:$E,$H457)&amp;"")="n/a")),"Game Type; ","")&amp;IF(INDEX('Game Records'!$F:$F,$H457)="","Payment Type; ","")&amp;IF(AND(INDEX('Game Records'!$U:$U,$H457)&lt;&gt;"Subscription",INDEX('Game Records'!$U:$U,$H457)&lt;&gt;"Free Game",INDEX('Game Records'!$U:$U,$H457)&lt;&gt;"Disqualified — Free Game",INDEX('Game Records'!$G:$G,$H457)=""),"Gross Pot; ","")&amp;IF(AND(INDEX('Game Records'!$U:$U,$H457)&lt;&gt;"Free Game",INDEX('Game Records'!$U:$U,$H457)&lt;&gt;"Disqualified — Free Game",INDEX('Game Records'!$H:$H,$H457)=""),"Entry Fee; ","")&amp;IF(AND(INDEX('Game Records'!$U:$U,$H457)&lt;&gt;"Subscription",INDEX('Game Records'!$U:$U,$H457)&lt;&gt;"Free Game",INDEX('Game Records'!$U:$U,$H457)&lt;&gt;"Disqualified — Free Game",INDEX('Game Records'!$I:$I,$H457)=""),"Eligible Players; ","")&amp;IF(AND(INDEX('Game Records'!$U:$U,$H457)&lt;&gt;"Subscription",INDEX('Game Records'!$U:$U,$H457)&lt;&gt;"Free Game",INDEX('Game Records'!$U:$U,$H457)&lt;&gt;"Disqualified — Free Game",INDEX('Game Records'!$J:$J,$H457)=""),"Total Players; ","")&amp;IF(AND(LOWER(INDEX('Game Records'!$D:$D,$H457)&amp;"")="finalized",LOWER(INDEX('Game Records'!$L:$L,$H457)&amp;"")&lt;&gt;"yes",INDEX('Game Records'!$U:$U,$H457)&lt;&gt;"Subscription",INDEX('Game Records'!$U:$U,$H457)&lt;&gt;"Free Game",INDEX('Game Records'!$U:$U,$H457)&lt;&gt;"Disqualified — Free Game",INDEX('Game Records'!$K:$K,$H457)=""),"Final Earned; ","")&amp;IF(AND(LOWER(INDEX('Game Records'!$D:$D,$H457)&amp;"")="finalized",INDEX('Game Records'!$U:$U,$H457)&lt;&gt;"Subscription",INDEX('Game Records'!$U:$U,$H457)&lt;&gt;"Free Game",INDEX('Game Records'!$U:$U,$H457)&lt;&gt;"Disqualified — Free Game",OR(INDEX('Game Records'!$L:$L,$H457)="",LOWER(INDEX('Game Records'!$L:$L,$H457)&amp;"")="n/a")),"Disqualified Status; ","")&amp;IF(AND(OR(LOWER(TRIM(INDEX('Game Records'!$F:$F,$H457)&amp;""))="free game",INDEX('Game Records'!$U:$U,$H457)="Free Game",INDEX('Game Records'!$U:$U,$H457)="Disqualified — Free Game"),N(INDEX('Game Records'!$H:$H,$H457))&lt;&gt;0),"Free Game has a non-zero Entry Fee. Free Game records require a $0 Entry Fee; ",""))</f>
        <v/>
      </c>
      <c r="G457" s="331" t="str">
        <f>IF($H457="","",IFERROR(INDEX('Game Records'!$M:$M,$H457),""))</f>
        <v/>
      </c>
      <c r="H457" s="104" t="str">
        <f>IF($H456="","",IFERROR(MATCH(1,INDEX((ROW('Game Records'!$U$5:$U$504)&gt;$H456)*(('Game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8" ht="24" customHeight="1">
      <c r="A458" s="332" t="str">
        <f>IF($H458="","",ROWS($A$5:A458))</f>
        <v/>
      </c>
      <c r="B458" s="332" t="str">
        <f>IF($H458="","","G-"&amp;TEXT($A458,"0000"))</f>
        <v/>
      </c>
      <c r="C458" s="331" t="str">
        <f>IF($H458="","",IFERROR(INDEX('Game Records'!$A:$A,$H458),""))</f>
        <v/>
      </c>
      <c r="D458" s="331" t="str">
        <f>IF($H458="","",IFERROR(INDEX('Game Records'!$U:$U,$H458),""))</f>
        <v/>
      </c>
      <c r="E458" s="331" t="str">
        <f>IF($H458="","",IF($F458="","No Highlighted Fields","Highlighted Fields Present"))</f>
        <v/>
      </c>
      <c r="F458" s="331" t="str">
        <f>IF($H458="","",IF(OR(NOT(ISFORMULA(INDEX('Game Records'!$N:$N,$H458))),NOT(ISFORMULA(INDEX('Game Records'!$O:$O,$H458))),NOT(ISFORMULA(INDEX('Game Records'!$P:$P,$H458))),NOT(ISFORMULA(INDEX('Game Records'!$Q:$Q,$H458))),NOT(ISFORMULA(INDEX('Game Records'!$R:$R,$H458))),NOT(ISFORMULA(INDEX('Game Records'!$S:$S,$H458))),NOT(ISFORMULA(INDEX('Game Records'!$T:$T,$H458))),NOT(ISFORMULA(INDEX('Game Records'!$U:$U,$H458))),NOT(ISFORMULA(INDEX('Game Records'!$V:$V,$H458))),NOT(ISFORMULA(INDEX('Game Records'!$W:$W,$H458))),NOT(ISFORMULA(INDEX('Game Records'!$X:$X,$H458))),NOT(ISFORMULA(INDEX('Game Records'!$Y:$Y,$H458))),NOT(ISFORMULA(INDEX('Game Records'!$Z:$Z,$H458)))),"Formula columns missing; ","")&amp;IF(INDEX('Game Records'!$B:$B,$H458)="","Start Date; ","")&amp;IF(INDEX('Game Records'!$C:$C,$H458)="","End Date; ","")&amp;IF(AND(INDEX('Game Records'!$U:$U,$H458)&lt;&gt;"Subscription",INDEX('Game Records'!$U:$U,$H458)&lt;&gt;"Free Game",INDEX('Game Records'!$U:$U,$H458)&lt;&gt;"Disqualified — Free Game",OR(INDEX('Game Records'!$D:$D,$H458)="",LOWER(INDEX('Game Records'!$D:$D,$H458)&amp;"")="n/a")),"Entry Mode; ","")&amp;IF(AND(INDEX('Game Records'!$U:$U,$H458)&lt;&gt;"Subscription",INDEX('Game Records'!$U:$U,$H458)&lt;&gt;"Free Game",INDEX('Game Records'!$U:$U,$H458)&lt;&gt;"Disqualified — Free Game",OR(INDEX('Game Records'!$E:$E,$H458)="",LOWER(INDEX('Game Records'!$E:$E,$H458)&amp;"")="n/a")),"Game Type; ","")&amp;IF(INDEX('Game Records'!$F:$F,$H458)="","Payment Type; ","")&amp;IF(AND(INDEX('Game Records'!$U:$U,$H458)&lt;&gt;"Subscription",INDEX('Game Records'!$U:$U,$H458)&lt;&gt;"Free Game",INDEX('Game Records'!$U:$U,$H458)&lt;&gt;"Disqualified — Free Game",INDEX('Game Records'!$G:$G,$H458)=""),"Gross Pot; ","")&amp;IF(AND(INDEX('Game Records'!$U:$U,$H458)&lt;&gt;"Free Game",INDEX('Game Records'!$U:$U,$H458)&lt;&gt;"Disqualified — Free Game",INDEX('Game Records'!$H:$H,$H458)=""),"Entry Fee; ","")&amp;IF(AND(INDEX('Game Records'!$U:$U,$H458)&lt;&gt;"Subscription",INDEX('Game Records'!$U:$U,$H458)&lt;&gt;"Free Game",INDEX('Game Records'!$U:$U,$H458)&lt;&gt;"Disqualified — Free Game",INDEX('Game Records'!$I:$I,$H458)=""),"Eligible Players; ","")&amp;IF(AND(INDEX('Game Records'!$U:$U,$H458)&lt;&gt;"Subscription",INDEX('Game Records'!$U:$U,$H458)&lt;&gt;"Free Game",INDEX('Game Records'!$U:$U,$H458)&lt;&gt;"Disqualified — Free Game",INDEX('Game Records'!$J:$J,$H458)=""),"Total Players; ","")&amp;IF(AND(LOWER(INDEX('Game Records'!$D:$D,$H458)&amp;"")="finalized",LOWER(INDEX('Game Records'!$L:$L,$H458)&amp;"")&lt;&gt;"yes",INDEX('Game Records'!$U:$U,$H458)&lt;&gt;"Subscription",INDEX('Game Records'!$U:$U,$H458)&lt;&gt;"Free Game",INDEX('Game Records'!$U:$U,$H458)&lt;&gt;"Disqualified — Free Game",INDEX('Game Records'!$K:$K,$H458)=""),"Final Earned; ","")&amp;IF(AND(LOWER(INDEX('Game Records'!$D:$D,$H458)&amp;"")="finalized",INDEX('Game Records'!$U:$U,$H458)&lt;&gt;"Subscription",INDEX('Game Records'!$U:$U,$H458)&lt;&gt;"Free Game",INDEX('Game Records'!$U:$U,$H458)&lt;&gt;"Disqualified — Free Game",OR(INDEX('Game Records'!$L:$L,$H458)="",LOWER(INDEX('Game Records'!$L:$L,$H458)&amp;"")="n/a")),"Disqualified Status; ","")&amp;IF(AND(OR(LOWER(TRIM(INDEX('Game Records'!$F:$F,$H458)&amp;""))="free game",INDEX('Game Records'!$U:$U,$H458)="Free Game",INDEX('Game Records'!$U:$U,$H458)="Disqualified — Free Game"),N(INDEX('Game Records'!$H:$H,$H458))&lt;&gt;0),"Free Game has a non-zero Entry Fee. Free Game records require a $0 Entry Fee; ",""))</f>
        <v/>
      </c>
      <c r="G458" s="331" t="str">
        <f>IF($H458="","",IFERROR(INDEX('Game Records'!$M:$M,$H458),""))</f>
        <v/>
      </c>
      <c r="H458" s="104" t="str">
        <f>IF($H457="","",IFERROR(MATCH(1,INDEX((ROW('Game Records'!$U$5:$U$504)&gt;$H457)*(('Game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9" ht="24" customHeight="1">
      <c r="A459" s="332" t="str">
        <f>IF($H459="","",ROWS($A$5:A459))</f>
        <v/>
      </c>
      <c r="B459" s="332" t="str">
        <f>IF($H459="","","G-"&amp;TEXT($A459,"0000"))</f>
        <v/>
      </c>
      <c r="C459" s="331" t="str">
        <f>IF($H459="","",IFERROR(INDEX('Game Records'!$A:$A,$H459),""))</f>
        <v/>
      </c>
      <c r="D459" s="331" t="str">
        <f>IF($H459="","",IFERROR(INDEX('Game Records'!$U:$U,$H459),""))</f>
        <v/>
      </c>
      <c r="E459" s="331" t="str">
        <f>IF($H459="","",IF($F459="","No Highlighted Fields","Highlighted Fields Present"))</f>
        <v/>
      </c>
      <c r="F459" s="331" t="str">
        <f>IF($H459="","",IF(OR(NOT(ISFORMULA(INDEX('Game Records'!$N:$N,$H459))),NOT(ISFORMULA(INDEX('Game Records'!$O:$O,$H459))),NOT(ISFORMULA(INDEX('Game Records'!$P:$P,$H459))),NOT(ISFORMULA(INDEX('Game Records'!$Q:$Q,$H459))),NOT(ISFORMULA(INDEX('Game Records'!$R:$R,$H459))),NOT(ISFORMULA(INDEX('Game Records'!$S:$S,$H459))),NOT(ISFORMULA(INDEX('Game Records'!$T:$T,$H459))),NOT(ISFORMULA(INDEX('Game Records'!$U:$U,$H459))),NOT(ISFORMULA(INDEX('Game Records'!$V:$V,$H459))),NOT(ISFORMULA(INDEX('Game Records'!$W:$W,$H459))),NOT(ISFORMULA(INDEX('Game Records'!$X:$X,$H459))),NOT(ISFORMULA(INDEX('Game Records'!$Y:$Y,$H459))),NOT(ISFORMULA(INDEX('Game Records'!$Z:$Z,$H459)))),"Formula columns missing; ","")&amp;IF(INDEX('Game Records'!$B:$B,$H459)="","Start Date; ","")&amp;IF(INDEX('Game Records'!$C:$C,$H459)="","End Date; ","")&amp;IF(AND(INDEX('Game Records'!$U:$U,$H459)&lt;&gt;"Subscription",INDEX('Game Records'!$U:$U,$H459)&lt;&gt;"Free Game",INDEX('Game Records'!$U:$U,$H459)&lt;&gt;"Disqualified — Free Game",OR(INDEX('Game Records'!$D:$D,$H459)="",LOWER(INDEX('Game Records'!$D:$D,$H459)&amp;"")="n/a")),"Entry Mode; ","")&amp;IF(AND(INDEX('Game Records'!$U:$U,$H459)&lt;&gt;"Subscription",INDEX('Game Records'!$U:$U,$H459)&lt;&gt;"Free Game",INDEX('Game Records'!$U:$U,$H459)&lt;&gt;"Disqualified — Free Game",OR(INDEX('Game Records'!$E:$E,$H459)="",LOWER(INDEX('Game Records'!$E:$E,$H459)&amp;"")="n/a")),"Game Type; ","")&amp;IF(INDEX('Game Records'!$F:$F,$H459)="","Payment Type; ","")&amp;IF(AND(INDEX('Game Records'!$U:$U,$H459)&lt;&gt;"Subscription",INDEX('Game Records'!$U:$U,$H459)&lt;&gt;"Free Game",INDEX('Game Records'!$U:$U,$H459)&lt;&gt;"Disqualified — Free Game",INDEX('Game Records'!$G:$G,$H459)=""),"Gross Pot; ","")&amp;IF(AND(INDEX('Game Records'!$U:$U,$H459)&lt;&gt;"Free Game",INDEX('Game Records'!$U:$U,$H459)&lt;&gt;"Disqualified — Free Game",INDEX('Game Records'!$H:$H,$H459)=""),"Entry Fee; ","")&amp;IF(AND(INDEX('Game Records'!$U:$U,$H459)&lt;&gt;"Subscription",INDEX('Game Records'!$U:$U,$H459)&lt;&gt;"Free Game",INDEX('Game Records'!$U:$U,$H459)&lt;&gt;"Disqualified — Free Game",INDEX('Game Records'!$I:$I,$H459)=""),"Eligible Players; ","")&amp;IF(AND(INDEX('Game Records'!$U:$U,$H459)&lt;&gt;"Subscription",INDEX('Game Records'!$U:$U,$H459)&lt;&gt;"Free Game",INDEX('Game Records'!$U:$U,$H459)&lt;&gt;"Disqualified — Free Game",INDEX('Game Records'!$J:$J,$H459)=""),"Total Players; ","")&amp;IF(AND(LOWER(INDEX('Game Records'!$D:$D,$H459)&amp;"")="finalized",LOWER(INDEX('Game Records'!$L:$L,$H459)&amp;"")&lt;&gt;"yes",INDEX('Game Records'!$U:$U,$H459)&lt;&gt;"Subscription",INDEX('Game Records'!$U:$U,$H459)&lt;&gt;"Free Game",INDEX('Game Records'!$U:$U,$H459)&lt;&gt;"Disqualified — Free Game",INDEX('Game Records'!$K:$K,$H459)=""),"Final Earned; ","")&amp;IF(AND(LOWER(INDEX('Game Records'!$D:$D,$H459)&amp;"")="finalized",INDEX('Game Records'!$U:$U,$H459)&lt;&gt;"Subscription",INDEX('Game Records'!$U:$U,$H459)&lt;&gt;"Free Game",INDEX('Game Records'!$U:$U,$H459)&lt;&gt;"Disqualified — Free Game",OR(INDEX('Game Records'!$L:$L,$H459)="",LOWER(INDEX('Game Records'!$L:$L,$H459)&amp;"")="n/a")),"Disqualified Status; ","")&amp;IF(AND(OR(LOWER(TRIM(INDEX('Game Records'!$F:$F,$H459)&amp;""))="free game",INDEX('Game Records'!$U:$U,$H459)="Free Game",INDEX('Game Records'!$U:$U,$H459)="Disqualified — Free Game"),N(INDEX('Game Records'!$H:$H,$H459))&lt;&gt;0),"Free Game has a non-zero Entry Fee. Free Game records require a $0 Entry Fee; ",""))</f>
        <v/>
      </c>
      <c r="G459" s="331" t="str">
        <f>IF($H459="","",IFERROR(INDEX('Game Records'!$M:$M,$H459),""))</f>
        <v/>
      </c>
      <c r="H459" s="104" t="str">
        <f>IF($H458="","",IFERROR(MATCH(1,INDEX((ROW('Game Records'!$U$5:$U$504)&gt;$H458)*(('Game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0" ht="24" customHeight="1">
      <c r="A460" s="332" t="str">
        <f>IF($H460="","",ROWS($A$5:A460))</f>
        <v/>
      </c>
      <c r="B460" s="332" t="str">
        <f>IF($H460="","","G-"&amp;TEXT($A460,"0000"))</f>
        <v/>
      </c>
      <c r="C460" s="331" t="str">
        <f>IF($H460="","",IFERROR(INDEX('Game Records'!$A:$A,$H460),""))</f>
        <v/>
      </c>
      <c r="D460" s="331" t="str">
        <f>IF($H460="","",IFERROR(INDEX('Game Records'!$U:$U,$H460),""))</f>
        <v/>
      </c>
      <c r="E460" s="331" t="str">
        <f>IF($H460="","",IF($F460="","No Highlighted Fields","Highlighted Fields Present"))</f>
        <v/>
      </c>
      <c r="F460" s="331" t="str">
        <f>IF($H460="","",IF(OR(NOT(ISFORMULA(INDEX('Game Records'!$N:$N,$H460))),NOT(ISFORMULA(INDEX('Game Records'!$O:$O,$H460))),NOT(ISFORMULA(INDEX('Game Records'!$P:$P,$H460))),NOT(ISFORMULA(INDEX('Game Records'!$Q:$Q,$H460))),NOT(ISFORMULA(INDEX('Game Records'!$R:$R,$H460))),NOT(ISFORMULA(INDEX('Game Records'!$S:$S,$H460))),NOT(ISFORMULA(INDEX('Game Records'!$T:$T,$H460))),NOT(ISFORMULA(INDEX('Game Records'!$U:$U,$H460))),NOT(ISFORMULA(INDEX('Game Records'!$V:$V,$H460))),NOT(ISFORMULA(INDEX('Game Records'!$W:$W,$H460))),NOT(ISFORMULA(INDEX('Game Records'!$X:$X,$H460))),NOT(ISFORMULA(INDEX('Game Records'!$Y:$Y,$H460))),NOT(ISFORMULA(INDEX('Game Records'!$Z:$Z,$H460)))),"Formula columns missing; ","")&amp;IF(INDEX('Game Records'!$B:$B,$H460)="","Start Date; ","")&amp;IF(INDEX('Game Records'!$C:$C,$H460)="","End Date; ","")&amp;IF(AND(INDEX('Game Records'!$U:$U,$H460)&lt;&gt;"Subscription",INDEX('Game Records'!$U:$U,$H460)&lt;&gt;"Free Game",INDEX('Game Records'!$U:$U,$H460)&lt;&gt;"Disqualified — Free Game",OR(INDEX('Game Records'!$D:$D,$H460)="",LOWER(INDEX('Game Records'!$D:$D,$H460)&amp;"")="n/a")),"Entry Mode; ","")&amp;IF(AND(INDEX('Game Records'!$U:$U,$H460)&lt;&gt;"Subscription",INDEX('Game Records'!$U:$U,$H460)&lt;&gt;"Free Game",INDEX('Game Records'!$U:$U,$H460)&lt;&gt;"Disqualified — Free Game",OR(INDEX('Game Records'!$E:$E,$H460)="",LOWER(INDEX('Game Records'!$E:$E,$H460)&amp;"")="n/a")),"Game Type; ","")&amp;IF(INDEX('Game Records'!$F:$F,$H460)="","Payment Type; ","")&amp;IF(AND(INDEX('Game Records'!$U:$U,$H460)&lt;&gt;"Subscription",INDEX('Game Records'!$U:$U,$H460)&lt;&gt;"Free Game",INDEX('Game Records'!$U:$U,$H460)&lt;&gt;"Disqualified — Free Game",INDEX('Game Records'!$G:$G,$H460)=""),"Gross Pot; ","")&amp;IF(AND(INDEX('Game Records'!$U:$U,$H460)&lt;&gt;"Free Game",INDEX('Game Records'!$U:$U,$H460)&lt;&gt;"Disqualified — Free Game",INDEX('Game Records'!$H:$H,$H460)=""),"Entry Fee; ","")&amp;IF(AND(INDEX('Game Records'!$U:$U,$H460)&lt;&gt;"Subscription",INDEX('Game Records'!$U:$U,$H460)&lt;&gt;"Free Game",INDEX('Game Records'!$U:$U,$H460)&lt;&gt;"Disqualified — Free Game",INDEX('Game Records'!$I:$I,$H460)=""),"Eligible Players; ","")&amp;IF(AND(INDEX('Game Records'!$U:$U,$H460)&lt;&gt;"Subscription",INDEX('Game Records'!$U:$U,$H460)&lt;&gt;"Free Game",INDEX('Game Records'!$U:$U,$H460)&lt;&gt;"Disqualified — Free Game",INDEX('Game Records'!$J:$J,$H460)=""),"Total Players; ","")&amp;IF(AND(LOWER(INDEX('Game Records'!$D:$D,$H460)&amp;"")="finalized",LOWER(INDEX('Game Records'!$L:$L,$H460)&amp;"")&lt;&gt;"yes",INDEX('Game Records'!$U:$U,$H460)&lt;&gt;"Subscription",INDEX('Game Records'!$U:$U,$H460)&lt;&gt;"Free Game",INDEX('Game Records'!$U:$U,$H460)&lt;&gt;"Disqualified — Free Game",INDEX('Game Records'!$K:$K,$H460)=""),"Final Earned; ","")&amp;IF(AND(LOWER(INDEX('Game Records'!$D:$D,$H460)&amp;"")="finalized",INDEX('Game Records'!$U:$U,$H460)&lt;&gt;"Subscription",INDEX('Game Records'!$U:$U,$H460)&lt;&gt;"Free Game",INDEX('Game Records'!$U:$U,$H460)&lt;&gt;"Disqualified — Free Game",OR(INDEX('Game Records'!$L:$L,$H460)="",LOWER(INDEX('Game Records'!$L:$L,$H460)&amp;"")="n/a")),"Disqualified Status; ","")&amp;IF(AND(OR(LOWER(TRIM(INDEX('Game Records'!$F:$F,$H460)&amp;""))="free game",INDEX('Game Records'!$U:$U,$H460)="Free Game",INDEX('Game Records'!$U:$U,$H460)="Disqualified — Free Game"),N(INDEX('Game Records'!$H:$H,$H460))&lt;&gt;0),"Free Game has a non-zero Entry Fee. Free Game records require a $0 Entry Fee; ",""))</f>
        <v/>
      </c>
      <c r="G460" s="331" t="str">
        <f>IF($H460="","",IFERROR(INDEX('Game Records'!$M:$M,$H460),""))</f>
        <v/>
      </c>
      <c r="H460" s="104" t="str">
        <f>IF($H459="","",IFERROR(MATCH(1,INDEX((ROW('Game Records'!$U$5:$U$504)&gt;$H459)*(('Game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1" ht="24" customHeight="1">
      <c r="A461" s="332" t="str">
        <f>IF($H461="","",ROWS($A$5:A461))</f>
        <v/>
      </c>
      <c r="B461" s="332" t="str">
        <f>IF($H461="","","G-"&amp;TEXT($A461,"0000"))</f>
        <v/>
      </c>
      <c r="C461" s="331" t="str">
        <f>IF($H461="","",IFERROR(INDEX('Game Records'!$A:$A,$H461),""))</f>
        <v/>
      </c>
      <c r="D461" s="331" t="str">
        <f>IF($H461="","",IFERROR(INDEX('Game Records'!$U:$U,$H461),""))</f>
        <v/>
      </c>
      <c r="E461" s="331" t="str">
        <f>IF($H461="","",IF($F461="","No Highlighted Fields","Highlighted Fields Present"))</f>
        <v/>
      </c>
      <c r="F461" s="331" t="str">
        <f>IF($H461="","",IF(OR(NOT(ISFORMULA(INDEX('Game Records'!$N:$N,$H461))),NOT(ISFORMULA(INDEX('Game Records'!$O:$O,$H461))),NOT(ISFORMULA(INDEX('Game Records'!$P:$P,$H461))),NOT(ISFORMULA(INDEX('Game Records'!$Q:$Q,$H461))),NOT(ISFORMULA(INDEX('Game Records'!$R:$R,$H461))),NOT(ISFORMULA(INDEX('Game Records'!$S:$S,$H461))),NOT(ISFORMULA(INDEX('Game Records'!$T:$T,$H461))),NOT(ISFORMULA(INDEX('Game Records'!$U:$U,$H461))),NOT(ISFORMULA(INDEX('Game Records'!$V:$V,$H461))),NOT(ISFORMULA(INDEX('Game Records'!$W:$W,$H461))),NOT(ISFORMULA(INDEX('Game Records'!$X:$X,$H461))),NOT(ISFORMULA(INDEX('Game Records'!$Y:$Y,$H461))),NOT(ISFORMULA(INDEX('Game Records'!$Z:$Z,$H461)))),"Formula columns missing; ","")&amp;IF(INDEX('Game Records'!$B:$B,$H461)="","Start Date; ","")&amp;IF(INDEX('Game Records'!$C:$C,$H461)="","End Date; ","")&amp;IF(AND(INDEX('Game Records'!$U:$U,$H461)&lt;&gt;"Subscription",INDEX('Game Records'!$U:$U,$H461)&lt;&gt;"Free Game",INDEX('Game Records'!$U:$U,$H461)&lt;&gt;"Disqualified — Free Game",OR(INDEX('Game Records'!$D:$D,$H461)="",LOWER(INDEX('Game Records'!$D:$D,$H461)&amp;"")="n/a")),"Entry Mode; ","")&amp;IF(AND(INDEX('Game Records'!$U:$U,$H461)&lt;&gt;"Subscription",INDEX('Game Records'!$U:$U,$H461)&lt;&gt;"Free Game",INDEX('Game Records'!$U:$U,$H461)&lt;&gt;"Disqualified — Free Game",OR(INDEX('Game Records'!$E:$E,$H461)="",LOWER(INDEX('Game Records'!$E:$E,$H461)&amp;"")="n/a")),"Game Type; ","")&amp;IF(INDEX('Game Records'!$F:$F,$H461)="","Payment Type; ","")&amp;IF(AND(INDEX('Game Records'!$U:$U,$H461)&lt;&gt;"Subscription",INDEX('Game Records'!$U:$U,$H461)&lt;&gt;"Free Game",INDEX('Game Records'!$U:$U,$H461)&lt;&gt;"Disqualified — Free Game",INDEX('Game Records'!$G:$G,$H461)=""),"Gross Pot; ","")&amp;IF(AND(INDEX('Game Records'!$U:$U,$H461)&lt;&gt;"Free Game",INDEX('Game Records'!$U:$U,$H461)&lt;&gt;"Disqualified — Free Game",INDEX('Game Records'!$H:$H,$H461)=""),"Entry Fee; ","")&amp;IF(AND(INDEX('Game Records'!$U:$U,$H461)&lt;&gt;"Subscription",INDEX('Game Records'!$U:$U,$H461)&lt;&gt;"Free Game",INDEX('Game Records'!$U:$U,$H461)&lt;&gt;"Disqualified — Free Game",INDEX('Game Records'!$I:$I,$H461)=""),"Eligible Players; ","")&amp;IF(AND(INDEX('Game Records'!$U:$U,$H461)&lt;&gt;"Subscription",INDEX('Game Records'!$U:$U,$H461)&lt;&gt;"Free Game",INDEX('Game Records'!$U:$U,$H461)&lt;&gt;"Disqualified — Free Game",INDEX('Game Records'!$J:$J,$H461)=""),"Total Players; ","")&amp;IF(AND(LOWER(INDEX('Game Records'!$D:$D,$H461)&amp;"")="finalized",LOWER(INDEX('Game Records'!$L:$L,$H461)&amp;"")&lt;&gt;"yes",INDEX('Game Records'!$U:$U,$H461)&lt;&gt;"Subscription",INDEX('Game Records'!$U:$U,$H461)&lt;&gt;"Free Game",INDEX('Game Records'!$U:$U,$H461)&lt;&gt;"Disqualified — Free Game",INDEX('Game Records'!$K:$K,$H461)=""),"Final Earned; ","")&amp;IF(AND(LOWER(INDEX('Game Records'!$D:$D,$H461)&amp;"")="finalized",INDEX('Game Records'!$U:$U,$H461)&lt;&gt;"Subscription",INDEX('Game Records'!$U:$U,$H461)&lt;&gt;"Free Game",INDEX('Game Records'!$U:$U,$H461)&lt;&gt;"Disqualified — Free Game",OR(INDEX('Game Records'!$L:$L,$H461)="",LOWER(INDEX('Game Records'!$L:$L,$H461)&amp;"")="n/a")),"Disqualified Status; ","")&amp;IF(AND(OR(LOWER(TRIM(INDEX('Game Records'!$F:$F,$H461)&amp;""))="free game",INDEX('Game Records'!$U:$U,$H461)="Free Game",INDEX('Game Records'!$U:$U,$H461)="Disqualified — Free Game"),N(INDEX('Game Records'!$H:$H,$H461))&lt;&gt;0),"Free Game has a non-zero Entry Fee. Free Game records require a $0 Entry Fee; ",""))</f>
        <v/>
      </c>
      <c r="G461" s="331" t="str">
        <f>IF($H461="","",IFERROR(INDEX('Game Records'!$M:$M,$H461),""))</f>
        <v/>
      </c>
      <c r="H461" s="104" t="str">
        <f>IF($H460="","",IFERROR(MATCH(1,INDEX((ROW('Game Records'!$U$5:$U$504)&gt;$H460)*(('Game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2" ht="24" customHeight="1">
      <c r="A462" s="332" t="str">
        <f>IF($H462="","",ROWS($A$5:A462))</f>
        <v/>
      </c>
      <c r="B462" s="332" t="str">
        <f>IF($H462="","","G-"&amp;TEXT($A462,"0000"))</f>
        <v/>
      </c>
      <c r="C462" s="331" t="str">
        <f>IF($H462="","",IFERROR(INDEX('Game Records'!$A:$A,$H462),""))</f>
        <v/>
      </c>
      <c r="D462" s="331" t="str">
        <f>IF($H462="","",IFERROR(INDEX('Game Records'!$U:$U,$H462),""))</f>
        <v/>
      </c>
      <c r="E462" s="331" t="str">
        <f>IF($H462="","",IF($F462="","No Highlighted Fields","Highlighted Fields Present"))</f>
        <v/>
      </c>
      <c r="F462" s="331" t="str">
        <f>IF($H462="","",IF(OR(NOT(ISFORMULA(INDEX('Game Records'!$N:$N,$H462))),NOT(ISFORMULA(INDEX('Game Records'!$O:$O,$H462))),NOT(ISFORMULA(INDEX('Game Records'!$P:$P,$H462))),NOT(ISFORMULA(INDEX('Game Records'!$Q:$Q,$H462))),NOT(ISFORMULA(INDEX('Game Records'!$R:$R,$H462))),NOT(ISFORMULA(INDEX('Game Records'!$S:$S,$H462))),NOT(ISFORMULA(INDEX('Game Records'!$T:$T,$H462))),NOT(ISFORMULA(INDEX('Game Records'!$U:$U,$H462))),NOT(ISFORMULA(INDEX('Game Records'!$V:$V,$H462))),NOT(ISFORMULA(INDEX('Game Records'!$W:$W,$H462))),NOT(ISFORMULA(INDEX('Game Records'!$X:$X,$H462))),NOT(ISFORMULA(INDEX('Game Records'!$Y:$Y,$H462))),NOT(ISFORMULA(INDEX('Game Records'!$Z:$Z,$H462)))),"Formula columns missing; ","")&amp;IF(INDEX('Game Records'!$B:$B,$H462)="","Start Date; ","")&amp;IF(INDEX('Game Records'!$C:$C,$H462)="","End Date; ","")&amp;IF(AND(INDEX('Game Records'!$U:$U,$H462)&lt;&gt;"Subscription",INDEX('Game Records'!$U:$U,$H462)&lt;&gt;"Free Game",INDEX('Game Records'!$U:$U,$H462)&lt;&gt;"Disqualified — Free Game",OR(INDEX('Game Records'!$D:$D,$H462)="",LOWER(INDEX('Game Records'!$D:$D,$H462)&amp;"")="n/a")),"Entry Mode; ","")&amp;IF(AND(INDEX('Game Records'!$U:$U,$H462)&lt;&gt;"Subscription",INDEX('Game Records'!$U:$U,$H462)&lt;&gt;"Free Game",INDEX('Game Records'!$U:$U,$H462)&lt;&gt;"Disqualified — Free Game",OR(INDEX('Game Records'!$E:$E,$H462)="",LOWER(INDEX('Game Records'!$E:$E,$H462)&amp;"")="n/a")),"Game Type; ","")&amp;IF(INDEX('Game Records'!$F:$F,$H462)="","Payment Type; ","")&amp;IF(AND(INDEX('Game Records'!$U:$U,$H462)&lt;&gt;"Subscription",INDEX('Game Records'!$U:$U,$H462)&lt;&gt;"Free Game",INDEX('Game Records'!$U:$U,$H462)&lt;&gt;"Disqualified — Free Game",INDEX('Game Records'!$G:$G,$H462)=""),"Gross Pot; ","")&amp;IF(AND(INDEX('Game Records'!$U:$U,$H462)&lt;&gt;"Free Game",INDEX('Game Records'!$U:$U,$H462)&lt;&gt;"Disqualified — Free Game",INDEX('Game Records'!$H:$H,$H462)=""),"Entry Fee; ","")&amp;IF(AND(INDEX('Game Records'!$U:$U,$H462)&lt;&gt;"Subscription",INDEX('Game Records'!$U:$U,$H462)&lt;&gt;"Free Game",INDEX('Game Records'!$U:$U,$H462)&lt;&gt;"Disqualified — Free Game",INDEX('Game Records'!$I:$I,$H462)=""),"Eligible Players; ","")&amp;IF(AND(INDEX('Game Records'!$U:$U,$H462)&lt;&gt;"Subscription",INDEX('Game Records'!$U:$U,$H462)&lt;&gt;"Free Game",INDEX('Game Records'!$U:$U,$H462)&lt;&gt;"Disqualified — Free Game",INDEX('Game Records'!$J:$J,$H462)=""),"Total Players; ","")&amp;IF(AND(LOWER(INDEX('Game Records'!$D:$D,$H462)&amp;"")="finalized",LOWER(INDEX('Game Records'!$L:$L,$H462)&amp;"")&lt;&gt;"yes",INDEX('Game Records'!$U:$U,$H462)&lt;&gt;"Subscription",INDEX('Game Records'!$U:$U,$H462)&lt;&gt;"Free Game",INDEX('Game Records'!$U:$U,$H462)&lt;&gt;"Disqualified — Free Game",INDEX('Game Records'!$K:$K,$H462)=""),"Final Earned; ","")&amp;IF(AND(LOWER(INDEX('Game Records'!$D:$D,$H462)&amp;"")="finalized",INDEX('Game Records'!$U:$U,$H462)&lt;&gt;"Subscription",INDEX('Game Records'!$U:$U,$H462)&lt;&gt;"Free Game",INDEX('Game Records'!$U:$U,$H462)&lt;&gt;"Disqualified — Free Game",OR(INDEX('Game Records'!$L:$L,$H462)="",LOWER(INDEX('Game Records'!$L:$L,$H462)&amp;"")="n/a")),"Disqualified Status; ","")&amp;IF(AND(OR(LOWER(TRIM(INDEX('Game Records'!$F:$F,$H462)&amp;""))="free game",INDEX('Game Records'!$U:$U,$H462)="Free Game",INDEX('Game Records'!$U:$U,$H462)="Disqualified — Free Game"),N(INDEX('Game Records'!$H:$H,$H462))&lt;&gt;0),"Free Game has a non-zero Entry Fee. Free Game records require a $0 Entry Fee; ",""))</f>
        <v/>
      </c>
      <c r="G462" s="331" t="str">
        <f>IF($H462="","",IFERROR(INDEX('Game Records'!$M:$M,$H462),""))</f>
        <v/>
      </c>
      <c r="H462" s="104" t="str">
        <f>IF($H461="","",IFERROR(MATCH(1,INDEX((ROW('Game Records'!$U$5:$U$504)&gt;$H461)*(('Game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3" ht="24" customHeight="1">
      <c r="A463" s="332" t="str">
        <f>IF($H463="","",ROWS($A$5:A463))</f>
        <v/>
      </c>
      <c r="B463" s="332" t="str">
        <f>IF($H463="","","G-"&amp;TEXT($A463,"0000"))</f>
        <v/>
      </c>
      <c r="C463" s="331" t="str">
        <f>IF($H463="","",IFERROR(INDEX('Game Records'!$A:$A,$H463),""))</f>
        <v/>
      </c>
      <c r="D463" s="331" t="str">
        <f>IF($H463="","",IFERROR(INDEX('Game Records'!$U:$U,$H463),""))</f>
        <v/>
      </c>
      <c r="E463" s="331" t="str">
        <f>IF($H463="","",IF($F463="","No Highlighted Fields","Highlighted Fields Present"))</f>
        <v/>
      </c>
      <c r="F463" s="331" t="str">
        <f>IF($H463="","",IF(OR(NOT(ISFORMULA(INDEX('Game Records'!$N:$N,$H463))),NOT(ISFORMULA(INDEX('Game Records'!$O:$O,$H463))),NOT(ISFORMULA(INDEX('Game Records'!$P:$P,$H463))),NOT(ISFORMULA(INDEX('Game Records'!$Q:$Q,$H463))),NOT(ISFORMULA(INDEX('Game Records'!$R:$R,$H463))),NOT(ISFORMULA(INDEX('Game Records'!$S:$S,$H463))),NOT(ISFORMULA(INDEX('Game Records'!$T:$T,$H463))),NOT(ISFORMULA(INDEX('Game Records'!$U:$U,$H463))),NOT(ISFORMULA(INDEX('Game Records'!$V:$V,$H463))),NOT(ISFORMULA(INDEX('Game Records'!$W:$W,$H463))),NOT(ISFORMULA(INDEX('Game Records'!$X:$X,$H463))),NOT(ISFORMULA(INDEX('Game Records'!$Y:$Y,$H463))),NOT(ISFORMULA(INDEX('Game Records'!$Z:$Z,$H463)))),"Formula columns missing; ","")&amp;IF(INDEX('Game Records'!$B:$B,$H463)="","Start Date; ","")&amp;IF(INDEX('Game Records'!$C:$C,$H463)="","End Date; ","")&amp;IF(AND(INDEX('Game Records'!$U:$U,$H463)&lt;&gt;"Subscription",INDEX('Game Records'!$U:$U,$H463)&lt;&gt;"Free Game",INDEX('Game Records'!$U:$U,$H463)&lt;&gt;"Disqualified — Free Game",OR(INDEX('Game Records'!$D:$D,$H463)="",LOWER(INDEX('Game Records'!$D:$D,$H463)&amp;"")="n/a")),"Entry Mode; ","")&amp;IF(AND(INDEX('Game Records'!$U:$U,$H463)&lt;&gt;"Subscription",INDEX('Game Records'!$U:$U,$H463)&lt;&gt;"Free Game",INDEX('Game Records'!$U:$U,$H463)&lt;&gt;"Disqualified — Free Game",OR(INDEX('Game Records'!$E:$E,$H463)="",LOWER(INDEX('Game Records'!$E:$E,$H463)&amp;"")="n/a")),"Game Type; ","")&amp;IF(INDEX('Game Records'!$F:$F,$H463)="","Payment Type; ","")&amp;IF(AND(INDEX('Game Records'!$U:$U,$H463)&lt;&gt;"Subscription",INDEX('Game Records'!$U:$U,$H463)&lt;&gt;"Free Game",INDEX('Game Records'!$U:$U,$H463)&lt;&gt;"Disqualified — Free Game",INDEX('Game Records'!$G:$G,$H463)=""),"Gross Pot; ","")&amp;IF(AND(INDEX('Game Records'!$U:$U,$H463)&lt;&gt;"Free Game",INDEX('Game Records'!$U:$U,$H463)&lt;&gt;"Disqualified — Free Game",INDEX('Game Records'!$H:$H,$H463)=""),"Entry Fee; ","")&amp;IF(AND(INDEX('Game Records'!$U:$U,$H463)&lt;&gt;"Subscription",INDEX('Game Records'!$U:$U,$H463)&lt;&gt;"Free Game",INDEX('Game Records'!$U:$U,$H463)&lt;&gt;"Disqualified — Free Game",INDEX('Game Records'!$I:$I,$H463)=""),"Eligible Players; ","")&amp;IF(AND(INDEX('Game Records'!$U:$U,$H463)&lt;&gt;"Subscription",INDEX('Game Records'!$U:$U,$H463)&lt;&gt;"Free Game",INDEX('Game Records'!$U:$U,$H463)&lt;&gt;"Disqualified — Free Game",INDEX('Game Records'!$J:$J,$H463)=""),"Total Players; ","")&amp;IF(AND(LOWER(INDEX('Game Records'!$D:$D,$H463)&amp;"")="finalized",LOWER(INDEX('Game Records'!$L:$L,$H463)&amp;"")&lt;&gt;"yes",INDEX('Game Records'!$U:$U,$H463)&lt;&gt;"Subscription",INDEX('Game Records'!$U:$U,$H463)&lt;&gt;"Free Game",INDEX('Game Records'!$U:$U,$H463)&lt;&gt;"Disqualified — Free Game",INDEX('Game Records'!$K:$K,$H463)=""),"Final Earned; ","")&amp;IF(AND(LOWER(INDEX('Game Records'!$D:$D,$H463)&amp;"")="finalized",INDEX('Game Records'!$U:$U,$H463)&lt;&gt;"Subscription",INDEX('Game Records'!$U:$U,$H463)&lt;&gt;"Free Game",INDEX('Game Records'!$U:$U,$H463)&lt;&gt;"Disqualified — Free Game",OR(INDEX('Game Records'!$L:$L,$H463)="",LOWER(INDEX('Game Records'!$L:$L,$H463)&amp;"")="n/a")),"Disqualified Status; ","")&amp;IF(AND(OR(LOWER(TRIM(INDEX('Game Records'!$F:$F,$H463)&amp;""))="free game",INDEX('Game Records'!$U:$U,$H463)="Free Game",INDEX('Game Records'!$U:$U,$H463)="Disqualified — Free Game"),N(INDEX('Game Records'!$H:$H,$H463))&lt;&gt;0),"Free Game has a non-zero Entry Fee. Free Game records require a $0 Entry Fee; ",""))</f>
        <v/>
      </c>
      <c r="G463" s="331" t="str">
        <f>IF($H463="","",IFERROR(INDEX('Game Records'!$M:$M,$H463),""))</f>
        <v/>
      </c>
      <c r="H463" s="104" t="str">
        <f>IF($H462="","",IFERROR(MATCH(1,INDEX((ROW('Game Records'!$U$5:$U$504)&gt;$H462)*(('Game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4" ht="24" customHeight="1">
      <c r="A464" s="332" t="str">
        <f>IF($H464="","",ROWS($A$5:A464))</f>
        <v/>
      </c>
      <c r="B464" s="332" t="str">
        <f>IF($H464="","","G-"&amp;TEXT($A464,"0000"))</f>
        <v/>
      </c>
      <c r="C464" s="331" t="str">
        <f>IF($H464="","",IFERROR(INDEX('Game Records'!$A:$A,$H464),""))</f>
        <v/>
      </c>
      <c r="D464" s="331" t="str">
        <f>IF($H464="","",IFERROR(INDEX('Game Records'!$U:$U,$H464),""))</f>
        <v/>
      </c>
      <c r="E464" s="331" t="str">
        <f>IF($H464="","",IF($F464="","No Highlighted Fields","Highlighted Fields Present"))</f>
        <v/>
      </c>
      <c r="F464" s="331" t="str">
        <f>IF($H464="","",IF(OR(NOT(ISFORMULA(INDEX('Game Records'!$N:$N,$H464))),NOT(ISFORMULA(INDEX('Game Records'!$O:$O,$H464))),NOT(ISFORMULA(INDEX('Game Records'!$P:$P,$H464))),NOT(ISFORMULA(INDEX('Game Records'!$Q:$Q,$H464))),NOT(ISFORMULA(INDEX('Game Records'!$R:$R,$H464))),NOT(ISFORMULA(INDEX('Game Records'!$S:$S,$H464))),NOT(ISFORMULA(INDEX('Game Records'!$T:$T,$H464))),NOT(ISFORMULA(INDEX('Game Records'!$U:$U,$H464))),NOT(ISFORMULA(INDEX('Game Records'!$V:$V,$H464))),NOT(ISFORMULA(INDEX('Game Records'!$W:$W,$H464))),NOT(ISFORMULA(INDEX('Game Records'!$X:$X,$H464))),NOT(ISFORMULA(INDEX('Game Records'!$Y:$Y,$H464))),NOT(ISFORMULA(INDEX('Game Records'!$Z:$Z,$H464)))),"Formula columns missing; ","")&amp;IF(INDEX('Game Records'!$B:$B,$H464)="","Start Date; ","")&amp;IF(INDEX('Game Records'!$C:$C,$H464)="","End Date; ","")&amp;IF(AND(INDEX('Game Records'!$U:$U,$H464)&lt;&gt;"Subscription",INDEX('Game Records'!$U:$U,$H464)&lt;&gt;"Free Game",INDEX('Game Records'!$U:$U,$H464)&lt;&gt;"Disqualified — Free Game",OR(INDEX('Game Records'!$D:$D,$H464)="",LOWER(INDEX('Game Records'!$D:$D,$H464)&amp;"")="n/a")),"Entry Mode; ","")&amp;IF(AND(INDEX('Game Records'!$U:$U,$H464)&lt;&gt;"Subscription",INDEX('Game Records'!$U:$U,$H464)&lt;&gt;"Free Game",INDEX('Game Records'!$U:$U,$H464)&lt;&gt;"Disqualified — Free Game",OR(INDEX('Game Records'!$E:$E,$H464)="",LOWER(INDEX('Game Records'!$E:$E,$H464)&amp;"")="n/a")),"Game Type; ","")&amp;IF(INDEX('Game Records'!$F:$F,$H464)="","Payment Type; ","")&amp;IF(AND(INDEX('Game Records'!$U:$U,$H464)&lt;&gt;"Subscription",INDEX('Game Records'!$U:$U,$H464)&lt;&gt;"Free Game",INDEX('Game Records'!$U:$U,$H464)&lt;&gt;"Disqualified — Free Game",INDEX('Game Records'!$G:$G,$H464)=""),"Gross Pot; ","")&amp;IF(AND(INDEX('Game Records'!$U:$U,$H464)&lt;&gt;"Free Game",INDEX('Game Records'!$U:$U,$H464)&lt;&gt;"Disqualified — Free Game",INDEX('Game Records'!$H:$H,$H464)=""),"Entry Fee; ","")&amp;IF(AND(INDEX('Game Records'!$U:$U,$H464)&lt;&gt;"Subscription",INDEX('Game Records'!$U:$U,$H464)&lt;&gt;"Free Game",INDEX('Game Records'!$U:$U,$H464)&lt;&gt;"Disqualified — Free Game",INDEX('Game Records'!$I:$I,$H464)=""),"Eligible Players; ","")&amp;IF(AND(INDEX('Game Records'!$U:$U,$H464)&lt;&gt;"Subscription",INDEX('Game Records'!$U:$U,$H464)&lt;&gt;"Free Game",INDEX('Game Records'!$U:$U,$H464)&lt;&gt;"Disqualified — Free Game",INDEX('Game Records'!$J:$J,$H464)=""),"Total Players; ","")&amp;IF(AND(LOWER(INDEX('Game Records'!$D:$D,$H464)&amp;"")="finalized",LOWER(INDEX('Game Records'!$L:$L,$H464)&amp;"")&lt;&gt;"yes",INDEX('Game Records'!$U:$U,$H464)&lt;&gt;"Subscription",INDEX('Game Records'!$U:$U,$H464)&lt;&gt;"Free Game",INDEX('Game Records'!$U:$U,$H464)&lt;&gt;"Disqualified — Free Game",INDEX('Game Records'!$K:$K,$H464)=""),"Final Earned; ","")&amp;IF(AND(LOWER(INDEX('Game Records'!$D:$D,$H464)&amp;"")="finalized",INDEX('Game Records'!$U:$U,$H464)&lt;&gt;"Subscription",INDEX('Game Records'!$U:$U,$H464)&lt;&gt;"Free Game",INDEX('Game Records'!$U:$U,$H464)&lt;&gt;"Disqualified — Free Game",OR(INDEX('Game Records'!$L:$L,$H464)="",LOWER(INDEX('Game Records'!$L:$L,$H464)&amp;"")="n/a")),"Disqualified Status; ","")&amp;IF(AND(OR(LOWER(TRIM(INDEX('Game Records'!$F:$F,$H464)&amp;""))="free game",INDEX('Game Records'!$U:$U,$H464)="Free Game",INDEX('Game Records'!$U:$U,$H464)="Disqualified — Free Game"),N(INDEX('Game Records'!$H:$H,$H464))&lt;&gt;0),"Free Game has a non-zero Entry Fee. Free Game records require a $0 Entry Fee; ",""))</f>
        <v/>
      </c>
      <c r="G464" s="331" t="str">
        <f>IF($H464="","",IFERROR(INDEX('Game Records'!$M:$M,$H464),""))</f>
        <v/>
      </c>
      <c r="H464" s="104" t="str">
        <f>IF($H463="","",IFERROR(MATCH(1,INDEX((ROW('Game Records'!$U$5:$U$504)&gt;$H463)*(('Game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5" ht="24" customHeight="1">
      <c r="A465" s="332" t="str">
        <f>IF($H465="","",ROWS($A$5:A465))</f>
        <v/>
      </c>
      <c r="B465" s="332" t="str">
        <f>IF($H465="","","G-"&amp;TEXT($A465,"0000"))</f>
        <v/>
      </c>
      <c r="C465" s="331" t="str">
        <f>IF($H465="","",IFERROR(INDEX('Game Records'!$A:$A,$H465),""))</f>
        <v/>
      </c>
      <c r="D465" s="331" t="str">
        <f>IF($H465="","",IFERROR(INDEX('Game Records'!$U:$U,$H465),""))</f>
        <v/>
      </c>
      <c r="E465" s="331" t="str">
        <f>IF($H465="","",IF($F465="","No Highlighted Fields","Highlighted Fields Present"))</f>
        <v/>
      </c>
      <c r="F465" s="331" t="str">
        <f>IF($H465="","",IF(OR(NOT(ISFORMULA(INDEX('Game Records'!$N:$N,$H465))),NOT(ISFORMULA(INDEX('Game Records'!$O:$O,$H465))),NOT(ISFORMULA(INDEX('Game Records'!$P:$P,$H465))),NOT(ISFORMULA(INDEX('Game Records'!$Q:$Q,$H465))),NOT(ISFORMULA(INDEX('Game Records'!$R:$R,$H465))),NOT(ISFORMULA(INDEX('Game Records'!$S:$S,$H465))),NOT(ISFORMULA(INDEX('Game Records'!$T:$T,$H465))),NOT(ISFORMULA(INDEX('Game Records'!$U:$U,$H465))),NOT(ISFORMULA(INDEX('Game Records'!$V:$V,$H465))),NOT(ISFORMULA(INDEX('Game Records'!$W:$W,$H465))),NOT(ISFORMULA(INDEX('Game Records'!$X:$X,$H465))),NOT(ISFORMULA(INDEX('Game Records'!$Y:$Y,$H465))),NOT(ISFORMULA(INDEX('Game Records'!$Z:$Z,$H465)))),"Formula columns missing; ","")&amp;IF(INDEX('Game Records'!$B:$B,$H465)="","Start Date; ","")&amp;IF(INDEX('Game Records'!$C:$C,$H465)="","End Date; ","")&amp;IF(AND(INDEX('Game Records'!$U:$U,$H465)&lt;&gt;"Subscription",INDEX('Game Records'!$U:$U,$H465)&lt;&gt;"Free Game",INDEX('Game Records'!$U:$U,$H465)&lt;&gt;"Disqualified — Free Game",OR(INDEX('Game Records'!$D:$D,$H465)="",LOWER(INDEX('Game Records'!$D:$D,$H465)&amp;"")="n/a")),"Entry Mode; ","")&amp;IF(AND(INDEX('Game Records'!$U:$U,$H465)&lt;&gt;"Subscription",INDEX('Game Records'!$U:$U,$H465)&lt;&gt;"Free Game",INDEX('Game Records'!$U:$U,$H465)&lt;&gt;"Disqualified — Free Game",OR(INDEX('Game Records'!$E:$E,$H465)="",LOWER(INDEX('Game Records'!$E:$E,$H465)&amp;"")="n/a")),"Game Type; ","")&amp;IF(INDEX('Game Records'!$F:$F,$H465)="","Payment Type; ","")&amp;IF(AND(INDEX('Game Records'!$U:$U,$H465)&lt;&gt;"Subscription",INDEX('Game Records'!$U:$U,$H465)&lt;&gt;"Free Game",INDEX('Game Records'!$U:$U,$H465)&lt;&gt;"Disqualified — Free Game",INDEX('Game Records'!$G:$G,$H465)=""),"Gross Pot; ","")&amp;IF(AND(INDEX('Game Records'!$U:$U,$H465)&lt;&gt;"Free Game",INDEX('Game Records'!$U:$U,$H465)&lt;&gt;"Disqualified — Free Game",INDEX('Game Records'!$H:$H,$H465)=""),"Entry Fee; ","")&amp;IF(AND(INDEX('Game Records'!$U:$U,$H465)&lt;&gt;"Subscription",INDEX('Game Records'!$U:$U,$H465)&lt;&gt;"Free Game",INDEX('Game Records'!$U:$U,$H465)&lt;&gt;"Disqualified — Free Game",INDEX('Game Records'!$I:$I,$H465)=""),"Eligible Players; ","")&amp;IF(AND(INDEX('Game Records'!$U:$U,$H465)&lt;&gt;"Subscription",INDEX('Game Records'!$U:$U,$H465)&lt;&gt;"Free Game",INDEX('Game Records'!$U:$U,$H465)&lt;&gt;"Disqualified — Free Game",INDEX('Game Records'!$J:$J,$H465)=""),"Total Players; ","")&amp;IF(AND(LOWER(INDEX('Game Records'!$D:$D,$H465)&amp;"")="finalized",LOWER(INDEX('Game Records'!$L:$L,$H465)&amp;"")&lt;&gt;"yes",INDEX('Game Records'!$U:$U,$H465)&lt;&gt;"Subscription",INDEX('Game Records'!$U:$U,$H465)&lt;&gt;"Free Game",INDEX('Game Records'!$U:$U,$H465)&lt;&gt;"Disqualified — Free Game",INDEX('Game Records'!$K:$K,$H465)=""),"Final Earned; ","")&amp;IF(AND(LOWER(INDEX('Game Records'!$D:$D,$H465)&amp;"")="finalized",INDEX('Game Records'!$U:$U,$H465)&lt;&gt;"Subscription",INDEX('Game Records'!$U:$U,$H465)&lt;&gt;"Free Game",INDEX('Game Records'!$U:$U,$H465)&lt;&gt;"Disqualified — Free Game",OR(INDEX('Game Records'!$L:$L,$H465)="",LOWER(INDEX('Game Records'!$L:$L,$H465)&amp;"")="n/a")),"Disqualified Status; ","")&amp;IF(AND(OR(LOWER(TRIM(INDEX('Game Records'!$F:$F,$H465)&amp;""))="free game",INDEX('Game Records'!$U:$U,$H465)="Free Game",INDEX('Game Records'!$U:$U,$H465)="Disqualified — Free Game"),N(INDEX('Game Records'!$H:$H,$H465))&lt;&gt;0),"Free Game has a non-zero Entry Fee. Free Game records require a $0 Entry Fee; ",""))</f>
        <v/>
      </c>
      <c r="G465" s="331" t="str">
        <f>IF($H465="","",IFERROR(INDEX('Game Records'!$M:$M,$H465),""))</f>
        <v/>
      </c>
      <c r="H465" s="104" t="str">
        <f>IF($H464="","",IFERROR(MATCH(1,INDEX((ROW('Game Records'!$U$5:$U$504)&gt;$H464)*(('Game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6" ht="24" customHeight="1">
      <c r="A466" s="332" t="str">
        <f>IF($H466="","",ROWS($A$5:A466))</f>
        <v/>
      </c>
      <c r="B466" s="332" t="str">
        <f>IF($H466="","","G-"&amp;TEXT($A466,"0000"))</f>
        <v/>
      </c>
      <c r="C466" s="331" t="str">
        <f>IF($H466="","",IFERROR(INDEX('Game Records'!$A:$A,$H466),""))</f>
        <v/>
      </c>
      <c r="D466" s="331" t="str">
        <f>IF($H466="","",IFERROR(INDEX('Game Records'!$U:$U,$H466),""))</f>
        <v/>
      </c>
      <c r="E466" s="331" t="str">
        <f>IF($H466="","",IF($F466="","No Highlighted Fields","Highlighted Fields Present"))</f>
        <v/>
      </c>
      <c r="F466" s="331" t="str">
        <f>IF($H466="","",IF(OR(NOT(ISFORMULA(INDEX('Game Records'!$N:$N,$H466))),NOT(ISFORMULA(INDEX('Game Records'!$O:$O,$H466))),NOT(ISFORMULA(INDEX('Game Records'!$P:$P,$H466))),NOT(ISFORMULA(INDEX('Game Records'!$Q:$Q,$H466))),NOT(ISFORMULA(INDEX('Game Records'!$R:$R,$H466))),NOT(ISFORMULA(INDEX('Game Records'!$S:$S,$H466))),NOT(ISFORMULA(INDEX('Game Records'!$T:$T,$H466))),NOT(ISFORMULA(INDEX('Game Records'!$U:$U,$H466))),NOT(ISFORMULA(INDEX('Game Records'!$V:$V,$H466))),NOT(ISFORMULA(INDEX('Game Records'!$W:$W,$H466))),NOT(ISFORMULA(INDEX('Game Records'!$X:$X,$H466))),NOT(ISFORMULA(INDEX('Game Records'!$Y:$Y,$H466))),NOT(ISFORMULA(INDEX('Game Records'!$Z:$Z,$H466)))),"Formula columns missing; ","")&amp;IF(INDEX('Game Records'!$B:$B,$H466)="","Start Date; ","")&amp;IF(INDEX('Game Records'!$C:$C,$H466)="","End Date; ","")&amp;IF(AND(INDEX('Game Records'!$U:$U,$H466)&lt;&gt;"Subscription",INDEX('Game Records'!$U:$U,$H466)&lt;&gt;"Free Game",INDEX('Game Records'!$U:$U,$H466)&lt;&gt;"Disqualified — Free Game",OR(INDEX('Game Records'!$D:$D,$H466)="",LOWER(INDEX('Game Records'!$D:$D,$H466)&amp;"")="n/a")),"Entry Mode; ","")&amp;IF(AND(INDEX('Game Records'!$U:$U,$H466)&lt;&gt;"Subscription",INDEX('Game Records'!$U:$U,$H466)&lt;&gt;"Free Game",INDEX('Game Records'!$U:$U,$H466)&lt;&gt;"Disqualified — Free Game",OR(INDEX('Game Records'!$E:$E,$H466)="",LOWER(INDEX('Game Records'!$E:$E,$H466)&amp;"")="n/a")),"Game Type; ","")&amp;IF(INDEX('Game Records'!$F:$F,$H466)="","Payment Type; ","")&amp;IF(AND(INDEX('Game Records'!$U:$U,$H466)&lt;&gt;"Subscription",INDEX('Game Records'!$U:$U,$H466)&lt;&gt;"Free Game",INDEX('Game Records'!$U:$U,$H466)&lt;&gt;"Disqualified — Free Game",INDEX('Game Records'!$G:$G,$H466)=""),"Gross Pot; ","")&amp;IF(AND(INDEX('Game Records'!$U:$U,$H466)&lt;&gt;"Free Game",INDEX('Game Records'!$U:$U,$H466)&lt;&gt;"Disqualified — Free Game",INDEX('Game Records'!$H:$H,$H466)=""),"Entry Fee; ","")&amp;IF(AND(INDEX('Game Records'!$U:$U,$H466)&lt;&gt;"Subscription",INDEX('Game Records'!$U:$U,$H466)&lt;&gt;"Free Game",INDEX('Game Records'!$U:$U,$H466)&lt;&gt;"Disqualified — Free Game",INDEX('Game Records'!$I:$I,$H466)=""),"Eligible Players; ","")&amp;IF(AND(INDEX('Game Records'!$U:$U,$H466)&lt;&gt;"Subscription",INDEX('Game Records'!$U:$U,$H466)&lt;&gt;"Free Game",INDEX('Game Records'!$U:$U,$H466)&lt;&gt;"Disqualified — Free Game",INDEX('Game Records'!$J:$J,$H466)=""),"Total Players; ","")&amp;IF(AND(LOWER(INDEX('Game Records'!$D:$D,$H466)&amp;"")="finalized",LOWER(INDEX('Game Records'!$L:$L,$H466)&amp;"")&lt;&gt;"yes",INDEX('Game Records'!$U:$U,$H466)&lt;&gt;"Subscription",INDEX('Game Records'!$U:$U,$H466)&lt;&gt;"Free Game",INDEX('Game Records'!$U:$U,$H466)&lt;&gt;"Disqualified — Free Game",INDEX('Game Records'!$K:$K,$H466)=""),"Final Earned; ","")&amp;IF(AND(LOWER(INDEX('Game Records'!$D:$D,$H466)&amp;"")="finalized",INDEX('Game Records'!$U:$U,$H466)&lt;&gt;"Subscription",INDEX('Game Records'!$U:$U,$H466)&lt;&gt;"Free Game",INDEX('Game Records'!$U:$U,$H466)&lt;&gt;"Disqualified — Free Game",OR(INDEX('Game Records'!$L:$L,$H466)="",LOWER(INDEX('Game Records'!$L:$L,$H466)&amp;"")="n/a")),"Disqualified Status; ","")&amp;IF(AND(OR(LOWER(TRIM(INDEX('Game Records'!$F:$F,$H466)&amp;""))="free game",INDEX('Game Records'!$U:$U,$H466)="Free Game",INDEX('Game Records'!$U:$U,$H466)="Disqualified — Free Game"),N(INDEX('Game Records'!$H:$H,$H466))&lt;&gt;0),"Free Game has a non-zero Entry Fee. Free Game records require a $0 Entry Fee; ",""))</f>
        <v/>
      </c>
      <c r="G466" s="331" t="str">
        <f>IF($H466="","",IFERROR(INDEX('Game Records'!$M:$M,$H466),""))</f>
        <v/>
      </c>
      <c r="H466" s="104" t="str">
        <f>IF($H465="","",IFERROR(MATCH(1,INDEX((ROW('Game Records'!$U$5:$U$504)&gt;$H465)*(('Game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7" ht="24" customHeight="1">
      <c r="A467" s="332" t="str">
        <f>IF($H467="","",ROWS($A$5:A467))</f>
        <v/>
      </c>
      <c r="B467" s="332" t="str">
        <f>IF($H467="","","G-"&amp;TEXT($A467,"0000"))</f>
        <v/>
      </c>
      <c r="C467" s="331" t="str">
        <f>IF($H467="","",IFERROR(INDEX('Game Records'!$A:$A,$H467),""))</f>
        <v/>
      </c>
      <c r="D467" s="331" t="str">
        <f>IF($H467="","",IFERROR(INDEX('Game Records'!$U:$U,$H467),""))</f>
        <v/>
      </c>
      <c r="E467" s="331" t="str">
        <f>IF($H467="","",IF($F467="","No Highlighted Fields","Highlighted Fields Present"))</f>
        <v/>
      </c>
      <c r="F467" s="331" t="str">
        <f>IF($H467="","",IF(OR(NOT(ISFORMULA(INDEX('Game Records'!$N:$N,$H467))),NOT(ISFORMULA(INDEX('Game Records'!$O:$O,$H467))),NOT(ISFORMULA(INDEX('Game Records'!$P:$P,$H467))),NOT(ISFORMULA(INDEX('Game Records'!$Q:$Q,$H467))),NOT(ISFORMULA(INDEX('Game Records'!$R:$R,$H467))),NOT(ISFORMULA(INDEX('Game Records'!$S:$S,$H467))),NOT(ISFORMULA(INDEX('Game Records'!$T:$T,$H467))),NOT(ISFORMULA(INDEX('Game Records'!$U:$U,$H467))),NOT(ISFORMULA(INDEX('Game Records'!$V:$V,$H467))),NOT(ISFORMULA(INDEX('Game Records'!$W:$W,$H467))),NOT(ISFORMULA(INDEX('Game Records'!$X:$X,$H467))),NOT(ISFORMULA(INDEX('Game Records'!$Y:$Y,$H467))),NOT(ISFORMULA(INDEX('Game Records'!$Z:$Z,$H467)))),"Formula columns missing; ","")&amp;IF(INDEX('Game Records'!$B:$B,$H467)="","Start Date; ","")&amp;IF(INDEX('Game Records'!$C:$C,$H467)="","End Date; ","")&amp;IF(AND(INDEX('Game Records'!$U:$U,$H467)&lt;&gt;"Subscription",INDEX('Game Records'!$U:$U,$H467)&lt;&gt;"Free Game",INDEX('Game Records'!$U:$U,$H467)&lt;&gt;"Disqualified — Free Game",OR(INDEX('Game Records'!$D:$D,$H467)="",LOWER(INDEX('Game Records'!$D:$D,$H467)&amp;"")="n/a")),"Entry Mode; ","")&amp;IF(AND(INDEX('Game Records'!$U:$U,$H467)&lt;&gt;"Subscription",INDEX('Game Records'!$U:$U,$H467)&lt;&gt;"Free Game",INDEX('Game Records'!$U:$U,$H467)&lt;&gt;"Disqualified — Free Game",OR(INDEX('Game Records'!$E:$E,$H467)="",LOWER(INDEX('Game Records'!$E:$E,$H467)&amp;"")="n/a")),"Game Type; ","")&amp;IF(INDEX('Game Records'!$F:$F,$H467)="","Payment Type; ","")&amp;IF(AND(INDEX('Game Records'!$U:$U,$H467)&lt;&gt;"Subscription",INDEX('Game Records'!$U:$U,$H467)&lt;&gt;"Free Game",INDEX('Game Records'!$U:$U,$H467)&lt;&gt;"Disqualified — Free Game",INDEX('Game Records'!$G:$G,$H467)=""),"Gross Pot; ","")&amp;IF(AND(INDEX('Game Records'!$U:$U,$H467)&lt;&gt;"Free Game",INDEX('Game Records'!$U:$U,$H467)&lt;&gt;"Disqualified — Free Game",INDEX('Game Records'!$H:$H,$H467)=""),"Entry Fee; ","")&amp;IF(AND(INDEX('Game Records'!$U:$U,$H467)&lt;&gt;"Subscription",INDEX('Game Records'!$U:$U,$H467)&lt;&gt;"Free Game",INDEX('Game Records'!$U:$U,$H467)&lt;&gt;"Disqualified — Free Game",INDEX('Game Records'!$I:$I,$H467)=""),"Eligible Players; ","")&amp;IF(AND(INDEX('Game Records'!$U:$U,$H467)&lt;&gt;"Subscription",INDEX('Game Records'!$U:$U,$H467)&lt;&gt;"Free Game",INDEX('Game Records'!$U:$U,$H467)&lt;&gt;"Disqualified — Free Game",INDEX('Game Records'!$J:$J,$H467)=""),"Total Players; ","")&amp;IF(AND(LOWER(INDEX('Game Records'!$D:$D,$H467)&amp;"")="finalized",LOWER(INDEX('Game Records'!$L:$L,$H467)&amp;"")&lt;&gt;"yes",INDEX('Game Records'!$U:$U,$H467)&lt;&gt;"Subscription",INDEX('Game Records'!$U:$U,$H467)&lt;&gt;"Free Game",INDEX('Game Records'!$U:$U,$H467)&lt;&gt;"Disqualified — Free Game",INDEX('Game Records'!$K:$K,$H467)=""),"Final Earned; ","")&amp;IF(AND(LOWER(INDEX('Game Records'!$D:$D,$H467)&amp;"")="finalized",INDEX('Game Records'!$U:$U,$H467)&lt;&gt;"Subscription",INDEX('Game Records'!$U:$U,$H467)&lt;&gt;"Free Game",INDEX('Game Records'!$U:$U,$H467)&lt;&gt;"Disqualified — Free Game",OR(INDEX('Game Records'!$L:$L,$H467)="",LOWER(INDEX('Game Records'!$L:$L,$H467)&amp;"")="n/a")),"Disqualified Status; ","")&amp;IF(AND(OR(LOWER(TRIM(INDEX('Game Records'!$F:$F,$H467)&amp;""))="free game",INDEX('Game Records'!$U:$U,$H467)="Free Game",INDEX('Game Records'!$U:$U,$H467)="Disqualified — Free Game"),N(INDEX('Game Records'!$H:$H,$H467))&lt;&gt;0),"Free Game has a non-zero Entry Fee. Free Game records require a $0 Entry Fee; ",""))</f>
        <v/>
      </c>
      <c r="G467" s="331" t="str">
        <f>IF($H467="","",IFERROR(INDEX('Game Records'!$M:$M,$H467),""))</f>
        <v/>
      </c>
      <c r="H467" s="104" t="str">
        <f>IF($H466="","",IFERROR(MATCH(1,INDEX((ROW('Game Records'!$U$5:$U$504)&gt;$H466)*(('Game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8" ht="24" customHeight="1">
      <c r="A468" s="332" t="str">
        <f>IF($H468="","",ROWS($A$5:A468))</f>
        <v/>
      </c>
      <c r="B468" s="332" t="str">
        <f>IF($H468="","","G-"&amp;TEXT($A468,"0000"))</f>
        <v/>
      </c>
      <c r="C468" s="331" t="str">
        <f>IF($H468="","",IFERROR(INDEX('Game Records'!$A:$A,$H468),""))</f>
        <v/>
      </c>
      <c r="D468" s="331" t="str">
        <f>IF($H468="","",IFERROR(INDEX('Game Records'!$U:$U,$H468),""))</f>
        <v/>
      </c>
      <c r="E468" s="331" t="str">
        <f>IF($H468="","",IF($F468="","No Highlighted Fields","Highlighted Fields Present"))</f>
        <v/>
      </c>
      <c r="F468" s="331" t="str">
        <f>IF($H468="","",IF(OR(NOT(ISFORMULA(INDEX('Game Records'!$N:$N,$H468))),NOT(ISFORMULA(INDEX('Game Records'!$O:$O,$H468))),NOT(ISFORMULA(INDEX('Game Records'!$P:$P,$H468))),NOT(ISFORMULA(INDEX('Game Records'!$Q:$Q,$H468))),NOT(ISFORMULA(INDEX('Game Records'!$R:$R,$H468))),NOT(ISFORMULA(INDEX('Game Records'!$S:$S,$H468))),NOT(ISFORMULA(INDEX('Game Records'!$T:$T,$H468))),NOT(ISFORMULA(INDEX('Game Records'!$U:$U,$H468))),NOT(ISFORMULA(INDEX('Game Records'!$V:$V,$H468))),NOT(ISFORMULA(INDEX('Game Records'!$W:$W,$H468))),NOT(ISFORMULA(INDEX('Game Records'!$X:$X,$H468))),NOT(ISFORMULA(INDEX('Game Records'!$Y:$Y,$H468))),NOT(ISFORMULA(INDEX('Game Records'!$Z:$Z,$H468)))),"Formula columns missing; ","")&amp;IF(INDEX('Game Records'!$B:$B,$H468)="","Start Date; ","")&amp;IF(INDEX('Game Records'!$C:$C,$H468)="","End Date; ","")&amp;IF(AND(INDEX('Game Records'!$U:$U,$H468)&lt;&gt;"Subscription",INDEX('Game Records'!$U:$U,$H468)&lt;&gt;"Free Game",INDEX('Game Records'!$U:$U,$H468)&lt;&gt;"Disqualified — Free Game",OR(INDEX('Game Records'!$D:$D,$H468)="",LOWER(INDEX('Game Records'!$D:$D,$H468)&amp;"")="n/a")),"Entry Mode; ","")&amp;IF(AND(INDEX('Game Records'!$U:$U,$H468)&lt;&gt;"Subscription",INDEX('Game Records'!$U:$U,$H468)&lt;&gt;"Free Game",INDEX('Game Records'!$U:$U,$H468)&lt;&gt;"Disqualified — Free Game",OR(INDEX('Game Records'!$E:$E,$H468)="",LOWER(INDEX('Game Records'!$E:$E,$H468)&amp;"")="n/a")),"Game Type; ","")&amp;IF(INDEX('Game Records'!$F:$F,$H468)="","Payment Type; ","")&amp;IF(AND(INDEX('Game Records'!$U:$U,$H468)&lt;&gt;"Subscription",INDEX('Game Records'!$U:$U,$H468)&lt;&gt;"Free Game",INDEX('Game Records'!$U:$U,$H468)&lt;&gt;"Disqualified — Free Game",INDEX('Game Records'!$G:$G,$H468)=""),"Gross Pot; ","")&amp;IF(AND(INDEX('Game Records'!$U:$U,$H468)&lt;&gt;"Free Game",INDEX('Game Records'!$U:$U,$H468)&lt;&gt;"Disqualified — Free Game",INDEX('Game Records'!$H:$H,$H468)=""),"Entry Fee; ","")&amp;IF(AND(INDEX('Game Records'!$U:$U,$H468)&lt;&gt;"Subscription",INDEX('Game Records'!$U:$U,$H468)&lt;&gt;"Free Game",INDEX('Game Records'!$U:$U,$H468)&lt;&gt;"Disqualified — Free Game",INDEX('Game Records'!$I:$I,$H468)=""),"Eligible Players; ","")&amp;IF(AND(INDEX('Game Records'!$U:$U,$H468)&lt;&gt;"Subscription",INDEX('Game Records'!$U:$U,$H468)&lt;&gt;"Free Game",INDEX('Game Records'!$U:$U,$H468)&lt;&gt;"Disqualified — Free Game",INDEX('Game Records'!$J:$J,$H468)=""),"Total Players; ","")&amp;IF(AND(LOWER(INDEX('Game Records'!$D:$D,$H468)&amp;"")="finalized",LOWER(INDEX('Game Records'!$L:$L,$H468)&amp;"")&lt;&gt;"yes",INDEX('Game Records'!$U:$U,$H468)&lt;&gt;"Subscription",INDEX('Game Records'!$U:$U,$H468)&lt;&gt;"Free Game",INDEX('Game Records'!$U:$U,$H468)&lt;&gt;"Disqualified — Free Game",INDEX('Game Records'!$K:$K,$H468)=""),"Final Earned; ","")&amp;IF(AND(LOWER(INDEX('Game Records'!$D:$D,$H468)&amp;"")="finalized",INDEX('Game Records'!$U:$U,$H468)&lt;&gt;"Subscription",INDEX('Game Records'!$U:$U,$H468)&lt;&gt;"Free Game",INDEX('Game Records'!$U:$U,$H468)&lt;&gt;"Disqualified — Free Game",OR(INDEX('Game Records'!$L:$L,$H468)="",LOWER(INDEX('Game Records'!$L:$L,$H468)&amp;"")="n/a")),"Disqualified Status; ","")&amp;IF(AND(OR(LOWER(TRIM(INDEX('Game Records'!$F:$F,$H468)&amp;""))="free game",INDEX('Game Records'!$U:$U,$H468)="Free Game",INDEX('Game Records'!$U:$U,$H468)="Disqualified — Free Game"),N(INDEX('Game Records'!$H:$H,$H468))&lt;&gt;0),"Free Game has a non-zero Entry Fee. Free Game records require a $0 Entry Fee; ",""))</f>
        <v/>
      </c>
      <c r="G468" s="331" t="str">
        <f>IF($H468="","",IFERROR(INDEX('Game Records'!$M:$M,$H468),""))</f>
        <v/>
      </c>
      <c r="H468" s="104" t="str">
        <f>IF($H467="","",IFERROR(MATCH(1,INDEX((ROW('Game Records'!$U$5:$U$504)&gt;$H467)*(('Game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9" ht="24" customHeight="1">
      <c r="A469" s="332" t="str">
        <f>IF($H469="","",ROWS($A$5:A469))</f>
        <v/>
      </c>
      <c r="B469" s="332" t="str">
        <f>IF($H469="","","G-"&amp;TEXT($A469,"0000"))</f>
        <v/>
      </c>
      <c r="C469" s="331" t="str">
        <f>IF($H469="","",IFERROR(INDEX('Game Records'!$A:$A,$H469),""))</f>
        <v/>
      </c>
      <c r="D469" s="331" t="str">
        <f>IF($H469="","",IFERROR(INDEX('Game Records'!$U:$U,$H469),""))</f>
        <v/>
      </c>
      <c r="E469" s="331" t="str">
        <f>IF($H469="","",IF($F469="","No Highlighted Fields","Highlighted Fields Present"))</f>
        <v/>
      </c>
      <c r="F469" s="331" t="str">
        <f>IF($H469="","",IF(OR(NOT(ISFORMULA(INDEX('Game Records'!$N:$N,$H469))),NOT(ISFORMULA(INDEX('Game Records'!$O:$O,$H469))),NOT(ISFORMULA(INDEX('Game Records'!$P:$P,$H469))),NOT(ISFORMULA(INDEX('Game Records'!$Q:$Q,$H469))),NOT(ISFORMULA(INDEX('Game Records'!$R:$R,$H469))),NOT(ISFORMULA(INDEX('Game Records'!$S:$S,$H469))),NOT(ISFORMULA(INDEX('Game Records'!$T:$T,$H469))),NOT(ISFORMULA(INDEX('Game Records'!$U:$U,$H469))),NOT(ISFORMULA(INDEX('Game Records'!$V:$V,$H469))),NOT(ISFORMULA(INDEX('Game Records'!$W:$W,$H469))),NOT(ISFORMULA(INDEX('Game Records'!$X:$X,$H469))),NOT(ISFORMULA(INDEX('Game Records'!$Y:$Y,$H469))),NOT(ISFORMULA(INDEX('Game Records'!$Z:$Z,$H469)))),"Formula columns missing; ","")&amp;IF(INDEX('Game Records'!$B:$B,$H469)="","Start Date; ","")&amp;IF(INDEX('Game Records'!$C:$C,$H469)="","End Date; ","")&amp;IF(AND(INDEX('Game Records'!$U:$U,$H469)&lt;&gt;"Subscription",INDEX('Game Records'!$U:$U,$H469)&lt;&gt;"Free Game",INDEX('Game Records'!$U:$U,$H469)&lt;&gt;"Disqualified — Free Game",OR(INDEX('Game Records'!$D:$D,$H469)="",LOWER(INDEX('Game Records'!$D:$D,$H469)&amp;"")="n/a")),"Entry Mode; ","")&amp;IF(AND(INDEX('Game Records'!$U:$U,$H469)&lt;&gt;"Subscription",INDEX('Game Records'!$U:$U,$H469)&lt;&gt;"Free Game",INDEX('Game Records'!$U:$U,$H469)&lt;&gt;"Disqualified — Free Game",OR(INDEX('Game Records'!$E:$E,$H469)="",LOWER(INDEX('Game Records'!$E:$E,$H469)&amp;"")="n/a")),"Game Type; ","")&amp;IF(INDEX('Game Records'!$F:$F,$H469)="","Payment Type; ","")&amp;IF(AND(INDEX('Game Records'!$U:$U,$H469)&lt;&gt;"Subscription",INDEX('Game Records'!$U:$U,$H469)&lt;&gt;"Free Game",INDEX('Game Records'!$U:$U,$H469)&lt;&gt;"Disqualified — Free Game",INDEX('Game Records'!$G:$G,$H469)=""),"Gross Pot; ","")&amp;IF(AND(INDEX('Game Records'!$U:$U,$H469)&lt;&gt;"Free Game",INDEX('Game Records'!$U:$U,$H469)&lt;&gt;"Disqualified — Free Game",INDEX('Game Records'!$H:$H,$H469)=""),"Entry Fee; ","")&amp;IF(AND(INDEX('Game Records'!$U:$U,$H469)&lt;&gt;"Subscription",INDEX('Game Records'!$U:$U,$H469)&lt;&gt;"Free Game",INDEX('Game Records'!$U:$U,$H469)&lt;&gt;"Disqualified — Free Game",INDEX('Game Records'!$I:$I,$H469)=""),"Eligible Players; ","")&amp;IF(AND(INDEX('Game Records'!$U:$U,$H469)&lt;&gt;"Subscription",INDEX('Game Records'!$U:$U,$H469)&lt;&gt;"Free Game",INDEX('Game Records'!$U:$U,$H469)&lt;&gt;"Disqualified — Free Game",INDEX('Game Records'!$J:$J,$H469)=""),"Total Players; ","")&amp;IF(AND(LOWER(INDEX('Game Records'!$D:$D,$H469)&amp;"")="finalized",LOWER(INDEX('Game Records'!$L:$L,$H469)&amp;"")&lt;&gt;"yes",INDEX('Game Records'!$U:$U,$H469)&lt;&gt;"Subscription",INDEX('Game Records'!$U:$U,$H469)&lt;&gt;"Free Game",INDEX('Game Records'!$U:$U,$H469)&lt;&gt;"Disqualified — Free Game",INDEX('Game Records'!$K:$K,$H469)=""),"Final Earned; ","")&amp;IF(AND(LOWER(INDEX('Game Records'!$D:$D,$H469)&amp;"")="finalized",INDEX('Game Records'!$U:$U,$H469)&lt;&gt;"Subscription",INDEX('Game Records'!$U:$U,$H469)&lt;&gt;"Free Game",INDEX('Game Records'!$U:$U,$H469)&lt;&gt;"Disqualified — Free Game",OR(INDEX('Game Records'!$L:$L,$H469)="",LOWER(INDEX('Game Records'!$L:$L,$H469)&amp;"")="n/a")),"Disqualified Status; ","")&amp;IF(AND(OR(LOWER(TRIM(INDEX('Game Records'!$F:$F,$H469)&amp;""))="free game",INDEX('Game Records'!$U:$U,$H469)="Free Game",INDEX('Game Records'!$U:$U,$H469)="Disqualified — Free Game"),N(INDEX('Game Records'!$H:$H,$H469))&lt;&gt;0),"Free Game has a non-zero Entry Fee. Free Game records require a $0 Entry Fee; ",""))</f>
        <v/>
      </c>
      <c r="G469" s="331" t="str">
        <f>IF($H469="","",IFERROR(INDEX('Game Records'!$M:$M,$H469),""))</f>
        <v/>
      </c>
      <c r="H469" s="104" t="str">
        <f>IF($H468="","",IFERROR(MATCH(1,INDEX((ROW('Game Records'!$U$5:$U$504)&gt;$H468)*(('Game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0" ht="24" customHeight="1">
      <c r="A470" s="332" t="str">
        <f>IF($H470="","",ROWS($A$5:A470))</f>
        <v/>
      </c>
      <c r="B470" s="332" t="str">
        <f>IF($H470="","","G-"&amp;TEXT($A470,"0000"))</f>
        <v/>
      </c>
      <c r="C470" s="331" t="str">
        <f>IF($H470="","",IFERROR(INDEX('Game Records'!$A:$A,$H470),""))</f>
        <v/>
      </c>
      <c r="D470" s="331" t="str">
        <f>IF($H470="","",IFERROR(INDEX('Game Records'!$U:$U,$H470),""))</f>
        <v/>
      </c>
      <c r="E470" s="331" t="str">
        <f>IF($H470="","",IF($F470="","No Highlighted Fields","Highlighted Fields Present"))</f>
        <v/>
      </c>
      <c r="F470" s="331" t="str">
        <f>IF($H470="","",IF(OR(NOT(ISFORMULA(INDEX('Game Records'!$N:$N,$H470))),NOT(ISFORMULA(INDEX('Game Records'!$O:$O,$H470))),NOT(ISFORMULA(INDEX('Game Records'!$P:$P,$H470))),NOT(ISFORMULA(INDEX('Game Records'!$Q:$Q,$H470))),NOT(ISFORMULA(INDEX('Game Records'!$R:$R,$H470))),NOT(ISFORMULA(INDEX('Game Records'!$S:$S,$H470))),NOT(ISFORMULA(INDEX('Game Records'!$T:$T,$H470))),NOT(ISFORMULA(INDEX('Game Records'!$U:$U,$H470))),NOT(ISFORMULA(INDEX('Game Records'!$V:$V,$H470))),NOT(ISFORMULA(INDEX('Game Records'!$W:$W,$H470))),NOT(ISFORMULA(INDEX('Game Records'!$X:$X,$H470))),NOT(ISFORMULA(INDEX('Game Records'!$Y:$Y,$H470))),NOT(ISFORMULA(INDEX('Game Records'!$Z:$Z,$H470)))),"Formula columns missing; ","")&amp;IF(INDEX('Game Records'!$B:$B,$H470)="","Start Date; ","")&amp;IF(INDEX('Game Records'!$C:$C,$H470)="","End Date; ","")&amp;IF(AND(INDEX('Game Records'!$U:$U,$H470)&lt;&gt;"Subscription",INDEX('Game Records'!$U:$U,$H470)&lt;&gt;"Free Game",INDEX('Game Records'!$U:$U,$H470)&lt;&gt;"Disqualified — Free Game",OR(INDEX('Game Records'!$D:$D,$H470)="",LOWER(INDEX('Game Records'!$D:$D,$H470)&amp;"")="n/a")),"Entry Mode; ","")&amp;IF(AND(INDEX('Game Records'!$U:$U,$H470)&lt;&gt;"Subscription",INDEX('Game Records'!$U:$U,$H470)&lt;&gt;"Free Game",INDEX('Game Records'!$U:$U,$H470)&lt;&gt;"Disqualified — Free Game",OR(INDEX('Game Records'!$E:$E,$H470)="",LOWER(INDEX('Game Records'!$E:$E,$H470)&amp;"")="n/a")),"Game Type; ","")&amp;IF(INDEX('Game Records'!$F:$F,$H470)="","Payment Type; ","")&amp;IF(AND(INDEX('Game Records'!$U:$U,$H470)&lt;&gt;"Subscription",INDEX('Game Records'!$U:$U,$H470)&lt;&gt;"Free Game",INDEX('Game Records'!$U:$U,$H470)&lt;&gt;"Disqualified — Free Game",INDEX('Game Records'!$G:$G,$H470)=""),"Gross Pot; ","")&amp;IF(AND(INDEX('Game Records'!$U:$U,$H470)&lt;&gt;"Free Game",INDEX('Game Records'!$U:$U,$H470)&lt;&gt;"Disqualified — Free Game",INDEX('Game Records'!$H:$H,$H470)=""),"Entry Fee; ","")&amp;IF(AND(INDEX('Game Records'!$U:$U,$H470)&lt;&gt;"Subscription",INDEX('Game Records'!$U:$U,$H470)&lt;&gt;"Free Game",INDEX('Game Records'!$U:$U,$H470)&lt;&gt;"Disqualified — Free Game",INDEX('Game Records'!$I:$I,$H470)=""),"Eligible Players; ","")&amp;IF(AND(INDEX('Game Records'!$U:$U,$H470)&lt;&gt;"Subscription",INDEX('Game Records'!$U:$U,$H470)&lt;&gt;"Free Game",INDEX('Game Records'!$U:$U,$H470)&lt;&gt;"Disqualified — Free Game",INDEX('Game Records'!$J:$J,$H470)=""),"Total Players; ","")&amp;IF(AND(LOWER(INDEX('Game Records'!$D:$D,$H470)&amp;"")="finalized",LOWER(INDEX('Game Records'!$L:$L,$H470)&amp;"")&lt;&gt;"yes",INDEX('Game Records'!$U:$U,$H470)&lt;&gt;"Subscription",INDEX('Game Records'!$U:$U,$H470)&lt;&gt;"Free Game",INDEX('Game Records'!$U:$U,$H470)&lt;&gt;"Disqualified — Free Game",INDEX('Game Records'!$K:$K,$H470)=""),"Final Earned; ","")&amp;IF(AND(LOWER(INDEX('Game Records'!$D:$D,$H470)&amp;"")="finalized",INDEX('Game Records'!$U:$U,$H470)&lt;&gt;"Subscription",INDEX('Game Records'!$U:$U,$H470)&lt;&gt;"Free Game",INDEX('Game Records'!$U:$U,$H470)&lt;&gt;"Disqualified — Free Game",OR(INDEX('Game Records'!$L:$L,$H470)="",LOWER(INDEX('Game Records'!$L:$L,$H470)&amp;"")="n/a")),"Disqualified Status; ","")&amp;IF(AND(OR(LOWER(TRIM(INDEX('Game Records'!$F:$F,$H470)&amp;""))="free game",INDEX('Game Records'!$U:$U,$H470)="Free Game",INDEX('Game Records'!$U:$U,$H470)="Disqualified — Free Game"),N(INDEX('Game Records'!$H:$H,$H470))&lt;&gt;0),"Free Game has a non-zero Entry Fee. Free Game records require a $0 Entry Fee; ",""))</f>
        <v/>
      </c>
      <c r="G470" s="331" t="str">
        <f>IF($H470="","",IFERROR(INDEX('Game Records'!$M:$M,$H470),""))</f>
        <v/>
      </c>
      <c r="H470" s="104" t="str">
        <f>IF($H469="","",IFERROR(MATCH(1,INDEX((ROW('Game Records'!$U$5:$U$504)&gt;$H469)*(('Game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1" ht="24" customHeight="1">
      <c r="A471" s="332" t="str">
        <f>IF($H471="","",ROWS($A$5:A471))</f>
        <v/>
      </c>
      <c r="B471" s="332" t="str">
        <f>IF($H471="","","G-"&amp;TEXT($A471,"0000"))</f>
        <v/>
      </c>
      <c r="C471" s="331" t="str">
        <f>IF($H471="","",IFERROR(INDEX('Game Records'!$A:$A,$H471),""))</f>
        <v/>
      </c>
      <c r="D471" s="331" t="str">
        <f>IF($H471="","",IFERROR(INDEX('Game Records'!$U:$U,$H471),""))</f>
        <v/>
      </c>
      <c r="E471" s="331" t="str">
        <f>IF($H471="","",IF($F471="","No Highlighted Fields","Highlighted Fields Present"))</f>
        <v/>
      </c>
      <c r="F471" s="331" t="str">
        <f>IF($H471="","",IF(OR(NOT(ISFORMULA(INDEX('Game Records'!$N:$N,$H471))),NOT(ISFORMULA(INDEX('Game Records'!$O:$O,$H471))),NOT(ISFORMULA(INDEX('Game Records'!$P:$P,$H471))),NOT(ISFORMULA(INDEX('Game Records'!$Q:$Q,$H471))),NOT(ISFORMULA(INDEX('Game Records'!$R:$R,$H471))),NOT(ISFORMULA(INDEX('Game Records'!$S:$S,$H471))),NOT(ISFORMULA(INDEX('Game Records'!$T:$T,$H471))),NOT(ISFORMULA(INDEX('Game Records'!$U:$U,$H471))),NOT(ISFORMULA(INDEX('Game Records'!$V:$V,$H471))),NOT(ISFORMULA(INDEX('Game Records'!$W:$W,$H471))),NOT(ISFORMULA(INDEX('Game Records'!$X:$X,$H471))),NOT(ISFORMULA(INDEX('Game Records'!$Y:$Y,$H471))),NOT(ISFORMULA(INDEX('Game Records'!$Z:$Z,$H471)))),"Formula columns missing; ","")&amp;IF(INDEX('Game Records'!$B:$B,$H471)="","Start Date; ","")&amp;IF(INDEX('Game Records'!$C:$C,$H471)="","End Date; ","")&amp;IF(AND(INDEX('Game Records'!$U:$U,$H471)&lt;&gt;"Subscription",INDEX('Game Records'!$U:$U,$H471)&lt;&gt;"Free Game",INDEX('Game Records'!$U:$U,$H471)&lt;&gt;"Disqualified — Free Game",OR(INDEX('Game Records'!$D:$D,$H471)="",LOWER(INDEX('Game Records'!$D:$D,$H471)&amp;"")="n/a")),"Entry Mode; ","")&amp;IF(AND(INDEX('Game Records'!$U:$U,$H471)&lt;&gt;"Subscription",INDEX('Game Records'!$U:$U,$H471)&lt;&gt;"Free Game",INDEX('Game Records'!$U:$U,$H471)&lt;&gt;"Disqualified — Free Game",OR(INDEX('Game Records'!$E:$E,$H471)="",LOWER(INDEX('Game Records'!$E:$E,$H471)&amp;"")="n/a")),"Game Type; ","")&amp;IF(INDEX('Game Records'!$F:$F,$H471)="","Payment Type; ","")&amp;IF(AND(INDEX('Game Records'!$U:$U,$H471)&lt;&gt;"Subscription",INDEX('Game Records'!$U:$U,$H471)&lt;&gt;"Free Game",INDEX('Game Records'!$U:$U,$H471)&lt;&gt;"Disqualified — Free Game",INDEX('Game Records'!$G:$G,$H471)=""),"Gross Pot; ","")&amp;IF(AND(INDEX('Game Records'!$U:$U,$H471)&lt;&gt;"Free Game",INDEX('Game Records'!$U:$U,$H471)&lt;&gt;"Disqualified — Free Game",INDEX('Game Records'!$H:$H,$H471)=""),"Entry Fee; ","")&amp;IF(AND(INDEX('Game Records'!$U:$U,$H471)&lt;&gt;"Subscription",INDEX('Game Records'!$U:$U,$H471)&lt;&gt;"Free Game",INDEX('Game Records'!$U:$U,$H471)&lt;&gt;"Disqualified — Free Game",INDEX('Game Records'!$I:$I,$H471)=""),"Eligible Players; ","")&amp;IF(AND(INDEX('Game Records'!$U:$U,$H471)&lt;&gt;"Subscription",INDEX('Game Records'!$U:$U,$H471)&lt;&gt;"Free Game",INDEX('Game Records'!$U:$U,$H471)&lt;&gt;"Disqualified — Free Game",INDEX('Game Records'!$J:$J,$H471)=""),"Total Players; ","")&amp;IF(AND(LOWER(INDEX('Game Records'!$D:$D,$H471)&amp;"")="finalized",LOWER(INDEX('Game Records'!$L:$L,$H471)&amp;"")&lt;&gt;"yes",INDEX('Game Records'!$U:$U,$H471)&lt;&gt;"Subscription",INDEX('Game Records'!$U:$U,$H471)&lt;&gt;"Free Game",INDEX('Game Records'!$U:$U,$H471)&lt;&gt;"Disqualified — Free Game",INDEX('Game Records'!$K:$K,$H471)=""),"Final Earned; ","")&amp;IF(AND(LOWER(INDEX('Game Records'!$D:$D,$H471)&amp;"")="finalized",INDEX('Game Records'!$U:$U,$H471)&lt;&gt;"Subscription",INDEX('Game Records'!$U:$U,$H471)&lt;&gt;"Free Game",INDEX('Game Records'!$U:$U,$H471)&lt;&gt;"Disqualified — Free Game",OR(INDEX('Game Records'!$L:$L,$H471)="",LOWER(INDEX('Game Records'!$L:$L,$H471)&amp;"")="n/a")),"Disqualified Status; ","")&amp;IF(AND(OR(LOWER(TRIM(INDEX('Game Records'!$F:$F,$H471)&amp;""))="free game",INDEX('Game Records'!$U:$U,$H471)="Free Game",INDEX('Game Records'!$U:$U,$H471)="Disqualified — Free Game"),N(INDEX('Game Records'!$H:$H,$H471))&lt;&gt;0),"Free Game has a non-zero Entry Fee. Free Game records require a $0 Entry Fee; ",""))</f>
        <v/>
      </c>
      <c r="G471" s="331" t="str">
        <f>IF($H471="","",IFERROR(INDEX('Game Records'!$M:$M,$H471),""))</f>
        <v/>
      </c>
      <c r="H471" s="104" t="str">
        <f>IF($H470="","",IFERROR(MATCH(1,INDEX((ROW('Game Records'!$U$5:$U$504)&gt;$H470)*(('Game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2" ht="24" customHeight="1">
      <c r="A472" s="332" t="str">
        <f>IF($H472="","",ROWS($A$5:A472))</f>
        <v/>
      </c>
      <c r="B472" s="332" t="str">
        <f>IF($H472="","","G-"&amp;TEXT($A472,"0000"))</f>
        <v/>
      </c>
      <c r="C472" s="331" t="str">
        <f>IF($H472="","",IFERROR(INDEX('Game Records'!$A:$A,$H472),""))</f>
        <v/>
      </c>
      <c r="D472" s="331" t="str">
        <f>IF($H472="","",IFERROR(INDEX('Game Records'!$U:$U,$H472),""))</f>
        <v/>
      </c>
      <c r="E472" s="331" t="str">
        <f>IF($H472="","",IF($F472="","No Highlighted Fields","Highlighted Fields Present"))</f>
        <v/>
      </c>
      <c r="F472" s="331" t="str">
        <f>IF($H472="","",IF(OR(NOT(ISFORMULA(INDEX('Game Records'!$N:$N,$H472))),NOT(ISFORMULA(INDEX('Game Records'!$O:$O,$H472))),NOT(ISFORMULA(INDEX('Game Records'!$P:$P,$H472))),NOT(ISFORMULA(INDEX('Game Records'!$Q:$Q,$H472))),NOT(ISFORMULA(INDEX('Game Records'!$R:$R,$H472))),NOT(ISFORMULA(INDEX('Game Records'!$S:$S,$H472))),NOT(ISFORMULA(INDEX('Game Records'!$T:$T,$H472))),NOT(ISFORMULA(INDEX('Game Records'!$U:$U,$H472))),NOT(ISFORMULA(INDEX('Game Records'!$V:$V,$H472))),NOT(ISFORMULA(INDEX('Game Records'!$W:$W,$H472))),NOT(ISFORMULA(INDEX('Game Records'!$X:$X,$H472))),NOT(ISFORMULA(INDEX('Game Records'!$Y:$Y,$H472))),NOT(ISFORMULA(INDEX('Game Records'!$Z:$Z,$H472)))),"Formula columns missing; ","")&amp;IF(INDEX('Game Records'!$B:$B,$H472)="","Start Date; ","")&amp;IF(INDEX('Game Records'!$C:$C,$H472)="","End Date; ","")&amp;IF(AND(INDEX('Game Records'!$U:$U,$H472)&lt;&gt;"Subscription",INDEX('Game Records'!$U:$U,$H472)&lt;&gt;"Free Game",INDEX('Game Records'!$U:$U,$H472)&lt;&gt;"Disqualified — Free Game",OR(INDEX('Game Records'!$D:$D,$H472)="",LOWER(INDEX('Game Records'!$D:$D,$H472)&amp;"")="n/a")),"Entry Mode; ","")&amp;IF(AND(INDEX('Game Records'!$U:$U,$H472)&lt;&gt;"Subscription",INDEX('Game Records'!$U:$U,$H472)&lt;&gt;"Free Game",INDEX('Game Records'!$U:$U,$H472)&lt;&gt;"Disqualified — Free Game",OR(INDEX('Game Records'!$E:$E,$H472)="",LOWER(INDEX('Game Records'!$E:$E,$H472)&amp;"")="n/a")),"Game Type; ","")&amp;IF(INDEX('Game Records'!$F:$F,$H472)="","Payment Type; ","")&amp;IF(AND(INDEX('Game Records'!$U:$U,$H472)&lt;&gt;"Subscription",INDEX('Game Records'!$U:$U,$H472)&lt;&gt;"Free Game",INDEX('Game Records'!$U:$U,$H472)&lt;&gt;"Disqualified — Free Game",INDEX('Game Records'!$G:$G,$H472)=""),"Gross Pot; ","")&amp;IF(AND(INDEX('Game Records'!$U:$U,$H472)&lt;&gt;"Free Game",INDEX('Game Records'!$U:$U,$H472)&lt;&gt;"Disqualified — Free Game",INDEX('Game Records'!$H:$H,$H472)=""),"Entry Fee; ","")&amp;IF(AND(INDEX('Game Records'!$U:$U,$H472)&lt;&gt;"Subscription",INDEX('Game Records'!$U:$U,$H472)&lt;&gt;"Free Game",INDEX('Game Records'!$U:$U,$H472)&lt;&gt;"Disqualified — Free Game",INDEX('Game Records'!$I:$I,$H472)=""),"Eligible Players; ","")&amp;IF(AND(INDEX('Game Records'!$U:$U,$H472)&lt;&gt;"Subscription",INDEX('Game Records'!$U:$U,$H472)&lt;&gt;"Free Game",INDEX('Game Records'!$U:$U,$H472)&lt;&gt;"Disqualified — Free Game",INDEX('Game Records'!$J:$J,$H472)=""),"Total Players; ","")&amp;IF(AND(LOWER(INDEX('Game Records'!$D:$D,$H472)&amp;"")="finalized",LOWER(INDEX('Game Records'!$L:$L,$H472)&amp;"")&lt;&gt;"yes",INDEX('Game Records'!$U:$U,$H472)&lt;&gt;"Subscription",INDEX('Game Records'!$U:$U,$H472)&lt;&gt;"Free Game",INDEX('Game Records'!$U:$U,$H472)&lt;&gt;"Disqualified — Free Game",INDEX('Game Records'!$K:$K,$H472)=""),"Final Earned; ","")&amp;IF(AND(LOWER(INDEX('Game Records'!$D:$D,$H472)&amp;"")="finalized",INDEX('Game Records'!$U:$U,$H472)&lt;&gt;"Subscription",INDEX('Game Records'!$U:$U,$H472)&lt;&gt;"Free Game",INDEX('Game Records'!$U:$U,$H472)&lt;&gt;"Disqualified — Free Game",OR(INDEX('Game Records'!$L:$L,$H472)="",LOWER(INDEX('Game Records'!$L:$L,$H472)&amp;"")="n/a")),"Disqualified Status; ","")&amp;IF(AND(OR(LOWER(TRIM(INDEX('Game Records'!$F:$F,$H472)&amp;""))="free game",INDEX('Game Records'!$U:$U,$H472)="Free Game",INDEX('Game Records'!$U:$U,$H472)="Disqualified — Free Game"),N(INDEX('Game Records'!$H:$H,$H472))&lt;&gt;0),"Free Game has a non-zero Entry Fee. Free Game records require a $0 Entry Fee; ",""))</f>
        <v/>
      </c>
      <c r="G472" s="331" t="str">
        <f>IF($H472="","",IFERROR(INDEX('Game Records'!$M:$M,$H472),""))</f>
        <v/>
      </c>
      <c r="H472" s="104" t="str">
        <f>IF($H471="","",IFERROR(MATCH(1,INDEX((ROW('Game Records'!$U$5:$U$504)&gt;$H471)*(('Game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3" ht="24" customHeight="1">
      <c r="A473" s="332" t="str">
        <f>IF($H473="","",ROWS($A$5:A473))</f>
        <v/>
      </c>
      <c r="B473" s="332" t="str">
        <f>IF($H473="","","G-"&amp;TEXT($A473,"0000"))</f>
        <v/>
      </c>
      <c r="C473" s="331" t="str">
        <f>IF($H473="","",IFERROR(INDEX('Game Records'!$A:$A,$H473),""))</f>
        <v/>
      </c>
      <c r="D473" s="331" t="str">
        <f>IF($H473="","",IFERROR(INDEX('Game Records'!$U:$U,$H473),""))</f>
        <v/>
      </c>
      <c r="E473" s="331" t="str">
        <f>IF($H473="","",IF($F473="","No Highlighted Fields","Highlighted Fields Present"))</f>
        <v/>
      </c>
      <c r="F473" s="331" t="str">
        <f>IF($H473="","",IF(OR(NOT(ISFORMULA(INDEX('Game Records'!$N:$N,$H473))),NOT(ISFORMULA(INDEX('Game Records'!$O:$O,$H473))),NOT(ISFORMULA(INDEX('Game Records'!$P:$P,$H473))),NOT(ISFORMULA(INDEX('Game Records'!$Q:$Q,$H473))),NOT(ISFORMULA(INDEX('Game Records'!$R:$R,$H473))),NOT(ISFORMULA(INDEX('Game Records'!$S:$S,$H473))),NOT(ISFORMULA(INDEX('Game Records'!$T:$T,$H473))),NOT(ISFORMULA(INDEX('Game Records'!$U:$U,$H473))),NOT(ISFORMULA(INDEX('Game Records'!$V:$V,$H473))),NOT(ISFORMULA(INDEX('Game Records'!$W:$W,$H473))),NOT(ISFORMULA(INDEX('Game Records'!$X:$X,$H473))),NOT(ISFORMULA(INDEX('Game Records'!$Y:$Y,$H473))),NOT(ISFORMULA(INDEX('Game Records'!$Z:$Z,$H473)))),"Formula columns missing; ","")&amp;IF(INDEX('Game Records'!$B:$B,$H473)="","Start Date; ","")&amp;IF(INDEX('Game Records'!$C:$C,$H473)="","End Date; ","")&amp;IF(AND(INDEX('Game Records'!$U:$U,$H473)&lt;&gt;"Subscription",INDEX('Game Records'!$U:$U,$H473)&lt;&gt;"Free Game",INDEX('Game Records'!$U:$U,$H473)&lt;&gt;"Disqualified — Free Game",OR(INDEX('Game Records'!$D:$D,$H473)="",LOWER(INDEX('Game Records'!$D:$D,$H473)&amp;"")="n/a")),"Entry Mode; ","")&amp;IF(AND(INDEX('Game Records'!$U:$U,$H473)&lt;&gt;"Subscription",INDEX('Game Records'!$U:$U,$H473)&lt;&gt;"Free Game",INDEX('Game Records'!$U:$U,$H473)&lt;&gt;"Disqualified — Free Game",OR(INDEX('Game Records'!$E:$E,$H473)="",LOWER(INDEX('Game Records'!$E:$E,$H473)&amp;"")="n/a")),"Game Type; ","")&amp;IF(INDEX('Game Records'!$F:$F,$H473)="","Payment Type; ","")&amp;IF(AND(INDEX('Game Records'!$U:$U,$H473)&lt;&gt;"Subscription",INDEX('Game Records'!$U:$U,$H473)&lt;&gt;"Free Game",INDEX('Game Records'!$U:$U,$H473)&lt;&gt;"Disqualified — Free Game",INDEX('Game Records'!$G:$G,$H473)=""),"Gross Pot; ","")&amp;IF(AND(INDEX('Game Records'!$U:$U,$H473)&lt;&gt;"Free Game",INDEX('Game Records'!$U:$U,$H473)&lt;&gt;"Disqualified — Free Game",INDEX('Game Records'!$H:$H,$H473)=""),"Entry Fee; ","")&amp;IF(AND(INDEX('Game Records'!$U:$U,$H473)&lt;&gt;"Subscription",INDEX('Game Records'!$U:$U,$H473)&lt;&gt;"Free Game",INDEX('Game Records'!$U:$U,$H473)&lt;&gt;"Disqualified — Free Game",INDEX('Game Records'!$I:$I,$H473)=""),"Eligible Players; ","")&amp;IF(AND(INDEX('Game Records'!$U:$U,$H473)&lt;&gt;"Subscription",INDEX('Game Records'!$U:$U,$H473)&lt;&gt;"Free Game",INDEX('Game Records'!$U:$U,$H473)&lt;&gt;"Disqualified — Free Game",INDEX('Game Records'!$J:$J,$H473)=""),"Total Players; ","")&amp;IF(AND(LOWER(INDEX('Game Records'!$D:$D,$H473)&amp;"")="finalized",LOWER(INDEX('Game Records'!$L:$L,$H473)&amp;"")&lt;&gt;"yes",INDEX('Game Records'!$U:$U,$H473)&lt;&gt;"Subscription",INDEX('Game Records'!$U:$U,$H473)&lt;&gt;"Free Game",INDEX('Game Records'!$U:$U,$H473)&lt;&gt;"Disqualified — Free Game",INDEX('Game Records'!$K:$K,$H473)=""),"Final Earned; ","")&amp;IF(AND(LOWER(INDEX('Game Records'!$D:$D,$H473)&amp;"")="finalized",INDEX('Game Records'!$U:$U,$H473)&lt;&gt;"Subscription",INDEX('Game Records'!$U:$U,$H473)&lt;&gt;"Free Game",INDEX('Game Records'!$U:$U,$H473)&lt;&gt;"Disqualified — Free Game",OR(INDEX('Game Records'!$L:$L,$H473)="",LOWER(INDEX('Game Records'!$L:$L,$H473)&amp;"")="n/a")),"Disqualified Status; ","")&amp;IF(AND(OR(LOWER(TRIM(INDEX('Game Records'!$F:$F,$H473)&amp;""))="free game",INDEX('Game Records'!$U:$U,$H473)="Free Game",INDEX('Game Records'!$U:$U,$H473)="Disqualified — Free Game"),N(INDEX('Game Records'!$H:$H,$H473))&lt;&gt;0),"Free Game has a non-zero Entry Fee. Free Game records require a $0 Entry Fee; ",""))</f>
        <v/>
      </c>
      <c r="G473" s="331" t="str">
        <f>IF($H473="","",IFERROR(INDEX('Game Records'!$M:$M,$H473),""))</f>
        <v/>
      </c>
      <c r="H473" s="104" t="str">
        <f>IF($H472="","",IFERROR(MATCH(1,INDEX((ROW('Game Records'!$U$5:$U$504)&gt;$H472)*(('Game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4" ht="24" customHeight="1">
      <c r="A474" s="332" t="str">
        <f>IF($H474="","",ROWS($A$5:A474))</f>
        <v/>
      </c>
      <c r="B474" s="332" t="str">
        <f>IF($H474="","","G-"&amp;TEXT($A474,"0000"))</f>
        <v/>
      </c>
      <c r="C474" s="331" t="str">
        <f>IF($H474="","",IFERROR(INDEX('Game Records'!$A:$A,$H474),""))</f>
        <v/>
      </c>
      <c r="D474" s="331" t="str">
        <f>IF($H474="","",IFERROR(INDEX('Game Records'!$U:$U,$H474),""))</f>
        <v/>
      </c>
      <c r="E474" s="331" t="str">
        <f>IF($H474="","",IF($F474="","No Highlighted Fields","Highlighted Fields Present"))</f>
        <v/>
      </c>
      <c r="F474" s="331" t="str">
        <f>IF($H474="","",IF(OR(NOT(ISFORMULA(INDEX('Game Records'!$N:$N,$H474))),NOT(ISFORMULA(INDEX('Game Records'!$O:$O,$H474))),NOT(ISFORMULA(INDEX('Game Records'!$P:$P,$H474))),NOT(ISFORMULA(INDEX('Game Records'!$Q:$Q,$H474))),NOT(ISFORMULA(INDEX('Game Records'!$R:$R,$H474))),NOT(ISFORMULA(INDEX('Game Records'!$S:$S,$H474))),NOT(ISFORMULA(INDEX('Game Records'!$T:$T,$H474))),NOT(ISFORMULA(INDEX('Game Records'!$U:$U,$H474))),NOT(ISFORMULA(INDEX('Game Records'!$V:$V,$H474))),NOT(ISFORMULA(INDEX('Game Records'!$W:$W,$H474))),NOT(ISFORMULA(INDEX('Game Records'!$X:$X,$H474))),NOT(ISFORMULA(INDEX('Game Records'!$Y:$Y,$H474))),NOT(ISFORMULA(INDEX('Game Records'!$Z:$Z,$H474)))),"Formula columns missing; ","")&amp;IF(INDEX('Game Records'!$B:$B,$H474)="","Start Date; ","")&amp;IF(INDEX('Game Records'!$C:$C,$H474)="","End Date; ","")&amp;IF(AND(INDEX('Game Records'!$U:$U,$H474)&lt;&gt;"Subscription",INDEX('Game Records'!$U:$U,$H474)&lt;&gt;"Free Game",INDEX('Game Records'!$U:$U,$H474)&lt;&gt;"Disqualified — Free Game",OR(INDEX('Game Records'!$D:$D,$H474)="",LOWER(INDEX('Game Records'!$D:$D,$H474)&amp;"")="n/a")),"Entry Mode; ","")&amp;IF(AND(INDEX('Game Records'!$U:$U,$H474)&lt;&gt;"Subscription",INDEX('Game Records'!$U:$U,$H474)&lt;&gt;"Free Game",INDEX('Game Records'!$U:$U,$H474)&lt;&gt;"Disqualified — Free Game",OR(INDEX('Game Records'!$E:$E,$H474)="",LOWER(INDEX('Game Records'!$E:$E,$H474)&amp;"")="n/a")),"Game Type; ","")&amp;IF(INDEX('Game Records'!$F:$F,$H474)="","Payment Type; ","")&amp;IF(AND(INDEX('Game Records'!$U:$U,$H474)&lt;&gt;"Subscription",INDEX('Game Records'!$U:$U,$H474)&lt;&gt;"Free Game",INDEX('Game Records'!$U:$U,$H474)&lt;&gt;"Disqualified — Free Game",INDEX('Game Records'!$G:$G,$H474)=""),"Gross Pot; ","")&amp;IF(AND(INDEX('Game Records'!$U:$U,$H474)&lt;&gt;"Free Game",INDEX('Game Records'!$U:$U,$H474)&lt;&gt;"Disqualified — Free Game",INDEX('Game Records'!$H:$H,$H474)=""),"Entry Fee; ","")&amp;IF(AND(INDEX('Game Records'!$U:$U,$H474)&lt;&gt;"Subscription",INDEX('Game Records'!$U:$U,$H474)&lt;&gt;"Free Game",INDEX('Game Records'!$U:$U,$H474)&lt;&gt;"Disqualified — Free Game",INDEX('Game Records'!$I:$I,$H474)=""),"Eligible Players; ","")&amp;IF(AND(INDEX('Game Records'!$U:$U,$H474)&lt;&gt;"Subscription",INDEX('Game Records'!$U:$U,$H474)&lt;&gt;"Free Game",INDEX('Game Records'!$U:$U,$H474)&lt;&gt;"Disqualified — Free Game",INDEX('Game Records'!$J:$J,$H474)=""),"Total Players; ","")&amp;IF(AND(LOWER(INDEX('Game Records'!$D:$D,$H474)&amp;"")="finalized",LOWER(INDEX('Game Records'!$L:$L,$H474)&amp;"")&lt;&gt;"yes",INDEX('Game Records'!$U:$U,$H474)&lt;&gt;"Subscription",INDEX('Game Records'!$U:$U,$H474)&lt;&gt;"Free Game",INDEX('Game Records'!$U:$U,$H474)&lt;&gt;"Disqualified — Free Game",INDEX('Game Records'!$K:$K,$H474)=""),"Final Earned; ","")&amp;IF(AND(LOWER(INDEX('Game Records'!$D:$D,$H474)&amp;"")="finalized",INDEX('Game Records'!$U:$U,$H474)&lt;&gt;"Subscription",INDEX('Game Records'!$U:$U,$H474)&lt;&gt;"Free Game",INDEX('Game Records'!$U:$U,$H474)&lt;&gt;"Disqualified — Free Game",OR(INDEX('Game Records'!$L:$L,$H474)="",LOWER(INDEX('Game Records'!$L:$L,$H474)&amp;"")="n/a")),"Disqualified Status; ","")&amp;IF(AND(OR(LOWER(TRIM(INDEX('Game Records'!$F:$F,$H474)&amp;""))="free game",INDEX('Game Records'!$U:$U,$H474)="Free Game",INDEX('Game Records'!$U:$U,$H474)="Disqualified — Free Game"),N(INDEX('Game Records'!$H:$H,$H474))&lt;&gt;0),"Free Game has a non-zero Entry Fee. Free Game records require a $0 Entry Fee; ",""))</f>
        <v/>
      </c>
      <c r="G474" s="331" t="str">
        <f>IF($H474="","",IFERROR(INDEX('Game Records'!$M:$M,$H474),""))</f>
        <v/>
      </c>
      <c r="H474" s="104" t="str">
        <f>IF($H473="","",IFERROR(MATCH(1,INDEX((ROW('Game Records'!$U$5:$U$504)&gt;$H473)*(('Game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5" ht="24" customHeight="1">
      <c r="A475" s="332" t="str">
        <f>IF($H475="","",ROWS($A$5:A475))</f>
        <v/>
      </c>
      <c r="B475" s="332" t="str">
        <f>IF($H475="","","G-"&amp;TEXT($A475,"0000"))</f>
        <v/>
      </c>
      <c r="C475" s="331" t="str">
        <f>IF($H475="","",IFERROR(INDEX('Game Records'!$A:$A,$H475),""))</f>
        <v/>
      </c>
      <c r="D475" s="331" t="str">
        <f>IF($H475="","",IFERROR(INDEX('Game Records'!$U:$U,$H475),""))</f>
        <v/>
      </c>
      <c r="E475" s="331" t="str">
        <f>IF($H475="","",IF($F475="","No Highlighted Fields","Highlighted Fields Present"))</f>
        <v/>
      </c>
      <c r="F475" s="331" t="str">
        <f>IF($H475="","",IF(OR(NOT(ISFORMULA(INDEX('Game Records'!$N:$N,$H475))),NOT(ISFORMULA(INDEX('Game Records'!$O:$O,$H475))),NOT(ISFORMULA(INDEX('Game Records'!$P:$P,$H475))),NOT(ISFORMULA(INDEX('Game Records'!$Q:$Q,$H475))),NOT(ISFORMULA(INDEX('Game Records'!$R:$R,$H475))),NOT(ISFORMULA(INDEX('Game Records'!$S:$S,$H475))),NOT(ISFORMULA(INDEX('Game Records'!$T:$T,$H475))),NOT(ISFORMULA(INDEX('Game Records'!$U:$U,$H475))),NOT(ISFORMULA(INDEX('Game Records'!$V:$V,$H475))),NOT(ISFORMULA(INDEX('Game Records'!$W:$W,$H475))),NOT(ISFORMULA(INDEX('Game Records'!$X:$X,$H475))),NOT(ISFORMULA(INDEX('Game Records'!$Y:$Y,$H475))),NOT(ISFORMULA(INDEX('Game Records'!$Z:$Z,$H475)))),"Formula columns missing; ","")&amp;IF(INDEX('Game Records'!$B:$B,$H475)="","Start Date; ","")&amp;IF(INDEX('Game Records'!$C:$C,$H475)="","End Date; ","")&amp;IF(AND(INDEX('Game Records'!$U:$U,$H475)&lt;&gt;"Subscription",INDEX('Game Records'!$U:$U,$H475)&lt;&gt;"Free Game",INDEX('Game Records'!$U:$U,$H475)&lt;&gt;"Disqualified — Free Game",OR(INDEX('Game Records'!$D:$D,$H475)="",LOWER(INDEX('Game Records'!$D:$D,$H475)&amp;"")="n/a")),"Entry Mode; ","")&amp;IF(AND(INDEX('Game Records'!$U:$U,$H475)&lt;&gt;"Subscription",INDEX('Game Records'!$U:$U,$H475)&lt;&gt;"Free Game",INDEX('Game Records'!$U:$U,$H475)&lt;&gt;"Disqualified — Free Game",OR(INDEX('Game Records'!$E:$E,$H475)="",LOWER(INDEX('Game Records'!$E:$E,$H475)&amp;"")="n/a")),"Game Type; ","")&amp;IF(INDEX('Game Records'!$F:$F,$H475)="","Payment Type; ","")&amp;IF(AND(INDEX('Game Records'!$U:$U,$H475)&lt;&gt;"Subscription",INDEX('Game Records'!$U:$U,$H475)&lt;&gt;"Free Game",INDEX('Game Records'!$U:$U,$H475)&lt;&gt;"Disqualified — Free Game",INDEX('Game Records'!$G:$G,$H475)=""),"Gross Pot; ","")&amp;IF(AND(INDEX('Game Records'!$U:$U,$H475)&lt;&gt;"Free Game",INDEX('Game Records'!$U:$U,$H475)&lt;&gt;"Disqualified — Free Game",INDEX('Game Records'!$H:$H,$H475)=""),"Entry Fee; ","")&amp;IF(AND(INDEX('Game Records'!$U:$U,$H475)&lt;&gt;"Subscription",INDEX('Game Records'!$U:$U,$H475)&lt;&gt;"Free Game",INDEX('Game Records'!$U:$U,$H475)&lt;&gt;"Disqualified — Free Game",INDEX('Game Records'!$I:$I,$H475)=""),"Eligible Players; ","")&amp;IF(AND(INDEX('Game Records'!$U:$U,$H475)&lt;&gt;"Subscription",INDEX('Game Records'!$U:$U,$H475)&lt;&gt;"Free Game",INDEX('Game Records'!$U:$U,$H475)&lt;&gt;"Disqualified — Free Game",INDEX('Game Records'!$J:$J,$H475)=""),"Total Players; ","")&amp;IF(AND(LOWER(INDEX('Game Records'!$D:$D,$H475)&amp;"")="finalized",LOWER(INDEX('Game Records'!$L:$L,$H475)&amp;"")&lt;&gt;"yes",INDEX('Game Records'!$U:$U,$H475)&lt;&gt;"Subscription",INDEX('Game Records'!$U:$U,$H475)&lt;&gt;"Free Game",INDEX('Game Records'!$U:$U,$H475)&lt;&gt;"Disqualified — Free Game",INDEX('Game Records'!$K:$K,$H475)=""),"Final Earned; ","")&amp;IF(AND(LOWER(INDEX('Game Records'!$D:$D,$H475)&amp;"")="finalized",INDEX('Game Records'!$U:$U,$H475)&lt;&gt;"Subscription",INDEX('Game Records'!$U:$U,$H475)&lt;&gt;"Free Game",INDEX('Game Records'!$U:$U,$H475)&lt;&gt;"Disqualified — Free Game",OR(INDEX('Game Records'!$L:$L,$H475)="",LOWER(INDEX('Game Records'!$L:$L,$H475)&amp;"")="n/a")),"Disqualified Status; ","")&amp;IF(AND(OR(LOWER(TRIM(INDEX('Game Records'!$F:$F,$H475)&amp;""))="free game",INDEX('Game Records'!$U:$U,$H475)="Free Game",INDEX('Game Records'!$U:$U,$H475)="Disqualified — Free Game"),N(INDEX('Game Records'!$H:$H,$H475))&lt;&gt;0),"Free Game has a non-zero Entry Fee. Free Game records require a $0 Entry Fee; ",""))</f>
        <v/>
      </c>
      <c r="G475" s="331" t="str">
        <f>IF($H475="","",IFERROR(INDEX('Game Records'!$M:$M,$H475),""))</f>
        <v/>
      </c>
      <c r="H475" s="104" t="str">
        <f>IF($H474="","",IFERROR(MATCH(1,INDEX((ROW('Game Records'!$U$5:$U$504)&gt;$H474)*(('Game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6" ht="24" customHeight="1">
      <c r="A476" s="332" t="str">
        <f>IF($H476="","",ROWS($A$5:A476))</f>
        <v/>
      </c>
      <c r="B476" s="332" t="str">
        <f>IF($H476="","","G-"&amp;TEXT($A476,"0000"))</f>
        <v/>
      </c>
      <c r="C476" s="331" t="str">
        <f>IF($H476="","",IFERROR(INDEX('Game Records'!$A:$A,$H476),""))</f>
        <v/>
      </c>
      <c r="D476" s="331" t="str">
        <f>IF($H476="","",IFERROR(INDEX('Game Records'!$U:$U,$H476),""))</f>
        <v/>
      </c>
      <c r="E476" s="331" t="str">
        <f>IF($H476="","",IF($F476="","No Highlighted Fields","Highlighted Fields Present"))</f>
        <v/>
      </c>
      <c r="F476" s="331" t="str">
        <f>IF($H476="","",IF(OR(NOT(ISFORMULA(INDEX('Game Records'!$N:$N,$H476))),NOT(ISFORMULA(INDEX('Game Records'!$O:$O,$H476))),NOT(ISFORMULA(INDEX('Game Records'!$P:$P,$H476))),NOT(ISFORMULA(INDEX('Game Records'!$Q:$Q,$H476))),NOT(ISFORMULA(INDEX('Game Records'!$R:$R,$H476))),NOT(ISFORMULA(INDEX('Game Records'!$S:$S,$H476))),NOT(ISFORMULA(INDEX('Game Records'!$T:$T,$H476))),NOT(ISFORMULA(INDEX('Game Records'!$U:$U,$H476))),NOT(ISFORMULA(INDEX('Game Records'!$V:$V,$H476))),NOT(ISFORMULA(INDEX('Game Records'!$W:$W,$H476))),NOT(ISFORMULA(INDEX('Game Records'!$X:$X,$H476))),NOT(ISFORMULA(INDEX('Game Records'!$Y:$Y,$H476))),NOT(ISFORMULA(INDEX('Game Records'!$Z:$Z,$H476)))),"Formula columns missing; ","")&amp;IF(INDEX('Game Records'!$B:$B,$H476)="","Start Date; ","")&amp;IF(INDEX('Game Records'!$C:$C,$H476)="","End Date; ","")&amp;IF(AND(INDEX('Game Records'!$U:$U,$H476)&lt;&gt;"Subscription",INDEX('Game Records'!$U:$U,$H476)&lt;&gt;"Free Game",INDEX('Game Records'!$U:$U,$H476)&lt;&gt;"Disqualified — Free Game",OR(INDEX('Game Records'!$D:$D,$H476)="",LOWER(INDEX('Game Records'!$D:$D,$H476)&amp;"")="n/a")),"Entry Mode; ","")&amp;IF(AND(INDEX('Game Records'!$U:$U,$H476)&lt;&gt;"Subscription",INDEX('Game Records'!$U:$U,$H476)&lt;&gt;"Free Game",INDEX('Game Records'!$U:$U,$H476)&lt;&gt;"Disqualified — Free Game",OR(INDEX('Game Records'!$E:$E,$H476)="",LOWER(INDEX('Game Records'!$E:$E,$H476)&amp;"")="n/a")),"Game Type; ","")&amp;IF(INDEX('Game Records'!$F:$F,$H476)="","Payment Type; ","")&amp;IF(AND(INDEX('Game Records'!$U:$U,$H476)&lt;&gt;"Subscription",INDEX('Game Records'!$U:$U,$H476)&lt;&gt;"Free Game",INDEX('Game Records'!$U:$U,$H476)&lt;&gt;"Disqualified — Free Game",INDEX('Game Records'!$G:$G,$H476)=""),"Gross Pot; ","")&amp;IF(AND(INDEX('Game Records'!$U:$U,$H476)&lt;&gt;"Free Game",INDEX('Game Records'!$U:$U,$H476)&lt;&gt;"Disqualified — Free Game",INDEX('Game Records'!$H:$H,$H476)=""),"Entry Fee; ","")&amp;IF(AND(INDEX('Game Records'!$U:$U,$H476)&lt;&gt;"Subscription",INDEX('Game Records'!$U:$U,$H476)&lt;&gt;"Free Game",INDEX('Game Records'!$U:$U,$H476)&lt;&gt;"Disqualified — Free Game",INDEX('Game Records'!$I:$I,$H476)=""),"Eligible Players; ","")&amp;IF(AND(INDEX('Game Records'!$U:$U,$H476)&lt;&gt;"Subscription",INDEX('Game Records'!$U:$U,$H476)&lt;&gt;"Free Game",INDEX('Game Records'!$U:$U,$H476)&lt;&gt;"Disqualified — Free Game",INDEX('Game Records'!$J:$J,$H476)=""),"Total Players; ","")&amp;IF(AND(LOWER(INDEX('Game Records'!$D:$D,$H476)&amp;"")="finalized",LOWER(INDEX('Game Records'!$L:$L,$H476)&amp;"")&lt;&gt;"yes",INDEX('Game Records'!$U:$U,$H476)&lt;&gt;"Subscription",INDEX('Game Records'!$U:$U,$H476)&lt;&gt;"Free Game",INDEX('Game Records'!$U:$U,$H476)&lt;&gt;"Disqualified — Free Game",INDEX('Game Records'!$K:$K,$H476)=""),"Final Earned; ","")&amp;IF(AND(LOWER(INDEX('Game Records'!$D:$D,$H476)&amp;"")="finalized",INDEX('Game Records'!$U:$U,$H476)&lt;&gt;"Subscription",INDEX('Game Records'!$U:$U,$H476)&lt;&gt;"Free Game",INDEX('Game Records'!$U:$U,$H476)&lt;&gt;"Disqualified — Free Game",OR(INDEX('Game Records'!$L:$L,$H476)="",LOWER(INDEX('Game Records'!$L:$L,$H476)&amp;"")="n/a")),"Disqualified Status; ","")&amp;IF(AND(OR(LOWER(TRIM(INDEX('Game Records'!$F:$F,$H476)&amp;""))="free game",INDEX('Game Records'!$U:$U,$H476)="Free Game",INDEX('Game Records'!$U:$U,$H476)="Disqualified — Free Game"),N(INDEX('Game Records'!$H:$H,$H476))&lt;&gt;0),"Free Game has a non-zero Entry Fee. Free Game records require a $0 Entry Fee; ",""))</f>
        <v/>
      </c>
      <c r="G476" s="331" t="str">
        <f>IF($H476="","",IFERROR(INDEX('Game Records'!$M:$M,$H476),""))</f>
        <v/>
      </c>
      <c r="H476" s="104" t="str">
        <f>IF($H475="","",IFERROR(MATCH(1,INDEX((ROW('Game Records'!$U$5:$U$504)&gt;$H475)*(('Game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7" ht="24" customHeight="1">
      <c r="A477" s="332" t="str">
        <f>IF($H477="","",ROWS($A$5:A477))</f>
        <v/>
      </c>
      <c r="B477" s="332" t="str">
        <f>IF($H477="","","G-"&amp;TEXT($A477,"0000"))</f>
        <v/>
      </c>
      <c r="C477" s="331" t="str">
        <f>IF($H477="","",IFERROR(INDEX('Game Records'!$A:$A,$H477),""))</f>
        <v/>
      </c>
      <c r="D477" s="331" t="str">
        <f>IF($H477="","",IFERROR(INDEX('Game Records'!$U:$U,$H477),""))</f>
        <v/>
      </c>
      <c r="E477" s="331" t="str">
        <f>IF($H477="","",IF($F477="","No Highlighted Fields","Highlighted Fields Present"))</f>
        <v/>
      </c>
      <c r="F477" s="331" t="str">
        <f>IF($H477="","",IF(OR(NOT(ISFORMULA(INDEX('Game Records'!$N:$N,$H477))),NOT(ISFORMULA(INDEX('Game Records'!$O:$O,$H477))),NOT(ISFORMULA(INDEX('Game Records'!$P:$P,$H477))),NOT(ISFORMULA(INDEX('Game Records'!$Q:$Q,$H477))),NOT(ISFORMULA(INDEX('Game Records'!$R:$R,$H477))),NOT(ISFORMULA(INDEX('Game Records'!$S:$S,$H477))),NOT(ISFORMULA(INDEX('Game Records'!$T:$T,$H477))),NOT(ISFORMULA(INDEX('Game Records'!$U:$U,$H477))),NOT(ISFORMULA(INDEX('Game Records'!$V:$V,$H477))),NOT(ISFORMULA(INDEX('Game Records'!$W:$W,$H477))),NOT(ISFORMULA(INDEX('Game Records'!$X:$X,$H477))),NOT(ISFORMULA(INDEX('Game Records'!$Y:$Y,$H477))),NOT(ISFORMULA(INDEX('Game Records'!$Z:$Z,$H477)))),"Formula columns missing; ","")&amp;IF(INDEX('Game Records'!$B:$B,$H477)="","Start Date; ","")&amp;IF(INDEX('Game Records'!$C:$C,$H477)="","End Date; ","")&amp;IF(AND(INDEX('Game Records'!$U:$U,$H477)&lt;&gt;"Subscription",INDEX('Game Records'!$U:$U,$H477)&lt;&gt;"Free Game",INDEX('Game Records'!$U:$U,$H477)&lt;&gt;"Disqualified — Free Game",OR(INDEX('Game Records'!$D:$D,$H477)="",LOWER(INDEX('Game Records'!$D:$D,$H477)&amp;"")="n/a")),"Entry Mode; ","")&amp;IF(AND(INDEX('Game Records'!$U:$U,$H477)&lt;&gt;"Subscription",INDEX('Game Records'!$U:$U,$H477)&lt;&gt;"Free Game",INDEX('Game Records'!$U:$U,$H477)&lt;&gt;"Disqualified — Free Game",OR(INDEX('Game Records'!$E:$E,$H477)="",LOWER(INDEX('Game Records'!$E:$E,$H477)&amp;"")="n/a")),"Game Type; ","")&amp;IF(INDEX('Game Records'!$F:$F,$H477)="","Payment Type; ","")&amp;IF(AND(INDEX('Game Records'!$U:$U,$H477)&lt;&gt;"Subscription",INDEX('Game Records'!$U:$U,$H477)&lt;&gt;"Free Game",INDEX('Game Records'!$U:$U,$H477)&lt;&gt;"Disqualified — Free Game",INDEX('Game Records'!$G:$G,$H477)=""),"Gross Pot; ","")&amp;IF(AND(INDEX('Game Records'!$U:$U,$H477)&lt;&gt;"Free Game",INDEX('Game Records'!$U:$U,$H477)&lt;&gt;"Disqualified — Free Game",INDEX('Game Records'!$H:$H,$H477)=""),"Entry Fee; ","")&amp;IF(AND(INDEX('Game Records'!$U:$U,$H477)&lt;&gt;"Subscription",INDEX('Game Records'!$U:$U,$H477)&lt;&gt;"Free Game",INDEX('Game Records'!$U:$U,$H477)&lt;&gt;"Disqualified — Free Game",INDEX('Game Records'!$I:$I,$H477)=""),"Eligible Players; ","")&amp;IF(AND(INDEX('Game Records'!$U:$U,$H477)&lt;&gt;"Subscription",INDEX('Game Records'!$U:$U,$H477)&lt;&gt;"Free Game",INDEX('Game Records'!$U:$U,$H477)&lt;&gt;"Disqualified — Free Game",INDEX('Game Records'!$J:$J,$H477)=""),"Total Players; ","")&amp;IF(AND(LOWER(INDEX('Game Records'!$D:$D,$H477)&amp;"")="finalized",LOWER(INDEX('Game Records'!$L:$L,$H477)&amp;"")&lt;&gt;"yes",INDEX('Game Records'!$U:$U,$H477)&lt;&gt;"Subscription",INDEX('Game Records'!$U:$U,$H477)&lt;&gt;"Free Game",INDEX('Game Records'!$U:$U,$H477)&lt;&gt;"Disqualified — Free Game",INDEX('Game Records'!$K:$K,$H477)=""),"Final Earned; ","")&amp;IF(AND(LOWER(INDEX('Game Records'!$D:$D,$H477)&amp;"")="finalized",INDEX('Game Records'!$U:$U,$H477)&lt;&gt;"Subscription",INDEX('Game Records'!$U:$U,$H477)&lt;&gt;"Free Game",INDEX('Game Records'!$U:$U,$H477)&lt;&gt;"Disqualified — Free Game",OR(INDEX('Game Records'!$L:$L,$H477)="",LOWER(INDEX('Game Records'!$L:$L,$H477)&amp;"")="n/a")),"Disqualified Status; ","")&amp;IF(AND(OR(LOWER(TRIM(INDEX('Game Records'!$F:$F,$H477)&amp;""))="free game",INDEX('Game Records'!$U:$U,$H477)="Free Game",INDEX('Game Records'!$U:$U,$H477)="Disqualified — Free Game"),N(INDEX('Game Records'!$H:$H,$H477))&lt;&gt;0),"Free Game has a non-zero Entry Fee. Free Game records require a $0 Entry Fee; ",""))</f>
        <v/>
      </c>
      <c r="G477" s="331" t="str">
        <f>IF($H477="","",IFERROR(INDEX('Game Records'!$M:$M,$H477),""))</f>
        <v/>
      </c>
      <c r="H477" s="104" t="str">
        <f>IF($H476="","",IFERROR(MATCH(1,INDEX((ROW('Game Records'!$U$5:$U$504)&gt;$H476)*(('Game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8" ht="24" customHeight="1">
      <c r="A478" s="332" t="str">
        <f>IF($H478="","",ROWS($A$5:A478))</f>
        <v/>
      </c>
      <c r="B478" s="332" t="str">
        <f>IF($H478="","","G-"&amp;TEXT($A478,"0000"))</f>
        <v/>
      </c>
      <c r="C478" s="331" t="str">
        <f>IF($H478="","",IFERROR(INDEX('Game Records'!$A:$A,$H478),""))</f>
        <v/>
      </c>
      <c r="D478" s="331" t="str">
        <f>IF($H478="","",IFERROR(INDEX('Game Records'!$U:$U,$H478),""))</f>
        <v/>
      </c>
      <c r="E478" s="331" t="str">
        <f>IF($H478="","",IF($F478="","No Highlighted Fields","Highlighted Fields Present"))</f>
        <v/>
      </c>
      <c r="F478" s="331" t="str">
        <f>IF($H478="","",IF(OR(NOT(ISFORMULA(INDEX('Game Records'!$N:$N,$H478))),NOT(ISFORMULA(INDEX('Game Records'!$O:$O,$H478))),NOT(ISFORMULA(INDEX('Game Records'!$P:$P,$H478))),NOT(ISFORMULA(INDEX('Game Records'!$Q:$Q,$H478))),NOT(ISFORMULA(INDEX('Game Records'!$R:$R,$H478))),NOT(ISFORMULA(INDEX('Game Records'!$S:$S,$H478))),NOT(ISFORMULA(INDEX('Game Records'!$T:$T,$H478))),NOT(ISFORMULA(INDEX('Game Records'!$U:$U,$H478))),NOT(ISFORMULA(INDEX('Game Records'!$V:$V,$H478))),NOT(ISFORMULA(INDEX('Game Records'!$W:$W,$H478))),NOT(ISFORMULA(INDEX('Game Records'!$X:$X,$H478))),NOT(ISFORMULA(INDEX('Game Records'!$Y:$Y,$H478))),NOT(ISFORMULA(INDEX('Game Records'!$Z:$Z,$H478)))),"Formula columns missing; ","")&amp;IF(INDEX('Game Records'!$B:$B,$H478)="","Start Date; ","")&amp;IF(INDEX('Game Records'!$C:$C,$H478)="","End Date; ","")&amp;IF(AND(INDEX('Game Records'!$U:$U,$H478)&lt;&gt;"Subscription",INDEX('Game Records'!$U:$U,$H478)&lt;&gt;"Free Game",INDEX('Game Records'!$U:$U,$H478)&lt;&gt;"Disqualified — Free Game",OR(INDEX('Game Records'!$D:$D,$H478)="",LOWER(INDEX('Game Records'!$D:$D,$H478)&amp;"")="n/a")),"Entry Mode; ","")&amp;IF(AND(INDEX('Game Records'!$U:$U,$H478)&lt;&gt;"Subscription",INDEX('Game Records'!$U:$U,$H478)&lt;&gt;"Free Game",INDEX('Game Records'!$U:$U,$H478)&lt;&gt;"Disqualified — Free Game",OR(INDEX('Game Records'!$E:$E,$H478)="",LOWER(INDEX('Game Records'!$E:$E,$H478)&amp;"")="n/a")),"Game Type; ","")&amp;IF(INDEX('Game Records'!$F:$F,$H478)="","Payment Type; ","")&amp;IF(AND(INDEX('Game Records'!$U:$U,$H478)&lt;&gt;"Subscription",INDEX('Game Records'!$U:$U,$H478)&lt;&gt;"Free Game",INDEX('Game Records'!$U:$U,$H478)&lt;&gt;"Disqualified — Free Game",INDEX('Game Records'!$G:$G,$H478)=""),"Gross Pot; ","")&amp;IF(AND(INDEX('Game Records'!$U:$U,$H478)&lt;&gt;"Free Game",INDEX('Game Records'!$U:$U,$H478)&lt;&gt;"Disqualified — Free Game",INDEX('Game Records'!$H:$H,$H478)=""),"Entry Fee; ","")&amp;IF(AND(INDEX('Game Records'!$U:$U,$H478)&lt;&gt;"Subscription",INDEX('Game Records'!$U:$U,$H478)&lt;&gt;"Free Game",INDEX('Game Records'!$U:$U,$H478)&lt;&gt;"Disqualified — Free Game",INDEX('Game Records'!$I:$I,$H478)=""),"Eligible Players; ","")&amp;IF(AND(INDEX('Game Records'!$U:$U,$H478)&lt;&gt;"Subscription",INDEX('Game Records'!$U:$U,$H478)&lt;&gt;"Free Game",INDEX('Game Records'!$U:$U,$H478)&lt;&gt;"Disqualified — Free Game",INDEX('Game Records'!$J:$J,$H478)=""),"Total Players; ","")&amp;IF(AND(LOWER(INDEX('Game Records'!$D:$D,$H478)&amp;"")="finalized",LOWER(INDEX('Game Records'!$L:$L,$H478)&amp;"")&lt;&gt;"yes",INDEX('Game Records'!$U:$U,$H478)&lt;&gt;"Subscription",INDEX('Game Records'!$U:$U,$H478)&lt;&gt;"Free Game",INDEX('Game Records'!$U:$U,$H478)&lt;&gt;"Disqualified — Free Game",INDEX('Game Records'!$K:$K,$H478)=""),"Final Earned; ","")&amp;IF(AND(LOWER(INDEX('Game Records'!$D:$D,$H478)&amp;"")="finalized",INDEX('Game Records'!$U:$U,$H478)&lt;&gt;"Subscription",INDEX('Game Records'!$U:$U,$H478)&lt;&gt;"Free Game",INDEX('Game Records'!$U:$U,$H478)&lt;&gt;"Disqualified — Free Game",OR(INDEX('Game Records'!$L:$L,$H478)="",LOWER(INDEX('Game Records'!$L:$L,$H478)&amp;"")="n/a")),"Disqualified Status; ","")&amp;IF(AND(OR(LOWER(TRIM(INDEX('Game Records'!$F:$F,$H478)&amp;""))="free game",INDEX('Game Records'!$U:$U,$H478)="Free Game",INDEX('Game Records'!$U:$U,$H478)="Disqualified — Free Game"),N(INDEX('Game Records'!$H:$H,$H478))&lt;&gt;0),"Free Game has a non-zero Entry Fee. Free Game records require a $0 Entry Fee; ",""))</f>
        <v/>
      </c>
      <c r="G478" s="331" t="str">
        <f>IF($H478="","",IFERROR(INDEX('Game Records'!$M:$M,$H478),""))</f>
        <v/>
      </c>
      <c r="H478" s="104" t="str">
        <f>IF($H477="","",IFERROR(MATCH(1,INDEX((ROW('Game Records'!$U$5:$U$504)&gt;$H477)*(('Game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9" ht="24" customHeight="1">
      <c r="A479" s="332" t="str">
        <f>IF($H479="","",ROWS($A$5:A479))</f>
        <v/>
      </c>
      <c r="B479" s="332" t="str">
        <f>IF($H479="","","G-"&amp;TEXT($A479,"0000"))</f>
        <v/>
      </c>
      <c r="C479" s="331" t="str">
        <f>IF($H479="","",IFERROR(INDEX('Game Records'!$A:$A,$H479),""))</f>
        <v/>
      </c>
      <c r="D479" s="331" t="str">
        <f>IF($H479="","",IFERROR(INDEX('Game Records'!$U:$U,$H479),""))</f>
        <v/>
      </c>
      <c r="E479" s="331" t="str">
        <f>IF($H479="","",IF($F479="","No Highlighted Fields","Highlighted Fields Present"))</f>
        <v/>
      </c>
      <c r="F479" s="331" t="str">
        <f>IF($H479="","",IF(OR(NOT(ISFORMULA(INDEX('Game Records'!$N:$N,$H479))),NOT(ISFORMULA(INDEX('Game Records'!$O:$O,$H479))),NOT(ISFORMULA(INDEX('Game Records'!$P:$P,$H479))),NOT(ISFORMULA(INDEX('Game Records'!$Q:$Q,$H479))),NOT(ISFORMULA(INDEX('Game Records'!$R:$R,$H479))),NOT(ISFORMULA(INDEX('Game Records'!$S:$S,$H479))),NOT(ISFORMULA(INDEX('Game Records'!$T:$T,$H479))),NOT(ISFORMULA(INDEX('Game Records'!$U:$U,$H479))),NOT(ISFORMULA(INDEX('Game Records'!$V:$V,$H479))),NOT(ISFORMULA(INDEX('Game Records'!$W:$W,$H479))),NOT(ISFORMULA(INDEX('Game Records'!$X:$X,$H479))),NOT(ISFORMULA(INDEX('Game Records'!$Y:$Y,$H479))),NOT(ISFORMULA(INDEX('Game Records'!$Z:$Z,$H479)))),"Formula columns missing; ","")&amp;IF(INDEX('Game Records'!$B:$B,$H479)="","Start Date; ","")&amp;IF(INDEX('Game Records'!$C:$C,$H479)="","End Date; ","")&amp;IF(AND(INDEX('Game Records'!$U:$U,$H479)&lt;&gt;"Subscription",INDEX('Game Records'!$U:$U,$H479)&lt;&gt;"Free Game",INDEX('Game Records'!$U:$U,$H479)&lt;&gt;"Disqualified — Free Game",OR(INDEX('Game Records'!$D:$D,$H479)="",LOWER(INDEX('Game Records'!$D:$D,$H479)&amp;"")="n/a")),"Entry Mode; ","")&amp;IF(AND(INDEX('Game Records'!$U:$U,$H479)&lt;&gt;"Subscription",INDEX('Game Records'!$U:$U,$H479)&lt;&gt;"Free Game",INDEX('Game Records'!$U:$U,$H479)&lt;&gt;"Disqualified — Free Game",OR(INDEX('Game Records'!$E:$E,$H479)="",LOWER(INDEX('Game Records'!$E:$E,$H479)&amp;"")="n/a")),"Game Type; ","")&amp;IF(INDEX('Game Records'!$F:$F,$H479)="","Payment Type; ","")&amp;IF(AND(INDEX('Game Records'!$U:$U,$H479)&lt;&gt;"Subscription",INDEX('Game Records'!$U:$U,$H479)&lt;&gt;"Free Game",INDEX('Game Records'!$U:$U,$H479)&lt;&gt;"Disqualified — Free Game",INDEX('Game Records'!$G:$G,$H479)=""),"Gross Pot; ","")&amp;IF(AND(INDEX('Game Records'!$U:$U,$H479)&lt;&gt;"Free Game",INDEX('Game Records'!$U:$U,$H479)&lt;&gt;"Disqualified — Free Game",INDEX('Game Records'!$H:$H,$H479)=""),"Entry Fee; ","")&amp;IF(AND(INDEX('Game Records'!$U:$U,$H479)&lt;&gt;"Subscription",INDEX('Game Records'!$U:$U,$H479)&lt;&gt;"Free Game",INDEX('Game Records'!$U:$U,$H479)&lt;&gt;"Disqualified — Free Game",INDEX('Game Records'!$I:$I,$H479)=""),"Eligible Players; ","")&amp;IF(AND(INDEX('Game Records'!$U:$U,$H479)&lt;&gt;"Subscription",INDEX('Game Records'!$U:$U,$H479)&lt;&gt;"Free Game",INDEX('Game Records'!$U:$U,$H479)&lt;&gt;"Disqualified — Free Game",INDEX('Game Records'!$J:$J,$H479)=""),"Total Players; ","")&amp;IF(AND(LOWER(INDEX('Game Records'!$D:$D,$H479)&amp;"")="finalized",LOWER(INDEX('Game Records'!$L:$L,$H479)&amp;"")&lt;&gt;"yes",INDEX('Game Records'!$U:$U,$H479)&lt;&gt;"Subscription",INDEX('Game Records'!$U:$U,$H479)&lt;&gt;"Free Game",INDEX('Game Records'!$U:$U,$H479)&lt;&gt;"Disqualified — Free Game",INDEX('Game Records'!$K:$K,$H479)=""),"Final Earned; ","")&amp;IF(AND(LOWER(INDEX('Game Records'!$D:$D,$H479)&amp;"")="finalized",INDEX('Game Records'!$U:$U,$H479)&lt;&gt;"Subscription",INDEX('Game Records'!$U:$U,$H479)&lt;&gt;"Free Game",INDEX('Game Records'!$U:$U,$H479)&lt;&gt;"Disqualified — Free Game",OR(INDEX('Game Records'!$L:$L,$H479)="",LOWER(INDEX('Game Records'!$L:$L,$H479)&amp;"")="n/a")),"Disqualified Status; ","")&amp;IF(AND(OR(LOWER(TRIM(INDEX('Game Records'!$F:$F,$H479)&amp;""))="free game",INDEX('Game Records'!$U:$U,$H479)="Free Game",INDEX('Game Records'!$U:$U,$H479)="Disqualified — Free Game"),N(INDEX('Game Records'!$H:$H,$H479))&lt;&gt;0),"Free Game has a non-zero Entry Fee. Free Game records require a $0 Entry Fee; ",""))</f>
        <v/>
      </c>
      <c r="G479" s="331" t="str">
        <f>IF($H479="","",IFERROR(INDEX('Game Records'!$M:$M,$H479),""))</f>
        <v/>
      </c>
      <c r="H479" s="104" t="str">
        <f>IF($H478="","",IFERROR(MATCH(1,INDEX((ROW('Game Records'!$U$5:$U$504)&gt;$H478)*(('Game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0" ht="24" customHeight="1">
      <c r="A480" s="332" t="str">
        <f>IF($H480="","",ROWS($A$5:A480))</f>
        <v/>
      </c>
      <c r="B480" s="332" t="str">
        <f>IF($H480="","","G-"&amp;TEXT($A480,"0000"))</f>
        <v/>
      </c>
      <c r="C480" s="331" t="str">
        <f>IF($H480="","",IFERROR(INDEX('Game Records'!$A:$A,$H480),""))</f>
        <v/>
      </c>
      <c r="D480" s="331" t="str">
        <f>IF($H480="","",IFERROR(INDEX('Game Records'!$U:$U,$H480),""))</f>
        <v/>
      </c>
      <c r="E480" s="331" t="str">
        <f>IF($H480="","",IF($F480="","No Highlighted Fields","Highlighted Fields Present"))</f>
        <v/>
      </c>
      <c r="F480" s="331" t="str">
        <f>IF($H480="","",IF(OR(NOT(ISFORMULA(INDEX('Game Records'!$N:$N,$H480))),NOT(ISFORMULA(INDEX('Game Records'!$O:$O,$H480))),NOT(ISFORMULA(INDEX('Game Records'!$P:$P,$H480))),NOT(ISFORMULA(INDEX('Game Records'!$Q:$Q,$H480))),NOT(ISFORMULA(INDEX('Game Records'!$R:$R,$H480))),NOT(ISFORMULA(INDEX('Game Records'!$S:$S,$H480))),NOT(ISFORMULA(INDEX('Game Records'!$T:$T,$H480))),NOT(ISFORMULA(INDEX('Game Records'!$U:$U,$H480))),NOT(ISFORMULA(INDEX('Game Records'!$V:$V,$H480))),NOT(ISFORMULA(INDEX('Game Records'!$W:$W,$H480))),NOT(ISFORMULA(INDEX('Game Records'!$X:$X,$H480))),NOT(ISFORMULA(INDEX('Game Records'!$Y:$Y,$H480))),NOT(ISFORMULA(INDEX('Game Records'!$Z:$Z,$H480)))),"Formula columns missing; ","")&amp;IF(INDEX('Game Records'!$B:$B,$H480)="","Start Date; ","")&amp;IF(INDEX('Game Records'!$C:$C,$H480)="","End Date; ","")&amp;IF(AND(INDEX('Game Records'!$U:$U,$H480)&lt;&gt;"Subscription",INDEX('Game Records'!$U:$U,$H480)&lt;&gt;"Free Game",INDEX('Game Records'!$U:$U,$H480)&lt;&gt;"Disqualified — Free Game",OR(INDEX('Game Records'!$D:$D,$H480)="",LOWER(INDEX('Game Records'!$D:$D,$H480)&amp;"")="n/a")),"Entry Mode; ","")&amp;IF(AND(INDEX('Game Records'!$U:$U,$H480)&lt;&gt;"Subscription",INDEX('Game Records'!$U:$U,$H480)&lt;&gt;"Free Game",INDEX('Game Records'!$U:$U,$H480)&lt;&gt;"Disqualified — Free Game",OR(INDEX('Game Records'!$E:$E,$H480)="",LOWER(INDEX('Game Records'!$E:$E,$H480)&amp;"")="n/a")),"Game Type; ","")&amp;IF(INDEX('Game Records'!$F:$F,$H480)="","Payment Type; ","")&amp;IF(AND(INDEX('Game Records'!$U:$U,$H480)&lt;&gt;"Subscription",INDEX('Game Records'!$U:$U,$H480)&lt;&gt;"Free Game",INDEX('Game Records'!$U:$U,$H480)&lt;&gt;"Disqualified — Free Game",INDEX('Game Records'!$G:$G,$H480)=""),"Gross Pot; ","")&amp;IF(AND(INDEX('Game Records'!$U:$U,$H480)&lt;&gt;"Free Game",INDEX('Game Records'!$U:$U,$H480)&lt;&gt;"Disqualified — Free Game",INDEX('Game Records'!$H:$H,$H480)=""),"Entry Fee; ","")&amp;IF(AND(INDEX('Game Records'!$U:$U,$H480)&lt;&gt;"Subscription",INDEX('Game Records'!$U:$U,$H480)&lt;&gt;"Free Game",INDEX('Game Records'!$U:$U,$H480)&lt;&gt;"Disqualified — Free Game",INDEX('Game Records'!$I:$I,$H480)=""),"Eligible Players; ","")&amp;IF(AND(INDEX('Game Records'!$U:$U,$H480)&lt;&gt;"Subscription",INDEX('Game Records'!$U:$U,$H480)&lt;&gt;"Free Game",INDEX('Game Records'!$U:$U,$H480)&lt;&gt;"Disqualified — Free Game",INDEX('Game Records'!$J:$J,$H480)=""),"Total Players; ","")&amp;IF(AND(LOWER(INDEX('Game Records'!$D:$D,$H480)&amp;"")="finalized",LOWER(INDEX('Game Records'!$L:$L,$H480)&amp;"")&lt;&gt;"yes",INDEX('Game Records'!$U:$U,$H480)&lt;&gt;"Subscription",INDEX('Game Records'!$U:$U,$H480)&lt;&gt;"Free Game",INDEX('Game Records'!$U:$U,$H480)&lt;&gt;"Disqualified — Free Game",INDEX('Game Records'!$K:$K,$H480)=""),"Final Earned; ","")&amp;IF(AND(LOWER(INDEX('Game Records'!$D:$D,$H480)&amp;"")="finalized",INDEX('Game Records'!$U:$U,$H480)&lt;&gt;"Subscription",INDEX('Game Records'!$U:$U,$H480)&lt;&gt;"Free Game",INDEX('Game Records'!$U:$U,$H480)&lt;&gt;"Disqualified — Free Game",OR(INDEX('Game Records'!$L:$L,$H480)="",LOWER(INDEX('Game Records'!$L:$L,$H480)&amp;"")="n/a")),"Disqualified Status; ","")&amp;IF(AND(OR(LOWER(TRIM(INDEX('Game Records'!$F:$F,$H480)&amp;""))="free game",INDEX('Game Records'!$U:$U,$H480)="Free Game",INDEX('Game Records'!$U:$U,$H480)="Disqualified — Free Game"),N(INDEX('Game Records'!$H:$H,$H480))&lt;&gt;0),"Free Game has a non-zero Entry Fee. Free Game records require a $0 Entry Fee; ",""))</f>
        <v/>
      </c>
      <c r="G480" s="331" t="str">
        <f>IF($H480="","",IFERROR(INDEX('Game Records'!$M:$M,$H480),""))</f>
        <v/>
      </c>
      <c r="H480" s="104" t="str">
        <f>IF($H479="","",IFERROR(MATCH(1,INDEX((ROW('Game Records'!$U$5:$U$504)&gt;$H479)*(('Game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1" ht="24" customHeight="1">
      <c r="A481" s="332" t="str">
        <f>IF($H481="","",ROWS($A$5:A481))</f>
        <v/>
      </c>
      <c r="B481" s="332" t="str">
        <f>IF($H481="","","G-"&amp;TEXT($A481,"0000"))</f>
        <v/>
      </c>
      <c r="C481" s="331" t="str">
        <f>IF($H481="","",IFERROR(INDEX('Game Records'!$A:$A,$H481),""))</f>
        <v/>
      </c>
      <c r="D481" s="331" t="str">
        <f>IF($H481="","",IFERROR(INDEX('Game Records'!$U:$U,$H481),""))</f>
        <v/>
      </c>
      <c r="E481" s="331" t="str">
        <f>IF($H481="","",IF($F481="","No Highlighted Fields","Highlighted Fields Present"))</f>
        <v/>
      </c>
      <c r="F481" s="331" t="str">
        <f>IF($H481="","",IF(OR(NOT(ISFORMULA(INDEX('Game Records'!$N:$N,$H481))),NOT(ISFORMULA(INDEX('Game Records'!$O:$O,$H481))),NOT(ISFORMULA(INDEX('Game Records'!$P:$P,$H481))),NOT(ISFORMULA(INDEX('Game Records'!$Q:$Q,$H481))),NOT(ISFORMULA(INDEX('Game Records'!$R:$R,$H481))),NOT(ISFORMULA(INDEX('Game Records'!$S:$S,$H481))),NOT(ISFORMULA(INDEX('Game Records'!$T:$T,$H481))),NOT(ISFORMULA(INDEX('Game Records'!$U:$U,$H481))),NOT(ISFORMULA(INDEX('Game Records'!$V:$V,$H481))),NOT(ISFORMULA(INDEX('Game Records'!$W:$W,$H481))),NOT(ISFORMULA(INDEX('Game Records'!$X:$X,$H481))),NOT(ISFORMULA(INDEX('Game Records'!$Y:$Y,$H481))),NOT(ISFORMULA(INDEX('Game Records'!$Z:$Z,$H481)))),"Formula columns missing; ","")&amp;IF(INDEX('Game Records'!$B:$B,$H481)="","Start Date; ","")&amp;IF(INDEX('Game Records'!$C:$C,$H481)="","End Date; ","")&amp;IF(AND(INDEX('Game Records'!$U:$U,$H481)&lt;&gt;"Subscription",INDEX('Game Records'!$U:$U,$H481)&lt;&gt;"Free Game",INDEX('Game Records'!$U:$U,$H481)&lt;&gt;"Disqualified — Free Game",OR(INDEX('Game Records'!$D:$D,$H481)="",LOWER(INDEX('Game Records'!$D:$D,$H481)&amp;"")="n/a")),"Entry Mode; ","")&amp;IF(AND(INDEX('Game Records'!$U:$U,$H481)&lt;&gt;"Subscription",INDEX('Game Records'!$U:$U,$H481)&lt;&gt;"Free Game",INDEX('Game Records'!$U:$U,$H481)&lt;&gt;"Disqualified — Free Game",OR(INDEX('Game Records'!$E:$E,$H481)="",LOWER(INDEX('Game Records'!$E:$E,$H481)&amp;"")="n/a")),"Game Type; ","")&amp;IF(INDEX('Game Records'!$F:$F,$H481)="","Payment Type; ","")&amp;IF(AND(INDEX('Game Records'!$U:$U,$H481)&lt;&gt;"Subscription",INDEX('Game Records'!$U:$U,$H481)&lt;&gt;"Free Game",INDEX('Game Records'!$U:$U,$H481)&lt;&gt;"Disqualified — Free Game",INDEX('Game Records'!$G:$G,$H481)=""),"Gross Pot; ","")&amp;IF(AND(INDEX('Game Records'!$U:$U,$H481)&lt;&gt;"Free Game",INDEX('Game Records'!$U:$U,$H481)&lt;&gt;"Disqualified — Free Game",INDEX('Game Records'!$H:$H,$H481)=""),"Entry Fee; ","")&amp;IF(AND(INDEX('Game Records'!$U:$U,$H481)&lt;&gt;"Subscription",INDEX('Game Records'!$U:$U,$H481)&lt;&gt;"Free Game",INDEX('Game Records'!$U:$U,$H481)&lt;&gt;"Disqualified — Free Game",INDEX('Game Records'!$I:$I,$H481)=""),"Eligible Players; ","")&amp;IF(AND(INDEX('Game Records'!$U:$U,$H481)&lt;&gt;"Subscription",INDEX('Game Records'!$U:$U,$H481)&lt;&gt;"Free Game",INDEX('Game Records'!$U:$U,$H481)&lt;&gt;"Disqualified — Free Game",INDEX('Game Records'!$J:$J,$H481)=""),"Total Players; ","")&amp;IF(AND(LOWER(INDEX('Game Records'!$D:$D,$H481)&amp;"")="finalized",LOWER(INDEX('Game Records'!$L:$L,$H481)&amp;"")&lt;&gt;"yes",INDEX('Game Records'!$U:$U,$H481)&lt;&gt;"Subscription",INDEX('Game Records'!$U:$U,$H481)&lt;&gt;"Free Game",INDEX('Game Records'!$U:$U,$H481)&lt;&gt;"Disqualified — Free Game",INDEX('Game Records'!$K:$K,$H481)=""),"Final Earned; ","")&amp;IF(AND(LOWER(INDEX('Game Records'!$D:$D,$H481)&amp;"")="finalized",INDEX('Game Records'!$U:$U,$H481)&lt;&gt;"Subscription",INDEX('Game Records'!$U:$U,$H481)&lt;&gt;"Free Game",INDEX('Game Records'!$U:$U,$H481)&lt;&gt;"Disqualified — Free Game",OR(INDEX('Game Records'!$L:$L,$H481)="",LOWER(INDEX('Game Records'!$L:$L,$H481)&amp;"")="n/a")),"Disqualified Status; ","")&amp;IF(AND(OR(LOWER(TRIM(INDEX('Game Records'!$F:$F,$H481)&amp;""))="free game",INDEX('Game Records'!$U:$U,$H481)="Free Game",INDEX('Game Records'!$U:$U,$H481)="Disqualified — Free Game"),N(INDEX('Game Records'!$H:$H,$H481))&lt;&gt;0),"Free Game has a non-zero Entry Fee. Free Game records require a $0 Entry Fee; ",""))</f>
        <v/>
      </c>
      <c r="G481" s="331" t="str">
        <f>IF($H481="","",IFERROR(INDEX('Game Records'!$M:$M,$H481),""))</f>
        <v/>
      </c>
      <c r="H481" s="104" t="str">
        <f>IF($H480="","",IFERROR(MATCH(1,INDEX((ROW('Game Records'!$U$5:$U$504)&gt;$H480)*(('Game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2" ht="24" customHeight="1">
      <c r="A482" s="332" t="str">
        <f>IF($H482="","",ROWS($A$5:A482))</f>
        <v/>
      </c>
      <c r="B482" s="332" t="str">
        <f>IF($H482="","","G-"&amp;TEXT($A482,"0000"))</f>
        <v/>
      </c>
      <c r="C482" s="331" t="str">
        <f>IF($H482="","",IFERROR(INDEX('Game Records'!$A:$A,$H482),""))</f>
        <v/>
      </c>
      <c r="D482" s="331" t="str">
        <f>IF($H482="","",IFERROR(INDEX('Game Records'!$U:$U,$H482),""))</f>
        <v/>
      </c>
      <c r="E482" s="331" t="str">
        <f>IF($H482="","",IF($F482="","No Highlighted Fields","Highlighted Fields Present"))</f>
        <v/>
      </c>
      <c r="F482" s="331" t="str">
        <f>IF($H482="","",IF(OR(NOT(ISFORMULA(INDEX('Game Records'!$N:$N,$H482))),NOT(ISFORMULA(INDEX('Game Records'!$O:$O,$H482))),NOT(ISFORMULA(INDEX('Game Records'!$P:$P,$H482))),NOT(ISFORMULA(INDEX('Game Records'!$Q:$Q,$H482))),NOT(ISFORMULA(INDEX('Game Records'!$R:$R,$H482))),NOT(ISFORMULA(INDEX('Game Records'!$S:$S,$H482))),NOT(ISFORMULA(INDEX('Game Records'!$T:$T,$H482))),NOT(ISFORMULA(INDEX('Game Records'!$U:$U,$H482))),NOT(ISFORMULA(INDEX('Game Records'!$V:$V,$H482))),NOT(ISFORMULA(INDEX('Game Records'!$W:$W,$H482))),NOT(ISFORMULA(INDEX('Game Records'!$X:$X,$H482))),NOT(ISFORMULA(INDEX('Game Records'!$Y:$Y,$H482))),NOT(ISFORMULA(INDEX('Game Records'!$Z:$Z,$H482)))),"Formula columns missing; ","")&amp;IF(INDEX('Game Records'!$B:$B,$H482)="","Start Date; ","")&amp;IF(INDEX('Game Records'!$C:$C,$H482)="","End Date; ","")&amp;IF(AND(INDEX('Game Records'!$U:$U,$H482)&lt;&gt;"Subscription",INDEX('Game Records'!$U:$U,$H482)&lt;&gt;"Free Game",INDEX('Game Records'!$U:$U,$H482)&lt;&gt;"Disqualified — Free Game",OR(INDEX('Game Records'!$D:$D,$H482)="",LOWER(INDEX('Game Records'!$D:$D,$H482)&amp;"")="n/a")),"Entry Mode; ","")&amp;IF(AND(INDEX('Game Records'!$U:$U,$H482)&lt;&gt;"Subscription",INDEX('Game Records'!$U:$U,$H482)&lt;&gt;"Free Game",INDEX('Game Records'!$U:$U,$H482)&lt;&gt;"Disqualified — Free Game",OR(INDEX('Game Records'!$E:$E,$H482)="",LOWER(INDEX('Game Records'!$E:$E,$H482)&amp;"")="n/a")),"Game Type; ","")&amp;IF(INDEX('Game Records'!$F:$F,$H482)="","Payment Type; ","")&amp;IF(AND(INDEX('Game Records'!$U:$U,$H482)&lt;&gt;"Subscription",INDEX('Game Records'!$U:$U,$H482)&lt;&gt;"Free Game",INDEX('Game Records'!$U:$U,$H482)&lt;&gt;"Disqualified — Free Game",INDEX('Game Records'!$G:$G,$H482)=""),"Gross Pot; ","")&amp;IF(AND(INDEX('Game Records'!$U:$U,$H482)&lt;&gt;"Free Game",INDEX('Game Records'!$U:$U,$H482)&lt;&gt;"Disqualified — Free Game",INDEX('Game Records'!$H:$H,$H482)=""),"Entry Fee; ","")&amp;IF(AND(INDEX('Game Records'!$U:$U,$H482)&lt;&gt;"Subscription",INDEX('Game Records'!$U:$U,$H482)&lt;&gt;"Free Game",INDEX('Game Records'!$U:$U,$H482)&lt;&gt;"Disqualified — Free Game",INDEX('Game Records'!$I:$I,$H482)=""),"Eligible Players; ","")&amp;IF(AND(INDEX('Game Records'!$U:$U,$H482)&lt;&gt;"Subscription",INDEX('Game Records'!$U:$U,$H482)&lt;&gt;"Free Game",INDEX('Game Records'!$U:$U,$H482)&lt;&gt;"Disqualified — Free Game",INDEX('Game Records'!$J:$J,$H482)=""),"Total Players; ","")&amp;IF(AND(LOWER(INDEX('Game Records'!$D:$D,$H482)&amp;"")="finalized",LOWER(INDEX('Game Records'!$L:$L,$H482)&amp;"")&lt;&gt;"yes",INDEX('Game Records'!$U:$U,$H482)&lt;&gt;"Subscription",INDEX('Game Records'!$U:$U,$H482)&lt;&gt;"Free Game",INDEX('Game Records'!$U:$U,$H482)&lt;&gt;"Disqualified — Free Game",INDEX('Game Records'!$K:$K,$H482)=""),"Final Earned; ","")&amp;IF(AND(LOWER(INDEX('Game Records'!$D:$D,$H482)&amp;"")="finalized",INDEX('Game Records'!$U:$U,$H482)&lt;&gt;"Subscription",INDEX('Game Records'!$U:$U,$H482)&lt;&gt;"Free Game",INDEX('Game Records'!$U:$U,$H482)&lt;&gt;"Disqualified — Free Game",OR(INDEX('Game Records'!$L:$L,$H482)="",LOWER(INDEX('Game Records'!$L:$L,$H482)&amp;"")="n/a")),"Disqualified Status; ","")&amp;IF(AND(OR(LOWER(TRIM(INDEX('Game Records'!$F:$F,$H482)&amp;""))="free game",INDEX('Game Records'!$U:$U,$H482)="Free Game",INDEX('Game Records'!$U:$U,$H482)="Disqualified — Free Game"),N(INDEX('Game Records'!$H:$H,$H482))&lt;&gt;0),"Free Game has a non-zero Entry Fee. Free Game records require a $0 Entry Fee; ",""))</f>
        <v/>
      </c>
      <c r="G482" s="331" t="str">
        <f>IF($H482="","",IFERROR(INDEX('Game Records'!$M:$M,$H482),""))</f>
        <v/>
      </c>
      <c r="H482" s="104" t="str">
        <f>IF($H481="","",IFERROR(MATCH(1,INDEX((ROW('Game Records'!$U$5:$U$504)&gt;$H481)*(('Game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3" ht="24" customHeight="1">
      <c r="A483" s="332" t="str">
        <f>IF($H483="","",ROWS($A$5:A483))</f>
        <v/>
      </c>
      <c r="B483" s="332" t="str">
        <f>IF($H483="","","G-"&amp;TEXT($A483,"0000"))</f>
        <v/>
      </c>
      <c r="C483" s="331" t="str">
        <f>IF($H483="","",IFERROR(INDEX('Game Records'!$A:$A,$H483),""))</f>
        <v/>
      </c>
      <c r="D483" s="331" t="str">
        <f>IF($H483="","",IFERROR(INDEX('Game Records'!$U:$U,$H483),""))</f>
        <v/>
      </c>
      <c r="E483" s="331" t="str">
        <f>IF($H483="","",IF($F483="","No Highlighted Fields","Highlighted Fields Present"))</f>
        <v/>
      </c>
      <c r="F483" s="331" t="str">
        <f>IF($H483="","",IF(OR(NOT(ISFORMULA(INDEX('Game Records'!$N:$N,$H483))),NOT(ISFORMULA(INDEX('Game Records'!$O:$O,$H483))),NOT(ISFORMULA(INDEX('Game Records'!$P:$P,$H483))),NOT(ISFORMULA(INDEX('Game Records'!$Q:$Q,$H483))),NOT(ISFORMULA(INDEX('Game Records'!$R:$R,$H483))),NOT(ISFORMULA(INDEX('Game Records'!$S:$S,$H483))),NOT(ISFORMULA(INDEX('Game Records'!$T:$T,$H483))),NOT(ISFORMULA(INDEX('Game Records'!$U:$U,$H483))),NOT(ISFORMULA(INDEX('Game Records'!$V:$V,$H483))),NOT(ISFORMULA(INDEX('Game Records'!$W:$W,$H483))),NOT(ISFORMULA(INDEX('Game Records'!$X:$X,$H483))),NOT(ISFORMULA(INDEX('Game Records'!$Y:$Y,$H483))),NOT(ISFORMULA(INDEX('Game Records'!$Z:$Z,$H483)))),"Formula columns missing; ","")&amp;IF(INDEX('Game Records'!$B:$B,$H483)="","Start Date; ","")&amp;IF(INDEX('Game Records'!$C:$C,$H483)="","End Date; ","")&amp;IF(AND(INDEX('Game Records'!$U:$U,$H483)&lt;&gt;"Subscription",INDEX('Game Records'!$U:$U,$H483)&lt;&gt;"Free Game",INDEX('Game Records'!$U:$U,$H483)&lt;&gt;"Disqualified — Free Game",OR(INDEX('Game Records'!$D:$D,$H483)="",LOWER(INDEX('Game Records'!$D:$D,$H483)&amp;"")="n/a")),"Entry Mode; ","")&amp;IF(AND(INDEX('Game Records'!$U:$U,$H483)&lt;&gt;"Subscription",INDEX('Game Records'!$U:$U,$H483)&lt;&gt;"Free Game",INDEX('Game Records'!$U:$U,$H483)&lt;&gt;"Disqualified — Free Game",OR(INDEX('Game Records'!$E:$E,$H483)="",LOWER(INDEX('Game Records'!$E:$E,$H483)&amp;"")="n/a")),"Game Type; ","")&amp;IF(INDEX('Game Records'!$F:$F,$H483)="","Payment Type; ","")&amp;IF(AND(INDEX('Game Records'!$U:$U,$H483)&lt;&gt;"Subscription",INDEX('Game Records'!$U:$U,$H483)&lt;&gt;"Free Game",INDEX('Game Records'!$U:$U,$H483)&lt;&gt;"Disqualified — Free Game",INDEX('Game Records'!$G:$G,$H483)=""),"Gross Pot; ","")&amp;IF(AND(INDEX('Game Records'!$U:$U,$H483)&lt;&gt;"Free Game",INDEX('Game Records'!$U:$U,$H483)&lt;&gt;"Disqualified — Free Game",INDEX('Game Records'!$H:$H,$H483)=""),"Entry Fee; ","")&amp;IF(AND(INDEX('Game Records'!$U:$U,$H483)&lt;&gt;"Subscription",INDEX('Game Records'!$U:$U,$H483)&lt;&gt;"Free Game",INDEX('Game Records'!$U:$U,$H483)&lt;&gt;"Disqualified — Free Game",INDEX('Game Records'!$I:$I,$H483)=""),"Eligible Players; ","")&amp;IF(AND(INDEX('Game Records'!$U:$U,$H483)&lt;&gt;"Subscription",INDEX('Game Records'!$U:$U,$H483)&lt;&gt;"Free Game",INDEX('Game Records'!$U:$U,$H483)&lt;&gt;"Disqualified — Free Game",INDEX('Game Records'!$J:$J,$H483)=""),"Total Players; ","")&amp;IF(AND(LOWER(INDEX('Game Records'!$D:$D,$H483)&amp;"")="finalized",LOWER(INDEX('Game Records'!$L:$L,$H483)&amp;"")&lt;&gt;"yes",INDEX('Game Records'!$U:$U,$H483)&lt;&gt;"Subscription",INDEX('Game Records'!$U:$U,$H483)&lt;&gt;"Free Game",INDEX('Game Records'!$U:$U,$H483)&lt;&gt;"Disqualified — Free Game",INDEX('Game Records'!$K:$K,$H483)=""),"Final Earned; ","")&amp;IF(AND(LOWER(INDEX('Game Records'!$D:$D,$H483)&amp;"")="finalized",INDEX('Game Records'!$U:$U,$H483)&lt;&gt;"Subscription",INDEX('Game Records'!$U:$U,$H483)&lt;&gt;"Free Game",INDEX('Game Records'!$U:$U,$H483)&lt;&gt;"Disqualified — Free Game",OR(INDEX('Game Records'!$L:$L,$H483)="",LOWER(INDEX('Game Records'!$L:$L,$H483)&amp;"")="n/a")),"Disqualified Status; ","")&amp;IF(AND(OR(LOWER(TRIM(INDEX('Game Records'!$F:$F,$H483)&amp;""))="free game",INDEX('Game Records'!$U:$U,$H483)="Free Game",INDEX('Game Records'!$U:$U,$H483)="Disqualified — Free Game"),N(INDEX('Game Records'!$H:$H,$H483))&lt;&gt;0),"Free Game has a non-zero Entry Fee. Free Game records require a $0 Entry Fee; ",""))</f>
        <v/>
      </c>
      <c r="G483" s="331" t="str">
        <f>IF($H483="","",IFERROR(INDEX('Game Records'!$M:$M,$H483),""))</f>
        <v/>
      </c>
      <c r="H483" s="104" t="str">
        <f>IF($H482="","",IFERROR(MATCH(1,INDEX((ROW('Game Records'!$U$5:$U$504)&gt;$H482)*(('Game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4" ht="24" customHeight="1">
      <c r="A484" s="332" t="str">
        <f>IF($H484="","",ROWS($A$5:A484))</f>
        <v/>
      </c>
      <c r="B484" s="332" t="str">
        <f>IF($H484="","","G-"&amp;TEXT($A484,"0000"))</f>
        <v/>
      </c>
      <c r="C484" s="331" t="str">
        <f>IF($H484="","",IFERROR(INDEX('Game Records'!$A:$A,$H484),""))</f>
        <v/>
      </c>
      <c r="D484" s="331" t="str">
        <f>IF($H484="","",IFERROR(INDEX('Game Records'!$U:$U,$H484),""))</f>
        <v/>
      </c>
      <c r="E484" s="331" t="str">
        <f>IF($H484="","",IF($F484="","No Highlighted Fields","Highlighted Fields Present"))</f>
        <v/>
      </c>
      <c r="F484" s="331" t="str">
        <f>IF($H484="","",IF(OR(NOT(ISFORMULA(INDEX('Game Records'!$N:$N,$H484))),NOT(ISFORMULA(INDEX('Game Records'!$O:$O,$H484))),NOT(ISFORMULA(INDEX('Game Records'!$P:$P,$H484))),NOT(ISFORMULA(INDEX('Game Records'!$Q:$Q,$H484))),NOT(ISFORMULA(INDEX('Game Records'!$R:$R,$H484))),NOT(ISFORMULA(INDEX('Game Records'!$S:$S,$H484))),NOT(ISFORMULA(INDEX('Game Records'!$T:$T,$H484))),NOT(ISFORMULA(INDEX('Game Records'!$U:$U,$H484))),NOT(ISFORMULA(INDEX('Game Records'!$V:$V,$H484))),NOT(ISFORMULA(INDEX('Game Records'!$W:$W,$H484))),NOT(ISFORMULA(INDEX('Game Records'!$X:$X,$H484))),NOT(ISFORMULA(INDEX('Game Records'!$Y:$Y,$H484))),NOT(ISFORMULA(INDEX('Game Records'!$Z:$Z,$H484)))),"Formula columns missing; ","")&amp;IF(INDEX('Game Records'!$B:$B,$H484)="","Start Date; ","")&amp;IF(INDEX('Game Records'!$C:$C,$H484)="","End Date; ","")&amp;IF(AND(INDEX('Game Records'!$U:$U,$H484)&lt;&gt;"Subscription",INDEX('Game Records'!$U:$U,$H484)&lt;&gt;"Free Game",INDEX('Game Records'!$U:$U,$H484)&lt;&gt;"Disqualified — Free Game",OR(INDEX('Game Records'!$D:$D,$H484)="",LOWER(INDEX('Game Records'!$D:$D,$H484)&amp;"")="n/a")),"Entry Mode; ","")&amp;IF(AND(INDEX('Game Records'!$U:$U,$H484)&lt;&gt;"Subscription",INDEX('Game Records'!$U:$U,$H484)&lt;&gt;"Free Game",INDEX('Game Records'!$U:$U,$H484)&lt;&gt;"Disqualified — Free Game",OR(INDEX('Game Records'!$E:$E,$H484)="",LOWER(INDEX('Game Records'!$E:$E,$H484)&amp;"")="n/a")),"Game Type; ","")&amp;IF(INDEX('Game Records'!$F:$F,$H484)="","Payment Type; ","")&amp;IF(AND(INDEX('Game Records'!$U:$U,$H484)&lt;&gt;"Subscription",INDEX('Game Records'!$U:$U,$H484)&lt;&gt;"Free Game",INDEX('Game Records'!$U:$U,$H484)&lt;&gt;"Disqualified — Free Game",INDEX('Game Records'!$G:$G,$H484)=""),"Gross Pot; ","")&amp;IF(AND(INDEX('Game Records'!$U:$U,$H484)&lt;&gt;"Free Game",INDEX('Game Records'!$U:$U,$H484)&lt;&gt;"Disqualified — Free Game",INDEX('Game Records'!$H:$H,$H484)=""),"Entry Fee; ","")&amp;IF(AND(INDEX('Game Records'!$U:$U,$H484)&lt;&gt;"Subscription",INDEX('Game Records'!$U:$U,$H484)&lt;&gt;"Free Game",INDEX('Game Records'!$U:$U,$H484)&lt;&gt;"Disqualified — Free Game",INDEX('Game Records'!$I:$I,$H484)=""),"Eligible Players; ","")&amp;IF(AND(INDEX('Game Records'!$U:$U,$H484)&lt;&gt;"Subscription",INDEX('Game Records'!$U:$U,$H484)&lt;&gt;"Free Game",INDEX('Game Records'!$U:$U,$H484)&lt;&gt;"Disqualified — Free Game",INDEX('Game Records'!$J:$J,$H484)=""),"Total Players; ","")&amp;IF(AND(LOWER(INDEX('Game Records'!$D:$D,$H484)&amp;"")="finalized",LOWER(INDEX('Game Records'!$L:$L,$H484)&amp;"")&lt;&gt;"yes",INDEX('Game Records'!$U:$U,$H484)&lt;&gt;"Subscription",INDEX('Game Records'!$U:$U,$H484)&lt;&gt;"Free Game",INDEX('Game Records'!$U:$U,$H484)&lt;&gt;"Disqualified — Free Game",INDEX('Game Records'!$K:$K,$H484)=""),"Final Earned; ","")&amp;IF(AND(LOWER(INDEX('Game Records'!$D:$D,$H484)&amp;"")="finalized",INDEX('Game Records'!$U:$U,$H484)&lt;&gt;"Subscription",INDEX('Game Records'!$U:$U,$H484)&lt;&gt;"Free Game",INDEX('Game Records'!$U:$U,$H484)&lt;&gt;"Disqualified — Free Game",OR(INDEX('Game Records'!$L:$L,$H484)="",LOWER(INDEX('Game Records'!$L:$L,$H484)&amp;"")="n/a")),"Disqualified Status; ","")&amp;IF(AND(OR(LOWER(TRIM(INDEX('Game Records'!$F:$F,$H484)&amp;""))="free game",INDEX('Game Records'!$U:$U,$H484)="Free Game",INDEX('Game Records'!$U:$U,$H484)="Disqualified — Free Game"),N(INDEX('Game Records'!$H:$H,$H484))&lt;&gt;0),"Free Game has a non-zero Entry Fee. Free Game records require a $0 Entry Fee; ",""))</f>
        <v/>
      </c>
      <c r="G484" s="331" t="str">
        <f>IF($H484="","",IFERROR(INDEX('Game Records'!$M:$M,$H484),""))</f>
        <v/>
      </c>
      <c r="H484" s="104" t="str">
        <f>IF($H483="","",IFERROR(MATCH(1,INDEX((ROW('Game Records'!$U$5:$U$504)&gt;$H483)*(('Game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5" ht="24" customHeight="1">
      <c r="A485" s="332" t="str">
        <f>IF($H485="","",ROWS($A$5:A485))</f>
        <v/>
      </c>
      <c r="B485" s="332" t="str">
        <f>IF($H485="","","G-"&amp;TEXT($A485,"0000"))</f>
        <v/>
      </c>
      <c r="C485" s="331" t="str">
        <f>IF($H485="","",IFERROR(INDEX('Game Records'!$A:$A,$H485),""))</f>
        <v/>
      </c>
      <c r="D485" s="331" t="str">
        <f>IF($H485="","",IFERROR(INDEX('Game Records'!$U:$U,$H485),""))</f>
        <v/>
      </c>
      <c r="E485" s="331" t="str">
        <f>IF($H485="","",IF($F485="","No Highlighted Fields","Highlighted Fields Present"))</f>
        <v/>
      </c>
      <c r="F485" s="331" t="str">
        <f>IF($H485="","",IF(OR(NOT(ISFORMULA(INDEX('Game Records'!$N:$N,$H485))),NOT(ISFORMULA(INDEX('Game Records'!$O:$O,$H485))),NOT(ISFORMULA(INDEX('Game Records'!$P:$P,$H485))),NOT(ISFORMULA(INDEX('Game Records'!$Q:$Q,$H485))),NOT(ISFORMULA(INDEX('Game Records'!$R:$R,$H485))),NOT(ISFORMULA(INDEX('Game Records'!$S:$S,$H485))),NOT(ISFORMULA(INDEX('Game Records'!$T:$T,$H485))),NOT(ISFORMULA(INDEX('Game Records'!$U:$U,$H485))),NOT(ISFORMULA(INDEX('Game Records'!$V:$V,$H485))),NOT(ISFORMULA(INDEX('Game Records'!$W:$W,$H485))),NOT(ISFORMULA(INDEX('Game Records'!$X:$X,$H485))),NOT(ISFORMULA(INDEX('Game Records'!$Y:$Y,$H485))),NOT(ISFORMULA(INDEX('Game Records'!$Z:$Z,$H485)))),"Formula columns missing; ","")&amp;IF(INDEX('Game Records'!$B:$B,$H485)="","Start Date; ","")&amp;IF(INDEX('Game Records'!$C:$C,$H485)="","End Date; ","")&amp;IF(AND(INDEX('Game Records'!$U:$U,$H485)&lt;&gt;"Subscription",INDEX('Game Records'!$U:$U,$H485)&lt;&gt;"Free Game",INDEX('Game Records'!$U:$U,$H485)&lt;&gt;"Disqualified — Free Game",OR(INDEX('Game Records'!$D:$D,$H485)="",LOWER(INDEX('Game Records'!$D:$D,$H485)&amp;"")="n/a")),"Entry Mode; ","")&amp;IF(AND(INDEX('Game Records'!$U:$U,$H485)&lt;&gt;"Subscription",INDEX('Game Records'!$U:$U,$H485)&lt;&gt;"Free Game",INDEX('Game Records'!$U:$U,$H485)&lt;&gt;"Disqualified — Free Game",OR(INDEX('Game Records'!$E:$E,$H485)="",LOWER(INDEX('Game Records'!$E:$E,$H485)&amp;"")="n/a")),"Game Type; ","")&amp;IF(INDEX('Game Records'!$F:$F,$H485)="","Payment Type; ","")&amp;IF(AND(INDEX('Game Records'!$U:$U,$H485)&lt;&gt;"Subscription",INDEX('Game Records'!$U:$U,$H485)&lt;&gt;"Free Game",INDEX('Game Records'!$U:$U,$H485)&lt;&gt;"Disqualified — Free Game",INDEX('Game Records'!$G:$G,$H485)=""),"Gross Pot; ","")&amp;IF(AND(INDEX('Game Records'!$U:$U,$H485)&lt;&gt;"Free Game",INDEX('Game Records'!$U:$U,$H485)&lt;&gt;"Disqualified — Free Game",INDEX('Game Records'!$H:$H,$H485)=""),"Entry Fee; ","")&amp;IF(AND(INDEX('Game Records'!$U:$U,$H485)&lt;&gt;"Subscription",INDEX('Game Records'!$U:$U,$H485)&lt;&gt;"Free Game",INDEX('Game Records'!$U:$U,$H485)&lt;&gt;"Disqualified — Free Game",INDEX('Game Records'!$I:$I,$H485)=""),"Eligible Players; ","")&amp;IF(AND(INDEX('Game Records'!$U:$U,$H485)&lt;&gt;"Subscription",INDEX('Game Records'!$U:$U,$H485)&lt;&gt;"Free Game",INDEX('Game Records'!$U:$U,$H485)&lt;&gt;"Disqualified — Free Game",INDEX('Game Records'!$J:$J,$H485)=""),"Total Players; ","")&amp;IF(AND(LOWER(INDEX('Game Records'!$D:$D,$H485)&amp;"")="finalized",LOWER(INDEX('Game Records'!$L:$L,$H485)&amp;"")&lt;&gt;"yes",INDEX('Game Records'!$U:$U,$H485)&lt;&gt;"Subscription",INDEX('Game Records'!$U:$U,$H485)&lt;&gt;"Free Game",INDEX('Game Records'!$U:$U,$H485)&lt;&gt;"Disqualified — Free Game",INDEX('Game Records'!$K:$K,$H485)=""),"Final Earned; ","")&amp;IF(AND(LOWER(INDEX('Game Records'!$D:$D,$H485)&amp;"")="finalized",INDEX('Game Records'!$U:$U,$H485)&lt;&gt;"Subscription",INDEX('Game Records'!$U:$U,$H485)&lt;&gt;"Free Game",INDEX('Game Records'!$U:$U,$H485)&lt;&gt;"Disqualified — Free Game",OR(INDEX('Game Records'!$L:$L,$H485)="",LOWER(INDEX('Game Records'!$L:$L,$H485)&amp;"")="n/a")),"Disqualified Status; ","")&amp;IF(AND(OR(LOWER(TRIM(INDEX('Game Records'!$F:$F,$H485)&amp;""))="free game",INDEX('Game Records'!$U:$U,$H485)="Free Game",INDEX('Game Records'!$U:$U,$H485)="Disqualified — Free Game"),N(INDEX('Game Records'!$H:$H,$H485))&lt;&gt;0),"Free Game has a non-zero Entry Fee. Free Game records require a $0 Entry Fee; ",""))</f>
        <v/>
      </c>
      <c r="G485" s="331" t="str">
        <f>IF($H485="","",IFERROR(INDEX('Game Records'!$M:$M,$H485),""))</f>
        <v/>
      </c>
      <c r="H485" s="104" t="str">
        <f>IF($H484="","",IFERROR(MATCH(1,INDEX((ROW('Game Records'!$U$5:$U$504)&gt;$H484)*(('Game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6" ht="24" customHeight="1">
      <c r="A486" s="332" t="str">
        <f>IF($H486="","",ROWS($A$5:A486))</f>
        <v/>
      </c>
      <c r="B486" s="332" t="str">
        <f>IF($H486="","","G-"&amp;TEXT($A486,"0000"))</f>
        <v/>
      </c>
      <c r="C486" s="331" t="str">
        <f>IF($H486="","",IFERROR(INDEX('Game Records'!$A:$A,$H486),""))</f>
        <v/>
      </c>
      <c r="D486" s="331" t="str">
        <f>IF($H486="","",IFERROR(INDEX('Game Records'!$U:$U,$H486),""))</f>
        <v/>
      </c>
      <c r="E486" s="331" t="str">
        <f>IF($H486="","",IF($F486="","No Highlighted Fields","Highlighted Fields Present"))</f>
        <v/>
      </c>
      <c r="F486" s="331" t="str">
        <f>IF($H486="","",IF(OR(NOT(ISFORMULA(INDEX('Game Records'!$N:$N,$H486))),NOT(ISFORMULA(INDEX('Game Records'!$O:$O,$H486))),NOT(ISFORMULA(INDEX('Game Records'!$P:$P,$H486))),NOT(ISFORMULA(INDEX('Game Records'!$Q:$Q,$H486))),NOT(ISFORMULA(INDEX('Game Records'!$R:$R,$H486))),NOT(ISFORMULA(INDEX('Game Records'!$S:$S,$H486))),NOT(ISFORMULA(INDEX('Game Records'!$T:$T,$H486))),NOT(ISFORMULA(INDEX('Game Records'!$U:$U,$H486))),NOT(ISFORMULA(INDEX('Game Records'!$V:$V,$H486))),NOT(ISFORMULA(INDEX('Game Records'!$W:$W,$H486))),NOT(ISFORMULA(INDEX('Game Records'!$X:$X,$H486))),NOT(ISFORMULA(INDEX('Game Records'!$Y:$Y,$H486))),NOT(ISFORMULA(INDEX('Game Records'!$Z:$Z,$H486)))),"Formula columns missing; ","")&amp;IF(INDEX('Game Records'!$B:$B,$H486)="","Start Date; ","")&amp;IF(INDEX('Game Records'!$C:$C,$H486)="","End Date; ","")&amp;IF(AND(INDEX('Game Records'!$U:$U,$H486)&lt;&gt;"Subscription",INDEX('Game Records'!$U:$U,$H486)&lt;&gt;"Free Game",INDEX('Game Records'!$U:$U,$H486)&lt;&gt;"Disqualified — Free Game",OR(INDEX('Game Records'!$D:$D,$H486)="",LOWER(INDEX('Game Records'!$D:$D,$H486)&amp;"")="n/a")),"Entry Mode; ","")&amp;IF(AND(INDEX('Game Records'!$U:$U,$H486)&lt;&gt;"Subscription",INDEX('Game Records'!$U:$U,$H486)&lt;&gt;"Free Game",INDEX('Game Records'!$U:$U,$H486)&lt;&gt;"Disqualified — Free Game",OR(INDEX('Game Records'!$E:$E,$H486)="",LOWER(INDEX('Game Records'!$E:$E,$H486)&amp;"")="n/a")),"Game Type; ","")&amp;IF(INDEX('Game Records'!$F:$F,$H486)="","Payment Type; ","")&amp;IF(AND(INDEX('Game Records'!$U:$U,$H486)&lt;&gt;"Subscription",INDEX('Game Records'!$U:$U,$H486)&lt;&gt;"Free Game",INDEX('Game Records'!$U:$U,$H486)&lt;&gt;"Disqualified — Free Game",INDEX('Game Records'!$G:$G,$H486)=""),"Gross Pot; ","")&amp;IF(AND(INDEX('Game Records'!$U:$U,$H486)&lt;&gt;"Free Game",INDEX('Game Records'!$U:$U,$H486)&lt;&gt;"Disqualified — Free Game",INDEX('Game Records'!$H:$H,$H486)=""),"Entry Fee; ","")&amp;IF(AND(INDEX('Game Records'!$U:$U,$H486)&lt;&gt;"Subscription",INDEX('Game Records'!$U:$U,$H486)&lt;&gt;"Free Game",INDEX('Game Records'!$U:$U,$H486)&lt;&gt;"Disqualified — Free Game",INDEX('Game Records'!$I:$I,$H486)=""),"Eligible Players; ","")&amp;IF(AND(INDEX('Game Records'!$U:$U,$H486)&lt;&gt;"Subscription",INDEX('Game Records'!$U:$U,$H486)&lt;&gt;"Free Game",INDEX('Game Records'!$U:$U,$H486)&lt;&gt;"Disqualified — Free Game",INDEX('Game Records'!$J:$J,$H486)=""),"Total Players; ","")&amp;IF(AND(LOWER(INDEX('Game Records'!$D:$D,$H486)&amp;"")="finalized",LOWER(INDEX('Game Records'!$L:$L,$H486)&amp;"")&lt;&gt;"yes",INDEX('Game Records'!$U:$U,$H486)&lt;&gt;"Subscription",INDEX('Game Records'!$U:$U,$H486)&lt;&gt;"Free Game",INDEX('Game Records'!$U:$U,$H486)&lt;&gt;"Disqualified — Free Game",INDEX('Game Records'!$K:$K,$H486)=""),"Final Earned; ","")&amp;IF(AND(LOWER(INDEX('Game Records'!$D:$D,$H486)&amp;"")="finalized",INDEX('Game Records'!$U:$U,$H486)&lt;&gt;"Subscription",INDEX('Game Records'!$U:$U,$H486)&lt;&gt;"Free Game",INDEX('Game Records'!$U:$U,$H486)&lt;&gt;"Disqualified — Free Game",OR(INDEX('Game Records'!$L:$L,$H486)="",LOWER(INDEX('Game Records'!$L:$L,$H486)&amp;"")="n/a")),"Disqualified Status; ","")&amp;IF(AND(OR(LOWER(TRIM(INDEX('Game Records'!$F:$F,$H486)&amp;""))="free game",INDEX('Game Records'!$U:$U,$H486)="Free Game",INDEX('Game Records'!$U:$U,$H486)="Disqualified — Free Game"),N(INDEX('Game Records'!$H:$H,$H486))&lt;&gt;0),"Free Game has a non-zero Entry Fee. Free Game records require a $0 Entry Fee; ",""))</f>
        <v/>
      </c>
      <c r="G486" s="331" t="str">
        <f>IF($H486="","",IFERROR(INDEX('Game Records'!$M:$M,$H486),""))</f>
        <v/>
      </c>
      <c r="H486" s="104" t="str">
        <f>IF($H485="","",IFERROR(MATCH(1,INDEX((ROW('Game Records'!$U$5:$U$504)&gt;$H485)*(('Game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7" ht="24" customHeight="1">
      <c r="A487" s="332" t="str">
        <f>IF($H487="","",ROWS($A$5:A487))</f>
        <v/>
      </c>
      <c r="B487" s="332" t="str">
        <f>IF($H487="","","G-"&amp;TEXT($A487,"0000"))</f>
        <v/>
      </c>
      <c r="C487" s="331" t="str">
        <f>IF($H487="","",IFERROR(INDEX('Game Records'!$A:$A,$H487),""))</f>
        <v/>
      </c>
      <c r="D487" s="331" t="str">
        <f>IF($H487="","",IFERROR(INDEX('Game Records'!$U:$U,$H487),""))</f>
        <v/>
      </c>
      <c r="E487" s="331" t="str">
        <f>IF($H487="","",IF($F487="","No Highlighted Fields","Highlighted Fields Present"))</f>
        <v/>
      </c>
      <c r="F487" s="331" t="str">
        <f>IF($H487="","",IF(OR(NOT(ISFORMULA(INDEX('Game Records'!$N:$N,$H487))),NOT(ISFORMULA(INDEX('Game Records'!$O:$O,$H487))),NOT(ISFORMULA(INDEX('Game Records'!$P:$P,$H487))),NOT(ISFORMULA(INDEX('Game Records'!$Q:$Q,$H487))),NOT(ISFORMULA(INDEX('Game Records'!$R:$R,$H487))),NOT(ISFORMULA(INDEX('Game Records'!$S:$S,$H487))),NOT(ISFORMULA(INDEX('Game Records'!$T:$T,$H487))),NOT(ISFORMULA(INDEX('Game Records'!$U:$U,$H487))),NOT(ISFORMULA(INDEX('Game Records'!$V:$V,$H487))),NOT(ISFORMULA(INDEX('Game Records'!$W:$W,$H487))),NOT(ISFORMULA(INDEX('Game Records'!$X:$X,$H487))),NOT(ISFORMULA(INDEX('Game Records'!$Y:$Y,$H487))),NOT(ISFORMULA(INDEX('Game Records'!$Z:$Z,$H487)))),"Formula columns missing; ","")&amp;IF(INDEX('Game Records'!$B:$B,$H487)="","Start Date; ","")&amp;IF(INDEX('Game Records'!$C:$C,$H487)="","End Date; ","")&amp;IF(AND(INDEX('Game Records'!$U:$U,$H487)&lt;&gt;"Subscription",INDEX('Game Records'!$U:$U,$H487)&lt;&gt;"Free Game",INDEX('Game Records'!$U:$U,$H487)&lt;&gt;"Disqualified — Free Game",OR(INDEX('Game Records'!$D:$D,$H487)="",LOWER(INDEX('Game Records'!$D:$D,$H487)&amp;"")="n/a")),"Entry Mode; ","")&amp;IF(AND(INDEX('Game Records'!$U:$U,$H487)&lt;&gt;"Subscription",INDEX('Game Records'!$U:$U,$H487)&lt;&gt;"Free Game",INDEX('Game Records'!$U:$U,$H487)&lt;&gt;"Disqualified — Free Game",OR(INDEX('Game Records'!$E:$E,$H487)="",LOWER(INDEX('Game Records'!$E:$E,$H487)&amp;"")="n/a")),"Game Type; ","")&amp;IF(INDEX('Game Records'!$F:$F,$H487)="","Payment Type; ","")&amp;IF(AND(INDEX('Game Records'!$U:$U,$H487)&lt;&gt;"Subscription",INDEX('Game Records'!$U:$U,$H487)&lt;&gt;"Free Game",INDEX('Game Records'!$U:$U,$H487)&lt;&gt;"Disqualified — Free Game",INDEX('Game Records'!$G:$G,$H487)=""),"Gross Pot; ","")&amp;IF(AND(INDEX('Game Records'!$U:$U,$H487)&lt;&gt;"Free Game",INDEX('Game Records'!$U:$U,$H487)&lt;&gt;"Disqualified — Free Game",INDEX('Game Records'!$H:$H,$H487)=""),"Entry Fee; ","")&amp;IF(AND(INDEX('Game Records'!$U:$U,$H487)&lt;&gt;"Subscription",INDEX('Game Records'!$U:$U,$H487)&lt;&gt;"Free Game",INDEX('Game Records'!$U:$U,$H487)&lt;&gt;"Disqualified — Free Game",INDEX('Game Records'!$I:$I,$H487)=""),"Eligible Players; ","")&amp;IF(AND(INDEX('Game Records'!$U:$U,$H487)&lt;&gt;"Subscription",INDEX('Game Records'!$U:$U,$H487)&lt;&gt;"Free Game",INDEX('Game Records'!$U:$U,$H487)&lt;&gt;"Disqualified — Free Game",INDEX('Game Records'!$J:$J,$H487)=""),"Total Players; ","")&amp;IF(AND(LOWER(INDEX('Game Records'!$D:$D,$H487)&amp;"")="finalized",LOWER(INDEX('Game Records'!$L:$L,$H487)&amp;"")&lt;&gt;"yes",INDEX('Game Records'!$U:$U,$H487)&lt;&gt;"Subscription",INDEX('Game Records'!$U:$U,$H487)&lt;&gt;"Free Game",INDEX('Game Records'!$U:$U,$H487)&lt;&gt;"Disqualified — Free Game",INDEX('Game Records'!$K:$K,$H487)=""),"Final Earned; ","")&amp;IF(AND(LOWER(INDEX('Game Records'!$D:$D,$H487)&amp;"")="finalized",INDEX('Game Records'!$U:$U,$H487)&lt;&gt;"Subscription",INDEX('Game Records'!$U:$U,$H487)&lt;&gt;"Free Game",INDEX('Game Records'!$U:$U,$H487)&lt;&gt;"Disqualified — Free Game",OR(INDEX('Game Records'!$L:$L,$H487)="",LOWER(INDEX('Game Records'!$L:$L,$H487)&amp;"")="n/a")),"Disqualified Status; ","")&amp;IF(AND(OR(LOWER(TRIM(INDEX('Game Records'!$F:$F,$H487)&amp;""))="free game",INDEX('Game Records'!$U:$U,$H487)="Free Game",INDEX('Game Records'!$U:$U,$H487)="Disqualified — Free Game"),N(INDEX('Game Records'!$H:$H,$H487))&lt;&gt;0),"Free Game has a non-zero Entry Fee. Free Game records require a $0 Entry Fee; ",""))</f>
        <v/>
      </c>
      <c r="G487" s="331" t="str">
        <f>IF($H487="","",IFERROR(INDEX('Game Records'!$M:$M,$H487),""))</f>
        <v/>
      </c>
      <c r="H487" s="104" t="str">
        <f>IF($H486="","",IFERROR(MATCH(1,INDEX((ROW('Game Records'!$U$5:$U$504)&gt;$H486)*(('Game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8" ht="24" customHeight="1">
      <c r="A488" s="332" t="str">
        <f>IF($H488="","",ROWS($A$5:A488))</f>
        <v/>
      </c>
      <c r="B488" s="332" t="str">
        <f>IF($H488="","","G-"&amp;TEXT($A488,"0000"))</f>
        <v/>
      </c>
      <c r="C488" s="331" t="str">
        <f>IF($H488="","",IFERROR(INDEX('Game Records'!$A:$A,$H488),""))</f>
        <v/>
      </c>
      <c r="D488" s="331" t="str">
        <f>IF($H488="","",IFERROR(INDEX('Game Records'!$U:$U,$H488),""))</f>
        <v/>
      </c>
      <c r="E488" s="331" t="str">
        <f>IF($H488="","",IF($F488="","No Highlighted Fields","Highlighted Fields Present"))</f>
        <v/>
      </c>
      <c r="F488" s="331" t="str">
        <f>IF($H488="","",IF(OR(NOT(ISFORMULA(INDEX('Game Records'!$N:$N,$H488))),NOT(ISFORMULA(INDEX('Game Records'!$O:$O,$H488))),NOT(ISFORMULA(INDEX('Game Records'!$P:$P,$H488))),NOT(ISFORMULA(INDEX('Game Records'!$Q:$Q,$H488))),NOT(ISFORMULA(INDEX('Game Records'!$R:$R,$H488))),NOT(ISFORMULA(INDEX('Game Records'!$S:$S,$H488))),NOT(ISFORMULA(INDEX('Game Records'!$T:$T,$H488))),NOT(ISFORMULA(INDEX('Game Records'!$U:$U,$H488))),NOT(ISFORMULA(INDEX('Game Records'!$V:$V,$H488))),NOT(ISFORMULA(INDEX('Game Records'!$W:$W,$H488))),NOT(ISFORMULA(INDEX('Game Records'!$X:$X,$H488))),NOT(ISFORMULA(INDEX('Game Records'!$Y:$Y,$H488))),NOT(ISFORMULA(INDEX('Game Records'!$Z:$Z,$H488)))),"Formula columns missing; ","")&amp;IF(INDEX('Game Records'!$B:$B,$H488)="","Start Date; ","")&amp;IF(INDEX('Game Records'!$C:$C,$H488)="","End Date; ","")&amp;IF(AND(INDEX('Game Records'!$U:$U,$H488)&lt;&gt;"Subscription",INDEX('Game Records'!$U:$U,$H488)&lt;&gt;"Free Game",INDEX('Game Records'!$U:$U,$H488)&lt;&gt;"Disqualified — Free Game",OR(INDEX('Game Records'!$D:$D,$H488)="",LOWER(INDEX('Game Records'!$D:$D,$H488)&amp;"")="n/a")),"Entry Mode; ","")&amp;IF(AND(INDEX('Game Records'!$U:$U,$H488)&lt;&gt;"Subscription",INDEX('Game Records'!$U:$U,$H488)&lt;&gt;"Free Game",INDEX('Game Records'!$U:$U,$H488)&lt;&gt;"Disqualified — Free Game",OR(INDEX('Game Records'!$E:$E,$H488)="",LOWER(INDEX('Game Records'!$E:$E,$H488)&amp;"")="n/a")),"Game Type; ","")&amp;IF(INDEX('Game Records'!$F:$F,$H488)="","Payment Type; ","")&amp;IF(AND(INDEX('Game Records'!$U:$U,$H488)&lt;&gt;"Subscription",INDEX('Game Records'!$U:$U,$H488)&lt;&gt;"Free Game",INDEX('Game Records'!$U:$U,$H488)&lt;&gt;"Disqualified — Free Game",INDEX('Game Records'!$G:$G,$H488)=""),"Gross Pot; ","")&amp;IF(AND(INDEX('Game Records'!$U:$U,$H488)&lt;&gt;"Free Game",INDEX('Game Records'!$U:$U,$H488)&lt;&gt;"Disqualified — Free Game",INDEX('Game Records'!$H:$H,$H488)=""),"Entry Fee; ","")&amp;IF(AND(INDEX('Game Records'!$U:$U,$H488)&lt;&gt;"Subscription",INDEX('Game Records'!$U:$U,$H488)&lt;&gt;"Free Game",INDEX('Game Records'!$U:$U,$H488)&lt;&gt;"Disqualified — Free Game",INDEX('Game Records'!$I:$I,$H488)=""),"Eligible Players; ","")&amp;IF(AND(INDEX('Game Records'!$U:$U,$H488)&lt;&gt;"Subscription",INDEX('Game Records'!$U:$U,$H488)&lt;&gt;"Free Game",INDEX('Game Records'!$U:$U,$H488)&lt;&gt;"Disqualified — Free Game",INDEX('Game Records'!$J:$J,$H488)=""),"Total Players; ","")&amp;IF(AND(LOWER(INDEX('Game Records'!$D:$D,$H488)&amp;"")="finalized",LOWER(INDEX('Game Records'!$L:$L,$H488)&amp;"")&lt;&gt;"yes",INDEX('Game Records'!$U:$U,$H488)&lt;&gt;"Subscription",INDEX('Game Records'!$U:$U,$H488)&lt;&gt;"Free Game",INDEX('Game Records'!$U:$U,$H488)&lt;&gt;"Disqualified — Free Game",INDEX('Game Records'!$K:$K,$H488)=""),"Final Earned; ","")&amp;IF(AND(LOWER(INDEX('Game Records'!$D:$D,$H488)&amp;"")="finalized",INDEX('Game Records'!$U:$U,$H488)&lt;&gt;"Subscription",INDEX('Game Records'!$U:$U,$H488)&lt;&gt;"Free Game",INDEX('Game Records'!$U:$U,$H488)&lt;&gt;"Disqualified — Free Game",OR(INDEX('Game Records'!$L:$L,$H488)="",LOWER(INDEX('Game Records'!$L:$L,$H488)&amp;"")="n/a")),"Disqualified Status; ","")&amp;IF(AND(OR(LOWER(TRIM(INDEX('Game Records'!$F:$F,$H488)&amp;""))="free game",INDEX('Game Records'!$U:$U,$H488)="Free Game",INDEX('Game Records'!$U:$U,$H488)="Disqualified — Free Game"),N(INDEX('Game Records'!$H:$H,$H488))&lt;&gt;0),"Free Game has a non-zero Entry Fee. Free Game records require a $0 Entry Fee; ",""))</f>
        <v/>
      </c>
      <c r="G488" s="331" t="str">
        <f>IF($H488="","",IFERROR(INDEX('Game Records'!$M:$M,$H488),""))</f>
        <v/>
      </c>
      <c r="H488" s="104" t="str">
        <f>IF($H487="","",IFERROR(MATCH(1,INDEX((ROW('Game Records'!$U$5:$U$504)&gt;$H487)*(('Game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9" ht="24" customHeight="1">
      <c r="A489" s="332" t="str">
        <f>IF($H489="","",ROWS($A$5:A489))</f>
        <v/>
      </c>
      <c r="B489" s="332" t="str">
        <f>IF($H489="","","G-"&amp;TEXT($A489,"0000"))</f>
        <v/>
      </c>
      <c r="C489" s="331" t="str">
        <f>IF($H489="","",IFERROR(INDEX('Game Records'!$A:$A,$H489),""))</f>
        <v/>
      </c>
      <c r="D489" s="331" t="str">
        <f>IF($H489="","",IFERROR(INDEX('Game Records'!$U:$U,$H489),""))</f>
        <v/>
      </c>
      <c r="E489" s="331" t="str">
        <f>IF($H489="","",IF($F489="","No Highlighted Fields","Highlighted Fields Present"))</f>
        <v/>
      </c>
      <c r="F489" s="331" t="str">
        <f>IF($H489="","",IF(OR(NOT(ISFORMULA(INDEX('Game Records'!$N:$N,$H489))),NOT(ISFORMULA(INDEX('Game Records'!$O:$O,$H489))),NOT(ISFORMULA(INDEX('Game Records'!$P:$P,$H489))),NOT(ISFORMULA(INDEX('Game Records'!$Q:$Q,$H489))),NOT(ISFORMULA(INDEX('Game Records'!$R:$R,$H489))),NOT(ISFORMULA(INDEX('Game Records'!$S:$S,$H489))),NOT(ISFORMULA(INDEX('Game Records'!$T:$T,$H489))),NOT(ISFORMULA(INDEX('Game Records'!$U:$U,$H489))),NOT(ISFORMULA(INDEX('Game Records'!$V:$V,$H489))),NOT(ISFORMULA(INDEX('Game Records'!$W:$W,$H489))),NOT(ISFORMULA(INDEX('Game Records'!$X:$X,$H489))),NOT(ISFORMULA(INDEX('Game Records'!$Y:$Y,$H489))),NOT(ISFORMULA(INDEX('Game Records'!$Z:$Z,$H489)))),"Formula columns missing; ","")&amp;IF(INDEX('Game Records'!$B:$B,$H489)="","Start Date; ","")&amp;IF(INDEX('Game Records'!$C:$C,$H489)="","End Date; ","")&amp;IF(AND(INDEX('Game Records'!$U:$U,$H489)&lt;&gt;"Subscription",INDEX('Game Records'!$U:$U,$H489)&lt;&gt;"Free Game",INDEX('Game Records'!$U:$U,$H489)&lt;&gt;"Disqualified — Free Game",OR(INDEX('Game Records'!$D:$D,$H489)="",LOWER(INDEX('Game Records'!$D:$D,$H489)&amp;"")="n/a")),"Entry Mode; ","")&amp;IF(AND(INDEX('Game Records'!$U:$U,$H489)&lt;&gt;"Subscription",INDEX('Game Records'!$U:$U,$H489)&lt;&gt;"Free Game",INDEX('Game Records'!$U:$U,$H489)&lt;&gt;"Disqualified — Free Game",OR(INDEX('Game Records'!$E:$E,$H489)="",LOWER(INDEX('Game Records'!$E:$E,$H489)&amp;"")="n/a")),"Game Type; ","")&amp;IF(INDEX('Game Records'!$F:$F,$H489)="","Payment Type; ","")&amp;IF(AND(INDEX('Game Records'!$U:$U,$H489)&lt;&gt;"Subscription",INDEX('Game Records'!$U:$U,$H489)&lt;&gt;"Free Game",INDEX('Game Records'!$U:$U,$H489)&lt;&gt;"Disqualified — Free Game",INDEX('Game Records'!$G:$G,$H489)=""),"Gross Pot; ","")&amp;IF(AND(INDEX('Game Records'!$U:$U,$H489)&lt;&gt;"Free Game",INDEX('Game Records'!$U:$U,$H489)&lt;&gt;"Disqualified — Free Game",INDEX('Game Records'!$H:$H,$H489)=""),"Entry Fee; ","")&amp;IF(AND(INDEX('Game Records'!$U:$U,$H489)&lt;&gt;"Subscription",INDEX('Game Records'!$U:$U,$H489)&lt;&gt;"Free Game",INDEX('Game Records'!$U:$U,$H489)&lt;&gt;"Disqualified — Free Game",INDEX('Game Records'!$I:$I,$H489)=""),"Eligible Players; ","")&amp;IF(AND(INDEX('Game Records'!$U:$U,$H489)&lt;&gt;"Subscription",INDEX('Game Records'!$U:$U,$H489)&lt;&gt;"Free Game",INDEX('Game Records'!$U:$U,$H489)&lt;&gt;"Disqualified — Free Game",INDEX('Game Records'!$J:$J,$H489)=""),"Total Players; ","")&amp;IF(AND(LOWER(INDEX('Game Records'!$D:$D,$H489)&amp;"")="finalized",LOWER(INDEX('Game Records'!$L:$L,$H489)&amp;"")&lt;&gt;"yes",INDEX('Game Records'!$U:$U,$H489)&lt;&gt;"Subscription",INDEX('Game Records'!$U:$U,$H489)&lt;&gt;"Free Game",INDEX('Game Records'!$U:$U,$H489)&lt;&gt;"Disqualified — Free Game",INDEX('Game Records'!$K:$K,$H489)=""),"Final Earned; ","")&amp;IF(AND(LOWER(INDEX('Game Records'!$D:$D,$H489)&amp;"")="finalized",INDEX('Game Records'!$U:$U,$H489)&lt;&gt;"Subscription",INDEX('Game Records'!$U:$U,$H489)&lt;&gt;"Free Game",INDEX('Game Records'!$U:$U,$H489)&lt;&gt;"Disqualified — Free Game",OR(INDEX('Game Records'!$L:$L,$H489)="",LOWER(INDEX('Game Records'!$L:$L,$H489)&amp;"")="n/a")),"Disqualified Status; ","")&amp;IF(AND(OR(LOWER(TRIM(INDEX('Game Records'!$F:$F,$H489)&amp;""))="free game",INDEX('Game Records'!$U:$U,$H489)="Free Game",INDEX('Game Records'!$U:$U,$H489)="Disqualified — Free Game"),N(INDEX('Game Records'!$H:$H,$H489))&lt;&gt;0),"Free Game has a non-zero Entry Fee. Free Game records require a $0 Entry Fee; ",""))</f>
        <v/>
      </c>
      <c r="G489" s="331" t="str">
        <f>IF($H489="","",IFERROR(INDEX('Game Records'!$M:$M,$H489),""))</f>
        <v/>
      </c>
      <c r="H489" s="104" t="str">
        <f>IF($H488="","",IFERROR(MATCH(1,INDEX((ROW('Game Records'!$U$5:$U$504)&gt;$H488)*(('Game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0" ht="24" customHeight="1">
      <c r="A490" s="332" t="str">
        <f>IF($H490="","",ROWS($A$5:A490))</f>
        <v/>
      </c>
      <c r="B490" s="332" t="str">
        <f>IF($H490="","","G-"&amp;TEXT($A490,"0000"))</f>
        <v/>
      </c>
      <c r="C490" s="331" t="str">
        <f>IF($H490="","",IFERROR(INDEX('Game Records'!$A:$A,$H490),""))</f>
        <v/>
      </c>
      <c r="D490" s="331" t="str">
        <f>IF($H490="","",IFERROR(INDEX('Game Records'!$U:$U,$H490),""))</f>
        <v/>
      </c>
      <c r="E490" s="331" t="str">
        <f>IF($H490="","",IF($F490="","No Highlighted Fields","Highlighted Fields Present"))</f>
        <v/>
      </c>
      <c r="F490" s="331" t="str">
        <f>IF($H490="","",IF(OR(NOT(ISFORMULA(INDEX('Game Records'!$N:$N,$H490))),NOT(ISFORMULA(INDEX('Game Records'!$O:$O,$H490))),NOT(ISFORMULA(INDEX('Game Records'!$P:$P,$H490))),NOT(ISFORMULA(INDEX('Game Records'!$Q:$Q,$H490))),NOT(ISFORMULA(INDEX('Game Records'!$R:$R,$H490))),NOT(ISFORMULA(INDEX('Game Records'!$S:$S,$H490))),NOT(ISFORMULA(INDEX('Game Records'!$T:$T,$H490))),NOT(ISFORMULA(INDEX('Game Records'!$U:$U,$H490))),NOT(ISFORMULA(INDEX('Game Records'!$V:$V,$H490))),NOT(ISFORMULA(INDEX('Game Records'!$W:$W,$H490))),NOT(ISFORMULA(INDEX('Game Records'!$X:$X,$H490))),NOT(ISFORMULA(INDEX('Game Records'!$Y:$Y,$H490))),NOT(ISFORMULA(INDEX('Game Records'!$Z:$Z,$H490)))),"Formula columns missing; ","")&amp;IF(INDEX('Game Records'!$B:$B,$H490)="","Start Date; ","")&amp;IF(INDEX('Game Records'!$C:$C,$H490)="","End Date; ","")&amp;IF(AND(INDEX('Game Records'!$U:$U,$H490)&lt;&gt;"Subscription",INDEX('Game Records'!$U:$U,$H490)&lt;&gt;"Free Game",INDEX('Game Records'!$U:$U,$H490)&lt;&gt;"Disqualified — Free Game",OR(INDEX('Game Records'!$D:$D,$H490)="",LOWER(INDEX('Game Records'!$D:$D,$H490)&amp;"")="n/a")),"Entry Mode; ","")&amp;IF(AND(INDEX('Game Records'!$U:$U,$H490)&lt;&gt;"Subscription",INDEX('Game Records'!$U:$U,$H490)&lt;&gt;"Free Game",INDEX('Game Records'!$U:$U,$H490)&lt;&gt;"Disqualified — Free Game",OR(INDEX('Game Records'!$E:$E,$H490)="",LOWER(INDEX('Game Records'!$E:$E,$H490)&amp;"")="n/a")),"Game Type; ","")&amp;IF(INDEX('Game Records'!$F:$F,$H490)="","Payment Type; ","")&amp;IF(AND(INDEX('Game Records'!$U:$U,$H490)&lt;&gt;"Subscription",INDEX('Game Records'!$U:$U,$H490)&lt;&gt;"Free Game",INDEX('Game Records'!$U:$U,$H490)&lt;&gt;"Disqualified — Free Game",INDEX('Game Records'!$G:$G,$H490)=""),"Gross Pot; ","")&amp;IF(AND(INDEX('Game Records'!$U:$U,$H490)&lt;&gt;"Free Game",INDEX('Game Records'!$U:$U,$H490)&lt;&gt;"Disqualified — Free Game",INDEX('Game Records'!$H:$H,$H490)=""),"Entry Fee; ","")&amp;IF(AND(INDEX('Game Records'!$U:$U,$H490)&lt;&gt;"Subscription",INDEX('Game Records'!$U:$U,$H490)&lt;&gt;"Free Game",INDEX('Game Records'!$U:$U,$H490)&lt;&gt;"Disqualified — Free Game",INDEX('Game Records'!$I:$I,$H490)=""),"Eligible Players; ","")&amp;IF(AND(INDEX('Game Records'!$U:$U,$H490)&lt;&gt;"Subscription",INDEX('Game Records'!$U:$U,$H490)&lt;&gt;"Free Game",INDEX('Game Records'!$U:$U,$H490)&lt;&gt;"Disqualified — Free Game",INDEX('Game Records'!$J:$J,$H490)=""),"Total Players; ","")&amp;IF(AND(LOWER(INDEX('Game Records'!$D:$D,$H490)&amp;"")="finalized",LOWER(INDEX('Game Records'!$L:$L,$H490)&amp;"")&lt;&gt;"yes",INDEX('Game Records'!$U:$U,$H490)&lt;&gt;"Subscription",INDEX('Game Records'!$U:$U,$H490)&lt;&gt;"Free Game",INDEX('Game Records'!$U:$U,$H490)&lt;&gt;"Disqualified — Free Game",INDEX('Game Records'!$K:$K,$H490)=""),"Final Earned; ","")&amp;IF(AND(LOWER(INDEX('Game Records'!$D:$D,$H490)&amp;"")="finalized",INDEX('Game Records'!$U:$U,$H490)&lt;&gt;"Subscription",INDEX('Game Records'!$U:$U,$H490)&lt;&gt;"Free Game",INDEX('Game Records'!$U:$U,$H490)&lt;&gt;"Disqualified — Free Game",OR(INDEX('Game Records'!$L:$L,$H490)="",LOWER(INDEX('Game Records'!$L:$L,$H490)&amp;"")="n/a")),"Disqualified Status; ","")&amp;IF(AND(OR(LOWER(TRIM(INDEX('Game Records'!$F:$F,$H490)&amp;""))="free game",INDEX('Game Records'!$U:$U,$H490)="Free Game",INDEX('Game Records'!$U:$U,$H490)="Disqualified — Free Game"),N(INDEX('Game Records'!$H:$H,$H490))&lt;&gt;0),"Free Game has a non-zero Entry Fee. Free Game records require a $0 Entry Fee; ",""))</f>
        <v/>
      </c>
      <c r="G490" s="331" t="str">
        <f>IF($H490="","",IFERROR(INDEX('Game Records'!$M:$M,$H490),""))</f>
        <v/>
      </c>
      <c r="H490" s="104" t="str">
        <f>IF($H489="","",IFERROR(MATCH(1,INDEX((ROW('Game Records'!$U$5:$U$504)&gt;$H489)*(('Game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1" ht="24" customHeight="1">
      <c r="A491" s="332" t="str">
        <f>IF($H491="","",ROWS($A$5:A491))</f>
        <v/>
      </c>
      <c r="B491" s="332" t="str">
        <f>IF($H491="","","G-"&amp;TEXT($A491,"0000"))</f>
        <v/>
      </c>
      <c r="C491" s="331" t="str">
        <f>IF($H491="","",IFERROR(INDEX('Game Records'!$A:$A,$H491),""))</f>
        <v/>
      </c>
      <c r="D491" s="331" t="str">
        <f>IF($H491="","",IFERROR(INDEX('Game Records'!$U:$U,$H491),""))</f>
        <v/>
      </c>
      <c r="E491" s="331" t="str">
        <f>IF($H491="","",IF($F491="","No Highlighted Fields","Highlighted Fields Present"))</f>
        <v/>
      </c>
      <c r="F491" s="331" t="str">
        <f>IF($H491="","",IF(OR(NOT(ISFORMULA(INDEX('Game Records'!$N:$N,$H491))),NOT(ISFORMULA(INDEX('Game Records'!$O:$O,$H491))),NOT(ISFORMULA(INDEX('Game Records'!$P:$P,$H491))),NOT(ISFORMULA(INDEX('Game Records'!$Q:$Q,$H491))),NOT(ISFORMULA(INDEX('Game Records'!$R:$R,$H491))),NOT(ISFORMULA(INDEX('Game Records'!$S:$S,$H491))),NOT(ISFORMULA(INDEX('Game Records'!$T:$T,$H491))),NOT(ISFORMULA(INDEX('Game Records'!$U:$U,$H491))),NOT(ISFORMULA(INDEX('Game Records'!$V:$V,$H491))),NOT(ISFORMULA(INDEX('Game Records'!$W:$W,$H491))),NOT(ISFORMULA(INDEX('Game Records'!$X:$X,$H491))),NOT(ISFORMULA(INDEX('Game Records'!$Y:$Y,$H491))),NOT(ISFORMULA(INDEX('Game Records'!$Z:$Z,$H491)))),"Formula columns missing; ","")&amp;IF(INDEX('Game Records'!$B:$B,$H491)="","Start Date; ","")&amp;IF(INDEX('Game Records'!$C:$C,$H491)="","End Date; ","")&amp;IF(AND(INDEX('Game Records'!$U:$U,$H491)&lt;&gt;"Subscription",INDEX('Game Records'!$U:$U,$H491)&lt;&gt;"Free Game",INDEX('Game Records'!$U:$U,$H491)&lt;&gt;"Disqualified — Free Game",OR(INDEX('Game Records'!$D:$D,$H491)="",LOWER(INDEX('Game Records'!$D:$D,$H491)&amp;"")="n/a")),"Entry Mode; ","")&amp;IF(AND(INDEX('Game Records'!$U:$U,$H491)&lt;&gt;"Subscription",INDEX('Game Records'!$U:$U,$H491)&lt;&gt;"Free Game",INDEX('Game Records'!$U:$U,$H491)&lt;&gt;"Disqualified — Free Game",OR(INDEX('Game Records'!$E:$E,$H491)="",LOWER(INDEX('Game Records'!$E:$E,$H491)&amp;"")="n/a")),"Game Type; ","")&amp;IF(INDEX('Game Records'!$F:$F,$H491)="","Payment Type; ","")&amp;IF(AND(INDEX('Game Records'!$U:$U,$H491)&lt;&gt;"Subscription",INDEX('Game Records'!$U:$U,$H491)&lt;&gt;"Free Game",INDEX('Game Records'!$U:$U,$H491)&lt;&gt;"Disqualified — Free Game",INDEX('Game Records'!$G:$G,$H491)=""),"Gross Pot; ","")&amp;IF(AND(INDEX('Game Records'!$U:$U,$H491)&lt;&gt;"Free Game",INDEX('Game Records'!$U:$U,$H491)&lt;&gt;"Disqualified — Free Game",INDEX('Game Records'!$H:$H,$H491)=""),"Entry Fee; ","")&amp;IF(AND(INDEX('Game Records'!$U:$U,$H491)&lt;&gt;"Subscription",INDEX('Game Records'!$U:$U,$H491)&lt;&gt;"Free Game",INDEX('Game Records'!$U:$U,$H491)&lt;&gt;"Disqualified — Free Game",INDEX('Game Records'!$I:$I,$H491)=""),"Eligible Players; ","")&amp;IF(AND(INDEX('Game Records'!$U:$U,$H491)&lt;&gt;"Subscription",INDEX('Game Records'!$U:$U,$H491)&lt;&gt;"Free Game",INDEX('Game Records'!$U:$U,$H491)&lt;&gt;"Disqualified — Free Game",INDEX('Game Records'!$J:$J,$H491)=""),"Total Players; ","")&amp;IF(AND(LOWER(INDEX('Game Records'!$D:$D,$H491)&amp;"")="finalized",LOWER(INDEX('Game Records'!$L:$L,$H491)&amp;"")&lt;&gt;"yes",INDEX('Game Records'!$U:$U,$H491)&lt;&gt;"Subscription",INDEX('Game Records'!$U:$U,$H491)&lt;&gt;"Free Game",INDEX('Game Records'!$U:$U,$H491)&lt;&gt;"Disqualified — Free Game",INDEX('Game Records'!$K:$K,$H491)=""),"Final Earned; ","")&amp;IF(AND(LOWER(INDEX('Game Records'!$D:$D,$H491)&amp;"")="finalized",INDEX('Game Records'!$U:$U,$H491)&lt;&gt;"Subscription",INDEX('Game Records'!$U:$U,$H491)&lt;&gt;"Free Game",INDEX('Game Records'!$U:$U,$H491)&lt;&gt;"Disqualified — Free Game",OR(INDEX('Game Records'!$L:$L,$H491)="",LOWER(INDEX('Game Records'!$L:$L,$H491)&amp;"")="n/a")),"Disqualified Status; ","")&amp;IF(AND(OR(LOWER(TRIM(INDEX('Game Records'!$F:$F,$H491)&amp;""))="free game",INDEX('Game Records'!$U:$U,$H491)="Free Game",INDEX('Game Records'!$U:$U,$H491)="Disqualified — Free Game"),N(INDEX('Game Records'!$H:$H,$H491))&lt;&gt;0),"Free Game has a non-zero Entry Fee. Free Game records require a $0 Entry Fee; ",""))</f>
        <v/>
      </c>
      <c r="G491" s="331" t="str">
        <f>IF($H491="","",IFERROR(INDEX('Game Records'!$M:$M,$H491),""))</f>
        <v/>
      </c>
      <c r="H491" s="104" t="str">
        <f>IF($H490="","",IFERROR(MATCH(1,INDEX((ROW('Game Records'!$U$5:$U$504)&gt;$H490)*(('Game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2" ht="24" customHeight="1">
      <c r="A492" s="332" t="str">
        <f>IF($H492="","",ROWS($A$5:A492))</f>
        <v/>
      </c>
      <c r="B492" s="332" t="str">
        <f>IF($H492="","","G-"&amp;TEXT($A492,"0000"))</f>
        <v/>
      </c>
      <c r="C492" s="331" t="str">
        <f>IF($H492="","",IFERROR(INDEX('Game Records'!$A:$A,$H492),""))</f>
        <v/>
      </c>
      <c r="D492" s="331" t="str">
        <f>IF($H492="","",IFERROR(INDEX('Game Records'!$U:$U,$H492),""))</f>
        <v/>
      </c>
      <c r="E492" s="331" t="str">
        <f>IF($H492="","",IF($F492="","No Highlighted Fields","Highlighted Fields Present"))</f>
        <v/>
      </c>
      <c r="F492" s="331" t="str">
        <f>IF($H492="","",IF(OR(NOT(ISFORMULA(INDEX('Game Records'!$N:$N,$H492))),NOT(ISFORMULA(INDEX('Game Records'!$O:$O,$H492))),NOT(ISFORMULA(INDEX('Game Records'!$P:$P,$H492))),NOT(ISFORMULA(INDEX('Game Records'!$Q:$Q,$H492))),NOT(ISFORMULA(INDEX('Game Records'!$R:$R,$H492))),NOT(ISFORMULA(INDEX('Game Records'!$S:$S,$H492))),NOT(ISFORMULA(INDEX('Game Records'!$T:$T,$H492))),NOT(ISFORMULA(INDEX('Game Records'!$U:$U,$H492))),NOT(ISFORMULA(INDEX('Game Records'!$V:$V,$H492))),NOT(ISFORMULA(INDEX('Game Records'!$W:$W,$H492))),NOT(ISFORMULA(INDEX('Game Records'!$X:$X,$H492))),NOT(ISFORMULA(INDEX('Game Records'!$Y:$Y,$H492))),NOT(ISFORMULA(INDEX('Game Records'!$Z:$Z,$H492)))),"Formula columns missing; ","")&amp;IF(INDEX('Game Records'!$B:$B,$H492)="","Start Date; ","")&amp;IF(INDEX('Game Records'!$C:$C,$H492)="","End Date; ","")&amp;IF(AND(INDEX('Game Records'!$U:$U,$H492)&lt;&gt;"Subscription",INDEX('Game Records'!$U:$U,$H492)&lt;&gt;"Free Game",INDEX('Game Records'!$U:$U,$H492)&lt;&gt;"Disqualified — Free Game",OR(INDEX('Game Records'!$D:$D,$H492)="",LOWER(INDEX('Game Records'!$D:$D,$H492)&amp;"")="n/a")),"Entry Mode; ","")&amp;IF(AND(INDEX('Game Records'!$U:$U,$H492)&lt;&gt;"Subscription",INDEX('Game Records'!$U:$U,$H492)&lt;&gt;"Free Game",INDEX('Game Records'!$U:$U,$H492)&lt;&gt;"Disqualified — Free Game",OR(INDEX('Game Records'!$E:$E,$H492)="",LOWER(INDEX('Game Records'!$E:$E,$H492)&amp;"")="n/a")),"Game Type; ","")&amp;IF(INDEX('Game Records'!$F:$F,$H492)="","Payment Type; ","")&amp;IF(AND(INDEX('Game Records'!$U:$U,$H492)&lt;&gt;"Subscription",INDEX('Game Records'!$U:$U,$H492)&lt;&gt;"Free Game",INDEX('Game Records'!$U:$U,$H492)&lt;&gt;"Disqualified — Free Game",INDEX('Game Records'!$G:$G,$H492)=""),"Gross Pot; ","")&amp;IF(AND(INDEX('Game Records'!$U:$U,$H492)&lt;&gt;"Free Game",INDEX('Game Records'!$U:$U,$H492)&lt;&gt;"Disqualified — Free Game",INDEX('Game Records'!$H:$H,$H492)=""),"Entry Fee; ","")&amp;IF(AND(INDEX('Game Records'!$U:$U,$H492)&lt;&gt;"Subscription",INDEX('Game Records'!$U:$U,$H492)&lt;&gt;"Free Game",INDEX('Game Records'!$U:$U,$H492)&lt;&gt;"Disqualified — Free Game",INDEX('Game Records'!$I:$I,$H492)=""),"Eligible Players; ","")&amp;IF(AND(INDEX('Game Records'!$U:$U,$H492)&lt;&gt;"Subscription",INDEX('Game Records'!$U:$U,$H492)&lt;&gt;"Free Game",INDEX('Game Records'!$U:$U,$H492)&lt;&gt;"Disqualified — Free Game",INDEX('Game Records'!$J:$J,$H492)=""),"Total Players; ","")&amp;IF(AND(LOWER(INDEX('Game Records'!$D:$D,$H492)&amp;"")="finalized",LOWER(INDEX('Game Records'!$L:$L,$H492)&amp;"")&lt;&gt;"yes",INDEX('Game Records'!$U:$U,$H492)&lt;&gt;"Subscription",INDEX('Game Records'!$U:$U,$H492)&lt;&gt;"Free Game",INDEX('Game Records'!$U:$U,$H492)&lt;&gt;"Disqualified — Free Game",INDEX('Game Records'!$K:$K,$H492)=""),"Final Earned; ","")&amp;IF(AND(LOWER(INDEX('Game Records'!$D:$D,$H492)&amp;"")="finalized",INDEX('Game Records'!$U:$U,$H492)&lt;&gt;"Subscription",INDEX('Game Records'!$U:$U,$H492)&lt;&gt;"Free Game",INDEX('Game Records'!$U:$U,$H492)&lt;&gt;"Disqualified — Free Game",OR(INDEX('Game Records'!$L:$L,$H492)="",LOWER(INDEX('Game Records'!$L:$L,$H492)&amp;"")="n/a")),"Disqualified Status; ","")&amp;IF(AND(OR(LOWER(TRIM(INDEX('Game Records'!$F:$F,$H492)&amp;""))="free game",INDEX('Game Records'!$U:$U,$H492)="Free Game",INDEX('Game Records'!$U:$U,$H492)="Disqualified — Free Game"),N(INDEX('Game Records'!$H:$H,$H492))&lt;&gt;0),"Free Game has a non-zero Entry Fee. Free Game records require a $0 Entry Fee; ",""))</f>
        <v/>
      </c>
      <c r="G492" s="331" t="str">
        <f>IF($H492="","",IFERROR(INDEX('Game Records'!$M:$M,$H492),""))</f>
        <v/>
      </c>
      <c r="H492" s="104" t="str">
        <f>IF($H491="","",IFERROR(MATCH(1,INDEX((ROW('Game Records'!$U$5:$U$504)&gt;$H491)*(('Game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3" ht="24" customHeight="1">
      <c r="A493" s="332" t="str">
        <f>IF($H493="","",ROWS($A$5:A493))</f>
        <v/>
      </c>
      <c r="B493" s="332" t="str">
        <f>IF($H493="","","G-"&amp;TEXT($A493,"0000"))</f>
        <v/>
      </c>
      <c r="C493" s="331" t="str">
        <f>IF($H493="","",IFERROR(INDEX('Game Records'!$A:$A,$H493),""))</f>
        <v/>
      </c>
      <c r="D493" s="331" t="str">
        <f>IF($H493="","",IFERROR(INDEX('Game Records'!$U:$U,$H493),""))</f>
        <v/>
      </c>
      <c r="E493" s="331" t="str">
        <f>IF($H493="","",IF($F493="","No Highlighted Fields","Highlighted Fields Present"))</f>
        <v/>
      </c>
      <c r="F493" s="331" t="str">
        <f>IF($H493="","",IF(OR(NOT(ISFORMULA(INDEX('Game Records'!$N:$N,$H493))),NOT(ISFORMULA(INDEX('Game Records'!$O:$O,$H493))),NOT(ISFORMULA(INDEX('Game Records'!$P:$P,$H493))),NOT(ISFORMULA(INDEX('Game Records'!$Q:$Q,$H493))),NOT(ISFORMULA(INDEX('Game Records'!$R:$R,$H493))),NOT(ISFORMULA(INDEX('Game Records'!$S:$S,$H493))),NOT(ISFORMULA(INDEX('Game Records'!$T:$T,$H493))),NOT(ISFORMULA(INDEX('Game Records'!$U:$U,$H493))),NOT(ISFORMULA(INDEX('Game Records'!$V:$V,$H493))),NOT(ISFORMULA(INDEX('Game Records'!$W:$W,$H493))),NOT(ISFORMULA(INDEX('Game Records'!$X:$X,$H493))),NOT(ISFORMULA(INDEX('Game Records'!$Y:$Y,$H493))),NOT(ISFORMULA(INDEX('Game Records'!$Z:$Z,$H493)))),"Formula columns missing; ","")&amp;IF(INDEX('Game Records'!$B:$B,$H493)="","Start Date; ","")&amp;IF(INDEX('Game Records'!$C:$C,$H493)="","End Date; ","")&amp;IF(AND(INDEX('Game Records'!$U:$U,$H493)&lt;&gt;"Subscription",INDEX('Game Records'!$U:$U,$H493)&lt;&gt;"Free Game",INDEX('Game Records'!$U:$U,$H493)&lt;&gt;"Disqualified — Free Game",OR(INDEX('Game Records'!$D:$D,$H493)="",LOWER(INDEX('Game Records'!$D:$D,$H493)&amp;"")="n/a")),"Entry Mode; ","")&amp;IF(AND(INDEX('Game Records'!$U:$U,$H493)&lt;&gt;"Subscription",INDEX('Game Records'!$U:$U,$H493)&lt;&gt;"Free Game",INDEX('Game Records'!$U:$U,$H493)&lt;&gt;"Disqualified — Free Game",OR(INDEX('Game Records'!$E:$E,$H493)="",LOWER(INDEX('Game Records'!$E:$E,$H493)&amp;"")="n/a")),"Game Type; ","")&amp;IF(INDEX('Game Records'!$F:$F,$H493)="","Payment Type; ","")&amp;IF(AND(INDEX('Game Records'!$U:$U,$H493)&lt;&gt;"Subscription",INDEX('Game Records'!$U:$U,$H493)&lt;&gt;"Free Game",INDEX('Game Records'!$U:$U,$H493)&lt;&gt;"Disqualified — Free Game",INDEX('Game Records'!$G:$G,$H493)=""),"Gross Pot; ","")&amp;IF(AND(INDEX('Game Records'!$U:$U,$H493)&lt;&gt;"Free Game",INDEX('Game Records'!$U:$U,$H493)&lt;&gt;"Disqualified — Free Game",INDEX('Game Records'!$H:$H,$H493)=""),"Entry Fee; ","")&amp;IF(AND(INDEX('Game Records'!$U:$U,$H493)&lt;&gt;"Subscription",INDEX('Game Records'!$U:$U,$H493)&lt;&gt;"Free Game",INDEX('Game Records'!$U:$U,$H493)&lt;&gt;"Disqualified — Free Game",INDEX('Game Records'!$I:$I,$H493)=""),"Eligible Players; ","")&amp;IF(AND(INDEX('Game Records'!$U:$U,$H493)&lt;&gt;"Subscription",INDEX('Game Records'!$U:$U,$H493)&lt;&gt;"Free Game",INDEX('Game Records'!$U:$U,$H493)&lt;&gt;"Disqualified — Free Game",INDEX('Game Records'!$J:$J,$H493)=""),"Total Players; ","")&amp;IF(AND(LOWER(INDEX('Game Records'!$D:$D,$H493)&amp;"")="finalized",LOWER(INDEX('Game Records'!$L:$L,$H493)&amp;"")&lt;&gt;"yes",INDEX('Game Records'!$U:$U,$H493)&lt;&gt;"Subscription",INDEX('Game Records'!$U:$U,$H493)&lt;&gt;"Free Game",INDEX('Game Records'!$U:$U,$H493)&lt;&gt;"Disqualified — Free Game",INDEX('Game Records'!$K:$K,$H493)=""),"Final Earned; ","")&amp;IF(AND(LOWER(INDEX('Game Records'!$D:$D,$H493)&amp;"")="finalized",INDEX('Game Records'!$U:$U,$H493)&lt;&gt;"Subscription",INDEX('Game Records'!$U:$U,$H493)&lt;&gt;"Free Game",INDEX('Game Records'!$U:$U,$H493)&lt;&gt;"Disqualified — Free Game",OR(INDEX('Game Records'!$L:$L,$H493)="",LOWER(INDEX('Game Records'!$L:$L,$H493)&amp;"")="n/a")),"Disqualified Status; ","")&amp;IF(AND(OR(LOWER(TRIM(INDEX('Game Records'!$F:$F,$H493)&amp;""))="free game",INDEX('Game Records'!$U:$U,$H493)="Free Game",INDEX('Game Records'!$U:$U,$H493)="Disqualified — Free Game"),N(INDEX('Game Records'!$H:$H,$H493))&lt;&gt;0),"Free Game has a non-zero Entry Fee. Free Game records require a $0 Entry Fee; ",""))</f>
        <v/>
      </c>
      <c r="G493" s="331" t="str">
        <f>IF($H493="","",IFERROR(INDEX('Game Records'!$M:$M,$H493),""))</f>
        <v/>
      </c>
      <c r="H493" s="104" t="str">
        <f>IF($H492="","",IFERROR(MATCH(1,INDEX((ROW('Game Records'!$U$5:$U$504)&gt;$H492)*(('Game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4" ht="24" customHeight="1">
      <c r="A494" s="332" t="str">
        <f>IF($H494="","",ROWS($A$5:A494))</f>
        <v/>
      </c>
      <c r="B494" s="332" t="str">
        <f>IF($H494="","","G-"&amp;TEXT($A494,"0000"))</f>
        <v/>
      </c>
      <c r="C494" s="331" t="str">
        <f>IF($H494="","",IFERROR(INDEX('Game Records'!$A:$A,$H494),""))</f>
        <v/>
      </c>
      <c r="D494" s="331" t="str">
        <f>IF($H494="","",IFERROR(INDEX('Game Records'!$U:$U,$H494),""))</f>
        <v/>
      </c>
      <c r="E494" s="331" t="str">
        <f>IF($H494="","",IF($F494="","No Highlighted Fields","Highlighted Fields Present"))</f>
        <v/>
      </c>
      <c r="F494" s="331" t="str">
        <f>IF($H494="","",IF(OR(NOT(ISFORMULA(INDEX('Game Records'!$N:$N,$H494))),NOT(ISFORMULA(INDEX('Game Records'!$O:$O,$H494))),NOT(ISFORMULA(INDEX('Game Records'!$P:$P,$H494))),NOT(ISFORMULA(INDEX('Game Records'!$Q:$Q,$H494))),NOT(ISFORMULA(INDEX('Game Records'!$R:$R,$H494))),NOT(ISFORMULA(INDEX('Game Records'!$S:$S,$H494))),NOT(ISFORMULA(INDEX('Game Records'!$T:$T,$H494))),NOT(ISFORMULA(INDEX('Game Records'!$U:$U,$H494))),NOT(ISFORMULA(INDEX('Game Records'!$V:$V,$H494))),NOT(ISFORMULA(INDEX('Game Records'!$W:$W,$H494))),NOT(ISFORMULA(INDEX('Game Records'!$X:$X,$H494))),NOT(ISFORMULA(INDEX('Game Records'!$Y:$Y,$H494))),NOT(ISFORMULA(INDEX('Game Records'!$Z:$Z,$H494)))),"Formula columns missing; ","")&amp;IF(INDEX('Game Records'!$B:$B,$H494)="","Start Date; ","")&amp;IF(INDEX('Game Records'!$C:$C,$H494)="","End Date; ","")&amp;IF(AND(INDEX('Game Records'!$U:$U,$H494)&lt;&gt;"Subscription",INDEX('Game Records'!$U:$U,$H494)&lt;&gt;"Free Game",INDEX('Game Records'!$U:$U,$H494)&lt;&gt;"Disqualified — Free Game",OR(INDEX('Game Records'!$D:$D,$H494)="",LOWER(INDEX('Game Records'!$D:$D,$H494)&amp;"")="n/a")),"Entry Mode; ","")&amp;IF(AND(INDEX('Game Records'!$U:$U,$H494)&lt;&gt;"Subscription",INDEX('Game Records'!$U:$U,$H494)&lt;&gt;"Free Game",INDEX('Game Records'!$U:$U,$H494)&lt;&gt;"Disqualified — Free Game",OR(INDEX('Game Records'!$E:$E,$H494)="",LOWER(INDEX('Game Records'!$E:$E,$H494)&amp;"")="n/a")),"Game Type; ","")&amp;IF(INDEX('Game Records'!$F:$F,$H494)="","Payment Type; ","")&amp;IF(AND(INDEX('Game Records'!$U:$U,$H494)&lt;&gt;"Subscription",INDEX('Game Records'!$U:$U,$H494)&lt;&gt;"Free Game",INDEX('Game Records'!$U:$U,$H494)&lt;&gt;"Disqualified — Free Game",INDEX('Game Records'!$G:$G,$H494)=""),"Gross Pot; ","")&amp;IF(AND(INDEX('Game Records'!$U:$U,$H494)&lt;&gt;"Free Game",INDEX('Game Records'!$U:$U,$H494)&lt;&gt;"Disqualified — Free Game",INDEX('Game Records'!$H:$H,$H494)=""),"Entry Fee; ","")&amp;IF(AND(INDEX('Game Records'!$U:$U,$H494)&lt;&gt;"Subscription",INDEX('Game Records'!$U:$U,$H494)&lt;&gt;"Free Game",INDEX('Game Records'!$U:$U,$H494)&lt;&gt;"Disqualified — Free Game",INDEX('Game Records'!$I:$I,$H494)=""),"Eligible Players; ","")&amp;IF(AND(INDEX('Game Records'!$U:$U,$H494)&lt;&gt;"Subscription",INDEX('Game Records'!$U:$U,$H494)&lt;&gt;"Free Game",INDEX('Game Records'!$U:$U,$H494)&lt;&gt;"Disqualified — Free Game",INDEX('Game Records'!$J:$J,$H494)=""),"Total Players; ","")&amp;IF(AND(LOWER(INDEX('Game Records'!$D:$D,$H494)&amp;"")="finalized",LOWER(INDEX('Game Records'!$L:$L,$H494)&amp;"")&lt;&gt;"yes",INDEX('Game Records'!$U:$U,$H494)&lt;&gt;"Subscription",INDEX('Game Records'!$U:$U,$H494)&lt;&gt;"Free Game",INDEX('Game Records'!$U:$U,$H494)&lt;&gt;"Disqualified — Free Game",INDEX('Game Records'!$K:$K,$H494)=""),"Final Earned; ","")&amp;IF(AND(LOWER(INDEX('Game Records'!$D:$D,$H494)&amp;"")="finalized",INDEX('Game Records'!$U:$U,$H494)&lt;&gt;"Subscription",INDEX('Game Records'!$U:$U,$H494)&lt;&gt;"Free Game",INDEX('Game Records'!$U:$U,$H494)&lt;&gt;"Disqualified — Free Game",OR(INDEX('Game Records'!$L:$L,$H494)="",LOWER(INDEX('Game Records'!$L:$L,$H494)&amp;"")="n/a")),"Disqualified Status; ","")&amp;IF(AND(OR(LOWER(TRIM(INDEX('Game Records'!$F:$F,$H494)&amp;""))="free game",INDEX('Game Records'!$U:$U,$H494)="Free Game",INDEX('Game Records'!$U:$U,$H494)="Disqualified — Free Game"),N(INDEX('Game Records'!$H:$H,$H494))&lt;&gt;0),"Free Game has a non-zero Entry Fee. Free Game records require a $0 Entry Fee; ",""))</f>
        <v/>
      </c>
      <c r="G494" s="331" t="str">
        <f>IF($H494="","",IFERROR(INDEX('Game Records'!$M:$M,$H494),""))</f>
        <v/>
      </c>
      <c r="H494" s="104" t="str">
        <f>IF($H493="","",IFERROR(MATCH(1,INDEX((ROW('Game Records'!$U$5:$U$504)&gt;$H493)*(('Game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5" ht="24" customHeight="1">
      <c r="A495" s="332" t="str">
        <f>IF($H495="","",ROWS($A$5:A495))</f>
        <v/>
      </c>
      <c r="B495" s="332" t="str">
        <f>IF($H495="","","G-"&amp;TEXT($A495,"0000"))</f>
        <v/>
      </c>
      <c r="C495" s="331" t="str">
        <f>IF($H495="","",IFERROR(INDEX('Game Records'!$A:$A,$H495),""))</f>
        <v/>
      </c>
      <c r="D495" s="331" t="str">
        <f>IF($H495="","",IFERROR(INDEX('Game Records'!$U:$U,$H495),""))</f>
        <v/>
      </c>
      <c r="E495" s="331" t="str">
        <f>IF($H495="","",IF($F495="","No Highlighted Fields","Highlighted Fields Present"))</f>
        <v/>
      </c>
      <c r="F495" s="331" t="str">
        <f>IF($H495="","",IF(OR(NOT(ISFORMULA(INDEX('Game Records'!$N:$N,$H495))),NOT(ISFORMULA(INDEX('Game Records'!$O:$O,$H495))),NOT(ISFORMULA(INDEX('Game Records'!$P:$P,$H495))),NOT(ISFORMULA(INDEX('Game Records'!$Q:$Q,$H495))),NOT(ISFORMULA(INDEX('Game Records'!$R:$R,$H495))),NOT(ISFORMULA(INDEX('Game Records'!$S:$S,$H495))),NOT(ISFORMULA(INDEX('Game Records'!$T:$T,$H495))),NOT(ISFORMULA(INDEX('Game Records'!$U:$U,$H495))),NOT(ISFORMULA(INDEX('Game Records'!$V:$V,$H495))),NOT(ISFORMULA(INDEX('Game Records'!$W:$W,$H495))),NOT(ISFORMULA(INDEX('Game Records'!$X:$X,$H495))),NOT(ISFORMULA(INDEX('Game Records'!$Y:$Y,$H495))),NOT(ISFORMULA(INDEX('Game Records'!$Z:$Z,$H495)))),"Formula columns missing; ","")&amp;IF(INDEX('Game Records'!$B:$B,$H495)="","Start Date; ","")&amp;IF(INDEX('Game Records'!$C:$C,$H495)="","End Date; ","")&amp;IF(AND(INDEX('Game Records'!$U:$U,$H495)&lt;&gt;"Subscription",INDEX('Game Records'!$U:$U,$H495)&lt;&gt;"Free Game",INDEX('Game Records'!$U:$U,$H495)&lt;&gt;"Disqualified — Free Game",OR(INDEX('Game Records'!$D:$D,$H495)="",LOWER(INDEX('Game Records'!$D:$D,$H495)&amp;"")="n/a")),"Entry Mode; ","")&amp;IF(AND(INDEX('Game Records'!$U:$U,$H495)&lt;&gt;"Subscription",INDEX('Game Records'!$U:$U,$H495)&lt;&gt;"Free Game",INDEX('Game Records'!$U:$U,$H495)&lt;&gt;"Disqualified — Free Game",OR(INDEX('Game Records'!$E:$E,$H495)="",LOWER(INDEX('Game Records'!$E:$E,$H495)&amp;"")="n/a")),"Game Type; ","")&amp;IF(INDEX('Game Records'!$F:$F,$H495)="","Payment Type; ","")&amp;IF(AND(INDEX('Game Records'!$U:$U,$H495)&lt;&gt;"Subscription",INDEX('Game Records'!$U:$U,$H495)&lt;&gt;"Free Game",INDEX('Game Records'!$U:$U,$H495)&lt;&gt;"Disqualified — Free Game",INDEX('Game Records'!$G:$G,$H495)=""),"Gross Pot; ","")&amp;IF(AND(INDEX('Game Records'!$U:$U,$H495)&lt;&gt;"Free Game",INDEX('Game Records'!$U:$U,$H495)&lt;&gt;"Disqualified — Free Game",INDEX('Game Records'!$H:$H,$H495)=""),"Entry Fee; ","")&amp;IF(AND(INDEX('Game Records'!$U:$U,$H495)&lt;&gt;"Subscription",INDEX('Game Records'!$U:$U,$H495)&lt;&gt;"Free Game",INDEX('Game Records'!$U:$U,$H495)&lt;&gt;"Disqualified — Free Game",INDEX('Game Records'!$I:$I,$H495)=""),"Eligible Players; ","")&amp;IF(AND(INDEX('Game Records'!$U:$U,$H495)&lt;&gt;"Subscription",INDEX('Game Records'!$U:$U,$H495)&lt;&gt;"Free Game",INDEX('Game Records'!$U:$U,$H495)&lt;&gt;"Disqualified — Free Game",INDEX('Game Records'!$J:$J,$H495)=""),"Total Players; ","")&amp;IF(AND(LOWER(INDEX('Game Records'!$D:$D,$H495)&amp;"")="finalized",LOWER(INDEX('Game Records'!$L:$L,$H495)&amp;"")&lt;&gt;"yes",INDEX('Game Records'!$U:$U,$H495)&lt;&gt;"Subscription",INDEX('Game Records'!$U:$U,$H495)&lt;&gt;"Free Game",INDEX('Game Records'!$U:$U,$H495)&lt;&gt;"Disqualified — Free Game",INDEX('Game Records'!$K:$K,$H495)=""),"Final Earned; ","")&amp;IF(AND(LOWER(INDEX('Game Records'!$D:$D,$H495)&amp;"")="finalized",INDEX('Game Records'!$U:$U,$H495)&lt;&gt;"Subscription",INDEX('Game Records'!$U:$U,$H495)&lt;&gt;"Free Game",INDEX('Game Records'!$U:$U,$H495)&lt;&gt;"Disqualified — Free Game",OR(INDEX('Game Records'!$L:$L,$H495)="",LOWER(INDEX('Game Records'!$L:$L,$H495)&amp;"")="n/a")),"Disqualified Status; ","")&amp;IF(AND(OR(LOWER(TRIM(INDEX('Game Records'!$F:$F,$H495)&amp;""))="free game",INDEX('Game Records'!$U:$U,$H495)="Free Game",INDEX('Game Records'!$U:$U,$H495)="Disqualified — Free Game"),N(INDEX('Game Records'!$H:$H,$H495))&lt;&gt;0),"Free Game has a non-zero Entry Fee. Free Game records require a $0 Entry Fee; ",""))</f>
        <v/>
      </c>
      <c r="G495" s="331" t="str">
        <f>IF($H495="","",IFERROR(INDEX('Game Records'!$M:$M,$H495),""))</f>
        <v/>
      </c>
      <c r="H495" s="104" t="str">
        <f>IF($H494="","",IFERROR(MATCH(1,INDEX((ROW('Game Records'!$U$5:$U$504)&gt;$H494)*(('Game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6" ht="24" customHeight="1">
      <c r="A496" s="332" t="str">
        <f>IF($H496="","",ROWS($A$5:A496))</f>
        <v/>
      </c>
      <c r="B496" s="332" t="str">
        <f>IF($H496="","","G-"&amp;TEXT($A496,"0000"))</f>
        <v/>
      </c>
      <c r="C496" s="331" t="str">
        <f>IF($H496="","",IFERROR(INDEX('Game Records'!$A:$A,$H496),""))</f>
        <v/>
      </c>
      <c r="D496" s="331" t="str">
        <f>IF($H496="","",IFERROR(INDEX('Game Records'!$U:$U,$H496),""))</f>
        <v/>
      </c>
      <c r="E496" s="331" t="str">
        <f>IF($H496="","",IF($F496="","No Highlighted Fields","Highlighted Fields Present"))</f>
        <v/>
      </c>
      <c r="F496" s="331" t="str">
        <f>IF($H496="","",IF(OR(NOT(ISFORMULA(INDEX('Game Records'!$N:$N,$H496))),NOT(ISFORMULA(INDEX('Game Records'!$O:$O,$H496))),NOT(ISFORMULA(INDEX('Game Records'!$P:$P,$H496))),NOT(ISFORMULA(INDEX('Game Records'!$Q:$Q,$H496))),NOT(ISFORMULA(INDEX('Game Records'!$R:$R,$H496))),NOT(ISFORMULA(INDEX('Game Records'!$S:$S,$H496))),NOT(ISFORMULA(INDEX('Game Records'!$T:$T,$H496))),NOT(ISFORMULA(INDEX('Game Records'!$U:$U,$H496))),NOT(ISFORMULA(INDEX('Game Records'!$V:$V,$H496))),NOT(ISFORMULA(INDEX('Game Records'!$W:$W,$H496))),NOT(ISFORMULA(INDEX('Game Records'!$X:$X,$H496))),NOT(ISFORMULA(INDEX('Game Records'!$Y:$Y,$H496))),NOT(ISFORMULA(INDEX('Game Records'!$Z:$Z,$H496)))),"Formula columns missing; ","")&amp;IF(INDEX('Game Records'!$B:$B,$H496)="","Start Date; ","")&amp;IF(INDEX('Game Records'!$C:$C,$H496)="","End Date; ","")&amp;IF(AND(INDEX('Game Records'!$U:$U,$H496)&lt;&gt;"Subscription",INDEX('Game Records'!$U:$U,$H496)&lt;&gt;"Free Game",INDEX('Game Records'!$U:$U,$H496)&lt;&gt;"Disqualified — Free Game",OR(INDEX('Game Records'!$D:$D,$H496)="",LOWER(INDEX('Game Records'!$D:$D,$H496)&amp;"")="n/a")),"Entry Mode; ","")&amp;IF(AND(INDEX('Game Records'!$U:$U,$H496)&lt;&gt;"Subscription",INDEX('Game Records'!$U:$U,$H496)&lt;&gt;"Free Game",INDEX('Game Records'!$U:$U,$H496)&lt;&gt;"Disqualified — Free Game",OR(INDEX('Game Records'!$E:$E,$H496)="",LOWER(INDEX('Game Records'!$E:$E,$H496)&amp;"")="n/a")),"Game Type; ","")&amp;IF(INDEX('Game Records'!$F:$F,$H496)="","Payment Type; ","")&amp;IF(AND(INDEX('Game Records'!$U:$U,$H496)&lt;&gt;"Subscription",INDEX('Game Records'!$U:$U,$H496)&lt;&gt;"Free Game",INDEX('Game Records'!$U:$U,$H496)&lt;&gt;"Disqualified — Free Game",INDEX('Game Records'!$G:$G,$H496)=""),"Gross Pot; ","")&amp;IF(AND(INDEX('Game Records'!$U:$U,$H496)&lt;&gt;"Free Game",INDEX('Game Records'!$U:$U,$H496)&lt;&gt;"Disqualified — Free Game",INDEX('Game Records'!$H:$H,$H496)=""),"Entry Fee; ","")&amp;IF(AND(INDEX('Game Records'!$U:$U,$H496)&lt;&gt;"Subscription",INDEX('Game Records'!$U:$U,$H496)&lt;&gt;"Free Game",INDEX('Game Records'!$U:$U,$H496)&lt;&gt;"Disqualified — Free Game",INDEX('Game Records'!$I:$I,$H496)=""),"Eligible Players; ","")&amp;IF(AND(INDEX('Game Records'!$U:$U,$H496)&lt;&gt;"Subscription",INDEX('Game Records'!$U:$U,$H496)&lt;&gt;"Free Game",INDEX('Game Records'!$U:$U,$H496)&lt;&gt;"Disqualified — Free Game",INDEX('Game Records'!$J:$J,$H496)=""),"Total Players; ","")&amp;IF(AND(LOWER(INDEX('Game Records'!$D:$D,$H496)&amp;"")="finalized",LOWER(INDEX('Game Records'!$L:$L,$H496)&amp;"")&lt;&gt;"yes",INDEX('Game Records'!$U:$U,$H496)&lt;&gt;"Subscription",INDEX('Game Records'!$U:$U,$H496)&lt;&gt;"Free Game",INDEX('Game Records'!$U:$U,$H496)&lt;&gt;"Disqualified — Free Game",INDEX('Game Records'!$K:$K,$H496)=""),"Final Earned; ","")&amp;IF(AND(LOWER(INDEX('Game Records'!$D:$D,$H496)&amp;"")="finalized",INDEX('Game Records'!$U:$U,$H496)&lt;&gt;"Subscription",INDEX('Game Records'!$U:$U,$H496)&lt;&gt;"Free Game",INDEX('Game Records'!$U:$U,$H496)&lt;&gt;"Disqualified — Free Game",OR(INDEX('Game Records'!$L:$L,$H496)="",LOWER(INDEX('Game Records'!$L:$L,$H496)&amp;"")="n/a")),"Disqualified Status; ","")&amp;IF(AND(OR(LOWER(TRIM(INDEX('Game Records'!$F:$F,$H496)&amp;""))="free game",INDEX('Game Records'!$U:$U,$H496)="Free Game",INDEX('Game Records'!$U:$U,$H496)="Disqualified — Free Game"),N(INDEX('Game Records'!$H:$H,$H496))&lt;&gt;0),"Free Game has a non-zero Entry Fee. Free Game records require a $0 Entry Fee; ",""))</f>
        <v/>
      </c>
      <c r="G496" s="331" t="str">
        <f>IF($H496="","",IFERROR(INDEX('Game Records'!$M:$M,$H496),""))</f>
        <v/>
      </c>
      <c r="H496" s="104" t="str">
        <f>IF($H495="","",IFERROR(MATCH(1,INDEX((ROW('Game Records'!$U$5:$U$504)&gt;$H495)*(('Game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7" ht="24" customHeight="1">
      <c r="A497" s="332" t="str">
        <f>IF($H497="","",ROWS($A$5:A497))</f>
        <v/>
      </c>
      <c r="B497" s="332" t="str">
        <f>IF($H497="","","G-"&amp;TEXT($A497,"0000"))</f>
        <v/>
      </c>
      <c r="C497" s="331" t="str">
        <f>IF($H497="","",IFERROR(INDEX('Game Records'!$A:$A,$H497),""))</f>
        <v/>
      </c>
      <c r="D497" s="331" t="str">
        <f>IF($H497="","",IFERROR(INDEX('Game Records'!$U:$U,$H497),""))</f>
        <v/>
      </c>
      <c r="E497" s="331" t="str">
        <f>IF($H497="","",IF($F497="","No Highlighted Fields","Highlighted Fields Present"))</f>
        <v/>
      </c>
      <c r="F497" s="331" t="str">
        <f>IF($H497="","",IF(OR(NOT(ISFORMULA(INDEX('Game Records'!$N:$N,$H497))),NOT(ISFORMULA(INDEX('Game Records'!$O:$O,$H497))),NOT(ISFORMULA(INDEX('Game Records'!$P:$P,$H497))),NOT(ISFORMULA(INDEX('Game Records'!$Q:$Q,$H497))),NOT(ISFORMULA(INDEX('Game Records'!$R:$R,$H497))),NOT(ISFORMULA(INDEX('Game Records'!$S:$S,$H497))),NOT(ISFORMULA(INDEX('Game Records'!$T:$T,$H497))),NOT(ISFORMULA(INDEX('Game Records'!$U:$U,$H497))),NOT(ISFORMULA(INDEX('Game Records'!$V:$V,$H497))),NOT(ISFORMULA(INDEX('Game Records'!$W:$W,$H497))),NOT(ISFORMULA(INDEX('Game Records'!$X:$X,$H497))),NOT(ISFORMULA(INDEX('Game Records'!$Y:$Y,$H497))),NOT(ISFORMULA(INDEX('Game Records'!$Z:$Z,$H497)))),"Formula columns missing; ","")&amp;IF(INDEX('Game Records'!$B:$B,$H497)="","Start Date; ","")&amp;IF(INDEX('Game Records'!$C:$C,$H497)="","End Date; ","")&amp;IF(AND(INDEX('Game Records'!$U:$U,$H497)&lt;&gt;"Subscription",INDEX('Game Records'!$U:$U,$H497)&lt;&gt;"Free Game",INDEX('Game Records'!$U:$U,$H497)&lt;&gt;"Disqualified — Free Game",OR(INDEX('Game Records'!$D:$D,$H497)="",LOWER(INDEX('Game Records'!$D:$D,$H497)&amp;"")="n/a")),"Entry Mode; ","")&amp;IF(AND(INDEX('Game Records'!$U:$U,$H497)&lt;&gt;"Subscription",INDEX('Game Records'!$U:$U,$H497)&lt;&gt;"Free Game",INDEX('Game Records'!$U:$U,$H497)&lt;&gt;"Disqualified — Free Game",OR(INDEX('Game Records'!$E:$E,$H497)="",LOWER(INDEX('Game Records'!$E:$E,$H497)&amp;"")="n/a")),"Game Type; ","")&amp;IF(INDEX('Game Records'!$F:$F,$H497)="","Payment Type; ","")&amp;IF(AND(INDEX('Game Records'!$U:$U,$H497)&lt;&gt;"Subscription",INDEX('Game Records'!$U:$U,$H497)&lt;&gt;"Free Game",INDEX('Game Records'!$U:$U,$H497)&lt;&gt;"Disqualified — Free Game",INDEX('Game Records'!$G:$G,$H497)=""),"Gross Pot; ","")&amp;IF(AND(INDEX('Game Records'!$U:$U,$H497)&lt;&gt;"Free Game",INDEX('Game Records'!$U:$U,$H497)&lt;&gt;"Disqualified — Free Game",INDEX('Game Records'!$H:$H,$H497)=""),"Entry Fee; ","")&amp;IF(AND(INDEX('Game Records'!$U:$U,$H497)&lt;&gt;"Subscription",INDEX('Game Records'!$U:$U,$H497)&lt;&gt;"Free Game",INDEX('Game Records'!$U:$U,$H497)&lt;&gt;"Disqualified — Free Game",INDEX('Game Records'!$I:$I,$H497)=""),"Eligible Players; ","")&amp;IF(AND(INDEX('Game Records'!$U:$U,$H497)&lt;&gt;"Subscription",INDEX('Game Records'!$U:$U,$H497)&lt;&gt;"Free Game",INDEX('Game Records'!$U:$U,$H497)&lt;&gt;"Disqualified — Free Game",INDEX('Game Records'!$J:$J,$H497)=""),"Total Players; ","")&amp;IF(AND(LOWER(INDEX('Game Records'!$D:$D,$H497)&amp;"")="finalized",LOWER(INDEX('Game Records'!$L:$L,$H497)&amp;"")&lt;&gt;"yes",INDEX('Game Records'!$U:$U,$H497)&lt;&gt;"Subscription",INDEX('Game Records'!$U:$U,$H497)&lt;&gt;"Free Game",INDEX('Game Records'!$U:$U,$H497)&lt;&gt;"Disqualified — Free Game",INDEX('Game Records'!$K:$K,$H497)=""),"Final Earned; ","")&amp;IF(AND(LOWER(INDEX('Game Records'!$D:$D,$H497)&amp;"")="finalized",INDEX('Game Records'!$U:$U,$H497)&lt;&gt;"Subscription",INDEX('Game Records'!$U:$U,$H497)&lt;&gt;"Free Game",INDEX('Game Records'!$U:$U,$H497)&lt;&gt;"Disqualified — Free Game",OR(INDEX('Game Records'!$L:$L,$H497)="",LOWER(INDEX('Game Records'!$L:$L,$H497)&amp;"")="n/a")),"Disqualified Status; ","")&amp;IF(AND(OR(LOWER(TRIM(INDEX('Game Records'!$F:$F,$H497)&amp;""))="free game",INDEX('Game Records'!$U:$U,$H497)="Free Game",INDEX('Game Records'!$U:$U,$H497)="Disqualified — Free Game"),N(INDEX('Game Records'!$H:$H,$H497))&lt;&gt;0),"Free Game has a non-zero Entry Fee. Free Game records require a $0 Entry Fee; ",""))</f>
        <v/>
      </c>
      <c r="G497" s="331" t="str">
        <f>IF($H497="","",IFERROR(INDEX('Game Records'!$M:$M,$H497),""))</f>
        <v/>
      </c>
      <c r="H497" s="104" t="str">
        <f>IF($H496="","",IFERROR(MATCH(1,INDEX((ROW('Game Records'!$U$5:$U$504)&gt;$H496)*(('Game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8" ht="24" customHeight="1">
      <c r="A498" s="332" t="str">
        <f>IF($H498="","",ROWS($A$5:A498))</f>
        <v/>
      </c>
      <c r="B498" s="332" t="str">
        <f>IF($H498="","","G-"&amp;TEXT($A498,"0000"))</f>
        <v/>
      </c>
      <c r="C498" s="331" t="str">
        <f>IF($H498="","",IFERROR(INDEX('Game Records'!$A:$A,$H498),""))</f>
        <v/>
      </c>
      <c r="D498" s="331" t="str">
        <f>IF($H498="","",IFERROR(INDEX('Game Records'!$U:$U,$H498),""))</f>
        <v/>
      </c>
      <c r="E498" s="331" t="str">
        <f>IF($H498="","",IF($F498="","No Highlighted Fields","Highlighted Fields Present"))</f>
        <v/>
      </c>
      <c r="F498" s="331" t="str">
        <f>IF($H498="","",IF(OR(NOT(ISFORMULA(INDEX('Game Records'!$N:$N,$H498))),NOT(ISFORMULA(INDEX('Game Records'!$O:$O,$H498))),NOT(ISFORMULA(INDEX('Game Records'!$P:$P,$H498))),NOT(ISFORMULA(INDEX('Game Records'!$Q:$Q,$H498))),NOT(ISFORMULA(INDEX('Game Records'!$R:$R,$H498))),NOT(ISFORMULA(INDEX('Game Records'!$S:$S,$H498))),NOT(ISFORMULA(INDEX('Game Records'!$T:$T,$H498))),NOT(ISFORMULA(INDEX('Game Records'!$U:$U,$H498))),NOT(ISFORMULA(INDEX('Game Records'!$V:$V,$H498))),NOT(ISFORMULA(INDEX('Game Records'!$W:$W,$H498))),NOT(ISFORMULA(INDEX('Game Records'!$X:$X,$H498))),NOT(ISFORMULA(INDEX('Game Records'!$Y:$Y,$H498))),NOT(ISFORMULA(INDEX('Game Records'!$Z:$Z,$H498)))),"Formula columns missing; ","")&amp;IF(INDEX('Game Records'!$B:$B,$H498)="","Start Date; ","")&amp;IF(INDEX('Game Records'!$C:$C,$H498)="","End Date; ","")&amp;IF(AND(INDEX('Game Records'!$U:$U,$H498)&lt;&gt;"Subscription",INDEX('Game Records'!$U:$U,$H498)&lt;&gt;"Free Game",INDEX('Game Records'!$U:$U,$H498)&lt;&gt;"Disqualified — Free Game",OR(INDEX('Game Records'!$D:$D,$H498)="",LOWER(INDEX('Game Records'!$D:$D,$H498)&amp;"")="n/a")),"Entry Mode; ","")&amp;IF(AND(INDEX('Game Records'!$U:$U,$H498)&lt;&gt;"Subscription",INDEX('Game Records'!$U:$U,$H498)&lt;&gt;"Free Game",INDEX('Game Records'!$U:$U,$H498)&lt;&gt;"Disqualified — Free Game",OR(INDEX('Game Records'!$E:$E,$H498)="",LOWER(INDEX('Game Records'!$E:$E,$H498)&amp;"")="n/a")),"Game Type; ","")&amp;IF(INDEX('Game Records'!$F:$F,$H498)="","Payment Type; ","")&amp;IF(AND(INDEX('Game Records'!$U:$U,$H498)&lt;&gt;"Subscription",INDEX('Game Records'!$U:$U,$H498)&lt;&gt;"Free Game",INDEX('Game Records'!$U:$U,$H498)&lt;&gt;"Disqualified — Free Game",INDEX('Game Records'!$G:$G,$H498)=""),"Gross Pot; ","")&amp;IF(AND(INDEX('Game Records'!$U:$U,$H498)&lt;&gt;"Free Game",INDEX('Game Records'!$U:$U,$H498)&lt;&gt;"Disqualified — Free Game",INDEX('Game Records'!$H:$H,$H498)=""),"Entry Fee; ","")&amp;IF(AND(INDEX('Game Records'!$U:$U,$H498)&lt;&gt;"Subscription",INDEX('Game Records'!$U:$U,$H498)&lt;&gt;"Free Game",INDEX('Game Records'!$U:$U,$H498)&lt;&gt;"Disqualified — Free Game",INDEX('Game Records'!$I:$I,$H498)=""),"Eligible Players; ","")&amp;IF(AND(INDEX('Game Records'!$U:$U,$H498)&lt;&gt;"Subscription",INDEX('Game Records'!$U:$U,$H498)&lt;&gt;"Free Game",INDEX('Game Records'!$U:$U,$H498)&lt;&gt;"Disqualified — Free Game",INDEX('Game Records'!$J:$J,$H498)=""),"Total Players; ","")&amp;IF(AND(LOWER(INDEX('Game Records'!$D:$D,$H498)&amp;"")="finalized",LOWER(INDEX('Game Records'!$L:$L,$H498)&amp;"")&lt;&gt;"yes",INDEX('Game Records'!$U:$U,$H498)&lt;&gt;"Subscription",INDEX('Game Records'!$U:$U,$H498)&lt;&gt;"Free Game",INDEX('Game Records'!$U:$U,$H498)&lt;&gt;"Disqualified — Free Game",INDEX('Game Records'!$K:$K,$H498)=""),"Final Earned; ","")&amp;IF(AND(LOWER(INDEX('Game Records'!$D:$D,$H498)&amp;"")="finalized",INDEX('Game Records'!$U:$U,$H498)&lt;&gt;"Subscription",INDEX('Game Records'!$U:$U,$H498)&lt;&gt;"Free Game",INDEX('Game Records'!$U:$U,$H498)&lt;&gt;"Disqualified — Free Game",OR(INDEX('Game Records'!$L:$L,$H498)="",LOWER(INDEX('Game Records'!$L:$L,$H498)&amp;"")="n/a")),"Disqualified Status; ","")&amp;IF(AND(OR(LOWER(TRIM(INDEX('Game Records'!$F:$F,$H498)&amp;""))="free game",INDEX('Game Records'!$U:$U,$H498)="Free Game",INDEX('Game Records'!$U:$U,$H498)="Disqualified — Free Game"),N(INDEX('Game Records'!$H:$H,$H498))&lt;&gt;0),"Free Game has a non-zero Entry Fee. Free Game records require a $0 Entry Fee; ",""))</f>
        <v/>
      </c>
      <c r="G498" s="331" t="str">
        <f>IF($H498="","",IFERROR(INDEX('Game Records'!$M:$M,$H498),""))</f>
        <v/>
      </c>
      <c r="H498" s="104" t="str">
        <f>IF($H497="","",IFERROR(MATCH(1,INDEX((ROW('Game Records'!$U$5:$U$504)&gt;$H497)*(('Game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9" ht="24" customHeight="1">
      <c r="A499" s="332" t="str">
        <f>IF($H499="","",ROWS($A$5:A499))</f>
        <v/>
      </c>
      <c r="B499" s="332" t="str">
        <f>IF($H499="","","G-"&amp;TEXT($A499,"0000"))</f>
        <v/>
      </c>
      <c r="C499" s="331" t="str">
        <f>IF($H499="","",IFERROR(INDEX('Game Records'!$A:$A,$H499),""))</f>
        <v/>
      </c>
      <c r="D499" s="331" t="str">
        <f>IF($H499="","",IFERROR(INDEX('Game Records'!$U:$U,$H499),""))</f>
        <v/>
      </c>
      <c r="E499" s="331" t="str">
        <f>IF($H499="","",IF($F499="","No Highlighted Fields","Highlighted Fields Present"))</f>
        <v/>
      </c>
      <c r="F499" s="331" t="str">
        <f>IF($H499="","",IF(OR(NOT(ISFORMULA(INDEX('Game Records'!$N:$N,$H499))),NOT(ISFORMULA(INDEX('Game Records'!$O:$O,$H499))),NOT(ISFORMULA(INDEX('Game Records'!$P:$P,$H499))),NOT(ISFORMULA(INDEX('Game Records'!$Q:$Q,$H499))),NOT(ISFORMULA(INDEX('Game Records'!$R:$R,$H499))),NOT(ISFORMULA(INDEX('Game Records'!$S:$S,$H499))),NOT(ISFORMULA(INDEX('Game Records'!$T:$T,$H499))),NOT(ISFORMULA(INDEX('Game Records'!$U:$U,$H499))),NOT(ISFORMULA(INDEX('Game Records'!$V:$V,$H499))),NOT(ISFORMULA(INDEX('Game Records'!$W:$W,$H499))),NOT(ISFORMULA(INDEX('Game Records'!$X:$X,$H499))),NOT(ISFORMULA(INDEX('Game Records'!$Y:$Y,$H499))),NOT(ISFORMULA(INDEX('Game Records'!$Z:$Z,$H499)))),"Formula columns missing; ","")&amp;IF(INDEX('Game Records'!$B:$B,$H499)="","Start Date; ","")&amp;IF(INDEX('Game Records'!$C:$C,$H499)="","End Date; ","")&amp;IF(AND(INDEX('Game Records'!$U:$U,$H499)&lt;&gt;"Subscription",INDEX('Game Records'!$U:$U,$H499)&lt;&gt;"Free Game",INDEX('Game Records'!$U:$U,$H499)&lt;&gt;"Disqualified — Free Game",OR(INDEX('Game Records'!$D:$D,$H499)="",LOWER(INDEX('Game Records'!$D:$D,$H499)&amp;"")="n/a")),"Entry Mode; ","")&amp;IF(AND(INDEX('Game Records'!$U:$U,$H499)&lt;&gt;"Subscription",INDEX('Game Records'!$U:$U,$H499)&lt;&gt;"Free Game",INDEX('Game Records'!$U:$U,$H499)&lt;&gt;"Disqualified — Free Game",OR(INDEX('Game Records'!$E:$E,$H499)="",LOWER(INDEX('Game Records'!$E:$E,$H499)&amp;"")="n/a")),"Game Type; ","")&amp;IF(INDEX('Game Records'!$F:$F,$H499)="","Payment Type; ","")&amp;IF(AND(INDEX('Game Records'!$U:$U,$H499)&lt;&gt;"Subscription",INDEX('Game Records'!$U:$U,$H499)&lt;&gt;"Free Game",INDEX('Game Records'!$U:$U,$H499)&lt;&gt;"Disqualified — Free Game",INDEX('Game Records'!$G:$G,$H499)=""),"Gross Pot; ","")&amp;IF(AND(INDEX('Game Records'!$U:$U,$H499)&lt;&gt;"Free Game",INDEX('Game Records'!$U:$U,$H499)&lt;&gt;"Disqualified — Free Game",INDEX('Game Records'!$H:$H,$H499)=""),"Entry Fee; ","")&amp;IF(AND(INDEX('Game Records'!$U:$U,$H499)&lt;&gt;"Subscription",INDEX('Game Records'!$U:$U,$H499)&lt;&gt;"Free Game",INDEX('Game Records'!$U:$U,$H499)&lt;&gt;"Disqualified — Free Game",INDEX('Game Records'!$I:$I,$H499)=""),"Eligible Players; ","")&amp;IF(AND(INDEX('Game Records'!$U:$U,$H499)&lt;&gt;"Subscription",INDEX('Game Records'!$U:$U,$H499)&lt;&gt;"Free Game",INDEX('Game Records'!$U:$U,$H499)&lt;&gt;"Disqualified — Free Game",INDEX('Game Records'!$J:$J,$H499)=""),"Total Players; ","")&amp;IF(AND(LOWER(INDEX('Game Records'!$D:$D,$H499)&amp;"")="finalized",LOWER(INDEX('Game Records'!$L:$L,$H499)&amp;"")&lt;&gt;"yes",INDEX('Game Records'!$U:$U,$H499)&lt;&gt;"Subscription",INDEX('Game Records'!$U:$U,$H499)&lt;&gt;"Free Game",INDEX('Game Records'!$U:$U,$H499)&lt;&gt;"Disqualified — Free Game",INDEX('Game Records'!$K:$K,$H499)=""),"Final Earned; ","")&amp;IF(AND(LOWER(INDEX('Game Records'!$D:$D,$H499)&amp;"")="finalized",INDEX('Game Records'!$U:$U,$H499)&lt;&gt;"Subscription",INDEX('Game Records'!$U:$U,$H499)&lt;&gt;"Free Game",INDEX('Game Records'!$U:$U,$H499)&lt;&gt;"Disqualified — Free Game",OR(INDEX('Game Records'!$L:$L,$H499)="",LOWER(INDEX('Game Records'!$L:$L,$H499)&amp;"")="n/a")),"Disqualified Status; ","")&amp;IF(AND(OR(LOWER(TRIM(INDEX('Game Records'!$F:$F,$H499)&amp;""))="free game",INDEX('Game Records'!$U:$U,$H499)="Free Game",INDEX('Game Records'!$U:$U,$H499)="Disqualified — Free Game"),N(INDEX('Game Records'!$H:$H,$H499))&lt;&gt;0),"Free Game has a non-zero Entry Fee. Free Game records require a $0 Entry Fee; ",""))</f>
        <v/>
      </c>
      <c r="G499" s="331" t="str">
        <f>IF($H499="","",IFERROR(INDEX('Game Records'!$M:$M,$H499),""))</f>
        <v/>
      </c>
      <c r="H499" s="104" t="str">
        <f>IF($H498="","",IFERROR(MATCH(1,INDEX((ROW('Game Records'!$U$5:$U$504)&gt;$H498)*(('Game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0" ht="24" customHeight="1">
      <c r="A500" s="332" t="str">
        <f>IF($H500="","",ROWS($A$5:A500))</f>
        <v/>
      </c>
      <c r="B500" s="332" t="str">
        <f>IF($H500="","","G-"&amp;TEXT($A500,"0000"))</f>
        <v/>
      </c>
      <c r="C500" s="331" t="str">
        <f>IF($H500="","",IFERROR(INDEX('Game Records'!$A:$A,$H500),""))</f>
        <v/>
      </c>
      <c r="D500" s="331" t="str">
        <f>IF($H500="","",IFERROR(INDEX('Game Records'!$U:$U,$H500),""))</f>
        <v/>
      </c>
      <c r="E500" s="331" t="str">
        <f>IF($H500="","",IF($F500="","No Highlighted Fields","Highlighted Fields Present"))</f>
        <v/>
      </c>
      <c r="F500" s="331" t="str">
        <f>IF($H500="","",IF(OR(NOT(ISFORMULA(INDEX('Game Records'!$N:$N,$H500))),NOT(ISFORMULA(INDEX('Game Records'!$O:$O,$H500))),NOT(ISFORMULA(INDEX('Game Records'!$P:$P,$H500))),NOT(ISFORMULA(INDEX('Game Records'!$Q:$Q,$H500))),NOT(ISFORMULA(INDEX('Game Records'!$R:$R,$H500))),NOT(ISFORMULA(INDEX('Game Records'!$S:$S,$H500))),NOT(ISFORMULA(INDEX('Game Records'!$T:$T,$H500))),NOT(ISFORMULA(INDEX('Game Records'!$U:$U,$H500))),NOT(ISFORMULA(INDEX('Game Records'!$V:$V,$H500))),NOT(ISFORMULA(INDEX('Game Records'!$W:$W,$H500))),NOT(ISFORMULA(INDEX('Game Records'!$X:$X,$H500))),NOT(ISFORMULA(INDEX('Game Records'!$Y:$Y,$H500))),NOT(ISFORMULA(INDEX('Game Records'!$Z:$Z,$H500)))),"Formula columns missing; ","")&amp;IF(INDEX('Game Records'!$B:$B,$H500)="","Start Date; ","")&amp;IF(INDEX('Game Records'!$C:$C,$H500)="","End Date; ","")&amp;IF(AND(INDEX('Game Records'!$U:$U,$H500)&lt;&gt;"Subscription",INDEX('Game Records'!$U:$U,$H500)&lt;&gt;"Free Game",INDEX('Game Records'!$U:$U,$H500)&lt;&gt;"Disqualified — Free Game",OR(INDEX('Game Records'!$D:$D,$H500)="",LOWER(INDEX('Game Records'!$D:$D,$H500)&amp;"")="n/a")),"Entry Mode; ","")&amp;IF(AND(INDEX('Game Records'!$U:$U,$H500)&lt;&gt;"Subscription",INDEX('Game Records'!$U:$U,$H500)&lt;&gt;"Free Game",INDEX('Game Records'!$U:$U,$H500)&lt;&gt;"Disqualified — Free Game",OR(INDEX('Game Records'!$E:$E,$H500)="",LOWER(INDEX('Game Records'!$E:$E,$H500)&amp;"")="n/a")),"Game Type; ","")&amp;IF(INDEX('Game Records'!$F:$F,$H500)="","Payment Type; ","")&amp;IF(AND(INDEX('Game Records'!$U:$U,$H500)&lt;&gt;"Subscription",INDEX('Game Records'!$U:$U,$H500)&lt;&gt;"Free Game",INDEX('Game Records'!$U:$U,$H500)&lt;&gt;"Disqualified — Free Game",INDEX('Game Records'!$G:$G,$H500)=""),"Gross Pot; ","")&amp;IF(AND(INDEX('Game Records'!$U:$U,$H500)&lt;&gt;"Free Game",INDEX('Game Records'!$U:$U,$H500)&lt;&gt;"Disqualified — Free Game",INDEX('Game Records'!$H:$H,$H500)=""),"Entry Fee; ","")&amp;IF(AND(INDEX('Game Records'!$U:$U,$H500)&lt;&gt;"Subscription",INDEX('Game Records'!$U:$U,$H500)&lt;&gt;"Free Game",INDEX('Game Records'!$U:$U,$H500)&lt;&gt;"Disqualified — Free Game",INDEX('Game Records'!$I:$I,$H500)=""),"Eligible Players; ","")&amp;IF(AND(INDEX('Game Records'!$U:$U,$H500)&lt;&gt;"Subscription",INDEX('Game Records'!$U:$U,$H500)&lt;&gt;"Free Game",INDEX('Game Records'!$U:$U,$H500)&lt;&gt;"Disqualified — Free Game",INDEX('Game Records'!$J:$J,$H500)=""),"Total Players; ","")&amp;IF(AND(LOWER(INDEX('Game Records'!$D:$D,$H500)&amp;"")="finalized",LOWER(INDEX('Game Records'!$L:$L,$H500)&amp;"")&lt;&gt;"yes",INDEX('Game Records'!$U:$U,$H500)&lt;&gt;"Subscription",INDEX('Game Records'!$U:$U,$H500)&lt;&gt;"Free Game",INDEX('Game Records'!$U:$U,$H500)&lt;&gt;"Disqualified — Free Game",INDEX('Game Records'!$K:$K,$H500)=""),"Final Earned; ","")&amp;IF(AND(LOWER(INDEX('Game Records'!$D:$D,$H500)&amp;"")="finalized",INDEX('Game Records'!$U:$U,$H500)&lt;&gt;"Subscription",INDEX('Game Records'!$U:$U,$H500)&lt;&gt;"Free Game",INDEX('Game Records'!$U:$U,$H500)&lt;&gt;"Disqualified — Free Game",OR(INDEX('Game Records'!$L:$L,$H500)="",LOWER(INDEX('Game Records'!$L:$L,$H500)&amp;"")="n/a")),"Disqualified Status; ","")&amp;IF(AND(OR(LOWER(TRIM(INDEX('Game Records'!$F:$F,$H500)&amp;""))="free game",INDEX('Game Records'!$U:$U,$H500)="Free Game",INDEX('Game Records'!$U:$U,$H500)="Disqualified — Free Game"),N(INDEX('Game Records'!$H:$H,$H500))&lt;&gt;0),"Free Game has a non-zero Entry Fee. Free Game records require a $0 Entry Fee; ",""))</f>
        <v/>
      </c>
      <c r="G500" s="331" t="str">
        <f>IF($H500="","",IFERROR(INDEX('Game Records'!$M:$M,$H500),""))</f>
        <v/>
      </c>
      <c r="H500" s="104" t="str">
        <f>IF($H499="","",IFERROR(MATCH(1,INDEX((ROW('Game Records'!$U$5:$U$504)&gt;$H499)*(('Game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1" ht="24" customHeight="1">
      <c r="A501" s="332" t="str">
        <f>IF($H501="","",ROWS($A$5:A501))</f>
        <v/>
      </c>
      <c r="B501" s="332" t="str">
        <f>IF($H501="","","G-"&amp;TEXT($A501,"0000"))</f>
        <v/>
      </c>
      <c r="C501" s="331" t="str">
        <f>IF($H501="","",IFERROR(INDEX('Game Records'!$A:$A,$H501),""))</f>
        <v/>
      </c>
      <c r="D501" s="331" t="str">
        <f>IF($H501="","",IFERROR(INDEX('Game Records'!$U:$U,$H501),""))</f>
        <v/>
      </c>
      <c r="E501" s="331" t="str">
        <f>IF($H501="","",IF($F501="","No Highlighted Fields","Highlighted Fields Present"))</f>
        <v/>
      </c>
      <c r="F501" s="331" t="str">
        <f>IF($H501="","",IF(OR(NOT(ISFORMULA(INDEX('Game Records'!$N:$N,$H501))),NOT(ISFORMULA(INDEX('Game Records'!$O:$O,$H501))),NOT(ISFORMULA(INDEX('Game Records'!$P:$P,$H501))),NOT(ISFORMULA(INDEX('Game Records'!$Q:$Q,$H501))),NOT(ISFORMULA(INDEX('Game Records'!$R:$R,$H501))),NOT(ISFORMULA(INDEX('Game Records'!$S:$S,$H501))),NOT(ISFORMULA(INDEX('Game Records'!$T:$T,$H501))),NOT(ISFORMULA(INDEX('Game Records'!$U:$U,$H501))),NOT(ISFORMULA(INDEX('Game Records'!$V:$V,$H501))),NOT(ISFORMULA(INDEX('Game Records'!$W:$W,$H501))),NOT(ISFORMULA(INDEX('Game Records'!$X:$X,$H501))),NOT(ISFORMULA(INDEX('Game Records'!$Y:$Y,$H501))),NOT(ISFORMULA(INDEX('Game Records'!$Z:$Z,$H501)))),"Formula columns missing; ","")&amp;IF(INDEX('Game Records'!$B:$B,$H501)="","Start Date; ","")&amp;IF(INDEX('Game Records'!$C:$C,$H501)="","End Date; ","")&amp;IF(AND(INDEX('Game Records'!$U:$U,$H501)&lt;&gt;"Subscription",INDEX('Game Records'!$U:$U,$H501)&lt;&gt;"Free Game",INDEX('Game Records'!$U:$U,$H501)&lt;&gt;"Disqualified — Free Game",OR(INDEX('Game Records'!$D:$D,$H501)="",LOWER(INDEX('Game Records'!$D:$D,$H501)&amp;"")="n/a")),"Entry Mode; ","")&amp;IF(AND(INDEX('Game Records'!$U:$U,$H501)&lt;&gt;"Subscription",INDEX('Game Records'!$U:$U,$H501)&lt;&gt;"Free Game",INDEX('Game Records'!$U:$U,$H501)&lt;&gt;"Disqualified — Free Game",OR(INDEX('Game Records'!$E:$E,$H501)="",LOWER(INDEX('Game Records'!$E:$E,$H501)&amp;"")="n/a")),"Game Type; ","")&amp;IF(INDEX('Game Records'!$F:$F,$H501)="","Payment Type; ","")&amp;IF(AND(INDEX('Game Records'!$U:$U,$H501)&lt;&gt;"Subscription",INDEX('Game Records'!$U:$U,$H501)&lt;&gt;"Free Game",INDEX('Game Records'!$U:$U,$H501)&lt;&gt;"Disqualified — Free Game",INDEX('Game Records'!$G:$G,$H501)=""),"Gross Pot; ","")&amp;IF(AND(INDEX('Game Records'!$U:$U,$H501)&lt;&gt;"Free Game",INDEX('Game Records'!$U:$U,$H501)&lt;&gt;"Disqualified — Free Game",INDEX('Game Records'!$H:$H,$H501)=""),"Entry Fee; ","")&amp;IF(AND(INDEX('Game Records'!$U:$U,$H501)&lt;&gt;"Subscription",INDEX('Game Records'!$U:$U,$H501)&lt;&gt;"Free Game",INDEX('Game Records'!$U:$U,$H501)&lt;&gt;"Disqualified — Free Game",INDEX('Game Records'!$I:$I,$H501)=""),"Eligible Players; ","")&amp;IF(AND(INDEX('Game Records'!$U:$U,$H501)&lt;&gt;"Subscription",INDEX('Game Records'!$U:$U,$H501)&lt;&gt;"Free Game",INDEX('Game Records'!$U:$U,$H501)&lt;&gt;"Disqualified — Free Game",INDEX('Game Records'!$J:$J,$H501)=""),"Total Players; ","")&amp;IF(AND(LOWER(INDEX('Game Records'!$D:$D,$H501)&amp;"")="finalized",LOWER(INDEX('Game Records'!$L:$L,$H501)&amp;"")&lt;&gt;"yes",INDEX('Game Records'!$U:$U,$H501)&lt;&gt;"Subscription",INDEX('Game Records'!$U:$U,$H501)&lt;&gt;"Free Game",INDEX('Game Records'!$U:$U,$H501)&lt;&gt;"Disqualified — Free Game",INDEX('Game Records'!$K:$K,$H501)=""),"Final Earned; ","")&amp;IF(AND(LOWER(INDEX('Game Records'!$D:$D,$H501)&amp;"")="finalized",INDEX('Game Records'!$U:$U,$H501)&lt;&gt;"Subscription",INDEX('Game Records'!$U:$U,$H501)&lt;&gt;"Free Game",INDEX('Game Records'!$U:$U,$H501)&lt;&gt;"Disqualified — Free Game",OR(INDEX('Game Records'!$L:$L,$H501)="",LOWER(INDEX('Game Records'!$L:$L,$H501)&amp;"")="n/a")),"Disqualified Status; ","")&amp;IF(AND(OR(LOWER(TRIM(INDEX('Game Records'!$F:$F,$H501)&amp;""))="free game",INDEX('Game Records'!$U:$U,$H501)="Free Game",INDEX('Game Records'!$U:$U,$H501)="Disqualified — Free Game"),N(INDEX('Game Records'!$H:$H,$H501))&lt;&gt;0),"Free Game has a non-zero Entry Fee. Free Game records require a $0 Entry Fee; ",""))</f>
        <v/>
      </c>
      <c r="G501" s="331" t="str">
        <f>IF($H501="","",IFERROR(INDEX('Game Records'!$M:$M,$H501),""))</f>
        <v/>
      </c>
      <c r="H501" s="104" t="str">
        <f>IF($H500="","",IFERROR(MATCH(1,INDEX((ROW('Game Records'!$U$5:$U$504)&gt;$H500)*(('Game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2" ht="24" customHeight="1">
      <c r="A502" s="332" t="str">
        <f>IF($H502="","",ROWS($A$5:A502))</f>
        <v/>
      </c>
      <c r="B502" s="332" t="str">
        <f>IF($H502="","","G-"&amp;TEXT($A502,"0000"))</f>
        <v/>
      </c>
      <c r="C502" s="331" t="str">
        <f>IF($H502="","",IFERROR(INDEX('Game Records'!$A:$A,$H502),""))</f>
        <v/>
      </c>
      <c r="D502" s="331" t="str">
        <f>IF($H502="","",IFERROR(INDEX('Game Records'!$U:$U,$H502),""))</f>
        <v/>
      </c>
      <c r="E502" s="331" t="str">
        <f>IF($H502="","",IF($F502="","No Highlighted Fields","Highlighted Fields Present"))</f>
        <v/>
      </c>
      <c r="F502" s="331" t="str">
        <f>IF($H502="","",IF(OR(NOT(ISFORMULA(INDEX('Game Records'!$N:$N,$H502))),NOT(ISFORMULA(INDEX('Game Records'!$O:$O,$H502))),NOT(ISFORMULA(INDEX('Game Records'!$P:$P,$H502))),NOT(ISFORMULA(INDEX('Game Records'!$Q:$Q,$H502))),NOT(ISFORMULA(INDEX('Game Records'!$R:$R,$H502))),NOT(ISFORMULA(INDEX('Game Records'!$S:$S,$H502))),NOT(ISFORMULA(INDEX('Game Records'!$T:$T,$H502))),NOT(ISFORMULA(INDEX('Game Records'!$U:$U,$H502))),NOT(ISFORMULA(INDEX('Game Records'!$V:$V,$H502))),NOT(ISFORMULA(INDEX('Game Records'!$W:$W,$H502))),NOT(ISFORMULA(INDEX('Game Records'!$X:$X,$H502))),NOT(ISFORMULA(INDEX('Game Records'!$Y:$Y,$H502))),NOT(ISFORMULA(INDEX('Game Records'!$Z:$Z,$H502)))),"Formula columns missing; ","")&amp;IF(INDEX('Game Records'!$B:$B,$H502)="","Start Date; ","")&amp;IF(INDEX('Game Records'!$C:$C,$H502)="","End Date; ","")&amp;IF(AND(INDEX('Game Records'!$U:$U,$H502)&lt;&gt;"Subscription",INDEX('Game Records'!$U:$U,$H502)&lt;&gt;"Free Game",INDEX('Game Records'!$U:$U,$H502)&lt;&gt;"Disqualified — Free Game",OR(INDEX('Game Records'!$D:$D,$H502)="",LOWER(INDEX('Game Records'!$D:$D,$H502)&amp;"")="n/a")),"Entry Mode; ","")&amp;IF(AND(INDEX('Game Records'!$U:$U,$H502)&lt;&gt;"Subscription",INDEX('Game Records'!$U:$U,$H502)&lt;&gt;"Free Game",INDEX('Game Records'!$U:$U,$H502)&lt;&gt;"Disqualified — Free Game",OR(INDEX('Game Records'!$E:$E,$H502)="",LOWER(INDEX('Game Records'!$E:$E,$H502)&amp;"")="n/a")),"Game Type; ","")&amp;IF(INDEX('Game Records'!$F:$F,$H502)="","Payment Type; ","")&amp;IF(AND(INDEX('Game Records'!$U:$U,$H502)&lt;&gt;"Subscription",INDEX('Game Records'!$U:$U,$H502)&lt;&gt;"Free Game",INDEX('Game Records'!$U:$U,$H502)&lt;&gt;"Disqualified — Free Game",INDEX('Game Records'!$G:$G,$H502)=""),"Gross Pot; ","")&amp;IF(AND(INDEX('Game Records'!$U:$U,$H502)&lt;&gt;"Free Game",INDEX('Game Records'!$U:$U,$H502)&lt;&gt;"Disqualified — Free Game",INDEX('Game Records'!$H:$H,$H502)=""),"Entry Fee; ","")&amp;IF(AND(INDEX('Game Records'!$U:$U,$H502)&lt;&gt;"Subscription",INDEX('Game Records'!$U:$U,$H502)&lt;&gt;"Free Game",INDEX('Game Records'!$U:$U,$H502)&lt;&gt;"Disqualified — Free Game",INDEX('Game Records'!$I:$I,$H502)=""),"Eligible Players; ","")&amp;IF(AND(INDEX('Game Records'!$U:$U,$H502)&lt;&gt;"Subscription",INDEX('Game Records'!$U:$U,$H502)&lt;&gt;"Free Game",INDEX('Game Records'!$U:$U,$H502)&lt;&gt;"Disqualified — Free Game",INDEX('Game Records'!$J:$J,$H502)=""),"Total Players; ","")&amp;IF(AND(LOWER(INDEX('Game Records'!$D:$D,$H502)&amp;"")="finalized",LOWER(INDEX('Game Records'!$L:$L,$H502)&amp;"")&lt;&gt;"yes",INDEX('Game Records'!$U:$U,$H502)&lt;&gt;"Subscription",INDEX('Game Records'!$U:$U,$H502)&lt;&gt;"Free Game",INDEX('Game Records'!$U:$U,$H502)&lt;&gt;"Disqualified — Free Game",INDEX('Game Records'!$K:$K,$H502)=""),"Final Earned; ","")&amp;IF(AND(LOWER(INDEX('Game Records'!$D:$D,$H502)&amp;"")="finalized",INDEX('Game Records'!$U:$U,$H502)&lt;&gt;"Subscription",INDEX('Game Records'!$U:$U,$H502)&lt;&gt;"Free Game",INDEX('Game Records'!$U:$U,$H502)&lt;&gt;"Disqualified — Free Game",OR(INDEX('Game Records'!$L:$L,$H502)="",LOWER(INDEX('Game Records'!$L:$L,$H502)&amp;"")="n/a")),"Disqualified Status; ","")&amp;IF(AND(OR(LOWER(TRIM(INDEX('Game Records'!$F:$F,$H502)&amp;""))="free game",INDEX('Game Records'!$U:$U,$H502)="Free Game",INDEX('Game Records'!$U:$U,$H502)="Disqualified — Free Game"),N(INDEX('Game Records'!$H:$H,$H502))&lt;&gt;0),"Free Game has a non-zero Entry Fee. Free Game records require a $0 Entry Fee; ",""))</f>
        <v/>
      </c>
      <c r="G502" s="331" t="str">
        <f>IF($H502="","",IFERROR(INDEX('Game Records'!$M:$M,$H502),""))</f>
        <v/>
      </c>
      <c r="H502" s="104" t="str">
        <f>IF($H501="","",IFERROR(MATCH(1,INDEX((ROW('Game Records'!$U$5:$U$504)&gt;$H501)*(('Game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3" ht="24" customHeight="1">
      <c r="A503" s="332" t="str">
        <f>IF($H503="","",ROWS($A$5:A503))</f>
        <v/>
      </c>
      <c r="B503" s="332" t="str">
        <f>IF($H503="","","G-"&amp;TEXT($A503,"0000"))</f>
        <v/>
      </c>
      <c r="C503" s="331" t="str">
        <f>IF($H503="","",IFERROR(INDEX('Game Records'!$A:$A,$H503),""))</f>
        <v/>
      </c>
      <c r="D503" s="331" t="str">
        <f>IF($H503="","",IFERROR(INDEX('Game Records'!$U:$U,$H503),""))</f>
        <v/>
      </c>
      <c r="E503" s="331" t="str">
        <f>IF($H503="","",IF($F503="","No Highlighted Fields","Highlighted Fields Present"))</f>
        <v/>
      </c>
      <c r="F503" s="331" t="str">
        <f>IF($H503="","",IF(OR(NOT(ISFORMULA(INDEX('Game Records'!$N:$N,$H503))),NOT(ISFORMULA(INDEX('Game Records'!$O:$O,$H503))),NOT(ISFORMULA(INDEX('Game Records'!$P:$P,$H503))),NOT(ISFORMULA(INDEX('Game Records'!$Q:$Q,$H503))),NOT(ISFORMULA(INDEX('Game Records'!$R:$R,$H503))),NOT(ISFORMULA(INDEX('Game Records'!$S:$S,$H503))),NOT(ISFORMULA(INDEX('Game Records'!$T:$T,$H503))),NOT(ISFORMULA(INDEX('Game Records'!$U:$U,$H503))),NOT(ISFORMULA(INDEX('Game Records'!$V:$V,$H503))),NOT(ISFORMULA(INDEX('Game Records'!$W:$W,$H503))),NOT(ISFORMULA(INDEX('Game Records'!$X:$X,$H503))),NOT(ISFORMULA(INDEX('Game Records'!$Y:$Y,$H503))),NOT(ISFORMULA(INDEX('Game Records'!$Z:$Z,$H503)))),"Formula columns missing; ","")&amp;IF(INDEX('Game Records'!$B:$B,$H503)="","Start Date; ","")&amp;IF(INDEX('Game Records'!$C:$C,$H503)="","End Date; ","")&amp;IF(AND(INDEX('Game Records'!$U:$U,$H503)&lt;&gt;"Subscription",INDEX('Game Records'!$U:$U,$H503)&lt;&gt;"Free Game",INDEX('Game Records'!$U:$U,$H503)&lt;&gt;"Disqualified — Free Game",OR(INDEX('Game Records'!$D:$D,$H503)="",LOWER(INDEX('Game Records'!$D:$D,$H503)&amp;"")="n/a")),"Entry Mode; ","")&amp;IF(AND(INDEX('Game Records'!$U:$U,$H503)&lt;&gt;"Subscription",INDEX('Game Records'!$U:$U,$H503)&lt;&gt;"Free Game",INDEX('Game Records'!$U:$U,$H503)&lt;&gt;"Disqualified — Free Game",OR(INDEX('Game Records'!$E:$E,$H503)="",LOWER(INDEX('Game Records'!$E:$E,$H503)&amp;"")="n/a")),"Game Type; ","")&amp;IF(INDEX('Game Records'!$F:$F,$H503)="","Payment Type; ","")&amp;IF(AND(INDEX('Game Records'!$U:$U,$H503)&lt;&gt;"Subscription",INDEX('Game Records'!$U:$U,$H503)&lt;&gt;"Free Game",INDEX('Game Records'!$U:$U,$H503)&lt;&gt;"Disqualified — Free Game",INDEX('Game Records'!$G:$G,$H503)=""),"Gross Pot; ","")&amp;IF(AND(INDEX('Game Records'!$U:$U,$H503)&lt;&gt;"Free Game",INDEX('Game Records'!$U:$U,$H503)&lt;&gt;"Disqualified — Free Game",INDEX('Game Records'!$H:$H,$H503)=""),"Entry Fee; ","")&amp;IF(AND(INDEX('Game Records'!$U:$U,$H503)&lt;&gt;"Subscription",INDEX('Game Records'!$U:$U,$H503)&lt;&gt;"Free Game",INDEX('Game Records'!$U:$U,$H503)&lt;&gt;"Disqualified — Free Game",INDEX('Game Records'!$I:$I,$H503)=""),"Eligible Players; ","")&amp;IF(AND(INDEX('Game Records'!$U:$U,$H503)&lt;&gt;"Subscription",INDEX('Game Records'!$U:$U,$H503)&lt;&gt;"Free Game",INDEX('Game Records'!$U:$U,$H503)&lt;&gt;"Disqualified — Free Game",INDEX('Game Records'!$J:$J,$H503)=""),"Total Players; ","")&amp;IF(AND(LOWER(INDEX('Game Records'!$D:$D,$H503)&amp;"")="finalized",LOWER(INDEX('Game Records'!$L:$L,$H503)&amp;"")&lt;&gt;"yes",INDEX('Game Records'!$U:$U,$H503)&lt;&gt;"Subscription",INDEX('Game Records'!$U:$U,$H503)&lt;&gt;"Free Game",INDEX('Game Records'!$U:$U,$H503)&lt;&gt;"Disqualified — Free Game",INDEX('Game Records'!$K:$K,$H503)=""),"Final Earned; ","")&amp;IF(AND(LOWER(INDEX('Game Records'!$D:$D,$H503)&amp;"")="finalized",INDEX('Game Records'!$U:$U,$H503)&lt;&gt;"Subscription",INDEX('Game Records'!$U:$U,$H503)&lt;&gt;"Free Game",INDEX('Game Records'!$U:$U,$H503)&lt;&gt;"Disqualified — Free Game",OR(INDEX('Game Records'!$L:$L,$H503)="",LOWER(INDEX('Game Records'!$L:$L,$H503)&amp;"")="n/a")),"Disqualified Status; ","")&amp;IF(AND(OR(LOWER(TRIM(INDEX('Game Records'!$F:$F,$H503)&amp;""))="free game",INDEX('Game Records'!$U:$U,$H503)="Free Game",INDEX('Game Records'!$U:$U,$H503)="Disqualified — Free Game"),N(INDEX('Game Records'!$H:$H,$H503))&lt;&gt;0),"Free Game has a non-zero Entry Fee. Free Game records require a $0 Entry Fee; ",""))</f>
        <v/>
      </c>
      <c r="G503" s="331" t="str">
        <f>IF($H503="","",IFERROR(INDEX('Game Records'!$M:$M,$H503),""))</f>
        <v/>
      </c>
      <c r="H503" s="104" t="str">
        <f>IF($H502="","",IFERROR(MATCH(1,INDEX((ROW('Game Records'!$U$5:$U$504)&gt;$H502)*(('Game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4" ht="24" customHeight="1">
      <c r="A504" s="332" t="str">
        <f>IF($H504="","",ROWS($A$5:A504))</f>
        <v/>
      </c>
      <c r="B504" s="332" t="str">
        <f>IF($H504="","","G-"&amp;TEXT($A504,"0000"))</f>
        <v/>
      </c>
      <c r="C504" s="331" t="str">
        <f>IF($H504="","",IFERROR(INDEX('Game Records'!$A:$A,$H504),""))</f>
        <v/>
      </c>
      <c r="D504" s="331" t="str">
        <f>IF($H504="","",IFERROR(INDEX('Game Records'!$U:$U,$H504),""))</f>
        <v/>
      </c>
      <c r="E504" s="331" t="str">
        <f>IF($H504="","",IF($F504="","No Highlighted Fields","Highlighted Fields Present"))</f>
        <v/>
      </c>
      <c r="F504" s="331" t="str">
        <f>IF($H504="","",IF(OR(NOT(ISFORMULA(INDEX('Game Records'!$N:$N,$H504))),NOT(ISFORMULA(INDEX('Game Records'!$O:$O,$H504))),NOT(ISFORMULA(INDEX('Game Records'!$P:$P,$H504))),NOT(ISFORMULA(INDEX('Game Records'!$Q:$Q,$H504))),NOT(ISFORMULA(INDEX('Game Records'!$R:$R,$H504))),NOT(ISFORMULA(INDEX('Game Records'!$S:$S,$H504))),NOT(ISFORMULA(INDEX('Game Records'!$T:$T,$H504))),NOT(ISFORMULA(INDEX('Game Records'!$U:$U,$H504))),NOT(ISFORMULA(INDEX('Game Records'!$V:$V,$H504))),NOT(ISFORMULA(INDEX('Game Records'!$W:$W,$H504))),NOT(ISFORMULA(INDEX('Game Records'!$X:$X,$H504))),NOT(ISFORMULA(INDEX('Game Records'!$Y:$Y,$H504))),NOT(ISFORMULA(INDEX('Game Records'!$Z:$Z,$H504)))),"Formula columns missing; ","")&amp;IF(INDEX('Game Records'!$B:$B,$H504)="","Start Date; ","")&amp;IF(INDEX('Game Records'!$C:$C,$H504)="","End Date; ","")&amp;IF(AND(INDEX('Game Records'!$U:$U,$H504)&lt;&gt;"Subscription",INDEX('Game Records'!$U:$U,$H504)&lt;&gt;"Free Game",INDEX('Game Records'!$U:$U,$H504)&lt;&gt;"Disqualified — Free Game",OR(INDEX('Game Records'!$D:$D,$H504)="",LOWER(INDEX('Game Records'!$D:$D,$H504)&amp;"")="n/a")),"Entry Mode; ","")&amp;IF(AND(INDEX('Game Records'!$U:$U,$H504)&lt;&gt;"Subscription",INDEX('Game Records'!$U:$U,$H504)&lt;&gt;"Free Game",INDEX('Game Records'!$U:$U,$H504)&lt;&gt;"Disqualified — Free Game",OR(INDEX('Game Records'!$E:$E,$H504)="",LOWER(INDEX('Game Records'!$E:$E,$H504)&amp;"")="n/a")),"Game Type; ","")&amp;IF(INDEX('Game Records'!$F:$F,$H504)="","Payment Type; ","")&amp;IF(AND(INDEX('Game Records'!$U:$U,$H504)&lt;&gt;"Subscription",INDEX('Game Records'!$U:$U,$H504)&lt;&gt;"Free Game",INDEX('Game Records'!$U:$U,$H504)&lt;&gt;"Disqualified — Free Game",INDEX('Game Records'!$G:$G,$H504)=""),"Gross Pot; ","")&amp;IF(AND(INDEX('Game Records'!$U:$U,$H504)&lt;&gt;"Free Game",INDEX('Game Records'!$U:$U,$H504)&lt;&gt;"Disqualified — Free Game",INDEX('Game Records'!$H:$H,$H504)=""),"Entry Fee; ","")&amp;IF(AND(INDEX('Game Records'!$U:$U,$H504)&lt;&gt;"Subscription",INDEX('Game Records'!$U:$U,$H504)&lt;&gt;"Free Game",INDEX('Game Records'!$U:$U,$H504)&lt;&gt;"Disqualified — Free Game",INDEX('Game Records'!$I:$I,$H504)=""),"Eligible Players; ","")&amp;IF(AND(INDEX('Game Records'!$U:$U,$H504)&lt;&gt;"Subscription",INDEX('Game Records'!$U:$U,$H504)&lt;&gt;"Free Game",INDEX('Game Records'!$U:$U,$H504)&lt;&gt;"Disqualified — Free Game",INDEX('Game Records'!$J:$J,$H504)=""),"Total Players; ","")&amp;IF(AND(LOWER(INDEX('Game Records'!$D:$D,$H504)&amp;"")="finalized",LOWER(INDEX('Game Records'!$L:$L,$H504)&amp;"")&lt;&gt;"yes",INDEX('Game Records'!$U:$U,$H504)&lt;&gt;"Subscription",INDEX('Game Records'!$U:$U,$H504)&lt;&gt;"Free Game",INDEX('Game Records'!$U:$U,$H504)&lt;&gt;"Disqualified — Free Game",INDEX('Game Records'!$K:$K,$H504)=""),"Final Earned; ","")&amp;IF(AND(LOWER(INDEX('Game Records'!$D:$D,$H504)&amp;"")="finalized",INDEX('Game Records'!$U:$U,$H504)&lt;&gt;"Subscription",INDEX('Game Records'!$U:$U,$H504)&lt;&gt;"Free Game",INDEX('Game Records'!$U:$U,$H504)&lt;&gt;"Disqualified — Free Game",OR(INDEX('Game Records'!$L:$L,$H504)="",LOWER(INDEX('Game Records'!$L:$L,$H504)&amp;"")="n/a")),"Disqualified Status; ","")&amp;IF(AND(OR(LOWER(TRIM(INDEX('Game Records'!$F:$F,$H504)&amp;""))="free game",INDEX('Game Records'!$U:$U,$H504)="Free Game",INDEX('Game Records'!$U:$U,$H504)="Disqualified — Free Game"),N(INDEX('Game Records'!$H:$H,$H504))&lt;&gt;0),"Free Game has a non-zero Entry Fee. Free Game records require a $0 Entry Fee; ",""))</f>
        <v/>
      </c>
      <c r="G504" s="331" t="str">
        <f>IF($H504="","",IFERROR(INDEX('Game Records'!$M:$M,$H504),""))</f>
        <v/>
      </c>
      <c r="H504" s="104" t="str">
        <f>IF($H503="","",IFERROR(MATCH(1,INDEX((ROW('Game Records'!$U$5:$U$504)&gt;$H503)*(('Game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sheetData>
  <mergeCells>
    <mergeCell ref="A1:G1"/>
    <mergeCell ref="A2:G2"/>
  </mergeCells>
  <conditionalFormatting sqref="D5:D500">
    <cfRule type="expression" dxfId="16" priority="1">
      <formula>$D5="Highlighted Fields Present"</formula>
    </cfRule>
    <cfRule type="expression" dxfId="17" priority="2">
      <formula>$D5="No Highlighted Fields"</formula>
    </cfRule>
  </conditionalFormatting>
  <conditionalFormatting sqref="A5:G504">
    <cfRule type="expression" dxfId="20" priority="3">
      <formula>AND($A5&lt;&gt;"",MOD($A5,2)=1)</formula>
    </cfRule>
    <cfRule type="expression" dxfId="21" priority="4">
      <formula>AND($A5&lt;&gt;"",MOD($A5,2)=0)</formula>
    </cfRule>
  </conditionalFormatting>
  <pageMargins left="0.7" right="0.7" top="0.75" bottom="0.75" header="0.3" footer="0.3"/>
</worksheet>
</file>

<file path=xl/worksheets/sheet4.xml><?xml version="1.0" encoding="utf-8"?>
<ns0:worksheet xmlns:ns0="http://schemas.openxmlformats.org/spreadsheetml/2006/main" xmlns:r="http://schemas.openxmlformats.org/officeDocument/2006/relationships">
  <ns0:sheetFormatPr defaultRowHeight="15"/>
  <ns0:cols>
    <ns0:col min="1" max="1" width="27" hidden="0" customWidth="1"/>
    <ns0:col min="2" max="2" width="13" hidden="0" customWidth="1"/>
    <ns0:col min="3" max="3" width="24" hidden="0" customWidth="1"/>
    <ns0:col min="4" max="4" width="27" hidden="0" customWidth="1"/>
    <ns0:col min="5" max="5" width="15" hidden="0" customWidth="1"/>
    <ns0:col min="6" max="6" width="42" hidden="0" customWidth="1"/>
  </ns0:cols>
  <ns0:sheetData>
    <ns0:row r="1" ht="30" hidden="0" customHeight="1">
      <ns0:c r="A1" s="200" t="str">
        <ns0:v>StepCat Live Summary Dashboard — v252</ns0:v>
      </ns0:c>
      <ns0:c r="B1" s="200"/>
      <ns0:c r="C1" s="200"/>
      <ns0:c r="D1" s="200"/>
      <ns0:c r="E1" s="200"/>
      <ns0:c r="F1" s="200"/>
    </ns0:row>
    <ns0:row r="2" ht="15" hidden="0" customHeight="1">
      <ns0:c r="A2" s="104"/>
      <ns0:c r="B2" s="104"/>
      <ns0:c r="C2" s="104"/>
      <ns0:c r="D2" s="104"/>
      <ns0:c r="E2" s="104"/>
      <ns0:c r="F2" s="104"/>
    </ns0:row>
    <ns0:row r="3" ht="15" hidden="0" customHeight="1">
      <ns0:c r="A3" s="310" t="str">
        <ns0:v>Game Result</ns0:v>
      </ns0:c>
      <ns0:c r="B3" s="310" t="str">
        <ns0:v>Game Count</ns0:v>
      </ns0:c>
      <ns0:c r="C3" s="310" t="str">
        <ns0:v>Share of Paid Games</ns0:v>
      </ns0:c>
      <ns0:c r="D3" s="310" t="str">
        <ns0:v>Cash / Credit Total</ns0:v>
      </ns0:c>
      <ns0:c r="E3" s="310" t="str">
        <ns0:v>Amount</ns0:v>
      </ns0:c>
      <ns0:c r="F3" s="310" t="str">
        <ns0:v>What It Represents</ns0:v>
      </ns0:c>
    </ns0:row>
    <ns0:row r="4" ht="15" hidden="0" customHeight="1">
      <ns0:c r="A4" s="126" t="str">
        <ns0:v>Profit Games</ns0:v>
      </ns0:c>
      <ns0:c r="B4" s="126" t="n">
        <ns0:f>COUNTIF('Game Records'!$U$5:$U$504,"Profit")</ns0:f>
        <ns0:v>0</ns0:v>
      </ns0:c>
      <ns0:c r="C4" s="128" t="n">
        <ns0:f>IF($B$7=0,0,B4/$B$7)</ns0:f>
        <ns0:v>0</ns0:v>
      </ns0:c>
      <ns0:c r="D4" s="126" t="str">
        <ns0:v>Running Net Game Profit</ns0:v>
      </ns0:c>
      <ns0:c r="E4" s="130" t="n">
        <ns0:f>Instructions!$B$29+SUM('Game Records'!$W$5:$W$504)</ns0:f>
        <ns0:v>0</ns0:v>
      </ns0:c>
      <ns0:c r="F4" s="126" t="str">
        <ns0:v>Gross profit minus lost entry fees</ns0:v>
      </ns0:c>
    </ns0:row>
    <ns0:row r="5" ht="26.399999618530273" hidden="0" customHeight="1">
      <ns0:c r="A5" s="126" t="str">
        <ns0:v>Draw Games</ns0:v>
      </ns0:c>
      <ns0:c r="B5" s="126" t="n">
        <ns0:f>COUNTIF('Game Records'!$U$5:$U$504,"Draw")</ns0:f>
        <ns0:v>0</ns0:v>
      </ns0:c>
      <ns0:c r="C5" s="128" t="n">
        <ns0:f>IF($B$7=0,0,B5/$B$7)</ns0:f>
        <ns0:v>0</ns0:v>
      </ns0:c>
      <ns0:c r="D5" s="126" t="str">
        <ns0:v>Gross Profit Earned</ns0:v>
      </ns0:c>
      <ns0:c r="E5" s="130" t="n">
        <ns0:f>SUM('Game Records'!$Q$5:$Q$504)</ns0:f>
        <ns0:v>0</ns0:v>
      </ns0:c>
      <ns0:c r="F5" s="126" t="str">
        <ns0:v>Positive paid-game cash profit only, before lost fees or membership costs</ns0:v>
      </ns0:c>
    </ns0:row>
    <ns0:row r="6" ht="15" hidden="0" customHeight="1">
      <ns0:c r="A6" s="126" t="str">
        <ns0:v>Disqualified Games</ns0:v>
      </ns0:c>
      <ns0:c r="B6" s="126" t="n">
        <ns0:f>COUNTIF('Game Records'!$U$5:$U$504,"Disqualified")</ns0:f>
        <ns0:v>0</ns0:v>
      </ns0:c>
      <ns0:c r="C6" s="128" t="n">
        <ns0:f>IF($B$7=0,0,B6/$B$7)</ns0:f>
        <ns0:v>0</ns0:v>
      </ns0:c>
      <ns0:c r="D6" s="126" t="str">
        <ns0:v>Total Lost Entry Fees</ns0:v>
      </ns0:c>
      <ns0:c r="E6" s="130" t="n">
        <ns0:f>SUM('Game Records'!$S$5:$S$504)</ns0:f>
        <ns0:v>0</ns0:v>
      </ns0:c>
      <ns0:c r="F6" s="126" t="str">
        <ns0:v>Full entry fees lost from disqualification</ns0:v>
      </ns0:c>
    </ns0:row>
    <ns0:row r="7" ht="26.399999618530273" hidden="0" customHeight="1">
      <ns0:c r="A7" s="126" t="str">
        <ns0:v>Current Workbook Paid Games</ns0:v>
      </ns0:c>
      <ns0:c r="B7" s="126" t="n">
        <ns0:f>SUM(B4:B6)</ns0:f>
        <ns0:v>0</ns0:v>
      </ns0:c>
      <ns0:c r="C7" s="128" t="n">
        <ns0:f>IF(B7=0,0,1)</ns0:f>
        <ns0:v>0</ns0:v>
      </ns0:c>
      <ns0:c r="D7" s="126" t="str">
        <ns0:v>Membership Fees</ns0:v>
      </ns0:c>
      <ns0:c r="E7" s="130" t="n">
        <ns0:f>Instructions!$B$30+SUMIFS('Game Records'!$H$5:$H$504,'Game Records'!$U$5:$U$504,"Subscription")</ns0:f>
        <ns0:v>0</ns0:v>
      </ns0:c>
      <ns0:c r="F7" s="126" t="str">
        <ns0:v>Annual membership cost, tracked as a separate non-game expense</ns0:v>
      </ns0:c>
    </ns0:row>
    <ns0:row r="8" ht="26.399999618530273" hidden="0" customHeight="1">
      <ns0:c r="A8" s="126" t="str">
        <ns0:v>Prior Completed Games (reference)</ns0:v>
      </ns0:c>
      <ns0:c r="B8" s="132" t="n">
        <ns0:f>Instructions!$B$31</ns0:f>
        <ns0:v>0</ns0:v>
      </ns0:c>
      <ns0:c r="C8" s="126"/>
      <ns0:c r="D8" s="126" t="str">
        <ns0:v>Actual Running Net Profit</ns0:v>
      </ns0:c>
      <ns0:c r="E8" s="130" t="n">
        <ns0:f>E4-E7</ns0:f>
        <ns0:v>0</ns0:v>
      </ns0:c>
      <ns0:c r="F8" s="126" t="str">
        <ns0:v>Running cash net game profit minus current and carried-over membership costs</ns0:v>
      </ns0:c>
    </ns0:row>
    <ns0:row r="9" ht="26.399999618530273" hidden="0" customHeight="1">
      <ns0:c r="A9" s="126" t="str">
        <ns0:v>Completed Free Games (separate credit)</ns0:v>
      </ns0:c>
      <ns0:c r="B9" s="914" t="n">
        <ns0:f>COUNTIFS('Game Records'!$D$5:$D$504,"Finalized",'Game Records'!$U$5:$U$504,"Free Game")+COUNTIFS('Game Records'!$D$5:$D$504,"Finalized",'Game Records'!$U$5:$U$504,"Disqualified — Free Game")</ns0:f>
        <ns0:v>0</ns0:v>
      </ns0:c>
      <ns0:c r="C9" s="913" t="str">
        <ns0:v>Separate</ns0:v>
      </ns0:c>
      <ns0:c r="D9" s="126" t="str">
        <ns0:v>Free Game Chips Earned</ns0:v>
      </ns0:c>
      <ns0:c r="E9" s="983" t="n">
        <ns0:f>SUMIFS('Game Records'!$K$5:$K$504,'Game Records'!$D$5:$D$504,"Finalized",'Game Records'!$U$5:$U$504,"Free Game",'Game Records'!$K$5:$K$504,"&lt;&gt;",'Game Records'!$K$5:$K$504,"&gt;=0")</ns0:f>
        <ns0:v>0</ns0:v>
      </ns0:c>
      <ns0:c r="F9" s="126" t="str">
        <ns0:v>Non-cash chips/game credit earned from Free Games; excluded from every cash profit total</ns0:v>
      </ns0:c>
    </ns0:row>
    <ns0:row r="10" ht="15" hidden="0" customHeight="1">
      <ns0:c r="A10" s="104"/>
      <ns0:c r="B10" s="104"/>
      <ns0:c r="C10" s="104"/>
      <ns0:c r="D10" s="104"/>
      <ns0:c r="E10" s="104"/>
      <ns0:c r="F10" s="104"/>
    </ns0:row>
    <ns0:row r="11" ht="15" hidden="0" customHeight="1">
      <ns0:c r="A11" s="104"/>
      <ns0:c r="B11" s="104"/>
      <ns0:c r="C11" s="104"/>
      <ns0:c r="D11" s="104"/>
      <ns0:c r="E11" s="104"/>
      <ns0:c r="F11" s="104"/>
    </ns0:row>
    <ns0:row r="12" ht="15" hidden="0" customHeight="1">
      <ns0:c r="A12" s="104"/>
      <ns0:c r="B12" s="104"/>
      <ns0:c r="C12" s="104"/>
      <ns0:c r="D12" s="104"/>
      <ns0:c r="E12" s="104"/>
      <ns0:c r="F12" s="104"/>
    </ns0:row>
    <ns0:row r="13" ht="15" hidden="0" customHeight="1">
      <ns0:c r="A13" s="104"/>
      <ns0:c r="B13" s="104"/>
      <ns0:c r="C13" s="104"/>
      <ns0:c r="D13" s="104"/>
      <ns0:c r="E13" s="104"/>
      <ns0:c r="F13" s="104"/>
    </ns0:row>
    <ns0:row r="14" ht="15" hidden="0" customHeight="1">
      <ns0:c r="A14" s="104"/>
      <ns0:c r="B14" s="104"/>
      <ns0:c r="C14" s="104"/>
      <ns0:c r="D14" s="104"/>
      <ns0:c r="E14" s="104"/>
      <ns0:c r="F14" s="104"/>
    </ns0:row>
    <ns0:row r="15" ht="15" hidden="0" customHeight="1">
      <ns0:c r="A15" s="104"/>
      <ns0:c r="B15" s="104"/>
      <ns0:c r="C15" s="104"/>
      <ns0:c r="D15" s="104"/>
      <ns0:c r="E15" s="104"/>
      <ns0:c r="F15" s="104"/>
    </ns0:row>
    <ns0:row r="16" ht="15" hidden="0" customHeight="1">
      <ns0:c r="A16" s="104"/>
      <ns0:c r="B16" s="104"/>
      <ns0:c r="C16" s="104"/>
      <ns0:c r="D16" s="104"/>
      <ns0:c r="E16" s="104"/>
      <ns0:c r="F16" s="104"/>
    </ns0:row>
    <ns0:row r="17" ht="15" hidden="0" customHeight="1">
      <ns0:c r="A17" s="104"/>
      <ns0:c r="B17" s="104"/>
      <ns0:c r="C17" s="104"/>
      <ns0:c r="D17" s="104"/>
      <ns0:c r="E17" s="104"/>
      <ns0:c r="F17" s="104"/>
    </ns0:row>
    <ns0:row r="18" ht="15" hidden="0" customHeight="1">
      <ns0:c r="A18" s="104"/>
      <ns0:c r="B18" s="104"/>
      <ns0:c r="C18" s="104"/>
      <ns0:c r="D18" s="104"/>
      <ns0:c r="E18" s="104"/>
      <ns0:c r="F18" s="104"/>
    </ns0:row>
    <ns0:row r="19" ht="15" hidden="0" customHeight="1">
      <ns0:c r="A19" s="104"/>
      <ns0:c r="B19" s="104"/>
      <ns0:c r="C19" s="104"/>
      <ns0:c r="D19" s="104"/>
      <ns0:c r="E19" s="104"/>
      <ns0:c r="F19" s="104"/>
    </ns0:row>
    <ns0:row r="20" ht="15" hidden="0" customHeight="1">
      <ns0:c r="A20" s="104"/>
      <ns0:c r="B20" s="104"/>
      <ns0:c r="C20" s="104"/>
      <ns0:c r="D20" s="104"/>
      <ns0:c r="E20" s="104"/>
      <ns0:c r="F20" s="104"/>
    </ns0:row>
    <ns0:row r="21" ht="15" hidden="0" customHeight="1">
      <ns0:c r="A21" s="104"/>
      <ns0:c r="B21" s="104"/>
      <ns0:c r="C21" s="104"/>
      <ns0:c r="D21" s="104"/>
      <ns0:c r="E21" s="104"/>
      <ns0:c r="F21" s="104"/>
    </ns0:row>
    <ns0:row r="22" ht="15" hidden="0" customHeight="1">
      <ns0:c r="A22" s="104"/>
      <ns0:c r="B22" s="104"/>
      <ns0:c r="C22" s="104"/>
      <ns0:c r="D22" s="104"/>
      <ns0:c r="E22" s="104"/>
      <ns0:c r="F22" s="104"/>
    </ns0:row>
    <ns0:row r="23" ht="15" hidden="0" customHeight="1">
      <ns0:c r="A23" s="104"/>
      <ns0:c r="B23" s="104"/>
      <ns0:c r="C23" s="104"/>
      <ns0:c r="D23" s="104"/>
      <ns0:c r="E23" s="104"/>
      <ns0:c r="F23" s="104"/>
    </ns0:row>
    <ns0:row r="24" ht="15" hidden="0" customHeight="1">
      <ns0:c r="A24" s="104"/>
      <ns0:c r="B24" s="104"/>
      <ns0:c r="C24" s="104"/>
      <ns0:c r="D24" s="104"/>
      <ns0:c r="E24" s="104"/>
      <ns0:c r="F24" s="104"/>
    </ns0:row>
    <ns0:row r="25" ht="15" hidden="0" customHeight="1">
      <ns0:c r="A25" s="104"/>
      <ns0:c r="B25" s="104"/>
      <ns0:c r="C25" s="104"/>
      <ns0:c r="D25" s="104"/>
      <ns0:c r="E25" s="104"/>
      <ns0:c r="F25" s="104"/>
    </ns0:row>
    <ns0:row r="26" ht="15" hidden="0" customHeight="1">
      <ns0:c r="A26" s="104"/>
      <ns0:c r="B26" s="104"/>
      <ns0:c r="C26" s="104"/>
      <ns0:c r="D26" s="104"/>
      <ns0:c r="E26" s="104"/>
      <ns0:c r="F26" s="104"/>
    </ns0:row>
    <ns0:row r="27" ht="15" hidden="0" customHeight="1">
      <ns0:c r="A27" s="104"/>
      <ns0:c r="B27" s="104"/>
      <ns0:c r="C27" s="104"/>
      <ns0:c r="D27" s="104"/>
      <ns0:c r="E27" s="104"/>
      <ns0:c r="F27" s="104"/>
    </ns0:row>
    <ns0:row r="28" ht="15" hidden="0" customHeight="1">
      <ns0:c r="A28" s="104"/>
      <ns0:c r="B28" s="104"/>
      <ns0:c r="C28" s="104"/>
      <ns0:c r="D28" s="104"/>
      <ns0:c r="E28" s="104"/>
      <ns0:c r="F28" s="104"/>
    </ns0:row>
    <ns0:row r="29" ht="15" hidden="0" customHeight="1">
      <ns0:c r="A29" s="104"/>
      <ns0:c r="B29" s="104"/>
      <ns0:c r="C29" s="104"/>
      <ns0:c r="D29" s="104"/>
      <ns0:c r="E29" s="104"/>
      <ns0:c r="F29" s="104"/>
    </ns0:row>
    <ns0:row r="30" ht="15" hidden="0" customHeight="1">
      <ns0:c r="A30" s="104"/>
      <ns0:c r="B30" s="104"/>
      <ns0:c r="C30" s="104"/>
      <ns0:c r="D30" s="104"/>
      <ns0:c r="E30" s="104"/>
      <ns0:c r="F30" s="104"/>
    </ns0:row>
    <ns0:row r="31" ht="15" hidden="0" customHeight="1">
      <ns0:c r="A31" s="310" t="str">
        <ns0:v>Running Tally</ns0:v>
      </ns0:c>
      <ns0:c r="B31" s="310" t="str">
        <ns0:v>Exact Count</ns0:v>
      </ns0:c>
      <ns0:c r="C31" s="310" t="str">
        <ns0:v>Share</ns0:v>
      </ns0:c>
      <ns0:c r="D31" s="104"/>
      <ns0:c r="E31" s="104"/>
      <ns0:c r="F31" s="104"/>
    </ns0:row>
    <ns0:row r="32" ht="15" hidden="0" customHeight="1">
      <ns0:c r="A32" s="126" t="str">
        <ns0:v>Profit</ns0:v>
      </ns0:c>
      <ns0:c r="B32" s="126" t="n">
        <ns0:f>B4</ns0:f>
        <ns0:v>0</ns0:v>
      </ns0:c>
      <ns0:c r="C32" s="128" t="n">
        <ns0:f>C4</ns0:f>
        <ns0:v>0</ns0:v>
      </ns0:c>
      <ns0:c r="D32" s="104"/>
      <ns0:c r="E32" s="104"/>
      <ns0:c r="F32" s="104"/>
    </ns0:row>
    <ns0:row r="33" ht="15" hidden="0" customHeight="1">
      <ns0:c r="A33" s="126" t="str">
        <ns0:v>Draw</ns0:v>
      </ns0:c>
      <ns0:c r="B33" s="126" t="n">
        <ns0:f>B5</ns0:f>
        <ns0:v>0</ns0:v>
      </ns0:c>
      <ns0:c r="C33" s="128" t="n">
        <ns0:f>C5</ns0:f>
        <ns0:v>0</ns0:v>
      </ns0:c>
      <ns0:c r="D33" s="104"/>
      <ns0:c r="E33" s="104"/>
      <ns0:c r="F33" s="104"/>
    </ns0:row>
    <ns0:row r="34" ht="15" hidden="0" customHeight="1">
      <ns0:c r="A34" s="126" t="str">
        <ns0:v>Disqualified / Lost Entry Fee</ns0:v>
      </ns0:c>
      <ns0:c r="B34" s="126" t="n">
        <ns0:f>B6</ns0:f>
        <ns0:v>0</ns0:v>
      </ns0:c>
      <ns0:c r="C34" s="128" t="n">
        <ns0:f>C6</ns0:f>
        <ns0:v>0</ns0:v>
      </ns0:c>
      <ns0:c r="D34" s="104"/>
      <ns0:c r="E34" s="104"/>
      <ns0:c r="F34" s="104"/>
    </ns0:row>
    <ns0:row r="35" ht="15" hidden="0" customHeight="1">
      <ns0:c r="A35" s="126" t="str">
        <ns0:v>Free Game (separate credit)</ns0:v>
      </ns0:c>
      <ns0:c r="B35" s="914" t="n">
        <ns0:f>B9</ns0:f>
        <ns0:v>0</ns0:v>
      </ns0:c>
      <ns0:c r="C35" s="915" t="str">
        <ns0:v>Separate</ns0:v>
      </ns0:c>
      <ns0:c r="D35" s="104"/>
      <ns0:c r="E35" s="104"/>
      <ns0:c r="F35" s="104"/>
    </ns0:row>
    <ns0:row r="36" ht="15" hidden="0" customHeight="1">
      <ns0:c r="A36" s="126" t="str">
        <ns0:v>Total Paid Games</ns0:v>
      </ns0:c>
      <ns0:c r="B36" s="914" t="n">
        <ns0:f>B7</ns0:f>
        <ns0:v>0</ns0:v>
      </ns0:c>
      <ns0:c r="C36" s="915" t="n">
        <ns0:f>C7</ns0:f>
        <ns0:v>0</ns0:v>
      </ns0:c>
      <ns0:c r="D36" s="104"/>
      <ns0:c r="E36" s="104"/>
      <ns0:c r="F36" s="104"/>
    </ns0:row>
  </ns0:sheetData>
  <ns0:mergeCells>
    <ns0:mergeCell ref="A1:F1"/>
  </ns0:mergeCells>
  <ns0:conditionalFormatting sqref="A4:C4">
    <ns0:cfRule type="expression" dxfId="22" priority="1">
      <ns0:formula>$B4&gt;0</ns0:formula>
    </ns0:cfRule>
  </ns0:conditionalFormatting>
  <ns0:conditionalFormatting sqref="A5:C5">
    <ns0:cfRule type="expression" dxfId="23" priority="2">
      <ns0:formula>$B5&gt;0</ns0:formula>
    </ns0:cfRule>
  </ns0:conditionalFormatting>
  <ns0:conditionalFormatting sqref="A6:C6">
    <ns0:cfRule type="expression" dxfId="24" priority="3">
      <ns0:formula>$B6&gt;0</ns0:formula>
    </ns0:cfRule>
  </ns0:conditionalFormatting>
  <ns0:conditionalFormatting sqref="A9:C9">
    <ns0:cfRule type="expression" dxfId="25" priority="4">
      <ns0:formula>$B9&gt;0</ns0:formula>
    </ns0:cfRule>
  </ns0:conditionalFormatting>
  <ns0:conditionalFormatting sqref="A32:C32">
    <ns0:cfRule type="expression" dxfId="26" priority="5">
      <ns0:formula>$B32&gt;0</ns0:formula>
    </ns0:cfRule>
  </ns0:conditionalFormatting>
  <ns0:conditionalFormatting sqref="A33:C33">
    <ns0:cfRule type="expression" dxfId="27" priority="6">
      <ns0:formula>$B33&gt;0</ns0:formula>
    </ns0:cfRule>
  </ns0:conditionalFormatting>
  <ns0:conditionalFormatting sqref="A34:C34">
    <ns0:cfRule type="expression" dxfId="28" priority="7">
      <ns0:formula>$B34&gt;0</ns0:formula>
    </ns0:cfRule>
  </ns0:conditionalFormatting>
  <ns0:conditionalFormatting sqref="A35:C35">
    <ns0:cfRule type="expression" dxfId="29" priority="8">
      <ns0:formula>$B35&gt;0</ns0:formula>
    </ns0:cfRule>
  </ns0:conditionalFormatting>
  <ns0:pageMargins left="0.7" right="0.7" top="0.75" bottom="0.75" header="0.3" footer="0.3"/>
  <ns0:drawing r:id="rIdStepCatChart"/>
</ns0:worksheet>
</file>

<file path=xl/worksheets/sheet5.xml><?xml version="1.0" encoding="utf-8"?>
<x:worksheet xmlns:x="http://schemas.openxmlformats.org/spreadsheetml/2006/main">
  <x:sheetFormatPr defaultRowHeight="15"/>
  <x:cols>
    <x:col min="1" max="1" width="29" hidden="0" customWidth="1"/>
    <x:col min="2" max="2" width="18" hidden="0" customWidth="1"/>
    <x:col min="3" max="3" width="24" hidden="0" customWidth="1"/>
    <x:col min="4" max="4" width="15" hidden="0" customWidth="1"/>
    <x:col min="5" max="5" width="15" hidden="0" customWidth="1"/>
  </x:cols>
  <x:sheetData>
    <x:row r="1" ht="38.400001525878906" hidden="0" customHeight="1">
      <x:c r="A1" s="486" t="str">
        <x:v>Paid Game Performance — v252</x:v>
      </x:c>
      <x:c r="B1" s="486"/>
      <x:c r="C1" s="486"/>
      <x:c r="D1" s="486"/>
      <x:c r="E1" s="486"/>
    </x:row>
    <x:row r="2" ht="48" hidden="0" customHeight="1">
      <x:c r="A2" s="591" t="inlineStr">
        <x:is>
          <x:t>Compares finalized paid Member, Non-Member, and Unclassified games. Estimate rows, subscriptions, and Free Games are excluded; Free Games appear in the separate section below.</x:t>
        </x:is>
      </x:c>
      <x:c r="B2" s="591"/>
      <x:c r="C2" s="591"/>
      <x:c r="D2" s="591"/>
      <x:c r="E2" s="591"/>
    </x:row>
    <x:row r="3" ht="15" hidden="0" customHeight="1">
      <x:c r="A3" s="310" t="str">
        <x:v>Metric</x:v>
      </x:c>
      <x:c r="B3" s="310" t="str">
        <x:v>Member</x:v>
      </x:c>
      <x:c r="C3" s="310" t="str">
        <x:v>Non-Member</x:v>
      </x:c>
      <x:c r="D3" s="310" t="str">
        <x:v>Unclassified</x:v>
      </x:c>
      <x:c r="E3" s="310" t="str">
        <x:v>All Paid Games</x:v>
      </x:c>
    </x:row>
    <x:row r="4" ht="15" hidden="0" customHeight="1">
      <x:c r="A4" s="126" t="str">
        <x:v>Completed Games</x:v>
      </x:c>
      <x:c r="B4" s="126">
        <x:f>COUNTIFS('Game Records'!$E$5:$E$504,"Member",'Game Records'!$U$5:$U$504,"&lt;&gt;Estimate",'Game Records'!$U$5:$U$504,"&lt;&gt;Subscription",'Game Records'!$U$5:$U$504,"&lt;&gt;Free Game",'Game Records'!$U$5:$U$504,"&lt;&gt;Disqualified — Free Game",'Game Records'!$U$5:$U$504,"&lt;&gt;")</x:f>
      </x:c>
      <x:c r="C4" s="126">
        <x:f>COUNTIFS('Game Records'!$E$5:$E$504,"Non-Member",'Game Records'!$U$5:$U$504,"&lt;&gt;Estimate",'Game Records'!$U$5:$U$504,"&lt;&gt;Subscription",'Game Records'!$U$5:$U$504,"&lt;&gt;Free Game",'Game Records'!$U$5:$U$504,"&lt;&gt;Disqualified — Free Game",'Game Records'!$U$5:$U$504,"&lt;&gt;")</x:f>
      </x:c>
      <x:c r="D4" s="126">
        <x:f>SUMPRODUCT(('Game Records'!$U$5:$U$504&lt;&gt;"")*('Game Records'!$U$5:$U$504&lt;&gt;"Estimate")*('Game Records'!$U$5:$U$504&lt;&gt;"Subscription")*('Game Records'!$U$5:$U$504&lt;&gt;"Free Game")*('Game Records'!$U$5:$U$504&lt;&gt;"Disqualified — Free Game")*('Game Records'!$E$5:$E$504&lt;&gt;"Member")*('Game Records'!$E$5:$E$504&lt;&gt;"Non-Member"))</x:f>
      </x:c>
      <x:c r="E4" s="126" t="n">
        <x:f>SUM(B4:D4)</x:f>
        <x:v>0</x:v>
      </x:c>
    </x:row>
    <x:row r="5" ht="15" hidden="0" customHeight="1">
      <x:c r="A5" s="126" t="str">
        <x:v>Profit Games</x:v>
      </x:c>
      <x:c r="B5" s="126" t="n">
        <x:f>COUNTIFS('Game Records'!$E$5:$E$504,"Member",'Game Records'!$U$5:$U$504,"Profit")</x:f>
        <x:v>0</x:v>
      </x:c>
      <x:c r="C5" s="126" t="n">
        <x:f>COUNTIFS('Game Records'!$E$5:$E$504,"Non-Member",'Game Records'!$U$5:$U$504,"Profit")</x:f>
        <x:v>0</x:v>
      </x:c>
      <x:c r="D5" s="126" t="n">
        <x:f>SUMPRODUCT(('Game Records'!$U$5:$U$504="Profit")*('Game Records'!$E$5:$E$504&lt;&gt;"Member")*('Game Records'!$E$5:$E$504&lt;&gt;"Non-Member"))</x:f>
        <x:v>0</x:v>
      </x:c>
      <x:c r="E5" s="126" t="n">
        <x:f>SUM(B5:D5)</x:f>
        <x:v>0</x:v>
      </x:c>
    </x:row>
    <x:row r="6" ht="15" hidden="0" customHeight="1">
      <x:c r="A6" s="126" t="str">
        <x:v>Profit Rate</x:v>
      </x:c>
      <x:c r="B6" s="128" t="n">
        <x:f>IF(B4=0,0,B5/B4)</x:f>
        <x:v>0</x:v>
      </x:c>
      <x:c r="C6" s="128" t="n">
        <x:f>IF(C4=0,0,C5/C4)</x:f>
        <x:v>0</x:v>
      </x:c>
      <x:c r="D6" s="128" t="n">
        <x:f>IF(D4=0,0,D5/D4)</x:f>
        <x:v>0</x:v>
      </x:c>
      <x:c r="E6" s="128" t="n">
        <x:f>IF(E4=0,0,E5/E4)</x:f>
        <x:v>0</x:v>
      </x:c>
    </x:row>
    <x:row r="7" ht="15" hidden="0" customHeight="1">
      <x:c r="A7" s="126" t="str">
        <x:v>Draw Rate</x:v>
      </x:c>
      <x:c r="B7" s="128" t="n">
        <x:f>IF(B4=0,0,COUNTIFS('Game Records'!$E$5:$E$504,"Member",'Game Records'!$U$5:$U$504,"Draw")/B4)</x:f>
        <x:v>0</x:v>
      </x:c>
      <x:c r="C7" s="128" t="n">
        <x:f>IF(C4=0,0,COUNTIFS('Game Records'!$E$5:$E$504,"Non-Member",'Game Records'!$U$5:$U$504,"Draw")/C4)</x:f>
        <x:v>0</x:v>
      </x:c>
      <x:c r="D7" s="128" t="n">
        <x:f>IF(D4=0,0,SUMPRODUCT(('Game Records'!$U$5:$U$504="Draw")*('Game Records'!$E$5:$E$504&lt;&gt;"Member")*('Game Records'!$E$5:$E$504&lt;&gt;"Non-Member"))/D4)</x:f>
        <x:v>0</x:v>
      </x:c>
      <x:c r="E7" s="128" t="n">
        <x:f>IF(E4=0,0,COUNTIF('Game Records'!$U$5:$U$504,"Draw")/E4)</x:f>
        <x:v>0</x:v>
      </x:c>
    </x:row>
    <x:row r="8" ht="15" hidden="0" customHeight="1">
      <x:c r="A8" s="126" t="str">
        <x:v>Disqualification Rate</x:v>
      </x:c>
      <x:c r="B8" s="128" t="n">
        <x:f>IF(B4=0,0,COUNTIFS('Game Records'!$E$5:$E$504,"Member",'Game Records'!$U$5:$U$504,"Disqualified")/B4)</x:f>
        <x:v>0</x:v>
      </x:c>
      <x:c r="C8" s="128" t="n">
        <x:f>IF(C4=0,0,COUNTIFS('Game Records'!$E$5:$E$504,"Non-Member",'Game Records'!$U$5:$U$504,"Disqualified")/C4)</x:f>
        <x:v>0</x:v>
      </x:c>
      <x:c r="D8" s="128" t="n">
        <x:f>IF(D4=0,0,SUMPRODUCT(('Game Records'!$U$5:$U$504="Disqualified")*('Game Records'!$E$5:$E$504&lt;&gt;"Member")*('Game Records'!$E$5:$E$504&lt;&gt;"Non-Member"))/D4)</x:f>
        <x:v>0</x:v>
      </x:c>
      <x:c r="E8" s="128" t="n">
        <x:f>IF(E4=0,0,COUNTIF('Game Records'!$U$5:$U$504,"Disqualified")/E4)</x:f>
        <x:v>0</x:v>
      </x:c>
    </x:row>
    <x:row r="9" ht="15" hidden="0" customHeight="1">
      <x:c r="A9" s="126" t="str">
        <x:v>Average Net Profit</x:v>
      </x:c>
      <x:c r="B9" s="130" t="n">
        <x:f>IF(B4=0,0,B11/B4)</x:f>
        <x:v>0</x:v>
      </x:c>
      <x:c r="C9" s="130" t="n">
        <x:f>IF(C4=0,0,C11/C4)</x:f>
        <x:v>0</x:v>
      </x:c>
      <x:c r="D9" s="130" t="n">
        <x:f>IF(D4=0,0,D11/D4)</x:f>
        <x:v>0</x:v>
      </x:c>
      <x:c r="E9" s="130" t="n">
        <x:f>IF(E4=0,0,E11/E4)</x:f>
        <x:v>0</x:v>
      </x:c>
    </x:row>
    <x:row r="10" ht="15" hidden="0" customHeight="1">
      <x:c r="A10" s="126" t="str">
        <x:v>Average ROI</x:v>
      </x:c>
      <x:c r="B10" s="128">
        <x:f>IF(B4=0,0,SUMIFS('Game Records'!$T$5:$T$504,'Game Records'!$E$5:$E$504,"Member",'Game Records'!$U$5:$U$504,"&lt;&gt;Estimate",'Game Records'!$U$5:$U$504,"&lt;&gt;Subscription",'Game Records'!$U$5:$U$504,"&lt;&gt;Free Game",'Game Records'!$U$5:$U$504,"&lt;&gt;Disqualified — Free Game")/B4)</x:f>
      </x:c>
      <x:c r="C10" s="128">
        <x:f>IF(C4=0,0,SUMIFS('Game Records'!$T$5:$T$504,'Game Records'!$E$5:$E$504,"Non-Member",'Game Records'!$U$5:$U$504,"&lt;&gt;Estimate",'Game Records'!$U$5:$U$504,"&lt;&gt;Subscription",'Game Records'!$U$5:$U$504,"&lt;&gt;Free Game",'Game Records'!$U$5:$U$504,"&lt;&gt;Disqualified — Free Game")/C4)</x:f>
      </x:c>
      <x:c r="D10" s="128">
        <x:f>IF(D4=0,0,SUMIFS('Game Records'!$T$5:$T$504,'Game Records'!$U$5:$U$504,"&lt;&gt;Estimate",'Game Records'!$U$5:$U$504,"&lt;&gt;Subscription",'Game Records'!$U$5:$U$504,"&lt;&gt;Free Game",'Game Records'!$U$5:$U$504,"&lt;&gt;Disqualified — Free Game",'Game Records'!$E$5:$E$504,"&lt;&gt;Member",'Game Records'!$E$5:$E$504,"&lt;&gt;Non-Member")/D4)</x:f>
      </x:c>
      <x:c r="E10" s="128">
        <x:f>IF(E4=0,0,SUMIFS('Game Records'!$T$5:$T$504,'Game Records'!$U$5:$U$504,"&lt;&gt;Estimate",'Game Records'!$U$5:$U$504,"&lt;&gt;Subscription",'Game Records'!$U$5:$U$504,"&lt;&gt;Free Game",'Game Records'!$U$5:$U$504,"&lt;&gt;Disqualified — Free Game")/E4)</x:f>
      </x:c>
    </x:row>
    <x:row r="11" ht="15" hidden="0" customHeight="1">
      <x:c r="A11" s="126" t="str">
        <x:v>Total Net Profit</x:v>
      </x:c>
      <x:c r="B11" s="130">
        <x:f>SUMIFS('Game Records'!$W$5:$W$504,'Game Records'!$E$5:$E$504,"Member",'Game Records'!$U$5:$U$504,"&lt;&gt;Estimate",'Game Records'!$U$5:$U$504,"&lt;&gt;Subscription",'Game Records'!$U$5:$U$504,"&lt;&gt;Free Game",'Game Records'!$U$5:$U$504,"&lt;&gt;Disqualified — Free Game")</x:f>
      </x:c>
      <x:c r="C11" s="130">
        <x:f>SUMIFS('Game Records'!$W$5:$W$504,'Game Records'!$E$5:$E$504,"Non-Member",'Game Records'!$U$5:$U$504,"&lt;&gt;Estimate",'Game Records'!$U$5:$U$504,"&lt;&gt;Subscription",'Game Records'!$U$5:$U$504,"&lt;&gt;Free Game",'Game Records'!$U$5:$U$504,"&lt;&gt;Disqualified — Free Game")</x:f>
      </x:c>
      <x:c r="D11" s="130">
        <x:f>SUMIFS('Game Records'!$W$5:$W$504,'Game Records'!$U$5:$U$504,"&lt;&gt;Estimate",'Game Records'!$U$5:$U$504,"&lt;&gt;Subscription",'Game Records'!$U$5:$U$504,"&lt;&gt;Free Game",'Game Records'!$U$5:$U$504,"&lt;&gt;Disqualified — Free Game",'Game Records'!$E$5:$E$504,"&lt;&gt;Member",'Game Records'!$E$5:$E$504,"&lt;&gt;Non-Member")</x:f>
      </x:c>
      <x:c r="E11" s="130">
        <x:f>SUMIFS('Game Records'!$W$5:$W$504,'Game Records'!$U$5:$U$504,"&lt;&gt;Estimate",'Game Records'!$U$5:$U$504,"&lt;&gt;Subscription",'Game Records'!$U$5:$U$504,"&lt;&gt;Free Game",'Game Records'!$U$5:$U$504,"&lt;&gt;Disqualified — Free Game")</x:f>
      </x:c>
    </x:row>
    <x:row r="12" ht="15" hidden="0" customHeight="1">
      <x:c r="A12" s="126" t="str">
        <x:v>Unclassified Games</x:v>
      </x:c>
      <x:c r="B12" s="126" t="n">
        <x:v>0</x:v>
      </x:c>
      <x:c r="C12" s="126" t="n">
        <x:v>0</x:v>
      </x:c>
      <x:c r="D12" s="126" t="n">
        <x:f>D4</x:f>
        <x:v>0</x:v>
      </x:c>
      <x:c r="E12" s="126" t="n">
        <x:f>D4</x:f>
        <x:v>0</x:v>
      </x:c>
    </x:row>
    <x:row r="13" ht="15" hidden="0" customHeight="1">
      <x:c r="A13" s="104"/>
      <x:c r="B13" s="104"/>
      <x:c r="C13" s="104"/>
      <x:c r="D13" s="104"/>
      <x:c r="E13" s="104"/>
    </x:row>
    <x:row r="14" ht="15" hidden="0" customHeight="1">
      <x:c r="A14" s="104"/>
      <x:c r="B14" s="104"/>
      <x:c r="C14" s="104"/>
      <x:c r="D14" s="104"/>
      <x:c r="E14" s="104"/>
    </x:row>
    <x:row r="15" ht="19.200000762939453" hidden="0" customHeight="1">
      <x:c r="A15" s="486" t="str">
        <x:v>Free Game Chip Performance</x:v>
      </x:c>
      <x:c r="B15" s="486"/>
      <x:c r="C15" s="486"/>
      <x:c r="D15" s="486"/>
      <x:c r="E15" s="486"/>
    </x:row>
    <x:row r="16" ht="36" hidden="0" customHeight="1">
      <x:c r="A16" s="591" t="str">
        <x:v>Free Games are completed step challenges that award non-cash chips/game credit. They remain separate from paid-game ROI, paid-result averages, and all cash profit totals.</x:v>
      </x:c>
      <x:c r="B16" s="591"/>
      <x:c r="C16" s="591"/>
      <x:c r="D16" s="591"/>
      <x:c r="E16" s="591"/>
    </x:row>
    <x:row r="17" ht="15" hidden="0" customHeight="1">
      <x:c r="A17" s="310" t="str">
        <x:v>Metric</x:v>
      </x:c>
      <x:c r="B17" s="310" t="str">
        <x:v>Free Game Chips</x:v>
      </x:c>
      <x:c r="C17" s="310" t="str">
        <x:v>What It Represents</x:v>
      </x:c>
      <x:c r="D17" s="310"/>
      <x:c r="E17" s="310"/>
    </x:row>
    <x:row r="18" ht="39.599998474121094" hidden="0" customHeight="1">
      <x:c r="A18" s="509" t="str">
        <x:v>Completed Free Games</x:v>
      </x:c>
      <x:c r="B18" s="914" t="n">
        <x:f>COUNTIFS('Game Records'!$D$5:$D$504,"Finalized",'Game Records'!$U$5:$U$504,"Free Game")+COUNTIFS('Game Records'!$D$5:$D$504,"Finalized",'Game Records'!$U$5:$U$504,"Disqualified — Free Game")</x:f>
        <x:v>0</x:v>
      </x:c>
      <x:c r="C18" s="509" t="str">
        <x:v>All finalized Free Game and Disqualified — Free Game records.</x:v>
      </x:c>
      <x:c r="D18" s="509"/>
      <x:c r="E18" s="509"/>
    </x:row>
    <x:row r="19" ht="26.399999618530273" hidden="0" customHeight="1">
      <x:c r="A19" s="509" t="str">
        <x:v>Non-disqualified Free Games</x:v>
      </x:c>
      <x:c r="B19" s="914" t="n">
        <x:f>COUNTIFS('Game Records'!$D$5:$D$504,"Finalized",'Game Records'!$U$5:$U$504,"Free Game")</x:f>
        <x:v>0</x:v>
      </x:c>
      <x:c r="C19" s="509" t="str">
        <x:v>Free Games completed without disqualification.</x:v>
      </x:c>
      <x:c r="D19" s="509"/>
      <x:c r="E19" s="509"/>
    </x:row>
    <x:row r="20" ht="39.599998474121094" hidden="0" customHeight="1">
      <x:c r="A20" s="509" t="str">
        <x:v>Disqualified Free Games</x:v>
      </x:c>
      <x:c r="B20" s="914" t="n">
        <x:f>COUNTIFS('Game Records'!$D$5:$D$504,"Finalized",'Game Records'!$U$5:$U$504,"Disqualified — Free Game")</x:f>
        <x:v>0</x:v>
      </x:c>
      <x:c r="C20" s="509" t="str">
        <x:v>Free Games whose disqualification status was recorded.</x:v>
      </x:c>
      <x:c r="D20" s="509"/>
      <x:c r="E20" s="509"/>
    </x:row>
    <x:row r="21" ht="39.599998474121094" hidden="0" customHeight="1">
      <x:c r="A21" s="509" t="str">
        <x:v>Disqualification Rate</x:v>
      </x:c>
      <x:c r="B21" s="915" t="n">
        <x:f>IF(B18=0,0,B20/B18)</x:f>
        <x:v>0</x:v>
      </x:c>
      <x:c r="C21" s="509" t="str">
        <x:v>Disqualified Free Games divided by all completed Free Games.</x:v>
      </x:c>
      <x:c r="D21" s="509"/>
      <x:c r="E21" s="509"/>
    </x:row>
    <x:row r="22" ht="39.599998474121094" hidden="0" customHeight="1">
      <x:c r="A22" s="509" t="str">
        <x:v>Average Chips Earned</x:v>
      </x:c>
      <x:c r="B22" s="984" t="n">
        <x:f>IF((COUNTIFS('Game Records'!$D$5:$D$504,"Finalized",'Game Records'!$U$5:$U$504,"Free Game",'Game Records'!$K$5:$K$504,"&lt;&gt;",'Game Records'!$K$5:$K$504,"&gt;=0")+COUNTIFS('Game Records'!$D$5:$D$504,"Finalized",'Game Records'!$U$5:$U$504,"Disqualified — Free Game"))=0,0,(SUMIFS('Game Records'!$K$5:$K$504,'Game Records'!$D$5:$D$504,"Finalized",'Game Records'!$U$5:$U$504,"Free Game",'Game Records'!$K$5:$K$504,"&lt;&gt;",'Game Records'!$K$5:$K$504,"&gt;=0"))/(COUNTIFS('Game Records'!$D$5:$D$504,"Finalized",'Game Records'!$U$5:$U$504,"Free Game",'Game Records'!$K$5:$K$504,"&lt;&gt;",'Game Records'!$K$5:$K$504,"&gt;=0")+COUNTIFS('Game Records'!$D$5:$D$504,"Finalized",'Game Records'!$U$5:$U$504,"Disqualified — Free Game")))</x:f>
        <x:v>0</x:v>
      </x:c>
      <x:c r="C22" s="509" t="str">
        <x:v>Average of recorded chip amounts only; unknown blanks are excluded, while recorded 0.00-chip results remain included.</x:v>
      </x:c>
      <x:c r="D22" s="509"/>
      <x:c r="E22" s="509"/>
    </x:row>
    <x:row r="23" ht="39.599998474121094" hidden="0" customHeight="1">
      <x:c r="A23" s="509" t="str">
        <x:v>Total Chips Earned</x:v>
      </x:c>
      <x:c r="B23" s="984" t="n">
        <x:f>SUMIFS('Game Records'!$K$5:$K$504,'Game Records'!$D$5:$D$504,"Finalized",'Game Records'!$U$5:$U$504,"Free Game",'Game Records'!$K$5:$K$504,"&lt;&gt;",'Game Records'!$K$5:$K$504,"&gt;=0")</x:f>
        <x:v>0</x:v>
      </x:c>
      <x:c r="C23" s="509" t="str">
        <x:v>Combined non-cash chips/game credit; excluded from overall cash running net profit.</x:v>
      </x:c>
      <x:c r="D23" s="509"/>
      <x:c r="E23" s="509"/>
    </x:row>
    <x:row r="24" ht="39.599998474121094" hidden="0" customHeight="1">
      <x:c r="A24" s="509" t="str">
        <x:v>Average Eliminated Players</x:v>
      </x:c>
      <x:c r="B24" s="948" t="n">
        <x:f>IF((COUNTIFS('Game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Records'!$J$5:$J$504,"&gt;=0"))=0,0,(SUMIFS('Game Records'!$X$5:$X$504,'Game Records'!$D$5:$D$504,"Finalized",'Game Records'!$U$5:$U$504,"Free Game")+SUMIFS('Game Records'!$X$5:$X$504,'Game Records'!$D$5:$D$504,"Finalized",'Game Records'!$U$5:$U$504,"Disqualified — Free Game"))/(COUNTIFS('Game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x:f>
        <x:v>0</x:v>
      </x:c>
      <x:c r="C24" s="509" t="str">
        <x:v>Average eliminated-player count when player totals are available.</x:v>
      </x:c>
      <x:c r="D24" s="509"/>
      <x:c r="E24" s="509"/>
    </x:row>
    <x:row r="25" ht="26.399999618530273" hidden="0" customHeight="1">
      <x:c r="A25" s="509" t="str">
        <x:v>Average Elimination Rate</x:v>
      </x:c>
      <x:c r="B25" s="915" t="n">
        <x:f>IF((COUNTIFS('Game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Records'!$J$5:$J$504,"&gt;=0"))=0,0,(SUMIFS('Game Records'!$Y$5:$Y$504,'Game Records'!$D$5:$D$504,"Finalized",'Game Records'!$U$5:$U$504,"Free Game")+SUMIFS('Game Records'!$Y$5:$Y$504,'Game Records'!$D$5:$D$504,"Finalized",'Game Records'!$U$5:$U$504,"Disqualified — Free Game"))/(COUNTIFS('Game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x:f>
        <x:v>0</x:v>
      </x:c>
      <x:c r="C25" s="509" t="str">
        <x:v>Average elimination rate when player totals are available.</x:v>
      </x:c>
      <x:c r="D25" s="509"/>
      <x:c r="E25" s="509"/>
    </x:row>
    <x:row r="26" ht="26.399999618530273" hidden="0" customHeight="1">
      <x:c r="A26" s="509" t="str">
        <x:v>Average ROI</x:v>
      </x:c>
      <x:c r="B26" s="913" t="str">
        <x:v>N/A</x:v>
      </x:c>
      <x:c r="C26" s="509" t="str">
        <x:v>N/A because Free Games have a $0.00 Entry Fee.</x:v>
      </x:c>
      <x:c r="D26" s="509"/>
      <x:c r="E26" s="509"/>
    </x:row>
    <x:row r="27" ht="39.599998474121094" hidden="0" customHeight="1">
      <x:c r="A27" s="509" t="str">
        <x:v>All Completed Games</x:v>
      </x:c>
      <x:c r="B27" s="914" t="n">
        <x:f>E4+B18</x:f>
        <x:v>0</x:v>
      </x:c>
      <x:c r="C27" s="509" t="str">
        <x:v>All Paid Games plus completed Free Games; Subscription rows are excluded.</x:v>
      </x:c>
      <x:c r="D27" s="509"/>
      <x:c r="E27" s="509"/>
    </x:row>
  </x:sheetData>
  <x:mergeCells>
    <x:mergeCell ref="A2:E2"/>
    <x:mergeCell ref="A1:E1"/>
    <x:mergeCell ref="A15:E15"/>
    <x:mergeCell ref="A16:E16"/>
    <x:mergeCell ref="C17:E17"/>
    <x:mergeCell ref="C18:E18"/>
    <x:mergeCell ref="C19:E19"/>
    <x:mergeCell ref="C20:E20"/>
    <x:mergeCell ref="C21:E21"/>
    <x:mergeCell ref="C22:E22"/>
    <x:mergeCell ref="C23:E23"/>
    <x:mergeCell ref="C24:E24"/>
    <x:mergeCell ref="C25:E25"/>
    <x:mergeCell ref="C26:E26"/>
    <x:mergeCell ref="C27:E27"/>
  </x:mergeCells>
  <x:pageMargins left="0.7" right="0.7" top="0.75" bottom="0.75" header="0.3" footer="0.3"/>
</x:worksheet>
</file>

<file path=xl/worksheets/sheet6.xml><?xml version="1.0" encoding="utf-8"?>
<ns0:worksheet xmlns:ns0="http://schemas.openxmlformats.org/spreadsheetml/2006/main">
  <ns0:sheetFormatPr defaultRowHeight="15"/>
  <ns0:cols>
    <ns0:col min="1" max="1" width="27" hidden="0" customWidth="1"/>
    <ns0:col min="2" max="2" width="33" hidden="0" customWidth="1"/>
    <ns0:col min="3" max="3" width="17" hidden="0" customWidth="1"/>
    <ns0:col min="4" max="4" width="33" hidden="0" customWidth="1"/>
  </ns0:cols>
  <ns0:sheetData>
    <ns0:row r="1" ht="38.400001525878906" hidden="0" customHeight="1">
      <ns0:c r="A1" s="486" t="str">
        <ns0:v>Best Results — Live Reference Table — v252</ns0:v>
      </ns0:c>
      <ns0:c r="B1" s="486"/>
      <ns0:c r="C1" s="486"/>
      <ns0:c r="D1" s="486"/>
    </ns0:row>
    <ns0:row r="2" ht="48" hidden="0" customHeight="1">
      <ns0:c r="A2" s="591" t="inlineStr">
        <ns0:is>
          <ns0:t>Finalized game results only. Clear no-data messages appear until qualifying records exist.</ns0:t>
        </ns0:is>
      </ns0:c>
      <ns0:c r="B2" s="591"/>
      <ns0:c r="C2" s="591"/>
      <ns0:c r="D2" s="591"/>
    </ns0:row>
    <ns0:row r="3" ht="15" hidden="0" customHeight="1">
      <ns0:c r="A3" s="310" t="str">
        <ns0:v>Metric</ns0:v>
      </ns0:c>
      <ns0:c r="B3" s="310" t="str">
        <ns0:v>Game</ns0:v>
      </ns0:c>
      <ns0:c r="C3" s="310" t="str">
        <ns0:v>Value</ns0:v>
      </ns0:c>
      <ns0:c r="D3" s="310" t="str">
        <ns0:v>Meaning</ns0:v>
      </ns0:c>
    </ns0:row>
    <ns0:row r="4" ht="15" hidden="0" customHeight="1">
      <ns0:c r="A4" s="126" t="str">
        <ns0:v>Highest Net Profit</ns0:v>
      </ns0:c>
      <ns0:c r="B4" s="126">
        <ns0:f>IF(COUNTIF('Game Records'!$U$5:$U$504,"Profit")=0,"No finalized paid games yet",IFERROR(INDEX('Game Records'!$A$5:$A$504,MATCH(MAX('Game Records'!$W$5:$W$504),'Game Records'!$W$5:$W$504,0)),"No finalized paid games yet"))</ns0:f>
        <ns0:v/>
      </ns0:c>
      <ns0:c r="C4" s="130">
        <ns0:f>IF(COUNTIF('Game Records'!$U$5:$U$504,"Profit")=0,"N/A",MAX('Game Records'!$W$5:$W$504))</ns0:f>
        <ns0:v/>
      </ns0:c>
      <ns0:c r="D4" s="126" t="str">
        <ns0:v>Largest positive game result</ns0:v>
      </ns0:c>
    </ns0:row>
    <ns0:row r="5" ht="15" hidden="0" customHeight="1">
      <ns0:c r="A5" s="126" t="str">
        <ns0:v>Highest ROI</ns0:v>
      </ns0:c>
      <ns0:c r="B5" s="126">
        <ns0:f>IF(COUNTIF('Game Records'!$U$5:$U$504,"Profit")=0,"No finalized paid games yet",IFERROR(INDEX('Game Records'!$A$5:$A$504,MATCH(MAX('Game Records'!$T$5:$T$504),'Game Records'!$T$5:$T$504,0)),"No finalized paid games yet"))</ns0:f>
        <ns0:v/>
      </ns0:c>
      <ns0:c r="C5" s="128">
        <ns0:f>IF(COUNTIF('Game Records'!$U$5:$U$504,"Profit")=0,"N/A",MAX('Game Records'!$T$5:$T$504))</ns0:f>
        <ns0:v/>
      </ns0:c>
      <ns0:c r="D5" s="126" t="str">
        <ns0:v>Best return on Entry Fee</ns0:v>
      </ns0:c>
    </ns0:row>
    <ns0:row r="6" ht="15" hidden="0" customHeight="1">
      <ns0:c r="A6" s="126" t="str">
        <ns0:v>Largest Lost Entry Fee</ns0:v>
      </ns0:c>
      <ns0:c r="B6" s="126">
        <ns0:f>IF(COUNTIF('Game Records'!$U$5:$U$504,"Disqualified")=0,"No paid disqualifications yet",IFERROR(INDEX('Game Records'!$A$5:$A$504,MATCH(MAX('Game Records'!$S$5:$S$504),'Game Records'!$S$5:$S$504,0)),"No paid disqualifications yet"))</ns0:f>
        <ns0:v/>
      </ns0:c>
      <ns0:c r="C6" s="130">
        <ns0:f>IF(COUNTIF('Game Records'!$U$5:$U$504,"Disqualified")=0,"N/A",MAX('Game Records'!$S$5:$S$504))</ns0:f>
        <ns0:v/>
      </ns0:c>
      <ns0:c r="D6" s="126" t="str">
        <ns0:v>Largest full-entry loss</ns0:v>
      </ns0:c>
    </ns0:row>
    <ns0:row r="7" ht="15" hidden="0" customHeight="1">
      <ns0:c r="A7" s="126" t="str">
        <ns0:v>Lowest Elimination Rate</ns0:v>
      </ns0:c>
      <ns0:c r="B7" s="126">
        <ns0:f>IF(COUNT('Game Records'!$Y$5:$Y$504)=0,"No elimination data yet",IFERROR(INDEX('Game Records'!$A$5:$A$504,MATCH(MINIFS('Game Records'!$Y$5:$Y$504,'Game Records'!$Y$5:$Y$504,"&gt;0"),'Game Records'!$Y$5:$Y$504,0)),"No elimination data yet"))</ns0:f>
        <ns0:v/>
      </ns0:c>
      <ns0:c r="C7" s="128">
        <ns0:f>IF(COUNT('Game Records'!$Y$5:$Y$504)=0,"N/A",MINIFS('Game Records'!$Y$5:$Y$504,'Game Records'!$Y$5:$Y$504,"&gt;0"))</ns0:f>
        <ns0:v/>
      </ns0:c>
      <ns0:c r="D7" s="126" t="str">
        <ns0:v>Best recorded elimination rate</ns0:v>
      </ns0:c>
    </ns0:row>
    <ns0:row r="8" ht="15" hidden="0" customHeight="1">
      <ns0:c r="A8" s="126" t="str">
        <ns0:v>Longest Challenge</ns0:v>
      </ns0:c>
      <ns0:c r="B8" s="126">
        <ns0:f>IF(COUNT('Game Records'!$V$5:$V$504)=0,"No dated games yet",IFERROR(INDEX('Game Records'!$A$5:$A$504,MATCH(MAX('Game Records'!$V$5:$V$504),'Game Records'!$V$5:$V$504,0)),"No dated games yet"))</ns0:f>
        <ns0:v/>
      </ns0:c>
      <ns0:c r="C8" s="132">
        <ns0:f>IF(COUNT('Game Records'!$V$5:$V$504)=0,"N/A",MAX('Game Records'!$V$5:$V$504))</ns0:f>
        <ns0:v/>
      </ns0:c>
      <ns0:c r="D8" s="126" t="str">
        <ns0:v>Most weeks completed</ns0:v>
      </ns0:c>
    </ns0:row>
  </ns0:sheetData>
  <ns0:mergeCells>
    <ns0:mergeCell ref="A2:D2"/>
    <ns0:mergeCell ref="A1:D1"/>
  </ns0:mergeCells>
  <ns0:pageMargins left="0.7" right="0.7" top="0.75" bottom="0.75" header="0.3" footer="0.3"/>
</ns0:worksheet>
</file>