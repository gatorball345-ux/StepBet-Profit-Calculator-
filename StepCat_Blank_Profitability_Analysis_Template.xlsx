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2ea2f36d6e45d7" /></Relationships>
</file>

<file path=xl/workbook.xml><?xml version="1.0" encoding="utf-8"?>
<x:workbook xmlns:x="http://schemas.openxmlformats.org/spreadsheetml/2006/main">
  <x:sheets>
    <x:sheet xmlns:r="http://schemas.openxmlformats.org/officeDocument/2006/relationships" name="Instructions" sheetId="1" r:id="R8447044bbed14d9a"/>
    <x:sheet xmlns:r="http://schemas.openxmlformats.org/officeDocument/2006/relationships" name="Game Records" sheetId="2" r:id="R5e4c33d4e751466c"/>
    <x:sheet xmlns:r="http://schemas.openxmlformats.org/officeDocument/2006/relationships" name="Record Review" sheetId="3" r:id="R7205b510468b4af9"/>
    <x:sheet xmlns:r="http://schemas.openxmlformats.org/officeDocument/2006/relationships" name="Summary" sheetId="4" r:id="R4c1f74d73c1e4cab"/>
    <x:sheet xmlns:r="http://schemas.openxmlformats.org/officeDocument/2006/relationships" name="Game Comparisons" sheetId="5" r:id="R66a5d800bb23465c"/>
    <x:sheet xmlns:r="http://schemas.openxmlformats.org/officeDocument/2006/relationships" name="Best Results" sheetId="6" r:id="R881d82fbc2b149f6"/>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ab21a4b35a349be" /><Relationship Type="http://schemas.openxmlformats.org/officeDocument/2006/relationships/theme" Target="/xl/theme/theme1.xml" Id="R6176ce2a88c54464" /><Relationship Type="http://schemas.openxmlformats.org/officeDocument/2006/relationships/sharedStrings" Target="/xl/sharedStrings.xml" Id="Rc81f386ab96d4793" /><Relationship Type="http://schemas.openxmlformats.org/officeDocument/2006/relationships/worksheet" Target="/xl/worksheets/sheet1.xml" Id="R8447044bbed14d9a" /><Relationship Type="http://schemas.openxmlformats.org/officeDocument/2006/relationships/worksheet" Target="/xl/worksheets/sheet2.xml" Id="R5e4c33d4e751466c" /><Relationship Type="http://schemas.openxmlformats.org/officeDocument/2006/relationships/worksheet" Target="/xl/worksheets/sheet3.xml" Id="R7205b510468b4af9" /><Relationship Type="http://schemas.openxmlformats.org/officeDocument/2006/relationships/worksheet" Target="/xl/worksheets/sheet4.xml" Id="R4c1f74d73c1e4cab" /><Relationship Type="http://schemas.openxmlformats.org/officeDocument/2006/relationships/worksheet" Target="/xl/worksheets/sheet5.xml" Id="R66a5d800bb23465c" /><Relationship Type="http://schemas.openxmlformats.org/officeDocument/2006/relationships/worksheet" Target="/xl/worksheets/sheet6.xml" Id="R881d82fbc2b149f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v246.3.2</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“Subscription — membership charge only” and enter the annual cost in Entry Fee. This is a non-game expense and must not be used for a free-entry challenge.</x:v>
      </x:c>
      <x:c r="C11" s="833"/>
      <x:c r="D11" s="833"/>
      <x:c r="E11" s="833"/>
      <x:c r="F11" s="833"/>
      <x:c r="G11" s="833"/>
      <x:c r="H11" s="833"/>
      <x:c r="I11" s="833"/>
      <x:c r="J11" s="833"/>
    </x:row>
    <x:row r="12" ht="105" hidden="0" customHeight="1">
      <x:c r="A12" s="528" t="str">
        <x:v>Free games</x:v>
      </x:c>
      <x:c r="B12" s="532" t="str">
        <x:v>Select “Free Game — completed challenge/chips” for a completed free-entry challenge or a record that awards chips/game credit. Enter chips in Final Earned / Chips when known.</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72" customHeight="1">
      <x:c r="A48" s="685" t="str">
        <x:v>What changed in v246.3.2</x:v>
      </x:c>
      <x:c r="B48" s="975" t="str">
        <x:v>The migration instructions are now explicit: older workbooks may remain in use, but users must transfer their populated Game Records A–M cells into this workbook to adopt the v246.3.1/v246.3.2 classification and Free Game reporting improvements.</x:v>
      </x:c>
      <x:c r="C48" s="833"/>
      <x:c r="D48" s="833"/>
      <x:c r="E48" s="833"/>
      <x:c r="F48" s="833"/>
      <x:c r="G48" s="833"/>
      <x:c r="H48" s="833"/>
      <x:c r="I48" s="833"/>
      <x:c r="J48" s="833"/>
    </x:row>
    <x:row r="49" ht="84" customHeight="1">
      <x:c r="A49" s="528" t="str">
        <x:v>Is migration required?</x:v>
      </x:c>
      <x:c r="B49" s="532" t="str">
        <x:v>Migration is optional only when continuing to use the older workbook without the newer improvements. Migration is required to adopt v246.3.2, including the clearer Free Game and Subscription dropdown choices, finalized-only Free Game counts, and exclusion of unknown chip amounts from averages.</x:v>
      </x:c>
      <x:c r="C49" s="833"/>
      <x:c r="D49" s="833"/>
      <x:c r="E49" s="833"/>
      <x:c r="F49" s="833"/>
      <x:c r="G49" s="833"/>
      <x:c r="H49" s="833"/>
      <x:c r="I49" s="833"/>
      <x:c r="J49" s="833"/>
    </x:row>
    <x:row r="50" ht="60" customHeight="1">
      <x:c r="A50" s="977" t="str">
        <x:v>How to migrate records</x:v>
      </x:c>
      <x:c r="B50" s="979" t="str">
        <x:v>In the older workbook, copy only populated Game Records cells A5:M. In v246.3.2, select A5 and paste—preferably as values only. Do not copy entire sheets, header rows, or formula columns N–Z.</x:v>
      </x:c>
      <x:c r="C50" s="833"/>
      <x:c r="D50" s="833"/>
      <x:c r="E50" s="833"/>
      <x:c r="F50" s="833"/>
      <x:c r="G50" s="833"/>
      <x:c r="H50" s="833"/>
      <x:c r="I50" s="833"/>
      <x:c r="J50" s="833"/>
    </x:row>
    <x:row r="51" ht="72" customHeight="1">
      <x:c r="A51" s="833" t="str">
        <x:v>Who should download v246.3.2?</x:v>
      </x:c>
      <x:c r="B51" s="833" t="str">
        <x:v>New users should begin with v246.3.2. Existing users should migrate A–M records when they want the corrected dropdown wording and reporting safeguards. Keep the older workbook as a backup until transferred records and totals have been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v246.3.2"</x:f>
        <x:v>Running Net Game Profit: $0.00  |  Gross Profit Earned: $0.00  |  Total Lost Entry Fees: $0.00  |  StepCat v246.3.2</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Workbook v246.3.2 clarifies Free Game versus Subscription entry and the migration instructions. Older workbooks may continue calculating, but transferring populated A–M records into v246.3.2 is required to adopt its clearer dropdown and updated Free Game reporting safeguards.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IF(COUNTA($A5:$M5)=0,"",IF(OR(LEFT(LOWER(TRIM($F5&amp;"")),12)="subscription",LOWER(TRIM($F5&amp;""))="membership"),"",IF($G5="","",IF(ISNUMBER(SEARCH("non",LOWER($E5&amp;""))),$G5*0.85,$G5))))</x:f>
      </x:c>
      <x:c r="O5" s="987" t="str">
        <x:f>IF(COUNTA($A5:$M5)=0,"",IF(OR(LEFT(LOWER(TRIM($F5&amp;"")),12)="subscription",LOWER(TRIM($F5&amp;""))="membership"),"",IF(OR($N5="",$I5="",$I5=0),"",IFERROR($N5/$I5,""))))</x:f>
      </x:c>
      <x:c r="P5" s="987" t="str">
        <x:f>IF(COUNTA($A5:$M5)=0,"",IF(OR(LEFT(LOWER(TRIM($F5&amp;"")),12)="subscription",LOWER(TRIM($F5&amp;""))="membership"),"",IF(LOWER($L5&amp;"")="yes",0,IF(OR(AND($H5&lt;&gt;"",$H5=0),LEFT(LOWER(TRIM($F5&amp;"")),9)="free game",LOWER(TRIM($F5&amp;""))="free",LOWER(TRIM($F5&amp;""))="free entry"),IF(LOWER($D5&amp;"")="finalized",IF(ISNUMBER($K5),$K5,""),IF($O5&lt;&gt;"",$O5,"")),IF($K5&lt;&gt;"",$K5,IF($O5&lt;&gt;"",$O5,""))))))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IF(COUNTA($A5:$M5)=0,"",IF(OR(LEFT(LOWER(TRIM($F5&amp;"")),12)="subscription",LOWER(TRIM($F5&amp;""))="membership"),"Subscription",IF(OR(AND($H5&lt;&gt;"",$H5=0),LEFT(LOWER(TRIM($F5&amp;"")),9)="free game",LOWER(TRIM($F5&amp;""))="free",LOWER(TRIM($F5&amp;""))="free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IF(COUNTA($A6:$M6)=0,"",IF(OR(LEFT(LOWER(TRIM($F6&amp;"")),12)="subscription",LOWER(TRIM($F6&amp;""))="membership"),"",IF($G6="","",IF(ISNUMBER(SEARCH("non",LOWER($E6&amp;""))),$G6*0.85,$G6))))</x:f>
      </x:c>
      <x:c r="O6" s="987" t="str">
        <x:f>IF(COUNTA($A6:$M6)=0,"",IF(OR(LEFT(LOWER(TRIM($F6&amp;"")),12)="subscription",LOWER(TRIM($F6&amp;""))="membership"),"",IF(OR($N6="",$I6="",$I6=0),"",IFERROR($N6/$I6,""))))</x:f>
      </x:c>
      <x:c r="P6" s="987" t="str">
        <x:f>IF(COUNTA($A6:$M6)=0,"",IF(OR(LEFT(LOWER(TRIM($F6&amp;"")),12)="subscription",LOWER(TRIM($F6&amp;""))="membership"),"",IF(LOWER($L6&amp;"")="yes",0,IF(OR(AND($H6&lt;&gt;"",$H6=0),LEFT(LOWER(TRIM($F6&amp;"")),9)="free game",LOWER(TRIM($F6&amp;""))="free",LOWER(TRIM($F6&amp;""))="free entry"),IF(LOWER($D6&amp;"")="finalized",IF(ISNUMBER($K6),$K6,""),IF($O6&lt;&gt;"",$O6,"")),IF($K6&lt;&gt;"",$K6,IF($O6&lt;&gt;"",$O6,""))))))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IF(COUNTA($A6:$M6)=0,"",IF(OR(LEFT(LOWER(TRIM($F6&amp;"")),12)="subscription",LOWER(TRIM($F6&amp;""))="membership"),"Subscription",IF(OR(AND($H6&lt;&gt;"",$H6=0),LEFT(LOWER(TRIM($F6&amp;"")),9)="free game",LOWER(TRIM($F6&amp;""))="free",LOWER(TRIM($F6&amp;""))="free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IF(COUNTA($A7:$M7)=0,"",IF(OR(LEFT(LOWER(TRIM($F7&amp;"")),12)="subscription",LOWER(TRIM($F7&amp;""))="membership"),"",IF($G7="","",IF(ISNUMBER(SEARCH("non",LOWER($E7&amp;""))),$G7*0.85,$G7))))</x:f>
      </x:c>
      <x:c r="O7" s="987" t="str">
        <x:f>IF(COUNTA($A7:$M7)=0,"",IF(OR(LEFT(LOWER(TRIM($F7&amp;"")),12)="subscription",LOWER(TRIM($F7&amp;""))="membership"),"",IF(OR($N7="",$I7="",$I7=0),"",IFERROR($N7/$I7,""))))</x:f>
      </x:c>
      <x:c r="P7" s="987" t="str">
        <x:f>IF(COUNTA($A7:$M7)=0,"",IF(OR(LEFT(LOWER(TRIM($F7&amp;"")),12)="subscription",LOWER(TRIM($F7&amp;""))="membership"),"",IF(LOWER($L7&amp;"")="yes",0,IF(OR(AND($H7&lt;&gt;"",$H7=0),LEFT(LOWER(TRIM($F7&amp;"")),9)="free game",LOWER(TRIM($F7&amp;""))="free",LOWER(TRIM($F7&amp;""))="free entry"),IF(LOWER($D7&amp;"")="finalized",IF(ISNUMBER($K7),$K7,""),IF($O7&lt;&gt;"",$O7,"")),IF($K7&lt;&gt;"",$K7,IF($O7&lt;&gt;"",$O7,""))))))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IF(COUNTA($A7:$M7)=0,"",IF(OR(LEFT(LOWER(TRIM($F7&amp;"")),12)="subscription",LOWER(TRIM($F7&amp;""))="membership"),"Subscription",IF(OR(AND($H7&lt;&gt;"",$H7=0),LEFT(LOWER(TRIM($F7&amp;"")),9)="free game",LOWER(TRIM($F7&amp;""))="free",LOWER(TRIM($F7&amp;""))="free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IF(COUNTA($A8:$M8)=0,"",IF(OR(LEFT(LOWER(TRIM($F8&amp;"")),12)="subscription",LOWER(TRIM($F8&amp;""))="membership"),"",IF($G8="","",IF(ISNUMBER(SEARCH("non",LOWER($E8&amp;""))),$G8*0.85,$G8))))</x:f>
      </x:c>
      <x:c r="O8" s="987" t="str">
        <x:f>IF(COUNTA($A8:$M8)=0,"",IF(OR(LEFT(LOWER(TRIM($F8&amp;"")),12)="subscription",LOWER(TRIM($F8&amp;""))="membership"),"",IF(OR($N8="",$I8="",$I8=0),"",IFERROR($N8/$I8,""))))</x:f>
      </x:c>
      <x:c r="P8" s="987" t="str">
        <x:f>IF(COUNTA($A8:$M8)=0,"",IF(OR(LEFT(LOWER(TRIM($F8&amp;"")),12)="subscription",LOWER(TRIM($F8&amp;""))="membership"),"",IF(LOWER($L8&amp;"")="yes",0,IF(OR(AND($H8&lt;&gt;"",$H8=0),LEFT(LOWER(TRIM($F8&amp;"")),9)="free game",LOWER(TRIM($F8&amp;""))="free",LOWER(TRIM($F8&amp;""))="free entry"),IF(LOWER($D8&amp;"")="finalized",IF(ISNUMBER($K8),$K8,""),IF($O8&lt;&gt;"",$O8,"")),IF($K8&lt;&gt;"",$K8,IF($O8&lt;&gt;"",$O8,""))))))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IF(COUNTA($A8:$M8)=0,"",IF(OR(LEFT(LOWER(TRIM($F8&amp;"")),12)="subscription",LOWER(TRIM($F8&amp;""))="membership"),"Subscription",IF(OR(AND($H8&lt;&gt;"",$H8=0),LEFT(LOWER(TRIM($F8&amp;"")),9)="free game",LOWER(TRIM($F8&amp;""))="free",LOWER(TRIM($F8&amp;""))="free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IF(COUNTA($A9:$M9)=0,"",IF(OR(LEFT(LOWER(TRIM($F9&amp;"")),12)="subscription",LOWER(TRIM($F9&amp;""))="membership"),"",IF($G9="","",IF(ISNUMBER(SEARCH("non",LOWER($E9&amp;""))),$G9*0.85,$G9))))</x:f>
      </x:c>
      <x:c r="O9" s="987" t="str">
        <x:f>IF(COUNTA($A9:$M9)=0,"",IF(OR(LEFT(LOWER(TRIM($F9&amp;"")),12)="subscription",LOWER(TRIM($F9&amp;""))="membership"),"",IF(OR($N9="",$I9="",$I9=0),"",IFERROR($N9/$I9,""))))</x:f>
      </x:c>
      <x:c r="P9" s="987" t="str">
        <x:f>IF(COUNTA($A9:$M9)=0,"",IF(OR(LEFT(LOWER(TRIM($F9&amp;"")),12)="subscription",LOWER(TRIM($F9&amp;""))="membership"),"",IF(LOWER($L9&amp;"")="yes",0,IF(OR(AND($H9&lt;&gt;"",$H9=0),LEFT(LOWER(TRIM($F9&amp;"")),9)="free game",LOWER(TRIM($F9&amp;""))="free",LOWER(TRIM($F9&amp;""))="free entry"),IF(LOWER($D9&amp;"")="finalized",IF(ISNUMBER($K9),$K9,""),IF($O9&lt;&gt;"",$O9,"")),IF($K9&lt;&gt;"",$K9,IF($O9&lt;&gt;"",$O9,""))))))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IF(COUNTA($A9:$M9)=0,"",IF(OR(LEFT(LOWER(TRIM($F9&amp;"")),12)="subscription",LOWER(TRIM($F9&amp;""))="membership"),"Subscription",IF(OR(AND($H9&lt;&gt;"",$H9=0),LEFT(LOWER(TRIM($F9&amp;"")),9)="free game",LOWER(TRIM($F9&amp;""))="free",LOWER(TRIM($F9&amp;""))="free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IF(COUNTA($A10:$M10)=0,"",IF(OR(LEFT(LOWER(TRIM($F10&amp;"")),12)="subscription",LOWER(TRIM($F10&amp;""))="membership"),"",IF($G10="","",IF(ISNUMBER(SEARCH("non",LOWER($E10&amp;""))),$G10*0.85,$G10))))</x:f>
      </x:c>
      <x:c r="O10" s="987" t="str">
        <x:f>IF(COUNTA($A10:$M10)=0,"",IF(OR(LEFT(LOWER(TRIM($F10&amp;"")),12)="subscription",LOWER(TRIM($F10&amp;""))="membership"),"",IF(OR($N10="",$I10="",$I10=0),"",IFERROR($N10/$I10,""))))</x:f>
      </x:c>
      <x:c r="P10" s="987" t="str">
        <x:f>IF(COUNTA($A10:$M10)=0,"",IF(OR(LEFT(LOWER(TRIM($F10&amp;"")),12)="subscription",LOWER(TRIM($F10&amp;""))="membership"),"",IF(LOWER($L10&amp;"")="yes",0,IF(OR(AND($H10&lt;&gt;"",$H10=0),LEFT(LOWER(TRIM($F10&amp;"")),9)="free game",LOWER(TRIM($F10&amp;""))="free",LOWER(TRIM($F10&amp;""))="free entry"),IF(LOWER($D10&amp;"")="finalized",IF(ISNUMBER($K10),$K10,""),IF($O10&lt;&gt;"",$O10,"")),IF($K10&lt;&gt;"",$K10,IF($O10&lt;&gt;"",$O10,""))))))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IF(COUNTA($A10:$M10)=0,"",IF(OR(LEFT(LOWER(TRIM($F10&amp;"")),12)="subscription",LOWER(TRIM($F10&amp;""))="membership"),"Subscription",IF(OR(AND($H10&lt;&gt;"",$H10=0),LEFT(LOWER(TRIM($F10&amp;"")),9)="free game",LOWER(TRIM($F10&amp;""))="free",LOWER(TRIM($F10&amp;""))="free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IF(COUNTA($A11:$M11)=0,"",IF(OR(LEFT(LOWER(TRIM($F11&amp;"")),12)="subscription",LOWER(TRIM($F11&amp;""))="membership"),"",IF($G11="","",IF(ISNUMBER(SEARCH("non",LOWER($E11&amp;""))),$G11*0.85,$G11))))</x:f>
      </x:c>
      <x:c r="O11" s="987" t="str">
        <x:f>IF(COUNTA($A11:$M11)=0,"",IF(OR(LEFT(LOWER(TRIM($F11&amp;"")),12)="subscription",LOWER(TRIM($F11&amp;""))="membership"),"",IF(OR($N11="",$I11="",$I11=0),"",IFERROR($N11/$I11,""))))</x:f>
      </x:c>
      <x:c r="P11" s="987" t="str">
        <x:f>IF(COUNTA($A11:$M11)=0,"",IF(OR(LEFT(LOWER(TRIM($F11&amp;"")),12)="subscription",LOWER(TRIM($F11&amp;""))="membership"),"",IF(LOWER($L11&amp;"")="yes",0,IF(OR(AND($H11&lt;&gt;"",$H11=0),LEFT(LOWER(TRIM($F11&amp;"")),9)="free game",LOWER(TRIM($F11&amp;""))="free",LOWER(TRIM($F11&amp;""))="free entry"),IF(LOWER($D11&amp;"")="finalized",IF(ISNUMBER($K11),$K11,""),IF($O11&lt;&gt;"",$O11,"")),IF($K11&lt;&gt;"",$K11,IF($O11&lt;&gt;"",$O11,""))))))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IF(COUNTA($A11:$M11)=0,"",IF(OR(LEFT(LOWER(TRIM($F11&amp;"")),12)="subscription",LOWER(TRIM($F11&amp;""))="membership"),"Subscription",IF(OR(AND($H11&lt;&gt;"",$H11=0),LEFT(LOWER(TRIM($F11&amp;"")),9)="free game",LOWER(TRIM($F11&amp;""))="free",LOWER(TRIM($F11&amp;""))="free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IF(COUNTA($A12:$M12)=0,"",IF(OR(LEFT(LOWER(TRIM($F12&amp;"")),12)="subscription",LOWER(TRIM($F12&amp;""))="membership"),"",IF($G12="","",IF(ISNUMBER(SEARCH("non",LOWER($E12&amp;""))),$G12*0.85,$G12))))</x:f>
      </x:c>
      <x:c r="O12" s="987" t="str">
        <x:f>IF(COUNTA($A12:$M12)=0,"",IF(OR(LEFT(LOWER(TRIM($F12&amp;"")),12)="subscription",LOWER(TRIM($F12&amp;""))="membership"),"",IF(OR($N12="",$I12="",$I12=0),"",IFERROR($N12/$I12,""))))</x:f>
      </x:c>
      <x:c r="P12" s="987" t="str">
        <x:f>IF(COUNTA($A12:$M12)=0,"",IF(OR(LEFT(LOWER(TRIM($F12&amp;"")),12)="subscription",LOWER(TRIM($F12&amp;""))="membership"),"",IF(LOWER($L12&amp;"")="yes",0,IF(OR(AND($H12&lt;&gt;"",$H12=0),LEFT(LOWER(TRIM($F12&amp;"")),9)="free game",LOWER(TRIM($F12&amp;""))="free",LOWER(TRIM($F12&amp;""))="free entry"),IF(LOWER($D12&amp;"")="finalized",IF(ISNUMBER($K12),$K12,""),IF($O12&lt;&gt;"",$O12,"")),IF($K12&lt;&gt;"",$K12,IF($O12&lt;&gt;"",$O12,""))))))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IF(COUNTA($A12:$M12)=0,"",IF(OR(LEFT(LOWER(TRIM($F12&amp;"")),12)="subscription",LOWER(TRIM($F12&amp;""))="membership"),"Subscription",IF(OR(AND($H12&lt;&gt;"",$H12=0),LEFT(LOWER(TRIM($F12&amp;"")),9)="free game",LOWER(TRIM($F12&amp;""))="free",LOWER(TRIM($F12&amp;""))="free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IF(COUNTA($A13:$M13)=0,"",IF(OR(LEFT(LOWER(TRIM($F13&amp;"")),12)="subscription",LOWER(TRIM($F13&amp;""))="membership"),"",IF($G13="","",IF(ISNUMBER(SEARCH("non",LOWER($E13&amp;""))),$G13*0.85,$G13))))</x:f>
      </x:c>
      <x:c r="O13" s="987" t="str">
        <x:f>IF(COUNTA($A13:$M13)=0,"",IF(OR(LEFT(LOWER(TRIM($F13&amp;"")),12)="subscription",LOWER(TRIM($F13&amp;""))="membership"),"",IF(OR($N13="",$I13="",$I13=0),"",IFERROR($N13/$I13,""))))</x:f>
      </x:c>
      <x:c r="P13" s="987" t="str">
        <x:f>IF(COUNTA($A13:$M13)=0,"",IF(OR(LEFT(LOWER(TRIM($F13&amp;"")),12)="subscription",LOWER(TRIM($F13&amp;""))="membership"),"",IF(LOWER($L13&amp;"")="yes",0,IF(OR(AND($H13&lt;&gt;"",$H13=0),LEFT(LOWER(TRIM($F13&amp;"")),9)="free game",LOWER(TRIM($F13&amp;""))="free",LOWER(TRIM($F13&amp;""))="free entry"),IF(LOWER($D13&amp;"")="finalized",IF(ISNUMBER($K13),$K13,""),IF($O13&lt;&gt;"",$O13,"")),IF($K13&lt;&gt;"",$K13,IF($O13&lt;&gt;"",$O13,""))))))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IF(COUNTA($A13:$M13)=0,"",IF(OR(LEFT(LOWER(TRIM($F13&amp;"")),12)="subscription",LOWER(TRIM($F13&amp;""))="membership"),"Subscription",IF(OR(AND($H13&lt;&gt;"",$H13=0),LEFT(LOWER(TRIM($F13&amp;"")),9)="free game",LOWER(TRIM($F13&amp;""))="free",LOWER(TRIM($F13&amp;""))="free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IF(COUNTA($A14:$M14)=0,"",IF(OR(LEFT(LOWER(TRIM($F14&amp;"")),12)="subscription",LOWER(TRIM($F14&amp;""))="membership"),"",IF($G14="","",IF(ISNUMBER(SEARCH("non",LOWER($E14&amp;""))),$G14*0.85,$G14))))</x:f>
      </x:c>
      <x:c r="O14" s="987" t="str">
        <x:f>IF(COUNTA($A14:$M14)=0,"",IF(OR(LEFT(LOWER(TRIM($F14&amp;"")),12)="subscription",LOWER(TRIM($F14&amp;""))="membership"),"",IF(OR($N14="",$I14="",$I14=0),"",IFERROR($N14/$I14,""))))</x:f>
      </x:c>
      <x:c r="P14" s="987" t="str">
        <x:f>IF(COUNTA($A14:$M14)=0,"",IF(OR(LEFT(LOWER(TRIM($F14&amp;"")),12)="subscription",LOWER(TRIM($F14&amp;""))="membership"),"",IF(LOWER($L14&amp;"")="yes",0,IF(OR(AND($H14&lt;&gt;"",$H14=0),LEFT(LOWER(TRIM($F14&amp;"")),9)="free game",LOWER(TRIM($F14&amp;""))="free",LOWER(TRIM($F14&amp;""))="free entry"),IF(LOWER($D14&amp;"")="finalized",IF(ISNUMBER($K14),$K14,""),IF($O14&lt;&gt;"",$O14,"")),IF($K14&lt;&gt;"",$K14,IF($O14&lt;&gt;"",$O14,""))))))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IF(COUNTA($A14:$M14)=0,"",IF(OR(LEFT(LOWER(TRIM($F14&amp;"")),12)="subscription",LOWER(TRIM($F14&amp;""))="membership"),"Subscription",IF(OR(AND($H14&lt;&gt;"",$H14=0),LEFT(LOWER(TRIM($F14&amp;"")),9)="free game",LOWER(TRIM($F14&amp;""))="free",LOWER(TRIM($F14&amp;""))="free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IF(COUNTA($A15:$M15)=0,"",IF(OR(LEFT(LOWER(TRIM($F15&amp;"")),12)="subscription",LOWER(TRIM($F15&amp;""))="membership"),"",IF($G15="","",IF(ISNUMBER(SEARCH("non",LOWER($E15&amp;""))),$G15*0.85,$G15))))</x:f>
      </x:c>
      <x:c r="O15" s="987" t="str">
        <x:f>IF(COUNTA($A15:$M15)=0,"",IF(OR(LEFT(LOWER(TRIM($F15&amp;"")),12)="subscription",LOWER(TRIM($F15&amp;""))="membership"),"",IF(OR($N15="",$I15="",$I15=0),"",IFERROR($N15/$I15,""))))</x:f>
      </x:c>
      <x:c r="P15" s="987" t="str">
        <x:f>IF(COUNTA($A15:$M15)=0,"",IF(OR(LEFT(LOWER(TRIM($F15&amp;"")),12)="subscription",LOWER(TRIM($F15&amp;""))="membership"),"",IF(LOWER($L15&amp;"")="yes",0,IF(OR(AND($H15&lt;&gt;"",$H15=0),LEFT(LOWER(TRIM($F15&amp;"")),9)="free game",LOWER(TRIM($F15&amp;""))="free",LOWER(TRIM($F15&amp;""))="free entry"),IF(LOWER($D15&amp;"")="finalized",IF(ISNUMBER($K15),$K15,""),IF($O15&lt;&gt;"",$O15,"")),IF($K15&lt;&gt;"",$K15,IF($O15&lt;&gt;"",$O15,""))))))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IF(COUNTA($A15:$M15)=0,"",IF(OR(LEFT(LOWER(TRIM($F15&amp;"")),12)="subscription",LOWER(TRIM($F15&amp;""))="membership"),"Subscription",IF(OR(AND($H15&lt;&gt;"",$H15=0),LEFT(LOWER(TRIM($F15&amp;"")),9)="free game",LOWER(TRIM($F15&amp;""))="free",LOWER(TRIM($F15&amp;""))="free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IF(COUNTA($A16:$M16)=0,"",IF(OR(LEFT(LOWER(TRIM($F16&amp;"")),12)="subscription",LOWER(TRIM($F16&amp;""))="membership"),"",IF($G16="","",IF(ISNUMBER(SEARCH("non",LOWER($E16&amp;""))),$G16*0.85,$G16))))</x:f>
      </x:c>
      <x:c r="O16" s="987" t="str">
        <x:f>IF(COUNTA($A16:$M16)=0,"",IF(OR(LEFT(LOWER(TRIM($F16&amp;"")),12)="subscription",LOWER(TRIM($F16&amp;""))="membership"),"",IF(OR($N16="",$I16="",$I16=0),"",IFERROR($N16/$I16,""))))</x:f>
      </x:c>
      <x:c r="P16" s="987" t="str">
        <x:f>IF(COUNTA($A16:$M16)=0,"",IF(OR(LEFT(LOWER(TRIM($F16&amp;"")),12)="subscription",LOWER(TRIM($F16&amp;""))="membership"),"",IF(LOWER($L16&amp;"")="yes",0,IF(OR(AND($H16&lt;&gt;"",$H16=0),LEFT(LOWER(TRIM($F16&amp;"")),9)="free game",LOWER(TRIM($F16&amp;""))="free",LOWER(TRIM($F16&amp;""))="free entry"),IF(LOWER($D16&amp;"")="finalized",IF(ISNUMBER($K16),$K16,""),IF($O16&lt;&gt;"",$O16,"")),IF($K16&lt;&gt;"",$K16,IF($O16&lt;&gt;"",$O16,""))))))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IF(COUNTA($A16:$M16)=0,"",IF(OR(LEFT(LOWER(TRIM($F16&amp;"")),12)="subscription",LOWER(TRIM($F16&amp;""))="membership"),"Subscription",IF(OR(AND($H16&lt;&gt;"",$H16=0),LEFT(LOWER(TRIM($F16&amp;"")),9)="free game",LOWER(TRIM($F16&amp;""))="free",LOWER(TRIM($F16&amp;""))="free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IF(COUNTA($A17:$M17)=0,"",IF(OR(LEFT(LOWER(TRIM($F17&amp;"")),12)="subscription",LOWER(TRIM($F17&amp;""))="membership"),"",IF($G17="","",IF(ISNUMBER(SEARCH("non",LOWER($E17&amp;""))),$G17*0.85,$G17))))</x:f>
      </x:c>
      <x:c r="O17" s="987" t="str">
        <x:f>IF(COUNTA($A17:$M17)=0,"",IF(OR(LEFT(LOWER(TRIM($F17&amp;"")),12)="subscription",LOWER(TRIM($F17&amp;""))="membership"),"",IF(OR($N17="",$I17="",$I17=0),"",IFERROR($N17/$I17,""))))</x:f>
      </x:c>
      <x:c r="P17" s="987" t="str">
        <x:f>IF(COUNTA($A17:$M17)=0,"",IF(OR(LEFT(LOWER(TRIM($F17&amp;"")),12)="subscription",LOWER(TRIM($F17&amp;""))="membership"),"",IF(LOWER($L17&amp;"")="yes",0,IF(OR(AND($H17&lt;&gt;"",$H17=0),LEFT(LOWER(TRIM($F17&amp;"")),9)="free game",LOWER(TRIM($F17&amp;""))="free",LOWER(TRIM($F17&amp;""))="free entry"),IF(LOWER($D17&amp;"")="finalized",IF(ISNUMBER($K17),$K17,""),IF($O17&lt;&gt;"",$O17,"")),IF($K17&lt;&gt;"",$K17,IF($O17&lt;&gt;"",$O17,""))))))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IF(COUNTA($A17:$M17)=0,"",IF(OR(LEFT(LOWER(TRIM($F17&amp;"")),12)="subscription",LOWER(TRIM($F17&amp;""))="membership"),"Subscription",IF(OR(AND($H17&lt;&gt;"",$H17=0),LEFT(LOWER(TRIM($F17&amp;"")),9)="free game",LOWER(TRIM($F17&amp;""))="free",LOWER(TRIM($F17&amp;""))="free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IF(COUNTA($A18:$M18)=0,"",IF(OR(LEFT(LOWER(TRIM($F18&amp;"")),12)="subscription",LOWER(TRIM($F18&amp;""))="membership"),"",IF($G18="","",IF(ISNUMBER(SEARCH("non",LOWER($E18&amp;""))),$G18*0.85,$G18))))</x:f>
      </x:c>
      <x:c r="O18" s="987" t="str">
        <x:f>IF(COUNTA($A18:$M18)=0,"",IF(OR(LEFT(LOWER(TRIM($F18&amp;"")),12)="subscription",LOWER(TRIM($F18&amp;""))="membership"),"",IF(OR($N18="",$I18="",$I18=0),"",IFERROR($N18/$I18,""))))</x:f>
      </x:c>
      <x:c r="P18" s="987" t="str">
        <x:f>IF(COUNTA($A18:$M18)=0,"",IF(OR(LEFT(LOWER(TRIM($F18&amp;"")),12)="subscription",LOWER(TRIM($F18&amp;""))="membership"),"",IF(LOWER($L18&amp;"")="yes",0,IF(OR(AND($H18&lt;&gt;"",$H18=0),LEFT(LOWER(TRIM($F18&amp;"")),9)="free game",LOWER(TRIM($F18&amp;""))="free",LOWER(TRIM($F18&amp;""))="free entry"),IF(LOWER($D18&amp;"")="finalized",IF(ISNUMBER($K18),$K18,""),IF($O18&lt;&gt;"",$O18,"")),IF($K18&lt;&gt;"",$K18,IF($O18&lt;&gt;"",$O18,""))))))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IF(COUNTA($A18:$M18)=0,"",IF(OR(LEFT(LOWER(TRIM($F18&amp;"")),12)="subscription",LOWER(TRIM($F18&amp;""))="membership"),"Subscription",IF(OR(AND($H18&lt;&gt;"",$H18=0),LEFT(LOWER(TRIM($F18&amp;"")),9)="free game",LOWER(TRIM($F18&amp;""))="free",LOWER(TRIM($F18&amp;""))="free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IF(COUNTA($A19:$M19)=0,"",IF(OR(LEFT(LOWER(TRIM($F19&amp;"")),12)="subscription",LOWER(TRIM($F19&amp;""))="membership"),"",IF($G19="","",IF(ISNUMBER(SEARCH("non",LOWER($E19&amp;""))),$G19*0.85,$G19))))</x:f>
      </x:c>
      <x:c r="O19" s="987" t="str">
        <x:f>IF(COUNTA($A19:$M19)=0,"",IF(OR(LEFT(LOWER(TRIM($F19&amp;"")),12)="subscription",LOWER(TRIM($F19&amp;""))="membership"),"",IF(OR($N19="",$I19="",$I19=0),"",IFERROR($N19/$I19,""))))</x:f>
      </x:c>
      <x:c r="P19" s="987" t="str">
        <x:f>IF(COUNTA($A19:$M19)=0,"",IF(OR(LEFT(LOWER(TRIM($F19&amp;"")),12)="subscription",LOWER(TRIM($F19&amp;""))="membership"),"",IF(LOWER($L19&amp;"")="yes",0,IF(OR(AND($H19&lt;&gt;"",$H19=0),LEFT(LOWER(TRIM($F19&amp;"")),9)="free game",LOWER(TRIM($F19&amp;""))="free",LOWER(TRIM($F19&amp;""))="free entry"),IF(LOWER($D19&amp;"")="finalized",IF(ISNUMBER($K19),$K19,""),IF($O19&lt;&gt;"",$O19,"")),IF($K19&lt;&gt;"",$K19,IF($O19&lt;&gt;"",$O19,""))))))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IF(COUNTA($A19:$M19)=0,"",IF(OR(LEFT(LOWER(TRIM($F19&amp;"")),12)="subscription",LOWER(TRIM($F19&amp;""))="membership"),"Subscription",IF(OR(AND($H19&lt;&gt;"",$H19=0),LEFT(LOWER(TRIM($F19&amp;"")),9)="free game",LOWER(TRIM($F19&amp;""))="free",LOWER(TRIM($F19&amp;""))="free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IF(COUNTA($A20:$M20)=0,"",IF(OR(LEFT(LOWER(TRIM($F20&amp;"")),12)="subscription",LOWER(TRIM($F20&amp;""))="membership"),"",IF($G20="","",IF(ISNUMBER(SEARCH("non",LOWER($E20&amp;""))),$G20*0.85,$G20))))</x:f>
      </x:c>
      <x:c r="O20" s="987" t="str">
        <x:f>IF(COUNTA($A20:$M20)=0,"",IF(OR(LEFT(LOWER(TRIM($F20&amp;"")),12)="subscription",LOWER(TRIM($F20&amp;""))="membership"),"",IF(OR($N20="",$I20="",$I20=0),"",IFERROR($N20/$I20,""))))</x:f>
      </x:c>
      <x:c r="P20" s="987" t="str">
        <x:f>IF(COUNTA($A20:$M20)=0,"",IF(OR(LEFT(LOWER(TRIM($F20&amp;"")),12)="subscription",LOWER(TRIM($F20&amp;""))="membership"),"",IF(LOWER($L20&amp;"")="yes",0,IF(OR(AND($H20&lt;&gt;"",$H20=0),LEFT(LOWER(TRIM($F20&amp;"")),9)="free game",LOWER(TRIM($F20&amp;""))="free",LOWER(TRIM($F20&amp;""))="free entry"),IF(LOWER($D20&amp;"")="finalized",IF(ISNUMBER($K20),$K20,""),IF($O20&lt;&gt;"",$O20,"")),IF($K20&lt;&gt;"",$K20,IF($O20&lt;&gt;"",$O20,""))))))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IF(COUNTA($A20:$M20)=0,"",IF(OR(LEFT(LOWER(TRIM($F20&amp;"")),12)="subscription",LOWER(TRIM($F20&amp;""))="membership"),"Subscription",IF(OR(AND($H20&lt;&gt;"",$H20=0),LEFT(LOWER(TRIM($F20&amp;"")),9)="free game",LOWER(TRIM($F20&amp;""))="free",LOWER(TRIM($F20&amp;""))="free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IF(COUNTA($A21:$M21)=0,"",IF(OR(LEFT(LOWER(TRIM($F21&amp;"")),12)="subscription",LOWER(TRIM($F21&amp;""))="membership"),"",IF($G21="","",IF(ISNUMBER(SEARCH("non",LOWER($E21&amp;""))),$G21*0.85,$G21))))</x:f>
      </x:c>
      <x:c r="O21" s="987" t="str">
        <x:f>IF(COUNTA($A21:$M21)=0,"",IF(OR(LEFT(LOWER(TRIM($F21&amp;"")),12)="subscription",LOWER(TRIM($F21&amp;""))="membership"),"",IF(OR($N21="",$I21="",$I21=0),"",IFERROR($N21/$I21,""))))</x:f>
      </x:c>
      <x:c r="P21" s="987" t="str">
        <x:f>IF(COUNTA($A21:$M21)=0,"",IF(OR(LEFT(LOWER(TRIM($F21&amp;"")),12)="subscription",LOWER(TRIM($F21&amp;""))="membership"),"",IF(LOWER($L21&amp;"")="yes",0,IF(OR(AND($H21&lt;&gt;"",$H21=0),LEFT(LOWER(TRIM($F21&amp;"")),9)="free game",LOWER(TRIM($F21&amp;""))="free",LOWER(TRIM($F21&amp;""))="free entry"),IF(LOWER($D21&amp;"")="finalized",IF(ISNUMBER($K21),$K21,""),IF($O21&lt;&gt;"",$O21,"")),IF($K21&lt;&gt;"",$K21,IF($O21&lt;&gt;"",$O21,""))))))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IF(COUNTA($A21:$M21)=0,"",IF(OR(LEFT(LOWER(TRIM($F21&amp;"")),12)="subscription",LOWER(TRIM($F21&amp;""))="membership"),"Subscription",IF(OR(AND($H21&lt;&gt;"",$H21=0),LEFT(LOWER(TRIM($F21&amp;"")),9)="free game",LOWER(TRIM($F21&amp;""))="free",LOWER(TRIM($F21&amp;""))="free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IF(COUNTA($A22:$M22)=0,"",IF(OR(LEFT(LOWER(TRIM($F22&amp;"")),12)="subscription",LOWER(TRIM($F22&amp;""))="membership"),"",IF($G22="","",IF(ISNUMBER(SEARCH("non",LOWER($E22&amp;""))),$G22*0.85,$G22))))</x:f>
      </x:c>
      <x:c r="O22" s="987" t="str">
        <x:f>IF(COUNTA($A22:$M22)=0,"",IF(OR(LEFT(LOWER(TRIM($F22&amp;"")),12)="subscription",LOWER(TRIM($F22&amp;""))="membership"),"",IF(OR($N22="",$I22="",$I22=0),"",IFERROR($N22/$I22,""))))</x:f>
      </x:c>
      <x:c r="P22" s="987" t="str">
        <x:f>IF(COUNTA($A22:$M22)=0,"",IF(OR(LEFT(LOWER(TRIM($F22&amp;"")),12)="subscription",LOWER(TRIM($F22&amp;""))="membership"),"",IF(LOWER($L22&amp;"")="yes",0,IF(OR(AND($H22&lt;&gt;"",$H22=0),LEFT(LOWER(TRIM($F22&amp;"")),9)="free game",LOWER(TRIM($F22&amp;""))="free",LOWER(TRIM($F22&amp;""))="free entry"),IF(LOWER($D22&amp;"")="finalized",IF(ISNUMBER($K22),$K22,""),IF($O22&lt;&gt;"",$O22,"")),IF($K22&lt;&gt;"",$K22,IF($O22&lt;&gt;"",$O22,""))))))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IF(COUNTA($A22:$M22)=0,"",IF(OR(LEFT(LOWER(TRIM($F22&amp;"")),12)="subscription",LOWER(TRIM($F22&amp;""))="membership"),"Subscription",IF(OR(AND($H22&lt;&gt;"",$H22=0),LEFT(LOWER(TRIM($F22&amp;"")),9)="free game",LOWER(TRIM($F22&amp;""))="free",LOWER(TRIM($F22&amp;""))="free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IF(COUNTA($A23:$M23)=0,"",IF(OR(LEFT(LOWER(TRIM($F23&amp;"")),12)="subscription",LOWER(TRIM($F23&amp;""))="membership"),"",IF($G23="","",IF(ISNUMBER(SEARCH("non",LOWER($E23&amp;""))),$G23*0.85,$G23))))</x:f>
      </x:c>
      <x:c r="O23" s="987" t="str">
        <x:f>IF(COUNTA($A23:$M23)=0,"",IF(OR(LEFT(LOWER(TRIM($F23&amp;"")),12)="subscription",LOWER(TRIM($F23&amp;""))="membership"),"",IF(OR($N23="",$I23="",$I23=0),"",IFERROR($N23/$I23,""))))</x:f>
      </x:c>
      <x:c r="P23" s="987" t="str">
        <x:f>IF(COUNTA($A23:$M23)=0,"",IF(OR(LEFT(LOWER(TRIM($F23&amp;"")),12)="subscription",LOWER(TRIM($F23&amp;""))="membership"),"",IF(LOWER($L23&amp;"")="yes",0,IF(OR(AND($H23&lt;&gt;"",$H23=0),LEFT(LOWER(TRIM($F23&amp;"")),9)="free game",LOWER(TRIM($F23&amp;""))="free",LOWER(TRIM($F23&amp;""))="free entry"),IF(LOWER($D23&amp;"")="finalized",IF(ISNUMBER($K23),$K23,""),IF($O23&lt;&gt;"",$O23,"")),IF($K23&lt;&gt;"",$K23,IF($O23&lt;&gt;"",$O23,""))))))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IF(COUNTA($A23:$M23)=0,"",IF(OR(LEFT(LOWER(TRIM($F23&amp;"")),12)="subscription",LOWER(TRIM($F23&amp;""))="membership"),"Subscription",IF(OR(AND($H23&lt;&gt;"",$H23=0),LEFT(LOWER(TRIM($F23&amp;"")),9)="free game",LOWER(TRIM($F23&amp;""))="free",LOWER(TRIM($F23&amp;""))="free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IF(COUNTA($A24:$M24)=0,"",IF(OR(LEFT(LOWER(TRIM($F24&amp;"")),12)="subscription",LOWER(TRIM($F24&amp;""))="membership"),"",IF($G24="","",IF(ISNUMBER(SEARCH("non",LOWER($E24&amp;""))),$G24*0.85,$G24))))</x:f>
      </x:c>
      <x:c r="O24" s="987" t="str">
        <x:f>IF(COUNTA($A24:$M24)=0,"",IF(OR(LEFT(LOWER(TRIM($F24&amp;"")),12)="subscription",LOWER(TRIM($F24&amp;""))="membership"),"",IF(OR($N24="",$I24="",$I24=0),"",IFERROR($N24/$I24,""))))</x:f>
      </x:c>
      <x:c r="P24" s="987" t="str">
        <x:f>IF(COUNTA($A24:$M24)=0,"",IF(OR(LEFT(LOWER(TRIM($F24&amp;"")),12)="subscription",LOWER(TRIM($F24&amp;""))="membership"),"",IF(LOWER($L24&amp;"")="yes",0,IF(OR(AND($H24&lt;&gt;"",$H24=0),LEFT(LOWER(TRIM($F24&amp;"")),9)="free game",LOWER(TRIM($F24&amp;""))="free",LOWER(TRIM($F24&amp;""))="free entry"),IF(LOWER($D24&amp;"")="finalized",IF(ISNUMBER($K24),$K24,""),IF($O24&lt;&gt;"",$O24,"")),IF($K24&lt;&gt;"",$K24,IF($O24&lt;&gt;"",$O24,""))))))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IF(COUNTA($A24:$M24)=0,"",IF(OR(LEFT(LOWER(TRIM($F24&amp;"")),12)="subscription",LOWER(TRIM($F24&amp;""))="membership"),"Subscription",IF(OR(AND($H24&lt;&gt;"",$H24=0),LEFT(LOWER(TRIM($F24&amp;"")),9)="free game",LOWER(TRIM($F24&amp;""))="free",LOWER(TRIM($F24&amp;""))="free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IF(COUNTA($A25:$M25)=0,"",IF(OR(LEFT(LOWER(TRIM($F25&amp;"")),12)="subscription",LOWER(TRIM($F25&amp;""))="membership"),"",IF($G25="","",IF(ISNUMBER(SEARCH("non",LOWER($E25&amp;""))),$G25*0.85,$G25))))</x:f>
      </x:c>
      <x:c r="O25" s="987" t="str">
        <x:f>IF(COUNTA($A25:$M25)=0,"",IF(OR(LEFT(LOWER(TRIM($F25&amp;"")),12)="subscription",LOWER(TRIM($F25&amp;""))="membership"),"",IF(OR($N25="",$I25="",$I25=0),"",IFERROR($N25/$I25,""))))</x:f>
      </x:c>
      <x:c r="P25" s="987" t="str">
        <x:f>IF(COUNTA($A25:$M25)=0,"",IF(OR(LEFT(LOWER(TRIM($F25&amp;"")),12)="subscription",LOWER(TRIM($F25&amp;""))="membership"),"",IF(LOWER($L25&amp;"")="yes",0,IF(OR(AND($H25&lt;&gt;"",$H25=0),LEFT(LOWER(TRIM($F25&amp;"")),9)="free game",LOWER(TRIM($F25&amp;""))="free",LOWER(TRIM($F25&amp;""))="free entry"),IF(LOWER($D25&amp;"")="finalized",IF(ISNUMBER($K25),$K25,""),IF($O25&lt;&gt;"",$O25,"")),IF($K25&lt;&gt;"",$K25,IF($O25&lt;&gt;"",$O25,""))))))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IF(COUNTA($A25:$M25)=0,"",IF(OR(LEFT(LOWER(TRIM($F25&amp;"")),12)="subscription",LOWER(TRIM($F25&amp;""))="membership"),"Subscription",IF(OR(AND($H25&lt;&gt;"",$H25=0),LEFT(LOWER(TRIM($F25&amp;"")),9)="free game",LOWER(TRIM($F25&amp;""))="free",LOWER(TRIM($F25&amp;""))="free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IF(COUNTA($A26:$M26)=0,"",IF(OR(LEFT(LOWER(TRIM($F26&amp;"")),12)="subscription",LOWER(TRIM($F26&amp;""))="membership"),"",IF($G26="","",IF(ISNUMBER(SEARCH("non",LOWER($E26&amp;""))),$G26*0.85,$G26))))</x:f>
      </x:c>
      <x:c r="O26" s="987" t="str">
        <x:f>IF(COUNTA($A26:$M26)=0,"",IF(OR(LEFT(LOWER(TRIM($F26&amp;"")),12)="subscription",LOWER(TRIM($F26&amp;""))="membership"),"",IF(OR($N26="",$I26="",$I26=0),"",IFERROR($N26/$I26,""))))</x:f>
      </x:c>
      <x:c r="P26" s="987" t="str">
        <x:f>IF(COUNTA($A26:$M26)=0,"",IF(OR(LEFT(LOWER(TRIM($F26&amp;"")),12)="subscription",LOWER(TRIM($F26&amp;""))="membership"),"",IF(LOWER($L26&amp;"")="yes",0,IF(OR(AND($H26&lt;&gt;"",$H26=0),LEFT(LOWER(TRIM($F26&amp;"")),9)="free game",LOWER(TRIM($F26&amp;""))="free",LOWER(TRIM($F26&amp;""))="free entry"),IF(LOWER($D26&amp;"")="finalized",IF(ISNUMBER($K26),$K26,""),IF($O26&lt;&gt;"",$O26,"")),IF($K26&lt;&gt;"",$K26,IF($O26&lt;&gt;"",$O26,""))))))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IF(COUNTA($A26:$M26)=0,"",IF(OR(LEFT(LOWER(TRIM($F26&amp;"")),12)="subscription",LOWER(TRIM($F26&amp;""))="membership"),"Subscription",IF(OR(AND($H26&lt;&gt;"",$H26=0),LEFT(LOWER(TRIM($F26&amp;"")),9)="free game",LOWER(TRIM($F26&amp;""))="free",LOWER(TRIM($F26&amp;""))="free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IF(COUNTA($A27:$M27)=0,"",IF(OR(LEFT(LOWER(TRIM($F27&amp;"")),12)="subscription",LOWER(TRIM($F27&amp;""))="membership"),"",IF($G27="","",IF(ISNUMBER(SEARCH("non",LOWER($E27&amp;""))),$G27*0.85,$G27))))</x:f>
      </x:c>
      <x:c r="O27" s="987" t="str">
        <x:f>IF(COUNTA($A27:$M27)=0,"",IF(OR(LEFT(LOWER(TRIM($F27&amp;"")),12)="subscription",LOWER(TRIM($F27&amp;""))="membership"),"",IF(OR($N27="",$I27="",$I27=0),"",IFERROR($N27/$I27,""))))</x:f>
      </x:c>
      <x:c r="P27" s="987" t="str">
        <x:f>IF(COUNTA($A27:$M27)=0,"",IF(OR(LEFT(LOWER(TRIM($F27&amp;"")),12)="subscription",LOWER(TRIM($F27&amp;""))="membership"),"",IF(LOWER($L27&amp;"")="yes",0,IF(OR(AND($H27&lt;&gt;"",$H27=0),LEFT(LOWER(TRIM($F27&amp;"")),9)="free game",LOWER(TRIM($F27&amp;""))="free",LOWER(TRIM($F27&amp;""))="free entry"),IF(LOWER($D27&amp;"")="finalized",IF(ISNUMBER($K27),$K27,""),IF($O27&lt;&gt;"",$O27,"")),IF($K27&lt;&gt;"",$K27,IF($O27&lt;&gt;"",$O27,""))))))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IF(COUNTA($A27:$M27)=0,"",IF(OR(LEFT(LOWER(TRIM($F27&amp;"")),12)="subscription",LOWER(TRIM($F27&amp;""))="membership"),"Subscription",IF(OR(AND($H27&lt;&gt;"",$H27=0),LEFT(LOWER(TRIM($F27&amp;"")),9)="free game",LOWER(TRIM($F27&amp;""))="free",LOWER(TRIM($F27&amp;""))="free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IF(COUNTA($A28:$M28)=0,"",IF(OR(LEFT(LOWER(TRIM($F28&amp;"")),12)="subscription",LOWER(TRIM($F28&amp;""))="membership"),"",IF($G28="","",IF(ISNUMBER(SEARCH("non",LOWER($E28&amp;""))),$G28*0.85,$G28))))</x:f>
      </x:c>
      <x:c r="O28" s="987" t="str">
        <x:f>IF(COUNTA($A28:$M28)=0,"",IF(OR(LEFT(LOWER(TRIM($F28&amp;"")),12)="subscription",LOWER(TRIM($F28&amp;""))="membership"),"",IF(OR($N28="",$I28="",$I28=0),"",IFERROR($N28/$I28,""))))</x:f>
      </x:c>
      <x:c r="P28" s="987" t="str">
        <x:f>IF(COUNTA($A28:$M28)=0,"",IF(OR(LEFT(LOWER(TRIM($F28&amp;"")),12)="subscription",LOWER(TRIM($F28&amp;""))="membership"),"",IF(LOWER($L28&amp;"")="yes",0,IF(OR(AND($H28&lt;&gt;"",$H28=0),LEFT(LOWER(TRIM($F28&amp;"")),9)="free game",LOWER(TRIM($F28&amp;""))="free",LOWER(TRIM($F28&amp;""))="free entry"),IF(LOWER($D28&amp;"")="finalized",IF(ISNUMBER($K28),$K28,""),IF($O28&lt;&gt;"",$O28,"")),IF($K28&lt;&gt;"",$K28,IF($O28&lt;&gt;"",$O28,""))))))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IF(COUNTA($A28:$M28)=0,"",IF(OR(LEFT(LOWER(TRIM($F28&amp;"")),12)="subscription",LOWER(TRIM($F28&amp;""))="membership"),"Subscription",IF(OR(AND($H28&lt;&gt;"",$H28=0),LEFT(LOWER(TRIM($F28&amp;"")),9)="free game",LOWER(TRIM($F28&amp;""))="free",LOWER(TRIM($F28&amp;""))="free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IF(COUNTA($A29:$M29)=0,"",IF(OR(LEFT(LOWER(TRIM($F29&amp;"")),12)="subscription",LOWER(TRIM($F29&amp;""))="membership"),"",IF($G29="","",IF(ISNUMBER(SEARCH("non",LOWER($E29&amp;""))),$G29*0.85,$G29))))</x:f>
      </x:c>
      <x:c r="O29" s="987" t="str">
        <x:f>IF(COUNTA($A29:$M29)=0,"",IF(OR(LEFT(LOWER(TRIM($F29&amp;"")),12)="subscription",LOWER(TRIM($F29&amp;""))="membership"),"",IF(OR($N29="",$I29="",$I29=0),"",IFERROR($N29/$I29,""))))</x:f>
      </x:c>
      <x:c r="P29" s="987" t="str">
        <x:f>IF(COUNTA($A29:$M29)=0,"",IF(OR(LEFT(LOWER(TRIM($F29&amp;"")),12)="subscription",LOWER(TRIM($F29&amp;""))="membership"),"",IF(LOWER($L29&amp;"")="yes",0,IF(OR(AND($H29&lt;&gt;"",$H29=0),LEFT(LOWER(TRIM($F29&amp;"")),9)="free game",LOWER(TRIM($F29&amp;""))="free",LOWER(TRIM($F29&amp;""))="free entry"),IF(LOWER($D29&amp;"")="finalized",IF(ISNUMBER($K29),$K29,""),IF($O29&lt;&gt;"",$O29,"")),IF($K29&lt;&gt;"",$K29,IF($O29&lt;&gt;"",$O29,""))))))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IF(COUNTA($A29:$M29)=0,"",IF(OR(LEFT(LOWER(TRIM($F29&amp;"")),12)="subscription",LOWER(TRIM($F29&amp;""))="membership"),"Subscription",IF(OR(AND($H29&lt;&gt;"",$H29=0),LEFT(LOWER(TRIM($F29&amp;"")),9)="free game",LOWER(TRIM($F29&amp;""))="free",LOWER(TRIM($F29&amp;""))="free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IF(COUNTA($A30:$M30)=0,"",IF(OR(LEFT(LOWER(TRIM($F30&amp;"")),12)="subscription",LOWER(TRIM($F30&amp;""))="membership"),"",IF($G30="","",IF(ISNUMBER(SEARCH("non",LOWER($E30&amp;""))),$G30*0.85,$G30))))</x:f>
      </x:c>
      <x:c r="O30" s="987" t="str">
        <x:f>IF(COUNTA($A30:$M30)=0,"",IF(OR(LEFT(LOWER(TRIM($F30&amp;"")),12)="subscription",LOWER(TRIM($F30&amp;""))="membership"),"",IF(OR($N30="",$I30="",$I30=0),"",IFERROR($N30/$I30,""))))</x:f>
      </x:c>
      <x:c r="P30" s="987" t="str">
        <x:f>IF(COUNTA($A30:$M30)=0,"",IF(OR(LEFT(LOWER(TRIM($F30&amp;"")),12)="subscription",LOWER(TRIM($F30&amp;""))="membership"),"",IF(LOWER($L30&amp;"")="yes",0,IF(OR(AND($H30&lt;&gt;"",$H30=0),LEFT(LOWER(TRIM($F30&amp;"")),9)="free game",LOWER(TRIM($F30&amp;""))="free",LOWER(TRIM($F30&amp;""))="free entry"),IF(LOWER($D30&amp;"")="finalized",IF(ISNUMBER($K30),$K30,""),IF($O30&lt;&gt;"",$O30,"")),IF($K30&lt;&gt;"",$K30,IF($O30&lt;&gt;"",$O30,""))))))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IF(COUNTA($A30:$M30)=0,"",IF(OR(LEFT(LOWER(TRIM($F30&amp;"")),12)="subscription",LOWER(TRIM($F30&amp;""))="membership"),"Subscription",IF(OR(AND($H30&lt;&gt;"",$H30=0),LEFT(LOWER(TRIM($F30&amp;"")),9)="free game",LOWER(TRIM($F30&amp;""))="free",LOWER(TRIM($F30&amp;""))="free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IF(COUNTA($A31:$M31)=0,"",IF(OR(LEFT(LOWER(TRIM($F31&amp;"")),12)="subscription",LOWER(TRIM($F31&amp;""))="membership"),"",IF($G31="","",IF(ISNUMBER(SEARCH("non",LOWER($E31&amp;""))),$G31*0.85,$G31))))</x:f>
      </x:c>
      <x:c r="O31" s="987" t="str">
        <x:f>IF(COUNTA($A31:$M31)=0,"",IF(OR(LEFT(LOWER(TRIM($F31&amp;"")),12)="subscription",LOWER(TRIM($F31&amp;""))="membership"),"",IF(OR($N31="",$I31="",$I31=0),"",IFERROR($N31/$I31,""))))</x:f>
      </x:c>
      <x:c r="P31" s="987" t="str">
        <x:f>IF(COUNTA($A31:$M31)=0,"",IF(OR(LEFT(LOWER(TRIM($F31&amp;"")),12)="subscription",LOWER(TRIM($F31&amp;""))="membership"),"",IF(LOWER($L31&amp;"")="yes",0,IF(OR(AND($H31&lt;&gt;"",$H31=0),LEFT(LOWER(TRIM($F31&amp;"")),9)="free game",LOWER(TRIM($F31&amp;""))="free",LOWER(TRIM($F31&amp;""))="free entry"),IF(LOWER($D31&amp;"")="finalized",IF(ISNUMBER($K31),$K31,""),IF($O31&lt;&gt;"",$O31,"")),IF($K31&lt;&gt;"",$K31,IF($O31&lt;&gt;"",$O31,""))))))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IF(COUNTA($A31:$M31)=0,"",IF(OR(LEFT(LOWER(TRIM($F31&amp;"")),12)="subscription",LOWER(TRIM($F31&amp;""))="membership"),"Subscription",IF(OR(AND($H31&lt;&gt;"",$H31=0),LEFT(LOWER(TRIM($F31&amp;"")),9)="free game",LOWER(TRIM($F31&amp;""))="free",LOWER(TRIM($F31&amp;""))="free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IF(COUNTA($A32:$M32)=0,"",IF(OR(LEFT(LOWER(TRIM($F32&amp;"")),12)="subscription",LOWER(TRIM($F32&amp;""))="membership"),"",IF($G32="","",IF(ISNUMBER(SEARCH("non",LOWER($E32&amp;""))),$G32*0.85,$G32))))</x:f>
      </x:c>
      <x:c r="O32" s="987" t="str">
        <x:f>IF(COUNTA($A32:$M32)=0,"",IF(OR(LEFT(LOWER(TRIM($F32&amp;"")),12)="subscription",LOWER(TRIM($F32&amp;""))="membership"),"",IF(OR($N32="",$I32="",$I32=0),"",IFERROR($N32/$I32,""))))</x:f>
      </x:c>
      <x:c r="P32" s="987" t="str">
        <x:f>IF(COUNTA($A32:$M32)=0,"",IF(OR(LEFT(LOWER(TRIM($F32&amp;"")),12)="subscription",LOWER(TRIM($F32&amp;""))="membership"),"",IF(LOWER($L32&amp;"")="yes",0,IF(OR(AND($H32&lt;&gt;"",$H32=0),LEFT(LOWER(TRIM($F32&amp;"")),9)="free game",LOWER(TRIM($F32&amp;""))="free",LOWER(TRIM($F32&amp;""))="free entry"),IF(LOWER($D32&amp;"")="finalized",IF(ISNUMBER($K32),$K32,""),IF($O32&lt;&gt;"",$O32,"")),IF($K32&lt;&gt;"",$K32,IF($O32&lt;&gt;"",$O32,""))))))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IF(COUNTA($A32:$M32)=0,"",IF(OR(LEFT(LOWER(TRIM($F32&amp;"")),12)="subscription",LOWER(TRIM($F32&amp;""))="membership"),"Subscription",IF(OR(AND($H32&lt;&gt;"",$H32=0),LEFT(LOWER(TRIM($F32&amp;"")),9)="free game",LOWER(TRIM($F32&amp;""))="free",LOWER(TRIM($F32&amp;""))="free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IF(COUNTA($A33:$M33)=0,"",IF(OR(LEFT(LOWER(TRIM($F33&amp;"")),12)="subscription",LOWER(TRIM($F33&amp;""))="membership"),"",IF($G33="","",IF(ISNUMBER(SEARCH("non",LOWER($E33&amp;""))),$G33*0.85,$G33))))</x:f>
      </x:c>
      <x:c r="O33" s="987" t="str">
        <x:f>IF(COUNTA($A33:$M33)=0,"",IF(OR(LEFT(LOWER(TRIM($F33&amp;"")),12)="subscription",LOWER(TRIM($F33&amp;""))="membership"),"",IF(OR($N33="",$I33="",$I33=0),"",IFERROR($N33/$I33,""))))</x:f>
      </x:c>
      <x:c r="P33" s="987" t="str">
        <x:f>IF(COUNTA($A33:$M33)=0,"",IF(OR(LEFT(LOWER(TRIM($F33&amp;"")),12)="subscription",LOWER(TRIM($F33&amp;""))="membership"),"",IF(LOWER($L33&amp;"")="yes",0,IF(OR(AND($H33&lt;&gt;"",$H33=0),LEFT(LOWER(TRIM($F33&amp;"")),9)="free game",LOWER(TRIM($F33&amp;""))="free",LOWER(TRIM($F33&amp;""))="free entry"),IF(LOWER($D33&amp;"")="finalized",IF(ISNUMBER($K33),$K33,""),IF($O33&lt;&gt;"",$O33,"")),IF($K33&lt;&gt;"",$K33,IF($O33&lt;&gt;"",$O33,""))))))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IF(COUNTA($A33:$M33)=0,"",IF(OR(LEFT(LOWER(TRIM($F33&amp;"")),12)="subscription",LOWER(TRIM($F33&amp;""))="membership"),"Subscription",IF(OR(AND($H33&lt;&gt;"",$H33=0),LEFT(LOWER(TRIM($F33&amp;"")),9)="free game",LOWER(TRIM($F33&amp;""))="free",LOWER(TRIM($F33&amp;""))="free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IF(COUNTA($A34:$M34)=0,"",IF(OR(LEFT(LOWER(TRIM($F34&amp;"")),12)="subscription",LOWER(TRIM($F34&amp;""))="membership"),"",IF($G34="","",IF(ISNUMBER(SEARCH("non",LOWER($E34&amp;""))),$G34*0.85,$G34))))</x:f>
      </x:c>
      <x:c r="O34" s="987" t="str">
        <x:f>IF(COUNTA($A34:$M34)=0,"",IF(OR(LEFT(LOWER(TRIM($F34&amp;"")),12)="subscription",LOWER(TRIM($F34&amp;""))="membership"),"",IF(OR($N34="",$I34="",$I34=0),"",IFERROR($N34/$I34,""))))</x:f>
      </x:c>
      <x:c r="P34" s="987" t="str">
        <x:f>IF(COUNTA($A34:$M34)=0,"",IF(OR(LEFT(LOWER(TRIM($F34&amp;"")),12)="subscription",LOWER(TRIM($F34&amp;""))="membership"),"",IF(LOWER($L34&amp;"")="yes",0,IF(OR(AND($H34&lt;&gt;"",$H34=0),LEFT(LOWER(TRIM($F34&amp;"")),9)="free game",LOWER(TRIM($F34&amp;""))="free",LOWER(TRIM($F34&amp;""))="free entry"),IF(LOWER($D34&amp;"")="finalized",IF(ISNUMBER($K34),$K34,""),IF($O34&lt;&gt;"",$O34,"")),IF($K34&lt;&gt;"",$K34,IF($O34&lt;&gt;"",$O34,""))))))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IF(COUNTA($A34:$M34)=0,"",IF(OR(LEFT(LOWER(TRIM($F34&amp;"")),12)="subscription",LOWER(TRIM($F34&amp;""))="membership"),"Subscription",IF(OR(AND($H34&lt;&gt;"",$H34=0),LEFT(LOWER(TRIM($F34&amp;"")),9)="free game",LOWER(TRIM($F34&amp;""))="free",LOWER(TRIM($F34&amp;""))="free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IF(COUNTA($A35:$M35)=0,"",IF(OR(LEFT(LOWER(TRIM($F35&amp;"")),12)="subscription",LOWER(TRIM($F35&amp;""))="membership"),"",IF($G35="","",IF(ISNUMBER(SEARCH("non",LOWER($E35&amp;""))),$G35*0.85,$G35))))</x:f>
      </x:c>
      <x:c r="O35" s="987" t="str">
        <x:f>IF(COUNTA($A35:$M35)=0,"",IF(OR(LEFT(LOWER(TRIM($F35&amp;"")),12)="subscription",LOWER(TRIM($F35&amp;""))="membership"),"",IF(OR($N35="",$I35="",$I35=0),"",IFERROR($N35/$I35,""))))</x:f>
      </x:c>
      <x:c r="P35" s="987" t="str">
        <x:f>IF(COUNTA($A35:$M35)=0,"",IF(OR(LEFT(LOWER(TRIM($F35&amp;"")),12)="subscription",LOWER(TRIM($F35&amp;""))="membership"),"",IF(LOWER($L35&amp;"")="yes",0,IF(OR(AND($H35&lt;&gt;"",$H35=0),LEFT(LOWER(TRIM($F35&amp;"")),9)="free game",LOWER(TRIM($F35&amp;""))="free",LOWER(TRIM($F35&amp;""))="free entry"),IF(LOWER($D35&amp;"")="finalized",IF(ISNUMBER($K35),$K35,""),IF($O35&lt;&gt;"",$O35,"")),IF($K35&lt;&gt;"",$K35,IF($O35&lt;&gt;"",$O35,""))))))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IF(COUNTA($A35:$M35)=0,"",IF(OR(LEFT(LOWER(TRIM($F35&amp;"")),12)="subscription",LOWER(TRIM($F35&amp;""))="membership"),"Subscription",IF(OR(AND($H35&lt;&gt;"",$H35=0),LEFT(LOWER(TRIM($F35&amp;"")),9)="free game",LOWER(TRIM($F35&amp;""))="free",LOWER(TRIM($F35&amp;""))="free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IF(COUNTA($A36:$M36)=0,"",IF(OR(LEFT(LOWER(TRIM($F36&amp;"")),12)="subscription",LOWER(TRIM($F36&amp;""))="membership"),"",IF($G36="","",IF(ISNUMBER(SEARCH("non",LOWER($E36&amp;""))),$G36*0.85,$G36))))</x:f>
      </x:c>
      <x:c r="O36" s="987" t="str">
        <x:f>IF(COUNTA($A36:$M36)=0,"",IF(OR(LEFT(LOWER(TRIM($F36&amp;"")),12)="subscription",LOWER(TRIM($F36&amp;""))="membership"),"",IF(OR($N36="",$I36="",$I36=0),"",IFERROR($N36/$I36,""))))</x:f>
      </x:c>
      <x:c r="P36" s="987" t="str">
        <x:f>IF(COUNTA($A36:$M36)=0,"",IF(OR(LEFT(LOWER(TRIM($F36&amp;"")),12)="subscription",LOWER(TRIM($F36&amp;""))="membership"),"",IF(LOWER($L36&amp;"")="yes",0,IF(OR(AND($H36&lt;&gt;"",$H36=0),LEFT(LOWER(TRIM($F36&amp;"")),9)="free game",LOWER(TRIM($F36&amp;""))="free",LOWER(TRIM($F36&amp;""))="free entry"),IF(LOWER($D36&amp;"")="finalized",IF(ISNUMBER($K36),$K36,""),IF($O36&lt;&gt;"",$O36,"")),IF($K36&lt;&gt;"",$K36,IF($O36&lt;&gt;"",$O36,""))))))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IF(COUNTA($A36:$M36)=0,"",IF(OR(LEFT(LOWER(TRIM($F36&amp;"")),12)="subscription",LOWER(TRIM($F36&amp;""))="membership"),"Subscription",IF(OR(AND($H36&lt;&gt;"",$H36=0),LEFT(LOWER(TRIM($F36&amp;"")),9)="free game",LOWER(TRIM($F36&amp;""))="free",LOWER(TRIM($F36&amp;""))="free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IF(COUNTA($A37:$M37)=0,"",IF(OR(LEFT(LOWER(TRIM($F37&amp;"")),12)="subscription",LOWER(TRIM($F37&amp;""))="membership"),"",IF($G37="","",IF(ISNUMBER(SEARCH("non",LOWER($E37&amp;""))),$G37*0.85,$G37))))</x:f>
      </x:c>
      <x:c r="O37" s="987" t="str">
        <x:f>IF(COUNTA($A37:$M37)=0,"",IF(OR(LEFT(LOWER(TRIM($F37&amp;"")),12)="subscription",LOWER(TRIM($F37&amp;""))="membership"),"",IF(OR($N37="",$I37="",$I37=0),"",IFERROR($N37/$I37,""))))</x:f>
      </x:c>
      <x:c r="P37" s="987" t="str">
        <x:f>IF(COUNTA($A37:$M37)=0,"",IF(OR(LEFT(LOWER(TRIM($F37&amp;"")),12)="subscription",LOWER(TRIM($F37&amp;""))="membership"),"",IF(LOWER($L37&amp;"")="yes",0,IF(OR(AND($H37&lt;&gt;"",$H37=0),LEFT(LOWER(TRIM($F37&amp;"")),9)="free game",LOWER(TRIM($F37&amp;""))="free",LOWER(TRIM($F37&amp;""))="free entry"),IF(LOWER($D37&amp;"")="finalized",IF(ISNUMBER($K37),$K37,""),IF($O37&lt;&gt;"",$O37,"")),IF($K37&lt;&gt;"",$K37,IF($O37&lt;&gt;"",$O37,""))))))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IF(COUNTA($A37:$M37)=0,"",IF(OR(LEFT(LOWER(TRIM($F37&amp;"")),12)="subscription",LOWER(TRIM($F37&amp;""))="membership"),"Subscription",IF(OR(AND($H37&lt;&gt;"",$H37=0),LEFT(LOWER(TRIM($F37&amp;"")),9)="free game",LOWER(TRIM($F37&amp;""))="free",LOWER(TRIM($F37&amp;""))="free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IF(COUNTA($A38:$M38)=0,"",IF(OR(LEFT(LOWER(TRIM($F38&amp;"")),12)="subscription",LOWER(TRIM($F38&amp;""))="membership"),"",IF($G38="","",IF(ISNUMBER(SEARCH("non",LOWER($E38&amp;""))),$G38*0.85,$G38))))</x:f>
      </x:c>
      <x:c r="O38" s="987" t="str">
        <x:f>IF(COUNTA($A38:$M38)=0,"",IF(OR(LEFT(LOWER(TRIM($F38&amp;"")),12)="subscription",LOWER(TRIM($F38&amp;""))="membership"),"",IF(OR($N38="",$I38="",$I38=0),"",IFERROR($N38/$I38,""))))</x:f>
      </x:c>
      <x:c r="P38" s="987" t="str">
        <x:f>IF(COUNTA($A38:$M38)=0,"",IF(OR(LEFT(LOWER(TRIM($F38&amp;"")),12)="subscription",LOWER(TRIM($F38&amp;""))="membership"),"",IF(LOWER($L38&amp;"")="yes",0,IF(OR(AND($H38&lt;&gt;"",$H38=0),LEFT(LOWER(TRIM($F38&amp;"")),9)="free game",LOWER(TRIM($F38&amp;""))="free",LOWER(TRIM($F38&amp;""))="free entry"),IF(LOWER($D38&amp;"")="finalized",IF(ISNUMBER($K38),$K38,""),IF($O38&lt;&gt;"",$O38,"")),IF($K38&lt;&gt;"",$K38,IF($O38&lt;&gt;"",$O38,""))))))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IF(COUNTA($A38:$M38)=0,"",IF(OR(LEFT(LOWER(TRIM($F38&amp;"")),12)="subscription",LOWER(TRIM($F38&amp;""))="membership"),"Subscription",IF(OR(AND($H38&lt;&gt;"",$H38=0),LEFT(LOWER(TRIM($F38&amp;"")),9)="free game",LOWER(TRIM($F38&amp;""))="free",LOWER(TRIM($F38&amp;""))="free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IF(COUNTA($A39:$M39)=0,"",IF(OR(LEFT(LOWER(TRIM($F39&amp;"")),12)="subscription",LOWER(TRIM($F39&amp;""))="membership"),"",IF($G39="","",IF(ISNUMBER(SEARCH("non",LOWER($E39&amp;""))),$G39*0.85,$G39))))</x:f>
      </x:c>
      <x:c r="O39" s="987" t="str">
        <x:f>IF(COUNTA($A39:$M39)=0,"",IF(OR(LEFT(LOWER(TRIM($F39&amp;"")),12)="subscription",LOWER(TRIM($F39&amp;""))="membership"),"",IF(OR($N39="",$I39="",$I39=0),"",IFERROR($N39/$I39,""))))</x:f>
      </x:c>
      <x:c r="P39" s="987" t="str">
        <x:f>IF(COUNTA($A39:$M39)=0,"",IF(OR(LEFT(LOWER(TRIM($F39&amp;"")),12)="subscription",LOWER(TRIM($F39&amp;""))="membership"),"",IF(LOWER($L39&amp;"")="yes",0,IF(OR(AND($H39&lt;&gt;"",$H39=0),LEFT(LOWER(TRIM($F39&amp;"")),9)="free game",LOWER(TRIM($F39&amp;""))="free",LOWER(TRIM($F39&amp;""))="free entry"),IF(LOWER($D39&amp;"")="finalized",IF(ISNUMBER($K39),$K39,""),IF($O39&lt;&gt;"",$O39,"")),IF($K39&lt;&gt;"",$K39,IF($O39&lt;&gt;"",$O39,""))))))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IF(COUNTA($A39:$M39)=0,"",IF(OR(LEFT(LOWER(TRIM($F39&amp;"")),12)="subscription",LOWER(TRIM($F39&amp;""))="membership"),"Subscription",IF(OR(AND($H39&lt;&gt;"",$H39=0),LEFT(LOWER(TRIM($F39&amp;"")),9)="free game",LOWER(TRIM($F39&amp;""))="free",LOWER(TRIM($F39&amp;""))="free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IF(COUNTA($A40:$M40)=0,"",IF(OR(LEFT(LOWER(TRIM($F40&amp;"")),12)="subscription",LOWER(TRIM($F40&amp;""))="membership"),"",IF($G40="","",IF(ISNUMBER(SEARCH("non",LOWER($E40&amp;""))),$G40*0.85,$G40))))</x:f>
      </x:c>
      <x:c r="O40" s="987" t="str">
        <x:f>IF(COUNTA($A40:$M40)=0,"",IF(OR(LEFT(LOWER(TRIM($F40&amp;"")),12)="subscription",LOWER(TRIM($F40&amp;""))="membership"),"",IF(OR($N40="",$I40="",$I40=0),"",IFERROR($N40/$I40,""))))</x:f>
      </x:c>
      <x:c r="P40" s="987" t="str">
        <x:f>IF(COUNTA($A40:$M40)=0,"",IF(OR(LEFT(LOWER(TRIM($F40&amp;"")),12)="subscription",LOWER(TRIM($F40&amp;""))="membership"),"",IF(LOWER($L40&amp;"")="yes",0,IF(OR(AND($H40&lt;&gt;"",$H40=0),LEFT(LOWER(TRIM($F40&amp;"")),9)="free game",LOWER(TRIM($F40&amp;""))="free",LOWER(TRIM($F40&amp;""))="free entry"),IF(LOWER($D40&amp;"")="finalized",IF(ISNUMBER($K40),$K40,""),IF($O40&lt;&gt;"",$O40,"")),IF($K40&lt;&gt;"",$K40,IF($O40&lt;&gt;"",$O40,""))))))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IF(COUNTA($A40:$M40)=0,"",IF(OR(LEFT(LOWER(TRIM($F40&amp;"")),12)="subscription",LOWER(TRIM($F40&amp;""))="membership"),"Subscription",IF(OR(AND($H40&lt;&gt;"",$H40=0),LEFT(LOWER(TRIM($F40&amp;"")),9)="free game",LOWER(TRIM($F40&amp;""))="free",LOWER(TRIM($F40&amp;""))="free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IF(COUNTA($A41:$M41)=0,"",IF(OR(LEFT(LOWER(TRIM($F41&amp;"")),12)="subscription",LOWER(TRIM($F41&amp;""))="membership"),"",IF($G41="","",IF(ISNUMBER(SEARCH("non",LOWER($E41&amp;""))),$G41*0.85,$G41))))</x:f>
      </x:c>
      <x:c r="O41" s="987" t="str">
        <x:f>IF(COUNTA($A41:$M41)=0,"",IF(OR(LEFT(LOWER(TRIM($F41&amp;"")),12)="subscription",LOWER(TRIM($F41&amp;""))="membership"),"",IF(OR($N41="",$I41="",$I41=0),"",IFERROR($N41/$I41,""))))</x:f>
      </x:c>
      <x:c r="P41" s="987" t="str">
        <x:f>IF(COUNTA($A41:$M41)=0,"",IF(OR(LEFT(LOWER(TRIM($F41&amp;"")),12)="subscription",LOWER(TRIM($F41&amp;""))="membership"),"",IF(LOWER($L41&amp;"")="yes",0,IF(OR(AND($H41&lt;&gt;"",$H41=0),LEFT(LOWER(TRIM($F41&amp;"")),9)="free game",LOWER(TRIM($F41&amp;""))="free",LOWER(TRIM($F41&amp;""))="free entry"),IF(LOWER($D41&amp;"")="finalized",IF(ISNUMBER($K41),$K41,""),IF($O41&lt;&gt;"",$O41,"")),IF($K41&lt;&gt;"",$K41,IF($O41&lt;&gt;"",$O41,""))))))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IF(COUNTA($A41:$M41)=0,"",IF(OR(LEFT(LOWER(TRIM($F41&amp;"")),12)="subscription",LOWER(TRIM($F41&amp;""))="membership"),"Subscription",IF(OR(AND($H41&lt;&gt;"",$H41=0),LEFT(LOWER(TRIM($F41&amp;"")),9)="free game",LOWER(TRIM($F41&amp;""))="free",LOWER(TRIM($F41&amp;""))="free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IF(COUNTA($A42:$M42)=0,"",IF(OR(LEFT(LOWER(TRIM($F42&amp;"")),12)="subscription",LOWER(TRIM($F42&amp;""))="membership"),"",IF($G42="","",IF(ISNUMBER(SEARCH("non",LOWER($E42&amp;""))),$G42*0.85,$G42))))</x:f>
      </x:c>
      <x:c r="O42" s="987" t="str">
        <x:f>IF(COUNTA($A42:$M42)=0,"",IF(OR(LEFT(LOWER(TRIM($F42&amp;"")),12)="subscription",LOWER(TRIM($F42&amp;""))="membership"),"",IF(OR($N42="",$I42="",$I42=0),"",IFERROR($N42/$I42,""))))</x:f>
      </x:c>
      <x:c r="P42" s="987" t="str">
        <x:f>IF(COUNTA($A42:$M42)=0,"",IF(OR(LEFT(LOWER(TRIM($F42&amp;"")),12)="subscription",LOWER(TRIM($F42&amp;""))="membership"),"",IF(LOWER($L42&amp;"")="yes",0,IF(OR(AND($H42&lt;&gt;"",$H42=0),LEFT(LOWER(TRIM($F42&amp;"")),9)="free game",LOWER(TRIM($F42&amp;""))="free",LOWER(TRIM($F42&amp;""))="free entry"),IF(LOWER($D42&amp;"")="finalized",IF(ISNUMBER($K42),$K42,""),IF($O42&lt;&gt;"",$O42,"")),IF($K42&lt;&gt;"",$K42,IF($O42&lt;&gt;"",$O42,""))))))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IF(COUNTA($A42:$M42)=0,"",IF(OR(LEFT(LOWER(TRIM($F42&amp;"")),12)="subscription",LOWER(TRIM($F42&amp;""))="membership"),"Subscription",IF(OR(AND($H42&lt;&gt;"",$H42=0),LEFT(LOWER(TRIM($F42&amp;"")),9)="free game",LOWER(TRIM($F42&amp;""))="free",LOWER(TRIM($F42&amp;""))="free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IF(COUNTA($A43:$M43)=0,"",IF(OR(LEFT(LOWER(TRIM($F43&amp;"")),12)="subscription",LOWER(TRIM($F43&amp;""))="membership"),"",IF($G43="","",IF(ISNUMBER(SEARCH("non",LOWER($E43&amp;""))),$G43*0.85,$G43))))</x:f>
      </x:c>
      <x:c r="O43" s="987" t="str">
        <x:f>IF(COUNTA($A43:$M43)=0,"",IF(OR(LEFT(LOWER(TRIM($F43&amp;"")),12)="subscription",LOWER(TRIM($F43&amp;""))="membership"),"",IF(OR($N43="",$I43="",$I43=0),"",IFERROR($N43/$I43,""))))</x:f>
      </x:c>
      <x:c r="P43" s="987" t="str">
        <x:f>IF(COUNTA($A43:$M43)=0,"",IF(OR(LEFT(LOWER(TRIM($F43&amp;"")),12)="subscription",LOWER(TRIM($F43&amp;""))="membership"),"",IF(LOWER($L43&amp;"")="yes",0,IF(OR(AND($H43&lt;&gt;"",$H43=0),LEFT(LOWER(TRIM($F43&amp;"")),9)="free game",LOWER(TRIM($F43&amp;""))="free",LOWER(TRIM($F43&amp;""))="free entry"),IF(LOWER($D43&amp;"")="finalized",IF(ISNUMBER($K43),$K43,""),IF($O43&lt;&gt;"",$O43,"")),IF($K43&lt;&gt;"",$K43,IF($O43&lt;&gt;"",$O43,""))))))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IF(COUNTA($A43:$M43)=0,"",IF(OR(LEFT(LOWER(TRIM($F43&amp;"")),12)="subscription",LOWER(TRIM($F43&amp;""))="membership"),"Subscription",IF(OR(AND($H43&lt;&gt;"",$H43=0),LEFT(LOWER(TRIM($F43&amp;"")),9)="free game",LOWER(TRIM($F43&amp;""))="free",LOWER(TRIM($F43&amp;""))="free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IF(COUNTA($A44:$M44)=0,"",IF(OR(LEFT(LOWER(TRIM($F44&amp;"")),12)="subscription",LOWER(TRIM($F44&amp;""))="membership"),"",IF($G44="","",IF(ISNUMBER(SEARCH("non",LOWER($E44&amp;""))),$G44*0.85,$G44))))</x:f>
      </x:c>
      <x:c r="O44" s="987" t="str">
        <x:f>IF(COUNTA($A44:$M44)=0,"",IF(OR(LEFT(LOWER(TRIM($F44&amp;"")),12)="subscription",LOWER(TRIM($F44&amp;""))="membership"),"",IF(OR($N44="",$I44="",$I44=0),"",IFERROR($N44/$I44,""))))</x:f>
      </x:c>
      <x:c r="P44" s="987" t="str">
        <x:f>IF(COUNTA($A44:$M44)=0,"",IF(OR(LEFT(LOWER(TRIM($F44&amp;"")),12)="subscription",LOWER(TRIM($F44&amp;""))="membership"),"",IF(LOWER($L44&amp;"")="yes",0,IF(OR(AND($H44&lt;&gt;"",$H44=0),LEFT(LOWER(TRIM($F44&amp;"")),9)="free game",LOWER(TRIM($F44&amp;""))="free",LOWER(TRIM($F44&amp;""))="free entry"),IF(LOWER($D44&amp;"")="finalized",IF(ISNUMBER($K44),$K44,""),IF($O44&lt;&gt;"",$O44,"")),IF($K44&lt;&gt;"",$K44,IF($O44&lt;&gt;"",$O44,""))))))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IF(COUNTA($A44:$M44)=0,"",IF(OR(LEFT(LOWER(TRIM($F44&amp;"")),12)="subscription",LOWER(TRIM($F44&amp;""))="membership"),"Subscription",IF(OR(AND($H44&lt;&gt;"",$H44=0),LEFT(LOWER(TRIM($F44&amp;"")),9)="free game",LOWER(TRIM($F44&amp;""))="free",LOWER(TRIM($F44&amp;""))="free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IF(COUNTA($A45:$M45)=0,"",IF(OR(LEFT(LOWER(TRIM($F45&amp;"")),12)="subscription",LOWER(TRIM($F45&amp;""))="membership"),"",IF($G45="","",IF(ISNUMBER(SEARCH("non",LOWER($E45&amp;""))),$G45*0.85,$G45))))</x:f>
      </x:c>
      <x:c r="O45" s="987" t="str">
        <x:f>IF(COUNTA($A45:$M45)=0,"",IF(OR(LEFT(LOWER(TRIM($F45&amp;"")),12)="subscription",LOWER(TRIM($F45&amp;""))="membership"),"",IF(OR($N45="",$I45="",$I45=0),"",IFERROR($N45/$I45,""))))</x:f>
      </x:c>
      <x:c r="P45" s="987" t="str">
        <x:f>IF(COUNTA($A45:$M45)=0,"",IF(OR(LEFT(LOWER(TRIM($F45&amp;"")),12)="subscription",LOWER(TRIM($F45&amp;""))="membership"),"",IF(LOWER($L45&amp;"")="yes",0,IF(OR(AND($H45&lt;&gt;"",$H45=0),LEFT(LOWER(TRIM($F45&amp;"")),9)="free game",LOWER(TRIM($F45&amp;""))="free",LOWER(TRIM($F45&amp;""))="free entry"),IF(LOWER($D45&amp;"")="finalized",IF(ISNUMBER($K45),$K45,""),IF($O45&lt;&gt;"",$O45,"")),IF($K45&lt;&gt;"",$K45,IF($O45&lt;&gt;"",$O45,""))))))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IF(COUNTA($A45:$M45)=0,"",IF(OR(LEFT(LOWER(TRIM($F45&amp;"")),12)="subscription",LOWER(TRIM($F45&amp;""))="membership"),"Subscription",IF(OR(AND($H45&lt;&gt;"",$H45=0),LEFT(LOWER(TRIM($F45&amp;"")),9)="free game",LOWER(TRIM($F45&amp;""))="free",LOWER(TRIM($F45&amp;""))="free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IF(COUNTA($A46:$M46)=0,"",IF(OR(LEFT(LOWER(TRIM($F46&amp;"")),12)="subscription",LOWER(TRIM($F46&amp;""))="membership"),"",IF($G46="","",IF(ISNUMBER(SEARCH("non",LOWER($E46&amp;""))),$G46*0.85,$G46))))</x:f>
      </x:c>
      <x:c r="O46" s="987" t="str">
        <x:f>IF(COUNTA($A46:$M46)=0,"",IF(OR(LEFT(LOWER(TRIM($F46&amp;"")),12)="subscription",LOWER(TRIM($F46&amp;""))="membership"),"",IF(OR($N46="",$I46="",$I46=0),"",IFERROR($N46/$I46,""))))</x:f>
      </x:c>
      <x:c r="P46" s="987" t="str">
        <x:f>IF(COUNTA($A46:$M46)=0,"",IF(OR(LEFT(LOWER(TRIM($F46&amp;"")),12)="subscription",LOWER(TRIM($F46&amp;""))="membership"),"",IF(LOWER($L46&amp;"")="yes",0,IF(OR(AND($H46&lt;&gt;"",$H46=0),LEFT(LOWER(TRIM($F46&amp;"")),9)="free game",LOWER(TRIM($F46&amp;""))="free",LOWER(TRIM($F46&amp;""))="free entry"),IF(LOWER($D46&amp;"")="finalized",IF(ISNUMBER($K46),$K46,""),IF($O46&lt;&gt;"",$O46,"")),IF($K46&lt;&gt;"",$K46,IF($O46&lt;&gt;"",$O46,""))))))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IF(COUNTA($A46:$M46)=0,"",IF(OR(LEFT(LOWER(TRIM($F46&amp;"")),12)="subscription",LOWER(TRIM($F46&amp;""))="membership"),"Subscription",IF(OR(AND($H46&lt;&gt;"",$H46=0),LEFT(LOWER(TRIM($F46&amp;"")),9)="free game",LOWER(TRIM($F46&amp;""))="free",LOWER(TRIM($F46&amp;""))="free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IF(COUNTA($A47:$M47)=0,"",IF(OR(LEFT(LOWER(TRIM($F47&amp;"")),12)="subscription",LOWER(TRIM($F47&amp;""))="membership"),"",IF($G47="","",IF(ISNUMBER(SEARCH("non",LOWER($E47&amp;""))),$G47*0.85,$G47))))</x:f>
      </x:c>
      <x:c r="O47" s="987" t="str">
        <x:f>IF(COUNTA($A47:$M47)=0,"",IF(OR(LEFT(LOWER(TRIM($F47&amp;"")),12)="subscription",LOWER(TRIM($F47&amp;""))="membership"),"",IF(OR($N47="",$I47="",$I47=0),"",IFERROR($N47/$I47,""))))</x:f>
      </x:c>
      <x:c r="P47" s="987" t="str">
        <x:f>IF(COUNTA($A47:$M47)=0,"",IF(OR(LEFT(LOWER(TRIM($F47&amp;"")),12)="subscription",LOWER(TRIM($F47&amp;""))="membership"),"",IF(LOWER($L47&amp;"")="yes",0,IF(OR(AND($H47&lt;&gt;"",$H47=0),LEFT(LOWER(TRIM($F47&amp;"")),9)="free game",LOWER(TRIM($F47&amp;""))="free",LOWER(TRIM($F47&amp;""))="free entry"),IF(LOWER($D47&amp;"")="finalized",IF(ISNUMBER($K47),$K47,""),IF($O47&lt;&gt;"",$O47,"")),IF($K47&lt;&gt;"",$K47,IF($O47&lt;&gt;"",$O47,""))))))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IF(COUNTA($A47:$M47)=0,"",IF(OR(LEFT(LOWER(TRIM($F47&amp;"")),12)="subscription",LOWER(TRIM($F47&amp;""))="membership"),"Subscription",IF(OR(AND($H47&lt;&gt;"",$H47=0),LEFT(LOWER(TRIM($F47&amp;"")),9)="free game",LOWER(TRIM($F47&amp;""))="free",LOWER(TRIM($F47&amp;""))="free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IF(COUNTA($A48:$M48)=0,"",IF(OR(LEFT(LOWER(TRIM($F48&amp;"")),12)="subscription",LOWER(TRIM($F48&amp;""))="membership"),"",IF($G48="","",IF(ISNUMBER(SEARCH("non",LOWER($E48&amp;""))),$G48*0.85,$G48))))</x:f>
      </x:c>
      <x:c r="O48" s="987" t="str">
        <x:f>IF(COUNTA($A48:$M48)=0,"",IF(OR(LEFT(LOWER(TRIM($F48&amp;"")),12)="subscription",LOWER(TRIM($F48&amp;""))="membership"),"",IF(OR($N48="",$I48="",$I48=0),"",IFERROR($N48/$I48,""))))</x:f>
      </x:c>
      <x:c r="P48" s="987" t="str">
        <x:f>IF(COUNTA($A48:$M48)=0,"",IF(OR(LEFT(LOWER(TRIM($F48&amp;"")),12)="subscription",LOWER(TRIM($F48&amp;""))="membership"),"",IF(LOWER($L48&amp;"")="yes",0,IF(OR(AND($H48&lt;&gt;"",$H48=0),LEFT(LOWER(TRIM($F48&amp;"")),9)="free game",LOWER(TRIM($F48&amp;""))="free",LOWER(TRIM($F48&amp;""))="free entry"),IF(LOWER($D48&amp;"")="finalized",IF(ISNUMBER($K48),$K48,""),IF($O48&lt;&gt;"",$O48,"")),IF($K48&lt;&gt;"",$K48,IF($O48&lt;&gt;"",$O48,""))))))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IF(COUNTA($A48:$M48)=0,"",IF(OR(LEFT(LOWER(TRIM($F48&amp;"")),12)="subscription",LOWER(TRIM($F48&amp;""))="membership"),"Subscription",IF(OR(AND($H48&lt;&gt;"",$H48=0),LEFT(LOWER(TRIM($F48&amp;"")),9)="free game",LOWER(TRIM($F48&amp;""))="free",LOWER(TRIM($F48&amp;""))="free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IF(COUNTA($A49:$M49)=0,"",IF(OR(LEFT(LOWER(TRIM($F49&amp;"")),12)="subscription",LOWER(TRIM($F49&amp;""))="membership"),"",IF($G49="","",IF(ISNUMBER(SEARCH("non",LOWER($E49&amp;""))),$G49*0.85,$G49))))</x:f>
      </x:c>
      <x:c r="O49" s="987" t="str">
        <x:f>IF(COUNTA($A49:$M49)=0,"",IF(OR(LEFT(LOWER(TRIM($F49&amp;"")),12)="subscription",LOWER(TRIM($F49&amp;""))="membership"),"",IF(OR($N49="",$I49="",$I49=0),"",IFERROR($N49/$I49,""))))</x:f>
      </x:c>
      <x:c r="P49" s="987" t="str">
        <x:f>IF(COUNTA($A49:$M49)=0,"",IF(OR(LEFT(LOWER(TRIM($F49&amp;"")),12)="subscription",LOWER(TRIM($F49&amp;""))="membership"),"",IF(LOWER($L49&amp;"")="yes",0,IF(OR(AND($H49&lt;&gt;"",$H49=0),LEFT(LOWER(TRIM($F49&amp;"")),9)="free game",LOWER(TRIM($F49&amp;""))="free",LOWER(TRIM($F49&amp;""))="free entry"),IF(LOWER($D49&amp;"")="finalized",IF(ISNUMBER($K49),$K49,""),IF($O49&lt;&gt;"",$O49,"")),IF($K49&lt;&gt;"",$K49,IF($O49&lt;&gt;"",$O49,""))))))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IF(COUNTA($A49:$M49)=0,"",IF(OR(LEFT(LOWER(TRIM($F49&amp;"")),12)="subscription",LOWER(TRIM($F49&amp;""))="membership"),"Subscription",IF(OR(AND($H49&lt;&gt;"",$H49=0),LEFT(LOWER(TRIM($F49&amp;"")),9)="free game",LOWER(TRIM($F49&amp;""))="free",LOWER(TRIM($F49&amp;""))="free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IF(COUNTA($A50:$M50)=0,"",IF(OR(LEFT(LOWER(TRIM($F50&amp;"")),12)="subscription",LOWER(TRIM($F50&amp;""))="membership"),"",IF($G50="","",IF(ISNUMBER(SEARCH("non",LOWER($E50&amp;""))),$G50*0.85,$G50))))</x:f>
      </x:c>
      <x:c r="O50" s="987" t="str">
        <x:f>IF(COUNTA($A50:$M50)=0,"",IF(OR(LEFT(LOWER(TRIM($F50&amp;"")),12)="subscription",LOWER(TRIM($F50&amp;""))="membership"),"",IF(OR($N50="",$I50="",$I50=0),"",IFERROR($N50/$I50,""))))</x:f>
      </x:c>
      <x:c r="P50" s="987" t="str">
        <x:f>IF(COUNTA($A50:$M50)=0,"",IF(OR(LEFT(LOWER(TRIM($F50&amp;"")),12)="subscription",LOWER(TRIM($F50&amp;""))="membership"),"",IF(LOWER($L50&amp;"")="yes",0,IF(OR(AND($H50&lt;&gt;"",$H50=0),LEFT(LOWER(TRIM($F50&amp;"")),9)="free game",LOWER(TRIM($F50&amp;""))="free",LOWER(TRIM($F50&amp;""))="free entry"),IF(LOWER($D50&amp;"")="finalized",IF(ISNUMBER($K50),$K50,""),IF($O50&lt;&gt;"",$O50,"")),IF($K50&lt;&gt;"",$K50,IF($O50&lt;&gt;"",$O50,""))))))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IF(COUNTA($A50:$M50)=0,"",IF(OR(LEFT(LOWER(TRIM($F50&amp;"")),12)="subscription",LOWER(TRIM($F50&amp;""))="membership"),"Subscription",IF(OR(AND($H50&lt;&gt;"",$H50=0),LEFT(LOWER(TRIM($F50&amp;"")),9)="free game",LOWER(TRIM($F50&amp;""))="free",LOWER(TRIM($F50&amp;""))="free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IF(COUNTA($A51:$M51)=0,"",IF(OR(LEFT(LOWER(TRIM($F51&amp;"")),12)="subscription",LOWER(TRIM($F51&amp;""))="membership"),"",IF($G51="","",IF(ISNUMBER(SEARCH("non",LOWER($E51&amp;""))),$G51*0.85,$G51))))</x:f>
      </x:c>
      <x:c r="O51" s="987" t="str">
        <x:f>IF(COUNTA($A51:$M51)=0,"",IF(OR(LEFT(LOWER(TRIM($F51&amp;"")),12)="subscription",LOWER(TRIM($F51&amp;""))="membership"),"",IF(OR($N51="",$I51="",$I51=0),"",IFERROR($N51/$I51,""))))</x:f>
      </x:c>
      <x:c r="P51" s="987" t="str">
        <x:f>IF(COUNTA($A51:$M51)=0,"",IF(OR(LEFT(LOWER(TRIM($F51&amp;"")),12)="subscription",LOWER(TRIM($F51&amp;""))="membership"),"",IF(LOWER($L51&amp;"")="yes",0,IF(OR(AND($H51&lt;&gt;"",$H51=0),LEFT(LOWER(TRIM($F51&amp;"")),9)="free game",LOWER(TRIM($F51&amp;""))="free",LOWER(TRIM($F51&amp;""))="free entry"),IF(LOWER($D51&amp;"")="finalized",IF(ISNUMBER($K51),$K51,""),IF($O51&lt;&gt;"",$O51,"")),IF($K51&lt;&gt;"",$K51,IF($O51&lt;&gt;"",$O51,""))))))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IF(COUNTA($A51:$M51)=0,"",IF(OR(LEFT(LOWER(TRIM($F51&amp;"")),12)="subscription",LOWER(TRIM($F51&amp;""))="membership"),"Subscription",IF(OR(AND($H51&lt;&gt;"",$H51=0),LEFT(LOWER(TRIM($F51&amp;"")),9)="free game",LOWER(TRIM($F51&amp;""))="free",LOWER(TRIM($F51&amp;""))="free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IF(COUNTA($A52:$M52)=0,"",IF(OR(LEFT(LOWER(TRIM($F52&amp;"")),12)="subscription",LOWER(TRIM($F52&amp;""))="membership"),"",IF($G52="","",IF(ISNUMBER(SEARCH("non",LOWER($E52&amp;""))),$G52*0.85,$G52))))</x:f>
      </x:c>
      <x:c r="O52" s="987" t="str">
        <x:f>IF(COUNTA($A52:$M52)=0,"",IF(OR(LEFT(LOWER(TRIM($F52&amp;"")),12)="subscription",LOWER(TRIM($F52&amp;""))="membership"),"",IF(OR($N52="",$I52="",$I52=0),"",IFERROR($N52/$I52,""))))</x:f>
      </x:c>
      <x:c r="P52" s="987" t="str">
        <x:f>IF(COUNTA($A52:$M52)=0,"",IF(OR(LEFT(LOWER(TRIM($F52&amp;"")),12)="subscription",LOWER(TRIM($F52&amp;""))="membership"),"",IF(LOWER($L52&amp;"")="yes",0,IF(OR(AND($H52&lt;&gt;"",$H52=0),LEFT(LOWER(TRIM($F52&amp;"")),9)="free game",LOWER(TRIM($F52&amp;""))="free",LOWER(TRIM($F52&amp;""))="free entry"),IF(LOWER($D52&amp;"")="finalized",IF(ISNUMBER($K52),$K52,""),IF($O52&lt;&gt;"",$O52,"")),IF($K52&lt;&gt;"",$K52,IF($O52&lt;&gt;"",$O52,""))))))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IF(COUNTA($A52:$M52)=0,"",IF(OR(LEFT(LOWER(TRIM($F52&amp;"")),12)="subscription",LOWER(TRIM($F52&amp;""))="membership"),"Subscription",IF(OR(AND($H52&lt;&gt;"",$H52=0),LEFT(LOWER(TRIM($F52&amp;"")),9)="free game",LOWER(TRIM($F52&amp;""))="free",LOWER(TRIM($F52&amp;""))="free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IF(COUNTA($A53:$M53)=0,"",IF(OR(LEFT(LOWER(TRIM($F53&amp;"")),12)="subscription",LOWER(TRIM($F53&amp;""))="membership"),"",IF($G53="","",IF(ISNUMBER(SEARCH("non",LOWER($E53&amp;""))),$G53*0.85,$G53))))</x:f>
      </x:c>
      <x:c r="O53" s="987" t="str">
        <x:f>IF(COUNTA($A53:$M53)=0,"",IF(OR(LEFT(LOWER(TRIM($F53&amp;"")),12)="subscription",LOWER(TRIM($F53&amp;""))="membership"),"",IF(OR($N53="",$I53="",$I53=0),"",IFERROR($N53/$I53,""))))</x:f>
      </x:c>
      <x:c r="P53" s="987" t="str">
        <x:f>IF(COUNTA($A53:$M53)=0,"",IF(OR(LEFT(LOWER(TRIM($F53&amp;"")),12)="subscription",LOWER(TRIM($F53&amp;""))="membership"),"",IF(LOWER($L53&amp;"")="yes",0,IF(OR(AND($H53&lt;&gt;"",$H53=0),LEFT(LOWER(TRIM($F53&amp;"")),9)="free game",LOWER(TRIM($F53&amp;""))="free",LOWER(TRIM($F53&amp;""))="free entry"),IF(LOWER($D53&amp;"")="finalized",IF(ISNUMBER($K53),$K53,""),IF($O53&lt;&gt;"",$O53,"")),IF($K53&lt;&gt;"",$K53,IF($O53&lt;&gt;"",$O53,""))))))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IF(COUNTA($A53:$M53)=0,"",IF(OR(LEFT(LOWER(TRIM($F53&amp;"")),12)="subscription",LOWER(TRIM($F53&amp;""))="membership"),"Subscription",IF(OR(AND($H53&lt;&gt;"",$H53=0),LEFT(LOWER(TRIM($F53&amp;"")),9)="free game",LOWER(TRIM($F53&amp;""))="free",LOWER(TRIM($F53&amp;""))="free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IF(COUNTA($A54:$M54)=0,"",IF(OR(LEFT(LOWER(TRIM($F54&amp;"")),12)="subscription",LOWER(TRIM($F54&amp;""))="membership"),"",IF($G54="","",IF(ISNUMBER(SEARCH("non",LOWER($E54&amp;""))),$G54*0.85,$G54))))</x:f>
      </x:c>
      <x:c r="O54" s="987" t="str">
        <x:f>IF(COUNTA($A54:$M54)=0,"",IF(OR(LEFT(LOWER(TRIM($F54&amp;"")),12)="subscription",LOWER(TRIM($F54&amp;""))="membership"),"",IF(OR($N54="",$I54="",$I54=0),"",IFERROR($N54/$I54,""))))</x:f>
      </x:c>
      <x:c r="P54" s="987" t="str">
        <x:f>IF(COUNTA($A54:$M54)=0,"",IF(OR(LEFT(LOWER(TRIM($F54&amp;"")),12)="subscription",LOWER(TRIM($F54&amp;""))="membership"),"",IF(LOWER($L54&amp;"")="yes",0,IF(OR(AND($H54&lt;&gt;"",$H54=0),LEFT(LOWER(TRIM($F54&amp;"")),9)="free game",LOWER(TRIM($F54&amp;""))="free",LOWER(TRIM($F54&amp;""))="free entry"),IF(LOWER($D54&amp;"")="finalized",IF(ISNUMBER($K54),$K54,""),IF($O54&lt;&gt;"",$O54,"")),IF($K54&lt;&gt;"",$K54,IF($O54&lt;&gt;"",$O54,""))))))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IF(COUNTA($A54:$M54)=0,"",IF(OR(LEFT(LOWER(TRIM($F54&amp;"")),12)="subscription",LOWER(TRIM($F54&amp;""))="membership"),"Subscription",IF(OR(AND($H54&lt;&gt;"",$H54=0),LEFT(LOWER(TRIM($F54&amp;"")),9)="free game",LOWER(TRIM($F54&amp;""))="free",LOWER(TRIM($F54&amp;""))="free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IF(COUNTA($A55:$M55)=0,"",IF(OR(LEFT(LOWER(TRIM($F55&amp;"")),12)="subscription",LOWER(TRIM($F55&amp;""))="membership"),"",IF($G55="","",IF(ISNUMBER(SEARCH("non",LOWER($E55&amp;""))),$G55*0.85,$G55))))</x:f>
      </x:c>
      <x:c r="O55" s="987" t="str">
        <x:f>IF(COUNTA($A55:$M55)=0,"",IF(OR(LEFT(LOWER(TRIM($F55&amp;"")),12)="subscription",LOWER(TRIM($F55&amp;""))="membership"),"",IF(OR($N55="",$I55="",$I55=0),"",IFERROR($N55/$I55,""))))</x:f>
      </x:c>
      <x:c r="P55" s="987" t="str">
        <x:f>IF(COUNTA($A55:$M55)=0,"",IF(OR(LEFT(LOWER(TRIM($F55&amp;"")),12)="subscription",LOWER(TRIM($F55&amp;""))="membership"),"",IF(LOWER($L55&amp;"")="yes",0,IF(OR(AND($H55&lt;&gt;"",$H55=0),LEFT(LOWER(TRIM($F55&amp;"")),9)="free game",LOWER(TRIM($F55&amp;""))="free",LOWER(TRIM($F55&amp;""))="free entry"),IF(LOWER($D55&amp;"")="finalized",IF(ISNUMBER($K55),$K55,""),IF($O55&lt;&gt;"",$O55,"")),IF($K55&lt;&gt;"",$K55,IF($O55&lt;&gt;"",$O55,""))))))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IF(COUNTA($A55:$M55)=0,"",IF(OR(LEFT(LOWER(TRIM($F55&amp;"")),12)="subscription",LOWER(TRIM($F55&amp;""))="membership"),"Subscription",IF(OR(AND($H55&lt;&gt;"",$H55=0),LEFT(LOWER(TRIM($F55&amp;"")),9)="free game",LOWER(TRIM($F55&amp;""))="free",LOWER(TRIM($F55&amp;""))="free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IF(COUNTA($A56:$M56)=0,"",IF(OR(LEFT(LOWER(TRIM($F56&amp;"")),12)="subscription",LOWER(TRIM($F56&amp;""))="membership"),"",IF($G56="","",IF(ISNUMBER(SEARCH("non",LOWER($E56&amp;""))),$G56*0.85,$G56))))</x:f>
      </x:c>
      <x:c r="O56" s="987" t="str">
        <x:f>IF(COUNTA($A56:$M56)=0,"",IF(OR(LEFT(LOWER(TRIM($F56&amp;"")),12)="subscription",LOWER(TRIM($F56&amp;""))="membership"),"",IF(OR($N56="",$I56="",$I56=0),"",IFERROR($N56/$I56,""))))</x:f>
      </x:c>
      <x:c r="P56" s="987" t="str">
        <x:f>IF(COUNTA($A56:$M56)=0,"",IF(OR(LEFT(LOWER(TRIM($F56&amp;"")),12)="subscription",LOWER(TRIM($F56&amp;""))="membership"),"",IF(LOWER($L56&amp;"")="yes",0,IF(OR(AND($H56&lt;&gt;"",$H56=0),LEFT(LOWER(TRIM($F56&amp;"")),9)="free game",LOWER(TRIM($F56&amp;""))="free",LOWER(TRIM($F56&amp;""))="free entry"),IF(LOWER($D56&amp;"")="finalized",IF(ISNUMBER($K56),$K56,""),IF($O56&lt;&gt;"",$O56,"")),IF($K56&lt;&gt;"",$K56,IF($O56&lt;&gt;"",$O56,""))))))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IF(COUNTA($A56:$M56)=0,"",IF(OR(LEFT(LOWER(TRIM($F56&amp;"")),12)="subscription",LOWER(TRIM($F56&amp;""))="membership"),"Subscription",IF(OR(AND($H56&lt;&gt;"",$H56=0),LEFT(LOWER(TRIM($F56&amp;"")),9)="free game",LOWER(TRIM($F56&amp;""))="free",LOWER(TRIM($F56&amp;""))="free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IF(COUNTA($A57:$M57)=0,"",IF(OR(LEFT(LOWER(TRIM($F57&amp;"")),12)="subscription",LOWER(TRIM($F57&amp;""))="membership"),"",IF($G57="","",IF(ISNUMBER(SEARCH("non",LOWER($E57&amp;""))),$G57*0.85,$G57))))</x:f>
      </x:c>
      <x:c r="O57" s="987" t="str">
        <x:f>IF(COUNTA($A57:$M57)=0,"",IF(OR(LEFT(LOWER(TRIM($F57&amp;"")),12)="subscription",LOWER(TRIM($F57&amp;""))="membership"),"",IF(OR($N57="",$I57="",$I57=0),"",IFERROR($N57/$I57,""))))</x:f>
      </x:c>
      <x:c r="P57" s="987" t="str">
        <x:f>IF(COUNTA($A57:$M57)=0,"",IF(OR(LEFT(LOWER(TRIM($F57&amp;"")),12)="subscription",LOWER(TRIM($F57&amp;""))="membership"),"",IF(LOWER($L57&amp;"")="yes",0,IF(OR(AND($H57&lt;&gt;"",$H57=0),LEFT(LOWER(TRIM($F57&amp;"")),9)="free game",LOWER(TRIM($F57&amp;""))="free",LOWER(TRIM($F57&amp;""))="free entry"),IF(LOWER($D57&amp;"")="finalized",IF(ISNUMBER($K57),$K57,""),IF($O57&lt;&gt;"",$O57,"")),IF($K57&lt;&gt;"",$K57,IF($O57&lt;&gt;"",$O57,""))))))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IF(COUNTA($A57:$M57)=0,"",IF(OR(LEFT(LOWER(TRIM($F57&amp;"")),12)="subscription",LOWER(TRIM($F57&amp;""))="membership"),"Subscription",IF(OR(AND($H57&lt;&gt;"",$H57=0),LEFT(LOWER(TRIM($F57&amp;"")),9)="free game",LOWER(TRIM($F57&amp;""))="free",LOWER(TRIM($F57&amp;""))="free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IF(COUNTA($A58:$M58)=0,"",IF(OR(LEFT(LOWER(TRIM($F58&amp;"")),12)="subscription",LOWER(TRIM($F58&amp;""))="membership"),"",IF($G58="","",IF(ISNUMBER(SEARCH("non",LOWER($E58&amp;""))),$G58*0.85,$G58))))</x:f>
      </x:c>
      <x:c r="O58" s="987" t="str">
        <x:f>IF(COUNTA($A58:$M58)=0,"",IF(OR(LEFT(LOWER(TRIM($F58&amp;"")),12)="subscription",LOWER(TRIM($F58&amp;""))="membership"),"",IF(OR($N58="",$I58="",$I58=0),"",IFERROR($N58/$I58,""))))</x:f>
      </x:c>
      <x:c r="P58" s="987" t="str">
        <x:f>IF(COUNTA($A58:$M58)=0,"",IF(OR(LEFT(LOWER(TRIM($F58&amp;"")),12)="subscription",LOWER(TRIM($F58&amp;""))="membership"),"",IF(LOWER($L58&amp;"")="yes",0,IF(OR(AND($H58&lt;&gt;"",$H58=0),LEFT(LOWER(TRIM($F58&amp;"")),9)="free game",LOWER(TRIM($F58&amp;""))="free",LOWER(TRIM($F58&amp;""))="free entry"),IF(LOWER($D58&amp;"")="finalized",IF(ISNUMBER($K58),$K58,""),IF($O58&lt;&gt;"",$O58,"")),IF($K58&lt;&gt;"",$K58,IF($O58&lt;&gt;"",$O58,""))))))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IF(COUNTA($A58:$M58)=0,"",IF(OR(LEFT(LOWER(TRIM($F58&amp;"")),12)="subscription",LOWER(TRIM($F58&amp;""))="membership"),"Subscription",IF(OR(AND($H58&lt;&gt;"",$H58=0),LEFT(LOWER(TRIM($F58&amp;"")),9)="free game",LOWER(TRIM($F58&amp;""))="free",LOWER(TRIM($F58&amp;""))="free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IF(COUNTA($A59:$M59)=0,"",IF(OR(LEFT(LOWER(TRIM($F59&amp;"")),12)="subscription",LOWER(TRIM($F59&amp;""))="membership"),"",IF($G59="","",IF(ISNUMBER(SEARCH("non",LOWER($E59&amp;""))),$G59*0.85,$G59))))</x:f>
      </x:c>
      <x:c r="O59" s="987" t="str">
        <x:f>IF(COUNTA($A59:$M59)=0,"",IF(OR(LEFT(LOWER(TRIM($F59&amp;"")),12)="subscription",LOWER(TRIM($F59&amp;""))="membership"),"",IF(OR($N59="",$I59="",$I59=0),"",IFERROR($N59/$I59,""))))</x:f>
      </x:c>
      <x:c r="P59" s="987" t="str">
        <x:f>IF(COUNTA($A59:$M59)=0,"",IF(OR(LEFT(LOWER(TRIM($F59&amp;"")),12)="subscription",LOWER(TRIM($F59&amp;""))="membership"),"",IF(LOWER($L59&amp;"")="yes",0,IF(OR(AND($H59&lt;&gt;"",$H59=0),LEFT(LOWER(TRIM($F59&amp;"")),9)="free game",LOWER(TRIM($F59&amp;""))="free",LOWER(TRIM($F59&amp;""))="free entry"),IF(LOWER($D59&amp;"")="finalized",IF(ISNUMBER($K59),$K59,""),IF($O59&lt;&gt;"",$O59,"")),IF($K59&lt;&gt;"",$K59,IF($O59&lt;&gt;"",$O59,""))))))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IF(COUNTA($A59:$M59)=0,"",IF(OR(LEFT(LOWER(TRIM($F59&amp;"")),12)="subscription",LOWER(TRIM($F59&amp;""))="membership"),"Subscription",IF(OR(AND($H59&lt;&gt;"",$H59=0),LEFT(LOWER(TRIM($F59&amp;"")),9)="free game",LOWER(TRIM($F59&amp;""))="free",LOWER(TRIM($F59&amp;""))="free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IF(COUNTA($A60:$M60)=0,"",IF(OR(LEFT(LOWER(TRIM($F60&amp;"")),12)="subscription",LOWER(TRIM($F60&amp;""))="membership"),"",IF($G60="","",IF(ISNUMBER(SEARCH("non",LOWER($E60&amp;""))),$G60*0.85,$G60))))</x:f>
      </x:c>
      <x:c r="O60" s="987" t="str">
        <x:f>IF(COUNTA($A60:$M60)=0,"",IF(OR(LEFT(LOWER(TRIM($F60&amp;"")),12)="subscription",LOWER(TRIM($F60&amp;""))="membership"),"",IF(OR($N60="",$I60="",$I60=0),"",IFERROR($N60/$I60,""))))</x:f>
      </x:c>
      <x:c r="P60" s="987" t="str">
        <x:f>IF(COUNTA($A60:$M60)=0,"",IF(OR(LEFT(LOWER(TRIM($F60&amp;"")),12)="subscription",LOWER(TRIM($F60&amp;""))="membership"),"",IF(LOWER($L60&amp;"")="yes",0,IF(OR(AND($H60&lt;&gt;"",$H60=0),LEFT(LOWER(TRIM($F60&amp;"")),9)="free game",LOWER(TRIM($F60&amp;""))="free",LOWER(TRIM($F60&amp;""))="free entry"),IF(LOWER($D60&amp;"")="finalized",IF(ISNUMBER($K60),$K60,""),IF($O60&lt;&gt;"",$O60,"")),IF($K60&lt;&gt;"",$K60,IF($O60&lt;&gt;"",$O60,""))))))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IF(COUNTA($A60:$M60)=0,"",IF(OR(LEFT(LOWER(TRIM($F60&amp;"")),12)="subscription",LOWER(TRIM($F60&amp;""))="membership"),"Subscription",IF(OR(AND($H60&lt;&gt;"",$H60=0),LEFT(LOWER(TRIM($F60&amp;"")),9)="free game",LOWER(TRIM($F60&amp;""))="free",LOWER(TRIM($F60&amp;""))="free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IF(COUNTA($A61:$M61)=0,"",IF(OR(LEFT(LOWER(TRIM($F61&amp;"")),12)="subscription",LOWER(TRIM($F61&amp;""))="membership"),"",IF($G61="","",IF(ISNUMBER(SEARCH("non",LOWER($E61&amp;""))),$G61*0.85,$G61))))</x:f>
      </x:c>
      <x:c r="O61" s="987" t="str">
        <x:f>IF(COUNTA($A61:$M61)=0,"",IF(OR(LEFT(LOWER(TRIM($F61&amp;"")),12)="subscription",LOWER(TRIM($F61&amp;""))="membership"),"",IF(OR($N61="",$I61="",$I61=0),"",IFERROR($N61/$I61,""))))</x:f>
      </x:c>
      <x:c r="P61" s="987" t="str">
        <x:f>IF(COUNTA($A61:$M61)=0,"",IF(OR(LEFT(LOWER(TRIM($F61&amp;"")),12)="subscription",LOWER(TRIM($F61&amp;""))="membership"),"",IF(LOWER($L61&amp;"")="yes",0,IF(OR(AND($H61&lt;&gt;"",$H61=0),LEFT(LOWER(TRIM($F61&amp;"")),9)="free game",LOWER(TRIM($F61&amp;""))="free",LOWER(TRIM($F61&amp;""))="free entry"),IF(LOWER($D61&amp;"")="finalized",IF(ISNUMBER($K61),$K61,""),IF($O61&lt;&gt;"",$O61,"")),IF($K61&lt;&gt;"",$K61,IF($O61&lt;&gt;"",$O61,""))))))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IF(COUNTA($A61:$M61)=0,"",IF(OR(LEFT(LOWER(TRIM($F61&amp;"")),12)="subscription",LOWER(TRIM($F61&amp;""))="membership"),"Subscription",IF(OR(AND($H61&lt;&gt;"",$H61=0),LEFT(LOWER(TRIM($F61&amp;"")),9)="free game",LOWER(TRIM($F61&amp;""))="free",LOWER(TRIM($F61&amp;""))="free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IF(COUNTA($A62:$M62)=0,"",IF(OR(LEFT(LOWER(TRIM($F62&amp;"")),12)="subscription",LOWER(TRIM($F62&amp;""))="membership"),"",IF($G62="","",IF(ISNUMBER(SEARCH("non",LOWER($E62&amp;""))),$G62*0.85,$G62))))</x:f>
      </x:c>
      <x:c r="O62" s="987" t="str">
        <x:f>IF(COUNTA($A62:$M62)=0,"",IF(OR(LEFT(LOWER(TRIM($F62&amp;"")),12)="subscription",LOWER(TRIM($F62&amp;""))="membership"),"",IF(OR($N62="",$I62="",$I62=0),"",IFERROR($N62/$I62,""))))</x:f>
      </x:c>
      <x:c r="P62" s="987" t="str">
        <x:f>IF(COUNTA($A62:$M62)=0,"",IF(OR(LEFT(LOWER(TRIM($F62&amp;"")),12)="subscription",LOWER(TRIM($F62&amp;""))="membership"),"",IF(LOWER($L62&amp;"")="yes",0,IF(OR(AND($H62&lt;&gt;"",$H62=0),LEFT(LOWER(TRIM($F62&amp;"")),9)="free game",LOWER(TRIM($F62&amp;""))="free",LOWER(TRIM($F62&amp;""))="free entry"),IF(LOWER($D62&amp;"")="finalized",IF(ISNUMBER($K62),$K62,""),IF($O62&lt;&gt;"",$O62,"")),IF($K62&lt;&gt;"",$K62,IF($O62&lt;&gt;"",$O62,""))))))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IF(COUNTA($A62:$M62)=0,"",IF(OR(LEFT(LOWER(TRIM($F62&amp;"")),12)="subscription",LOWER(TRIM($F62&amp;""))="membership"),"Subscription",IF(OR(AND($H62&lt;&gt;"",$H62=0),LEFT(LOWER(TRIM($F62&amp;"")),9)="free game",LOWER(TRIM($F62&amp;""))="free",LOWER(TRIM($F62&amp;""))="free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IF(COUNTA($A63:$M63)=0,"",IF(OR(LEFT(LOWER(TRIM($F63&amp;"")),12)="subscription",LOWER(TRIM($F63&amp;""))="membership"),"",IF($G63="","",IF(ISNUMBER(SEARCH("non",LOWER($E63&amp;""))),$G63*0.85,$G63))))</x:f>
      </x:c>
      <x:c r="O63" s="987" t="str">
        <x:f>IF(COUNTA($A63:$M63)=0,"",IF(OR(LEFT(LOWER(TRIM($F63&amp;"")),12)="subscription",LOWER(TRIM($F63&amp;""))="membership"),"",IF(OR($N63="",$I63="",$I63=0),"",IFERROR($N63/$I63,""))))</x:f>
      </x:c>
      <x:c r="P63" s="987" t="str">
        <x:f>IF(COUNTA($A63:$M63)=0,"",IF(OR(LEFT(LOWER(TRIM($F63&amp;"")),12)="subscription",LOWER(TRIM($F63&amp;""))="membership"),"",IF(LOWER($L63&amp;"")="yes",0,IF(OR(AND($H63&lt;&gt;"",$H63=0),LEFT(LOWER(TRIM($F63&amp;"")),9)="free game",LOWER(TRIM($F63&amp;""))="free",LOWER(TRIM($F63&amp;""))="free entry"),IF(LOWER($D63&amp;"")="finalized",IF(ISNUMBER($K63),$K63,""),IF($O63&lt;&gt;"",$O63,"")),IF($K63&lt;&gt;"",$K63,IF($O63&lt;&gt;"",$O63,""))))))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IF(COUNTA($A63:$M63)=0,"",IF(OR(LEFT(LOWER(TRIM($F63&amp;"")),12)="subscription",LOWER(TRIM($F63&amp;""))="membership"),"Subscription",IF(OR(AND($H63&lt;&gt;"",$H63=0),LEFT(LOWER(TRIM($F63&amp;"")),9)="free game",LOWER(TRIM($F63&amp;""))="free",LOWER(TRIM($F63&amp;""))="free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IF(COUNTA($A64:$M64)=0,"",IF(OR(LEFT(LOWER(TRIM($F64&amp;"")),12)="subscription",LOWER(TRIM($F64&amp;""))="membership"),"",IF($G64="","",IF(ISNUMBER(SEARCH("non",LOWER($E64&amp;""))),$G64*0.85,$G64))))</x:f>
      </x:c>
      <x:c r="O64" s="987" t="str">
        <x:f>IF(COUNTA($A64:$M64)=0,"",IF(OR(LEFT(LOWER(TRIM($F64&amp;"")),12)="subscription",LOWER(TRIM($F64&amp;""))="membership"),"",IF(OR($N64="",$I64="",$I64=0),"",IFERROR($N64/$I64,""))))</x:f>
      </x:c>
      <x:c r="P64" s="987" t="str">
        <x:f>IF(COUNTA($A64:$M64)=0,"",IF(OR(LEFT(LOWER(TRIM($F64&amp;"")),12)="subscription",LOWER(TRIM($F64&amp;""))="membership"),"",IF(LOWER($L64&amp;"")="yes",0,IF(OR(AND($H64&lt;&gt;"",$H64=0),LEFT(LOWER(TRIM($F64&amp;"")),9)="free game",LOWER(TRIM($F64&amp;""))="free",LOWER(TRIM($F64&amp;""))="free entry"),IF(LOWER($D64&amp;"")="finalized",IF(ISNUMBER($K64),$K64,""),IF($O64&lt;&gt;"",$O64,"")),IF($K64&lt;&gt;"",$K64,IF($O64&lt;&gt;"",$O64,""))))))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IF(COUNTA($A64:$M64)=0,"",IF(OR(LEFT(LOWER(TRIM($F64&amp;"")),12)="subscription",LOWER(TRIM($F64&amp;""))="membership"),"Subscription",IF(OR(AND($H64&lt;&gt;"",$H64=0),LEFT(LOWER(TRIM($F64&amp;"")),9)="free game",LOWER(TRIM($F64&amp;""))="free",LOWER(TRIM($F64&amp;""))="free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IF(COUNTA($A65:$M65)=0,"",IF(OR(LEFT(LOWER(TRIM($F65&amp;"")),12)="subscription",LOWER(TRIM($F65&amp;""))="membership"),"",IF($G65="","",IF(ISNUMBER(SEARCH("non",LOWER($E65&amp;""))),$G65*0.85,$G65))))</x:f>
      </x:c>
      <x:c r="O65" s="987" t="str">
        <x:f>IF(COUNTA($A65:$M65)=0,"",IF(OR(LEFT(LOWER(TRIM($F65&amp;"")),12)="subscription",LOWER(TRIM($F65&amp;""))="membership"),"",IF(OR($N65="",$I65="",$I65=0),"",IFERROR($N65/$I65,""))))</x:f>
      </x:c>
      <x:c r="P65" s="987" t="str">
        <x:f>IF(COUNTA($A65:$M65)=0,"",IF(OR(LEFT(LOWER(TRIM($F65&amp;"")),12)="subscription",LOWER(TRIM($F65&amp;""))="membership"),"",IF(LOWER($L65&amp;"")="yes",0,IF(OR(AND($H65&lt;&gt;"",$H65=0),LEFT(LOWER(TRIM($F65&amp;"")),9)="free game",LOWER(TRIM($F65&amp;""))="free",LOWER(TRIM($F65&amp;""))="free entry"),IF(LOWER($D65&amp;"")="finalized",IF(ISNUMBER($K65),$K65,""),IF($O65&lt;&gt;"",$O65,"")),IF($K65&lt;&gt;"",$K65,IF($O65&lt;&gt;"",$O65,""))))))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IF(COUNTA($A65:$M65)=0,"",IF(OR(LEFT(LOWER(TRIM($F65&amp;"")),12)="subscription",LOWER(TRIM($F65&amp;""))="membership"),"Subscription",IF(OR(AND($H65&lt;&gt;"",$H65=0),LEFT(LOWER(TRIM($F65&amp;"")),9)="free game",LOWER(TRIM($F65&amp;""))="free",LOWER(TRIM($F65&amp;""))="free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IF(COUNTA($A66:$M66)=0,"",IF(OR(LEFT(LOWER(TRIM($F66&amp;"")),12)="subscription",LOWER(TRIM($F66&amp;""))="membership"),"",IF($G66="","",IF(ISNUMBER(SEARCH("non",LOWER($E66&amp;""))),$G66*0.85,$G66))))</x:f>
      </x:c>
      <x:c r="O66" s="987" t="str">
        <x:f>IF(COUNTA($A66:$M66)=0,"",IF(OR(LEFT(LOWER(TRIM($F66&amp;"")),12)="subscription",LOWER(TRIM($F66&amp;""))="membership"),"",IF(OR($N66="",$I66="",$I66=0),"",IFERROR($N66/$I66,""))))</x:f>
      </x:c>
      <x:c r="P66" s="987" t="str">
        <x:f>IF(COUNTA($A66:$M66)=0,"",IF(OR(LEFT(LOWER(TRIM($F66&amp;"")),12)="subscription",LOWER(TRIM($F66&amp;""))="membership"),"",IF(LOWER($L66&amp;"")="yes",0,IF(OR(AND($H66&lt;&gt;"",$H66=0),LEFT(LOWER(TRIM($F66&amp;"")),9)="free game",LOWER(TRIM($F66&amp;""))="free",LOWER(TRIM($F66&amp;""))="free entry"),IF(LOWER($D66&amp;"")="finalized",IF(ISNUMBER($K66),$K66,""),IF($O66&lt;&gt;"",$O66,"")),IF($K66&lt;&gt;"",$K66,IF($O66&lt;&gt;"",$O66,""))))))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IF(COUNTA($A66:$M66)=0,"",IF(OR(LEFT(LOWER(TRIM($F66&amp;"")),12)="subscription",LOWER(TRIM($F66&amp;""))="membership"),"Subscription",IF(OR(AND($H66&lt;&gt;"",$H66=0),LEFT(LOWER(TRIM($F66&amp;"")),9)="free game",LOWER(TRIM($F66&amp;""))="free",LOWER(TRIM($F66&amp;""))="free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IF(COUNTA($A67:$M67)=0,"",IF(OR(LEFT(LOWER(TRIM($F67&amp;"")),12)="subscription",LOWER(TRIM($F67&amp;""))="membership"),"",IF($G67="","",IF(ISNUMBER(SEARCH("non",LOWER($E67&amp;""))),$G67*0.85,$G67))))</x:f>
      </x:c>
      <x:c r="O67" s="987" t="str">
        <x:f>IF(COUNTA($A67:$M67)=0,"",IF(OR(LEFT(LOWER(TRIM($F67&amp;"")),12)="subscription",LOWER(TRIM($F67&amp;""))="membership"),"",IF(OR($N67="",$I67="",$I67=0),"",IFERROR($N67/$I67,""))))</x:f>
      </x:c>
      <x:c r="P67" s="987" t="str">
        <x:f>IF(COUNTA($A67:$M67)=0,"",IF(OR(LEFT(LOWER(TRIM($F67&amp;"")),12)="subscription",LOWER(TRIM($F67&amp;""))="membership"),"",IF(LOWER($L67&amp;"")="yes",0,IF(OR(AND($H67&lt;&gt;"",$H67=0),LEFT(LOWER(TRIM($F67&amp;"")),9)="free game",LOWER(TRIM($F67&amp;""))="free",LOWER(TRIM($F67&amp;""))="free entry"),IF(LOWER($D67&amp;"")="finalized",IF(ISNUMBER($K67),$K67,""),IF($O67&lt;&gt;"",$O67,"")),IF($K67&lt;&gt;"",$K67,IF($O67&lt;&gt;"",$O67,""))))))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IF(COUNTA($A67:$M67)=0,"",IF(OR(LEFT(LOWER(TRIM($F67&amp;"")),12)="subscription",LOWER(TRIM($F67&amp;""))="membership"),"Subscription",IF(OR(AND($H67&lt;&gt;"",$H67=0),LEFT(LOWER(TRIM($F67&amp;"")),9)="free game",LOWER(TRIM($F67&amp;""))="free",LOWER(TRIM($F67&amp;""))="free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IF(COUNTA($A68:$M68)=0,"",IF(OR(LEFT(LOWER(TRIM($F68&amp;"")),12)="subscription",LOWER(TRIM($F68&amp;""))="membership"),"",IF($G68="","",IF(ISNUMBER(SEARCH("non",LOWER($E68&amp;""))),$G68*0.85,$G68))))</x:f>
      </x:c>
      <x:c r="O68" s="987" t="str">
        <x:f>IF(COUNTA($A68:$M68)=0,"",IF(OR(LEFT(LOWER(TRIM($F68&amp;"")),12)="subscription",LOWER(TRIM($F68&amp;""))="membership"),"",IF(OR($N68="",$I68="",$I68=0),"",IFERROR($N68/$I68,""))))</x:f>
      </x:c>
      <x:c r="P68" s="987" t="str">
        <x:f>IF(COUNTA($A68:$M68)=0,"",IF(OR(LEFT(LOWER(TRIM($F68&amp;"")),12)="subscription",LOWER(TRIM($F68&amp;""))="membership"),"",IF(LOWER($L68&amp;"")="yes",0,IF(OR(AND($H68&lt;&gt;"",$H68=0),LEFT(LOWER(TRIM($F68&amp;"")),9)="free game",LOWER(TRIM($F68&amp;""))="free",LOWER(TRIM($F68&amp;""))="free entry"),IF(LOWER($D68&amp;"")="finalized",IF(ISNUMBER($K68),$K68,""),IF($O68&lt;&gt;"",$O68,"")),IF($K68&lt;&gt;"",$K68,IF($O68&lt;&gt;"",$O68,""))))))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IF(COUNTA($A68:$M68)=0,"",IF(OR(LEFT(LOWER(TRIM($F68&amp;"")),12)="subscription",LOWER(TRIM($F68&amp;""))="membership"),"Subscription",IF(OR(AND($H68&lt;&gt;"",$H68=0),LEFT(LOWER(TRIM($F68&amp;"")),9)="free game",LOWER(TRIM($F68&amp;""))="free",LOWER(TRIM($F68&amp;""))="free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IF(COUNTA($A69:$M69)=0,"",IF(OR(LEFT(LOWER(TRIM($F69&amp;"")),12)="subscription",LOWER(TRIM($F69&amp;""))="membership"),"",IF($G69="","",IF(ISNUMBER(SEARCH("non",LOWER($E69&amp;""))),$G69*0.85,$G69))))</x:f>
      </x:c>
      <x:c r="O69" s="987" t="str">
        <x:f>IF(COUNTA($A69:$M69)=0,"",IF(OR(LEFT(LOWER(TRIM($F69&amp;"")),12)="subscription",LOWER(TRIM($F69&amp;""))="membership"),"",IF(OR($N69="",$I69="",$I69=0),"",IFERROR($N69/$I69,""))))</x:f>
      </x:c>
      <x:c r="P69" s="987" t="str">
        <x:f>IF(COUNTA($A69:$M69)=0,"",IF(OR(LEFT(LOWER(TRIM($F69&amp;"")),12)="subscription",LOWER(TRIM($F69&amp;""))="membership"),"",IF(LOWER($L69&amp;"")="yes",0,IF(OR(AND($H69&lt;&gt;"",$H69=0),LEFT(LOWER(TRIM($F69&amp;"")),9)="free game",LOWER(TRIM($F69&amp;""))="free",LOWER(TRIM($F69&amp;""))="free entry"),IF(LOWER($D69&amp;"")="finalized",IF(ISNUMBER($K69),$K69,""),IF($O69&lt;&gt;"",$O69,"")),IF($K69&lt;&gt;"",$K69,IF($O69&lt;&gt;"",$O69,""))))))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IF(COUNTA($A69:$M69)=0,"",IF(OR(LEFT(LOWER(TRIM($F69&amp;"")),12)="subscription",LOWER(TRIM($F69&amp;""))="membership"),"Subscription",IF(OR(AND($H69&lt;&gt;"",$H69=0),LEFT(LOWER(TRIM($F69&amp;"")),9)="free game",LOWER(TRIM($F69&amp;""))="free",LOWER(TRIM($F69&amp;""))="free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IF(COUNTA($A70:$M70)=0,"",IF(OR(LEFT(LOWER(TRIM($F70&amp;"")),12)="subscription",LOWER(TRIM($F70&amp;""))="membership"),"",IF($G70="","",IF(ISNUMBER(SEARCH("non",LOWER($E70&amp;""))),$G70*0.85,$G70))))</x:f>
      </x:c>
      <x:c r="O70" s="987" t="str">
        <x:f>IF(COUNTA($A70:$M70)=0,"",IF(OR(LEFT(LOWER(TRIM($F70&amp;"")),12)="subscription",LOWER(TRIM($F70&amp;""))="membership"),"",IF(OR($N70="",$I70="",$I70=0),"",IFERROR($N70/$I70,""))))</x:f>
      </x:c>
      <x:c r="P70" s="987" t="str">
        <x:f>IF(COUNTA($A70:$M70)=0,"",IF(OR(LEFT(LOWER(TRIM($F70&amp;"")),12)="subscription",LOWER(TRIM($F70&amp;""))="membership"),"",IF(LOWER($L70&amp;"")="yes",0,IF(OR(AND($H70&lt;&gt;"",$H70=0),LEFT(LOWER(TRIM($F70&amp;"")),9)="free game",LOWER(TRIM($F70&amp;""))="free",LOWER(TRIM($F70&amp;""))="free entry"),IF(LOWER($D70&amp;"")="finalized",IF(ISNUMBER($K70),$K70,""),IF($O70&lt;&gt;"",$O70,"")),IF($K70&lt;&gt;"",$K70,IF($O70&lt;&gt;"",$O70,""))))))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IF(COUNTA($A70:$M70)=0,"",IF(OR(LEFT(LOWER(TRIM($F70&amp;"")),12)="subscription",LOWER(TRIM($F70&amp;""))="membership"),"Subscription",IF(OR(AND($H70&lt;&gt;"",$H70=0),LEFT(LOWER(TRIM($F70&amp;"")),9)="free game",LOWER(TRIM($F70&amp;""))="free",LOWER(TRIM($F70&amp;""))="free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IF(COUNTA($A71:$M71)=0,"",IF(OR(LEFT(LOWER(TRIM($F71&amp;"")),12)="subscription",LOWER(TRIM($F71&amp;""))="membership"),"",IF($G71="","",IF(ISNUMBER(SEARCH("non",LOWER($E71&amp;""))),$G71*0.85,$G71))))</x:f>
      </x:c>
      <x:c r="O71" s="987" t="str">
        <x:f>IF(COUNTA($A71:$M71)=0,"",IF(OR(LEFT(LOWER(TRIM($F71&amp;"")),12)="subscription",LOWER(TRIM($F71&amp;""))="membership"),"",IF(OR($N71="",$I71="",$I71=0),"",IFERROR($N71/$I71,""))))</x:f>
      </x:c>
      <x:c r="P71" s="987" t="str">
        <x:f>IF(COUNTA($A71:$M71)=0,"",IF(OR(LEFT(LOWER(TRIM($F71&amp;"")),12)="subscription",LOWER(TRIM($F71&amp;""))="membership"),"",IF(LOWER($L71&amp;"")="yes",0,IF(OR(AND($H71&lt;&gt;"",$H71=0),LEFT(LOWER(TRIM($F71&amp;"")),9)="free game",LOWER(TRIM($F71&amp;""))="free",LOWER(TRIM($F71&amp;""))="free entry"),IF(LOWER($D71&amp;"")="finalized",IF(ISNUMBER($K71),$K71,""),IF($O71&lt;&gt;"",$O71,"")),IF($K71&lt;&gt;"",$K71,IF($O71&lt;&gt;"",$O71,""))))))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IF(COUNTA($A71:$M71)=0,"",IF(OR(LEFT(LOWER(TRIM($F71&amp;"")),12)="subscription",LOWER(TRIM($F71&amp;""))="membership"),"Subscription",IF(OR(AND($H71&lt;&gt;"",$H71=0),LEFT(LOWER(TRIM($F71&amp;"")),9)="free game",LOWER(TRIM($F71&amp;""))="free",LOWER(TRIM($F71&amp;""))="free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IF(COUNTA($A72:$M72)=0,"",IF(OR(LEFT(LOWER(TRIM($F72&amp;"")),12)="subscription",LOWER(TRIM($F72&amp;""))="membership"),"",IF($G72="","",IF(ISNUMBER(SEARCH("non",LOWER($E72&amp;""))),$G72*0.85,$G72))))</x:f>
      </x:c>
      <x:c r="O72" s="987" t="str">
        <x:f>IF(COUNTA($A72:$M72)=0,"",IF(OR(LEFT(LOWER(TRIM($F72&amp;"")),12)="subscription",LOWER(TRIM($F72&amp;""))="membership"),"",IF(OR($N72="",$I72="",$I72=0),"",IFERROR($N72/$I72,""))))</x:f>
      </x:c>
      <x:c r="P72" s="987" t="str">
        <x:f>IF(COUNTA($A72:$M72)=0,"",IF(OR(LEFT(LOWER(TRIM($F72&amp;"")),12)="subscription",LOWER(TRIM($F72&amp;""))="membership"),"",IF(LOWER($L72&amp;"")="yes",0,IF(OR(AND($H72&lt;&gt;"",$H72=0),LEFT(LOWER(TRIM($F72&amp;"")),9)="free game",LOWER(TRIM($F72&amp;""))="free",LOWER(TRIM($F72&amp;""))="free entry"),IF(LOWER($D72&amp;"")="finalized",IF(ISNUMBER($K72),$K72,""),IF($O72&lt;&gt;"",$O72,"")),IF($K72&lt;&gt;"",$K72,IF($O72&lt;&gt;"",$O72,""))))))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IF(COUNTA($A72:$M72)=0,"",IF(OR(LEFT(LOWER(TRIM($F72&amp;"")),12)="subscription",LOWER(TRIM($F72&amp;""))="membership"),"Subscription",IF(OR(AND($H72&lt;&gt;"",$H72=0),LEFT(LOWER(TRIM($F72&amp;"")),9)="free game",LOWER(TRIM($F72&amp;""))="free",LOWER(TRIM($F72&amp;""))="free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IF(COUNTA($A73:$M73)=0,"",IF(OR(LEFT(LOWER(TRIM($F73&amp;"")),12)="subscription",LOWER(TRIM($F73&amp;""))="membership"),"",IF($G73="","",IF(ISNUMBER(SEARCH("non",LOWER($E73&amp;""))),$G73*0.85,$G73))))</x:f>
      </x:c>
      <x:c r="O73" s="987" t="str">
        <x:f>IF(COUNTA($A73:$M73)=0,"",IF(OR(LEFT(LOWER(TRIM($F73&amp;"")),12)="subscription",LOWER(TRIM($F73&amp;""))="membership"),"",IF(OR($N73="",$I73="",$I73=0),"",IFERROR($N73/$I73,""))))</x:f>
      </x:c>
      <x:c r="P73" s="987" t="str">
        <x:f>IF(COUNTA($A73:$M73)=0,"",IF(OR(LEFT(LOWER(TRIM($F73&amp;"")),12)="subscription",LOWER(TRIM($F73&amp;""))="membership"),"",IF(LOWER($L73&amp;"")="yes",0,IF(OR(AND($H73&lt;&gt;"",$H73=0),LEFT(LOWER(TRIM($F73&amp;"")),9)="free game",LOWER(TRIM($F73&amp;""))="free",LOWER(TRIM($F73&amp;""))="free entry"),IF(LOWER($D73&amp;"")="finalized",IF(ISNUMBER($K73),$K73,""),IF($O73&lt;&gt;"",$O73,"")),IF($K73&lt;&gt;"",$K73,IF($O73&lt;&gt;"",$O73,""))))))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IF(COUNTA($A73:$M73)=0,"",IF(OR(LEFT(LOWER(TRIM($F73&amp;"")),12)="subscription",LOWER(TRIM($F73&amp;""))="membership"),"Subscription",IF(OR(AND($H73&lt;&gt;"",$H73=0),LEFT(LOWER(TRIM($F73&amp;"")),9)="free game",LOWER(TRIM($F73&amp;""))="free",LOWER(TRIM($F73&amp;""))="free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IF(COUNTA($A74:$M74)=0,"",IF(OR(LEFT(LOWER(TRIM($F74&amp;"")),12)="subscription",LOWER(TRIM($F74&amp;""))="membership"),"",IF($G74="","",IF(ISNUMBER(SEARCH("non",LOWER($E74&amp;""))),$G74*0.85,$G74))))</x:f>
      </x:c>
      <x:c r="O74" s="987" t="str">
        <x:f>IF(COUNTA($A74:$M74)=0,"",IF(OR(LEFT(LOWER(TRIM($F74&amp;"")),12)="subscription",LOWER(TRIM($F74&amp;""))="membership"),"",IF(OR($N74="",$I74="",$I74=0),"",IFERROR($N74/$I74,""))))</x:f>
      </x:c>
      <x:c r="P74" s="987" t="str">
        <x:f>IF(COUNTA($A74:$M74)=0,"",IF(OR(LEFT(LOWER(TRIM($F74&amp;"")),12)="subscription",LOWER(TRIM($F74&amp;""))="membership"),"",IF(LOWER($L74&amp;"")="yes",0,IF(OR(AND($H74&lt;&gt;"",$H74=0),LEFT(LOWER(TRIM($F74&amp;"")),9)="free game",LOWER(TRIM($F74&amp;""))="free",LOWER(TRIM($F74&amp;""))="free entry"),IF(LOWER($D74&amp;"")="finalized",IF(ISNUMBER($K74),$K74,""),IF($O74&lt;&gt;"",$O74,"")),IF($K74&lt;&gt;"",$K74,IF($O74&lt;&gt;"",$O74,""))))))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IF(COUNTA($A74:$M74)=0,"",IF(OR(LEFT(LOWER(TRIM($F74&amp;"")),12)="subscription",LOWER(TRIM($F74&amp;""))="membership"),"Subscription",IF(OR(AND($H74&lt;&gt;"",$H74=0),LEFT(LOWER(TRIM($F74&amp;"")),9)="free game",LOWER(TRIM($F74&amp;""))="free",LOWER(TRIM($F74&amp;""))="free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IF(COUNTA($A75:$M75)=0,"",IF(OR(LEFT(LOWER(TRIM($F75&amp;"")),12)="subscription",LOWER(TRIM($F75&amp;""))="membership"),"",IF($G75="","",IF(ISNUMBER(SEARCH("non",LOWER($E75&amp;""))),$G75*0.85,$G75))))</x:f>
      </x:c>
      <x:c r="O75" s="987" t="str">
        <x:f>IF(COUNTA($A75:$M75)=0,"",IF(OR(LEFT(LOWER(TRIM($F75&amp;"")),12)="subscription",LOWER(TRIM($F75&amp;""))="membership"),"",IF(OR($N75="",$I75="",$I75=0),"",IFERROR($N75/$I75,""))))</x:f>
      </x:c>
      <x:c r="P75" s="987" t="str">
        <x:f>IF(COUNTA($A75:$M75)=0,"",IF(OR(LEFT(LOWER(TRIM($F75&amp;"")),12)="subscription",LOWER(TRIM($F75&amp;""))="membership"),"",IF(LOWER($L75&amp;"")="yes",0,IF(OR(AND($H75&lt;&gt;"",$H75=0),LEFT(LOWER(TRIM($F75&amp;"")),9)="free game",LOWER(TRIM($F75&amp;""))="free",LOWER(TRIM($F75&amp;""))="free entry"),IF(LOWER($D75&amp;"")="finalized",IF(ISNUMBER($K75),$K75,""),IF($O75&lt;&gt;"",$O75,"")),IF($K75&lt;&gt;"",$K75,IF($O75&lt;&gt;"",$O75,""))))))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IF(COUNTA($A75:$M75)=0,"",IF(OR(LEFT(LOWER(TRIM($F75&amp;"")),12)="subscription",LOWER(TRIM($F75&amp;""))="membership"),"Subscription",IF(OR(AND($H75&lt;&gt;"",$H75=0),LEFT(LOWER(TRIM($F75&amp;"")),9)="free game",LOWER(TRIM($F75&amp;""))="free",LOWER(TRIM($F75&amp;""))="free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IF(COUNTA($A76:$M76)=0,"",IF(OR(LEFT(LOWER(TRIM($F76&amp;"")),12)="subscription",LOWER(TRIM($F76&amp;""))="membership"),"",IF($G76="","",IF(ISNUMBER(SEARCH("non",LOWER($E76&amp;""))),$G76*0.85,$G76))))</x:f>
      </x:c>
      <x:c r="O76" s="987" t="str">
        <x:f>IF(COUNTA($A76:$M76)=0,"",IF(OR(LEFT(LOWER(TRIM($F76&amp;"")),12)="subscription",LOWER(TRIM($F76&amp;""))="membership"),"",IF(OR($N76="",$I76="",$I76=0),"",IFERROR($N76/$I76,""))))</x:f>
      </x:c>
      <x:c r="P76" s="987" t="str">
        <x:f>IF(COUNTA($A76:$M76)=0,"",IF(OR(LEFT(LOWER(TRIM($F76&amp;"")),12)="subscription",LOWER(TRIM($F76&amp;""))="membership"),"",IF(LOWER($L76&amp;"")="yes",0,IF(OR(AND($H76&lt;&gt;"",$H76=0),LEFT(LOWER(TRIM($F76&amp;"")),9)="free game",LOWER(TRIM($F76&amp;""))="free",LOWER(TRIM($F76&amp;""))="free entry"),IF(LOWER($D76&amp;"")="finalized",IF(ISNUMBER($K76),$K76,""),IF($O76&lt;&gt;"",$O76,"")),IF($K76&lt;&gt;"",$K76,IF($O76&lt;&gt;"",$O76,""))))))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IF(COUNTA($A76:$M76)=0,"",IF(OR(LEFT(LOWER(TRIM($F76&amp;"")),12)="subscription",LOWER(TRIM($F76&amp;""))="membership"),"Subscription",IF(OR(AND($H76&lt;&gt;"",$H76=0),LEFT(LOWER(TRIM($F76&amp;"")),9)="free game",LOWER(TRIM($F76&amp;""))="free",LOWER(TRIM($F76&amp;""))="free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IF(COUNTA($A77:$M77)=0,"",IF(OR(LEFT(LOWER(TRIM($F77&amp;"")),12)="subscription",LOWER(TRIM($F77&amp;""))="membership"),"",IF($G77="","",IF(ISNUMBER(SEARCH("non",LOWER($E77&amp;""))),$G77*0.85,$G77))))</x:f>
      </x:c>
      <x:c r="O77" s="987" t="str">
        <x:f>IF(COUNTA($A77:$M77)=0,"",IF(OR(LEFT(LOWER(TRIM($F77&amp;"")),12)="subscription",LOWER(TRIM($F77&amp;""))="membership"),"",IF(OR($N77="",$I77="",$I77=0),"",IFERROR($N77/$I77,""))))</x:f>
      </x:c>
      <x:c r="P77" s="987" t="str">
        <x:f>IF(COUNTA($A77:$M77)=0,"",IF(OR(LEFT(LOWER(TRIM($F77&amp;"")),12)="subscription",LOWER(TRIM($F77&amp;""))="membership"),"",IF(LOWER($L77&amp;"")="yes",0,IF(OR(AND($H77&lt;&gt;"",$H77=0),LEFT(LOWER(TRIM($F77&amp;"")),9)="free game",LOWER(TRIM($F77&amp;""))="free",LOWER(TRIM($F77&amp;""))="free entry"),IF(LOWER($D77&amp;"")="finalized",IF(ISNUMBER($K77),$K77,""),IF($O77&lt;&gt;"",$O77,"")),IF($K77&lt;&gt;"",$K77,IF($O77&lt;&gt;"",$O77,""))))))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IF(COUNTA($A77:$M77)=0,"",IF(OR(LEFT(LOWER(TRIM($F77&amp;"")),12)="subscription",LOWER(TRIM($F77&amp;""))="membership"),"Subscription",IF(OR(AND($H77&lt;&gt;"",$H77=0),LEFT(LOWER(TRIM($F77&amp;"")),9)="free game",LOWER(TRIM($F77&amp;""))="free",LOWER(TRIM($F77&amp;""))="free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IF(COUNTA($A78:$M78)=0,"",IF(OR(LEFT(LOWER(TRIM($F78&amp;"")),12)="subscription",LOWER(TRIM($F78&amp;""))="membership"),"",IF($G78="","",IF(ISNUMBER(SEARCH("non",LOWER($E78&amp;""))),$G78*0.85,$G78))))</x:f>
      </x:c>
      <x:c r="O78" s="987" t="str">
        <x:f>IF(COUNTA($A78:$M78)=0,"",IF(OR(LEFT(LOWER(TRIM($F78&amp;"")),12)="subscription",LOWER(TRIM($F78&amp;""))="membership"),"",IF(OR($N78="",$I78="",$I78=0),"",IFERROR($N78/$I78,""))))</x:f>
      </x:c>
      <x:c r="P78" s="987" t="str">
        <x:f>IF(COUNTA($A78:$M78)=0,"",IF(OR(LEFT(LOWER(TRIM($F78&amp;"")),12)="subscription",LOWER(TRIM($F78&amp;""))="membership"),"",IF(LOWER($L78&amp;"")="yes",0,IF(OR(AND($H78&lt;&gt;"",$H78=0),LEFT(LOWER(TRIM($F78&amp;"")),9)="free game",LOWER(TRIM($F78&amp;""))="free",LOWER(TRIM($F78&amp;""))="free entry"),IF(LOWER($D78&amp;"")="finalized",IF(ISNUMBER($K78),$K78,""),IF($O78&lt;&gt;"",$O78,"")),IF($K78&lt;&gt;"",$K78,IF($O78&lt;&gt;"",$O78,""))))))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IF(COUNTA($A78:$M78)=0,"",IF(OR(LEFT(LOWER(TRIM($F78&amp;"")),12)="subscription",LOWER(TRIM($F78&amp;""))="membership"),"Subscription",IF(OR(AND($H78&lt;&gt;"",$H78=0),LEFT(LOWER(TRIM($F78&amp;"")),9)="free game",LOWER(TRIM($F78&amp;""))="free",LOWER(TRIM($F78&amp;""))="free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IF(COUNTA($A79:$M79)=0,"",IF(OR(LEFT(LOWER(TRIM($F79&amp;"")),12)="subscription",LOWER(TRIM($F79&amp;""))="membership"),"",IF($G79="","",IF(ISNUMBER(SEARCH("non",LOWER($E79&amp;""))),$G79*0.85,$G79))))</x:f>
      </x:c>
      <x:c r="O79" s="987" t="str">
        <x:f>IF(COUNTA($A79:$M79)=0,"",IF(OR(LEFT(LOWER(TRIM($F79&amp;"")),12)="subscription",LOWER(TRIM($F79&amp;""))="membership"),"",IF(OR($N79="",$I79="",$I79=0),"",IFERROR($N79/$I79,""))))</x:f>
      </x:c>
      <x:c r="P79" s="987" t="str">
        <x:f>IF(COUNTA($A79:$M79)=0,"",IF(OR(LEFT(LOWER(TRIM($F79&amp;"")),12)="subscription",LOWER(TRIM($F79&amp;""))="membership"),"",IF(LOWER($L79&amp;"")="yes",0,IF(OR(AND($H79&lt;&gt;"",$H79=0),LEFT(LOWER(TRIM($F79&amp;"")),9)="free game",LOWER(TRIM($F79&amp;""))="free",LOWER(TRIM($F79&amp;""))="free entry"),IF(LOWER($D79&amp;"")="finalized",IF(ISNUMBER($K79),$K79,""),IF($O79&lt;&gt;"",$O79,"")),IF($K79&lt;&gt;"",$K79,IF($O79&lt;&gt;"",$O79,""))))))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IF(COUNTA($A79:$M79)=0,"",IF(OR(LEFT(LOWER(TRIM($F79&amp;"")),12)="subscription",LOWER(TRIM($F79&amp;""))="membership"),"Subscription",IF(OR(AND($H79&lt;&gt;"",$H79=0),LEFT(LOWER(TRIM($F79&amp;"")),9)="free game",LOWER(TRIM($F79&amp;""))="free",LOWER(TRIM($F79&amp;""))="free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IF(COUNTA($A80:$M80)=0,"",IF(OR(LEFT(LOWER(TRIM($F80&amp;"")),12)="subscription",LOWER(TRIM($F80&amp;""))="membership"),"",IF($G80="","",IF(ISNUMBER(SEARCH("non",LOWER($E80&amp;""))),$G80*0.85,$G80))))</x:f>
      </x:c>
      <x:c r="O80" s="987" t="str">
        <x:f>IF(COUNTA($A80:$M80)=0,"",IF(OR(LEFT(LOWER(TRIM($F80&amp;"")),12)="subscription",LOWER(TRIM($F80&amp;""))="membership"),"",IF(OR($N80="",$I80="",$I80=0),"",IFERROR($N80/$I80,""))))</x:f>
      </x:c>
      <x:c r="P80" s="987" t="str">
        <x:f>IF(COUNTA($A80:$M80)=0,"",IF(OR(LEFT(LOWER(TRIM($F80&amp;"")),12)="subscription",LOWER(TRIM($F80&amp;""))="membership"),"",IF(LOWER($L80&amp;"")="yes",0,IF(OR(AND($H80&lt;&gt;"",$H80=0),LEFT(LOWER(TRIM($F80&amp;"")),9)="free game",LOWER(TRIM($F80&amp;""))="free",LOWER(TRIM($F80&amp;""))="free entry"),IF(LOWER($D80&amp;"")="finalized",IF(ISNUMBER($K80),$K80,""),IF($O80&lt;&gt;"",$O80,"")),IF($K80&lt;&gt;"",$K80,IF($O80&lt;&gt;"",$O80,""))))))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IF(COUNTA($A80:$M80)=0,"",IF(OR(LEFT(LOWER(TRIM($F80&amp;"")),12)="subscription",LOWER(TRIM($F80&amp;""))="membership"),"Subscription",IF(OR(AND($H80&lt;&gt;"",$H80=0),LEFT(LOWER(TRIM($F80&amp;"")),9)="free game",LOWER(TRIM($F80&amp;""))="free",LOWER(TRIM($F80&amp;""))="free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IF(COUNTA($A81:$M81)=0,"",IF(OR(LEFT(LOWER(TRIM($F81&amp;"")),12)="subscription",LOWER(TRIM($F81&amp;""))="membership"),"",IF($G81="","",IF(ISNUMBER(SEARCH("non",LOWER($E81&amp;""))),$G81*0.85,$G81))))</x:f>
      </x:c>
      <x:c r="O81" s="987" t="str">
        <x:f>IF(COUNTA($A81:$M81)=0,"",IF(OR(LEFT(LOWER(TRIM($F81&amp;"")),12)="subscription",LOWER(TRIM($F81&amp;""))="membership"),"",IF(OR($N81="",$I81="",$I81=0),"",IFERROR($N81/$I81,""))))</x:f>
      </x:c>
      <x:c r="P81" s="987" t="str">
        <x:f>IF(COUNTA($A81:$M81)=0,"",IF(OR(LEFT(LOWER(TRIM($F81&amp;"")),12)="subscription",LOWER(TRIM($F81&amp;""))="membership"),"",IF(LOWER($L81&amp;"")="yes",0,IF(OR(AND($H81&lt;&gt;"",$H81=0),LEFT(LOWER(TRIM($F81&amp;"")),9)="free game",LOWER(TRIM($F81&amp;""))="free",LOWER(TRIM($F81&amp;""))="free entry"),IF(LOWER($D81&amp;"")="finalized",IF(ISNUMBER($K81),$K81,""),IF($O81&lt;&gt;"",$O81,"")),IF($K81&lt;&gt;"",$K81,IF($O81&lt;&gt;"",$O81,""))))))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IF(COUNTA($A81:$M81)=0,"",IF(OR(LEFT(LOWER(TRIM($F81&amp;"")),12)="subscription",LOWER(TRIM($F81&amp;""))="membership"),"Subscription",IF(OR(AND($H81&lt;&gt;"",$H81=0),LEFT(LOWER(TRIM($F81&amp;"")),9)="free game",LOWER(TRIM($F81&amp;""))="free",LOWER(TRIM($F81&amp;""))="free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IF(COUNTA($A82:$M82)=0,"",IF(OR(LEFT(LOWER(TRIM($F82&amp;"")),12)="subscription",LOWER(TRIM($F82&amp;""))="membership"),"",IF($G82="","",IF(ISNUMBER(SEARCH("non",LOWER($E82&amp;""))),$G82*0.85,$G82))))</x:f>
      </x:c>
      <x:c r="O82" s="987" t="str">
        <x:f>IF(COUNTA($A82:$M82)=0,"",IF(OR(LEFT(LOWER(TRIM($F82&amp;"")),12)="subscription",LOWER(TRIM($F82&amp;""))="membership"),"",IF(OR($N82="",$I82="",$I82=0),"",IFERROR($N82/$I82,""))))</x:f>
      </x:c>
      <x:c r="P82" s="987" t="str">
        <x:f>IF(COUNTA($A82:$M82)=0,"",IF(OR(LEFT(LOWER(TRIM($F82&amp;"")),12)="subscription",LOWER(TRIM($F82&amp;""))="membership"),"",IF(LOWER($L82&amp;"")="yes",0,IF(OR(AND($H82&lt;&gt;"",$H82=0),LEFT(LOWER(TRIM($F82&amp;"")),9)="free game",LOWER(TRIM($F82&amp;""))="free",LOWER(TRIM($F82&amp;""))="free entry"),IF(LOWER($D82&amp;"")="finalized",IF(ISNUMBER($K82),$K82,""),IF($O82&lt;&gt;"",$O82,"")),IF($K82&lt;&gt;"",$K82,IF($O82&lt;&gt;"",$O82,""))))))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IF(COUNTA($A82:$M82)=0,"",IF(OR(LEFT(LOWER(TRIM($F82&amp;"")),12)="subscription",LOWER(TRIM($F82&amp;""))="membership"),"Subscription",IF(OR(AND($H82&lt;&gt;"",$H82=0),LEFT(LOWER(TRIM($F82&amp;"")),9)="free game",LOWER(TRIM($F82&amp;""))="free",LOWER(TRIM($F82&amp;""))="free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IF(COUNTA($A83:$M83)=0,"",IF(OR(LEFT(LOWER(TRIM($F83&amp;"")),12)="subscription",LOWER(TRIM($F83&amp;""))="membership"),"",IF($G83="","",IF(ISNUMBER(SEARCH("non",LOWER($E83&amp;""))),$G83*0.85,$G83))))</x:f>
      </x:c>
      <x:c r="O83" s="987" t="str">
        <x:f>IF(COUNTA($A83:$M83)=0,"",IF(OR(LEFT(LOWER(TRIM($F83&amp;"")),12)="subscription",LOWER(TRIM($F83&amp;""))="membership"),"",IF(OR($N83="",$I83="",$I83=0),"",IFERROR($N83/$I83,""))))</x:f>
      </x:c>
      <x:c r="P83" s="987" t="str">
        <x:f>IF(COUNTA($A83:$M83)=0,"",IF(OR(LEFT(LOWER(TRIM($F83&amp;"")),12)="subscription",LOWER(TRIM($F83&amp;""))="membership"),"",IF(LOWER($L83&amp;"")="yes",0,IF(OR(AND($H83&lt;&gt;"",$H83=0),LEFT(LOWER(TRIM($F83&amp;"")),9)="free game",LOWER(TRIM($F83&amp;""))="free",LOWER(TRIM($F83&amp;""))="free entry"),IF(LOWER($D83&amp;"")="finalized",IF(ISNUMBER($K83),$K83,""),IF($O83&lt;&gt;"",$O83,"")),IF($K83&lt;&gt;"",$K83,IF($O83&lt;&gt;"",$O83,""))))))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IF(COUNTA($A83:$M83)=0,"",IF(OR(LEFT(LOWER(TRIM($F83&amp;"")),12)="subscription",LOWER(TRIM($F83&amp;""))="membership"),"Subscription",IF(OR(AND($H83&lt;&gt;"",$H83=0),LEFT(LOWER(TRIM($F83&amp;"")),9)="free game",LOWER(TRIM($F83&amp;""))="free",LOWER(TRIM($F83&amp;""))="free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IF(COUNTA($A84:$M84)=0,"",IF(OR(LEFT(LOWER(TRIM($F84&amp;"")),12)="subscription",LOWER(TRIM($F84&amp;""))="membership"),"",IF($G84="","",IF(ISNUMBER(SEARCH("non",LOWER($E84&amp;""))),$G84*0.85,$G84))))</x:f>
      </x:c>
      <x:c r="O84" s="987" t="str">
        <x:f>IF(COUNTA($A84:$M84)=0,"",IF(OR(LEFT(LOWER(TRIM($F84&amp;"")),12)="subscription",LOWER(TRIM($F84&amp;""))="membership"),"",IF(OR($N84="",$I84="",$I84=0),"",IFERROR($N84/$I84,""))))</x:f>
      </x:c>
      <x:c r="P84" s="987" t="str">
        <x:f>IF(COUNTA($A84:$M84)=0,"",IF(OR(LEFT(LOWER(TRIM($F84&amp;"")),12)="subscription",LOWER(TRIM($F84&amp;""))="membership"),"",IF(LOWER($L84&amp;"")="yes",0,IF(OR(AND($H84&lt;&gt;"",$H84=0),LEFT(LOWER(TRIM($F84&amp;"")),9)="free game",LOWER(TRIM($F84&amp;""))="free",LOWER(TRIM($F84&amp;""))="free entry"),IF(LOWER($D84&amp;"")="finalized",IF(ISNUMBER($K84),$K84,""),IF($O84&lt;&gt;"",$O84,"")),IF($K84&lt;&gt;"",$K84,IF($O84&lt;&gt;"",$O84,""))))))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IF(COUNTA($A84:$M84)=0,"",IF(OR(LEFT(LOWER(TRIM($F84&amp;"")),12)="subscription",LOWER(TRIM($F84&amp;""))="membership"),"Subscription",IF(OR(AND($H84&lt;&gt;"",$H84=0),LEFT(LOWER(TRIM($F84&amp;"")),9)="free game",LOWER(TRIM($F84&amp;""))="free",LOWER(TRIM($F84&amp;""))="free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IF(COUNTA($A85:$M85)=0,"",IF(OR(LEFT(LOWER(TRIM($F85&amp;"")),12)="subscription",LOWER(TRIM($F85&amp;""))="membership"),"",IF($G85="","",IF(ISNUMBER(SEARCH("non",LOWER($E85&amp;""))),$G85*0.85,$G85))))</x:f>
      </x:c>
      <x:c r="O85" s="987" t="str">
        <x:f>IF(COUNTA($A85:$M85)=0,"",IF(OR(LEFT(LOWER(TRIM($F85&amp;"")),12)="subscription",LOWER(TRIM($F85&amp;""))="membership"),"",IF(OR($N85="",$I85="",$I85=0),"",IFERROR($N85/$I85,""))))</x:f>
      </x:c>
      <x:c r="P85" s="987" t="str">
        <x:f>IF(COUNTA($A85:$M85)=0,"",IF(OR(LEFT(LOWER(TRIM($F85&amp;"")),12)="subscription",LOWER(TRIM($F85&amp;""))="membership"),"",IF(LOWER($L85&amp;"")="yes",0,IF(OR(AND($H85&lt;&gt;"",$H85=0),LEFT(LOWER(TRIM($F85&amp;"")),9)="free game",LOWER(TRIM($F85&amp;""))="free",LOWER(TRIM($F85&amp;""))="free entry"),IF(LOWER($D85&amp;"")="finalized",IF(ISNUMBER($K85),$K85,""),IF($O85&lt;&gt;"",$O85,"")),IF($K85&lt;&gt;"",$K85,IF($O85&lt;&gt;"",$O85,""))))))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IF(COUNTA($A85:$M85)=0,"",IF(OR(LEFT(LOWER(TRIM($F85&amp;"")),12)="subscription",LOWER(TRIM($F85&amp;""))="membership"),"Subscription",IF(OR(AND($H85&lt;&gt;"",$H85=0),LEFT(LOWER(TRIM($F85&amp;"")),9)="free game",LOWER(TRIM($F85&amp;""))="free",LOWER(TRIM($F85&amp;""))="free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IF(COUNTA($A86:$M86)=0,"",IF(OR(LEFT(LOWER(TRIM($F86&amp;"")),12)="subscription",LOWER(TRIM($F86&amp;""))="membership"),"",IF($G86="","",IF(ISNUMBER(SEARCH("non",LOWER($E86&amp;""))),$G86*0.85,$G86))))</x:f>
      </x:c>
      <x:c r="O86" s="987" t="str">
        <x:f>IF(COUNTA($A86:$M86)=0,"",IF(OR(LEFT(LOWER(TRIM($F86&amp;"")),12)="subscription",LOWER(TRIM($F86&amp;""))="membership"),"",IF(OR($N86="",$I86="",$I86=0),"",IFERROR($N86/$I86,""))))</x:f>
      </x:c>
      <x:c r="P86" s="987" t="str">
        <x:f>IF(COUNTA($A86:$M86)=0,"",IF(OR(LEFT(LOWER(TRIM($F86&amp;"")),12)="subscription",LOWER(TRIM($F86&amp;""))="membership"),"",IF(LOWER($L86&amp;"")="yes",0,IF(OR(AND($H86&lt;&gt;"",$H86=0),LEFT(LOWER(TRIM($F86&amp;"")),9)="free game",LOWER(TRIM($F86&amp;""))="free",LOWER(TRIM($F86&amp;""))="free entry"),IF(LOWER($D86&amp;"")="finalized",IF(ISNUMBER($K86),$K86,""),IF($O86&lt;&gt;"",$O86,"")),IF($K86&lt;&gt;"",$K86,IF($O86&lt;&gt;"",$O86,""))))))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IF(COUNTA($A86:$M86)=0,"",IF(OR(LEFT(LOWER(TRIM($F86&amp;"")),12)="subscription",LOWER(TRIM($F86&amp;""))="membership"),"Subscription",IF(OR(AND($H86&lt;&gt;"",$H86=0),LEFT(LOWER(TRIM($F86&amp;"")),9)="free game",LOWER(TRIM($F86&amp;""))="free",LOWER(TRIM($F86&amp;""))="free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IF(COUNTA($A87:$M87)=0,"",IF(OR(LEFT(LOWER(TRIM($F87&amp;"")),12)="subscription",LOWER(TRIM($F87&amp;""))="membership"),"",IF($G87="","",IF(ISNUMBER(SEARCH("non",LOWER($E87&amp;""))),$G87*0.85,$G87))))</x:f>
      </x:c>
      <x:c r="O87" s="987" t="str">
        <x:f>IF(COUNTA($A87:$M87)=0,"",IF(OR(LEFT(LOWER(TRIM($F87&amp;"")),12)="subscription",LOWER(TRIM($F87&amp;""))="membership"),"",IF(OR($N87="",$I87="",$I87=0),"",IFERROR($N87/$I87,""))))</x:f>
      </x:c>
      <x:c r="P87" s="987" t="str">
        <x:f>IF(COUNTA($A87:$M87)=0,"",IF(OR(LEFT(LOWER(TRIM($F87&amp;"")),12)="subscription",LOWER(TRIM($F87&amp;""))="membership"),"",IF(LOWER($L87&amp;"")="yes",0,IF(OR(AND($H87&lt;&gt;"",$H87=0),LEFT(LOWER(TRIM($F87&amp;"")),9)="free game",LOWER(TRIM($F87&amp;""))="free",LOWER(TRIM($F87&amp;""))="free entry"),IF(LOWER($D87&amp;"")="finalized",IF(ISNUMBER($K87),$K87,""),IF($O87&lt;&gt;"",$O87,"")),IF($K87&lt;&gt;"",$K87,IF($O87&lt;&gt;"",$O87,""))))))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IF(COUNTA($A87:$M87)=0,"",IF(OR(LEFT(LOWER(TRIM($F87&amp;"")),12)="subscription",LOWER(TRIM($F87&amp;""))="membership"),"Subscription",IF(OR(AND($H87&lt;&gt;"",$H87=0),LEFT(LOWER(TRIM($F87&amp;"")),9)="free game",LOWER(TRIM($F87&amp;""))="free",LOWER(TRIM($F87&amp;""))="free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IF(COUNTA($A88:$M88)=0,"",IF(OR(LEFT(LOWER(TRIM($F88&amp;"")),12)="subscription",LOWER(TRIM($F88&amp;""))="membership"),"",IF($G88="","",IF(ISNUMBER(SEARCH("non",LOWER($E88&amp;""))),$G88*0.85,$G88))))</x:f>
      </x:c>
      <x:c r="O88" s="987" t="str">
        <x:f>IF(COUNTA($A88:$M88)=0,"",IF(OR(LEFT(LOWER(TRIM($F88&amp;"")),12)="subscription",LOWER(TRIM($F88&amp;""))="membership"),"",IF(OR($N88="",$I88="",$I88=0),"",IFERROR($N88/$I88,""))))</x:f>
      </x:c>
      <x:c r="P88" s="987" t="str">
        <x:f>IF(COUNTA($A88:$M88)=0,"",IF(OR(LEFT(LOWER(TRIM($F88&amp;"")),12)="subscription",LOWER(TRIM($F88&amp;""))="membership"),"",IF(LOWER($L88&amp;"")="yes",0,IF(OR(AND($H88&lt;&gt;"",$H88=0),LEFT(LOWER(TRIM($F88&amp;"")),9)="free game",LOWER(TRIM($F88&amp;""))="free",LOWER(TRIM($F88&amp;""))="free entry"),IF(LOWER($D88&amp;"")="finalized",IF(ISNUMBER($K88),$K88,""),IF($O88&lt;&gt;"",$O88,"")),IF($K88&lt;&gt;"",$K88,IF($O88&lt;&gt;"",$O88,""))))))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IF(COUNTA($A88:$M88)=0,"",IF(OR(LEFT(LOWER(TRIM($F88&amp;"")),12)="subscription",LOWER(TRIM($F88&amp;""))="membership"),"Subscription",IF(OR(AND($H88&lt;&gt;"",$H88=0),LEFT(LOWER(TRIM($F88&amp;"")),9)="free game",LOWER(TRIM($F88&amp;""))="free",LOWER(TRIM($F88&amp;""))="free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IF(COUNTA($A89:$M89)=0,"",IF(OR(LEFT(LOWER(TRIM($F89&amp;"")),12)="subscription",LOWER(TRIM($F89&amp;""))="membership"),"",IF($G89="","",IF(ISNUMBER(SEARCH("non",LOWER($E89&amp;""))),$G89*0.85,$G89))))</x:f>
      </x:c>
      <x:c r="O89" s="987" t="str">
        <x:f>IF(COUNTA($A89:$M89)=0,"",IF(OR(LEFT(LOWER(TRIM($F89&amp;"")),12)="subscription",LOWER(TRIM($F89&amp;""))="membership"),"",IF(OR($N89="",$I89="",$I89=0),"",IFERROR($N89/$I89,""))))</x:f>
      </x:c>
      <x:c r="P89" s="987" t="str">
        <x:f>IF(COUNTA($A89:$M89)=0,"",IF(OR(LEFT(LOWER(TRIM($F89&amp;"")),12)="subscription",LOWER(TRIM($F89&amp;""))="membership"),"",IF(LOWER($L89&amp;"")="yes",0,IF(OR(AND($H89&lt;&gt;"",$H89=0),LEFT(LOWER(TRIM($F89&amp;"")),9)="free game",LOWER(TRIM($F89&amp;""))="free",LOWER(TRIM($F89&amp;""))="free entry"),IF(LOWER($D89&amp;"")="finalized",IF(ISNUMBER($K89),$K89,""),IF($O89&lt;&gt;"",$O89,"")),IF($K89&lt;&gt;"",$K89,IF($O89&lt;&gt;"",$O89,""))))))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IF(COUNTA($A89:$M89)=0,"",IF(OR(LEFT(LOWER(TRIM($F89&amp;"")),12)="subscription",LOWER(TRIM($F89&amp;""))="membership"),"Subscription",IF(OR(AND($H89&lt;&gt;"",$H89=0),LEFT(LOWER(TRIM($F89&amp;"")),9)="free game",LOWER(TRIM($F89&amp;""))="free",LOWER(TRIM($F89&amp;""))="free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IF(COUNTA($A90:$M90)=0,"",IF(OR(LEFT(LOWER(TRIM($F90&amp;"")),12)="subscription",LOWER(TRIM($F90&amp;""))="membership"),"",IF($G90="","",IF(ISNUMBER(SEARCH("non",LOWER($E90&amp;""))),$G90*0.85,$G90))))</x:f>
      </x:c>
      <x:c r="O90" s="987" t="str">
        <x:f>IF(COUNTA($A90:$M90)=0,"",IF(OR(LEFT(LOWER(TRIM($F90&amp;"")),12)="subscription",LOWER(TRIM($F90&amp;""))="membership"),"",IF(OR($N90="",$I90="",$I90=0),"",IFERROR($N90/$I90,""))))</x:f>
      </x:c>
      <x:c r="P90" s="987" t="str">
        <x:f>IF(COUNTA($A90:$M90)=0,"",IF(OR(LEFT(LOWER(TRIM($F90&amp;"")),12)="subscription",LOWER(TRIM($F90&amp;""))="membership"),"",IF(LOWER($L90&amp;"")="yes",0,IF(OR(AND($H90&lt;&gt;"",$H90=0),LEFT(LOWER(TRIM($F90&amp;"")),9)="free game",LOWER(TRIM($F90&amp;""))="free",LOWER(TRIM($F90&amp;""))="free entry"),IF(LOWER($D90&amp;"")="finalized",IF(ISNUMBER($K90),$K90,""),IF($O90&lt;&gt;"",$O90,"")),IF($K90&lt;&gt;"",$K90,IF($O90&lt;&gt;"",$O90,""))))))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IF(COUNTA($A90:$M90)=0,"",IF(OR(LEFT(LOWER(TRIM($F90&amp;"")),12)="subscription",LOWER(TRIM($F90&amp;""))="membership"),"Subscription",IF(OR(AND($H90&lt;&gt;"",$H90=0),LEFT(LOWER(TRIM($F90&amp;"")),9)="free game",LOWER(TRIM($F90&amp;""))="free",LOWER(TRIM($F90&amp;""))="free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IF(COUNTA($A91:$M91)=0,"",IF(OR(LEFT(LOWER(TRIM($F91&amp;"")),12)="subscription",LOWER(TRIM($F91&amp;""))="membership"),"",IF($G91="","",IF(ISNUMBER(SEARCH("non",LOWER($E91&amp;""))),$G91*0.85,$G91))))</x:f>
      </x:c>
      <x:c r="O91" s="987" t="str">
        <x:f>IF(COUNTA($A91:$M91)=0,"",IF(OR(LEFT(LOWER(TRIM($F91&amp;"")),12)="subscription",LOWER(TRIM($F91&amp;""))="membership"),"",IF(OR($N91="",$I91="",$I91=0),"",IFERROR($N91/$I91,""))))</x:f>
      </x:c>
      <x:c r="P91" s="987" t="str">
        <x:f>IF(COUNTA($A91:$M91)=0,"",IF(OR(LEFT(LOWER(TRIM($F91&amp;"")),12)="subscription",LOWER(TRIM($F91&amp;""))="membership"),"",IF(LOWER($L91&amp;"")="yes",0,IF(OR(AND($H91&lt;&gt;"",$H91=0),LEFT(LOWER(TRIM($F91&amp;"")),9)="free game",LOWER(TRIM($F91&amp;""))="free",LOWER(TRIM($F91&amp;""))="free entry"),IF(LOWER($D91&amp;"")="finalized",IF(ISNUMBER($K91),$K91,""),IF($O91&lt;&gt;"",$O91,"")),IF($K91&lt;&gt;"",$K91,IF($O91&lt;&gt;"",$O91,""))))))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IF(COUNTA($A91:$M91)=0,"",IF(OR(LEFT(LOWER(TRIM($F91&amp;"")),12)="subscription",LOWER(TRIM($F91&amp;""))="membership"),"Subscription",IF(OR(AND($H91&lt;&gt;"",$H91=0),LEFT(LOWER(TRIM($F91&amp;"")),9)="free game",LOWER(TRIM($F91&amp;""))="free",LOWER(TRIM($F91&amp;""))="free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IF(COUNTA($A92:$M92)=0,"",IF(OR(LEFT(LOWER(TRIM($F92&amp;"")),12)="subscription",LOWER(TRIM($F92&amp;""))="membership"),"",IF($G92="","",IF(ISNUMBER(SEARCH("non",LOWER($E92&amp;""))),$G92*0.85,$G92))))</x:f>
      </x:c>
      <x:c r="O92" s="987" t="str">
        <x:f>IF(COUNTA($A92:$M92)=0,"",IF(OR(LEFT(LOWER(TRIM($F92&amp;"")),12)="subscription",LOWER(TRIM($F92&amp;""))="membership"),"",IF(OR($N92="",$I92="",$I92=0),"",IFERROR($N92/$I92,""))))</x:f>
      </x:c>
      <x:c r="P92" s="987" t="str">
        <x:f>IF(COUNTA($A92:$M92)=0,"",IF(OR(LEFT(LOWER(TRIM($F92&amp;"")),12)="subscription",LOWER(TRIM($F92&amp;""))="membership"),"",IF(LOWER($L92&amp;"")="yes",0,IF(OR(AND($H92&lt;&gt;"",$H92=0),LEFT(LOWER(TRIM($F92&amp;"")),9)="free game",LOWER(TRIM($F92&amp;""))="free",LOWER(TRIM($F92&amp;""))="free entry"),IF(LOWER($D92&amp;"")="finalized",IF(ISNUMBER($K92),$K92,""),IF($O92&lt;&gt;"",$O92,"")),IF($K92&lt;&gt;"",$K92,IF($O92&lt;&gt;"",$O92,""))))))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IF(COUNTA($A92:$M92)=0,"",IF(OR(LEFT(LOWER(TRIM($F92&amp;"")),12)="subscription",LOWER(TRIM($F92&amp;""))="membership"),"Subscription",IF(OR(AND($H92&lt;&gt;"",$H92=0),LEFT(LOWER(TRIM($F92&amp;"")),9)="free game",LOWER(TRIM($F92&amp;""))="free",LOWER(TRIM($F92&amp;""))="free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IF(COUNTA($A93:$M93)=0,"",IF(OR(LEFT(LOWER(TRIM($F93&amp;"")),12)="subscription",LOWER(TRIM($F93&amp;""))="membership"),"",IF($G93="","",IF(ISNUMBER(SEARCH("non",LOWER($E93&amp;""))),$G93*0.85,$G93))))</x:f>
      </x:c>
      <x:c r="O93" s="987" t="str">
        <x:f>IF(COUNTA($A93:$M93)=0,"",IF(OR(LEFT(LOWER(TRIM($F93&amp;"")),12)="subscription",LOWER(TRIM($F93&amp;""))="membership"),"",IF(OR($N93="",$I93="",$I93=0),"",IFERROR($N93/$I93,""))))</x:f>
      </x:c>
      <x:c r="P93" s="987" t="str">
        <x:f>IF(COUNTA($A93:$M93)=0,"",IF(OR(LEFT(LOWER(TRIM($F93&amp;"")),12)="subscription",LOWER(TRIM($F93&amp;""))="membership"),"",IF(LOWER($L93&amp;"")="yes",0,IF(OR(AND($H93&lt;&gt;"",$H93=0),LEFT(LOWER(TRIM($F93&amp;"")),9)="free game",LOWER(TRIM($F93&amp;""))="free",LOWER(TRIM($F93&amp;""))="free entry"),IF(LOWER($D93&amp;"")="finalized",IF(ISNUMBER($K93),$K93,""),IF($O93&lt;&gt;"",$O93,"")),IF($K93&lt;&gt;"",$K93,IF($O93&lt;&gt;"",$O93,""))))))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IF(COUNTA($A93:$M93)=0,"",IF(OR(LEFT(LOWER(TRIM($F93&amp;"")),12)="subscription",LOWER(TRIM($F93&amp;""))="membership"),"Subscription",IF(OR(AND($H93&lt;&gt;"",$H93=0),LEFT(LOWER(TRIM($F93&amp;"")),9)="free game",LOWER(TRIM($F93&amp;""))="free",LOWER(TRIM($F93&amp;""))="free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IF(COUNTA($A94:$M94)=0,"",IF(OR(LEFT(LOWER(TRIM($F94&amp;"")),12)="subscription",LOWER(TRIM($F94&amp;""))="membership"),"",IF($G94="","",IF(ISNUMBER(SEARCH("non",LOWER($E94&amp;""))),$G94*0.85,$G94))))</x:f>
      </x:c>
      <x:c r="O94" s="987" t="str">
        <x:f>IF(COUNTA($A94:$M94)=0,"",IF(OR(LEFT(LOWER(TRIM($F94&amp;"")),12)="subscription",LOWER(TRIM($F94&amp;""))="membership"),"",IF(OR($N94="",$I94="",$I94=0),"",IFERROR($N94/$I94,""))))</x:f>
      </x:c>
      <x:c r="P94" s="987" t="str">
        <x:f>IF(COUNTA($A94:$M94)=0,"",IF(OR(LEFT(LOWER(TRIM($F94&amp;"")),12)="subscription",LOWER(TRIM($F94&amp;""))="membership"),"",IF(LOWER($L94&amp;"")="yes",0,IF(OR(AND($H94&lt;&gt;"",$H94=0),LEFT(LOWER(TRIM($F94&amp;"")),9)="free game",LOWER(TRIM($F94&amp;""))="free",LOWER(TRIM($F94&amp;""))="free entry"),IF(LOWER($D94&amp;"")="finalized",IF(ISNUMBER($K94),$K94,""),IF($O94&lt;&gt;"",$O94,"")),IF($K94&lt;&gt;"",$K94,IF($O94&lt;&gt;"",$O94,""))))))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IF(COUNTA($A94:$M94)=0,"",IF(OR(LEFT(LOWER(TRIM($F94&amp;"")),12)="subscription",LOWER(TRIM($F94&amp;""))="membership"),"Subscription",IF(OR(AND($H94&lt;&gt;"",$H94=0),LEFT(LOWER(TRIM($F94&amp;"")),9)="free game",LOWER(TRIM($F94&amp;""))="free",LOWER(TRIM($F94&amp;""))="free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IF(COUNTA($A95:$M95)=0,"",IF(OR(LEFT(LOWER(TRIM($F95&amp;"")),12)="subscription",LOWER(TRIM($F95&amp;""))="membership"),"",IF($G95="","",IF(ISNUMBER(SEARCH("non",LOWER($E95&amp;""))),$G95*0.85,$G95))))</x:f>
      </x:c>
      <x:c r="O95" s="987" t="str">
        <x:f>IF(COUNTA($A95:$M95)=0,"",IF(OR(LEFT(LOWER(TRIM($F95&amp;"")),12)="subscription",LOWER(TRIM($F95&amp;""))="membership"),"",IF(OR($N95="",$I95="",$I95=0),"",IFERROR($N95/$I95,""))))</x:f>
      </x:c>
      <x:c r="P95" s="987" t="str">
        <x:f>IF(COUNTA($A95:$M95)=0,"",IF(OR(LEFT(LOWER(TRIM($F95&amp;"")),12)="subscription",LOWER(TRIM($F95&amp;""))="membership"),"",IF(LOWER($L95&amp;"")="yes",0,IF(OR(AND($H95&lt;&gt;"",$H95=0),LEFT(LOWER(TRIM($F95&amp;"")),9)="free game",LOWER(TRIM($F95&amp;""))="free",LOWER(TRIM($F95&amp;""))="free entry"),IF(LOWER($D95&amp;"")="finalized",IF(ISNUMBER($K95),$K95,""),IF($O95&lt;&gt;"",$O95,"")),IF($K95&lt;&gt;"",$K95,IF($O95&lt;&gt;"",$O95,""))))))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IF(COUNTA($A95:$M95)=0,"",IF(OR(LEFT(LOWER(TRIM($F95&amp;"")),12)="subscription",LOWER(TRIM($F95&amp;""))="membership"),"Subscription",IF(OR(AND($H95&lt;&gt;"",$H95=0),LEFT(LOWER(TRIM($F95&amp;"")),9)="free game",LOWER(TRIM($F95&amp;""))="free",LOWER(TRIM($F95&amp;""))="free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IF(COUNTA($A96:$M96)=0,"",IF(OR(LEFT(LOWER(TRIM($F96&amp;"")),12)="subscription",LOWER(TRIM($F96&amp;""))="membership"),"",IF($G96="","",IF(ISNUMBER(SEARCH("non",LOWER($E96&amp;""))),$G96*0.85,$G96))))</x:f>
      </x:c>
      <x:c r="O96" s="987" t="str">
        <x:f>IF(COUNTA($A96:$M96)=0,"",IF(OR(LEFT(LOWER(TRIM($F96&amp;"")),12)="subscription",LOWER(TRIM($F96&amp;""))="membership"),"",IF(OR($N96="",$I96="",$I96=0),"",IFERROR($N96/$I96,""))))</x:f>
      </x:c>
      <x:c r="P96" s="987" t="str">
        <x:f>IF(COUNTA($A96:$M96)=0,"",IF(OR(LEFT(LOWER(TRIM($F96&amp;"")),12)="subscription",LOWER(TRIM($F96&amp;""))="membership"),"",IF(LOWER($L96&amp;"")="yes",0,IF(OR(AND($H96&lt;&gt;"",$H96=0),LEFT(LOWER(TRIM($F96&amp;"")),9)="free game",LOWER(TRIM($F96&amp;""))="free",LOWER(TRIM($F96&amp;""))="free entry"),IF(LOWER($D96&amp;"")="finalized",IF(ISNUMBER($K96),$K96,""),IF($O96&lt;&gt;"",$O96,"")),IF($K96&lt;&gt;"",$K96,IF($O96&lt;&gt;"",$O96,""))))))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IF(COUNTA($A96:$M96)=0,"",IF(OR(LEFT(LOWER(TRIM($F96&amp;"")),12)="subscription",LOWER(TRIM($F96&amp;""))="membership"),"Subscription",IF(OR(AND($H96&lt;&gt;"",$H96=0),LEFT(LOWER(TRIM($F96&amp;"")),9)="free game",LOWER(TRIM($F96&amp;""))="free",LOWER(TRIM($F96&amp;""))="free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IF(COUNTA($A97:$M97)=0,"",IF(OR(LEFT(LOWER(TRIM($F97&amp;"")),12)="subscription",LOWER(TRIM($F97&amp;""))="membership"),"",IF($G97="","",IF(ISNUMBER(SEARCH("non",LOWER($E97&amp;""))),$G97*0.85,$G97))))</x:f>
      </x:c>
      <x:c r="O97" s="987" t="str">
        <x:f>IF(COUNTA($A97:$M97)=0,"",IF(OR(LEFT(LOWER(TRIM($F97&amp;"")),12)="subscription",LOWER(TRIM($F97&amp;""))="membership"),"",IF(OR($N97="",$I97="",$I97=0),"",IFERROR($N97/$I97,""))))</x:f>
      </x:c>
      <x:c r="P97" s="987" t="str">
        <x:f>IF(COUNTA($A97:$M97)=0,"",IF(OR(LEFT(LOWER(TRIM($F97&amp;"")),12)="subscription",LOWER(TRIM($F97&amp;""))="membership"),"",IF(LOWER($L97&amp;"")="yes",0,IF(OR(AND($H97&lt;&gt;"",$H97=0),LEFT(LOWER(TRIM($F97&amp;"")),9)="free game",LOWER(TRIM($F97&amp;""))="free",LOWER(TRIM($F97&amp;""))="free entry"),IF(LOWER($D97&amp;"")="finalized",IF(ISNUMBER($K97),$K97,""),IF($O97&lt;&gt;"",$O97,"")),IF($K97&lt;&gt;"",$K97,IF($O97&lt;&gt;"",$O97,""))))))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IF(COUNTA($A97:$M97)=0,"",IF(OR(LEFT(LOWER(TRIM($F97&amp;"")),12)="subscription",LOWER(TRIM($F97&amp;""))="membership"),"Subscription",IF(OR(AND($H97&lt;&gt;"",$H97=0),LEFT(LOWER(TRIM($F97&amp;"")),9)="free game",LOWER(TRIM($F97&amp;""))="free",LOWER(TRIM($F97&amp;""))="free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IF(COUNTA($A98:$M98)=0,"",IF(OR(LEFT(LOWER(TRIM($F98&amp;"")),12)="subscription",LOWER(TRIM($F98&amp;""))="membership"),"",IF($G98="","",IF(ISNUMBER(SEARCH("non",LOWER($E98&amp;""))),$G98*0.85,$G98))))</x:f>
      </x:c>
      <x:c r="O98" s="987" t="str">
        <x:f>IF(COUNTA($A98:$M98)=0,"",IF(OR(LEFT(LOWER(TRIM($F98&amp;"")),12)="subscription",LOWER(TRIM($F98&amp;""))="membership"),"",IF(OR($N98="",$I98="",$I98=0),"",IFERROR($N98/$I98,""))))</x:f>
      </x:c>
      <x:c r="P98" s="987" t="str">
        <x:f>IF(COUNTA($A98:$M98)=0,"",IF(OR(LEFT(LOWER(TRIM($F98&amp;"")),12)="subscription",LOWER(TRIM($F98&amp;""))="membership"),"",IF(LOWER($L98&amp;"")="yes",0,IF(OR(AND($H98&lt;&gt;"",$H98=0),LEFT(LOWER(TRIM($F98&amp;"")),9)="free game",LOWER(TRIM($F98&amp;""))="free",LOWER(TRIM($F98&amp;""))="free entry"),IF(LOWER($D98&amp;"")="finalized",IF(ISNUMBER($K98),$K98,""),IF($O98&lt;&gt;"",$O98,"")),IF($K98&lt;&gt;"",$K98,IF($O98&lt;&gt;"",$O98,""))))))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IF(COUNTA($A98:$M98)=0,"",IF(OR(LEFT(LOWER(TRIM($F98&amp;"")),12)="subscription",LOWER(TRIM($F98&amp;""))="membership"),"Subscription",IF(OR(AND($H98&lt;&gt;"",$H98=0),LEFT(LOWER(TRIM($F98&amp;"")),9)="free game",LOWER(TRIM($F98&amp;""))="free",LOWER(TRIM($F98&amp;""))="free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IF(COUNTA($A99:$M99)=0,"",IF(OR(LEFT(LOWER(TRIM($F99&amp;"")),12)="subscription",LOWER(TRIM($F99&amp;""))="membership"),"",IF($G99="","",IF(ISNUMBER(SEARCH("non",LOWER($E99&amp;""))),$G99*0.85,$G99))))</x:f>
      </x:c>
      <x:c r="O99" s="987" t="str">
        <x:f>IF(COUNTA($A99:$M99)=0,"",IF(OR(LEFT(LOWER(TRIM($F99&amp;"")),12)="subscription",LOWER(TRIM($F99&amp;""))="membership"),"",IF(OR($N99="",$I99="",$I99=0),"",IFERROR($N99/$I99,""))))</x:f>
      </x:c>
      <x:c r="P99" s="987" t="str">
        <x:f>IF(COUNTA($A99:$M99)=0,"",IF(OR(LEFT(LOWER(TRIM($F99&amp;"")),12)="subscription",LOWER(TRIM($F99&amp;""))="membership"),"",IF(LOWER($L99&amp;"")="yes",0,IF(OR(AND($H99&lt;&gt;"",$H99=0),LEFT(LOWER(TRIM($F99&amp;"")),9)="free game",LOWER(TRIM($F99&amp;""))="free",LOWER(TRIM($F99&amp;""))="free entry"),IF(LOWER($D99&amp;"")="finalized",IF(ISNUMBER($K99),$K99,""),IF($O99&lt;&gt;"",$O99,"")),IF($K99&lt;&gt;"",$K99,IF($O99&lt;&gt;"",$O99,""))))))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IF(COUNTA($A99:$M99)=0,"",IF(OR(LEFT(LOWER(TRIM($F99&amp;"")),12)="subscription",LOWER(TRIM($F99&amp;""))="membership"),"Subscription",IF(OR(AND($H99&lt;&gt;"",$H99=0),LEFT(LOWER(TRIM($F99&amp;"")),9)="free game",LOWER(TRIM($F99&amp;""))="free",LOWER(TRIM($F99&amp;""))="free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IF(COUNTA($A100:$M100)=0,"",IF(OR(LEFT(LOWER(TRIM($F100&amp;"")),12)="subscription",LOWER(TRIM($F100&amp;""))="membership"),"",IF($G100="","",IF(ISNUMBER(SEARCH("non",LOWER($E100&amp;""))),$G100*0.85,$G100))))</x:f>
      </x:c>
      <x:c r="O100" s="987" t="str">
        <x:f>IF(COUNTA($A100:$M100)=0,"",IF(OR(LEFT(LOWER(TRIM($F100&amp;"")),12)="subscription",LOWER(TRIM($F100&amp;""))="membership"),"",IF(OR($N100="",$I100="",$I100=0),"",IFERROR($N100/$I100,""))))</x:f>
      </x:c>
      <x:c r="P100" s="987" t="str">
        <x:f>IF(COUNTA($A100:$M100)=0,"",IF(OR(LEFT(LOWER(TRIM($F100&amp;"")),12)="subscription",LOWER(TRIM($F100&amp;""))="membership"),"",IF(LOWER($L100&amp;"")="yes",0,IF(OR(AND($H100&lt;&gt;"",$H100=0),LEFT(LOWER(TRIM($F100&amp;"")),9)="free game",LOWER(TRIM($F100&amp;""))="free",LOWER(TRIM($F100&amp;""))="free entry"),IF(LOWER($D100&amp;"")="finalized",IF(ISNUMBER($K100),$K100,""),IF($O100&lt;&gt;"",$O100,"")),IF($K100&lt;&gt;"",$K100,IF($O100&lt;&gt;"",$O100,""))))))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IF(COUNTA($A100:$M100)=0,"",IF(OR(LEFT(LOWER(TRIM($F100&amp;"")),12)="subscription",LOWER(TRIM($F100&amp;""))="membership"),"Subscription",IF(OR(AND($H100&lt;&gt;"",$H100=0),LEFT(LOWER(TRIM($F100&amp;"")),9)="free game",LOWER(TRIM($F100&amp;""))="free",LOWER(TRIM($F100&amp;""))="free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IF(COUNTA($A101:$M101)=0,"",IF(OR(LEFT(LOWER(TRIM($F101&amp;"")),12)="subscription",LOWER(TRIM($F101&amp;""))="membership"),"",IF($G101="","",IF(ISNUMBER(SEARCH("non",LOWER($E101&amp;""))),$G101*0.85,$G101))))</x:f>
      </x:c>
      <x:c r="O101" s="987" t="str">
        <x:f>IF(COUNTA($A101:$M101)=0,"",IF(OR(LEFT(LOWER(TRIM($F101&amp;"")),12)="subscription",LOWER(TRIM($F101&amp;""))="membership"),"",IF(OR($N101="",$I101="",$I101=0),"",IFERROR($N101/$I101,""))))</x:f>
      </x:c>
      <x:c r="P101" s="987" t="str">
        <x:f>IF(COUNTA($A101:$M101)=0,"",IF(OR(LEFT(LOWER(TRIM($F101&amp;"")),12)="subscription",LOWER(TRIM($F101&amp;""))="membership"),"",IF(LOWER($L101&amp;"")="yes",0,IF(OR(AND($H101&lt;&gt;"",$H101=0),LEFT(LOWER(TRIM($F101&amp;"")),9)="free game",LOWER(TRIM($F101&amp;""))="free",LOWER(TRIM($F101&amp;""))="free entry"),IF(LOWER($D101&amp;"")="finalized",IF(ISNUMBER($K101),$K101,""),IF($O101&lt;&gt;"",$O101,"")),IF($K101&lt;&gt;"",$K101,IF($O101&lt;&gt;"",$O101,""))))))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IF(COUNTA($A101:$M101)=0,"",IF(OR(LEFT(LOWER(TRIM($F101&amp;"")),12)="subscription",LOWER(TRIM($F101&amp;""))="membership"),"Subscription",IF(OR(AND($H101&lt;&gt;"",$H101=0),LEFT(LOWER(TRIM($F101&amp;"")),9)="free game",LOWER(TRIM($F101&amp;""))="free",LOWER(TRIM($F101&amp;""))="free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IF(COUNTA($A102:$M102)=0,"",IF(OR(LEFT(LOWER(TRIM($F102&amp;"")),12)="subscription",LOWER(TRIM($F102&amp;""))="membership"),"",IF($G102="","",IF(ISNUMBER(SEARCH("non",LOWER($E102&amp;""))),$G102*0.85,$G102))))</x:f>
      </x:c>
      <x:c r="O102" s="987" t="str">
        <x:f>IF(COUNTA($A102:$M102)=0,"",IF(OR(LEFT(LOWER(TRIM($F102&amp;"")),12)="subscription",LOWER(TRIM($F102&amp;""))="membership"),"",IF(OR($N102="",$I102="",$I102=0),"",IFERROR($N102/$I102,""))))</x:f>
      </x:c>
      <x:c r="P102" s="987" t="str">
        <x:f>IF(COUNTA($A102:$M102)=0,"",IF(OR(LEFT(LOWER(TRIM($F102&amp;"")),12)="subscription",LOWER(TRIM($F102&amp;""))="membership"),"",IF(LOWER($L102&amp;"")="yes",0,IF(OR(AND($H102&lt;&gt;"",$H102=0),LEFT(LOWER(TRIM($F102&amp;"")),9)="free game",LOWER(TRIM($F102&amp;""))="free",LOWER(TRIM($F102&amp;""))="free entry"),IF(LOWER($D102&amp;"")="finalized",IF(ISNUMBER($K102),$K102,""),IF($O102&lt;&gt;"",$O102,"")),IF($K102&lt;&gt;"",$K102,IF($O102&lt;&gt;"",$O102,""))))))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IF(COUNTA($A102:$M102)=0,"",IF(OR(LEFT(LOWER(TRIM($F102&amp;"")),12)="subscription",LOWER(TRIM($F102&amp;""))="membership"),"Subscription",IF(OR(AND($H102&lt;&gt;"",$H102=0),LEFT(LOWER(TRIM($F102&amp;"")),9)="free game",LOWER(TRIM($F102&amp;""))="free",LOWER(TRIM($F102&amp;""))="free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IF(COUNTA($A103:$M103)=0,"",IF(OR(LEFT(LOWER(TRIM($F103&amp;"")),12)="subscription",LOWER(TRIM($F103&amp;""))="membership"),"",IF($G103="","",IF(ISNUMBER(SEARCH("non",LOWER($E103&amp;""))),$G103*0.85,$G103))))</x:f>
      </x:c>
      <x:c r="O103" s="987" t="str">
        <x:f>IF(COUNTA($A103:$M103)=0,"",IF(OR(LEFT(LOWER(TRIM($F103&amp;"")),12)="subscription",LOWER(TRIM($F103&amp;""))="membership"),"",IF(OR($N103="",$I103="",$I103=0),"",IFERROR($N103/$I103,""))))</x:f>
      </x:c>
      <x:c r="P103" s="987" t="str">
        <x:f>IF(COUNTA($A103:$M103)=0,"",IF(OR(LEFT(LOWER(TRIM($F103&amp;"")),12)="subscription",LOWER(TRIM($F103&amp;""))="membership"),"",IF(LOWER($L103&amp;"")="yes",0,IF(OR(AND($H103&lt;&gt;"",$H103=0),LEFT(LOWER(TRIM($F103&amp;"")),9)="free game",LOWER(TRIM($F103&amp;""))="free",LOWER(TRIM($F103&amp;""))="free entry"),IF(LOWER($D103&amp;"")="finalized",IF(ISNUMBER($K103),$K103,""),IF($O103&lt;&gt;"",$O103,"")),IF($K103&lt;&gt;"",$K103,IF($O103&lt;&gt;"",$O103,""))))))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IF(COUNTA($A103:$M103)=0,"",IF(OR(LEFT(LOWER(TRIM($F103&amp;"")),12)="subscription",LOWER(TRIM($F103&amp;""))="membership"),"Subscription",IF(OR(AND($H103&lt;&gt;"",$H103=0),LEFT(LOWER(TRIM($F103&amp;"")),9)="free game",LOWER(TRIM($F103&amp;""))="free",LOWER(TRIM($F103&amp;""))="free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IF(COUNTA($A104:$M104)=0,"",IF(OR(LEFT(LOWER(TRIM($F104&amp;"")),12)="subscription",LOWER(TRIM($F104&amp;""))="membership"),"",IF($G104="","",IF(ISNUMBER(SEARCH("non",LOWER($E104&amp;""))),$G104*0.85,$G104))))</x:f>
      </x:c>
      <x:c r="O104" s="987" t="str">
        <x:f>IF(COUNTA($A104:$M104)=0,"",IF(OR(LEFT(LOWER(TRIM($F104&amp;"")),12)="subscription",LOWER(TRIM($F104&amp;""))="membership"),"",IF(OR($N104="",$I104="",$I104=0),"",IFERROR($N104/$I104,""))))</x:f>
      </x:c>
      <x:c r="P104" s="987" t="str">
        <x:f>IF(COUNTA($A104:$M104)=0,"",IF(OR(LEFT(LOWER(TRIM($F104&amp;"")),12)="subscription",LOWER(TRIM($F104&amp;""))="membership"),"",IF(LOWER($L104&amp;"")="yes",0,IF(OR(AND($H104&lt;&gt;"",$H104=0),LEFT(LOWER(TRIM($F104&amp;"")),9)="free game",LOWER(TRIM($F104&amp;""))="free",LOWER(TRIM($F104&amp;""))="free entry"),IF(LOWER($D104&amp;"")="finalized",IF(ISNUMBER($K104),$K104,""),IF($O104&lt;&gt;"",$O104,"")),IF($K104&lt;&gt;"",$K104,IF($O104&lt;&gt;"",$O104,""))))))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IF(COUNTA($A104:$M104)=0,"",IF(OR(LEFT(LOWER(TRIM($F104&amp;"")),12)="subscription",LOWER(TRIM($F104&amp;""))="membership"),"Subscription",IF(OR(AND($H104&lt;&gt;"",$H104=0),LEFT(LOWER(TRIM($F104&amp;"")),9)="free game",LOWER(TRIM($F104&amp;""))="free",LOWER(TRIM($F104&amp;""))="free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IF(COUNTA($A105:$M105)=0,"",IF(OR(LEFT(LOWER(TRIM($F105&amp;"")),12)="subscription",LOWER(TRIM($F105&amp;""))="membership"),"",IF($G105="","",IF(ISNUMBER(SEARCH("non",LOWER($E105&amp;""))),$G105*0.85,$G105))))</x:f>
      </x:c>
      <x:c r="O105" s="987" t="str">
        <x:f>IF(COUNTA($A105:$M105)=0,"",IF(OR(LEFT(LOWER(TRIM($F105&amp;"")),12)="subscription",LOWER(TRIM($F105&amp;""))="membership"),"",IF(OR($N105="",$I105="",$I105=0),"",IFERROR($N105/$I105,""))))</x:f>
      </x:c>
      <x:c r="P105" s="987" t="str">
        <x:f>IF(COUNTA($A105:$M105)=0,"",IF(OR(LEFT(LOWER(TRIM($F105&amp;"")),12)="subscription",LOWER(TRIM($F105&amp;""))="membership"),"",IF(LOWER($L105&amp;"")="yes",0,IF(OR(AND($H105&lt;&gt;"",$H105=0),LEFT(LOWER(TRIM($F105&amp;"")),9)="free game",LOWER(TRIM($F105&amp;""))="free",LOWER(TRIM($F105&amp;""))="free entry"),IF(LOWER($D105&amp;"")="finalized",IF(ISNUMBER($K105),$K105,""),IF($O105&lt;&gt;"",$O105,"")),IF($K105&lt;&gt;"",$K105,IF($O105&lt;&gt;"",$O105,""))))))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IF(COUNTA($A105:$M105)=0,"",IF(OR(LEFT(LOWER(TRIM($F105&amp;"")),12)="subscription",LOWER(TRIM($F105&amp;""))="membership"),"Subscription",IF(OR(AND($H105&lt;&gt;"",$H105=0),LEFT(LOWER(TRIM($F105&amp;"")),9)="free game",LOWER(TRIM($F105&amp;""))="free",LOWER(TRIM($F105&amp;""))="free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IF(COUNTA($A106:$M106)=0,"",IF(OR(LEFT(LOWER(TRIM($F106&amp;"")),12)="subscription",LOWER(TRIM($F106&amp;""))="membership"),"",IF($G106="","",IF(ISNUMBER(SEARCH("non",LOWER($E106&amp;""))),$G106*0.85,$G106))))</x:f>
      </x:c>
      <x:c r="O106" s="987" t="str">
        <x:f>IF(COUNTA($A106:$M106)=0,"",IF(OR(LEFT(LOWER(TRIM($F106&amp;"")),12)="subscription",LOWER(TRIM($F106&amp;""))="membership"),"",IF(OR($N106="",$I106="",$I106=0),"",IFERROR($N106/$I106,""))))</x:f>
      </x:c>
      <x:c r="P106" s="987" t="str">
        <x:f>IF(COUNTA($A106:$M106)=0,"",IF(OR(LEFT(LOWER(TRIM($F106&amp;"")),12)="subscription",LOWER(TRIM($F106&amp;""))="membership"),"",IF(LOWER($L106&amp;"")="yes",0,IF(OR(AND($H106&lt;&gt;"",$H106=0),LEFT(LOWER(TRIM($F106&amp;"")),9)="free game",LOWER(TRIM($F106&amp;""))="free",LOWER(TRIM($F106&amp;""))="free entry"),IF(LOWER($D106&amp;"")="finalized",IF(ISNUMBER($K106),$K106,""),IF($O106&lt;&gt;"",$O106,"")),IF($K106&lt;&gt;"",$K106,IF($O106&lt;&gt;"",$O106,""))))))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IF(COUNTA($A106:$M106)=0,"",IF(OR(LEFT(LOWER(TRIM($F106&amp;"")),12)="subscription",LOWER(TRIM($F106&amp;""))="membership"),"Subscription",IF(OR(AND($H106&lt;&gt;"",$H106=0),LEFT(LOWER(TRIM($F106&amp;"")),9)="free game",LOWER(TRIM($F106&amp;""))="free",LOWER(TRIM($F106&amp;""))="free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IF(COUNTA($A107:$M107)=0,"",IF(OR(LEFT(LOWER(TRIM($F107&amp;"")),12)="subscription",LOWER(TRIM($F107&amp;""))="membership"),"",IF($G107="","",IF(ISNUMBER(SEARCH("non",LOWER($E107&amp;""))),$G107*0.85,$G107))))</x:f>
      </x:c>
      <x:c r="O107" s="987" t="str">
        <x:f>IF(COUNTA($A107:$M107)=0,"",IF(OR(LEFT(LOWER(TRIM($F107&amp;"")),12)="subscription",LOWER(TRIM($F107&amp;""))="membership"),"",IF(OR($N107="",$I107="",$I107=0),"",IFERROR($N107/$I107,""))))</x:f>
      </x:c>
      <x:c r="P107" s="987" t="str">
        <x:f>IF(COUNTA($A107:$M107)=0,"",IF(OR(LEFT(LOWER(TRIM($F107&amp;"")),12)="subscription",LOWER(TRIM($F107&amp;""))="membership"),"",IF(LOWER($L107&amp;"")="yes",0,IF(OR(AND($H107&lt;&gt;"",$H107=0),LEFT(LOWER(TRIM($F107&amp;"")),9)="free game",LOWER(TRIM($F107&amp;""))="free",LOWER(TRIM($F107&amp;""))="free entry"),IF(LOWER($D107&amp;"")="finalized",IF(ISNUMBER($K107),$K107,""),IF($O107&lt;&gt;"",$O107,"")),IF($K107&lt;&gt;"",$K107,IF($O107&lt;&gt;"",$O107,""))))))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IF(COUNTA($A107:$M107)=0,"",IF(OR(LEFT(LOWER(TRIM($F107&amp;"")),12)="subscription",LOWER(TRIM($F107&amp;""))="membership"),"Subscription",IF(OR(AND($H107&lt;&gt;"",$H107=0),LEFT(LOWER(TRIM($F107&amp;"")),9)="free game",LOWER(TRIM($F107&amp;""))="free",LOWER(TRIM($F107&amp;""))="free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IF(COUNTA($A108:$M108)=0,"",IF(OR(LEFT(LOWER(TRIM($F108&amp;"")),12)="subscription",LOWER(TRIM($F108&amp;""))="membership"),"",IF($G108="","",IF(ISNUMBER(SEARCH("non",LOWER($E108&amp;""))),$G108*0.85,$G108))))</x:f>
      </x:c>
      <x:c r="O108" s="987" t="str">
        <x:f>IF(COUNTA($A108:$M108)=0,"",IF(OR(LEFT(LOWER(TRIM($F108&amp;"")),12)="subscription",LOWER(TRIM($F108&amp;""))="membership"),"",IF(OR($N108="",$I108="",$I108=0),"",IFERROR($N108/$I108,""))))</x:f>
      </x:c>
      <x:c r="P108" s="987" t="str">
        <x:f>IF(COUNTA($A108:$M108)=0,"",IF(OR(LEFT(LOWER(TRIM($F108&amp;"")),12)="subscription",LOWER(TRIM($F108&amp;""))="membership"),"",IF(LOWER($L108&amp;"")="yes",0,IF(OR(AND($H108&lt;&gt;"",$H108=0),LEFT(LOWER(TRIM($F108&amp;"")),9)="free game",LOWER(TRIM($F108&amp;""))="free",LOWER(TRIM($F108&amp;""))="free entry"),IF(LOWER($D108&amp;"")="finalized",IF(ISNUMBER($K108),$K108,""),IF($O108&lt;&gt;"",$O108,"")),IF($K108&lt;&gt;"",$K108,IF($O108&lt;&gt;"",$O108,""))))))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IF(COUNTA($A108:$M108)=0,"",IF(OR(LEFT(LOWER(TRIM($F108&amp;"")),12)="subscription",LOWER(TRIM($F108&amp;""))="membership"),"Subscription",IF(OR(AND($H108&lt;&gt;"",$H108=0),LEFT(LOWER(TRIM($F108&amp;"")),9)="free game",LOWER(TRIM($F108&amp;""))="free",LOWER(TRIM($F108&amp;""))="free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IF(COUNTA($A109:$M109)=0,"",IF(OR(LEFT(LOWER(TRIM($F109&amp;"")),12)="subscription",LOWER(TRIM($F109&amp;""))="membership"),"",IF($G109="","",IF(ISNUMBER(SEARCH("non",LOWER($E109&amp;""))),$G109*0.85,$G109))))</x:f>
      </x:c>
      <x:c r="O109" s="987" t="str">
        <x:f>IF(COUNTA($A109:$M109)=0,"",IF(OR(LEFT(LOWER(TRIM($F109&amp;"")),12)="subscription",LOWER(TRIM($F109&amp;""))="membership"),"",IF(OR($N109="",$I109="",$I109=0),"",IFERROR($N109/$I109,""))))</x:f>
      </x:c>
      <x:c r="P109" s="987" t="str">
        <x:f>IF(COUNTA($A109:$M109)=0,"",IF(OR(LEFT(LOWER(TRIM($F109&amp;"")),12)="subscription",LOWER(TRIM($F109&amp;""))="membership"),"",IF(LOWER($L109&amp;"")="yes",0,IF(OR(AND($H109&lt;&gt;"",$H109=0),LEFT(LOWER(TRIM($F109&amp;"")),9)="free game",LOWER(TRIM($F109&amp;""))="free",LOWER(TRIM($F109&amp;""))="free entry"),IF(LOWER($D109&amp;"")="finalized",IF(ISNUMBER($K109),$K109,""),IF($O109&lt;&gt;"",$O109,"")),IF($K109&lt;&gt;"",$K109,IF($O109&lt;&gt;"",$O109,""))))))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IF(COUNTA($A109:$M109)=0,"",IF(OR(LEFT(LOWER(TRIM($F109&amp;"")),12)="subscription",LOWER(TRIM($F109&amp;""))="membership"),"Subscription",IF(OR(AND($H109&lt;&gt;"",$H109=0),LEFT(LOWER(TRIM($F109&amp;"")),9)="free game",LOWER(TRIM($F109&amp;""))="free",LOWER(TRIM($F109&amp;""))="free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IF(COUNTA($A110:$M110)=0,"",IF(OR(LEFT(LOWER(TRIM($F110&amp;"")),12)="subscription",LOWER(TRIM($F110&amp;""))="membership"),"",IF($G110="","",IF(ISNUMBER(SEARCH("non",LOWER($E110&amp;""))),$G110*0.85,$G110))))</x:f>
      </x:c>
      <x:c r="O110" s="987" t="str">
        <x:f>IF(COUNTA($A110:$M110)=0,"",IF(OR(LEFT(LOWER(TRIM($F110&amp;"")),12)="subscription",LOWER(TRIM($F110&amp;""))="membership"),"",IF(OR($N110="",$I110="",$I110=0),"",IFERROR($N110/$I110,""))))</x:f>
      </x:c>
      <x:c r="P110" s="987" t="str">
        <x:f>IF(COUNTA($A110:$M110)=0,"",IF(OR(LEFT(LOWER(TRIM($F110&amp;"")),12)="subscription",LOWER(TRIM($F110&amp;""))="membership"),"",IF(LOWER($L110&amp;"")="yes",0,IF(OR(AND($H110&lt;&gt;"",$H110=0),LEFT(LOWER(TRIM($F110&amp;"")),9)="free game",LOWER(TRIM($F110&amp;""))="free",LOWER(TRIM($F110&amp;""))="free entry"),IF(LOWER($D110&amp;"")="finalized",IF(ISNUMBER($K110),$K110,""),IF($O110&lt;&gt;"",$O110,"")),IF($K110&lt;&gt;"",$K110,IF($O110&lt;&gt;"",$O110,""))))))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IF(COUNTA($A110:$M110)=0,"",IF(OR(LEFT(LOWER(TRIM($F110&amp;"")),12)="subscription",LOWER(TRIM($F110&amp;""))="membership"),"Subscription",IF(OR(AND($H110&lt;&gt;"",$H110=0),LEFT(LOWER(TRIM($F110&amp;"")),9)="free game",LOWER(TRIM($F110&amp;""))="free",LOWER(TRIM($F110&amp;""))="free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IF(COUNTA($A111:$M111)=0,"",IF(OR(LEFT(LOWER(TRIM($F111&amp;"")),12)="subscription",LOWER(TRIM($F111&amp;""))="membership"),"",IF($G111="","",IF(ISNUMBER(SEARCH("non",LOWER($E111&amp;""))),$G111*0.85,$G111))))</x:f>
      </x:c>
      <x:c r="O111" s="987" t="str">
        <x:f>IF(COUNTA($A111:$M111)=0,"",IF(OR(LEFT(LOWER(TRIM($F111&amp;"")),12)="subscription",LOWER(TRIM($F111&amp;""))="membership"),"",IF(OR($N111="",$I111="",$I111=0),"",IFERROR($N111/$I111,""))))</x:f>
      </x:c>
      <x:c r="P111" s="987" t="str">
        <x:f>IF(COUNTA($A111:$M111)=0,"",IF(OR(LEFT(LOWER(TRIM($F111&amp;"")),12)="subscription",LOWER(TRIM($F111&amp;""))="membership"),"",IF(LOWER($L111&amp;"")="yes",0,IF(OR(AND($H111&lt;&gt;"",$H111=0),LEFT(LOWER(TRIM($F111&amp;"")),9)="free game",LOWER(TRIM($F111&amp;""))="free",LOWER(TRIM($F111&amp;""))="free entry"),IF(LOWER($D111&amp;"")="finalized",IF(ISNUMBER($K111),$K111,""),IF($O111&lt;&gt;"",$O111,"")),IF($K111&lt;&gt;"",$K111,IF($O111&lt;&gt;"",$O111,""))))))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IF(COUNTA($A111:$M111)=0,"",IF(OR(LEFT(LOWER(TRIM($F111&amp;"")),12)="subscription",LOWER(TRIM($F111&amp;""))="membership"),"Subscription",IF(OR(AND($H111&lt;&gt;"",$H111=0),LEFT(LOWER(TRIM($F111&amp;"")),9)="free game",LOWER(TRIM($F111&amp;""))="free",LOWER(TRIM($F111&amp;""))="free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IF(COUNTA($A112:$M112)=0,"",IF(OR(LEFT(LOWER(TRIM($F112&amp;"")),12)="subscription",LOWER(TRIM($F112&amp;""))="membership"),"",IF($G112="","",IF(ISNUMBER(SEARCH("non",LOWER($E112&amp;""))),$G112*0.85,$G112))))</x:f>
      </x:c>
      <x:c r="O112" s="987" t="str">
        <x:f>IF(COUNTA($A112:$M112)=0,"",IF(OR(LEFT(LOWER(TRIM($F112&amp;"")),12)="subscription",LOWER(TRIM($F112&amp;""))="membership"),"",IF(OR($N112="",$I112="",$I112=0),"",IFERROR($N112/$I112,""))))</x:f>
      </x:c>
      <x:c r="P112" s="987" t="str">
        <x:f>IF(COUNTA($A112:$M112)=0,"",IF(OR(LEFT(LOWER(TRIM($F112&amp;"")),12)="subscription",LOWER(TRIM($F112&amp;""))="membership"),"",IF(LOWER($L112&amp;"")="yes",0,IF(OR(AND($H112&lt;&gt;"",$H112=0),LEFT(LOWER(TRIM($F112&amp;"")),9)="free game",LOWER(TRIM($F112&amp;""))="free",LOWER(TRIM($F112&amp;""))="free entry"),IF(LOWER($D112&amp;"")="finalized",IF(ISNUMBER($K112),$K112,""),IF($O112&lt;&gt;"",$O112,"")),IF($K112&lt;&gt;"",$K112,IF($O112&lt;&gt;"",$O112,""))))))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IF(COUNTA($A112:$M112)=0,"",IF(OR(LEFT(LOWER(TRIM($F112&amp;"")),12)="subscription",LOWER(TRIM($F112&amp;""))="membership"),"Subscription",IF(OR(AND($H112&lt;&gt;"",$H112=0),LEFT(LOWER(TRIM($F112&amp;"")),9)="free game",LOWER(TRIM($F112&amp;""))="free",LOWER(TRIM($F112&amp;""))="free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IF(COUNTA($A113:$M113)=0,"",IF(OR(LEFT(LOWER(TRIM($F113&amp;"")),12)="subscription",LOWER(TRIM($F113&amp;""))="membership"),"",IF($G113="","",IF(ISNUMBER(SEARCH("non",LOWER($E113&amp;""))),$G113*0.85,$G113))))</x:f>
      </x:c>
      <x:c r="O113" s="987" t="str">
        <x:f>IF(COUNTA($A113:$M113)=0,"",IF(OR(LEFT(LOWER(TRIM($F113&amp;"")),12)="subscription",LOWER(TRIM($F113&amp;""))="membership"),"",IF(OR($N113="",$I113="",$I113=0),"",IFERROR($N113/$I113,""))))</x:f>
      </x:c>
      <x:c r="P113" s="987" t="str">
        <x:f>IF(COUNTA($A113:$M113)=0,"",IF(OR(LEFT(LOWER(TRIM($F113&amp;"")),12)="subscription",LOWER(TRIM($F113&amp;""))="membership"),"",IF(LOWER($L113&amp;"")="yes",0,IF(OR(AND($H113&lt;&gt;"",$H113=0),LEFT(LOWER(TRIM($F113&amp;"")),9)="free game",LOWER(TRIM($F113&amp;""))="free",LOWER(TRIM($F113&amp;""))="free entry"),IF(LOWER($D113&amp;"")="finalized",IF(ISNUMBER($K113),$K113,""),IF($O113&lt;&gt;"",$O113,"")),IF($K113&lt;&gt;"",$K113,IF($O113&lt;&gt;"",$O113,""))))))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IF(COUNTA($A113:$M113)=0,"",IF(OR(LEFT(LOWER(TRIM($F113&amp;"")),12)="subscription",LOWER(TRIM($F113&amp;""))="membership"),"Subscription",IF(OR(AND($H113&lt;&gt;"",$H113=0),LEFT(LOWER(TRIM($F113&amp;"")),9)="free game",LOWER(TRIM($F113&amp;""))="free",LOWER(TRIM($F113&amp;""))="free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IF(COUNTA($A114:$M114)=0,"",IF(OR(LEFT(LOWER(TRIM($F114&amp;"")),12)="subscription",LOWER(TRIM($F114&amp;""))="membership"),"",IF($G114="","",IF(ISNUMBER(SEARCH("non",LOWER($E114&amp;""))),$G114*0.85,$G114))))</x:f>
      </x:c>
      <x:c r="O114" s="987" t="str">
        <x:f>IF(COUNTA($A114:$M114)=0,"",IF(OR(LEFT(LOWER(TRIM($F114&amp;"")),12)="subscription",LOWER(TRIM($F114&amp;""))="membership"),"",IF(OR($N114="",$I114="",$I114=0),"",IFERROR($N114/$I114,""))))</x:f>
      </x:c>
      <x:c r="P114" s="987" t="str">
        <x:f>IF(COUNTA($A114:$M114)=0,"",IF(OR(LEFT(LOWER(TRIM($F114&amp;"")),12)="subscription",LOWER(TRIM($F114&amp;""))="membership"),"",IF(LOWER($L114&amp;"")="yes",0,IF(OR(AND($H114&lt;&gt;"",$H114=0),LEFT(LOWER(TRIM($F114&amp;"")),9)="free game",LOWER(TRIM($F114&amp;""))="free",LOWER(TRIM($F114&amp;""))="free entry"),IF(LOWER($D114&amp;"")="finalized",IF(ISNUMBER($K114),$K114,""),IF($O114&lt;&gt;"",$O114,"")),IF($K114&lt;&gt;"",$K114,IF($O114&lt;&gt;"",$O114,""))))))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IF(COUNTA($A114:$M114)=0,"",IF(OR(LEFT(LOWER(TRIM($F114&amp;"")),12)="subscription",LOWER(TRIM($F114&amp;""))="membership"),"Subscription",IF(OR(AND($H114&lt;&gt;"",$H114=0),LEFT(LOWER(TRIM($F114&amp;"")),9)="free game",LOWER(TRIM($F114&amp;""))="free",LOWER(TRIM($F114&amp;""))="free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IF(COUNTA($A115:$M115)=0,"",IF(OR(LEFT(LOWER(TRIM($F115&amp;"")),12)="subscription",LOWER(TRIM($F115&amp;""))="membership"),"",IF($G115="","",IF(ISNUMBER(SEARCH("non",LOWER($E115&amp;""))),$G115*0.85,$G115))))</x:f>
      </x:c>
      <x:c r="O115" s="987" t="str">
        <x:f>IF(COUNTA($A115:$M115)=0,"",IF(OR(LEFT(LOWER(TRIM($F115&amp;"")),12)="subscription",LOWER(TRIM($F115&amp;""))="membership"),"",IF(OR($N115="",$I115="",$I115=0),"",IFERROR($N115/$I115,""))))</x:f>
      </x:c>
      <x:c r="P115" s="987" t="str">
        <x:f>IF(COUNTA($A115:$M115)=0,"",IF(OR(LEFT(LOWER(TRIM($F115&amp;"")),12)="subscription",LOWER(TRIM($F115&amp;""))="membership"),"",IF(LOWER($L115&amp;"")="yes",0,IF(OR(AND($H115&lt;&gt;"",$H115=0),LEFT(LOWER(TRIM($F115&amp;"")),9)="free game",LOWER(TRIM($F115&amp;""))="free",LOWER(TRIM($F115&amp;""))="free entry"),IF(LOWER($D115&amp;"")="finalized",IF(ISNUMBER($K115),$K115,""),IF($O115&lt;&gt;"",$O115,"")),IF($K115&lt;&gt;"",$K115,IF($O115&lt;&gt;"",$O115,""))))))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IF(COUNTA($A115:$M115)=0,"",IF(OR(LEFT(LOWER(TRIM($F115&amp;"")),12)="subscription",LOWER(TRIM($F115&amp;""))="membership"),"Subscription",IF(OR(AND($H115&lt;&gt;"",$H115=0),LEFT(LOWER(TRIM($F115&amp;"")),9)="free game",LOWER(TRIM($F115&amp;""))="free",LOWER(TRIM($F115&amp;""))="free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IF(COUNTA($A116:$M116)=0,"",IF(OR(LEFT(LOWER(TRIM($F116&amp;"")),12)="subscription",LOWER(TRIM($F116&amp;""))="membership"),"",IF($G116="","",IF(ISNUMBER(SEARCH("non",LOWER($E116&amp;""))),$G116*0.85,$G116))))</x:f>
      </x:c>
      <x:c r="O116" s="987" t="str">
        <x:f>IF(COUNTA($A116:$M116)=0,"",IF(OR(LEFT(LOWER(TRIM($F116&amp;"")),12)="subscription",LOWER(TRIM($F116&amp;""))="membership"),"",IF(OR($N116="",$I116="",$I116=0),"",IFERROR($N116/$I116,""))))</x:f>
      </x:c>
      <x:c r="P116" s="987" t="str">
        <x:f>IF(COUNTA($A116:$M116)=0,"",IF(OR(LEFT(LOWER(TRIM($F116&amp;"")),12)="subscription",LOWER(TRIM($F116&amp;""))="membership"),"",IF(LOWER($L116&amp;"")="yes",0,IF(OR(AND($H116&lt;&gt;"",$H116=0),LEFT(LOWER(TRIM($F116&amp;"")),9)="free game",LOWER(TRIM($F116&amp;""))="free",LOWER(TRIM($F116&amp;""))="free entry"),IF(LOWER($D116&amp;"")="finalized",IF(ISNUMBER($K116),$K116,""),IF($O116&lt;&gt;"",$O116,"")),IF($K116&lt;&gt;"",$K116,IF($O116&lt;&gt;"",$O116,""))))))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IF(COUNTA($A116:$M116)=0,"",IF(OR(LEFT(LOWER(TRIM($F116&amp;"")),12)="subscription",LOWER(TRIM($F116&amp;""))="membership"),"Subscription",IF(OR(AND($H116&lt;&gt;"",$H116=0),LEFT(LOWER(TRIM($F116&amp;"")),9)="free game",LOWER(TRIM($F116&amp;""))="free",LOWER(TRIM($F116&amp;""))="free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IF(COUNTA($A117:$M117)=0,"",IF(OR(LEFT(LOWER(TRIM($F117&amp;"")),12)="subscription",LOWER(TRIM($F117&amp;""))="membership"),"",IF($G117="","",IF(ISNUMBER(SEARCH("non",LOWER($E117&amp;""))),$G117*0.85,$G117))))</x:f>
      </x:c>
      <x:c r="O117" s="987" t="str">
        <x:f>IF(COUNTA($A117:$M117)=0,"",IF(OR(LEFT(LOWER(TRIM($F117&amp;"")),12)="subscription",LOWER(TRIM($F117&amp;""))="membership"),"",IF(OR($N117="",$I117="",$I117=0),"",IFERROR($N117/$I117,""))))</x:f>
      </x:c>
      <x:c r="P117" s="987" t="str">
        <x:f>IF(COUNTA($A117:$M117)=0,"",IF(OR(LEFT(LOWER(TRIM($F117&amp;"")),12)="subscription",LOWER(TRIM($F117&amp;""))="membership"),"",IF(LOWER($L117&amp;"")="yes",0,IF(OR(AND($H117&lt;&gt;"",$H117=0),LEFT(LOWER(TRIM($F117&amp;"")),9)="free game",LOWER(TRIM($F117&amp;""))="free",LOWER(TRIM($F117&amp;""))="free entry"),IF(LOWER($D117&amp;"")="finalized",IF(ISNUMBER($K117),$K117,""),IF($O117&lt;&gt;"",$O117,"")),IF($K117&lt;&gt;"",$K117,IF($O117&lt;&gt;"",$O117,""))))))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IF(COUNTA($A117:$M117)=0,"",IF(OR(LEFT(LOWER(TRIM($F117&amp;"")),12)="subscription",LOWER(TRIM($F117&amp;""))="membership"),"Subscription",IF(OR(AND($H117&lt;&gt;"",$H117=0),LEFT(LOWER(TRIM($F117&amp;"")),9)="free game",LOWER(TRIM($F117&amp;""))="free",LOWER(TRIM($F117&amp;""))="free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IF(COUNTA($A118:$M118)=0,"",IF(OR(LEFT(LOWER(TRIM($F118&amp;"")),12)="subscription",LOWER(TRIM($F118&amp;""))="membership"),"",IF($G118="","",IF(ISNUMBER(SEARCH("non",LOWER($E118&amp;""))),$G118*0.85,$G118))))</x:f>
      </x:c>
      <x:c r="O118" s="987" t="str">
        <x:f>IF(COUNTA($A118:$M118)=0,"",IF(OR(LEFT(LOWER(TRIM($F118&amp;"")),12)="subscription",LOWER(TRIM($F118&amp;""))="membership"),"",IF(OR($N118="",$I118="",$I118=0),"",IFERROR($N118/$I118,""))))</x:f>
      </x:c>
      <x:c r="P118" s="987" t="str">
        <x:f>IF(COUNTA($A118:$M118)=0,"",IF(OR(LEFT(LOWER(TRIM($F118&amp;"")),12)="subscription",LOWER(TRIM($F118&amp;""))="membership"),"",IF(LOWER($L118&amp;"")="yes",0,IF(OR(AND($H118&lt;&gt;"",$H118=0),LEFT(LOWER(TRIM($F118&amp;"")),9)="free game",LOWER(TRIM($F118&amp;""))="free",LOWER(TRIM($F118&amp;""))="free entry"),IF(LOWER($D118&amp;"")="finalized",IF(ISNUMBER($K118),$K118,""),IF($O118&lt;&gt;"",$O118,"")),IF($K118&lt;&gt;"",$K118,IF($O118&lt;&gt;"",$O118,""))))))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IF(COUNTA($A118:$M118)=0,"",IF(OR(LEFT(LOWER(TRIM($F118&amp;"")),12)="subscription",LOWER(TRIM($F118&amp;""))="membership"),"Subscription",IF(OR(AND($H118&lt;&gt;"",$H118=0),LEFT(LOWER(TRIM($F118&amp;"")),9)="free game",LOWER(TRIM($F118&amp;""))="free",LOWER(TRIM($F118&amp;""))="free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IF(COUNTA($A119:$M119)=0,"",IF(OR(LEFT(LOWER(TRIM($F119&amp;"")),12)="subscription",LOWER(TRIM($F119&amp;""))="membership"),"",IF($G119="","",IF(ISNUMBER(SEARCH("non",LOWER($E119&amp;""))),$G119*0.85,$G119))))</x:f>
      </x:c>
      <x:c r="O119" s="987" t="str">
        <x:f>IF(COUNTA($A119:$M119)=0,"",IF(OR(LEFT(LOWER(TRIM($F119&amp;"")),12)="subscription",LOWER(TRIM($F119&amp;""))="membership"),"",IF(OR($N119="",$I119="",$I119=0),"",IFERROR($N119/$I119,""))))</x:f>
      </x:c>
      <x:c r="P119" s="987" t="str">
        <x:f>IF(COUNTA($A119:$M119)=0,"",IF(OR(LEFT(LOWER(TRIM($F119&amp;"")),12)="subscription",LOWER(TRIM($F119&amp;""))="membership"),"",IF(LOWER($L119&amp;"")="yes",0,IF(OR(AND($H119&lt;&gt;"",$H119=0),LEFT(LOWER(TRIM($F119&amp;"")),9)="free game",LOWER(TRIM($F119&amp;""))="free",LOWER(TRIM($F119&amp;""))="free entry"),IF(LOWER($D119&amp;"")="finalized",IF(ISNUMBER($K119),$K119,""),IF($O119&lt;&gt;"",$O119,"")),IF($K119&lt;&gt;"",$K119,IF($O119&lt;&gt;"",$O119,""))))))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IF(COUNTA($A119:$M119)=0,"",IF(OR(LEFT(LOWER(TRIM($F119&amp;"")),12)="subscription",LOWER(TRIM($F119&amp;""))="membership"),"Subscription",IF(OR(AND($H119&lt;&gt;"",$H119=0),LEFT(LOWER(TRIM($F119&amp;"")),9)="free game",LOWER(TRIM($F119&amp;""))="free",LOWER(TRIM($F119&amp;""))="free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IF(COUNTA($A120:$M120)=0,"",IF(OR(LEFT(LOWER(TRIM($F120&amp;"")),12)="subscription",LOWER(TRIM($F120&amp;""))="membership"),"",IF($G120="","",IF(ISNUMBER(SEARCH("non",LOWER($E120&amp;""))),$G120*0.85,$G120))))</x:f>
      </x:c>
      <x:c r="O120" s="987" t="str">
        <x:f>IF(COUNTA($A120:$M120)=0,"",IF(OR(LEFT(LOWER(TRIM($F120&amp;"")),12)="subscription",LOWER(TRIM($F120&amp;""))="membership"),"",IF(OR($N120="",$I120="",$I120=0),"",IFERROR($N120/$I120,""))))</x:f>
      </x:c>
      <x:c r="P120" s="987" t="str">
        <x:f>IF(COUNTA($A120:$M120)=0,"",IF(OR(LEFT(LOWER(TRIM($F120&amp;"")),12)="subscription",LOWER(TRIM($F120&amp;""))="membership"),"",IF(LOWER($L120&amp;"")="yes",0,IF(OR(AND($H120&lt;&gt;"",$H120=0),LEFT(LOWER(TRIM($F120&amp;"")),9)="free game",LOWER(TRIM($F120&amp;""))="free",LOWER(TRIM($F120&amp;""))="free entry"),IF(LOWER($D120&amp;"")="finalized",IF(ISNUMBER($K120),$K120,""),IF($O120&lt;&gt;"",$O120,"")),IF($K120&lt;&gt;"",$K120,IF($O120&lt;&gt;"",$O120,""))))))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IF(COUNTA($A120:$M120)=0,"",IF(OR(LEFT(LOWER(TRIM($F120&amp;"")),12)="subscription",LOWER(TRIM($F120&amp;""))="membership"),"Subscription",IF(OR(AND($H120&lt;&gt;"",$H120=0),LEFT(LOWER(TRIM($F120&amp;"")),9)="free game",LOWER(TRIM($F120&amp;""))="free",LOWER(TRIM($F120&amp;""))="free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IF(COUNTA($A121:$M121)=0,"",IF(OR(LEFT(LOWER(TRIM($F121&amp;"")),12)="subscription",LOWER(TRIM($F121&amp;""))="membership"),"",IF($G121="","",IF(ISNUMBER(SEARCH("non",LOWER($E121&amp;""))),$G121*0.85,$G121))))</x:f>
      </x:c>
      <x:c r="O121" s="987" t="str">
        <x:f>IF(COUNTA($A121:$M121)=0,"",IF(OR(LEFT(LOWER(TRIM($F121&amp;"")),12)="subscription",LOWER(TRIM($F121&amp;""))="membership"),"",IF(OR($N121="",$I121="",$I121=0),"",IFERROR($N121/$I121,""))))</x:f>
      </x:c>
      <x:c r="P121" s="987" t="str">
        <x:f>IF(COUNTA($A121:$M121)=0,"",IF(OR(LEFT(LOWER(TRIM($F121&amp;"")),12)="subscription",LOWER(TRIM($F121&amp;""))="membership"),"",IF(LOWER($L121&amp;"")="yes",0,IF(OR(AND($H121&lt;&gt;"",$H121=0),LEFT(LOWER(TRIM($F121&amp;"")),9)="free game",LOWER(TRIM($F121&amp;""))="free",LOWER(TRIM($F121&amp;""))="free entry"),IF(LOWER($D121&amp;"")="finalized",IF(ISNUMBER($K121),$K121,""),IF($O121&lt;&gt;"",$O121,"")),IF($K121&lt;&gt;"",$K121,IF($O121&lt;&gt;"",$O121,""))))))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IF(COUNTA($A121:$M121)=0,"",IF(OR(LEFT(LOWER(TRIM($F121&amp;"")),12)="subscription",LOWER(TRIM($F121&amp;""))="membership"),"Subscription",IF(OR(AND($H121&lt;&gt;"",$H121=0),LEFT(LOWER(TRIM($F121&amp;"")),9)="free game",LOWER(TRIM($F121&amp;""))="free",LOWER(TRIM($F121&amp;""))="free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IF(COUNTA($A122:$M122)=0,"",IF(OR(LEFT(LOWER(TRIM($F122&amp;"")),12)="subscription",LOWER(TRIM($F122&amp;""))="membership"),"",IF($G122="","",IF(ISNUMBER(SEARCH("non",LOWER($E122&amp;""))),$G122*0.85,$G122))))</x:f>
      </x:c>
      <x:c r="O122" s="987" t="str">
        <x:f>IF(COUNTA($A122:$M122)=0,"",IF(OR(LEFT(LOWER(TRIM($F122&amp;"")),12)="subscription",LOWER(TRIM($F122&amp;""))="membership"),"",IF(OR($N122="",$I122="",$I122=0),"",IFERROR($N122/$I122,""))))</x:f>
      </x:c>
      <x:c r="P122" s="987" t="str">
        <x:f>IF(COUNTA($A122:$M122)=0,"",IF(OR(LEFT(LOWER(TRIM($F122&amp;"")),12)="subscription",LOWER(TRIM($F122&amp;""))="membership"),"",IF(LOWER($L122&amp;"")="yes",0,IF(OR(AND($H122&lt;&gt;"",$H122=0),LEFT(LOWER(TRIM($F122&amp;"")),9)="free game",LOWER(TRIM($F122&amp;""))="free",LOWER(TRIM($F122&amp;""))="free entry"),IF(LOWER($D122&amp;"")="finalized",IF(ISNUMBER($K122),$K122,""),IF($O122&lt;&gt;"",$O122,"")),IF($K122&lt;&gt;"",$K122,IF($O122&lt;&gt;"",$O122,""))))))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IF(COUNTA($A122:$M122)=0,"",IF(OR(LEFT(LOWER(TRIM($F122&amp;"")),12)="subscription",LOWER(TRIM($F122&amp;""))="membership"),"Subscription",IF(OR(AND($H122&lt;&gt;"",$H122=0),LEFT(LOWER(TRIM($F122&amp;"")),9)="free game",LOWER(TRIM($F122&amp;""))="free",LOWER(TRIM($F122&amp;""))="free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IF(COUNTA($A123:$M123)=0,"",IF(OR(LEFT(LOWER(TRIM($F123&amp;"")),12)="subscription",LOWER(TRIM($F123&amp;""))="membership"),"",IF($G123="","",IF(ISNUMBER(SEARCH("non",LOWER($E123&amp;""))),$G123*0.85,$G123))))</x:f>
      </x:c>
      <x:c r="O123" s="987" t="str">
        <x:f>IF(COUNTA($A123:$M123)=0,"",IF(OR(LEFT(LOWER(TRIM($F123&amp;"")),12)="subscription",LOWER(TRIM($F123&amp;""))="membership"),"",IF(OR($N123="",$I123="",$I123=0),"",IFERROR($N123/$I123,""))))</x:f>
      </x:c>
      <x:c r="P123" s="987" t="str">
        <x:f>IF(COUNTA($A123:$M123)=0,"",IF(OR(LEFT(LOWER(TRIM($F123&amp;"")),12)="subscription",LOWER(TRIM($F123&amp;""))="membership"),"",IF(LOWER($L123&amp;"")="yes",0,IF(OR(AND($H123&lt;&gt;"",$H123=0),LEFT(LOWER(TRIM($F123&amp;"")),9)="free game",LOWER(TRIM($F123&amp;""))="free",LOWER(TRIM($F123&amp;""))="free entry"),IF(LOWER($D123&amp;"")="finalized",IF(ISNUMBER($K123),$K123,""),IF($O123&lt;&gt;"",$O123,"")),IF($K123&lt;&gt;"",$K123,IF($O123&lt;&gt;"",$O123,""))))))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IF(COUNTA($A123:$M123)=0,"",IF(OR(LEFT(LOWER(TRIM($F123&amp;"")),12)="subscription",LOWER(TRIM($F123&amp;""))="membership"),"Subscription",IF(OR(AND($H123&lt;&gt;"",$H123=0),LEFT(LOWER(TRIM($F123&amp;"")),9)="free game",LOWER(TRIM($F123&amp;""))="free",LOWER(TRIM($F123&amp;""))="free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IF(COUNTA($A124:$M124)=0,"",IF(OR(LEFT(LOWER(TRIM($F124&amp;"")),12)="subscription",LOWER(TRIM($F124&amp;""))="membership"),"",IF($G124="","",IF(ISNUMBER(SEARCH("non",LOWER($E124&amp;""))),$G124*0.85,$G124))))</x:f>
      </x:c>
      <x:c r="O124" s="987" t="str">
        <x:f>IF(COUNTA($A124:$M124)=0,"",IF(OR(LEFT(LOWER(TRIM($F124&amp;"")),12)="subscription",LOWER(TRIM($F124&amp;""))="membership"),"",IF(OR($N124="",$I124="",$I124=0),"",IFERROR($N124/$I124,""))))</x:f>
      </x:c>
      <x:c r="P124" s="987" t="str">
        <x:f>IF(COUNTA($A124:$M124)=0,"",IF(OR(LEFT(LOWER(TRIM($F124&amp;"")),12)="subscription",LOWER(TRIM($F124&amp;""))="membership"),"",IF(LOWER($L124&amp;"")="yes",0,IF(OR(AND($H124&lt;&gt;"",$H124=0),LEFT(LOWER(TRIM($F124&amp;"")),9)="free game",LOWER(TRIM($F124&amp;""))="free",LOWER(TRIM($F124&amp;""))="free entry"),IF(LOWER($D124&amp;"")="finalized",IF(ISNUMBER($K124),$K124,""),IF($O124&lt;&gt;"",$O124,"")),IF($K124&lt;&gt;"",$K124,IF($O124&lt;&gt;"",$O124,""))))))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IF(COUNTA($A124:$M124)=0,"",IF(OR(LEFT(LOWER(TRIM($F124&amp;"")),12)="subscription",LOWER(TRIM($F124&amp;""))="membership"),"Subscription",IF(OR(AND($H124&lt;&gt;"",$H124=0),LEFT(LOWER(TRIM($F124&amp;"")),9)="free game",LOWER(TRIM($F124&amp;""))="free",LOWER(TRIM($F124&amp;""))="free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IF(COUNTA($A125:$M125)=0,"",IF(OR(LEFT(LOWER(TRIM($F125&amp;"")),12)="subscription",LOWER(TRIM($F125&amp;""))="membership"),"",IF($G125="","",IF(ISNUMBER(SEARCH("non",LOWER($E125&amp;""))),$G125*0.85,$G125))))</x:f>
      </x:c>
      <x:c r="O125" s="987" t="str">
        <x:f>IF(COUNTA($A125:$M125)=0,"",IF(OR(LEFT(LOWER(TRIM($F125&amp;"")),12)="subscription",LOWER(TRIM($F125&amp;""))="membership"),"",IF(OR($N125="",$I125="",$I125=0),"",IFERROR($N125/$I125,""))))</x:f>
      </x:c>
      <x:c r="P125" s="987" t="str">
        <x:f>IF(COUNTA($A125:$M125)=0,"",IF(OR(LEFT(LOWER(TRIM($F125&amp;"")),12)="subscription",LOWER(TRIM($F125&amp;""))="membership"),"",IF(LOWER($L125&amp;"")="yes",0,IF(OR(AND($H125&lt;&gt;"",$H125=0),LEFT(LOWER(TRIM($F125&amp;"")),9)="free game",LOWER(TRIM($F125&amp;""))="free",LOWER(TRIM($F125&amp;""))="free entry"),IF(LOWER($D125&amp;"")="finalized",IF(ISNUMBER($K125),$K125,""),IF($O125&lt;&gt;"",$O125,"")),IF($K125&lt;&gt;"",$K125,IF($O125&lt;&gt;"",$O125,""))))))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IF(COUNTA($A125:$M125)=0,"",IF(OR(LEFT(LOWER(TRIM($F125&amp;"")),12)="subscription",LOWER(TRIM($F125&amp;""))="membership"),"Subscription",IF(OR(AND($H125&lt;&gt;"",$H125=0),LEFT(LOWER(TRIM($F125&amp;"")),9)="free game",LOWER(TRIM($F125&amp;""))="free",LOWER(TRIM($F125&amp;""))="free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IF(COUNTA($A126:$M126)=0,"",IF(OR(LEFT(LOWER(TRIM($F126&amp;"")),12)="subscription",LOWER(TRIM($F126&amp;""))="membership"),"",IF($G126="","",IF(ISNUMBER(SEARCH("non",LOWER($E126&amp;""))),$G126*0.85,$G126))))</x:f>
      </x:c>
      <x:c r="O126" s="987" t="str">
        <x:f>IF(COUNTA($A126:$M126)=0,"",IF(OR(LEFT(LOWER(TRIM($F126&amp;"")),12)="subscription",LOWER(TRIM($F126&amp;""))="membership"),"",IF(OR($N126="",$I126="",$I126=0),"",IFERROR($N126/$I126,""))))</x:f>
      </x:c>
      <x:c r="P126" s="987" t="str">
        <x:f>IF(COUNTA($A126:$M126)=0,"",IF(OR(LEFT(LOWER(TRIM($F126&amp;"")),12)="subscription",LOWER(TRIM($F126&amp;""))="membership"),"",IF(LOWER($L126&amp;"")="yes",0,IF(OR(AND($H126&lt;&gt;"",$H126=0),LEFT(LOWER(TRIM($F126&amp;"")),9)="free game",LOWER(TRIM($F126&amp;""))="free",LOWER(TRIM($F126&amp;""))="free entry"),IF(LOWER($D126&amp;"")="finalized",IF(ISNUMBER($K126),$K126,""),IF($O126&lt;&gt;"",$O126,"")),IF($K126&lt;&gt;"",$K126,IF($O126&lt;&gt;"",$O126,""))))))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IF(COUNTA($A126:$M126)=0,"",IF(OR(LEFT(LOWER(TRIM($F126&amp;"")),12)="subscription",LOWER(TRIM($F126&amp;""))="membership"),"Subscription",IF(OR(AND($H126&lt;&gt;"",$H126=0),LEFT(LOWER(TRIM($F126&amp;"")),9)="free game",LOWER(TRIM($F126&amp;""))="free",LOWER(TRIM($F126&amp;""))="free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IF(COUNTA($A127:$M127)=0,"",IF(OR(LEFT(LOWER(TRIM($F127&amp;"")),12)="subscription",LOWER(TRIM($F127&amp;""))="membership"),"",IF($G127="","",IF(ISNUMBER(SEARCH("non",LOWER($E127&amp;""))),$G127*0.85,$G127))))</x:f>
      </x:c>
      <x:c r="O127" s="987" t="str">
        <x:f>IF(COUNTA($A127:$M127)=0,"",IF(OR(LEFT(LOWER(TRIM($F127&amp;"")),12)="subscription",LOWER(TRIM($F127&amp;""))="membership"),"",IF(OR($N127="",$I127="",$I127=0),"",IFERROR($N127/$I127,""))))</x:f>
      </x:c>
      <x:c r="P127" s="987" t="str">
        <x:f>IF(COUNTA($A127:$M127)=0,"",IF(OR(LEFT(LOWER(TRIM($F127&amp;"")),12)="subscription",LOWER(TRIM($F127&amp;""))="membership"),"",IF(LOWER($L127&amp;"")="yes",0,IF(OR(AND($H127&lt;&gt;"",$H127=0),LEFT(LOWER(TRIM($F127&amp;"")),9)="free game",LOWER(TRIM($F127&amp;""))="free",LOWER(TRIM($F127&amp;""))="free entry"),IF(LOWER($D127&amp;"")="finalized",IF(ISNUMBER($K127),$K127,""),IF($O127&lt;&gt;"",$O127,"")),IF($K127&lt;&gt;"",$K127,IF($O127&lt;&gt;"",$O127,""))))))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IF(COUNTA($A127:$M127)=0,"",IF(OR(LEFT(LOWER(TRIM($F127&amp;"")),12)="subscription",LOWER(TRIM($F127&amp;""))="membership"),"Subscription",IF(OR(AND($H127&lt;&gt;"",$H127=0),LEFT(LOWER(TRIM($F127&amp;"")),9)="free game",LOWER(TRIM($F127&amp;""))="free",LOWER(TRIM($F127&amp;""))="free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IF(COUNTA($A128:$M128)=0,"",IF(OR(LEFT(LOWER(TRIM($F128&amp;"")),12)="subscription",LOWER(TRIM($F128&amp;""))="membership"),"",IF($G128="","",IF(ISNUMBER(SEARCH("non",LOWER($E128&amp;""))),$G128*0.85,$G128))))</x:f>
      </x:c>
      <x:c r="O128" s="987" t="str">
        <x:f>IF(COUNTA($A128:$M128)=0,"",IF(OR(LEFT(LOWER(TRIM($F128&amp;"")),12)="subscription",LOWER(TRIM($F128&amp;""))="membership"),"",IF(OR($N128="",$I128="",$I128=0),"",IFERROR($N128/$I128,""))))</x:f>
      </x:c>
      <x:c r="P128" s="987" t="str">
        <x:f>IF(COUNTA($A128:$M128)=0,"",IF(OR(LEFT(LOWER(TRIM($F128&amp;"")),12)="subscription",LOWER(TRIM($F128&amp;""))="membership"),"",IF(LOWER($L128&amp;"")="yes",0,IF(OR(AND($H128&lt;&gt;"",$H128=0),LEFT(LOWER(TRIM($F128&amp;"")),9)="free game",LOWER(TRIM($F128&amp;""))="free",LOWER(TRIM($F128&amp;""))="free entry"),IF(LOWER($D128&amp;"")="finalized",IF(ISNUMBER($K128),$K128,""),IF($O128&lt;&gt;"",$O128,"")),IF($K128&lt;&gt;"",$K128,IF($O128&lt;&gt;"",$O128,""))))))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IF(COUNTA($A128:$M128)=0,"",IF(OR(LEFT(LOWER(TRIM($F128&amp;"")),12)="subscription",LOWER(TRIM($F128&amp;""))="membership"),"Subscription",IF(OR(AND($H128&lt;&gt;"",$H128=0),LEFT(LOWER(TRIM($F128&amp;"")),9)="free game",LOWER(TRIM($F128&amp;""))="free",LOWER(TRIM($F128&amp;""))="free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IF(COUNTA($A129:$M129)=0,"",IF(OR(LEFT(LOWER(TRIM($F129&amp;"")),12)="subscription",LOWER(TRIM($F129&amp;""))="membership"),"",IF($G129="","",IF(ISNUMBER(SEARCH("non",LOWER($E129&amp;""))),$G129*0.85,$G129))))</x:f>
      </x:c>
      <x:c r="O129" s="987" t="str">
        <x:f>IF(COUNTA($A129:$M129)=0,"",IF(OR(LEFT(LOWER(TRIM($F129&amp;"")),12)="subscription",LOWER(TRIM($F129&amp;""))="membership"),"",IF(OR($N129="",$I129="",$I129=0),"",IFERROR($N129/$I129,""))))</x:f>
      </x:c>
      <x:c r="P129" s="987" t="str">
        <x:f>IF(COUNTA($A129:$M129)=0,"",IF(OR(LEFT(LOWER(TRIM($F129&amp;"")),12)="subscription",LOWER(TRIM($F129&amp;""))="membership"),"",IF(LOWER($L129&amp;"")="yes",0,IF(OR(AND($H129&lt;&gt;"",$H129=0),LEFT(LOWER(TRIM($F129&amp;"")),9)="free game",LOWER(TRIM($F129&amp;""))="free",LOWER(TRIM($F129&amp;""))="free entry"),IF(LOWER($D129&amp;"")="finalized",IF(ISNUMBER($K129),$K129,""),IF($O129&lt;&gt;"",$O129,"")),IF($K129&lt;&gt;"",$K129,IF($O129&lt;&gt;"",$O129,""))))))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IF(COUNTA($A129:$M129)=0,"",IF(OR(LEFT(LOWER(TRIM($F129&amp;"")),12)="subscription",LOWER(TRIM($F129&amp;""))="membership"),"Subscription",IF(OR(AND($H129&lt;&gt;"",$H129=0),LEFT(LOWER(TRIM($F129&amp;"")),9)="free game",LOWER(TRIM($F129&amp;""))="free",LOWER(TRIM($F129&amp;""))="free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IF(COUNTA($A130:$M130)=0,"",IF(OR(LEFT(LOWER(TRIM($F130&amp;"")),12)="subscription",LOWER(TRIM($F130&amp;""))="membership"),"",IF($G130="","",IF(ISNUMBER(SEARCH("non",LOWER($E130&amp;""))),$G130*0.85,$G130))))</x:f>
      </x:c>
      <x:c r="O130" s="987" t="str">
        <x:f>IF(COUNTA($A130:$M130)=0,"",IF(OR(LEFT(LOWER(TRIM($F130&amp;"")),12)="subscription",LOWER(TRIM($F130&amp;""))="membership"),"",IF(OR($N130="",$I130="",$I130=0),"",IFERROR($N130/$I130,""))))</x:f>
      </x:c>
      <x:c r="P130" s="987" t="str">
        <x:f>IF(COUNTA($A130:$M130)=0,"",IF(OR(LEFT(LOWER(TRIM($F130&amp;"")),12)="subscription",LOWER(TRIM($F130&amp;""))="membership"),"",IF(LOWER($L130&amp;"")="yes",0,IF(OR(AND($H130&lt;&gt;"",$H130=0),LEFT(LOWER(TRIM($F130&amp;"")),9)="free game",LOWER(TRIM($F130&amp;""))="free",LOWER(TRIM($F130&amp;""))="free entry"),IF(LOWER($D130&amp;"")="finalized",IF(ISNUMBER($K130),$K130,""),IF($O130&lt;&gt;"",$O130,"")),IF($K130&lt;&gt;"",$K130,IF($O130&lt;&gt;"",$O130,""))))))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IF(COUNTA($A130:$M130)=0,"",IF(OR(LEFT(LOWER(TRIM($F130&amp;"")),12)="subscription",LOWER(TRIM($F130&amp;""))="membership"),"Subscription",IF(OR(AND($H130&lt;&gt;"",$H130=0),LEFT(LOWER(TRIM($F130&amp;"")),9)="free game",LOWER(TRIM($F130&amp;""))="free",LOWER(TRIM($F130&amp;""))="free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IF(COUNTA($A131:$M131)=0,"",IF(OR(LEFT(LOWER(TRIM($F131&amp;"")),12)="subscription",LOWER(TRIM($F131&amp;""))="membership"),"",IF($G131="","",IF(ISNUMBER(SEARCH("non",LOWER($E131&amp;""))),$G131*0.85,$G131))))</x:f>
      </x:c>
      <x:c r="O131" s="987" t="str">
        <x:f>IF(COUNTA($A131:$M131)=0,"",IF(OR(LEFT(LOWER(TRIM($F131&amp;"")),12)="subscription",LOWER(TRIM($F131&amp;""))="membership"),"",IF(OR($N131="",$I131="",$I131=0),"",IFERROR($N131/$I131,""))))</x:f>
      </x:c>
      <x:c r="P131" s="987" t="str">
        <x:f>IF(COUNTA($A131:$M131)=0,"",IF(OR(LEFT(LOWER(TRIM($F131&amp;"")),12)="subscription",LOWER(TRIM($F131&amp;""))="membership"),"",IF(LOWER($L131&amp;"")="yes",0,IF(OR(AND($H131&lt;&gt;"",$H131=0),LEFT(LOWER(TRIM($F131&amp;"")),9)="free game",LOWER(TRIM($F131&amp;""))="free",LOWER(TRIM($F131&amp;""))="free entry"),IF(LOWER($D131&amp;"")="finalized",IF(ISNUMBER($K131),$K131,""),IF($O131&lt;&gt;"",$O131,"")),IF($K131&lt;&gt;"",$K131,IF($O131&lt;&gt;"",$O131,""))))))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IF(COUNTA($A131:$M131)=0,"",IF(OR(LEFT(LOWER(TRIM($F131&amp;"")),12)="subscription",LOWER(TRIM($F131&amp;""))="membership"),"Subscription",IF(OR(AND($H131&lt;&gt;"",$H131=0),LEFT(LOWER(TRIM($F131&amp;"")),9)="free game",LOWER(TRIM($F131&amp;""))="free",LOWER(TRIM($F131&amp;""))="free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IF(COUNTA($A132:$M132)=0,"",IF(OR(LEFT(LOWER(TRIM($F132&amp;"")),12)="subscription",LOWER(TRIM($F132&amp;""))="membership"),"",IF($G132="","",IF(ISNUMBER(SEARCH("non",LOWER($E132&amp;""))),$G132*0.85,$G132))))</x:f>
      </x:c>
      <x:c r="O132" s="987" t="str">
        <x:f>IF(COUNTA($A132:$M132)=0,"",IF(OR(LEFT(LOWER(TRIM($F132&amp;"")),12)="subscription",LOWER(TRIM($F132&amp;""))="membership"),"",IF(OR($N132="",$I132="",$I132=0),"",IFERROR($N132/$I132,""))))</x:f>
      </x:c>
      <x:c r="P132" s="987" t="str">
        <x:f>IF(COUNTA($A132:$M132)=0,"",IF(OR(LEFT(LOWER(TRIM($F132&amp;"")),12)="subscription",LOWER(TRIM($F132&amp;""))="membership"),"",IF(LOWER($L132&amp;"")="yes",0,IF(OR(AND($H132&lt;&gt;"",$H132=0),LEFT(LOWER(TRIM($F132&amp;"")),9)="free game",LOWER(TRIM($F132&amp;""))="free",LOWER(TRIM($F132&amp;""))="free entry"),IF(LOWER($D132&amp;"")="finalized",IF(ISNUMBER($K132),$K132,""),IF($O132&lt;&gt;"",$O132,"")),IF($K132&lt;&gt;"",$K132,IF($O132&lt;&gt;"",$O132,""))))))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IF(COUNTA($A132:$M132)=0,"",IF(OR(LEFT(LOWER(TRIM($F132&amp;"")),12)="subscription",LOWER(TRIM($F132&amp;""))="membership"),"Subscription",IF(OR(AND($H132&lt;&gt;"",$H132=0),LEFT(LOWER(TRIM($F132&amp;"")),9)="free game",LOWER(TRIM($F132&amp;""))="free",LOWER(TRIM($F132&amp;""))="free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IF(COUNTA($A133:$M133)=0,"",IF(OR(LEFT(LOWER(TRIM($F133&amp;"")),12)="subscription",LOWER(TRIM($F133&amp;""))="membership"),"",IF($G133="","",IF(ISNUMBER(SEARCH("non",LOWER($E133&amp;""))),$G133*0.85,$G133))))</x:f>
      </x:c>
      <x:c r="O133" s="987" t="str">
        <x:f>IF(COUNTA($A133:$M133)=0,"",IF(OR(LEFT(LOWER(TRIM($F133&amp;"")),12)="subscription",LOWER(TRIM($F133&amp;""))="membership"),"",IF(OR($N133="",$I133="",$I133=0),"",IFERROR($N133/$I133,""))))</x:f>
      </x:c>
      <x:c r="P133" s="987" t="str">
        <x:f>IF(COUNTA($A133:$M133)=0,"",IF(OR(LEFT(LOWER(TRIM($F133&amp;"")),12)="subscription",LOWER(TRIM($F133&amp;""))="membership"),"",IF(LOWER($L133&amp;"")="yes",0,IF(OR(AND($H133&lt;&gt;"",$H133=0),LEFT(LOWER(TRIM($F133&amp;"")),9)="free game",LOWER(TRIM($F133&amp;""))="free",LOWER(TRIM($F133&amp;""))="free entry"),IF(LOWER($D133&amp;"")="finalized",IF(ISNUMBER($K133),$K133,""),IF($O133&lt;&gt;"",$O133,"")),IF($K133&lt;&gt;"",$K133,IF($O133&lt;&gt;"",$O133,""))))))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IF(COUNTA($A133:$M133)=0,"",IF(OR(LEFT(LOWER(TRIM($F133&amp;"")),12)="subscription",LOWER(TRIM($F133&amp;""))="membership"),"Subscription",IF(OR(AND($H133&lt;&gt;"",$H133=0),LEFT(LOWER(TRIM($F133&amp;"")),9)="free game",LOWER(TRIM($F133&amp;""))="free",LOWER(TRIM($F133&amp;""))="free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IF(COUNTA($A134:$M134)=0,"",IF(OR(LEFT(LOWER(TRIM($F134&amp;"")),12)="subscription",LOWER(TRIM($F134&amp;""))="membership"),"",IF($G134="","",IF(ISNUMBER(SEARCH("non",LOWER($E134&amp;""))),$G134*0.85,$G134))))</x:f>
      </x:c>
      <x:c r="O134" s="987" t="str">
        <x:f>IF(COUNTA($A134:$M134)=0,"",IF(OR(LEFT(LOWER(TRIM($F134&amp;"")),12)="subscription",LOWER(TRIM($F134&amp;""))="membership"),"",IF(OR($N134="",$I134="",$I134=0),"",IFERROR($N134/$I134,""))))</x:f>
      </x:c>
      <x:c r="P134" s="987" t="str">
        <x:f>IF(COUNTA($A134:$M134)=0,"",IF(OR(LEFT(LOWER(TRIM($F134&amp;"")),12)="subscription",LOWER(TRIM($F134&amp;""))="membership"),"",IF(LOWER($L134&amp;"")="yes",0,IF(OR(AND($H134&lt;&gt;"",$H134=0),LEFT(LOWER(TRIM($F134&amp;"")),9)="free game",LOWER(TRIM($F134&amp;""))="free",LOWER(TRIM($F134&amp;""))="free entry"),IF(LOWER($D134&amp;"")="finalized",IF(ISNUMBER($K134),$K134,""),IF($O134&lt;&gt;"",$O134,"")),IF($K134&lt;&gt;"",$K134,IF($O134&lt;&gt;"",$O134,""))))))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IF(COUNTA($A134:$M134)=0,"",IF(OR(LEFT(LOWER(TRIM($F134&amp;"")),12)="subscription",LOWER(TRIM($F134&amp;""))="membership"),"Subscription",IF(OR(AND($H134&lt;&gt;"",$H134=0),LEFT(LOWER(TRIM($F134&amp;"")),9)="free game",LOWER(TRIM($F134&amp;""))="free",LOWER(TRIM($F134&amp;""))="free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IF(COUNTA($A135:$M135)=0,"",IF(OR(LEFT(LOWER(TRIM($F135&amp;"")),12)="subscription",LOWER(TRIM($F135&amp;""))="membership"),"",IF($G135="","",IF(ISNUMBER(SEARCH("non",LOWER($E135&amp;""))),$G135*0.85,$G135))))</x:f>
      </x:c>
      <x:c r="O135" s="987" t="str">
        <x:f>IF(COUNTA($A135:$M135)=0,"",IF(OR(LEFT(LOWER(TRIM($F135&amp;"")),12)="subscription",LOWER(TRIM($F135&amp;""))="membership"),"",IF(OR($N135="",$I135="",$I135=0),"",IFERROR($N135/$I135,""))))</x:f>
      </x:c>
      <x:c r="P135" s="987" t="str">
        <x:f>IF(COUNTA($A135:$M135)=0,"",IF(OR(LEFT(LOWER(TRIM($F135&amp;"")),12)="subscription",LOWER(TRIM($F135&amp;""))="membership"),"",IF(LOWER($L135&amp;"")="yes",0,IF(OR(AND($H135&lt;&gt;"",$H135=0),LEFT(LOWER(TRIM($F135&amp;"")),9)="free game",LOWER(TRIM($F135&amp;""))="free",LOWER(TRIM($F135&amp;""))="free entry"),IF(LOWER($D135&amp;"")="finalized",IF(ISNUMBER($K135),$K135,""),IF($O135&lt;&gt;"",$O135,"")),IF($K135&lt;&gt;"",$K135,IF($O135&lt;&gt;"",$O135,""))))))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IF(COUNTA($A135:$M135)=0,"",IF(OR(LEFT(LOWER(TRIM($F135&amp;"")),12)="subscription",LOWER(TRIM($F135&amp;""))="membership"),"Subscription",IF(OR(AND($H135&lt;&gt;"",$H135=0),LEFT(LOWER(TRIM($F135&amp;"")),9)="free game",LOWER(TRIM($F135&amp;""))="free",LOWER(TRIM($F135&amp;""))="free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IF(COUNTA($A136:$M136)=0,"",IF(OR(LEFT(LOWER(TRIM($F136&amp;"")),12)="subscription",LOWER(TRIM($F136&amp;""))="membership"),"",IF($G136="","",IF(ISNUMBER(SEARCH("non",LOWER($E136&amp;""))),$G136*0.85,$G136))))</x:f>
      </x:c>
      <x:c r="O136" s="987" t="str">
        <x:f>IF(COUNTA($A136:$M136)=0,"",IF(OR(LEFT(LOWER(TRIM($F136&amp;"")),12)="subscription",LOWER(TRIM($F136&amp;""))="membership"),"",IF(OR($N136="",$I136="",$I136=0),"",IFERROR($N136/$I136,""))))</x:f>
      </x:c>
      <x:c r="P136" s="987" t="str">
        <x:f>IF(COUNTA($A136:$M136)=0,"",IF(OR(LEFT(LOWER(TRIM($F136&amp;"")),12)="subscription",LOWER(TRIM($F136&amp;""))="membership"),"",IF(LOWER($L136&amp;"")="yes",0,IF(OR(AND($H136&lt;&gt;"",$H136=0),LEFT(LOWER(TRIM($F136&amp;"")),9)="free game",LOWER(TRIM($F136&amp;""))="free",LOWER(TRIM($F136&amp;""))="free entry"),IF(LOWER($D136&amp;"")="finalized",IF(ISNUMBER($K136),$K136,""),IF($O136&lt;&gt;"",$O136,"")),IF($K136&lt;&gt;"",$K136,IF($O136&lt;&gt;"",$O136,""))))))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IF(COUNTA($A136:$M136)=0,"",IF(OR(LEFT(LOWER(TRIM($F136&amp;"")),12)="subscription",LOWER(TRIM($F136&amp;""))="membership"),"Subscription",IF(OR(AND($H136&lt;&gt;"",$H136=0),LEFT(LOWER(TRIM($F136&amp;"")),9)="free game",LOWER(TRIM($F136&amp;""))="free",LOWER(TRIM($F136&amp;""))="free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IF(COUNTA($A137:$M137)=0,"",IF(OR(LEFT(LOWER(TRIM($F137&amp;"")),12)="subscription",LOWER(TRIM($F137&amp;""))="membership"),"",IF($G137="","",IF(ISNUMBER(SEARCH("non",LOWER($E137&amp;""))),$G137*0.85,$G137))))</x:f>
      </x:c>
      <x:c r="O137" s="987" t="str">
        <x:f>IF(COUNTA($A137:$M137)=0,"",IF(OR(LEFT(LOWER(TRIM($F137&amp;"")),12)="subscription",LOWER(TRIM($F137&amp;""))="membership"),"",IF(OR($N137="",$I137="",$I137=0),"",IFERROR($N137/$I137,""))))</x:f>
      </x:c>
      <x:c r="P137" s="987" t="str">
        <x:f>IF(COUNTA($A137:$M137)=0,"",IF(OR(LEFT(LOWER(TRIM($F137&amp;"")),12)="subscription",LOWER(TRIM($F137&amp;""))="membership"),"",IF(LOWER($L137&amp;"")="yes",0,IF(OR(AND($H137&lt;&gt;"",$H137=0),LEFT(LOWER(TRIM($F137&amp;"")),9)="free game",LOWER(TRIM($F137&amp;""))="free",LOWER(TRIM($F137&amp;""))="free entry"),IF(LOWER($D137&amp;"")="finalized",IF(ISNUMBER($K137),$K137,""),IF($O137&lt;&gt;"",$O137,"")),IF($K137&lt;&gt;"",$K137,IF($O137&lt;&gt;"",$O137,""))))))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IF(COUNTA($A137:$M137)=0,"",IF(OR(LEFT(LOWER(TRIM($F137&amp;"")),12)="subscription",LOWER(TRIM($F137&amp;""))="membership"),"Subscription",IF(OR(AND($H137&lt;&gt;"",$H137=0),LEFT(LOWER(TRIM($F137&amp;"")),9)="free game",LOWER(TRIM($F137&amp;""))="free",LOWER(TRIM($F137&amp;""))="free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IF(COUNTA($A138:$M138)=0,"",IF(OR(LEFT(LOWER(TRIM($F138&amp;"")),12)="subscription",LOWER(TRIM($F138&amp;""))="membership"),"",IF($G138="","",IF(ISNUMBER(SEARCH("non",LOWER($E138&amp;""))),$G138*0.85,$G138))))</x:f>
      </x:c>
      <x:c r="O138" s="987" t="str">
        <x:f>IF(COUNTA($A138:$M138)=0,"",IF(OR(LEFT(LOWER(TRIM($F138&amp;"")),12)="subscription",LOWER(TRIM($F138&amp;""))="membership"),"",IF(OR($N138="",$I138="",$I138=0),"",IFERROR($N138/$I138,""))))</x:f>
      </x:c>
      <x:c r="P138" s="987" t="str">
        <x:f>IF(COUNTA($A138:$M138)=0,"",IF(OR(LEFT(LOWER(TRIM($F138&amp;"")),12)="subscription",LOWER(TRIM($F138&amp;""))="membership"),"",IF(LOWER($L138&amp;"")="yes",0,IF(OR(AND($H138&lt;&gt;"",$H138=0),LEFT(LOWER(TRIM($F138&amp;"")),9)="free game",LOWER(TRIM($F138&amp;""))="free",LOWER(TRIM($F138&amp;""))="free entry"),IF(LOWER($D138&amp;"")="finalized",IF(ISNUMBER($K138),$K138,""),IF($O138&lt;&gt;"",$O138,"")),IF($K138&lt;&gt;"",$K138,IF($O138&lt;&gt;"",$O138,""))))))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IF(COUNTA($A138:$M138)=0,"",IF(OR(LEFT(LOWER(TRIM($F138&amp;"")),12)="subscription",LOWER(TRIM($F138&amp;""))="membership"),"Subscription",IF(OR(AND($H138&lt;&gt;"",$H138=0),LEFT(LOWER(TRIM($F138&amp;"")),9)="free game",LOWER(TRIM($F138&amp;""))="free",LOWER(TRIM($F138&amp;""))="free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IF(COUNTA($A139:$M139)=0,"",IF(OR(LEFT(LOWER(TRIM($F139&amp;"")),12)="subscription",LOWER(TRIM($F139&amp;""))="membership"),"",IF($G139="","",IF(ISNUMBER(SEARCH("non",LOWER($E139&amp;""))),$G139*0.85,$G139))))</x:f>
      </x:c>
      <x:c r="O139" s="987" t="str">
        <x:f>IF(COUNTA($A139:$M139)=0,"",IF(OR(LEFT(LOWER(TRIM($F139&amp;"")),12)="subscription",LOWER(TRIM($F139&amp;""))="membership"),"",IF(OR($N139="",$I139="",$I139=0),"",IFERROR($N139/$I139,""))))</x:f>
      </x:c>
      <x:c r="P139" s="987" t="str">
        <x:f>IF(COUNTA($A139:$M139)=0,"",IF(OR(LEFT(LOWER(TRIM($F139&amp;"")),12)="subscription",LOWER(TRIM($F139&amp;""))="membership"),"",IF(LOWER($L139&amp;"")="yes",0,IF(OR(AND($H139&lt;&gt;"",$H139=0),LEFT(LOWER(TRIM($F139&amp;"")),9)="free game",LOWER(TRIM($F139&amp;""))="free",LOWER(TRIM($F139&amp;""))="free entry"),IF(LOWER($D139&amp;"")="finalized",IF(ISNUMBER($K139),$K139,""),IF($O139&lt;&gt;"",$O139,"")),IF($K139&lt;&gt;"",$K139,IF($O139&lt;&gt;"",$O139,""))))))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IF(COUNTA($A139:$M139)=0,"",IF(OR(LEFT(LOWER(TRIM($F139&amp;"")),12)="subscription",LOWER(TRIM($F139&amp;""))="membership"),"Subscription",IF(OR(AND($H139&lt;&gt;"",$H139=0),LEFT(LOWER(TRIM($F139&amp;"")),9)="free game",LOWER(TRIM($F139&amp;""))="free",LOWER(TRIM($F139&amp;""))="free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IF(COUNTA($A140:$M140)=0,"",IF(OR(LEFT(LOWER(TRIM($F140&amp;"")),12)="subscription",LOWER(TRIM($F140&amp;""))="membership"),"",IF($G140="","",IF(ISNUMBER(SEARCH("non",LOWER($E140&amp;""))),$G140*0.85,$G140))))</x:f>
      </x:c>
      <x:c r="O140" s="987" t="str">
        <x:f>IF(COUNTA($A140:$M140)=0,"",IF(OR(LEFT(LOWER(TRIM($F140&amp;"")),12)="subscription",LOWER(TRIM($F140&amp;""))="membership"),"",IF(OR($N140="",$I140="",$I140=0),"",IFERROR($N140/$I140,""))))</x:f>
      </x:c>
      <x:c r="P140" s="987" t="str">
        <x:f>IF(COUNTA($A140:$M140)=0,"",IF(OR(LEFT(LOWER(TRIM($F140&amp;"")),12)="subscription",LOWER(TRIM($F140&amp;""))="membership"),"",IF(LOWER($L140&amp;"")="yes",0,IF(OR(AND($H140&lt;&gt;"",$H140=0),LEFT(LOWER(TRIM($F140&amp;"")),9)="free game",LOWER(TRIM($F140&amp;""))="free",LOWER(TRIM($F140&amp;""))="free entry"),IF(LOWER($D140&amp;"")="finalized",IF(ISNUMBER($K140),$K140,""),IF($O140&lt;&gt;"",$O140,"")),IF($K140&lt;&gt;"",$K140,IF($O140&lt;&gt;"",$O140,""))))))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IF(COUNTA($A140:$M140)=0,"",IF(OR(LEFT(LOWER(TRIM($F140&amp;"")),12)="subscription",LOWER(TRIM($F140&amp;""))="membership"),"Subscription",IF(OR(AND($H140&lt;&gt;"",$H140=0),LEFT(LOWER(TRIM($F140&amp;"")),9)="free game",LOWER(TRIM($F140&amp;""))="free",LOWER(TRIM($F140&amp;""))="free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IF(COUNTA($A141:$M141)=0,"",IF(OR(LEFT(LOWER(TRIM($F141&amp;"")),12)="subscription",LOWER(TRIM($F141&amp;""))="membership"),"",IF($G141="","",IF(ISNUMBER(SEARCH("non",LOWER($E141&amp;""))),$G141*0.85,$G141))))</x:f>
      </x:c>
      <x:c r="O141" s="987" t="str">
        <x:f>IF(COUNTA($A141:$M141)=0,"",IF(OR(LEFT(LOWER(TRIM($F141&amp;"")),12)="subscription",LOWER(TRIM($F141&amp;""))="membership"),"",IF(OR($N141="",$I141="",$I141=0),"",IFERROR($N141/$I141,""))))</x:f>
      </x:c>
      <x:c r="P141" s="987" t="str">
        <x:f>IF(COUNTA($A141:$M141)=0,"",IF(OR(LEFT(LOWER(TRIM($F141&amp;"")),12)="subscription",LOWER(TRIM($F141&amp;""))="membership"),"",IF(LOWER($L141&amp;"")="yes",0,IF(OR(AND($H141&lt;&gt;"",$H141=0),LEFT(LOWER(TRIM($F141&amp;"")),9)="free game",LOWER(TRIM($F141&amp;""))="free",LOWER(TRIM($F141&amp;""))="free entry"),IF(LOWER($D141&amp;"")="finalized",IF(ISNUMBER($K141),$K141,""),IF($O141&lt;&gt;"",$O141,"")),IF($K141&lt;&gt;"",$K141,IF($O141&lt;&gt;"",$O141,""))))))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IF(COUNTA($A141:$M141)=0,"",IF(OR(LEFT(LOWER(TRIM($F141&amp;"")),12)="subscription",LOWER(TRIM($F141&amp;""))="membership"),"Subscription",IF(OR(AND($H141&lt;&gt;"",$H141=0),LEFT(LOWER(TRIM($F141&amp;"")),9)="free game",LOWER(TRIM($F141&amp;""))="free",LOWER(TRIM($F141&amp;""))="free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IF(COUNTA($A142:$M142)=0,"",IF(OR(LEFT(LOWER(TRIM($F142&amp;"")),12)="subscription",LOWER(TRIM($F142&amp;""))="membership"),"",IF($G142="","",IF(ISNUMBER(SEARCH("non",LOWER($E142&amp;""))),$G142*0.85,$G142))))</x:f>
      </x:c>
      <x:c r="O142" s="987" t="str">
        <x:f>IF(COUNTA($A142:$M142)=0,"",IF(OR(LEFT(LOWER(TRIM($F142&amp;"")),12)="subscription",LOWER(TRIM($F142&amp;""))="membership"),"",IF(OR($N142="",$I142="",$I142=0),"",IFERROR($N142/$I142,""))))</x:f>
      </x:c>
      <x:c r="P142" s="987" t="str">
        <x:f>IF(COUNTA($A142:$M142)=0,"",IF(OR(LEFT(LOWER(TRIM($F142&amp;"")),12)="subscription",LOWER(TRIM($F142&amp;""))="membership"),"",IF(LOWER($L142&amp;"")="yes",0,IF(OR(AND($H142&lt;&gt;"",$H142=0),LEFT(LOWER(TRIM($F142&amp;"")),9)="free game",LOWER(TRIM($F142&amp;""))="free",LOWER(TRIM($F142&amp;""))="free entry"),IF(LOWER($D142&amp;"")="finalized",IF(ISNUMBER($K142),$K142,""),IF($O142&lt;&gt;"",$O142,"")),IF($K142&lt;&gt;"",$K142,IF($O142&lt;&gt;"",$O142,""))))))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IF(COUNTA($A142:$M142)=0,"",IF(OR(LEFT(LOWER(TRIM($F142&amp;"")),12)="subscription",LOWER(TRIM($F142&amp;""))="membership"),"Subscription",IF(OR(AND($H142&lt;&gt;"",$H142=0),LEFT(LOWER(TRIM($F142&amp;"")),9)="free game",LOWER(TRIM($F142&amp;""))="free",LOWER(TRIM($F142&amp;""))="free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IF(COUNTA($A143:$M143)=0,"",IF(OR(LEFT(LOWER(TRIM($F143&amp;"")),12)="subscription",LOWER(TRIM($F143&amp;""))="membership"),"",IF($G143="","",IF(ISNUMBER(SEARCH("non",LOWER($E143&amp;""))),$G143*0.85,$G143))))</x:f>
      </x:c>
      <x:c r="O143" s="987" t="str">
        <x:f>IF(COUNTA($A143:$M143)=0,"",IF(OR(LEFT(LOWER(TRIM($F143&amp;"")),12)="subscription",LOWER(TRIM($F143&amp;""))="membership"),"",IF(OR($N143="",$I143="",$I143=0),"",IFERROR($N143/$I143,""))))</x:f>
      </x:c>
      <x:c r="P143" s="987" t="str">
        <x:f>IF(COUNTA($A143:$M143)=0,"",IF(OR(LEFT(LOWER(TRIM($F143&amp;"")),12)="subscription",LOWER(TRIM($F143&amp;""))="membership"),"",IF(LOWER($L143&amp;"")="yes",0,IF(OR(AND($H143&lt;&gt;"",$H143=0),LEFT(LOWER(TRIM($F143&amp;"")),9)="free game",LOWER(TRIM($F143&amp;""))="free",LOWER(TRIM($F143&amp;""))="free entry"),IF(LOWER($D143&amp;"")="finalized",IF(ISNUMBER($K143),$K143,""),IF($O143&lt;&gt;"",$O143,"")),IF($K143&lt;&gt;"",$K143,IF($O143&lt;&gt;"",$O143,""))))))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IF(COUNTA($A143:$M143)=0,"",IF(OR(LEFT(LOWER(TRIM($F143&amp;"")),12)="subscription",LOWER(TRIM($F143&amp;""))="membership"),"Subscription",IF(OR(AND($H143&lt;&gt;"",$H143=0),LEFT(LOWER(TRIM($F143&amp;"")),9)="free game",LOWER(TRIM($F143&amp;""))="free",LOWER(TRIM($F143&amp;""))="free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IF(COUNTA($A144:$M144)=0,"",IF(OR(LEFT(LOWER(TRIM($F144&amp;"")),12)="subscription",LOWER(TRIM($F144&amp;""))="membership"),"",IF($G144="","",IF(ISNUMBER(SEARCH("non",LOWER($E144&amp;""))),$G144*0.85,$G144))))</x:f>
      </x:c>
      <x:c r="O144" s="987" t="str">
        <x:f>IF(COUNTA($A144:$M144)=0,"",IF(OR(LEFT(LOWER(TRIM($F144&amp;"")),12)="subscription",LOWER(TRIM($F144&amp;""))="membership"),"",IF(OR($N144="",$I144="",$I144=0),"",IFERROR($N144/$I144,""))))</x:f>
      </x:c>
      <x:c r="P144" s="987" t="str">
        <x:f>IF(COUNTA($A144:$M144)=0,"",IF(OR(LEFT(LOWER(TRIM($F144&amp;"")),12)="subscription",LOWER(TRIM($F144&amp;""))="membership"),"",IF(LOWER($L144&amp;"")="yes",0,IF(OR(AND($H144&lt;&gt;"",$H144=0),LEFT(LOWER(TRIM($F144&amp;"")),9)="free game",LOWER(TRIM($F144&amp;""))="free",LOWER(TRIM($F144&amp;""))="free entry"),IF(LOWER($D144&amp;"")="finalized",IF(ISNUMBER($K144),$K144,""),IF($O144&lt;&gt;"",$O144,"")),IF($K144&lt;&gt;"",$K144,IF($O144&lt;&gt;"",$O144,""))))))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IF(COUNTA($A144:$M144)=0,"",IF(OR(LEFT(LOWER(TRIM($F144&amp;"")),12)="subscription",LOWER(TRIM($F144&amp;""))="membership"),"Subscription",IF(OR(AND($H144&lt;&gt;"",$H144=0),LEFT(LOWER(TRIM($F144&amp;"")),9)="free game",LOWER(TRIM($F144&amp;""))="free",LOWER(TRIM($F144&amp;""))="free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IF(COUNTA($A145:$M145)=0,"",IF(OR(LEFT(LOWER(TRIM($F145&amp;"")),12)="subscription",LOWER(TRIM($F145&amp;""))="membership"),"",IF($G145="","",IF(ISNUMBER(SEARCH("non",LOWER($E145&amp;""))),$G145*0.85,$G145))))</x:f>
      </x:c>
      <x:c r="O145" s="987" t="str">
        <x:f>IF(COUNTA($A145:$M145)=0,"",IF(OR(LEFT(LOWER(TRIM($F145&amp;"")),12)="subscription",LOWER(TRIM($F145&amp;""))="membership"),"",IF(OR($N145="",$I145="",$I145=0),"",IFERROR($N145/$I145,""))))</x:f>
      </x:c>
      <x:c r="P145" s="987" t="str">
        <x:f>IF(COUNTA($A145:$M145)=0,"",IF(OR(LEFT(LOWER(TRIM($F145&amp;"")),12)="subscription",LOWER(TRIM($F145&amp;""))="membership"),"",IF(LOWER($L145&amp;"")="yes",0,IF(OR(AND($H145&lt;&gt;"",$H145=0),LEFT(LOWER(TRIM($F145&amp;"")),9)="free game",LOWER(TRIM($F145&amp;""))="free",LOWER(TRIM($F145&amp;""))="free entry"),IF(LOWER($D145&amp;"")="finalized",IF(ISNUMBER($K145),$K145,""),IF($O145&lt;&gt;"",$O145,"")),IF($K145&lt;&gt;"",$K145,IF($O145&lt;&gt;"",$O145,""))))))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IF(COUNTA($A145:$M145)=0,"",IF(OR(LEFT(LOWER(TRIM($F145&amp;"")),12)="subscription",LOWER(TRIM($F145&amp;""))="membership"),"Subscription",IF(OR(AND($H145&lt;&gt;"",$H145=0),LEFT(LOWER(TRIM($F145&amp;"")),9)="free game",LOWER(TRIM($F145&amp;""))="free",LOWER(TRIM($F145&amp;""))="free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IF(COUNTA($A146:$M146)=0,"",IF(OR(LEFT(LOWER(TRIM($F146&amp;"")),12)="subscription",LOWER(TRIM($F146&amp;""))="membership"),"",IF($G146="","",IF(ISNUMBER(SEARCH("non",LOWER($E146&amp;""))),$G146*0.85,$G146))))</x:f>
      </x:c>
      <x:c r="O146" s="987" t="str">
        <x:f>IF(COUNTA($A146:$M146)=0,"",IF(OR(LEFT(LOWER(TRIM($F146&amp;"")),12)="subscription",LOWER(TRIM($F146&amp;""))="membership"),"",IF(OR($N146="",$I146="",$I146=0),"",IFERROR($N146/$I146,""))))</x:f>
      </x:c>
      <x:c r="P146" s="987" t="str">
        <x:f>IF(COUNTA($A146:$M146)=0,"",IF(OR(LEFT(LOWER(TRIM($F146&amp;"")),12)="subscription",LOWER(TRIM($F146&amp;""))="membership"),"",IF(LOWER($L146&amp;"")="yes",0,IF(OR(AND($H146&lt;&gt;"",$H146=0),LEFT(LOWER(TRIM($F146&amp;"")),9)="free game",LOWER(TRIM($F146&amp;""))="free",LOWER(TRIM($F146&amp;""))="free entry"),IF(LOWER($D146&amp;"")="finalized",IF(ISNUMBER($K146),$K146,""),IF($O146&lt;&gt;"",$O146,"")),IF($K146&lt;&gt;"",$K146,IF($O146&lt;&gt;"",$O146,""))))))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IF(COUNTA($A146:$M146)=0,"",IF(OR(LEFT(LOWER(TRIM($F146&amp;"")),12)="subscription",LOWER(TRIM($F146&amp;""))="membership"),"Subscription",IF(OR(AND($H146&lt;&gt;"",$H146=0),LEFT(LOWER(TRIM($F146&amp;"")),9)="free game",LOWER(TRIM($F146&amp;""))="free",LOWER(TRIM($F146&amp;""))="free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IF(COUNTA($A147:$M147)=0,"",IF(OR(LEFT(LOWER(TRIM($F147&amp;"")),12)="subscription",LOWER(TRIM($F147&amp;""))="membership"),"",IF($G147="","",IF(ISNUMBER(SEARCH("non",LOWER($E147&amp;""))),$G147*0.85,$G147))))</x:f>
      </x:c>
      <x:c r="O147" s="987" t="str">
        <x:f>IF(COUNTA($A147:$M147)=0,"",IF(OR(LEFT(LOWER(TRIM($F147&amp;"")),12)="subscription",LOWER(TRIM($F147&amp;""))="membership"),"",IF(OR($N147="",$I147="",$I147=0),"",IFERROR($N147/$I147,""))))</x:f>
      </x:c>
      <x:c r="P147" s="987" t="str">
        <x:f>IF(COUNTA($A147:$M147)=0,"",IF(OR(LEFT(LOWER(TRIM($F147&amp;"")),12)="subscription",LOWER(TRIM($F147&amp;""))="membership"),"",IF(LOWER($L147&amp;"")="yes",0,IF(OR(AND($H147&lt;&gt;"",$H147=0),LEFT(LOWER(TRIM($F147&amp;"")),9)="free game",LOWER(TRIM($F147&amp;""))="free",LOWER(TRIM($F147&amp;""))="free entry"),IF(LOWER($D147&amp;"")="finalized",IF(ISNUMBER($K147),$K147,""),IF($O147&lt;&gt;"",$O147,"")),IF($K147&lt;&gt;"",$K147,IF($O147&lt;&gt;"",$O147,""))))))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IF(COUNTA($A147:$M147)=0,"",IF(OR(LEFT(LOWER(TRIM($F147&amp;"")),12)="subscription",LOWER(TRIM($F147&amp;""))="membership"),"Subscription",IF(OR(AND($H147&lt;&gt;"",$H147=0),LEFT(LOWER(TRIM($F147&amp;"")),9)="free game",LOWER(TRIM($F147&amp;""))="free",LOWER(TRIM($F147&amp;""))="free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IF(COUNTA($A148:$M148)=0,"",IF(OR(LEFT(LOWER(TRIM($F148&amp;"")),12)="subscription",LOWER(TRIM($F148&amp;""))="membership"),"",IF($G148="","",IF(ISNUMBER(SEARCH("non",LOWER($E148&amp;""))),$G148*0.85,$G148))))</x:f>
      </x:c>
      <x:c r="O148" s="987" t="str">
        <x:f>IF(COUNTA($A148:$M148)=0,"",IF(OR(LEFT(LOWER(TRIM($F148&amp;"")),12)="subscription",LOWER(TRIM($F148&amp;""))="membership"),"",IF(OR($N148="",$I148="",$I148=0),"",IFERROR($N148/$I148,""))))</x:f>
      </x:c>
      <x:c r="P148" s="987" t="str">
        <x:f>IF(COUNTA($A148:$M148)=0,"",IF(OR(LEFT(LOWER(TRIM($F148&amp;"")),12)="subscription",LOWER(TRIM($F148&amp;""))="membership"),"",IF(LOWER($L148&amp;"")="yes",0,IF(OR(AND($H148&lt;&gt;"",$H148=0),LEFT(LOWER(TRIM($F148&amp;"")),9)="free game",LOWER(TRIM($F148&amp;""))="free",LOWER(TRIM($F148&amp;""))="free entry"),IF(LOWER($D148&amp;"")="finalized",IF(ISNUMBER($K148),$K148,""),IF($O148&lt;&gt;"",$O148,"")),IF($K148&lt;&gt;"",$K148,IF($O148&lt;&gt;"",$O148,""))))))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IF(COUNTA($A148:$M148)=0,"",IF(OR(LEFT(LOWER(TRIM($F148&amp;"")),12)="subscription",LOWER(TRIM($F148&amp;""))="membership"),"Subscription",IF(OR(AND($H148&lt;&gt;"",$H148=0),LEFT(LOWER(TRIM($F148&amp;"")),9)="free game",LOWER(TRIM($F148&amp;""))="free",LOWER(TRIM($F148&amp;""))="free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IF(COUNTA($A149:$M149)=0,"",IF(OR(LEFT(LOWER(TRIM($F149&amp;"")),12)="subscription",LOWER(TRIM($F149&amp;""))="membership"),"",IF($G149="","",IF(ISNUMBER(SEARCH("non",LOWER($E149&amp;""))),$G149*0.85,$G149))))</x:f>
      </x:c>
      <x:c r="O149" s="987" t="str">
        <x:f>IF(COUNTA($A149:$M149)=0,"",IF(OR(LEFT(LOWER(TRIM($F149&amp;"")),12)="subscription",LOWER(TRIM($F149&amp;""))="membership"),"",IF(OR($N149="",$I149="",$I149=0),"",IFERROR($N149/$I149,""))))</x:f>
      </x:c>
      <x:c r="P149" s="987" t="str">
        <x:f>IF(COUNTA($A149:$M149)=0,"",IF(OR(LEFT(LOWER(TRIM($F149&amp;"")),12)="subscription",LOWER(TRIM($F149&amp;""))="membership"),"",IF(LOWER($L149&amp;"")="yes",0,IF(OR(AND($H149&lt;&gt;"",$H149=0),LEFT(LOWER(TRIM($F149&amp;"")),9)="free game",LOWER(TRIM($F149&amp;""))="free",LOWER(TRIM($F149&amp;""))="free entry"),IF(LOWER($D149&amp;"")="finalized",IF(ISNUMBER($K149),$K149,""),IF($O149&lt;&gt;"",$O149,"")),IF($K149&lt;&gt;"",$K149,IF($O149&lt;&gt;"",$O149,""))))))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IF(COUNTA($A149:$M149)=0,"",IF(OR(LEFT(LOWER(TRIM($F149&amp;"")),12)="subscription",LOWER(TRIM($F149&amp;""))="membership"),"Subscription",IF(OR(AND($H149&lt;&gt;"",$H149=0),LEFT(LOWER(TRIM($F149&amp;"")),9)="free game",LOWER(TRIM($F149&amp;""))="free",LOWER(TRIM($F149&amp;""))="free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IF(COUNTA($A150:$M150)=0,"",IF(OR(LEFT(LOWER(TRIM($F150&amp;"")),12)="subscription",LOWER(TRIM($F150&amp;""))="membership"),"",IF($G150="","",IF(ISNUMBER(SEARCH("non",LOWER($E150&amp;""))),$G150*0.85,$G150))))</x:f>
      </x:c>
      <x:c r="O150" s="987" t="str">
        <x:f>IF(COUNTA($A150:$M150)=0,"",IF(OR(LEFT(LOWER(TRIM($F150&amp;"")),12)="subscription",LOWER(TRIM($F150&amp;""))="membership"),"",IF(OR($N150="",$I150="",$I150=0),"",IFERROR($N150/$I150,""))))</x:f>
      </x:c>
      <x:c r="P150" s="987" t="str">
        <x:f>IF(COUNTA($A150:$M150)=0,"",IF(OR(LEFT(LOWER(TRIM($F150&amp;"")),12)="subscription",LOWER(TRIM($F150&amp;""))="membership"),"",IF(LOWER($L150&amp;"")="yes",0,IF(OR(AND($H150&lt;&gt;"",$H150=0),LEFT(LOWER(TRIM($F150&amp;"")),9)="free game",LOWER(TRIM($F150&amp;""))="free",LOWER(TRIM($F150&amp;""))="free entry"),IF(LOWER($D150&amp;"")="finalized",IF(ISNUMBER($K150),$K150,""),IF($O150&lt;&gt;"",$O150,"")),IF($K150&lt;&gt;"",$K150,IF($O150&lt;&gt;"",$O150,""))))))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IF(COUNTA($A150:$M150)=0,"",IF(OR(LEFT(LOWER(TRIM($F150&amp;"")),12)="subscription",LOWER(TRIM($F150&amp;""))="membership"),"Subscription",IF(OR(AND($H150&lt;&gt;"",$H150=0),LEFT(LOWER(TRIM($F150&amp;"")),9)="free game",LOWER(TRIM($F150&amp;""))="free",LOWER(TRIM($F150&amp;""))="free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IF(COUNTA($A151:$M151)=0,"",IF(OR(LEFT(LOWER(TRIM($F151&amp;"")),12)="subscription",LOWER(TRIM($F151&amp;""))="membership"),"",IF($G151="","",IF(ISNUMBER(SEARCH("non",LOWER($E151&amp;""))),$G151*0.85,$G151))))</x:f>
      </x:c>
      <x:c r="O151" s="987" t="str">
        <x:f>IF(COUNTA($A151:$M151)=0,"",IF(OR(LEFT(LOWER(TRIM($F151&amp;"")),12)="subscription",LOWER(TRIM($F151&amp;""))="membership"),"",IF(OR($N151="",$I151="",$I151=0),"",IFERROR($N151/$I151,""))))</x:f>
      </x:c>
      <x:c r="P151" s="987" t="str">
        <x:f>IF(COUNTA($A151:$M151)=0,"",IF(OR(LEFT(LOWER(TRIM($F151&amp;"")),12)="subscription",LOWER(TRIM($F151&amp;""))="membership"),"",IF(LOWER($L151&amp;"")="yes",0,IF(OR(AND($H151&lt;&gt;"",$H151=0),LEFT(LOWER(TRIM($F151&amp;"")),9)="free game",LOWER(TRIM($F151&amp;""))="free",LOWER(TRIM($F151&amp;""))="free entry"),IF(LOWER($D151&amp;"")="finalized",IF(ISNUMBER($K151),$K151,""),IF($O151&lt;&gt;"",$O151,"")),IF($K151&lt;&gt;"",$K151,IF($O151&lt;&gt;"",$O151,""))))))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IF(COUNTA($A151:$M151)=0,"",IF(OR(LEFT(LOWER(TRIM($F151&amp;"")),12)="subscription",LOWER(TRIM($F151&amp;""))="membership"),"Subscription",IF(OR(AND($H151&lt;&gt;"",$H151=0),LEFT(LOWER(TRIM($F151&amp;"")),9)="free game",LOWER(TRIM($F151&amp;""))="free",LOWER(TRIM($F151&amp;""))="free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IF(COUNTA($A152:$M152)=0,"",IF(OR(LEFT(LOWER(TRIM($F152&amp;"")),12)="subscription",LOWER(TRIM($F152&amp;""))="membership"),"",IF($G152="","",IF(ISNUMBER(SEARCH("non",LOWER($E152&amp;""))),$G152*0.85,$G152))))</x:f>
      </x:c>
      <x:c r="O152" s="987" t="str">
        <x:f>IF(COUNTA($A152:$M152)=0,"",IF(OR(LEFT(LOWER(TRIM($F152&amp;"")),12)="subscription",LOWER(TRIM($F152&amp;""))="membership"),"",IF(OR($N152="",$I152="",$I152=0),"",IFERROR($N152/$I152,""))))</x:f>
      </x:c>
      <x:c r="P152" s="987" t="str">
        <x:f>IF(COUNTA($A152:$M152)=0,"",IF(OR(LEFT(LOWER(TRIM($F152&amp;"")),12)="subscription",LOWER(TRIM($F152&amp;""))="membership"),"",IF(LOWER($L152&amp;"")="yes",0,IF(OR(AND($H152&lt;&gt;"",$H152=0),LEFT(LOWER(TRIM($F152&amp;"")),9)="free game",LOWER(TRIM($F152&amp;""))="free",LOWER(TRIM($F152&amp;""))="free entry"),IF(LOWER($D152&amp;"")="finalized",IF(ISNUMBER($K152),$K152,""),IF($O152&lt;&gt;"",$O152,"")),IF($K152&lt;&gt;"",$K152,IF($O152&lt;&gt;"",$O152,""))))))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IF(COUNTA($A152:$M152)=0,"",IF(OR(LEFT(LOWER(TRIM($F152&amp;"")),12)="subscription",LOWER(TRIM($F152&amp;""))="membership"),"Subscription",IF(OR(AND($H152&lt;&gt;"",$H152=0),LEFT(LOWER(TRIM($F152&amp;"")),9)="free game",LOWER(TRIM($F152&amp;""))="free",LOWER(TRIM($F152&amp;""))="free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IF(COUNTA($A153:$M153)=0,"",IF(OR(LEFT(LOWER(TRIM($F153&amp;"")),12)="subscription",LOWER(TRIM($F153&amp;""))="membership"),"",IF($G153="","",IF(ISNUMBER(SEARCH("non",LOWER($E153&amp;""))),$G153*0.85,$G153))))</x:f>
      </x:c>
      <x:c r="O153" s="987" t="str">
        <x:f>IF(COUNTA($A153:$M153)=0,"",IF(OR(LEFT(LOWER(TRIM($F153&amp;"")),12)="subscription",LOWER(TRIM($F153&amp;""))="membership"),"",IF(OR($N153="",$I153="",$I153=0),"",IFERROR($N153/$I153,""))))</x:f>
      </x:c>
      <x:c r="P153" s="987" t="str">
        <x:f>IF(COUNTA($A153:$M153)=0,"",IF(OR(LEFT(LOWER(TRIM($F153&amp;"")),12)="subscription",LOWER(TRIM($F153&amp;""))="membership"),"",IF(LOWER($L153&amp;"")="yes",0,IF(OR(AND($H153&lt;&gt;"",$H153=0),LEFT(LOWER(TRIM($F153&amp;"")),9)="free game",LOWER(TRIM($F153&amp;""))="free",LOWER(TRIM($F153&amp;""))="free entry"),IF(LOWER($D153&amp;"")="finalized",IF(ISNUMBER($K153),$K153,""),IF($O153&lt;&gt;"",$O153,"")),IF($K153&lt;&gt;"",$K153,IF($O153&lt;&gt;"",$O153,""))))))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IF(COUNTA($A153:$M153)=0,"",IF(OR(LEFT(LOWER(TRIM($F153&amp;"")),12)="subscription",LOWER(TRIM($F153&amp;""))="membership"),"Subscription",IF(OR(AND($H153&lt;&gt;"",$H153=0),LEFT(LOWER(TRIM($F153&amp;"")),9)="free game",LOWER(TRIM($F153&amp;""))="free",LOWER(TRIM($F153&amp;""))="free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IF(COUNTA($A154:$M154)=0,"",IF(OR(LEFT(LOWER(TRIM($F154&amp;"")),12)="subscription",LOWER(TRIM($F154&amp;""))="membership"),"",IF($G154="","",IF(ISNUMBER(SEARCH("non",LOWER($E154&amp;""))),$G154*0.85,$G154))))</x:f>
      </x:c>
      <x:c r="O154" s="987" t="str">
        <x:f>IF(COUNTA($A154:$M154)=0,"",IF(OR(LEFT(LOWER(TRIM($F154&amp;"")),12)="subscription",LOWER(TRIM($F154&amp;""))="membership"),"",IF(OR($N154="",$I154="",$I154=0),"",IFERROR($N154/$I154,""))))</x:f>
      </x:c>
      <x:c r="P154" s="987" t="str">
        <x:f>IF(COUNTA($A154:$M154)=0,"",IF(OR(LEFT(LOWER(TRIM($F154&amp;"")),12)="subscription",LOWER(TRIM($F154&amp;""))="membership"),"",IF(LOWER($L154&amp;"")="yes",0,IF(OR(AND($H154&lt;&gt;"",$H154=0),LEFT(LOWER(TRIM($F154&amp;"")),9)="free game",LOWER(TRIM($F154&amp;""))="free",LOWER(TRIM($F154&amp;""))="free entry"),IF(LOWER($D154&amp;"")="finalized",IF(ISNUMBER($K154),$K154,""),IF($O154&lt;&gt;"",$O154,"")),IF($K154&lt;&gt;"",$K154,IF($O154&lt;&gt;"",$O154,""))))))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IF(COUNTA($A154:$M154)=0,"",IF(OR(LEFT(LOWER(TRIM($F154&amp;"")),12)="subscription",LOWER(TRIM($F154&amp;""))="membership"),"Subscription",IF(OR(AND($H154&lt;&gt;"",$H154=0),LEFT(LOWER(TRIM($F154&amp;"")),9)="free game",LOWER(TRIM($F154&amp;""))="free",LOWER(TRIM($F154&amp;""))="free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IF(COUNTA($A155:$M155)=0,"",IF(OR(LEFT(LOWER(TRIM($F155&amp;"")),12)="subscription",LOWER(TRIM($F155&amp;""))="membership"),"",IF($G155="","",IF(ISNUMBER(SEARCH("non",LOWER($E155&amp;""))),$G155*0.85,$G155))))</x:f>
      </x:c>
      <x:c r="O155" s="987" t="str">
        <x:f>IF(COUNTA($A155:$M155)=0,"",IF(OR(LEFT(LOWER(TRIM($F155&amp;"")),12)="subscription",LOWER(TRIM($F155&amp;""))="membership"),"",IF(OR($N155="",$I155="",$I155=0),"",IFERROR($N155/$I155,""))))</x:f>
      </x:c>
      <x:c r="P155" s="987" t="str">
        <x:f>IF(COUNTA($A155:$M155)=0,"",IF(OR(LEFT(LOWER(TRIM($F155&amp;"")),12)="subscription",LOWER(TRIM($F155&amp;""))="membership"),"",IF(LOWER($L155&amp;"")="yes",0,IF(OR(AND($H155&lt;&gt;"",$H155=0),LEFT(LOWER(TRIM($F155&amp;"")),9)="free game",LOWER(TRIM($F155&amp;""))="free",LOWER(TRIM($F155&amp;""))="free entry"),IF(LOWER($D155&amp;"")="finalized",IF(ISNUMBER($K155),$K155,""),IF($O155&lt;&gt;"",$O155,"")),IF($K155&lt;&gt;"",$K155,IF($O155&lt;&gt;"",$O155,""))))))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IF(COUNTA($A155:$M155)=0,"",IF(OR(LEFT(LOWER(TRIM($F155&amp;"")),12)="subscription",LOWER(TRIM($F155&amp;""))="membership"),"Subscription",IF(OR(AND($H155&lt;&gt;"",$H155=0),LEFT(LOWER(TRIM($F155&amp;"")),9)="free game",LOWER(TRIM($F155&amp;""))="free",LOWER(TRIM($F155&amp;""))="free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IF(COUNTA($A156:$M156)=0,"",IF(OR(LEFT(LOWER(TRIM($F156&amp;"")),12)="subscription",LOWER(TRIM($F156&amp;""))="membership"),"",IF($G156="","",IF(ISNUMBER(SEARCH("non",LOWER($E156&amp;""))),$G156*0.85,$G156))))</x:f>
      </x:c>
      <x:c r="O156" s="987" t="str">
        <x:f>IF(COUNTA($A156:$M156)=0,"",IF(OR(LEFT(LOWER(TRIM($F156&amp;"")),12)="subscription",LOWER(TRIM($F156&amp;""))="membership"),"",IF(OR($N156="",$I156="",$I156=0),"",IFERROR($N156/$I156,""))))</x:f>
      </x:c>
      <x:c r="P156" s="987" t="str">
        <x:f>IF(COUNTA($A156:$M156)=0,"",IF(OR(LEFT(LOWER(TRIM($F156&amp;"")),12)="subscription",LOWER(TRIM($F156&amp;""))="membership"),"",IF(LOWER($L156&amp;"")="yes",0,IF(OR(AND($H156&lt;&gt;"",$H156=0),LEFT(LOWER(TRIM($F156&amp;"")),9)="free game",LOWER(TRIM($F156&amp;""))="free",LOWER(TRIM($F156&amp;""))="free entry"),IF(LOWER($D156&amp;"")="finalized",IF(ISNUMBER($K156),$K156,""),IF($O156&lt;&gt;"",$O156,"")),IF($K156&lt;&gt;"",$K156,IF($O156&lt;&gt;"",$O156,""))))))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IF(COUNTA($A156:$M156)=0,"",IF(OR(LEFT(LOWER(TRIM($F156&amp;"")),12)="subscription",LOWER(TRIM($F156&amp;""))="membership"),"Subscription",IF(OR(AND($H156&lt;&gt;"",$H156=0),LEFT(LOWER(TRIM($F156&amp;"")),9)="free game",LOWER(TRIM($F156&amp;""))="free",LOWER(TRIM($F156&amp;""))="free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IF(COUNTA($A157:$M157)=0,"",IF(OR(LEFT(LOWER(TRIM($F157&amp;"")),12)="subscription",LOWER(TRIM($F157&amp;""))="membership"),"",IF($G157="","",IF(ISNUMBER(SEARCH("non",LOWER($E157&amp;""))),$G157*0.85,$G157))))</x:f>
      </x:c>
      <x:c r="O157" s="987" t="str">
        <x:f>IF(COUNTA($A157:$M157)=0,"",IF(OR(LEFT(LOWER(TRIM($F157&amp;"")),12)="subscription",LOWER(TRIM($F157&amp;""))="membership"),"",IF(OR($N157="",$I157="",$I157=0),"",IFERROR($N157/$I157,""))))</x:f>
      </x:c>
      <x:c r="P157" s="987" t="str">
        <x:f>IF(COUNTA($A157:$M157)=0,"",IF(OR(LEFT(LOWER(TRIM($F157&amp;"")),12)="subscription",LOWER(TRIM($F157&amp;""))="membership"),"",IF(LOWER($L157&amp;"")="yes",0,IF(OR(AND($H157&lt;&gt;"",$H157=0),LEFT(LOWER(TRIM($F157&amp;"")),9)="free game",LOWER(TRIM($F157&amp;""))="free",LOWER(TRIM($F157&amp;""))="free entry"),IF(LOWER($D157&amp;"")="finalized",IF(ISNUMBER($K157),$K157,""),IF($O157&lt;&gt;"",$O157,"")),IF($K157&lt;&gt;"",$K157,IF($O157&lt;&gt;"",$O157,""))))))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IF(COUNTA($A157:$M157)=0,"",IF(OR(LEFT(LOWER(TRIM($F157&amp;"")),12)="subscription",LOWER(TRIM($F157&amp;""))="membership"),"Subscription",IF(OR(AND($H157&lt;&gt;"",$H157=0),LEFT(LOWER(TRIM($F157&amp;"")),9)="free game",LOWER(TRIM($F157&amp;""))="free",LOWER(TRIM($F157&amp;""))="free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IF(COUNTA($A158:$M158)=0,"",IF(OR(LEFT(LOWER(TRIM($F158&amp;"")),12)="subscription",LOWER(TRIM($F158&amp;""))="membership"),"",IF($G158="","",IF(ISNUMBER(SEARCH("non",LOWER($E158&amp;""))),$G158*0.85,$G158))))</x:f>
      </x:c>
      <x:c r="O158" s="987" t="str">
        <x:f>IF(COUNTA($A158:$M158)=0,"",IF(OR(LEFT(LOWER(TRIM($F158&amp;"")),12)="subscription",LOWER(TRIM($F158&amp;""))="membership"),"",IF(OR($N158="",$I158="",$I158=0),"",IFERROR($N158/$I158,""))))</x:f>
      </x:c>
      <x:c r="P158" s="987" t="str">
        <x:f>IF(COUNTA($A158:$M158)=0,"",IF(OR(LEFT(LOWER(TRIM($F158&amp;"")),12)="subscription",LOWER(TRIM($F158&amp;""))="membership"),"",IF(LOWER($L158&amp;"")="yes",0,IF(OR(AND($H158&lt;&gt;"",$H158=0),LEFT(LOWER(TRIM($F158&amp;"")),9)="free game",LOWER(TRIM($F158&amp;""))="free",LOWER(TRIM($F158&amp;""))="free entry"),IF(LOWER($D158&amp;"")="finalized",IF(ISNUMBER($K158),$K158,""),IF($O158&lt;&gt;"",$O158,"")),IF($K158&lt;&gt;"",$K158,IF($O158&lt;&gt;"",$O158,""))))))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IF(COUNTA($A158:$M158)=0,"",IF(OR(LEFT(LOWER(TRIM($F158&amp;"")),12)="subscription",LOWER(TRIM($F158&amp;""))="membership"),"Subscription",IF(OR(AND($H158&lt;&gt;"",$H158=0),LEFT(LOWER(TRIM($F158&amp;"")),9)="free game",LOWER(TRIM($F158&amp;""))="free",LOWER(TRIM($F158&amp;""))="free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IF(COUNTA($A159:$M159)=0,"",IF(OR(LEFT(LOWER(TRIM($F159&amp;"")),12)="subscription",LOWER(TRIM($F159&amp;""))="membership"),"",IF($G159="","",IF(ISNUMBER(SEARCH("non",LOWER($E159&amp;""))),$G159*0.85,$G159))))</x:f>
      </x:c>
      <x:c r="O159" s="987" t="str">
        <x:f>IF(COUNTA($A159:$M159)=0,"",IF(OR(LEFT(LOWER(TRIM($F159&amp;"")),12)="subscription",LOWER(TRIM($F159&amp;""))="membership"),"",IF(OR($N159="",$I159="",$I159=0),"",IFERROR($N159/$I159,""))))</x:f>
      </x:c>
      <x:c r="P159" s="987" t="str">
        <x:f>IF(COUNTA($A159:$M159)=0,"",IF(OR(LEFT(LOWER(TRIM($F159&amp;"")),12)="subscription",LOWER(TRIM($F159&amp;""))="membership"),"",IF(LOWER($L159&amp;"")="yes",0,IF(OR(AND($H159&lt;&gt;"",$H159=0),LEFT(LOWER(TRIM($F159&amp;"")),9)="free game",LOWER(TRIM($F159&amp;""))="free",LOWER(TRIM($F159&amp;""))="free entry"),IF(LOWER($D159&amp;"")="finalized",IF(ISNUMBER($K159),$K159,""),IF($O159&lt;&gt;"",$O159,"")),IF($K159&lt;&gt;"",$K159,IF($O159&lt;&gt;"",$O159,""))))))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IF(COUNTA($A159:$M159)=0,"",IF(OR(LEFT(LOWER(TRIM($F159&amp;"")),12)="subscription",LOWER(TRIM($F159&amp;""))="membership"),"Subscription",IF(OR(AND($H159&lt;&gt;"",$H159=0),LEFT(LOWER(TRIM($F159&amp;"")),9)="free game",LOWER(TRIM($F159&amp;""))="free",LOWER(TRIM($F159&amp;""))="free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IF(COUNTA($A160:$M160)=0,"",IF(OR(LEFT(LOWER(TRIM($F160&amp;"")),12)="subscription",LOWER(TRIM($F160&amp;""))="membership"),"",IF($G160="","",IF(ISNUMBER(SEARCH("non",LOWER($E160&amp;""))),$G160*0.85,$G160))))</x:f>
      </x:c>
      <x:c r="O160" s="987" t="str">
        <x:f>IF(COUNTA($A160:$M160)=0,"",IF(OR(LEFT(LOWER(TRIM($F160&amp;"")),12)="subscription",LOWER(TRIM($F160&amp;""))="membership"),"",IF(OR($N160="",$I160="",$I160=0),"",IFERROR($N160/$I160,""))))</x:f>
      </x:c>
      <x:c r="P160" s="987" t="str">
        <x:f>IF(COUNTA($A160:$M160)=0,"",IF(OR(LEFT(LOWER(TRIM($F160&amp;"")),12)="subscription",LOWER(TRIM($F160&amp;""))="membership"),"",IF(LOWER($L160&amp;"")="yes",0,IF(OR(AND($H160&lt;&gt;"",$H160=0),LEFT(LOWER(TRIM($F160&amp;"")),9)="free game",LOWER(TRIM($F160&amp;""))="free",LOWER(TRIM($F160&amp;""))="free entry"),IF(LOWER($D160&amp;"")="finalized",IF(ISNUMBER($K160),$K160,""),IF($O160&lt;&gt;"",$O160,"")),IF($K160&lt;&gt;"",$K160,IF($O160&lt;&gt;"",$O160,""))))))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IF(COUNTA($A160:$M160)=0,"",IF(OR(LEFT(LOWER(TRIM($F160&amp;"")),12)="subscription",LOWER(TRIM($F160&amp;""))="membership"),"Subscription",IF(OR(AND($H160&lt;&gt;"",$H160=0),LEFT(LOWER(TRIM($F160&amp;"")),9)="free game",LOWER(TRIM($F160&amp;""))="free",LOWER(TRIM($F160&amp;""))="free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IF(COUNTA($A161:$M161)=0,"",IF(OR(LEFT(LOWER(TRIM($F161&amp;"")),12)="subscription",LOWER(TRIM($F161&amp;""))="membership"),"",IF($G161="","",IF(ISNUMBER(SEARCH("non",LOWER($E161&amp;""))),$G161*0.85,$G161))))</x:f>
      </x:c>
      <x:c r="O161" s="987" t="str">
        <x:f>IF(COUNTA($A161:$M161)=0,"",IF(OR(LEFT(LOWER(TRIM($F161&amp;"")),12)="subscription",LOWER(TRIM($F161&amp;""))="membership"),"",IF(OR($N161="",$I161="",$I161=0),"",IFERROR($N161/$I161,""))))</x:f>
      </x:c>
      <x:c r="P161" s="987" t="str">
        <x:f>IF(COUNTA($A161:$M161)=0,"",IF(OR(LEFT(LOWER(TRIM($F161&amp;"")),12)="subscription",LOWER(TRIM($F161&amp;""))="membership"),"",IF(LOWER($L161&amp;"")="yes",0,IF(OR(AND($H161&lt;&gt;"",$H161=0),LEFT(LOWER(TRIM($F161&amp;"")),9)="free game",LOWER(TRIM($F161&amp;""))="free",LOWER(TRIM($F161&amp;""))="free entry"),IF(LOWER($D161&amp;"")="finalized",IF(ISNUMBER($K161),$K161,""),IF($O161&lt;&gt;"",$O161,"")),IF($K161&lt;&gt;"",$K161,IF($O161&lt;&gt;"",$O161,""))))))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IF(COUNTA($A161:$M161)=0,"",IF(OR(LEFT(LOWER(TRIM($F161&amp;"")),12)="subscription",LOWER(TRIM($F161&amp;""))="membership"),"Subscription",IF(OR(AND($H161&lt;&gt;"",$H161=0),LEFT(LOWER(TRIM($F161&amp;"")),9)="free game",LOWER(TRIM($F161&amp;""))="free",LOWER(TRIM($F161&amp;""))="free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IF(COUNTA($A162:$M162)=0,"",IF(OR(LEFT(LOWER(TRIM($F162&amp;"")),12)="subscription",LOWER(TRIM($F162&amp;""))="membership"),"",IF($G162="","",IF(ISNUMBER(SEARCH("non",LOWER($E162&amp;""))),$G162*0.85,$G162))))</x:f>
      </x:c>
      <x:c r="O162" s="987" t="str">
        <x:f>IF(COUNTA($A162:$M162)=0,"",IF(OR(LEFT(LOWER(TRIM($F162&amp;"")),12)="subscription",LOWER(TRIM($F162&amp;""))="membership"),"",IF(OR($N162="",$I162="",$I162=0),"",IFERROR($N162/$I162,""))))</x:f>
      </x:c>
      <x:c r="P162" s="987" t="str">
        <x:f>IF(COUNTA($A162:$M162)=0,"",IF(OR(LEFT(LOWER(TRIM($F162&amp;"")),12)="subscription",LOWER(TRIM($F162&amp;""))="membership"),"",IF(LOWER($L162&amp;"")="yes",0,IF(OR(AND($H162&lt;&gt;"",$H162=0),LEFT(LOWER(TRIM($F162&amp;"")),9)="free game",LOWER(TRIM($F162&amp;""))="free",LOWER(TRIM($F162&amp;""))="free entry"),IF(LOWER($D162&amp;"")="finalized",IF(ISNUMBER($K162),$K162,""),IF($O162&lt;&gt;"",$O162,"")),IF($K162&lt;&gt;"",$K162,IF($O162&lt;&gt;"",$O162,""))))))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IF(COUNTA($A162:$M162)=0,"",IF(OR(LEFT(LOWER(TRIM($F162&amp;"")),12)="subscription",LOWER(TRIM($F162&amp;""))="membership"),"Subscription",IF(OR(AND($H162&lt;&gt;"",$H162=0),LEFT(LOWER(TRIM($F162&amp;"")),9)="free game",LOWER(TRIM($F162&amp;""))="free",LOWER(TRIM($F162&amp;""))="free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IF(COUNTA($A163:$M163)=0,"",IF(OR(LEFT(LOWER(TRIM($F163&amp;"")),12)="subscription",LOWER(TRIM($F163&amp;""))="membership"),"",IF($G163="","",IF(ISNUMBER(SEARCH("non",LOWER($E163&amp;""))),$G163*0.85,$G163))))</x:f>
      </x:c>
      <x:c r="O163" s="987" t="str">
        <x:f>IF(COUNTA($A163:$M163)=0,"",IF(OR(LEFT(LOWER(TRIM($F163&amp;"")),12)="subscription",LOWER(TRIM($F163&amp;""))="membership"),"",IF(OR($N163="",$I163="",$I163=0),"",IFERROR($N163/$I163,""))))</x:f>
      </x:c>
      <x:c r="P163" s="987" t="str">
        <x:f>IF(COUNTA($A163:$M163)=0,"",IF(OR(LEFT(LOWER(TRIM($F163&amp;"")),12)="subscription",LOWER(TRIM($F163&amp;""))="membership"),"",IF(LOWER($L163&amp;"")="yes",0,IF(OR(AND($H163&lt;&gt;"",$H163=0),LEFT(LOWER(TRIM($F163&amp;"")),9)="free game",LOWER(TRIM($F163&amp;""))="free",LOWER(TRIM($F163&amp;""))="free entry"),IF(LOWER($D163&amp;"")="finalized",IF(ISNUMBER($K163),$K163,""),IF($O163&lt;&gt;"",$O163,"")),IF($K163&lt;&gt;"",$K163,IF($O163&lt;&gt;"",$O163,""))))))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IF(COUNTA($A163:$M163)=0,"",IF(OR(LEFT(LOWER(TRIM($F163&amp;"")),12)="subscription",LOWER(TRIM($F163&amp;""))="membership"),"Subscription",IF(OR(AND($H163&lt;&gt;"",$H163=0),LEFT(LOWER(TRIM($F163&amp;"")),9)="free game",LOWER(TRIM($F163&amp;""))="free",LOWER(TRIM($F163&amp;""))="free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IF(COUNTA($A164:$M164)=0,"",IF(OR(LEFT(LOWER(TRIM($F164&amp;"")),12)="subscription",LOWER(TRIM($F164&amp;""))="membership"),"",IF($G164="","",IF(ISNUMBER(SEARCH("non",LOWER($E164&amp;""))),$G164*0.85,$G164))))</x:f>
      </x:c>
      <x:c r="O164" s="987" t="str">
        <x:f>IF(COUNTA($A164:$M164)=0,"",IF(OR(LEFT(LOWER(TRIM($F164&amp;"")),12)="subscription",LOWER(TRIM($F164&amp;""))="membership"),"",IF(OR($N164="",$I164="",$I164=0),"",IFERROR($N164/$I164,""))))</x:f>
      </x:c>
      <x:c r="P164" s="987" t="str">
        <x:f>IF(COUNTA($A164:$M164)=0,"",IF(OR(LEFT(LOWER(TRIM($F164&amp;"")),12)="subscription",LOWER(TRIM($F164&amp;""))="membership"),"",IF(LOWER($L164&amp;"")="yes",0,IF(OR(AND($H164&lt;&gt;"",$H164=0),LEFT(LOWER(TRIM($F164&amp;"")),9)="free game",LOWER(TRIM($F164&amp;""))="free",LOWER(TRIM($F164&amp;""))="free entry"),IF(LOWER($D164&amp;"")="finalized",IF(ISNUMBER($K164),$K164,""),IF($O164&lt;&gt;"",$O164,"")),IF($K164&lt;&gt;"",$K164,IF($O164&lt;&gt;"",$O164,""))))))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IF(COUNTA($A164:$M164)=0,"",IF(OR(LEFT(LOWER(TRIM($F164&amp;"")),12)="subscription",LOWER(TRIM($F164&amp;""))="membership"),"Subscription",IF(OR(AND($H164&lt;&gt;"",$H164=0),LEFT(LOWER(TRIM($F164&amp;"")),9)="free game",LOWER(TRIM($F164&amp;""))="free",LOWER(TRIM($F164&amp;""))="free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IF(COUNTA($A165:$M165)=0,"",IF(OR(LEFT(LOWER(TRIM($F165&amp;"")),12)="subscription",LOWER(TRIM($F165&amp;""))="membership"),"",IF($G165="","",IF(ISNUMBER(SEARCH("non",LOWER($E165&amp;""))),$G165*0.85,$G165))))</x:f>
      </x:c>
      <x:c r="O165" s="987" t="str">
        <x:f>IF(COUNTA($A165:$M165)=0,"",IF(OR(LEFT(LOWER(TRIM($F165&amp;"")),12)="subscription",LOWER(TRIM($F165&amp;""))="membership"),"",IF(OR($N165="",$I165="",$I165=0),"",IFERROR($N165/$I165,""))))</x:f>
      </x:c>
      <x:c r="P165" s="987" t="str">
        <x:f>IF(COUNTA($A165:$M165)=0,"",IF(OR(LEFT(LOWER(TRIM($F165&amp;"")),12)="subscription",LOWER(TRIM($F165&amp;""))="membership"),"",IF(LOWER($L165&amp;"")="yes",0,IF(OR(AND($H165&lt;&gt;"",$H165=0),LEFT(LOWER(TRIM($F165&amp;"")),9)="free game",LOWER(TRIM($F165&amp;""))="free",LOWER(TRIM($F165&amp;""))="free entry"),IF(LOWER($D165&amp;"")="finalized",IF(ISNUMBER($K165),$K165,""),IF($O165&lt;&gt;"",$O165,"")),IF($K165&lt;&gt;"",$K165,IF($O165&lt;&gt;"",$O165,""))))))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IF(COUNTA($A165:$M165)=0,"",IF(OR(LEFT(LOWER(TRIM($F165&amp;"")),12)="subscription",LOWER(TRIM($F165&amp;""))="membership"),"Subscription",IF(OR(AND($H165&lt;&gt;"",$H165=0),LEFT(LOWER(TRIM($F165&amp;"")),9)="free game",LOWER(TRIM($F165&amp;""))="free",LOWER(TRIM($F165&amp;""))="free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IF(COUNTA($A166:$M166)=0,"",IF(OR(LEFT(LOWER(TRIM($F166&amp;"")),12)="subscription",LOWER(TRIM($F166&amp;""))="membership"),"",IF($G166="","",IF(ISNUMBER(SEARCH("non",LOWER($E166&amp;""))),$G166*0.85,$G166))))</x:f>
      </x:c>
      <x:c r="O166" s="987" t="str">
        <x:f>IF(COUNTA($A166:$M166)=0,"",IF(OR(LEFT(LOWER(TRIM($F166&amp;"")),12)="subscription",LOWER(TRIM($F166&amp;""))="membership"),"",IF(OR($N166="",$I166="",$I166=0),"",IFERROR($N166/$I166,""))))</x:f>
      </x:c>
      <x:c r="P166" s="987" t="str">
        <x:f>IF(COUNTA($A166:$M166)=0,"",IF(OR(LEFT(LOWER(TRIM($F166&amp;"")),12)="subscription",LOWER(TRIM($F166&amp;""))="membership"),"",IF(LOWER($L166&amp;"")="yes",0,IF(OR(AND($H166&lt;&gt;"",$H166=0),LEFT(LOWER(TRIM($F166&amp;"")),9)="free game",LOWER(TRIM($F166&amp;""))="free",LOWER(TRIM($F166&amp;""))="free entry"),IF(LOWER($D166&amp;"")="finalized",IF(ISNUMBER($K166),$K166,""),IF($O166&lt;&gt;"",$O166,"")),IF($K166&lt;&gt;"",$K166,IF($O166&lt;&gt;"",$O166,""))))))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IF(COUNTA($A166:$M166)=0,"",IF(OR(LEFT(LOWER(TRIM($F166&amp;"")),12)="subscription",LOWER(TRIM($F166&amp;""))="membership"),"Subscription",IF(OR(AND($H166&lt;&gt;"",$H166=0),LEFT(LOWER(TRIM($F166&amp;"")),9)="free game",LOWER(TRIM($F166&amp;""))="free",LOWER(TRIM($F166&amp;""))="free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IF(COUNTA($A167:$M167)=0,"",IF(OR(LEFT(LOWER(TRIM($F167&amp;"")),12)="subscription",LOWER(TRIM($F167&amp;""))="membership"),"",IF($G167="","",IF(ISNUMBER(SEARCH("non",LOWER($E167&amp;""))),$G167*0.85,$G167))))</x:f>
      </x:c>
      <x:c r="O167" s="987" t="str">
        <x:f>IF(COUNTA($A167:$M167)=0,"",IF(OR(LEFT(LOWER(TRIM($F167&amp;"")),12)="subscription",LOWER(TRIM($F167&amp;""))="membership"),"",IF(OR($N167="",$I167="",$I167=0),"",IFERROR($N167/$I167,""))))</x:f>
      </x:c>
      <x:c r="P167" s="987" t="str">
        <x:f>IF(COUNTA($A167:$M167)=0,"",IF(OR(LEFT(LOWER(TRIM($F167&amp;"")),12)="subscription",LOWER(TRIM($F167&amp;""))="membership"),"",IF(LOWER($L167&amp;"")="yes",0,IF(OR(AND($H167&lt;&gt;"",$H167=0),LEFT(LOWER(TRIM($F167&amp;"")),9)="free game",LOWER(TRIM($F167&amp;""))="free",LOWER(TRIM($F167&amp;""))="free entry"),IF(LOWER($D167&amp;"")="finalized",IF(ISNUMBER($K167),$K167,""),IF($O167&lt;&gt;"",$O167,"")),IF($K167&lt;&gt;"",$K167,IF($O167&lt;&gt;"",$O167,""))))))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IF(COUNTA($A167:$M167)=0,"",IF(OR(LEFT(LOWER(TRIM($F167&amp;"")),12)="subscription",LOWER(TRIM($F167&amp;""))="membership"),"Subscription",IF(OR(AND($H167&lt;&gt;"",$H167=0),LEFT(LOWER(TRIM($F167&amp;"")),9)="free game",LOWER(TRIM($F167&amp;""))="free",LOWER(TRIM($F167&amp;""))="free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IF(COUNTA($A168:$M168)=0,"",IF(OR(LEFT(LOWER(TRIM($F168&amp;"")),12)="subscription",LOWER(TRIM($F168&amp;""))="membership"),"",IF($G168="","",IF(ISNUMBER(SEARCH("non",LOWER($E168&amp;""))),$G168*0.85,$G168))))</x:f>
      </x:c>
      <x:c r="O168" s="987" t="str">
        <x:f>IF(COUNTA($A168:$M168)=0,"",IF(OR(LEFT(LOWER(TRIM($F168&amp;"")),12)="subscription",LOWER(TRIM($F168&amp;""))="membership"),"",IF(OR($N168="",$I168="",$I168=0),"",IFERROR($N168/$I168,""))))</x:f>
      </x:c>
      <x:c r="P168" s="987" t="str">
        <x:f>IF(COUNTA($A168:$M168)=0,"",IF(OR(LEFT(LOWER(TRIM($F168&amp;"")),12)="subscription",LOWER(TRIM($F168&amp;""))="membership"),"",IF(LOWER($L168&amp;"")="yes",0,IF(OR(AND($H168&lt;&gt;"",$H168=0),LEFT(LOWER(TRIM($F168&amp;"")),9)="free game",LOWER(TRIM($F168&amp;""))="free",LOWER(TRIM($F168&amp;""))="free entry"),IF(LOWER($D168&amp;"")="finalized",IF(ISNUMBER($K168),$K168,""),IF($O168&lt;&gt;"",$O168,"")),IF($K168&lt;&gt;"",$K168,IF($O168&lt;&gt;"",$O168,""))))))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IF(COUNTA($A168:$M168)=0,"",IF(OR(LEFT(LOWER(TRIM($F168&amp;"")),12)="subscription",LOWER(TRIM($F168&amp;""))="membership"),"Subscription",IF(OR(AND($H168&lt;&gt;"",$H168=0),LEFT(LOWER(TRIM($F168&amp;"")),9)="free game",LOWER(TRIM($F168&amp;""))="free",LOWER(TRIM($F168&amp;""))="free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IF(COUNTA($A169:$M169)=0,"",IF(OR(LEFT(LOWER(TRIM($F169&amp;"")),12)="subscription",LOWER(TRIM($F169&amp;""))="membership"),"",IF($G169="","",IF(ISNUMBER(SEARCH("non",LOWER($E169&amp;""))),$G169*0.85,$G169))))</x:f>
      </x:c>
      <x:c r="O169" s="987" t="str">
        <x:f>IF(COUNTA($A169:$M169)=0,"",IF(OR(LEFT(LOWER(TRIM($F169&amp;"")),12)="subscription",LOWER(TRIM($F169&amp;""))="membership"),"",IF(OR($N169="",$I169="",$I169=0),"",IFERROR($N169/$I169,""))))</x:f>
      </x:c>
      <x:c r="P169" s="987" t="str">
        <x:f>IF(COUNTA($A169:$M169)=0,"",IF(OR(LEFT(LOWER(TRIM($F169&amp;"")),12)="subscription",LOWER(TRIM($F169&amp;""))="membership"),"",IF(LOWER($L169&amp;"")="yes",0,IF(OR(AND($H169&lt;&gt;"",$H169=0),LEFT(LOWER(TRIM($F169&amp;"")),9)="free game",LOWER(TRIM($F169&amp;""))="free",LOWER(TRIM($F169&amp;""))="free entry"),IF(LOWER($D169&amp;"")="finalized",IF(ISNUMBER($K169),$K169,""),IF($O169&lt;&gt;"",$O169,"")),IF($K169&lt;&gt;"",$K169,IF($O169&lt;&gt;"",$O169,""))))))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IF(COUNTA($A169:$M169)=0,"",IF(OR(LEFT(LOWER(TRIM($F169&amp;"")),12)="subscription",LOWER(TRIM($F169&amp;""))="membership"),"Subscription",IF(OR(AND($H169&lt;&gt;"",$H169=0),LEFT(LOWER(TRIM($F169&amp;"")),9)="free game",LOWER(TRIM($F169&amp;""))="free",LOWER(TRIM($F169&amp;""))="free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IF(COUNTA($A170:$M170)=0,"",IF(OR(LEFT(LOWER(TRIM($F170&amp;"")),12)="subscription",LOWER(TRIM($F170&amp;""))="membership"),"",IF($G170="","",IF(ISNUMBER(SEARCH("non",LOWER($E170&amp;""))),$G170*0.85,$G170))))</x:f>
      </x:c>
      <x:c r="O170" s="987" t="str">
        <x:f>IF(COUNTA($A170:$M170)=0,"",IF(OR(LEFT(LOWER(TRIM($F170&amp;"")),12)="subscription",LOWER(TRIM($F170&amp;""))="membership"),"",IF(OR($N170="",$I170="",$I170=0),"",IFERROR($N170/$I170,""))))</x:f>
      </x:c>
      <x:c r="P170" s="987" t="str">
        <x:f>IF(COUNTA($A170:$M170)=0,"",IF(OR(LEFT(LOWER(TRIM($F170&amp;"")),12)="subscription",LOWER(TRIM($F170&amp;""))="membership"),"",IF(LOWER($L170&amp;"")="yes",0,IF(OR(AND($H170&lt;&gt;"",$H170=0),LEFT(LOWER(TRIM($F170&amp;"")),9)="free game",LOWER(TRIM($F170&amp;""))="free",LOWER(TRIM($F170&amp;""))="free entry"),IF(LOWER($D170&amp;"")="finalized",IF(ISNUMBER($K170),$K170,""),IF($O170&lt;&gt;"",$O170,"")),IF($K170&lt;&gt;"",$K170,IF($O170&lt;&gt;"",$O170,""))))))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IF(COUNTA($A170:$M170)=0,"",IF(OR(LEFT(LOWER(TRIM($F170&amp;"")),12)="subscription",LOWER(TRIM($F170&amp;""))="membership"),"Subscription",IF(OR(AND($H170&lt;&gt;"",$H170=0),LEFT(LOWER(TRIM($F170&amp;"")),9)="free game",LOWER(TRIM($F170&amp;""))="free",LOWER(TRIM($F170&amp;""))="free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IF(COUNTA($A171:$M171)=0,"",IF(OR(LEFT(LOWER(TRIM($F171&amp;"")),12)="subscription",LOWER(TRIM($F171&amp;""))="membership"),"",IF($G171="","",IF(ISNUMBER(SEARCH("non",LOWER($E171&amp;""))),$G171*0.85,$G171))))</x:f>
      </x:c>
      <x:c r="O171" s="987" t="str">
        <x:f>IF(COUNTA($A171:$M171)=0,"",IF(OR(LEFT(LOWER(TRIM($F171&amp;"")),12)="subscription",LOWER(TRIM($F171&amp;""))="membership"),"",IF(OR($N171="",$I171="",$I171=0),"",IFERROR($N171/$I171,""))))</x:f>
      </x:c>
      <x:c r="P171" s="987" t="str">
        <x:f>IF(COUNTA($A171:$M171)=0,"",IF(OR(LEFT(LOWER(TRIM($F171&amp;"")),12)="subscription",LOWER(TRIM($F171&amp;""))="membership"),"",IF(LOWER($L171&amp;"")="yes",0,IF(OR(AND($H171&lt;&gt;"",$H171=0),LEFT(LOWER(TRIM($F171&amp;"")),9)="free game",LOWER(TRIM($F171&amp;""))="free",LOWER(TRIM($F171&amp;""))="free entry"),IF(LOWER($D171&amp;"")="finalized",IF(ISNUMBER($K171),$K171,""),IF($O171&lt;&gt;"",$O171,"")),IF($K171&lt;&gt;"",$K171,IF($O171&lt;&gt;"",$O171,""))))))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IF(COUNTA($A171:$M171)=0,"",IF(OR(LEFT(LOWER(TRIM($F171&amp;"")),12)="subscription",LOWER(TRIM($F171&amp;""))="membership"),"Subscription",IF(OR(AND($H171&lt;&gt;"",$H171=0),LEFT(LOWER(TRIM($F171&amp;"")),9)="free game",LOWER(TRIM($F171&amp;""))="free",LOWER(TRIM($F171&amp;""))="free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IF(COUNTA($A172:$M172)=0,"",IF(OR(LEFT(LOWER(TRIM($F172&amp;"")),12)="subscription",LOWER(TRIM($F172&amp;""))="membership"),"",IF($G172="","",IF(ISNUMBER(SEARCH("non",LOWER($E172&amp;""))),$G172*0.85,$G172))))</x:f>
      </x:c>
      <x:c r="O172" s="987" t="str">
        <x:f>IF(COUNTA($A172:$M172)=0,"",IF(OR(LEFT(LOWER(TRIM($F172&amp;"")),12)="subscription",LOWER(TRIM($F172&amp;""))="membership"),"",IF(OR($N172="",$I172="",$I172=0),"",IFERROR($N172/$I172,""))))</x:f>
      </x:c>
      <x:c r="P172" s="987" t="str">
        <x:f>IF(COUNTA($A172:$M172)=0,"",IF(OR(LEFT(LOWER(TRIM($F172&amp;"")),12)="subscription",LOWER(TRIM($F172&amp;""))="membership"),"",IF(LOWER($L172&amp;"")="yes",0,IF(OR(AND($H172&lt;&gt;"",$H172=0),LEFT(LOWER(TRIM($F172&amp;"")),9)="free game",LOWER(TRIM($F172&amp;""))="free",LOWER(TRIM($F172&amp;""))="free entry"),IF(LOWER($D172&amp;"")="finalized",IF(ISNUMBER($K172),$K172,""),IF($O172&lt;&gt;"",$O172,"")),IF($K172&lt;&gt;"",$K172,IF($O172&lt;&gt;"",$O172,""))))))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IF(COUNTA($A172:$M172)=0,"",IF(OR(LEFT(LOWER(TRIM($F172&amp;"")),12)="subscription",LOWER(TRIM($F172&amp;""))="membership"),"Subscription",IF(OR(AND($H172&lt;&gt;"",$H172=0),LEFT(LOWER(TRIM($F172&amp;"")),9)="free game",LOWER(TRIM($F172&amp;""))="free",LOWER(TRIM($F172&amp;""))="free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IF(COUNTA($A173:$M173)=0,"",IF(OR(LEFT(LOWER(TRIM($F173&amp;"")),12)="subscription",LOWER(TRIM($F173&amp;""))="membership"),"",IF($G173="","",IF(ISNUMBER(SEARCH("non",LOWER($E173&amp;""))),$G173*0.85,$G173))))</x:f>
      </x:c>
      <x:c r="O173" s="987" t="str">
        <x:f>IF(COUNTA($A173:$M173)=0,"",IF(OR(LEFT(LOWER(TRIM($F173&amp;"")),12)="subscription",LOWER(TRIM($F173&amp;""))="membership"),"",IF(OR($N173="",$I173="",$I173=0),"",IFERROR($N173/$I173,""))))</x:f>
      </x:c>
      <x:c r="P173" s="987" t="str">
        <x:f>IF(COUNTA($A173:$M173)=0,"",IF(OR(LEFT(LOWER(TRIM($F173&amp;"")),12)="subscription",LOWER(TRIM($F173&amp;""))="membership"),"",IF(LOWER($L173&amp;"")="yes",0,IF(OR(AND($H173&lt;&gt;"",$H173=0),LEFT(LOWER(TRIM($F173&amp;"")),9)="free game",LOWER(TRIM($F173&amp;""))="free",LOWER(TRIM($F173&amp;""))="free entry"),IF(LOWER($D173&amp;"")="finalized",IF(ISNUMBER($K173),$K173,""),IF($O173&lt;&gt;"",$O173,"")),IF($K173&lt;&gt;"",$K173,IF($O173&lt;&gt;"",$O173,""))))))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IF(COUNTA($A173:$M173)=0,"",IF(OR(LEFT(LOWER(TRIM($F173&amp;"")),12)="subscription",LOWER(TRIM($F173&amp;""))="membership"),"Subscription",IF(OR(AND($H173&lt;&gt;"",$H173=0),LEFT(LOWER(TRIM($F173&amp;"")),9)="free game",LOWER(TRIM($F173&amp;""))="free",LOWER(TRIM($F173&amp;""))="free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IF(COUNTA($A174:$M174)=0,"",IF(OR(LEFT(LOWER(TRIM($F174&amp;"")),12)="subscription",LOWER(TRIM($F174&amp;""))="membership"),"",IF($G174="","",IF(ISNUMBER(SEARCH("non",LOWER($E174&amp;""))),$G174*0.85,$G174))))</x:f>
      </x:c>
      <x:c r="O174" s="987" t="str">
        <x:f>IF(COUNTA($A174:$M174)=0,"",IF(OR(LEFT(LOWER(TRIM($F174&amp;"")),12)="subscription",LOWER(TRIM($F174&amp;""))="membership"),"",IF(OR($N174="",$I174="",$I174=0),"",IFERROR($N174/$I174,""))))</x:f>
      </x:c>
      <x:c r="P174" s="987" t="str">
        <x:f>IF(COUNTA($A174:$M174)=0,"",IF(OR(LEFT(LOWER(TRIM($F174&amp;"")),12)="subscription",LOWER(TRIM($F174&amp;""))="membership"),"",IF(LOWER($L174&amp;"")="yes",0,IF(OR(AND($H174&lt;&gt;"",$H174=0),LEFT(LOWER(TRIM($F174&amp;"")),9)="free game",LOWER(TRIM($F174&amp;""))="free",LOWER(TRIM($F174&amp;""))="free entry"),IF(LOWER($D174&amp;"")="finalized",IF(ISNUMBER($K174),$K174,""),IF($O174&lt;&gt;"",$O174,"")),IF($K174&lt;&gt;"",$K174,IF($O174&lt;&gt;"",$O174,""))))))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IF(COUNTA($A174:$M174)=0,"",IF(OR(LEFT(LOWER(TRIM($F174&amp;"")),12)="subscription",LOWER(TRIM($F174&amp;""))="membership"),"Subscription",IF(OR(AND($H174&lt;&gt;"",$H174=0),LEFT(LOWER(TRIM($F174&amp;"")),9)="free game",LOWER(TRIM($F174&amp;""))="free",LOWER(TRIM($F174&amp;""))="free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IF(COUNTA($A175:$M175)=0,"",IF(OR(LEFT(LOWER(TRIM($F175&amp;"")),12)="subscription",LOWER(TRIM($F175&amp;""))="membership"),"",IF($G175="","",IF(ISNUMBER(SEARCH("non",LOWER($E175&amp;""))),$G175*0.85,$G175))))</x:f>
      </x:c>
      <x:c r="O175" s="987" t="str">
        <x:f>IF(COUNTA($A175:$M175)=0,"",IF(OR(LEFT(LOWER(TRIM($F175&amp;"")),12)="subscription",LOWER(TRIM($F175&amp;""))="membership"),"",IF(OR($N175="",$I175="",$I175=0),"",IFERROR($N175/$I175,""))))</x:f>
      </x:c>
      <x:c r="P175" s="987" t="str">
        <x:f>IF(COUNTA($A175:$M175)=0,"",IF(OR(LEFT(LOWER(TRIM($F175&amp;"")),12)="subscription",LOWER(TRIM($F175&amp;""))="membership"),"",IF(LOWER($L175&amp;"")="yes",0,IF(OR(AND($H175&lt;&gt;"",$H175=0),LEFT(LOWER(TRIM($F175&amp;"")),9)="free game",LOWER(TRIM($F175&amp;""))="free",LOWER(TRIM($F175&amp;""))="free entry"),IF(LOWER($D175&amp;"")="finalized",IF(ISNUMBER($K175),$K175,""),IF($O175&lt;&gt;"",$O175,"")),IF($K175&lt;&gt;"",$K175,IF($O175&lt;&gt;"",$O175,""))))))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IF(COUNTA($A175:$M175)=0,"",IF(OR(LEFT(LOWER(TRIM($F175&amp;"")),12)="subscription",LOWER(TRIM($F175&amp;""))="membership"),"Subscription",IF(OR(AND($H175&lt;&gt;"",$H175=0),LEFT(LOWER(TRIM($F175&amp;"")),9)="free game",LOWER(TRIM($F175&amp;""))="free",LOWER(TRIM($F175&amp;""))="free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IF(COUNTA($A176:$M176)=0,"",IF(OR(LEFT(LOWER(TRIM($F176&amp;"")),12)="subscription",LOWER(TRIM($F176&amp;""))="membership"),"",IF($G176="","",IF(ISNUMBER(SEARCH("non",LOWER($E176&amp;""))),$G176*0.85,$G176))))</x:f>
      </x:c>
      <x:c r="O176" s="987" t="str">
        <x:f>IF(COUNTA($A176:$M176)=0,"",IF(OR(LEFT(LOWER(TRIM($F176&amp;"")),12)="subscription",LOWER(TRIM($F176&amp;""))="membership"),"",IF(OR($N176="",$I176="",$I176=0),"",IFERROR($N176/$I176,""))))</x:f>
      </x:c>
      <x:c r="P176" s="987" t="str">
        <x:f>IF(COUNTA($A176:$M176)=0,"",IF(OR(LEFT(LOWER(TRIM($F176&amp;"")),12)="subscription",LOWER(TRIM($F176&amp;""))="membership"),"",IF(LOWER($L176&amp;"")="yes",0,IF(OR(AND($H176&lt;&gt;"",$H176=0),LEFT(LOWER(TRIM($F176&amp;"")),9)="free game",LOWER(TRIM($F176&amp;""))="free",LOWER(TRIM($F176&amp;""))="free entry"),IF(LOWER($D176&amp;"")="finalized",IF(ISNUMBER($K176),$K176,""),IF($O176&lt;&gt;"",$O176,"")),IF($K176&lt;&gt;"",$K176,IF($O176&lt;&gt;"",$O176,""))))))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IF(COUNTA($A176:$M176)=0,"",IF(OR(LEFT(LOWER(TRIM($F176&amp;"")),12)="subscription",LOWER(TRIM($F176&amp;""))="membership"),"Subscription",IF(OR(AND($H176&lt;&gt;"",$H176=0),LEFT(LOWER(TRIM($F176&amp;"")),9)="free game",LOWER(TRIM($F176&amp;""))="free",LOWER(TRIM($F176&amp;""))="free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IF(COUNTA($A177:$M177)=0,"",IF(OR(LEFT(LOWER(TRIM($F177&amp;"")),12)="subscription",LOWER(TRIM($F177&amp;""))="membership"),"",IF($G177="","",IF(ISNUMBER(SEARCH("non",LOWER($E177&amp;""))),$G177*0.85,$G177))))</x:f>
      </x:c>
      <x:c r="O177" s="987" t="str">
        <x:f>IF(COUNTA($A177:$M177)=0,"",IF(OR(LEFT(LOWER(TRIM($F177&amp;"")),12)="subscription",LOWER(TRIM($F177&amp;""))="membership"),"",IF(OR($N177="",$I177="",$I177=0),"",IFERROR($N177/$I177,""))))</x:f>
      </x:c>
      <x:c r="P177" s="987" t="str">
        <x:f>IF(COUNTA($A177:$M177)=0,"",IF(OR(LEFT(LOWER(TRIM($F177&amp;"")),12)="subscription",LOWER(TRIM($F177&amp;""))="membership"),"",IF(LOWER($L177&amp;"")="yes",0,IF(OR(AND($H177&lt;&gt;"",$H177=0),LEFT(LOWER(TRIM($F177&amp;"")),9)="free game",LOWER(TRIM($F177&amp;""))="free",LOWER(TRIM($F177&amp;""))="free entry"),IF(LOWER($D177&amp;"")="finalized",IF(ISNUMBER($K177),$K177,""),IF($O177&lt;&gt;"",$O177,"")),IF($K177&lt;&gt;"",$K177,IF($O177&lt;&gt;"",$O177,""))))))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IF(COUNTA($A177:$M177)=0,"",IF(OR(LEFT(LOWER(TRIM($F177&amp;"")),12)="subscription",LOWER(TRIM($F177&amp;""))="membership"),"Subscription",IF(OR(AND($H177&lt;&gt;"",$H177=0),LEFT(LOWER(TRIM($F177&amp;"")),9)="free game",LOWER(TRIM($F177&amp;""))="free",LOWER(TRIM($F177&amp;""))="free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IF(COUNTA($A178:$M178)=0,"",IF(OR(LEFT(LOWER(TRIM($F178&amp;"")),12)="subscription",LOWER(TRIM($F178&amp;""))="membership"),"",IF($G178="","",IF(ISNUMBER(SEARCH("non",LOWER($E178&amp;""))),$G178*0.85,$G178))))</x:f>
      </x:c>
      <x:c r="O178" s="987" t="str">
        <x:f>IF(COUNTA($A178:$M178)=0,"",IF(OR(LEFT(LOWER(TRIM($F178&amp;"")),12)="subscription",LOWER(TRIM($F178&amp;""))="membership"),"",IF(OR($N178="",$I178="",$I178=0),"",IFERROR($N178/$I178,""))))</x:f>
      </x:c>
      <x:c r="P178" s="987" t="str">
        <x:f>IF(COUNTA($A178:$M178)=0,"",IF(OR(LEFT(LOWER(TRIM($F178&amp;"")),12)="subscription",LOWER(TRIM($F178&amp;""))="membership"),"",IF(LOWER($L178&amp;"")="yes",0,IF(OR(AND($H178&lt;&gt;"",$H178=0),LEFT(LOWER(TRIM($F178&amp;"")),9)="free game",LOWER(TRIM($F178&amp;""))="free",LOWER(TRIM($F178&amp;""))="free entry"),IF(LOWER($D178&amp;"")="finalized",IF(ISNUMBER($K178),$K178,""),IF($O178&lt;&gt;"",$O178,"")),IF($K178&lt;&gt;"",$K178,IF($O178&lt;&gt;"",$O178,""))))))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IF(COUNTA($A178:$M178)=0,"",IF(OR(LEFT(LOWER(TRIM($F178&amp;"")),12)="subscription",LOWER(TRIM($F178&amp;""))="membership"),"Subscription",IF(OR(AND($H178&lt;&gt;"",$H178=0),LEFT(LOWER(TRIM($F178&amp;"")),9)="free game",LOWER(TRIM($F178&amp;""))="free",LOWER(TRIM($F178&amp;""))="free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IF(COUNTA($A179:$M179)=0,"",IF(OR(LEFT(LOWER(TRIM($F179&amp;"")),12)="subscription",LOWER(TRIM($F179&amp;""))="membership"),"",IF($G179="","",IF(ISNUMBER(SEARCH("non",LOWER($E179&amp;""))),$G179*0.85,$G179))))</x:f>
      </x:c>
      <x:c r="O179" s="987" t="str">
        <x:f>IF(COUNTA($A179:$M179)=0,"",IF(OR(LEFT(LOWER(TRIM($F179&amp;"")),12)="subscription",LOWER(TRIM($F179&amp;""))="membership"),"",IF(OR($N179="",$I179="",$I179=0),"",IFERROR($N179/$I179,""))))</x:f>
      </x:c>
      <x:c r="P179" s="987" t="str">
        <x:f>IF(COUNTA($A179:$M179)=0,"",IF(OR(LEFT(LOWER(TRIM($F179&amp;"")),12)="subscription",LOWER(TRIM($F179&amp;""))="membership"),"",IF(LOWER($L179&amp;"")="yes",0,IF(OR(AND($H179&lt;&gt;"",$H179=0),LEFT(LOWER(TRIM($F179&amp;"")),9)="free game",LOWER(TRIM($F179&amp;""))="free",LOWER(TRIM($F179&amp;""))="free entry"),IF(LOWER($D179&amp;"")="finalized",IF(ISNUMBER($K179),$K179,""),IF($O179&lt;&gt;"",$O179,"")),IF($K179&lt;&gt;"",$K179,IF($O179&lt;&gt;"",$O179,""))))))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IF(COUNTA($A179:$M179)=0,"",IF(OR(LEFT(LOWER(TRIM($F179&amp;"")),12)="subscription",LOWER(TRIM($F179&amp;""))="membership"),"Subscription",IF(OR(AND($H179&lt;&gt;"",$H179=0),LEFT(LOWER(TRIM($F179&amp;"")),9)="free game",LOWER(TRIM($F179&amp;""))="free",LOWER(TRIM($F179&amp;""))="free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IF(COUNTA($A180:$M180)=0,"",IF(OR(LEFT(LOWER(TRIM($F180&amp;"")),12)="subscription",LOWER(TRIM($F180&amp;""))="membership"),"",IF($G180="","",IF(ISNUMBER(SEARCH("non",LOWER($E180&amp;""))),$G180*0.85,$G180))))</x:f>
      </x:c>
      <x:c r="O180" s="987" t="str">
        <x:f>IF(COUNTA($A180:$M180)=0,"",IF(OR(LEFT(LOWER(TRIM($F180&amp;"")),12)="subscription",LOWER(TRIM($F180&amp;""))="membership"),"",IF(OR($N180="",$I180="",$I180=0),"",IFERROR($N180/$I180,""))))</x:f>
      </x:c>
      <x:c r="P180" s="987" t="str">
        <x:f>IF(COUNTA($A180:$M180)=0,"",IF(OR(LEFT(LOWER(TRIM($F180&amp;"")),12)="subscription",LOWER(TRIM($F180&amp;""))="membership"),"",IF(LOWER($L180&amp;"")="yes",0,IF(OR(AND($H180&lt;&gt;"",$H180=0),LEFT(LOWER(TRIM($F180&amp;"")),9)="free game",LOWER(TRIM($F180&amp;""))="free",LOWER(TRIM($F180&amp;""))="free entry"),IF(LOWER($D180&amp;"")="finalized",IF(ISNUMBER($K180),$K180,""),IF($O180&lt;&gt;"",$O180,"")),IF($K180&lt;&gt;"",$K180,IF($O180&lt;&gt;"",$O180,""))))))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IF(COUNTA($A180:$M180)=0,"",IF(OR(LEFT(LOWER(TRIM($F180&amp;"")),12)="subscription",LOWER(TRIM($F180&amp;""))="membership"),"Subscription",IF(OR(AND($H180&lt;&gt;"",$H180=0),LEFT(LOWER(TRIM($F180&amp;"")),9)="free game",LOWER(TRIM($F180&amp;""))="free",LOWER(TRIM($F180&amp;""))="free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IF(COUNTA($A181:$M181)=0,"",IF(OR(LEFT(LOWER(TRIM($F181&amp;"")),12)="subscription",LOWER(TRIM($F181&amp;""))="membership"),"",IF($G181="","",IF(ISNUMBER(SEARCH("non",LOWER($E181&amp;""))),$G181*0.85,$G181))))</x:f>
      </x:c>
      <x:c r="O181" s="987" t="str">
        <x:f>IF(COUNTA($A181:$M181)=0,"",IF(OR(LEFT(LOWER(TRIM($F181&amp;"")),12)="subscription",LOWER(TRIM($F181&amp;""))="membership"),"",IF(OR($N181="",$I181="",$I181=0),"",IFERROR($N181/$I181,""))))</x:f>
      </x:c>
      <x:c r="P181" s="987" t="str">
        <x:f>IF(COUNTA($A181:$M181)=0,"",IF(OR(LEFT(LOWER(TRIM($F181&amp;"")),12)="subscription",LOWER(TRIM($F181&amp;""))="membership"),"",IF(LOWER($L181&amp;"")="yes",0,IF(OR(AND($H181&lt;&gt;"",$H181=0),LEFT(LOWER(TRIM($F181&amp;"")),9)="free game",LOWER(TRIM($F181&amp;""))="free",LOWER(TRIM($F181&amp;""))="free entry"),IF(LOWER($D181&amp;"")="finalized",IF(ISNUMBER($K181),$K181,""),IF($O181&lt;&gt;"",$O181,"")),IF($K181&lt;&gt;"",$K181,IF($O181&lt;&gt;"",$O181,""))))))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IF(COUNTA($A181:$M181)=0,"",IF(OR(LEFT(LOWER(TRIM($F181&amp;"")),12)="subscription",LOWER(TRIM($F181&amp;""))="membership"),"Subscription",IF(OR(AND($H181&lt;&gt;"",$H181=0),LEFT(LOWER(TRIM($F181&amp;"")),9)="free game",LOWER(TRIM($F181&amp;""))="free",LOWER(TRIM($F181&amp;""))="free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IF(COUNTA($A182:$M182)=0,"",IF(OR(LEFT(LOWER(TRIM($F182&amp;"")),12)="subscription",LOWER(TRIM($F182&amp;""))="membership"),"",IF($G182="","",IF(ISNUMBER(SEARCH("non",LOWER($E182&amp;""))),$G182*0.85,$G182))))</x:f>
      </x:c>
      <x:c r="O182" s="987" t="str">
        <x:f>IF(COUNTA($A182:$M182)=0,"",IF(OR(LEFT(LOWER(TRIM($F182&amp;"")),12)="subscription",LOWER(TRIM($F182&amp;""))="membership"),"",IF(OR($N182="",$I182="",$I182=0),"",IFERROR($N182/$I182,""))))</x:f>
      </x:c>
      <x:c r="P182" s="987" t="str">
        <x:f>IF(COUNTA($A182:$M182)=0,"",IF(OR(LEFT(LOWER(TRIM($F182&amp;"")),12)="subscription",LOWER(TRIM($F182&amp;""))="membership"),"",IF(LOWER($L182&amp;"")="yes",0,IF(OR(AND($H182&lt;&gt;"",$H182=0),LEFT(LOWER(TRIM($F182&amp;"")),9)="free game",LOWER(TRIM($F182&amp;""))="free",LOWER(TRIM($F182&amp;""))="free entry"),IF(LOWER($D182&amp;"")="finalized",IF(ISNUMBER($K182),$K182,""),IF($O182&lt;&gt;"",$O182,"")),IF($K182&lt;&gt;"",$K182,IF($O182&lt;&gt;"",$O182,""))))))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IF(COUNTA($A182:$M182)=0,"",IF(OR(LEFT(LOWER(TRIM($F182&amp;"")),12)="subscription",LOWER(TRIM($F182&amp;""))="membership"),"Subscription",IF(OR(AND($H182&lt;&gt;"",$H182=0),LEFT(LOWER(TRIM($F182&amp;"")),9)="free game",LOWER(TRIM($F182&amp;""))="free",LOWER(TRIM($F182&amp;""))="free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IF(COUNTA($A183:$M183)=0,"",IF(OR(LEFT(LOWER(TRIM($F183&amp;"")),12)="subscription",LOWER(TRIM($F183&amp;""))="membership"),"",IF($G183="","",IF(ISNUMBER(SEARCH("non",LOWER($E183&amp;""))),$G183*0.85,$G183))))</x:f>
      </x:c>
      <x:c r="O183" s="987" t="str">
        <x:f>IF(COUNTA($A183:$M183)=0,"",IF(OR(LEFT(LOWER(TRIM($F183&amp;"")),12)="subscription",LOWER(TRIM($F183&amp;""))="membership"),"",IF(OR($N183="",$I183="",$I183=0),"",IFERROR($N183/$I183,""))))</x:f>
      </x:c>
      <x:c r="P183" s="987" t="str">
        <x:f>IF(COUNTA($A183:$M183)=0,"",IF(OR(LEFT(LOWER(TRIM($F183&amp;"")),12)="subscription",LOWER(TRIM($F183&amp;""))="membership"),"",IF(LOWER($L183&amp;"")="yes",0,IF(OR(AND($H183&lt;&gt;"",$H183=0),LEFT(LOWER(TRIM($F183&amp;"")),9)="free game",LOWER(TRIM($F183&amp;""))="free",LOWER(TRIM($F183&amp;""))="free entry"),IF(LOWER($D183&amp;"")="finalized",IF(ISNUMBER($K183),$K183,""),IF($O183&lt;&gt;"",$O183,"")),IF($K183&lt;&gt;"",$K183,IF($O183&lt;&gt;"",$O183,""))))))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IF(COUNTA($A183:$M183)=0,"",IF(OR(LEFT(LOWER(TRIM($F183&amp;"")),12)="subscription",LOWER(TRIM($F183&amp;""))="membership"),"Subscription",IF(OR(AND($H183&lt;&gt;"",$H183=0),LEFT(LOWER(TRIM($F183&amp;"")),9)="free game",LOWER(TRIM($F183&amp;""))="free",LOWER(TRIM($F183&amp;""))="free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IF(COUNTA($A184:$M184)=0,"",IF(OR(LEFT(LOWER(TRIM($F184&amp;"")),12)="subscription",LOWER(TRIM($F184&amp;""))="membership"),"",IF($G184="","",IF(ISNUMBER(SEARCH("non",LOWER($E184&amp;""))),$G184*0.85,$G184))))</x:f>
      </x:c>
      <x:c r="O184" s="987" t="str">
        <x:f>IF(COUNTA($A184:$M184)=0,"",IF(OR(LEFT(LOWER(TRIM($F184&amp;"")),12)="subscription",LOWER(TRIM($F184&amp;""))="membership"),"",IF(OR($N184="",$I184="",$I184=0),"",IFERROR($N184/$I184,""))))</x:f>
      </x:c>
      <x:c r="P184" s="987" t="str">
        <x:f>IF(COUNTA($A184:$M184)=0,"",IF(OR(LEFT(LOWER(TRIM($F184&amp;"")),12)="subscription",LOWER(TRIM($F184&amp;""))="membership"),"",IF(LOWER($L184&amp;"")="yes",0,IF(OR(AND($H184&lt;&gt;"",$H184=0),LEFT(LOWER(TRIM($F184&amp;"")),9)="free game",LOWER(TRIM($F184&amp;""))="free",LOWER(TRIM($F184&amp;""))="free entry"),IF(LOWER($D184&amp;"")="finalized",IF(ISNUMBER($K184),$K184,""),IF($O184&lt;&gt;"",$O184,"")),IF($K184&lt;&gt;"",$K184,IF($O184&lt;&gt;"",$O184,""))))))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IF(COUNTA($A184:$M184)=0,"",IF(OR(LEFT(LOWER(TRIM($F184&amp;"")),12)="subscription",LOWER(TRIM($F184&amp;""))="membership"),"Subscription",IF(OR(AND($H184&lt;&gt;"",$H184=0),LEFT(LOWER(TRIM($F184&amp;"")),9)="free game",LOWER(TRIM($F184&amp;""))="free",LOWER(TRIM($F184&amp;""))="free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IF(COUNTA($A185:$M185)=0,"",IF(OR(LEFT(LOWER(TRIM($F185&amp;"")),12)="subscription",LOWER(TRIM($F185&amp;""))="membership"),"",IF($G185="","",IF(ISNUMBER(SEARCH("non",LOWER($E185&amp;""))),$G185*0.85,$G185))))</x:f>
      </x:c>
      <x:c r="O185" s="987" t="str">
        <x:f>IF(COUNTA($A185:$M185)=0,"",IF(OR(LEFT(LOWER(TRIM($F185&amp;"")),12)="subscription",LOWER(TRIM($F185&amp;""))="membership"),"",IF(OR($N185="",$I185="",$I185=0),"",IFERROR($N185/$I185,""))))</x:f>
      </x:c>
      <x:c r="P185" s="987" t="str">
        <x:f>IF(COUNTA($A185:$M185)=0,"",IF(OR(LEFT(LOWER(TRIM($F185&amp;"")),12)="subscription",LOWER(TRIM($F185&amp;""))="membership"),"",IF(LOWER($L185&amp;"")="yes",0,IF(OR(AND($H185&lt;&gt;"",$H185=0),LEFT(LOWER(TRIM($F185&amp;"")),9)="free game",LOWER(TRIM($F185&amp;""))="free",LOWER(TRIM($F185&amp;""))="free entry"),IF(LOWER($D185&amp;"")="finalized",IF(ISNUMBER($K185),$K185,""),IF($O185&lt;&gt;"",$O185,"")),IF($K185&lt;&gt;"",$K185,IF($O185&lt;&gt;"",$O185,""))))))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IF(COUNTA($A185:$M185)=0,"",IF(OR(LEFT(LOWER(TRIM($F185&amp;"")),12)="subscription",LOWER(TRIM($F185&amp;""))="membership"),"Subscription",IF(OR(AND($H185&lt;&gt;"",$H185=0),LEFT(LOWER(TRIM($F185&amp;"")),9)="free game",LOWER(TRIM($F185&amp;""))="free",LOWER(TRIM($F185&amp;""))="free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IF(COUNTA($A186:$M186)=0,"",IF(OR(LEFT(LOWER(TRIM($F186&amp;"")),12)="subscription",LOWER(TRIM($F186&amp;""))="membership"),"",IF($G186="","",IF(ISNUMBER(SEARCH("non",LOWER($E186&amp;""))),$G186*0.85,$G186))))</x:f>
      </x:c>
      <x:c r="O186" s="987" t="str">
        <x:f>IF(COUNTA($A186:$M186)=0,"",IF(OR(LEFT(LOWER(TRIM($F186&amp;"")),12)="subscription",LOWER(TRIM($F186&amp;""))="membership"),"",IF(OR($N186="",$I186="",$I186=0),"",IFERROR($N186/$I186,""))))</x:f>
      </x:c>
      <x:c r="P186" s="987" t="str">
        <x:f>IF(COUNTA($A186:$M186)=0,"",IF(OR(LEFT(LOWER(TRIM($F186&amp;"")),12)="subscription",LOWER(TRIM($F186&amp;""))="membership"),"",IF(LOWER($L186&amp;"")="yes",0,IF(OR(AND($H186&lt;&gt;"",$H186=0),LEFT(LOWER(TRIM($F186&amp;"")),9)="free game",LOWER(TRIM($F186&amp;""))="free",LOWER(TRIM($F186&amp;""))="free entry"),IF(LOWER($D186&amp;"")="finalized",IF(ISNUMBER($K186),$K186,""),IF($O186&lt;&gt;"",$O186,"")),IF($K186&lt;&gt;"",$K186,IF($O186&lt;&gt;"",$O186,""))))))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IF(COUNTA($A186:$M186)=0,"",IF(OR(LEFT(LOWER(TRIM($F186&amp;"")),12)="subscription",LOWER(TRIM($F186&amp;""))="membership"),"Subscription",IF(OR(AND($H186&lt;&gt;"",$H186=0),LEFT(LOWER(TRIM($F186&amp;"")),9)="free game",LOWER(TRIM($F186&amp;""))="free",LOWER(TRIM($F186&amp;""))="free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IF(COUNTA($A187:$M187)=0,"",IF(OR(LEFT(LOWER(TRIM($F187&amp;"")),12)="subscription",LOWER(TRIM($F187&amp;""))="membership"),"",IF($G187="","",IF(ISNUMBER(SEARCH("non",LOWER($E187&amp;""))),$G187*0.85,$G187))))</x:f>
      </x:c>
      <x:c r="O187" s="987" t="str">
        <x:f>IF(COUNTA($A187:$M187)=0,"",IF(OR(LEFT(LOWER(TRIM($F187&amp;"")),12)="subscription",LOWER(TRIM($F187&amp;""))="membership"),"",IF(OR($N187="",$I187="",$I187=0),"",IFERROR($N187/$I187,""))))</x:f>
      </x:c>
      <x:c r="P187" s="987" t="str">
        <x:f>IF(COUNTA($A187:$M187)=0,"",IF(OR(LEFT(LOWER(TRIM($F187&amp;"")),12)="subscription",LOWER(TRIM($F187&amp;""))="membership"),"",IF(LOWER($L187&amp;"")="yes",0,IF(OR(AND($H187&lt;&gt;"",$H187=0),LEFT(LOWER(TRIM($F187&amp;"")),9)="free game",LOWER(TRIM($F187&amp;""))="free",LOWER(TRIM($F187&amp;""))="free entry"),IF(LOWER($D187&amp;"")="finalized",IF(ISNUMBER($K187),$K187,""),IF($O187&lt;&gt;"",$O187,"")),IF($K187&lt;&gt;"",$K187,IF($O187&lt;&gt;"",$O187,""))))))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IF(COUNTA($A187:$M187)=0,"",IF(OR(LEFT(LOWER(TRIM($F187&amp;"")),12)="subscription",LOWER(TRIM($F187&amp;""))="membership"),"Subscription",IF(OR(AND($H187&lt;&gt;"",$H187=0),LEFT(LOWER(TRIM($F187&amp;"")),9)="free game",LOWER(TRIM($F187&amp;""))="free",LOWER(TRIM($F187&amp;""))="free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IF(COUNTA($A188:$M188)=0,"",IF(OR(LEFT(LOWER(TRIM($F188&amp;"")),12)="subscription",LOWER(TRIM($F188&amp;""))="membership"),"",IF($G188="","",IF(ISNUMBER(SEARCH("non",LOWER($E188&amp;""))),$G188*0.85,$G188))))</x:f>
      </x:c>
      <x:c r="O188" s="987" t="str">
        <x:f>IF(COUNTA($A188:$M188)=0,"",IF(OR(LEFT(LOWER(TRIM($F188&amp;"")),12)="subscription",LOWER(TRIM($F188&amp;""))="membership"),"",IF(OR($N188="",$I188="",$I188=0),"",IFERROR($N188/$I188,""))))</x:f>
      </x:c>
      <x:c r="P188" s="987" t="str">
        <x:f>IF(COUNTA($A188:$M188)=0,"",IF(OR(LEFT(LOWER(TRIM($F188&amp;"")),12)="subscription",LOWER(TRIM($F188&amp;""))="membership"),"",IF(LOWER($L188&amp;"")="yes",0,IF(OR(AND($H188&lt;&gt;"",$H188=0),LEFT(LOWER(TRIM($F188&amp;"")),9)="free game",LOWER(TRIM($F188&amp;""))="free",LOWER(TRIM($F188&amp;""))="free entry"),IF(LOWER($D188&amp;"")="finalized",IF(ISNUMBER($K188),$K188,""),IF($O188&lt;&gt;"",$O188,"")),IF($K188&lt;&gt;"",$K188,IF($O188&lt;&gt;"",$O188,""))))))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IF(COUNTA($A188:$M188)=0,"",IF(OR(LEFT(LOWER(TRIM($F188&amp;"")),12)="subscription",LOWER(TRIM($F188&amp;""))="membership"),"Subscription",IF(OR(AND($H188&lt;&gt;"",$H188=0),LEFT(LOWER(TRIM($F188&amp;"")),9)="free game",LOWER(TRIM($F188&amp;""))="free",LOWER(TRIM($F188&amp;""))="free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IF(COUNTA($A189:$M189)=0,"",IF(OR(LEFT(LOWER(TRIM($F189&amp;"")),12)="subscription",LOWER(TRIM($F189&amp;""))="membership"),"",IF($G189="","",IF(ISNUMBER(SEARCH("non",LOWER($E189&amp;""))),$G189*0.85,$G189))))</x:f>
      </x:c>
      <x:c r="O189" s="987" t="str">
        <x:f>IF(COUNTA($A189:$M189)=0,"",IF(OR(LEFT(LOWER(TRIM($F189&amp;"")),12)="subscription",LOWER(TRIM($F189&amp;""))="membership"),"",IF(OR($N189="",$I189="",$I189=0),"",IFERROR($N189/$I189,""))))</x:f>
      </x:c>
      <x:c r="P189" s="987" t="str">
        <x:f>IF(COUNTA($A189:$M189)=0,"",IF(OR(LEFT(LOWER(TRIM($F189&amp;"")),12)="subscription",LOWER(TRIM($F189&amp;""))="membership"),"",IF(LOWER($L189&amp;"")="yes",0,IF(OR(AND($H189&lt;&gt;"",$H189=0),LEFT(LOWER(TRIM($F189&amp;"")),9)="free game",LOWER(TRIM($F189&amp;""))="free",LOWER(TRIM($F189&amp;""))="free entry"),IF(LOWER($D189&amp;"")="finalized",IF(ISNUMBER($K189),$K189,""),IF($O189&lt;&gt;"",$O189,"")),IF($K189&lt;&gt;"",$K189,IF($O189&lt;&gt;"",$O189,""))))))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IF(COUNTA($A189:$M189)=0,"",IF(OR(LEFT(LOWER(TRIM($F189&amp;"")),12)="subscription",LOWER(TRIM($F189&amp;""))="membership"),"Subscription",IF(OR(AND($H189&lt;&gt;"",$H189=0),LEFT(LOWER(TRIM($F189&amp;"")),9)="free game",LOWER(TRIM($F189&amp;""))="free",LOWER(TRIM($F189&amp;""))="free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IF(COUNTA($A190:$M190)=0,"",IF(OR(LEFT(LOWER(TRIM($F190&amp;"")),12)="subscription",LOWER(TRIM($F190&amp;""))="membership"),"",IF($G190="","",IF(ISNUMBER(SEARCH("non",LOWER($E190&amp;""))),$G190*0.85,$G190))))</x:f>
      </x:c>
      <x:c r="O190" s="987" t="str">
        <x:f>IF(COUNTA($A190:$M190)=0,"",IF(OR(LEFT(LOWER(TRIM($F190&amp;"")),12)="subscription",LOWER(TRIM($F190&amp;""))="membership"),"",IF(OR($N190="",$I190="",$I190=0),"",IFERROR($N190/$I190,""))))</x:f>
      </x:c>
      <x:c r="P190" s="987" t="str">
        <x:f>IF(COUNTA($A190:$M190)=0,"",IF(OR(LEFT(LOWER(TRIM($F190&amp;"")),12)="subscription",LOWER(TRIM($F190&amp;""))="membership"),"",IF(LOWER($L190&amp;"")="yes",0,IF(OR(AND($H190&lt;&gt;"",$H190=0),LEFT(LOWER(TRIM($F190&amp;"")),9)="free game",LOWER(TRIM($F190&amp;""))="free",LOWER(TRIM($F190&amp;""))="free entry"),IF(LOWER($D190&amp;"")="finalized",IF(ISNUMBER($K190),$K190,""),IF($O190&lt;&gt;"",$O190,"")),IF($K190&lt;&gt;"",$K190,IF($O190&lt;&gt;"",$O190,""))))))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IF(COUNTA($A190:$M190)=0,"",IF(OR(LEFT(LOWER(TRIM($F190&amp;"")),12)="subscription",LOWER(TRIM($F190&amp;""))="membership"),"Subscription",IF(OR(AND($H190&lt;&gt;"",$H190=0),LEFT(LOWER(TRIM($F190&amp;"")),9)="free game",LOWER(TRIM($F190&amp;""))="free",LOWER(TRIM($F190&amp;""))="free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IF(COUNTA($A191:$M191)=0,"",IF(OR(LEFT(LOWER(TRIM($F191&amp;"")),12)="subscription",LOWER(TRIM($F191&amp;""))="membership"),"",IF($G191="","",IF(ISNUMBER(SEARCH("non",LOWER($E191&amp;""))),$G191*0.85,$G191))))</x:f>
      </x:c>
      <x:c r="O191" s="987" t="str">
        <x:f>IF(COUNTA($A191:$M191)=0,"",IF(OR(LEFT(LOWER(TRIM($F191&amp;"")),12)="subscription",LOWER(TRIM($F191&amp;""))="membership"),"",IF(OR($N191="",$I191="",$I191=0),"",IFERROR($N191/$I191,""))))</x:f>
      </x:c>
      <x:c r="P191" s="987" t="str">
        <x:f>IF(COUNTA($A191:$M191)=0,"",IF(OR(LEFT(LOWER(TRIM($F191&amp;"")),12)="subscription",LOWER(TRIM($F191&amp;""))="membership"),"",IF(LOWER($L191&amp;"")="yes",0,IF(OR(AND($H191&lt;&gt;"",$H191=0),LEFT(LOWER(TRIM($F191&amp;"")),9)="free game",LOWER(TRIM($F191&amp;""))="free",LOWER(TRIM($F191&amp;""))="free entry"),IF(LOWER($D191&amp;"")="finalized",IF(ISNUMBER($K191),$K191,""),IF($O191&lt;&gt;"",$O191,"")),IF($K191&lt;&gt;"",$K191,IF($O191&lt;&gt;"",$O191,""))))))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IF(COUNTA($A191:$M191)=0,"",IF(OR(LEFT(LOWER(TRIM($F191&amp;"")),12)="subscription",LOWER(TRIM($F191&amp;""))="membership"),"Subscription",IF(OR(AND($H191&lt;&gt;"",$H191=0),LEFT(LOWER(TRIM($F191&amp;"")),9)="free game",LOWER(TRIM($F191&amp;""))="free",LOWER(TRIM($F191&amp;""))="free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IF(COUNTA($A192:$M192)=0,"",IF(OR(LEFT(LOWER(TRIM($F192&amp;"")),12)="subscription",LOWER(TRIM($F192&amp;""))="membership"),"",IF($G192="","",IF(ISNUMBER(SEARCH("non",LOWER($E192&amp;""))),$G192*0.85,$G192))))</x:f>
      </x:c>
      <x:c r="O192" s="987" t="str">
        <x:f>IF(COUNTA($A192:$M192)=0,"",IF(OR(LEFT(LOWER(TRIM($F192&amp;"")),12)="subscription",LOWER(TRIM($F192&amp;""))="membership"),"",IF(OR($N192="",$I192="",$I192=0),"",IFERROR($N192/$I192,""))))</x:f>
      </x:c>
      <x:c r="P192" s="987" t="str">
        <x:f>IF(COUNTA($A192:$M192)=0,"",IF(OR(LEFT(LOWER(TRIM($F192&amp;"")),12)="subscription",LOWER(TRIM($F192&amp;""))="membership"),"",IF(LOWER($L192&amp;"")="yes",0,IF(OR(AND($H192&lt;&gt;"",$H192=0),LEFT(LOWER(TRIM($F192&amp;"")),9)="free game",LOWER(TRIM($F192&amp;""))="free",LOWER(TRIM($F192&amp;""))="free entry"),IF(LOWER($D192&amp;"")="finalized",IF(ISNUMBER($K192),$K192,""),IF($O192&lt;&gt;"",$O192,"")),IF($K192&lt;&gt;"",$K192,IF($O192&lt;&gt;"",$O192,""))))))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IF(COUNTA($A192:$M192)=0,"",IF(OR(LEFT(LOWER(TRIM($F192&amp;"")),12)="subscription",LOWER(TRIM($F192&amp;""))="membership"),"Subscription",IF(OR(AND($H192&lt;&gt;"",$H192=0),LEFT(LOWER(TRIM($F192&amp;"")),9)="free game",LOWER(TRIM($F192&amp;""))="free",LOWER(TRIM($F192&amp;""))="free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IF(COUNTA($A193:$M193)=0,"",IF(OR(LEFT(LOWER(TRIM($F193&amp;"")),12)="subscription",LOWER(TRIM($F193&amp;""))="membership"),"",IF($G193="","",IF(ISNUMBER(SEARCH("non",LOWER($E193&amp;""))),$G193*0.85,$G193))))</x:f>
      </x:c>
      <x:c r="O193" s="987" t="str">
        <x:f>IF(COUNTA($A193:$M193)=0,"",IF(OR(LEFT(LOWER(TRIM($F193&amp;"")),12)="subscription",LOWER(TRIM($F193&amp;""))="membership"),"",IF(OR($N193="",$I193="",$I193=0),"",IFERROR($N193/$I193,""))))</x:f>
      </x:c>
      <x:c r="P193" s="987" t="str">
        <x:f>IF(COUNTA($A193:$M193)=0,"",IF(OR(LEFT(LOWER(TRIM($F193&amp;"")),12)="subscription",LOWER(TRIM($F193&amp;""))="membership"),"",IF(LOWER($L193&amp;"")="yes",0,IF(OR(AND($H193&lt;&gt;"",$H193=0),LEFT(LOWER(TRIM($F193&amp;"")),9)="free game",LOWER(TRIM($F193&amp;""))="free",LOWER(TRIM($F193&amp;""))="free entry"),IF(LOWER($D193&amp;"")="finalized",IF(ISNUMBER($K193),$K193,""),IF($O193&lt;&gt;"",$O193,"")),IF($K193&lt;&gt;"",$K193,IF($O193&lt;&gt;"",$O193,""))))))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IF(COUNTA($A193:$M193)=0,"",IF(OR(LEFT(LOWER(TRIM($F193&amp;"")),12)="subscription",LOWER(TRIM($F193&amp;""))="membership"),"Subscription",IF(OR(AND($H193&lt;&gt;"",$H193=0),LEFT(LOWER(TRIM($F193&amp;"")),9)="free game",LOWER(TRIM($F193&amp;""))="free",LOWER(TRIM($F193&amp;""))="free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IF(COUNTA($A194:$M194)=0,"",IF(OR(LEFT(LOWER(TRIM($F194&amp;"")),12)="subscription",LOWER(TRIM($F194&amp;""))="membership"),"",IF($G194="","",IF(ISNUMBER(SEARCH("non",LOWER($E194&amp;""))),$G194*0.85,$G194))))</x:f>
      </x:c>
      <x:c r="O194" s="987" t="str">
        <x:f>IF(COUNTA($A194:$M194)=0,"",IF(OR(LEFT(LOWER(TRIM($F194&amp;"")),12)="subscription",LOWER(TRIM($F194&amp;""))="membership"),"",IF(OR($N194="",$I194="",$I194=0),"",IFERROR($N194/$I194,""))))</x:f>
      </x:c>
      <x:c r="P194" s="987" t="str">
        <x:f>IF(COUNTA($A194:$M194)=0,"",IF(OR(LEFT(LOWER(TRIM($F194&amp;"")),12)="subscription",LOWER(TRIM($F194&amp;""))="membership"),"",IF(LOWER($L194&amp;"")="yes",0,IF(OR(AND($H194&lt;&gt;"",$H194=0),LEFT(LOWER(TRIM($F194&amp;"")),9)="free game",LOWER(TRIM($F194&amp;""))="free",LOWER(TRIM($F194&amp;""))="free entry"),IF(LOWER($D194&amp;"")="finalized",IF(ISNUMBER($K194),$K194,""),IF($O194&lt;&gt;"",$O194,"")),IF($K194&lt;&gt;"",$K194,IF($O194&lt;&gt;"",$O194,""))))))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IF(COUNTA($A194:$M194)=0,"",IF(OR(LEFT(LOWER(TRIM($F194&amp;"")),12)="subscription",LOWER(TRIM($F194&amp;""))="membership"),"Subscription",IF(OR(AND($H194&lt;&gt;"",$H194=0),LEFT(LOWER(TRIM($F194&amp;"")),9)="free game",LOWER(TRIM($F194&amp;""))="free",LOWER(TRIM($F194&amp;""))="free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IF(COUNTA($A195:$M195)=0,"",IF(OR(LEFT(LOWER(TRIM($F195&amp;"")),12)="subscription",LOWER(TRIM($F195&amp;""))="membership"),"",IF($G195="","",IF(ISNUMBER(SEARCH("non",LOWER($E195&amp;""))),$G195*0.85,$G195))))</x:f>
      </x:c>
      <x:c r="O195" s="987" t="str">
        <x:f>IF(COUNTA($A195:$M195)=0,"",IF(OR(LEFT(LOWER(TRIM($F195&amp;"")),12)="subscription",LOWER(TRIM($F195&amp;""))="membership"),"",IF(OR($N195="",$I195="",$I195=0),"",IFERROR($N195/$I195,""))))</x:f>
      </x:c>
      <x:c r="P195" s="987" t="str">
        <x:f>IF(COUNTA($A195:$M195)=0,"",IF(OR(LEFT(LOWER(TRIM($F195&amp;"")),12)="subscription",LOWER(TRIM($F195&amp;""))="membership"),"",IF(LOWER($L195&amp;"")="yes",0,IF(OR(AND($H195&lt;&gt;"",$H195=0),LEFT(LOWER(TRIM($F195&amp;"")),9)="free game",LOWER(TRIM($F195&amp;""))="free",LOWER(TRIM($F195&amp;""))="free entry"),IF(LOWER($D195&amp;"")="finalized",IF(ISNUMBER($K195),$K195,""),IF($O195&lt;&gt;"",$O195,"")),IF($K195&lt;&gt;"",$K195,IF($O195&lt;&gt;"",$O195,""))))))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IF(COUNTA($A195:$M195)=0,"",IF(OR(LEFT(LOWER(TRIM($F195&amp;"")),12)="subscription",LOWER(TRIM($F195&amp;""))="membership"),"Subscription",IF(OR(AND($H195&lt;&gt;"",$H195=0),LEFT(LOWER(TRIM($F195&amp;"")),9)="free game",LOWER(TRIM($F195&amp;""))="free",LOWER(TRIM($F195&amp;""))="free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IF(COUNTA($A196:$M196)=0,"",IF(OR(LEFT(LOWER(TRIM($F196&amp;"")),12)="subscription",LOWER(TRIM($F196&amp;""))="membership"),"",IF($G196="","",IF(ISNUMBER(SEARCH("non",LOWER($E196&amp;""))),$G196*0.85,$G196))))</x:f>
      </x:c>
      <x:c r="O196" s="987" t="str">
        <x:f>IF(COUNTA($A196:$M196)=0,"",IF(OR(LEFT(LOWER(TRIM($F196&amp;"")),12)="subscription",LOWER(TRIM($F196&amp;""))="membership"),"",IF(OR($N196="",$I196="",$I196=0),"",IFERROR($N196/$I196,""))))</x:f>
      </x:c>
      <x:c r="P196" s="987" t="str">
        <x:f>IF(COUNTA($A196:$M196)=0,"",IF(OR(LEFT(LOWER(TRIM($F196&amp;"")),12)="subscription",LOWER(TRIM($F196&amp;""))="membership"),"",IF(LOWER($L196&amp;"")="yes",0,IF(OR(AND($H196&lt;&gt;"",$H196=0),LEFT(LOWER(TRIM($F196&amp;"")),9)="free game",LOWER(TRIM($F196&amp;""))="free",LOWER(TRIM($F196&amp;""))="free entry"),IF(LOWER($D196&amp;"")="finalized",IF(ISNUMBER($K196),$K196,""),IF($O196&lt;&gt;"",$O196,"")),IF($K196&lt;&gt;"",$K196,IF($O196&lt;&gt;"",$O196,""))))))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IF(COUNTA($A196:$M196)=0,"",IF(OR(LEFT(LOWER(TRIM($F196&amp;"")),12)="subscription",LOWER(TRIM($F196&amp;""))="membership"),"Subscription",IF(OR(AND($H196&lt;&gt;"",$H196=0),LEFT(LOWER(TRIM($F196&amp;"")),9)="free game",LOWER(TRIM($F196&amp;""))="free",LOWER(TRIM($F196&amp;""))="free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IF(COUNTA($A197:$M197)=0,"",IF(OR(LEFT(LOWER(TRIM($F197&amp;"")),12)="subscription",LOWER(TRIM($F197&amp;""))="membership"),"",IF($G197="","",IF(ISNUMBER(SEARCH("non",LOWER($E197&amp;""))),$G197*0.85,$G197))))</x:f>
      </x:c>
      <x:c r="O197" s="987" t="str">
        <x:f>IF(COUNTA($A197:$M197)=0,"",IF(OR(LEFT(LOWER(TRIM($F197&amp;"")),12)="subscription",LOWER(TRIM($F197&amp;""))="membership"),"",IF(OR($N197="",$I197="",$I197=0),"",IFERROR($N197/$I197,""))))</x:f>
      </x:c>
      <x:c r="P197" s="987" t="str">
        <x:f>IF(COUNTA($A197:$M197)=0,"",IF(OR(LEFT(LOWER(TRIM($F197&amp;"")),12)="subscription",LOWER(TRIM($F197&amp;""))="membership"),"",IF(LOWER($L197&amp;"")="yes",0,IF(OR(AND($H197&lt;&gt;"",$H197=0),LEFT(LOWER(TRIM($F197&amp;"")),9)="free game",LOWER(TRIM($F197&amp;""))="free",LOWER(TRIM($F197&amp;""))="free entry"),IF(LOWER($D197&amp;"")="finalized",IF(ISNUMBER($K197),$K197,""),IF($O197&lt;&gt;"",$O197,"")),IF($K197&lt;&gt;"",$K197,IF($O197&lt;&gt;"",$O197,""))))))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IF(COUNTA($A197:$M197)=0,"",IF(OR(LEFT(LOWER(TRIM($F197&amp;"")),12)="subscription",LOWER(TRIM($F197&amp;""))="membership"),"Subscription",IF(OR(AND($H197&lt;&gt;"",$H197=0),LEFT(LOWER(TRIM($F197&amp;"")),9)="free game",LOWER(TRIM($F197&amp;""))="free",LOWER(TRIM($F197&amp;""))="free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IF(COUNTA($A198:$M198)=0,"",IF(OR(LEFT(LOWER(TRIM($F198&amp;"")),12)="subscription",LOWER(TRIM($F198&amp;""))="membership"),"",IF($G198="","",IF(ISNUMBER(SEARCH("non",LOWER($E198&amp;""))),$G198*0.85,$G198))))</x:f>
      </x:c>
      <x:c r="O198" s="987" t="str">
        <x:f>IF(COUNTA($A198:$M198)=0,"",IF(OR(LEFT(LOWER(TRIM($F198&amp;"")),12)="subscription",LOWER(TRIM($F198&amp;""))="membership"),"",IF(OR($N198="",$I198="",$I198=0),"",IFERROR($N198/$I198,""))))</x:f>
      </x:c>
      <x:c r="P198" s="987" t="str">
        <x:f>IF(COUNTA($A198:$M198)=0,"",IF(OR(LEFT(LOWER(TRIM($F198&amp;"")),12)="subscription",LOWER(TRIM($F198&amp;""))="membership"),"",IF(LOWER($L198&amp;"")="yes",0,IF(OR(AND($H198&lt;&gt;"",$H198=0),LEFT(LOWER(TRIM($F198&amp;"")),9)="free game",LOWER(TRIM($F198&amp;""))="free",LOWER(TRIM($F198&amp;""))="free entry"),IF(LOWER($D198&amp;"")="finalized",IF(ISNUMBER($K198),$K198,""),IF($O198&lt;&gt;"",$O198,"")),IF($K198&lt;&gt;"",$K198,IF($O198&lt;&gt;"",$O198,""))))))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IF(COUNTA($A198:$M198)=0,"",IF(OR(LEFT(LOWER(TRIM($F198&amp;"")),12)="subscription",LOWER(TRIM($F198&amp;""))="membership"),"Subscription",IF(OR(AND($H198&lt;&gt;"",$H198=0),LEFT(LOWER(TRIM($F198&amp;"")),9)="free game",LOWER(TRIM($F198&amp;""))="free",LOWER(TRIM($F198&amp;""))="free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IF(COUNTA($A199:$M199)=0,"",IF(OR(LEFT(LOWER(TRIM($F199&amp;"")),12)="subscription",LOWER(TRIM($F199&amp;""))="membership"),"",IF($G199="","",IF(ISNUMBER(SEARCH("non",LOWER($E199&amp;""))),$G199*0.85,$G199))))</x:f>
      </x:c>
      <x:c r="O199" s="987" t="str">
        <x:f>IF(COUNTA($A199:$M199)=0,"",IF(OR(LEFT(LOWER(TRIM($F199&amp;"")),12)="subscription",LOWER(TRIM($F199&amp;""))="membership"),"",IF(OR($N199="",$I199="",$I199=0),"",IFERROR($N199/$I199,""))))</x:f>
      </x:c>
      <x:c r="P199" s="987" t="str">
        <x:f>IF(COUNTA($A199:$M199)=0,"",IF(OR(LEFT(LOWER(TRIM($F199&amp;"")),12)="subscription",LOWER(TRIM($F199&amp;""))="membership"),"",IF(LOWER($L199&amp;"")="yes",0,IF(OR(AND($H199&lt;&gt;"",$H199=0),LEFT(LOWER(TRIM($F199&amp;"")),9)="free game",LOWER(TRIM($F199&amp;""))="free",LOWER(TRIM($F199&amp;""))="free entry"),IF(LOWER($D199&amp;"")="finalized",IF(ISNUMBER($K199),$K199,""),IF($O199&lt;&gt;"",$O199,"")),IF($K199&lt;&gt;"",$K199,IF($O199&lt;&gt;"",$O199,""))))))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IF(COUNTA($A199:$M199)=0,"",IF(OR(LEFT(LOWER(TRIM($F199&amp;"")),12)="subscription",LOWER(TRIM($F199&amp;""))="membership"),"Subscription",IF(OR(AND($H199&lt;&gt;"",$H199=0),LEFT(LOWER(TRIM($F199&amp;"")),9)="free game",LOWER(TRIM($F199&amp;""))="free",LOWER(TRIM($F199&amp;""))="free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IF(COUNTA($A200:$M200)=0,"",IF(OR(LEFT(LOWER(TRIM($F200&amp;"")),12)="subscription",LOWER(TRIM($F200&amp;""))="membership"),"",IF($G200="","",IF(ISNUMBER(SEARCH("non",LOWER($E200&amp;""))),$G200*0.85,$G200))))</x:f>
      </x:c>
      <x:c r="O200" s="987" t="str">
        <x:f>IF(COUNTA($A200:$M200)=0,"",IF(OR(LEFT(LOWER(TRIM($F200&amp;"")),12)="subscription",LOWER(TRIM($F200&amp;""))="membership"),"",IF(OR($N200="",$I200="",$I200=0),"",IFERROR($N200/$I200,""))))</x:f>
      </x:c>
      <x:c r="P200" s="987" t="str">
        <x:f>IF(COUNTA($A200:$M200)=0,"",IF(OR(LEFT(LOWER(TRIM($F200&amp;"")),12)="subscription",LOWER(TRIM($F200&amp;""))="membership"),"",IF(LOWER($L200&amp;"")="yes",0,IF(OR(AND($H200&lt;&gt;"",$H200=0),LEFT(LOWER(TRIM($F200&amp;"")),9)="free game",LOWER(TRIM($F200&amp;""))="free",LOWER(TRIM($F200&amp;""))="free entry"),IF(LOWER($D200&amp;"")="finalized",IF(ISNUMBER($K200),$K200,""),IF($O200&lt;&gt;"",$O200,"")),IF($K200&lt;&gt;"",$K200,IF($O200&lt;&gt;"",$O200,""))))))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IF(COUNTA($A200:$M200)=0,"",IF(OR(LEFT(LOWER(TRIM($F200&amp;"")),12)="subscription",LOWER(TRIM($F200&amp;""))="membership"),"Subscription",IF(OR(AND($H200&lt;&gt;"",$H200=0),LEFT(LOWER(TRIM($F200&amp;"")),9)="free game",LOWER(TRIM($F200&amp;""))="free",LOWER(TRIM($F200&amp;""))="free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IF(COUNTA($A201:$M201)=0,"",IF(OR(LEFT(LOWER(TRIM($F201&amp;"")),12)="subscription",LOWER(TRIM($F201&amp;""))="membership"),"",IF($G201="","",IF(ISNUMBER(SEARCH("non",LOWER($E201&amp;""))),$G201*0.85,$G201))))</x:f>
      </x:c>
      <x:c r="O201" s="987" t="str">
        <x:f>IF(COUNTA($A201:$M201)=0,"",IF(OR(LEFT(LOWER(TRIM($F201&amp;"")),12)="subscription",LOWER(TRIM($F201&amp;""))="membership"),"",IF(OR($N201="",$I201="",$I201=0),"",IFERROR($N201/$I201,""))))</x:f>
      </x:c>
      <x:c r="P201" s="987" t="str">
        <x:f>IF(COUNTA($A201:$M201)=0,"",IF(OR(LEFT(LOWER(TRIM($F201&amp;"")),12)="subscription",LOWER(TRIM($F201&amp;""))="membership"),"",IF(LOWER($L201&amp;"")="yes",0,IF(OR(AND($H201&lt;&gt;"",$H201=0),LEFT(LOWER(TRIM($F201&amp;"")),9)="free game",LOWER(TRIM($F201&amp;""))="free",LOWER(TRIM($F201&amp;""))="free entry"),IF(LOWER($D201&amp;"")="finalized",IF(ISNUMBER($K201),$K201,""),IF($O201&lt;&gt;"",$O201,"")),IF($K201&lt;&gt;"",$K201,IF($O201&lt;&gt;"",$O201,""))))))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IF(COUNTA($A201:$M201)=0,"",IF(OR(LEFT(LOWER(TRIM($F201&amp;"")),12)="subscription",LOWER(TRIM($F201&amp;""))="membership"),"Subscription",IF(OR(AND($H201&lt;&gt;"",$H201=0),LEFT(LOWER(TRIM($F201&amp;"")),9)="free game",LOWER(TRIM($F201&amp;""))="free",LOWER(TRIM($F201&amp;""))="free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IF(COUNTA($A202:$M202)=0,"",IF(OR(LEFT(LOWER(TRIM($F202&amp;"")),12)="subscription",LOWER(TRIM($F202&amp;""))="membership"),"",IF($G202="","",IF(ISNUMBER(SEARCH("non",LOWER($E202&amp;""))),$G202*0.85,$G202))))</x:f>
      </x:c>
      <x:c r="O202" s="987" t="str">
        <x:f>IF(COUNTA($A202:$M202)=0,"",IF(OR(LEFT(LOWER(TRIM($F202&amp;"")),12)="subscription",LOWER(TRIM($F202&amp;""))="membership"),"",IF(OR($N202="",$I202="",$I202=0),"",IFERROR($N202/$I202,""))))</x:f>
      </x:c>
      <x:c r="P202" s="987" t="str">
        <x:f>IF(COUNTA($A202:$M202)=0,"",IF(OR(LEFT(LOWER(TRIM($F202&amp;"")),12)="subscription",LOWER(TRIM($F202&amp;""))="membership"),"",IF(LOWER($L202&amp;"")="yes",0,IF(OR(AND($H202&lt;&gt;"",$H202=0),LEFT(LOWER(TRIM($F202&amp;"")),9)="free game",LOWER(TRIM($F202&amp;""))="free",LOWER(TRIM($F202&amp;""))="free entry"),IF(LOWER($D202&amp;"")="finalized",IF(ISNUMBER($K202),$K202,""),IF($O202&lt;&gt;"",$O202,"")),IF($K202&lt;&gt;"",$K202,IF($O202&lt;&gt;"",$O202,""))))))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IF(COUNTA($A202:$M202)=0,"",IF(OR(LEFT(LOWER(TRIM($F202&amp;"")),12)="subscription",LOWER(TRIM($F202&amp;""))="membership"),"Subscription",IF(OR(AND($H202&lt;&gt;"",$H202=0),LEFT(LOWER(TRIM($F202&amp;"")),9)="free game",LOWER(TRIM($F202&amp;""))="free",LOWER(TRIM($F202&amp;""))="free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IF(COUNTA($A203:$M203)=0,"",IF(OR(LEFT(LOWER(TRIM($F203&amp;"")),12)="subscription",LOWER(TRIM($F203&amp;""))="membership"),"",IF($G203="","",IF(ISNUMBER(SEARCH("non",LOWER($E203&amp;""))),$G203*0.85,$G203))))</x:f>
      </x:c>
      <x:c r="O203" s="987" t="str">
        <x:f>IF(COUNTA($A203:$M203)=0,"",IF(OR(LEFT(LOWER(TRIM($F203&amp;"")),12)="subscription",LOWER(TRIM($F203&amp;""))="membership"),"",IF(OR($N203="",$I203="",$I203=0),"",IFERROR($N203/$I203,""))))</x:f>
      </x:c>
      <x:c r="P203" s="987" t="str">
        <x:f>IF(COUNTA($A203:$M203)=0,"",IF(OR(LEFT(LOWER(TRIM($F203&amp;"")),12)="subscription",LOWER(TRIM($F203&amp;""))="membership"),"",IF(LOWER($L203&amp;"")="yes",0,IF(OR(AND($H203&lt;&gt;"",$H203=0),LEFT(LOWER(TRIM($F203&amp;"")),9)="free game",LOWER(TRIM($F203&amp;""))="free",LOWER(TRIM($F203&amp;""))="free entry"),IF(LOWER($D203&amp;"")="finalized",IF(ISNUMBER($K203),$K203,""),IF($O203&lt;&gt;"",$O203,"")),IF($K203&lt;&gt;"",$K203,IF($O203&lt;&gt;"",$O203,""))))))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IF(COUNTA($A203:$M203)=0,"",IF(OR(LEFT(LOWER(TRIM($F203&amp;"")),12)="subscription",LOWER(TRIM($F203&amp;""))="membership"),"Subscription",IF(OR(AND($H203&lt;&gt;"",$H203=0),LEFT(LOWER(TRIM($F203&amp;"")),9)="free game",LOWER(TRIM($F203&amp;""))="free",LOWER(TRIM($F203&amp;""))="free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IF(COUNTA($A204:$M204)=0,"",IF(OR(LEFT(LOWER(TRIM($F204&amp;"")),12)="subscription",LOWER(TRIM($F204&amp;""))="membership"),"",IF($G204="","",IF(ISNUMBER(SEARCH("non",LOWER($E204&amp;""))),$G204*0.85,$G204))))</x:f>
      </x:c>
      <x:c r="O204" s="987" t="str">
        <x:f>IF(COUNTA($A204:$M204)=0,"",IF(OR(LEFT(LOWER(TRIM($F204&amp;"")),12)="subscription",LOWER(TRIM($F204&amp;""))="membership"),"",IF(OR($N204="",$I204="",$I204=0),"",IFERROR($N204/$I204,""))))</x:f>
      </x:c>
      <x:c r="P204" s="987" t="str">
        <x:f>IF(COUNTA($A204:$M204)=0,"",IF(OR(LEFT(LOWER(TRIM($F204&amp;"")),12)="subscription",LOWER(TRIM($F204&amp;""))="membership"),"",IF(LOWER($L204&amp;"")="yes",0,IF(OR(AND($H204&lt;&gt;"",$H204=0),LEFT(LOWER(TRIM($F204&amp;"")),9)="free game",LOWER(TRIM($F204&amp;""))="free",LOWER(TRIM($F204&amp;""))="free entry"),IF(LOWER($D204&amp;"")="finalized",IF(ISNUMBER($K204),$K204,""),IF($O204&lt;&gt;"",$O204,"")),IF($K204&lt;&gt;"",$K204,IF($O204&lt;&gt;"",$O204,""))))))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IF(COUNTA($A204:$M204)=0,"",IF(OR(LEFT(LOWER(TRIM($F204&amp;"")),12)="subscription",LOWER(TRIM($F204&amp;""))="membership"),"Subscription",IF(OR(AND($H204&lt;&gt;"",$H204=0),LEFT(LOWER(TRIM($F204&amp;"")),9)="free game",LOWER(TRIM($F204&amp;""))="free",LOWER(TRIM($F204&amp;""))="free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IF(COUNTA($A205:$M205)=0,"",IF(OR(LEFT(LOWER(TRIM($F205&amp;"")),12)="subscription",LOWER(TRIM($F205&amp;""))="membership"),"",IF($G205="","",IF(ISNUMBER(SEARCH("non",LOWER($E205&amp;""))),$G205*0.85,$G205))))</x:f>
      </x:c>
      <x:c r="O205" s="987" t="str">
        <x:f>IF(COUNTA($A205:$M205)=0,"",IF(OR(LEFT(LOWER(TRIM($F205&amp;"")),12)="subscription",LOWER(TRIM($F205&amp;""))="membership"),"",IF(OR($N205="",$I205="",$I205=0),"",IFERROR($N205/$I205,""))))</x:f>
      </x:c>
      <x:c r="P205" s="987" t="str">
        <x:f>IF(COUNTA($A205:$M205)=0,"",IF(OR(LEFT(LOWER(TRIM($F205&amp;"")),12)="subscription",LOWER(TRIM($F205&amp;""))="membership"),"",IF(LOWER($L205&amp;"")="yes",0,IF(OR(AND($H205&lt;&gt;"",$H205=0),LEFT(LOWER(TRIM($F205&amp;"")),9)="free game",LOWER(TRIM($F205&amp;""))="free",LOWER(TRIM($F205&amp;""))="free entry"),IF(LOWER($D205&amp;"")="finalized",IF(ISNUMBER($K205),$K205,""),IF($O205&lt;&gt;"",$O205,"")),IF($K205&lt;&gt;"",$K205,IF($O205&lt;&gt;"",$O205,""))))))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IF(COUNTA($A205:$M205)=0,"",IF(OR(LEFT(LOWER(TRIM($F205&amp;"")),12)="subscription",LOWER(TRIM($F205&amp;""))="membership"),"Subscription",IF(OR(AND($H205&lt;&gt;"",$H205=0),LEFT(LOWER(TRIM($F205&amp;"")),9)="free game",LOWER(TRIM($F205&amp;""))="free",LOWER(TRIM($F205&amp;""))="free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IF(COUNTA($A206:$M206)=0,"",IF(OR(LEFT(LOWER(TRIM($F206&amp;"")),12)="subscription",LOWER(TRIM($F206&amp;""))="membership"),"",IF($G206="","",IF(ISNUMBER(SEARCH("non",LOWER($E206&amp;""))),$G206*0.85,$G206))))</x:f>
      </x:c>
      <x:c r="O206" s="987" t="str">
        <x:f>IF(COUNTA($A206:$M206)=0,"",IF(OR(LEFT(LOWER(TRIM($F206&amp;"")),12)="subscription",LOWER(TRIM($F206&amp;""))="membership"),"",IF(OR($N206="",$I206="",$I206=0),"",IFERROR($N206/$I206,""))))</x:f>
      </x:c>
      <x:c r="P206" s="987" t="str">
        <x:f>IF(COUNTA($A206:$M206)=0,"",IF(OR(LEFT(LOWER(TRIM($F206&amp;"")),12)="subscription",LOWER(TRIM($F206&amp;""))="membership"),"",IF(LOWER($L206&amp;"")="yes",0,IF(OR(AND($H206&lt;&gt;"",$H206=0),LEFT(LOWER(TRIM($F206&amp;"")),9)="free game",LOWER(TRIM($F206&amp;""))="free",LOWER(TRIM($F206&amp;""))="free entry"),IF(LOWER($D206&amp;"")="finalized",IF(ISNUMBER($K206),$K206,""),IF($O206&lt;&gt;"",$O206,"")),IF($K206&lt;&gt;"",$K206,IF($O206&lt;&gt;"",$O206,""))))))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IF(COUNTA($A206:$M206)=0,"",IF(OR(LEFT(LOWER(TRIM($F206&amp;"")),12)="subscription",LOWER(TRIM($F206&amp;""))="membership"),"Subscription",IF(OR(AND($H206&lt;&gt;"",$H206=0),LEFT(LOWER(TRIM($F206&amp;"")),9)="free game",LOWER(TRIM($F206&amp;""))="free",LOWER(TRIM($F206&amp;""))="free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IF(COUNTA($A207:$M207)=0,"",IF(OR(LEFT(LOWER(TRIM($F207&amp;"")),12)="subscription",LOWER(TRIM($F207&amp;""))="membership"),"",IF($G207="","",IF(ISNUMBER(SEARCH("non",LOWER($E207&amp;""))),$G207*0.85,$G207))))</x:f>
      </x:c>
      <x:c r="O207" s="987" t="str">
        <x:f>IF(COUNTA($A207:$M207)=0,"",IF(OR(LEFT(LOWER(TRIM($F207&amp;"")),12)="subscription",LOWER(TRIM($F207&amp;""))="membership"),"",IF(OR($N207="",$I207="",$I207=0),"",IFERROR($N207/$I207,""))))</x:f>
      </x:c>
      <x:c r="P207" s="987" t="str">
        <x:f>IF(COUNTA($A207:$M207)=0,"",IF(OR(LEFT(LOWER(TRIM($F207&amp;"")),12)="subscription",LOWER(TRIM($F207&amp;""))="membership"),"",IF(LOWER($L207&amp;"")="yes",0,IF(OR(AND($H207&lt;&gt;"",$H207=0),LEFT(LOWER(TRIM($F207&amp;"")),9)="free game",LOWER(TRIM($F207&amp;""))="free",LOWER(TRIM($F207&amp;""))="free entry"),IF(LOWER($D207&amp;"")="finalized",IF(ISNUMBER($K207),$K207,""),IF($O207&lt;&gt;"",$O207,"")),IF($K207&lt;&gt;"",$K207,IF($O207&lt;&gt;"",$O207,""))))))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IF(COUNTA($A207:$M207)=0,"",IF(OR(LEFT(LOWER(TRIM($F207&amp;"")),12)="subscription",LOWER(TRIM($F207&amp;""))="membership"),"Subscription",IF(OR(AND($H207&lt;&gt;"",$H207=0),LEFT(LOWER(TRIM($F207&amp;"")),9)="free game",LOWER(TRIM($F207&amp;""))="free",LOWER(TRIM($F207&amp;""))="free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IF(COUNTA($A208:$M208)=0,"",IF(OR(LEFT(LOWER(TRIM($F208&amp;"")),12)="subscription",LOWER(TRIM($F208&amp;""))="membership"),"",IF($G208="","",IF(ISNUMBER(SEARCH("non",LOWER($E208&amp;""))),$G208*0.85,$G208))))</x:f>
      </x:c>
      <x:c r="O208" s="987" t="str">
        <x:f>IF(COUNTA($A208:$M208)=0,"",IF(OR(LEFT(LOWER(TRIM($F208&amp;"")),12)="subscription",LOWER(TRIM($F208&amp;""))="membership"),"",IF(OR($N208="",$I208="",$I208=0),"",IFERROR($N208/$I208,""))))</x:f>
      </x:c>
      <x:c r="P208" s="987" t="str">
        <x:f>IF(COUNTA($A208:$M208)=0,"",IF(OR(LEFT(LOWER(TRIM($F208&amp;"")),12)="subscription",LOWER(TRIM($F208&amp;""))="membership"),"",IF(LOWER($L208&amp;"")="yes",0,IF(OR(AND($H208&lt;&gt;"",$H208=0),LEFT(LOWER(TRIM($F208&amp;"")),9)="free game",LOWER(TRIM($F208&amp;""))="free",LOWER(TRIM($F208&amp;""))="free entry"),IF(LOWER($D208&amp;"")="finalized",IF(ISNUMBER($K208),$K208,""),IF($O208&lt;&gt;"",$O208,"")),IF($K208&lt;&gt;"",$K208,IF($O208&lt;&gt;"",$O208,""))))))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IF(COUNTA($A208:$M208)=0,"",IF(OR(LEFT(LOWER(TRIM($F208&amp;"")),12)="subscription",LOWER(TRIM($F208&amp;""))="membership"),"Subscription",IF(OR(AND($H208&lt;&gt;"",$H208=0),LEFT(LOWER(TRIM($F208&amp;"")),9)="free game",LOWER(TRIM($F208&amp;""))="free",LOWER(TRIM($F208&amp;""))="free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IF(COUNTA($A209:$M209)=0,"",IF(OR(LEFT(LOWER(TRIM($F209&amp;"")),12)="subscription",LOWER(TRIM($F209&amp;""))="membership"),"",IF($G209="","",IF(ISNUMBER(SEARCH("non",LOWER($E209&amp;""))),$G209*0.85,$G209))))</x:f>
      </x:c>
      <x:c r="O209" s="987" t="str">
        <x:f>IF(COUNTA($A209:$M209)=0,"",IF(OR(LEFT(LOWER(TRIM($F209&amp;"")),12)="subscription",LOWER(TRIM($F209&amp;""))="membership"),"",IF(OR($N209="",$I209="",$I209=0),"",IFERROR($N209/$I209,""))))</x:f>
      </x:c>
      <x:c r="P209" s="987" t="str">
        <x:f>IF(COUNTA($A209:$M209)=0,"",IF(OR(LEFT(LOWER(TRIM($F209&amp;"")),12)="subscription",LOWER(TRIM($F209&amp;""))="membership"),"",IF(LOWER($L209&amp;"")="yes",0,IF(OR(AND($H209&lt;&gt;"",$H209=0),LEFT(LOWER(TRIM($F209&amp;"")),9)="free game",LOWER(TRIM($F209&amp;""))="free",LOWER(TRIM($F209&amp;""))="free entry"),IF(LOWER($D209&amp;"")="finalized",IF(ISNUMBER($K209),$K209,""),IF($O209&lt;&gt;"",$O209,"")),IF($K209&lt;&gt;"",$K209,IF($O209&lt;&gt;"",$O209,""))))))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IF(COUNTA($A209:$M209)=0,"",IF(OR(LEFT(LOWER(TRIM($F209&amp;"")),12)="subscription",LOWER(TRIM($F209&amp;""))="membership"),"Subscription",IF(OR(AND($H209&lt;&gt;"",$H209=0),LEFT(LOWER(TRIM($F209&amp;"")),9)="free game",LOWER(TRIM($F209&amp;""))="free",LOWER(TRIM($F209&amp;""))="free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IF(COUNTA($A210:$M210)=0,"",IF(OR(LEFT(LOWER(TRIM($F210&amp;"")),12)="subscription",LOWER(TRIM($F210&amp;""))="membership"),"",IF($G210="","",IF(ISNUMBER(SEARCH("non",LOWER($E210&amp;""))),$G210*0.85,$G210))))</x:f>
      </x:c>
      <x:c r="O210" s="987" t="str">
        <x:f>IF(COUNTA($A210:$M210)=0,"",IF(OR(LEFT(LOWER(TRIM($F210&amp;"")),12)="subscription",LOWER(TRIM($F210&amp;""))="membership"),"",IF(OR($N210="",$I210="",$I210=0),"",IFERROR($N210/$I210,""))))</x:f>
      </x:c>
      <x:c r="P210" s="987" t="str">
        <x:f>IF(COUNTA($A210:$M210)=0,"",IF(OR(LEFT(LOWER(TRIM($F210&amp;"")),12)="subscription",LOWER(TRIM($F210&amp;""))="membership"),"",IF(LOWER($L210&amp;"")="yes",0,IF(OR(AND($H210&lt;&gt;"",$H210=0),LEFT(LOWER(TRIM($F210&amp;"")),9)="free game",LOWER(TRIM($F210&amp;""))="free",LOWER(TRIM($F210&amp;""))="free entry"),IF(LOWER($D210&amp;"")="finalized",IF(ISNUMBER($K210),$K210,""),IF($O210&lt;&gt;"",$O210,"")),IF($K210&lt;&gt;"",$K210,IF($O210&lt;&gt;"",$O210,""))))))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IF(COUNTA($A210:$M210)=0,"",IF(OR(LEFT(LOWER(TRIM($F210&amp;"")),12)="subscription",LOWER(TRIM($F210&amp;""))="membership"),"Subscription",IF(OR(AND($H210&lt;&gt;"",$H210=0),LEFT(LOWER(TRIM($F210&amp;"")),9)="free game",LOWER(TRIM($F210&amp;""))="free",LOWER(TRIM($F210&amp;""))="free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IF(COUNTA($A211:$M211)=0,"",IF(OR(LEFT(LOWER(TRIM($F211&amp;"")),12)="subscription",LOWER(TRIM($F211&amp;""))="membership"),"",IF($G211="","",IF(ISNUMBER(SEARCH("non",LOWER($E211&amp;""))),$G211*0.85,$G211))))</x:f>
      </x:c>
      <x:c r="O211" s="987" t="str">
        <x:f>IF(COUNTA($A211:$M211)=0,"",IF(OR(LEFT(LOWER(TRIM($F211&amp;"")),12)="subscription",LOWER(TRIM($F211&amp;""))="membership"),"",IF(OR($N211="",$I211="",$I211=0),"",IFERROR($N211/$I211,""))))</x:f>
      </x:c>
      <x:c r="P211" s="987" t="str">
        <x:f>IF(COUNTA($A211:$M211)=0,"",IF(OR(LEFT(LOWER(TRIM($F211&amp;"")),12)="subscription",LOWER(TRIM($F211&amp;""))="membership"),"",IF(LOWER($L211&amp;"")="yes",0,IF(OR(AND($H211&lt;&gt;"",$H211=0),LEFT(LOWER(TRIM($F211&amp;"")),9)="free game",LOWER(TRIM($F211&amp;""))="free",LOWER(TRIM($F211&amp;""))="free entry"),IF(LOWER($D211&amp;"")="finalized",IF(ISNUMBER($K211),$K211,""),IF($O211&lt;&gt;"",$O211,"")),IF($K211&lt;&gt;"",$K211,IF($O211&lt;&gt;"",$O211,""))))))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IF(COUNTA($A211:$M211)=0,"",IF(OR(LEFT(LOWER(TRIM($F211&amp;"")),12)="subscription",LOWER(TRIM($F211&amp;""))="membership"),"Subscription",IF(OR(AND($H211&lt;&gt;"",$H211=0),LEFT(LOWER(TRIM($F211&amp;"")),9)="free game",LOWER(TRIM($F211&amp;""))="free",LOWER(TRIM($F211&amp;""))="free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IF(COUNTA($A212:$M212)=0,"",IF(OR(LEFT(LOWER(TRIM($F212&amp;"")),12)="subscription",LOWER(TRIM($F212&amp;""))="membership"),"",IF($G212="","",IF(ISNUMBER(SEARCH("non",LOWER($E212&amp;""))),$G212*0.85,$G212))))</x:f>
      </x:c>
      <x:c r="O212" s="987" t="str">
        <x:f>IF(COUNTA($A212:$M212)=0,"",IF(OR(LEFT(LOWER(TRIM($F212&amp;"")),12)="subscription",LOWER(TRIM($F212&amp;""))="membership"),"",IF(OR($N212="",$I212="",$I212=0),"",IFERROR($N212/$I212,""))))</x:f>
      </x:c>
      <x:c r="P212" s="987" t="str">
        <x:f>IF(COUNTA($A212:$M212)=0,"",IF(OR(LEFT(LOWER(TRIM($F212&amp;"")),12)="subscription",LOWER(TRIM($F212&amp;""))="membership"),"",IF(LOWER($L212&amp;"")="yes",0,IF(OR(AND($H212&lt;&gt;"",$H212=0),LEFT(LOWER(TRIM($F212&amp;"")),9)="free game",LOWER(TRIM($F212&amp;""))="free",LOWER(TRIM($F212&amp;""))="free entry"),IF(LOWER($D212&amp;"")="finalized",IF(ISNUMBER($K212),$K212,""),IF($O212&lt;&gt;"",$O212,"")),IF($K212&lt;&gt;"",$K212,IF($O212&lt;&gt;"",$O212,""))))))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IF(COUNTA($A212:$M212)=0,"",IF(OR(LEFT(LOWER(TRIM($F212&amp;"")),12)="subscription",LOWER(TRIM($F212&amp;""))="membership"),"Subscription",IF(OR(AND($H212&lt;&gt;"",$H212=0),LEFT(LOWER(TRIM($F212&amp;"")),9)="free game",LOWER(TRIM($F212&amp;""))="free",LOWER(TRIM($F212&amp;""))="free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IF(COUNTA($A213:$M213)=0,"",IF(OR(LEFT(LOWER(TRIM($F213&amp;"")),12)="subscription",LOWER(TRIM($F213&amp;""))="membership"),"",IF($G213="","",IF(ISNUMBER(SEARCH("non",LOWER($E213&amp;""))),$G213*0.85,$G213))))</x:f>
      </x:c>
      <x:c r="O213" s="987" t="str">
        <x:f>IF(COUNTA($A213:$M213)=0,"",IF(OR(LEFT(LOWER(TRIM($F213&amp;"")),12)="subscription",LOWER(TRIM($F213&amp;""))="membership"),"",IF(OR($N213="",$I213="",$I213=0),"",IFERROR($N213/$I213,""))))</x:f>
      </x:c>
      <x:c r="P213" s="987" t="str">
        <x:f>IF(COUNTA($A213:$M213)=0,"",IF(OR(LEFT(LOWER(TRIM($F213&amp;"")),12)="subscription",LOWER(TRIM($F213&amp;""))="membership"),"",IF(LOWER($L213&amp;"")="yes",0,IF(OR(AND($H213&lt;&gt;"",$H213=0),LEFT(LOWER(TRIM($F213&amp;"")),9)="free game",LOWER(TRIM($F213&amp;""))="free",LOWER(TRIM($F213&amp;""))="free entry"),IF(LOWER($D213&amp;"")="finalized",IF(ISNUMBER($K213),$K213,""),IF($O213&lt;&gt;"",$O213,"")),IF($K213&lt;&gt;"",$K213,IF($O213&lt;&gt;"",$O213,""))))))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IF(COUNTA($A213:$M213)=0,"",IF(OR(LEFT(LOWER(TRIM($F213&amp;"")),12)="subscription",LOWER(TRIM($F213&amp;""))="membership"),"Subscription",IF(OR(AND($H213&lt;&gt;"",$H213=0),LEFT(LOWER(TRIM($F213&amp;"")),9)="free game",LOWER(TRIM($F213&amp;""))="free",LOWER(TRIM($F213&amp;""))="free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IF(COUNTA($A214:$M214)=0,"",IF(OR(LEFT(LOWER(TRIM($F214&amp;"")),12)="subscription",LOWER(TRIM($F214&amp;""))="membership"),"",IF($G214="","",IF(ISNUMBER(SEARCH("non",LOWER($E214&amp;""))),$G214*0.85,$G214))))</x:f>
      </x:c>
      <x:c r="O214" s="987" t="str">
        <x:f>IF(COUNTA($A214:$M214)=0,"",IF(OR(LEFT(LOWER(TRIM($F214&amp;"")),12)="subscription",LOWER(TRIM($F214&amp;""))="membership"),"",IF(OR($N214="",$I214="",$I214=0),"",IFERROR($N214/$I214,""))))</x:f>
      </x:c>
      <x:c r="P214" s="987" t="str">
        <x:f>IF(COUNTA($A214:$M214)=0,"",IF(OR(LEFT(LOWER(TRIM($F214&amp;"")),12)="subscription",LOWER(TRIM($F214&amp;""))="membership"),"",IF(LOWER($L214&amp;"")="yes",0,IF(OR(AND($H214&lt;&gt;"",$H214=0),LEFT(LOWER(TRIM($F214&amp;"")),9)="free game",LOWER(TRIM($F214&amp;""))="free",LOWER(TRIM($F214&amp;""))="free entry"),IF(LOWER($D214&amp;"")="finalized",IF(ISNUMBER($K214),$K214,""),IF($O214&lt;&gt;"",$O214,"")),IF($K214&lt;&gt;"",$K214,IF($O214&lt;&gt;"",$O214,""))))))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IF(COUNTA($A214:$M214)=0,"",IF(OR(LEFT(LOWER(TRIM($F214&amp;"")),12)="subscription",LOWER(TRIM($F214&amp;""))="membership"),"Subscription",IF(OR(AND($H214&lt;&gt;"",$H214=0),LEFT(LOWER(TRIM($F214&amp;"")),9)="free game",LOWER(TRIM($F214&amp;""))="free",LOWER(TRIM($F214&amp;""))="free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IF(COUNTA($A215:$M215)=0,"",IF(OR(LEFT(LOWER(TRIM($F215&amp;"")),12)="subscription",LOWER(TRIM($F215&amp;""))="membership"),"",IF($G215="","",IF(ISNUMBER(SEARCH("non",LOWER($E215&amp;""))),$G215*0.85,$G215))))</x:f>
      </x:c>
      <x:c r="O215" s="987" t="str">
        <x:f>IF(COUNTA($A215:$M215)=0,"",IF(OR(LEFT(LOWER(TRIM($F215&amp;"")),12)="subscription",LOWER(TRIM($F215&amp;""))="membership"),"",IF(OR($N215="",$I215="",$I215=0),"",IFERROR($N215/$I215,""))))</x:f>
      </x:c>
      <x:c r="P215" s="987" t="str">
        <x:f>IF(COUNTA($A215:$M215)=0,"",IF(OR(LEFT(LOWER(TRIM($F215&amp;"")),12)="subscription",LOWER(TRIM($F215&amp;""))="membership"),"",IF(LOWER($L215&amp;"")="yes",0,IF(OR(AND($H215&lt;&gt;"",$H215=0),LEFT(LOWER(TRIM($F215&amp;"")),9)="free game",LOWER(TRIM($F215&amp;""))="free",LOWER(TRIM($F215&amp;""))="free entry"),IF(LOWER($D215&amp;"")="finalized",IF(ISNUMBER($K215),$K215,""),IF($O215&lt;&gt;"",$O215,"")),IF($K215&lt;&gt;"",$K215,IF($O215&lt;&gt;"",$O215,""))))))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IF(COUNTA($A215:$M215)=0,"",IF(OR(LEFT(LOWER(TRIM($F215&amp;"")),12)="subscription",LOWER(TRIM($F215&amp;""))="membership"),"Subscription",IF(OR(AND($H215&lt;&gt;"",$H215=0),LEFT(LOWER(TRIM($F215&amp;"")),9)="free game",LOWER(TRIM($F215&amp;""))="free",LOWER(TRIM($F215&amp;""))="free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IF(COUNTA($A216:$M216)=0,"",IF(OR(LEFT(LOWER(TRIM($F216&amp;"")),12)="subscription",LOWER(TRIM($F216&amp;""))="membership"),"",IF($G216="","",IF(ISNUMBER(SEARCH("non",LOWER($E216&amp;""))),$G216*0.85,$G216))))</x:f>
      </x:c>
      <x:c r="O216" s="987" t="str">
        <x:f>IF(COUNTA($A216:$M216)=0,"",IF(OR(LEFT(LOWER(TRIM($F216&amp;"")),12)="subscription",LOWER(TRIM($F216&amp;""))="membership"),"",IF(OR($N216="",$I216="",$I216=0),"",IFERROR($N216/$I216,""))))</x:f>
      </x:c>
      <x:c r="P216" s="987" t="str">
        <x:f>IF(COUNTA($A216:$M216)=0,"",IF(OR(LEFT(LOWER(TRIM($F216&amp;"")),12)="subscription",LOWER(TRIM($F216&amp;""))="membership"),"",IF(LOWER($L216&amp;"")="yes",0,IF(OR(AND($H216&lt;&gt;"",$H216=0),LEFT(LOWER(TRIM($F216&amp;"")),9)="free game",LOWER(TRIM($F216&amp;""))="free",LOWER(TRIM($F216&amp;""))="free entry"),IF(LOWER($D216&amp;"")="finalized",IF(ISNUMBER($K216),$K216,""),IF($O216&lt;&gt;"",$O216,"")),IF($K216&lt;&gt;"",$K216,IF($O216&lt;&gt;"",$O216,""))))))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IF(COUNTA($A216:$M216)=0,"",IF(OR(LEFT(LOWER(TRIM($F216&amp;"")),12)="subscription",LOWER(TRIM($F216&amp;""))="membership"),"Subscription",IF(OR(AND($H216&lt;&gt;"",$H216=0),LEFT(LOWER(TRIM($F216&amp;"")),9)="free game",LOWER(TRIM($F216&amp;""))="free",LOWER(TRIM($F216&amp;""))="free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IF(COUNTA($A217:$M217)=0,"",IF(OR(LEFT(LOWER(TRIM($F217&amp;"")),12)="subscription",LOWER(TRIM($F217&amp;""))="membership"),"",IF($G217="","",IF(ISNUMBER(SEARCH("non",LOWER($E217&amp;""))),$G217*0.85,$G217))))</x:f>
      </x:c>
      <x:c r="O217" s="987" t="str">
        <x:f>IF(COUNTA($A217:$M217)=0,"",IF(OR(LEFT(LOWER(TRIM($F217&amp;"")),12)="subscription",LOWER(TRIM($F217&amp;""))="membership"),"",IF(OR($N217="",$I217="",$I217=0),"",IFERROR($N217/$I217,""))))</x:f>
      </x:c>
      <x:c r="P217" s="987" t="str">
        <x:f>IF(COUNTA($A217:$M217)=0,"",IF(OR(LEFT(LOWER(TRIM($F217&amp;"")),12)="subscription",LOWER(TRIM($F217&amp;""))="membership"),"",IF(LOWER($L217&amp;"")="yes",0,IF(OR(AND($H217&lt;&gt;"",$H217=0),LEFT(LOWER(TRIM($F217&amp;"")),9)="free game",LOWER(TRIM($F217&amp;""))="free",LOWER(TRIM($F217&amp;""))="free entry"),IF(LOWER($D217&amp;"")="finalized",IF(ISNUMBER($K217),$K217,""),IF($O217&lt;&gt;"",$O217,"")),IF($K217&lt;&gt;"",$K217,IF($O217&lt;&gt;"",$O217,""))))))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IF(COUNTA($A217:$M217)=0,"",IF(OR(LEFT(LOWER(TRIM($F217&amp;"")),12)="subscription",LOWER(TRIM($F217&amp;""))="membership"),"Subscription",IF(OR(AND($H217&lt;&gt;"",$H217=0),LEFT(LOWER(TRIM($F217&amp;"")),9)="free game",LOWER(TRIM($F217&amp;""))="free",LOWER(TRIM($F217&amp;""))="free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IF(COUNTA($A218:$M218)=0,"",IF(OR(LEFT(LOWER(TRIM($F218&amp;"")),12)="subscription",LOWER(TRIM($F218&amp;""))="membership"),"",IF($G218="","",IF(ISNUMBER(SEARCH("non",LOWER($E218&amp;""))),$G218*0.85,$G218))))</x:f>
      </x:c>
      <x:c r="O218" s="987" t="str">
        <x:f>IF(COUNTA($A218:$M218)=0,"",IF(OR(LEFT(LOWER(TRIM($F218&amp;"")),12)="subscription",LOWER(TRIM($F218&amp;""))="membership"),"",IF(OR($N218="",$I218="",$I218=0),"",IFERROR($N218/$I218,""))))</x:f>
      </x:c>
      <x:c r="P218" s="987" t="str">
        <x:f>IF(COUNTA($A218:$M218)=0,"",IF(OR(LEFT(LOWER(TRIM($F218&amp;"")),12)="subscription",LOWER(TRIM($F218&amp;""))="membership"),"",IF(LOWER($L218&amp;"")="yes",0,IF(OR(AND($H218&lt;&gt;"",$H218=0),LEFT(LOWER(TRIM($F218&amp;"")),9)="free game",LOWER(TRIM($F218&amp;""))="free",LOWER(TRIM($F218&amp;""))="free entry"),IF(LOWER($D218&amp;"")="finalized",IF(ISNUMBER($K218),$K218,""),IF($O218&lt;&gt;"",$O218,"")),IF($K218&lt;&gt;"",$K218,IF($O218&lt;&gt;"",$O218,""))))))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IF(COUNTA($A218:$M218)=0,"",IF(OR(LEFT(LOWER(TRIM($F218&amp;"")),12)="subscription",LOWER(TRIM($F218&amp;""))="membership"),"Subscription",IF(OR(AND($H218&lt;&gt;"",$H218=0),LEFT(LOWER(TRIM($F218&amp;"")),9)="free game",LOWER(TRIM($F218&amp;""))="free",LOWER(TRIM($F218&amp;""))="free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IF(COUNTA($A219:$M219)=0,"",IF(OR(LEFT(LOWER(TRIM($F219&amp;"")),12)="subscription",LOWER(TRIM($F219&amp;""))="membership"),"",IF($G219="","",IF(ISNUMBER(SEARCH("non",LOWER($E219&amp;""))),$G219*0.85,$G219))))</x:f>
      </x:c>
      <x:c r="O219" s="987" t="str">
        <x:f>IF(COUNTA($A219:$M219)=0,"",IF(OR(LEFT(LOWER(TRIM($F219&amp;"")),12)="subscription",LOWER(TRIM($F219&amp;""))="membership"),"",IF(OR($N219="",$I219="",$I219=0),"",IFERROR($N219/$I219,""))))</x:f>
      </x:c>
      <x:c r="P219" s="987" t="str">
        <x:f>IF(COUNTA($A219:$M219)=0,"",IF(OR(LEFT(LOWER(TRIM($F219&amp;"")),12)="subscription",LOWER(TRIM($F219&amp;""))="membership"),"",IF(LOWER($L219&amp;"")="yes",0,IF(OR(AND($H219&lt;&gt;"",$H219=0),LEFT(LOWER(TRIM($F219&amp;"")),9)="free game",LOWER(TRIM($F219&amp;""))="free",LOWER(TRIM($F219&amp;""))="free entry"),IF(LOWER($D219&amp;"")="finalized",IF(ISNUMBER($K219),$K219,""),IF($O219&lt;&gt;"",$O219,"")),IF($K219&lt;&gt;"",$K219,IF($O219&lt;&gt;"",$O219,""))))))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IF(COUNTA($A219:$M219)=0,"",IF(OR(LEFT(LOWER(TRIM($F219&amp;"")),12)="subscription",LOWER(TRIM($F219&amp;""))="membership"),"Subscription",IF(OR(AND($H219&lt;&gt;"",$H219=0),LEFT(LOWER(TRIM($F219&amp;"")),9)="free game",LOWER(TRIM($F219&amp;""))="free",LOWER(TRIM($F219&amp;""))="free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IF(COUNTA($A220:$M220)=0,"",IF(OR(LEFT(LOWER(TRIM($F220&amp;"")),12)="subscription",LOWER(TRIM($F220&amp;""))="membership"),"",IF($G220="","",IF(ISNUMBER(SEARCH("non",LOWER($E220&amp;""))),$G220*0.85,$G220))))</x:f>
      </x:c>
      <x:c r="O220" s="987" t="str">
        <x:f>IF(COUNTA($A220:$M220)=0,"",IF(OR(LEFT(LOWER(TRIM($F220&amp;"")),12)="subscription",LOWER(TRIM($F220&amp;""))="membership"),"",IF(OR($N220="",$I220="",$I220=0),"",IFERROR($N220/$I220,""))))</x:f>
      </x:c>
      <x:c r="P220" s="987" t="str">
        <x:f>IF(COUNTA($A220:$M220)=0,"",IF(OR(LEFT(LOWER(TRIM($F220&amp;"")),12)="subscription",LOWER(TRIM($F220&amp;""))="membership"),"",IF(LOWER($L220&amp;"")="yes",0,IF(OR(AND($H220&lt;&gt;"",$H220=0),LEFT(LOWER(TRIM($F220&amp;"")),9)="free game",LOWER(TRIM($F220&amp;""))="free",LOWER(TRIM($F220&amp;""))="free entry"),IF(LOWER($D220&amp;"")="finalized",IF(ISNUMBER($K220),$K220,""),IF($O220&lt;&gt;"",$O220,"")),IF($K220&lt;&gt;"",$K220,IF($O220&lt;&gt;"",$O220,""))))))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IF(COUNTA($A220:$M220)=0,"",IF(OR(LEFT(LOWER(TRIM($F220&amp;"")),12)="subscription",LOWER(TRIM($F220&amp;""))="membership"),"Subscription",IF(OR(AND($H220&lt;&gt;"",$H220=0),LEFT(LOWER(TRIM($F220&amp;"")),9)="free game",LOWER(TRIM($F220&amp;""))="free",LOWER(TRIM($F220&amp;""))="free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IF(COUNTA($A221:$M221)=0,"",IF(OR(LEFT(LOWER(TRIM($F221&amp;"")),12)="subscription",LOWER(TRIM($F221&amp;""))="membership"),"",IF($G221="","",IF(ISNUMBER(SEARCH("non",LOWER($E221&amp;""))),$G221*0.85,$G221))))</x:f>
      </x:c>
      <x:c r="O221" s="987" t="str">
        <x:f>IF(COUNTA($A221:$M221)=0,"",IF(OR(LEFT(LOWER(TRIM($F221&amp;"")),12)="subscription",LOWER(TRIM($F221&amp;""))="membership"),"",IF(OR($N221="",$I221="",$I221=0),"",IFERROR($N221/$I221,""))))</x:f>
      </x:c>
      <x:c r="P221" s="987" t="str">
        <x:f>IF(COUNTA($A221:$M221)=0,"",IF(OR(LEFT(LOWER(TRIM($F221&amp;"")),12)="subscription",LOWER(TRIM($F221&amp;""))="membership"),"",IF(LOWER($L221&amp;"")="yes",0,IF(OR(AND($H221&lt;&gt;"",$H221=0),LEFT(LOWER(TRIM($F221&amp;"")),9)="free game",LOWER(TRIM($F221&amp;""))="free",LOWER(TRIM($F221&amp;""))="free entry"),IF(LOWER($D221&amp;"")="finalized",IF(ISNUMBER($K221),$K221,""),IF($O221&lt;&gt;"",$O221,"")),IF($K221&lt;&gt;"",$K221,IF($O221&lt;&gt;"",$O221,""))))))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IF(COUNTA($A221:$M221)=0,"",IF(OR(LEFT(LOWER(TRIM($F221&amp;"")),12)="subscription",LOWER(TRIM($F221&amp;""))="membership"),"Subscription",IF(OR(AND($H221&lt;&gt;"",$H221=0),LEFT(LOWER(TRIM($F221&amp;"")),9)="free game",LOWER(TRIM($F221&amp;""))="free",LOWER(TRIM($F221&amp;""))="free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IF(COUNTA($A222:$M222)=0,"",IF(OR(LEFT(LOWER(TRIM($F222&amp;"")),12)="subscription",LOWER(TRIM($F222&amp;""))="membership"),"",IF($G222="","",IF(ISNUMBER(SEARCH("non",LOWER($E222&amp;""))),$G222*0.85,$G222))))</x:f>
      </x:c>
      <x:c r="O222" s="987" t="str">
        <x:f>IF(COUNTA($A222:$M222)=0,"",IF(OR(LEFT(LOWER(TRIM($F222&amp;"")),12)="subscription",LOWER(TRIM($F222&amp;""))="membership"),"",IF(OR($N222="",$I222="",$I222=0),"",IFERROR($N222/$I222,""))))</x:f>
      </x:c>
      <x:c r="P222" s="987" t="str">
        <x:f>IF(COUNTA($A222:$M222)=0,"",IF(OR(LEFT(LOWER(TRIM($F222&amp;"")),12)="subscription",LOWER(TRIM($F222&amp;""))="membership"),"",IF(LOWER($L222&amp;"")="yes",0,IF(OR(AND($H222&lt;&gt;"",$H222=0),LEFT(LOWER(TRIM($F222&amp;"")),9)="free game",LOWER(TRIM($F222&amp;""))="free",LOWER(TRIM($F222&amp;""))="free entry"),IF(LOWER($D222&amp;"")="finalized",IF(ISNUMBER($K222),$K222,""),IF($O222&lt;&gt;"",$O222,"")),IF($K222&lt;&gt;"",$K222,IF($O222&lt;&gt;"",$O222,""))))))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IF(COUNTA($A222:$M222)=0,"",IF(OR(LEFT(LOWER(TRIM($F222&amp;"")),12)="subscription",LOWER(TRIM($F222&amp;""))="membership"),"Subscription",IF(OR(AND($H222&lt;&gt;"",$H222=0),LEFT(LOWER(TRIM($F222&amp;"")),9)="free game",LOWER(TRIM($F222&amp;""))="free",LOWER(TRIM($F222&amp;""))="free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IF(COUNTA($A223:$M223)=0,"",IF(OR(LEFT(LOWER(TRIM($F223&amp;"")),12)="subscription",LOWER(TRIM($F223&amp;""))="membership"),"",IF($G223="","",IF(ISNUMBER(SEARCH("non",LOWER($E223&amp;""))),$G223*0.85,$G223))))</x:f>
      </x:c>
      <x:c r="O223" s="987" t="str">
        <x:f>IF(COUNTA($A223:$M223)=0,"",IF(OR(LEFT(LOWER(TRIM($F223&amp;"")),12)="subscription",LOWER(TRIM($F223&amp;""))="membership"),"",IF(OR($N223="",$I223="",$I223=0),"",IFERROR($N223/$I223,""))))</x:f>
      </x:c>
      <x:c r="P223" s="987" t="str">
        <x:f>IF(COUNTA($A223:$M223)=0,"",IF(OR(LEFT(LOWER(TRIM($F223&amp;"")),12)="subscription",LOWER(TRIM($F223&amp;""))="membership"),"",IF(LOWER($L223&amp;"")="yes",0,IF(OR(AND($H223&lt;&gt;"",$H223=0),LEFT(LOWER(TRIM($F223&amp;"")),9)="free game",LOWER(TRIM($F223&amp;""))="free",LOWER(TRIM($F223&amp;""))="free entry"),IF(LOWER($D223&amp;"")="finalized",IF(ISNUMBER($K223),$K223,""),IF($O223&lt;&gt;"",$O223,"")),IF($K223&lt;&gt;"",$K223,IF($O223&lt;&gt;"",$O223,""))))))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IF(COUNTA($A223:$M223)=0,"",IF(OR(LEFT(LOWER(TRIM($F223&amp;"")),12)="subscription",LOWER(TRIM($F223&amp;""))="membership"),"Subscription",IF(OR(AND($H223&lt;&gt;"",$H223=0),LEFT(LOWER(TRIM($F223&amp;"")),9)="free game",LOWER(TRIM($F223&amp;""))="free",LOWER(TRIM($F223&amp;""))="free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IF(COUNTA($A224:$M224)=0,"",IF(OR(LEFT(LOWER(TRIM($F224&amp;"")),12)="subscription",LOWER(TRIM($F224&amp;""))="membership"),"",IF($G224="","",IF(ISNUMBER(SEARCH("non",LOWER($E224&amp;""))),$G224*0.85,$G224))))</x:f>
      </x:c>
      <x:c r="O224" s="987" t="str">
        <x:f>IF(COUNTA($A224:$M224)=0,"",IF(OR(LEFT(LOWER(TRIM($F224&amp;"")),12)="subscription",LOWER(TRIM($F224&amp;""))="membership"),"",IF(OR($N224="",$I224="",$I224=0),"",IFERROR($N224/$I224,""))))</x:f>
      </x:c>
      <x:c r="P224" s="987" t="str">
        <x:f>IF(COUNTA($A224:$M224)=0,"",IF(OR(LEFT(LOWER(TRIM($F224&amp;"")),12)="subscription",LOWER(TRIM($F224&amp;""))="membership"),"",IF(LOWER($L224&amp;"")="yes",0,IF(OR(AND($H224&lt;&gt;"",$H224=0),LEFT(LOWER(TRIM($F224&amp;"")),9)="free game",LOWER(TRIM($F224&amp;""))="free",LOWER(TRIM($F224&amp;""))="free entry"),IF(LOWER($D224&amp;"")="finalized",IF(ISNUMBER($K224),$K224,""),IF($O224&lt;&gt;"",$O224,"")),IF($K224&lt;&gt;"",$K224,IF($O224&lt;&gt;"",$O224,""))))))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IF(COUNTA($A224:$M224)=0,"",IF(OR(LEFT(LOWER(TRIM($F224&amp;"")),12)="subscription",LOWER(TRIM($F224&amp;""))="membership"),"Subscription",IF(OR(AND($H224&lt;&gt;"",$H224=0),LEFT(LOWER(TRIM($F224&amp;"")),9)="free game",LOWER(TRIM($F224&amp;""))="free",LOWER(TRIM($F224&amp;""))="free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IF(COUNTA($A225:$M225)=0,"",IF(OR(LEFT(LOWER(TRIM($F225&amp;"")),12)="subscription",LOWER(TRIM($F225&amp;""))="membership"),"",IF($G225="","",IF(ISNUMBER(SEARCH("non",LOWER($E225&amp;""))),$G225*0.85,$G225))))</x:f>
      </x:c>
      <x:c r="O225" s="987" t="str">
        <x:f>IF(COUNTA($A225:$M225)=0,"",IF(OR(LEFT(LOWER(TRIM($F225&amp;"")),12)="subscription",LOWER(TRIM($F225&amp;""))="membership"),"",IF(OR($N225="",$I225="",$I225=0),"",IFERROR($N225/$I225,""))))</x:f>
      </x:c>
      <x:c r="P225" s="987" t="str">
        <x:f>IF(COUNTA($A225:$M225)=0,"",IF(OR(LEFT(LOWER(TRIM($F225&amp;"")),12)="subscription",LOWER(TRIM($F225&amp;""))="membership"),"",IF(LOWER($L225&amp;"")="yes",0,IF(OR(AND($H225&lt;&gt;"",$H225=0),LEFT(LOWER(TRIM($F225&amp;"")),9)="free game",LOWER(TRIM($F225&amp;""))="free",LOWER(TRIM($F225&amp;""))="free entry"),IF(LOWER($D225&amp;"")="finalized",IF(ISNUMBER($K225),$K225,""),IF($O225&lt;&gt;"",$O225,"")),IF($K225&lt;&gt;"",$K225,IF($O225&lt;&gt;"",$O225,""))))))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IF(COUNTA($A225:$M225)=0,"",IF(OR(LEFT(LOWER(TRIM($F225&amp;"")),12)="subscription",LOWER(TRIM($F225&amp;""))="membership"),"Subscription",IF(OR(AND($H225&lt;&gt;"",$H225=0),LEFT(LOWER(TRIM($F225&amp;"")),9)="free game",LOWER(TRIM($F225&amp;""))="free",LOWER(TRIM($F225&amp;""))="free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IF(COUNTA($A226:$M226)=0,"",IF(OR(LEFT(LOWER(TRIM($F226&amp;"")),12)="subscription",LOWER(TRIM($F226&amp;""))="membership"),"",IF($G226="","",IF(ISNUMBER(SEARCH("non",LOWER($E226&amp;""))),$G226*0.85,$G226))))</x:f>
      </x:c>
      <x:c r="O226" s="987" t="str">
        <x:f>IF(COUNTA($A226:$M226)=0,"",IF(OR(LEFT(LOWER(TRIM($F226&amp;"")),12)="subscription",LOWER(TRIM($F226&amp;""))="membership"),"",IF(OR($N226="",$I226="",$I226=0),"",IFERROR($N226/$I226,""))))</x:f>
      </x:c>
      <x:c r="P226" s="987" t="str">
        <x:f>IF(COUNTA($A226:$M226)=0,"",IF(OR(LEFT(LOWER(TRIM($F226&amp;"")),12)="subscription",LOWER(TRIM($F226&amp;""))="membership"),"",IF(LOWER($L226&amp;"")="yes",0,IF(OR(AND($H226&lt;&gt;"",$H226=0),LEFT(LOWER(TRIM($F226&amp;"")),9)="free game",LOWER(TRIM($F226&amp;""))="free",LOWER(TRIM($F226&amp;""))="free entry"),IF(LOWER($D226&amp;"")="finalized",IF(ISNUMBER($K226),$K226,""),IF($O226&lt;&gt;"",$O226,"")),IF($K226&lt;&gt;"",$K226,IF($O226&lt;&gt;"",$O226,""))))))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IF(COUNTA($A226:$M226)=0,"",IF(OR(LEFT(LOWER(TRIM($F226&amp;"")),12)="subscription",LOWER(TRIM($F226&amp;""))="membership"),"Subscription",IF(OR(AND($H226&lt;&gt;"",$H226=0),LEFT(LOWER(TRIM($F226&amp;"")),9)="free game",LOWER(TRIM($F226&amp;""))="free",LOWER(TRIM($F226&amp;""))="free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IF(COUNTA($A227:$M227)=0,"",IF(OR(LEFT(LOWER(TRIM($F227&amp;"")),12)="subscription",LOWER(TRIM($F227&amp;""))="membership"),"",IF($G227="","",IF(ISNUMBER(SEARCH("non",LOWER($E227&amp;""))),$G227*0.85,$G227))))</x:f>
      </x:c>
      <x:c r="O227" s="987" t="str">
        <x:f>IF(COUNTA($A227:$M227)=0,"",IF(OR(LEFT(LOWER(TRIM($F227&amp;"")),12)="subscription",LOWER(TRIM($F227&amp;""))="membership"),"",IF(OR($N227="",$I227="",$I227=0),"",IFERROR($N227/$I227,""))))</x:f>
      </x:c>
      <x:c r="P227" s="987" t="str">
        <x:f>IF(COUNTA($A227:$M227)=0,"",IF(OR(LEFT(LOWER(TRIM($F227&amp;"")),12)="subscription",LOWER(TRIM($F227&amp;""))="membership"),"",IF(LOWER($L227&amp;"")="yes",0,IF(OR(AND($H227&lt;&gt;"",$H227=0),LEFT(LOWER(TRIM($F227&amp;"")),9)="free game",LOWER(TRIM($F227&amp;""))="free",LOWER(TRIM($F227&amp;""))="free entry"),IF(LOWER($D227&amp;"")="finalized",IF(ISNUMBER($K227),$K227,""),IF($O227&lt;&gt;"",$O227,"")),IF($K227&lt;&gt;"",$K227,IF($O227&lt;&gt;"",$O227,""))))))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IF(COUNTA($A227:$M227)=0,"",IF(OR(LEFT(LOWER(TRIM($F227&amp;"")),12)="subscription",LOWER(TRIM($F227&amp;""))="membership"),"Subscription",IF(OR(AND($H227&lt;&gt;"",$H227=0),LEFT(LOWER(TRIM($F227&amp;"")),9)="free game",LOWER(TRIM($F227&amp;""))="free",LOWER(TRIM($F227&amp;""))="free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IF(COUNTA($A228:$M228)=0,"",IF(OR(LEFT(LOWER(TRIM($F228&amp;"")),12)="subscription",LOWER(TRIM($F228&amp;""))="membership"),"",IF($G228="","",IF(ISNUMBER(SEARCH("non",LOWER($E228&amp;""))),$G228*0.85,$G228))))</x:f>
      </x:c>
      <x:c r="O228" s="987" t="str">
        <x:f>IF(COUNTA($A228:$M228)=0,"",IF(OR(LEFT(LOWER(TRIM($F228&amp;"")),12)="subscription",LOWER(TRIM($F228&amp;""))="membership"),"",IF(OR($N228="",$I228="",$I228=0),"",IFERROR($N228/$I228,""))))</x:f>
      </x:c>
      <x:c r="P228" s="987" t="str">
        <x:f>IF(COUNTA($A228:$M228)=0,"",IF(OR(LEFT(LOWER(TRIM($F228&amp;"")),12)="subscription",LOWER(TRIM($F228&amp;""))="membership"),"",IF(LOWER($L228&amp;"")="yes",0,IF(OR(AND($H228&lt;&gt;"",$H228=0),LEFT(LOWER(TRIM($F228&amp;"")),9)="free game",LOWER(TRIM($F228&amp;""))="free",LOWER(TRIM($F228&amp;""))="free entry"),IF(LOWER($D228&amp;"")="finalized",IF(ISNUMBER($K228),$K228,""),IF($O228&lt;&gt;"",$O228,"")),IF($K228&lt;&gt;"",$K228,IF($O228&lt;&gt;"",$O228,""))))))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IF(COUNTA($A228:$M228)=0,"",IF(OR(LEFT(LOWER(TRIM($F228&amp;"")),12)="subscription",LOWER(TRIM($F228&amp;""))="membership"),"Subscription",IF(OR(AND($H228&lt;&gt;"",$H228=0),LEFT(LOWER(TRIM($F228&amp;"")),9)="free game",LOWER(TRIM($F228&amp;""))="free",LOWER(TRIM($F228&amp;""))="free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IF(COUNTA($A229:$M229)=0,"",IF(OR(LEFT(LOWER(TRIM($F229&amp;"")),12)="subscription",LOWER(TRIM($F229&amp;""))="membership"),"",IF($G229="","",IF(ISNUMBER(SEARCH("non",LOWER($E229&amp;""))),$G229*0.85,$G229))))</x:f>
      </x:c>
      <x:c r="O229" s="987" t="str">
        <x:f>IF(COUNTA($A229:$M229)=0,"",IF(OR(LEFT(LOWER(TRIM($F229&amp;"")),12)="subscription",LOWER(TRIM($F229&amp;""))="membership"),"",IF(OR($N229="",$I229="",$I229=0),"",IFERROR($N229/$I229,""))))</x:f>
      </x:c>
      <x:c r="P229" s="987" t="str">
        <x:f>IF(COUNTA($A229:$M229)=0,"",IF(OR(LEFT(LOWER(TRIM($F229&amp;"")),12)="subscription",LOWER(TRIM($F229&amp;""))="membership"),"",IF(LOWER($L229&amp;"")="yes",0,IF(OR(AND($H229&lt;&gt;"",$H229=0),LEFT(LOWER(TRIM($F229&amp;"")),9)="free game",LOWER(TRIM($F229&amp;""))="free",LOWER(TRIM($F229&amp;""))="free entry"),IF(LOWER($D229&amp;"")="finalized",IF(ISNUMBER($K229),$K229,""),IF($O229&lt;&gt;"",$O229,"")),IF($K229&lt;&gt;"",$K229,IF($O229&lt;&gt;"",$O229,""))))))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IF(COUNTA($A229:$M229)=0,"",IF(OR(LEFT(LOWER(TRIM($F229&amp;"")),12)="subscription",LOWER(TRIM($F229&amp;""))="membership"),"Subscription",IF(OR(AND($H229&lt;&gt;"",$H229=0),LEFT(LOWER(TRIM($F229&amp;"")),9)="free game",LOWER(TRIM($F229&amp;""))="free",LOWER(TRIM($F229&amp;""))="free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IF(COUNTA($A230:$M230)=0,"",IF(OR(LEFT(LOWER(TRIM($F230&amp;"")),12)="subscription",LOWER(TRIM($F230&amp;""))="membership"),"",IF($G230="","",IF(ISNUMBER(SEARCH("non",LOWER($E230&amp;""))),$G230*0.85,$G230))))</x:f>
      </x:c>
      <x:c r="O230" s="987" t="str">
        <x:f>IF(COUNTA($A230:$M230)=0,"",IF(OR(LEFT(LOWER(TRIM($F230&amp;"")),12)="subscription",LOWER(TRIM($F230&amp;""))="membership"),"",IF(OR($N230="",$I230="",$I230=0),"",IFERROR($N230/$I230,""))))</x:f>
      </x:c>
      <x:c r="P230" s="987" t="str">
        <x:f>IF(COUNTA($A230:$M230)=0,"",IF(OR(LEFT(LOWER(TRIM($F230&amp;"")),12)="subscription",LOWER(TRIM($F230&amp;""))="membership"),"",IF(LOWER($L230&amp;"")="yes",0,IF(OR(AND($H230&lt;&gt;"",$H230=0),LEFT(LOWER(TRIM($F230&amp;"")),9)="free game",LOWER(TRIM($F230&amp;""))="free",LOWER(TRIM($F230&amp;""))="free entry"),IF(LOWER($D230&amp;"")="finalized",IF(ISNUMBER($K230),$K230,""),IF($O230&lt;&gt;"",$O230,"")),IF($K230&lt;&gt;"",$K230,IF($O230&lt;&gt;"",$O230,""))))))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IF(COUNTA($A230:$M230)=0,"",IF(OR(LEFT(LOWER(TRIM($F230&amp;"")),12)="subscription",LOWER(TRIM($F230&amp;""))="membership"),"Subscription",IF(OR(AND($H230&lt;&gt;"",$H230=0),LEFT(LOWER(TRIM($F230&amp;"")),9)="free game",LOWER(TRIM($F230&amp;""))="free",LOWER(TRIM($F230&amp;""))="free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IF(COUNTA($A231:$M231)=0,"",IF(OR(LEFT(LOWER(TRIM($F231&amp;"")),12)="subscription",LOWER(TRIM($F231&amp;""))="membership"),"",IF($G231="","",IF(ISNUMBER(SEARCH("non",LOWER($E231&amp;""))),$G231*0.85,$G231))))</x:f>
      </x:c>
      <x:c r="O231" s="987" t="str">
        <x:f>IF(COUNTA($A231:$M231)=0,"",IF(OR(LEFT(LOWER(TRIM($F231&amp;"")),12)="subscription",LOWER(TRIM($F231&amp;""))="membership"),"",IF(OR($N231="",$I231="",$I231=0),"",IFERROR($N231/$I231,""))))</x:f>
      </x:c>
      <x:c r="P231" s="987" t="str">
        <x:f>IF(COUNTA($A231:$M231)=0,"",IF(OR(LEFT(LOWER(TRIM($F231&amp;"")),12)="subscription",LOWER(TRIM($F231&amp;""))="membership"),"",IF(LOWER($L231&amp;"")="yes",0,IF(OR(AND($H231&lt;&gt;"",$H231=0),LEFT(LOWER(TRIM($F231&amp;"")),9)="free game",LOWER(TRIM($F231&amp;""))="free",LOWER(TRIM($F231&amp;""))="free entry"),IF(LOWER($D231&amp;"")="finalized",IF(ISNUMBER($K231),$K231,""),IF($O231&lt;&gt;"",$O231,"")),IF($K231&lt;&gt;"",$K231,IF($O231&lt;&gt;"",$O231,""))))))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IF(COUNTA($A231:$M231)=0,"",IF(OR(LEFT(LOWER(TRIM($F231&amp;"")),12)="subscription",LOWER(TRIM($F231&amp;""))="membership"),"Subscription",IF(OR(AND($H231&lt;&gt;"",$H231=0),LEFT(LOWER(TRIM($F231&amp;"")),9)="free game",LOWER(TRIM($F231&amp;""))="free",LOWER(TRIM($F231&amp;""))="free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IF(COUNTA($A232:$M232)=0,"",IF(OR(LEFT(LOWER(TRIM($F232&amp;"")),12)="subscription",LOWER(TRIM($F232&amp;""))="membership"),"",IF($G232="","",IF(ISNUMBER(SEARCH("non",LOWER($E232&amp;""))),$G232*0.85,$G232))))</x:f>
      </x:c>
      <x:c r="O232" s="987" t="str">
        <x:f>IF(COUNTA($A232:$M232)=0,"",IF(OR(LEFT(LOWER(TRIM($F232&amp;"")),12)="subscription",LOWER(TRIM($F232&amp;""))="membership"),"",IF(OR($N232="",$I232="",$I232=0),"",IFERROR($N232/$I232,""))))</x:f>
      </x:c>
      <x:c r="P232" s="987" t="str">
        <x:f>IF(COUNTA($A232:$M232)=0,"",IF(OR(LEFT(LOWER(TRIM($F232&amp;"")),12)="subscription",LOWER(TRIM($F232&amp;""))="membership"),"",IF(LOWER($L232&amp;"")="yes",0,IF(OR(AND($H232&lt;&gt;"",$H232=0),LEFT(LOWER(TRIM($F232&amp;"")),9)="free game",LOWER(TRIM($F232&amp;""))="free",LOWER(TRIM($F232&amp;""))="free entry"),IF(LOWER($D232&amp;"")="finalized",IF(ISNUMBER($K232),$K232,""),IF($O232&lt;&gt;"",$O232,"")),IF($K232&lt;&gt;"",$K232,IF($O232&lt;&gt;"",$O232,""))))))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IF(COUNTA($A232:$M232)=0,"",IF(OR(LEFT(LOWER(TRIM($F232&amp;"")),12)="subscription",LOWER(TRIM($F232&amp;""))="membership"),"Subscription",IF(OR(AND($H232&lt;&gt;"",$H232=0),LEFT(LOWER(TRIM($F232&amp;"")),9)="free game",LOWER(TRIM($F232&amp;""))="free",LOWER(TRIM($F232&amp;""))="free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IF(COUNTA($A233:$M233)=0,"",IF(OR(LEFT(LOWER(TRIM($F233&amp;"")),12)="subscription",LOWER(TRIM($F233&amp;""))="membership"),"",IF($G233="","",IF(ISNUMBER(SEARCH("non",LOWER($E233&amp;""))),$G233*0.85,$G233))))</x:f>
      </x:c>
      <x:c r="O233" s="987" t="str">
        <x:f>IF(COUNTA($A233:$M233)=0,"",IF(OR(LEFT(LOWER(TRIM($F233&amp;"")),12)="subscription",LOWER(TRIM($F233&amp;""))="membership"),"",IF(OR($N233="",$I233="",$I233=0),"",IFERROR($N233/$I233,""))))</x:f>
      </x:c>
      <x:c r="P233" s="987" t="str">
        <x:f>IF(COUNTA($A233:$M233)=0,"",IF(OR(LEFT(LOWER(TRIM($F233&amp;"")),12)="subscription",LOWER(TRIM($F233&amp;""))="membership"),"",IF(LOWER($L233&amp;"")="yes",0,IF(OR(AND($H233&lt;&gt;"",$H233=0),LEFT(LOWER(TRIM($F233&amp;"")),9)="free game",LOWER(TRIM($F233&amp;""))="free",LOWER(TRIM($F233&amp;""))="free entry"),IF(LOWER($D233&amp;"")="finalized",IF(ISNUMBER($K233),$K233,""),IF($O233&lt;&gt;"",$O233,"")),IF($K233&lt;&gt;"",$K233,IF($O233&lt;&gt;"",$O233,""))))))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IF(COUNTA($A233:$M233)=0,"",IF(OR(LEFT(LOWER(TRIM($F233&amp;"")),12)="subscription",LOWER(TRIM($F233&amp;""))="membership"),"Subscription",IF(OR(AND($H233&lt;&gt;"",$H233=0),LEFT(LOWER(TRIM($F233&amp;"")),9)="free game",LOWER(TRIM($F233&amp;""))="free",LOWER(TRIM($F233&amp;""))="free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IF(COUNTA($A234:$M234)=0,"",IF(OR(LEFT(LOWER(TRIM($F234&amp;"")),12)="subscription",LOWER(TRIM($F234&amp;""))="membership"),"",IF($G234="","",IF(ISNUMBER(SEARCH("non",LOWER($E234&amp;""))),$G234*0.85,$G234))))</x:f>
      </x:c>
      <x:c r="O234" s="987" t="str">
        <x:f>IF(COUNTA($A234:$M234)=0,"",IF(OR(LEFT(LOWER(TRIM($F234&amp;"")),12)="subscription",LOWER(TRIM($F234&amp;""))="membership"),"",IF(OR($N234="",$I234="",$I234=0),"",IFERROR($N234/$I234,""))))</x:f>
      </x:c>
      <x:c r="P234" s="987" t="str">
        <x:f>IF(COUNTA($A234:$M234)=0,"",IF(OR(LEFT(LOWER(TRIM($F234&amp;"")),12)="subscription",LOWER(TRIM($F234&amp;""))="membership"),"",IF(LOWER($L234&amp;"")="yes",0,IF(OR(AND($H234&lt;&gt;"",$H234=0),LEFT(LOWER(TRIM($F234&amp;"")),9)="free game",LOWER(TRIM($F234&amp;""))="free",LOWER(TRIM($F234&amp;""))="free entry"),IF(LOWER($D234&amp;"")="finalized",IF(ISNUMBER($K234),$K234,""),IF($O234&lt;&gt;"",$O234,"")),IF($K234&lt;&gt;"",$K234,IF($O234&lt;&gt;"",$O234,""))))))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IF(COUNTA($A234:$M234)=0,"",IF(OR(LEFT(LOWER(TRIM($F234&amp;"")),12)="subscription",LOWER(TRIM($F234&amp;""))="membership"),"Subscription",IF(OR(AND($H234&lt;&gt;"",$H234=0),LEFT(LOWER(TRIM($F234&amp;"")),9)="free game",LOWER(TRIM($F234&amp;""))="free",LOWER(TRIM($F234&amp;""))="free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IF(COUNTA($A235:$M235)=0,"",IF(OR(LEFT(LOWER(TRIM($F235&amp;"")),12)="subscription",LOWER(TRIM($F235&amp;""))="membership"),"",IF($G235="","",IF(ISNUMBER(SEARCH("non",LOWER($E235&amp;""))),$G235*0.85,$G235))))</x:f>
      </x:c>
      <x:c r="O235" s="987" t="str">
        <x:f>IF(COUNTA($A235:$M235)=0,"",IF(OR(LEFT(LOWER(TRIM($F235&amp;"")),12)="subscription",LOWER(TRIM($F235&amp;""))="membership"),"",IF(OR($N235="",$I235="",$I235=0),"",IFERROR($N235/$I235,""))))</x:f>
      </x:c>
      <x:c r="P235" s="987" t="str">
        <x:f>IF(COUNTA($A235:$M235)=0,"",IF(OR(LEFT(LOWER(TRIM($F235&amp;"")),12)="subscription",LOWER(TRIM($F235&amp;""))="membership"),"",IF(LOWER($L235&amp;"")="yes",0,IF(OR(AND($H235&lt;&gt;"",$H235=0),LEFT(LOWER(TRIM($F235&amp;"")),9)="free game",LOWER(TRIM($F235&amp;""))="free",LOWER(TRIM($F235&amp;""))="free entry"),IF(LOWER($D235&amp;"")="finalized",IF(ISNUMBER($K235),$K235,""),IF($O235&lt;&gt;"",$O235,"")),IF($K235&lt;&gt;"",$K235,IF($O235&lt;&gt;"",$O235,""))))))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IF(COUNTA($A235:$M235)=0,"",IF(OR(LEFT(LOWER(TRIM($F235&amp;"")),12)="subscription",LOWER(TRIM($F235&amp;""))="membership"),"Subscription",IF(OR(AND($H235&lt;&gt;"",$H235=0),LEFT(LOWER(TRIM($F235&amp;"")),9)="free game",LOWER(TRIM($F235&amp;""))="free",LOWER(TRIM($F235&amp;""))="free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IF(COUNTA($A236:$M236)=0,"",IF(OR(LEFT(LOWER(TRIM($F236&amp;"")),12)="subscription",LOWER(TRIM($F236&amp;""))="membership"),"",IF($G236="","",IF(ISNUMBER(SEARCH("non",LOWER($E236&amp;""))),$G236*0.85,$G236))))</x:f>
      </x:c>
      <x:c r="O236" s="987" t="str">
        <x:f>IF(COUNTA($A236:$M236)=0,"",IF(OR(LEFT(LOWER(TRIM($F236&amp;"")),12)="subscription",LOWER(TRIM($F236&amp;""))="membership"),"",IF(OR($N236="",$I236="",$I236=0),"",IFERROR($N236/$I236,""))))</x:f>
      </x:c>
      <x:c r="P236" s="987" t="str">
        <x:f>IF(COUNTA($A236:$M236)=0,"",IF(OR(LEFT(LOWER(TRIM($F236&amp;"")),12)="subscription",LOWER(TRIM($F236&amp;""))="membership"),"",IF(LOWER($L236&amp;"")="yes",0,IF(OR(AND($H236&lt;&gt;"",$H236=0),LEFT(LOWER(TRIM($F236&amp;"")),9)="free game",LOWER(TRIM($F236&amp;""))="free",LOWER(TRIM($F236&amp;""))="free entry"),IF(LOWER($D236&amp;"")="finalized",IF(ISNUMBER($K236),$K236,""),IF($O236&lt;&gt;"",$O236,"")),IF($K236&lt;&gt;"",$K236,IF($O236&lt;&gt;"",$O236,""))))))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IF(COUNTA($A236:$M236)=0,"",IF(OR(LEFT(LOWER(TRIM($F236&amp;"")),12)="subscription",LOWER(TRIM($F236&amp;""))="membership"),"Subscription",IF(OR(AND($H236&lt;&gt;"",$H236=0),LEFT(LOWER(TRIM($F236&amp;"")),9)="free game",LOWER(TRIM($F236&amp;""))="free",LOWER(TRIM($F236&amp;""))="free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IF(COUNTA($A237:$M237)=0,"",IF(OR(LEFT(LOWER(TRIM($F237&amp;"")),12)="subscription",LOWER(TRIM($F237&amp;""))="membership"),"",IF($G237="","",IF(ISNUMBER(SEARCH("non",LOWER($E237&amp;""))),$G237*0.85,$G237))))</x:f>
      </x:c>
      <x:c r="O237" s="987" t="str">
        <x:f>IF(COUNTA($A237:$M237)=0,"",IF(OR(LEFT(LOWER(TRIM($F237&amp;"")),12)="subscription",LOWER(TRIM($F237&amp;""))="membership"),"",IF(OR($N237="",$I237="",$I237=0),"",IFERROR($N237/$I237,""))))</x:f>
      </x:c>
      <x:c r="P237" s="987" t="str">
        <x:f>IF(COUNTA($A237:$M237)=0,"",IF(OR(LEFT(LOWER(TRIM($F237&amp;"")),12)="subscription",LOWER(TRIM($F237&amp;""))="membership"),"",IF(LOWER($L237&amp;"")="yes",0,IF(OR(AND($H237&lt;&gt;"",$H237=0),LEFT(LOWER(TRIM($F237&amp;"")),9)="free game",LOWER(TRIM($F237&amp;""))="free",LOWER(TRIM($F237&amp;""))="free entry"),IF(LOWER($D237&amp;"")="finalized",IF(ISNUMBER($K237),$K237,""),IF($O237&lt;&gt;"",$O237,"")),IF($K237&lt;&gt;"",$K237,IF($O237&lt;&gt;"",$O237,""))))))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IF(COUNTA($A237:$M237)=0,"",IF(OR(LEFT(LOWER(TRIM($F237&amp;"")),12)="subscription",LOWER(TRIM($F237&amp;""))="membership"),"Subscription",IF(OR(AND($H237&lt;&gt;"",$H237=0),LEFT(LOWER(TRIM($F237&amp;"")),9)="free game",LOWER(TRIM($F237&amp;""))="free",LOWER(TRIM($F237&amp;""))="free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IF(COUNTA($A238:$M238)=0,"",IF(OR(LEFT(LOWER(TRIM($F238&amp;"")),12)="subscription",LOWER(TRIM($F238&amp;""))="membership"),"",IF($G238="","",IF(ISNUMBER(SEARCH("non",LOWER($E238&amp;""))),$G238*0.85,$G238))))</x:f>
      </x:c>
      <x:c r="O238" s="987" t="str">
        <x:f>IF(COUNTA($A238:$M238)=0,"",IF(OR(LEFT(LOWER(TRIM($F238&amp;"")),12)="subscription",LOWER(TRIM($F238&amp;""))="membership"),"",IF(OR($N238="",$I238="",$I238=0),"",IFERROR($N238/$I238,""))))</x:f>
      </x:c>
      <x:c r="P238" s="987" t="str">
        <x:f>IF(COUNTA($A238:$M238)=0,"",IF(OR(LEFT(LOWER(TRIM($F238&amp;"")),12)="subscription",LOWER(TRIM($F238&amp;""))="membership"),"",IF(LOWER($L238&amp;"")="yes",0,IF(OR(AND($H238&lt;&gt;"",$H238=0),LEFT(LOWER(TRIM($F238&amp;"")),9)="free game",LOWER(TRIM($F238&amp;""))="free",LOWER(TRIM($F238&amp;""))="free entry"),IF(LOWER($D238&amp;"")="finalized",IF(ISNUMBER($K238),$K238,""),IF($O238&lt;&gt;"",$O238,"")),IF($K238&lt;&gt;"",$K238,IF($O238&lt;&gt;"",$O238,""))))))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IF(COUNTA($A238:$M238)=0,"",IF(OR(LEFT(LOWER(TRIM($F238&amp;"")),12)="subscription",LOWER(TRIM($F238&amp;""))="membership"),"Subscription",IF(OR(AND($H238&lt;&gt;"",$H238=0),LEFT(LOWER(TRIM($F238&amp;"")),9)="free game",LOWER(TRIM($F238&amp;""))="free",LOWER(TRIM($F238&amp;""))="free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IF(COUNTA($A239:$M239)=0,"",IF(OR(LEFT(LOWER(TRIM($F239&amp;"")),12)="subscription",LOWER(TRIM($F239&amp;""))="membership"),"",IF($G239="","",IF(ISNUMBER(SEARCH("non",LOWER($E239&amp;""))),$G239*0.85,$G239))))</x:f>
      </x:c>
      <x:c r="O239" s="987" t="str">
        <x:f>IF(COUNTA($A239:$M239)=0,"",IF(OR(LEFT(LOWER(TRIM($F239&amp;"")),12)="subscription",LOWER(TRIM($F239&amp;""))="membership"),"",IF(OR($N239="",$I239="",$I239=0),"",IFERROR($N239/$I239,""))))</x:f>
      </x:c>
      <x:c r="P239" s="987" t="str">
        <x:f>IF(COUNTA($A239:$M239)=0,"",IF(OR(LEFT(LOWER(TRIM($F239&amp;"")),12)="subscription",LOWER(TRIM($F239&amp;""))="membership"),"",IF(LOWER($L239&amp;"")="yes",0,IF(OR(AND($H239&lt;&gt;"",$H239=0),LEFT(LOWER(TRIM($F239&amp;"")),9)="free game",LOWER(TRIM($F239&amp;""))="free",LOWER(TRIM($F239&amp;""))="free entry"),IF(LOWER($D239&amp;"")="finalized",IF(ISNUMBER($K239),$K239,""),IF($O239&lt;&gt;"",$O239,"")),IF($K239&lt;&gt;"",$K239,IF($O239&lt;&gt;"",$O239,""))))))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IF(COUNTA($A239:$M239)=0,"",IF(OR(LEFT(LOWER(TRIM($F239&amp;"")),12)="subscription",LOWER(TRIM($F239&amp;""))="membership"),"Subscription",IF(OR(AND($H239&lt;&gt;"",$H239=0),LEFT(LOWER(TRIM($F239&amp;"")),9)="free game",LOWER(TRIM($F239&amp;""))="free",LOWER(TRIM($F239&amp;""))="free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IF(COUNTA($A240:$M240)=0,"",IF(OR(LEFT(LOWER(TRIM($F240&amp;"")),12)="subscription",LOWER(TRIM($F240&amp;""))="membership"),"",IF($G240="","",IF(ISNUMBER(SEARCH("non",LOWER($E240&amp;""))),$G240*0.85,$G240))))</x:f>
      </x:c>
      <x:c r="O240" s="987" t="str">
        <x:f>IF(COUNTA($A240:$M240)=0,"",IF(OR(LEFT(LOWER(TRIM($F240&amp;"")),12)="subscription",LOWER(TRIM($F240&amp;""))="membership"),"",IF(OR($N240="",$I240="",$I240=0),"",IFERROR($N240/$I240,""))))</x:f>
      </x:c>
      <x:c r="P240" s="987" t="str">
        <x:f>IF(COUNTA($A240:$M240)=0,"",IF(OR(LEFT(LOWER(TRIM($F240&amp;"")),12)="subscription",LOWER(TRIM($F240&amp;""))="membership"),"",IF(LOWER($L240&amp;"")="yes",0,IF(OR(AND($H240&lt;&gt;"",$H240=0),LEFT(LOWER(TRIM($F240&amp;"")),9)="free game",LOWER(TRIM($F240&amp;""))="free",LOWER(TRIM($F240&amp;""))="free entry"),IF(LOWER($D240&amp;"")="finalized",IF(ISNUMBER($K240),$K240,""),IF($O240&lt;&gt;"",$O240,"")),IF($K240&lt;&gt;"",$K240,IF($O240&lt;&gt;"",$O240,""))))))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IF(COUNTA($A240:$M240)=0,"",IF(OR(LEFT(LOWER(TRIM($F240&amp;"")),12)="subscription",LOWER(TRIM($F240&amp;""))="membership"),"Subscription",IF(OR(AND($H240&lt;&gt;"",$H240=0),LEFT(LOWER(TRIM($F240&amp;"")),9)="free game",LOWER(TRIM($F240&amp;""))="free",LOWER(TRIM($F240&amp;""))="free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IF(COUNTA($A241:$M241)=0,"",IF(OR(LEFT(LOWER(TRIM($F241&amp;"")),12)="subscription",LOWER(TRIM($F241&amp;""))="membership"),"",IF($G241="","",IF(ISNUMBER(SEARCH("non",LOWER($E241&amp;""))),$G241*0.85,$G241))))</x:f>
      </x:c>
      <x:c r="O241" s="987" t="str">
        <x:f>IF(COUNTA($A241:$M241)=0,"",IF(OR(LEFT(LOWER(TRIM($F241&amp;"")),12)="subscription",LOWER(TRIM($F241&amp;""))="membership"),"",IF(OR($N241="",$I241="",$I241=0),"",IFERROR($N241/$I241,""))))</x:f>
      </x:c>
      <x:c r="P241" s="987" t="str">
        <x:f>IF(COUNTA($A241:$M241)=0,"",IF(OR(LEFT(LOWER(TRIM($F241&amp;"")),12)="subscription",LOWER(TRIM($F241&amp;""))="membership"),"",IF(LOWER($L241&amp;"")="yes",0,IF(OR(AND($H241&lt;&gt;"",$H241=0),LEFT(LOWER(TRIM($F241&amp;"")),9)="free game",LOWER(TRIM($F241&amp;""))="free",LOWER(TRIM($F241&amp;""))="free entry"),IF(LOWER($D241&amp;"")="finalized",IF(ISNUMBER($K241),$K241,""),IF($O241&lt;&gt;"",$O241,"")),IF($K241&lt;&gt;"",$K241,IF($O241&lt;&gt;"",$O241,""))))))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IF(COUNTA($A241:$M241)=0,"",IF(OR(LEFT(LOWER(TRIM($F241&amp;"")),12)="subscription",LOWER(TRIM($F241&amp;""))="membership"),"Subscription",IF(OR(AND($H241&lt;&gt;"",$H241=0),LEFT(LOWER(TRIM($F241&amp;"")),9)="free game",LOWER(TRIM($F241&amp;""))="free",LOWER(TRIM($F241&amp;""))="free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IF(COUNTA($A242:$M242)=0,"",IF(OR(LEFT(LOWER(TRIM($F242&amp;"")),12)="subscription",LOWER(TRIM($F242&amp;""))="membership"),"",IF($G242="","",IF(ISNUMBER(SEARCH("non",LOWER($E242&amp;""))),$G242*0.85,$G242))))</x:f>
      </x:c>
      <x:c r="O242" s="987" t="str">
        <x:f>IF(COUNTA($A242:$M242)=0,"",IF(OR(LEFT(LOWER(TRIM($F242&amp;"")),12)="subscription",LOWER(TRIM($F242&amp;""))="membership"),"",IF(OR($N242="",$I242="",$I242=0),"",IFERROR($N242/$I242,""))))</x:f>
      </x:c>
      <x:c r="P242" s="987" t="str">
        <x:f>IF(COUNTA($A242:$M242)=0,"",IF(OR(LEFT(LOWER(TRIM($F242&amp;"")),12)="subscription",LOWER(TRIM($F242&amp;""))="membership"),"",IF(LOWER($L242&amp;"")="yes",0,IF(OR(AND($H242&lt;&gt;"",$H242=0),LEFT(LOWER(TRIM($F242&amp;"")),9)="free game",LOWER(TRIM($F242&amp;""))="free",LOWER(TRIM($F242&amp;""))="free entry"),IF(LOWER($D242&amp;"")="finalized",IF(ISNUMBER($K242),$K242,""),IF($O242&lt;&gt;"",$O242,"")),IF($K242&lt;&gt;"",$K242,IF($O242&lt;&gt;"",$O242,""))))))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IF(COUNTA($A242:$M242)=0,"",IF(OR(LEFT(LOWER(TRIM($F242&amp;"")),12)="subscription",LOWER(TRIM($F242&amp;""))="membership"),"Subscription",IF(OR(AND($H242&lt;&gt;"",$H242=0),LEFT(LOWER(TRIM($F242&amp;"")),9)="free game",LOWER(TRIM($F242&amp;""))="free",LOWER(TRIM($F242&amp;""))="free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IF(COUNTA($A243:$M243)=0,"",IF(OR(LEFT(LOWER(TRIM($F243&amp;"")),12)="subscription",LOWER(TRIM($F243&amp;""))="membership"),"",IF($G243="","",IF(ISNUMBER(SEARCH("non",LOWER($E243&amp;""))),$G243*0.85,$G243))))</x:f>
      </x:c>
      <x:c r="O243" s="987" t="str">
        <x:f>IF(COUNTA($A243:$M243)=0,"",IF(OR(LEFT(LOWER(TRIM($F243&amp;"")),12)="subscription",LOWER(TRIM($F243&amp;""))="membership"),"",IF(OR($N243="",$I243="",$I243=0),"",IFERROR($N243/$I243,""))))</x:f>
      </x:c>
      <x:c r="P243" s="987" t="str">
        <x:f>IF(COUNTA($A243:$M243)=0,"",IF(OR(LEFT(LOWER(TRIM($F243&amp;"")),12)="subscription",LOWER(TRIM($F243&amp;""))="membership"),"",IF(LOWER($L243&amp;"")="yes",0,IF(OR(AND($H243&lt;&gt;"",$H243=0),LEFT(LOWER(TRIM($F243&amp;"")),9)="free game",LOWER(TRIM($F243&amp;""))="free",LOWER(TRIM($F243&amp;""))="free entry"),IF(LOWER($D243&amp;"")="finalized",IF(ISNUMBER($K243),$K243,""),IF($O243&lt;&gt;"",$O243,"")),IF($K243&lt;&gt;"",$K243,IF($O243&lt;&gt;"",$O243,""))))))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IF(COUNTA($A243:$M243)=0,"",IF(OR(LEFT(LOWER(TRIM($F243&amp;"")),12)="subscription",LOWER(TRIM($F243&amp;""))="membership"),"Subscription",IF(OR(AND($H243&lt;&gt;"",$H243=0),LEFT(LOWER(TRIM($F243&amp;"")),9)="free game",LOWER(TRIM($F243&amp;""))="free",LOWER(TRIM($F243&amp;""))="free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IF(COUNTA($A244:$M244)=0,"",IF(OR(LEFT(LOWER(TRIM($F244&amp;"")),12)="subscription",LOWER(TRIM($F244&amp;""))="membership"),"",IF($G244="","",IF(ISNUMBER(SEARCH("non",LOWER($E244&amp;""))),$G244*0.85,$G244))))</x:f>
      </x:c>
      <x:c r="O244" s="987" t="str">
        <x:f>IF(COUNTA($A244:$M244)=0,"",IF(OR(LEFT(LOWER(TRIM($F244&amp;"")),12)="subscription",LOWER(TRIM($F244&amp;""))="membership"),"",IF(OR($N244="",$I244="",$I244=0),"",IFERROR($N244/$I244,""))))</x:f>
      </x:c>
      <x:c r="P244" s="987" t="str">
        <x:f>IF(COUNTA($A244:$M244)=0,"",IF(OR(LEFT(LOWER(TRIM($F244&amp;"")),12)="subscription",LOWER(TRIM($F244&amp;""))="membership"),"",IF(LOWER($L244&amp;"")="yes",0,IF(OR(AND($H244&lt;&gt;"",$H244=0),LEFT(LOWER(TRIM($F244&amp;"")),9)="free game",LOWER(TRIM($F244&amp;""))="free",LOWER(TRIM($F244&amp;""))="free entry"),IF(LOWER($D244&amp;"")="finalized",IF(ISNUMBER($K244),$K244,""),IF($O244&lt;&gt;"",$O244,"")),IF($K244&lt;&gt;"",$K244,IF($O244&lt;&gt;"",$O244,""))))))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IF(COUNTA($A244:$M244)=0,"",IF(OR(LEFT(LOWER(TRIM($F244&amp;"")),12)="subscription",LOWER(TRIM($F244&amp;""))="membership"),"Subscription",IF(OR(AND($H244&lt;&gt;"",$H244=0),LEFT(LOWER(TRIM($F244&amp;"")),9)="free game",LOWER(TRIM($F244&amp;""))="free",LOWER(TRIM($F244&amp;""))="free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IF(COUNTA($A245:$M245)=0,"",IF(OR(LEFT(LOWER(TRIM($F245&amp;"")),12)="subscription",LOWER(TRIM($F245&amp;""))="membership"),"",IF($G245="","",IF(ISNUMBER(SEARCH("non",LOWER($E245&amp;""))),$G245*0.85,$G245))))</x:f>
      </x:c>
      <x:c r="O245" s="987" t="str">
        <x:f>IF(COUNTA($A245:$M245)=0,"",IF(OR(LEFT(LOWER(TRIM($F245&amp;"")),12)="subscription",LOWER(TRIM($F245&amp;""))="membership"),"",IF(OR($N245="",$I245="",$I245=0),"",IFERROR($N245/$I245,""))))</x:f>
      </x:c>
      <x:c r="P245" s="987" t="str">
        <x:f>IF(COUNTA($A245:$M245)=0,"",IF(OR(LEFT(LOWER(TRIM($F245&amp;"")),12)="subscription",LOWER(TRIM($F245&amp;""))="membership"),"",IF(LOWER($L245&amp;"")="yes",0,IF(OR(AND($H245&lt;&gt;"",$H245=0),LEFT(LOWER(TRIM($F245&amp;"")),9)="free game",LOWER(TRIM($F245&amp;""))="free",LOWER(TRIM($F245&amp;""))="free entry"),IF(LOWER($D245&amp;"")="finalized",IF(ISNUMBER($K245),$K245,""),IF($O245&lt;&gt;"",$O245,"")),IF($K245&lt;&gt;"",$K245,IF($O245&lt;&gt;"",$O245,""))))))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IF(COUNTA($A245:$M245)=0,"",IF(OR(LEFT(LOWER(TRIM($F245&amp;"")),12)="subscription",LOWER(TRIM($F245&amp;""))="membership"),"Subscription",IF(OR(AND($H245&lt;&gt;"",$H245=0),LEFT(LOWER(TRIM($F245&amp;"")),9)="free game",LOWER(TRIM($F245&amp;""))="free",LOWER(TRIM($F245&amp;""))="free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IF(COUNTA($A246:$M246)=0,"",IF(OR(LEFT(LOWER(TRIM($F246&amp;"")),12)="subscription",LOWER(TRIM($F246&amp;""))="membership"),"",IF($G246="","",IF(ISNUMBER(SEARCH("non",LOWER($E246&amp;""))),$G246*0.85,$G246))))</x:f>
      </x:c>
      <x:c r="O246" s="987" t="str">
        <x:f>IF(COUNTA($A246:$M246)=0,"",IF(OR(LEFT(LOWER(TRIM($F246&amp;"")),12)="subscription",LOWER(TRIM($F246&amp;""))="membership"),"",IF(OR($N246="",$I246="",$I246=0),"",IFERROR($N246/$I246,""))))</x:f>
      </x:c>
      <x:c r="P246" s="987" t="str">
        <x:f>IF(COUNTA($A246:$M246)=0,"",IF(OR(LEFT(LOWER(TRIM($F246&amp;"")),12)="subscription",LOWER(TRIM($F246&amp;""))="membership"),"",IF(LOWER($L246&amp;"")="yes",0,IF(OR(AND($H246&lt;&gt;"",$H246=0),LEFT(LOWER(TRIM($F246&amp;"")),9)="free game",LOWER(TRIM($F246&amp;""))="free",LOWER(TRIM($F246&amp;""))="free entry"),IF(LOWER($D246&amp;"")="finalized",IF(ISNUMBER($K246),$K246,""),IF($O246&lt;&gt;"",$O246,"")),IF($K246&lt;&gt;"",$K246,IF($O246&lt;&gt;"",$O246,""))))))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IF(COUNTA($A246:$M246)=0,"",IF(OR(LEFT(LOWER(TRIM($F246&amp;"")),12)="subscription",LOWER(TRIM($F246&amp;""))="membership"),"Subscription",IF(OR(AND($H246&lt;&gt;"",$H246=0),LEFT(LOWER(TRIM($F246&amp;"")),9)="free game",LOWER(TRIM($F246&amp;""))="free",LOWER(TRIM($F246&amp;""))="free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IF(COUNTA($A247:$M247)=0,"",IF(OR(LEFT(LOWER(TRIM($F247&amp;"")),12)="subscription",LOWER(TRIM($F247&amp;""))="membership"),"",IF($G247="","",IF(ISNUMBER(SEARCH("non",LOWER($E247&amp;""))),$G247*0.85,$G247))))</x:f>
      </x:c>
      <x:c r="O247" s="987" t="str">
        <x:f>IF(COUNTA($A247:$M247)=0,"",IF(OR(LEFT(LOWER(TRIM($F247&amp;"")),12)="subscription",LOWER(TRIM($F247&amp;""))="membership"),"",IF(OR($N247="",$I247="",$I247=0),"",IFERROR($N247/$I247,""))))</x:f>
      </x:c>
      <x:c r="P247" s="987" t="str">
        <x:f>IF(COUNTA($A247:$M247)=0,"",IF(OR(LEFT(LOWER(TRIM($F247&amp;"")),12)="subscription",LOWER(TRIM($F247&amp;""))="membership"),"",IF(LOWER($L247&amp;"")="yes",0,IF(OR(AND($H247&lt;&gt;"",$H247=0),LEFT(LOWER(TRIM($F247&amp;"")),9)="free game",LOWER(TRIM($F247&amp;""))="free",LOWER(TRIM($F247&amp;""))="free entry"),IF(LOWER($D247&amp;"")="finalized",IF(ISNUMBER($K247),$K247,""),IF($O247&lt;&gt;"",$O247,"")),IF($K247&lt;&gt;"",$K247,IF($O247&lt;&gt;"",$O247,""))))))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IF(COUNTA($A247:$M247)=0,"",IF(OR(LEFT(LOWER(TRIM($F247&amp;"")),12)="subscription",LOWER(TRIM($F247&amp;""))="membership"),"Subscription",IF(OR(AND($H247&lt;&gt;"",$H247=0),LEFT(LOWER(TRIM($F247&amp;"")),9)="free game",LOWER(TRIM($F247&amp;""))="free",LOWER(TRIM($F247&amp;""))="free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IF(COUNTA($A248:$M248)=0,"",IF(OR(LEFT(LOWER(TRIM($F248&amp;"")),12)="subscription",LOWER(TRIM($F248&amp;""))="membership"),"",IF($G248="","",IF(ISNUMBER(SEARCH("non",LOWER($E248&amp;""))),$G248*0.85,$G248))))</x:f>
      </x:c>
      <x:c r="O248" s="987" t="str">
        <x:f>IF(COUNTA($A248:$M248)=0,"",IF(OR(LEFT(LOWER(TRIM($F248&amp;"")),12)="subscription",LOWER(TRIM($F248&amp;""))="membership"),"",IF(OR($N248="",$I248="",$I248=0),"",IFERROR($N248/$I248,""))))</x:f>
      </x:c>
      <x:c r="P248" s="987" t="str">
        <x:f>IF(COUNTA($A248:$M248)=0,"",IF(OR(LEFT(LOWER(TRIM($F248&amp;"")),12)="subscription",LOWER(TRIM($F248&amp;""))="membership"),"",IF(LOWER($L248&amp;"")="yes",0,IF(OR(AND($H248&lt;&gt;"",$H248=0),LEFT(LOWER(TRIM($F248&amp;"")),9)="free game",LOWER(TRIM($F248&amp;""))="free",LOWER(TRIM($F248&amp;""))="free entry"),IF(LOWER($D248&amp;"")="finalized",IF(ISNUMBER($K248),$K248,""),IF($O248&lt;&gt;"",$O248,"")),IF($K248&lt;&gt;"",$K248,IF($O248&lt;&gt;"",$O248,""))))))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IF(COUNTA($A248:$M248)=0,"",IF(OR(LEFT(LOWER(TRIM($F248&amp;"")),12)="subscription",LOWER(TRIM($F248&amp;""))="membership"),"Subscription",IF(OR(AND($H248&lt;&gt;"",$H248=0),LEFT(LOWER(TRIM($F248&amp;"")),9)="free game",LOWER(TRIM($F248&amp;""))="free",LOWER(TRIM($F248&amp;""))="free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IF(COUNTA($A249:$M249)=0,"",IF(OR(LEFT(LOWER(TRIM($F249&amp;"")),12)="subscription",LOWER(TRIM($F249&amp;""))="membership"),"",IF($G249="","",IF(ISNUMBER(SEARCH("non",LOWER($E249&amp;""))),$G249*0.85,$G249))))</x:f>
      </x:c>
      <x:c r="O249" s="987" t="str">
        <x:f>IF(COUNTA($A249:$M249)=0,"",IF(OR(LEFT(LOWER(TRIM($F249&amp;"")),12)="subscription",LOWER(TRIM($F249&amp;""))="membership"),"",IF(OR($N249="",$I249="",$I249=0),"",IFERROR($N249/$I249,""))))</x:f>
      </x:c>
      <x:c r="P249" s="987" t="str">
        <x:f>IF(COUNTA($A249:$M249)=0,"",IF(OR(LEFT(LOWER(TRIM($F249&amp;"")),12)="subscription",LOWER(TRIM($F249&amp;""))="membership"),"",IF(LOWER($L249&amp;"")="yes",0,IF(OR(AND($H249&lt;&gt;"",$H249=0),LEFT(LOWER(TRIM($F249&amp;"")),9)="free game",LOWER(TRIM($F249&amp;""))="free",LOWER(TRIM($F249&amp;""))="free entry"),IF(LOWER($D249&amp;"")="finalized",IF(ISNUMBER($K249),$K249,""),IF($O249&lt;&gt;"",$O249,"")),IF($K249&lt;&gt;"",$K249,IF($O249&lt;&gt;"",$O249,""))))))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IF(COUNTA($A249:$M249)=0,"",IF(OR(LEFT(LOWER(TRIM($F249&amp;"")),12)="subscription",LOWER(TRIM($F249&amp;""))="membership"),"Subscription",IF(OR(AND($H249&lt;&gt;"",$H249=0),LEFT(LOWER(TRIM($F249&amp;"")),9)="free game",LOWER(TRIM($F249&amp;""))="free",LOWER(TRIM($F249&amp;""))="free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IF(COUNTA($A250:$M250)=0,"",IF(OR(LEFT(LOWER(TRIM($F250&amp;"")),12)="subscription",LOWER(TRIM($F250&amp;""))="membership"),"",IF($G250="","",IF(ISNUMBER(SEARCH("non",LOWER($E250&amp;""))),$G250*0.85,$G250))))</x:f>
      </x:c>
      <x:c r="O250" s="987" t="str">
        <x:f>IF(COUNTA($A250:$M250)=0,"",IF(OR(LEFT(LOWER(TRIM($F250&amp;"")),12)="subscription",LOWER(TRIM($F250&amp;""))="membership"),"",IF(OR($N250="",$I250="",$I250=0),"",IFERROR($N250/$I250,""))))</x:f>
      </x:c>
      <x:c r="P250" s="987" t="str">
        <x:f>IF(COUNTA($A250:$M250)=0,"",IF(OR(LEFT(LOWER(TRIM($F250&amp;"")),12)="subscription",LOWER(TRIM($F250&amp;""))="membership"),"",IF(LOWER($L250&amp;"")="yes",0,IF(OR(AND($H250&lt;&gt;"",$H250=0),LEFT(LOWER(TRIM($F250&amp;"")),9)="free game",LOWER(TRIM($F250&amp;""))="free",LOWER(TRIM($F250&amp;""))="free entry"),IF(LOWER($D250&amp;"")="finalized",IF(ISNUMBER($K250),$K250,""),IF($O250&lt;&gt;"",$O250,"")),IF($K250&lt;&gt;"",$K250,IF($O250&lt;&gt;"",$O250,""))))))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IF(COUNTA($A250:$M250)=0,"",IF(OR(LEFT(LOWER(TRIM($F250&amp;"")),12)="subscription",LOWER(TRIM($F250&amp;""))="membership"),"Subscription",IF(OR(AND($H250&lt;&gt;"",$H250=0),LEFT(LOWER(TRIM($F250&amp;"")),9)="free game",LOWER(TRIM($F250&amp;""))="free",LOWER(TRIM($F250&amp;""))="free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IF(COUNTA($A251:$M251)=0,"",IF(OR(LEFT(LOWER(TRIM($F251&amp;"")),12)="subscription",LOWER(TRIM($F251&amp;""))="membership"),"",IF($G251="","",IF(ISNUMBER(SEARCH("non",LOWER($E251&amp;""))),$G251*0.85,$G251))))</x:f>
      </x:c>
      <x:c r="O251" s="987" t="str">
        <x:f>IF(COUNTA($A251:$M251)=0,"",IF(OR(LEFT(LOWER(TRIM($F251&amp;"")),12)="subscription",LOWER(TRIM($F251&amp;""))="membership"),"",IF(OR($N251="",$I251="",$I251=0),"",IFERROR($N251/$I251,""))))</x:f>
      </x:c>
      <x:c r="P251" s="987" t="str">
        <x:f>IF(COUNTA($A251:$M251)=0,"",IF(OR(LEFT(LOWER(TRIM($F251&amp;"")),12)="subscription",LOWER(TRIM($F251&amp;""))="membership"),"",IF(LOWER($L251&amp;"")="yes",0,IF(OR(AND($H251&lt;&gt;"",$H251=0),LEFT(LOWER(TRIM($F251&amp;"")),9)="free game",LOWER(TRIM($F251&amp;""))="free",LOWER(TRIM($F251&amp;""))="free entry"),IF(LOWER($D251&amp;"")="finalized",IF(ISNUMBER($K251),$K251,""),IF($O251&lt;&gt;"",$O251,"")),IF($K251&lt;&gt;"",$K251,IF($O251&lt;&gt;"",$O251,""))))))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IF(COUNTA($A251:$M251)=0,"",IF(OR(LEFT(LOWER(TRIM($F251&amp;"")),12)="subscription",LOWER(TRIM($F251&amp;""))="membership"),"Subscription",IF(OR(AND($H251&lt;&gt;"",$H251=0),LEFT(LOWER(TRIM($F251&amp;"")),9)="free game",LOWER(TRIM($F251&amp;""))="free",LOWER(TRIM($F251&amp;""))="free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IF(COUNTA($A252:$M252)=0,"",IF(OR(LEFT(LOWER(TRIM($F252&amp;"")),12)="subscription",LOWER(TRIM($F252&amp;""))="membership"),"",IF($G252="","",IF(ISNUMBER(SEARCH("non",LOWER($E252&amp;""))),$G252*0.85,$G252))))</x:f>
      </x:c>
      <x:c r="O252" s="987" t="str">
        <x:f>IF(COUNTA($A252:$M252)=0,"",IF(OR(LEFT(LOWER(TRIM($F252&amp;"")),12)="subscription",LOWER(TRIM($F252&amp;""))="membership"),"",IF(OR($N252="",$I252="",$I252=0),"",IFERROR($N252/$I252,""))))</x:f>
      </x:c>
      <x:c r="P252" s="987" t="str">
        <x:f>IF(COUNTA($A252:$M252)=0,"",IF(OR(LEFT(LOWER(TRIM($F252&amp;"")),12)="subscription",LOWER(TRIM($F252&amp;""))="membership"),"",IF(LOWER($L252&amp;"")="yes",0,IF(OR(AND($H252&lt;&gt;"",$H252=0),LEFT(LOWER(TRIM($F252&amp;"")),9)="free game",LOWER(TRIM($F252&amp;""))="free",LOWER(TRIM($F252&amp;""))="free entry"),IF(LOWER($D252&amp;"")="finalized",IF(ISNUMBER($K252),$K252,""),IF($O252&lt;&gt;"",$O252,"")),IF($K252&lt;&gt;"",$K252,IF($O252&lt;&gt;"",$O252,""))))))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IF(COUNTA($A252:$M252)=0,"",IF(OR(LEFT(LOWER(TRIM($F252&amp;"")),12)="subscription",LOWER(TRIM($F252&amp;""))="membership"),"Subscription",IF(OR(AND($H252&lt;&gt;"",$H252=0),LEFT(LOWER(TRIM($F252&amp;"")),9)="free game",LOWER(TRIM($F252&amp;""))="free",LOWER(TRIM($F252&amp;""))="free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IF(COUNTA($A253:$M253)=0,"",IF(OR(LEFT(LOWER(TRIM($F253&amp;"")),12)="subscription",LOWER(TRIM($F253&amp;""))="membership"),"",IF($G253="","",IF(ISNUMBER(SEARCH("non",LOWER($E253&amp;""))),$G253*0.85,$G253))))</x:f>
      </x:c>
      <x:c r="O253" s="987" t="str">
        <x:f>IF(COUNTA($A253:$M253)=0,"",IF(OR(LEFT(LOWER(TRIM($F253&amp;"")),12)="subscription",LOWER(TRIM($F253&amp;""))="membership"),"",IF(OR($N253="",$I253="",$I253=0),"",IFERROR($N253/$I253,""))))</x:f>
      </x:c>
      <x:c r="P253" s="987" t="str">
        <x:f>IF(COUNTA($A253:$M253)=0,"",IF(OR(LEFT(LOWER(TRIM($F253&amp;"")),12)="subscription",LOWER(TRIM($F253&amp;""))="membership"),"",IF(LOWER($L253&amp;"")="yes",0,IF(OR(AND($H253&lt;&gt;"",$H253=0),LEFT(LOWER(TRIM($F253&amp;"")),9)="free game",LOWER(TRIM($F253&amp;""))="free",LOWER(TRIM($F253&amp;""))="free entry"),IF(LOWER($D253&amp;"")="finalized",IF(ISNUMBER($K253),$K253,""),IF($O253&lt;&gt;"",$O253,"")),IF($K253&lt;&gt;"",$K253,IF($O253&lt;&gt;"",$O253,""))))))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IF(COUNTA($A253:$M253)=0,"",IF(OR(LEFT(LOWER(TRIM($F253&amp;"")),12)="subscription",LOWER(TRIM($F253&amp;""))="membership"),"Subscription",IF(OR(AND($H253&lt;&gt;"",$H253=0),LEFT(LOWER(TRIM($F253&amp;"")),9)="free game",LOWER(TRIM($F253&amp;""))="free",LOWER(TRIM($F253&amp;""))="free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IF(COUNTA($A254:$M254)=0,"",IF(OR(LEFT(LOWER(TRIM($F254&amp;"")),12)="subscription",LOWER(TRIM($F254&amp;""))="membership"),"",IF($G254="","",IF(ISNUMBER(SEARCH("non",LOWER($E254&amp;""))),$G254*0.85,$G254))))</x:f>
      </x:c>
      <x:c r="O254" s="987" t="str">
        <x:f>IF(COUNTA($A254:$M254)=0,"",IF(OR(LEFT(LOWER(TRIM($F254&amp;"")),12)="subscription",LOWER(TRIM($F254&amp;""))="membership"),"",IF(OR($N254="",$I254="",$I254=0),"",IFERROR($N254/$I254,""))))</x:f>
      </x:c>
      <x:c r="P254" s="987" t="str">
        <x:f>IF(COUNTA($A254:$M254)=0,"",IF(OR(LEFT(LOWER(TRIM($F254&amp;"")),12)="subscription",LOWER(TRIM($F254&amp;""))="membership"),"",IF(LOWER($L254&amp;"")="yes",0,IF(OR(AND($H254&lt;&gt;"",$H254=0),LEFT(LOWER(TRIM($F254&amp;"")),9)="free game",LOWER(TRIM($F254&amp;""))="free",LOWER(TRIM($F254&amp;""))="free entry"),IF(LOWER($D254&amp;"")="finalized",IF(ISNUMBER($K254),$K254,""),IF($O254&lt;&gt;"",$O254,"")),IF($K254&lt;&gt;"",$K254,IF($O254&lt;&gt;"",$O254,""))))))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IF(COUNTA($A254:$M254)=0,"",IF(OR(LEFT(LOWER(TRIM($F254&amp;"")),12)="subscription",LOWER(TRIM($F254&amp;""))="membership"),"Subscription",IF(OR(AND($H254&lt;&gt;"",$H254=0),LEFT(LOWER(TRIM($F254&amp;"")),9)="free game",LOWER(TRIM($F254&amp;""))="free",LOWER(TRIM($F254&amp;""))="free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IF(COUNTA($A255:$M255)=0,"",IF(OR(LEFT(LOWER(TRIM($F255&amp;"")),12)="subscription",LOWER(TRIM($F255&amp;""))="membership"),"",IF($G255="","",IF(ISNUMBER(SEARCH("non",LOWER($E255&amp;""))),$G255*0.85,$G255))))</x:f>
      </x:c>
      <x:c r="O255" s="987" t="str">
        <x:f>IF(COUNTA($A255:$M255)=0,"",IF(OR(LEFT(LOWER(TRIM($F255&amp;"")),12)="subscription",LOWER(TRIM($F255&amp;""))="membership"),"",IF(OR($N255="",$I255="",$I255=0),"",IFERROR($N255/$I255,""))))</x:f>
      </x:c>
      <x:c r="P255" s="987" t="str">
        <x:f>IF(COUNTA($A255:$M255)=0,"",IF(OR(LEFT(LOWER(TRIM($F255&amp;"")),12)="subscription",LOWER(TRIM($F255&amp;""))="membership"),"",IF(LOWER($L255&amp;"")="yes",0,IF(OR(AND($H255&lt;&gt;"",$H255=0),LEFT(LOWER(TRIM($F255&amp;"")),9)="free game",LOWER(TRIM($F255&amp;""))="free",LOWER(TRIM($F255&amp;""))="free entry"),IF(LOWER($D255&amp;"")="finalized",IF(ISNUMBER($K255),$K255,""),IF($O255&lt;&gt;"",$O255,"")),IF($K255&lt;&gt;"",$K255,IF($O255&lt;&gt;"",$O255,""))))))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IF(COUNTA($A255:$M255)=0,"",IF(OR(LEFT(LOWER(TRIM($F255&amp;"")),12)="subscription",LOWER(TRIM($F255&amp;""))="membership"),"Subscription",IF(OR(AND($H255&lt;&gt;"",$H255=0),LEFT(LOWER(TRIM($F255&amp;"")),9)="free game",LOWER(TRIM($F255&amp;""))="free",LOWER(TRIM($F255&amp;""))="free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IF(COUNTA($A256:$M256)=0,"",IF(OR(LEFT(LOWER(TRIM($F256&amp;"")),12)="subscription",LOWER(TRIM($F256&amp;""))="membership"),"",IF($G256="","",IF(ISNUMBER(SEARCH("non",LOWER($E256&amp;""))),$G256*0.85,$G256))))</x:f>
      </x:c>
      <x:c r="O256" s="987" t="str">
        <x:f>IF(COUNTA($A256:$M256)=0,"",IF(OR(LEFT(LOWER(TRIM($F256&amp;"")),12)="subscription",LOWER(TRIM($F256&amp;""))="membership"),"",IF(OR($N256="",$I256="",$I256=0),"",IFERROR($N256/$I256,""))))</x:f>
      </x:c>
      <x:c r="P256" s="987" t="str">
        <x:f>IF(COUNTA($A256:$M256)=0,"",IF(OR(LEFT(LOWER(TRIM($F256&amp;"")),12)="subscription",LOWER(TRIM($F256&amp;""))="membership"),"",IF(LOWER($L256&amp;"")="yes",0,IF(OR(AND($H256&lt;&gt;"",$H256=0),LEFT(LOWER(TRIM($F256&amp;"")),9)="free game",LOWER(TRIM($F256&amp;""))="free",LOWER(TRIM($F256&amp;""))="free entry"),IF(LOWER($D256&amp;"")="finalized",IF(ISNUMBER($K256),$K256,""),IF($O256&lt;&gt;"",$O256,"")),IF($K256&lt;&gt;"",$K256,IF($O256&lt;&gt;"",$O256,""))))))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IF(COUNTA($A256:$M256)=0,"",IF(OR(LEFT(LOWER(TRIM($F256&amp;"")),12)="subscription",LOWER(TRIM($F256&amp;""))="membership"),"Subscription",IF(OR(AND($H256&lt;&gt;"",$H256=0),LEFT(LOWER(TRIM($F256&amp;"")),9)="free game",LOWER(TRIM($F256&amp;""))="free",LOWER(TRIM($F256&amp;""))="free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IF(COUNTA($A257:$M257)=0,"",IF(OR(LEFT(LOWER(TRIM($F257&amp;"")),12)="subscription",LOWER(TRIM($F257&amp;""))="membership"),"",IF($G257="","",IF(ISNUMBER(SEARCH("non",LOWER($E257&amp;""))),$G257*0.85,$G257))))</x:f>
      </x:c>
      <x:c r="O257" s="987" t="str">
        <x:f>IF(COUNTA($A257:$M257)=0,"",IF(OR(LEFT(LOWER(TRIM($F257&amp;"")),12)="subscription",LOWER(TRIM($F257&amp;""))="membership"),"",IF(OR($N257="",$I257="",$I257=0),"",IFERROR($N257/$I257,""))))</x:f>
      </x:c>
      <x:c r="P257" s="987" t="str">
        <x:f>IF(COUNTA($A257:$M257)=0,"",IF(OR(LEFT(LOWER(TRIM($F257&amp;"")),12)="subscription",LOWER(TRIM($F257&amp;""))="membership"),"",IF(LOWER($L257&amp;"")="yes",0,IF(OR(AND($H257&lt;&gt;"",$H257=0),LEFT(LOWER(TRIM($F257&amp;"")),9)="free game",LOWER(TRIM($F257&amp;""))="free",LOWER(TRIM($F257&amp;""))="free entry"),IF(LOWER($D257&amp;"")="finalized",IF(ISNUMBER($K257),$K257,""),IF($O257&lt;&gt;"",$O257,"")),IF($K257&lt;&gt;"",$K257,IF($O257&lt;&gt;"",$O257,""))))))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IF(COUNTA($A257:$M257)=0,"",IF(OR(LEFT(LOWER(TRIM($F257&amp;"")),12)="subscription",LOWER(TRIM($F257&amp;""))="membership"),"Subscription",IF(OR(AND($H257&lt;&gt;"",$H257=0),LEFT(LOWER(TRIM($F257&amp;"")),9)="free game",LOWER(TRIM($F257&amp;""))="free",LOWER(TRIM($F257&amp;""))="free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IF(COUNTA($A258:$M258)=0,"",IF(OR(LEFT(LOWER(TRIM($F258&amp;"")),12)="subscription",LOWER(TRIM($F258&amp;""))="membership"),"",IF($G258="","",IF(ISNUMBER(SEARCH("non",LOWER($E258&amp;""))),$G258*0.85,$G258))))</x:f>
      </x:c>
      <x:c r="O258" s="987" t="str">
        <x:f>IF(COUNTA($A258:$M258)=0,"",IF(OR(LEFT(LOWER(TRIM($F258&amp;"")),12)="subscription",LOWER(TRIM($F258&amp;""))="membership"),"",IF(OR($N258="",$I258="",$I258=0),"",IFERROR($N258/$I258,""))))</x:f>
      </x:c>
      <x:c r="P258" s="987" t="str">
        <x:f>IF(COUNTA($A258:$M258)=0,"",IF(OR(LEFT(LOWER(TRIM($F258&amp;"")),12)="subscription",LOWER(TRIM($F258&amp;""))="membership"),"",IF(LOWER($L258&amp;"")="yes",0,IF(OR(AND($H258&lt;&gt;"",$H258=0),LEFT(LOWER(TRIM($F258&amp;"")),9)="free game",LOWER(TRIM($F258&amp;""))="free",LOWER(TRIM($F258&amp;""))="free entry"),IF(LOWER($D258&amp;"")="finalized",IF(ISNUMBER($K258),$K258,""),IF($O258&lt;&gt;"",$O258,"")),IF($K258&lt;&gt;"",$K258,IF($O258&lt;&gt;"",$O258,""))))))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IF(COUNTA($A258:$M258)=0,"",IF(OR(LEFT(LOWER(TRIM($F258&amp;"")),12)="subscription",LOWER(TRIM($F258&amp;""))="membership"),"Subscription",IF(OR(AND($H258&lt;&gt;"",$H258=0),LEFT(LOWER(TRIM($F258&amp;"")),9)="free game",LOWER(TRIM($F258&amp;""))="free",LOWER(TRIM($F258&amp;""))="free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IF(COUNTA($A259:$M259)=0,"",IF(OR(LEFT(LOWER(TRIM($F259&amp;"")),12)="subscription",LOWER(TRIM($F259&amp;""))="membership"),"",IF($G259="","",IF(ISNUMBER(SEARCH("non",LOWER($E259&amp;""))),$G259*0.85,$G259))))</x:f>
      </x:c>
      <x:c r="O259" s="987" t="str">
        <x:f>IF(COUNTA($A259:$M259)=0,"",IF(OR(LEFT(LOWER(TRIM($F259&amp;"")),12)="subscription",LOWER(TRIM($F259&amp;""))="membership"),"",IF(OR($N259="",$I259="",$I259=0),"",IFERROR($N259/$I259,""))))</x:f>
      </x:c>
      <x:c r="P259" s="987" t="str">
        <x:f>IF(COUNTA($A259:$M259)=0,"",IF(OR(LEFT(LOWER(TRIM($F259&amp;"")),12)="subscription",LOWER(TRIM($F259&amp;""))="membership"),"",IF(LOWER($L259&amp;"")="yes",0,IF(OR(AND($H259&lt;&gt;"",$H259=0),LEFT(LOWER(TRIM($F259&amp;"")),9)="free game",LOWER(TRIM($F259&amp;""))="free",LOWER(TRIM($F259&amp;""))="free entry"),IF(LOWER($D259&amp;"")="finalized",IF(ISNUMBER($K259),$K259,""),IF($O259&lt;&gt;"",$O259,"")),IF($K259&lt;&gt;"",$K259,IF($O259&lt;&gt;"",$O259,""))))))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IF(COUNTA($A259:$M259)=0,"",IF(OR(LEFT(LOWER(TRIM($F259&amp;"")),12)="subscription",LOWER(TRIM($F259&amp;""))="membership"),"Subscription",IF(OR(AND($H259&lt;&gt;"",$H259=0),LEFT(LOWER(TRIM($F259&amp;"")),9)="free game",LOWER(TRIM($F259&amp;""))="free",LOWER(TRIM($F259&amp;""))="free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IF(COUNTA($A260:$M260)=0,"",IF(OR(LEFT(LOWER(TRIM($F260&amp;"")),12)="subscription",LOWER(TRIM($F260&amp;""))="membership"),"",IF($G260="","",IF(ISNUMBER(SEARCH("non",LOWER($E260&amp;""))),$G260*0.85,$G260))))</x:f>
      </x:c>
      <x:c r="O260" s="987" t="str">
        <x:f>IF(COUNTA($A260:$M260)=0,"",IF(OR(LEFT(LOWER(TRIM($F260&amp;"")),12)="subscription",LOWER(TRIM($F260&amp;""))="membership"),"",IF(OR($N260="",$I260="",$I260=0),"",IFERROR($N260/$I260,""))))</x:f>
      </x:c>
      <x:c r="P260" s="987" t="str">
        <x:f>IF(COUNTA($A260:$M260)=0,"",IF(OR(LEFT(LOWER(TRIM($F260&amp;"")),12)="subscription",LOWER(TRIM($F260&amp;""))="membership"),"",IF(LOWER($L260&amp;"")="yes",0,IF(OR(AND($H260&lt;&gt;"",$H260=0),LEFT(LOWER(TRIM($F260&amp;"")),9)="free game",LOWER(TRIM($F260&amp;""))="free",LOWER(TRIM($F260&amp;""))="free entry"),IF(LOWER($D260&amp;"")="finalized",IF(ISNUMBER($K260),$K260,""),IF($O260&lt;&gt;"",$O260,"")),IF($K260&lt;&gt;"",$K260,IF($O260&lt;&gt;"",$O260,""))))))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IF(COUNTA($A260:$M260)=0,"",IF(OR(LEFT(LOWER(TRIM($F260&amp;"")),12)="subscription",LOWER(TRIM($F260&amp;""))="membership"),"Subscription",IF(OR(AND($H260&lt;&gt;"",$H260=0),LEFT(LOWER(TRIM($F260&amp;"")),9)="free game",LOWER(TRIM($F260&amp;""))="free",LOWER(TRIM($F260&amp;""))="free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IF(COUNTA($A261:$M261)=0,"",IF(OR(LEFT(LOWER(TRIM($F261&amp;"")),12)="subscription",LOWER(TRIM($F261&amp;""))="membership"),"",IF($G261="","",IF(ISNUMBER(SEARCH("non",LOWER($E261&amp;""))),$G261*0.85,$G261))))</x:f>
      </x:c>
      <x:c r="O261" s="987" t="str">
        <x:f>IF(COUNTA($A261:$M261)=0,"",IF(OR(LEFT(LOWER(TRIM($F261&amp;"")),12)="subscription",LOWER(TRIM($F261&amp;""))="membership"),"",IF(OR($N261="",$I261="",$I261=0),"",IFERROR($N261/$I261,""))))</x:f>
      </x:c>
      <x:c r="P261" s="987" t="str">
        <x:f>IF(COUNTA($A261:$M261)=0,"",IF(OR(LEFT(LOWER(TRIM($F261&amp;"")),12)="subscription",LOWER(TRIM($F261&amp;""))="membership"),"",IF(LOWER($L261&amp;"")="yes",0,IF(OR(AND($H261&lt;&gt;"",$H261=0),LEFT(LOWER(TRIM($F261&amp;"")),9)="free game",LOWER(TRIM($F261&amp;""))="free",LOWER(TRIM($F261&amp;""))="free entry"),IF(LOWER($D261&amp;"")="finalized",IF(ISNUMBER($K261),$K261,""),IF($O261&lt;&gt;"",$O261,"")),IF($K261&lt;&gt;"",$K261,IF($O261&lt;&gt;"",$O261,""))))))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IF(COUNTA($A261:$M261)=0,"",IF(OR(LEFT(LOWER(TRIM($F261&amp;"")),12)="subscription",LOWER(TRIM($F261&amp;""))="membership"),"Subscription",IF(OR(AND($H261&lt;&gt;"",$H261=0),LEFT(LOWER(TRIM($F261&amp;"")),9)="free game",LOWER(TRIM($F261&amp;""))="free",LOWER(TRIM($F261&amp;""))="free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IF(COUNTA($A262:$M262)=0,"",IF(OR(LEFT(LOWER(TRIM($F262&amp;"")),12)="subscription",LOWER(TRIM($F262&amp;""))="membership"),"",IF($G262="","",IF(ISNUMBER(SEARCH("non",LOWER($E262&amp;""))),$G262*0.85,$G262))))</x:f>
      </x:c>
      <x:c r="O262" s="987" t="str">
        <x:f>IF(COUNTA($A262:$M262)=0,"",IF(OR(LEFT(LOWER(TRIM($F262&amp;"")),12)="subscription",LOWER(TRIM($F262&amp;""))="membership"),"",IF(OR($N262="",$I262="",$I262=0),"",IFERROR($N262/$I262,""))))</x:f>
      </x:c>
      <x:c r="P262" s="987" t="str">
        <x:f>IF(COUNTA($A262:$M262)=0,"",IF(OR(LEFT(LOWER(TRIM($F262&amp;"")),12)="subscription",LOWER(TRIM($F262&amp;""))="membership"),"",IF(LOWER($L262&amp;"")="yes",0,IF(OR(AND($H262&lt;&gt;"",$H262=0),LEFT(LOWER(TRIM($F262&amp;"")),9)="free game",LOWER(TRIM($F262&amp;""))="free",LOWER(TRIM($F262&amp;""))="free entry"),IF(LOWER($D262&amp;"")="finalized",IF(ISNUMBER($K262),$K262,""),IF($O262&lt;&gt;"",$O262,"")),IF($K262&lt;&gt;"",$K262,IF($O262&lt;&gt;"",$O262,""))))))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IF(COUNTA($A262:$M262)=0,"",IF(OR(LEFT(LOWER(TRIM($F262&amp;"")),12)="subscription",LOWER(TRIM($F262&amp;""))="membership"),"Subscription",IF(OR(AND($H262&lt;&gt;"",$H262=0),LEFT(LOWER(TRIM($F262&amp;"")),9)="free game",LOWER(TRIM($F262&amp;""))="free",LOWER(TRIM($F262&amp;""))="free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IF(COUNTA($A263:$M263)=0,"",IF(OR(LEFT(LOWER(TRIM($F263&amp;"")),12)="subscription",LOWER(TRIM($F263&amp;""))="membership"),"",IF($G263="","",IF(ISNUMBER(SEARCH("non",LOWER($E263&amp;""))),$G263*0.85,$G263))))</x:f>
      </x:c>
      <x:c r="O263" s="987" t="str">
        <x:f>IF(COUNTA($A263:$M263)=0,"",IF(OR(LEFT(LOWER(TRIM($F263&amp;"")),12)="subscription",LOWER(TRIM($F263&amp;""))="membership"),"",IF(OR($N263="",$I263="",$I263=0),"",IFERROR($N263/$I263,""))))</x:f>
      </x:c>
      <x:c r="P263" s="987" t="str">
        <x:f>IF(COUNTA($A263:$M263)=0,"",IF(OR(LEFT(LOWER(TRIM($F263&amp;"")),12)="subscription",LOWER(TRIM($F263&amp;""))="membership"),"",IF(LOWER($L263&amp;"")="yes",0,IF(OR(AND($H263&lt;&gt;"",$H263=0),LEFT(LOWER(TRIM($F263&amp;"")),9)="free game",LOWER(TRIM($F263&amp;""))="free",LOWER(TRIM($F263&amp;""))="free entry"),IF(LOWER($D263&amp;"")="finalized",IF(ISNUMBER($K263),$K263,""),IF($O263&lt;&gt;"",$O263,"")),IF($K263&lt;&gt;"",$K263,IF($O263&lt;&gt;"",$O263,""))))))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IF(COUNTA($A263:$M263)=0,"",IF(OR(LEFT(LOWER(TRIM($F263&amp;"")),12)="subscription",LOWER(TRIM($F263&amp;""))="membership"),"Subscription",IF(OR(AND($H263&lt;&gt;"",$H263=0),LEFT(LOWER(TRIM($F263&amp;"")),9)="free game",LOWER(TRIM($F263&amp;""))="free",LOWER(TRIM($F263&amp;""))="free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IF(COUNTA($A264:$M264)=0,"",IF(OR(LEFT(LOWER(TRIM($F264&amp;"")),12)="subscription",LOWER(TRIM($F264&amp;""))="membership"),"",IF($G264="","",IF(ISNUMBER(SEARCH("non",LOWER($E264&amp;""))),$G264*0.85,$G264))))</x:f>
      </x:c>
      <x:c r="O264" s="987" t="str">
        <x:f>IF(COUNTA($A264:$M264)=0,"",IF(OR(LEFT(LOWER(TRIM($F264&amp;"")),12)="subscription",LOWER(TRIM($F264&amp;""))="membership"),"",IF(OR($N264="",$I264="",$I264=0),"",IFERROR($N264/$I264,""))))</x:f>
      </x:c>
      <x:c r="P264" s="987" t="str">
        <x:f>IF(COUNTA($A264:$M264)=0,"",IF(OR(LEFT(LOWER(TRIM($F264&amp;"")),12)="subscription",LOWER(TRIM($F264&amp;""))="membership"),"",IF(LOWER($L264&amp;"")="yes",0,IF(OR(AND($H264&lt;&gt;"",$H264=0),LEFT(LOWER(TRIM($F264&amp;"")),9)="free game",LOWER(TRIM($F264&amp;""))="free",LOWER(TRIM($F264&amp;""))="free entry"),IF(LOWER($D264&amp;"")="finalized",IF(ISNUMBER($K264),$K264,""),IF($O264&lt;&gt;"",$O264,"")),IF($K264&lt;&gt;"",$K264,IF($O264&lt;&gt;"",$O264,""))))))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IF(COUNTA($A264:$M264)=0,"",IF(OR(LEFT(LOWER(TRIM($F264&amp;"")),12)="subscription",LOWER(TRIM($F264&amp;""))="membership"),"Subscription",IF(OR(AND($H264&lt;&gt;"",$H264=0),LEFT(LOWER(TRIM($F264&amp;"")),9)="free game",LOWER(TRIM($F264&amp;""))="free",LOWER(TRIM($F264&amp;""))="free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IF(COUNTA($A265:$M265)=0,"",IF(OR(LEFT(LOWER(TRIM($F265&amp;"")),12)="subscription",LOWER(TRIM($F265&amp;""))="membership"),"",IF($G265="","",IF(ISNUMBER(SEARCH("non",LOWER($E265&amp;""))),$G265*0.85,$G265))))</x:f>
      </x:c>
      <x:c r="O265" s="987" t="str">
        <x:f>IF(COUNTA($A265:$M265)=0,"",IF(OR(LEFT(LOWER(TRIM($F265&amp;"")),12)="subscription",LOWER(TRIM($F265&amp;""))="membership"),"",IF(OR($N265="",$I265="",$I265=0),"",IFERROR($N265/$I265,""))))</x:f>
      </x:c>
      <x:c r="P265" s="987" t="str">
        <x:f>IF(COUNTA($A265:$M265)=0,"",IF(OR(LEFT(LOWER(TRIM($F265&amp;"")),12)="subscription",LOWER(TRIM($F265&amp;""))="membership"),"",IF(LOWER($L265&amp;"")="yes",0,IF(OR(AND($H265&lt;&gt;"",$H265=0),LEFT(LOWER(TRIM($F265&amp;"")),9)="free game",LOWER(TRIM($F265&amp;""))="free",LOWER(TRIM($F265&amp;""))="free entry"),IF(LOWER($D265&amp;"")="finalized",IF(ISNUMBER($K265),$K265,""),IF($O265&lt;&gt;"",$O265,"")),IF($K265&lt;&gt;"",$K265,IF($O265&lt;&gt;"",$O265,""))))))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IF(COUNTA($A265:$M265)=0,"",IF(OR(LEFT(LOWER(TRIM($F265&amp;"")),12)="subscription",LOWER(TRIM($F265&amp;""))="membership"),"Subscription",IF(OR(AND($H265&lt;&gt;"",$H265=0),LEFT(LOWER(TRIM($F265&amp;"")),9)="free game",LOWER(TRIM($F265&amp;""))="free",LOWER(TRIM($F265&amp;""))="free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IF(COUNTA($A266:$M266)=0,"",IF(OR(LEFT(LOWER(TRIM($F266&amp;"")),12)="subscription",LOWER(TRIM($F266&amp;""))="membership"),"",IF($G266="","",IF(ISNUMBER(SEARCH("non",LOWER($E266&amp;""))),$G266*0.85,$G266))))</x:f>
      </x:c>
      <x:c r="O266" s="987" t="str">
        <x:f>IF(COUNTA($A266:$M266)=0,"",IF(OR(LEFT(LOWER(TRIM($F266&amp;"")),12)="subscription",LOWER(TRIM($F266&amp;""))="membership"),"",IF(OR($N266="",$I266="",$I266=0),"",IFERROR($N266/$I266,""))))</x:f>
      </x:c>
      <x:c r="P266" s="987" t="str">
        <x:f>IF(COUNTA($A266:$M266)=0,"",IF(OR(LEFT(LOWER(TRIM($F266&amp;"")),12)="subscription",LOWER(TRIM($F266&amp;""))="membership"),"",IF(LOWER($L266&amp;"")="yes",0,IF(OR(AND($H266&lt;&gt;"",$H266=0),LEFT(LOWER(TRIM($F266&amp;"")),9)="free game",LOWER(TRIM($F266&amp;""))="free",LOWER(TRIM($F266&amp;""))="free entry"),IF(LOWER($D266&amp;"")="finalized",IF(ISNUMBER($K266),$K266,""),IF($O266&lt;&gt;"",$O266,"")),IF($K266&lt;&gt;"",$K266,IF($O266&lt;&gt;"",$O266,""))))))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IF(COUNTA($A266:$M266)=0,"",IF(OR(LEFT(LOWER(TRIM($F266&amp;"")),12)="subscription",LOWER(TRIM($F266&amp;""))="membership"),"Subscription",IF(OR(AND($H266&lt;&gt;"",$H266=0),LEFT(LOWER(TRIM($F266&amp;"")),9)="free game",LOWER(TRIM($F266&amp;""))="free",LOWER(TRIM($F266&amp;""))="free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IF(COUNTA($A267:$M267)=0,"",IF(OR(LEFT(LOWER(TRIM($F267&amp;"")),12)="subscription",LOWER(TRIM($F267&amp;""))="membership"),"",IF($G267="","",IF(ISNUMBER(SEARCH("non",LOWER($E267&amp;""))),$G267*0.85,$G267))))</x:f>
      </x:c>
      <x:c r="O267" s="987" t="str">
        <x:f>IF(COUNTA($A267:$M267)=0,"",IF(OR(LEFT(LOWER(TRIM($F267&amp;"")),12)="subscription",LOWER(TRIM($F267&amp;""))="membership"),"",IF(OR($N267="",$I267="",$I267=0),"",IFERROR($N267/$I267,""))))</x:f>
      </x:c>
      <x:c r="P267" s="987" t="str">
        <x:f>IF(COUNTA($A267:$M267)=0,"",IF(OR(LEFT(LOWER(TRIM($F267&amp;"")),12)="subscription",LOWER(TRIM($F267&amp;""))="membership"),"",IF(LOWER($L267&amp;"")="yes",0,IF(OR(AND($H267&lt;&gt;"",$H267=0),LEFT(LOWER(TRIM($F267&amp;"")),9)="free game",LOWER(TRIM($F267&amp;""))="free",LOWER(TRIM($F267&amp;""))="free entry"),IF(LOWER($D267&amp;"")="finalized",IF(ISNUMBER($K267),$K267,""),IF($O267&lt;&gt;"",$O267,"")),IF($K267&lt;&gt;"",$K267,IF($O267&lt;&gt;"",$O267,""))))))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IF(COUNTA($A267:$M267)=0,"",IF(OR(LEFT(LOWER(TRIM($F267&amp;"")),12)="subscription",LOWER(TRIM($F267&amp;""))="membership"),"Subscription",IF(OR(AND($H267&lt;&gt;"",$H267=0),LEFT(LOWER(TRIM($F267&amp;"")),9)="free game",LOWER(TRIM($F267&amp;""))="free",LOWER(TRIM($F267&amp;""))="free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IF(COUNTA($A268:$M268)=0,"",IF(OR(LEFT(LOWER(TRIM($F268&amp;"")),12)="subscription",LOWER(TRIM($F268&amp;""))="membership"),"",IF($G268="","",IF(ISNUMBER(SEARCH("non",LOWER($E268&amp;""))),$G268*0.85,$G268))))</x:f>
      </x:c>
      <x:c r="O268" s="987" t="str">
        <x:f>IF(COUNTA($A268:$M268)=0,"",IF(OR(LEFT(LOWER(TRIM($F268&amp;"")),12)="subscription",LOWER(TRIM($F268&amp;""))="membership"),"",IF(OR($N268="",$I268="",$I268=0),"",IFERROR($N268/$I268,""))))</x:f>
      </x:c>
      <x:c r="P268" s="987" t="str">
        <x:f>IF(COUNTA($A268:$M268)=0,"",IF(OR(LEFT(LOWER(TRIM($F268&amp;"")),12)="subscription",LOWER(TRIM($F268&amp;""))="membership"),"",IF(LOWER($L268&amp;"")="yes",0,IF(OR(AND($H268&lt;&gt;"",$H268=0),LEFT(LOWER(TRIM($F268&amp;"")),9)="free game",LOWER(TRIM($F268&amp;""))="free",LOWER(TRIM($F268&amp;""))="free entry"),IF(LOWER($D268&amp;"")="finalized",IF(ISNUMBER($K268),$K268,""),IF($O268&lt;&gt;"",$O268,"")),IF($K268&lt;&gt;"",$K268,IF($O268&lt;&gt;"",$O268,""))))))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IF(COUNTA($A268:$M268)=0,"",IF(OR(LEFT(LOWER(TRIM($F268&amp;"")),12)="subscription",LOWER(TRIM($F268&amp;""))="membership"),"Subscription",IF(OR(AND($H268&lt;&gt;"",$H268=0),LEFT(LOWER(TRIM($F268&amp;"")),9)="free game",LOWER(TRIM($F268&amp;""))="free",LOWER(TRIM($F268&amp;""))="free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IF(COUNTA($A269:$M269)=0,"",IF(OR(LEFT(LOWER(TRIM($F269&amp;"")),12)="subscription",LOWER(TRIM($F269&amp;""))="membership"),"",IF($G269="","",IF(ISNUMBER(SEARCH("non",LOWER($E269&amp;""))),$G269*0.85,$G269))))</x:f>
      </x:c>
      <x:c r="O269" s="987" t="str">
        <x:f>IF(COUNTA($A269:$M269)=0,"",IF(OR(LEFT(LOWER(TRIM($F269&amp;"")),12)="subscription",LOWER(TRIM($F269&amp;""))="membership"),"",IF(OR($N269="",$I269="",$I269=0),"",IFERROR($N269/$I269,""))))</x:f>
      </x:c>
      <x:c r="P269" s="987" t="str">
        <x:f>IF(COUNTA($A269:$M269)=0,"",IF(OR(LEFT(LOWER(TRIM($F269&amp;"")),12)="subscription",LOWER(TRIM($F269&amp;""))="membership"),"",IF(LOWER($L269&amp;"")="yes",0,IF(OR(AND($H269&lt;&gt;"",$H269=0),LEFT(LOWER(TRIM($F269&amp;"")),9)="free game",LOWER(TRIM($F269&amp;""))="free",LOWER(TRIM($F269&amp;""))="free entry"),IF(LOWER($D269&amp;"")="finalized",IF(ISNUMBER($K269),$K269,""),IF($O269&lt;&gt;"",$O269,"")),IF($K269&lt;&gt;"",$K269,IF($O269&lt;&gt;"",$O269,""))))))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IF(COUNTA($A269:$M269)=0,"",IF(OR(LEFT(LOWER(TRIM($F269&amp;"")),12)="subscription",LOWER(TRIM($F269&amp;""))="membership"),"Subscription",IF(OR(AND($H269&lt;&gt;"",$H269=0),LEFT(LOWER(TRIM($F269&amp;"")),9)="free game",LOWER(TRIM($F269&amp;""))="free",LOWER(TRIM($F269&amp;""))="free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IF(COUNTA($A270:$M270)=0,"",IF(OR(LEFT(LOWER(TRIM($F270&amp;"")),12)="subscription",LOWER(TRIM($F270&amp;""))="membership"),"",IF($G270="","",IF(ISNUMBER(SEARCH("non",LOWER($E270&amp;""))),$G270*0.85,$G270))))</x:f>
      </x:c>
      <x:c r="O270" s="987" t="str">
        <x:f>IF(COUNTA($A270:$M270)=0,"",IF(OR(LEFT(LOWER(TRIM($F270&amp;"")),12)="subscription",LOWER(TRIM($F270&amp;""))="membership"),"",IF(OR($N270="",$I270="",$I270=0),"",IFERROR($N270/$I270,""))))</x:f>
      </x:c>
      <x:c r="P270" s="987" t="str">
        <x:f>IF(COUNTA($A270:$M270)=0,"",IF(OR(LEFT(LOWER(TRIM($F270&amp;"")),12)="subscription",LOWER(TRIM($F270&amp;""))="membership"),"",IF(LOWER($L270&amp;"")="yes",0,IF(OR(AND($H270&lt;&gt;"",$H270=0),LEFT(LOWER(TRIM($F270&amp;"")),9)="free game",LOWER(TRIM($F270&amp;""))="free",LOWER(TRIM($F270&amp;""))="free entry"),IF(LOWER($D270&amp;"")="finalized",IF(ISNUMBER($K270),$K270,""),IF($O270&lt;&gt;"",$O270,"")),IF($K270&lt;&gt;"",$K270,IF($O270&lt;&gt;"",$O270,""))))))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IF(COUNTA($A270:$M270)=0,"",IF(OR(LEFT(LOWER(TRIM($F270&amp;"")),12)="subscription",LOWER(TRIM($F270&amp;""))="membership"),"Subscription",IF(OR(AND($H270&lt;&gt;"",$H270=0),LEFT(LOWER(TRIM($F270&amp;"")),9)="free game",LOWER(TRIM($F270&amp;""))="free",LOWER(TRIM($F270&amp;""))="free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IF(COUNTA($A271:$M271)=0,"",IF(OR(LEFT(LOWER(TRIM($F271&amp;"")),12)="subscription",LOWER(TRIM($F271&amp;""))="membership"),"",IF($G271="","",IF(ISNUMBER(SEARCH("non",LOWER($E271&amp;""))),$G271*0.85,$G271))))</x:f>
      </x:c>
      <x:c r="O271" s="987" t="str">
        <x:f>IF(COUNTA($A271:$M271)=0,"",IF(OR(LEFT(LOWER(TRIM($F271&amp;"")),12)="subscription",LOWER(TRIM($F271&amp;""))="membership"),"",IF(OR($N271="",$I271="",$I271=0),"",IFERROR($N271/$I271,""))))</x:f>
      </x:c>
      <x:c r="P271" s="987" t="str">
        <x:f>IF(COUNTA($A271:$M271)=0,"",IF(OR(LEFT(LOWER(TRIM($F271&amp;"")),12)="subscription",LOWER(TRIM($F271&amp;""))="membership"),"",IF(LOWER($L271&amp;"")="yes",0,IF(OR(AND($H271&lt;&gt;"",$H271=0),LEFT(LOWER(TRIM($F271&amp;"")),9)="free game",LOWER(TRIM($F271&amp;""))="free",LOWER(TRIM($F271&amp;""))="free entry"),IF(LOWER($D271&amp;"")="finalized",IF(ISNUMBER($K271),$K271,""),IF($O271&lt;&gt;"",$O271,"")),IF($K271&lt;&gt;"",$K271,IF($O271&lt;&gt;"",$O271,""))))))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IF(COUNTA($A271:$M271)=0,"",IF(OR(LEFT(LOWER(TRIM($F271&amp;"")),12)="subscription",LOWER(TRIM($F271&amp;""))="membership"),"Subscription",IF(OR(AND($H271&lt;&gt;"",$H271=0),LEFT(LOWER(TRIM($F271&amp;"")),9)="free game",LOWER(TRIM($F271&amp;""))="free",LOWER(TRIM($F271&amp;""))="free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IF(COUNTA($A272:$M272)=0,"",IF(OR(LEFT(LOWER(TRIM($F272&amp;"")),12)="subscription",LOWER(TRIM($F272&amp;""))="membership"),"",IF($G272="","",IF(ISNUMBER(SEARCH("non",LOWER($E272&amp;""))),$G272*0.85,$G272))))</x:f>
      </x:c>
      <x:c r="O272" s="987" t="str">
        <x:f>IF(COUNTA($A272:$M272)=0,"",IF(OR(LEFT(LOWER(TRIM($F272&amp;"")),12)="subscription",LOWER(TRIM($F272&amp;""))="membership"),"",IF(OR($N272="",$I272="",$I272=0),"",IFERROR($N272/$I272,""))))</x:f>
      </x:c>
      <x:c r="P272" s="987" t="str">
        <x:f>IF(COUNTA($A272:$M272)=0,"",IF(OR(LEFT(LOWER(TRIM($F272&amp;"")),12)="subscription",LOWER(TRIM($F272&amp;""))="membership"),"",IF(LOWER($L272&amp;"")="yes",0,IF(OR(AND($H272&lt;&gt;"",$H272=0),LEFT(LOWER(TRIM($F272&amp;"")),9)="free game",LOWER(TRIM($F272&amp;""))="free",LOWER(TRIM($F272&amp;""))="free entry"),IF(LOWER($D272&amp;"")="finalized",IF(ISNUMBER($K272),$K272,""),IF($O272&lt;&gt;"",$O272,"")),IF($K272&lt;&gt;"",$K272,IF($O272&lt;&gt;"",$O272,""))))))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IF(COUNTA($A272:$M272)=0,"",IF(OR(LEFT(LOWER(TRIM($F272&amp;"")),12)="subscription",LOWER(TRIM($F272&amp;""))="membership"),"Subscription",IF(OR(AND($H272&lt;&gt;"",$H272=0),LEFT(LOWER(TRIM($F272&amp;"")),9)="free game",LOWER(TRIM($F272&amp;""))="free",LOWER(TRIM($F272&amp;""))="free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IF(COUNTA($A273:$M273)=0,"",IF(OR(LEFT(LOWER(TRIM($F273&amp;"")),12)="subscription",LOWER(TRIM($F273&amp;""))="membership"),"",IF($G273="","",IF(ISNUMBER(SEARCH("non",LOWER($E273&amp;""))),$G273*0.85,$G273))))</x:f>
      </x:c>
      <x:c r="O273" s="987" t="str">
        <x:f>IF(COUNTA($A273:$M273)=0,"",IF(OR(LEFT(LOWER(TRIM($F273&amp;"")),12)="subscription",LOWER(TRIM($F273&amp;""))="membership"),"",IF(OR($N273="",$I273="",$I273=0),"",IFERROR($N273/$I273,""))))</x:f>
      </x:c>
      <x:c r="P273" s="987" t="str">
        <x:f>IF(COUNTA($A273:$M273)=0,"",IF(OR(LEFT(LOWER(TRIM($F273&amp;"")),12)="subscription",LOWER(TRIM($F273&amp;""))="membership"),"",IF(LOWER($L273&amp;"")="yes",0,IF(OR(AND($H273&lt;&gt;"",$H273=0),LEFT(LOWER(TRIM($F273&amp;"")),9)="free game",LOWER(TRIM($F273&amp;""))="free",LOWER(TRIM($F273&amp;""))="free entry"),IF(LOWER($D273&amp;"")="finalized",IF(ISNUMBER($K273),$K273,""),IF($O273&lt;&gt;"",$O273,"")),IF($K273&lt;&gt;"",$K273,IF($O273&lt;&gt;"",$O273,""))))))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IF(COUNTA($A273:$M273)=0,"",IF(OR(LEFT(LOWER(TRIM($F273&amp;"")),12)="subscription",LOWER(TRIM($F273&amp;""))="membership"),"Subscription",IF(OR(AND($H273&lt;&gt;"",$H273=0),LEFT(LOWER(TRIM($F273&amp;"")),9)="free game",LOWER(TRIM($F273&amp;""))="free",LOWER(TRIM($F273&amp;""))="free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IF(COUNTA($A274:$M274)=0,"",IF(OR(LEFT(LOWER(TRIM($F274&amp;"")),12)="subscription",LOWER(TRIM($F274&amp;""))="membership"),"",IF($G274="","",IF(ISNUMBER(SEARCH("non",LOWER($E274&amp;""))),$G274*0.85,$G274))))</x:f>
      </x:c>
      <x:c r="O274" s="987" t="str">
        <x:f>IF(COUNTA($A274:$M274)=0,"",IF(OR(LEFT(LOWER(TRIM($F274&amp;"")),12)="subscription",LOWER(TRIM($F274&amp;""))="membership"),"",IF(OR($N274="",$I274="",$I274=0),"",IFERROR($N274/$I274,""))))</x:f>
      </x:c>
      <x:c r="P274" s="987" t="str">
        <x:f>IF(COUNTA($A274:$M274)=0,"",IF(OR(LEFT(LOWER(TRIM($F274&amp;"")),12)="subscription",LOWER(TRIM($F274&amp;""))="membership"),"",IF(LOWER($L274&amp;"")="yes",0,IF(OR(AND($H274&lt;&gt;"",$H274=0),LEFT(LOWER(TRIM($F274&amp;"")),9)="free game",LOWER(TRIM($F274&amp;""))="free",LOWER(TRIM($F274&amp;""))="free entry"),IF(LOWER($D274&amp;"")="finalized",IF(ISNUMBER($K274),$K274,""),IF($O274&lt;&gt;"",$O274,"")),IF($K274&lt;&gt;"",$K274,IF($O274&lt;&gt;"",$O274,""))))))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IF(COUNTA($A274:$M274)=0,"",IF(OR(LEFT(LOWER(TRIM($F274&amp;"")),12)="subscription",LOWER(TRIM($F274&amp;""))="membership"),"Subscription",IF(OR(AND($H274&lt;&gt;"",$H274=0),LEFT(LOWER(TRIM($F274&amp;"")),9)="free game",LOWER(TRIM($F274&amp;""))="free",LOWER(TRIM($F274&amp;""))="free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IF(COUNTA($A275:$M275)=0,"",IF(OR(LEFT(LOWER(TRIM($F275&amp;"")),12)="subscription",LOWER(TRIM($F275&amp;""))="membership"),"",IF($G275="","",IF(ISNUMBER(SEARCH("non",LOWER($E275&amp;""))),$G275*0.85,$G275))))</x:f>
      </x:c>
      <x:c r="O275" s="987" t="str">
        <x:f>IF(COUNTA($A275:$M275)=0,"",IF(OR(LEFT(LOWER(TRIM($F275&amp;"")),12)="subscription",LOWER(TRIM($F275&amp;""))="membership"),"",IF(OR($N275="",$I275="",$I275=0),"",IFERROR($N275/$I275,""))))</x:f>
      </x:c>
      <x:c r="P275" s="987" t="str">
        <x:f>IF(COUNTA($A275:$M275)=0,"",IF(OR(LEFT(LOWER(TRIM($F275&amp;"")),12)="subscription",LOWER(TRIM($F275&amp;""))="membership"),"",IF(LOWER($L275&amp;"")="yes",0,IF(OR(AND($H275&lt;&gt;"",$H275=0),LEFT(LOWER(TRIM($F275&amp;"")),9)="free game",LOWER(TRIM($F275&amp;""))="free",LOWER(TRIM($F275&amp;""))="free entry"),IF(LOWER($D275&amp;"")="finalized",IF(ISNUMBER($K275),$K275,""),IF($O275&lt;&gt;"",$O275,"")),IF($K275&lt;&gt;"",$K275,IF($O275&lt;&gt;"",$O275,""))))))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IF(COUNTA($A275:$M275)=0,"",IF(OR(LEFT(LOWER(TRIM($F275&amp;"")),12)="subscription",LOWER(TRIM($F275&amp;""))="membership"),"Subscription",IF(OR(AND($H275&lt;&gt;"",$H275=0),LEFT(LOWER(TRIM($F275&amp;"")),9)="free game",LOWER(TRIM($F275&amp;""))="free",LOWER(TRIM($F275&amp;""))="free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IF(COUNTA($A276:$M276)=0,"",IF(OR(LEFT(LOWER(TRIM($F276&amp;"")),12)="subscription",LOWER(TRIM($F276&amp;""))="membership"),"",IF($G276="","",IF(ISNUMBER(SEARCH("non",LOWER($E276&amp;""))),$G276*0.85,$G276))))</x:f>
      </x:c>
      <x:c r="O276" s="987" t="str">
        <x:f>IF(COUNTA($A276:$M276)=0,"",IF(OR(LEFT(LOWER(TRIM($F276&amp;"")),12)="subscription",LOWER(TRIM($F276&amp;""))="membership"),"",IF(OR($N276="",$I276="",$I276=0),"",IFERROR($N276/$I276,""))))</x:f>
      </x:c>
      <x:c r="P276" s="987" t="str">
        <x:f>IF(COUNTA($A276:$M276)=0,"",IF(OR(LEFT(LOWER(TRIM($F276&amp;"")),12)="subscription",LOWER(TRIM($F276&amp;""))="membership"),"",IF(LOWER($L276&amp;"")="yes",0,IF(OR(AND($H276&lt;&gt;"",$H276=0),LEFT(LOWER(TRIM($F276&amp;"")),9)="free game",LOWER(TRIM($F276&amp;""))="free",LOWER(TRIM($F276&amp;""))="free entry"),IF(LOWER($D276&amp;"")="finalized",IF(ISNUMBER($K276),$K276,""),IF($O276&lt;&gt;"",$O276,"")),IF($K276&lt;&gt;"",$K276,IF($O276&lt;&gt;"",$O276,""))))))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IF(COUNTA($A276:$M276)=0,"",IF(OR(LEFT(LOWER(TRIM($F276&amp;"")),12)="subscription",LOWER(TRIM($F276&amp;""))="membership"),"Subscription",IF(OR(AND($H276&lt;&gt;"",$H276=0),LEFT(LOWER(TRIM($F276&amp;"")),9)="free game",LOWER(TRIM($F276&amp;""))="free",LOWER(TRIM($F276&amp;""))="free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IF(COUNTA($A277:$M277)=0,"",IF(OR(LEFT(LOWER(TRIM($F277&amp;"")),12)="subscription",LOWER(TRIM($F277&amp;""))="membership"),"",IF($G277="","",IF(ISNUMBER(SEARCH("non",LOWER($E277&amp;""))),$G277*0.85,$G277))))</x:f>
      </x:c>
      <x:c r="O277" s="987" t="str">
        <x:f>IF(COUNTA($A277:$M277)=0,"",IF(OR(LEFT(LOWER(TRIM($F277&amp;"")),12)="subscription",LOWER(TRIM($F277&amp;""))="membership"),"",IF(OR($N277="",$I277="",$I277=0),"",IFERROR($N277/$I277,""))))</x:f>
      </x:c>
      <x:c r="P277" s="987" t="str">
        <x:f>IF(COUNTA($A277:$M277)=0,"",IF(OR(LEFT(LOWER(TRIM($F277&amp;"")),12)="subscription",LOWER(TRIM($F277&amp;""))="membership"),"",IF(LOWER($L277&amp;"")="yes",0,IF(OR(AND($H277&lt;&gt;"",$H277=0),LEFT(LOWER(TRIM($F277&amp;"")),9)="free game",LOWER(TRIM($F277&amp;""))="free",LOWER(TRIM($F277&amp;""))="free entry"),IF(LOWER($D277&amp;"")="finalized",IF(ISNUMBER($K277),$K277,""),IF($O277&lt;&gt;"",$O277,"")),IF($K277&lt;&gt;"",$K277,IF($O277&lt;&gt;"",$O277,""))))))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IF(COUNTA($A277:$M277)=0,"",IF(OR(LEFT(LOWER(TRIM($F277&amp;"")),12)="subscription",LOWER(TRIM($F277&amp;""))="membership"),"Subscription",IF(OR(AND($H277&lt;&gt;"",$H277=0),LEFT(LOWER(TRIM($F277&amp;"")),9)="free game",LOWER(TRIM($F277&amp;""))="free",LOWER(TRIM($F277&amp;""))="free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IF(COUNTA($A278:$M278)=0,"",IF(OR(LEFT(LOWER(TRIM($F278&amp;"")),12)="subscription",LOWER(TRIM($F278&amp;""))="membership"),"",IF($G278="","",IF(ISNUMBER(SEARCH("non",LOWER($E278&amp;""))),$G278*0.85,$G278))))</x:f>
      </x:c>
      <x:c r="O278" s="987" t="str">
        <x:f>IF(COUNTA($A278:$M278)=0,"",IF(OR(LEFT(LOWER(TRIM($F278&amp;"")),12)="subscription",LOWER(TRIM($F278&amp;""))="membership"),"",IF(OR($N278="",$I278="",$I278=0),"",IFERROR($N278/$I278,""))))</x:f>
      </x:c>
      <x:c r="P278" s="987" t="str">
        <x:f>IF(COUNTA($A278:$M278)=0,"",IF(OR(LEFT(LOWER(TRIM($F278&amp;"")),12)="subscription",LOWER(TRIM($F278&amp;""))="membership"),"",IF(LOWER($L278&amp;"")="yes",0,IF(OR(AND($H278&lt;&gt;"",$H278=0),LEFT(LOWER(TRIM($F278&amp;"")),9)="free game",LOWER(TRIM($F278&amp;""))="free",LOWER(TRIM($F278&amp;""))="free entry"),IF(LOWER($D278&amp;"")="finalized",IF(ISNUMBER($K278),$K278,""),IF($O278&lt;&gt;"",$O278,"")),IF($K278&lt;&gt;"",$K278,IF($O278&lt;&gt;"",$O278,""))))))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IF(COUNTA($A278:$M278)=0,"",IF(OR(LEFT(LOWER(TRIM($F278&amp;"")),12)="subscription",LOWER(TRIM($F278&amp;""))="membership"),"Subscription",IF(OR(AND($H278&lt;&gt;"",$H278=0),LEFT(LOWER(TRIM($F278&amp;"")),9)="free game",LOWER(TRIM($F278&amp;""))="free",LOWER(TRIM($F278&amp;""))="free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IF(COUNTA($A279:$M279)=0,"",IF(OR(LEFT(LOWER(TRIM($F279&amp;"")),12)="subscription",LOWER(TRIM($F279&amp;""))="membership"),"",IF($G279="","",IF(ISNUMBER(SEARCH("non",LOWER($E279&amp;""))),$G279*0.85,$G279))))</x:f>
      </x:c>
      <x:c r="O279" s="987" t="str">
        <x:f>IF(COUNTA($A279:$M279)=0,"",IF(OR(LEFT(LOWER(TRIM($F279&amp;"")),12)="subscription",LOWER(TRIM($F279&amp;""))="membership"),"",IF(OR($N279="",$I279="",$I279=0),"",IFERROR($N279/$I279,""))))</x:f>
      </x:c>
      <x:c r="P279" s="987" t="str">
        <x:f>IF(COUNTA($A279:$M279)=0,"",IF(OR(LEFT(LOWER(TRIM($F279&amp;"")),12)="subscription",LOWER(TRIM($F279&amp;""))="membership"),"",IF(LOWER($L279&amp;"")="yes",0,IF(OR(AND($H279&lt;&gt;"",$H279=0),LEFT(LOWER(TRIM($F279&amp;"")),9)="free game",LOWER(TRIM($F279&amp;""))="free",LOWER(TRIM($F279&amp;""))="free entry"),IF(LOWER($D279&amp;"")="finalized",IF(ISNUMBER($K279),$K279,""),IF($O279&lt;&gt;"",$O279,"")),IF($K279&lt;&gt;"",$K279,IF($O279&lt;&gt;"",$O279,""))))))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IF(COUNTA($A279:$M279)=0,"",IF(OR(LEFT(LOWER(TRIM($F279&amp;"")),12)="subscription",LOWER(TRIM($F279&amp;""))="membership"),"Subscription",IF(OR(AND($H279&lt;&gt;"",$H279=0),LEFT(LOWER(TRIM($F279&amp;"")),9)="free game",LOWER(TRIM($F279&amp;""))="free",LOWER(TRIM($F279&amp;""))="free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IF(COUNTA($A280:$M280)=0,"",IF(OR(LEFT(LOWER(TRIM($F280&amp;"")),12)="subscription",LOWER(TRIM($F280&amp;""))="membership"),"",IF($G280="","",IF(ISNUMBER(SEARCH("non",LOWER($E280&amp;""))),$G280*0.85,$G280))))</x:f>
      </x:c>
      <x:c r="O280" s="987" t="str">
        <x:f>IF(COUNTA($A280:$M280)=0,"",IF(OR(LEFT(LOWER(TRIM($F280&amp;"")),12)="subscription",LOWER(TRIM($F280&amp;""))="membership"),"",IF(OR($N280="",$I280="",$I280=0),"",IFERROR($N280/$I280,""))))</x:f>
      </x:c>
      <x:c r="P280" s="987" t="str">
        <x:f>IF(COUNTA($A280:$M280)=0,"",IF(OR(LEFT(LOWER(TRIM($F280&amp;"")),12)="subscription",LOWER(TRIM($F280&amp;""))="membership"),"",IF(LOWER($L280&amp;"")="yes",0,IF(OR(AND($H280&lt;&gt;"",$H280=0),LEFT(LOWER(TRIM($F280&amp;"")),9)="free game",LOWER(TRIM($F280&amp;""))="free",LOWER(TRIM($F280&amp;""))="free entry"),IF(LOWER($D280&amp;"")="finalized",IF(ISNUMBER($K280),$K280,""),IF($O280&lt;&gt;"",$O280,"")),IF($K280&lt;&gt;"",$K280,IF($O280&lt;&gt;"",$O280,""))))))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IF(COUNTA($A280:$M280)=0,"",IF(OR(LEFT(LOWER(TRIM($F280&amp;"")),12)="subscription",LOWER(TRIM($F280&amp;""))="membership"),"Subscription",IF(OR(AND($H280&lt;&gt;"",$H280=0),LEFT(LOWER(TRIM($F280&amp;"")),9)="free game",LOWER(TRIM($F280&amp;""))="free",LOWER(TRIM($F280&amp;""))="free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IF(COUNTA($A281:$M281)=0,"",IF(OR(LEFT(LOWER(TRIM($F281&amp;"")),12)="subscription",LOWER(TRIM($F281&amp;""))="membership"),"",IF($G281="","",IF(ISNUMBER(SEARCH("non",LOWER($E281&amp;""))),$G281*0.85,$G281))))</x:f>
      </x:c>
      <x:c r="O281" s="987" t="str">
        <x:f>IF(COUNTA($A281:$M281)=0,"",IF(OR(LEFT(LOWER(TRIM($F281&amp;"")),12)="subscription",LOWER(TRIM($F281&amp;""))="membership"),"",IF(OR($N281="",$I281="",$I281=0),"",IFERROR($N281/$I281,""))))</x:f>
      </x:c>
      <x:c r="P281" s="987" t="str">
        <x:f>IF(COUNTA($A281:$M281)=0,"",IF(OR(LEFT(LOWER(TRIM($F281&amp;"")),12)="subscription",LOWER(TRIM($F281&amp;""))="membership"),"",IF(LOWER($L281&amp;"")="yes",0,IF(OR(AND($H281&lt;&gt;"",$H281=0),LEFT(LOWER(TRIM($F281&amp;"")),9)="free game",LOWER(TRIM($F281&amp;""))="free",LOWER(TRIM($F281&amp;""))="free entry"),IF(LOWER($D281&amp;"")="finalized",IF(ISNUMBER($K281),$K281,""),IF($O281&lt;&gt;"",$O281,"")),IF($K281&lt;&gt;"",$K281,IF($O281&lt;&gt;"",$O281,""))))))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IF(COUNTA($A281:$M281)=0,"",IF(OR(LEFT(LOWER(TRIM($F281&amp;"")),12)="subscription",LOWER(TRIM($F281&amp;""))="membership"),"Subscription",IF(OR(AND($H281&lt;&gt;"",$H281=0),LEFT(LOWER(TRIM($F281&amp;"")),9)="free game",LOWER(TRIM($F281&amp;""))="free",LOWER(TRIM($F281&amp;""))="free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IF(COUNTA($A282:$M282)=0,"",IF(OR(LEFT(LOWER(TRIM($F282&amp;"")),12)="subscription",LOWER(TRIM($F282&amp;""))="membership"),"",IF($G282="","",IF(ISNUMBER(SEARCH("non",LOWER($E282&amp;""))),$G282*0.85,$G282))))</x:f>
      </x:c>
      <x:c r="O282" s="987" t="str">
        <x:f>IF(COUNTA($A282:$M282)=0,"",IF(OR(LEFT(LOWER(TRIM($F282&amp;"")),12)="subscription",LOWER(TRIM($F282&amp;""))="membership"),"",IF(OR($N282="",$I282="",$I282=0),"",IFERROR($N282/$I282,""))))</x:f>
      </x:c>
      <x:c r="P282" s="987" t="str">
        <x:f>IF(COUNTA($A282:$M282)=0,"",IF(OR(LEFT(LOWER(TRIM($F282&amp;"")),12)="subscription",LOWER(TRIM($F282&amp;""))="membership"),"",IF(LOWER($L282&amp;"")="yes",0,IF(OR(AND($H282&lt;&gt;"",$H282=0),LEFT(LOWER(TRIM($F282&amp;"")),9)="free game",LOWER(TRIM($F282&amp;""))="free",LOWER(TRIM($F282&amp;""))="free entry"),IF(LOWER($D282&amp;"")="finalized",IF(ISNUMBER($K282),$K282,""),IF($O282&lt;&gt;"",$O282,"")),IF($K282&lt;&gt;"",$K282,IF($O282&lt;&gt;"",$O282,""))))))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IF(COUNTA($A282:$M282)=0,"",IF(OR(LEFT(LOWER(TRIM($F282&amp;"")),12)="subscription",LOWER(TRIM($F282&amp;""))="membership"),"Subscription",IF(OR(AND($H282&lt;&gt;"",$H282=0),LEFT(LOWER(TRIM($F282&amp;"")),9)="free game",LOWER(TRIM($F282&amp;""))="free",LOWER(TRIM($F282&amp;""))="free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IF(COUNTA($A283:$M283)=0,"",IF(OR(LEFT(LOWER(TRIM($F283&amp;"")),12)="subscription",LOWER(TRIM($F283&amp;""))="membership"),"",IF($G283="","",IF(ISNUMBER(SEARCH("non",LOWER($E283&amp;""))),$G283*0.85,$G283))))</x:f>
      </x:c>
      <x:c r="O283" s="987" t="str">
        <x:f>IF(COUNTA($A283:$M283)=0,"",IF(OR(LEFT(LOWER(TRIM($F283&amp;"")),12)="subscription",LOWER(TRIM($F283&amp;""))="membership"),"",IF(OR($N283="",$I283="",$I283=0),"",IFERROR($N283/$I283,""))))</x:f>
      </x:c>
      <x:c r="P283" s="987" t="str">
        <x:f>IF(COUNTA($A283:$M283)=0,"",IF(OR(LEFT(LOWER(TRIM($F283&amp;"")),12)="subscription",LOWER(TRIM($F283&amp;""))="membership"),"",IF(LOWER($L283&amp;"")="yes",0,IF(OR(AND($H283&lt;&gt;"",$H283=0),LEFT(LOWER(TRIM($F283&amp;"")),9)="free game",LOWER(TRIM($F283&amp;""))="free",LOWER(TRIM($F283&amp;""))="free entry"),IF(LOWER($D283&amp;"")="finalized",IF(ISNUMBER($K283),$K283,""),IF($O283&lt;&gt;"",$O283,"")),IF($K283&lt;&gt;"",$K283,IF($O283&lt;&gt;"",$O283,""))))))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IF(COUNTA($A283:$M283)=0,"",IF(OR(LEFT(LOWER(TRIM($F283&amp;"")),12)="subscription",LOWER(TRIM($F283&amp;""))="membership"),"Subscription",IF(OR(AND($H283&lt;&gt;"",$H283=0),LEFT(LOWER(TRIM($F283&amp;"")),9)="free game",LOWER(TRIM($F283&amp;""))="free",LOWER(TRIM($F283&amp;""))="free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IF(COUNTA($A284:$M284)=0,"",IF(OR(LEFT(LOWER(TRIM($F284&amp;"")),12)="subscription",LOWER(TRIM($F284&amp;""))="membership"),"",IF($G284="","",IF(ISNUMBER(SEARCH("non",LOWER($E284&amp;""))),$G284*0.85,$G284))))</x:f>
      </x:c>
      <x:c r="O284" s="987" t="str">
        <x:f>IF(COUNTA($A284:$M284)=0,"",IF(OR(LEFT(LOWER(TRIM($F284&amp;"")),12)="subscription",LOWER(TRIM($F284&amp;""))="membership"),"",IF(OR($N284="",$I284="",$I284=0),"",IFERROR($N284/$I284,""))))</x:f>
      </x:c>
      <x:c r="P284" s="987" t="str">
        <x:f>IF(COUNTA($A284:$M284)=0,"",IF(OR(LEFT(LOWER(TRIM($F284&amp;"")),12)="subscription",LOWER(TRIM($F284&amp;""))="membership"),"",IF(LOWER($L284&amp;"")="yes",0,IF(OR(AND($H284&lt;&gt;"",$H284=0),LEFT(LOWER(TRIM($F284&amp;"")),9)="free game",LOWER(TRIM($F284&amp;""))="free",LOWER(TRIM($F284&amp;""))="free entry"),IF(LOWER($D284&amp;"")="finalized",IF(ISNUMBER($K284),$K284,""),IF($O284&lt;&gt;"",$O284,"")),IF($K284&lt;&gt;"",$K284,IF($O284&lt;&gt;"",$O284,""))))))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IF(COUNTA($A284:$M284)=0,"",IF(OR(LEFT(LOWER(TRIM($F284&amp;"")),12)="subscription",LOWER(TRIM($F284&amp;""))="membership"),"Subscription",IF(OR(AND($H284&lt;&gt;"",$H284=0),LEFT(LOWER(TRIM($F284&amp;"")),9)="free game",LOWER(TRIM($F284&amp;""))="free",LOWER(TRIM($F284&amp;""))="free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IF(COUNTA($A285:$M285)=0,"",IF(OR(LEFT(LOWER(TRIM($F285&amp;"")),12)="subscription",LOWER(TRIM($F285&amp;""))="membership"),"",IF($G285="","",IF(ISNUMBER(SEARCH("non",LOWER($E285&amp;""))),$G285*0.85,$G285))))</x:f>
      </x:c>
      <x:c r="O285" s="987" t="str">
        <x:f>IF(COUNTA($A285:$M285)=0,"",IF(OR(LEFT(LOWER(TRIM($F285&amp;"")),12)="subscription",LOWER(TRIM($F285&amp;""))="membership"),"",IF(OR($N285="",$I285="",$I285=0),"",IFERROR($N285/$I285,""))))</x:f>
      </x:c>
      <x:c r="P285" s="987" t="str">
        <x:f>IF(COUNTA($A285:$M285)=0,"",IF(OR(LEFT(LOWER(TRIM($F285&amp;"")),12)="subscription",LOWER(TRIM($F285&amp;""))="membership"),"",IF(LOWER($L285&amp;"")="yes",0,IF(OR(AND($H285&lt;&gt;"",$H285=0),LEFT(LOWER(TRIM($F285&amp;"")),9)="free game",LOWER(TRIM($F285&amp;""))="free",LOWER(TRIM($F285&amp;""))="free entry"),IF(LOWER($D285&amp;"")="finalized",IF(ISNUMBER($K285),$K285,""),IF($O285&lt;&gt;"",$O285,"")),IF($K285&lt;&gt;"",$K285,IF($O285&lt;&gt;"",$O285,""))))))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IF(COUNTA($A285:$M285)=0,"",IF(OR(LEFT(LOWER(TRIM($F285&amp;"")),12)="subscription",LOWER(TRIM($F285&amp;""))="membership"),"Subscription",IF(OR(AND($H285&lt;&gt;"",$H285=0),LEFT(LOWER(TRIM($F285&amp;"")),9)="free game",LOWER(TRIM($F285&amp;""))="free",LOWER(TRIM($F285&amp;""))="free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IF(COUNTA($A286:$M286)=0,"",IF(OR(LEFT(LOWER(TRIM($F286&amp;"")),12)="subscription",LOWER(TRIM($F286&amp;""))="membership"),"",IF($G286="","",IF(ISNUMBER(SEARCH("non",LOWER($E286&amp;""))),$G286*0.85,$G286))))</x:f>
      </x:c>
      <x:c r="O286" s="987" t="str">
        <x:f>IF(COUNTA($A286:$M286)=0,"",IF(OR(LEFT(LOWER(TRIM($F286&amp;"")),12)="subscription",LOWER(TRIM($F286&amp;""))="membership"),"",IF(OR($N286="",$I286="",$I286=0),"",IFERROR($N286/$I286,""))))</x:f>
      </x:c>
      <x:c r="P286" s="987" t="str">
        <x:f>IF(COUNTA($A286:$M286)=0,"",IF(OR(LEFT(LOWER(TRIM($F286&amp;"")),12)="subscription",LOWER(TRIM($F286&amp;""))="membership"),"",IF(LOWER($L286&amp;"")="yes",0,IF(OR(AND($H286&lt;&gt;"",$H286=0),LEFT(LOWER(TRIM($F286&amp;"")),9)="free game",LOWER(TRIM($F286&amp;""))="free",LOWER(TRIM($F286&amp;""))="free entry"),IF(LOWER($D286&amp;"")="finalized",IF(ISNUMBER($K286),$K286,""),IF($O286&lt;&gt;"",$O286,"")),IF($K286&lt;&gt;"",$K286,IF($O286&lt;&gt;"",$O286,""))))))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IF(COUNTA($A286:$M286)=0,"",IF(OR(LEFT(LOWER(TRIM($F286&amp;"")),12)="subscription",LOWER(TRIM($F286&amp;""))="membership"),"Subscription",IF(OR(AND($H286&lt;&gt;"",$H286=0),LEFT(LOWER(TRIM($F286&amp;"")),9)="free game",LOWER(TRIM($F286&amp;""))="free",LOWER(TRIM($F286&amp;""))="free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IF(COUNTA($A287:$M287)=0,"",IF(OR(LEFT(LOWER(TRIM($F287&amp;"")),12)="subscription",LOWER(TRIM($F287&amp;""))="membership"),"",IF($G287="","",IF(ISNUMBER(SEARCH("non",LOWER($E287&amp;""))),$G287*0.85,$G287))))</x:f>
      </x:c>
      <x:c r="O287" s="987" t="str">
        <x:f>IF(COUNTA($A287:$M287)=0,"",IF(OR(LEFT(LOWER(TRIM($F287&amp;"")),12)="subscription",LOWER(TRIM($F287&amp;""))="membership"),"",IF(OR($N287="",$I287="",$I287=0),"",IFERROR($N287/$I287,""))))</x:f>
      </x:c>
      <x:c r="P287" s="987" t="str">
        <x:f>IF(COUNTA($A287:$M287)=0,"",IF(OR(LEFT(LOWER(TRIM($F287&amp;"")),12)="subscription",LOWER(TRIM($F287&amp;""))="membership"),"",IF(LOWER($L287&amp;"")="yes",0,IF(OR(AND($H287&lt;&gt;"",$H287=0),LEFT(LOWER(TRIM($F287&amp;"")),9)="free game",LOWER(TRIM($F287&amp;""))="free",LOWER(TRIM($F287&amp;""))="free entry"),IF(LOWER($D287&amp;"")="finalized",IF(ISNUMBER($K287),$K287,""),IF($O287&lt;&gt;"",$O287,"")),IF($K287&lt;&gt;"",$K287,IF($O287&lt;&gt;"",$O287,""))))))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IF(COUNTA($A287:$M287)=0,"",IF(OR(LEFT(LOWER(TRIM($F287&amp;"")),12)="subscription",LOWER(TRIM($F287&amp;""))="membership"),"Subscription",IF(OR(AND($H287&lt;&gt;"",$H287=0),LEFT(LOWER(TRIM($F287&amp;"")),9)="free game",LOWER(TRIM($F287&amp;""))="free",LOWER(TRIM($F287&amp;""))="free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IF(COUNTA($A288:$M288)=0,"",IF(OR(LEFT(LOWER(TRIM($F288&amp;"")),12)="subscription",LOWER(TRIM($F288&amp;""))="membership"),"",IF($G288="","",IF(ISNUMBER(SEARCH("non",LOWER($E288&amp;""))),$G288*0.85,$G288))))</x:f>
      </x:c>
      <x:c r="O288" s="987" t="str">
        <x:f>IF(COUNTA($A288:$M288)=0,"",IF(OR(LEFT(LOWER(TRIM($F288&amp;"")),12)="subscription",LOWER(TRIM($F288&amp;""))="membership"),"",IF(OR($N288="",$I288="",$I288=0),"",IFERROR($N288/$I288,""))))</x:f>
      </x:c>
      <x:c r="P288" s="987" t="str">
        <x:f>IF(COUNTA($A288:$M288)=0,"",IF(OR(LEFT(LOWER(TRIM($F288&amp;"")),12)="subscription",LOWER(TRIM($F288&amp;""))="membership"),"",IF(LOWER($L288&amp;"")="yes",0,IF(OR(AND($H288&lt;&gt;"",$H288=0),LEFT(LOWER(TRIM($F288&amp;"")),9)="free game",LOWER(TRIM($F288&amp;""))="free",LOWER(TRIM($F288&amp;""))="free entry"),IF(LOWER($D288&amp;"")="finalized",IF(ISNUMBER($K288),$K288,""),IF($O288&lt;&gt;"",$O288,"")),IF($K288&lt;&gt;"",$K288,IF($O288&lt;&gt;"",$O288,""))))))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IF(COUNTA($A288:$M288)=0,"",IF(OR(LEFT(LOWER(TRIM($F288&amp;"")),12)="subscription",LOWER(TRIM($F288&amp;""))="membership"),"Subscription",IF(OR(AND($H288&lt;&gt;"",$H288=0),LEFT(LOWER(TRIM($F288&amp;"")),9)="free game",LOWER(TRIM($F288&amp;""))="free",LOWER(TRIM($F288&amp;""))="free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IF(COUNTA($A289:$M289)=0,"",IF(OR(LEFT(LOWER(TRIM($F289&amp;"")),12)="subscription",LOWER(TRIM($F289&amp;""))="membership"),"",IF($G289="","",IF(ISNUMBER(SEARCH("non",LOWER($E289&amp;""))),$G289*0.85,$G289))))</x:f>
      </x:c>
      <x:c r="O289" s="987" t="str">
        <x:f>IF(COUNTA($A289:$M289)=0,"",IF(OR(LEFT(LOWER(TRIM($F289&amp;"")),12)="subscription",LOWER(TRIM($F289&amp;""))="membership"),"",IF(OR($N289="",$I289="",$I289=0),"",IFERROR($N289/$I289,""))))</x:f>
      </x:c>
      <x:c r="P289" s="987" t="str">
        <x:f>IF(COUNTA($A289:$M289)=0,"",IF(OR(LEFT(LOWER(TRIM($F289&amp;"")),12)="subscription",LOWER(TRIM($F289&amp;""))="membership"),"",IF(LOWER($L289&amp;"")="yes",0,IF(OR(AND($H289&lt;&gt;"",$H289=0),LEFT(LOWER(TRIM($F289&amp;"")),9)="free game",LOWER(TRIM($F289&amp;""))="free",LOWER(TRIM($F289&amp;""))="free entry"),IF(LOWER($D289&amp;"")="finalized",IF(ISNUMBER($K289),$K289,""),IF($O289&lt;&gt;"",$O289,"")),IF($K289&lt;&gt;"",$K289,IF($O289&lt;&gt;"",$O289,""))))))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IF(COUNTA($A289:$M289)=0,"",IF(OR(LEFT(LOWER(TRIM($F289&amp;"")),12)="subscription",LOWER(TRIM($F289&amp;""))="membership"),"Subscription",IF(OR(AND($H289&lt;&gt;"",$H289=0),LEFT(LOWER(TRIM($F289&amp;"")),9)="free game",LOWER(TRIM($F289&amp;""))="free",LOWER(TRIM($F289&amp;""))="free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IF(COUNTA($A290:$M290)=0,"",IF(OR(LEFT(LOWER(TRIM($F290&amp;"")),12)="subscription",LOWER(TRIM($F290&amp;""))="membership"),"",IF($G290="","",IF(ISNUMBER(SEARCH("non",LOWER($E290&amp;""))),$G290*0.85,$G290))))</x:f>
      </x:c>
      <x:c r="O290" s="987" t="str">
        <x:f>IF(COUNTA($A290:$M290)=0,"",IF(OR(LEFT(LOWER(TRIM($F290&amp;"")),12)="subscription",LOWER(TRIM($F290&amp;""))="membership"),"",IF(OR($N290="",$I290="",$I290=0),"",IFERROR($N290/$I290,""))))</x:f>
      </x:c>
      <x:c r="P290" s="987" t="str">
        <x:f>IF(COUNTA($A290:$M290)=0,"",IF(OR(LEFT(LOWER(TRIM($F290&amp;"")),12)="subscription",LOWER(TRIM($F290&amp;""))="membership"),"",IF(LOWER($L290&amp;"")="yes",0,IF(OR(AND($H290&lt;&gt;"",$H290=0),LEFT(LOWER(TRIM($F290&amp;"")),9)="free game",LOWER(TRIM($F290&amp;""))="free",LOWER(TRIM($F290&amp;""))="free entry"),IF(LOWER($D290&amp;"")="finalized",IF(ISNUMBER($K290),$K290,""),IF($O290&lt;&gt;"",$O290,"")),IF($K290&lt;&gt;"",$K290,IF($O290&lt;&gt;"",$O290,""))))))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IF(COUNTA($A290:$M290)=0,"",IF(OR(LEFT(LOWER(TRIM($F290&amp;"")),12)="subscription",LOWER(TRIM($F290&amp;""))="membership"),"Subscription",IF(OR(AND($H290&lt;&gt;"",$H290=0),LEFT(LOWER(TRIM($F290&amp;"")),9)="free game",LOWER(TRIM($F290&amp;""))="free",LOWER(TRIM($F290&amp;""))="free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IF(COUNTA($A291:$M291)=0,"",IF(OR(LEFT(LOWER(TRIM($F291&amp;"")),12)="subscription",LOWER(TRIM($F291&amp;""))="membership"),"",IF($G291="","",IF(ISNUMBER(SEARCH("non",LOWER($E291&amp;""))),$G291*0.85,$G291))))</x:f>
      </x:c>
      <x:c r="O291" s="987" t="str">
        <x:f>IF(COUNTA($A291:$M291)=0,"",IF(OR(LEFT(LOWER(TRIM($F291&amp;"")),12)="subscription",LOWER(TRIM($F291&amp;""))="membership"),"",IF(OR($N291="",$I291="",$I291=0),"",IFERROR($N291/$I291,""))))</x:f>
      </x:c>
      <x:c r="P291" s="987" t="str">
        <x:f>IF(COUNTA($A291:$M291)=0,"",IF(OR(LEFT(LOWER(TRIM($F291&amp;"")),12)="subscription",LOWER(TRIM($F291&amp;""))="membership"),"",IF(LOWER($L291&amp;"")="yes",0,IF(OR(AND($H291&lt;&gt;"",$H291=0),LEFT(LOWER(TRIM($F291&amp;"")),9)="free game",LOWER(TRIM($F291&amp;""))="free",LOWER(TRIM($F291&amp;""))="free entry"),IF(LOWER($D291&amp;"")="finalized",IF(ISNUMBER($K291),$K291,""),IF($O291&lt;&gt;"",$O291,"")),IF($K291&lt;&gt;"",$K291,IF($O291&lt;&gt;"",$O291,""))))))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IF(COUNTA($A291:$M291)=0,"",IF(OR(LEFT(LOWER(TRIM($F291&amp;"")),12)="subscription",LOWER(TRIM($F291&amp;""))="membership"),"Subscription",IF(OR(AND($H291&lt;&gt;"",$H291=0),LEFT(LOWER(TRIM($F291&amp;"")),9)="free game",LOWER(TRIM($F291&amp;""))="free",LOWER(TRIM($F291&amp;""))="free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IF(COUNTA($A292:$M292)=0,"",IF(OR(LEFT(LOWER(TRIM($F292&amp;"")),12)="subscription",LOWER(TRIM($F292&amp;""))="membership"),"",IF($G292="","",IF(ISNUMBER(SEARCH("non",LOWER($E292&amp;""))),$G292*0.85,$G292))))</x:f>
      </x:c>
      <x:c r="O292" s="987" t="str">
        <x:f>IF(COUNTA($A292:$M292)=0,"",IF(OR(LEFT(LOWER(TRIM($F292&amp;"")),12)="subscription",LOWER(TRIM($F292&amp;""))="membership"),"",IF(OR($N292="",$I292="",$I292=0),"",IFERROR($N292/$I292,""))))</x:f>
      </x:c>
      <x:c r="P292" s="987" t="str">
        <x:f>IF(COUNTA($A292:$M292)=0,"",IF(OR(LEFT(LOWER(TRIM($F292&amp;"")),12)="subscription",LOWER(TRIM($F292&amp;""))="membership"),"",IF(LOWER($L292&amp;"")="yes",0,IF(OR(AND($H292&lt;&gt;"",$H292=0),LEFT(LOWER(TRIM($F292&amp;"")),9)="free game",LOWER(TRIM($F292&amp;""))="free",LOWER(TRIM($F292&amp;""))="free entry"),IF(LOWER($D292&amp;"")="finalized",IF(ISNUMBER($K292),$K292,""),IF($O292&lt;&gt;"",$O292,"")),IF($K292&lt;&gt;"",$K292,IF($O292&lt;&gt;"",$O292,""))))))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IF(COUNTA($A292:$M292)=0,"",IF(OR(LEFT(LOWER(TRIM($F292&amp;"")),12)="subscription",LOWER(TRIM($F292&amp;""))="membership"),"Subscription",IF(OR(AND($H292&lt;&gt;"",$H292=0),LEFT(LOWER(TRIM($F292&amp;"")),9)="free game",LOWER(TRIM($F292&amp;""))="free",LOWER(TRIM($F292&amp;""))="free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IF(COUNTA($A293:$M293)=0,"",IF(OR(LEFT(LOWER(TRIM($F293&amp;"")),12)="subscription",LOWER(TRIM($F293&amp;""))="membership"),"",IF($G293="","",IF(ISNUMBER(SEARCH("non",LOWER($E293&amp;""))),$G293*0.85,$G293))))</x:f>
      </x:c>
      <x:c r="O293" s="987" t="str">
        <x:f>IF(COUNTA($A293:$M293)=0,"",IF(OR(LEFT(LOWER(TRIM($F293&amp;"")),12)="subscription",LOWER(TRIM($F293&amp;""))="membership"),"",IF(OR($N293="",$I293="",$I293=0),"",IFERROR($N293/$I293,""))))</x:f>
      </x:c>
      <x:c r="P293" s="987" t="str">
        <x:f>IF(COUNTA($A293:$M293)=0,"",IF(OR(LEFT(LOWER(TRIM($F293&amp;"")),12)="subscription",LOWER(TRIM($F293&amp;""))="membership"),"",IF(LOWER($L293&amp;"")="yes",0,IF(OR(AND($H293&lt;&gt;"",$H293=0),LEFT(LOWER(TRIM($F293&amp;"")),9)="free game",LOWER(TRIM($F293&amp;""))="free",LOWER(TRIM($F293&amp;""))="free entry"),IF(LOWER($D293&amp;"")="finalized",IF(ISNUMBER($K293),$K293,""),IF($O293&lt;&gt;"",$O293,"")),IF($K293&lt;&gt;"",$K293,IF($O293&lt;&gt;"",$O293,""))))))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IF(COUNTA($A293:$M293)=0,"",IF(OR(LEFT(LOWER(TRIM($F293&amp;"")),12)="subscription",LOWER(TRIM($F293&amp;""))="membership"),"Subscription",IF(OR(AND($H293&lt;&gt;"",$H293=0),LEFT(LOWER(TRIM($F293&amp;"")),9)="free game",LOWER(TRIM($F293&amp;""))="free",LOWER(TRIM($F293&amp;""))="free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IF(COUNTA($A294:$M294)=0,"",IF(OR(LEFT(LOWER(TRIM($F294&amp;"")),12)="subscription",LOWER(TRIM($F294&amp;""))="membership"),"",IF($G294="","",IF(ISNUMBER(SEARCH("non",LOWER($E294&amp;""))),$G294*0.85,$G294))))</x:f>
      </x:c>
      <x:c r="O294" s="987" t="str">
        <x:f>IF(COUNTA($A294:$M294)=0,"",IF(OR(LEFT(LOWER(TRIM($F294&amp;"")),12)="subscription",LOWER(TRIM($F294&amp;""))="membership"),"",IF(OR($N294="",$I294="",$I294=0),"",IFERROR($N294/$I294,""))))</x:f>
      </x:c>
      <x:c r="P294" s="987" t="str">
        <x:f>IF(COUNTA($A294:$M294)=0,"",IF(OR(LEFT(LOWER(TRIM($F294&amp;"")),12)="subscription",LOWER(TRIM($F294&amp;""))="membership"),"",IF(LOWER($L294&amp;"")="yes",0,IF(OR(AND($H294&lt;&gt;"",$H294=0),LEFT(LOWER(TRIM($F294&amp;"")),9)="free game",LOWER(TRIM($F294&amp;""))="free",LOWER(TRIM($F294&amp;""))="free entry"),IF(LOWER($D294&amp;"")="finalized",IF(ISNUMBER($K294),$K294,""),IF($O294&lt;&gt;"",$O294,"")),IF($K294&lt;&gt;"",$K294,IF($O294&lt;&gt;"",$O294,""))))))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IF(COUNTA($A294:$M294)=0,"",IF(OR(LEFT(LOWER(TRIM($F294&amp;"")),12)="subscription",LOWER(TRIM($F294&amp;""))="membership"),"Subscription",IF(OR(AND($H294&lt;&gt;"",$H294=0),LEFT(LOWER(TRIM($F294&amp;"")),9)="free game",LOWER(TRIM($F294&amp;""))="free",LOWER(TRIM($F294&amp;""))="free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IF(COUNTA($A295:$M295)=0,"",IF(OR(LEFT(LOWER(TRIM($F295&amp;"")),12)="subscription",LOWER(TRIM($F295&amp;""))="membership"),"",IF($G295="","",IF(ISNUMBER(SEARCH("non",LOWER($E295&amp;""))),$G295*0.85,$G295))))</x:f>
      </x:c>
      <x:c r="O295" s="987" t="str">
        <x:f>IF(COUNTA($A295:$M295)=0,"",IF(OR(LEFT(LOWER(TRIM($F295&amp;"")),12)="subscription",LOWER(TRIM($F295&amp;""))="membership"),"",IF(OR($N295="",$I295="",$I295=0),"",IFERROR($N295/$I295,""))))</x:f>
      </x:c>
      <x:c r="P295" s="987" t="str">
        <x:f>IF(COUNTA($A295:$M295)=0,"",IF(OR(LEFT(LOWER(TRIM($F295&amp;"")),12)="subscription",LOWER(TRIM($F295&amp;""))="membership"),"",IF(LOWER($L295&amp;"")="yes",0,IF(OR(AND($H295&lt;&gt;"",$H295=0),LEFT(LOWER(TRIM($F295&amp;"")),9)="free game",LOWER(TRIM($F295&amp;""))="free",LOWER(TRIM($F295&amp;""))="free entry"),IF(LOWER($D295&amp;"")="finalized",IF(ISNUMBER($K295),$K295,""),IF($O295&lt;&gt;"",$O295,"")),IF($K295&lt;&gt;"",$K295,IF($O295&lt;&gt;"",$O295,""))))))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IF(COUNTA($A295:$M295)=0,"",IF(OR(LEFT(LOWER(TRIM($F295&amp;"")),12)="subscription",LOWER(TRIM($F295&amp;""))="membership"),"Subscription",IF(OR(AND($H295&lt;&gt;"",$H295=0),LEFT(LOWER(TRIM($F295&amp;"")),9)="free game",LOWER(TRIM($F295&amp;""))="free",LOWER(TRIM($F295&amp;""))="free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IF(COUNTA($A296:$M296)=0,"",IF(OR(LEFT(LOWER(TRIM($F296&amp;"")),12)="subscription",LOWER(TRIM($F296&amp;""))="membership"),"",IF($G296="","",IF(ISNUMBER(SEARCH("non",LOWER($E296&amp;""))),$G296*0.85,$G296))))</x:f>
      </x:c>
      <x:c r="O296" s="987" t="str">
        <x:f>IF(COUNTA($A296:$M296)=0,"",IF(OR(LEFT(LOWER(TRIM($F296&amp;"")),12)="subscription",LOWER(TRIM($F296&amp;""))="membership"),"",IF(OR($N296="",$I296="",$I296=0),"",IFERROR($N296/$I296,""))))</x:f>
      </x:c>
      <x:c r="P296" s="987" t="str">
        <x:f>IF(COUNTA($A296:$M296)=0,"",IF(OR(LEFT(LOWER(TRIM($F296&amp;"")),12)="subscription",LOWER(TRIM($F296&amp;""))="membership"),"",IF(LOWER($L296&amp;"")="yes",0,IF(OR(AND($H296&lt;&gt;"",$H296=0),LEFT(LOWER(TRIM($F296&amp;"")),9)="free game",LOWER(TRIM($F296&amp;""))="free",LOWER(TRIM($F296&amp;""))="free entry"),IF(LOWER($D296&amp;"")="finalized",IF(ISNUMBER($K296),$K296,""),IF($O296&lt;&gt;"",$O296,"")),IF($K296&lt;&gt;"",$K296,IF($O296&lt;&gt;"",$O296,""))))))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IF(COUNTA($A296:$M296)=0,"",IF(OR(LEFT(LOWER(TRIM($F296&amp;"")),12)="subscription",LOWER(TRIM($F296&amp;""))="membership"),"Subscription",IF(OR(AND($H296&lt;&gt;"",$H296=0),LEFT(LOWER(TRIM($F296&amp;"")),9)="free game",LOWER(TRIM($F296&amp;""))="free",LOWER(TRIM($F296&amp;""))="free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IF(COUNTA($A297:$M297)=0,"",IF(OR(LEFT(LOWER(TRIM($F297&amp;"")),12)="subscription",LOWER(TRIM($F297&amp;""))="membership"),"",IF($G297="","",IF(ISNUMBER(SEARCH("non",LOWER($E297&amp;""))),$G297*0.85,$G297))))</x:f>
      </x:c>
      <x:c r="O297" s="987" t="str">
        <x:f>IF(COUNTA($A297:$M297)=0,"",IF(OR(LEFT(LOWER(TRIM($F297&amp;"")),12)="subscription",LOWER(TRIM($F297&amp;""))="membership"),"",IF(OR($N297="",$I297="",$I297=0),"",IFERROR($N297/$I297,""))))</x:f>
      </x:c>
      <x:c r="P297" s="987" t="str">
        <x:f>IF(COUNTA($A297:$M297)=0,"",IF(OR(LEFT(LOWER(TRIM($F297&amp;"")),12)="subscription",LOWER(TRIM($F297&amp;""))="membership"),"",IF(LOWER($L297&amp;"")="yes",0,IF(OR(AND($H297&lt;&gt;"",$H297=0),LEFT(LOWER(TRIM($F297&amp;"")),9)="free game",LOWER(TRIM($F297&amp;""))="free",LOWER(TRIM($F297&amp;""))="free entry"),IF(LOWER($D297&amp;"")="finalized",IF(ISNUMBER($K297),$K297,""),IF($O297&lt;&gt;"",$O297,"")),IF($K297&lt;&gt;"",$K297,IF($O297&lt;&gt;"",$O297,""))))))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IF(COUNTA($A297:$M297)=0,"",IF(OR(LEFT(LOWER(TRIM($F297&amp;"")),12)="subscription",LOWER(TRIM($F297&amp;""))="membership"),"Subscription",IF(OR(AND($H297&lt;&gt;"",$H297=0),LEFT(LOWER(TRIM($F297&amp;"")),9)="free game",LOWER(TRIM($F297&amp;""))="free",LOWER(TRIM($F297&amp;""))="free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IF(COUNTA($A298:$M298)=0,"",IF(OR(LEFT(LOWER(TRIM($F298&amp;"")),12)="subscription",LOWER(TRIM($F298&amp;""))="membership"),"",IF($G298="","",IF(ISNUMBER(SEARCH("non",LOWER($E298&amp;""))),$G298*0.85,$G298))))</x:f>
      </x:c>
      <x:c r="O298" s="987" t="str">
        <x:f>IF(COUNTA($A298:$M298)=0,"",IF(OR(LEFT(LOWER(TRIM($F298&amp;"")),12)="subscription",LOWER(TRIM($F298&amp;""))="membership"),"",IF(OR($N298="",$I298="",$I298=0),"",IFERROR($N298/$I298,""))))</x:f>
      </x:c>
      <x:c r="P298" s="987" t="str">
        <x:f>IF(COUNTA($A298:$M298)=0,"",IF(OR(LEFT(LOWER(TRIM($F298&amp;"")),12)="subscription",LOWER(TRIM($F298&amp;""))="membership"),"",IF(LOWER($L298&amp;"")="yes",0,IF(OR(AND($H298&lt;&gt;"",$H298=0),LEFT(LOWER(TRIM($F298&amp;"")),9)="free game",LOWER(TRIM($F298&amp;""))="free",LOWER(TRIM($F298&amp;""))="free entry"),IF(LOWER($D298&amp;"")="finalized",IF(ISNUMBER($K298),$K298,""),IF($O298&lt;&gt;"",$O298,"")),IF($K298&lt;&gt;"",$K298,IF($O298&lt;&gt;"",$O298,""))))))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IF(COUNTA($A298:$M298)=0,"",IF(OR(LEFT(LOWER(TRIM($F298&amp;"")),12)="subscription",LOWER(TRIM($F298&amp;""))="membership"),"Subscription",IF(OR(AND($H298&lt;&gt;"",$H298=0),LEFT(LOWER(TRIM($F298&amp;"")),9)="free game",LOWER(TRIM($F298&amp;""))="free",LOWER(TRIM($F298&amp;""))="free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IF(COUNTA($A299:$M299)=0,"",IF(OR(LEFT(LOWER(TRIM($F299&amp;"")),12)="subscription",LOWER(TRIM($F299&amp;""))="membership"),"",IF($G299="","",IF(ISNUMBER(SEARCH("non",LOWER($E299&amp;""))),$G299*0.85,$G299))))</x:f>
      </x:c>
      <x:c r="O299" s="987" t="str">
        <x:f>IF(COUNTA($A299:$M299)=0,"",IF(OR(LEFT(LOWER(TRIM($F299&amp;"")),12)="subscription",LOWER(TRIM($F299&amp;""))="membership"),"",IF(OR($N299="",$I299="",$I299=0),"",IFERROR($N299/$I299,""))))</x:f>
      </x:c>
      <x:c r="P299" s="987" t="str">
        <x:f>IF(COUNTA($A299:$M299)=0,"",IF(OR(LEFT(LOWER(TRIM($F299&amp;"")),12)="subscription",LOWER(TRIM($F299&amp;""))="membership"),"",IF(LOWER($L299&amp;"")="yes",0,IF(OR(AND($H299&lt;&gt;"",$H299=0),LEFT(LOWER(TRIM($F299&amp;"")),9)="free game",LOWER(TRIM($F299&amp;""))="free",LOWER(TRIM($F299&amp;""))="free entry"),IF(LOWER($D299&amp;"")="finalized",IF(ISNUMBER($K299),$K299,""),IF($O299&lt;&gt;"",$O299,"")),IF($K299&lt;&gt;"",$K299,IF($O299&lt;&gt;"",$O299,""))))))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IF(COUNTA($A299:$M299)=0,"",IF(OR(LEFT(LOWER(TRIM($F299&amp;"")),12)="subscription",LOWER(TRIM($F299&amp;""))="membership"),"Subscription",IF(OR(AND($H299&lt;&gt;"",$H299=0),LEFT(LOWER(TRIM($F299&amp;"")),9)="free game",LOWER(TRIM($F299&amp;""))="free",LOWER(TRIM($F299&amp;""))="free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IF(COUNTA($A300:$M300)=0,"",IF(OR(LEFT(LOWER(TRIM($F300&amp;"")),12)="subscription",LOWER(TRIM($F300&amp;""))="membership"),"",IF($G300="","",IF(ISNUMBER(SEARCH("non",LOWER($E300&amp;""))),$G300*0.85,$G300))))</x:f>
      </x:c>
      <x:c r="O300" s="987" t="str">
        <x:f>IF(COUNTA($A300:$M300)=0,"",IF(OR(LEFT(LOWER(TRIM($F300&amp;"")),12)="subscription",LOWER(TRIM($F300&amp;""))="membership"),"",IF(OR($N300="",$I300="",$I300=0),"",IFERROR($N300/$I300,""))))</x:f>
      </x:c>
      <x:c r="P300" s="987" t="str">
        <x:f>IF(COUNTA($A300:$M300)=0,"",IF(OR(LEFT(LOWER(TRIM($F300&amp;"")),12)="subscription",LOWER(TRIM($F300&amp;""))="membership"),"",IF(LOWER($L300&amp;"")="yes",0,IF(OR(AND($H300&lt;&gt;"",$H300=0),LEFT(LOWER(TRIM($F300&amp;"")),9)="free game",LOWER(TRIM($F300&amp;""))="free",LOWER(TRIM($F300&amp;""))="free entry"),IF(LOWER($D300&amp;"")="finalized",IF(ISNUMBER($K300),$K300,""),IF($O300&lt;&gt;"",$O300,"")),IF($K300&lt;&gt;"",$K300,IF($O300&lt;&gt;"",$O300,""))))))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IF(COUNTA($A300:$M300)=0,"",IF(OR(LEFT(LOWER(TRIM($F300&amp;"")),12)="subscription",LOWER(TRIM($F300&amp;""))="membership"),"Subscription",IF(OR(AND($H300&lt;&gt;"",$H300=0),LEFT(LOWER(TRIM($F300&amp;"")),9)="free game",LOWER(TRIM($F300&amp;""))="free",LOWER(TRIM($F300&amp;""))="free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IF(COUNTA($A301:$M301)=0,"",IF(OR(LEFT(LOWER(TRIM($F301&amp;"")),12)="subscription",LOWER(TRIM($F301&amp;""))="membership"),"",IF($G301="","",IF(ISNUMBER(SEARCH("non",LOWER($E301&amp;""))),$G301*0.85,$G301))))</x:f>
      </x:c>
      <x:c r="O301" s="987" t="str">
        <x:f>IF(COUNTA($A301:$M301)=0,"",IF(OR(LEFT(LOWER(TRIM($F301&amp;"")),12)="subscription",LOWER(TRIM($F301&amp;""))="membership"),"",IF(OR($N301="",$I301="",$I301=0),"",IFERROR($N301/$I301,""))))</x:f>
      </x:c>
      <x:c r="P301" s="987" t="str">
        <x:f>IF(COUNTA($A301:$M301)=0,"",IF(OR(LEFT(LOWER(TRIM($F301&amp;"")),12)="subscription",LOWER(TRIM($F301&amp;""))="membership"),"",IF(LOWER($L301&amp;"")="yes",0,IF(OR(AND($H301&lt;&gt;"",$H301=0),LEFT(LOWER(TRIM($F301&amp;"")),9)="free game",LOWER(TRIM($F301&amp;""))="free",LOWER(TRIM($F301&amp;""))="free entry"),IF(LOWER($D301&amp;"")="finalized",IF(ISNUMBER($K301),$K301,""),IF($O301&lt;&gt;"",$O301,"")),IF($K301&lt;&gt;"",$K301,IF($O301&lt;&gt;"",$O301,""))))))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IF(COUNTA($A301:$M301)=0,"",IF(OR(LEFT(LOWER(TRIM($F301&amp;"")),12)="subscription",LOWER(TRIM($F301&amp;""))="membership"),"Subscription",IF(OR(AND($H301&lt;&gt;"",$H301=0),LEFT(LOWER(TRIM($F301&amp;"")),9)="free game",LOWER(TRIM($F301&amp;""))="free",LOWER(TRIM($F301&amp;""))="free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IF(COUNTA($A302:$M302)=0,"",IF(OR(LEFT(LOWER(TRIM($F302&amp;"")),12)="subscription",LOWER(TRIM($F302&amp;""))="membership"),"",IF($G302="","",IF(ISNUMBER(SEARCH("non",LOWER($E302&amp;""))),$G302*0.85,$G302))))</x:f>
      </x:c>
      <x:c r="O302" s="987" t="str">
        <x:f>IF(COUNTA($A302:$M302)=0,"",IF(OR(LEFT(LOWER(TRIM($F302&amp;"")),12)="subscription",LOWER(TRIM($F302&amp;""))="membership"),"",IF(OR($N302="",$I302="",$I302=0),"",IFERROR($N302/$I302,""))))</x:f>
      </x:c>
      <x:c r="P302" s="987" t="str">
        <x:f>IF(COUNTA($A302:$M302)=0,"",IF(OR(LEFT(LOWER(TRIM($F302&amp;"")),12)="subscription",LOWER(TRIM($F302&amp;""))="membership"),"",IF(LOWER($L302&amp;"")="yes",0,IF(OR(AND($H302&lt;&gt;"",$H302=0),LEFT(LOWER(TRIM($F302&amp;"")),9)="free game",LOWER(TRIM($F302&amp;""))="free",LOWER(TRIM($F302&amp;""))="free entry"),IF(LOWER($D302&amp;"")="finalized",IF(ISNUMBER($K302),$K302,""),IF($O302&lt;&gt;"",$O302,"")),IF($K302&lt;&gt;"",$K302,IF($O302&lt;&gt;"",$O302,""))))))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IF(COUNTA($A302:$M302)=0,"",IF(OR(LEFT(LOWER(TRIM($F302&amp;"")),12)="subscription",LOWER(TRIM($F302&amp;""))="membership"),"Subscription",IF(OR(AND($H302&lt;&gt;"",$H302=0),LEFT(LOWER(TRIM($F302&amp;"")),9)="free game",LOWER(TRIM($F302&amp;""))="free",LOWER(TRIM($F302&amp;""))="free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IF(COUNTA($A303:$M303)=0,"",IF(OR(LEFT(LOWER(TRIM($F303&amp;"")),12)="subscription",LOWER(TRIM($F303&amp;""))="membership"),"",IF($G303="","",IF(ISNUMBER(SEARCH("non",LOWER($E303&amp;""))),$G303*0.85,$G303))))</x:f>
      </x:c>
      <x:c r="O303" s="987" t="str">
        <x:f>IF(COUNTA($A303:$M303)=0,"",IF(OR(LEFT(LOWER(TRIM($F303&amp;"")),12)="subscription",LOWER(TRIM($F303&amp;""))="membership"),"",IF(OR($N303="",$I303="",$I303=0),"",IFERROR($N303/$I303,""))))</x:f>
      </x:c>
      <x:c r="P303" s="987" t="str">
        <x:f>IF(COUNTA($A303:$M303)=0,"",IF(OR(LEFT(LOWER(TRIM($F303&amp;"")),12)="subscription",LOWER(TRIM($F303&amp;""))="membership"),"",IF(LOWER($L303&amp;"")="yes",0,IF(OR(AND($H303&lt;&gt;"",$H303=0),LEFT(LOWER(TRIM($F303&amp;"")),9)="free game",LOWER(TRIM($F303&amp;""))="free",LOWER(TRIM($F303&amp;""))="free entry"),IF(LOWER($D303&amp;"")="finalized",IF(ISNUMBER($K303),$K303,""),IF($O303&lt;&gt;"",$O303,"")),IF($K303&lt;&gt;"",$K303,IF($O303&lt;&gt;"",$O303,""))))))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IF(COUNTA($A303:$M303)=0,"",IF(OR(LEFT(LOWER(TRIM($F303&amp;"")),12)="subscription",LOWER(TRIM($F303&amp;""))="membership"),"Subscription",IF(OR(AND($H303&lt;&gt;"",$H303=0),LEFT(LOWER(TRIM($F303&amp;"")),9)="free game",LOWER(TRIM($F303&amp;""))="free",LOWER(TRIM($F303&amp;""))="free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IF(COUNTA($A304:$M304)=0,"",IF(OR(LEFT(LOWER(TRIM($F304&amp;"")),12)="subscription",LOWER(TRIM($F304&amp;""))="membership"),"",IF($G304="","",IF(ISNUMBER(SEARCH("non",LOWER($E304&amp;""))),$G304*0.85,$G304))))</x:f>
      </x:c>
      <x:c r="O304" s="987" t="str">
        <x:f>IF(COUNTA($A304:$M304)=0,"",IF(OR(LEFT(LOWER(TRIM($F304&amp;"")),12)="subscription",LOWER(TRIM($F304&amp;""))="membership"),"",IF(OR($N304="",$I304="",$I304=0),"",IFERROR($N304/$I304,""))))</x:f>
      </x:c>
      <x:c r="P304" s="987" t="str">
        <x:f>IF(COUNTA($A304:$M304)=0,"",IF(OR(LEFT(LOWER(TRIM($F304&amp;"")),12)="subscription",LOWER(TRIM($F304&amp;""))="membership"),"",IF(LOWER($L304&amp;"")="yes",0,IF(OR(AND($H304&lt;&gt;"",$H304=0),LEFT(LOWER(TRIM($F304&amp;"")),9)="free game",LOWER(TRIM($F304&amp;""))="free",LOWER(TRIM($F304&amp;""))="free entry"),IF(LOWER($D304&amp;"")="finalized",IF(ISNUMBER($K304),$K304,""),IF($O304&lt;&gt;"",$O304,"")),IF($K304&lt;&gt;"",$K304,IF($O304&lt;&gt;"",$O304,""))))))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IF(COUNTA($A304:$M304)=0,"",IF(OR(LEFT(LOWER(TRIM($F304&amp;"")),12)="subscription",LOWER(TRIM($F304&amp;""))="membership"),"Subscription",IF(OR(AND($H304&lt;&gt;"",$H304=0),LEFT(LOWER(TRIM($F304&amp;"")),9)="free game",LOWER(TRIM($F304&amp;""))="free",LOWER(TRIM($F304&amp;""))="free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IF(COUNTA($A305:$M305)=0,"",IF(OR(LEFT(LOWER(TRIM($F305&amp;"")),12)="subscription",LOWER(TRIM($F305&amp;""))="membership"),"",IF($G305="","",IF(ISNUMBER(SEARCH("non",LOWER($E305&amp;""))),$G305*0.85,$G305))))</x:f>
      </x:c>
      <x:c r="O305" s="987" t="str">
        <x:f>IF(COUNTA($A305:$M305)=0,"",IF(OR(LEFT(LOWER(TRIM($F305&amp;"")),12)="subscription",LOWER(TRIM($F305&amp;""))="membership"),"",IF(OR($N305="",$I305="",$I305=0),"",IFERROR($N305/$I305,""))))</x:f>
      </x:c>
      <x:c r="P305" s="987" t="str">
        <x:f>IF(COUNTA($A305:$M305)=0,"",IF(OR(LEFT(LOWER(TRIM($F305&amp;"")),12)="subscription",LOWER(TRIM($F305&amp;""))="membership"),"",IF(LOWER($L305&amp;"")="yes",0,IF(OR(AND($H305&lt;&gt;"",$H305=0),LEFT(LOWER(TRIM($F305&amp;"")),9)="free game",LOWER(TRIM($F305&amp;""))="free",LOWER(TRIM($F305&amp;""))="free entry"),IF(LOWER($D305&amp;"")="finalized",IF(ISNUMBER($K305),$K305,""),IF($O305&lt;&gt;"",$O305,"")),IF($K305&lt;&gt;"",$K305,IF($O305&lt;&gt;"",$O305,""))))))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IF(COUNTA($A305:$M305)=0,"",IF(OR(LEFT(LOWER(TRIM($F305&amp;"")),12)="subscription",LOWER(TRIM($F305&amp;""))="membership"),"Subscription",IF(OR(AND($H305&lt;&gt;"",$H305=0),LEFT(LOWER(TRIM($F305&amp;"")),9)="free game",LOWER(TRIM($F305&amp;""))="free",LOWER(TRIM($F305&amp;""))="free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IF(COUNTA($A306:$M306)=0,"",IF(OR(LEFT(LOWER(TRIM($F306&amp;"")),12)="subscription",LOWER(TRIM($F306&amp;""))="membership"),"",IF($G306="","",IF(ISNUMBER(SEARCH("non",LOWER($E306&amp;""))),$G306*0.85,$G306))))</x:f>
      </x:c>
      <x:c r="O306" s="987" t="str">
        <x:f>IF(COUNTA($A306:$M306)=0,"",IF(OR(LEFT(LOWER(TRIM($F306&amp;"")),12)="subscription",LOWER(TRIM($F306&amp;""))="membership"),"",IF(OR($N306="",$I306="",$I306=0),"",IFERROR($N306/$I306,""))))</x:f>
      </x:c>
      <x:c r="P306" s="987" t="str">
        <x:f>IF(COUNTA($A306:$M306)=0,"",IF(OR(LEFT(LOWER(TRIM($F306&amp;"")),12)="subscription",LOWER(TRIM($F306&amp;""))="membership"),"",IF(LOWER($L306&amp;"")="yes",0,IF(OR(AND($H306&lt;&gt;"",$H306=0),LEFT(LOWER(TRIM($F306&amp;"")),9)="free game",LOWER(TRIM($F306&amp;""))="free",LOWER(TRIM($F306&amp;""))="free entry"),IF(LOWER($D306&amp;"")="finalized",IF(ISNUMBER($K306),$K306,""),IF($O306&lt;&gt;"",$O306,"")),IF($K306&lt;&gt;"",$K306,IF($O306&lt;&gt;"",$O306,""))))))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IF(COUNTA($A306:$M306)=0,"",IF(OR(LEFT(LOWER(TRIM($F306&amp;"")),12)="subscription",LOWER(TRIM($F306&amp;""))="membership"),"Subscription",IF(OR(AND($H306&lt;&gt;"",$H306=0),LEFT(LOWER(TRIM($F306&amp;"")),9)="free game",LOWER(TRIM($F306&amp;""))="free",LOWER(TRIM($F306&amp;""))="free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IF(COUNTA($A307:$M307)=0,"",IF(OR(LEFT(LOWER(TRIM($F307&amp;"")),12)="subscription",LOWER(TRIM($F307&amp;""))="membership"),"",IF($G307="","",IF(ISNUMBER(SEARCH("non",LOWER($E307&amp;""))),$G307*0.85,$G307))))</x:f>
      </x:c>
      <x:c r="O307" s="987" t="str">
        <x:f>IF(COUNTA($A307:$M307)=0,"",IF(OR(LEFT(LOWER(TRIM($F307&amp;"")),12)="subscription",LOWER(TRIM($F307&amp;""))="membership"),"",IF(OR($N307="",$I307="",$I307=0),"",IFERROR($N307/$I307,""))))</x:f>
      </x:c>
      <x:c r="P307" s="987" t="str">
        <x:f>IF(COUNTA($A307:$M307)=0,"",IF(OR(LEFT(LOWER(TRIM($F307&amp;"")),12)="subscription",LOWER(TRIM($F307&amp;""))="membership"),"",IF(LOWER($L307&amp;"")="yes",0,IF(OR(AND($H307&lt;&gt;"",$H307=0),LEFT(LOWER(TRIM($F307&amp;"")),9)="free game",LOWER(TRIM($F307&amp;""))="free",LOWER(TRIM($F307&amp;""))="free entry"),IF(LOWER($D307&amp;"")="finalized",IF(ISNUMBER($K307),$K307,""),IF($O307&lt;&gt;"",$O307,"")),IF($K307&lt;&gt;"",$K307,IF($O307&lt;&gt;"",$O307,""))))))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IF(COUNTA($A307:$M307)=0,"",IF(OR(LEFT(LOWER(TRIM($F307&amp;"")),12)="subscription",LOWER(TRIM($F307&amp;""))="membership"),"Subscription",IF(OR(AND($H307&lt;&gt;"",$H307=0),LEFT(LOWER(TRIM($F307&amp;"")),9)="free game",LOWER(TRIM($F307&amp;""))="free",LOWER(TRIM($F307&amp;""))="free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IF(COUNTA($A308:$M308)=0,"",IF(OR(LEFT(LOWER(TRIM($F308&amp;"")),12)="subscription",LOWER(TRIM($F308&amp;""))="membership"),"",IF($G308="","",IF(ISNUMBER(SEARCH("non",LOWER($E308&amp;""))),$G308*0.85,$G308))))</x:f>
      </x:c>
      <x:c r="O308" s="987" t="str">
        <x:f>IF(COUNTA($A308:$M308)=0,"",IF(OR(LEFT(LOWER(TRIM($F308&amp;"")),12)="subscription",LOWER(TRIM($F308&amp;""))="membership"),"",IF(OR($N308="",$I308="",$I308=0),"",IFERROR($N308/$I308,""))))</x:f>
      </x:c>
      <x:c r="P308" s="987" t="str">
        <x:f>IF(COUNTA($A308:$M308)=0,"",IF(OR(LEFT(LOWER(TRIM($F308&amp;"")),12)="subscription",LOWER(TRIM($F308&amp;""))="membership"),"",IF(LOWER($L308&amp;"")="yes",0,IF(OR(AND($H308&lt;&gt;"",$H308=0),LEFT(LOWER(TRIM($F308&amp;"")),9)="free game",LOWER(TRIM($F308&amp;""))="free",LOWER(TRIM($F308&amp;""))="free entry"),IF(LOWER($D308&amp;"")="finalized",IF(ISNUMBER($K308),$K308,""),IF($O308&lt;&gt;"",$O308,"")),IF($K308&lt;&gt;"",$K308,IF($O308&lt;&gt;"",$O308,""))))))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IF(COUNTA($A308:$M308)=0,"",IF(OR(LEFT(LOWER(TRIM($F308&amp;"")),12)="subscription",LOWER(TRIM($F308&amp;""))="membership"),"Subscription",IF(OR(AND($H308&lt;&gt;"",$H308=0),LEFT(LOWER(TRIM($F308&amp;"")),9)="free game",LOWER(TRIM($F308&amp;""))="free",LOWER(TRIM($F308&amp;""))="free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IF(COUNTA($A309:$M309)=0,"",IF(OR(LEFT(LOWER(TRIM($F309&amp;"")),12)="subscription",LOWER(TRIM($F309&amp;""))="membership"),"",IF($G309="","",IF(ISNUMBER(SEARCH("non",LOWER($E309&amp;""))),$G309*0.85,$G309))))</x:f>
      </x:c>
      <x:c r="O309" s="987" t="str">
        <x:f>IF(COUNTA($A309:$M309)=0,"",IF(OR(LEFT(LOWER(TRIM($F309&amp;"")),12)="subscription",LOWER(TRIM($F309&amp;""))="membership"),"",IF(OR($N309="",$I309="",$I309=0),"",IFERROR($N309/$I309,""))))</x:f>
      </x:c>
      <x:c r="P309" s="987" t="str">
        <x:f>IF(COUNTA($A309:$M309)=0,"",IF(OR(LEFT(LOWER(TRIM($F309&amp;"")),12)="subscription",LOWER(TRIM($F309&amp;""))="membership"),"",IF(LOWER($L309&amp;"")="yes",0,IF(OR(AND($H309&lt;&gt;"",$H309=0),LEFT(LOWER(TRIM($F309&amp;"")),9)="free game",LOWER(TRIM($F309&amp;""))="free",LOWER(TRIM($F309&amp;""))="free entry"),IF(LOWER($D309&amp;"")="finalized",IF(ISNUMBER($K309),$K309,""),IF($O309&lt;&gt;"",$O309,"")),IF($K309&lt;&gt;"",$K309,IF($O309&lt;&gt;"",$O309,""))))))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IF(COUNTA($A309:$M309)=0,"",IF(OR(LEFT(LOWER(TRIM($F309&amp;"")),12)="subscription",LOWER(TRIM($F309&amp;""))="membership"),"Subscription",IF(OR(AND($H309&lt;&gt;"",$H309=0),LEFT(LOWER(TRIM($F309&amp;"")),9)="free game",LOWER(TRIM($F309&amp;""))="free",LOWER(TRIM($F309&amp;""))="free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IF(COUNTA($A310:$M310)=0,"",IF(OR(LEFT(LOWER(TRIM($F310&amp;"")),12)="subscription",LOWER(TRIM($F310&amp;""))="membership"),"",IF($G310="","",IF(ISNUMBER(SEARCH("non",LOWER($E310&amp;""))),$G310*0.85,$G310))))</x:f>
      </x:c>
      <x:c r="O310" s="987" t="str">
        <x:f>IF(COUNTA($A310:$M310)=0,"",IF(OR(LEFT(LOWER(TRIM($F310&amp;"")),12)="subscription",LOWER(TRIM($F310&amp;""))="membership"),"",IF(OR($N310="",$I310="",$I310=0),"",IFERROR($N310/$I310,""))))</x:f>
      </x:c>
      <x:c r="P310" s="987" t="str">
        <x:f>IF(COUNTA($A310:$M310)=0,"",IF(OR(LEFT(LOWER(TRIM($F310&amp;"")),12)="subscription",LOWER(TRIM($F310&amp;""))="membership"),"",IF(LOWER($L310&amp;"")="yes",0,IF(OR(AND($H310&lt;&gt;"",$H310=0),LEFT(LOWER(TRIM($F310&amp;"")),9)="free game",LOWER(TRIM($F310&amp;""))="free",LOWER(TRIM($F310&amp;""))="free entry"),IF(LOWER($D310&amp;"")="finalized",IF(ISNUMBER($K310),$K310,""),IF($O310&lt;&gt;"",$O310,"")),IF($K310&lt;&gt;"",$K310,IF($O310&lt;&gt;"",$O310,""))))))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IF(COUNTA($A310:$M310)=0,"",IF(OR(LEFT(LOWER(TRIM($F310&amp;"")),12)="subscription",LOWER(TRIM($F310&amp;""))="membership"),"Subscription",IF(OR(AND($H310&lt;&gt;"",$H310=0),LEFT(LOWER(TRIM($F310&amp;"")),9)="free game",LOWER(TRIM($F310&amp;""))="free",LOWER(TRIM($F310&amp;""))="free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IF(COUNTA($A311:$M311)=0,"",IF(OR(LEFT(LOWER(TRIM($F311&amp;"")),12)="subscription",LOWER(TRIM($F311&amp;""))="membership"),"",IF($G311="","",IF(ISNUMBER(SEARCH("non",LOWER($E311&amp;""))),$G311*0.85,$G311))))</x:f>
      </x:c>
      <x:c r="O311" s="987" t="str">
        <x:f>IF(COUNTA($A311:$M311)=0,"",IF(OR(LEFT(LOWER(TRIM($F311&amp;"")),12)="subscription",LOWER(TRIM($F311&amp;""))="membership"),"",IF(OR($N311="",$I311="",$I311=0),"",IFERROR($N311/$I311,""))))</x:f>
      </x:c>
      <x:c r="P311" s="987" t="str">
        <x:f>IF(COUNTA($A311:$M311)=0,"",IF(OR(LEFT(LOWER(TRIM($F311&amp;"")),12)="subscription",LOWER(TRIM($F311&amp;""))="membership"),"",IF(LOWER($L311&amp;"")="yes",0,IF(OR(AND($H311&lt;&gt;"",$H311=0),LEFT(LOWER(TRIM($F311&amp;"")),9)="free game",LOWER(TRIM($F311&amp;""))="free",LOWER(TRIM($F311&amp;""))="free entry"),IF(LOWER($D311&amp;"")="finalized",IF(ISNUMBER($K311),$K311,""),IF($O311&lt;&gt;"",$O311,"")),IF($K311&lt;&gt;"",$K311,IF($O311&lt;&gt;"",$O311,""))))))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IF(COUNTA($A311:$M311)=0,"",IF(OR(LEFT(LOWER(TRIM($F311&amp;"")),12)="subscription",LOWER(TRIM($F311&amp;""))="membership"),"Subscription",IF(OR(AND($H311&lt;&gt;"",$H311=0),LEFT(LOWER(TRIM($F311&amp;"")),9)="free game",LOWER(TRIM($F311&amp;""))="free",LOWER(TRIM($F311&amp;""))="free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IF(COUNTA($A312:$M312)=0,"",IF(OR(LEFT(LOWER(TRIM($F312&amp;"")),12)="subscription",LOWER(TRIM($F312&amp;""))="membership"),"",IF($G312="","",IF(ISNUMBER(SEARCH("non",LOWER($E312&amp;""))),$G312*0.85,$G312))))</x:f>
      </x:c>
      <x:c r="O312" s="987" t="str">
        <x:f>IF(COUNTA($A312:$M312)=0,"",IF(OR(LEFT(LOWER(TRIM($F312&amp;"")),12)="subscription",LOWER(TRIM($F312&amp;""))="membership"),"",IF(OR($N312="",$I312="",$I312=0),"",IFERROR($N312/$I312,""))))</x:f>
      </x:c>
      <x:c r="P312" s="987" t="str">
        <x:f>IF(COUNTA($A312:$M312)=0,"",IF(OR(LEFT(LOWER(TRIM($F312&amp;"")),12)="subscription",LOWER(TRIM($F312&amp;""))="membership"),"",IF(LOWER($L312&amp;"")="yes",0,IF(OR(AND($H312&lt;&gt;"",$H312=0),LEFT(LOWER(TRIM($F312&amp;"")),9)="free game",LOWER(TRIM($F312&amp;""))="free",LOWER(TRIM($F312&amp;""))="free entry"),IF(LOWER($D312&amp;"")="finalized",IF(ISNUMBER($K312),$K312,""),IF($O312&lt;&gt;"",$O312,"")),IF($K312&lt;&gt;"",$K312,IF($O312&lt;&gt;"",$O312,""))))))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IF(COUNTA($A312:$M312)=0,"",IF(OR(LEFT(LOWER(TRIM($F312&amp;"")),12)="subscription",LOWER(TRIM($F312&amp;""))="membership"),"Subscription",IF(OR(AND($H312&lt;&gt;"",$H312=0),LEFT(LOWER(TRIM($F312&amp;"")),9)="free game",LOWER(TRIM($F312&amp;""))="free",LOWER(TRIM($F312&amp;""))="free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IF(COUNTA($A313:$M313)=0,"",IF(OR(LEFT(LOWER(TRIM($F313&amp;"")),12)="subscription",LOWER(TRIM($F313&amp;""))="membership"),"",IF($G313="","",IF(ISNUMBER(SEARCH("non",LOWER($E313&amp;""))),$G313*0.85,$G313))))</x:f>
      </x:c>
      <x:c r="O313" s="987" t="str">
        <x:f>IF(COUNTA($A313:$M313)=0,"",IF(OR(LEFT(LOWER(TRIM($F313&amp;"")),12)="subscription",LOWER(TRIM($F313&amp;""))="membership"),"",IF(OR($N313="",$I313="",$I313=0),"",IFERROR($N313/$I313,""))))</x:f>
      </x:c>
      <x:c r="P313" s="987" t="str">
        <x:f>IF(COUNTA($A313:$M313)=0,"",IF(OR(LEFT(LOWER(TRIM($F313&amp;"")),12)="subscription",LOWER(TRIM($F313&amp;""))="membership"),"",IF(LOWER($L313&amp;"")="yes",0,IF(OR(AND($H313&lt;&gt;"",$H313=0),LEFT(LOWER(TRIM($F313&amp;"")),9)="free game",LOWER(TRIM($F313&amp;""))="free",LOWER(TRIM($F313&amp;""))="free entry"),IF(LOWER($D313&amp;"")="finalized",IF(ISNUMBER($K313),$K313,""),IF($O313&lt;&gt;"",$O313,"")),IF($K313&lt;&gt;"",$K313,IF($O313&lt;&gt;"",$O313,""))))))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IF(COUNTA($A313:$M313)=0,"",IF(OR(LEFT(LOWER(TRIM($F313&amp;"")),12)="subscription",LOWER(TRIM($F313&amp;""))="membership"),"Subscription",IF(OR(AND($H313&lt;&gt;"",$H313=0),LEFT(LOWER(TRIM($F313&amp;"")),9)="free game",LOWER(TRIM($F313&amp;""))="free",LOWER(TRIM($F313&amp;""))="free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IF(COUNTA($A314:$M314)=0,"",IF(OR(LEFT(LOWER(TRIM($F314&amp;"")),12)="subscription",LOWER(TRIM($F314&amp;""))="membership"),"",IF($G314="","",IF(ISNUMBER(SEARCH("non",LOWER($E314&amp;""))),$G314*0.85,$G314))))</x:f>
      </x:c>
      <x:c r="O314" s="987" t="str">
        <x:f>IF(COUNTA($A314:$M314)=0,"",IF(OR(LEFT(LOWER(TRIM($F314&amp;"")),12)="subscription",LOWER(TRIM($F314&amp;""))="membership"),"",IF(OR($N314="",$I314="",$I314=0),"",IFERROR($N314/$I314,""))))</x:f>
      </x:c>
      <x:c r="P314" s="987" t="str">
        <x:f>IF(COUNTA($A314:$M314)=0,"",IF(OR(LEFT(LOWER(TRIM($F314&amp;"")),12)="subscription",LOWER(TRIM($F314&amp;""))="membership"),"",IF(LOWER($L314&amp;"")="yes",0,IF(OR(AND($H314&lt;&gt;"",$H314=0),LEFT(LOWER(TRIM($F314&amp;"")),9)="free game",LOWER(TRIM($F314&amp;""))="free",LOWER(TRIM($F314&amp;""))="free entry"),IF(LOWER($D314&amp;"")="finalized",IF(ISNUMBER($K314),$K314,""),IF($O314&lt;&gt;"",$O314,"")),IF($K314&lt;&gt;"",$K314,IF($O314&lt;&gt;"",$O314,""))))))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IF(COUNTA($A314:$M314)=0,"",IF(OR(LEFT(LOWER(TRIM($F314&amp;"")),12)="subscription",LOWER(TRIM($F314&amp;""))="membership"),"Subscription",IF(OR(AND($H314&lt;&gt;"",$H314=0),LEFT(LOWER(TRIM($F314&amp;"")),9)="free game",LOWER(TRIM($F314&amp;""))="free",LOWER(TRIM($F314&amp;""))="free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IF(COUNTA($A315:$M315)=0,"",IF(OR(LEFT(LOWER(TRIM($F315&amp;"")),12)="subscription",LOWER(TRIM($F315&amp;""))="membership"),"",IF($G315="","",IF(ISNUMBER(SEARCH("non",LOWER($E315&amp;""))),$G315*0.85,$G315))))</x:f>
      </x:c>
      <x:c r="O315" s="987" t="str">
        <x:f>IF(COUNTA($A315:$M315)=0,"",IF(OR(LEFT(LOWER(TRIM($F315&amp;"")),12)="subscription",LOWER(TRIM($F315&amp;""))="membership"),"",IF(OR($N315="",$I315="",$I315=0),"",IFERROR($N315/$I315,""))))</x:f>
      </x:c>
      <x:c r="P315" s="987" t="str">
        <x:f>IF(COUNTA($A315:$M315)=0,"",IF(OR(LEFT(LOWER(TRIM($F315&amp;"")),12)="subscription",LOWER(TRIM($F315&amp;""))="membership"),"",IF(LOWER($L315&amp;"")="yes",0,IF(OR(AND($H315&lt;&gt;"",$H315=0),LEFT(LOWER(TRIM($F315&amp;"")),9)="free game",LOWER(TRIM($F315&amp;""))="free",LOWER(TRIM($F315&amp;""))="free entry"),IF(LOWER($D315&amp;"")="finalized",IF(ISNUMBER($K315),$K315,""),IF($O315&lt;&gt;"",$O315,"")),IF($K315&lt;&gt;"",$K315,IF($O315&lt;&gt;"",$O315,""))))))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IF(COUNTA($A315:$M315)=0,"",IF(OR(LEFT(LOWER(TRIM($F315&amp;"")),12)="subscription",LOWER(TRIM($F315&amp;""))="membership"),"Subscription",IF(OR(AND($H315&lt;&gt;"",$H315=0),LEFT(LOWER(TRIM($F315&amp;"")),9)="free game",LOWER(TRIM($F315&amp;""))="free",LOWER(TRIM($F315&amp;""))="free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IF(COUNTA($A316:$M316)=0,"",IF(OR(LEFT(LOWER(TRIM($F316&amp;"")),12)="subscription",LOWER(TRIM($F316&amp;""))="membership"),"",IF($G316="","",IF(ISNUMBER(SEARCH("non",LOWER($E316&amp;""))),$G316*0.85,$G316))))</x:f>
      </x:c>
      <x:c r="O316" s="987" t="str">
        <x:f>IF(COUNTA($A316:$M316)=0,"",IF(OR(LEFT(LOWER(TRIM($F316&amp;"")),12)="subscription",LOWER(TRIM($F316&amp;""))="membership"),"",IF(OR($N316="",$I316="",$I316=0),"",IFERROR($N316/$I316,""))))</x:f>
      </x:c>
      <x:c r="P316" s="987" t="str">
        <x:f>IF(COUNTA($A316:$M316)=0,"",IF(OR(LEFT(LOWER(TRIM($F316&amp;"")),12)="subscription",LOWER(TRIM($F316&amp;""))="membership"),"",IF(LOWER($L316&amp;"")="yes",0,IF(OR(AND($H316&lt;&gt;"",$H316=0),LEFT(LOWER(TRIM($F316&amp;"")),9)="free game",LOWER(TRIM($F316&amp;""))="free",LOWER(TRIM($F316&amp;""))="free entry"),IF(LOWER($D316&amp;"")="finalized",IF(ISNUMBER($K316),$K316,""),IF($O316&lt;&gt;"",$O316,"")),IF($K316&lt;&gt;"",$K316,IF($O316&lt;&gt;"",$O316,""))))))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IF(COUNTA($A316:$M316)=0,"",IF(OR(LEFT(LOWER(TRIM($F316&amp;"")),12)="subscription",LOWER(TRIM($F316&amp;""))="membership"),"Subscription",IF(OR(AND($H316&lt;&gt;"",$H316=0),LEFT(LOWER(TRIM($F316&amp;"")),9)="free game",LOWER(TRIM($F316&amp;""))="free",LOWER(TRIM($F316&amp;""))="free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IF(COUNTA($A317:$M317)=0,"",IF(OR(LEFT(LOWER(TRIM($F317&amp;"")),12)="subscription",LOWER(TRIM($F317&amp;""))="membership"),"",IF($G317="","",IF(ISNUMBER(SEARCH("non",LOWER($E317&amp;""))),$G317*0.85,$G317))))</x:f>
      </x:c>
      <x:c r="O317" s="987" t="str">
        <x:f>IF(COUNTA($A317:$M317)=0,"",IF(OR(LEFT(LOWER(TRIM($F317&amp;"")),12)="subscription",LOWER(TRIM($F317&amp;""))="membership"),"",IF(OR($N317="",$I317="",$I317=0),"",IFERROR($N317/$I317,""))))</x:f>
      </x:c>
      <x:c r="P317" s="987" t="str">
        <x:f>IF(COUNTA($A317:$M317)=0,"",IF(OR(LEFT(LOWER(TRIM($F317&amp;"")),12)="subscription",LOWER(TRIM($F317&amp;""))="membership"),"",IF(LOWER($L317&amp;"")="yes",0,IF(OR(AND($H317&lt;&gt;"",$H317=0),LEFT(LOWER(TRIM($F317&amp;"")),9)="free game",LOWER(TRIM($F317&amp;""))="free",LOWER(TRIM($F317&amp;""))="free entry"),IF(LOWER($D317&amp;"")="finalized",IF(ISNUMBER($K317),$K317,""),IF($O317&lt;&gt;"",$O317,"")),IF($K317&lt;&gt;"",$K317,IF($O317&lt;&gt;"",$O317,""))))))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IF(COUNTA($A317:$M317)=0,"",IF(OR(LEFT(LOWER(TRIM($F317&amp;"")),12)="subscription",LOWER(TRIM($F317&amp;""))="membership"),"Subscription",IF(OR(AND($H317&lt;&gt;"",$H317=0),LEFT(LOWER(TRIM($F317&amp;"")),9)="free game",LOWER(TRIM($F317&amp;""))="free",LOWER(TRIM($F317&amp;""))="free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IF(COUNTA($A318:$M318)=0,"",IF(OR(LEFT(LOWER(TRIM($F318&amp;"")),12)="subscription",LOWER(TRIM($F318&amp;""))="membership"),"",IF($G318="","",IF(ISNUMBER(SEARCH("non",LOWER($E318&amp;""))),$G318*0.85,$G318))))</x:f>
      </x:c>
      <x:c r="O318" s="987" t="str">
        <x:f>IF(COUNTA($A318:$M318)=0,"",IF(OR(LEFT(LOWER(TRIM($F318&amp;"")),12)="subscription",LOWER(TRIM($F318&amp;""))="membership"),"",IF(OR($N318="",$I318="",$I318=0),"",IFERROR($N318/$I318,""))))</x:f>
      </x:c>
      <x:c r="P318" s="987" t="str">
        <x:f>IF(COUNTA($A318:$M318)=0,"",IF(OR(LEFT(LOWER(TRIM($F318&amp;"")),12)="subscription",LOWER(TRIM($F318&amp;""))="membership"),"",IF(LOWER($L318&amp;"")="yes",0,IF(OR(AND($H318&lt;&gt;"",$H318=0),LEFT(LOWER(TRIM($F318&amp;"")),9)="free game",LOWER(TRIM($F318&amp;""))="free",LOWER(TRIM($F318&amp;""))="free entry"),IF(LOWER($D318&amp;"")="finalized",IF(ISNUMBER($K318),$K318,""),IF($O318&lt;&gt;"",$O318,"")),IF($K318&lt;&gt;"",$K318,IF($O318&lt;&gt;"",$O318,""))))))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IF(COUNTA($A318:$M318)=0,"",IF(OR(LEFT(LOWER(TRIM($F318&amp;"")),12)="subscription",LOWER(TRIM($F318&amp;""))="membership"),"Subscription",IF(OR(AND($H318&lt;&gt;"",$H318=0),LEFT(LOWER(TRIM($F318&amp;"")),9)="free game",LOWER(TRIM($F318&amp;""))="free",LOWER(TRIM($F318&amp;""))="free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IF(COUNTA($A319:$M319)=0,"",IF(OR(LEFT(LOWER(TRIM($F319&amp;"")),12)="subscription",LOWER(TRIM($F319&amp;""))="membership"),"",IF($G319="","",IF(ISNUMBER(SEARCH("non",LOWER($E319&amp;""))),$G319*0.85,$G319))))</x:f>
      </x:c>
      <x:c r="O319" s="987" t="str">
        <x:f>IF(COUNTA($A319:$M319)=0,"",IF(OR(LEFT(LOWER(TRIM($F319&amp;"")),12)="subscription",LOWER(TRIM($F319&amp;""))="membership"),"",IF(OR($N319="",$I319="",$I319=0),"",IFERROR($N319/$I319,""))))</x:f>
      </x:c>
      <x:c r="P319" s="987" t="str">
        <x:f>IF(COUNTA($A319:$M319)=0,"",IF(OR(LEFT(LOWER(TRIM($F319&amp;"")),12)="subscription",LOWER(TRIM($F319&amp;""))="membership"),"",IF(LOWER($L319&amp;"")="yes",0,IF(OR(AND($H319&lt;&gt;"",$H319=0),LEFT(LOWER(TRIM($F319&amp;"")),9)="free game",LOWER(TRIM($F319&amp;""))="free",LOWER(TRIM($F319&amp;""))="free entry"),IF(LOWER($D319&amp;"")="finalized",IF(ISNUMBER($K319),$K319,""),IF($O319&lt;&gt;"",$O319,"")),IF($K319&lt;&gt;"",$K319,IF($O319&lt;&gt;"",$O319,""))))))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IF(COUNTA($A319:$M319)=0,"",IF(OR(LEFT(LOWER(TRIM($F319&amp;"")),12)="subscription",LOWER(TRIM($F319&amp;""))="membership"),"Subscription",IF(OR(AND($H319&lt;&gt;"",$H319=0),LEFT(LOWER(TRIM($F319&amp;"")),9)="free game",LOWER(TRIM($F319&amp;""))="free",LOWER(TRIM($F319&amp;""))="free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IF(COUNTA($A320:$M320)=0,"",IF(OR(LEFT(LOWER(TRIM($F320&amp;"")),12)="subscription",LOWER(TRIM($F320&amp;""))="membership"),"",IF($G320="","",IF(ISNUMBER(SEARCH("non",LOWER($E320&amp;""))),$G320*0.85,$G320))))</x:f>
      </x:c>
      <x:c r="O320" s="987" t="str">
        <x:f>IF(COUNTA($A320:$M320)=0,"",IF(OR(LEFT(LOWER(TRIM($F320&amp;"")),12)="subscription",LOWER(TRIM($F320&amp;""))="membership"),"",IF(OR($N320="",$I320="",$I320=0),"",IFERROR($N320/$I320,""))))</x:f>
      </x:c>
      <x:c r="P320" s="987" t="str">
        <x:f>IF(COUNTA($A320:$M320)=0,"",IF(OR(LEFT(LOWER(TRIM($F320&amp;"")),12)="subscription",LOWER(TRIM($F320&amp;""))="membership"),"",IF(LOWER($L320&amp;"")="yes",0,IF(OR(AND($H320&lt;&gt;"",$H320=0),LEFT(LOWER(TRIM($F320&amp;"")),9)="free game",LOWER(TRIM($F320&amp;""))="free",LOWER(TRIM($F320&amp;""))="free entry"),IF(LOWER($D320&amp;"")="finalized",IF(ISNUMBER($K320),$K320,""),IF($O320&lt;&gt;"",$O320,"")),IF($K320&lt;&gt;"",$K320,IF($O320&lt;&gt;"",$O320,""))))))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IF(COUNTA($A320:$M320)=0,"",IF(OR(LEFT(LOWER(TRIM($F320&amp;"")),12)="subscription",LOWER(TRIM($F320&amp;""))="membership"),"Subscription",IF(OR(AND($H320&lt;&gt;"",$H320=0),LEFT(LOWER(TRIM($F320&amp;"")),9)="free game",LOWER(TRIM($F320&amp;""))="free",LOWER(TRIM($F320&amp;""))="free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IF(COUNTA($A321:$M321)=0,"",IF(OR(LEFT(LOWER(TRIM($F321&amp;"")),12)="subscription",LOWER(TRIM($F321&amp;""))="membership"),"",IF($G321="","",IF(ISNUMBER(SEARCH("non",LOWER($E321&amp;""))),$G321*0.85,$G321))))</x:f>
      </x:c>
      <x:c r="O321" s="987" t="str">
        <x:f>IF(COUNTA($A321:$M321)=0,"",IF(OR(LEFT(LOWER(TRIM($F321&amp;"")),12)="subscription",LOWER(TRIM($F321&amp;""))="membership"),"",IF(OR($N321="",$I321="",$I321=0),"",IFERROR($N321/$I321,""))))</x:f>
      </x:c>
      <x:c r="P321" s="987" t="str">
        <x:f>IF(COUNTA($A321:$M321)=0,"",IF(OR(LEFT(LOWER(TRIM($F321&amp;"")),12)="subscription",LOWER(TRIM($F321&amp;""))="membership"),"",IF(LOWER($L321&amp;"")="yes",0,IF(OR(AND($H321&lt;&gt;"",$H321=0),LEFT(LOWER(TRIM($F321&amp;"")),9)="free game",LOWER(TRIM($F321&amp;""))="free",LOWER(TRIM($F321&amp;""))="free entry"),IF(LOWER($D321&amp;"")="finalized",IF(ISNUMBER($K321),$K321,""),IF($O321&lt;&gt;"",$O321,"")),IF($K321&lt;&gt;"",$K321,IF($O321&lt;&gt;"",$O321,""))))))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IF(COUNTA($A321:$M321)=0,"",IF(OR(LEFT(LOWER(TRIM($F321&amp;"")),12)="subscription",LOWER(TRIM($F321&amp;""))="membership"),"Subscription",IF(OR(AND($H321&lt;&gt;"",$H321=0),LEFT(LOWER(TRIM($F321&amp;"")),9)="free game",LOWER(TRIM($F321&amp;""))="free",LOWER(TRIM($F321&amp;""))="free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IF(COUNTA($A322:$M322)=0,"",IF(OR(LEFT(LOWER(TRIM($F322&amp;"")),12)="subscription",LOWER(TRIM($F322&amp;""))="membership"),"",IF($G322="","",IF(ISNUMBER(SEARCH("non",LOWER($E322&amp;""))),$G322*0.85,$G322))))</x:f>
      </x:c>
      <x:c r="O322" s="987" t="str">
        <x:f>IF(COUNTA($A322:$M322)=0,"",IF(OR(LEFT(LOWER(TRIM($F322&amp;"")),12)="subscription",LOWER(TRIM($F322&amp;""))="membership"),"",IF(OR($N322="",$I322="",$I322=0),"",IFERROR($N322/$I322,""))))</x:f>
      </x:c>
      <x:c r="P322" s="987" t="str">
        <x:f>IF(COUNTA($A322:$M322)=0,"",IF(OR(LEFT(LOWER(TRIM($F322&amp;"")),12)="subscription",LOWER(TRIM($F322&amp;""))="membership"),"",IF(LOWER($L322&amp;"")="yes",0,IF(OR(AND($H322&lt;&gt;"",$H322=0),LEFT(LOWER(TRIM($F322&amp;"")),9)="free game",LOWER(TRIM($F322&amp;""))="free",LOWER(TRIM($F322&amp;""))="free entry"),IF(LOWER($D322&amp;"")="finalized",IF(ISNUMBER($K322),$K322,""),IF($O322&lt;&gt;"",$O322,"")),IF($K322&lt;&gt;"",$K322,IF($O322&lt;&gt;"",$O322,""))))))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IF(COUNTA($A322:$M322)=0,"",IF(OR(LEFT(LOWER(TRIM($F322&amp;"")),12)="subscription",LOWER(TRIM($F322&amp;""))="membership"),"Subscription",IF(OR(AND($H322&lt;&gt;"",$H322=0),LEFT(LOWER(TRIM($F322&amp;"")),9)="free game",LOWER(TRIM($F322&amp;""))="free",LOWER(TRIM($F322&amp;""))="free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IF(COUNTA($A323:$M323)=0,"",IF(OR(LEFT(LOWER(TRIM($F323&amp;"")),12)="subscription",LOWER(TRIM($F323&amp;""))="membership"),"",IF($G323="","",IF(ISNUMBER(SEARCH("non",LOWER($E323&amp;""))),$G323*0.85,$G323))))</x:f>
      </x:c>
      <x:c r="O323" s="987" t="str">
        <x:f>IF(COUNTA($A323:$M323)=0,"",IF(OR(LEFT(LOWER(TRIM($F323&amp;"")),12)="subscription",LOWER(TRIM($F323&amp;""))="membership"),"",IF(OR($N323="",$I323="",$I323=0),"",IFERROR($N323/$I323,""))))</x:f>
      </x:c>
      <x:c r="P323" s="987" t="str">
        <x:f>IF(COUNTA($A323:$M323)=0,"",IF(OR(LEFT(LOWER(TRIM($F323&amp;"")),12)="subscription",LOWER(TRIM($F323&amp;""))="membership"),"",IF(LOWER($L323&amp;"")="yes",0,IF(OR(AND($H323&lt;&gt;"",$H323=0),LEFT(LOWER(TRIM($F323&amp;"")),9)="free game",LOWER(TRIM($F323&amp;""))="free",LOWER(TRIM($F323&amp;""))="free entry"),IF(LOWER($D323&amp;"")="finalized",IF(ISNUMBER($K323),$K323,""),IF($O323&lt;&gt;"",$O323,"")),IF($K323&lt;&gt;"",$K323,IF($O323&lt;&gt;"",$O323,""))))))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IF(COUNTA($A323:$M323)=0,"",IF(OR(LEFT(LOWER(TRIM($F323&amp;"")),12)="subscription",LOWER(TRIM($F323&amp;""))="membership"),"Subscription",IF(OR(AND($H323&lt;&gt;"",$H323=0),LEFT(LOWER(TRIM($F323&amp;"")),9)="free game",LOWER(TRIM($F323&amp;""))="free",LOWER(TRIM($F323&amp;""))="free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IF(COUNTA($A324:$M324)=0,"",IF(OR(LEFT(LOWER(TRIM($F324&amp;"")),12)="subscription",LOWER(TRIM($F324&amp;""))="membership"),"",IF($G324="","",IF(ISNUMBER(SEARCH("non",LOWER($E324&amp;""))),$G324*0.85,$G324))))</x:f>
      </x:c>
      <x:c r="O324" s="987" t="str">
        <x:f>IF(COUNTA($A324:$M324)=0,"",IF(OR(LEFT(LOWER(TRIM($F324&amp;"")),12)="subscription",LOWER(TRIM($F324&amp;""))="membership"),"",IF(OR($N324="",$I324="",$I324=0),"",IFERROR($N324/$I324,""))))</x:f>
      </x:c>
      <x:c r="P324" s="987" t="str">
        <x:f>IF(COUNTA($A324:$M324)=0,"",IF(OR(LEFT(LOWER(TRIM($F324&amp;"")),12)="subscription",LOWER(TRIM($F324&amp;""))="membership"),"",IF(LOWER($L324&amp;"")="yes",0,IF(OR(AND($H324&lt;&gt;"",$H324=0),LEFT(LOWER(TRIM($F324&amp;"")),9)="free game",LOWER(TRIM($F324&amp;""))="free",LOWER(TRIM($F324&amp;""))="free entry"),IF(LOWER($D324&amp;"")="finalized",IF(ISNUMBER($K324),$K324,""),IF($O324&lt;&gt;"",$O324,"")),IF($K324&lt;&gt;"",$K324,IF($O324&lt;&gt;"",$O324,""))))))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IF(COUNTA($A324:$M324)=0,"",IF(OR(LEFT(LOWER(TRIM($F324&amp;"")),12)="subscription",LOWER(TRIM($F324&amp;""))="membership"),"Subscription",IF(OR(AND($H324&lt;&gt;"",$H324=0),LEFT(LOWER(TRIM($F324&amp;"")),9)="free game",LOWER(TRIM($F324&amp;""))="free",LOWER(TRIM($F324&amp;""))="free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IF(COUNTA($A325:$M325)=0,"",IF(OR(LEFT(LOWER(TRIM($F325&amp;"")),12)="subscription",LOWER(TRIM($F325&amp;""))="membership"),"",IF($G325="","",IF(ISNUMBER(SEARCH("non",LOWER($E325&amp;""))),$G325*0.85,$G325))))</x:f>
      </x:c>
      <x:c r="O325" s="987" t="str">
        <x:f>IF(COUNTA($A325:$M325)=0,"",IF(OR(LEFT(LOWER(TRIM($F325&amp;"")),12)="subscription",LOWER(TRIM($F325&amp;""))="membership"),"",IF(OR($N325="",$I325="",$I325=0),"",IFERROR($N325/$I325,""))))</x:f>
      </x:c>
      <x:c r="P325" s="987" t="str">
        <x:f>IF(COUNTA($A325:$M325)=0,"",IF(OR(LEFT(LOWER(TRIM($F325&amp;"")),12)="subscription",LOWER(TRIM($F325&amp;""))="membership"),"",IF(LOWER($L325&amp;"")="yes",0,IF(OR(AND($H325&lt;&gt;"",$H325=0),LEFT(LOWER(TRIM($F325&amp;"")),9)="free game",LOWER(TRIM($F325&amp;""))="free",LOWER(TRIM($F325&amp;""))="free entry"),IF(LOWER($D325&amp;"")="finalized",IF(ISNUMBER($K325),$K325,""),IF($O325&lt;&gt;"",$O325,"")),IF($K325&lt;&gt;"",$K325,IF($O325&lt;&gt;"",$O325,""))))))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IF(COUNTA($A325:$M325)=0,"",IF(OR(LEFT(LOWER(TRIM($F325&amp;"")),12)="subscription",LOWER(TRIM($F325&amp;""))="membership"),"Subscription",IF(OR(AND($H325&lt;&gt;"",$H325=0),LEFT(LOWER(TRIM($F325&amp;"")),9)="free game",LOWER(TRIM($F325&amp;""))="free",LOWER(TRIM($F325&amp;""))="free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IF(COUNTA($A326:$M326)=0,"",IF(OR(LEFT(LOWER(TRIM($F326&amp;"")),12)="subscription",LOWER(TRIM($F326&amp;""))="membership"),"",IF($G326="","",IF(ISNUMBER(SEARCH("non",LOWER($E326&amp;""))),$G326*0.85,$G326))))</x:f>
      </x:c>
      <x:c r="O326" s="987" t="str">
        <x:f>IF(COUNTA($A326:$M326)=0,"",IF(OR(LEFT(LOWER(TRIM($F326&amp;"")),12)="subscription",LOWER(TRIM($F326&amp;""))="membership"),"",IF(OR($N326="",$I326="",$I326=0),"",IFERROR($N326/$I326,""))))</x:f>
      </x:c>
      <x:c r="P326" s="987" t="str">
        <x:f>IF(COUNTA($A326:$M326)=0,"",IF(OR(LEFT(LOWER(TRIM($F326&amp;"")),12)="subscription",LOWER(TRIM($F326&amp;""))="membership"),"",IF(LOWER($L326&amp;"")="yes",0,IF(OR(AND($H326&lt;&gt;"",$H326=0),LEFT(LOWER(TRIM($F326&amp;"")),9)="free game",LOWER(TRIM($F326&amp;""))="free",LOWER(TRIM($F326&amp;""))="free entry"),IF(LOWER($D326&amp;"")="finalized",IF(ISNUMBER($K326),$K326,""),IF($O326&lt;&gt;"",$O326,"")),IF($K326&lt;&gt;"",$K326,IF($O326&lt;&gt;"",$O326,""))))))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IF(COUNTA($A326:$M326)=0,"",IF(OR(LEFT(LOWER(TRIM($F326&amp;"")),12)="subscription",LOWER(TRIM($F326&amp;""))="membership"),"Subscription",IF(OR(AND($H326&lt;&gt;"",$H326=0),LEFT(LOWER(TRIM($F326&amp;"")),9)="free game",LOWER(TRIM($F326&amp;""))="free",LOWER(TRIM($F326&amp;""))="free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IF(COUNTA($A327:$M327)=0,"",IF(OR(LEFT(LOWER(TRIM($F327&amp;"")),12)="subscription",LOWER(TRIM($F327&amp;""))="membership"),"",IF($G327="","",IF(ISNUMBER(SEARCH("non",LOWER($E327&amp;""))),$G327*0.85,$G327))))</x:f>
      </x:c>
      <x:c r="O327" s="987" t="str">
        <x:f>IF(COUNTA($A327:$M327)=0,"",IF(OR(LEFT(LOWER(TRIM($F327&amp;"")),12)="subscription",LOWER(TRIM($F327&amp;""))="membership"),"",IF(OR($N327="",$I327="",$I327=0),"",IFERROR($N327/$I327,""))))</x:f>
      </x:c>
      <x:c r="P327" s="987" t="str">
        <x:f>IF(COUNTA($A327:$M327)=0,"",IF(OR(LEFT(LOWER(TRIM($F327&amp;"")),12)="subscription",LOWER(TRIM($F327&amp;""))="membership"),"",IF(LOWER($L327&amp;"")="yes",0,IF(OR(AND($H327&lt;&gt;"",$H327=0),LEFT(LOWER(TRIM($F327&amp;"")),9)="free game",LOWER(TRIM($F327&amp;""))="free",LOWER(TRIM($F327&amp;""))="free entry"),IF(LOWER($D327&amp;"")="finalized",IF(ISNUMBER($K327),$K327,""),IF($O327&lt;&gt;"",$O327,"")),IF($K327&lt;&gt;"",$K327,IF($O327&lt;&gt;"",$O327,""))))))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IF(COUNTA($A327:$M327)=0,"",IF(OR(LEFT(LOWER(TRIM($F327&amp;"")),12)="subscription",LOWER(TRIM($F327&amp;""))="membership"),"Subscription",IF(OR(AND($H327&lt;&gt;"",$H327=0),LEFT(LOWER(TRIM($F327&amp;"")),9)="free game",LOWER(TRIM($F327&amp;""))="free",LOWER(TRIM($F327&amp;""))="free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IF(COUNTA($A328:$M328)=0,"",IF(OR(LEFT(LOWER(TRIM($F328&amp;"")),12)="subscription",LOWER(TRIM($F328&amp;""))="membership"),"",IF($G328="","",IF(ISNUMBER(SEARCH("non",LOWER($E328&amp;""))),$G328*0.85,$G328))))</x:f>
      </x:c>
      <x:c r="O328" s="987" t="str">
        <x:f>IF(COUNTA($A328:$M328)=0,"",IF(OR(LEFT(LOWER(TRIM($F328&amp;"")),12)="subscription",LOWER(TRIM($F328&amp;""))="membership"),"",IF(OR($N328="",$I328="",$I328=0),"",IFERROR($N328/$I328,""))))</x:f>
      </x:c>
      <x:c r="P328" s="987" t="str">
        <x:f>IF(COUNTA($A328:$M328)=0,"",IF(OR(LEFT(LOWER(TRIM($F328&amp;"")),12)="subscription",LOWER(TRIM($F328&amp;""))="membership"),"",IF(LOWER($L328&amp;"")="yes",0,IF(OR(AND($H328&lt;&gt;"",$H328=0),LEFT(LOWER(TRIM($F328&amp;"")),9)="free game",LOWER(TRIM($F328&amp;""))="free",LOWER(TRIM($F328&amp;""))="free entry"),IF(LOWER($D328&amp;"")="finalized",IF(ISNUMBER($K328),$K328,""),IF($O328&lt;&gt;"",$O328,"")),IF($K328&lt;&gt;"",$K328,IF($O328&lt;&gt;"",$O328,""))))))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IF(COUNTA($A328:$M328)=0,"",IF(OR(LEFT(LOWER(TRIM($F328&amp;"")),12)="subscription",LOWER(TRIM($F328&amp;""))="membership"),"Subscription",IF(OR(AND($H328&lt;&gt;"",$H328=0),LEFT(LOWER(TRIM($F328&amp;"")),9)="free game",LOWER(TRIM($F328&amp;""))="free",LOWER(TRIM($F328&amp;""))="free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IF(COUNTA($A329:$M329)=0,"",IF(OR(LEFT(LOWER(TRIM($F329&amp;"")),12)="subscription",LOWER(TRIM($F329&amp;""))="membership"),"",IF($G329="","",IF(ISNUMBER(SEARCH("non",LOWER($E329&amp;""))),$G329*0.85,$G329))))</x:f>
      </x:c>
      <x:c r="O329" s="987" t="str">
        <x:f>IF(COUNTA($A329:$M329)=0,"",IF(OR(LEFT(LOWER(TRIM($F329&amp;"")),12)="subscription",LOWER(TRIM($F329&amp;""))="membership"),"",IF(OR($N329="",$I329="",$I329=0),"",IFERROR($N329/$I329,""))))</x:f>
      </x:c>
      <x:c r="P329" s="987" t="str">
        <x:f>IF(COUNTA($A329:$M329)=0,"",IF(OR(LEFT(LOWER(TRIM($F329&amp;"")),12)="subscription",LOWER(TRIM($F329&amp;""))="membership"),"",IF(LOWER($L329&amp;"")="yes",0,IF(OR(AND($H329&lt;&gt;"",$H329=0),LEFT(LOWER(TRIM($F329&amp;"")),9)="free game",LOWER(TRIM($F329&amp;""))="free",LOWER(TRIM($F329&amp;""))="free entry"),IF(LOWER($D329&amp;"")="finalized",IF(ISNUMBER($K329),$K329,""),IF($O329&lt;&gt;"",$O329,"")),IF($K329&lt;&gt;"",$K329,IF($O329&lt;&gt;"",$O329,""))))))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IF(COUNTA($A329:$M329)=0,"",IF(OR(LEFT(LOWER(TRIM($F329&amp;"")),12)="subscription",LOWER(TRIM($F329&amp;""))="membership"),"Subscription",IF(OR(AND($H329&lt;&gt;"",$H329=0),LEFT(LOWER(TRIM($F329&amp;"")),9)="free game",LOWER(TRIM($F329&amp;""))="free",LOWER(TRIM($F329&amp;""))="free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IF(COUNTA($A330:$M330)=0,"",IF(OR(LEFT(LOWER(TRIM($F330&amp;"")),12)="subscription",LOWER(TRIM($F330&amp;""))="membership"),"",IF($G330="","",IF(ISNUMBER(SEARCH("non",LOWER($E330&amp;""))),$G330*0.85,$G330))))</x:f>
      </x:c>
      <x:c r="O330" s="987" t="str">
        <x:f>IF(COUNTA($A330:$M330)=0,"",IF(OR(LEFT(LOWER(TRIM($F330&amp;"")),12)="subscription",LOWER(TRIM($F330&amp;""))="membership"),"",IF(OR($N330="",$I330="",$I330=0),"",IFERROR($N330/$I330,""))))</x:f>
      </x:c>
      <x:c r="P330" s="987" t="str">
        <x:f>IF(COUNTA($A330:$M330)=0,"",IF(OR(LEFT(LOWER(TRIM($F330&amp;"")),12)="subscription",LOWER(TRIM($F330&amp;""))="membership"),"",IF(LOWER($L330&amp;"")="yes",0,IF(OR(AND($H330&lt;&gt;"",$H330=0),LEFT(LOWER(TRIM($F330&amp;"")),9)="free game",LOWER(TRIM($F330&amp;""))="free",LOWER(TRIM($F330&amp;""))="free entry"),IF(LOWER($D330&amp;"")="finalized",IF(ISNUMBER($K330),$K330,""),IF($O330&lt;&gt;"",$O330,"")),IF($K330&lt;&gt;"",$K330,IF($O330&lt;&gt;"",$O330,""))))))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IF(COUNTA($A330:$M330)=0,"",IF(OR(LEFT(LOWER(TRIM($F330&amp;"")),12)="subscription",LOWER(TRIM($F330&amp;""))="membership"),"Subscription",IF(OR(AND($H330&lt;&gt;"",$H330=0),LEFT(LOWER(TRIM($F330&amp;"")),9)="free game",LOWER(TRIM($F330&amp;""))="free",LOWER(TRIM($F330&amp;""))="free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IF(COUNTA($A331:$M331)=0,"",IF(OR(LEFT(LOWER(TRIM($F331&amp;"")),12)="subscription",LOWER(TRIM($F331&amp;""))="membership"),"",IF($G331="","",IF(ISNUMBER(SEARCH("non",LOWER($E331&amp;""))),$G331*0.85,$G331))))</x:f>
      </x:c>
      <x:c r="O331" s="987" t="str">
        <x:f>IF(COUNTA($A331:$M331)=0,"",IF(OR(LEFT(LOWER(TRIM($F331&amp;"")),12)="subscription",LOWER(TRIM($F331&amp;""))="membership"),"",IF(OR($N331="",$I331="",$I331=0),"",IFERROR($N331/$I331,""))))</x:f>
      </x:c>
      <x:c r="P331" s="987" t="str">
        <x:f>IF(COUNTA($A331:$M331)=0,"",IF(OR(LEFT(LOWER(TRIM($F331&amp;"")),12)="subscription",LOWER(TRIM($F331&amp;""))="membership"),"",IF(LOWER($L331&amp;"")="yes",0,IF(OR(AND($H331&lt;&gt;"",$H331=0),LEFT(LOWER(TRIM($F331&amp;"")),9)="free game",LOWER(TRIM($F331&amp;""))="free",LOWER(TRIM($F331&amp;""))="free entry"),IF(LOWER($D331&amp;"")="finalized",IF(ISNUMBER($K331),$K331,""),IF($O331&lt;&gt;"",$O331,"")),IF($K331&lt;&gt;"",$K331,IF($O331&lt;&gt;"",$O331,""))))))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IF(COUNTA($A331:$M331)=0,"",IF(OR(LEFT(LOWER(TRIM($F331&amp;"")),12)="subscription",LOWER(TRIM($F331&amp;""))="membership"),"Subscription",IF(OR(AND($H331&lt;&gt;"",$H331=0),LEFT(LOWER(TRIM($F331&amp;"")),9)="free game",LOWER(TRIM($F331&amp;""))="free",LOWER(TRIM($F331&amp;""))="free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IF(COUNTA($A332:$M332)=0,"",IF(OR(LEFT(LOWER(TRIM($F332&amp;"")),12)="subscription",LOWER(TRIM($F332&amp;""))="membership"),"",IF($G332="","",IF(ISNUMBER(SEARCH("non",LOWER($E332&amp;""))),$G332*0.85,$G332))))</x:f>
      </x:c>
      <x:c r="O332" s="987" t="str">
        <x:f>IF(COUNTA($A332:$M332)=0,"",IF(OR(LEFT(LOWER(TRIM($F332&amp;"")),12)="subscription",LOWER(TRIM($F332&amp;""))="membership"),"",IF(OR($N332="",$I332="",$I332=0),"",IFERROR($N332/$I332,""))))</x:f>
      </x:c>
      <x:c r="P332" s="987" t="str">
        <x:f>IF(COUNTA($A332:$M332)=0,"",IF(OR(LEFT(LOWER(TRIM($F332&amp;"")),12)="subscription",LOWER(TRIM($F332&amp;""))="membership"),"",IF(LOWER($L332&amp;"")="yes",0,IF(OR(AND($H332&lt;&gt;"",$H332=0),LEFT(LOWER(TRIM($F332&amp;"")),9)="free game",LOWER(TRIM($F332&amp;""))="free",LOWER(TRIM($F332&amp;""))="free entry"),IF(LOWER($D332&amp;"")="finalized",IF(ISNUMBER($K332),$K332,""),IF($O332&lt;&gt;"",$O332,"")),IF($K332&lt;&gt;"",$K332,IF($O332&lt;&gt;"",$O332,""))))))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IF(COUNTA($A332:$M332)=0,"",IF(OR(LEFT(LOWER(TRIM($F332&amp;"")),12)="subscription",LOWER(TRIM($F332&amp;""))="membership"),"Subscription",IF(OR(AND($H332&lt;&gt;"",$H332=0),LEFT(LOWER(TRIM($F332&amp;"")),9)="free game",LOWER(TRIM($F332&amp;""))="free",LOWER(TRIM($F332&amp;""))="free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IF(COUNTA($A333:$M333)=0,"",IF(OR(LEFT(LOWER(TRIM($F333&amp;"")),12)="subscription",LOWER(TRIM($F333&amp;""))="membership"),"",IF($G333="","",IF(ISNUMBER(SEARCH("non",LOWER($E333&amp;""))),$G333*0.85,$G333))))</x:f>
      </x:c>
      <x:c r="O333" s="987" t="str">
        <x:f>IF(COUNTA($A333:$M333)=0,"",IF(OR(LEFT(LOWER(TRIM($F333&amp;"")),12)="subscription",LOWER(TRIM($F333&amp;""))="membership"),"",IF(OR($N333="",$I333="",$I333=0),"",IFERROR($N333/$I333,""))))</x:f>
      </x:c>
      <x:c r="P333" s="987" t="str">
        <x:f>IF(COUNTA($A333:$M333)=0,"",IF(OR(LEFT(LOWER(TRIM($F333&amp;"")),12)="subscription",LOWER(TRIM($F333&amp;""))="membership"),"",IF(LOWER($L333&amp;"")="yes",0,IF(OR(AND($H333&lt;&gt;"",$H333=0),LEFT(LOWER(TRIM($F333&amp;"")),9)="free game",LOWER(TRIM($F333&amp;""))="free",LOWER(TRIM($F333&amp;""))="free entry"),IF(LOWER($D333&amp;"")="finalized",IF(ISNUMBER($K333),$K333,""),IF($O333&lt;&gt;"",$O333,"")),IF($K333&lt;&gt;"",$K333,IF($O333&lt;&gt;"",$O333,""))))))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IF(COUNTA($A333:$M333)=0,"",IF(OR(LEFT(LOWER(TRIM($F333&amp;"")),12)="subscription",LOWER(TRIM($F333&amp;""))="membership"),"Subscription",IF(OR(AND($H333&lt;&gt;"",$H333=0),LEFT(LOWER(TRIM($F333&amp;"")),9)="free game",LOWER(TRIM($F333&amp;""))="free",LOWER(TRIM($F333&amp;""))="free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IF(COUNTA($A334:$M334)=0,"",IF(OR(LEFT(LOWER(TRIM($F334&amp;"")),12)="subscription",LOWER(TRIM($F334&amp;""))="membership"),"",IF($G334="","",IF(ISNUMBER(SEARCH("non",LOWER($E334&amp;""))),$G334*0.85,$G334))))</x:f>
      </x:c>
      <x:c r="O334" s="987" t="str">
        <x:f>IF(COUNTA($A334:$M334)=0,"",IF(OR(LEFT(LOWER(TRIM($F334&amp;"")),12)="subscription",LOWER(TRIM($F334&amp;""))="membership"),"",IF(OR($N334="",$I334="",$I334=0),"",IFERROR($N334/$I334,""))))</x:f>
      </x:c>
      <x:c r="P334" s="987" t="str">
        <x:f>IF(COUNTA($A334:$M334)=0,"",IF(OR(LEFT(LOWER(TRIM($F334&amp;"")),12)="subscription",LOWER(TRIM($F334&amp;""))="membership"),"",IF(LOWER($L334&amp;"")="yes",0,IF(OR(AND($H334&lt;&gt;"",$H334=0),LEFT(LOWER(TRIM($F334&amp;"")),9)="free game",LOWER(TRIM($F334&amp;""))="free",LOWER(TRIM($F334&amp;""))="free entry"),IF(LOWER($D334&amp;"")="finalized",IF(ISNUMBER($K334),$K334,""),IF($O334&lt;&gt;"",$O334,"")),IF($K334&lt;&gt;"",$K334,IF($O334&lt;&gt;"",$O334,""))))))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IF(COUNTA($A334:$M334)=0,"",IF(OR(LEFT(LOWER(TRIM($F334&amp;"")),12)="subscription",LOWER(TRIM($F334&amp;""))="membership"),"Subscription",IF(OR(AND($H334&lt;&gt;"",$H334=0),LEFT(LOWER(TRIM($F334&amp;"")),9)="free game",LOWER(TRIM($F334&amp;""))="free",LOWER(TRIM($F334&amp;""))="free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IF(COUNTA($A335:$M335)=0,"",IF(OR(LEFT(LOWER(TRIM($F335&amp;"")),12)="subscription",LOWER(TRIM($F335&amp;""))="membership"),"",IF($G335="","",IF(ISNUMBER(SEARCH("non",LOWER($E335&amp;""))),$G335*0.85,$G335))))</x:f>
      </x:c>
      <x:c r="O335" s="987" t="str">
        <x:f>IF(COUNTA($A335:$M335)=0,"",IF(OR(LEFT(LOWER(TRIM($F335&amp;"")),12)="subscription",LOWER(TRIM($F335&amp;""))="membership"),"",IF(OR($N335="",$I335="",$I335=0),"",IFERROR($N335/$I335,""))))</x:f>
      </x:c>
      <x:c r="P335" s="987" t="str">
        <x:f>IF(COUNTA($A335:$M335)=0,"",IF(OR(LEFT(LOWER(TRIM($F335&amp;"")),12)="subscription",LOWER(TRIM($F335&amp;""))="membership"),"",IF(LOWER($L335&amp;"")="yes",0,IF(OR(AND($H335&lt;&gt;"",$H335=0),LEFT(LOWER(TRIM($F335&amp;"")),9)="free game",LOWER(TRIM($F335&amp;""))="free",LOWER(TRIM($F335&amp;""))="free entry"),IF(LOWER($D335&amp;"")="finalized",IF(ISNUMBER($K335),$K335,""),IF($O335&lt;&gt;"",$O335,"")),IF($K335&lt;&gt;"",$K335,IF($O335&lt;&gt;"",$O335,""))))))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IF(COUNTA($A335:$M335)=0,"",IF(OR(LEFT(LOWER(TRIM($F335&amp;"")),12)="subscription",LOWER(TRIM($F335&amp;""))="membership"),"Subscription",IF(OR(AND($H335&lt;&gt;"",$H335=0),LEFT(LOWER(TRIM($F335&amp;"")),9)="free game",LOWER(TRIM($F335&amp;""))="free",LOWER(TRIM($F335&amp;""))="free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IF(COUNTA($A336:$M336)=0,"",IF(OR(LEFT(LOWER(TRIM($F336&amp;"")),12)="subscription",LOWER(TRIM($F336&amp;""))="membership"),"",IF($G336="","",IF(ISNUMBER(SEARCH("non",LOWER($E336&amp;""))),$G336*0.85,$G336))))</x:f>
      </x:c>
      <x:c r="O336" s="987" t="str">
        <x:f>IF(COUNTA($A336:$M336)=0,"",IF(OR(LEFT(LOWER(TRIM($F336&amp;"")),12)="subscription",LOWER(TRIM($F336&amp;""))="membership"),"",IF(OR($N336="",$I336="",$I336=0),"",IFERROR($N336/$I336,""))))</x:f>
      </x:c>
      <x:c r="P336" s="987" t="str">
        <x:f>IF(COUNTA($A336:$M336)=0,"",IF(OR(LEFT(LOWER(TRIM($F336&amp;"")),12)="subscription",LOWER(TRIM($F336&amp;""))="membership"),"",IF(LOWER($L336&amp;"")="yes",0,IF(OR(AND($H336&lt;&gt;"",$H336=0),LEFT(LOWER(TRIM($F336&amp;"")),9)="free game",LOWER(TRIM($F336&amp;""))="free",LOWER(TRIM($F336&amp;""))="free entry"),IF(LOWER($D336&amp;"")="finalized",IF(ISNUMBER($K336),$K336,""),IF($O336&lt;&gt;"",$O336,"")),IF($K336&lt;&gt;"",$K336,IF($O336&lt;&gt;"",$O336,""))))))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IF(COUNTA($A336:$M336)=0,"",IF(OR(LEFT(LOWER(TRIM($F336&amp;"")),12)="subscription",LOWER(TRIM($F336&amp;""))="membership"),"Subscription",IF(OR(AND($H336&lt;&gt;"",$H336=0),LEFT(LOWER(TRIM($F336&amp;"")),9)="free game",LOWER(TRIM($F336&amp;""))="free",LOWER(TRIM($F336&amp;""))="free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IF(COUNTA($A337:$M337)=0,"",IF(OR(LEFT(LOWER(TRIM($F337&amp;"")),12)="subscription",LOWER(TRIM($F337&amp;""))="membership"),"",IF($G337="","",IF(ISNUMBER(SEARCH("non",LOWER($E337&amp;""))),$G337*0.85,$G337))))</x:f>
      </x:c>
      <x:c r="O337" s="987" t="str">
        <x:f>IF(COUNTA($A337:$M337)=0,"",IF(OR(LEFT(LOWER(TRIM($F337&amp;"")),12)="subscription",LOWER(TRIM($F337&amp;""))="membership"),"",IF(OR($N337="",$I337="",$I337=0),"",IFERROR($N337/$I337,""))))</x:f>
      </x:c>
      <x:c r="P337" s="987" t="str">
        <x:f>IF(COUNTA($A337:$M337)=0,"",IF(OR(LEFT(LOWER(TRIM($F337&amp;"")),12)="subscription",LOWER(TRIM($F337&amp;""))="membership"),"",IF(LOWER($L337&amp;"")="yes",0,IF(OR(AND($H337&lt;&gt;"",$H337=0),LEFT(LOWER(TRIM($F337&amp;"")),9)="free game",LOWER(TRIM($F337&amp;""))="free",LOWER(TRIM($F337&amp;""))="free entry"),IF(LOWER($D337&amp;"")="finalized",IF(ISNUMBER($K337),$K337,""),IF($O337&lt;&gt;"",$O337,"")),IF($K337&lt;&gt;"",$K337,IF($O337&lt;&gt;"",$O337,""))))))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IF(COUNTA($A337:$M337)=0,"",IF(OR(LEFT(LOWER(TRIM($F337&amp;"")),12)="subscription",LOWER(TRIM($F337&amp;""))="membership"),"Subscription",IF(OR(AND($H337&lt;&gt;"",$H337=0),LEFT(LOWER(TRIM($F337&amp;"")),9)="free game",LOWER(TRIM($F337&amp;""))="free",LOWER(TRIM($F337&amp;""))="free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IF(COUNTA($A338:$M338)=0,"",IF(OR(LEFT(LOWER(TRIM($F338&amp;"")),12)="subscription",LOWER(TRIM($F338&amp;""))="membership"),"",IF($G338="","",IF(ISNUMBER(SEARCH("non",LOWER($E338&amp;""))),$G338*0.85,$G338))))</x:f>
      </x:c>
      <x:c r="O338" s="987" t="str">
        <x:f>IF(COUNTA($A338:$M338)=0,"",IF(OR(LEFT(LOWER(TRIM($F338&amp;"")),12)="subscription",LOWER(TRIM($F338&amp;""))="membership"),"",IF(OR($N338="",$I338="",$I338=0),"",IFERROR($N338/$I338,""))))</x:f>
      </x:c>
      <x:c r="P338" s="987" t="str">
        <x:f>IF(COUNTA($A338:$M338)=0,"",IF(OR(LEFT(LOWER(TRIM($F338&amp;"")),12)="subscription",LOWER(TRIM($F338&amp;""))="membership"),"",IF(LOWER($L338&amp;"")="yes",0,IF(OR(AND($H338&lt;&gt;"",$H338=0),LEFT(LOWER(TRIM($F338&amp;"")),9)="free game",LOWER(TRIM($F338&amp;""))="free",LOWER(TRIM($F338&amp;""))="free entry"),IF(LOWER($D338&amp;"")="finalized",IF(ISNUMBER($K338),$K338,""),IF($O338&lt;&gt;"",$O338,"")),IF($K338&lt;&gt;"",$K338,IF($O338&lt;&gt;"",$O338,""))))))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IF(COUNTA($A338:$M338)=0,"",IF(OR(LEFT(LOWER(TRIM($F338&amp;"")),12)="subscription",LOWER(TRIM($F338&amp;""))="membership"),"Subscription",IF(OR(AND($H338&lt;&gt;"",$H338=0),LEFT(LOWER(TRIM($F338&amp;"")),9)="free game",LOWER(TRIM($F338&amp;""))="free",LOWER(TRIM($F338&amp;""))="free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IF(COUNTA($A339:$M339)=0,"",IF(OR(LEFT(LOWER(TRIM($F339&amp;"")),12)="subscription",LOWER(TRIM($F339&amp;""))="membership"),"",IF($G339="","",IF(ISNUMBER(SEARCH("non",LOWER($E339&amp;""))),$G339*0.85,$G339))))</x:f>
      </x:c>
      <x:c r="O339" s="987" t="str">
        <x:f>IF(COUNTA($A339:$M339)=0,"",IF(OR(LEFT(LOWER(TRIM($F339&amp;"")),12)="subscription",LOWER(TRIM($F339&amp;""))="membership"),"",IF(OR($N339="",$I339="",$I339=0),"",IFERROR($N339/$I339,""))))</x:f>
      </x:c>
      <x:c r="P339" s="987" t="str">
        <x:f>IF(COUNTA($A339:$M339)=0,"",IF(OR(LEFT(LOWER(TRIM($F339&amp;"")),12)="subscription",LOWER(TRIM($F339&amp;""))="membership"),"",IF(LOWER($L339&amp;"")="yes",0,IF(OR(AND($H339&lt;&gt;"",$H339=0),LEFT(LOWER(TRIM($F339&amp;"")),9)="free game",LOWER(TRIM($F339&amp;""))="free",LOWER(TRIM($F339&amp;""))="free entry"),IF(LOWER($D339&amp;"")="finalized",IF(ISNUMBER($K339),$K339,""),IF($O339&lt;&gt;"",$O339,"")),IF($K339&lt;&gt;"",$K339,IF($O339&lt;&gt;"",$O339,""))))))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IF(COUNTA($A339:$M339)=0,"",IF(OR(LEFT(LOWER(TRIM($F339&amp;"")),12)="subscription",LOWER(TRIM($F339&amp;""))="membership"),"Subscription",IF(OR(AND($H339&lt;&gt;"",$H339=0),LEFT(LOWER(TRIM($F339&amp;"")),9)="free game",LOWER(TRIM($F339&amp;""))="free",LOWER(TRIM($F339&amp;""))="free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IF(COUNTA($A340:$M340)=0,"",IF(OR(LEFT(LOWER(TRIM($F340&amp;"")),12)="subscription",LOWER(TRIM($F340&amp;""))="membership"),"",IF($G340="","",IF(ISNUMBER(SEARCH("non",LOWER($E340&amp;""))),$G340*0.85,$G340))))</x:f>
      </x:c>
      <x:c r="O340" s="987" t="str">
        <x:f>IF(COUNTA($A340:$M340)=0,"",IF(OR(LEFT(LOWER(TRIM($F340&amp;"")),12)="subscription",LOWER(TRIM($F340&amp;""))="membership"),"",IF(OR($N340="",$I340="",$I340=0),"",IFERROR($N340/$I340,""))))</x:f>
      </x:c>
      <x:c r="P340" s="987" t="str">
        <x:f>IF(COUNTA($A340:$M340)=0,"",IF(OR(LEFT(LOWER(TRIM($F340&amp;"")),12)="subscription",LOWER(TRIM($F340&amp;""))="membership"),"",IF(LOWER($L340&amp;"")="yes",0,IF(OR(AND($H340&lt;&gt;"",$H340=0),LEFT(LOWER(TRIM($F340&amp;"")),9)="free game",LOWER(TRIM($F340&amp;""))="free",LOWER(TRIM($F340&amp;""))="free entry"),IF(LOWER($D340&amp;"")="finalized",IF(ISNUMBER($K340),$K340,""),IF($O340&lt;&gt;"",$O340,"")),IF($K340&lt;&gt;"",$K340,IF($O340&lt;&gt;"",$O340,""))))))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IF(COUNTA($A340:$M340)=0,"",IF(OR(LEFT(LOWER(TRIM($F340&amp;"")),12)="subscription",LOWER(TRIM($F340&amp;""))="membership"),"Subscription",IF(OR(AND($H340&lt;&gt;"",$H340=0),LEFT(LOWER(TRIM($F340&amp;"")),9)="free game",LOWER(TRIM($F340&amp;""))="free",LOWER(TRIM($F340&amp;""))="free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IF(COUNTA($A341:$M341)=0,"",IF(OR(LEFT(LOWER(TRIM($F341&amp;"")),12)="subscription",LOWER(TRIM($F341&amp;""))="membership"),"",IF($G341="","",IF(ISNUMBER(SEARCH("non",LOWER($E341&amp;""))),$G341*0.85,$G341))))</x:f>
      </x:c>
      <x:c r="O341" s="987" t="str">
        <x:f>IF(COUNTA($A341:$M341)=0,"",IF(OR(LEFT(LOWER(TRIM($F341&amp;"")),12)="subscription",LOWER(TRIM($F341&amp;""))="membership"),"",IF(OR($N341="",$I341="",$I341=0),"",IFERROR($N341/$I341,""))))</x:f>
      </x:c>
      <x:c r="P341" s="987" t="str">
        <x:f>IF(COUNTA($A341:$M341)=0,"",IF(OR(LEFT(LOWER(TRIM($F341&amp;"")),12)="subscription",LOWER(TRIM($F341&amp;""))="membership"),"",IF(LOWER($L341&amp;"")="yes",0,IF(OR(AND($H341&lt;&gt;"",$H341=0),LEFT(LOWER(TRIM($F341&amp;"")),9)="free game",LOWER(TRIM($F341&amp;""))="free",LOWER(TRIM($F341&amp;""))="free entry"),IF(LOWER($D341&amp;"")="finalized",IF(ISNUMBER($K341),$K341,""),IF($O341&lt;&gt;"",$O341,"")),IF($K341&lt;&gt;"",$K341,IF($O341&lt;&gt;"",$O341,""))))))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IF(COUNTA($A341:$M341)=0,"",IF(OR(LEFT(LOWER(TRIM($F341&amp;"")),12)="subscription",LOWER(TRIM($F341&amp;""))="membership"),"Subscription",IF(OR(AND($H341&lt;&gt;"",$H341=0),LEFT(LOWER(TRIM($F341&amp;"")),9)="free game",LOWER(TRIM($F341&amp;""))="free",LOWER(TRIM($F341&amp;""))="free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IF(COUNTA($A342:$M342)=0,"",IF(OR(LEFT(LOWER(TRIM($F342&amp;"")),12)="subscription",LOWER(TRIM($F342&amp;""))="membership"),"",IF($G342="","",IF(ISNUMBER(SEARCH("non",LOWER($E342&amp;""))),$G342*0.85,$G342))))</x:f>
      </x:c>
      <x:c r="O342" s="987" t="str">
        <x:f>IF(COUNTA($A342:$M342)=0,"",IF(OR(LEFT(LOWER(TRIM($F342&amp;"")),12)="subscription",LOWER(TRIM($F342&amp;""))="membership"),"",IF(OR($N342="",$I342="",$I342=0),"",IFERROR($N342/$I342,""))))</x:f>
      </x:c>
      <x:c r="P342" s="987" t="str">
        <x:f>IF(COUNTA($A342:$M342)=0,"",IF(OR(LEFT(LOWER(TRIM($F342&amp;"")),12)="subscription",LOWER(TRIM($F342&amp;""))="membership"),"",IF(LOWER($L342&amp;"")="yes",0,IF(OR(AND($H342&lt;&gt;"",$H342=0),LEFT(LOWER(TRIM($F342&amp;"")),9)="free game",LOWER(TRIM($F342&amp;""))="free",LOWER(TRIM($F342&amp;""))="free entry"),IF(LOWER($D342&amp;"")="finalized",IF(ISNUMBER($K342),$K342,""),IF($O342&lt;&gt;"",$O342,"")),IF($K342&lt;&gt;"",$K342,IF($O342&lt;&gt;"",$O342,""))))))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IF(COUNTA($A342:$M342)=0,"",IF(OR(LEFT(LOWER(TRIM($F342&amp;"")),12)="subscription",LOWER(TRIM($F342&amp;""))="membership"),"Subscription",IF(OR(AND($H342&lt;&gt;"",$H342=0),LEFT(LOWER(TRIM($F342&amp;"")),9)="free game",LOWER(TRIM($F342&amp;""))="free",LOWER(TRIM($F342&amp;""))="free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IF(COUNTA($A343:$M343)=0,"",IF(OR(LEFT(LOWER(TRIM($F343&amp;"")),12)="subscription",LOWER(TRIM($F343&amp;""))="membership"),"",IF($G343="","",IF(ISNUMBER(SEARCH("non",LOWER($E343&amp;""))),$G343*0.85,$G343))))</x:f>
      </x:c>
      <x:c r="O343" s="987" t="str">
        <x:f>IF(COUNTA($A343:$M343)=0,"",IF(OR(LEFT(LOWER(TRIM($F343&amp;"")),12)="subscription",LOWER(TRIM($F343&amp;""))="membership"),"",IF(OR($N343="",$I343="",$I343=0),"",IFERROR($N343/$I343,""))))</x:f>
      </x:c>
      <x:c r="P343" s="987" t="str">
        <x:f>IF(COUNTA($A343:$M343)=0,"",IF(OR(LEFT(LOWER(TRIM($F343&amp;"")),12)="subscription",LOWER(TRIM($F343&amp;""))="membership"),"",IF(LOWER($L343&amp;"")="yes",0,IF(OR(AND($H343&lt;&gt;"",$H343=0),LEFT(LOWER(TRIM($F343&amp;"")),9)="free game",LOWER(TRIM($F343&amp;""))="free",LOWER(TRIM($F343&amp;""))="free entry"),IF(LOWER($D343&amp;"")="finalized",IF(ISNUMBER($K343),$K343,""),IF($O343&lt;&gt;"",$O343,"")),IF($K343&lt;&gt;"",$K343,IF($O343&lt;&gt;"",$O343,""))))))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IF(COUNTA($A343:$M343)=0,"",IF(OR(LEFT(LOWER(TRIM($F343&amp;"")),12)="subscription",LOWER(TRIM($F343&amp;""))="membership"),"Subscription",IF(OR(AND($H343&lt;&gt;"",$H343=0),LEFT(LOWER(TRIM($F343&amp;"")),9)="free game",LOWER(TRIM($F343&amp;""))="free",LOWER(TRIM($F343&amp;""))="free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IF(COUNTA($A344:$M344)=0,"",IF(OR(LEFT(LOWER(TRIM($F344&amp;"")),12)="subscription",LOWER(TRIM($F344&amp;""))="membership"),"",IF($G344="","",IF(ISNUMBER(SEARCH("non",LOWER($E344&amp;""))),$G344*0.85,$G344))))</x:f>
      </x:c>
      <x:c r="O344" s="987" t="str">
        <x:f>IF(COUNTA($A344:$M344)=0,"",IF(OR(LEFT(LOWER(TRIM($F344&amp;"")),12)="subscription",LOWER(TRIM($F344&amp;""))="membership"),"",IF(OR($N344="",$I344="",$I344=0),"",IFERROR($N344/$I344,""))))</x:f>
      </x:c>
      <x:c r="P344" s="987" t="str">
        <x:f>IF(COUNTA($A344:$M344)=0,"",IF(OR(LEFT(LOWER(TRIM($F344&amp;"")),12)="subscription",LOWER(TRIM($F344&amp;""))="membership"),"",IF(LOWER($L344&amp;"")="yes",0,IF(OR(AND($H344&lt;&gt;"",$H344=0),LEFT(LOWER(TRIM($F344&amp;"")),9)="free game",LOWER(TRIM($F344&amp;""))="free",LOWER(TRIM($F344&amp;""))="free entry"),IF(LOWER($D344&amp;"")="finalized",IF(ISNUMBER($K344),$K344,""),IF($O344&lt;&gt;"",$O344,"")),IF($K344&lt;&gt;"",$K344,IF($O344&lt;&gt;"",$O344,""))))))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IF(COUNTA($A344:$M344)=0,"",IF(OR(LEFT(LOWER(TRIM($F344&amp;"")),12)="subscription",LOWER(TRIM($F344&amp;""))="membership"),"Subscription",IF(OR(AND($H344&lt;&gt;"",$H344=0),LEFT(LOWER(TRIM($F344&amp;"")),9)="free game",LOWER(TRIM($F344&amp;""))="free",LOWER(TRIM($F344&amp;""))="free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IF(COUNTA($A345:$M345)=0,"",IF(OR(LEFT(LOWER(TRIM($F345&amp;"")),12)="subscription",LOWER(TRIM($F345&amp;""))="membership"),"",IF($G345="","",IF(ISNUMBER(SEARCH("non",LOWER($E345&amp;""))),$G345*0.85,$G345))))</x:f>
      </x:c>
      <x:c r="O345" s="987" t="str">
        <x:f>IF(COUNTA($A345:$M345)=0,"",IF(OR(LEFT(LOWER(TRIM($F345&amp;"")),12)="subscription",LOWER(TRIM($F345&amp;""))="membership"),"",IF(OR($N345="",$I345="",$I345=0),"",IFERROR($N345/$I345,""))))</x:f>
      </x:c>
      <x:c r="P345" s="987" t="str">
        <x:f>IF(COUNTA($A345:$M345)=0,"",IF(OR(LEFT(LOWER(TRIM($F345&amp;"")),12)="subscription",LOWER(TRIM($F345&amp;""))="membership"),"",IF(LOWER($L345&amp;"")="yes",0,IF(OR(AND($H345&lt;&gt;"",$H345=0),LEFT(LOWER(TRIM($F345&amp;"")),9)="free game",LOWER(TRIM($F345&amp;""))="free",LOWER(TRIM($F345&amp;""))="free entry"),IF(LOWER($D345&amp;"")="finalized",IF(ISNUMBER($K345),$K345,""),IF($O345&lt;&gt;"",$O345,"")),IF($K345&lt;&gt;"",$K345,IF($O345&lt;&gt;"",$O345,""))))))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IF(COUNTA($A345:$M345)=0,"",IF(OR(LEFT(LOWER(TRIM($F345&amp;"")),12)="subscription",LOWER(TRIM($F345&amp;""))="membership"),"Subscription",IF(OR(AND($H345&lt;&gt;"",$H345=0),LEFT(LOWER(TRIM($F345&amp;"")),9)="free game",LOWER(TRIM($F345&amp;""))="free",LOWER(TRIM($F345&amp;""))="free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IF(COUNTA($A346:$M346)=0,"",IF(OR(LEFT(LOWER(TRIM($F346&amp;"")),12)="subscription",LOWER(TRIM($F346&amp;""))="membership"),"",IF($G346="","",IF(ISNUMBER(SEARCH("non",LOWER($E346&amp;""))),$G346*0.85,$G346))))</x:f>
      </x:c>
      <x:c r="O346" s="987" t="str">
        <x:f>IF(COUNTA($A346:$M346)=0,"",IF(OR(LEFT(LOWER(TRIM($F346&amp;"")),12)="subscription",LOWER(TRIM($F346&amp;""))="membership"),"",IF(OR($N346="",$I346="",$I346=0),"",IFERROR($N346/$I346,""))))</x:f>
      </x:c>
      <x:c r="P346" s="987" t="str">
        <x:f>IF(COUNTA($A346:$M346)=0,"",IF(OR(LEFT(LOWER(TRIM($F346&amp;"")),12)="subscription",LOWER(TRIM($F346&amp;""))="membership"),"",IF(LOWER($L346&amp;"")="yes",0,IF(OR(AND($H346&lt;&gt;"",$H346=0),LEFT(LOWER(TRIM($F346&amp;"")),9)="free game",LOWER(TRIM($F346&amp;""))="free",LOWER(TRIM($F346&amp;""))="free entry"),IF(LOWER($D346&amp;"")="finalized",IF(ISNUMBER($K346),$K346,""),IF($O346&lt;&gt;"",$O346,"")),IF($K346&lt;&gt;"",$K346,IF($O346&lt;&gt;"",$O346,""))))))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IF(COUNTA($A346:$M346)=0,"",IF(OR(LEFT(LOWER(TRIM($F346&amp;"")),12)="subscription",LOWER(TRIM($F346&amp;""))="membership"),"Subscription",IF(OR(AND($H346&lt;&gt;"",$H346=0),LEFT(LOWER(TRIM($F346&amp;"")),9)="free game",LOWER(TRIM($F346&amp;""))="free",LOWER(TRIM($F346&amp;""))="free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IF(COUNTA($A347:$M347)=0,"",IF(OR(LEFT(LOWER(TRIM($F347&amp;"")),12)="subscription",LOWER(TRIM($F347&amp;""))="membership"),"",IF($G347="","",IF(ISNUMBER(SEARCH("non",LOWER($E347&amp;""))),$G347*0.85,$G347))))</x:f>
      </x:c>
      <x:c r="O347" s="987" t="str">
        <x:f>IF(COUNTA($A347:$M347)=0,"",IF(OR(LEFT(LOWER(TRIM($F347&amp;"")),12)="subscription",LOWER(TRIM($F347&amp;""))="membership"),"",IF(OR($N347="",$I347="",$I347=0),"",IFERROR($N347/$I347,""))))</x:f>
      </x:c>
      <x:c r="P347" s="987" t="str">
        <x:f>IF(COUNTA($A347:$M347)=0,"",IF(OR(LEFT(LOWER(TRIM($F347&amp;"")),12)="subscription",LOWER(TRIM($F347&amp;""))="membership"),"",IF(LOWER($L347&amp;"")="yes",0,IF(OR(AND($H347&lt;&gt;"",$H347=0),LEFT(LOWER(TRIM($F347&amp;"")),9)="free game",LOWER(TRIM($F347&amp;""))="free",LOWER(TRIM($F347&amp;""))="free entry"),IF(LOWER($D347&amp;"")="finalized",IF(ISNUMBER($K347),$K347,""),IF($O347&lt;&gt;"",$O347,"")),IF($K347&lt;&gt;"",$K347,IF($O347&lt;&gt;"",$O347,""))))))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IF(COUNTA($A347:$M347)=0,"",IF(OR(LEFT(LOWER(TRIM($F347&amp;"")),12)="subscription",LOWER(TRIM($F347&amp;""))="membership"),"Subscription",IF(OR(AND($H347&lt;&gt;"",$H347=0),LEFT(LOWER(TRIM($F347&amp;"")),9)="free game",LOWER(TRIM($F347&amp;""))="free",LOWER(TRIM($F347&amp;""))="free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IF(COUNTA($A348:$M348)=0,"",IF(OR(LEFT(LOWER(TRIM($F348&amp;"")),12)="subscription",LOWER(TRIM($F348&amp;""))="membership"),"",IF($G348="","",IF(ISNUMBER(SEARCH("non",LOWER($E348&amp;""))),$G348*0.85,$G348))))</x:f>
      </x:c>
      <x:c r="O348" s="987" t="str">
        <x:f>IF(COUNTA($A348:$M348)=0,"",IF(OR(LEFT(LOWER(TRIM($F348&amp;"")),12)="subscription",LOWER(TRIM($F348&amp;""))="membership"),"",IF(OR($N348="",$I348="",$I348=0),"",IFERROR($N348/$I348,""))))</x:f>
      </x:c>
      <x:c r="P348" s="987" t="str">
        <x:f>IF(COUNTA($A348:$M348)=0,"",IF(OR(LEFT(LOWER(TRIM($F348&amp;"")),12)="subscription",LOWER(TRIM($F348&amp;""))="membership"),"",IF(LOWER($L348&amp;"")="yes",0,IF(OR(AND($H348&lt;&gt;"",$H348=0),LEFT(LOWER(TRIM($F348&amp;"")),9)="free game",LOWER(TRIM($F348&amp;""))="free",LOWER(TRIM($F348&amp;""))="free entry"),IF(LOWER($D348&amp;"")="finalized",IF(ISNUMBER($K348),$K348,""),IF($O348&lt;&gt;"",$O348,"")),IF($K348&lt;&gt;"",$K348,IF($O348&lt;&gt;"",$O348,""))))))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IF(COUNTA($A348:$M348)=0,"",IF(OR(LEFT(LOWER(TRIM($F348&amp;"")),12)="subscription",LOWER(TRIM($F348&amp;""))="membership"),"Subscription",IF(OR(AND($H348&lt;&gt;"",$H348=0),LEFT(LOWER(TRIM($F348&amp;"")),9)="free game",LOWER(TRIM($F348&amp;""))="free",LOWER(TRIM($F348&amp;""))="free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IF(COUNTA($A349:$M349)=0,"",IF(OR(LEFT(LOWER(TRIM($F349&amp;"")),12)="subscription",LOWER(TRIM($F349&amp;""))="membership"),"",IF($G349="","",IF(ISNUMBER(SEARCH("non",LOWER($E349&amp;""))),$G349*0.85,$G349))))</x:f>
      </x:c>
      <x:c r="O349" s="987" t="str">
        <x:f>IF(COUNTA($A349:$M349)=0,"",IF(OR(LEFT(LOWER(TRIM($F349&amp;"")),12)="subscription",LOWER(TRIM($F349&amp;""))="membership"),"",IF(OR($N349="",$I349="",$I349=0),"",IFERROR($N349/$I349,""))))</x:f>
      </x:c>
      <x:c r="P349" s="987" t="str">
        <x:f>IF(COUNTA($A349:$M349)=0,"",IF(OR(LEFT(LOWER(TRIM($F349&amp;"")),12)="subscription",LOWER(TRIM($F349&amp;""))="membership"),"",IF(LOWER($L349&amp;"")="yes",0,IF(OR(AND($H349&lt;&gt;"",$H349=0),LEFT(LOWER(TRIM($F349&amp;"")),9)="free game",LOWER(TRIM($F349&amp;""))="free",LOWER(TRIM($F349&amp;""))="free entry"),IF(LOWER($D349&amp;"")="finalized",IF(ISNUMBER($K349),$K349,""),IF($O349&lt;&gt;"",$O349,"")),IF($K349&lt;&gt;"",$K349,IF($O349&lt;&gt;"",$O349,""))))))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IF(COUNTA($A349:$M349)=0,"",IF(OR(LEFT(LOWER(TRIM($F349&amp;"")),12)="subscription",LOWER(TRIM($F349&amp;""))="membership"),"Subscription",IF(OR(AND($H349&lt;&gt;"",$H349=0),LEFT(LOWER(TRIM($F349&amp;"")),9)="free game",LOWER(TRIM($F349&amp;""))="free",LOWER(TRIM($F349&amp;""))="free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IF(COUNTA($A350:$M350)=0,"",IF(OR(LEFT(LOWER(TRIM($F350&amp;"")),12)="subscription",LOWER(TRIM($F350&amp;""))="membership"),"",IF($G350="","",IF(ISNUMBER(SEARCH("non",LOWER($E350&amp;""))),$G350*0.85,$G350))))</x:f>
      </x:c>
      <x:c r="O350" s="987" t="str">
        <x:f>IF(COUNTA($A350:$M350)=0,"",IF(OR(LEFT(LOWER(TRIM($F350&amp;"")),12)="subscription",LOWER(TRIM($F350&amp;""))="membership"),"",IF(OR($N350="",$I350="",$I350=0),"",IFERROR($N350/$I350,""))))</x:f>
      </x:c>
      <x:c r="P350" s="987" t="str">
        <x:f>IF(COUNTA($A350:$M350)=0,"",IF(OR(LEFT(LOWER(TRIM($F350&amp;"")),12)="subscription",LOWER(TRIM($F350&amp;""))="membership"),"",IF(LOWER($L350&amp;"")="yes",0,IF(OR(AND($H350&lt;&gt;"",$H350=0),LEFT(LOWER(TRIM($F350&amp;"")),9)="free game",LOWER(TRIM($F350&amp;""))="free",LOWER(TRIM($F350&amp;""))="free entry"),IF(LOWER($D350&amp;"")="finalized",IF(ISNUMBER($K350),$K350,""),IF($O350&lt;&gt;"",$O350,"")),IF($K350&lt;&gt;"",$K350,IF($O350&lt;&gt;"",$O350,""))))))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IF(COUNTA($A350:$M350)=0,"",IF(OR(LEFT(LOWER(TRIM($F350&amp;"")),12)="subscription",LOWER(TRIM($F350&amp;""))="membership"),"Subscription",IF(OR(AND($H350&lt;&gt;"",$H350=0),LEFT(LOWER(TRIM($F350&amp;"")),9)="free game",LOWER(TRIM($F350&amp;""))="free",LOWER(TRIM($F350&amp;""))="free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IF(COUNTA($A351:$M351)=0,"",IF(OR(LEFT(LOWER(TRIM($F351&amp;"")),12)="subscription",LOWER(TRIM($F351&amp;""))="membership"),"",IF($G351="","",IF(ISNUMBER(SEARCH("non",LOWER($E351&amp;""))),$G351*0.85,$G351))))</x:f>
      </x:c>
      <x:c r="O351" s="987" t="str">
        <x:f>IF(COUNTA($A351:$M351)=0,"",IF(OR(LEFT(LOWER(TRIM($F351&amp;"")),12)="subscription",LOWER(TRIM($F351&amp;""))="membership"),"",IF(OR($N351="",$I351="",$I351=0),"",IFERROR($N351/$I351,""))))</x:f>
      </x:c>
      <x:c r="P351" s="987" t="str">
        <x:f>IF(COUNTA($A351:$M351)=0,"",IF(OR(LEFT(LOWER(TRIM($F351&amp;"")),12)="subscription",LOWER(TRIM($F351&amp;""))="membership"),"",IF(LOWER($L351&amp;"")="yes",0,IF(OR(AND($H351&lt;&gt;"",$H351=0),LEFT(LOWER(TRIM($F351&amp;"")),9)="free game",LOWER(TRIM($F351&amp;""))="free",LOWER(TRIM($F351&amp;""))="free entry"),IF(LOWER($D351&amp;"")="finalized",IF(ISNUMBER($K351),$K351,""),IF($O351&lt;&gt;"",$O351,"")),IF($K351&lt;&gt;"",$K351,IF($O351&lt;&gt;"",$O351,""))))))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IF(COUNTA($A351:$M351)=0,"",IF(OR(LEFT(LOWER(TRIM($F351&amp;"")),12)="subscription",LOWER(TRIM($F351&amp;""))="membership"),"Subscription",IF(OR(AND($H351&lt;&gt;"",$H351=0),LEFT(LOWER(TRIM($F351&amp;"")),9)="free game",LOWER(TRIM($F351&amp;""))="free",LOWER(TRIM($F351&amp;""))="free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IF(COUNTA($A352:$M352)=0,"",IF(OR(LEFT(LOWER(TRIM($F352&amp;"")),12)="subscription",LOWER(TRIM($F352&amp;""))="membership"),"",IF($G352="","",IF(ISNUMBER(SEARCH("non",LOWER($E352&amp;""))),$G352*0.85,$G352))))</x:f>
      </x:c>
      <x:c r="O352" s="987" t="str">
        <x:f>IF(COUNTA($A352:$M352)=0,"",IF(OR(LEFT(LOWER(TRIM($F352&amp;"")),12)="subscription",LOWER(TRIM($F352&amp;""))="membership"),"",IF(OR($N352="",$I352="",$I352=0),"",IFERROR($N352/$I352,""))))</x:f>
      </x:c>
      <x:c r="P352" s="987" t="str">
        <x:f>IF(COUNTA($A352:$M352)=0,"",IF(OR(LEFT(LOWER(TRIM($F352&amp;"")),12)="subscription",LOWER(TRIM($F352&amp;""))="membership"),"",IF(LOWER($L352&amp;"")="yes",0,IF(OR(AND($H352&lt;&gt;"",$H352=0),LEFT(LOWER(TRIM($F352&amp;"")),9)="free game",LOWER(TRIM($F352&amp;""))="free",LOWER(TRIM($F352&amp;""))="free entry"),IF(LOWER($D352&amp;"")="finalized",IF(ISNUMBER($K352),$K352,""),IF($O352&lt;&gt;"",$O352,"")),IF($K352&lt;&gt;"",$K352,IF($O352&lt;&gt;"",$O352,""))))))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IF(COUNTA($A352:$M352)=0,"",IF(OR(LEFT(LOWER(TRIM($F352&amp;"")),12)="subscription",LOWER(TRIM($F352&amp;""))="membership"),"Subscription",IF(OR(AND($H352&lt;&gt;"",$H352=0),LEFT(LOWER(TRIM($F352&amp;"")),9)="free game",LOWER(TRIM($F352&amp;""))="free",LOWER(TRIM($F352&amp;""))="free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IF(COUNTA($A353:$M353)=0,"",IF(OR(LEFT(LOWER(TRIM($F353&amp;"")),12)="subscription",LOWER(TRIM($F353&amp;""))="membership"),"",IF($G353="","",IF(ISNUMBER(SEARCH("non",LOWER($E353&amp;""))),$G353*0.85,$G353))))</x:f>
      </x:c>
      <x:c r="O353" s="987" t="str">
        <x:f>IF(COUNTA($A353:$M353)=0,"",IF(OR(LEFT(LOWER(TRIM($F353&amp;"")),12)="subscription",LOWER(TRIM($F353&amp;""))="membership"),"",IF(OR($N353="",$I353="",$I353=0),"",IFERROR($N353/$I353,""))))</x:f>
      </x:c>
      <x:c r="P353" s="987" t="str">
        <x:f>IF(COUNTA($A353:$M353)=0,"",IF(OR(LEFT(LOWER(TRIM($F353&amp;"")),12)="subscription",LOWER(TRIM($F353&amp;""))="membership"),"",IF(LOWER($L353&amp;"")="yes",0,IF(OR(AND($H353&lt;&gt;"",$H353=0),LEFT(LOWER(TRIM($F353&amp;"")),9)="free game",LOWER(TRIM($F353&amp;""))="free",LOWER(TRIM($F353&amp;""))="free entry"),IF(LOWER($D353&amp;"")="finalized",IF(ISNUMBER($K353),$K353,""),IF($O353&lt;&gt;"",$O353,"")),IF($K353&lt;&gt;"",$K353,IF($O353&lt;&gt;"",$O353,""))))))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IF(COUNTA($A353:$M353)=0,"",IF(OR(LEFT(LOWER(TRIM($F353&amp;"")),12)="subscription",LOWER(TRIM($F353&amp;""))="membership"),"Subscription",IF(OR(AND($H353&lt;&gt;"",$H353=0),LEFT(LOWER(TRIM($F353&amp;"")),9)="free game",LOWER(TRIM($F353&amp;""))="free",LOWER(TRIM($F353&amp;""))="free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IF(COUNTA($A354:$M354)=0,"",IF(OR(LEFT(LOWER(TRIM($F354&amp;"")),12)="subscription",LOWER(TRIM($F354&amp;""))="membership"),"",IF($G354="","",IF(ISNUMBER(SEARCH("non",LOWER($E354&amp;""))),$G354*0.85,$G354))))</x:f>
      </x:c>
      <x:c r="O354" s="987" t="str">
        <x:f>IF(COUNTA($A354:$M354)=0,"",IF(OR(LEFT(LOWER(TRIM($F354&amp;"")),12)="subscription",LOWER(TRIM($F354&amp;""))="membership"),"",IF(OR($N354="",$I354="",$I354=0),"",IFERROR($N354/$I354,""))))</x:f>
      </x:c>
      <x:c r="P354" s="987" t="str">
        <x:f>IF(COUNTA($A354:$M354)=0,"",IF(OR(LEFT(LOWER(TRIM($F354&amp;"")),12)="subscription",LOWER(TRIM($F354&amp;""))="membership"),"",IF(LOWER($L354&amp;"")="yes",0,IF(OR(AND($H354&lt;&gt;"",$H354=0),LEFT(LOWER(TRIM($F354&amp;"")),9)="free game",LOWER(TRIM($F354&amp;""))="free",LOWER(TRIM($F354&amp;""))="free entry"),IF(LOWER($D354&amp;"")="finalized",IF(ISNUMBER($K354),$K354,""),IF($O354&lt;&gt;"",$O354,"")),IF($K354&lt;&gt;"",$K354,IF($O354&lt;&gt;"",$O354,""))))))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IF(COUNTA($A354:$M354)=0,"",IF(OR(LEFT(LOWER(TRIM($F354&amp;"")),12)="subscription",LOWER(TRIM($F354&amp;""))="membership"),"Subscription",IF(OR(AND($H354&lt;&gt;"",$H354=0),LEFT(LOWER(TRIM($F354&amp;"")),9)="free game",LOWER(TRIM($F354&amp;""))="free",LOWER(TRIM($F354&amp;""))="free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IF(COUNTA($A355:$M355)=0,"",IF(OR(LEFT(LOWER(TRIM($F355&amp;"")),12)="subscription",LOWER(TRIM($F355&amp;""))="membership"),"",IF($G355="","",IF(ISNUMBER(SEARCH("non",LOWER($E355&amp;""))),$G355*0.85,$G355))))</x:f>
      </x:c>
      <x:c r="O355" s="987" t="str">
        <x:f>IF(COUNTA($A355:$M355)=0,"",IF(OR(LEFT(LOWER(TRIM($F355&amp;"")),12)="subscription",LOWER(TRIM($F355&amp;""))="membership"),"",IF(OR($N355="",$I355="",$I355=0),"",IFERROR($N355/$I355,""))))</x:f>
      </x:c>
      <x:c r="P355" s="987" t="str">
        <x:f>IF(COUNTA($A355:$M355)=0,"",IF(OR(LEFT(LOWER(TRIM($F355&amp;"")),12)="subscription",LOWER(TRIM($F355&amp;""))="membership"),"",IF(LOWER($L355&amp;"")="yes",0,IF(OR(AND($H355&lt;&gt;"",$H355=0),LEFT(LOWER(TRIM($F355&amp;"")),9)="free game",LOWER(TRIM($F355&amp;""))="free",LOWER(TRIM($F355&amp;""))="free entry"),IF(LOWER($D355&amp;"")="finalized",IF(ISNUMBER($K355),$K355,""),IF($O355&lt;&gt;"",$O355,"")),IF($K355&lt;&gt;"",$K355,IF($O355&lt;&gt;"",$O355,""))))))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IF(COUNTA($A355:$M355)=0,"",IF(OR(LEFT(LOWER(TRIM($F355&amp;"")),12)="subscription",LOWER(TRIM($F355&amp;""))="membership"),"Subscription",IF(OR(AND($H355&lt;&gt;"",$H355=0),LEFT(LOWER(TRIM($F355&amp;"")),9)="free game",LOWER(TRIM($F355&amp;""))="free",LOWER(TRIM($F355&amp;""))="free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IF(COUNTA($A356:$M356)=0,"",IF(OR(LEFT(LOWER(TRIM($F356&amp;"")),12)="subscription",LOWER(TRIM($F356&amp;""))="membership"),"",IF($G356="","",IF(ISNUMBER(SEARCH("non",LOWER($E356&amp;""))),$G356*0.85,$G356))))</x:f>
      </x:c>
      <x:c r="O356" s="987" t="str">
        <x:f>IF(COUNTA($A356:$M356)=0,"",IF(OR(LEFT(LOWER(TRIM($F356&amp;"")),12)="subscription",LOWER(TRIM($F356&amp;""))="membership"),"",IF(OR($N356="",$I356="",$I356=0),"",IFERROR($N356/$I356,""))))</x:f>
      </x:c>
      <x:c r="P356" s="987" t="str">
        <x:f>IF(COUNTA($A356:$M356)=0,"",IF(OR(LEFT(LOWER(TRIM($F356&amp;"")),12)="subscription",LOWER(TRIM($F356&amp;""))="membership"),"",IF(LOWER($L356&amp;"")="yes",0,IF(OR(AND($H356&lt;&gt;"",$H356=0),LEFT(LOWER(TRIM($F356&amp;"")),9)="free game",LOWER(TRIM($F356&amp;""))="free",LOWER(TRIM($F356&amp;""))="free entry"),IF(LOWER($D356&amp;"")="finalized",IF(ISNUMBER($K356),$K356,""),IF($O356&lt;&gt;"",$O356,"")),IF($K356&lt;&gt;"",$K356,IF($O356&lt;&gt;"",$O356,""))))))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IF(COUNTA($A356:$M356)=0,"",IF(OR(LEFT(LOWER(TRIM($F356&amp;"")),12)="subscription",LOWER(TRIM($F356&amp;""))="membership"),"Subscription",IF(OR(AND($H356&lt;&gt;"",$H356=0),LEFT(LOWER(TRIM($F356&amp;"")),9)="free game",LOWER(TRIM($F356&amp;""))="free",LOWER(TRIM($F356&amp;""))="free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IF(COUNTA($A357:$M357)=0,"",IF(OR(LEFT(LOWER(TRIM($F357&amp;"")),12)="subscription",LOWER(TRIM($F357&amp;""))="membership"),"",IF($G357="","",IF(ISNUMBER(SEARCH("non",LOWER($E357&amp;""))),$G357*0.85,$G357))))</x:f>
      </x:c>
      <x:c r="O357" s="987" t="str">
        <x:f>IF(COUNTA($A357:$M357)=0,"",IF(OR(LEFT(LOWER(TRIM($F357&amp;"")),12)="subscription",LOWER(TRIM($F357&amp;""))="membership"),"",IF(OR($N357="",$I357="",$I357=0),"",IFERROR($N357/$I357,""))))</x:f>
      </x:c>
      <x:c r="P357" s="987" t="str">
        <x:f>IF(COUNTA($A357:$M357)=0,"",IF(OR(LEFT(LOWER(TRIM($F357&amp;"")),12)="subscription",LOWER(TRIM($F357&amp;""))="membership"),"",IF(LOWER($L357&amp;"")="yes",0,IF(OR(AND($H357&lt;&gt;"",$H357=0),LEFT(LOWER(TRIM($F357&amp;"")),9)="free game",LOWER(TRIM($F357&amp;""))="free",LOWER(TRIM($F357&amp;""))="free entry"),IF(LOWER($D357&amp;"")="finalized",IF(ISNUMBER($K357),$K357,""),IF($O357&lt;&gt;"",$O357,"")),IF($K357&lt;&gt;"",$K357,IF($O357&lt;&gt;"",$O357,""))))))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IF(COUNTA($A357:$M357)=0,"",IF(OR(LEFT(LOWER(TRIM($F357&amp;"")),12)="subscription",LOWER(TRIM($F357&amp;""))="membership"),"Subscription",IF(OR(AND($H357&lt;&gt;"",$H357=0),LEFT(LOWER(TRIM($F357&amp;"")),9)="free game",LOWER(TRIM($F357&amp;""))="free",LOWER(TRIM($F357&amp;""))="free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IF(COUNTA($A358:$M358)=0,"",IF(OR(LEFT(LOWER(TRIM($F358&amp;"")),12)="subscription",LOWER(TRIM($F358&amp;""))="membership"),"",IF($G358="","",IF(ISNUMBER(SEARCH("non",LOWER($E358&amp;""))),$G358*0.85,$G358))))</x:f>
      </x:c>
      <x:c r="O358" s="987" t="str">
        <x:f>IF(COUNTA($A358:$M358)=0,"",IF(OR(LEFT(LOWER(TRIM($F358&amp;"")),12)="subscription",LOWER(TRIM($F358&amp;""))="membership"),"",IF(OR($N358="",$I358="",$I358=0),"",IFERROR($N358/$I358,""))))</x:f>
      </x:c>
      <x:c r="P358" s="987" t="str">
        <x:f>IF(COUNTA($A358:$M358)=0,"",IF(OR(LEFT(LOWER(TRIM($F358&amp;"")),12)="subscription",LOWER(TRIM($F358&amp;""))="membership"),"",IF(LOWER($L358&amp;"")="yes",0,IF(OR(AND($H358&lt;&gt;"",$H358=0),LEFT(LOWER(TRIM($F358&amp;"")),9)="free game",LOWER(TRIM($F358&amp;""))="free",LOWER(TRIM($F358&amp;""))="free entry"),IF(LOWER($D358&amp;"")="finalized",IF(ISNUMBER($K358),$K358,""),IF($O358&lt;&gt;"",$O358,"")),IF($K358&lt;&gt;"",$K358,IF($O358&lt;&gt;"",$O358,""))))))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IF(COUNTA($A358:$M358)=0,"",IF(OR(LEFT(LOWER(TRIM($F358&amp;"")),12)="subscription",LOWER(TRIM($F358&amp;""))="membership"),"Subscription",IF(OR(AND($H358&lt;&gt;"",$H358=0),LEFT(LOWER(TRIM($F358&amp;"")),9)="free game",LOWER(TRIM($F358&amp;""))="free",LOWER(TRIM($F358&amp;""))="free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IF(COUNTA($A359:$M359)=0,"",IF(OR(LEFT(LOWER(TRIM($F359&amp;"")),12)="subscription",LOWER(TRIM($F359&amp;""))="membership"),"",IF($G359="","",IF(ISNUMBER(SEARCH("non",LOWER($E359&amp;""))),$G359*0.85,$G359))))</x:f>
      </x:c>
      <x:c r="O359" s="987" t="str">
        <x:f>IF(COUNTA($A359:$M359)=0,"",IF(OR(LEFT(LOWER(TRIM($F359&amp;"")),12)="subscription",LOWER(TRIM($F359&amp;""))="membership"),"",IF(OR($N359="",$I359="",$I359=0),"",IFERROR($N359/$I359,""))))</x:f>
      </x:c>
      <x:c r="P359" s="987" t="str">
        <x:f>IF(COUNTA($A359:$M359)=0,"",IF(OR(LEFT(LOWER(TRIM($F359&amp;"")),12)="subscription",LOWER(TRIM($F359&amp;""))="membership"),"",IF(LOWER($L359&amp;"")="yes",0,IF(OR(AND($H359&lt;&gt;"",$H359=0),LEFT(LOWER(TRIM($F359&amp;"")),9)="free game",LOWER(TRIM($F359&amp;""))="free",LOWER(TRIM($F359&amp;""))="free entry"),IF(LOWER($D359&amp;"")="finalized",IF(ISNUMBER($K359),$K359,""),IF($O359&lt;&gt;"",$O359,"")),IF($K359&lt;&gt;"",$K359,IF($O359&lt;&gt;"",$O359,""))))))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IF(COUNTA($A359:$M359)=0,"",IF(OR(LEFT(LOWER(TRIM($F359&amp;"")),12)="subscription",LOWER(TRIM($F359&amp;""))="membership"),"Subscription",IF(OR(AND($H359&lt;&gt;"",$H359=0),LEFT(LOWER(TRIM($F359&amp;"")),9)="free game",LOWER(TRIM($F359&amp;""))="free",LOWER(TRIM($F359&amp;""))="free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IF(COUNTA($A360:$M360)=0,"",IF(OR(LEFT(LOWER(TRIM($F360&amp;"")),12)="subscription",LOWER(TRIM($F360&amp;""))="membership"),"",IF($G360="","",IF(ISNUMBER(SEARCH("non",LOWER($E360&amp;""))),$G360*0.85,$G360))))</x:f>
      </x:c>
      <x:c r="O360" s="987" t="str">
        <x:f>IF(COUNTA($A360:$M360)=0,"",IF(OR(LEFT(LOWER(TRIM($F360&amp;"")),12)="subscription",LOWER(TRIM($F360&amp;""))="membership"),"",IF(OR($N360="",$I360="",$I360=0),"",IFERROR($N360/$I360,""))))</x:f>
      </x:c>
      <x:c r="P360" s="987" t="str">
        <x:f>IF(COUNTA($A360:$M360)=0,"",IF(OR(LEFT(LOWER(TRIM($F360&amp;"")),12)="subscription",LOWER(TRIM($F360&amp;""))="membership"),"",IF(LOWER($L360&amp;"")="yes",0,IF(OR(AND($H360&lt;&gt;"",$H360=0),LEFT(LOWER(TRIM($F360&amp;"")),9)="free game",LOWER(TRIM($F360&amp;""))="free",LOWER(TRIM($F360&amp;""))="free entry"),IF(LOWER($D360&amp;"")="finalized",IF(ISNUMBER($K360),$K360,""),IF($O360&lt;&gt;"",$O360,"")),IF($K360&lt;&gt;"",$K360,IF($O360&lt;&gt;"",$O360,""))))))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IF(COUNTA($A360:$M360)=0,"",IF(OR(LEFT(LOWER(TRIM($F360&amp;"")),12)="subscription",LOWER(TRIM($F360&amp;""))="membership"),"Subscription",IF(OR(AND($H360&lt;&gt;"",$H360=0),LEFT(LOWER(TRIM($F360&amp;"")),9)="free game",LOWER(TRIM($F360&amp;""))="free",LOWER(TRIM($F360&amp;""))="free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IF(COUNTA($A361:$M361)=0,"",IF(OR(LEFT(LOWER(TRIM($F361&amp;"")),12)="subscription",LOWER(TRIM($F361&amp;""))="membership"),"",IF($G361="","",IF(ISNUMBER(SEARCH("non",LOWER($E361&amp;""))),$G361*0.85,$G361))))</x:f>
      </x:c>
      <x:c r="O361" s="987" t="str">
        <x:f>IF(COUNTA($A361:$M361)=0,"",IF(OR(LEFT(LOWER(TRIM($F361&amp;"")),12)="subscription",LOWER(TRIM($F361&amp;""))="membership"),"",IF(OR($N361="",$I361="",$I361=0),"",IFERROR($N361/$I361,""))))</x:f>
      </x:c>
      <x:c r="P361" s="987" t="str">
        <x:f>IF(COUNTA($A361:$M361)=0,"",IF(OR(LEFT(LOWER(TRIM($F361&amp;"")),12)="subscription",LOWER(TRIM($F361&amp;""))="membership"),"",IF(LOWER($L361&amp;"")="yes",0,IF(OR(AND($H361&lt;&gt;"",$H361=0),LEFT(LOWER(TRIM($F361&amp;"")),9)="free game",LOWER(TRIM($F361&amp;""))="free",LOWER(TRIM($F361&amp;""))="free entry"),IF(LOWER($D361&amp;"")="finalized",IF(ISNUMBER($K361),$K361,""),IF($O361&lt;&gt;"",$O361,"")),IF($K361&lt;&gt;"",$K361,IF($O361&lt;&gt;"",$O361,""))))))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IF(COUNTA($A361:$M361)=0,"",IF(OR(LEFT(LOWER(TRIM($F361&amp;"")),12)="subscription",LOWER(TRIM($F361&amp;""))="membership"),"Subscription",IF(OR(AND($H361&lt;&gt;"",$H361=0),LEFT(LOWER(TRIM($F361&amp;"")),9)="free game",LOWER(TRIM($F361&amp;""))="free",LOWER(TRIM($F361&amp;""))="free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IF(COUNTA($A362:$M362)=0,"",IF(OR(LEFT(LOWER(TRIM($F362&amp;"")),12)="subscription",LOWER(TRIM($F362&amp;""))="membership"),"",IF($G362="","",IF(ISNUMBER(SEARCH("non",LOWER($E362&amp;""))),$G362*0.85,$G362))))</x:f>
      </x:c>
      <x:c r="O362" s="987" t="str">
        <x:f>IF(COUNTA($A362:$M362)=0,"",IF(OR(LEFT(LOWER(TRIM($F362&amp;"")),12)="subscription",LOWER(TRIM($F362&amp;""))="membership"),"",IF(OR($N362="",$I362="",$I362=0),"",IFERROR($N362/$I362,""))))</x:f>
      </x:c>
      <x:c r="P362" s="987" t="str">
        <x:f>IF(COUNTA($A362:$M362)=0,"",IF(OR(LEFT(LOWER(TRIM($F362&amp;"")),12)="subscription",LOWER(TRIM($F362&amp;""))="membership"),"",IF(LOWER($L362&amp;"")="yes",0,IF(OR(AND($H362&lt;&gt;"",$H362=0),LEFT(LOWER(TRIM($F362&amp;"")),9)="free game",LOWER(TRIM($F362&amp;""))="free",LOWER(TRIM($F362&amp;""))="free entry"),IF(LOWER($D362&amp;"")="finalized",IF(ISNUMBER($K362),$K362,""),IF($O362&lt;&gt;"",$O362,"")),IF($K362&lt;&gt;"",$K362,IF($O362&lt;&gt;"",$O362,""))))))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IF(COUNTA($A362:$M362)=0,"",IF(OR(LEFT(LOWER(TRIM($F362&amp;"")),12)="subscription",LOWER(TRIM($F362&amp;""))="membership"),"Subscription",IF(OR(AND($H362&lt;&gt;"",$H362=0),LEFT(LOWER(TRIM($F362&amp;"")),9)="free game",LOWER(TRIM($F362&amp;""))="free",LOWER(TRIM($F362&amp;""))="free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IF(COUNTA($A363:$M363)=0,"",IF(OR(LEFT(LOWER(TRIM($F363&amp;"")),12)="subscription",LOWER(TRIM($F363&amp;""))="membership"),"",IF($G363="","",IF(ISNUMBER(SEARCH("non",LOWER($E363&amp;""))),$G363*0.85,$G363))))</x:f>
      </x:c>
      <x:c r="O363" s="987" t="str">
        <x:f>IF(COUNTA($A363:$M363)=0,"",IF(OR(LEFT(LOWER(TRIM($F363&amp;"")),12)="subscription",LOWER(TRIM($F363&amp;""))="membership"),"",IF(OR($N363="",$I363="",$I363=0),"",IFERROR($N363/$I363,""))))</x:f>
      </x:c>
      <x:c r="P363" s="987" t="str">
        <x:f>IF(COUNTA($A363:$M363)=0,"",IF(OR(LEFT(LOWER(TRIM($F363&amp;"")),12)="subscription",LOWER(TRIM($F363&amp;""))="membership"),"",IF(LOWER($L363&amp;"")="yes",0,IF(OR(AND($H363&lt;&gt;"",$H363=0),LEFT(LOWER(TRIM($F363&amp;"")),9)="free game",LOWER(TRIM($F363&amp;""))="free",LOWER(TRIM($F363&amp;""))="free entry"),IF(LOWER($D363&amp;"")="finalized",IF(ISNUMBER($K363),$K363,""),IF($O363&lt;&gt;"",$O363,"")),IF($K363&lt;&gt;"",$K363,IF($O363&lt;&gt;"",$O363,""))))))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IF(COUNTA($A363:$M363)=0,"",IF(OR(LEFT(LOWER(TRIM($F363&amp;"")),12)="subscription",LOWER(TRIM($F363&amp;""))="membership"),"Subscription",IF(OR(AND($H363&lt;&gt;"",$H363=0),LEFT(LOWER(TRIM($F363&amp;"")),9)="free game",LOWER(TRIM($F363&amp;""))="free",LOWER(TRIM($F363&amp;""))="free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IF(COUNTA($A364:$M364)=0,"",IF(OR(LEFT(LOWER(TRIM($F364&amp;"")),12)="subscription",LOWER(TRIM($F364&amp;""))="membership"),"",IF($G364="","",IF(ISNUMBER(SEARCH("non",LOWER($E364&amp;""))),$G364*0.85,$G364))))</x:f>
      </x:c>
      <x:c r="O364" s="987" t="str">
        <x:f>IF(COUNTA($A364:$M364)=0,"",IF(OR(LEFT(LOWER(TRIM($F364&amp;"")),12)="subscription",LOWER(TRIM($F364&amp;""))="membership"),"",IF(OR($N364="",$I364="",$I364=0),"",IFERROR($N364/$I364,""))))</x:f>
      </x:c>
      <x:c r="P364" s="987" t="str">
        <x:f>IF(COUNTA($A364:$M364)=0,"",IF(OR(LEFT(LOWER(TRIM($F364&amp;"")),12)="subscription",LOWER(TRIM($F364&amp;""))="membership"),"",IF(LOWER($L364&amp;"")="yes",0,IF(OR(AND($H364&lt;&gt;"",$H364=0),LEFT(LOWER(TRIM($F364&amp;"")),9)="free game",LOWER(TRIM($F364&amp;""))="free",LOWER(TRIM($F364&amp;""))="free entry"),IF(LOWER($D364&amp;"")="finalized",IF(ISNUMBER($K364),$K364,""),IF($O364&lt;&gt;"",$O364,"")),IF($K364&lt;&gt;"",$K364,IF($O364&lt;&gt;"",$O364,""))))))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IF(COUNTA($A364:$M364)=0,"",IF(OR(LEFT(LOWER(TRIM($F364&amp;"")),12)="subscription",LOWER(TRIM($F364&amp;""))="membership"),"Subscription",IF(OR(AND($H364&lt;&gt;"",$H364=0),LEFT(LOWER(TRIM($F364&amp;"")),9)="free game",LOWER(TRIM($F364&amp;""))="free",LOWER(TRIM($F364&amp;""))="free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IF(COUNTA($A365:$M365)=0,"",IF(OR(LEFT(LOWER(TRIM($F365&amp;"")),12)="subscription",LOWER(TRIM($F365&amp;""))="membership"),"",IF($G365="","",IF(ISNUMBER(SEARCH("non",LOWER($E365&amp;""))),$G365*0.85,$G365))))</x:f>
      </x:c>
      <x:c r="O365" s="987" t="str">
        <x:f>IF(COUNTA($A365:$M365)=0,"",IF(OR(LEFT(LOWER(TRIM($F365&amp;"")),12)="subscription",LOWER(TRIM($F365&amp;""))="membership"),"",IF(OR($N365="",$I365="",$I365=0),"",IFERROR($N365/$I365,""))))</x:f>
      </x:c>
      <x:c r="P365" s="987" t="str">
        <x:f>IF(COUNTA($A365:$M365)=0,"",IF(OR(LEFT(LOWER(TRIM($F365&amp;"")),12)="subscription",LOWER(TRIM($F365&amp;""))="membership"),"",IF(LOWER($L365&amp;"")="yes",0,IF(OR(AND($H365&lt;&gt;"",$H365=0),LEFT(LOWER(TRIM($F365&amp;"")),9)="free game",LOWER(TRIM($F365&amp;""))="free",LOWER(TRIM($F365&amp;""))="free entry"),IF(LOWER($D365&amp;"")="finalized",IF(ISNUMBER($K365),$K365,""),IF($O365&lt;&gt;"",$O365,"")),IF($K365&lt;&gt;"",$K365,IF($O365&lt;&gt;"",$O365,""))))))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IF(COUNTA($A365:$M365)=0,"",IF(OR(LEFT(LOWER(TRIM($F365&amp;"")),12)="subscription",LOWER(TRIM($F365&amp;""))="membership"),"Subscription",IF(OR(AND($H365&lt;&gt;"",$H365=0),LEFT(LOWER(TRIM($F365&amp;"")),9)="free game",LOWER(TRIM($F365&amp;""))="free",LOWER(TRIM($F365&amp;""))="free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IF(COUNTA($A366:$M366)=0,"",IF(OR(LEFT(LOWER(TRIM($F366&amp;"")),12)="subscription",LOWER(TRIM($F366&amp;""))="membership"),"",IF($G366="","",IF(ISNUMBER(SEARCH("non",LOWER($E366&amp;""))),$G366*0.85,$G366))))</x:f>
      </x:c>
      <x:c r="O366" s="987" t="str">
        <x:f>IF(COUNTA($A366:$M366)=0,"",IF(OR(LEFT(LOWER(TRIM($F366&amp;"")),12)="subscription",LOWER(TRIM($F366&amp;""))="membership"),"",IF(OR($N366="",$I366="",$I366=0),"",IFERROR($N366/$I366,""))))</x:f>
      </x:c>
      <x:c r="P366" s="987" t="str">
        <x:f>IF(COUNTA($A366:$M366)=0,"",IF(OR(LEFT(LOWER(TRIM($F366&amp;"")),12)="subscription",LOWER(TRIM($F366&amp;""))="membership"),"",IF(LOWER($L366&amp;"")="yes",0,IF(OR(AND($H366&lt;&gt;"",$H366=0),LEFT(LOWER(TRIM($F366&amp;"")),9)="free game",LOWER(TRIM($F366&amp;""))="free",LOWER(TRIM($F366&amp;""))="free entry"),IF(LOWER($D366&amp;"")="finalized",IF(ISNUMBER($K366),$K366,""),IF($O366&lt;&gt;"",$O366,"")),IF($K366&lt;&gt;"",$K366,IF($O366&lt;&gt;"",$O366,""))))))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IF(COUNTA($A366:$M366)=0,"",IF(OR(LEFT(LOWER(TRIM($F366&amp;"")),12)="subscription",LOWER(TRIM($F366&amp;""))="membership"),"Subscription",IF(OR(AND($H366&lt;&gt;"",$H366=0),LEFT(LOWER(TRIM($F366&amp;"")),9)="free game",LOWER(TRIM($F366&amp;""))="free",LOWER(TRIM($F366&amp;""))="free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IF(COUNTA($A367:$M367)=0,"",IF(OR(LEFT(LOWER(TRIM($F367&amp;"")),12)="subscription",LOWER(TRIM($F367&amp;""))="membership"),"",IF($G367="","",IF(ISNUMBER(SEARCH("non",LOWER($E367&amp;""))),$G367*0.85,$G367))))</x:f>
      </x:c>
      <x:c r="O367" s="987" t="str">
        <x:f>IF(COUNTA($A367:$M367)=0,"",IF(OR(LEFT(LOWER(TRIM($F367&amp;"")),12)="subscription",LOWER(TRIM($F367&amp;""))="membership"),"",IF(OR($N367="",$I367="",$I367=0),"",IFERROR($N367/$I367,""))))</x:f>
      </x:c>
      <x:c r="P367" s="987" t="str">
        <x:f>IF(COUNTA($A367:$M367)=0,"",IF(OR(LEFT(LOWER(TRIM($F367&amp;"")),12)="subscription",LOWER(TRIM($F367&amp;""))="membership"),"",IF(LOWER($L367&amp;"")="yes",0,IF(OR(AND($H367&lt;&gt;"",$H367=0),LEFT(LOWER(TRIM($F367&amp;"")),9)="free game",LOWER(TRIM($F367&amp;""))="free",LOWER(TRIM($F367&amp;""))="free entry"),IF(LOWER($D367&amp;"")="finalized",IF(ISNUMBER($K367),$K367,""),IF($O367&lt;&gt;"",$O367,"")),IF($K367&lt;&gt;"",$K367,IF($O367&lt;&gt;"",$O367,""))))))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IF(COUNTA($A367:$M367)=0,"",IF(OR(LEFT(LOWER(TRIM($F367&amp;"")),12)="subscription",LOWER(TRIM($F367&amp;""))="membership"),"Subscription",IF(OR(AND($H367&lt;&gt;"",$H367=0),LEFT(LOWER(TRIM($F367&amp;"")),9)="free game",LOWER(TRIM($F367&amp;""))="free",LOWER(TRIM($F367&amp;""))="free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IF(COUNTA($A368:$M368)=0,"",IF(OR(LEFT(LOWER(TRIM($F368&amp;"")),12)="subscription",LOWER(TRIM($F368&amp;""))="membership"),"",IF($G368="","",IF(ISNUMBER(SEARCH("non",LOWER($E368&amp;""))),$G368*0.85,$G368))))</x:f>
      </x:c>
      <x:c r="O368" s="987" t="str">
        <x:f>IF(COUNTA($A368:$M368)=0,"",IF(OR(LEFT(LOWER(TRIM($F368&amp;"")),12)="subscription",LOWER(TRIM($F368&amp;""))="membership"),"",IF(OR($N368="",$I368="",$I368=0),"",IFERROR($N368/$I368,""))))</x:f>
      </x:c>
      <x:c r="P368" s="987" t="str">
        <x:f>IF(COUNTA($A368:$M368)=0,"",IF(OR(LEFT(LOWER(TRIM($F368&amp;"")),12)="subscription",LOWER(TRIM($F368&amp;""))="membership"),"",IF(LOWER($L368&amp;"")="yes",0,IF(OR(AND($H368&lt;&gt;"",$H368=0),LEFT(LOWER(TRIM($F368&amp;"")),9)="free game",LOWER(TRIM($F368&amp;""))="free",LOWER(TRIM($F368&amp;""))="free entry"),IF(LOWER($D368&amp;"")="finalized",IF(ISNUMBER($K368),$K368,""),IF($O368&lt;&gt;"",$O368,"")),IF($K368&lt;&gt;"",$K368,IF($O368&lt;&gt;"",$O368,""))))))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IF(COUNTA($A368:$M368)=0,"",IF(OR(LEFT(LOWER(TRIM($F368&amp;"")),12)="subscription",LOWER(TRIM($F368&amp;""))="membership"),"Subscription",IF(OR(AND($H368&lt;&gt;"",$H368=0),LEFT(LOWER(TRIM($F368&amp;"")),9)="free game",LOWER(TRIM($F368&amp;""))="free",LOWER(TRIM($F368&amp;""))="free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IF(COUNTA($A369:$M369)=0,"",IF(OR(LEFT(LOWER(TRIM($F369&amp;"")),12)="subscription",LOWER(TRIM($F369&amp;""))="membership"),"",IF($G369="","",IF(ISNUMBER(SEARCH("non",LOWER($E369&amp;""))),$G369*0.85,$G369))))</x:f>
      </x:c>
      <x:c r="O369" s="987" t="str">
        <x:f>IF(COUNTA($A369:$M369)=0,"",IF(OR(LEFT(LOWER(TRIM($F369&amp;"")),12)="subscription",LOWER(TRIM($F369&amp;""))="membership"),"",IF(OR($N369="",$I369="",$I369=0),"",IFERROR($N369/$I369,""))))</x:f>
      </x:c>
      <x:c r="P369" s="987" t="str">
        <x:f>IF(COUNTA($A369:$M369)=0,"",IF(OR(LEFT(LOWER(TRIM($F369&amp;"")),12)="subscription",LOWER(TRIM($F369&amp;""))="membership"),"",IF(LOWER($L369&amp;"")="yes",0,IF(OR(AND($H369&lt;&gt;"",$H369=0),LEFT(LOWER(TRIM($F369&amp;"")),9)="free game",LOWER(TRIM($F369&amp;""))="free",LOWER(TRIM($F369&amp;""))="free entry"),IF(LOWER($D369&amp;"")="finalized",IF(ISNUMBER($K369),$K369,""),IF($O369&lt;&gt;"",$O369,"")),IF($K369&lt;&gt;"",$K369,IF($O369&lt;&gt;"",$O369,""))))))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IF(COUNTA($A369:$M369)=0,"",IF(OR(LEFT(LOWER(TRIM($F369&amp;"")),12)="subscription",LOWER(TRIM($F369&amp;""))="membership"),"Subscription",IF(OR(AND($H369&lt;&gt;"",$H369=0),LEFT(LOWER(TRIM($F369&amp;"")),9)="free game",LOWER(TRIM($F369&amp;""))="free",LOWER(TRIM($F369&amp;""))="free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IF(COUNTA($A370:$M370)=0,"",IF(OR(LEFT(LOWER(TRIM($F370&amp;"")),12)="subscription",LOWER(TRIM($F370&amp;""))="membership"),"",IF($G370="","",IF(ISNUMBER(SEARCH("non",LOWER($E370&amp;""))),$G370*0.85,$G370))))</x:f>
      </x:c>
      <x:c r="O370" s="987" t="str">
        <x:f>IF(COUNTA($A370:$M370)=0,"",IF(OR(LEFT(LOWER(TRIM($F370&amp;"")),12)="subscription",LOWER(TRIM($F370&amp;""))="membership"),"",IF(OR($N370="",$I370="",$I370=0),"",IFERROR($N370/$I370,""))))</x:f>
      </x:c>
      <x:c r="P370" s="987" t="str">
        <x:f>IF(COUNTA($A370:$M370)=0,"",IF(OR(LEFT(LOWER(TRIM($F370&amp;"")),12)="subscription",LOWER(TRIM($F370&amp;""))="membership"),"",IF(LOWER($L370&amp;"")="yes",0,IF(OR(AND($H370&lt;&gt;"",$H370=0),LEFT(LOWER(TRIM($F370&amp;"")),9)="free game",LOWER(TRIM($F370&amp;""))="free",LOWER(TRIM($F370&amp;""))="free entry"),IF(LOWER($D370&amp;"")="finalized",IF(ISNUMBER($K370),$K370,""),IF($O370&lt;&gt;"",$O370,"")),IF($K370&lt;&gt;"",$K370,IF($O370&lt;&gt;"",$O370,""))))))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IF(COUNTA($A370:$M370)=0,"",IF(OR(LEFT(LOWER(TRIM($F370&amp;"")),12)="subscription",LOWER(TRIM($F370&amp;""))="membership"),"Subscription",IF(OR(AND($H370&lt;&gt;"",$H370=0),LEFT(LOWER(TRIM($F370&amp;"")),9)="free game",LOWER(TRIM($F370&amp;""))="free",LOWER(TRIM($F370&amp;""))="free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IF(COUNTA($A371:$M371)=0,"",IF(OR(LEFT(LOWER(TRIM($F371&amp;"")),12)="subscription",LOWER(TRIM($F371&amp;""))="membership"),"",IF($G371="","",IF(ISNUMBER(SEARCH("non",LOWER($E371&amp;""))),$G371*0.85,$G371))))</x:f>
      </x:c>
      <x:c r="O371" s="987" t="str">
        <x:f>IF(COUNTA($A371:$M371)=0,"",IF(OR(LEFT(LOWER(TRIM($F371&amp;"")),12)="subscription",LOWER(TRIM($F371&amp;""))="membership"),"",IF(OR($N371="",$I371="",$I371=0),"",IFERROR($N371/$I371,""))))</x:f>
      </x:c>
      <x:c r="P371" s="987" t="str">
        <x:f>IF(COUNTA($A371:$M371)=0,"",IF(OR(LEFT(LOWER(TRIM($F371&amp;"")),12)="subscription",LOWER(TRIM($F371&amp;""))="membership"),"",IF(LOWER($L371&amp;"")="yes",0,IF(OR(AND($H371&lt;&gt;"",$H371=0),LEFT(LOWER(TRIM($F371&amp;"")),9)="free game",LOWER(TRIM($F371&amp;""))="free",LOWER(TRIM($F371&amp;""))="free entry"),IF(LOWER($D371&amp;"")="finalized",IF(ISNUMBER($K371),$K371,""),IF($O371&lt;&gt;"",$O371,"")),IF($K371&lt;&gt;"",$K371,IF($O371&lt;&gt;"",$O371,""))))))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IF(COUNTA($A371:$M371)=0,"",IF(OR(LEFT(LOWER(TRIM($F371&amp;"")),12)="subscription",LOWER(TRIM($F371&amp;""))="membership"),"Subscription",IF(OR(AND($H371&lt;&gt;"",$H371=0),LEFT(LOWER(TRIM($F371&amp;"")),9)="free game",LOWER(TRIM($F371&amp;""))="free",LOWER(TRIM($F371&amp;""))="free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IF(COUNTA($A372:$M372)=0,"",IF(OR(LEFT(LOWER(TRIM($F372&amp;"")),12)="subscription",LOWER(TRIM($F372&amp;""))="membership"),"",IF($G372="","",IF(ISNUMBER(SEARCH("non",LOWER($E372&amp;""))),$G372*0.85,$G372))))</x:f>
      </x:c>
      <x:c r="O372" s="987" t="str">
        <x:f>IF(COUNTA($A372:$M372)=0,"",IF(OR(LEFT(LOWER(TRIM($F372&amp;"")),12)="subscription",LOWER(TRIM($F372&amp;""))="membership"),"",IF(OR($N372="",$I372="",$I372=0),"",IFERROR($N372/$I372,""))))</x:f>
      </x:c>
      <x:c r="P372" s="987" t="str">
        <x:f>IF(COUNTA($A372:$M372)=0,"",IF(OR(LEFT(LOWER(TRIM($F372&amp;"")),12)="subscription",LOWER(TRIM($F372&amp;""))="membership"),"",IF(LOWER($L372&amp;"")="yes",0,IF(OR(AND($H372&lt;&gt;"",$H372=0),LEFT(LOWER(TRIM($F372&amp;"")),9)="free game",LOWER(TRIM($F372&amp;""))="free",LOWER(TRIM($F372&amp;""))="free entry"),IF(LOWER($D372&amp;"")="finalized",IF(ISNUMBER($K372),$K372,""),IF($O372&lt;&gt;"",$O372,"")),IF($K372&lt;&gt;"",$K372,IF($O372&lt;&gt;"",$O372,""))))))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IF(COUNTA($A372:$M372)=0,"",IF(OR(LEFT(LOWER(TRIM($F372&amp;"")),12)="subscription",LOWER(TRIM($F372&amp;""))="membership"),"Subscription",IF(OR(AND($H372&lt;&gt;"",$H372=0),LEFT(LOWER(TRIM($F372&amp;"")),9)="free game",LOWER(TRIM($F372&amp;""))="free",LOWER(TRIM($F372&amp;""))="free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IF(COUNTA($A373:$M373)=0,"",IF(OR(LEFT(LOWER(TRIM($F373&amp;"")),12)="subscription",LOWER(TRIM($F373&amp;""))="membership"),"",IF($G373="","",IF(ISNUMBER(SEARCH("non",LOWER($E373&amp;""))),$G373*0.85,$G373))))</x:f>
      </x:c>
      <x:c r="O373" s="987" t="str">
        <x:f>IF(COUNTA($A373:$M373)=0,"",IF(OR(LEFT(LOWER(TRIM($F373&amp;"")),12)="subscription",LOWER(TRIM($F373&amp;""))="membership"),"",IF(OR($N373="",$I373="",$I373=0),"",IFERROR($N373/$I373,""))))</x:f>
      </x:c>
      <x:c r="P373" s="987" t="str">
        <x:f>IF(COUNTA($A373:$M373)=0,"",IF(OR(LEFT(LOWER(TRIM($F373&amp;"")),12)="subscription",LOWER(TRIM($F373&amp;""))="membership"),"",IF(LOWER($L373&amp;"")="yes",0,IF(OR(AND($H373&lt;&gt;"",$H373=0),LEFT(LOWER(TRIM($F373&amp;"")),9)="free game",LOWER(TRIM($F373&amp;""))="free",LOWER(TRIM($F373&amp;""))="free entry"),IF(LOWER($D373&amp;"")="finalized",IF(ISNUMBER($K373),$K373,""),IF($O373&lt;&gt;"",$O373,"")),IF($K373&lt;&gt;"",$K373,IF($O373&lt;&gt;"",$O373,""))))))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IF(COUNTA($A373:$M373)=0,"",IF(OR(LEFT(LOWER(TRIM($F373&amp;"")),12)="subscription",LOWER(TRIM($F373&amp;""))="membership"),"Subscription",IF(OR(AND($H373&lt;&gt;"",$H373=0),LEFT(LOWER(TRIM($F373&amp;"")),9)="free game",LOWER(TRIM($F373&amp;""))="free",LOWER(TRIM($F373&amp;""))="free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IF(COUNTA($A374:$M374)=0,"",IF(OR(LEFT(LOWER(TRIM($F374&amp;"")),12)="subscription",LOWER(TRIM($F374&amp;""))="membership"),"",IF($G374="","",IF(ISNUMBER(SEARCH("non",LOWER($E374&amp;""))),$G374*0.85,$G374))))</x:f>
      </x:c>
      <x:c r="O374" s="987" t="str">
        <x:f>IF(COUNTA($A374:$M374)=0,"",IF(OR(LEFT(LOWER(TRIM($F374&amp;"")),12)="subscription",LOWER(TRIM($F374&amp;""))="membership"),"",IF(OR($N374="",$I374="",$I374=0),"",IFERROR($N374/$I374,""))))</x:f>
      </x:c>
      <x:c r="P374" s="987" t="str">
        <x:f>IF(COUNTA($A374:$M374)=0,"",IF(OR(LEFT(LOWER(TRIM($F374&amp;"")),12)="subscription",LOWER(TRIM($F374&amp;""))="membership"),"",IF(LOWER($L374&amp;"")="yes",0,IF(OR(AND($H374&lt;&gt;"",$H374=0),LEFT(LOWER(TRIM($F374&amp;"")),9)="free game",LOWER(TRIM($F374&amp;""))="free",LOWER(TRIM($F374&amp;""))="free entry"),IF(LOWER($D374&amp;"")="finalized",IF(ISNUMBER($K374),$K374,""),IF($O374&lt;&gt;"",$O374,"")),IF($K374&lt;&gt;"",$K374,IF($O374&lt;&gt;"",$O374,""))))))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IF(COUNTA($A374:$M374)=0,"",IF(OR(LEFT(LOWER(TRIM($F374&amp;"")),12)="subscription",LOWER(TRIM($F374&amp;""))="membership"),"Subscription",IF(OR(AND($H374&lt;&gt;"",$H374=0),LEFT(LOWER(TRIM($F374&amp;"")),9)="free game",LOWER(TRIM($F374&amp;""))="free",LOWER(TRIM($F374&amp;""))="free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IF(COUNTA($A375:$M375)=0,"",IF(OR(LEFT(LOWER(TRIM($F375&amp;"")),12)="subscription",LOWER(TRIM($F375&amp;""))="membership"),"",IF($G375="","",IF(ISNUMBER(SEARCH("non",LOWER($E375&amp;""))),$G375*0.85,$G375))))</x:f>
      </x:c>
      <x:c r="O375" s="987" t="str">
        <x:f>IF(COUNTA($A375:$M375)=0,"",IF(OR(LEFT(LOWER(TRIM($F375&amp;"")),12)="subscription",LOWER(TRIM($F375&amp;""))="membership"),"",IF(OR($N375="",$I375="",$I375=0),"",IFERROR($N375/$I375,""))))</x:f>
      </x:c>
      <x:c r="P375" s="987" t="str">
        <x:f>IF(COUNTA($A375:$M375)=0,"",IF(OR(LEFT(LOWER(TRIM($F375&amp;"")),12)="subscription",LOWER(TRIM($F375&amp;""))="membership"),"",IF(LOWER($L375&amp;"")="yes",0,IF(OR(AND($H375&lt;&gt;"",$H375=0),LEFT(LOWER(TRIM($F375&amp;"")),9)="free game",LOWER(TRIM($F375&amp;""))="free",LOWER(TRIM($F375&amp;""))="free entry"),IF(LOWER($D375&amp;"")="finalized",IF(ISNUMBER($K375),$K375,""),IF($O375&lt;&gt;"",$O375,"")),IF($K375&lt;&gt;"",$K375,IF($O375&lt;&gt;"",$O375,""))))))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IF(COUNTA($A375:$M375)=0,"",IF(OR(LEFT(LOWER(TRIM($F375&amp;"")),12)="subscription",LOWER(TRIM($F375&amp;""))="membership"),"Subscription",IF(OR(AND($H375&lt;&gt;"",$H375=0),LEFT(LOWER(TRIM($F375&amp;"")),9)="free game",LOWER(TRIM($F375&amp;""))="free",LOWER(TRIM($F375&amp;""))="free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IF(COUNTA($A376:$M376)=0,"",IF(OR(LEFT(LOWER(TRIM($F376&amp;"")),12)="subscription",LOWER(TRIM($F376&amp;""))="membership"),"",IF($G376="","",IF(ISNUMBER(SEARCH("non",LOWER($E376&amp;""))),$G376*0.85,$G376))))</x:f>
      </x:c>
      <x:c r="O376" s="987" t="str">
        <x:f>IF(COUNTA($A376:$M376)=0,"",IF(OR(LEFT(LOWER(TRIM($F376&amp;"")),12)="subscription",LOWER(TRIM($F376&amp;""))="membership"),"",IF(OR($N376="",$I376="",$I376=0),"",IFERROR($N376/$I376,""))))</x:f>
      </x:c>
      <x:c r="P376" s="987" t="str">
        <x:f>IF(COUNTA($A376:$M376)=0,"",IF(OR(LEFT(LOWER(TRIM($F376&amp;"")),12)="subscription",LOWER(TRIM($F376&amp;""))="membership"),"",IF(LOWER($L376&amp;"")="yes",0,IF(OR(AND($H376&lt;&gt;"",$H376=0),LEFT(LOWER(TRIM($F376&amp;"")),9)="free game",LOWER(TRIM($F376&amp;""))="free",LOWER(TRIM($F376&amp;""))="free entry"),IF(LOWER($D376&amp;"")="finalized",IF(ISNUMBER($K376),$K376,""),IF($O376&lt;&gt;"",$O376,"")),IF($K376&lt;&gt;"",$K376,IF($O376&lt;&gt;"",$O376,""))))))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IF(COUNTA($A376:$M376)=0,"",IF(OR(LEFT(LOWER(TRIM($F376&amp;"")),12)="subscription",LOWER(TRIM($F376&amp;""))="membership"),"Subscription",IF(OR(AND($H376&lt;&gt;"",$H376=0),LEFT(LOWER(TRIM($F376&amp;"")),9)="free game",LOWER(TRIM($F376&amp;""))="free",LOWER(TRIM($F376&amp;""))="free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IF(COUNTA($A377:$M377)=0,"",IF(OR(LEFT(LOWER(TRIM($F377&amp;"")),12)="subscription",LOWER(TRIM($F377&amp;""))="membership"),"",IF($G377="","",IF(ISNUMBER(SEARCH("non",LOWER($E377&amp;""))),$G377*0.85,$G377))))</x:f>
      </x:c>
      <x:c r="O377" s="987" t="str">
        <x:f>IF(COUNTA($A377:$M377)=0,"",IF(OR(LEFT(LOWER(TRIM($F377&amp;"")),12)="subscription",LOWER(TRIM($F377&amp;""))="membership"),"",IF(OR($N377="",$I377="",$I377=0),"",IFERROR($N377/$I377,""))))</x:f>
      </x:c>
      <x:c r="P377" s="987" t="str">
        <x:f>IF(COUNTA($A377:$M377)=0,"",IF(OR(LEFT(LOWER(TRIM($F377&amp;"")),12)="subscription",LOWER(TRIM($F377&amp;""))="membership"),"",IF(LOWER($L377&amp;"")="yes",0,IF(OR(AND($H377&lt;&gt;"",$H377=0),LEFT(LOWER(TRIM($F377&amp;"")),9)="free game",LOWER(TRIM($F377&amp;""))="free",LOWER(TRIM($F377&amp;""))="free entry"),IF(LOWER($D377&amp;"")="finalized",IF(ISNUMBER($K377),$K377,""),IF($O377&lt;&gt;"",$O377,"")),IF($K377&lt;&gt;"",$K377,IF($O377&lt;&gt;"",$O377,""))))))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IF(COUNTA($A377:$M377)=0,"",IF(OR(LEFT(LOWER(TRIM($F377&amp;"")),12)="subscription",LOWER(TRIM($F377&amp;""))="membership"),"Subscription",IF(OR(AND($H377&lt;&gt;"",$H377=0),LEFT(LOWER(TRIM($F377&amp;"")),9)="free game",LOWER(TRIM($F377&amp;""))="free",LOWER(TRIM($F377&amp;""))="free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IF(COUNTA($A378:$M378)=0,"",IF(OR(LEFT(LOWER(TRIM($F378&amp;"")),12)="subscription",LOWER(TRIM($F378&amp;""))="membership"),"",IF($G378="","",IF(ISNUMBER(SEARCH("non",LOWER($E378&amp;""))),$G378*0.85,$G378))))</x:f>
      </x:c>
      <x:c r="O378" s="987" t="str">
        <x:f>IF(COUNTA($A378:$M378)=0,"",IF(OR(LEFT(LOWER(TRIM($F378&amp;"")),12)="subscription",LOWER(TRIM($F378&amp;""))="membership"),"",IF(OR($N378="",$I378="",$I378=0),"",IFERROR($N378/$I378,""))))</x:f>
      </x:c>
      <x:c r="P378" s="987" t="str">
        <x:f>IF(COUNTA($A378:$M378)=0,"",IF(OR(LEFT(LOWER(TRIM($F378&amp;"")),12)="subscription",LOWER(TRIM($F378&amp;""))="membership"),"",IF(LOWER($L378&amp;"")="yes",0,IF(OR(AND($H378&lt;&gt;"",$H378=0),LEFT(LOWER(TRIM($F378&amp;"")),9)="free game",LOWER(TRIM($F378&amp;""))="free",LOWER(TRIM($F378&amp;""))="free entry"),IF(LOWER($D378&amp;"")="finalized",IF(ISNUMBER($K378),$K378,""),IF($O378&lt;&gt;"",$O378,"")),IF($K378&lt;&gt;"",$K378,IF($O378&lt;&gt;"",$O378,""))))))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IF(COUNTA($A378:$M378)=0,"",IF(OR(LEFT(LOWER(TRIM($F378&amp;"")),12)="subscription",LOWER(TRIM($F378&amp;""))="membership"),"Subscription",IF(OR(AND($H378&lt;&gt;"",$H378=0),LEFT(LOWER(TRIM($F378&amp;"")),9)="free game",LOWER(TRIM($F378&amp;""))="free",LOWER(TRIM($F378&amp;""))="free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IF(COUNTA($A379:$M379)=0,"",IF(OR(LEFT(LOWER(TRIM($F379&amp;"")),12)="subscription",LOWER(TRIM($F379&amp;""))="membership"),"",IF($G379="","",IF(ISNUMBER(SEARCH("non",LOWER($E379&amp;""))),$G379*0.85,$G379))))</x:f>
      </x:c>
      <x:c r="O379" s="987" t="str">
        <x:f>IF(COUNTA($A379:$M379)=0,"",IF(OR(LEFT(LOWER(TRIM($F379&amp;"")),12)="subscription",LOWER(TRIM($F379&amp;""))="membership"),"",IF(OR($N379="",$I379="",$I379=0),"",IFERROR($N379/$I379,""))))</x:f>
      </x:c>
      <x:c r="P379" s="987" t="str">
        <x:f>IF(COUNTA($A379:$M379)=0,"",IF(OR(LEFT(LOWER(TRIM($F379&amp;"")),12)="subscription",LOWER(TRIM($F379&amp;""))="membership"),"",IF(LOWER($L379&amp;"")="yes",0,IF(OR(AND($H379&lt;&gt;"",$H379=0),LEFT(LOWER(TRIM($F379&amp;"")),9)="free game",LOWER(TRIM($F379&amp;""))="free",LOWER(TRIM($F379&amp;""))="free entry"),IF(LOWER($D379&amp;"")="finalized",IF(ISNUMBER($K379),$K379,""),IF($O379&lt;&gt;"",$O379,"")),IF($K379&lt;&gt;"",$K379,IF($O379&lt;&gt;"",$O379,""))))))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IF(COUNTA($A379:$M379)=0,"",IF(OR(LEFT(LOWER(TRIM($F379&amp;"")),12)="subscription",LOWER(TRIM($F379&amp;""))="membership"),"Subscription",IF(OR(AND($H379&lt;&gt;"",$H379=0),LEFT(LOWER(TRIM($F379&amp;"")),9)="free game",LOWER(TRIM($F379&amp;""))="free",LOWER(TRIM($F379&amp;""))="free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IF(COUNTA($A380:$M380)=0,"",IF(OR(LEFT(LOWER(TRIM($F380&amp;"")),12)="subscription",LOWER(TRIM($F380&amp;""))="membership"),"",IF($G380="","",IF(ISNUMBER(SEARCH("non",LOWER($E380&amp;""))),$G380*0.85,$G380))))</x:f>
      </x:c>
      <x:c r="O380" s="987" t="str">
        <x:f>IF(COUNTA($A380:$M380)=0,"",IF(OR(LEFT(LOWER(TRIM($F380&amp;"")),12)="subscription",LOWER(TRIM($F380&amp;""))="membership"),"",IF(OR($N380="",$I380="",$I380=0),"",IFERROR($N380/$I380,""))))</x:f>
      </x:c>
      <x:c r="P380" s="987" t="str">
        <x:f>IF(COUNTA($A380:$M380)=0,"",IF(OR(LEFT(LOWER(TRIM($F380&amp;"")),12)="subscription",LOWER(TRIM($F380&amp;""))="membership"),"",IF(LOWER($L380&amp;"")="yes",0,IF(OR(AND($H380&lt;&gt;"",$H380=0),LEFT(LOWER(TRIM($F380&amp;"")),9)="free game",LOWER(TRIM($F380&amp;""))="free",LOWER(TRIM($F380&amp;""))="free entry"),IF(LOWER($D380&amp;"")="finalized",IF(ISNUMBER($K380),$K380,""),IF($O380&lt;&gt;"",$O380,"")),IF($K380&lt;&gt;"",$K380,IF($O380&lt;&gt;"",$O380,""))))))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IF(COUNTA($A380:$M380)=0,"",IF(OR(LEFT(LOWER(TRIM($F380&amp;"")),12)="subscription",LOWER(TRIM($F380&amp;""))="membership"),"Subscription",IF(OR(AND($H380&lt;&gt;"",$H380=0),LEFT(LOWER(TRIM($F380&amp;"")),9)="free game",LOWER(TRIM($F380&amp;""))="free",LOWER(TRIM($F380&amp;""))="free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IF(COUNTA($A381:$M381)=0,"",IF(OR(LEFT(LOWER(TRIM($F381&amp;"")),12)="subscription",LOWER(TRIM($F381&amp;""))="membership"),"",IF($G381="","",IF(ISNUMBER(SEARCH("non",LOWER($E381&amp;""))),$G381*0.85,$G381))))</x:f>
      </x:c>
      <x:c r="O381" s="987" t="str">
        <x:f>IF(COUNTA($A381:$M381)=0,"",IF(OR(LEFT(LOWER(TRIM($F381&amp;"")),12)="subscription",LOWER(TRIM($F381&amp;""))="membership"),"",IF(OR($N381="",$I381="",$I381=0),"",IFERROR($N381/$I381,""))))</x:f>
      </x:c>
      <x:c r="P381" s="987" t="str">
        <x:f>IF(COUNTA($A381:$M381)=0,"",IF(OR(LEFT(LOWER(TRIM($F381&amp;"")),12)="subscription",LOWER(TRIM($F381&amp;""))="membership"),"",IF(LOWER($L381&amp;"")="yes",0,IF(OR(AND($H381&lt;&gt;"",$H381=0),LEFT(LOWER(TRIM($F381&amp;"")),9)="free game",LOWER(TRIM($F381&amp;""))="free",LOWER(TRIM($F381&amp;""))="free entry"),IF(LOWER($D381&amp;"")="finalized",IF(ISNUMBER($K381),$K381,""),IF($O381&lt;&gt;"",$O381,"")),IF($K381&lt;&gt;"",$K381,IF($O381&lt;&gt;"",$O381,""))))))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IF(COUNTA($A381:$M381)=0,"",IF(OR(LEFT(LOWER(TRIM($F381&amp;"")),12)="subscription",LOWER(TRIM($F381&amp;""))="membership"),"Subscription",IF(OR(AND($H381&lt;&gt;"",$H381=0),LEFT(LOWER(TRIM($F381&amp;"")),9)="free game",LOWER(TRIM($F381&amp;""))="free",LOWER(TRIM($F381&amp;""))="free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IF(COUNTA($A382:$M382)=0,"",IF(OR(LEFT(LOWER(TRIM($F382&amp;"")),12)="subscription",LOWER(TRIM($F382&amp;""))="membership"),"",IF($G382="","",IF(ISNUMBER(SEARCH("non",LOWER($E382&amp;""))),$G382*0.85,$G382))))</x:f>
      </x:c>
      <x:c r="O382" s="987" t="str">
        <x:f>IF(COUNTA($A382:$M382)=0,"",IF(OR(LEFT(LOWER(TRIM($F382&amp;"")),12)="subscription",LOWER(TRIM($F382&amp;""))="membership"),"",IF(OR($N382="",$I382="",$I382=0),"",IFERROR($N382/$I382,""))))</x:f>
      </x:c>
      <x:c r="P382" s="987" t="str">
        <x:f>IF(COUNTA($A382:$M382)=0,"",IF(OR(LEFT(LOWER(TRIM($F382&amp;"")),12)="subscription",LOWER(TRIM($F382&amp;""))="membership"),"",IF(LOWER($L382&amp;"")="yes",0,IF(OR(AND($H382&lt;&gt;"",$H382=0),LEFT(LOWER(TRIM($F382&amp;"")),9)="free game",LOWER(TRIM($F382&amp;""))="free",LOWER(TRIM($F382&amp;""))="free entry"),IF(LOWER($D382&amp;"")="finalized",IF(ISNUMBER($K382),$K382,""),IF($O382&lt;&gt;"",$O382,"")),IF($K382&lt;&gt;"",$K382,IF($O382&lt;&gt;"",$O382,""))))))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IF(COUNTA($A382:$M382)=0,"",IF(OR(LEFT(LOWER(TRIM($F382&amp;"")),12)="subscription",LOWER(TRIM($F382&amp;""))="membership"),"Subscription",IF(OR(AND($H382&lt;&gt;"",$H382=0),LEFT(LOWER(TRIM($F382&amp;"")),9)="free game",LOWER(TRIM($F382&amp;""))="free",LOWER(TRIM($F382&amp;""))="free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IF(COUNTA($A383:$M383)=0,"",IF(OR(LEFT(LOWER(TRIM($F383&amp;"")),12)="subscription",LOWER(TRIM($F383&amp;""))="membership"),"",IF($G383="","",IF(ISNUMBER(SEARCH("non",LOWER($E383&amp;""))),$G383*0.85,$G383))))</x:f>
      </x:c>
      <x:c r="O383" s="987" t="str">
        <x:f>IF(COUNTA($A383:$M383)=0,"",IF(OR(LEFT(LOWER(TRIM($F383&amp;"")),12)="subscription",LOWER(TRIM($F383&amp;""))="membership"),"",IF(OR($N383="",$I383="",$I383=0),"",IFERROR($N383/$I383,""))))</x:f>
      </x:c>
      <x:c r="P383" s="987" t="str">
        <x:f>IF(COUNTA($A383:$M383)=0,"",IF(OR(LEFT(LOWER(TRIM($F383&amp;"")),12)="subscription",LOWER(TRIM($F383&amp;""))="membership"),"",IF(LOWER($L383&amp;"")="yes",0,IF(OR(AND($H383&lt;&gt;"",$H383=0),LEFT(LOWER(TRIM($F383&amp;"")),9)="free game",LOWER(TRIM($F383&amp;""))="free",LOWER(TRIM($F383&amp;""))="free entry"),IF(LOWER($D383&amp;"")="finalized",IF(ISNUMBER($K383),$K383,""),IF($O383&lt;&gt;"",$O383,"")),IF($K383&lt;&gt;"",$K383,IF($O383&lt;&gt;"",$O383,""))))))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IF(COUNTA($A383:$M383)=0,"",IF(OR(LEFT(LOWER(TRIM($F383&amp;"")),12)="subscription",LOWER(TRIM($F383&amp;""))="membership"),"Subscription",IF(OR(AND($H383&lt;&gt;"",$H383=0),LEFT(LOWER(TRIM($F383&amp;"")),9)="free game",LOWER(TRIM($F383&amp;""))="free",LOWER(TRIM($F383&amp;""))="free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IF(COUNTA($A384:$M384)=0,"",IF(OR(LEFT(LOWER(TRIM($F384&amp;"")),12)="subscription",LOWER(TRIM($F384&amp;""))="membership"),"",IF($G384="","",IF(ISNUMBER(SEARCH("non",LOWER($E384&amp;""))),$G384*0.85,$G384))))</x:f>
      </x:c>
      <x:c r="O384" s="987" t="str">
        <x:f>IF(COUNTA($A384:$M384)=0,"",IF(OR(LEFT(LOWER(TRIM($F384&amp;"")),12)="subscription",LOWER(TRIM($F384&amp;""))="membership"),"",IF(OR($N384="",$I384="",$I384=0),"",IFERROR($N384/$I384,""))))</x:f>
      </x:c>
      <x:c r="P384" s="987" t="str">
        <x:f>IF(COUNTA($A384:$M384)=0,"",IF(OR(LEFT(LOWER(TRIM($F384&amp;"")),12)="subscription",LOWER(TRIM($F384&amp;""))="membership"),"",IF(LOWER($L384&amp;"")="yes",0,IF(OR(AND($H384&lt;&gt;"",$H384=0),LEFT(LOWER(TRIM($F384&amp;"")),9)="free game",LOWER(TRIM($F384&amp;""))="free",LOWER(TRIM($F384&amp;""))="free entry"),IF(LOWER($D384&amp;"")="finalized",IF(ISNUMBER($K384),$K384,""),IF($O384&lt;&gt;"",$O384,"")),IF($K384&lt;&gt;"",$K384,IF($O384&lt;&gt;"",$O384,""))))))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IF(COUNTA($A384:$M384)=0,"",IF(OR(LEFT(LOWER(TRIM($F384&amp;"")),12)="subscription",LOWER(TRIM($F384&amp;""))="membership"),"Subscription",IF(OR(AND($H384&lt;&gt;"",$H384=0),LEFT(LOWER(TRIM($F384&amp;"")),9)="free game",LOWER(TRIM($F384&amp;""))="free",LOWER(TRIM($F384&amp;""))="free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IF(COUNTA($A385:$M385)=0,"",IF(OR(LEFT(LOWER(TRIM($F385&amp;"")),12)="subscription",LOWER(TRIM($F385&amp;""))="membership"),"",IF($G385="","",IF(ISNUMBER(SEARCH("non",LOWER($E385&amp;""))),$G385*0.85,$G385))))</x:f>
      </x:c>
      <x:c r="O385" s="987" t="str">
        <x:f>IF(COUNTA($A385:$M385)=0,"",IF(OR(LEFT(LOWER(TRIM($F385&amp;"")),12)="subscription",LOWER(TRIM($F385&amp;""))="membership"),"",IF(OR($N385="",$I385="",$I385=0),"",IFERROR($N385/$I385,""))))</x:f>
      </x:c>
      <x:c r="P385" s="987" t="str">
        <x:f>IF(COUNTA($A385:$M385)=0,"",IF(OR(LEFT(LOWER(TRIM($F385&amp;"")),12)="subscription",LOWER(TRIM($F385&amp;""))="membership"),"",IF(LOWER($L385&amp;"")="yes",0,IF(OR(AND($H385&lt;&gt;"",$H385=0),LEFT(LOWER(TRIM($F385&amp;"")),9)="free game",LOWER(TRIM($F385&amp;""))="free",LOWER(TRIM($F385&amp;""))="free entry"),IF(LOWER($D385&amp;"")="finalized",IF(ISNUMBER($K385),$K385,""),IF($O385&lt;&gt;"",$O385,"")),IF($K385&lt;&gt;"",$K385,IF($O385&lt;&gt;"",$O385,""))))))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IF(COUNTA($A385:$M385)=0,"",IF(OR(LEFT(LOWER(TRIM($F385&amp;"")),12)="subscription",LOWER(TRIM($F385&amp;""))="membership"),"Subscription",IF(OR(AND($H385&lt;&gt;"",$H385=0),LEFT(LOWER(TRIM($F385&amp;"")),9)="free game",LOWER(TRIM($F385&amp;""))="free",LOWER(TRIM($F385&amp;""))="free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IF(COUNTA($A386:$M386)=0,"",IF(OR(LEFT(LOWER(TRIM($F386&amp;"")),12)="subscription",LOWER(TRIM($F386&amp;""))="membership"),"",IF($G386="","",IF(ISNUMBER(SEARCH("non",LOWER($E386&amp;""))),$G386*0.85,$G386))))</x:f>
      </x:c>
      <x:c r="O386" s="987" t="str">
        <x:f>IF(COUNTA($A386:$M386)=0,"",IF(OR(LEFT(LOWER(TRIM($F386&amp;"")),12)="subscription",LOWER(TRIM($F386&amp;""))="membership"),"",IF(OR($N386="",$I386="",$I386=0),"",IFERROR($N386/$I386,""))))</x:f>
      </x:c>
      <x:c r="P386" s="987" t="str">
        <x:f>IF(COUNTA($A386:$M386)=0,"",IF(OR(LEFT(LOWER(TRIM($F386&amp;"")),12)="subscription",LOWER(TRIM($F386&amp;""))="membership"),"",IF(LOWER($L386&amp;"")="yes",0,IF(OR(AND($H386&lt;&gt;"",$H386=0),LEFT(LOWER(TRIM($F386&amp;"")),9)="free game",LOWER(TRIM($F386&amp;""))="free",LOWER(TRIM($F386&amp;""))="free entry"),IF(LOWER($D386&amp;"")="finalized",IF(ISNUMBER($K386),$K386,""),IF($O386&lt;&gt;"",$O386,"")),IF($K386&lt;&gt;"",$K386,IF($O386&lt;&gt;"",$O386,""))))))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IF(COUNTA($A386:$M386)=0,"",IF(OR(LEFT(LOWER(TRIM($F386&amp;"")),12)="subscription",LOWER(TRIM($F386&amp;""))="membership"),"Subscription",IF(OR(AND($H386&lt;&gt;"",$H386=0),LEFT(LOWER(TRIM($F386&amp;"")),9)="free game",LOWER(TRIM($F386&amp;""))="free",LOWER(TRIM($F386&amp;""))="free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IF(COUNTA($A387:$M387)=0,"",IF(OR(LEFT(LOWER(TRIM($F387&amp;"")),12)="subscription",LOWER(TRIM($F387&amp;""))="membership"),"",IF($G387="","",IF(ISNUMBER(SEARCH("non",LOWER($E387&amp;""))),$G387*0.85,$G387))))</x:f>
      </x:c>
      <x:c r="O387" s="987" t="str">
        <x:f>IF(COUNTA($A387:$M387)=0,"",IF(OR(LEFT(LOWER(TRIM($F387&amp;"")),12)="subscription",LOWER(TRIM($F387&amp;""))="membership"),"",IF(OR($N387="",$I387="",$I387=0),"",IFERROR($N387/$I387,""))))</x:f>
      </x:c>
      <x:c r="P387" s="987" t="str">
        <x:f>IF(COUNTA($A387:$M387)=0,"",IF(OR(LEFT(LOWER(TRIM($F387&amp;"")),12)="subscription",LOWER(TRIM($F387&amp;""))="membership"),"",IF(LOWER($L387&amp;"")="yes",0,IF(OR(AND($H387&lt;&gt;"",$H387=0),LEFT(LOWER(TRIM($F387&amp;"")),9)="free game",LOWER(TRIM($F387&amp;""))="free",LOWER(TRIM($F387&amp;""))="free entry"),IF(LOWER($D387&amp;"")="finalized",IF(ISNUMBER($K387),$K387,""),IF($O387&lt;&gt;"",$O387,"")),IF($K387&lt;&gt;"",$K387,IF($O387&lt;&gt;"",$O387,""))))))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IF(COUNTA($A387:$M387)=0,"",IF(OR(LEFT(LOWER(TRIM($F387&amp;"")),12)="subscription",LOWER(TRIM($F387&amp;""))="membership"),"Subscription",IF(OR(AND($H387&lt;&gt;"",$H387=0),LEFT(LOWER(TRIM($F387&amp;"")),9)="free game",LOWER(TRIM($F387&amp;""))="free",LOWER(TRIM($F387&amp;""))="free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IF(COUNTA($A388:$M388)=0,"",IF(OR(LEFT(LOWER(TRIM($F388&amp;"")),12)="subscription",LOWER(TRIM($F388&amp;""))="membership"),"",IF($G388="","",IF(ISNUMBER(SEARCH("non",LOWER($E388&amp;""))),$G388*0.85,$G388))))</x:f>
      </x:c>
      <x:c r="O388" s="987" t="str">
        <x:f>IF(COUNTA($A388:$M388)=0,"",IF(OR(LEFT(LOWER(TRIM($F388&amp;"")),12)="subscription",LOWER(TRIM($F388&amp;""))="membership"),"",IF(OR($N388="",$I388="",$I388=0),"",IFERROR($N388/$I388,""))))</x:f>
      </x:c>
      <x:c r="P388" s="987" t="str">
        <x:f>IF(COUNTA($A388:$M388)=0,"",IF(OR(LEFT(LOWER(TRIM($F388&amp;"")),12)="subscription",LOWER(TRIM($F388&amp;""))="membership"),"",IF(LOWER($L388&amp;"")="yes",0,IF(OR(AND($H388&lt;&gt;"",$H388=0),LEFT(LOWER(TRIM($F388&amp;"")),9)="free game",LOWER(TRIM($F388&amp;""))="free",LOWER(TRIM($F388&amp;""))="free entry"),IF(LOWER($D388&amp;"")="finalized",IF(ISNUMBER($K388),$K388,""),IF($O388&lt;&gt;"",$O388,"")),IF($K388&lt;&gt;"",$K388,IF($O388&lt;&gt;"",$O388,""))))))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IF(COUNTA($A388:$M388)=0,"",IF(OR(LEFT(LOWER(TRIM($F388&amp;"")),12)="subscription",LOWER(TRIM($F388&amp;""))="membership"),"Subscription",IF(OR(AND($H388&lt;&gt;"",$H388=0),LEFT(LOWER(TRIM($F388&amp;"")),9)="free game",LOWER(TRIM($F388&amp;""))="free",LOWER(TRIM($F388&amp;""))="free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IF(COUNTA($A389:$M389)=0,"",IF(OR(LEFT(LOWER(TRIM($F389&amp;"")),12)="subscription",LOWER(TRIM($F389&amp;""))="membership"),"",IF($G389="","",IF(ISNUMBER(SEARCH("non",LOWER($E389&amp;""))),$G389*0.85,$G389))))</x:f>
      </x:c>
      <x:c r="O389" s="987" t="str">
        <x:f>IF(COUNTA($A389:$M389)=0,"",IF(OR(LEFT(LOWER(TRIM($F389&amp;"")),12)="subscription",LOWER(TRIM($F389&amp;""))="membership"),"",IF(OR($N389="",$I389="",$I389=0),"",IFERROR($N389/$I389,""))))</x:f>
      </x:c>
      <x:c r="P389" s="987" t="str">
        <x:f>IF(COUNTA($A389:$M389)=0,"",IF(OR(LEFT(LOWER(TRIM($F389&amp;"")),12)="subscription",LOWER(TRIM($F389&amp;""))="membership"),"",IF(LOWER($L389&amp;"")="yes",0,IF(OR(AND($H389&lt;&gt;"",$H389=0),LEFT(LOWER(TRIM($F389&amp;"")),9)="free game",LOWER(TRIM($F389&amp;""))="free",LOWER(TRIM($F389&amp;""))="free entry"),IF(LOWER($D389&amp;"")="finalized",IF(ISNUMBER($K389),$K389,""),IF($O389&lt;&gt;"",$O389,"")),IF($K389&lt;&gt;"",$K389,IF($O389&lt;&gt;"",$O389,""))))))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IF(COUNTA($A389:$M389)=0,"",IF(OR(LEFT(LOWER(TRIM($F389&amp;"")),12)="subscription",LOWER(TRIM($F389&amp;""))="membership"),"Subscription",IF(OR(AND($H389&lt;&gt;"",$H389=0),LEFT(LOWER(TRIM($F389&amp;"")),9)="free game",LOWER(TRIM($F389&amp;""))="free",LOWER(TRIM($F389&amp;""))="free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IF(COUNTA($A390:$M390)=0,"",IF(OR(LEFT(LOWER(TRIM($F390&amp;"")),12)="subscription",LOWER(TRIM($F390&amp;""))="membership"),"",IF($G390="","",IF(ISNUMBER(SEARCH("non",LOWER($E390&amp;""))),$G390*0.85,$G390))))</x:f>
      </x:c>
      <x:c r="O390" s="987" t="str">
        <x:f>IF(COUNTA($A390:$M390)=0,"",IF(OR(LEFT(LOWER(TRIM($F390&amp;"")),12)="subscription",LOWER(TRIM($F390&amp;""))="membership"),"",IF(OR($N390="",$I390="",$I390=0),"",IFERROR($N390/$I390,""))))</x:f>
      </x:c>
      <x:c r="P390" s="987" t="str">
        <x:f>IF(COUNTA($A390:$M390)=0,"",IF(OR(LEFT(LOWER(TRIM($F390&amp;"")),12)="subscription",LOWER(TRIM($F390&amp;""))="membership"),"",IF(LOWER($L390&amp;"")="yes",0,IF(OR(AND($H390&lt;&gt;"",$H390=0),LEFT(LOWER(TRIM($F390&amp;"")),9)="free game",LOWER(TRIM($F390&amp;""))="free",LOWER(TRIM($F390&amp;""))="free entry"),IF(LOWER($D390&amp;"")="finalized",IF(ISNUMBER($K390),$K390,""),IF($O390&lt;&gt;"",$O390,"")),IF($K390&lt;&gt;"",$K390,IF($O390&lt;&gt;"",$O390,""))))))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IF(COUNTA($A390:$M390)=0,"",IF(OR(LEFT(LOWER(TRIM($F390&amp;"")),12)="subscription",LOWER(TRIM($F390&amp;""))="membership"),"Subscription",IF(OR(AND($H390&lt;&gt;"",$H390=0),LEFT(LOWER(TRIM($F390&amp;"")),9)="free game",LOWER(TRIM($F390&amp;""))="free",LOWER(TRIM($F390&amp;""))="free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IF(COUNTA($A391:$M391)=0,"",IF(OR(LEFT(LOWER(TRIM($F391&amp;"")),12)="subscription",LOWER(TRIM($F391&amp;""))="membership"),"",IF($G391="","",IF(ISNUMBER(SEARCH("non",LOWER($E391&amp;""))),$G391*0.85,$G391))))</x:f>
      </x:c>
      <x:c r="O391" s="987" t="str">
        <x:f>IF(COUNTA($A391:$M391)=0,"",IF(OR(LEFT(LOWER(TRIM($F391&amp;"")),12)="subscription",LOWER(TRIM($F391&amp;""))="membership"),"",IF(OR($N391="",$I391="",$I391=0),"",IFERROR($N391/$I391,""))))</x:f>
      </x:c>
      <x:c r="P391" s="987" t="str">
        <x:f>IF(COUNTA($A391:$M391)=0,"",IF(OR(LEFT(LOWER(TRIM($F391&amp;"")),12)="subscription",LOWER(TRIM($F391&amp;""))="membership"),"",IF(LOWER($L391&amp;"")="yes",0,IF(OR(AND($H391&lt;&gt;"",$H391=0),LEFT(LOWER(TRIM($F391&amp;"")),9)="free game",LOWER(TRIM($F391&amp;""))="free",LOWER(TRIM($F391&amp;""))="free entry"),IF(LOWER($D391&amp;"")="finalized",IF(ISNUMBER($K391),$K391,""),IF($O391&lt;&gt;"",$O391,"")),IF($K391&lt;&gt;"",$K391,IF($O391&lt;&gt;"",$O391,""))))))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IF(COUNTA($A391:$M391)=0,"",IF(OR(LEFT(LOWER(TRIM($F391&amp;"")),12)="subscription",LOWER(TRIM($F391&amp;""))="membership"),"Subscription",IF(OR(AND($H391&lt;&gt;"",$H391=0),LEFT(LOWER(TRIM($F391&amp;"")),9)="free game",LOWER(TRIM($F391&amp;""))="free",LOWER(TRIM($F391&amp;""))="free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IF(COUNTA($A392:$M392)=0,"",IF(OR(LEFT(LOWER(TRIM($F392&amp;"")),12)="subscription",LOWER(TRIM($F392&amp;""))="membership"),"",IF($G392="","",IF(ISNUMBER(SEARCH("non",LOWER($E392&amp;""))),$G392*0.85,$G392))))</x:f>
      </x:c>
      <x:c r="O392" s="987" t="str">
        <x:f>IF(COUNTA($A392:$M392)=0,"",IF(OR(LEFT(LOWER(TRIM($F392&amp;"")),12)="subscription",LOWER(TRIM($F392&amp;""))="membership"),"",IF(OR($N392="",$I392="",$I392=0),"",IFERROR($N392/$I392,""))))</x:f>
      </x:c>
      <x:c r="P392" s="987" t="str">
        <x:f>IF(COUNTA($A392:$M392)=0,"",IF(OR(LEFT(LOWER(TRIM($F392&amp;"")),12)="subscription",LOWER(TRIM($F392&amp;""))="membership"),"",IF(LOWER($L392&amp;"")="yes",0,IF(OR(AND($H392&lt;&gt;"",$H392=0),LEFT(LOWER(TRIM($F392&amp;"")),9)="free game",LOWER(TRIM($F392&amp;""))="free",LOWER(TRIM($F392&amp;""))="free entry"),IF(LOWER($D392&amp;"")="finalized",IF(ISNUMBER($K392),$K392,""),IF($O392&lt;&gt;"",$O392,"")),IF($K392&lt;&gt;"",$K392,IF($O392&lt;&gt;"",$O392,""))))))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IF(COUNTA($A392:$M392)=0,"",IF(OR(LEFT(LOWER(TRIM($F392&amp;"")),12)="subscription",LOWER(TRIM($F392&amp;""))="membership"),"Subscription",IF(OR(AND($H392&lt;&gt;"",$H392=0),LEFT(LOWER(TRIM($F392&amp;"")),9)="free game",LOWER(TRIM($F392&amp;""))="free",LOWER(TRIM($F392&amp;""))="free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IF(COUNTA($A393:$M393)=0,"",IF(OR(LEFT(LOWER(TRIM($F393&amp;"")),12)="subscription",LOWER(TRIM($F393&amp;""))="membership"),"",IF($G393="","",IF(ISNUMBER(SEARCH("non",LOWER($E393&amp;""))),$G393*0.85,$G393))))</x:f>
      </x:c>
      <x:c r="O393" s="987" t="str">
        <x:f>IF(COUNTA($A393:$M393)=0,"",IF(OR(LEFT(LOWER(TRIM($F393&amp;"")),12)="subscription",LOWER(TRIM($F393&amp;""))="membership"),"",IF(OR($N393="",$I393="",$I393=0),"",IFERROR($N393/$I393,""))))</x:f>
      </x:c>
      <x:c r="P393" s="987" t="str">
        <x:f>IF(COUNTA($A393:$M393)=0,"",IF(OR(LEFT(LOWER(TRIM($F393&amp;"")),12)="subscription",LOWER(TRIM($F393&amp;""))="membership"),"",IF(LOWER($L393&amp;"")="yes",0,IF(OR(AND($H393&lt;&gt;"",$H393=0),LEFT(LOWER(TRIM($F393&amp;"")),9)="free game",LOWER(TRIM($F393&amp;""))="free",LOWER(TRIM($F393&amp;""))="free entry"),IF(LOWER($D393&amp;"")="finalized",IF(ISNUMBER($K393),$K393,""),IF($O393&lt;&gt;"",$O393,"")),IF($K393&lt;&gt;"",$K393,IF($O393&lt;&gt;"",$O393,""))))))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IF(COUNTA($A393:$M393)=0,"",IF(OR(LEFT(LOWER(TRIM($F393&amp;"")),12)="subscription",LOWER(TRIM($F393&amp;""))="membership"),"Subscription",IF(OR(AND($H393&lt;&gt;"",$H393=0),LEFT(LOWER(TRIM($F393&amp;"")),9)="free game",LOWER(TRIM($F393&amp;""))="free",LOWER(TRIM($F393&amp;""))="free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IF(COUNTA($A394:$M394)=0,"",IF(OR(LEFT(LOWER(TRIM($F394&amp;"")),12)="subscription",LOWER(TRIM($F394&amp;""))="membership"),"",IF($G394="","",IF(ISNUMBER(SEARCH("non",LOWER($E394&amp;""))),$G394*0.85,$G394))))</x:f>
      </x:c>
      <x:c r="O394" s="987" t="str">
        <x:f>IF(COUNTA($A394:$M394)=0,"",IF(OR(LEFT(LOWER(TRIM($F394&amp;"")),12)="subscription",LOWER(TRIM($F394&amp;""))="membership"),"",IF(OR($N394="",$I394="",$I394=0),"",IFERROR($N394/$I394,""))))</x:f>
      </x:c>
      <x:c r="P394" s="987" t="str">
        <x:f>IF(COUNTA($A394:$M394)=0,"",IF(OR(LEFT(LOWER(TRIM($F394&amp;"")),12)="subscription",LOWER(TRIM($F394&amp;""))="membership"),"",IF(LOWER($L394&amp;"")="yes",0,IF(OR(AND($H394&lt;&gt;"",$H394=0),LEFT(LOWER(TRIM($F394&amp;"")),9)="free game",LOWER(TRIM($F394&amp;""))="free",LOWER(TRIM($F394&amp;""))="free entry"),IF(LOWER($D394&amp;"")="finalized",IF(ISNUMBER($K394),$K394,""),IF($O394&lt;&gt;"",$O394,"")),IF($K394&lt;&gt;"",$K394,IF($O394&lt;&gt;"",$O394,""))))))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IF(COUNTA($A394:$M394)=0,"",IF(OR(LEFT(LOWER(TRIM($F394&amp;"")),12)="subscription",LOWER(TRIM($F394&amp;""))="membership"),"Subscription",IF(OR(AND($H394&lt;&gt;"",$H394=0),LEFT(LOWER(TRIM($F394&amp;"")),9)="free game",LOWER(TRIM($F394&amp;""))="free",LOWER(TRIM($F394&amp;""))="free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IF(COUNTA($A395:$M395)=0,"",IF(OR(LEFT(LOWER(TRIM($F395&amp;"")),12)="subscription",LOWER(TRIM($F395&amp;""))="membership"),"",IF($G395="","",IF(ISNUMBER(SEARCH("non",LOWER($E395&amp;""))),$G395*0.85,$G395))))</x:f>
      </x:c>
      <x:c r="O395" s="987" t="str">
        <x:f>IF(COUNTA($A395:$M395)=0,"",IF(OR(LEFT(LOWER(TRIM($F395&amp;"")),12)="subscription",LOWER(TRIM($F395&amp;""))="membership"),"",IF(OR($N395="",$I395="",$I395=0),"",IFERROR($N395/$I395,""))))</x:f>
      </x:c>
      <x:c r="P395" s="987" t="str">
        <x:f>IF(COUNTA($A395:$M395)=0,"",IF(OR(LEFT(LOWER(TRIM($F395&amp;"")),12)="subscription",LOWER(TRIM($F395&amp;""))="membership"),"",IF(LOWER($L395&amp;"")="yes",0,IF(OR(AND($H395&lt;&gt;"",$H395=0),LEFT(LOWER(TRIM($F395&amp;"")),9)="free game",LOWER(TRIM($F395&amp;""))="free",LOWER(TRIM($F395&amp;""))="free entry"),IF(LOWER($D395&amp;"")="finalized",IF(ISNUMBER($K395),$K395,""),IF($O395&lt;&gt;"",$O395,"")),IF($K395&lt;&gt;"",$K395,IF($O395&lt;&gt;"",$O395,""))))))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IF(COUNTA($A395:$M395)=0,"",IF(OR(LEFT(LOWER(TRIM($F395&amp;"")),12)="subscription",LOWER(TRIM($F395&amp;""))="membership"),"Subscription",IF(OR(AND($H395&lt;&gt;"",$H395=0),LEFT(LOWER(TRIM($F395&amp;"")),9)="free game",LOWER(TRIM($F395&amp;""))="free",LOWER(TRIM($F395&amp;""))="free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IF(COUNTA($A396:$M396)=0,"",IF(OR(LEFT(LOWER(TRIM($F396&amp;"")),12)="subscription",LOWER(TRIM($F396&amp;""))="membership"),"",IF($G396="","",IF(ISNUMBER(SEARCH("non",LOWER($E396&amp;""))),$G396*0.85,$G396))))</x:f>
      </x:c>
      <x:c r="O396" s="987" t="str">
        <x:f>IF(COUNTA($A396:$M396)=0,"",IF(OR(LEFT(LOWER(TRIM($F396&amp;"")),12)="subscription",LOWER(TRIM($F396&amp;""))="membership"),"",IF(OR($N396="",$I396="",$I396=0),"",IFERROR($N396/$I396,""))))</x:f>
      </x:c>
      <x:c r="P396" s="987" t="str">
        <x:f>IF(COUNTA($A396:$M396)=0,"",IF(OR(LEFT(LOWER(TRIM($F396&amp;"")),12)="subscription",LOWER(TRIM($F396&amp;""))="membership"),"",IF(LOWER($L396&amp;"")="yes",0,IF(OR(AND($H396&lt;&gt;"",$H396=0),LEFT(LOWER(TRIM($F396&amp;"")),9)="free game",LOWER(TRIM($F396&amp;""))="free",LOWER(TRIM($F396&amp;""))="free entry"),IF(LOWER($D396&amp;"")="finalized",IF(ISNUMBER($K396),$K396,""),IF($O396&lt;&gt;"",$O396,"")),IF($K396&lt;&gt;"",$K396,IF($O396&lt;&gt;"",$O396,""))))))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IF(COUNTA($A396:$M396)=0,"",IF(OR(LEFT(LOWER(TRIM($F396&amp;"")),12)="subscription",LOWER(TRIM($F396&amp;""))="membership"),"Subscription",IF(OR(AND($H396&lt;&gt;"",$H396=0),LEFT(LOWER(TRIM($F396&amp;"")),9)="free game",LOWER(TRIM($F396&amp;""))="free",LOWER(TRIM($F396&amp;""))="free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IF(COUNTA($A397:$M397)=0,"",IF(OR(LEFT(LOWER(TRIM($F397&amp;"")),12)="subscription",LOWER(TRIM($F397&amp;""))="membership"),"",IF($G397="","",IF(ISNUMBER(SEARCH("non",LOWER($E397&amp;""))),$G397*0.85,$G397))))</x:f>
      </x:c>
      <x:c r="O397" s="987" t="str">
        <x:f>IF(COUNTA($A397:$M397)=0,"",IF(OR(LEFT(LOWER(TRIM($F397&amp;"")),12)="subscription",LOWER(TRIM($F397&amp;""))="membership"),"",IF(OR($N397="",$I397="",$I397=0),"",IFERROR($N397/$I397,""))))</x:f>
      </x:c>
      <x:c r="P397" s="987" t="str">
        <x:f>IF(COUNTA($A397:$M397)=0,"",IF(OR(LEFT(LOWER(TRIM($F397&amp;"")),12)="subscription",LOWER(TRIM($F397&amp;""))="membership"),"",IF(LOWER($L397&amp;"")="yes",0,IF(OR(AND($H397&lt;&gt;"",$H397=0),LEFT(LOWER(TRIM($F397&amp;"")),9)="free game",LOWER(TRIM($F397&amp;""))="free",LOWER(TRIM($F397&amp;""))="free entry"),IF(LOWER($D397&amp;"")="finalized",IF(ISNUMBER($K397),$K397,""),IF($O397&lt;&gt;"",$O397,"")),IF($K397&lt;&gt;"",$K397,IF($O397&lt;&gt;"",$O397,""))))))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IF(COUNTA($A397:$M397)=0,"",IF(OR(LEFT(LOWER(TRIM($F397&amp;"")),12)="subscription",LOWER(TRIM($F397&amp;""))="membership"),"Subscription",IF(OR(AND($H397&lt;&gt;"",$H397=0),LEFT(LOWER(TRIM($F397&amp;"")),9)="free game",LOWER(TRIM($F397&amp;""))="free",LOWER(TRIM($F397&amp;""))="free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IF(COUNTA($A398:$M398)=0,"",IF(OR(LEFT(LOWER(TRIM($F398&amp;"")),12)="subscription",LOWER(TRIM($F398&amp;""))="membership"),"",IF($G398="","",IF(ISNUMBER(SEARCH("non",LOWER($E398&amp;""))),$G398*0.85,$G398))))</x:f>
      </x:c>
      <x:c r="O398" s="987" t="str">
        <x:f>IF(COUNTA($A398:$M398)=0,"",IF(OR(LEFT(LOWER(TRIM($F398&amp;"")),12)="subscription",LOWER(TRIM($F398&amp;""))="membership"),"",IF(OR($N398="",$I398="",$I398=0),"",IFERROR($N398/$I398,""))))</x:f>
      </x:c>
      <x:c r="P398" s="987" t="str">
        <x:f>IF(COUNTA($A398:$M398)=0,"",IF(OR(LEFT(LOWER(TRIM($F398&amp;"")),12)="subscription",LOWER(TRIM($F398&amp;""))="membership"),"",IF(LOWER($L398&amp;"")="yes",0,IF(OR(AND($H398&lt;&gt;"",$H398=0),LEFT(LOWER(TRIM($F398&amp;"")),9)="free game",LOWER(TRIM($F398&amp;""))="free",LOWER(TRIM($F398&amp;""))="free entry"),IF(LOWER($D398&amp;"")="finalized",IF(ISNUMBER($K398),$K398,""),IF($O398&lt;&gt;"",$O398,"")),IF($K398&lt;&gt;"",$K398,IF($O398&lt;&gt;"",$O398,""))))))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IF(COUNTA($A398:$M398)=0,"",IF(OR(LEFT(LOWER(TRIM($F398&amp;"")),12)="subscription",LOWER(TRIM($F398&amp;""))="membership"),"Subscription",IF(OR(AND($H398&lt;&gt;"",$H398=0),LEFT(LOWER(TRIM($F398&amp;"")),9)="free game",LOWER(TRIM($F398&amp;""))="free",LOWER(TRIM($F398&amp;""))="free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IF(COUNTA($A399:$M399)=0,"",IF(OR(LEFT(LOWER(TRIM($F399&amp;"")),12)="subscription",LOWER(TRIM($F399&amp;""))="membership"),"",IF($G399="","",IF(ISNUMBER(SEARCH("non",LOWER($E399&amp;""))),$G399*0.85,$G399))))</x:f>
      </x:c>
      <x:c r="O399" s="987" t="str">
        <x:f>IF(COUNTA($A399:$M399)=0,"",IF(OR(LEFT(LOWER(TRIM($F399&amp;"")),12)="subscription",LOWER(TRIM($F399&amp;""))="membership"),"",IF(OR($N399="",$I399="",$I399=0),"",IFERROR($N399/$I399,""))))</x:f>
      </x:c>
      <x:c r="P399" s="987" t="str">
        <x:f>IF(COUNTA($A399:$M399)=0,"",IF(OR(LEFT(LOWER(TRIM($F399&amp;"")),12)="subscription",LOWER(TRIM($F399&amp;""))="membership"),"",IF(LOWER($L399&amp;"")="yes",0,IF(OR(AND($H399&lt;&gt;"",$H399=0),LEFT(LOWER(TRIM($F399&amp;"")),9)="free game",LOWER(TRIM($F399&amp;""))="free",LOWER(TRIM($F399&amp;""))="free entry"),IF(LOWER($D399&amp;"")="finalized",IF(ISNUMBER($K399),$K399,""),IF($O399&lt;&gt;"",$O399,"")),IF($K399&lt;&gt;"",$K399,IF($O399&lt;&gt;"",$O399,""))))))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IF(COUNTA($A399:$M399)=0,"",IF(OR(LEFT(LOWER(TRIM($F399&amp;"")),12)="subscription",LOWER(TRIM($F399&amp;""))="membership"),"Subscription",IF(OR(AND($H399&lt;&gt;"",$H399=0),LEFT(LOWER(TRIM($F399&amp;"")),9)="free game",LOWER(TRIM($F399&amp;""))="free",LOWER(TRIM($F399&amp;""))="free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IF(COUNTA($A400:$M400)=0,"",IF(OR(LEFT(LOWER(TRIM($F400&amp;"")),12)="subscription",LOWER(TRIM($F400&amp;""))="membership"),"",IF($G400="","",IF(ISNUMBER(SEARCH("non",LOWER($E400&amp;""))),$G400*0.85,$G400))))</x:f>
      </x:c>
      <x:c r="O400" s="987" t="str">
        <x:f>IF(COUNTA($A400:$M400)=0,"",IF(OR(LEFT(LOWER(TRIM($F400&amp;"")),12)="subscription",LOWER(TRIM($F400&amp;""))="membership"),"",IF(OR($N400="",$I400="",$I400=0),"",IFERROR($N400/$I400,""))))</x:f>
      </x:c>
      <x:c r="P400" s="987" t="str">
        <x:f>IF(COUNTA($A400:$M400)=0,"",IF(OR(LEFT(LOWER(TRIM($F400&amp;"")),12)="subscription",LOWER(TRIM($F400&amp;""))="membership"),"",IF(LOWER($L400&amp;"")="yes",0,IF(OR(AND($H400&lt;&gt;"",$H400=0),LEFT(LOWER(TRIM($F400&amp;"")),9)="free game",LOWER(TRIM($F400&amp;""))="free",LOWER(TRIM($F400&amp;""))="free entry"),IF(LOWER($D400&amp;"")="finalized",IF(ISNUMBER($K400),$K400,""),IF($O400&lt;&gt;"",$O400,"")),IF($K400&lt;&gt;"",$K400,IF($O400&lt;&gt;"",$O400,""))))))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IF(COUNTA($A400:$M400)=0,"",IF(OR(LEFT(LOWER(TRIM($F400&amp;"")),12)="subscription",LOWER(TRIM($F400&amp;""))="membership"),"Subscription",IF(OR(AND($H400&lt;&gt;"",$H400=0),LEFT(LOWER(TRIM($F400&amp;"")),9)="free game",LOWER(TRIM($F400&amp;""))="free",LOWER(TRIM($F400&amp;""))="free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IF(COUNTA($A401:$M401)=0,"",IF(OR(LEFT(LOWER(TRIM($F401&amp;"")),12)="subscription",LOWER(TRIM($F401&amp;""))="membership"),"",IF($G401="","",IF(ISNUMBER(SEARCH("non",LOWER($E401&amp;""))),$G401*0.85,$G401))))</x:f>
      </x:c>
      <x:c r="O401" s="987" t="str">
        <x:f>IF(COUNTA($A401:$M401)=0,"",IF(OR(LEFT(LOWER(TRIM($F401&amp;"")),12)="subscription",LOWER(TRIM($F401&amp;""))="membership"),"",IF(OR($N401="",$I401="",$I401=0),"",IFERROR($N401/$I401,""))))</x:f>
      </x:c>
      <x:c r="P401" s="987" t="str">
        <x:f>IF(COUNTA($A401:$M401)=0,"",IF(OR(LEFT(LOWER(TRIM($F401&amp;"")),12)="subscription",LOWER(TRIM($F401&amp;""))="membership"),"",IF(LOWER($L401&amp;"")="yes",0,IF(OR(AND($H401&lt;&gt;"",$H401=0),LEFT(LOWER(TRIM($F401&amp;"")),9)="free game",LOWER(TRIM($F401&amp;""))="free",LOWER(TRIM($F401&amp;""))="free entry"),IF(LOWER($D401&amp;"")="finalized",IF(ISNUMBER($K401),$K401,""),IF($O401&lt;&gt;"",$O401,"")),IF($K401&lt;&gt;"",$K401,IF($O401&lt;&gt;"",$O401,""))))))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IF(COUNTA($A401:$M401)=0,"",IF(OR(LEFT(LOWER(TRIM($F401&amp;"")),12)="subscription",LOWER(TRIM($F401&amp;""))="membership"),"Subscription",IF(OR(AND($H401&lt;&gt;"",$H401=0),LEFT(LOWER(TRIM($F401&amp;"")),9)="free game",LOWER(TRIM($F401&amp;""))="free",LOWER(TRIM($F401&amp;""))="free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IF(COUNTA($A402:$M402)=0,"",IF(OR(LEFT(LOWER(TRIM($F402&amp;"")),12)="subscription",LOWER(TRIM($F402&amp;""))="membership"),"",IF($G402="","",IF(ISNUMBER(SEARCH("non",LOWER($E402&amp;""))),$G402*0.85,$G402))))</x:f>
      </x:c>
      <x:c r="O402" s="987" t="str">
        <x:f>IF(COUNTA($A402:$M402)=0,"",IF(OR(LEFT(LOWER(TRIM($F402&amp;"")),12)="subscription",LOWER(TRIM($F402&amp;""))="membership"),"",IF(OR($N402="",$I402="",$I402=0),"",IFERROR($N402/$I402,""))))</x:f>
      </x:c>
      <x:c r="P402" s="987" t="str">
        <x:f>IF(COUNTA($A402:$M402)=0,"",IF(OR(LEFT(LOWER(TRIM($F402&amp;"")),12)="subscription",LOWER(TRIM($F402&amp;""))="membership"),"",IF(LOWER($L402&amp;"")="yes",0,IF(OR(AND($H402&lt;&gt;"",$H402=0),LEFT(LOWER(TRIM($F402&amp;"")),9)="free game",LOWER(TRIM($F402&amp;""))="free",LOWER(TRIM($F402&amp;""))="free entry"),IF(LOWER($D402&amp;"")="finalized",IF(ISNUMBER($K402),$K402,""),IF($O402&lt;&gt;"",$O402,"")),IF($K402&lt;&gt;"",$K402,IF($O402&lt;&gt;"",$O402,""))))))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IF(COUNTA($A402:$M402)=0,"",IF(OR(LEFT(LOWER(TRIM($F402&amp;"")),12)="subscription",LOWER(TRIM($F402&amp;""))="membership"),"Subscription",IF(OR(AND($H402&lt;&gt;"",$H402=0),LEFT(LOWER(TRIM($F402&amp;"")),9)="free game",LOWER(TRIM($F402&amp;""))="free",LOWER(TRIM($F402&amp;""))="free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IF(COUNTA($A403:$M403)=0,"",IF(OR(LEFT(LOWER(TRIM($F403&amp;"")),12)="subscription",LOWER(TRIM($F403&amp;""))="membership"),"",IF($G403="","",IF(ISNUMBER(SEARCH("non",LOWER($E403&amp;""))),$G403*0.85,$G403))))</x:f>
      </x:c>
      <x:c r="O403" s="987" t="str">
        <x:f>IF(COUNTA($A403:$M403)=0,"",IF(OR(LEFT(LOWER(TRIM($F403&amp;"")),12)="subscription",LOWER(TRIM($F403&amp;""))="membership"),"",IF(OR($N403="",$I403="",$I403=0),"",IFERROR($N403/$I403,""))))</x:f>
      </x:c>
      <x:c r="P403" s="987" t="str">
        <x:f>IF(COUNTA($A403:$M403)=0,"",IF(OR(LEFT(LOWER(TRIM($F403&amp;"")),12)="subscription",LOWER(TRIM($F403&amp;""))="membership"),"",IF(LOWER($L403&amp;"")="yes",0,IF(OR(AND($H403&lt;&gt;"",$H403=0),LEFT(LOWER(TRIM($F403&amp;"")),9)="free game",LOWER(TRIM($F403&amp;""))="free",LOWER(TRIM($F403&amp;""))="free entry"),IF(LOWER($D403&amp;"")="finalized",IF(ISNUMBER($K403),$K403,""),IF($O403&lt;&gt;"",$O403,"")),IF($K403&lt;&gt;"",$K403,IF($O403&lt;&gt;"",$O403,""))))))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IF(COUNTA($A403:$M403)=0,"",IF(OR(LEFT(LOWER(TRIM($F403&amp;"")),12)="subscription",LOWER(TRIM($F403&amp;""))="membership"),"Subscription",IF(OR(AND($H403&lt;&gt;"",$H403=0),LEFT(LOWER(TRIM($F403&amp;"")),9)="free game",LOWER(TRIM($F403&amp;""))="free",LOWER(TRIM($F403&amp;""))="free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IF(COUNTA($A404:$M404)=0,"",IF(OR(LEFT(LOWER(TRIM($F404&amp;"")),12)="subscription",LOWER(TRIM($F404&amp;""))="membership"),"",IF($G404="","",IF(ISNUMBER(SEARCH("non",LOWER($E404&amp;""))),$G404*0.85,$G404))))</x:f>
      </x:c>
      <x:c r="O404" s="987" t="str">
        <x:f>IF(COUNTA($A404:$M404)=0,"",IF(OR(LEFT(LOWER(TRIM($F404&amp;"")),12)="subscription",LOWER(TRIM($F404&amp;""))="membership"),"",IF(OR($N404="",$I404="",$I404=0),"",IFERROR($N404/$I404,""))))</x:f>
      </x:c>
      <x:c r="P404" s="987" t="str">
        <x:f>IF(COUNTA($A404:$M404)=0,"",IF(OR(LEFT(LOWER(TRIM($F404&amp;"")),12)="subscription",LOWER(TRIM($F404&amp;""))="membership"),"",IF(LOWER($L404&amp;"")="yes",0,IF(OR(AND($H404&lt;&gt;"",$H404=0),LEFT(LOWER(TRIM($F404&amp;"")),9)="free game",LOWER(TRIM($F404&amp;""))="free",LOWER(TRIM($F404&amp;""))="free entry"),IF(LOWER($D404&amp;"")="finalized",IF(ISNUMBER($K404),$K404,""),IF($O404&lt;&gt;"",$O404,"")),IF($K404&lt;&gt;"",$K404,IF($O404&lt;&gt;"",$O404,""))))))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IF(COUNTA($A404:$M404)=0,"",IF(OR(LEFT(LOWER(TRIM($F404&amp;"")),12)="subscription",LOWER(TRIM($F404&amp;""))="membership"),"Subscription",IF(OR(AND($H404&lt;&gt;"",$H404=0),LEFT(LOWER(TRIM($F404&amp;"")),9)="free game",LOWER(TRIM($F404&amp;""))="free",LOWER(TRIM($F404&amp;""))="free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IF(COUNTA($A405:$M405)=0,"",IF(OR(LEFT(LOWER(TRIM($F405&amp;"")),12)="subscription",LOWER(TRIM($F405&amp;""))="membership"),"",IF($G405="","",IF(ISNUMBER(SEARCH("non",LOWER($E405&amp;""))),$G405*0.85,$G405))))</x:f>
      </x:c>
      <x:c r="O405" s="987" t="str">
        <x:f>IF(COUNTA($A405:$M405)=0,"",IF(OR(LEFT(LOWER(TRIM($F405&amp;"")),12)="subscription",LOWER(TRIM($F405&amp;""))="membership"),"",IF(OR($N405="",$I405="",$I405=0),"",IFERROR($N405/$I405,""))))</x:f>
      </x:c>
      <x:c r="P405" s="987" t="str">
        <x:f>IF(COUNTA($A405:$M405)=0,"",IF(OR(LEFT(LOWER(TRIM($F405&amp;"")),12)="subscription",LOWER(TRIM($F405&amp;""))="membership"),"",IF(LOWER($L405&amp;"")="yes",0,IF(OR(AND($H405&lt;&gt;"",$H405=0),LEFT(LOWER(TRIM($F405&amp;"")),9)="free game",LOWER(TRIM($F405&amp;""))="free",LOWER(TRIM($F405&amp;""))="free entry"),IF(LOWER($D405&amp;"")="finalized",IF(ISNUMBER($K405),$K405,""),IF($O405&lt;&gt;"",$O405,"")),IF($K405&lt;&gt;"",$K405,IF($O405&lt;&gt;"",$O405,""))))))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IF(COUNTA($A405:$M405)=0,"",IF(OR(LEFT(LOWER(TRIM($F405&amp;"")),12)="subscription",LOWER(TRIM($F405&amp;""))="membership"),"Subscription",IF(OR(AND($H405&lt;&gt;"",$H405=0),LEFT(LOWER(TRIM($F405&amp;"")),9)="free game",LOWER(TRIM($F405&amp;""))="free",LOWER(TRIM($F405&amp;""))="free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IF(COUNTA($A406:$M406)=0,"",IF(OR(LEFT(LOWER(TRIM($F406&amp;"")),12)="subscription",LOWER(TRIM($F406&amp;""))="membership"),"",IF($G406="","",IF(ISNUMBER(SEARCH("non",LOWER($E406&amp;""))),$G406*0.85,$G406))))</x:f>
      </x:c>
      <x:c r="O406" s="987" t="str">
        <x:f>IF(COUNTA($A406:$M406)=0,"",IF(OR(LEFT(LOWER(TRIM($F406&amp;"")),12)="subscription",LOWER(TRIM($F406&amp;""))="membership"),"",IF(OR($N406="",$I406="",$I406=0),"",IFERROR($N406/$I406,""))))</x:f>
      </x:c>
      <x:c r="P406" s="987" t="str">
        <x:f>IF(COUNTA($A406:$M406)=0,"",IF(OR(LEFT(LOWER(TRIM($F406&amp;"")),12)="subscription",LOWER(TRIM($F406&amp;""))="membership"),"",IF(LOWER($L406&amp;"")="yes",0,IF(OR(AND($H406&lt;&gt;"",$H406=0),LEFT(LOWER(TRIM($F406&amp;"")),9)="free game",LOWER(TRIM($F406&amp;""))="free",LOWER(TRIM($F406&amp;""))="free entry"),IF(LOWER($D406&amp;"")="finalized",IF(ISNUMBER($K406),$K406,""),IF($O406&lt;&gt;"",$O406,"")),IF($K406&lt;&gt;"",$K406,IF($O406&lt;&gt;"",$O406,""))))))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IF(COUNTA($A406:$M406)=0,"",IF(OR(LEFT(LOWER(TRIM($F406&amp;"")),12)="subscription",LOWER(TRIM($F406&amp;""))="membership"),"Subscription",IF(OR(AND($H406&lt;&gt;"",$H406=0),LEFT(LOWER(TRIM($F406&amp;"")),9)="free game",LOWER(TRIM($F406&amp;""))="free",LOWER(TRIM($F406&amp;""))="free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IF(COUNTA($A407:$M407)=0,"",IF(OR(LEFT(LOWER(TRIM($F407&amp;"")),12)="subscription",LOWER(TRIM($F407&amp;""))="membership"),"",IF($G407="","",IF(ISNUMBER(SEARCH("non",LOWER($E407&amp;""))),$G407*0.85,$G407))))</x:f>
      </x:c>
      <x:c r="O407" s="987" t="str">
        <x:f>IF(COUNTA($A407:$M407)=0,"",IF(OR(LEFT(LOWER(TRIM($F407&amp;"")),12)="subscription",LOWER(TRIM($F407&amp;""))="membership"),"",IF(OR($N407="",$I407="",$I407=0),"",IFERROR($N407/$I407,""))))</x:f>
      </x:c>
      <x:c r="P407" s="987" t="str">
        <x:f>IF(COUNTA($A407:$M407)=0,"",IF(OR(LEFT(LOWER(TRIM($F407&amp;"")),12)="subscription",LOWER(TRIM($F407&amp;""))="membership"),"",IF(LOWER($L407&amp;"")="yes",0,IF(OR(AND($H407&lt;&gt;"",$H407=0),LEFT(LOWER(TRIM($F407&amp;"")),9)="free game",LOWER(TRIM($F407&amp;""))="free",LOWER(TRIM($F407&amp;""))="free entry"),IF(LOWER($D407&amp;"")="finalized",IF(ISNUMBER($K407),$K407,""),IF($O407&lt;&gt;"",$O407,"")),IF($K407&lt;&gt;"",$K407,IF($O407&lt;&gt;"",$O407,""))))))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IF(COUNTA($A407:$M407)=0,"",IF(OR(LEFT(LOWER(TRIM($F407&amp;"")),12)="subscription",LOWER(TRIM($F407&amp;""))="membership"),"Subscription",IF(OR(AND($H407&lt;&gt;"",$H407=0),LEFT(LOWER(TRIM($F407&amp;"")),9)="free game",LOWER(TRIM($F407&amp;""))="free",LOWER(TRIM($F407&amp;""))="free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IF(COUNTA($A408:$M408)=0,"",IF(OR(LEFT(LOWER(TRIM($F408&amp;"")),12)="subscription",LOWER(TRIM($F408&amp;""))="membership"),"",IF($G408="","",IF(ISNUMBER(SEARCH("non",LOWER($E408&amp;""))),$G408*0.85,$G408))))</x:f>
      </x:c>
      <x:c r="O408" s="987" t="str">
        <x:f>IF(COUNTA($A408:$M408)=0,"",IF(OR(LEFT(LOWER(TRIM($F408&amp;"")),12)="subscription",LOWER(TRIM($F408&amp;""))="membership"),"",IF(OR($N408="",$I408="",$I408=0),"",IFERROR($N408/$I408,""))))</x:f>
      </x:c>
      <x:c r="P408" s="987" t="str">
        <x:f>IF(COUNTA($A408:$M408)=0,"",IF(OR(LEFT(LOWER(TRIM($F408&amp;"")),12)="subscription",LOWER(TRIM($F408&amp;""))="membership"),"",IF(LOWER($L408&amp;"")="yes",0,IF(OR(AND($H408&lt;&gt;"",$H408=0),LEFT(LOWER(TRIM($F408&amp;"")),9)="free game",LOWER(TRIM($F408&amp;""))="free",LOWER(TRIM($F408&amp;""))="free entry"),IF(LOWER($D408&amp;"")="finalized",IF(ISNUMBER($K408),$K408,""),IF($O408&lt;&gt;"",$O408,"")),IF($K408&lt;&gt;"",$K408,IF($O408&lt;&gt;"",$O408,""))))))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IF(COUNTA($A408:$M408)=0,"",IF(OR(LEFT(LOWER(TRIM($F408&amp;"")),12)="subscription",LOWER(TRIM($F408&amp;""))="membership"),"Subscription",IF(OR(AND($H408&lt;&gt;"",$H408=0),LEFT(LOWER(TRIM($F408&amp;"")),9)="free game",LOWER(TRIM($F408&amp;""))="free",LOWER(TRIM($F408&amp;""))="free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IF(COUNTA($A409:$M409)=0,"",IF(OR(LEFT(LOWER(TRIM($F409&amp;"")),12)="subscription",LOWER(TRIM($F409&amp;""))="membership"),"",IF($G409="","",IF(ISNUMBER(SEARCH("non",LOWER($E409&amp;""))),$G409*0.85,$G409))))</x:f>
      </x:c>
      <x:c r="O409" s="987" t="str">
        <x:f>IF(COUNTA($A409:$M409)=0,"",IF(OR(LEFT(LOWER(TRIM($F409&amp;"")),12)="subscription",LOWER(TRIM($F409&amp;""))="membership"),"",IF(OR($N409="",$I409="",$I409=0),"",IFERROR($N409/$I409,""))))</x:f>
      </x:c>
      <x:c r="P409" s="987" t="str">
        <x:f>IF(COUNTA($A409:$M409)=0,"",IF(OR(LEFT(LOWER(TRIM($F409&amp;"")),12)="subscription",LOWER(TRIM($F409&amp;""))="membership"),"",IF(LOWER($L409&amp;"")="yes",0,IF(OR(AND($H409&lt;&gt;"",$H409=0),LEFT(LOWER(TRIM($F409&amp;"")),9)="free game",LOWER(TRIM($F409&amp;""))="free",LOWER(TRIM($F409&amp;""))="free entry"),IF(LOWER($D409&amp;"")="finalized",IF(ISNUMBER($K409),$K409,""),IF($O409&lt;&gt;"",$O409,"")),IF($K409&lt;&gt;"",$K409,IF($O409&lt;&gt;"",$O409,""))))))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IF(COUNTA($A409:$M409)=0,"",IF(OR(LEFT(LOWER(TRIM($F409&amp;"")),12)="subscription",LOWER(TRIM($F409&amp;""))="membership"),"Subscription",IF(OR(AND($H409&lt;&gt;"",$H409=0),LEFT(LOWER(TRIM($F409&amp;"")),9)="free game",LOWER(TRIM($F409&amp;""))="free",LOWER(TRIM($F409&amp;""))="free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IF(COUNTA($A410:$M410)=0,"",IF(OR(LEFT(LOWER(TRIM($F410&amp;"")),12)="subscription",LOWER(TRIM($F410&amp;""))="membership"),"",IF($G410="","",IF(ISNUMBER(SEARCH("non",LOWER($E410&amp;""))),$G410*0.85,$G410))))</x:f>
      </x:c>
      <x:c r="O410" s="987" t="str">
        <x:f>IF(COUNTA($A410:$M410)=0,"",IF(OR(LEFT(LOWER(TRIM($F410&amp;"")),12)="subscription",LOWER(TRIM($F410&amp;""))="membership"),"",IF(OR($N410="",$I410="",$I410=0),"",IFERROR($N410/$I410,""))))</x:f>
      </x:c>
      <x:c r="P410" s="987" t="str">
        <x:f>IF(COUNTA($A410:$M410)=0,"",IF(OR(LEFT(LOWER(TRIM($F410&amp;"")),12)="subscription",LOWER(TRIM($F410&amp;""))="membership"),"",IF(LOWER($L410&amp;"")="yes",0,IF(OR(AND($H410&lt;&gt;"",$H410=0),LEFT(LOWER(TRIM($F410&amp;"")),9)="free game",LOWER(TRIM($F410&amp;""))="free",LOWER(TRIM($F410&amp;""))="free entry"),IF(LOWER($D410&amp;"")="finalized",IF(ISNUMBER($K410),$K410,""),IF($O410&lt;&gt;"",$O410,"")),IF($K410&lt;&gt;"",$K410,IF($O410&lt;&gt;"",$O410,""))))))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IF(COUNTA($A410:$M410)=0,"",IF(OR(LEFT(LOWER(TRIM($F410&amp;"")),12)="subscription",LOWER(TRIM($F410&amp;""))="membership"),"Subscription",IF(OR(AND($H410&lt;&gt;"",$H410=0),LEFT(LOWER(TRIM($F410&amp;"")),9)="free game",LOWER(TRIM($F410&amp;""))="free",LOWER(TRIM($F410&amp;""))="free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IF(COUNTA($A411:$M411)=0,"",IF(OR(LEFT(LOWER(TRIM($F411&amp;"")),12)="subscription",LOWER(TRIM($F411&amp;""))="membership"),"",IF($G411="","",IF(ISNUMBER(SEARCH("non",LOWER($E411&amp;""))),$G411*0.85,$G411))))</x:f>
      </x:c>
      <x:c r="O411" s="987" t="str">
        <x:f>IF(COUNTA($A411:$M411)=0,"",IF(OR(LEFT(LOWER(TRIM($F411&amp;"")),12)="subscription",LOWER(TRIM($F411&amp;""))="membership"),"",IF(OR($N411="",$I411="",$I411=0),"",IFERROR($N411/$I411,""))))</x:f>
      </x:c>
      <x:c r="P411" s="987" t="str">
        <x:f>IF(COUNTA($A411:$M411)=0,"",IF(OR(LEFT(LOWER(TRIM($F411&amp;"")),12)="subscription",LOWER(TRIM($F411&amp;""))="membership"),"",IF(LOWER($L411&amp;"")="yes",0,IF(OR(AND($H411&lt;&gt;"",$H411=0),LEFT(LOWER(TRIM($F411&amp;"")),9)="free game",LOWER(TRIM($F411&amp;""))="free",LOWER(TRIM($F411&amp;""))="free entry"),IF(LOWER($D411&amp;"")="finalized",IF(ISNUMBER($K411),$K411,""),IF($O411&lt;&gt;"",$O411,"")),IF($K411&lt;&gt;"",$K411,IF($O411&lt;&gt;"",$O411,""))))))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IF(COUNTA($A411:$M411)=0,"",IF(OR(LEFT(LOWER(TRIM($F411&amp;"")),12)="subscription",LOWER(TRIM($F411&amp;""))="membership"),"Subscription",IF(OR(AND($H411&lt;&gt;"",$H411=0),LEFT(LOWER(TRIM($F411&amp;"")),9)="free game",LOWER(TRIM($F411&amp;""))="free",LOWER(TRIM($F411&amp;""))="free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IF(COUNTA($A412:$M412)=0,"",IF(OR(LEFT(LOWER(TRIM($F412&amp;"")),12)="subscription",LOWER(TRIM($F412&amp;""))="membership"),"",IF($G412="","",IF(ISNUMBER(SEARCH("non",LOWER($E412&amp;""))),$G412*0.85,$G412))))</x:f>
      </x:c>
      <x:c r="O412" s="987" t="str">
        <x:f>IF(COUNTA($A412:$M412)=0,"",IF(OR(LEFT(LOWER(TRIM($F412&amp;"")),12)="subscription",LOWER(TRIM($F412&amp;""))="membership"),"",IF(OR($N412="",$I412="",$I412=0),"",IFERROR($N412/$I412,""))))</x:f>
      </x:c>
      <x:c r="P412" s="987" t="str">
        <x:f>IF(COUNTA($A412:$M412)=0,"",IF(OR(LEFT(LOWER(TRIM($F412&amp;"")),12)="subscription",LOWER(TRIM($F412&amp;""))="membership"),"",IF(LOWER($L412&amp;"")="yes",0,IF(OR(AND($H412&lt;&gt;"",$H412=0),LEFT(LOWER(TRIM($F412&amp;"")),9)="free game",LOWER(TRIM($F412&amp;""))="free",LOWER(TRIM($F412&amp;""))="free entry"),IF(LOWER($D412&amp;"")="finalized",IF(ISNUMBER($K412),$K412,""),IF($O412&lt;&gt;"",$O412,"")),IF($K412&lt;&gt;"",$K412,IF($O412&lt;&gt;"",$O412,""))))))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IF(COUNTA($A412:$M412)=0,"",IF(OR(LEFT(LOWER(TRIM($F412&amp;"")),12)="subscription",LOWER(TRIM($F412&amp;""))="membership"),"Subscription",IF(OR(AND($H412&lt;&gt;"",$H412=0),LEFT(LOWER(TRIM($F412&amp;"")),9)="free game",LOWER(TRIM($F412&amp;""))="free",LOWER(TRIM($F412&amp;""))="free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IF(COUNTA($A413:$M413)=0,"",IF(OR(LEFT(LOWER(TRIM($F413&amp;"")),12)="subscription",LOWER(TRIM($F413&amp;""))="membership"),"",IF($G413="","",IF(ISNUMBER(SEARCH("non",LOWER($E413&amp;""))),$G413*0.85,$G413))))</x:f>
      </x:c>
      <x:c r="O413" s="987" t="str">
        <x:f>IF(COUNTA($A413:$M413)=0,"",IF(OR(LEFT(LOWER(TRIM($F413&amp;"")),12)="subscription",LOWER(TRIM($F413&amp;""))="membership"),"",IF(OR($N413="",$I413="",$I413=0),"",IFERROR($N413/$I413,""))))</x:f>
      </x:c>
      <x:c r="P413" s="987" t="str">
        <x:f>IF(COUNTA($A413:$M413)=0,"",IF(OR(LEFT(LOWER(TRIM($F413&amp;"")),12)="subscription",LOWER(TRIM($F413&amp;""))="membership"),"",IF(LOWER($L413&amp;"")="yes",0,IF(OR(AND($H413&lt;&gt;"",$H413=0),LEFT(LOWER(TRIM($F413&amp;"")),9)="free game",LOWER(TRIM($F413&amp;""))="free",LOWER(TRIM($F413&amp;""))="free entry"),IF(LOWER($D413&amp;"")="finalized",IF(ISNUMBER($K413),$K413,""),IF($O413&lt;&gt;"",$O413,"")),IF($K413&lt;&gt;"",$K413,IF($O413&lt;&gt;"",$O413,""))))))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IF(COUNTA($A413:$M413)=0,"",IF(OR(LEFT(LOWER(TRIM($F413&amp;"")),12)="subscription",LOWER(TRIM($F413&amp;""))="membership"),"Subscription",IF(OR(AND($H413&lt;&gt;"",$H413=0),LEFT(LOWER(TRIM($F413&amp;"")),9)="free game",LOWER(TRIM($F413&amp;""))="free",LOWER(TRIM($F413&amp;""))="free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IF(COUNTA($A414:$M414)=0,"",IF(OR(LEFT(LOWER(TRIM($F414&amp;"")),12)="subscription",LOWER(TRIM($F414&amp;""))="membership"),"",IF($G414="","",IF(ISNUMBER(SEARCH("non",LOWER($E414&amp;""))),$G414*0.85,$G414))))</x:f>
      </x:c>
      <x:c r="O414" s="987" t="str">
        <x:f>IF(COUNTA($A414:$M414)=0,"",IF(OR(LEFT(LOWER(TRIM($F414&amp;"")),12)="subscription",LOWER(TRIM($F414&amp;""))="membership"),"",IF(OR($N414="",$I414="",$I414=0),"",IFERROR($N414/$I414,""))))</x:f>
      </x:c>
      <x:c r="P414" s="987" t="str">
        <x:f>IF(COUNTA($A414:$M414)=0,"",IF(OR(LEFT(LOWER(TRIM($F414&amp;"")),12)="subscription",LOWER(TRIM($F414&amp;""))="membership"),"",IF(LOWER($L414&amp;"")="yes",0,IF(OR(AND($H414&lt;&gt;"",$H414=0),LEFT(LOWER(TRIM($F414&amp;"")),9)="free game",LOWER(TRIM($F414&amp;""))="free",LOWER(TRIM($F414&amp;""))="free entry"),IF(LOWER($D414&amp;"")="finalized",IF(ISNUMBER($K414),$K414,""),IF($O414&lt;&gt;"",$O414,"")),IF($K414&lt;&gt;"",$K414,IF($O414&lt;&gt;"",$O414,""))))))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IF(COUNTA($A414:$M414)=0,"",IF(OR(LEFT(LOWER(TRIM($F414&amp;"")),12)="subscription",LOWER(TRIM($F414&amp;""))="membership"),"Subscription",IF(OR(AND($H414&lt;&gt;"",$H414=0),LEFT(LOWER(TRIM($F414&amp;"")),9)="free game",LOWER(TRIM($F414&amp;""))="free",LOWER(TRIM($F414&amp;""))="free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IF(COUNTA($A415:$M415)=0,"",IF(OR(LEFT(LOWER(TRIM($F415&amp;"")),12)="subscription",LOWER(TRIM($F415&amp;""))="membership"),"",IF($G415="","",IF(ISNUMBER(SEARCH("non",LOWER($E415&amp;""))),$G415*0.85,$G415))))</x:f>
      </x:c>
      <x:c r="O415" s="987" t="str">
        <x:f>IF(COUNTA($A415:$M415)=0,"",IF(OR(LEFT(LOWER(TRIM($F415&amp;"")),12)="subscription",LOWER(TRIM($F415&amp;""))="membership"),"",IF(OR($N415="",$I415="",$I415=0),"",IFERROR($N415/$I415,""))))</x:f>
      </x:c>
      <x:c r="P415" s="987" t="str">
        <x:f>IF(COUNTA($A415:$M415)=0,"",IF(OR(LEFT(LOWER(TRIM($F415&amp;"")),12)="subscription",LOWER(TRIM($F415&amp;""))="membership"),"",IF(LOWER($L415&amp;"")="yes",0,IF(OR(AND($H415&lt;&gt;"",$H415=0),LEFT(LOWER(TRIM($F415&amp;"")),9)="free game",LOWER(TRIM($F415&amp;""))="free",LOWER(TRIM($F415&amp;""))="free entry"),IF(LOWER($D415&amp;"")="finalized",IF(ISNUMBER($K415),$K415,""),IF($O415&lt;&gt;"",$O415,"")),IF($K415&lt;&gt;"",$K415,IF($O415&lt;&gt;"",$O415,""))))))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IF(COUNTA($A415:$M415)=0,"",IF(OR(LEFT(LOWER(TRIM($F415&amp;"")),12)="subscription",LOWER(TRIM($F415&amp;""))="membership"),"Subscription",IF(OR(AND($H415&lt;&gt;"",$H415=0),LEFT(LOWER(TRIM($F415&amp;"")),9)="free game",LOWER(TRIM($F415&amp;""))="free",LOWER(TRIM($F415&amp;""))="free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IF(COUNTA($A416:$M416)=0,"",IF(OR(LEFT(LOWER(TRIM($F416&amp;"")),12)="subscription",LOWER(TRIM($F416&amp;""))="membership"),"",IF($G416="","",IF(ISNUMBER(SEARCH("non",LOWER($E416&amp;""))),$G416*0.85,$G416))))</x:f>
      </x:c>
      <x:c r="O416" s="987" t="str">
        <x:f>IF(COUNTA($A416:$M416)=0,"",IF(OR(LEFT(LOWER(TRIM($F416&amp;"")),12)="subscription",LOWER(TRIM($F416&amp;""))="membership"),"",IF(OR($N416="",$I416="",$I416=0),"",IFERROR($N416/$I416,""))))</x:f>
      </x:c>
      <x:c r="P416" s="987" t="str">
        <x:f>IF(COUNTA($A416:$M416)=0,"",IF(OR(LEFT(LOWER(TRIM($F416&amp;"")),12)="subscription",LOWER(TRIM($F416&amp;""))="membership"),"",IF(LOWER($L416&amp;"")="yes",0,IF(OR(AND($H416&lt;&gt;"",$H416=0),LEFT(LOWER(TRIM($F416&amp;"")),9)="free game",LOWER(TRIM($F416&amp;""))="free",LOWER(TRIM($F416&amp;""))="free entry"),IF(LOWER($D416&amp;"")="finalized",IF(ISNUMBER($K416),$K416,""),IF($O416&lt;&gt;"",$O416,"")),IF($K416&lt;&gt;"",$K416,IF($O416&lt;&gt;"",$O416,""))))))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IF(COUNTA($A416:$M416)=0,"",IF(OR(LEFT(LOWER(TRIM($F416&amp;"")),12)="subscription",LOWER(TRIM($F416&amp;""))="membership"),"Subscription",IF(OR(AND($H416&lt;&gt;"",$H416=0),LEFT(LOWER(TRIM($F416&amp;"")),9)="free game",LOWER(TRIM($F416&amp;""))="free",LOWER(TRIM($F416&amp;""))="free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IF(COUNTA($A417:$M417)=0,"",IF(OR(LEFT(LOWER(TRIM($F417&amp;"")),12)="subscription",LOWER(TRIM($F417&amp;""))="membership"),"",IF($G417="","",IF(ISNUMBER(SEARCH("non",LOWER($E417&amp;""))),$G417*0.85,$G417))))</x:f>
      </x:c>
      <x:c r="O417" s="987" t="str">
        <x:f>IF(COUNTA($A417:$M417)=0,"",IF(OR(LEFT(LOWER(TRIM($F417&amp;"")),12)="subscription",LOWER(TRIM($F417&amp;""))="membership"),"",IF(OR($N417="",$I417="",$I417=0),"",IFERROR($N417/$I417,""))))</x:f>
      </x:c>
      <x:c r="P417" s="987" t="str">
        <x:f>IF(COUNTA($A417:$M417)=0,"",IF(OR(LEFT(LOWER(TRIM($F417&amp;"")),12)="subscription",LOWER(TRIM($F417&amp;""))="membership"),"",IF(LOWER($L417&amp;"")="yes",0,IF(OR(AND($H417&lt;&gt;"",$H417=0),LEFT(LOWER(TRIM($F417&amp;"")),9)="free game",LOWER(TRIM($F417&amp;""))="free",LOWER(TRIM($F417&amp;""))="free entry"),IF(LOWER($D417&amp;"")="finalized",IF(ISNUMBER($K417),$K417,""),IF($O417&lt;&gt;"",$O417,"")),IF($K417&lt;&gt;"",$K417,IF($O417&lt;&gt;"",$O417,""))))))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IF(COUNTA($A417:$M417)=0,"",IF(OR(LEFT(LOWER(TRIM($F417&amp;"")),12)="subscription",LOWER(TRIM($F417&amp;""))="membership"),"Subscription",IF(OR(AND($H417&lt;&gt;"",$H417=0),LEFT(LOWER(TRIM($F417&amp;"")),9)="free game",LOWER(TRIM($F417&amp;""))="free",LOWER(TRIM($F417&amp;""))="free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IF(COUNTA($A418:$M418)=0,"",IF(OR(LEFT(LOWER(TRIM($F418&amp;"")),12)="subscription",LOWER(TRIM($F418&amp;""))="membership"),"",IF($G418="","",IF(ISNUMBER(SEARCH("non",LOWER($E418&amp;""))),$G418*0.85,$G418))))</x:f>
      </x:c>
      <x:c r="O418" s="987" t="str">
        <x:f>IF(COUNTA($A418:$M418)=0,"",IF(OR(LEFT(LOWER(TRIM($F418&amp;"")),12)="subscription",LOWER(TRIM($F418&amp;""))="membership"),"",IF(OR($N418="",$I418="",$I418=0),"",IFERROR($N418/$I418,""))))</x:f>
      </x:c>
      <x:c r="P418" s="987" t="str">
        <x:f>IF(COUNTA($A418:$M418)=0,"",IF(OR(LEFT(LOWER(TRIM($F418&amp;"")),12)="subscription",LOWER(TRIM($F418&amp;""))="membership"),"",IF(LOWER($L418&amp;"")="yes",0,IF(OR(AND($H418&lt;&gt;"",$H418=0),LEFT(LOWER(TRIM($F418&amp;"")),9)="free game",LOWER(TRIM($F418&amp;""))="free",LOWER(TRIM($F418&amp;""))="free entry"),IF(LOWER($D418&amp;"")="finalized",IF(ISNUMBER($K418),$K418,""),IF($O418&lt;&gt;"",$O418,"")),IF($K418&lt;&gt;"",$K418,IF($O418&lt;&gt;"",$O418,""))))))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IF(COUNTA($A418:$M418)=0,"",IF(OR(LEFT(LOWER(TRIM($F418&amp;"")),12)="subscription",LOWER(TRIM($F418&amp;""))="membership"),"Subscription",IF(OR(AND($H418&lt;&gt;"",$H418=0),LEFT(LOWER(TRIM($F418&amp;"")),9)="free game",LOWER(TRIM($F418&amp;""))="free",LOWER(TRIM($F418&amp;""))="free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IF(COUNTA($A419:$M419)=0,"",IF(OR(LEFT(LOWER(TRIM($F419&amp;"")),12)="subscription",LOWER(TRIM($F419&amp;""))="membership"),"",IF($G419="","",IF(ISNUMBER(SEARCH("non",LOWER($E419&amp;""))),$G419*0.85,$G419))))</x:f>
      </x:c>
      <x:c r="O419" s="987" t="str">
        <x:f>IF(COUNTA($A419:$M419)=0,"",IF(OR(LEFT(LOWER(TRIM($F419&amp;"")),12)="subscription",LOWER(TRIM($F419&amp;""))="membership"),"",IF(OR($N419="",$I419="",$I419=0),"",IFERROR($N419/$I419,""))))</x:f>
      </x:c>
      <x:c r="P419" s="987" t="str">
        <x:f>IF(COUNTA($A419:$M419)=0,"",IF(OR(LEFT(LOWER(TRIM($F419&amp;"")),12)="subscription",LOWER(TRIM($F419&amp;""))="membership"),"",IF(LOWER($L419&amp;"")="yes",0,IF(OR(AND($H419&lt;&gt;"",$H419=0),LEFT(LOWER(TRIM($F419&amp;"")),9)="free game",LOWER(TRIM($F419&amp;""))="free",LOWER(TRIM($F419&amp;""))="free entry"),IF(LOWER($D419&amp;"")="finalized",IF(ISNUMBER($K419),$K419,""),IF($O419&lt;&gt;"",$O419,"")),IF($K419&lt;&gt;"",$K419,IF($O419&lt;&gt;"",$O419,""))))))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IF(COUNTA($A419:$M419)=0,"",IF(OR(LEFT(LOWER(TRIM($F419&amp;"")),12)="subscription",LOWER(TRIM($F419&amp;""))="membership"),"Subscription",IF(OR(AND($H419&lt;&gt;"",$H419=0),LEFT(LOWER(TRIM($F419&amp;"")),9)="free game",LOWER(TRIM($F419&amp;""))="free",LOWER(TRIM($F419&amp;""))="free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IF(COUNTA($A420:$M420)=0,"",IF(OR(LEFT(LOWER(TRIM($F420&amp;"")),12)="subscription",LOWER(TRIM($F420&amp;""))="membership"),"",IF($G420="","",IF(ISNUMBER(SEARCH("non",LOWER($E420&amp;""))),$G420*0.85,$G420))))</x:f>
      </x:c>
      <x:c r="O420" s="987" t="str">
        <x:f>IF(COUNTA($A420:$M420)=0,"",IF(OR(LEFT(LOWER(TRIM($F420&amp;"")),12)="subscription",LOWER(TRIM($F420&amp;""))="membership"),"",IF(OR($N420="",$I420="",$I420=0),"",IFERROR($N420/$I420,""))))</x:f>
      </x:c>
      <x:c r="P420" s="987" t="str">
        <x:f>IF(COUNTA($A420:$M420)=0,"",IF(OR(LEFT(LOWER(TRIM($F420&amp;"")),12)="subscription",LOWER(TRIM($F420&amp;""))="membership"),"",IF(LOWER($L420&amp;"")="yes",0,IF(OR(AND($H420&lt;&gt;"",$H420=0),LEFT(LOWER(TRIM($F420&amp;"")),9)="free game",LOWER(TRIM($F420&amp;""))="free",LOWER(TRIM($F420&amp;""))="free entry"),IF(LOWER($D420&amp;"")="finalized",IF(ISNUMBER($K420),$K420,""),IF($O420&lt;&gt;"",$O420,"")),IF($K420&lt;&gt;"",$K420,IF($O420&lt;&gt;"",$O420,""))))))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IF(COUNTA($A420:$M420)=0,"",IF(OR(LEFT(LOWER(TRIM($F420&amp;"")),12)="subscription",LOWER(TRIM($F420&amp;""))="membership"),"Subscription",IF(OR(AND($H420&lt;&gt;"",$H420=0),LEFT(LOWER(TRIM($F420&amp;"")),9)="free game",LOWER(TRIM($F420&amp;""))="free",LOWER(TRIM($F420&amp;""))="free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IF(COUNTA($A421:$M421)=0,"",IF(OR(LEFT(LOWER(TRIM($F421&amp;"")),12)="subscription",LOWER(TRIM($F421&amp;""))="membership"),"",IF($G421="","",IF(ISNUMBER(SEARCH("non",LOWER($E421&amp;""))),$G421*0.85,$G421))))</x:f>
      </x:c>
      <x:c r="O421" s="987" t="str">
        <x:f>IF(COUNTA($A421:$M421)=0,"",IF(OR(LEFT(LOWER(TRIM($F421&amp;"")),12)="subscription",LOWER(TRIM($F421&amp;""))="membership"),"",IF(OR($N421="",$I421="",$I421=0),"",IFERROR($N421/$I421,""))))</x:f>
      </x:c>
      <x:c r="P421" s="987" t="str">
        <x:f>IF(COUNTA($A421:$M421)=0,"",IF(OR(LEFT(LOWER(TRIM($F421&amp;"")),12)="subscription",LOWER(TRIM($F421&amp;""))="membership"),"",IF(LOWER($L421&amp;"")="yes",0,IF(OR(AND($H421&lt;&gt;"",$H421=0),LEFT(LOWER(TRIM($F421&amp;"")),9)="free game",LOWER(TRIM($F421&amp;""))="free",LOWER(TRIM($F421&amp;""))="free entry"),IF(LOWER($D421&amp;"")="finalized",IF(ISNUMBER($K421),$K421,""),IF($O421&lt;&gt;"",$O421,"")),IF($K421&lt;&gt;"",$K421,IF($O421&lt;&gt;"",$O421,""))))))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IF(COUNTA($A421:$M421)=0,"",IF(OR(LEFT(LOWER(TRIM($F421&amp;"")),12)="subscription",LOWER(TRIM($F421&amp;""))="membership"),"Subscription",IF(OR(AND($H421&lt;&gt;"",$H421=0),LEFT(LOWER(TRIM($F421&amp;"")),9)="free game",LOWER(TRIM($F421&amp;""))="free",LOWER(TRIM($F421&amp;""))="free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IF(COUNTA($A422:$M422)=0,"",IF(OR(LEFT(LOWER(TRIM($F422&amp;"")),12)="subscription",LOWER(TRIM($F422&amp;""))="membership"),"",IF($G422="","",IF(ISNUMBER(SEARCH("non",LOWER($E422&amp;""))),$G422*0.85,$G422))))</x:f>
      </x:c>
      <x:c r="O422" s="987" t="str">
        <x:f>IF(COUNTA($A422:$M422)=0,"",IF(OR(LEFT(LOWER(TRIM($F422&amp;"")),12)="subscription",LOWER(TRIM($F422&amp;""))="membership"),"",IF(OR($N422="",$I422="",$I422=0),"",IFERROR($N422/$I422,""))))</x:f>
      </x:c>
      <x:c r="P422" s="987" t="str">
        <x:f>IF(COUNTA($A422:$M422)=0,"",IF(OR(LEFT(LOWER(TRIM($F422&amp;"")),12)="subscription",LOWER(TRIM($F422&amp;""))="membership"),"",IF(LOWER($L422&amp;"")="yes",0,IF(OR(AND($H422&lt;&gt;"",$H422=0),LEFT(LOWER(TRIM($F422&amp;"")),9)="free game",LOWER(TRIM($F422&amp;""))="free",LOWER(TRIM($F422&amp;""))="free entry"),IF(LOWER($D422&amp;"")="finalized",IF(ISNUMBER($K422),$K422,""),IF($O422&lt;&gt;"",$O422,"")),IF($K422&lt;&gt;"",$K422,IF($O422&lt;&gt;"",$O422,""))))))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IF(COUNTA($A422:$M422)=0,"",IF(OR(LEFT(LOWER(TRIM($F422&amp;"")),12)="subscription",LOWER(TRIM($F422&amp;""))="membership"),"Subscription",IF(OR(AND($H422&lt;&gt;"",$H422=0),LEFT(LOWER(TRIM($F422&amp;"")),9)="free game",LOWER(TRIM($F422&amp;""))="free",LOWER(TRIM($F422&amp;""))="free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IF(COUNTA($A423:$M423)=0,"",IF(OR(LEFT(LOWER(TRIM($F423&amp;"")),12)="subscription",LOWER(TRIM($F423&amp;""))="membership"),"",IF($G423="","",IF(ISNUMBER(SEARCH("non",LOWER($E423&amp;""))),$G423*0.85,$G423))))</x:f>
      </x:c>
      <x:c r="O423" s="987" t="str">
        <x:f>IF(COUNTA($A423:$M423)=0,"",IF(OR(LEFT(LOWER(TRIM($F423&amp;"")),12)="subscription",LOWER(TRIM($F423&amp;""))="membership"),"",IF(OR($N423="",$I423="",$I423=0),"",IFERROR($N423/$I423,""))))</x:f>
      </x:c>
      <x:c r="P423" s="987" t="str">
        <x:f>IF(COUNTA($A423:$M423)=0,"",IF(OR(LEFT(LOWER(TRIM($F423&amp;"")),12)="subscription",LOWER(TRIM($F423&amp;""))="membership"),"",IF(LOWER($L423&amp;"")="yes",0,IF(OR(AND($H423&lt;&gt;"",$H423=0),LEFT(LOWER(TRIM($F423&amp;"")),9)="free game",LOWER(TRIM($F423&amp;""))="free",LOWER(TRIM($F423&amp;""))="free entry"),IF(LOWER($D423&amp;"")="finalized",IF(ISNUMBER($K423),$K423,""),IF($O423&lt;&gt;"",$O423,"")),IF($K423&lt;&gt;"",$K423,IF($O423&lt;&gt;"",$O423,""))))))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IF(COUNTA($A423:$M423)=0,"",IF(OR(LEFT(LOWER(TRIM($F423&amp;"")),12)="subscription",LOWER(TRIM($F423&amp;""))="membership"),"Subscription",IF(OR(AND($H423&lt;&gt;"",$H423=0),LEFT(LOWER(TRIM($F423&amp;"")),9)="free game",LOWER(TRIM($F423&amp;""))="free",LOWER(TRIM($F423&amp;""))="free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IF(COUNTA($A424:$M424)=0,"",IF(OR(LEFT(LOWER(TRIM($F424&amp;"")),12)="subscription",LOWER(TRIM($F424&amp;""))="membership"),"",IF($G424="","",IF(ISNUMBER(SEARCH("non",LOWER($E424&amp;""))),$G424*0.85,$G424))))</x:f>
      </x:c>
      <x:c r="O424" s="987" t="str">
        <x:f>IF(COUNTA($A424:$M424)=0,"",IF(OR(LEFT(LOWER(TRIM($F424&amp;"")),12)="subscription",LOWER(TRIM($F424&amp;""))="membership"),"",IF(OR($N424="",$I424="",$I424=0),"",IFERROR($N424/$I424,""))))</x:f>
      </x:c>
      <x:c r="P424" s="987" t="str">
        <x:f>IF(COUNTA($A424:$M424)=0,"",IF(OR(LEFT(LOWER(TRIM($F424&amp;"")),12)="subscription",LOWER(TRIM($F424&amp;""))="membership"),"",IF(LOWER($L424&amp;"")="yes",0,IF(OR(AND($H424&lt;&gt;"",$H424=0),LEFT(LOWER(TRIM($F424&amp;"")),9)="free game",LOWER(TRIM($F424&amp;""))="free",LOWER(TRIM($F424&amp;""))="free entry"),IF(LOWER($D424&amp;"")="finalized",IF(ISNUMBER($K424),$K424,""),IF($O424&lt;&gt;"",$O424,"")),IF($K424&lt;&gt;"",$K424,IF($O424&lt;&gt;"",$O424,""))))))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IF(COUNTA($A424:$M424)=0,"",IF(OR(LEFT(LOWER(TRIM($F424&amp;"")),12)="subscription",LOWER(TRIM($F424&amp;""))="membership"),"Subscription",IF(OR(AND($H424&lt;&gt;"",$H424=0),LEFT(LOWER(TRIM($F424&amp;"")),9)="free game",LOWER(TRIM($F424&amp;""))="free",LOWER(TRIM($F424&amp;""))="free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IF(COUNTA($A425:$M425)=0,"",IF(OR(LEFT(LOWER(TRIM($F425&amp;"")),12)="subscription",LOWER(TRIM($F425&amp;""))="membership"),"",IF($G425="","",IF(ISNUMBER(SEARCH("non",LOWER($E425&amp;""))),$G425*0.85,$G425))))</x:f>
      </x:c>
      <x:c r="O425" s="987" t="str">
        <x:f>IF(COUNTA($A425:$M425)=0,"",IF(OR(LEFT(LOWER(TRIM($F425&amp;"")),12)="subscription",LOWER(TRIM($F425&amp;""))="membership"),"",IF(OR($N425="",$I425="",$I425=0),"",IFERROR($N425/$I425,""))))</x:f>
      </x:c>
      <x:c r="P425" s="987" t="str">
        <x:f>IF(COUNTA($A425:$M425)=0,"",IF(OR(LEFT(LOWER(TRIM($F425&amp;"")),12)="subscription",LOWER(TRIM($F425&amp;""))="membership"),"",IF(LOWER($L425&amp;"")="yes",0,IF(OR(AND($H425&lt;&gt;"",$H425=0),LEFT(LOWER(TRIM($F425&amp;"")),9)="free game",LOWER(TRIM($F425&amp;""))="free",LOWER(TRIM($F425&amp;""))="free entry"),IF(LOWER($D425&amp;"")="finalized",IF(ISNUMBER($K425),$K425,""),IF($O425&lt;&gt;"",$O425,"")),IF($K425&lt;&gt;"",$K425,IF($O425&lt;&gt;"",$O425,""))))))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IF(COUNTA($A425:$M425)=0,"",IF(OR(LEFT(LOWER(TRIM($F425&amp;"")),12)="subscription",LOWER(TRIM($F425&amp;""))="membership"),"Subscription",IF(OR(AND($H425&lt;&gt;"",$H425=0),LEFT(LOWER(TRIM($F425&amp;"")),9)="free game",LOWER(TRIM($F425&amp;""))="free",LOWER(TRIM($F425&amp;""))="free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IF(COUNTA($A426:$M426)=0,"",IF(OR(LEFT(LOWER(TRIM($F426&amp;"")),12)="subscription",LOWER(TRIM($F426&amp;""))="membership"),"",IF($G426="","",IF(ISNUMBER(SEARCH("non",LOWER($E426&amp;""))),$G426*0.85,$G426))))</x:f>
      </x:c>
      <x:c r="O426" s="987" t="str">
        <x:f>IF(COUNTA($A426:$M426)=0,"",IF(OR(LEFT(LOWER(TRIM($F426&amp;"")),12)="subscription",LOWER(TRIM($F426&amp;""))="membership"),"",IF(OR($N426="",$I426="",$I426=0),"",IFERROR($N426/$I426,""))))</x:f>
      </x:c>
      <x:c r="P426" s="987" t="str">
        <x:f>IF(COUNTA($A426:$M426)=0,"",IF(OR(LEFT(LOWER(TRIM($F426&amp;"")),12)="subscription",LOWER(TRIM($F426&amp;""))="membership"),"",IF(LOWER($L426&amp;"")="yes",0,IF(OR(AND($H426&lt;&gt;"",$H426=0),LEFT(LOWER(TRIM($F426&amp;"")),9)="free game",LOWER(TRIM($F426&amp;""))="free",LOWER(TRIM($F426&amp;""))="free entry"),IF(LOWER($D426&amp;"")="finalized",IF(ISNUMBER($K426),$K426,""),IF($O426&lt;&gt;"",$O426,"")),IF($K426&lt;&gt;"",$K426,IF($O426&lt;&gt;"",$O426,""))))))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IF(COUNTA($A426:$M426)=0,"",IF(OR(LEFT(LOWER(TRIM($F426&amp;"")),12)="subscription",LOWER(TRIM($F426&amp;""))="membership"),"Subscription",IF(OR(AND($H426&lt;&gt;"",$H426=0),LEFT(LOWER(TRIM($F426&amp;"")),9)="free game",LOWER(TRIM($F426&amp;""))="free",LOWER(TRIM($F426&amp;""))="free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IF(COUNTA($A427:$M427)=0,"",IF(OR(LEFT(LOWER(TRIM($F427&amp;"")),12)="subscription",LOWER(TRIM($F427&amp;""))="membership"),"",IF($G427="","",IF(ISNUMBER(SEARCH("non",LOWER($E427&amp;""))),$G427*0.85,$G427))))</x:f>
      </x:c>
      <x:c r="O427" s="987" t="str">
        <x:f>IF(COUNTA($A427:$M427)=0,"",IF(OR(LEFT(LOWER(TRIM($F427&amp;"")),12)="subscription",LOWER(TRIM($F427&amp;""))="membership"),"",IF(OR($N427="",$I427="",$I427=0),"",IFERROR($N427/$I427,""))))</x:f>
      </x:c>
      <x:c r="P427" s="987" t="str">
        <x:f>IF(COUNTA($A427:$M427)=0,"",IF(OR(LEFT(LOWER(TRIM($F427&amp;"")),12)="subscription",LOWER(TRIM($F427&amp;""))="membership"),"",IF(LOWER($L427&amp;"")="yes",0,IF(OR(AND($H427&lt;&gt;"",$H427=0),LEFT(LOWER(TRIM($F427&amp;"")),9)="free game",LOWER(TRIM($F427&amp;""))="free",LOWER(TRIM($F427&amp;""))="free entry"),IF(LOWER($D427&amp;"")="finalized",IF(ISNUMBER($K427),$K427,""),IF($O427&lt;&gt;"",$O427,"")),IF($K427&lt;&gt;"",$K427,IF($O427&lt;&gt;"",$O427,""))))))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IF(COUNTA($A427:$M427)=0,"",IF(OR(LEFT(LOWER(TRIM($F427&amp;"")),12)="subscription",LOWER(TRIM($F427&amp;""))="membership"),"Subscription",IF(OR(AND($H427&lt;&gt;"",$H427=0),LEFT(LOWER(TRIM($F427&amp;"")),9)="free game",LOWER(TRIM($F427&amp;""))="free",LOWER(TRIM($F427&amp;""))="free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IF(COUNTA($A428:$M428)=0,"",IF(OR(LEFT(LOWER(TRIM($F428&amp;"")),12)="subscription",LOWER(TRIM($F428&amp;""))="membership"),"",IF($G428="","",IF(ISNUMBER(SEARCH("non",LOWER($E428&amp;""))),$G428*0.85,$G428))))</x:f>
      </x:c>
      <x:c r="O428" s="987" t="str">
        <x:f>IF(COUNTA($A428:$M428)=0,"",IF(OR(LEFT(LOWER(TRIM($F428&amp;"")),12)="subscription",LOWER(TRIM($F428&amp;""))="membership"),"",IF(OR($N428="",$I428="",$I428=0),"",IFERROR($N428/$I428,""))))</x:f>
      </x:c>
      <x:c r="P428" s="987" t="str">
        <x:f>IF(COUNTA($A428:$M428)=0,"",IF(OR(LEFT(LOWER(TRIM($F428&amp;"")),12)="subscription",LOWER(TRIM($F428&amp;""))="membership"),"",IF(LOWER($L428&amp;"")="yes",0,IF(OR(AND($H428&lt;&gt;"",$H428=0),LEFT(LOWER(TRIM($F428&amp;"")),9)="free game",LOWER(TRIM($F428&amp;""))="free",LOWER(TRIM($F428&amp;""))="free entry"),IF(LOWER($D428&amp;"")="finalized",IF(ISNUMBER($K428),$K428,""),IF($O428&lt;&gt;"",$O428,"")),IF($K428&lt;&gt;"",$K428,IF($O428&lt;&gt;"",$O428,""))))))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IF(COUNTA($A428:$M428)=0,"",IF(OR(LEFT(LOWER(TRIM($F428&amp;"")),12)="subscription",LOWER(TRIM($F428&amp;""))="membership"),"Subscription",IF(OR(AND($H428&lt;&gt;"",$H428=0),LEFT(LOWER(TRIM($F428&amp;"")),9)="free game",LOWER(TRIM($F428&amp;""))="free",LOWER(TRIM($F428&amp;""))="free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IF(COUNTA($A429:$M429)=0,"",IF(OR(LEFT(LOWER(TRIM($F429&amp;"")),12)="subscription",LOWER(TRIM($F429&amp;""))="membership"),"",IF($G429="","",IF(ISNUMBER(SEARCH("non",LOWER($E429&amp;""))),$G429*0.85,$G429))))</x:f>
      </x:c>
      <x:c r="O429" s="987" t="str">
        <x:f>IF(COUNTA($A429:$M429)=0,"",IF(OR(LEFT(LOWER(TRIM($F429&amp;"")),12)="subscription",LOWER(TRIM($F429&amp;""))="membership"),"",IF(OR($N429="",$I429="",$I429=0),"",IFERROR($N429/$I429,""))))</x:f>
      </x:c>
      <x:c r="P429" s="987" t="str">
        <x:f>IF(COUNTA($A429:$M429)=0,"",IF(OR(LEFT(LOWER(TRIM($F429&amp;"")),12)="subscription",LOWER(TRIM($F429&amp;""))="membership"),"",IF(LOWER($L429&amp;"")="yes",0,IF(OR(AND($H429&lt;&gt;"",$H429=0),LEFT(LOWER(TRIM($F429&amp;"")),9)="free game",LOWER(TRIM($F429&amp;""))="free",LOWER(TRIM($F429&amp;""))="free entry"),IF(LOWER($D429&amp;"")="finalized",IF(ISNUMBER($K429),$K429,""),IF($O429&lt;&gt;"",$O429,"")),IF($K429&lt;&gt;"",$K429,IF($O429&lt;&gt;"",$O429,""))))))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IF(COUNTA($A429:$M429)=0,"",IF(OR(LEFT(LOWER(TRIM($F429&amp;"")),12)="subscription",LOWER(TRIM($F429&amp;""))="membership"),"Subscription",IF(OR(AND($H429&lt;&gt;"",$H429=0),LEFT(LOWER(TRIM($F429&amp;"")),9)="free game",LOWER(TRIM($F429&amp;""))="free",LOWER(TRIM($F429&amp;""))="free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IF(COUNTA($A430:$M430)=0,"",IF(OR(LEFT(LOWER(TRIM($F430&amp;"")),12)="subscription",LOWER(TRIM($F430&amp;""))="membership"),"",IF($G430="","",IF(ISNUMBER(SEARCH("non",LOWER($E430&amp;""))),$G430*0.85,$G430))))</x:f>
      </x:c>
      <x:c r="O430" s="987" t="str">
        <x:f>IF(COUNTA($A430:$M430)=0,"",IF(OR(LEFT(LOWER(TRIM($F430&amp;"")),12)="subscription",LOWER(TRIM($F430&amp;""))="membership"),"",IF(OR($N430="",$I430="",$I430=0),"",IFERROR($N430/$I430,""))))</x:f>
      </x:c>
      <x:c r="P430" s="987" t="str">
        <x:f>IF(COUNTA($A430:$M430)=0,"",IF(OR(LEFT(LOWER(TRIM($F430&amp;"")),12)="subscription",LOWER(TRIM($F430&amp;""))="membership"),"",IF(LOWER($L430&amp;"")="yes",0,IF(OR(AND($H430&lt;&gt;"",$H430=0),LEFT(LOWER(TRIM($F430&amp;"")),9)="free game",LOWER(TRIM($F430&amp;""))="free",LOWER(TRIM($F430&amp;""))="free entry"),IF(LOWER($D430&amp;"")="finalized",IF(ISNUMBER($K430),$K430,""),IF($O430&lt;&gt;"",$O430,"")),IF($K430&lt;&gt;"",$K430,IF($O430&lt;&gt;"",$O430,""))))))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IF(COUNTA($A430:$M430)=0,"",IF(OR(LEFT(LOWER(TRIM($F430&amp;"")),12)="subscription",LOWER(TRIM($F430&amp;""))="membership"),"Subscription",IF(OR(AND($H430&lt;&gt;"",$H430=0),LEFT(LOWER(TRIM($F430&amp;"")),9)="free game",LOWER(TRIM($F430&amp;""))="free",LOWER(TRIM($F430&amp;""))="free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IF(COUNTA($A431:$M431)=0,"",IF(OR(LEFT(LOWER(TRIM($F431&amp;"")),12)="subscription",LOWER(TRIM($F431&amp;""))="membership"),"",IF($G431="","",IF(ISNUMBER(SEARCH("non",LOWER($E431&amp;""))),$G431*0.85,$G431))))</x:f>
      </x:c>
      <x:c r="O431" s="987" t="str">
        <x:f>IF(COUNTA($A431:$M431)=0,"",IF(OR(LEFT(LOWER(TRIM($F431&amp;"")),12)="subscription",LOWER(TRIM($F431&amp;""))="membership"),"",IF(OR($N431="",$I431="",$I431=0),"",IFERROR($N431/$I431,""))))</x:f>
      </x:c>
      <x:c r="P431" s="987" t="str">
        <x:f>IF(COUNTA($A431:$M431)=0,"",IF(OR(LEFT(LOWER(TRIM($F431&amp;"")),12)="subscription",LOWER(TRIM($F431&amp;""))="membership"),"",IF(LOWER($L431&amp;"")="yes",0,IF(OR(AND($H431&lt;&gt;"",$H431=0),LEFT(LOWER(TRIM($F431&amp;"")),9)="free game",LOWER(TRIM($F431&amp;""))="free",LOWER(TRIM($F431&amp;""))="free entry"),IF(LOWER($D431&amp;"")="finalized",IF(ISNUMBER($K431),$K431,""),IF($O431&lt;&gt;"",$O431,"")),IF($K431&lt;&gt;"",$K431,IF($O431&lt;&gt;"",$O431,""))))))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IF(COUNTA($A431:$M431)=0,"",IF(OR(LEFT(LOWER(TRIM($F431&amp;"")),12)="subscription",LOWER(TRIM($F431&amp;""))="membership"),"Subscription",IF(OR(AND($H431&lt;&gt;"",$H431=0),LEFT(LOWER(TRIM($F431&amp;"")),9)="free game",LOWER(TRIM($F431&amp;""))="free",LOWER(TRIM($F431&amp;""))="free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IF(COUNTA($A432:$M432)=0,"",IF(OR(LEFT(LOWER(TRIM($F432&amp;"")),12)="subscription",LOWER(TRIM($F432&amp;""))="membership"),"",IF($G432="","",IF(ISNUMBER(SEARCH("non",LOWER($E432&amp;""))),$G432*0.85,$G432))))</x:f>
      </x:c>
      <x:c r="O432" s="987" t="str">
        <x:f>IF(COUNTA($A432:$M432)=0,"",IF(OR(LEFT(LOWER(TRIM($F432&amp;"")),12)="subscription",LOWER(TRIM($F432&amp;""))="membership"),"",IF(OR($N432="",$I432="",$I432=0),"",IFERROR($N432/$I432,""))))</x:f>
      </x:c>
      <x:c r="P432" s="987" t="str">
        <x:f>IF(COUNTA($A432:$M432)=0,"",IF(OR(LEFT(LOWER(TRIM($F432&amp;"")),12)="subscription",LOWER(TRIM($F432&amp;""))="membership"),"",IF(LOWER($L432&amp;"")="yes",0,IF(OR(AND($H432&lt;&gt;"",$H432=0),LEFT(LOWER(TRIM($F432&amp;"")),9)="free game",LOWER(TRIM($F432&amp;""))="free",LOWER(TRIM($F432&amp;""))="free entry"),IF(LOWER($D432&amp;"")="finalized",IF(ISNUMBER($K432),$K432,""),IF($O432&lt;&gt;"",$O432,"")),IF($K432&lt;&gt;"",$K432,IF($O432&lt;&gt;"",$O432,""))))))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IF(COUNTA($A432:$M432)=0,"",IF(OR(LEFT(LOWER(TRIM($F432&amp;"")),12)="subscription",LOWER(TRIM($F432&amp;""))="membership"),"Subscription",IF(OR(AND($H432&lt;&gt;"",$H432=0),LEFT(LOWER(TRIM($F432&amp;"")),9)="free game",LOWER(TRIM($F432&amp;""))="free",LOWER(TRIM($F432&amp;""))="free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IF(COUNTA($A433:$M433)=0,"",IF(OR(LEFT(LOWER(TRIM($F433&amp;"")),12)="subscription",LOWER(TRIM($F433&amp;""))="membership"),"",IF($G433="","",IF(ISNUMBER(SEARCH("non",LOWER($E433&amp;""))),$G433*0.85,$G433))))</x:f>
      </x:c>
      <x:c r="O433" s="987" t="str">
        <x:f>IF(COUNTA($A433:$M433)=0,"",IF(OR(LEFT(LOWER(TRIM($F433&amp;"")),12)="subscription",LOWER(TRIM($F433&amp;""))="membership"),"",IF(OR($N433="",$I433="",$I433=0),"",IFERROR($N433/$I433,""))))</x:f>
      </x:c>
      <x:c r="P433" s="987" t="str">
        <x:f>IF(COUNTA($A433:$M433)=0,"",IF(OR(LEFT(LOWER(TRIM($F433&amp;"")),12)="subscription",LOWER(TRIM($F433&amp;""))="membership"),"",IF(LOWER($L433&amp;"")="yes",0,IF(OR(AND($H433&lt;&gt;"",$H433=0),LEFT(LOWER(TRIM($F433&amp;"")),9)="free game",LOWER(TRIM($F433&amp;""))="free",LOWER(TRIM($F433&amp;""))="free entry"),IF(LOWER($D433&amp;"")="finalized",IF(ISNUMBER($K433),$K433,""),IF($O433&lt;&gt;"",$O433,"")),IF($K433&lt;&gt;"",$K433,IF($O433&lt;&gt;"",$O433,""))))))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IF(COUNTA($A433:$M433)=0,"",IF(OR(LEFT(LOWER(TRIM($F433&amp;"")),12)="subscription",LOWER(TRIM($F433&amp;""))="membership"),"Subscription",IF(OR(AND($H433&lt;&gt;"",$H433=0),LEFT(LOWER(TRIM($F433&amp;"")),9)="free game",LOWER(TRIM($F433&amp;""))="free",LOWER(TRIM($F433&amp;""))="free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IF(COUNTA($A434:$M434)=0,"",IF(OR(LEFT(LOWER(TRIM($F434&amp;"")),12)="subscription",LOWER(TRIM($F434&amp;""))="membership"),"",IF($G434="","",IF(ISNUMBER(SEARCH("non",LOWER($E434&amp;""))),$G434*0.85,$G434))))</x:f>
      </x:c>
      <x:c r="O434" s="987" t="str">
        <x:f>IF(COUNTA($A434:$M434)=0,"",IF(OR(LEFT(LOWER(TRIM($F434&amp;"")),12)="subscription",LOWER(TRIM($F434&amp;""))="membership"),"",IF(OR($N434="",$I434="",$I434=0),"",IFERROR($N434/$I434,""))))</x:f>
      </x:c>
      <x:c r="P434" s="987" t="str">
        <x:f>IF(COUNTA($A434:$M434)=0,"",IF(OR(LEFT(LOWER(TRIM($F434&amp;"")),12)="subscription",LOWER(TRIM($F434&amp;""))="membership"),"",IF(LOWER($L434&amp;"")="yes",0,IF(OR(AND($H434&lt;&gt;"",$H434=0),LEFT(LOWER(TRIM($F434&amp;"")),9)="free game",LOWER(TRIM($F434&amp;""))="free",LOWER(TRIM($F434&amp;""))="free entry"),IF(LOWER($D434&amp;"")="finalized",IF(ISNUMBER($K434),$K434,""),IF($O434&lt;&gt;"",$O434,"")),IF($K434&lt;&gt;"",$K434,IF($O434&lt;&gt;"",$O434,""))))))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IF(COUNTA($A434:$M434)=0,"",IF(OR(LEFT(LOWER(TRIM($F434&amp;"")),12)="subscription",LOWER(TRIM($F434&amp;""))="membership"),"Subscription",IF(OR(AND($H434&lt;&gt;"",$H434=0),LEFT(LOWER(TRIM($F434&amp;"")),9)="free game",LOWER(TRIM($F434&amp;""))="free",LOWER(TRIM($F434&amp;""))="free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IF(COUNTA($A435:$M435)=0,"",IF(OR(LEFT(LOWER(TRIM($F435&amp;"")),12)="subscription",LOWER(TRIM($F435&amp;""))="membership"),"",IF($G435="","",IF(ISNUMBER(SEARCH("non",LOWER($E435&amp;""))),$G435*0.85,$G435))))</x:f>
      </x:c>
      <x:c r="O435" s="987" t="str">
        <x:f>IF(COUNTA($A435:$M435)=0,"",IF(OR(LEFT(LOWER(TRIM($F435&amp;"")),12)="subscription",LOWER(TRIM($F435&amp;""))="membership"),"",IF(OR($N435="",$I435="",$I435=0),"",IFERROR($N435/$I435,""))))</x:f>
      </x:c>
      <x:c r="P435" s="987" t="str">
        <x:f>IF(COUNTA($A435:$M435)=0,"",IF(OR(LEFT(LOWER(TRIM($F435&amp;"")),12)="subscription",LOWER(TRIM($F435&amp;""))="membership"),"",IF(LOWER($L435&amp;"")="yes",0,IF(OR(AND($H435&lt;&gt;"",$H435=0),LEFT(LOWER(TRIM($F435&amp;"")),9)="free game",LOWER(TRIM($F435&amp;""))="free",LOWER(TRIM($F435&amp;""))="free entry"),IF(LOWER($D435&amp;"")="finalized",IF(ISNUMBER($K435),$K435,""),IF($O435&lt;&gt;"",$O435,"")),IF($K435&lt;&gt;"",$K435,IF($O435&lt;&gt;"",$O435,""))))))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IF(COUNTA($A435:$M435)=0,"",IF(OR(LEFT(LOWER(TRIM($F435&amp;"")),12)="subscription",LOWER(TRIM($F435&amp;""))="membership"),"Subscription",IF(OR(AND($H435&lt;&gt;"",$H435=0),LEFT(LOWER(TRIM($F435&amp;"")),9)="free game",LOWER(TRIM($F435&amp;""))="free",LOWER(TRIM($F435&amp;""))="free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IF(COUNTA($A436:$M436)=0,"",IF(OR(LEFT(LOWER(TRIM($F436&amp;"")),12)="subscription",LOWER(TRIM($F436&amp;""))="membership"),"",IF($G436="","",IF(ISNUMBER(SEARCH("non",LOWER($E436&amp;""))),$G436*0.85,$G436))))</x:f>
      </x:c>
      <x:c r="O436" s="987" t="str">
        <x:f>IF(COUNTA($A436:$M436)=0,"",IF(OR(LEFT(LOWER(TRIM($F436&amp;"")),12)="subscription",LOWER(TRIM($F436&amp;""))="membership"),"",IF(OR($N436="",$I436="",$I436=0),"",IFERROR($N436/$I436,""))))</x:f>
      </x:c>
      <x:c r="P436" s="987" t="str">
        <x:f>IF(COUNTA($A436:$M436)=0,"",IF(OR(LEFT(LOWER(TRIM($F436&amp;"")),12)="subscription",LOWER(TRIM($F436&amp;""))="membership"),"",IF(LOWER($L436&amp;"")="yes",0,IF(OR(AND($H436&lt;&gt;"",$H436=0),LEFT(LOWER(TRIM($F436&amp;"")),9)="free game",LOWER(TRIM($F436&amp;""))="free",LOWER(TRIM($F436&amp;""))="free entry"),IF(LOWER($D436&amp;"")="finalized",IF(ISNUMBER($K436),$K436,""),IF($O436&lt;&gt;"",$O436,"")),IF($K436&lt;&gt;"",$K436,IF($O436&lt;&gt;"",$O436,""))))))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IF(COUNTA($A436:$M436)=0,"",IF(OR(LEFT(LOWER(TRIM($F436&amp;"")),12)="subscription",LOWER(TRIM($F436&amp;""))="membership"),"Subscription",IF(OR(AND($H436&lt;&gt;"",$H436=0),LEFT(LOWER(TRIM($F436&amp;"")),9)="free game",LOWER(TRIM($F436&amp;""))="free",LOWER(TRIM($F436&amp;""))="free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IF(COUNTA($A437:$M437)=0,"",IF(OR(LEFT(LOWER(TRIM($F437&amp;"")),12)="subscription",LOWER(TRIM($F437&amp;""))="membership"),"",IF($G437="","",IF(ISNUMBER(SEARCH("non",LOWER($E437&amp;""))),$G437*0.85,$G437))))</x:f>
      </x:c>
      <x:c r="O437" s="987" t="str">
        <x:f>IF(COUNTA($A437:$M437)=0,"",IF(OR(LEFT(LOWER(TRIM($F437&amp;"")),12)="subscription",LOWER(TRIM($F437&amp;""))="membership"),"",IF(OR($N437="",$I437="",$I437=0),"",IFERROR($N437/$I437,""))))</x:f>
      </x:c>
      <x:c r="P437" s="987" t="str">
        <x:f>IF(COUNTA($A437:$M437)=0,"",IF(OR(LEFT(LOWER(TRIM($F437&amp;"")),12)="subscription",LOWER(TRIM($F437&amp;""))="membership"),"",IF(LOWER($L437&amp;"")="yes",0,IF(OR(AND($H437&lt;&gt;"",$H437=0),LEFT(LOWER(TRIM($F437&amp;"")),9)="free game",LOWER(TRIM($F437&amp;""))="free",LOWER(TRIM($F437&amp;""))="free entry"),IF(LOWER($D437&amp;"")="finalized",IF(ISNUMBER($K437),$K437,""),IF($O437&lt;&gt;"",$O437,"")),IF($K437&lt;&gt;"",$K437,IF($O437&lt;&gt;"",$O437,""))))))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IF(COUNTA($A437:$M437)=0,"",IF(OR(LEFT(LOWER(TRIM($F437&amp;"")),12)="subscription",LOWER(TRIM($F437&amp;""))="membership"),"Subscription",IF(OR(AND($H437&lt;&gt;"",$H437=0),LEFT(LOWER(TRIM($F437&amp;"")),9)="free game",LOWER(TRIM($F437&amp;""))="free",LOWER(TRIM($F437&amp;""))="free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IF(COUNTA($A438:$M438)=0,"",IF(OR(LEFT(LOWER(TRIM($F438&amp;"")),12)="subscription",LOWER(TRIM($F438&amp;""))="membership"),"",IF($G438="","",IF(ISNUMBER(SEARCH("non",LOWER($E438&amp;""))),$G438*0.85,$G438))))</x:f>
      </x:c>
      <x:c r="O438" s="987" t="str">
        <x:f>IF(COUNTA($A438:$M438)=0,"",IF(OR(LEFT(LOWER(TRIM($F438&amp;"")),12)="subscription",LOWER(TRIM($F438&amp;""))="membership"),"",IF(OR($N438="",$I438="",$I438=0),"",IFERROR($N438/$I438,""))))</x:f>
      </x:c>
      <x:c r="P438" s="987" t="str">
        <x:f>IF(COUNTA($A438:$M438)=0,"",IF(OR(LEFT(LOWER(TRIM($F438&amp;"")),12)="subscription",LOWER(TRIM($F438&amp;""))="membership"),"",IF(LOWER($L438&amp;"")="yes",0,IF(OR(AND($H438&lt;&gt;"",$H438=0),LEFT(LOWER(TRIM($F438&amp;"")),9)="free game",LOWER(TRIM($F438&amp;""))="free",LOWER(TRIM($F438&amp;""))="free entry"),IF(LOWER($D438&amp;"")="finalized",IF(ISNUMBER($K438),$K438,""),IF($O438&lt;&gt;"",$O438,"")),IF($K438&lt;&gt;"",$K438,IF($O438&lt;&gt;"",$O438,""))))))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IF(COUNTA($A438:$M438)=0,"",IF(OR(LEFT(LOWER(TRIM($F438&amp;"")),12)="subscription",LOWER(TRIM($F438&amp;""))="membership"),"Subscription",IF(OR(AND($H438&lt;&gt;"",$H438=0),LEFT(LOWER(TRIM($F438&amp;"")),9)="free game",LOWER(TRIM($F438&amp;""))="free",LOWER(TRIM($F438&amp;""))="free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IF(COUNTA($A439:$M439)=0,"",IF(OR(LEFT(LOWER(TRIM($F439&amp;"")),12)="subscription",LOWER(TRIM($F439&amp;""))="membership"),"",IF($G439="","",IF(ISNUMBER(SEARCH("non",LOWER($E439&amp;""))),$G439*0.85,$G439))))</x:f>
      </x:c>
      <x:c r="O439" s="987" t="str">
        <x:f>IF(COUNTA($A439:$M439)=0,"",IF(OR(LEFT(LOWER(TRIM($F439&amp;"")),12)="subscription",LOWER(TRIM($F439&amp;""))="membership"),"",IF(OR($N439="",$I439="",$I439=0),"",IFERROR($N439/$I439,""))))</x:f>
      </x:c>
      <x:c r="P439" s="987" t="str">
        <x:f>IF(COUNTA($A439:$M439)=0,"",IF(OR(LEFT(LOWER(TRIM($F439&amp;"")),12)="subscription",LOWER(TRIM($F439&amp;""))="membership"),"",IF(LOWER($L439&amp;"")="yes",0,IF(OR(AND($H439&lt;&gt;"",$H439=0),LEFT(LOWER(TRIM($F439&amp;"")),9)="free game",LOWER(TRIM($F439&amp;""))="free",LOWER(TRIM($F439&amp;""))="free entry"),IF(LOWER($D439&amp;"")="finalized",IF(ISNUMBER($K439),$K439,""),IF($O439&lt;&gt;"",$O439,"")),IF($K439&lt;&gt;"",$K439,IF($O439&lt;&gt;"",$O439,""))))))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IF(COUNTA($A439:$M439)=0,"",IF(OR(LEFT(LOWER(TRIM($F439&amp;"")),12)="subscription",LOWER(TRIM($F439&amp;""))="membership"),"Subscription",IF(OR(AND($H439&lt;&gt;"",$H439=0),LEFT(LOWER(TRIM($F439&amp;"")),9)="free game",LOWER(TRIM($F439&amp;""))="free",LOWER(TRIM($F439&amp;""))="free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IF(COUNTA($A440:$M440)=0,"",IF(OR(LEFT(LOWER(TRIM($F440&amp;"")),12)="subscription",LOWER(TRIM($F440&amp;""))="membership"),"",IF($G440="","",IF(ISNUMBER(SEARCH("non",LOWER($E440&amp;""))),$G440*0.85,$G440))))</x:f>
      </x:c>
      <x:c r="O440" s="987" t="str">
        <x:f>IF(COUNTA($A440:$M440)=0,"",IF(OR(LEFT(LOWER(TRIM($F440&amp;"")),12)="subscription",LOWER(TRIM($F440&amp;""))="membership"),"",IF(OR($N440="",$I440="",$I440=0),"",IFERROR($N440/$I440,""))))</x:f>
      </x:c>
      <x:c r="P440" s="987" t="str">
        <x:f>IF(COUNTA($A440:$M440)=0,"",IF(OR(LEFT(LOWER(TRIM($F440&amp;"")),12)="subscription",LOWER(TRIM($F440&amp;""))="membership"),"",IF(LOWER($L440&amp;"")="yes",0,IF(OR(AND($H440&lt;&gt;"",$H440=0),LEFT(LOWER(TRIM($F440&amp;"")),9)="free game",LOWER(TRIM($F440&amp;""))="free",LOWER(TRIM($F440&amp;""))="free entry"),IF(LOWER($D440&amp;"")="finalized",IF(ISNUMBER($K440),$K440,""),IF($O440&lt;&gt;"",$O440,"")),IF($K440&lt;&gt;"",$K440,IF($O440&lt;&gt;"",$O440,""))))))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IF(COUNTA($A440:$M440)=0,"",IF(OR(LEFT(LOWER(TRIM($F440&amp;"")),12)="subscription",LOWER(TRIM($F440&amp;""))="membership"),"Subscription",IF(OR(AND($H440&lt;&gt;"",$H440=0),LEFT(LOWER(TRIM($F440&amp;"")),9)="free game",LOWER(TRIM($F440&amp;""))="free",LOWER(TRIM($F440&amp;""))="free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IF(COUNTA($A441:$M441)=0,"",IF(OR(LEFT(LOWER(TRIM($F441&amp;"")),12)="subscription",LOWER(TRIM($F441&amp;""))="membership"),"",IF($G441="","",IF(ISNUMBER(SEARCH("non",LOWER($E441&amp;""))),$G441*0.85,$G441))))</x:f>
      </x:c>
      <x:c r="O441" s="987" t="str">
        <x:f>IF(COUNTA($A441:$M441)=0,"",IF(OR(LEFT(LOWER(TRIM($F441&amp;"")),12)="subscription",LOWER(TRIM($F441&amp;""))="membership"),"",IF(OR($N441="",$I441="",$I441=0),"",IFERROR($N441/$I441,""))))</x:f>
      </x:c>
      <x:c r="P441" s="987" t="str">
        <x:f>IF(COUNTA($A441:$M441)=0,"",IF(OR(LEFT(LOWER(TRIM($F441&amp;"")),12)="subscription",LOWER(TRIM($F441&amp;""))="membership"),"",IF(LOWER($L441&amp;"")="yes",0,IF(OR(AND($H441&lt;&gt;"",$H441=0),LEFT(LOWER(TRIM($F441&amp;"")),9)="free game",LOWER(TRIM($F441&amp;""))="free",LOWER(TRIM($F441&amp;""))="free entry"),IF(LOWER($D441&amp;"")="finalized",IF(ISNUMBER($K441),$K441,""),IF($O441&lt;&gt;"",$O441,"")),IF($K441&lt;&gt;"",$K441,IF($O441&lt;&gt;"",$O441,""))))))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IF(COUNTA($A441:$M441)=0,"",IF(OR(LEFT(LOWER(TRIM($F441&amp;"")),12)="subscription",LOWER(TRIM($F441&amp;""))="membership"),"Subscription",IF(OR(AND($H441&lt;&gt;"",$H441=0),LEFT(LOWER(TRIM($F441&amp;"")),9)="free game",LOWER(TRIM($F441&amp;""))="free",LOWER(TRIM($F441&amp;""))="free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IF(COUNTA($A442:$M442)=0,"",IF(OR(LEFT(LOWER(TRIM($F442&amp;"")),12)="subscription",LOWER(TRIM($F442&amp;""))="membership"),"",IF($G442="","",IF(ISNUMBER(SEARCH("non",LOWER($E442&amp;""))),$G442*0.85,$G442))))</x:f>
      </x:c>
      <x:c r="O442" s="987" t="str">
        <x:f>IF(COUNTA($A442:$M442)=0,"",IF(OR(LEFT(LOWER(TRIM($F442&amp;"")),12)="subscription",LOWER(TRIM($F442&amp;""))="membership"),"",IF(OR($N442="",$I442="",$I442=0),"",IFERROR($N442/$I442,""))))</x:f>
      </x:c>
      <x:c r="P442" s="987" t="str">
        <x:f>IF(COUNTA($A442:$M442)=0,"",IF(OR(LEFT(LOWER(TRIM($F442&amp;"")),12)="subscription",LOWER(TRIM($F442&amp;""))="membership"),"",IF(LOWER($L442&amp;"")="yes",0,IF(OR(AND($H442&lt;&gt;"",$H442=0),LEFT(LOWER(TRIM($F442&amp;"")),9)="free game",LOWER(TRIM($F442&amp;""))="free",LOWER(TRIM($F442&amp;""))="free entry"),IF(LOWER($D442&amp;"")="finalized",IF(ISNUMBER($K442),$K442,""),IF($O442&lt;&gt;"",$O442,"")),IF($K442&lt;&gt;"",$K442,IF($O442&lt;&gt;"",$O442,""))))))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IF(COUNTA($A442:$M442)=0,"",IF(OR(LEFT(LOWER(TRIM($F442&amp;"")),12)="subscription",LOWER(TRIM($F442&amp;""))="membership"),"Subscription",IF(OR(AND($H442&lt;&gt;"",$H442=0),LEFT(LOWER(TRIM($F442&amp;"")),9)="free game",LOWER(TRIM($F442&amp;""))="free",LOWER(TRIM($F442&amp;""))="free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IF(COUNTA($A443:$M443)=0,"",IF(OR(LEFT(LOWER(TRIM($F443&amp;"")),12)="subscription",LOWER(TRIM($F443&amp;""))="membership"),"",IF($G443="","",IF(ISNUMBER(SEARCH("non",LOWER($E443&amp;""))),$G443*0.85,$G443))))</x:f>
      </x:c>
      <x:c r="O443" s="987" t="str">
        <x:f>IF(COUNTA($A443:$M443)=0,"",IF(OR(LEFT(LOWER(TRIM($F443&amp;"")),12)="subscription",LOWER(TRIM($F443&amp;""))="membership"),"",IF(OR($N443="",$I443="",$I443=0),"",IFERROR($N443/$I443,""))))</x:f>
      </x:c>
      <x:c r="P443" s="987" t="str">
        <x:f>IF(COUNTA($A443:$M443)=0,"",IF(OR(LEFT(LOWER(TRIM($F443&amp;"")),12)="subscription",LOWER(TRIM($F443&amp;""))="membership"),"",IF(LOWER($L443&amp;"")="yes",0,IF(OR(AND($H443&lt;&gt;"",$H443=0),LEFT(LOWER(TRIM($F443&amp;"")),9)="free game",LOWER(TRIM($F443&amp;""))="free",LOWER(TRIM($F443&amp;""))="free entry"),IF(LOWER($D443&amp;"")="finalized",IF(ISNUMBER($K443),$K443,""),IF($O443&lt;&gt;"",$O443,"")),IF($K443&lt;&gt;"",$K443,IF($O443&lt;&gt;"",$O443,""))))))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IF(COUNTA($A443:$M443)=0,"",IF(OR(LEFT(LOWER(TRIM($F443&amp;"")),12)="subscription",LOWER(TRIM($F443&amp;""))="membership"),"Subscription",IF(OR(AND($H443&lt;&gt;"",$H443=0),LEFT(LOWER(TRIM($F443&amp;"")),9)="free game",LOWER(TRIM($F443&amp;""))="free",LOWER(TRIM($F443&amp;""))="free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IF(COUNTA($A444:$M444)=0,"",IF(OR(LEFT(LOWER(TRIM($F444&amp;"")),12)="subscription",LOWER(TRIM($F444&amp;""))="membership"),"",IF($G444="","",IF(ISNUMBER(SEARCH("non",LOWER($E444&amp;""))),$G444*0.85,$G444))))</x:f>
      </x:c>
      <x:c r="O444" s="987" t="str">
        <x:f>IF(COUNTA($A444:$M444)=0,"",IF(OR(LEFT(LOWER(TRIM($F444&amp;"")),12)="subscription",LOWER(TRIM($F444&amp;""))="membership"),"",IF(OR($N444="",$I444="",$I444=0),"",IFERROR($N444/$I444,""))))</x:f>
      </x:c>
      <x:c r="P444" s="987" t="str">
        <x:f>IF(COUNTA($A444:$M444)=0,"",IF(OR(LEFT(LOWER(TRIM($F444&amp;"")),12)="subscription",LOWER(TRIM($F444&amp;""))="membership"),"",IF(LOWER($L444&amp;"")="yes",0,IF(OR(AND($H444&lt;&gt;"",$H444=0),LEFT(LOWER(TRIM($F444&amp;"")),9)="free game",LOWER(TRIM($F444&amp;""))="free",LOWER(TRIM($F444&amp;""))="free entry"),IF(LOWER($D444&amp;"")="finalized",IF(ISNUMBER($K444),$K444,""),IF($O444&lt;&gt;"",$O444,"")),IF($K444&lt;&gt;"",$K444,IF($O444&lt;&gt;"",$O444,""))))))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IF(COUNTA($A444:$M444)=0,"",IF(OR(LEFT(LOWER(TRIM($F444&amp;"")),12)="subscription",LOWER(TRIM($F444&amp;""))="membership"),"Subscription",IF(OR(AND($H444&lt;&gt;"",$H444=0),LEFT(LOWER(TRIM($F444&amp;"")),9)="free game",LOWER(TRIM($F444&amp;""))="free",LOWER(TRIM($F444&amp;""))="free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IF(COUNTA($A445:$M445)=0,"",IF(OR(LEFT(LOWER(TRIM($F445&amp;"")),12)="subscription",LOWER(TRIM($F445&amp;""))="membership"),"",IF($G445="","",IF(ISNUMBER(SEARCH("non",LOWER($E445&amp;""))),$G445*0.85,$G445))))</x:f>
      </x:c>
      <x:c r="O445" s="987" t="str">
        <x:f>IF(COUNTA($A445:$M445)=0,"",IF(OR(LEFT(LOWER(TRIM($F445&amp;"")),12)="subscription",LOWER(TRIM($F445&amp;""))="membership"),"",IF(OR($N445="",$I445="",$I445=0),"",IFERROR($N445/$I445,""))))</x:f>
      </x:c>
      <x:c r="P445" s="987" t="str">
        <x:f>IF(COUNTA($A445:$M445)=0,"",IF(OR(LEFT(LOWER(TRIM($F445&amp;"")),12)="subscription",LOWER(TRIM($F445&amp;""))="membership"),"",IF(LOWER($L445&amp;"")="yes",0,IF(OR(AND($H445&lt;&gt;"",$H445=0),LEFT(LOWER(TRIM($F445&amp;"")),9)="free game",LOWER(TRIM($F445&amp;""))="free",LOWER(TRIM($F445&amp;""))="free entry"),IF(LOWER($D445&amp;"")="finalized",IF(ISNUMBER($K445),$K445,""),IF($O445&lt;&gt;"",$O445,"")),IF($K445&lt;&gt;"",$K445,IF($O445&lt;&gt;"",$O445,""))))))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IF(COUNTA($A445:$M445)=0,"",IF(OR(LEFT(LOWER(TRIM($F445&amp;"")),12)="subscription",LOWER(TRIM($F445&amp;""))="membership"),"Subscription",IF(OR(AND($H445&lt;&gt;"",$H445=0),LEFT(LOWER(TRIM($F445&amp;"")),9)="free game",LOWER(TRIM($F445&amp;""))="free",LOWER(TRIM($F445&amp;""))="free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IF(COUNTA($A446:$M446)=0,"",IF(OR(LEFT(LOWER(TRIM($F446&amp;"")),12)="subscription",LOWER(TRIM($F446&amp;""))="membership"),"",IF($G446="","",IF(ISNUMBER(SEARCH("non",LOWER($E446&amp;""))),$G446*0.85,$G446))))</x:f>
      </x:c>
      <x:c r="O446" s="987" t="str">
        <x:f>IF(COUNTA($A446:$M446)=0,"",IF(OR(LEFT(LOWER(TRIM($F446&amp;"")),12)="subscription",LOWER(TRIM($F446&amp;""))="membership"),"",IF(OR($N446="",$I446="",$I446=0),"",IFERROR($N446/$I446,""))))</x:f>
      </x:c>
      <x:c r="P446" s="987" t="str">
        <x:f>IF(COUNTA($A446:$M446)=0,"",IF(OR(LEFT(LOWER(TRIM($F446&amp;"")),12)="subscription",LOWER(TRIM($F446&amp;""))="membership"),"",IF(LOWER($L446&amp;"")="yes",0,IF(OR(AND($H446&lt;&gt;"",$H446=0),LEFT(LOWER(TRIM($F446&amp;"")),9)="free game",LOWER(TRIM($F446&amp;""))="free",LOWER(TRIM($F446&amp;""))="free entry"),IF(LOWER($D446&amp;"")="finalized",IF(ISNUMBER($K446),$K446,""),IF($O446&lt;&gt;"",$O446,"")),IF($K446&lt;&gt;"",$K446,IF($O446&lt;&gt;"",$O446,""))))))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IF(COUNTA($A446:$M446)=0,"",IF(OR(LEFT(LOWER(TRIM($F446&amp;"")),12)="subscription",LOWER(TRIM($F446&amp;""))="membership"),"Subscription",IF(OR(AND($H446&lt;&gt;"",$H446=0),LEFT(LOWER(TRIM($F446&amp;"")),9)="free game",LOWER(TRIM($F446&amp;""))="free",LOWER(TRIM($F446&amp;""))="free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IF(COUNTA($A447:$M447)=0,"",IF(OR(LEFT(LOWER(TRIM($F447&amp;"")),12)="subscription",LOWER(TRIM($F447&amp;""))="membership"),"",IF($G447="","",IF(ISNUMBER(SEARCH("non",LOWER($E447&amp;""))),$G447*0.85,$G447))))</x:f>
      </x:c>
      <x:c r="O447" s="987" t="str">
        <x:f>IF(COUNTA($A447:$M447)=0,"",IF(OR(LEFT(LOWER(TRIM($F447&amp;"")),12)="subscription",LOWER(TRIM($F447&amp;""))="membership"),"",IF(OR($N447="",$I447="",$I447=0),"",IFERROR($N447/$I447,""))))</x:f>
      </x:c>
      <x:c r="P447" s="987" t="str">
        <x:f>IF(COUNTA($A447:$M447)=0,"",IF(OR(LEFT(LOWER(TRIM($F447&amp;"")),12)="subscription",LOWER(TRIM($F447&amp;""))="membership"),"",IF(LOWER($L447&amp;"")="yes",0,IF(OR(AND($H447&lt;&gt;"",$H447=0),LEFT(LOWER(TRIM($F447&amp;"")),9)="free game",LOWER(TRIM($F447&amp;""))="free",LOWER(TRIM($F447&amp;""))="free entry"),IF(LOWER($D447&amp;"")="finalized",IF(ISNUMBER($K447),$K447,""),IF($O447&lt;&gt;"",$O447,"")),IF($K447&lt;&gt;"",$K447,IF($O447&lt;&gt;"",$O447,""))))))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IF(COUNTA($A447:$M447)=0,"",IF(OR(LEFT(LOWER(TRIM($F447&amp;"")),12)="subscription",LOWER(TRIM($F447&amp;""))="membership"),"Subscription",IF(OR(AND($H447&lt;&gt;"",$H447=0),LEFT(LOWER(TRIM($F447&amp;"")),9)="free game",LOWER(TRIM($F447&amp;""))="free",LOWER(TRIM($F447&amp;""))="free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IF(COUNTA($A448:$M448)=0,"",IF(OR(LEFT(LOWER(TRIM($F448&amp;"")),12)="subscription",LOWER(TRIM($F448&amp;""))="membership"),"",IF($G448="","",IF(ISNUMBER(SEARCH("non",LOWER($E448&amp;""))),$G448*0.85,$G448))))</x:f>
      </x:c>
      <x:c r="O448" s="987" t="str">
        <x:f>IF(COUNTA($A448:$M448)=0,"",IF(OR(LEFT(LOWER(TRIM($F448&amp;"")),12)="subscription",LOWER(TRIM($F448&amp;""))="membership"),"",IF(OR($N448="",$I448="",$I448=0),"",IFERROR($N448/$I448,""))))</x:f>
      </x:c>
      <x:c r="P448" s="987" t="str">
        <x:f>IF(COUNTA($A448:$M448)=0,"",IF(OR(LEFT(LOWER(TRIM($F448&amp;"")),12)="subscription",LOWER(TRIM($F448&amp;""))="membership"),"",IF(LOWER($L448&amp;"")="yes",0,IF(OR(AND($H448&lt;&gt;"",$H448=0),LEFT(LOWER(TRIM($F448&amp;"")),9)="free game",LOWER(TRIM($F448&amp;""))="free",LOWER(TRIM($F448&amp;""))="free entry"),IF(LOWER($D448&amp;"")="finalized",IF(ISNUMBER($K448),$K448,""),IF($O448&lt;&gt;"",$O448,"")),IF($K448&lt;&gt;"",$K448,IF($O448&lt;&gt;"",$O448,""))))))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IF(COUNTA($A448:$M448)=0,"",IF(OR(LEFT(LOWER(TRIM($F448&amp;"")),12)="subscription",LOWER(TRIM($F448&amp;""))="membership"),"Subscription",IF(OR(AND($H448&lt;&gt;"",$H448=0),LEFT(LOWER(TRIM($F448&amp;"")),9)="free game",LOWER(TRIM($F448&amp;""))="free",LOWER(TRIM($F448&amp;""))="free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IF(COUNTA($A449:$M449)=0,"",IF(OR(LEFT(LOWER(TRIM($F449&amp;"")),12)="subscription",LOWER(TRIM($F449&amp;""))="membership"),"",IF($G449="","",IF(ISNUMBER(SEARCH("non",LOWER($E449&amp;""))),$G449*0.85,$G449))))</x:f>
      </x:c>
      <x:c r="O449" s="987" t="str">
        <x:f>IF(COUNTA($A449:$M449)=0,"",IF(OR(LEFT(LOWER(TRIM($F449&amp;"")),12)="subscription",LOWER(TRIM($F449&amp;""))="membership"),"",IF(OR($N449="",$I449="",$I449=0),"",IFERROR($N449/$I449,""))))</x:f>
      </x:c>
      <x:c r="P449" s="987" t="str">
        <x:f>IF(COUNTA($A449:$M449)=0,"",IF(OR(LEFT(LOWER(TRIM($F449&amp;"")),12)="subscription",LOWER(TRIM($F449&amp;""))="membership"),"",IF(LOWER($L449&amp;"")="yes",0,IF(OR(AND($H449&lt;&gt;"",$H449=0),LEFT(LOWER(TRIM($F449&amp;"")),9)="free game",LOWER(TRIM($F449&amp;""))="free",LOWER(TRIM($F449&amp;""))="free entry"),IF(LOWER($D449&amp;"")="finalized",IF(ISNUMBER($K449),$K449,""),IF($O449&lt;&gt;"",$O449,"")),IF($K449&lt;&gt;"",$K449,IF($O449&lt;&gt;"",$O449,""))))))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IF(COUNTA($A449:$M449)=0,"",IF(OR(LEFT(LOWER(TRIM($F449&amp;"")),12)="subscription",LOWER(TRIM($F449&amp;""))="membership"),"Subscription",IF(OR(AND($H449&lt;&gt;"",$H449=0),LEFT(LOWER(TRIM($F449&amp;"")),9)="free game",LOWER(TRIM($F449&amp;""))="free",LOWER(TRIM($F449&amp;""))="free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IF(COUNTA($A450:$M450)=0,"",IF(OR(LEFT(LOWER(TRIM($F450&amp;"")),12)="subscription",LOWER(TRIM($F450&amp;""))="membership"),"",IF($G450="","",IF(ISNUMBER(SEARCH("non",LOWER($E450&amp;""))),$G450*0.85,$G450))))</x:f>
      </x:c>
      <x:c r="O450" s="987" t="str">
        <x:f>IF(COUNTA($A450:$M450)=0,"",IF(OR(LEFT(LOWER(TRIM($F450&amp;"")),12)="subscription",LOWER(TRIM($F450&amp;""))="membership"),"",IF(OR($N450="",$I450="",$I450=0),"",IFERROR($N450/$I450,""))))</x:f>
      </x:c>
      <x:c r="P450" s="987" t="str">
        <x:f>IF(COUNTA($A450:$M450)=0,"",IF(OR(LEFT(LOWER(TRIM($F450&amp;"")),12)="subscription",LOWER(TRIM($F450&amp;""))="membership"),"",IF(LOWER($L450&amp;"")="yes",0,IF(OR(AND($H450&lt;&gt;"",$H450=0),LEFT(LOWER(TRIM($F450&amp;"")),9)="free game",LOWER(TRIM($F450&amp;""))="free",LOWER(TRIM($F450&amp;""))="free entry"),IF(LOWER($D450&amp;"")="finalized",IF(ISNUMBER($K450),$K450,""),IF($O450&lt;&gt;"",$O450,"")),IF($K450&lt;&gt;"",$K450,IF($O450&lt;&gt;"",$O450,""))))))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IF(COUNTA($A450:$M450)=0,"",IF(OR(LEFT(LOWER(TRIM($F450&amp;"")),12)="subscription",LOWER(TRIM($F450&amp;""))="membership"),"Subscription",IF(OR(AND($H450&lt;&gt;"",$H450=0),LEFT(LOWER(TRIM($F450&amp;"")),9)="free game",LOWER(TRIM($F450&amp;""))="free",LOWER(TRIM($F450&amp;""))="free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IF(COUNTA($A451:$M451)=0,"",IF(OR(LEFT(LOWER(TRIM($F451&amp;"")),12)="subscription",LOWER(TRIM($F451&amp;""))="membership"),"",IF($G451="","",IF(ISNUMBER(SEARCH("non",LOWER($E451&amp;""))),$G451*0.85,$G451))))</x:f>
      </x:c>
      <x:c r="O451" s="987" t="str">
        <x:f>IF(COUNTA($A451:$M451)=0,"",IF(OR(LEFT(LOWER(TRIM($F451&amp;"")),12)="subscription",LOWER(TRIM($F451&amp;""))="membership"),"",IF(OR($N451="",$I451="",$I451=0),"",IFERROR($N451/$I451,""))))</x:f>
      </x:c>
      <x:c r="P451" s="987" t="str">
        <x:f>IF(COUNTA($A451:$M451)=0,"",IF(OR(LEFT(LOWER(TRIM($F451&amp;"")),12)="subscription",LOWER(TRIM($F451&amp;""))="membership"),"",IF(LOWER($L451&amp;"")="yes",0,IF(OR(AND($H451&lt;&gt;"",$H451=0),LEFT(LOWER(TRIM($F451&amp;"")),9)="free game",LOWER(TRIM($F451&amp;""))="free",LOWER(TRIM($F451&amp;""))="free entry"),IF(LOWER($D451&amp;"")="finalized",IF(ISNUMBER($K451),$K451,""),IF($O451&lt;&gt;"",$O451,"")),IF($K451&lt;&gt;"",$K451,IF($O451&lt;&gt;"",$O451,""))))))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IF(COUNTA($A451:$M451)=0,"",IF(OR(LEFT(LOWER(TRIM($F451&amp;"")),12)="subscription",LOWER(TRIM($F451&amp;""))="membership"),"Subscription",IF(OR(AND($H451&lt;&gt;"",$H451=0),LEFT(LOWER(TRIM($F451&amp;"")),9)="free game",LOWER(TRIM($F451&amp;""))="free",LOWER(TRIM($F451&amp;""))="free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IF(COUNTA($A452:$M452)=0,"",IF(OR(LEFT(LOWER(TRIM($F452&amp;"")),12)="subscription",LOWER(TRIM($F452&amp;""))="membership"),"",IF($G452="","",IF(ISNUMBER(SEARCH("non",LOWER($E452&amp;""))),$G452*0.85,$G452))))</x:f>
      </x:c>
      <x:c r="O452" s="987" t="str">
        <x:f>IF(COUNTA($A452:$M452)=0,"",IF(OR(LEFT(LOWER(TRIM($F452&amp;"")),12)="subscription",LOWER(TRIM($F452&amp;""))="membership"),"",IF(OR($N452="",$I452="",$I452=0),"",IFERROR($N452/$I452,""))))</x:f>
      </x:c>
      <x:c r="P452" s="987" t="str">
        <x:f>IF(COUNTA($A452:$M452)=0,"",IF(OR(LEFT(LOWER(TRIM($F452&amp;"")),12)="subscription",LOWER(TRIM($F452&amp;""))="membership"),"",IF(LOWER($L452&amp;"")="yes",0,IF(OR(AND($H452&lt;&gt;"",$H452=0),LEFT(LOWER(TRIM($F452&amp;"")),9)="free game",LOWER(TRIM($F452&amp;""))="free",LOWER(TRIM($F452&amp;""))="free entry"),IF(LOWER($D452&amp;"")="finalized",IF(ISNUMBER($K452),$K452,""),IF($O452&lt;&gt;"",$O452,"")),IF($K452&lt;&gt;"",$K452,IF($O452&lt;&gt;"",$O452,""))))))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IF(COUNTA($A452:$M452)=0,"",IF(OR(LEFT(LOWER(TRIM($F452&amp;"")),12)="subscription",LOWER(TRIM($F452&amp;""))="membership"),"Subscription",IF(OR(AND($H452&lt;&gt;"",$H452=0),LEFT(LOWER(TRIM($F452&amp;"")),9)="free game",LOWER(TRIM($F452&amp;""))="free",LOWER(TRIM($F452&amp;""))="free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IF(COUNTA($A453:$M453)=0,"",IF(OR(LEFT(LOWER(TRIM($F453&amp;"")),12)="subscription",LOWER(TRIM($F453&amp;""))="membership"),"",IF($G453="","",IF(ISNUMBER(SEARCH("non",LOWER($E453&amp;""))),$G453*0.85,$G453))))</x:f>
      </x:c>
      <x:c r="O453" s="987" t="str">
        <x:f>IF(COUNTA($A453:$M453)=0,"",IF(OR(LEFT(LOWER(TRIM($F453&amp;"")),12)="subscription",LOWER(TRIM($F453&amp;""))="membership"),"",IF(OR($N453="",$I453="",$I453=0),"",IFERROR($N453/$I453,""))))</x:f>
      </x:c>
      <x:c r="P453" s="987" t="str">
        <x:f>IF(COUNTA($A453:$M453)=0,"",IF(OR(LEFT(LOWER(TRIM($F453&amp;"")),12)="subscription",LOWER(TRIM($F453&amp;""))="membership"),"",IF(LOWER($L453&amp;"")="yes",0,IF(OR(AND($H453&lt;&gt;"",$H453=0),LEFT(LOWER(TRIM($F453&amp;"")),9)="free game",LOWER(TRIM($F453&amp;""))="free",LOWER(TRIM($F453&amp;""))="free entry"),IF(LOWER($D453&amp;"")="finalized",IF(ISNUMBER($K453),$K453,""),IF($O453&lt;&gt;"",$O453,"")),IF($K453&lt;&gt;"",$K453,IF($O453&lt;&gt;"",$O453,""))))))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IF(COUNTA($A453:$M453)=0,"",IF(OR(LEFT(LOWER(TRIM($F453&amp;"")),12)="subscription",LOWER(TRIM($F453&amp;""))="membership"),"Subscription",IF(OR(AND($H453&lt;&gt;"",$H453=0),LEFT(LOWER(TRIM($F453&amp;"")),9)="free game",LOWER(TRIM($F453&amp;""))="free",LOWER(TRIM($F453&amp;""))="free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IF(COUNTA($A454:$M454)=0,"",IF(OR(LEFT(LOWER(TRIM($F454&amp;"")),12)="subscription",LOWER(TRIM($F454&amp;""))="membership"),"",IF($G454="","",IF(ISNUMBER(SEARCH("non",LOWER($E454&amp;""))),$G454*0.85,$G454))))</x:f>
      </x:c>
      <x:c r="O454" s="987" t="str">
        <x:f>IF(COUNTA($A454:$M454)=0,"",IF(OR(LEFT(LOWER(TRIM($F454&amp;"")),12)="subscription",LOWER(TRIM($F454&amp;""))="membership"),"",IF(OR($N454="",$I454="",$I454=0),"",IFERROR($N454/$I454,""))))</x:f>
      </x:c>
      <x:c r="P454" s="987" t="str">
        <x:f>IF(COUNTA($A454:$M454)=0,"",IF(OR(LEFT(LOWER(TRIM($F454&amp;"")),12)="subscription",LOWER(TRIM($F454&amp;""))="membership"),"",IF(LOWER($L454&amp;"")="yes",0,IF(OR(AND($H454&lt;&gt;"",$H454=0),LEFT(LOWER(TRIM($F454&amp;"")),9)="free game",LOWER(TRIM($F454&amp;""))="free",LOWER(TRIM($F454&amp;""))="free entry"),IF(LOWER($D454&amp;"")="finalized",IF(ISNUMBER($K454),$K454,""),IF($O454&lt;&gt;"",$O454,"")),IF($K454&lt;&gt;"",$K454,IF($O454&lt;&gt;"",$O454,""))))))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IF(COUNTA($A454:$M454)=0,"",IF(OR(LEFT(LOWER(TRIM($F454&amp;"")),12)="subscription",LOWER(TRIM($F454&amp;""))="membership"),"Subscription",IF(OR(AND($H454&lt;&gt;"",$H454=0),LEFT(LOWER(TRIM($F454&amp;"")),9)="free game",LOWER(TRIM($F454&amp;""))="free",LOWER(TRIM($F454&amp;""))="free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IF(COUNTA($A455:$M455)=0,"",IF(OR(LEFT(LOWER(TRIM($F455&amp;"")),12)="subscription",LOWER(TRIM($F455&amp;""))="membership"),"",IF($G455="","",IF(ISNUMBER(SEARCH("non",LOWER($E455&amp;""))),$G455*0.85,$G455))))</x:f>
      </x:c>
      <x:c r="O455" s="987" t="str">
        <x:f>IF(COUNTA($A455:$M455)=0,"",IF(OR(LEFT(LOWER(TRIM($F455&amp;"")),12)="subscription",LOWER(TRIM($F455&amp;""))="membership"),"",IF(OR($N455="",$I455="",$I455=0),"",IFERROR($N455/$I455,""))))</x:f>
      </x:c>
      <x:c r="P455" s="987" t="str">
        <x:f>IF(COUNTA($A455:$M455)=0,"",IF(OR(LEFT(LOWER(TRIM($F455&amp;"")),12)="subscription",LOWER(TRIM($F455&amp;""))="membership"),"",IF(LOWER($L455&amp;"")="yes",0,IF(OR(AND($H455&lt;&gt;"",$H455=0),LEFT(LOWER(TRIM($F455&amp;"")),9)="free game",LOWER(TRIM($F455&amp;""))="free",LOWER(TRIM($F455&amp;""))="free entry"),IF(LOWER($D455&amp;"")="finalized",IF(ISNUMBER($K455),$K455,""),IF($O455&lt;&gt;"",$O455,"")),IF($K455&lt;&gt;"",$K455,IF($O455&lt;&gt;"",$O455,""))))))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IF(COUNTA($A455:$M455)=0,"",IF(OR(LEFT(LOWER(TRIM($F455&amp;"")),12)="subscription",LOWER(TRIM($F455&amp;""))="membership"),"Subscription",IF(OR(AND($H455&lt;&gt;"",$H455=0),LEFT(LOWER(TRIM($F455&amp;"")),9)="free game",LOWER(TRIM($F455&amp;""))="free",LOWER(TRIM($F455&amp;""))="free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IF(COUNTA($A456:$M456)=0,"",IF(OR(LEFT(LOWER(TRIM($F456&amp;"")),12)="subscription",LOWER(TRIM($F456&amp;""))="membership"),"",IF($G456="","",IF(ISNUMBER(SEARCH("non",LOWER($E456&amp;""))),$G456*0.85,$G456))))</x:f>
      </x:c>
      <x:c r="O456" s="987" t="str">
        <x:f>IF(COUNTA($A456:$M456)=0,"",IF(OR(LEFT(LOWER(TRIM($F456&amp;"")),12)="subscription",LOWER(TRIM($F456&amp;""))="membership"),"",IF(OR($N456="",$I456="",$I456=0),"",IFERROR($N456/$I456,""))))</x:f>
      </x:c>
      <x:c r="P456" s="987" t="str">
        <x:f>IF(COUNTA($A456:$M456)=0,"",IF(OR(LEFT(LOWER(TRIM($F456&amp;"")),12)="subscription",LOWER(TRIM($F456&amp;""))="membership"),"",IF(LOWER($L456&amp;"")="yes",0,IF(OR(AND($H456&lt;&gt;"",$H456=0),LEFT(LOWER(TRIM($F456&amp;"")),9)="free game",LOWER(TRIM($F456&amp;""))="free",LOWER(TRIM($F456&amp;""))="free entry"),IF(LOWER($D456&amp;"")="finalized",IF(ISNUMBER($K456),$K456,""),IF($O456&lt;&gt;"",$O456,"")),IF($K456&lt;&gt;"",$K456,IF($O456&lt;&gt;"",$O456,""))))))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IF(COUNTA($A456:$M456)=0,"",IF(OR(LEFT(LOWER(TRIM($F456&amp;"")),12)="subscription",LOWER(TRIM($F456&amp;""))="membership"),"Subscription",IF(OR(AND($H456&lt;&gt;"",$H456=0),LEFT(LOWER(TRIM($F456&amp;"")),9)="free game",LOWER(TRIM($F456&amp;""))="free",LOWER(TRIM($F456&amp;""))="free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IF(COUNTA($A457:$M457)=0,"",IF(OR(LEFT(LOWER(TRIM($F457&amp;"")),12)="subscription",LOWER(TRIM($F457&amp;""))="membership"),"",IF($G457="","",IF(ISNUMBER(SEARCH("non",LOWER($E457&amp;""))),$G457*0.85,$G457))))</x:f>
      </x:c>
      <x:c r="O457" s="987" t="str">
        <x:f>IF(COUNTA($A457:$M457)=0,"",IF(OR(LEFT(LOWER(TRIM($F457&amp;"")),12)="subscription",LOWER(TRIM($F457&amp;""))="membership"),"",IF(OR($N457="",$I457="",$I457=0),"",IFERROR($N457/$I457,""))))</x:f>
      </x:c>
      <x:c r="P457" s="987" t="str">
        <x:f>IF(COUNTA($A457:$M457)=0,"",IF(OR(LEFT(LOWER(TRIM($F457&amp;"")),12)="subscription",LOWER(TRIM($F457&amp;""))="membership"),"",IF(LOWER($L457&amp;"")="yes",0,IF(OR(AND($H457&lt;&gt;"",$H457=0),LEFT(LOWER(TRIM($F457&amp;"")),9)="free game",LOWER(TRIM($F457&amp;""))="free",LOWER(TRIM($F457&amp;""))="free entry"),IF(LOWER($D457&amp;"")="finalized",IF(ISNUMBER($K457),$K457,""),IF($O457&lt;&gt;"",$O457,"")),IF($K457&lt;&gt;"",$K457,IF($O457&lt;&gt;"",$O457,""))))))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IF(COUNTA($A457:$M457)=0,"",IF(OR(LEFT(LOWER(TRIM($F457&amp;"")),12)="subscription",LOWER(TRIM($F457&amp;""))="membership"),"Subscription",IF(OR(AND($H457&lt;&gt;"",$H457=0),LEFT(LOWER(TRIM($F457&amp;"")),9)="free game",LOWER(TRIM($F457&amp;""))="free",LOWER(TRIM($F457&amp;""))="free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IF(COUNTA($A458:$M458)=0,"",IF(OR(LEFT(LOWER(TRIM($F458&amp;"")),12)="subscription",LOWER(TRIM($F458&amp;""))="membership"),"",IF($G458="","",IF(ISNUMBER(SEARCH("non",LOWER($E458&amp;""))),$G458*0.85,$G458))))</x:f>
      </x:c>
      <x:c r="O458" s="987" t="str">
        <x:f>IF(COUNTA($A458:$M458)=0,"",IF(OR(LEFT(LOWER(TRIM($F458&amp;"")),12)="subscription",LOWER(TRIM($F458&amp;""))="membership"),"",IF(OR($N458="",$I458="",$I458=0),"",IFERROR($N458/$I458,""))))</x:f>
      </x:c>
      <x:c r="P458" s="987" t="str">
        <x:f>IF(COUNTA($A458:$M458)=0,"",IF(OR(LEFT(LOWER(TRIM($F458&amp;"")),12)="subscription",LOWER(TRIM($F458&amp;""))="membership"),"",IF(LOWER($L458&amp;"")="yes",0,IF(OR(AND($H458&lt;&gt;"",$H458=0),LEFT(LOWER(TRIM($F458&amp;"")),9)="free game",LOWER(TRIM($F458&amp;""))="free",LOWER(TRIM($F458&amp;""))="free entry"),IF(LOWER($D458&amp;"")="finalized",IF(ISNUMBER($K458),$K458,""),IF($O458&lt;&gt;"",$O458,"")),IF($K458&lt;&gt;"",$K458,IF($O458&lt;&gt;"",$O458,""))))))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IF(COUNTA($A458:$M458)=0,"",IF(OR(LEFT(LOWER(TRIM($F458&amp;"")),12)="subscription",LOWER(TRIM($F458&amp;""))="membership"),"Subscription",IF(OR(AND($H458&lt;&gt;"",$H458=0),LEFT(LOWER(TRIM($F458&amp;"")),9)="free game",LOWER(TRIM($F458&amp;""))="free",LOWER(TRIM($F458&amp;""))="free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IF(COUNTA($A459:$M459)=0,"",IF(OR(LEFT(LOWER(TRIM($F459&amp;"")),12)="subscription",LOWER(TRIM($F459&amp;""))="membership"),"",IF($G459="","",IF(ISNUMBER(SEARCH("non",LOWER($E459&amp;""))),$G459*0.85,$G459))))</x:f>
      </x:c>
      <x:c r="O459" s="987" t="str">
        <x:f>IF(COUNTA($A459:$M459)=0,"",IF(OR(LEFT(LOWER(TRIM($F459&amp;"")),12)="subscription",LOWER(TRIM($F459&amp;""))="membership"),"",IF(OR($N459="",$I459="",$I459=0),"",IFERROR($N459/$I459,""))))</x:f>
      </x:c>
      <x:c r="P459" s="987" t="str">
        <x:f>IF(COUNTA($A459:$M459)=0,"",IF(OR(LEFT(LOWER(TRIM($F459&amp;"")),12)="subscription",LOWER(TRIM($F459&amp;""))="membership"),"",IF(LOWER($L459&amp;"")="yes",0,IF(OR(AND($H459&lt;&gt;"",$H459=0),LEFT(LOWER(TRIM($F459&amp;"")),9)="free game",LOWER(TRIM($F459&amp;""))="free",LOWER(TRIM($F459&amp;""))="free entry"),IF(LOWER($D459&amp;"")="finalized",IF(ISNUMBER($K459),$K459,""),IF($O459&lt;&gt;"",$O459,"")),IF($K459&lt;&gt;"",$K459,IF($O459&lt;&gt;"",$O459,""))))))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IF(COUNTA($A459:$M459)=0,"",IF(OR(LEFT(LOWER(TRIM($F459&amp;"")),12)="subscription",LOWER(TRIM($F459&amp;""))="membership"),"Subscription",IF(OR(AND($H459&lt;&gt;"",$H459=0),LEFT(LOWER(TRIM($F459&amp;"")),9)="free game",LOWER(TRIM($F459&amp;""))="free",LOWER(TRIM($F459&amp;""))="free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IF(COUNTA($A460:$M460)=0,"",IF(OR(LEFT(LOWER(TRIM($F460&amp;"")),12)="subscription",LOWER(TRIM($F460&amp;""))="membership"),"",IF($G460="","",IF(ISNUMBER(SEARCH("non",LOWER($E460&amp;""))),$G460*0.85,$G460))))</x:f>
      </x:c>
      <x:c r="O460" s="987" t="str">
        <x:f>IF(COUNTA($A460:$M460)=0,"",IF(OR(LEFT(LOWER(TRIM($F460&amp;"")),12)="subscription",LOWER(TRIM($F460&amp;""))="membership"),"",IF(OR($N460="",$I460="",$I460=0),"",IFERROR($N460/$I460,""))))</x:f>
      </x:c>
      <x:c r="P460" s="987" t="str">
        <x:f>IF(COUNTA($A460:$M460)=0,"",IF(OR(LEFT(LOWER(TRIM($F460&amp;"")),12)="subscription",LOWER(TRIM($F460&amp;""))="membership"),"",IF(LOWER($L460&amp;"")="yes",0,IF(OR(AND($H460&lt;&gt;"",$H460=0),LEFT(LOWER(TRIM($F460&amp;"")),9)="free game",LOWER(TRIM($F460&amp;""))="free",LOWER(TRIM($F460&amp;""))="free entry"),IF(LOWER($D460&amp;"")="finalized",IF(ISNUMBER($K460),$K460,""),IF($O460&lt;&gt;"",$O460,"")),IF($K460&lt;&gt;"",$K460,IF($O460&lt;&gt;"",$O460,""))))))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IF(COUNTA($A460:$M460)=0,"",IF(OR(LEFT(LOWER(TRIM($F460&amp;"")),12)="subscription",LOWER(TRIM($F460&amp;""))="membership"),"Subscription",IF(OR(AND($H460&lt;&gt;"",$H460=0),LEFT(LOWER(TRIM($F460&amp;"")),9)="free game",LOWER(TRIM($F460&amp;""))="free",LOWER(TRIM($F460&amp;""))="free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IF(COUNTA($A461:$M461)=0,"",IF(OR(LEFT(LOWER(TRIM($F461&amp;"")),12)="subscription",LOWER(TRIM($F461&amp;""))="membership"),"",IF($G461="","",IF(ISNUMBER(SEARCH("non",LOWER($E461&amp;""))),$G461*0.85,$G461))))</x:f>
      </x:c>
      <x:c r="O461" s="987" t="str">
        <x:f>IF(COUNTA($A461:$M461)=0,"",IF(OR(LEFT(LOWER(TRIM($F461&amp;"")),12)="subscription",LOWER(TRIM($F461&amp;""))="membership"),"",IF(OR($N461="",$I461="",$I461=0),"",IFERROR($N461/$I461,""))))</x:f>
      </x:c>
      <x:c r="P461" s="987" t="str">
        <x:f>IF(COUNTA($A461:$M461)=0,"",IF(OR(LEFT(LOWER(TRIM($F461&amp;"")),12)="subscription",LOWER(TRIM($F461&amp;""))="membership"),"",IF(LOWER($L461&amp;"")="yes",0,IF(OR(AND($H461&lt;&gt;"",$H461=0),LEFT(LOWER(TRIM($F461&amp;"")),9)="free game",LOWER(TRIM($F461&amp;""))="free",LOWER(TRIM($F461&amp;""))="free entry"),IF(LOWER($D461&amp;"")="finalized",IF(ISNUMBER($K461),$K461,""),IF($O461&lt;&gt;"",$O461,"")),IF($K461&lt;&gt;"",$K461,IF($O461&lt;&gt;"",$O461,""))))))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IF(COUNTA($A461:$M461)=0,"",IF(OR(LEFT(LOWER(TRIM($F461&amp;"")),12)="subscription",LOWER(TRIM($F461&amp;""))="membership"),"Subscription",IF(OR(AND($H461&lt;&gt;"",$H461=0),LEFT(LOWER(TRIM($F461&amp;"")),9)="free game",LOWER(TRIM($F461&amp;""))="free",LOWER(TRIM($F461&amp;""))="free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IF(COUNTA($A462:$M462)=0,"",IF(OR(LEFT(LOWER(TRIM($F462&amp;"")),12)="subscription",LOWER(TRIM($F462&amp;""))="membership"),"",IF($G462="","",IF(ISNUMBER(SEARCH("non",LOWER($E462&amp;""))),$G462*0.85,$G462))))</x:f>
      </x:c>
      <x:c r="O462" s="987" t="str">
        <x:f>IF(COUNTA($A462:$M462)=0,"",IF(OR(LEFT(LOWER(TRIM($F462&amp;"")),12)="subscription",LOWER(TRIM($F462&amp;""))="membership"),"",IF(OR($N462="",$I462="",$I462=0),"",IFERROR($N462/$I462,""))))</x:f>
      </x:c>
      <x:c r="P462" s="987" t="str">
        <x:f>IF(COUNTA($A462:$M462)=0,"",IF(OR(LEFT(LOWER(TRIM($F462&amp;"")),12)="subscription",LOWER(TRIM($F462&amp;""))="membership"),"",IF(LOWER($L462&amp;"")="yes",0,IF(OR(AND($H462&lt;&gt;"",$H462=0),LEFT(LOWER(TRIM($F462&amp;"")),9)="free game",LOWER(TRIM($F462&amp;""))="free",LOWER(TRIM($F462&amp;""))="free entry"),IF(LOWER($D462&amp;"")="finalized",IF(ISNUMBER($K462),$K462,""),IF($O462&lt;&gt;"",$O462,"")),IF($K462&lt;&gt;"",$K462,IF($O462&lt;&gt;"",$O462,""))))))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IF(COUNTA($A462:$M462)=0,"",IF(OR(LEFT(LOWER(TRIM($F462&amp;"")),12)="subscription",LOWER(TRIM($F462&amp;""))="membership"),"Subscription",IF(OR(AND($H462&lt;&gt;"",$H462=0),LEFT(LOWER(TRIM($F462&amp;"")),9)="free game",LOWER(TRIM($F462&amp;""))="free",LOWER(TRIM($F462&amp;""))="free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IF(COUNTA($A463:$M463)=0,"",IF(OR(LEFT(LOWER(TRIM($F463&amp;"")),12)="subscription",LOWER(TRIM($F463&amp;""))="membership"),"",IF($G463="","",IF(ISNUMBER(SEARCH("non",LOWER($E463&amp;""))),$G463*0.85,$G463))))</x:f>
      </x:c>
      <x:c r="O463" s="987" t="str">
        <x:f>IF(COUNTA($A463:$M463)=0,"",IF(OR(LEFT(LOWER(TRIM($F463&amp;"")),12)="subscription",LOWER(TRIM($F463&amp;""))="membership"),"",IF(OR($N463="",$I463="",$I463=0),"",IFERROR($N463/$I463,""))))</x:f>
      </x:c>
      <x:c r="P463" s="987" t="str">
        <x:f>IF(COUNTA($A463:$M463)=0,"",IF(OR(LEFT(LOWER(TRIM($F463&amp;"")),12)="subscription",LOWER(TRIM($F463&amp;""))="membership"),"",IF(LOWER($L463&amp;"")="yes",0,IF(OR(AND($H463&lt;&gt;"",$H463=0),LEFT(LOWER(TRIM($F463&amp;"")),9)="free game",LOWER(TRIM($F463&amp;""))="free",LOWER(TRIM($F463&amp;""))="free entry"),IF(LOWER($D463&amp;"")="finalized",IF(ISNUMBER($K463),$K463,""),IF($O463&lt;&gt;"",$O463,"")),IF($K463&lt;&gt;"",$K463,IF($O463&lt;&gt;"",$O463,""))))))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IF(COUNTA($A463:$M463)=0,"",IF(OR(LEFT(LOWER(TRIM($F463&amp;"")),12)="subscription",LOWER(TRIM($F463&amp;""))="membership"),"Subscription",IF(OR(AND($H463&lt;&gt;"",$H463=0),LEFT(LOWER(TRIM($F463&amp;"")),9)="free game",LOWER(TRIM($F463&amp;""))="free",LOWER(TRIM($F463&amp;""))="free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IF(COUNTA($A464:$M464)=0,"",IF(OR(LEFT(LOWER(TRIM($F464&amp;"")),12)="subscription",LOWER(TRIM($F464&amp;""))="membership"),"",IF($G464="","",IF(ISNUMBER(SEARCH("non",LOWER($E464&amp;""))),$G464*0.85,$G464))))</x:f>
      </x:c>
      <x:c r="O464" s="987" t="str">
        <x:f>IF(COUNTA($A464:$M464)=0,"",IF(OR(LEFT(LOWER(TRIM($F464&amp;"")),12)="subscription",LOWER(TRIM($F464&amp;""))="membership"),"",IF(OR($N464="",$I464="",$I464=0),"",IFERROR($N464/$I464,""))))</x:f>
      </x:c>
      <x:c r="P464" s="987" t="str">
        <x:f>IF(COUNTA($A464:$M464)=0,"",IF(OR(LEFT(LOWER(TRIM($F464&amp;"")),12)="subscription",LOWER(TRIM($F464&amp;""))="membership"),"",IF(LOWER($L464&amp;"")="yes",0,IF(OR(AND($H464&lt;&gt;"",$H464=0),LEFT(LOWER(TRIM($F464&amp;"")),9)="free game",LOWER(TRIM($F464&amp;""))="free",LOWER(TRIM($F464&amp;""))="free entry"),IF(LOWER($D464&amp;"")="finalized",IF(ISNUMBER($K464),$K464,""),IF($O464&lt;&gt;"",$O464,"")),IF($K464&lt;&gt;"",$K464,IF($O464&lt;&gt;"",$O464,""))))))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IF(COUNTA($A464:$M464)=0,"",IF(OR(LEFT(LOWER(TRIM($F464&amp;"")),12)="subscription",LOWER(TRIM($F464&amp;""))="membership"),"Subscription",IF(OR(AND($H464&lt;&gt;"",$H464=0),LEFT(LOWER(TRIM($F464&amp;"")),9)="free game",LOWER(TRIM($F464&amp;""))="free",LOWER(TRIM($F464&amp;""))="free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IF(COUNTA($A465:$M465)=0,"",IF(OR(LEFT(LOWER(TRIM($F465&amp;"")),12)="subscription",LOWER(TRIM($F465&amp;""))="membership"),"",IF($G465="","",IF(ISNUMBER(SEARCH("non",LOWER($E465&amp;""))),$G465*0.85,$G465))))</x:f>
      </x:c>
      <x:c r="O465" s="987" t="str">
        <x:f>IF(COUNTA($A465:$M465)=0,"",IF(OR(LEFT(LOWER(TRIM($F465&amp;"")),12)="subscription",LOWER(TRIM($F465&amp;""))="membership"),"",IF(OR($N465="",$I465="",$I465=0),"",IFERROR($N465/$I465,""))))</x:f>
      </x:c>
      <x:c r="P465" s="987" t="str">
        <x:f>IF(COUNTA($A465:$M465)=0,"",IF(OR(LEFT(LOWER(TRIM($F465&amp;"")),12)="subscription",LOWER(TRIM($F465&amp;""))="membership"),"",IF(LOWER($L465&amp;"")="yes",0,IF(OR(AND($H465&lt;&gt;"",$H465=0),LEFT(LOWER(TRIM($F465&amp;"")),9)="free game",LOWER(TRIM($F465&amp;""))="free",LOWER(TRIM($F465&amp;""))="free entry"),IF(LOWER($D465&amp;"")="finalized",IF(ISNUMBER($K465),$K465,""),IF($O465&lt;&gt;"",$O465,"")),IF($K465&lt;&gt;"",$K465,IF($O465&lt;&gt;"",$O465,""))))))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IF(COUNTA($A465:$M465)=0,"",IF(OR(LEFT(LOWER(TRIM($F465&amp;"")),12)="subscription",LOWER(TRIM($F465&amp;""))="membership"),"Subscription",IF(OR(AND($H465&lt;&gt;"",$H465=0),LEFT(LOWER(TRIM($F465&amp;"")),9)="free game",LOWER(TRIM($F465&amp;""))="free",LOWER(TRIM($F465&amp;""))="free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IF(COUNTA($A466:$M466)=0,"",IF(OR(LEFT(LOWER(TRIM($F466&amp;"")),12)="subscription",LOWER(TRIM($F466&amp;""))="membership"),"",IF($G466="","",IF(ISNUMBER(SEARCH("non",LOWER($E466&amp;""))),$G466*0.85,$G466))))</x:f>
      </x:c>
      <x:c r="O466" s="987" t="str">
        <x:f>IF(COUNTA($A466:$M466)=0,"",IF(OR(LEFT(LOWER(TRIM($F466&amp;"")),12)="subscription",LOWER(TRIM($F466&amp;""))="membership"),"",IF(OR($N466="",$I466="",$I466=0),"",IFERROR($N466/$I466,""))))</x:f>
      </x:c>
      <x:c r="P466" s="987" t="str">
        <x:f>IF(COUNTA($A466:$M466)=0,"",IF(OR(LEFT(LOWER(TRIM($F466&amp;"")),12)="subscription",LOWER(TRIM($F466&amp;""))="membership"),"",IF(LOWER($L466&amp;"")="yes",0,IF(OR(AND($H466&lt;&gt;"",$H466=0),LEFT(LOWER(TRIM($F466&amp;"")),9)="free game",LOWER(TRIM($F466&amp;""))="free",LOWER(TRIM($F466&amp;""))="free entry"),IF(LOWER($D466&amp;"")="finalized",IF(ISNUMBER($K466),$K466,""),IF($O466&lt;&gt;"",$O466,"")),IF($K466&lt;&gt;"",$K466,IF($O466&lt;&gt;"",$O466,""))))))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IF(COUNTA($A466:$M466)=0,"",IF(OR(LEFT(LOWER(TRIM($F466&amp;"")),12)="subscription",LOWER(TRIM($F466&amp;""))="membership"),"Subscription",IF(OR(AND($H466&lt;&gt;"",$H466=0),LEFT(LOWER(TRIM($F466&amp;"")),9)="free game",LOWER(TRIM($F466&amp;""))="free",LOWER(TRIM($F466&amp;""))="free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IF(COUNTA($A467:$M467)=0,"",IF(OR(LEFT(LOWER(TRIM($F467&amp;"")),12)="subscription",LOWER(TRIM($F467&amp;""))="membership"),"",IF($G467="","",IF(ISNUMBER(SEARCH("non",LOWER($E467&amp;""))),$G467*0.85,$G467))))</x:f>
      </x:c>
      <x:c r="O467" s="987" t="str">
        <x:f>IF(COUNTA($A467:$M467)=0,"",IF(OR(LEFT(LOWER(TRIM($F467&amp;"")),12)="subscription",LOWER(TRIM($F467&amp;""))="membership"),"",IF(OR($N467="",$I467="",$I467=0),"",IFERROR($N467/$I467,""))))</x:f>
      </x:c>
      <x:c r="P467" s="987" t="str">
        <x:f>IF(COUNTA($A467:$M467)=0,"",IF(OR(LEFT(LOWER(TRIM($F467&amp;"")),12)="subscription",LOWER(TRIM($F467&amp;""))="membership"),"",IF(LOWER($L467&amp;"")="yes",0,IF(OR(AND($H467&lt;&gt;"",$H467=0),LEFT(LOWER(TRIM($F467&amp;"")),9)="free game",LOWER(TRIM($F467&amp;""))="free",LOWER(TRIM($F467&amp;""))="free entry"),IF(LOWER($D467&amp;"")="finalized",IF(ISNUMBER($K467),$K467,""),IF($O467&lt;&gt;"",$O467,"")),IF($K467&lt;&gt;"",$K467,IF($O467&lt;&gt;"",$O467,""))))))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IF(COUNTA($A467:$M467)=0,"",IF(OR(LEFT(LOWER(TRIM($F467&amp;"")),12)="subscription",LOWER(TRIM($F467&amp;""))="membership"),"Subscription",IF(OR(AND($H467&lt;&gt;"",$H467=0),LEFT(LOWER(TRIM($F467&amp;"")),9)="free game",LOWER(TRIM($F467&amp;""))="free",LOWER(TRIM($F467&amp;""))="free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IF(COUNTA($A468:$M468)=0,"",IF(OR(LEFT(LOWER(TRIM($F468&amp;"")),12)="subscription",LOWER(TRIM($F468&amp;""))="membership"),"",IF($G468="","",IF(ISNUMBER(SEARCH("non",LOWER($E468&amp;""))),$G468*0.85,$G468))))</x:f>
      </x:c>
      <x:c r="O468" s="987" t="str">
        <x:f>IF(COUNTA($A468:$M468)=0,"",IF(OR(LEFT(LOWER(TRIM($F468&amp;"")),12)="subscription",LOWER(TRIM($F468&amp;""))="membership"),"",IF(OR($N468="",$I468="",$I468=0),"",IFERROR($N468/$I468,""))))</x:f>
      </x:c>
      <x:c r="P468" s="987" t="str">
        <x:f>IF(COUNTA($A468:$M468)=0,"",IF(OR(LEFT(LOWER(TRIM($F468&amp;"")),12)="subscription",LOWER(TRIM($F468&amp;""))="membership"),"",IF(LOWER($L468&amp;"")="yes",0,IF(OR(AND($H468&lt;&gt;"",$H468=0),LEFT(LOWER(TRIM($F468&amp;"")),9)="free game",LOWER(TRIM($F468&amp;""))="free",LOWER(TRIM($F468&amp;""))="free entry"),IF(LOWER($D468&amp;"")="finalized",IF(ISNUMBER($K468),$K468,""),IF($O468&lt;&gt;"",$O468,"")),IF($K468&lt;&gt;"",$K468,IF($O468&lt;&gt;"",$O468,""))))))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IF(COUNTA($A468:$M468)=0,"",IF(OR(LEFT(LOWER(TRIM($F468&amp;"")),12)="subscription",LOWER(TRIM($F468&amp;""))="membership"),"Subscription",IF(OR(AND($H468&lt;&gt;"",$H468=0),LEFT(LOWER(TRIM($F468&amp;"")),9)="free game",LOWER(TRIM($F468&amp;""))="free",LOWER(TRIM($F468&amp;""))="free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IF(COUNTA($A469:$M469)=0,"",IF(OR(LEFT(LOWER(TRIM($F469&amp;"")),12)="subscription",LOWER(TRIM($F469&amp;""))="membership"),"",IF($G469="","",IF(ISNUMBER(SEARCH("non",LOWER($E469&amp;""))),$G469*0.85,$G469))))</x:f>
      </x:c>
      <x:c r="O469" s="987" t="str">
        <x:f>IF(COUNTA($A469:$M469)=0,"",IF(OR(LEFT(LOWER(TRIM($F469&amp;"")),12)="subscription",LOWER(TRIM($F469&amp;""))="membership"),"",IF(OR($N469="",$I469="",$I469=0),"",IFERROR($N469/$I469,""))))</x:f>
      </x:c>
      <x:c r="P469" s="987" t="str">
        <x:f>IF(COUNTA($A469:$M469)=0,"",IF(OR(LEFT(LOWER(TRIM($F469&amp;"")),12)="subscription",LOWER(TRIM($F469&amp;""))="membership"),"",IF(LOWER($L469&amp;"")="yes",0,IF(OR(AND($H469&lt;&gt;"",$H469=0),LEFT(LOWER(TRIM($F469&amp;"")),9)="free game",LOWER(TRIM($F469&amp;""))="free",LOWER(TRIM($F469&amp;""))="free entry"),IF(LOWER($D469&amp;"")="finalized",IF(ISNUMBER($K469),$K469,""),IF($O469&lt;&gt;"",$O469,"")),IF($K469&lt;&gt;"",$K469,IF($O469&lt;&gt;"",$O469,""))))))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IF(COUNTA($A469:$M469)=0,"",IF(OR(LEFT(LOWER(TRIM($F469&amp;"")),12)="subscription",LOWER(TRIM($F469&amp;""))="membership"),"Subscription",IF(OR(AND($H469&lt;&gt;"",$H469=0),LEFT(LOWER(TRIM($F469&amp;"")),9)="free game",LOWER(TRIM($F469&amp;""))="free",LOWER(TRIM($F469&amp;""))="free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IF(COUNTA($A470:$M470)=0,"",IF(OR(LEFT(LOWER(TRIM($F470&amp;"")),12)="subscription",LOWER(TRIM($F470&amp;""))="membership"),"",IF($G470="","",IF(ISNUMBER(SEARCH("non",LOWER($E470&amp;""))),$G470*0.85,$G470))))</x:f>
      </x:c>
      <x:c r="O470" s="987" t="str">
        <x:f>IF(COUNTA($A470:$M470)=0,"",IF(OR(LEFT(LOWER(TRIM($F470&amp;"")),12)="subscription",LOWER(TRIM($F470&amp;""))="membership"),"",IF(OR($N470="",$I470="",$I470=0),"",IFERROR($N470/$I470,""))))</x:f>
      </x:c>
      <x:c r="P470" s="987" t="str">
        <x:f>IF(COUNTA($A470:$M470)=0,"",IF(OR(LEFT(LOWER(TRIM($F470&amp;"")),12)="subscription",LOWER(TRIM($F470&amp;""))="membership"),"",IF(LOWER($L470&amp;"")="yes",0,IF(OR(AND($H470&lt;&gt;"",$H470=0),LEFT(LOWER(TRIM($F470&amp;"")),9)="free game",LOWER(TRIM($F470&amp;""))="free",LOWER(TRIM($F470&amp;""))="free entry"),IF(LOWER($D470&amp;"")="finalized",IF(ISNUMBER($K470),$K470,""),IF($O470&lt;&gt;"",$O470,"")),IF($K470&lt;&gt;"",$K470,IF($O470&lt;&gt;"",$O470,""))))))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IF(COUNTA($A470:$M470)=0,"",IF(OR(LEFT(LOWER(TRIM($F470&amp;"")),12)="subscription",LOWER(TRIM($F470&amp;""))="membership"),"Subscription",IF(OR(AND($H470&lt;&gt;"",$H470=0),LEFT(LOWER(TRIM($F470&amp;"")),9)="free game",LOWER(TRIM($F470&amp;""))="free",LOWER(TRIM($F470&amp;""))="free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IF(COUNTA($A471:$M471)=0,"",IF(OR(LEFT(LOWER(TRIM($F471&amp;"")),12)="subscription",LOWER(TRIM($F471&amp;""))="membership"),"",IF($G471="","",IF(ISNUMBER(SEARCH("non",LOWER($E471&amp;""))),$G471*0.85,$G471))))</x:f>
      </x:c>
      <x:c r="O471" s="987" t="str">
        <x:f>IF(COUNTA($A471:$M471)=0,"",IF(OR(LEFT(LOWER(TRIM($F471&amp;"")),12)="subscription",LOWER(TRIM($F471&amp;""))="membership"),"",IF(OR($N471="",$I471="",$I471=0),"",IFERROR($N471/$I471,""))))</x:f>
      </x:c>
      <x:c r="P471" s="987" t="str">
        <x:f>IF(COUNTA($A471:$M471)=0,"",IF(OR(LEFT(LOWER(TRIM($F471&amp;"")),12)="subscription",LOWER(TRIM($F471&amp;""))="membership"),"",IF(LOWER($L471&amp;"")="yes",0,IF(OR(AND($H471&lt;&gt;"",$H471=0),LEFT(LOWER(TRIM($F471&amp;"")),9)="free game",LOWER(TRIM($F471&amp;""))="free",LOWER(TRIM($F471&amp;""))="free entry"),IF(LOWER($D471&amp;"")="finalized",IF(ISNUMBER($K471),$K471,""),IF($O471&lt;&gt;"",$O471,"")),IF($K471&lt;&gt;"",$K471,IF($O471&lt;&gt;"",$O471,""))))))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IF(COUNTA($A471:$M471)=0,"",IF(OR(LEFT(LOWER(TRIM($F471&amp;"")),12)="subscription",LOWER(TRIM($F471&amp;""))="membership"),"Subscription",IF(OR(AND($H471&lt;&gt;"",$H471=0),LEFT(LOWER(TRIM($F471&amp;"")),9)="free game",LOWER(TRIM($F471&amp;""))="free",LOWER(TRIM($F471&amp;""))="free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IF(COUNTA($A472:$M472)=0,"",IF(OR(LEFT(LOWER(TRIM($F472&amp;"")),12)="subscription",LOWER(TRIM($F472&amp;""))="membership"),"",IF($G472="","",IF(ISNUMBER(SEARCH("non",LOWER($E472&amp;""))),$G472*0.85,$G472))))</x:f>
      </x:c>
      <x:c r="O472" s="987" t="str">
        <x:f>IF(COUNTA($A472:$M472)=0,"",IF(OR(LEFT(LOWER(TRIM($F472&amp;"")),12)="subscription",LOWER(TRIM($F472&amp;""))="membership"),"",IF(OR($N472="",$I472="",$I472=0),"",IFERROR($N472/$I472,""))))</x:f>
      </x:c>
      <x:c r="P472" s="987" t="str">
        <x:f>IF(COUNTA($A472:$M472)=0,"",IF(OR(LEFT(LOWER(TRIM($F472&amp;"")),12)="subscription",LOWER(TRIM($F472&amp;""))="membership"),"",IF(LOWER($L472&amp;"")="yes",0,IF(OR(AND($H472&lt;&gt;"",$H472=0),LEFT(LOWER(TRIM($F472&amp;"")),9)="free game",LOWER(TRIM($F472&amp;""))="free",LOWER(TRIM($F472&amp;""))="free entry"),IF(LOWER($D472&amp;"")="finalized",IF(ISNUMBER($K472),$K472,""),IF($O472&lt;&gt;"",$O472,"")),IF($K472&lt;&gt;"",$K472,IF($O472&lt;&gt;"",$O472,""))))))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IF(COUNTA($A472:$M472)=0,"",IF(OR(LEFT(LOWER(TRIM($F472&amp;"")),12)="subscription",LOWER(TRIM($F472&amp;""))="membership"),"Subscription",IF(OR(AND($H472&lt;&gt;"",$H472=0),LEFT(LOWER(TRIM($F472&amp;"")),9)="free game",LOWER(TRIM($F472&amp;""))="free",LOWER(TRIM($F472&amp;""))="free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IF(COUNTA($A473:$M473)=0,"",IF(OR(LEFT(LOWER(TRIM($F473&amp;"")),12)="subscription",LOWER(TRIM($F473&amp;""))="membership"),"",IF($G473="","",IF(ISNUMBER(SEARCH("non",LOWER($E473&amp;""))),$G473*0.85,$G473))))</x:f>
      </x:c>
      <x:c r="O473" s="987" t="str">
        <x:f>IF(COUNTA($A473:$M473)=0,"",IF(OR(LEFT(LOWER(TRIM($F473&amp;"")),12)="subscription",LOWER(TRIM($F473&amp;""))="membership"),"",IF(OR($N473="",$I473="",$I473=0),"",IFERROR($N473/$I473,""))))</x:f>
      </x:c>
      <x:c r="P473" s="987" t="str">
        <x:f>IF(COUNTA($A473:$M473)=0,"",IF(OR(LEFT(LOWER(TRIM($F473&amp;"")),12)="subscription",LOWER(TRIM($F473&amp;""))="membership"),"",IF(LOWER($L473&amp;"")="yes",0,IF(OR(AND($H473&lt;&gt;"",$H473=0),LEFT(LOWER(TRIM($F473&amp;"")),9)="free game",LOWER(TRIM($F473&amp;""))="free",LOWER(TRIM($F473&amp;""))="free entry"),IF(LOWER($D473&amp;"")="finalized",IF(ISNUMBER($K473),$K473,""),IF($O473&lt;&gt;"",$O473,"")),IF($K473&lt;&gt;"",$K473,IF($O473&lt;&gt;"",$O473,""))))))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IF(COUNTA($A473:$M473)=0,"",IF(OR(LEFT(LOWER(TRIM($F473&amp;"")),12)="subscription",LOWER(TRIM($F473&amp;""))="membership"),"Subscription",IF(OR(AND($H473&lt;&gt;"",$H473=0),LEFT(LOWER(TRIM($F473&amp;"")),9)="free game",LOWER(TRIM($F473&amp;""))="free",LOWER(TRIM($F473&amp;""))="free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IF(COUNTA($A474:$M474)=0,"",IF(OR(LEFT(LOWER(TRIM($F474&amp;"")),12)="subscription",LOWER(TRIM($F474&amp;""))="membership"),"",IF($G474="","",IF(ISNUMBER(SEARCH("non",LOWER($E474&amp;""))),$G474*0.85,$G474))))</x:f>
      </x:c>
      <x:c r="O474" s="987" t="str">
        <x:f>IF(COUNTA($A474:$M474)=0,"",IF(OR(LEFT(LOWER(TRIM($F474&amp;"")),12)="subscription",LOWER(TRIM($F474&amp;""))="membership"),"",IF(OR($N474="",$I474="",$I474=0),"",IFERROR($N474/$I474,""))))</x:f>
      </x:c>
      <x:c r="P474" s="987" t="str">
        <x:f>IF(COUNTA($A474:$M474)=0,"",IF(OR(LEFT(LOWER(TRIM($F474&amp;"")),12)="subscription",LOWER(TRIM($F474&amp;""))="membership"),"",IF(LOWER($L474&amp;"")="yes",0,IF(OR(AND($H474&lt;&gt;"",$H474=0),LEFT(LOWER(TRIM($F474&amp;"")),9)="free game",LOWER(TRIM($F474&amp;""))="free",LOWER(TRIM($F474&amp;""))="free entry"),IF(LOWER($D474&amp;"")="finalized",IF(ISNUMBER($K474),$K474,""),IF($O474&lt;&gt;"",$O474,"")),IF($K474&lt;&gt;"",$K474,IF($O474&lt;&gt;"",$O474,""))))))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IF(COUNTA($A474:$M474)=0,"",IF(OR(LEFT(LOWER(TRIM($F474&amp;"")),12)="subscription",LOWER(TRIM($F474&amp;""))="membership"),"Subscription",IF(OR(AND($H474&lt;&gt;"",$H474=0),LEFT(LOWER(TRIM($F474&amp;"")),9)="free game",LOWER(TRIM($F474&amp;""))="free",LOWER(TRIM($F474&amp;""))="free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IF(COUNTA($A475:$M475)=0,"",IF(OR(LEFT(LOWER(TRIM($F475&amp;"")),12)="subscription",LOWER(TRIM($F475&amp;""))="membership"),"",IF($G475="","",IF(ISNUMBER(SEARCH("non",LOWER($E475&amp;""))),$G475*0.85,$G475))))</x:f>
      </x:c>
      <x:c r="O475" s="987" t="str">
        <x:f>IF(COUNTA($A475:$M475)=0,"",IF(OR(LEFT(LOWER(TRIM($F475&amp;"")),12)="subscription",LOWER(TRIM($F475&amp;""))="membership"),"",IF(OR($N475="",$I475="",$I475=0),"",IFERROR($N475/$I475,""))))</x:f>
      </x:c>
      <x:c r="P475" s="987" t="str">
        <x:f>IF(COUNTA($A475:$M475)=0,"",IF(OR(LEFT(LOWER(TRIM($F475&amp;"")),12)="subscription",LOWER(TRIM($F475&amp;""))="membership"),"",IF(LOWER($L475&amp;"")="yes",0,IF(OR(AND($H475&lt;&gt;"",$H475=0),LEFT(LOWER(TRIM($F475&amp;"")),9)="free game",LOWER(TRIM($F475&amp;""))="free",LOWER(TRIM($F475&amp;""))="free entry"),IF(LOWER($D475&amp;"")="finalized",IF(ISNUMBER($K475),$K475,""),IF($O475&lt;&gt;"",$O475,"")),IF($K475&lt;&gt;"",$K475,IF($O475&lt;&gt;"",$O475,""))))))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IF(COUNTA($A475:$M475)=0,"",IF(OR(LEFT(LOWER(TRIM($F475&amp;"")),12)="subscription",LOWER(TRIM($F475&amp;""))="membership"),"Subscription",IF(OR(AND($H475&lt;&gt;"",$H475=0),LEFT(LOWER(TRIM($F475&amp;"")),9)="free game",LOWER(TRIM($F475&amp;""))="free",LOWER(TRIM($F475&amp;""))="free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IF(COUNTA($A476:$M476)=0,"",IF(OR(LEFT(LOWER(TRIM($F476&amp;"")),12)="subscription",LOWER(TRIM($F476&amp;""))="membership"),"",IF($G476="","",IF(ISNUMBER(SEARCH("non",LOWER($E476&amp;""))),$G476*0.85,$G476))))</x:f>
      </x:c>
      <x:c r="O476" s="987" t="str">
        <x:f>IF(COUNTA($A476:$M476)=0,"",IF(OR(LEFT(LOWER(TRIM($F476&amp;"")),12)="subscription",LOWER(TRIM($F476&amp;""))="membership"),"",IF(OR($N476="",$I476="",$I476=0),"",IFERROR($N476/$I476,""))))</x:f>
      </x:c>
      <x:c r="P476" s="987" t="str">
        <x:f>IF(COUNTA($A476:$M476)=0,"",IF(OR(LEFT(LOWER(TRIM($F476&amp;"")),12)="subscription",LOWER(TRIM($F476&amp;""))="membership"),"",IF(LOWER($L476&amp;"")="yes",0,IF(OR(AND($H476&lt;&gt;"",$H476=0),LEFT(LOWER(TRIM($F476&amp;"")),9)="free game",LOWER(TRIM($F476&amp;""))="free",LOWER(TRIM($F476&amp;""))="free entry"),IF(LOWER($D476&amp;"")="finalized",IF(ISNUMBER($K476),$K476,""),IF($O476&lt;&gt;"",$O476,"")),IF($K476&lt;&gt;"",$K476,IF($O476&lt;&gt;"",$O476,""))))))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IF(COUNTA($A476:$M476)=0,"",IF(OR(LEFT(LOWER(TRIM($F476&amp;"")),12)="subscription",LOWER(TRIM($F476&amp;""))="membership"),"Subscription",IF(OR(AND($H476&lt;&gt;"",$H476=0),LEFT(LOWER(TRIM($F476&amp;"")),9)="free game",LOWER(TRIM($F476&amp;""))="free",LOWER(TRIM($F476&amp;""))="free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IF(COUNTA($A477:$M477)=0,"",IF(OR(LEFT(LOWER(TRIM($F477&amp;"")),12)="subscription",LOWER(TRIM($F477&amp;""))="membership"),"",IF($G477="","",IF(ISNUMBER(SEARCH("non",LOWER($E477&amp;""))),$G477*0.85,$G477))))</x:f>
      </x:c>
      <x:c r="O477" s="987" t="str">
        <x:f>IF(COUNTA($A477:$M477)=0,"",IF(OR(LEFT(LOWER(TRIM($F477&amp;"")),12)="subscription",LOWER(TRIM($F477&amp;""))="membership"),"",IF(OR($N477="",$I477="",$I477=0),"",IFERROR($N477/$I477,""))))</x:f>
      </x:c>
      <x:c r="P477" s="987" t="str">
        <x:f>IF(COUNTA($A477:$M477)=0,"",IF(OR(LEFT(LOWER(TRIM($F477&amp;"")),12)="subscription",LOWER(TRIM($F477&amp;""))="membership"),"",IF(LOWER($L477&amp;"")="yes",0,IF(OR(AND($H477&lt;&gt;"",$H477=0),LEFT(LOWER(TRIM($F477&amp;"")),9)="free game",LOWER(TRIM($F477&amp;""))="free",LOWER(TRIM($F477&amp;""))="free entry"),IF(LOWER($D477&amp;"")="finalized",IF(ISNUMBER($K477),$K477,""),IF($O477&lt;&gt;"",$O477,"")),IF($K477&lt;&gt;"",$K477,IF($O477&lt;&gt;"",$O477,""))))))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IF(COUNTA($A477:$M477)=0,"",IF(OR(LEFT(LOWER(TRIM($F477&amp;"")),12)="subscription",LOWER(TRIM($F477&amp;""))="membership"),"Subscription",IF(OR(AND($H477&lt;&gt;"",$H477=0),LEFT(LOWER(TRIM($F477&amp;"")),9)="free game",LOWER(TRIM($F477&amp;""))="free",LOWER(TRIM($F477&amp;""))="free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IF(COUNTA($A478:$M478)=0,"",IF(OR(LEFT(LOWER(TRIM($F478&amp;"")),12)="subscription",LOWER(TRIM($F478&amp;""))="membership"),"",IF($G478="","",IF(ISNUMBER(SEARCH("non",LOWER($E478&amp;""))),$G478*0.85,$G478))))</x:f>
      </x:c>
      <x:c r="O478" s="987" t="str">
        <x:f>IF(COUNTA($A478:$M478)=0,"",IF(OR(LEFT(LOWER(TRIM($F478&amp;"")),12)="subscription",LOWER(TRIM($F478&amp;""))="membership"),"",IF(OR($N478="",$I478="",$I478=0),"",IFERROR($N478/$I478,""))))</x:f>
      </x:c>
      <x:c r="P478" s="987" t="str">
        <x:f>IF(COUNTA($A478:$M478)=0,"",IF(OR(LEFT(LOWER(TRIM($F478&amp;"")),12)="subscription",LOWER(TRIM($F478&amp;""))="membership"),"",IF(LOWER($L478&amp;"")="yes",0,IF(OR(AND($H478&lt;&gt;"",$H478=0),LEFT(LOWER(TRIM($F478&amp;"")),9)="free game",LOWER(TRIM($F478&amp;""))="free",LOWER(TRIM($F478&amp;""))="free entry"),IF(LOWER($D478&amp;"")="finalized",IF(ISNUMBER($K478),$K478,""),IF($O478&lt;&gt;"",$O478,"")),IF($K478&lt;&gt;"",$K478,IF($O478&lt;&gt;"",$O478,""))))))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IF(COUNTA($A478:$M478)=0,"",IF(OR(LEFT(LOWER(TRIM($F478&amp;"")),12)="subscription",LOWER(TRIM($F478&amp;""))="membership"),"Subscription",IF(OR(AND($H478&lt;&gt;"",$H478=0),LEFT(LOWER(TRIM($F478&amp;"")),9)="free game",LOWER(TRIM($F478&amp;""))="free",LOWER(TRIM($F478&amp;""))="free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IF(COUNTA($A479:$M479)=0,"",IF(OR(LEFT(LOWER(TRIM($F479&amp;"")),12)="subscription",LOWER(TRIM($F479&amp;""))="membership"),"",IF($G479="","",IF(ISNUMBER(SEARCH("non",LOWER($E479&amp;""))),$G479*0.85,$G479))))</x:f>
      </x:c>
      <x:c r="O479" s="987" t="str">
        <x:f>IF(COUNTA($A479:$M479)=0,"",IF(OR(LEFT(LOWER(TRIM($F479&amp;"")),12)="subscription",LOWER(TRIM($F479&amp;""))="membership"),"",IF(OR($N479="",$I479="",$I479=0),"",IFERROR($N479/$I479,""))))</x:f>
      </x:c>
      <x:c r="P479" s="987" t="str">
        <x:f>IF(COUNTA($A479:$M479)=0,"",IF(OR(LEFT(LOWER(TRIM($F479&amp;"")),12)="subscription",LOWER(TRIM($F479&amp;""))="membership"),"",IF(LOWER($L479&amp;"")="yes",0,IF(OR(AND($H479&lt;&gt;"",$H479=0),LEFT(LOWER(TRIM($F479&amp;"")),9)="free game",LOWER(TRIM($F479&amp;""))="free",LOWER(TRIM($F479&amp;""))="free entry"),IF(LOWER($D479&amp;"")="finalized",IF(ISNUMBER($K479),$K479,""),IF($O479&lt;&gt;"",$O479,"")),IF($K479&lt;&gt;"",$K479,IF($O479&lt;&gt;"",$O479,""))))))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IF(COUNTA($A479:$M479)=0,"",IF(OR(LEFT(LOWER(TRIM($F479&amp;"")),12)="subscription",LOWER(TRIM($F479&amp;""))="membership"),"Subscription",IF(OR(AND($H479&lt;&gt;"",$H479=0),LEFT(LOWER(TRIM($F479&amp;"")),9)="free game",LOWER(TRIM($F479&amp;""))="free",LOWER(TRIM($F479&amp;""))="free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IF(COUNTA($A480:$M480)=0,"",IF(OR(LEFT(LOWER(TRIM($F480&amp;"")),12)="subscription",LOWER(TRIM($F480&amp;""))="membership"),"",IF($G480="","",IF(ISNUMBER(SEARCH("non",LOWER($E480&amp;""))),$G480*0.85,$G480))))</x:f>
      </x:c>
      <x:c r="O480" s="987" t="str">
        <x:f>IF(COUNTA($A480:$M480)=0,"",IF(OR(LEFT(LOWER(TRIM($F480&amp;"")),12)="subscription",LOWER(TRIM($F480&amp;""))="membership"),"",IF(OR($N480="",$I480="",$I480=0),"",IFERROR($N480/$I480,""))))</x:f>
      </x:c>
      <x:c r="P480" s="987" t="str">
        <x:f>IF(COUNTA($A480:$M480)=0,"",IF(OR(LEFT(LOWER(TRIM($F480&amp;"")),12)="subscription",LOWER(TRIM($F480&amp;""))="membership"),"",IF(LOWER($L480&amp;"")="yes",0,IF(OR(AND($H480&lt;&gt;"",$H480=0),LEFT(LOWER(TRIM($F480&amp;"")),9)="free game",LOWER(TRIM($F480&amp;""))="free",LOWER(TRIM($F480&amp;""))="free entry"),IF(LOWER($D480&amp;"")="finalized",IF(ISNUMBER($K480),$K480,""),IF($O480&lt;&gt;"",$O480,"")),IF($K480&lt;&gt;"",$K480,IF($O480&lt;&gt;"",$O480,""))))))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IF(COUNTA($A480:$M480)=0,"",IF(OR(LEFT(LOWER(TRIM($F480&amp;"")),12)="subscription",LOWER(TRIM($F480&amp;""))="membership"),"Subscription",IF(OR(AND($H480&lt;&gt;"",$H480=0),LEFT(LOWER(TRIM($F480&amp;"")),9)="free game",LOWER(TRIM($F480&amp;""))="free",LOWER(TRIM($F480&amp;""))="free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IF(COUNTA($A481:$M481)=0,"",IF(OR(LEFT(LOWER(TRIM($F481&amp;"")),12)="subscription",LOWER(TRIM($F481&amp;""))="membership"),"",IF($G481="","",IF(ISNUMBER(SEARCH("non",LOWER($E481&amp;""))),$G481*0.85,$G481))))</x:f>
      </x:c>
      <x:c r="O481" s="987" t="str">
        <x:f>IF(COUNTA($A481:$M481)=0,"",IF(OR(LEFT(LOWER(TRIM($F481&amp;"")),12)="subscription",LOWER(TRIM($F481&amp;""))="membership"),"",IF(OR($N481="",$I481="",$I481=0),"",IFERROR($N481/$I481,""))))</x:f>
      </x:c>
      <x:c r="P481" s="987" t="str">
        <x:f>IF(COUNTA($A481:$M481)=0,"",IF(OR(LEFT(LOWER(TRIM($F481&amp;"")),12)="subscription",LOWER(TRIM($F481&amp;""))="membership"),"",IF(LOWER($L481&amp;"")="yes",0,IF(OR(AND($H481&lt;&gt;"",$H481=0),LEFT(LOWER(TRIM($F481&amp;"")),9)="free game",LOWER(TRIM($F481&amp;""))="free",LOWER(TRIM($F481&amp;""))="free entry"),IF(LOWER($D481&amp;"")="finalized",IF(ISNUMBER($K481),$K481,""),IF($O481&lt;&gt;"",$O481,"")),IF($K481&lt;&gt;"",$K481,IF($O481&lt;&gt;"",$O481,""))))))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IF(COUNTA($A481:$M481)=0,"",IF(OR(LEFT(LOWER(TRIM($F481&amp;"")),12)="subscription",LOWER(TRIM($F481&amp;""))="membership"),"Subscription",IF(OR(AND($H481&lt;&gt;"",$H481=0),LEFT(LOWER(TRIM($F481&amp;"")),9)="free game",LOWER(TRIM($F481&amp;""))="free",LOWER(TRIM($F481&amp;""))="free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IF(COUNTA($A482:$M482)=0,"",IF(OR(LEFT(LOWER(TRIM($F482&amp;"")),12)="subscription",LOWER(TRIM($F482&amp;""))="membership"),"",IF($G482="","",IF(ISNUMBER(SEARCH("non",LOWER($E482&amp;""))),$G482*0.85,$G482))))</x:f>
      </x:c>
      <x:c r="O482" s="987" t="str">
        <x:f>IF(COUNTA($A482:$M482)=0,"",IF(OR(LEFT(LOWER(TRIM($F482&amp;"")),12)="subscription",LOWER(TRIM($F482&amp;""))="membership"),"",IF(OR($N482="",$I482="",$I482=0),"",IFERROR($N482/$I482,""))))</x:f>
      </x:c>
      <x:c r="P482" s="987" t="str">
        <x:f>IF(COUNTA($A482:$M482)=0,"",IF(OR(LEFT(LOWER(TRIM($F482&amp;"")),12)="subscription",LOWER(TRIM($F482&amp;""))="membership"),"",IF(LOWER($L482&amp;"")="yes",0,IF(OR(AND($H482&lt;&gt;"",$H482=0),LEFT(LOWER(TRIM($F482&amp;"")),9)="free game",LOWER(TRIM($F482&amp;""))="free",LOWER(TRIM($F482&amp;""))="free entry"),IF(LOWER($D482&amp;"")="finalized",IF(ISNUMBER($K482),$K482,""),IF($O482&lt;&gt;"",$O482,"")),IF($K482&lt;&gt;"",$K482,IF($O482&lt;&gt;"",$O482,""))))))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IF(COUNTA($A482:$M482)=0,"",IF(OR(LEFT(LOWER(TRIM($F482&amp;"")),12)="subscription",LOWER(TRIM($F482&amp;""))="membership"),"Subscription",IF(OR(AND($H482&lt;&gt;"",$H482=0),LEFT(LOWER(TRIM($F482&amp;"")),9)="free game",LOWER(TRIM($F482&amp;""))="free",LOWER(TRIM($F482&amp;""))="free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IF(COUNTA($A483:$M483)=0,"",IF(OR(LEFT(LOWER(TRIM($F483&amp;"")),12)="subscription",LOWER(TRIM($F483&amp;""))="membership"),"",IF($G483="","",IF(ISNUMBER(SEARCH("non",LOWER($E483&amp;""))),$G483*0.85,$G483))))</x:f>
      </x:c>
      <x:c r="O483" s="987" t="str">
        <x:f>IF(COUNTA($A483:$M483)=0,"",IF(OR(LEFT(LOWER(TRIM($F483&amp;"")),12)="subscription",LOWER(TRIM($F483&amp;""))="membership"),"",IF(OR($N483="",$I483="",$I483=0),"",IFERROR($N483/$I483,""))))</x:f>
      </x:c>
      <x:c r="P483" s="987" t="str">
        <x:f>IF(COUNTA($A483:$M483)=0,"",IF(OR(LEFT(LOWER(TRIM($F483&amp;"")),12)="subscription",LOWER(TRIM($F483&amp;""))="membership"),"",IF(LOWER($L483&amp;"")="yes",0,IF(OR(AND($H483&lt;&gt;"",$H483=0),LEFT(LOWER(TRIM($F483&amp;"")),9)="free game",LOWER(TRIM($F483&amp;""))="free",LOWER(TRIM($F483&amp;""))="free entry"),IF(LOWER($D483&amp;"")="finalized",IF(ISNUMBER($K483),$K483,""),IF($O483&lt;&gt;"",$O483,"")),IF($K483&lt;&gt;"",$K483,IF($O483&lt;&gt;"",$O483,""))))))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IF(COUNTA($A483:$M483)=0,"",IF(OR(LEFT(LOWER(TRIM($F483&amp;"")),12)="subscription",LOWER(TRIM($F483&amp;""))="membership"),"Subscription",IF(OR(AND($H483&lt;&gt;"",$H483=0),LEFT(LOWER(TRIM($F483&amp;"")),9)="free game",LOWER(TRIM($F483&amp;""))="free",LOWER(TRIM($F483&amp;""))="free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IF(COUNTA($A484:$M484)=0,"",IF(OR(LEFT(LOWER(TRIM($F484&amp;"")),12)="subscription",LOWER(TRIM($F484&amp;""))="membership"),"",IF($G484="","",IF(ISNUMBER(SEARCH("non",LOWER($E484&amp;""))),$G484*0.85,$G484))))</x:f>
      </x:c>
      <x:c r="O484" s="987" t="str">
        <x:f>IF(COUNTA($A484:$M484)=0,"",IF(OR(LEFT(LOWER(TRIM($F484&amp;"")),12)="subscription",LOWER(TRIM($F484&amp;""))="membership"),"",IF(OR($N484="",$I484="",$I484=0),"",IFERROR($N484/$I484,""))))</x:f>
      </x:c>
      <x:c r="P484" s="987" t="str">
        <x:f>IF(COUNTA($A484:$M484)=0,"",IF(OR(LEFT(LOWER(TRIM($F484&amp;"")),12)="subscription",LOWER(TRIM($F484&amp;""))="membership"),"",IF(LOWER($L484&amp;"")="yes",0,IF(OR(AND($H484&lt;&gt;"",$H484=0),LEFT(LOWER(TRIM($F484&amp;"")),9)="free game",LOWER(TRIM($F484&amp;""))="free",LOWER(TRIM($F484&amp;""))="free entry"),IF(LOWER($D484&amp;"")="finalized",IF(ISNUMBER($K484),$K484,""),IF($O484&lt;&gt;"",$O484,"")),IF($K484&lt;&gt;"",$K484,IF($O484&lt;&gt;"",$O484,""))))))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IF(COUNTA($A484:$M484)=0,"",IF(OR(LEFT(LOWER(TRIM($F484&amp;"")),12)="subscription",LOWER(TRIM($F484&amp;""))="membership"),"Subscription",IF(OR(AND($H484&lt;&gt;"",$H484=0),LEFT(LOWER(TRIM($F484&amp;"")),9)="free game",LOWER(TRIM($F484&amp;""))="free",LOWER(TRIM($F484&amp;""))="free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IF(COUNTA($A485:$M485)=0,"",IF(OR(LEFT(LOWER(TRIM($F485&amp;"")),12)="subscription",LOWER(TRIM($F485&amp;""))="membership"),"",IF($G485="","",IF(ISNUMBER(SEARCH("non",LOWER($E485&amp;""))),$G485*0.85,$G485))))</x:f>
      </x:c>
      <x:c r="O485" s="987" t="str">
        <x:f>IF(COUNTA($A485:$M485)=0,"",IF(OR(LEFT(LOWER(TRIM($F485&amp;"")),12)="subscription",LOWER(TRIM($F485&amp;""))="membership"),"",IF(OR($N485="",$I485="",$I485=0),"",IFERROR($N485/$I485,""))))</x:f>
      </x:c>
      <x:c r="P485" s="987" t="str">
        <x:f>IF(COUNTA($A485:$M485)=0,"",IF(OR(LEFT(LOWER(TRIM($F485&amp;"")),12)="subscription",LOWER(TRIM($F485&amp;""))="membership"),"",IF(LOWER($L485&amp;"")="yes",0,IF(OR(AND($H485&lt;&gt;"",$H485=0),LEFT(LOWER(TRIM($F485&amp;"")),9)="free game",LOWER(TRIM($F485&amp;""))="free",LOWER(TRIM($F485&amp;""))="free entry"),IF(LOWER($D485&amp;"")="finalized",IF(ISNUMBER($K485),$K485,""),IF($O485&lt;&gt;"",$O485,"")),IF($K485&lt;&gt;"",$K485,IF($O485&lt;&gt;"",$O485,""))))))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IF(COUNTA($A485:$M485)=0,"",IF(OR(LEFT(LOWER(TRIM($F485&amp;"")),12)="subscription",LOWER(TRIM($F485&amp;""))="membership"),"Subscription",IF(OR(AND($H485&lt;&gt;"",$H485=0),LEFT(LOWER(TRIM($F485&amp;"")),9)="free game",LOWER(TRIM($F485&amp;""))="free",LOWER(TRIM($F485&amp;""))="free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IF(COUNTA($A486:$M486)=0,"",IF(OR(LEFT(LOWER(TRIM($F486&amp;"")),12)="subscription",LOWER(TRIM($F486&amp;""))="membership"),"",IF($G486="","",IF(ISNUMBER(SEARCH("non",LOWER($E486&amp;""))),$G486*0.85,$G486))))</x:f>
      </x:c>
      <x:c r="O486" s="987" t="str">
        <x:f>IF(COUNTA($A486:$M486)=0,"",IF(OR(LEFT(LOWER(TRIM($F486&amp;"")),12)="subscription",LOWER(TRIM($F486&amp;""))="membership"),"",IF(OR($N486="",$I486="",$I486=0),"",IFERROR($N486/$I486,""))))</x:f>
      </x:c>
      <x:c r="P486" s="987" t="str">
        <x:f>IF(COUNTA($A486:$M486)=0,"",IF(OR(LEFT(LOWER(TRIM($F486&amp;"")),12)="subscription",LOWER(TRIM($F486&amp;""))="membership"),"",IF(LOWER($L486&amp;"")="yes",0,IF(OR(AND($H486&lt;&gt;"",$H486=0),LEFT(LOWER(TRIM($F486&amp;"")),9)="free game",LOWER(TRIM($F486&amp;""))="free",LOWER(TRIM($F486&amp;""))="free entry"),IF(LOWER($D486&amp;"")="finalized",IF(ISNUMBER($K486),$K486,""),IF($O486&lt;&gt;"",$O486,"")),IF($K486&lt;&gt;"",$K486,IF($O486&lt;&gt;"",$O486,""))))))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IF(COUNTA($A486:$M486)=0,"",IF(OR(LEFT(LOWER(TRIM($F486&amp;"")),12)="subscription",LOWER(TRIM($F486&amp;""))="membership"),"Subscription",IF(OR(AND($H486&lt;&gt;"",$H486=0),LEFT(LOWER(TRIM($F486&amp;"")),9)="free game",LOWER(TRIM($F486&amp;""))="free",LOWER(TRIM($F486&amp;""))="free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IF(COUNTA($A487:$M487)=0,"",IF(OR(LEFT(LOWER(TRIM($F487&amp;"")),12)="subscription",LOWER(TRIM($F487&amp;""))="membership"),"",IF($G487="","",IF(ISNUMBER(SEARCH("non",LOWER($E487&amp;""))),$G487*0.85,$G487))))</x:f>
      </x:c>
      <x:c r="O487" s="987" t="str">
        <x:f>IF(COUNTA($A487:$M487)=0,"",IF(OR(LEFT(LOWER(TRIM($F487&amp;"")),12)="subscription",LOWER(TRIM($F487&amp;""))="membership"),"",IF(OR($N487="",$I487="",$I487=0),"",IFERROR($N487/$I487,""))))</x:f>
      </x:c>
      <x:c r="P487" s="987" t="str">
        <x:f>IF(COUNTA($A487:$M487)=0,"",IF(OR(LEFT(LOWER(TRIM($F487&amp;"")),12)="subscription",LOWER(TRIM($F487&amp;""))="membership"),"",IF(LOWER($L487&amp;"")="yes",0,IF(OR(AND($H487&lt;&gt;"",$H487=0),LEFT(LOWER(TRIM($F487&amp;"")),9)="free game",LOWER(TRIM($F487&amp;""))="free",LOWER(TRIM($F487&amp;""))="free entry"),IF(LOWER($D487&amp;"")="finalized",IF(ISNUMBER($K487),$K487,""),IF($O487&lt;&gt;"",$O487,"")),IF($K487&lt;&gt;"",$K487,IF($O487&lt;&gt;"",$O487,""))))))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IF(COUNTA($A487:$M487)=0,"",IF(OR(LEFT(LOWER(TRIM($F487&amp;"")),12)="subscription",LOWER(TRIM($F487&amp;""))="membership"),"Subscription",IF(OR(AND($H487&lt;&gt;"",$H487=0),LEFT(LOWER(TRIM($F487&amp;"")),9)="free game",LOWER(TRIM($F487&amp;""))="free",LOWER(TRIM($F487&amp;""))="free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IF(COUNTA($A488:$M488)=0,"",IF(OR(LEFT(LOWER(TRIM($F488&amp;"")),12)="subscription",LOWER(TRIM($F488&amp;""))="membership"),"",IF($G488="","",IF(ISNUMBER(SEARCH("non",LOWER($E488&amp;""))),$G488*0.85,$G488))))</x:f>
      </x:c>
      <x:c r="O488" s="987" t="str">
        <x:f>IF(COUNTA($A488:$M488)=0,"",IF(OR(LEFT(LOWER(TRIM($F488&amp;"")),12)="subscription",LOWER(TRIM($F488&amp;""))="membership"),"",IF(OR($N488="",$I488="",$I488=0),"",IFERROR($N488/$I488,""))))</x:f>
      </x:c>
      <x:c r="P488" s="987" t="str">
        <x:f>IF(COUNTA($A488:$M488)=0,"",IF(OR(LEFT(LOWER(TRIM($F488&amp;"")),12)="subscription",LOWER(TRIM($F488&amp;""))="membership"),"",IF(LOWER($L488&amp;"")="yes",0,IF(OR(AND($H488&lt;&gt;"",$H488=0),LEFT(LOWER(TRIM($F488&amp;"")),9)="free game",LOWER(TRIM($F488&amp;""))="free",LOWER(TRIM($F488&amp;""))="free entry"),IF(LOWER($D488&amp;"")="finalized",IF(ISNUMBER($K488),$K488,""),IF($O488&lt;&gt;"",$O488,"")),IF($K488&lt;&gt;"",$K488,IF($O488&lt;&gt;"",$O488,""))))))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IF(COUNTA($A488:$M488)=0,"",IF(OR(LEFT(LOWER(TRIM($F488&amp;"")),12)="subscription",LOWER(TRIM($F488&amp;""))="membership"),"Subscription",IF(OR(AND($H488&lt;&gt;"",$H488=0),LEFT(LOWER(TRIM($F488&amp;"")),9)="free game",LOWER(TRIM($F488&amp;""))="free",LOWER(TRIM($F488&amp;""))="free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IF(COUNTA($A489:$M489)=0,"",IF(OR(LEFT(LOWER(TRIM($F489&amp;"")),12)="subscription",LOWER(TRIM($F489&amp;""))="membership"),"",IF($G489="","",IF(ISNUMBER(SEARCH("non",LOWER($E489&amp;""))),$G489*0.85,$G489))))</x:f>
      </x:c>
      <x:c r="O489" s="987" t="str">
        <x:f>IF(COUNTA($A489:$M489)=0,"",IF(OR(LEFT(LOWER(TRIM($F489&amp;"")),12)="subscription",LOWER(TRIM($F489&amp;""))="membership"),"",IF(OR($N489="",$I489="",$I489=0),"",IFERROR($N489/$I489,""))))</x:f>
      </x:c>
      <x:c r="P489" s="987" t="str">
        <x:f>IF(COUNTA($A489:$M489)=0,"",IF(OR(LEFT(LOWER(TRIM($F489&amp;"")),12)="subscription",LOWER(TRIM($F489&amp;""))="membership"),"",IF(LOWER($L489&amp;"")="yes",0,IF(OR(AND($H489&lt;&gt;"",$H489=0),LEFT(LOWER(TRIM($F489&amp;"")),9)="free game",LOWER(TRIM($F489&amp;""))="free",LOWER(TRIM($F489&amp;""))="free entry"),IF(LOWER($D489&amp;"")="finalized",IF(ISNUMBER($K489),$K489,""),IF($O489&lt;&gt;"",$O489,"")),IF($K489&lt;&gt;"",$K489,IF($O489&lt;&gt;"",$O489,""))))))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IF(COUNTA($A489:$M489)=0,"",IF(OR(LEFT(LOWER(TRIM($F489&amp;"")),12)="subscription",LOWER(TRIM($F489&amp;""))="membership"),"Subscription",IF(OR(AND($H489&lt;&gt;"",$H489=0),LEFT(LOWER(TRIM($F489&amp;"")),9)="free game",LOWER(TRIM($F489&amp;""))="free",LOWER(TRIM($F489&amp;""))="free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IF(COUNTA($A490:$M490)=0,"",IF(OR(LEFT(LOWER(TRIM($F490&amp;"")),12)="subscription",LOWER(TRIM($F490&amp;""))="membership"),"",IF($G490="","",IF(ISNUMBER(SEARCH("non",LOWER($E490&amp;""))),$G490*0.85,$G490))))</x:f>
      </x:c>
      <x:c r="O490" s="987" t="str">
        <x:f>IF(COUNTA($A490:$M490)=0,"",IF(OR(LEFT(LOWER(TRIM($F490&amp;"")),12)="subscription",LOWER(TRIM($F490&amp;""))="membership"),"",IF(OR($N490="",$I490="",$I490=0),"",IFERROR($N490/$I490,""))))</x:f>
      </x:c>
      <x:c r="P490" s="987" t="str">
        <x:f>IF(COUNTA($A490:$M490)=0,"",IF(OR(LEFT(LOWER(TRIM($F490&amp;"")),12)="subscription",LOWER(TRIM($F490&amp;""))="membership"),"",IF(LOWER($L490&amp;"")="yes",0,IF(OR(AND($H490&lt;&gt;"",$H490=0),LEFT(LOWER(TRIM($F490&amp;"")),9)="free game",LOWER(TRIM($F490&amp;""))="free",LOWER(TRIM($F490&amp;""))="free entry"),IF(LOWER($D490&amp;"")="finalized",IF(ISNUMBER($K490),$K490,""),IF($O490&lt;&gt;"",$O490,"")),IF($K490&lt;&gt;"",$K490,IF($O490&lt;&gt;"",$O490,""))))))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IF(COUNTA($A490:$M490)=0,"",IF(OR(LEFT(LOWER(TRIM($F490&amp;"")),12)="subscription",LOWER(TRIM($F490&amp;""))="membership"),"Subscription",IF(OR(AND($H490&lt;&gt;"",$H490=0),LEFT(LOWER(TRIM($F490&amp;"")),9)="free game",LOWER(TRIM($F490&amp;""))="free",LOWER(TRIM($F490&amp;""))="free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IF(COUNTA($A491:$M491)=0,"",IF(OR(LEFT(LOWER(TRIM($F491&amp;"")),12)="subscription",LOWER(TRIM($F491&amp;""))="membership"),"",IF($G491="","",IF(ISNUMBER(SEARCH("non",LOWER($E491&amp;""))),$G491*0.85,$G491))))</x:f>
      </x:c>
      <x:c r="O491" s="987" t="str">
        <x:f>IF(COUNTA($A491:$M491)=0,"",IF(OR(LEFT(LOWER(TRIM($F491&amp;"")),12)="subscription",LOWER(TRIM($F491&amp;""))="membership"),"",IF(OR($N491="",$I491="",$I491=0),"",IFERROR($N491/$I491,""))))</x:f>
      </x:c>
      <x:c r="P491" s="987" t="str">
        <x:f>IF(COUNTA($A491:$M491)=0,"",IF(OR(LEFT(LOWER(TRIM($F491&amp;"")),12)="subscription",LOWER(TRIM($F491&amp;""))="membership"),"",IF(LOWER($L491&amp;"")="yes",0,IF(OR(AND($H491&lt;&gt;"",$H491=0),LEFT(LOWER(TRIM($F491&amp;"")),9)="free game",LOWER(TRIM($F491&amp;""))="free",LOWER(TRIM($F491&amp;""))="free entry"),IF(LOWER($D491&amp;"")="finalized",IF(ISNUMBER($K491),$K491,""),IF($O491&lt;&gt;"",$O491,"")),IF($K491&lt;&gt;"",$K491,IF($O491&lt;&gt;"",$O491,""))))))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IF(COUNTA($A491:$M491)=0,"",IF(OR(LEFT(LOWER(TRIM($F491&amp;"")),12)="subscription",LOWER(TRIM($F491&amp;""))="membership"),"Subscription",IF(OR(AND($H491&lt;&gt;"",$H491=0),LEFT(LOWER(TRIM($F491&amp;"")),9)="free game",LOWER(TRIM($F491&amp;""))="free",LOWER(TRIM($F491&amp;""))="free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IF(COUNTA($A492:$M492)=0,"",IF(OR(LEFT(LOWER(TRIM($F492&amp;"")),12)="subscription",LOWER(TRIM($F492&amp;""))="membership"),"",IF($G492="","",IF(ISNUMBER(SEARCH("non",LOWER($E492&amp;""))),$G492*0.85,$G492))))</x:f>
      </x:c>
      <x:c r="O492" s="987" t="str">
        <x:f>IF(COUNTA($A492:$M492)=0,"",IF(OR(LEFT(LOWER(TRIM($F492&amp;"")),12)="subscription",LOWER(TRIM($F492&amp;""))="membership"),"",IF(OR($N492="",$I492="",$I492=0),"",IFERROR($N492/$I492,""))))</x:f>
      </x:c>
      <x:c r="P492" s="987" t="str">
        <x:f>IF(COUNTA($A492:$M492)=0,"",IF(OR(LEFT(LOWER(TRIM($F492&amp;"")),12)="subscription",LOWER(TRIM($F492&amp;""))="membership"),"",IF(LOWER($L492&amp;"")="yes",0,IF(OR(AND($H492&lt;&gt;"",$H492=0),LEFT(LOWER(TRIM($F492&amp;"")),9)="free game",LOWER(TRIM($F492&amp;""))="free",LOWER(TRIM($F492&amp;""))="free entry"),IF(LOWER($D492&amp;"")="finalized",IF(ISNUMBER($K492),$K492,""),IF($O492&lt;&gt;"",$O492,"")),IF($K492&lt;&gt;"",$K492,IF($O492&lt;&gt;"",$O492,""))))))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IF(COUNTA($A492:$M492)=0,"",IF(OR(LEFT(LOWER(TRIM($F492&amp;"")),12)="subscription",LOWER(TRIM($F492&amp;""))="membership"),"Subscription",IF(OR(AND($H492&lt;&gt;"",$H492=0),LEFT(LOWER(TRIM($F492&amp;"")),9)="free game",LOWER(TRIM($F492&amp;""))="free",LOWER(TRIM($F492&amp;""))="free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IF(COUNTA($A493:$M493)=0,"",IF(OR(LEFT(LOWER(TRIM($F493&amp;"")),12)="subscription",LOWER(TRIM($F493&amp;""))="membership"),"",IF($G493="","",IF(ISNUMBER(SEARCH("non",LOWER($E493&amp;""))),$G493*0.85,$G493))))</x:f>
      </x:c>
      <x:c r="O493" s="987" t="str">
        <x:f>IF(COUNTA($A493:$M493)=0,"",IF(OR(LEFT(LOWER(TRIM($F493&amp;"")),12)="subscription",LOWER(TRIM($F493&amp;""))="membership"),"",IF(OR($N493="",$I493="",$I493=0),"",IFERROR($N493/$I493,""))))</x:f>
      </x:c>
      <x:c r="P493" s="987" t="str">
        <x:f>IF(COUNTA($A493:$M493)=0,"",IF(OR(LEFT(LOWER(TRIM($F493&amp;"")),12)="subscription",LOWER(TRIM($F493&amp;""))="membership"),"",IF(LOWER($L493&amp;"")="yes",0,IF(OR(AND($H493&lt;&gt;"",$H493=0),LEFT(LOWER(TRIM($F493&amp;"")),9)="free game",LOWER(TRIM($F493&amp;""))="free",LOWER(TRIM($F493&amp;""))="free entry"),IF(LOWER($D493&amp;"")="finalized",IF(ISNUMBER($K493),$K493,""),IF($O493&lt;&gt;"",$O493,"")),IF($K493&lt;&gt;"",$K493,IF($O493&lt;&gt;"",$O493,""))))))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IF(COUNTA($A493:$M493)=0,"",IF(OR(LEFT(LOWER(TRIM($F493&amp;"")),12)="subscription",LOWER(TRIM($F493&amp;""))="membership"),"Subscription",IF(OR(AND($H493&lt;&gt;"",$H493=0),LEFT(LOWER(TRIM($F493&amp;"")),9)="free game",LOWER(TRIM($F493&amp;""))="free",LOWER(TRIM($F493&amp;""))="free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IF(COUNTA($A494:$M494)=0,"",IF(OR(LEFT(LOWER(TRIM($F494&amp;"")),12)="subscription",LOWER(TRIM($F494&amp;""))="membership"),"",IF($G494="","",IF(ISNUMBER(SEARCH("non",LOWER($E494&amp;""))),$G494*0.85,$G494))))</x:f>
      </x:c>
      <x:c r="O494" s="987" t="str">
        <x:f>IF(COUNTA($A494:$M494)=0,"",IF(OR(LEFT(LOWER(TRIM($F494&amp;"")),12)="subscription",LOWER(TRIM($F494&amp;""))="membership"),"",IF(OR($N494="",$I494="",$I494=0),"",IFERROR($N494/$I494,""))))</x:f>
      </x:c>
      <x:c r="P494" s="987" t="str">
        <x:f>IF(COUNTA($A494:$M494)=0,"",IF(OR(LEFT(LOWER(TRIM($F494&amp;"")),12)="subscription",LOWER(TRIM($F494&amp;""))="membership"),"",IF(LOWER($L494&amp;"")="yes",0,IF(OR(AND($H494&lt;&gt;"",$H494=0),LEFT(LOWER(TRIM($F494&amp;"")),9)="free game",LOWER(TRIM($F494&amp;""))="free",LOWER(TRIM($F494&amp;""))="free entry"),IF(LOWER($D494&amp;"")="finalized",IF(ISNUMBER($K494),$K494,""),IF($O494&lt;&gt;"",$O494,"")),IF($K494&lt;&gt;"",$K494,IF($O494&lt;&gt;"",$O494,""))))))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IF(COUNTA($A494:$M494)=0,"",IF(OR(LEFT(LOWER(TRIM($F494&amp;"")),12)="subscription",LOWER(TRIM($F494&amp;""))="membership"),"Subscription",IF(OR(AND($H494&lt;&gt;"",$H494=0),LEFT(LOWER(TRIM($F494&amp;"")),9)="free game",LOWER(TRIM($F494&amp;""))="free",LOWER(TRIM($F494&amp;""))="free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IF(COUNTA($A495:$M495)=0,"",IF(OR(LEFT(LOWER(TRIM($F495&amp;"")),12)="subscription",LOWER(TRIM($F495&amp;""))="membership"),"",IF($G495="","",IF(ISNUMBER(SEARCH("non",LOWER($E495&amp;""))),$G495*0.85,$G495))))</x:f>
      </x:c>
      <x:c r="O495" s="987" t="str">
        <x:f>IF(COUNTA($A495:$M495)=0,"",IF(OR(LEFT(LOWER(TRIM($F495&amp;"")),12)="subscription",LOWER(TRIM($F495&amp;""))="membership"),"",IF(OR($N495="",$I495="",$I495=0),"",IFERROR($N495/$I495,""))))</x:f>
      </x:c>
      <x:c r="P495" s="987" t="str">
        <x:f>IF(COUNTA($A495:$M495)=0,"",IF(OR(LEFT(LOWER(TRIM($F495&amp;"")),12)="subscription",LOWER(TRIM($F495&amp;""))="membership"),"",IF(LOWER($L495&amp;"")="yes",0,IF(OR(AND($H495&lt;&gt;"",$H495=0),LEFT(LOWER(TRIM($F495&amp;"")),9)="free game",LOWER(TRIM($F495&amp;""))="free",LOWER(TRIM($F495&amp;""))="free entry"),IF(LOWER($D495&amp;"")="finalized",IF(ISNUMBER($K495),$K495,""),IF($O495&lt;&gt;"",$O495,"")),IF($K495&lt;&gt;"",$K495,IF($O495&lt;&gt;"",$O495,""))))))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IF(COUNTA($A495:$M495)=0,"",IF(OR(LEFT(LOWER(TRIM($F495&amp;"")),12)="subscription",LOWER(TRIM($F495&amp;""))="membership"),"Subscription",IF(OR(AND($H495&lt;&gt;"",$H495=0),LEFT(LOWER(TRIM($F495&amp;"")),9)="free game",LOWER(TRIM($F495&amp;""))="free",LOWER(TRIM($F495&amp;""))="free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IF(COUNTA($A496:$M496)=0,"",IF(OR(LEFT(LOWER(TRIM($F496&amp;"")),12)="subscription",LOWER(TRIM($F496&amp;""))="membership"),"",IF($G496="","",IF(ISNUMBER(SEARCH("non",LOWER($E496&amp;""))),$G496*0.85,$G496))))</x:f>
      </x:c>
      <x:c r="O496" s="987" t="str">
        <x:f>IF(COUNTA($A496:$M496)=0,"",IF(OR(LEFT(LOWER(TRIM($F496&amp;"")),12)="subscription",LOWER(TRIM($F496&amp;""))="membership"),"",IF(OR($N496="",$I496="",$I496=0),"",IFERROR($N496/$I496,""))))</x:f>
      </x:c>
      <x:c r="P496" s="987" t="str">
        <x:f>IF(COUNTA($A496:$M496)=0,"",IF(OR(LEFT(LOWER(TRIM($F496&amp;"")),12)="subscription",LOWER(TRIM($F496&amp;""))="membership"),"",IF(LOWER($L496&amp;"")="yes",0,IF(OR(AND($H496&lt;&gt;"",$H496=0),LEFT(LOWER(TRIM($F496&amp;"")),9)="free game",LOWER(TRIM($F496&amp;""))="free",LOWER(TRIM($F496&amp;""))="free entry"),IF(LOWER($D496&amp;"")="finalized",IF(ISNUMBER($K496),$K496,""),IF($O496&lt;&gt;"",$O496,"")),IF($K496&lt;&gt;"",$K496,IF($O496&lt;&gt;"",$O496,""))))))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IF(COUNTA($A496:$M496)=0,"",IF(OR(LEFT(LOWER(TRIM($F496&amp;"")),12)="subscription",LOWER(TRIM($F496&amp;""))="membership"),"Subscription",IF(OR(AND($H496&lt;&gt;"",$H496=0),LEFT(LOWER(TRIM($F496&amp;"")),9)="free game",LOWER(TRIM($F496&amp;""))="free",LOWER(TRIM($F496&amp;""))="free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IF(COUNTA($A497:$M497)=0,"",IF(OR(LEFT(LOWER(TRIM($F497&amp;"")),12)="subscription",LOWER(TRIM($F497&amp;""))="membership"),"",IF($G497="","",IF(ISNUMBER(SEARCH("non",LOWER($E497&amp;""))),$G497*0.85,$G497))))</x:f>
      </x:c>
      <x:c r="O497" s="987" t="str">
        <x:f>IF(COUNTA($A497:$M497)=0,"",IF(OR(LEFT(LOWER(TRIM($F497&amp;"")),12)="subscription",LOWER(TRIM($F497&amp;""))="membership"),"",IF(OR($N497="",$I497="",$I497=0),"",IFERROR($N497/$I497,""))))</x:f>
      </x:c>
      <x:c r="P497" s="987" t="str">
        <x:f>IF(COUNTA($A497:$M497)=0,"",IF(OR(LEFT(LOWER(TRIM($F497&amp;"")),12)="subscription",LOWER(TRIM($F497&amp;""))="membership"),"",IF(LOWER($L497&amp;"")="yes",0,IF(OR(AND($H497&lt;&gt;"",$H497=0),LEFT(LOWER(TRIM($F497&amp;"")),9)="free game",LOWER(TRIM($F497&amp;""))="free",LOWER(TRIM($F497&amp;""))="free entry"),IF(LOWER($D497&amp;"")="finalized",IF(ISNUMBER($K497),$K497,""),IF($O497&lt;&gt;"",$O497,"")),IF($K497&lt;&gt;"",$K497,IF($O497&lt;&gt;"",$O497,""))))))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IF(COUNTA($A497:$M497)=0,"",IF(OR(LEFT(LOWER(TRIM($F497&amp;"")),12)="subscription",LOWER(TRIM($F497&amp;""))="membership"),"Subscription",IF(OR(AND($H497&lt;&gt;"",$H497=0),LEFT(LOWER(TRIM($F497&amp;"")),9)="free game",LOWER(TRIM($F497&amp;""))="free",LOWER(TRIM($F497&amp;""))="free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IF(COUNTA($A498:$M498)=0,"",IF(OR(LEFT(LOWER(TRIM($F498&amp;"")),12)="subscription",LOWER(TRIM($F498&amp;""))="membership"),"",IF($G498="","",IF(ISNUMBER(SEARCH("non",LOWER($E498&amp;""))),$G498*0.85,$G498))))</x:f>
      </x:c>
      <x:c r="O498" s="987" t="str">
        <x:f>IF(COUNTA($A498:$M498)=0,"",IF(OR(LEFT(LOWER(TRIM($F498&amp;"")),12)="subscription",LOWER(TRIM($F498&amp;""))="membership"),"",IF(OR($N498="",$I498="",$I498=0),"",IFERROR($N498/$I498,""))))</x:f>
      </x:c>
      <x:c r="P498" s="987" t="str">
        <x:f>IF(COUNTA($A498:$M498)=0,"",IF(OR(LEFT(LOWER(TRIM($F498&amp;"")),12)="subscription",LOWER(TRIM($F498&amp;""))="membership"),"",IF(LOWER($L498&amp;"")="yes",0,IF(OR(AND($H498&lt;&gt;"",$H498=0),LEFT(LOWER(TRIM($F498&amp;"")),9)="free game",LOWER(TRIM($F498&amp;""))="free",LOWER(TRIM($F498&amp;""))="free entry"),IF(LOWER($D498&amp;"")="finalized",IF(ISNUMBER($K498),$K498,""),IF($O498&lt;&gt;"",$O498,"")),IF($K498&lt;&gt;"",$K498,IF($O498&lt;&gt;"",$O498,""))))))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IF(COUNTA($A498:$M498)=0,"",IF(OR(LEFT(LOWER(TRIM($F498&amp;"")),12)="subscription",LOWER(TRIM($F498&amp;""))="membership"),"Subscription",IF(OR(AND($H498&lt;&gt;"",$H498=0),LEFT(LOWER(TRIM($F498&amp;"")),9)="free game",LOWER(TRIM($F498&amp;""))="free",LOWER(TRIM($F498&amp;""))="free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IF(COUNTA($A499:$M499)=0,"",IF(OR(LEFT(LOWER(TRIM($F499&amp;"")),12)="subscription",LOWER(TRIM($F499&amp;""))="membership"),"",IF($G499="","",IF(ISNUMBER(SEARCH("non",LOWER($E499&amp;""))),$G499*0.85,$G499))))</x:f>
      </x:c>
      <x:c r="O499" s="987" t="str">
        <x:f>IF(COUNTA($A499:$M499)=0,"",IF(OR(LEFT(LOWER(TRIM($F499&amp;"")),12)="subscription",LOWER(TRIM($F499&amp;""))="membership"),"",IF(OR($N499="",$I499="",$I499=0),"",IFERROR($N499/$I499,""))))</x:f>
      </x:c>
      <x:c r="P499" s="987" t="str">
        <x:f>IF(COUNTA($A499:$M499)=0,"",IF(OR(LEFT(LOWER(TRIM($F499&amp;"")),12)="subscription",LOWER(TRIM($F499&amp;""))="membership"),"",IF(LOWER($L499&amp;"")="yes",0,IF(OR(AND($H499&lt;&gt;"",$H499=0),LEFT(LOWER(TRIM($F499&amp;"")),9)="free game",LOWER(TRIM($F499&amp;""))="free",LOWER(TRIM($F499&amp;""))="free entry"),IF(LOWER($D499&amp;"")="finalized",IF(ISNUMBER($K499),$K499,""),IF($O499&lt;&gt;"",$O499,"")),IF($K499&lt;&gt;"",$K499,IF($O499&lt;&gt;"",$O499,""))))))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IF(COUNTA($A499:$M499)=0,"",IF(OR(LEFT(LOWER(TRIM($F499&amp;"")),12)="subscription",LOWER(TRIM($F499&amp;""))="membership"),"Subscription",IF(OR(AND($H499&lt;&gt;"",$H499=0),LEFT(LOWER(TRIM($F499&amp;"")),9)="free game",LOWER(TRIM($F499&amp;""))="free",LOWER(TRIM($F499&amp;""))="free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IF(COUNTA($A500:$M500)=0,"",IF(OR(LEFT(LOWER(TRIM($F500&amp;"")),12)="subscription",LOWER(TRIM($F500&amp;""))="membership"),"",IF($G500="","",IF(ISNUMBER(SEARCH("non",LOWER($E500&amp;""))),$G500*0.85,$G500))))</x:f>
      </x:c>
      <x:c r="O500" s="987" t="str">
        <x:f>IF(COUNTA($A500:$M500)=0,"",IF(OR(LEFT(LOWER(TRIM($F500&amp;"")),12)="subscription",LOWER(TRIM($F500&amp;""))="membership"),"",IF(OR($N500="",$I500="",$I500=0),"",IFERROR($N500/$I500,""))))</x:f>
      </x:c>
      <x:c r="P500" s="987" t="str">
        <x:f>IF(COUNTA($A500:$M500)=0,"",IF(OR(LEFT(LOWER(TRIM($F500&amp;"")),12)="subscription",LOWER(TRIM($F500&amp;""))="membership"),"",IF(LOWER($L500&amp;"")="yes",0,IF(OR(AND($H500&lt;&gt;"",$H500=0),LEFT(LOWER(TRIM($F500&amp;"")),9)="free game",LOWER(TRIM($F500&amp;""))="free",LOWER(TRIM($F500&amp;""))="free entry"),IF(LOWER($D500&amp;"")="finalized",IF(ISNUMBER($K500),$K500,""),IF($O500&lt;&gt;"",$O500,"")),IF($K500&lt;&gt;"",$K500,IF($O500&lt;&gt;"",$O500,""))))))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IF(COUNTA($A500:$M500)=0,"",IF(OR(LEFT(LOWER(TRIM($F500&amp;"")),12)="subscription",LOWER(TRIM($F500&amp;""))="membership"),"Subscription",IF(OR(AND($H500&lt;&gt;"",$H500=0),LEFT(LOWER(TRIM($F500&amp;"")),9)="free game",LOWER(TRIM($F500&amp;""))="free",LOWER(TRIM($F500&amp;""))="free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IF(COUNTA($A501:$M501)=0,"",IF(OR(LEFT(LOWER(TRIM($F501&amp;"")),12)="subscription",LOWER(TRIM($F501&amp;""))="membership"),"",IF($G501="","",IF(ISNUMBER(SEARCH("non",LOWER($E501&amp;""))),$G501*0.85,$G501))))</x:f>
      </x:c>
      <x:c r="O501" s="988" t="str">
        <x:f>IF(COUNTA($A501:$M501)=0,"",IF(OR(LEFT(LOWER(TRIM($F501&amp;"")),12)="subscription",LOWER(TRIM($F501&amp;""))="membership"),"",IF(OR($N501="",$I501="",$I501=0),"",IFERROR($N501/$I501,""))))</x:f>
      </x:c>
      <x:c r="P501" s="988" t="str">
        <x:f>IF(COUNTA($A501:$M501)=0,"",IF(OR(LEFT(LOWER(TRIM($F501&amp;"")),12)="subscription",LOWER(TRIM($F501&amp;""))="membership"),"",IF(LOWER($L501&amp;"")="yes",0,IF(OR(AND($H501&lt;&gt;"",$H501=0),LEFT(LOWER(TRIM($F501&amp;"")),9)="free game",LOWER(TRIM($F501&amp;""))="free",LOWER(TRIM($F501&amp;""))="free entry"),IF(LOWER($D501&amp;"")="finalized",IF(ISNUMBER($K501),$K501,""),IF($O501&lt;&gt;"",$O501,"")),IF($K501&lt;&gt;"",$K501,IF($O501&lt;&gt;"",$O501,""))))))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IF(COUNTA($A501:$M501)=0,"",IF(OR(LEFT(LOWER(TRIM($F501&amp;"")),12)="subscription",LOWER(TRIM($F501&amp;""))="membership"),"Subscription",IF(OR(AND($H501&lt;&gt;"",$H501=0),LEFT(LOWER(TRIM($F501&amp;"")),9)="free game",LOWER(TRIM($F501&amp;""))="free",LOWER(TRIM($F501&amp;""))="free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IF(COUNTA($A502:$M502)=0,"",IF(OR(LEFT(LOWER(TRIM($F502&amp;"")),12)="subscription",LOWER(TRIM($F502&amp;""))="membership"),"",IF($G502="","",IF(ISNUMBER(SEARCH("non",LOWER($E502&amp;""))),$G502*0.85,$G502))))</x:f>
      </x:c>
      <x:c r="O502" s="988" t="str">
        <x:f>IF(COUNTA($A502:$M502)=0,"",IF(OR(LEFT(LOWER(TRIM($F502&amp;"")),12)="subscription",LOWER(TRIM($F502&amp;""))="membership"),"",IF(OR($N502="",$I502="",$I502=0),"",IFERROR($N502/$I502,""))))</x:f>
      </x:c>
      <x:c r="P502" s="988" t="str">
        <x:f>IF(COUNTA($A502:$M502)=0,"",IF(OR(LEFT(LOWER(TRIM($F502&amp;"")),12)="subscription",LOWER(TRIM($F502&amp;""))="membership"),"",IF(LOWER($L502&amp;"")="yes",0,IF(OR(AND($H502&lt;&gt;"",$H502=0),LEFT(LOWER(TRIM($F502&amp;"")),9)="free game",LOWER(TRIM($F502&amp;""))="free",LOWER(TRIM($F502&amp;""))="free entry"),IF(LOWER($D502&amp;"")="finalized",IF(ISNUMBER($K502),$K502,""),IF($O502&lt;&gt;"",$O502,"")),IF($K502&lt;&gt;"",$K502,IF($O502&lt;&gt;"",$O502,""))))))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IF(COUNTA($A502:$M502)=0,"",IF(OR(LEFT(LOWER(TRIM($F502&amp;"")),12)="subscription",LOWER(TRIM($F502&amp;""))="membership"),"Subscription",IF(OR(AND($H502&lt;&gt;"",$H502=0),LEFT(LOWER(TRIM($F502&amp;"")),9)="free game",LOWER(TRIM($F502&amp;""))="free",LOWER(TRIM($F502&amp;""))="free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IF(COUNTA($A503:$M503)=0,"",IF(OR(LEFT(LOWER(TRIM($F503&amp;"")),12)="subscription",LOWER(TRIM($F503&amp;""))="membership"),"",IF($G503="","",IF(ISNUMBER(SEARCH("non",LOWER($E503&amp;""))),$G503*0.85,$G503))))</x:f>
      </x:c>
      <x:c r="O503" s="988" t="str">
        <x:f>IF(COUNTA($A503:$M503)=0,"",IF(OR(LEFT(LOWER(TRIM($F503&amp;"")),12)="subscription",LOWER(TRIM($F503&amp;""))="membership"),"",IF(OR($N503="",$I503="",$I503=0),"",IFERROR($N503/$I503,""))))</x:f>
      </x:c>
      <x:c r="P503" s="988" t="str">
        <x:f>IF(COUNTA($A503:$M503)=0,"",IF(OR(LEFT(LOWER(TRIM($F503&amp;"")),12)="subscription",LOWER(TRIM($F503&amp;""))="membership"),"",IF(LOWER($L503&amp;"")="yes",0,IF(OR(AND($H503&lt;&gt;"",$H503=0),LEFT(LOWER(TRIM($F503&amp;"")),9)="free game",LOWER(TRIM($F503&amp;""))="free",LOWER(TRIM($F503&amp;""))="free entry"),IF(LOWER($D503&amp;"")="finalized",IF(ISNUMBER($K503),$K503,""),IF($O503&lt;&gt;"",$O503,"")),IF($K503&lt;&gt;"",$K503,IF($O503&lt;&gt;"",$O503,""))))))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IF(COUNTA($A503:$M503)=0,"",IF(OR(LEFT(LOWER(TRIM($F503&amp;"")),12)="subscription",LOWER(TRIM($F503&amp;""))="membership"),"Subscription",IF(OR(AND($H503&lt;&gt;"",$H503=0),LEFT(LOWER(TRIM($F503&amp;"")),9)="free game",LOWER(TRIM($F503&amp;""))="free",LOWER(TRIM($F503&amp;""))="free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IF(COUNTA($A504:$M504)=0,"",IF(OR(LEFT(LOWER(TRIM($F504&amp;"")),12)="subscription",LOWER(TRIM($F504&amp;""))="membership"),"",IF($G504="","",IF(ISNUMBER(SEARCH("non",LOWER($E504&amp;""))),$G504*0.85,$G504))))</x:f>
      </x:c>
      <x:c r="O504" s="988" t="str">
        <x:f>IF(COUNTA($A504:$M504)=0,"",IF(OR(LEFT(LOWER(TRIM($F504&amp;"")),12)="subscription",LOWER(TRIM($F504&amp;""))="membership"),"",IF(OR($N504="",$I504="",$I504=0),"",IFERROR($N504/$I504,""))))</x:f>
      </x:c>
      <x:c r="P504" s="988" t="str">
        <x:f>IF(COUNTA($A504:$M504)=0,"",IF(OR(LEFT(LOWER(TRIM($F504&amp;"")),12)="subscription",LOWER(TRIM($F504&amp;""))="membership"),"",IF(LOWER($L504&amp;"")="yes",0,IF(OR(AND($H504&lt;&gt;"",$H504=0),LEFT(LOWER(TRIM($F504&amp;"")),9)="free game",LOWER(TRIM($F504&amp;""))="free",LOWER(TRIM($F504&amp;""))="free entry"),IF(LOWER($D504&amp;"")="finalized",IF(ISNUMBER($K504),$K504,""),IF($O504&lt;&gt;"",$O504,"")),IF($K504&lt;&gt;"",$K504,IF($O504&lt;&gt;"",$O504,""))))))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IF(COUNTA($A504:$M504)=0,"",IF(OR(LEFT(LOWER(TRIM($F504&amp;"")),12)="subscription",LOWER(TRIM($F504&amp;""))="membership"),"Subscription",IF(OR(AND($H504&lt;&gt;"",$H504=0),LEFT(LOWER(TRIM($F504&amp;"")),9)="free game",LOWER(TRIM($F504&amp;""))="free",LOWER(TRIM($F504&amp;""))="free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allowBlank="1" showDropDown="0" sqref="F5:F504">
      <x:formula1>"Cash,Points,Hybrid,Free Game — completed challenge/chips,Subscription — membership charge only"</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v246.3.2</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Records'!$U5="Subscription"),"",IFERROR(MAX($A$4:A4),0)+1)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Records'!$U6="Subscription"),"",IFERROR(MAX($A$4:A5),0)+1)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Records'!$U7="Subscription"),"",IFERROR(MAX($A$4:A6),0)+1)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Records'!$U8="Subscription"),"",IFERROR(MAX($A$4:A7),0)+1)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Records'!$U9="Subscription"),"",IFERROR(MAX($A$4:A8),0)+1)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Records'!$U10="Subscription"),"",IFERROR(MAX($A$4:A9),0)+1)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Records'!$U11="Subscription"),"",IFERROR(MAX($A$4:A10),0)+1)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Records'!$U12="Subscription"),"",IFERROR(MAX($A$4:A11),0)+1)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Records'!$U13="Subscription"),"",IFERROR(MAX($A$4:A12),0)+1)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Records'!$U14="Subscription"),"",IFERROR(MAX($A$4:A13),0)+1)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Records'!$U15="Subscription"),"",IFERROR(MAX($A$4:A14),0)+1)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Records'!$U16="Subscription"),"",IFERROR(MAX($A$4:A15),0)+1)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Records'!$U17="Subscription"),"",IFERROR(MAX($A$4:A16),0)+1)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Records'!$U18="Subscription"),"",IFERROR(MAX($A$4:A17),0)+1)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Records'!$U19="Subscription"),"",IFERROR(MAX($A$4:A18),0)+1)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Records'!$U20="Subscription"),"",IFERROR(MAX($A$4:A19),0)+1)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Records'!$U21="Subscription"),"",IFERROR(MAX($A$4:A20),0)+1)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Records'!$U22="Subscription"),"",IFERROR(MAX($A$4:A21),0)+1)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Records'!$U23="Subscription"),"",IFERROR(MAX($A$4:A22),0)+1)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Records'!$U24="Subscription"),"",IFERROR(MAX($A$4:A23),0)+1)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Records'!$U25="Subscription"),"",IFERROR(MAX($A$4:A24),0)+1)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Records'!$U26="Subscription"),"",IFERROR(MAX($A$4:A25),0)+1)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Records'!$U27="Subscription"),"",IFERROR(MAX($A$4:A26),0)+1)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Records'!$U28="Subscription"),"",IFERROR(MAX($A$4:A27),0)+1)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Records'!$U29="Subscription"),"",IFERROR(MAX($A$4:A28),0)+1)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Records'!$U30="Subscription"),"",IFERROR(MAX($A$4:A29),0)+1)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Records'!$U31="Subscription"),"",IFERROR(MAX($A$4:A30),0)+1)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Records'!$U32="Subscription"),"",IFERROR(MAX($A$4:A31),0)+1)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Records'!$U33="Subscription"),"",IFERROR(MAX($A$4:A32),0)+1)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Records'!$U34="Subscription"),"",IFERROR(MAX($A$4:A33),0)+1)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Records'!$U35="Subscription"),"",IFERROR(MAX($A$4:A34),0)+1)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Records'!$U36="Subscription"),"",IFERROR(MAX($A$4:A35),0)+1)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Records'!$U37="Subscription"),"",IFERROR(MAX($A$4:A36),0)+1)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Records'!$U38="Subscription"),"",IFERROR(MAX($A$4:A37),0)+1)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Records'!$U39="Subscription"),"",IFERROR(MAX($A$4:A38),0)+1)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Records'!$U40="Subscription"),"",IFERROR(MAX($A$4:A39),0)+1)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Records'!$U41="Subscription"),"",IFERROR(MAX($A$4:A40),0)+1)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Records'!$U42="Subscription"),"",IFERROR(MAX($A$4:A41),0)+1)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Records'!$U43="Subscription"),"",IFERROR(MAX($A$4:A42),0)+1)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Records'!$U44="Subscription"),"",IFERROR(MAX($A$4:A43),0)+1)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Records'!$U45="Subscription"),"",IFERROR(MAX($A$4:A44),0)+1)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Records'!$U46="Subscription"),"",IFERROR(MAX($A$4:A45),0)+1)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Records'!$U47="Subscription"),"",IFERROR(MAX($A$4:A46),0)+1)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Records'!$U48="Subscription"),"",IFERROR(MAX($A$4:A47),0)+1)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Records'!$U49="Subscription"),"",IFERROR(MAX($A$4:A48),0)+1)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Records'!$U50="Subscription"),"",IFERROR(MAX($A$4:A49),0)+1)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Records'!$U51="Subscription"),"",IFERROR(MAX($A$4:A50),0)+1)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Records'!$U52="Subscription"),"",IFERROR(MAX($A$4:A51),0)+1)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Records'!$U53="Subscription"),"",IFERROR(MAX($A$4:A52),0)+1)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Records'!$U54="Subscription"),"",IFERROR(MAX($A$4:A53),0)+1)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Records'!$U55="Subscription"),"",IFERROR(MAX($A$4:A54),0)+1)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Records'!$U56="Subscription"),"",IFERROR(MAX($A$4:A55),0)+1)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Records'!$U57="Subscription"),"",IFERROR(MAX($A$4:A56),0)+1)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Records'!$U58="Subscription"),"",IFERROR(MAX($A$4:A57),0)+1)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Records'!$U59="Subscription"),"",IFERROR(MAX($A$4:A58),0)+1)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Records'!$U60="Subscription"),"",IFERROR(MAX($A$4:A59),0)+1)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Records'!$U61="Subscription"),"",IFERROR(MAX($A$4:A60),0)+1)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Records'!$U62="Subscription"),"",IFERROR(MAX($A$4:A61),0)+1)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Records'!$U63="Subscription"),"",IFERROR(MAX($A$4:A62),0)+1)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Records'!$U64="Subscription"),"",IFERROR(MAX($A$4:A63),0)+1)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Records'!$U65="Subscription"),"",IFERROR(MAX($A$4:A64),0)+1)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Records'!$U66="Subscription"),"",IFERROR(MAX($A$4:A65),0)+1)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Records'!$U67="Subscription"),"",IFERROR(MAX($A$4:A66),0)+1)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Records'!$U68="Subscription"),"",IFERROR(MAX($A$4:A67),0)+1)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Records'!$U69="Subscription"),"",IFERROR(MAX($A$4:A68),0)+1)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Records'!$U70="Subscription"),"",IFERROR(MAX($A$4:A69),0)+1)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Records'!$U71="Subscription"),"",IFERROR(MAX($A$4:A70),0)+1)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Records'!$U72="Subscription"),"",IFERROR(MAX($A$4:A71),0)+1)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Records'!$U73="Subscription"),"",IFERROR(MAX($A$4:A72),0)+1)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Records'!$U74="Subscription"),"",IFERROR(MAX($A$4:A73),0)+1)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Records'!$U75="Subscription"),"",IFERROR(MAX($A$4:A74),0)+1)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Records'!$U76="Subscription"),"",IFERROR(MAX($A$4:A75),0)+1)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Records'!$U77="Subscription"),"",IFERROR(MAX($A$4:A76),0)+1)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Records'!$U78="Subscription"),"",IFERROR(MAX($A$4:A77),0)+1)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Records'!$U79="Subscription"),"",IFERROR(MAX($A$4:A78),0)+1)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Records'!$U80="Subscription"),"",IFERROR(MAX($A$4:A79),0)+1)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Records'!$U81="Subscription"),"",IFERROR(MAX($A$4:A80),0)+1)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Records'!$U82="Subscription"),"",IFERROR(MAX($A$4:A81),0)+1)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Records'!$U83="Subscription"),"",IFERROR(MAX($A$4:A82),0)+1)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Records'!$U84="Subscription"),"",IFERROR(MAX($A$4:A83),0)+1)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Records'!$U85="Subscription"),"",IFERROR(MAX($A$4:A84),0)+1)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Records'!$U86="Subscription"),"",IFERROR(MAX($A$4:A85),0)+1)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Records'!$U87="Subscription"),"",IFERROR(MAX($A$4:A86),0)+1)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Records'!$U88="Subscription"),"",IFERROR(MAX($A$4:A87),0)+1)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Records'!$U89="Subscription"),"",IFERROR(MAX($A$4:A88),0)+1)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Records'!$U90="Subscription"),"",IFERROR(MAX($A$4:A89),0)+1)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Records'!$U91="Subscription"),"",IFERROR(MAX($A$4:A90),0)+1)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Records'!$U92="Subscription"),"",IFERROR(MAX($A$4:A91),0)+1)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Records'!$U93="Subscription"),"",IFERROR(MAX($A$4:A92),0)+1)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Records'!$U94="Subscription"),"",IFERROR(MAX($A$4:A93),0)+1)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Records'!$U95="Subscription"),"",IFERROR(MAX($A$4:A94),0)+1)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Records'!$U96="Subscription"),"",IFERROR(MAX($A$4:A95),0)+1)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Records'!$U97="Subscription"),"",IFERROR(MAX($A$4:A96),0)+1)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Records'!$U98="Subscription"),"",IFERROR(MAX($A$4:A97),0)+1)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Records'!$U99="Subscription"),"",IFERROR(MAX($A$4:A98),0)+1)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Records'!$U100="Subscription"),"",IFERROR(MAX($A$4:A99),0)+1)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Records'!$U101="Subscription"),"",IFERROR(MAX($A$4:A100),0)+1)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Records'!$U102="Subscription"),"",IFERROR(MAX($A$4:A101),0)+1)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Records'!$U103="Subscription"),"",IFERROR(MAX($A$4:A102),0)+1)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Records'!$U104="Subscription"),"",IFERROR(MAX($A$4:A103),0)+1)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Records'!$U105="Subscription"),"",IFERROR(MAX($A$4:A104),0)+1)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Records'!$U106="Subscription"),"",IFERROR(MAX($A$4:A105),0)+1)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Records'!$U107="Subscription"),"",IFERROR(MAX($A$4:A106),0)+1)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Records'!$U108="Subscription"),"",IFERROR(MAX($A$4:A107),0)+1)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Records'!$U109="Subscription"),"",IFERROR(MAX($A$4:A108),0)+1)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Records'!$U110="Subscription"),"",IFERROR(MAX($A$4:A109),0)+1)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Records'!$U111="Subscription"),"",IFERROR(MAX($A$4:A110),0)+1)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Records'!$U112="Subscription"),"",IFERROR(MAX($A$4:A111),0)+1)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Records'!$U113="Subscription"),"",IFERROR(MAX($A$4:A112),0)+1)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Records'!$U114="Subscription"),"",IFERROR(MAX($A$4:A113),0)+1)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Records'!$U115="Subscription"),"",IFERROR(MAX($A$4:A114),0)+1)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Records'!$U116="Subscription"),"",IFERROR(MAX($A$4:A115),0)+1)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Records'!$U117="Subscription"),"",IFERROR(MAX($A$4:A116),0)+1)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Records'!$U118="Subscription"),"",IFERROR(MAX($A$4:A117),0)+1)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Records'!$U119="Subscription"),"",IFERROR(MAX($A$4:A118),0)+1)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Records'!$U120="Subscription"),"",IFERROR(MAX($A$4:A119),0)+1)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Records'!$U121="Subscription"),"",IFERROR(MAX($A$4:A120),0)+1)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Records'!$U122="Subscription"),"",IFERROR(MAX($A$4:A121),0)+1)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Records'!$U123="Subscription"),"",IFERROR(MAX($A$4:A122),0)+1)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Records'!$U124="Subscription"),"",IFERROR(MAX($A$4:A123),0)+1)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Records'!$U125="Subscription"),"",IFERROR(MAX($A$4:A124),0)+1)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Records'!$U126="Subscription"),"",IFERROR(MAX($A$4:A125),0)+1)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Records'!$U127="Subscription"),"",IFERROR(MAX($A$4:A126),0)+1)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Records'!$U128="Subscription"),"",IFERROR(MAX($A$4:A127),0)+1)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Records'!$U129="Subscription"),"",IFERROR(MAX($A$4:A128),0)+1)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Records'!$U130="Subscription"),"",IFERROR(MAX($A$4:A129),0)+1)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Records'!$U131="Subscription"),"",IFERROR(MAX($A$4:A130),0)+1)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Records'!$U132="Subscription"),"",IFERROR(MAX($A$4:A131),0)+1)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Records'!$U133="Subscription"),"",IFERROR(MAX($A$4:A132),0)+1)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Records'!$U134="Subscription"),"",IFERROR(MAX($A$4:A133),0)+1)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Records'!$U135="Subscription"),"",IFERROR(MAX($A$4:A134),0)+1)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Records'!$U136="Subscription"),"",IFERROR(MAX($A$4:A135),0)+1)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Records'!$U137="Subscription"),"",IFERROR(MAX($A$4:A136),0)+1)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Records'!$U138="Subscription"),"",IFERROR(MAX($A$4:A137),0)+1)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Records'!$U139="Subscription"),"",IFERROR(MAX($A$4:A138),0)+1)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Records'!$U140="Subscription"),"",IFERROR(MAX($A$4:A139),0)+1)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Records'!$U141="Subscription"),"",IFERROR(MAX($A$4:A140),0)+1)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Records'!$U142="Subscription"),"",IFERROR(MAX($A$4:A141),0)+1)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Records'!$U143="Subscription"),"",IFERROR(MAX($A$4:A142),0)+1)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Records'!$U144="Subscription"),"",IFERROR(MAX($A$4:A143),0)+1)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Records'!$U145="Subscription"),"",IFERROR(MAX($A$4:A144),0)+1)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Records'!$U146="Subscription"),"",IFERROR(MAX($A$4:A145),0)+1)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Records'!$U147="Subscription"),"",IFERROR(MAX($A$4:A146),0)+1)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Records'!$U148="Subscription"),"",IFERROR(MAX($A$4:A147),0)+1)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Records'!$U149="Subscription"),"",IFERROR(MAX($A$4:A148),0)+1)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Records'!$U150="Subscription"),"",IFERROR(MAX($A$4:A149),0)+1)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Records'!$U151="Subscription"),"",IFERROR(MAX($A$4:A150),0)+1)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Records'!$U152="Subscription"),"",IFERROR(MAX($A$4:A151),0)+1)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Records'!$U153="Subscription"),"",IFERROR(MAX($A$4:A152),0)+1)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Records'!$U154="Subscription"),"",IFERROR(MAX($A$4:A153),0)+1)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Records'!$U155="Subscription"),"",IFERROR(MAX($A$4:A154),0)+1)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Records'!$U156="Subscription"),"",IFERROR(MAX($A$4:A155),0)+1)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Records'!$U157="Subscription"),"",IFERROR(MAX($A$4:A156),0)+1)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Records'!$U158="Subscription"),"",IFERROR(MAX($A$4:A157),0)+1)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Records'!$U159="Subscription"),"",IFERROR(MAX($A$4:A158),0)+1)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Records'!$U160="Subscription"),"",IFERROR(MAX($A$4:A159),0)+1)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Records'!$U161="Subscription"),"",IFERROR(MAX($A$4:A160),0)+1)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Records'!$U162="Subscription"),"",IFERROR(MAX($A$4:A161),0)+1)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Records'!$U163="Subscription"),"",IFERROR(MAX($A$4:A162),0)+1)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Records'!$U164="Subscription"),"",IFERROR(MAX($A$4:A163),0)+1)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Records'!$U165="Subscription"),"",IFERROR(MAX($A$4:A164),0)+1)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Records'!$U166="Subscription"),"",IFERROR(MAX($A$4:A165),0)+1)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Records'!$U167="Subscription"),"",IFERROR(MAX($A$4:A166),0)+1)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Records'!$U168="Subscription"),"",IFERROR(MAX($A$4:A167),0)+1)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Records'!$U169="Subscription"),"",IFERROR(MAX($A$4:A168),0)+1)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Records'!$U170="Subscription"),"",IFERROR(MAX($A$4:A169),0)+1)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Records'!$U171="Subscription"),"",IFERROR(MAX($A$4:A170),0)+1)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Records'!$U172="Subscription"),"",IFERROR(MAX($A$4:A171),0)+1)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Records'!$U173="Subscription"),"",IFERROR(MAX($A$4:A172),0)+1)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Records'!$U174="Subscription"),"",IFERROR(MAX($A$4:A173),0)+1)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Records'!$U175="Subscription"),"",IFERROR(MAX($A$4:A174),0)+1)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Records'!$U176="Subscription"),"",IFERROR(MAX($A$4:A175),0)+1)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Records'!$U177="Subscription"),"",IFERROR(MAX($A$4:A176),0)+1)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Records'!$U178="Subscription"),"",IFERROR(MAX($A$4:A177),0)+1)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Records'!$U179="Subscription"),"",IFERROR(MAX($A$4:A178),0)+1)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Records'!$U180="Subscription"),"",IFERROR(MAX($A$4:A179),0)+1)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Records'!$U181="Subscription"),"",IFERROR(MAX($A$4:A180),0)+1)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Records'!$U182="Subscription"),"",IFERROR(MAX($A$4:A181),0)+1)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Records'!$U183="Subscription"),"",IFERROR(MAX($A$4:A182),0)+1)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Records'!$U184="Subscription"),"",IFERROR(MAX($A$4:A183),0)+1)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Records'!$U185="Subscription"),"",IFERROR(MAX($A$4:A184),0)+1)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Records'!$U186="Subscription"),"",IFERROR(MAX($A$4:A185),0)+1)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Records'!$U187="Subscription"),"",IFERROR(MAX($A$4:A186),0)+1)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Records'!$U188="Subscription"),"",IFERROR(MAX($A$4:A187),0)+1)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Records'!$U189="Subscription"),"",IFERROR(MAX($A$4:A188),0)+1)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Records'!$U190="Subscription"),"",IFERROR(MAX($A$4:A189),0)+1)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Records'!$U191="Subscription"),"",IFERROR(MAX($A$4:A190),0)+1)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Records'!$U192="Subscription"),"",IFERROR(MAX($A$4:A191),0)+1)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Records'!$U193="Subscription"),"",IFERROR(MAX($A$4:A192),0)+1)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Records'!$U194="Subscription"),"",IFERROR(MAX($A$4:A193),0)+1)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Records'!$U195="Subscription"),"",IFERROR(MAX($A$4:A194),0)+1)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Records'!$U196="Subscription"),"",IFERROR(MAX($A$4:A195),0)+1)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Records'!$U197="Subscription"),"",IFERROR(MAX($A$4:A196),0)+1)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Records'!$U198="Subscription"),"",IFERROR(MAX($A$4:A197),0)+1)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Records'!$U199="Subscription"),"",IFERROR(MAX($A$4:A198),0)+1)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Records'!$U200="Subscription"),"",IFERROR(MAX($A$4:A199),0)+1)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Records'!$U201="Subscription"),"",IFERROR(MAX($A$4:A200),0)+1)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Records'!$U202="Subscription"),"",IFERROR(MAX($A$4:A201),0)+1)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Records'!$U203="Subscription"),"",IFERROR(MAX($A$4:A202),0)+1)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Records'!$U204="Subscription"),"",IFERROR(MAX($A$4:A203),0)+1)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Records'!$U205="Subscription"),"",IFERROR(MAX($A$4:A204),0)+1)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Records'!$U206="Subscription"),"",IFERROR(MAX($A$4:A205),0)+1)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Records'!$U207="Subscription"),"",IFERROR(MAX($A$4:A206),0)+1)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Records'!$U208="Subscription"),"",IFERROR(MAX($A$4:A207),0)+1)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Records'!$U209="Subscription"),"",IFERROR(MAX($A$4:A208),0)+1)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Records'!$U210="Subscription"),"",IFERROR(MAX($A$4:A209),0)+1)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Records'!$U211="Subscription"),"",IFERROR(MAX($A$4:A210),0)+1)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Records'!$U212="Subscription"),"",IFERROR(MAX($A$4:A211),0)+1)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Records'!$U213="Subscription"),"",IFERROR(MAX($A$4:A212),0)+1)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Records'!$U214="Subscription"),"",IFERROR(MAX($A$4:A213),0)+1)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Records'!$U215="Subscription"),"",IFERROR(MAX($A$4:A214),0)+1)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Records'!$U216="Subscription"),"",IFERROR(MAX($A$4:A215),0)+1)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Records'!$U217="Subscription"),"",IFERROR(MAX($A$4:A216),0)+1)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Records'!$U218="Subscription"),"",IFERROR(MAX($A$4:A217),0)+1)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Records'!$U219="Subscription"),"",IFERROR(MAX($A$4:A218),0)+1)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Records'!$U220="Subscription"),"",IFERROR(MAX($A$4:A219),0)+1)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Records'!$U221="Subscription"),"",IFERROR(MAX($A$4:A220),0)+1)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Records'!$U222="Subscription"),"",IFERROR(MAX($A$4:A221),0)+1)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Records'!$U223="Subscription"),"",IFERROR(MAX($A$4:A222),0)+1)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Records'!$U224="Subscription"),"",IFERROR(MAX($A$4:A223),0)+1)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Records'!$U225="Subscription"),"",IFERROR(MAX($A$4:A224),0)+1)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Records'!$U226="Subscription"),"",IFERROR(MAX($A$4:A225),0)+1)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Records'!$U227="Subscription"),"",IFERROR(MAX($A$4:A226),0)+1)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Records'!$U228="Subscription"),"",IFERROR(MAX($A$4:A227),0)+1)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Records'!$U229="Subscription"),"",IFERROR(MAX($A$4:A228),0)+1)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Records'!$U230="Subscription"),"",IFERROR(MAX($A$4:A229),0)+1)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Records'!$U231="Subscription"),"",IFERROR(MAX($A$4:A230),0)+1)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Records'!$U232="Subscription"),"",IFERROR(MAX($A$4:A231),0)+1)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Records'!$U233="Subscription"),"",IFERROR(MAX($A$4:A232),0)+1)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Records'!$U234="Subscription"),"",IFERROR(MAX($A$4:A233),0)+1)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Records'!$U235="Subscription"),"",IFERROR(MAX($A$4:A234),0)+1)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Records'!$U236="Subscription"),"",IFERROR(MAX($A$4:A235),0)+1)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Records'!$U237="Subscription"),"",IFERROR(MAX($A$4:A236),0)+1)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Records'!$U238="Subscription"),"",IFERROR(MAX($A$4:A237),0)+1)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Records'!$U239="Subscription"),"",IFERROR(MAX($A$4:A238),0)+1)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Records'!$U240="Subscription"),"",IFERROR(MAX($A$4:A239),0)+1)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Records'!$U241="Subscription"),"",IFERROR(MAX($A$4:A240),0)+1)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Records'!$U242="Subscription"),"",IFERROR(MAX($A$4:A241),0)+1)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Records'!$U243="Subscription"),"",IFERROR(MAX($A$4:A242),0)+1)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Records'!$U244="Subscription"),"",IFERROR(MAX($A$4:A243),0)+1)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Records'!$U245="Subscription"),"",IFERROR(MAX($A$4:A244),0)+1)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Records'!$U246="Subscription"),"",IFERROR(MAX($A$4:A245),0)+1)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Records'!$U247="Subscription"),"",IFERROR(MAX($A$4:A246),0)+1)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Records'!$U248="Subscription"),"",IFERROR(MAX($A$4:A247),0)+1)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Records'!$U249="Subscription"),"",IFERROR(MAX($A$4:A248),0)+1)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Records'!$U250="Subscription"),"",IFERROR(MAX($A$4:A249),0)+1)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Records'!$U251="Subscription"),"",IFERROR(MAX($A$4:A250),0)+1)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Records'!$U252="Subscription"),"",IFERROR(MAX($A$4:A251),0)+1)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Records'!$U253="Subscription"),"",IFERROR(MAX($A$4:A252),0)+1)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Records'!$U254="Subscription"),"",IFERROR(MAX($A$4:A253),0)+1)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Records'!$U255="Subscription"),"",IFERROR(MAX($A$4:A254),0)+1)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Records'!$U256="Subscription"),"",IFERROR(MAX($A$4:A255),0)+1)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Records'!$U257="Subscription"),"",IFERROR(MAX($A$4:A256),0)+1)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Records'!$U258="Subscription"),"",IFERROR(MAX($A$4:A257),0)+1)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Records'!$U259="Subscription"),"",IFERROR(MAX($A$4:A258),0)+1)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Records'!$U260="Subscription"),"",IFERROR(MAX($A$4:A259),0)+1)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Records'!$U261="Subscription"),"",IFERROR(MAX($A$4:A260),0)+1)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Records'!$U262="Subscription"),"",IFERROR(MAX($A$4:A261),0)+1)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Records'!$U263="Subscription"),"",IFERROR(MAX($A$4:A262),0)+1)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Records'!$U264="Subscription"),"",IFERROR(MAX($A$4:A263),0)+1)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Records'!$U265="Subscription"),"",IFERROR(MAX($A$4:A264),0)+1)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Records'!$U266="Subscription"),"",IFERROR(MAX($A$4:A265),0)+1)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Records'!$U267="Subscription"),"",IFERROR(MAX($A$4:A266),0)+1)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Records'!$U268="Subscription"),"",IFERROR(MAX($A$4:A267),0)+1)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Records'!$U269="Subscription"),"",IFERROR(MAX($A$4:A268),0)+1)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Records'!$U270="Subscription"),"",IFERROR(MAX($A$4:A269),0)+1)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Records'!$U271="Subscription"),"",IFERROR(MAX($A$4:A270),0)+1)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Records'!$U272="Subscription"),"",IFERROR(MAX($A$4:A271),0)+1)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Records'!$U273="Subscription"),"",IFERROR(MAX($A$4:A272),0)+1)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Records'!$U274="Subscription"),"",IFERROR(MAX($A$4:A273),0)+1)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Records'!$U275="Subscription"),"",IFERROR(MAX($A$4:A274),0)+1)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Records'!$U276="Subscription"),"",IFERROR(MAX($A$4:A275),0)+1)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Records'!$U277="Subscription"),"",IFERROR(MAX($A$4:A276),0)+1)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Records'!$U278="Subscription"),"",IFERROR(MAX($A$4:A277),0)+1)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Records'!$U279="Subscription"),"",IFERROR(MAX($A$4:A278),0)+1)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Records'!$U280="Subscription"),"",IFERROR(MAX($A$4:A279),0)+1)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Records'!$U281="Subscription"),"",IFERROR(MAX($A$4:A280),0)+1)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Records'!$U282="Subscription"),"",IFERROR(MAX($A$4:A281),0)+1)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Records'!$U283="Subscription"),"",IFERROR(MAX($A$4:A282),0)+1)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Records'!$U284="Subscription"),"",IFERROR(MAX($A$4:A283),0)+1)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Records'!$U285="Subscription"),"",IFERROR(MAX($A$4:A284),0)+1)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Records'!$U286="Subscription"),"",IFERROR(MAX($A$4:A285),0)+1)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Records'!$U287="Subscription"),"",IFERROR(MAX($A$4:A286),0)+1)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Records'!$U288="Subscription"),"",IFERROR(MAX($A$4:A287),0)+1)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Records'!$U289="Subscription"),"",IFERROR(MAX($A$4:A288),0)+1)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Records'!$U290="Subscription"),"",IFERROR(MAX($A$4:A289),0)+1)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Records'!$U291="Subscription"),"",IFERROR(MAX($A$4:A290),0)+1)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Records'!$U292="Subscription"),"",IFERROR(MAX($A$4:A291),0)+1)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Records'!$U293="Subscription"),"",IFERROR(MAX($A$4:A292),0)+1)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Records'!$U294="Subscription"),"",IFERROR(MAX($A$4:A293),0)+1)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Records'!$U295="Subscription"),"",IFERROR(MAX($A$4:A294),0)+1)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Records'!$U296="Subscription"),"",IFERROR(MAX($A$4:A295),0)+1)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Records'!$U297="Subscription"),"",IFERROR(MAX($A$4:A296),0)+1)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Records'!$U298="Subscription"),"",IFERROR(MAX($A$4:A297),0)+1)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Records'!$U299="Subscription"),"",IFERROR(MAX($A$4:A298),0)+1)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Records'!$U300="Subscription"),"",IFERROR(MAX($A$4:A299),0)+1)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Records'!$U301="Subscription"),"",IFERROR(MAX($A$4:A300),0)+1)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Records'!$U302="Subscription"),"",IFERROR(MAX($A$4:A301),0)+1)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Records'!$U303="Subscription"),"",IFERROR(MAX($A$4:A302),0)+1)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Records'!$U304="Subscription"),"",IFERROR(MAX($A$4:A303),0)+1)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Records'!$U305="Subscription"),"",IFERROR(MAX($A$4:A304),0)+1)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Records'!$U306="Subscription"),"",IFERROR(MAX($A$4:A305),0)+1)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Records'!$U307="Subscription"),"",IFERROR(MAX($A$4:A306),0)+1)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Records'!$U308="Subscription"),"",IFERROR(MAX($A$4:A307),0)+1)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Records'!$U309="Subscription"),"",IFERROR(MAX($A$4:A308),0)+1)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Records'!$U310="Subscription"),"",IFERROR(MAX($A$4:A309),0)+1)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Records'!$U311="Subscription"),"",IFERROR(MAX($A$4:A310),0)+1)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Records'!$U312="Subscription"),"",IFERROR(MAX($A$4:A311),0)+1)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Records'!$U313="Subscription"),"",IFERROR(MAX($A$4:A312),0)+1)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Records'!$U314="Subscription"),"",IFERROR(MAX($A$4:A313),0)+1)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Records'!$U315="Subscription"),"",IFERROR(MAX($A$4:A314),0)+1)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Records'!$U316="Subscription"),"",IFERROR(MAX($A$4:A315),0)+1)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Records'!$U317="Subscription"),"",IFERROR(MAX($A$4:A316),0)+1)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Records'!$U318="Subscription"),"",IFERROR(MAX($A$4:A317),0)+1)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Records'!$U319="Subscription"),"",IFERROR(MAX($A$4:A318),0)+1)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Records'!$U320="Subscription"),"",IFERROR(MAX($A$4:A319),0)+1)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Records'!$U321="Subscription"),"",IFERROR(MAX($A$4:A320),0)+1)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Records'!$U322="Subscription"),"",IFERROR(MAX($A$4:A321),0)+1)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Records'!$U323="Subscription"),"",IFERROR(MAX($A$4:A322),0)+1)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Records'!$U324="Subscription"),"",IFERROR(MAX($A$4:A323),0)+1)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Records'!$U325="Subscription"),"",IFERROR(MAX($A$4:A324),0)+1)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Records'!$U326="Subscription"),"",IFERROR(MAX($A$4:A325),0)+1)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Records'!$U327="Subscription"),"",IFERROR(MAX($A$4:A326),0)+1)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Records'!$U328="Subscription"),"",IFERROR(MAX($A$4:A327),0)+1)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Records'!$U329="Subscription"),"",IFERROR(MAX($A$4:A328),0)+1)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Records'!$U330="Subscription"),"",IFERROR(MAX($A$4:A329),0)+1)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Records'!$U331="Subscription"),"",IFERROR(MAX($A$4:A330),0)+1)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Records'!$U332="Subscription"),"",IFERROR(MAX($A$4:A331),0)+1)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Records'!$U333="Subscription"),"",IFERROR(MAX($A$4:A332),0)+1)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Records'!$U334="Subscription"),"",IFERROR(MAX($A$4:A333),0)+1)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Records'!$U335="Subscription"),"",IFERROR(MAX($A$4:A334),0)+1)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Records'!$U336="Subscription"),"",IFERROR(MAX($A$4:A335),0)+1)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Records'!$U337="Subscription"),"",IFERROR(MAX($A$4:A336),0)+1)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Records'!$U338="Subscription"),"",IFERROR(MAX($A$4:A337),0)+1)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Records'!$U339="Subscription"),"",IFERROR(MAX($A$4:A338),0)+1)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Records'!$U340="Subscription"),"",IFERROR(MAX($A$4:A339),0)+1)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Records'!$U341="Subscription"),"",IFERROR(MAX($A$4:A340),0)+1)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Records'!$U342="Subscription"),"",IFERROR(MAX($A$4:A341),0)+1)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Records'!$U343="Subscription"),"",IFERROR(MAX($A$4:A342),0)+1)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Records'!$U344="Subscription"),"",IFERROR(MAX($A$4:A343),0)+1)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Records'!$U345="Subscription"),"",IFERROR(MAX($A$4:A344),0)+1)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Records'!$U346="Subscription"),"",IFERROR(MAX($A$4:A345),0)+1)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Records'!$U347="Subscription"),"",IFERROR(MAX($A$4:A346),0)+1)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Records'!$U348="Subscription"),"",IFERROR(MAX($A$4:A347),0)+1)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Records'!$U349="Subscription"),"",IFERROR(MAX($A$4:A348),0)+1)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Records'!$U350="Subscription"),"",IFERROR(MAX($A$4:A349),0)+1)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Records'!$U351="Subscription"),"",IFERROR(MAX($A$4:A350),0)+1)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Records'!$U352="Subscription"),"",IFERROR(MAX($A$4:A351),0)+1)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Records'!$U353="Subscription"),"",IFERROR(MAX($A$4:A352),0)+1)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Records'!$U354="Subscription"),"",IFERROR(MAX($A$4:A353),0)+1)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Records'!$U355="Subscription"),"",IFERROR(MAX($A$4:A354),0)+1)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Records'!$U356="Subscription"),"",IFERROR(MAX($A$4:A355),0)+1)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Records'!$U357="Subscription"),"",IFERROR(MAX($A$4:A356),0)+1)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Records'!$U358="Subscription"),"",IFERROR(MAX($A$4:A357),0)+1)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Records'!$U359="Subscription"),"",IFERROR(MAX($A$4:A358),0)+1)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Records'!$U360="Subscription"),"",IFERROR(MAX($A$4:A359),0)+1)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Records'!$U361="Subscription"),"",IFERROR(MAX($A$4:A360),0)+1)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Records'!$U362="Subscription"),"",IFERROR(MAX($A$4:A361),0)+1)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Records'!$U363="Subscription"),"",IFERROR(MAX($A$4:A362),0)+1)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Records'!$U364="Subscription"),"",IFERROR(MAX($A$4:A363),0)+1)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Records'!$U365="Subscription"),"",IFERROR(MAX($A$4:A364),0)+1)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Records'!$U366="Subscription"),"",IFERROR(MAX($A$4:A365),0)+1)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Records'!$U367="Subscription"),"",IFERROR(MAX($A$4:A366),0)+1)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Records'!$U368="Subscription"),"",IFERROR(MAX($A$4:A367),0)+1)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Records'!$U369="Subscription"),"",IFERROR(MAX($A$4:A368),0)+1)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Records'!$U370="Subscription"),"",IFERROR(MAX($A$4:A369),0)+1)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Records'!$U371="Subscription"),"",IFERROR(MAX($A$4:A370),0)+1)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Records'!$U372="Subscription"),"",IFERROR(MAX($A$4:A371),0)+1)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Records'!$U373="Subscription"),"",IFERROR(MAX($A$4:A372),0)+1)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Records'!$U374="Subscription"),"",IFERROR(MAX($A$4:A373),0)+1)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Records'!$U375="Subscription"),"",IFERROR(MAX($A$4:A374),0)+1)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Records'!$U376="Subscription"),"",IFERROR(MAX($A$4:A375),0)+1)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Records'!$U377="Subscription"),"",IFERROR(MAX($A$4:A376),0)+1)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Records'!$U378="Subscription"),"",IFERROR(MAX($A$4:A377),0)+1)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Records'!$U379="Subscription"),"",IFERROR(MAX($A$4:A378),0)+1)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Records'!$U380="Subscription"),"",IFERROR(MAX($A$4:A379),0)+1)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Records'!$U381="Subscription"),"",IFERROR(MAX($A$4:A380),0)+1)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Records'!$U382="Subscription"),"",IFERROR(MAX($A$4:A381),0)+1)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Records'!$U383="Subscription"),"",IFERROR(MAX($A$4:A382),0)+1)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Records'!$U384="Subscription"),"",IFERROR(MAX($A$4:A383),0)+1)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Records'!$U385="Subscription"),"",IFERROR(MAX($A$4:A384),0)+1)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Records'!$U386="Subscription"),"",IFERROR(MAX($A$4:A385),0)+1)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Records'!$U387="Subscription"),"",IFERROR(MAX($A$4:A386),0)+1)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Records'!$U388="Subscription"),"",IFERROR(MAX($A$4:A387),0)+1)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Records'!$U389="Subscription"),"",IFERROR(MAX($A$4:A388),0)+1)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Records'!$U390="Subscription"),"",IFERROR(MAX($A$4:A389),0)+1)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Records'!$U391="Subscription"),"",IFERROR(MAX($A$4:A390),0)+1)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Records'!$U392="Subscription"),"",IFERROR(MAX($A$4:A391),0)+1)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Records'!$U393="Subscription"),"",IFERROR(MAX($A$4:A392),0)+1)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Records'!$U394="Subscription"),"",IFERROR(MAX($A$4:A393),0)+1)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Records'!$U395="Subscription"),"",IFERROR(MAX($A$4:A394),0)+1)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Records'!$U396="Subscription"),"",IFERROR(MAX($A$4:A395),0)+1)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Records'!$U397="Subscription"),"",IFERROR(MAX($A$4:A396),0)+1)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Records'!$U398="Subscription"),"",IFERROR(MAX($A$4:A397),0)+1)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Records'!$U399="Subscription"),"",IFERROR(MAX($A$4:A398),0)+1)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Records'!$U400="Subscription"),"",IFERROR(MAX($A$4:A399),0)+1)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Records'!$U401="Subscription"),"",IFERROR(MAX($A$4:A400),0)+1)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Records'!$U402="Subscription"),"",IFERROR(MAX($A$4:A401),0)+1)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Records'!$U403="Subscription"),"",IFERROR(MAX($A$4:A402),0)+1)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Records'!$U404="Subscription"),"",IFERROR(MAX($A$4:A403),0)+1)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Records'!$U405="Subscription"),"",IFERROR(MAX($A$4:A404),0)+1)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Records'!$U406="Subscription"),"",IFERROR(MAX($A$4:A405),0)+1)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Records'!$U407="Subscription"),"",IFERROR(MAX($A$4:A406),0)+1)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Records'!$U408="Subscription"),"",IFERROR(MAX($A$4:A407),0)+1)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Records'!$U409="Subscription"),"",IFERROR(MAX($A$4:A408),0)+1)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Records'!$U410="Subscription"),"",IFERROR(MAX($A$4:A409),0)+1)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Records'!$U411="Subscription"),"",IFERROR(MAX($A$4:A410),0)+1)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Records'!$U412="Subscription"),"",IFERROR(MAX($A$4:A411),0)+1)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Records'!$U413="Subscription"),"",IFERROR(MAX($A$4:A412),0)+1)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Records'!$U414="Subscription"),"",IFERROR(MAX($A$4:A413),0)+1)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Records'!$U415="Subscription"),"",IFERROR(MAX($A$4:A414),0)+1)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Records'!$U416="Subscription"),"",IFERROR(MAX($A$4:A415),0)+1)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Records'!$U417="Subscription"),"",IFERROR(MAX($A$4:A416),0)+1)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Records'!$U418="Subscription"),"",IFERROR(MAX($A$4:A417),0)+1)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Records'!$U419="Subscription"),"",IFERROR(MAX($A$4:A418),0)+1)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Records'!$U420="Subscription"),"",IFERROR(MAX($A$4:A419),0)+1)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Records'!$U421="Subscription"),"",IFERROR(MAX($A$4:A420),0)+1)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Records'!$U422="Subscription"),"",IFERROR(MAX($A$4:A421),0)+1)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Records'!$U423="Subscription"),"",IFERROR(MAX($A$4:A422),0)+1)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Records'!$U424="Subscription"),"",IFERROR(MAX($A$4:A423),0)+1)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Records'!$U425="Subscription"),"",IFERROR(MAX($A$4:A424),0)+1)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Records'!$U426="Subscription"),"",IFERROR(MAX($A$4:A425),0)+1)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Records'!$U427="Subscription"),"",IFERROR(MAX($A$4:A426),0)+1)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Records'!$U428="Subscription"),"",IFERROR(MAX($A$4:A427),0)+1)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Records'!$U429="Subscription"),"",IFERROR(MAX($A$4:A428),0)+1)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Records'!$U430="Subscription"),"",IFERROR(MAX($A$4:A429),0)+1)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Records'!$U431="Subscription"),"",IFERROR(MAX($A$4:A430),0)+1)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Records'!$U432="Subscription"),"",IFERROR(MAX($A$4:A431),0)+1)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Records'!$U433="Subscription"),"",IFERROR(MAX($A$4:A432),0)+1)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Records'!$U434="Subscription"),"",IFERROR(MAX($A$4:A433),0)+1)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Records'!$U435="Subscription"),"",IFERROR(MAX($A$4:A434),0)+1)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Records'!$U436="Subscription"),"",IFERROR(MAX($A$4:A435),0)+1)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Records'!$U437="Subscription"),"",IFERROR(MAX($A$4:A436),0)+1)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Records'!$U438="Subscription"),"",IFERROR(MAX($A$4:A437),0)+1)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Records'!$U439="Subscription"),"",IFERROR(MAX($A$4:A438),0)+1)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Records'!$U440="Subscription"),"",IFERROR(MAX($A$4:A439),0)+1)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Records'!$U441="Subscription"),"",IFERROR(MAX($A$4:A440),0)+1)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Records'!$U442="Subscription"),"",IFERROR(MAX($A$4:A441),0)+1)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Records'!$U443="Subscription"),"",IFERROR(MAX($A$4:A442),0)+1)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Records'!$U444="Subscription"),"",IFERROR(MAX($A$4:A443),0)+1)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Records'!$U445="Subscription"),"",IFERROR(MAX($A$4:A444),0)+1)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Records'!$U446="Subscription"),"",IFERROR(MAX($A$4:A445),0)+1)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Records'!$U447="Subscription"),"",IFERROR(MAX($A$4:A446),0)+1)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Records'!$U448="Subscription"),"",IFERROR(MAX($A$4:A447),0)+1)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Records'!$U449="Subscription"),"",IFERROR(MAX($A$4:A448),0)+1)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Records'!$U450="Subscription"),"",IFERROR(MAX($A$4:A449),0)+1)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Records'!$U451="Subscription"),"",IFERROR(MAX($A$4:A450),0)+1)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Records'!$U452="Subscription"),"",IFERROR(MAX($A$4:A451),0)+1)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Records'!$U453="Subscription"),"",IFERROR(MAX($A$4:A452),0)+1)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Records'!$U454="Subscription"),"",IFERROR(MAX($A$4:A453),0)+1)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Records'!$U455="Subscription"),"",IFERROR(MAX($A$4:A454),0)+1)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Records'!$U456="Subscription"),"",IFERROR(MAX($A$4:A455),0)+1)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Records'!$U457="Subscription"),"",IFERROR(MAX($A$4:A456),0)+1)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Records'!$U458="Subscription"),"",IFERROR(MAX($A$4:A457),0)+1)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Records'!$U459="Subscription"),"",IFERROR(MAX($A$4:A458),0)+1)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Records'!$U460="Subscription"),"",IFERROR(MAX($A$4:A459),0)+1)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Records'!$U461="Subscription"),"",IFERROR(MAX($A$4:A460),0)+1)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Records'!$U462="Subscription"),"",IFERROR(MAX($A$4:A461),0)+1)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Records'!$U463="Subscription"),"",IFERROR(MAX($A$4:A462),0)+1)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Records'!$U464="Subscription"),"",IFERROR(MAX($A$4:A463),0)+1)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Records'!$U465="Subscription"),"",IFERROR(MAX($A$4:A464),0)+1)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Records'!$U466="Subscription"),"",IFERROR(MAX($A$4:A465),0)+1)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Records'!$U467="Subscription"),"",IFERROR(MAX($A$4:A466),0)+1)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Records'!$U468="Subscription"),"",IFERROR(MAX($A$4:A467),0)+1)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Records'!$U469="Subscription"),"",IFERROR(MAX($A$4:A468),0)+1)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Records'!$U470="Subscription"),"",IFERROR(MAX($A$4:A469),0)+1)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Records'!$U471="Subscription"),"",IFERROR(MAX($A$4:A470),0)+1)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Records'!$U472="Subscription"),"",IFERROR(MAX($A$4:A471),0)+1)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Records'!$U473="Subscription"),"",IFERROR(MAX($A$4:A472),0)+1)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Records'!$U474="Subscription"),"",IFERROR(MAX($A$4:A473),0)+1)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Records'!$U475="Subscription"),"",IFERROR(MAX($A$4:A474),0)+1)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Records'!$U476="Subscription"),"",IFERROR(MAX($A$4:A475),0)+1)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Records'!$U477="Subscription"),"",IFERROR(MAX($A$4:A476),0)+1)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Records'!$U478="Subscription"),"",IFERROR(MAX($A$4:A477),0)+1)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Records'!$U479="Subscription"),"",IFERROR(MAX($A$4:A478),0)+1)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Records'!$U480="Subscription"),"",IFERROR(MAX($A$4:A479),0)+1)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Records'!$U481="Subscription"),"",IFERROR(MAX($A$4:A480),0)+1)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Records'!$U482="Subscription"),"",IFERROR(MAX($A$4:A481),0)+1)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Records'!$U483="Subscription"),"",IFERROR(MAX($A$4:A482),0)+1)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Records'!$U484="Subscription"),"",IFERROR(MAX($A$4:A483),0)+1)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Records'!$U485="Subscription"),"",IFERROR(MAX($A$4:A484),0)+1)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Records'!$U486="Subscription"),"",IFERROR(MAX($A$4:A485),0)+1)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Records'!$U487="Subscription"),"",IFERROR(MAX($A$4:A486),0)+1)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Records'!$U488="Subscription"),"",IFERROR(MAX($A$4:A487),0)+1)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Records'!$U489="Subscription"),"",IFERROR(MAX($A$4:A488),0)+1)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Records'!$U490="Subscription"),"",IFERROR(MAX($A$4:A489),0)+1)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Records'!$U491="Subscription"),"",IFERROR(MAX($A$4:A490),0)+1)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Records'!$U492="Subscription"),"",IFERROR(MAX($A$4:A491),0)+1)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Records'!$U493="Subscription"),"",IFERROR(MAX($A$4:A492),0)+1)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Records'!$U494="Subscription"),"",IFERROR(MAX($A$4:A493),0)+1)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Records'!$U495="Subscription"),"",IFERROR(MAX($A$4:A494),0)+1)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Records'!$U496="Subscription"),"",IFERROR(MAX($A$4:A495),0)+1)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Records'!$U497="Subscription"),"",IFERROR(MAX($A$4:A496),0)+1)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Records'!$U498="Subscription"),"",IFERROR(MAX($A$4:A497),0)+1)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Records'!$U499="Subscription"),"",IFERROR(MAX($A$4:A498),0)+1)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Records'!$U500="Subscription"),"",IFERROR(MAX($A$4:A499),0)+1)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Records'!$U501="Subscription"),"",IFERROR(MAX($A$4:A500),0)+1)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Records'!$U502="Subscription"),"",IFERROR(MAX($A$4:A501),0)+1)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Records'!$U503="Subscription"),"",IFERROR(MAX($A$4:A502),0)+1)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Records'!$U504="Subscription"),"",IFERROR(MAX($A$4:A503),0)+1)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v246.3.2</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Completed Free Games (separate credit)</x:v>
      </x:c>
      <x:c r="B9" s="914" t="n">
        <x:f>COUNTIFS('Game Records'!$D$5:$D$504,"Finalized",'Game Records'!$U$5:$U$504,"Free Game")+COUNTIFS('Game Records'!$D$5:$D$504,"Finalized",'Game Records'!$U$5:$U$504,"Disqualified — Free Game")</x:f>
        <x:v>0</x:v>
      </x:c>
      <x:c r="C9" s="913" t="str">
        <x:v>Separate</x:v>
      </x:c>
      <x:c r="D9" s="126" t="str">
        <x:v>Free Game Chips Earned</x:v>
      </x:c>
      <x:c r="E9" s="983" t="n">
        <x:f>SUMIFS('Game Records'!$K$5:$K$504,'Game Records'!$D$5:$D$504,"Finalized",'Game Records'!$U$5:$U$504,"Free Game",'Game Records'!$K$5:$K$504,"&lt;&gt;",'Game Records'!$K$5:$K$504,"&gt;=0")</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v246.3.2</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COUNTIFS('Game Records'!$D$5:$D$504,"Finalized",'Game Records'!$U$5:$U$504,"Free Game")+COUNTIFS('Game Records'!$D$5:$D$504,"Finalized",'Game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COUNTIFS('Game Records'!$D$5:$D$504,"Finalized",'Game Records'!$U$5:$U$504,"Free Game")</x:f>
        <x:v>0</x:v>
      </x:c>
      <x:c r="C19" s="509" t="str">
        <x:v>Free Games completed without disqualification.</x:v>
      </x:c>
      <x:c r="D19" s="509"/>
      <x:c r="E19" s="509"/>
    </x:row>
    <x:row r="20" ht="39.599998474121094" hidden="0" customHeight="1">
      <x:c r="A20" s="509" t="str">
        <x:v>Disqualified Free Games</x:v>
      </x:c>
      <x:c r="B20" s="914" t="n">
        <x:f>COUNTIFS('Game Records'!$D$5:$D$504,"Finalized",'Game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IF((COUNTIFS('Game Records'!$D$5:$D$504,"Finalized",'Game Records'!$U$5:$U$504,"Free Game",'Game Records'!$K$5:$K$504,"&lt;&gt;",'Game Records'!$K$5:$K$504,"&gt;=0")+COUNTIFS('Game Records'!$D$5:$D$504,"Finalized",'Game Records'!$U$5:$U$504,"Disqualified — Free Game"))=0,0,(SUMIFS('Game Records'!$K$5:$K$504,'Game Records'!$D$5:$D$504,"Finalized",'Game Records'!$U$5:$U$504,"Free Game",'Game Records'!$K$5:$K$504,"&lt;&gt;",'Game Records'!$K$5:$K$504,"&gt;=0"))/(COUNTIFS('Game Records'!$D$5:$D$504,"Finalized",'Game Records'!$U$5:$U$504,"Free Game",'Game Records'!$K$5:$K$504,"&lt;&gt;",'Game Records'!$K$5:$K$504,"&gt;=0")+COUNTIFS('Game Records'!$D$5:$D$504,"Finalized",'Game Records'!$U$5:$U$504,"Disqualified — Free Game")))</x:f>
        <x:v>0</x:v>
      </x:c>
      <x:c r="C22" s="509" t="str">
        <x:v>Average of recorded chip amounts only; unknown blanks are excluded, while recorded 0.00-chip results remain included.</x:v>
      </x:c>
      <x:c r="D22" s="509"/>
      <x:c r="E22" s="509"/>
    </x:row>
    <x:row r="23" ht="39.599998474121094" hidden="0" customHeight="1">
      <x:c r="A23" s="509" t="str">
        <x:v>Total Chips Earned</x:v>
      </x:c>
      <x:c r="B23" s="984" t="n">
        <x:f>SUMIFS('Game Records'!$K$5:$K$504,'Game Records'!$D$5:$D$504,"Finalized",'Game Records'!$U$5:$U$504,"Free Game",'Game Records'!$K$5:$K$504,"&lt;&gt;",'Game Records'!$K$5:$K$504,"&gt;=0")</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Records'!$X$5:$X$504,'Game Records'!$D$5:$D$504,"Finalized",'Game Records'!$U$5:$U$504,"Free Game")+SUMIFS('Game Records'!$X$5:$X$504,'Game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4" s="509" t="str">
        <x:v>Average eliminated-player count when player totals are available.</x:v>
      </x:c>
      <x:c r="D24" s="509"/>
      <x:c r="E24" s="509"/>
    </x:row>
    <x:row r="25" ht="26.399999618530273" hidden="0" customHeight="1">
      <x:c r="A25" s="509" t="str">
        <x:v>Average Elimination Rate</x:v>
      </x:c>
      <x:c r="B25" s="915"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Records'!$Y$5:$Y$504,'Game Records'!$D$5:$D$504,"Finalized",'Game Records'!$U$5:$U$504,"Free Game")+SUMIFS('Game Records'!$Y$5:$Y$504,'Game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v246.3.2</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