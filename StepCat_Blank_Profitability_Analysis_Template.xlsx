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b3d477db8d4a73" /></Relationships>
</file>

<file path=xl/workbook.xml><?xml version="1.0" encoding="utf-8"?>
<x:workbook xmlns:x="http://schemas.openxmlformats.org/spreadsheetml/2006/main">
  <x:sheets>
    <x:sheet xmlns:r="http://schemas.openxmlformats.org/officeDocument/2006/relationships" name="Instructions" sheetId="1" r:id="R3182b9b9652a4b0f"/>
    <x:sheet xmlns:r="http://schemas.openxmlformats.org/officeDocument/2006/relationships" name="Game Records" sheetId="2" r:id="R7c1fb6ae00154350"/>
    <x:sheet xmlns:r="http://schemas.openxmlformats.org/officeDocument/2006/relationships" name="Record Review" sheetId="3" r:id="Rcd45e256a16a420a"/>
    <x:sheet xmlns:r="http://schemas.openxmlformats.org/officeDocument/2006/relationships" name="Summary" sheetId="4" r:id="R9fec62ff31d641db"/>
    <x:sheet xmlns:r="http://schemas.openxmlformats.org/officeDocument/2006/relationships" name="Game Comparisons" sheetId="5" r:id="Ra37a1ea70d9c49db"/>
    <x:sheet xmlns:r="http://schemas.openxmlformats.org/officeDocument/2006/relationships" name="Best Results" sheetId="6" r:id="R27adad88702f4b35"/>
  </x:sheets>
  <x:calcPr calcMode="auto" fullCalcOnLoad="1" forceFullCalc="1" calcId="0"/>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e320cc035d4e12" /><Relationship Type="http://schemas.openxmlformats.org/officeDocument/2006/relationships/theme" Target="/xl/theme/theme1.xml" Id="Rebb5cb105ed94b12" /><Relationship Type="http://schemas.openxmlformats.org/officeDocument/2006/relationships/sharedStrings" Target="/xl/sharedStrings.xml" Id="R87c1255f40594c70" /><Relationship Type="http://schemas.openxmlformats.org/officeDocument/2006/relationships/worksheet" Target="/xl/worksheets/sheet1.xml" Id="R3182b9b9652a4b0f" /><Relationship Type="http://schemas.openxmlformats.org/officeDocument/2006/relationships/worksheet" Target="/xl/worksheets/sheet2.xml" Id="R7c1fb6ae00154350" /><Relationship Type="http://schemas.openxmlformats.org/officeDocument/2006/relationships/worksheet" Target="/xl/worksheets/sheet3.xml" Id="Rcd45e256a16a420a" /><Relationship Type="http://schemas.openxmlformats.org/officeDocument/2006/relationships/worksheet" Target="/xl/worksheets/sheet4.xml" Id="R9fec62ff31d641db" /><Relationship Type="http://schemas.openxmlformats.org/officeDocument/2006/relationships/worksheet" Target="/xl/worksheets/sheet5.xml" Id="Ra37a1ea70d9c49db" /><Relationship Type="http://schemas.openxmlformats.org/officeDocument/2006/relationships/worksheet" Target="/xl/worksheets/sheet6.xml" Id="R27adad88702f4b3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v246.3.6</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“Subscription — membership charge only” and enter the annual cost in Entry Fee. This is a non-game expense and must not be used for a free-entry challenge.</x:v>
      </x:c>
      <x:c r="C11" s="833"/>
      <x:c r="D11" s="833"/>
      <x:c r="E11" s="833"/>
      <x:c r="F11" s="833"/>
      <x:c r="G11" s="833"/>
      <x:c r="H11" s="833"/>
      <x:c r="I11" s="833"/>
      <x:c r="J11" s="833"/>
    </x:row>
    <x:row r="12" ht="105" hidden="0" customHeight="1">
      <x:c r="A12" s="528" t="str">
        <x:v>Free games</x:v>
      </x:c>
      <x:c r="B12" s="532" t="str">
        <x:v>Select “Free Game — completed challenge/chips” for a completed free-entry challenge or a record that awards chips/game credit. Enter chips in Final Earned / Chips when known.</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84" customHeight="1">
      <x:c r="A48" s="685" t="str">
        <x:v>What changed in v246.3.6</x:v>
      </x:c>
      <x:c r="B48" s="975" t="str">
        <x:v>Record Review rows 5–504 now use a consistent 24-point height to prevent wrapped Game Name, Blank Fields to Review, and Notes text from being clipped. This is a layout-only workbook correction; calculation formulas, classifications, and totals are unchanged from v246.3.3.</x:v>
      </x:c>
      <x:c r="C48" s="833"/>
      <x:c r="D48" s="833"/>
      <x:c r="E48" s="833"/>
      <x:c r="F48" s="833"/>
      <x:c r="G48" s="833"/>
      <x:c r="H48" s="833"/>
      <x:c r="I48" s="833"/>
      <x:c r="J48" s="833"/>
    </x:row>
    <x:row r="49" ht="84" customHeight="1">
      <x:c r="A49" s="528" t="str">
        <x:v>Calculation baseline</x:v>
      </x:c>
      <x:c r="B49" s="532" t="str">
        <x:v>v246.2 was the last substantive workbook release that established the correct core payout, Profit/Draw, loss, ROI, membership-cost, and Free Game cash-separation calculations. Later versions retain that calculation base while adding clarity, reporting safeguards, and layout corrections.</x:v>
      </x:c>
      <x:c r="C49" s="833"/>
      <x:c r="D49" s="833"/>
      <x:c r="E49" s="833"/>
      <x:c r="F49" s="833"/>
      <x:c r="G49" s="833"/>
      <x:c r="H49" s="833"/>
      <x:c r="I49" s="833"/>
      <x:c r="J49" s="833"/>
    </x:row>
    <x:row r="50" ht="60" customHeight="1">
      <x:c r="A50" s="977" t="str">
        <x:v>How to migrate records</x:v>
      </x:c>
      <x:c r="B50" s="979" t="str">
        <x:v>To adopt v246.3.6, copy only populated Game Records cells A5:M from the older workbook. In v246.3.6, select A5 and paste—preferably as values only. Do not copy entire sheets, header rows, or formula columns N–Z.</x:v>
      </x:c>
      <x:c r="C50" s="833"/>
      <x:c r="D50" s="833"/>
      <x:c r="E50" s="833"/>
      <x:c r="F50" s="833"/>
      <x:c r="G50" s="833"/>
      <x:c r="H50" s="833"/>
      <x:c r="I50" s="833"/>
      <x:c r="J50" s="833"/>
    </x:row>
    <x:row r="51" ht="72" customHeight="1">
      <x:c r="A51" s="833" t="str">
        <x:v>Who should download v246.3.6?</x:v>
      </x:c>
      <x:c r="B51" s="833" t="str">
        <x:v>New users should begin with v246.3.6. Existing users should migrate when they want the clearer Free Game/Subscription choices, updated Free Game reporting safeguards, and corrected Record Review row height. Keep the older workbook as a backup until transferred records and totals have been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v246.3.6"</x:f>
        <x:v>Running Net Game Profit: $0.00  |  Gross Profit Earned: $0.00  |  Total Lost Entry Fees: $0.00  |  StepCat v246.3.6</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v246.3.6 is a readability-only workbook patch: Record Review data rows now use a consistent 24-point height so wrapped review text and Notes are not clipped. Core calculations remain unchanged; v246.2 remains the substantive calculation baseline.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IF(COUNTA($A5:$M5)=0,"",IF(OR(LEFT(LOWER(TRIM($F5&amp;"")),12)="subscription",LOWER(TRIM($F5&amp;""))="membership"),"",IF($G5="","",IF(ISNUMBER(SEARCH("non",LOWER($E5&amp;""))),$G5*0.85,$G5))))</x:f>
      </x:c>
      <x:c r="O5" s="987" t="str">
        <x:f>IF(COUNTA($A5:$M5)=0,"",IF(OR(LEFT(LOWER(TRIM($F5&amp;"")),12)="subscription",LOWER(TRIM($F5&amp;""))="membership"),"",IF(OR($N5="",$I5="",$I5=0),"",IFERROR($N5/$I5,""))))</x:f>
      </x:c>
      <x:c r="P5" s="987" t="str">
        <x:f>IF(COUNTA($A5:$M5)=0,"",IF(OR(LEFT(LOWER(TRIM($F5&amp;"")),12)="subscription",LOWER(TRIM($F5&amp;""))="membership"),"",IF(LOWER($L5&amp;"")="yes",0,IF(OR(AND($H5&lt;&gt;"",$H5=0),LEFT(LOWER(TRIM($F5&amp;"")),9)="free game",LOWER(TRIM($F5&amp;""))="free",LOWER(TRIM($F5&amp;""))="free entry"),IF(LOWER($D5&amp;"")="finalized",IF(ISNUMBER($K5),$K5,""),IF($O5&lt;&gt;"",$O5,"")),IF($K5&lt;&gt;"",$K5,IF($O5&lt;&gt;"",$O5,""))))))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IF(COUNTA($A5:$M5)=0,"",IF(OR(LEFT(LOWER(TRIM($F5&amp;"")),12)="subscription",LOWER(TRIM($F5&amp;""))="membership"),"Subscription",IF(OR(AND($H5&lt;&gt;"",$H5=0),LEFT(LOWER(TRIM($F5&amp;"")),9)="free game",LOWER(TRIM($F5&amp;""))="free",LOWER(TRIM($F5&amp;""))="free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IF(COUNTA($A6:$M6)=0,"",IF(OR(LEFT(LOWER(TRIM($F6&amp;"")),12)="subscription",LOWER(TRIM($F6&amp;""))="membership"),"",IF($G6="","",IF(ISNUMBER(SEARCH("non",LOWER($E6&amp;""))),$G6*0.85,$G6))))</x:f>
      </x:c>
      <x:c r="O6" s="987" t="str">
        <x:f>IF(COUNTA($A6:$M6)=0,"",IF(OR(LEFT(LOWER(TRIM($F6&amp;"")),12)="subscription",LOWER(TRIM($F6&amp;""))="membership"),"",IF(OR($N6="",$I6="",$I6=0),"",IFERROR($N6/$I6,""))))</x:f>
      </x:c>
      <x:c r="P6" s="987" t="str">
        <x:f>IF(COUNTA($A6:$M6)=0,"",IF(OR(LEFT(LOWER(TRIM($F6&amp;"")),12)="subscription",LOWER(TRIM($F6&amp;""))="membership"),"",IF(LOWER($L6&amp;"")="yes",0,IF(OR(AND($H6&lt;&gt;"",$H6=0),LEFT(LOWER(TRIM($F6&amp;"")),9)="free game",LOWER(TRIM($F6&amp;""))="free",LOWER(TRIM($F6&amp;""))="free entry"),IF(LOWER($D6&amp;"")="finalized",IF(ISNUMBER($K6),$K6,""),IF($O6&lt;&gt;"",$O6,"")),IF($K6&lt;&gt;"",$K6,IF($O6&lt;&gt;"",$O6,""))))))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IF(COUNTA($A6:$M6)=0,"",IF(OR(LEFT(LOWER(TRIM($F6&amp;"")),12)="subscription",LOWER(TRIM($F6&amp;""))="membership"),"Subscription",IF(OR(AND($H6&lt;&gt;"",$H6=0),LEFT(LOWER(TRIM($F6&amp;"")),9)="free game",LOWER(TRIM($F6&amp;""))="free",LOWER(TRIM($F6&amp;""))="free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IF(COUNTA($A7:$M7)=0,"",IF(OR(LEFT(LOWER(TRIM($F7&amp;"")),12)="subscription",LOWER(TRIM($F7&amp;""))="membership"),"",IF($G7="","",IF(ISNUMBER(SEARCH("non",LOWER($E7&amp;""))),$G7*0.85,$G7))))</x:f>
      </x:c>
      <x:c r="O7" s="987" t="str">
        <x:f>IF(COUNTA($A7:$M7)=0,"",IF(OR(LEFT(LOWER(TRIM($F7&amp;"")),12)="subscription",LOWER(TRIM($F7&amp;""))="membership"),"",IF(OR($N7="",$I7="",$I7=0),"",IFERROR($N7/$I7,""))))</x:f>
      </x:c>
      <x:c r="P7" s="987" t="str">
        <x:f>IF(COUNTA($A7:$M7)=0,"",IF(OR(LEFT(LOWER(TRIM($F7&amp;"")),12)="subscription",LOWER(TRIM($F7&amp;""))="membership"),"",IF(LOWER($L7&amp;"")="yes",0,IF(OR(AND($H7&lt;&gt;"",$H7=0),LEFT(LOWER(TRIM($F7&amp;"")),9)="free game",LOWER(TRIM($F7&amp;""))="free",LOWER(TRIM($F7&amp;""))="free entry"),IF(LOWER($D7&amp;"")="finalized",IF(ISNUMBER($K7),$K7,""),IF($O7&lt;&gt;"",$O7,"")),IF($K7&lt;&gt;"",$K7,IF($O7&lt;&gt;"",$O7,""))))))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IF(COUNTA($A7:$M7)=0,"",IF(OR(LEFT(LOWER(TRIM($F7&amp;"")),12)="subscription",LOWER(TRIM($F7&amp;""))="membership"),"Subscription",IF(OR(AND($H7&lt;&gt;"",$H7=0),LEFT(LOWER(TRIM($F7&amp;"")),9)="free game",LOWER(TRIM($F7&amp;""))="free",LOWER(TRIM($F7&amp;""))="free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IF(COUNTA($A8:$M8)=0,"",IF(OR(LEFT(LOWER(TRIM($F8&amp;"")),12)="subscription",LOWER(TRIM($F8&amp;""))="membership"),"",IF($G8="","",IF(ISNUMBER(SEARCH("non",LOWER($E8&amp;""))),$G8*0.85,$G8))))</x:f>
      </x:c>
      <x:c r="O8" s="987" t="str">
        <x:f>IF(COUNTA($A8:$M8)=0,"",IF(OR(LEFT(LOWER(TRIM($F8&amp;"")),12)="subscription",LOWER(TRIM($F8&amp;""))="membership"),"",IF(OR($N8="",$I8="",$I8=0),"",IFERROR($N8/$I8,""))))</x:f>
      </x:c>
      <x:c r="P8" s="987" t="str">
        <x:f>IF(COUNTA($A8:$M8)=0,"",IF(OR(LEFT(LOWER(TRIM($F8&amp;"")),12)="subscription",LOWER(TRIM($F8&amp;""))="membership"),"",IF(LOWER($L8&amp;"")="yes",0,IF(OR(AND($H8&lt;&gt;"",$H8=0),LEFT(LOWER(TRIM($F8&amp;"")),9)="free game",LOWER(TRIM($F8&amp;""))="free",LOWER(TRIM($F8&amp;""))="free entry"),IF(LOWER($D8&amp;"")="finalized",IF(ISNUMBER($K8),$K8,""),IF($O8&lt;&gt;"",$O8,"")),IF($K8&lt;&gt;"",$K8,IF($O8&lt;&gt;"",$O8,""))))))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IF(COUNTA($A8:$M8)=0,"",IF(OR(LEFT(LOWER(TRIM($F8&amp;"")),12)="subscription",LOWER(TRIM($F8&amp;""))="membership"),"Subscription",IF(OR(AND($H8&lt;&gt;"",$H8=0),LEFT(LOWER(TRIM($F8&amp;"")),9)="free game",LOWER(TRIM($F8&amp;""))="free",LOWER(TRIM($F8&amp;""))="free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IF(COUNTA($A9:$M9)=0,"",IF(OR(LEFT(LOWER(TRIM($F9&amp;"")),12)="subscription",LOWER(TRIM($F9&amp;""))="membership"),"",IF($G9="","",IF(ISNUMBER(SEARCH("non",LOWER($E9&amp;""))),$G9*0.85,$G9))))</x:f>
      </x:c>
      <x:c r="O9" s="987" t="str">
        <x:f>IF(COUNTA($A9:$M9)=0,"",IF(OR(LEFT(LOWER(TRIM($F9&amp;"")),12)="subscription",LOWER(TRIM($F9&amp;""))="membership"),"",IF(OR($N9="",$I9="",$I9=0),"",IFERROR($N9/$I9,""))))</x:f>
      </x:c>
      <x:c r="P9" s="987" t="str">
        <x:f>IF(COUNTA($A9:$M9)=0,"",IF(OR(LEFT(LOWER(TRIM($F9&amp;"")),12)="subscription",LOWER(TRIM($F9&amp;""))="membership"),"",IF(LOWER($L9&amp;"")="yes",0,IF(OR(AND($H9&lt;&gt;"",$H9=0),LEFT(LOWER(TRIM($F9&amp;"")),9)="free game",LOWER(TRIM($F9&amp;""))="free",LOWER(TRIM($F9&amp;""))="free entry"),IF(LOWER($D9&amp;"")="finalized",IF(ISNUMBER($K9),$K9,""),IF($O9&lt;&gt;"",$O9,"")),IF($K9&lt;&gt;"",$K9,IF($O9&lt;&gt;"",$O9,""))))))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IF(COUNTA($A9:$M9)=0,"",IF(OR(LEFT(LOWER(TRIM($F9&amp;"")),12)="subscription",LOWER(TRIM($F9&amp;""))="membership"),"Subscription",IF(OR(AND($H9&lt;&gt;"",$H9=0),LEFT(LOWER(TRIM($F9&amp;"")),9)="free game",LOWER(TRIM($F9&amp;""))="free",LOWER(TRIM($F9&amp;""))="free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IF(COUNTA($A10:$M10)=0,"",IF(OR(LEFT(LOWER(TRIM($F10&amp;"")),12)="subscription",LOWER(TRIM($F10&amp;""))="membership"),"",IF($G10="","",IF(ISNUMBER(SEARCH("non",LOWER($E10&amp;""))),$G10*0.85,$G10))))</x:f>
      </x:c>
      <x:c r="O10" s="987" t="str">
        <x:f>IF(COUNTA($A10:$M10)=0,"",IF(OR(LEFT(LOWER(TRIM($F10&amp;"")),12)="subscription",LOWER(TRIM($F10&amp;""))="membership"),"",IF(OR($N10="",$I10="",$I10=0),"",IFERROR($N10/$I10,""))))</x:f>
      </x:c>
      <x:c r="P10" s="987" t="str">
        <x:f>IF(COUNTA($A10:$M10)=0,"",IF(OR(LEFT(LOWER(TRIM($F10&amp;"")),12)="subscription",LOWER(TRIM($F10&amp;""))="membership"),"",IF(LOWER($L10&amp;"")="yes",0,IF(OR(AND($H10&lt;&gt;"",$H10=0),LEFT(LOWER(TRIM($F10&amp;"")),9)="free game",LOWER(TRIM($F10&amp;""))="free",LOWER(TRIM($F10&amp;""))="free entry"),IF(LOWER($D10&amp;"")="finalized",IF(ISNUMBER($K10),$K10,""),IF($O10&lt;&gt;"",$O10,"")),IF($K10&lt;&gt;"",$K10,IF($O10&lt;&gt;"",$O10,""))))))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IF(COUNTA($A10:$M10)=0,"",IF(OR(LEFT(LOWER(TRIM($F10&amp;"")),12)="subscription",LOWER(TRIM($F10&amp;""))="membership"),"Subscription",IF(OR(AND($H10&lt;&gt;"",$H10=0),LEFT(LOWER(TRIM($F10&amp;"")),9)="free game",LOWER(TRIM($F10&amp;""))="free",LOWER(TRIM($F10&amp;""))="free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IF(COUNTA($A11:$M11)=0,"",IF(OR(LEFT(LOWER(TRIM($F11&amp;"")),12)="subscription",LOWER(TRIM($F11&amp;""))="membership"),"",IF($G11="","",IF(ISNUMBER(SEARCH("non",LOWER($E11&amp;""))),$G11*0.85,$G11))))</x:f>
      </x:c>
      <x:c r="O11" s="987" t="str">
        <x:f>IF(COUNTA($A11:$M11)=0,"",IF(OR(LEFT(LOWER(TRIM($F11&amp;"")),12)="subscription",LOWER(TRIM($F11&amp;""))="membership"),"",IF(OR($N11="",$I11="",$I11=0),"",IFERROR($N11/$I11,""))))</x:f>
      </x:c>
      <x:c r="P11" s="987" t="str">
        <x:f>IF(COUNTA($A11:$M11)=0,"",IF(OR(LEFT(LOWER(TRIM($F11&amp;"")),12)="subscription",LOWER(TRIM($F11&amp;""))="membership"),"",IF(LOWER($L11&amp;"")="yes",0,IF(OR(AND($H11&lt;&gt;"",$H11=0),LEFT(LOWER(TRIM($F11&amp;"")),9)="free game",LOWER(TRIM($F11&amp;""))="free",LOWER(TRIM($F11&amp;""))="free entry"),IF(LOWER($D11&amp;"")="finalized",IF(ISNUMBER($K11),$K11,""),IF($O11&lt;&gt;"",$O11,"")),IF($K11&lt;&gt;"",$K11,IF($O11&lt;&gt;"",$O11,""))))))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IF(COUNTA($A11:$M11)=0,"",IF(OR(LEFT(LOWER(TRIM($F11&amp;"")),12)="subscription",LOWER(TRIM($F11&amp;""))="membership"),"Subscription",IF(OR(AND($H11&lt;&gt;"",$H11=0),LEFT(LOWER(TRIM($F11&amp;"")),9)="free game",LOWER(TRIM($F11&amp;""))="free",LOWER(TRIM($F11&amp;""))="free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IF(COUNTA($A12:$M12)=0,"",IF(OR(LEFT(LOWER(TRIM($F12&amp;"")),12)="subscription",LOWER(TRIM($F12&amp;""))="membership"),"",IF($G12="","",IF(ISNUMBER(SEARCH("non",LOWER($E12&amp;""))),$G12*0.85,$G12))))</x:f>
      </x:c>
      <x:c r="O12" s="987" t="str">
        <x:f>IF(COUNTA($A12:$M12)=0,"",IF(OR(LEFT(LOWER(TRIM($F12&amp;"")),12)="subscription",LOWER(TRIM($F12&amp;""))="membership"),"",IF(OR($N12="",$I12="",$I12=0),"",IFERROR($N12/$I12,""))))</x:f>
      </x:c>
      <x:c r="P12" s="987" t="str">
        <x:f>IF(COUNTA($A12:$M12)=0,"",IF(OR(LEFT(LOWER(TRIM($F12&amp;"")),12)="subscription",LOWER(TRIM($F12&amp;""))="membership"),"",IF(LOWER($L12&amp;"")="yes",0,IF(OR(AND($H12&lt;&gt;"",$H12=0),LEFT(LOWER(TRIM($F12&amp;"")),9)="free game",LOWER(TRIM($F12&amp;""))="free",LOWER(TRIM($F12&amp;""))="free entry"),IF(LOWER($D12&amp;"")="finalized",IF(ISNUMBER($K12),$K12,""),IF($O12&lt;&gt;"",$O12,"")),IF($K12&lt;&gt;"",$K12,IF($O12&lt;&gt;"",$O12,""))))))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IF(COUNTA($A12:$M12)=0,"",IF(OR(LEFT(LOWER(TRIM($F12&amp;"")),12)="subscription",LOWER(TRIM($F12&amp;""))="membership"),"Subscription",IF(OR(AND($H12&lt;&gt;"",$H12=0),LEFT(LOWER(TRIM($F12&amp;"")),9)="free game",LOWER(TRIM($F12&amp;""))="free",LOWER(TRIM($F12&amp;""))="free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IF(COUNTA($A13:$M13)=0,"",IF(OR(LEFT(LOWER(TRIM($F13&amp;"")),12)="subscription",LOWER(TRIM($F13&amp;""))="membership"),"",IF($G13="","",IF(ISNUMBER(SEARCH("non",LOWER($E13&amp;""))),$G13*0.85,$G13))))</x:f>
      </x:c>
      <x:c r="O13" s="987" t="str">
        <x:f>IF(COUNTA($A13:$M13)=0,"",IF(OR(LEFT(LOWER(TRIM($F13&amp;"")),12)="subscription",LOWER(TRIM($F13&amp;""))="membership"),"",IF(OR($N13="",$I13="",$I13=0),"",IFERROR($N13/$I13,""))))</x:f>
      </x:c>
      <x:c r="P13" s="987" t="str">
        <x:f>IF(COUNTA($A13:$M13)=0,"",IF(OR(LEFT(LOWER(TRIM($F13&amp;"")),12)="subscription",LOWER(TRIM($F13&amp;""))="membership"),"",IF(LOWER($L13&amp;"")="yes",0,IF(OR(AND($H13&lt;&gt;"",$H13=0),LEFT(LOWER(TRIM($F13&amp;"")),9)="free game",LOWER(TRIM($F13&amp;""))="free",LOWER(TRIM($F13&amp;""))="free entry"),IF(LOWER($D13&amp;"")="finalized",IF(ISNUMBER($K13),$K13,""),IF($O13&lt;&gt;"",$O13,"")),IF($K13&lt;&gt;"",$K13,IF($O13&lt;&gt;"",$O13,""))))))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IF(COUNTA($A13:$M13)=0,"",IF(OR(LEFT(LOWER(TRIM($F13&amp;"")),12)="subscription",LOWER(TRIM($F13&amp;""))="membership"),"Subscription",IF(OR(AND($H13&lt;&gt;"",$H13=0),LEFT(LOWER(TRIM($F13&amp;"")),9)="free game",LOWER(TRIM($F13&amp;""))="free",LOWER(TRIM($F13&amp;""))="free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IF(COUNTA($A14:$M14)=0,"",IF(OR(LEFT(LOWER(TRIM($F14&amp;"")),12)="subscription",LOWER(TRIM($F14&amp;""))="membership"),"",IF($G14="","",IF(ISNUMBER(SEARCH("non",LOWER($E14&amp;""))),$G14*0.85,$G14))))</x:f>
      </x:c>
      <x:c r="O14" s="987" t="str">
        <x:f>IF(COUNTA($A14:$M14)=0,"",IF(OR(LEFT(LOWER(TRIM($F14&amp;"")),12)="subscription",LOWER(TRIM($F14&amp;""))="membership"),"",IF(OR($N14="",$I14="",$I14=0),"",IFERROR($N14/$I14,""))))</x:f>
      </x:c>
      <x:c r="P14" s="987" t="str">
        <x:f>IF(COUNTA($A14:$M14)=0,"",IF(OR(LEFT(LOWER(TRIM($F14&amp;"")),12)="subscription",LOWER(TRIM($F14&amp;""))="membership"),"",IF(LOWER($L14&amp;"")="yes",0,IF(OR(AND($H14&lt;&gt;"",$H14=0),LEFT(LOWER(TRIM($F14&amp;"")),9)="free game",LOWER(TRIM($F14&amp;""))="free",LOWER(TRIM($F14&amp;""))="free entry"),IF(LOWER($D14&amp;"")="finalized",IF(ISNUMBER($K14),$K14,""),IF($O14&lt;&gt;"",$O14,"")),IF($K14&lt;&gt;"",$K14,IF($O14&lt;&gt;"",$O14,""))))))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IF(COUNTA($A14:$M14)=0,"",IF(OR(LEFT(LOWER(TRIM($F14&amp;"")),12)="subscription",LOWER(TRIM($F14&amp;""))="membership"),"Subscription",IF(OR(AND($H14&lt;&gt;"",$H14=0),LEFT(LOWER(TRIM($F14&amp;"")),9)="free game",LOWER(TRIM($F14&amp;""))="free",LOWER(TRIM($F14&amp;""))="free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IF(COUNTA($A15:$M15)=0,"",IF(OR(LEFT(LOWER(TRIM($F15&amp;"")),12)="subscription",LOWER(TRIM($F15&amp;""))="membership"),"",IF($G15="","",IF(ISNUMBER(SEARCH("non",LOWER($E15&amp;""))),$G15*0.85,$G15))))</x:f>
      </x:c>
      <x:c r="O15" s="987" t="str">
        <x:f>IF(COUNTA($A15:$M15)=0,"",IF(OR(LEFT(LOWER(TRIM($F15&amp;"")),12)="subscription",LOWER(TRIM($F15&amp;""))="membership"),"",IF(OR($N15="",$I15="",$I15=0),"",IFERROR($N15/$I15,""))))</x:f>
      </x:c>
      <x:c r="P15" s="987" t="str">
        <x:f>IF(COUNTA($A15:$M15)=0,"",IF(OR(LEFT(LOWER(TRIM($F15&amp;"")),12)="subscription",LOWER(TRIM($F15&amp;""))="membership"),"",IF(LOWER($L15&amp;"")="yes",0,IF(OR(AND($H15&lt;&gt;"",$H15=0),LEFT(LOWER(TRIM($F15&amp;"")),9)="free game",LOWER(TRIM($F15&amp;""))="free",LOWER(TRIM($F15&amp;""))="free entry"),IF(LOWER($D15&amp;"")="finalized",IF(ISNUMBER($K15),$K15,""),IF($O15&lt;&gt;"",$O15,"")),IF($K15&lt;&gt;"",$K15,IF($O15&lt;&gt;"",$O15,""))))))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IF(COUNTA($A15:$M15)=0,"",IF(OR(LEFT(LOWER(TRIM($F15&amp;"")),12)="subscription",LOWER(TRIM($F15&amp;""))="membership"),"Subscription",IF(OR(AND($H15&lt;&gt;"",$H15=0),LEFT(LOWER(TRIM($F15&amp;"")),9)="free game",LOWER(TRIM($F15&amp;""))="free",LOWER(TRIM($F15&amp;""))="free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IF(COUNTA($A16:$M16)=0,"",IF(OR(LEFT(LOWER(TRIM($F16&amp;"")),12)="subscription",LOWER(TRIM($F16&amp;""))="membership"),"",IF($G16="","",IF(ISNUMBER(SEARCH("non",LOWER($E16&amp;""))),$G16*0.85,$G16))))</x:f>
      </x:c>
      <x:c r="O16" s="987" t="str">
        <x:f>IF(COUNTA($A16:$M16)=0,"",IF(OR(LEFT(LOWER(TRIM($F16&amp;"")),12)="subscription",LOWER(TRIM($F16&amp;""))="membership"),"",IF(OR($N16="",$I16="",$I16=0),"",IFERROR($N16/$I16,""))))</x:f>
      </x:c>
      <x:c r="P16" s="987" t="str">
        <x:f>IF(COUNTA($A16:$M16)=0,"",IF(OR(LEFT(LOWER(TRIM($F16&amp;"")),12)="subscription",LOWER(TRIM($F16&amp;""))="membership"),"",IF(LOWER($L16&amp;"")="yes",0,IF(OR(AND($H16&lt;&gt;"",$H16=0),LEFT(LOWER(TRIM($F16&amp;"")),9)="free game",LOWER(TRIM($F16&amp;""))="free",LOWER(TRIM($F16&amp;""))="free entry"),IF(LOWER($D16&amp;"")="finalized",IF(ISNUMBER($K16),$K16,""),IF($O16&lt;&gt;"",$O16,"")),IF($K16&lt;&gt;"",$K16,IF($O16&lt;&gt;"",$O16,""))))))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IF(COUNTA($A16:$M16)=0,"",IF(OR(LEFT(LOWER(TRIM($F16&amp;"")),12)="subscription",LOWER(TRIM($F16&amp;""))="membership"),"Subscription",IF(OR(AND($H16&lt;&gt;"",$H16=0),LEFT(LOWER(TRIM($F16&amp;"")),9)="free game",LOWER(TRIM($F16&amp;""))="free",LOWER(TRIM($F16&amp;""))="free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IF(COUNTA($A17:$M17)=0,"",IF(OR(LEFT(LOWER(TRIM($F17&amp;"")),12)="subscription",LOWER(TRIM($F17&amp;""))="membership"),"",IF($G17="","",IF(ISNUMBER(SEARCH("non",LOWER($E17&amp;""))),$G17*0.85,$G17))))</x:f>
      </x:c>
      <x:c r="O17" s="987" t="str">
        <x:f>IF(COUNTA($A17:$M17)=0,"",IF(OR(LEFT(LOWER(TRIM($F17&amp;"")),12)="subscription",LOWER(TRIM($F17&amp;""))="membership"),"",IF(OR($N17="",$I17="",$I17=0),"",IFERROR($N17/$I17,""))))</x:f>
      </x:c>
      <x:c r="P17" s="987" t="str">
        <x:f>IF(COUNTA($A17:$M17)=0,"",IF(OR(LEFT(LOWER(TRIM($F17&amp;"")),12)="subscription",LOWER(TRIM($F17&amp;""))="membership"),"",IF(LOWER($L17&amp;"")="yes",0,IF(OR(AND($H17&lt;&gt;"",$H17=0),LEFT(LOWER(TRIM($F17&amp;"")),9)="free game",LOWER(TRIM($F17&amp;""))="free",LOWER(TRIM($F17&amp;""))="free entry"),IF(LOWER($D17&amp;"")="finalized",IF(ISNUMBER($K17),$K17,""),IF($O17&lt;&gt;"",$O17,"")),IF($K17&lt;&gt;"",$K17,IF($O17&lt;&gt;"",$O17,""))))))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IF(COUNTA($A17:$M17)=0,"",IF(OR(LEFT(LOWER(TRIM($F17&amp;"")),12)="subscription",LOWER(TRIM($F17&amp;""))="membership"),"Subscription",IF(OR(AND($H17&lt;&gt;"",$H17=0),LEFT(LOWER(TRIM($F17&amp;"")),9)="free game",LOWER(TRIM($F17&amp;""))="free",LOWER(TRIM($F17&amp;""))="free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IF(COUNTA($A18:$M18)=0,"",IF(OR(LEFT(LOWER(TRIM($F18&amp;"")),12)="subscription",LOWER(TRIM($F18&amp;""))="membership"),"",IF($G18="","",IF(ISNUMBER(SEARCH("non",LOWER($E18&amp;""))),$G18*0.85,$G18))))</x:f>
      </x:c>
      <x:c r="O18" s="987" t="str">
        <x:f>IF(COUNTA($A18:$M18)=0,"",IF(OR(LEFT(LOWER(TRIM($F18&amp;"")),12)="subscription",LOWER(TRIM($F18&amp;""))="membership"),"",IF(OR($N18="",$I18="",$I18=0),"",IFERROR($N18/$I18,""))))</x:f>
      </x:c>
      <x:c r="P18" s="987" t="str">
        <x:f>IF(COUNTA($A18:$M18)=0,"",IF(OR(LEFT(LOWER(TRIM($F18&amp;"")),12)="subscription",LOWER(TRIM($F18&amp;""))="membership"),"",IF(LOWER($L18&amp;"")="yes",0,IF(OR(AND($H18&lt;&gt;"",$H18=0),LEFT(LOWER(TRIM($F18&amp;"")),9)="free game",LOWER(TRIM($F18&amp;""))="free",LOWER(TRIM($F18&amp;""))="free entry"),IF(LOWER($D18&amp;"")="finalized",IF(ISNUMBER($K18),$K18,""),IF($O18&lt;&gt;"",$O18,"")),IF($K18&lt;&gt;"",$K18,IF($O18&lt;&gt;"",$O18,""))))))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IF(COUNTA($A18:$M18)=0,"",IF(OR(LEFT(LOWER(TRIM($F18&amp;"")),12)="subscription",LOWER(TRIM($F18&amp;""))="membership"),"Subscription",IF(OR(AND($H18&lt;&gt;"",$H18=0),LEFT(LOWER(TRIM($F18&amp;"")),9)="free game",LOWER(TRIM($F18&amp;""))="free",LOWER(TRIM($F18&amp;""))="free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IF(COUNTA($A19:$M19)=0,"",IF(OR(LEFT(LOWER(TRIM($F19&amp;"")),12)="subscription",LOWER(TRIM($F19&amp;""))="membership"),"",IF($G19="","",IF(ISNUMBER(SEARCH("non",LOWER($E19&amp;""))),$G19*0.85,$G19))))</x:f>
      </x:c>
      <x:c r="O19" s="987" t="str">
        <x:f>IF(COUNTA($A19:$M19)=0,"",IF(OR(LEFT(LOWER(TRIM($F19&amp;"")),12)="subscription",LOWER(TRIM($F19&amp;""))="membership"),"",IF(OR($N19="",$I19="",$I19=0),"",IFERROR($N19/$I19,""))))</x:f>
      </x:c>
      <x:c r="P19" s="987" t="str">
        <x:f>IF(COUNTA($A19:$M19)=0,"",IF(OR(LEFT(LOWER(TRIM($F19&amp;"")),12)="subscription",LOWER(TRIM($F19&amp;""))="membership"),"",IF(LOWER($L19&amp;"")="yes",0,IF(OR(AND($H19&lt;&gt;"",$H19=0),LEFT(LOWER(TRIM($F19&amp;"")),9)="free game",LOWER(TRIM($F19&amp;""))="free",LOWER(TRIM($F19&amp;""))="free entry"),IF(LOWER($D19&amp;"")="finalized",IF(ISNUMBER($K19),$K19,""),IF($O19&lt;&gt;"",$O19,"")),IF($K19&lt;&gt;"",$K19,IF($O19&lt;&gt;"",$O19,""))))))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IF(COUNTA($A19:$M19)=0,"",IF(OR(LEFT(LOWER(TRIM($F19&amp;"")),12)="subscription",LOWER(TRIM($F19&amp;""))="membership"),"Subscription",IF(OR(AND($H19&lt;&gt;"",$H19=0),LEFT(LOWER(TRIM($F19&amp;"")),9)="free game",LOWER(TRIM($F19&amp;""))="free",LOWER(TRIM($F19&amp;""))="free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IF(COUNTA($A20:$M20)=0,"",IF(OR(LEFT(LOWER(TRIM($F20&amp;"")),12)="subscription",LOWER(TRIM($F20&amp;""))="membership"),"",IF($G20="","",IF(ISNUMBER(SEARCH("non",LOWER($E20&amp;""))),$G20*0.85,$G20))))</x:f>
      </x:c>
      <x:c r="O20" s="987" t="str">
        <x:f>IF(COUNTA($A20:$M20)=0,"",IF(OR(LEFT(LOWER(TRIM($F20&amp;"")),12)="subscription",LOWER(TRIM($F20&amp;""))="membership"),"",IF(OR($N20="",$I20="",$I20=0),"",IFERROR($N20/$I20,""))))</x:f>
      </x:c>
      <x:c r="P20" s="987" t="str">
        <x:f>IF(COUNTA($A20:$M20)=0,"",IF(OR(LEFT(LOWER(TRIM($F20&amp;"")),12)="subscription",LOWER(TRIM($F20&amp;""))="membership"),"",IF(LOWER($L20&amp;"")="yes",0,IF(OR(AND($H20&lt;&gt;"",$H20=0),LEFT(LOWER(TRIM($F20&amp;"")),9)="free game",LOWER(TRIM($F20&amp;""))="free",LOWER(TRIM($F20&amp;""))="free entry"),IF(LOWER($D20&amp;"")="finalized",IF(ISNUMBER($K20),$K20,""),IF($O20&lt;&gt;"",$O20,"")),IF($K20&lt;&gt;"",$K20,IF($O20&lt;&gt;"",$O20,""))))))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IF(COUNTA($A20:$M20)=0,"",IF(OR(LEFT(LOWER(TRIM($F20&amp;"")),12)="subscription",LOWER(TRIM($F20&amp;""))="membership"),"Subscription",IF(OR(AND($H20&lt;&gt;"",$H20=0),LEFT(LOWER(TRIM($F20&amp;"")),9)="free game",LOWER(TRIM($F20&amp;""))="free",LOWER(TRIM($F20&amp;""))="free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IF(COUNTA($A21:$M21)=0,"",IF(OR(LEFT(LOWER(TRIM($F21&amp;"")),12)="subscription",LOWER(TRIM($F21&amp;""))="membership"),"",IF($G21="","",IF(ISNUMBER(SEARCH("non",LOWER($E21&amp;""))),$G21*0.85,$G21))))</x:f>
      </x:c>
      <x:c r="O21" s="987" t="str">
        <x:f>IF(COUNTA($A21:$M21)=0,"",IF(OR(LEFT(LOWER(TRIM($F21&amp;"")),12)="subscription",LOWER(TRIM($F21&amp;""))="membership"),"",IF(OR($N21="",$I21="",$I21=0),"",IFERROR($N21/$I21,""))))</x:f>
      </x:c>
      <x:c r="P21" s="987" t="str">
        <x:f>IF(COUNTA($A21:$M21)=0,"",IF(OR(LEFT(LOWER(TRIM($F21&amp;"")),12)="subscription",LOWER(TRIM($F21&amp;""))="membership"),"",IF(LOWER($L21&amp;"")="yes",0,IF(OR(AND($H21&lt;&gt;"",$H21=0),LEFT(LOWER(TRIM($F21&amp;"")),9)="free game",LOWER(TRIM($F21&amp;""))="free",LOWER(TRIM($F21&amp;""))="free entry"),IF(LOWER($D21&amp;"")="finalized",IF(ISNUMBER($K21),$K21,""),IF($O21&lt;&gt;"",$O21,"")),IF($K21&lt;&gt;"",$K21,IF($O21&lt;&gt;"",$O21,""))))))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IF(COUNTA($A21:$M21)=0,"",IF(OR(LEFT(LOWER(TRIM($F21&amp;"")),12)="subscription",LOWER(TRIM($F21&amp;""))="membership"),"Subscription",IF(OR(AND($H21&lt;&gt;"",$H21=0),LEFT(LOWER(TRIM($F21&amp;"")),9)="free game",LOWER(TRIM($F21&amp;""))="free",LOWER(TRIM($F21&amp;""))="free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IF(COUNTA($A22:$M22)=0,"",IF(OR(LEFT(LOWER(TRIM($F22&amp;"")),12)="subscription",LOWER(TRIM($F22&amp;""))="membership"),"",IF($G22="","",IF(ISNUMBER(SEARCH("non",LOWER($E22&amp;""))),$G22*0.85,$G22))))</x:f>
      </x:c>
      <x:c r="O22" s="987" t="str">
        <x:f>IF(COUNTA($A22:$M22)=0,"",IF(OR(LEFT(LOWER(TRIM($F22&amp;"")),12)="subscription",LOWER(TRIM($F22&amp;""))="membership"),"",IF(OR($N22="",$I22="",$I22=0),"",IFERROR($N22/$I22,""))))</x:f>
      </x:c>
      <x:c r="P22" s="987" t="str">
        <x:f>IF(COUNTA($A22:$M22)=0,"",IF(OR(LEFT(LOWER(TRIM($F22&amp;"")),12)="subscription",LOWER(TRIM($F22&amp;""))="membership"),"",IF(LOWER($L22&amp;"")="yes",0,IF(OR(AND($H22&lt;&gt;"",$H22=0),LEFT(LOWER(TRIM($F22&amp;"")),9)="free game",LOWER(TRIM($F22&amp;""))="free",LOWER(TRIM($F22&amp;""))="free entry"),IF(LOWER($D22&amp;"")="finalized",IF(ISNUMBER($K22),$K22,""),IF($O22&lt;&gt;"",$O22,"")),IF($K22&lt;&gt;"",$K22,IF($O22&lt;&gt;"",$O22,""))))))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IF(COUNTA($A22:$M22)=0,"",IF(OR(LEFT(LOWER(TRIM($F22&amp;"")),12)="subscription",LOWER(TRIM($F22&amp;""))="membership"),"Subscription",IF(OR(AND($H22&lt;&gt;"",$H22=0),LEFT(LOWER(TRIM($F22&amp;"")),9)="free game",LOWER(TRIM($F22&amp;""))="free",LOWER(TRIM($F22&amp;""))="free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IF(COUNTA($A23:$M23)=0,"",IF(OR(LEFT(LOWER(TRIM($F23&amp;"")),12)="subscription",LOWER(TRIM($F23&amp;""))="membership"),"",IF($G23="","",IF(ISNUMBER(SEARCH("non",LOWER($E23&amp;""))),$G23*0.85,$G23))))</x:f>
      </x:c>
      <x:c r="O23" s="987" t="str">
        <x:f>IF(COUNTA($A23:$M23)=0,"",IF(OR(LEFT(LOWER(TRIM($F23&amp;"")),12)="subscription",LOWER(TRIM($F23&amp;""))="membership"),"",IF(OR($N23="",$I23="",$I23=0),"",IFERROR($N23/$I23,""))))</x:f>
      </x:c>
      <x:c r="P23" s="987" t="str">
        <x:f>IF(COUNTA($A23:$M23)=0,"",IF(OR(LEFT(LOWER(TRIM($F23&amp;"")),12)="subscription",LOWER(TRIM($F23&amp;""))="membership"),"",IF(LOWER($L23&amp;"")="yes",0,IF(OR(AND($H23&lt;&gt;"",$H23=0),LEFT(LOWER(TRIM($F23&amp;"")),9)="free game",LOWER(TRIM($F23&amp;""))="free",LOWER(TRIM($F23&amp;""))="free entry"),IF(LOWER($D23&amp;"")="finalized",IF(ISNUMBER($K23),$K23,""),IF($O23&lt;&gt;"",$O23,"")),IF($K23&lt;&gt;"",$K23,IF($O23&lt;&gt;"",$O23,""))))))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IF(COUNTA($A23:$M23)=0,"",IF(OR(LEFT(LOWER(TRIM($F23&amp;"")),12)="subscription",LOWER(TRIM($F23&amp;""))="membership"),"Subscription",IF(OR(AND($H23&lt;&gt;"",$H23=0),LEFT(LOWER(TRIM($F23&amp;"")),9)="free game",LOWER(TRIM($F23&amp;""))="free",LOWER(TRIM($F23&amp;""))="free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IF(COUNTA($A24:$M24)=0,"",IF(OR(LEFT(LOWER(TRIM($F24&amp;"")),12)="subscription",LOWER(TRIM($F24&amp;""))="membership"),"",IF($G24="","",IF(ISNUMBER(SEARCH("non",LOWER($E24&amp;""))),$G24*0.85,$G24))))</x:f>
      </x:c>
      <x:c r="O24" s="987" t="str">
        <x:f>IF(COUNTA($A24:$M24)=0,"",IF(OR(LEFT(LOWER(TRIM($F24&amp;"")),12)="subscription",LOWER(TRIM($F24&amp;""))="membership"),"",IF(OR($N24="",$I24="",$I24=0),"",IFERROR($N24/$I24,""))))</x:f>
      </x:c>
      <x:c r="P24" s="987" t="str">
        <x:f>IF(COUNTA($A24:$M24)=0,"",IF(OR(LEFT(LOWER(TRIM($F24&amp;"")),12)="subscription",LOWER(TRIM($F24&amp;""))="membership"),"",IF(LOWER($L24&amp;"")="yes",0,IF(OR(AND($H24&lt;&gt;"",$H24=0),LEFT(LOWER(TRIM($F24&amp;"")),9)="free game",LOWER(TRIM($F24&amp;""))="free",LOWER(TRIM($F24&amp;""))="free entry"),IF(LOWER($D24&amp;"")="finalized",IF(ISNUMBER($K24),$K24,""),IF($O24&lt;&gt;"",$O24,"")),IF($K24&lt;&gt;"",$K24,IF($O24&lt;&gt;"",$O24,""))))))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IF(COUNTA($A24:$M24)=0,"",IF(OR(LEFT(LOWER(TRIM($F24&amp;"")),12)="subscription",LOWER(TRIM($F24&amp;""))="membership"),"Subscription",IF(OR(AND($H24&lt;&gt;"",$H24=0),LEFT(LOWER(TRIM($F24&amp;"")),9)="free game",LOWER(TRIM($F24&amp;""))="free",LOWER(TRIM($F24&amp;""))="free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IF(COUNTA($A25:$M25)=0,"",IF(OR(LEFT(LOWER(TRIM($F25&amp;"")),12)="subscription",LOWER(TRIM($F25&amp;""))="membership"),"",IF($G25="","",IF(ISNUMBER(SEARCH("non",LOWER($E25&amp;""))),$G25*0.85,$G25))))</x:f>
      </x:c>
      <x:c r="O25" s="987" t="str">
        <x:f>IF(COUNTA($A25:$M25)=0,"",IF(OR(LEFT(LOWER(TRIM($F25&amp;"")),12)="subscription",LOWER(TRIM($F25&amp;""))="membership"),"",IF(OR($N25="",$I25="",$I25=0),"",IFERROR($N25/$I25,""))))</x:f>
      </x:c>
      <x:c r="P25" s="987" t="str">
        <x:f>IF(COUNTA($A25:$M25)=0,"",IF(OR(LEFT(LOWER(TRIM($F25&amp;"")),12)="subscription",LOWER(TRIM($F25&amp;""))="membership"),"",IF(LOWER($L25&amp;"")="yes",0,IF(OR(AND($H25&lt;&gt;"",$H25=0),LEFT(LOWER(TRIM($F25&amp;"")),9)="free game",LOWER(TRIM($F25&amp;""))="free",LOWER(TRIM($F25&amp;""))="free entry"),IF(LOWER($D25&amp;"")="finalized",IF(ISNUMBER($K25),$K25,""),IF($O25&lt;&gt;"",$O25,"")),IF($K25&lt;&gt;"",$K25,IF($O25&lt;&gt;"",$O25,""))))))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IF(COUNTA($A25:$M25)=0,"",IF(OR(LEFT(LOWER(TRIM($F25&amp;"")),12)="subscription",LOWER(TRIM($F25&amp;""))="membership"),"Subscription",IF(OR(AND($H25&lt;&gt;"",$H25=0),LEFT(LOWER(TRIM($F25&amp;"")),9)="free game",LOWER(TRIM($F25&amp;""))="free",LOWER(TRIM($F25&amp;""))="free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IF(COUNTA($A26:$M26)=0,"",IF(OR(LEFT(LOWER(TRIM($F26&amp;"")),12)="subscription",LOWER(TRIM($F26&amp;""))="membership"),"",IF($G26="","",IF(ISNUMBER(SEARCH("non",LOWER($E26&amp;""))),$G26*0.85,$G26))))</x:f>
      </x:c>
      <x:c r="O26" s="987" t="str">
        <x:f>IF(COUNTA($A26:$M26)=0,"",IF(OR(LEFT(LOWER(TRIM($F26&amp;"")),12)="subscription",LOWER(TRIM($F26&amp;""))="membership"),"",IF(OR($N26="",$I26="",$I26=0),"",IFERROR($N26/$I26,""))))</x:f>
      </x:c>
      <x:c r="P26" s="987" t="str">
        <x:f>IF(COUNTA($A26:$M26)=0,"",IF(OR(LEFT(LOWER(TRIM($F26&amp;"")),12)="subscription",LOWER(TRIM($F26&amp;""))="membership"),"",IF(LOWER($L26&amp;"")="yes",0,IF(OR(AND($H26&lt;&gt;"",$H26=0),LEFT(LOWER(TRIM($F26&amp;"")),9)="free game",LOWER(TRIM($F26&amp;""))="free",LOWER(TRIM($F26&amp;""))="free entry"),IF(LOWER($D26&amp;"")="finalized",IF(ISNUMBER($K26),$K26,""),IF($O26&lt;&gt;"",$O26,"")),IF($K26&lt;&gt;"",$K26,IF($O26&lt;&gt;"",$O26,""))))))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IF(COUNTA($A26:$M26)=0,"",IF(OR(LEFT(LOWER(TRIM($F26&amp;"")),12)="subscription",LOWER(TRIM($F26&amp;""))="membership"),"Subscription",IF(OR(AND($H26&lt;&gt;"",$H26=0),LEFT(LOWER(TRIM($F26&amp;"")),9)="free game",LOWER(TRIM($F26&amp;""))="free",LOWER(TRIM($F26&amp;""))="free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IF(COUNTA($A27:$M27)=0,"",IF(OR(LEFT(LOWER(TRIM($F27&amp;"")),12)="subscription",LOWER(TRIM($F27&amp;""))="membership"),"",IF($G27="","",IF(ISNUMBER(SEARCH("non",LOWER($E27&amp;""))),$G27*0.85,$G27))))</x:f>
      </x:c>
      <x:c r="O27" s="987" t="str">
        <x:f>IF(COUNTA($A27:$M27)=0,"",IF(OR(LEFT(LOWER(TRIM($F27&amp;"")),12)="subscription",LOWER(TRIM($F27&amp;""))="membership"),"",IF(OR($N27="",$I27="",$I27=0),"",IFERROR($N27/$I27,""))))</x:f>
      </x:c>
      <x:c r="P27" s="987" t="str">
        <x:f>IF(COUNTA($A27:$M27)=0,"",IF(OR(LEFT(LOWER(TRIM($F27&amp;"")),12)="subscription",LOWER(TRIM($F27&amp;""))="membership"),"",IF(LOWER($L27&amp;"")="yes",0,IF(OR(AND($H27&lt;&gt;"",$H27=0),LEFT(LOWER(TRIM($F27&amp;"")),9)="free game",LOWER(TRIM($F27&amp;""))="free",LOWER(TRIM($F27&amp;""))="free entry"),IF(LOWER($D27&amp;"")="finalized",IF(ISNUMBER($K27),$K27,""),IF($O27&lt;&gt;"",$O27,"")),IF($K27&lt;&gt;"",$K27,IF($O27&lt;&gt;"",$O27,""))))))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IF(COUNTA($A27:$M27)=0,"",IF(OR(LEFT(LOWER(TRIM($F27&amp;"")),12)="subscription",LOWER(TRIM($F27&amp;""))="membership"),"Subscription",IF(OR(AND($H27&lt;&gt;"",$H27=0),LEFT(LOWER(TRIM($F27&amp;"")),9)="free game",LOWER(TRIM($F27&amp;""))="free",LOWER(TRIM($F27&amp;""))="free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IF(COUNTA($A28:$M28)=0,"",IF(OR(LEFT(LOWER(TRIM($F28&amp;"")),12)="subscription",LOWER(TRIM($F28&amp;""))="membership"),"",IF($G28="","",IF(ISNUMBER(SEARCH("non",LOWER($E28&amp;""))),$G28*0.85,$G28))))</x:f>
      </x:c>
      <x:c r="O28" s="987" t="str">
        <x:f>IF(COUNTA($A28:$M28)=0,"",IF(OR(LEFT(LOWER(TRIM($F28&amp;"")),12)="subscription",LOWER(TRIM($F28&amp;""))="membership"),"",IF(OR($N28="",$I28="",$I28=0),"",IFERROR($N28/$I28,""))))</x:f>
      </x:c>
      <x:c r="P28" s="987" t="str">
        <x:f>IF(COUNTA($A28:$M28)=0,"",IF(OR(LEFT(LOWER(TRIM($F28&amp;"")),12)="subscription",LOWER(TRIM($F28&amp;""))="membership"),"",IF(LOWER($L28&amp;"")="yes",0,IF(OR(AND($H28&lt;&gt;"",$H28=0),LEFT(LOWER(TRIM($F28&amp;"")),9)="free game",LOWER(TRIM($F28&amp;""))="free",LOWER(TRIM($F28&amp;""))="free entry"),IF(LOWER($D28&amp;"")="finalized",IF(ISNUMBER($K28),$K28,""),IF($O28&lt;&gt;"",$O28,"")),IF($K28&lt;&gt;"",$K28,IF($O28&lt;&gt;"",$O28,""))))))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IF(COUNTA($A28:$M28)=0,"",IF(OR(LEFT(LOWER(TRIM($F28&amp;"")),12)="subscription",LOWER(TRIM($F28&amp;""))="membership"),"Subscription",IF(OR(AND($H28&lt;&gt;"",$H28=0),LEFT(LOWER(TRIM($F28&amp;"")),9)="free game",LOWER(TRIM($F28&amp;""))="free",LOWER(TRIM($F28&amp;""))="free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IF(COUNTA($A29:$M29)=0,"",IF(OR(LEFT(LOWER(TRIM($F29&amp;"")),12)="subscription",LOWER(TRIM($F29&amp;""))="membership"),"",IF($G29="","",IF(ISNUMBER(SEARCH("non",LOWER($E29&amp;""))),$G29*0.85,$G29))))</x:f>
      </x:c>
      <x:c r="O29" s="987" t="str">
        <x:f>IF(COUNTA($A29:$M29)=0,"",IF(OR(LEFT(LOWER(TRIM($F29&amp;"")),12)="subscription",LOWER(TRIM($F29&amp;""))="membership"),"",IF(OR($N29="",$I29="",$I29=0),"",IFERROR($N29/$I29,""))))</x:f>
      </x:c>
      <x:c r="P29" s="987" t="str">
        <x:f>IF(COUNTA($A29:$M29)=0,"",IF(OR(LEFT(LOWER(TRIM($F29&amp;"")),12)="subscription",LOWER(TRIM($F29&amp;""))="membership"),"",IF(LOWER($L29&amp;"")="yes",0,IF(OR(AND($H29&lt;&gt;"",$H29=0),LEFT(LOWER(TRIM($F29&amp;"")),9)="free game",LOWER(TRIM($F29&amp;""))="free",LOWER(TRIM($F29&amp;""))="free entry"),IF(LOWER($D29&amp;"")="finalized",IF(ISNUMBER($K29),$K29,""),IF($O29&lt;&gt;"",$O29,"")),IF($K29&lt;&gt;"",$K29,IF($O29&lt;&gt;"",$O29,""))))))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IF(COUNTA($A29:$M29)=0,"",IF(OR(LEFT(LOWER(TRIM($F29&amp;"")),12)="subscription",LOWER(TRIM($F29&amp;""))="membership"),"Subscription",IF(OR(AND($H29&lt;&gt;"",$H29=0),LEFT(LOWER(TRIM($F29&amp;"")),9)="free game",LOWER(TRIM($F29&amp;""))="free",LOWER(TRIM($F29&amp;""))="free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IF(COUNTA($A30:$M30)=0,"",IF(OR(LEFT(LOWER(TRIM($F30&amp;"")),12)="subscription",LOWER(TRIM($F30&amp;""))="membership"),"",IF($G30="","",IF(ISNUMBER(SEARCH("non",LOWER($E30&amp;""))),$G30*0.85,$G30))))</x:f>
      </x:c>
      <x:c r="O30" s="987" t="str">
        <x:f>IF(COUNTA($A30:$M30)=0,"",IF(OR(LEFT(LOWER(TRIM($F30&amp;"")),12)="subscription",LOWER(TRIM($F30&amp;""))="membership"),"",IF(OR($N30="",$I30="",$I30=0),"",IFERROR($N30/$I30,""))))</x:f>
      </x:c>
      <x:c r="P30" s="987" t="str">
        <x:f>IF(COUNTA($A30:$M30)=0,"",IF(OR(LEFT(LOWER(TRIM($F30&amp;"")),12)="subscription",LOWER(TRIM($F30&amp;""))="membership"),"",IF(LOWER($L30&amp;"")="yes",0,IF(OR(AND($H30&lt;&gt;"",$H30=0),LEFT(LOWER(TRIM($F30&amp;"")),9)="free game",LOWER(TRIM($F30&amp;""))="free",LOWER(TRIM($F30&amp;""))="free entry"),IF(LOWER($D30&amp;"")="finalized",IF(ISNUMBER($K30),$K30,""),IF($O30&lt;&gt;"",$O30,"")),IF($K30&lt;&gt;"",$K30,IF($O30&lt;&gt;"",$O30,""))))))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IF(COUNTA($A30:$M30)=0,"",IF(OR(LEFT(LOWER(TRIM($F30&amp;"")),12)="subscription",LOWER(TRIM($F30&amp;""))="membership"),"Subscription",IF(OR(AND($H30&lt;&gt;"",$H30=0),LEFT(LOWER(TRIM($F30&amp;"")),9)="free game",LOWER(TRIM($F30&amp;""))="free",LOWER(TRIM($F30&amp;""))="free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IF(COUNTA($A31:$M31)=0,"",IF(OR(LEFT(LOWER(TRIM($F31&amp;"")),12)="subscription",LOWER(TRIM($F31&amp;""))="membership"),"",IF($G31="","",IF(ISNUMBER(SEARCH("non",LOWER($E31&amp;""))),$G31*0.85,$G31))))</x:f>
      </x:c>
      <x:c r="O31" s="987" t="str">
        <x:f>IF(COUNTA($A31:$M31)=0,"",IF(OR(LEFT(LOWER(TRIM($F31&amp;"")),12)="subscription",LOWER(TRIM($F31&amp;""))="membership"),"",IF(OR($N31="",$I31="",$I31=0),"",IFERROR($N31/$I31,""))))</x:f>
      </x:c>
      <x:c r="P31" s="987" t="str">
        <x:f>IF(COUNTA($A31:$M31)=0,"",IF(OR(LEFT(LOWER(TRIM($F31&amp;"")),12)="subscription",LOWER(TRIM($F31&amp;""))="membership"),"",IF(LOWER($L31&amp;"")="yes",0,IF(OR(AND($H31&lt;&gt;"",$H31=0),LEFT(LOWER(TRIM($F31&amp;"")),9)="free game",LOWER(TRIM($F31&amp;""))="free",LOWER(TRIM($F31&amp;""))="free entry"),IF(LOWER($D31&amp;"")="finalized",IF(ISNUMBER($K31),$K31,""),IF($O31&lt;&gt;"",$O31,"")),IF($K31&lt;&gt;"",$K31,IF($O31&lt;&gt;"",$O31,""))))))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IF(COUNTA($A31:$M31)=0,"",IF(OR(LEFT(LOWER(TRIM($F31&amp;"")),12)="subscription",LOWER(TRIM($F31&amp;""))="membership"),"Subscription",IF(OR(AND($H31&lt;&gt;"",$H31=0),LEFT(LOWER(TRIM($F31&amp;"")),9)="free game",LOWER(TRIM($F31&amp;""))="free",LOWER(TRIM($F31&amp;""))="free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IF(COUNTA($A32:$M32)=0,"",IF(OR(LEFT(LOWER(TRIM($F32&amp;"")),12)="subscription",LOWER(TRIM($F32&amp;""))="membership"),"",IF($G32="","",IF(ISNUMBER(SEARCH("non",LOWER($E32&amp;""))),$G32*0.85,$G32))))</x:f>
      </x:c>
      <x:c r="O32" s="987" t="str">
        <x:f>IF(COUNTA($A32:$M32)=0,"",IF(OR(LEFT(LOWER(TRIM($F32&amp;"")),12)="subscription",LOWER(TRIM($F32&amp;""))="membership"),"",IF(OR($N32="",$I32="",$I32=0),"",IFERROR($N32/$I32,""))))</x:f>
      </x:c>
      <x:c r="P32" s="987" t="str">
        <x:f>IF(COUNTA($A32:$M32)=0,"",IF(OR(LEFT(LOWER(TRIM($F32&amp;"")),12)="subscription",LOWER(TRIM($F32&amp;""))="membership"),"",IF(LOWER($L32&amp;"")="yes",0,IF(OR(AND($H32&lt;&gt;"",$H32=0),LEFT(LOWER(TRIM($F32&amp;"")),9)="free game",LOWER(TRIM($F32&amp;""))="free",LOWER(TRIM($F32&amp;""))="free entry"),IF(LOWER($D32&amp;"")="finalized",IF(ISNUMBER($K32),$K32,""),IF($O32&lt;&gt;"",$O32,"")),IF($K32&lt;&gt;"",$K32,IF($O32&lt;&gt;"",$O32,""))))))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IF(COUNTA($A32:$M32)=0,"",IF(OR(LEFT(LOWER(TRIM($F32&amp;"")),12)="subscription",LOWER(TRIM($F32&amp;""))="membership"),"Subscription",IF(OR(AND($H32&lt;&gt;"",$H32=0),LEFT(LOWER(TRIM($F32&amp;"")),9)="free game",LOWER(TRIM($F32&amp;""))="free",LOWER(TRIM($F32&amp;""))="free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IF(COUNTA($A33:$M33)=0,"",IF(OR(LEFT(LOWER(TRIM($F33&amp;"")),12)="subscription",LOWER(TRIM($F33&amp;""))="membership"),"",IF($G33="","",IF(ISNUMBER(SEARCH("non",LOWER($E33&amp;""))),$G33*0.85,$G33))))</x:f>
      </x:c>
      <x:c r="O33" s="987" t="str">
        <x:f>IF(COUNTA($A33:$M33)=0,"",IF(OR(LEFT(LOWER(TRIM($F33&amp;"")),12)="subscription",LOWER(TRIM($F33&amp;""))="membership"),"",IF(OR($N33="",$I33="",$I33=0),"",IFERROR($N33/$I33,""))))</x:f>
      </x:c>
      <x:c r="P33" s="987" t="str">
        <x:f>IF(COUNTA($A33:$M33)=0,"",IF(OR(LEFT(LOWER(TRIM($F33&amp;"")),12)="subscription",LOWER(TRIM($F33&amp;""))="membership"),"",IF(LOWER($L33&amp;"")="yes",0,IF(OR(AND($H33&lt;&gt;"",$H33=0),LEFT(LOWER(TRIM($F33&amp;"")),9)="free game",LOWER(TRIM($F33&amp;""))="free",LOWER(TRIM($F33&amp;""))="free entry"),IF(LOWER($D33&amp;"")="finalized",IF(ISNUMBER($K33),$K33,""),IF($O33&lt;&gt;"",$O33,"")),IF($K33&lt;&gt;"",$K33,IF($O33&lt;&gt;"",$O33,""))))))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IF(COUNTA($A33:$M33)=0,"",IF(OR(LEFT(LOWER(TRIM($F33&amp;"")),12)="subscription",LOWER(TRIM($F33&amp;""))="membership"),"Subscription",IF(OR(AND($H33&lt;&gt;"",$H33=0),LEFT(LOWER(TRIM($F33&amp;"")),9)="free game",LOWER(TRIM($F33&amp;""))="free",LOWER(TRIM($F33&amp;""))="free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IF(COUNTA($A34:$M34)=0,"",IF(OR(LEFT(LOWER(TRIM($F34&amp;"")),12)="subscription",LOWER(TRIM($F34&amp;""))="membership"),"",IF($G34="","",IF(ISNUMBER(SEARCH("non",LOWER($E34&amp;""))),$G34*0.85,$G34))))</x:f>
      </x:c>
      <x:c r="O34" s="987" t="str">
        <x:f>IF(COUNTA($A34:$M34)=0,"",IF(OR(LEFT(LOWER(TRIM($F34&amp;"")),12)="subscription",LOWER(TRIM($F34&amp;""))="membership"),"",IF(OR($N34="",$I34="",$I34=0),"",IFERROR($N34/$I34,""))))</x:f>
      </x:c>
      <x:c r="P34" s="987" t="str">
        <x:f>IF(COUNTA($A34:$M34)=0,"",IF(OR(LEFT(LOWER(TRIM($F34&amp;"")),12)="subscription",LOWER(TRIM($F34&amp;""))="membership"),"",IF(LOWER($L34&amp;"")="yes",0,IF(OR(AND($H34&lt;&gt;"",$H34=0),LEFT(LOWER(TRIM($F34&amp;"")),9)="free game",LOWER(TRIM($F34&amp;""))="free",LOWER(TRIM($F34&amp;""))="free entry"),IF(LOWER($D34&amp;"")="finalized",IF(ISNUMBER($K34),$K34,""),IF($O34&lt;&gt;"",$O34,"")),IF($K34&lt;&gt;"",$K34,IF($O34&lt;&gt;"",$O34,""))))))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IF(COUNTA($A34:$M34)=0,"",IF(OR(LEFT(LOWER(TRIM($F34&amp;"")),12)="subscription",LOWER(TRIM($F34&amp;""))="membership"),"Subscription",IF(OR(AND($H34&lt;&gt;"",$H34=0),LEFT(LOWER(TRIM($F34&amp;"")),9)="free game",LOWER(TRIM($F34&amp;""))="free",LOWER(TRIM($F34&amp;""))="free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IF(COUNTA($A35:$M35)=0,"",IF(OR(LEFT(LOWER(TRIM($F35&amp;"")),12)="subscription",LOWER(TRIM($F35&amp;""))="membership"),"",IF($G35="","",IF(ISNUMBER(SEARCH("non",LOWER($E35&amp;""))),$G35*0.85,$G35))))</x:f>
      </x:c>
      <x:c r="O35" s="987" t="str">
        <x:f>IF(COUNTA($A35:$M35)=0,"",IF(OR(LEFT(LOWER(TRIM($F35&amp;"")),12)="subscription",LOWER(TRIM($F35&amp;""))="membership"),"",IF(OR($N35="",$I35="",$I35=0),"",IFERROR($N35/$I35,""))))</x:f>
      </x:c>
      <x:c r="P35" s="987" t="str">
        <x:f>IF(COUNTA($A35:$M35)=0,"",IF(OR(LEFT(LOWER(TRIM($F35&amp;"")),12)="subscription",LOWER(TRIM($F35&amp;""))="membership"),"",IF(LOWER($L35&amp;"")="yes",0,IF(OR(AND($H35&lt;&gt;"",$H35=0),LEFT(LOWER(TRIM($F35&amp;"")),9)="free game",LOWER(TRIM($F35&amp;""))="free",LOWER(TRIM($F35&amp;""))="free entry"),IF(LOWER($D35&amp;"")="finalized",IF(ISNUMBER($K35),$K35,""),IF($O35&lt;&gt;"",$O35,"")),IF($K35&lt;&gt;"",$K35,IF($O35&lt;&gt;"",$O35,""))))))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IF(COUNTA($A35:$M35)=0,"",IF(OR(LEFT(LOWER(TRIM($F35&amp;"")),12)="subscription",LOWER(TRIM($F35&amp;""))="membership"),"Subscription",IF(OR(AND($H35&lt;&gt;"",$H35=0),LEFT(LOWER(TRIM($F35&amp;"")),9)="free game",LOWER(TRIM($F35&amp;""))="free",LOWER(TRIM($F35&amp;""))="free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IF(COUNTA($A36:$M36)=0,"",IF(OR(LEFT(LOWER(TRIM($F36&amp;"")),12)="subscription",LOWER(TRIM($F36&amp;""))="membership"),"",IF($G36="","",IF(ISNUMBER(SEARCH("non",LOWER($E36&amp;""))),$G36*0.85,$G36))))</x:f>
      </x:c>
      <x:c r="O36" s="987" t="str">
        <x:f>IF(COUNTA($A36:$M36)=0,"",IF(OR(LEFT(LOWER(TRIM($F36&amp;"")),12)="subscription",LOWER(TRIM($F36&amp;""))="membership"),"",IF(OR($N36="",$I36="",$I36=0),"",IFERROR($N36/$I36,""))))</x:f>
      </x:c>
      <x:c r="P36" s="987" t="str">
        <x:f>IF(COUNTA($A36:$M36)=0,"",IF(OR(LEFT(LOWER(TRIM($F36&amp;"")),12)="subscription",LOWER(TRIM($F36&amp;""))="membership"),"",IF(LOWER($L36&amp;"")="yes",0,IF(OR(AND($H36&lt;&gt;"",$H36=0),LEFT(LOWER(TRIM($F36&amp;"")),9)="free game",LOWER(TRIM($F36&amp;""))="free",LOWER(TRIM($F36&amp;""))="free entry"),IF(LOWER($D36&amp;"")="finalized",IF(ISNUMBER($K36),$K36,""),IF($O36&lt;&gt;"",$O36,"")),IF($K36&lt;&gt;"",$K36,IF($O36&lt;&gt;"",$O36,""))))))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IF(COUNTA($A36:$M36)=0,"",IF(OR(LEFT(LOWER(TRIM($F36&amp;"")),12)="subscription",LOWER(TRIM($F36&amp;""))="membership"),"Subscription",IF(OR(AND($H36&lt;&gt;"",$H36=0),LEFT(LOWER(TRIM($F36&amp;"")),9)="free game",LOWER(TRIM($F36&amp;""))="free",LOWER(TRIM($F36&amp;""))="free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IF(COUNTA($A37:$M37)=0,"",IF(OR(LEFT(LOWER(TRIM($F37&amp;"")),12)="subscription",LOWER(TRIM($F37&amp;""))="membership"),"",IF($G37="","",IF(ISNUMBER(SEARCH("non",LOWER($E37&amp;""))),$G37*0.85,$G37))))</x:f>
      </x:c>
      <x:c r="O37" s="987" t="str">
        <x:f>IF(COUNTA($A37:$M37)=0,"",IF(OR(LEFT(LOWER(TRIM($F37&amp;"")),12)="subscription",LOWER(TRIM($F37&amp;""))="membership"),"",IF(OR($N37="",$I37="",$I37=0),"",IFERROR($N37/$I37,""))))</x:f>
      </x:c>
      <x:c r="P37" s="987" t="str">
        <x:f>IF(COUNTA($A37:$M37)=0,"",IF(OR(LEFT(LOWER(TRIM($F37&amp;"")),12)="subscription",LOWER(TRIM($F37&amp;""))="membership"),"",IF(LOWER($L37&amp;"")="yes",0,IF(OR(AND($H37&lt;&gt;"",$H37=0),LEFT(LOWER(TRIM($F37&amp;"")),9)="free game",LOWER(TRIM($F37&amp;""))="free",LOWER(TRIM($F37&amp;""))="free entry"),IF(LOWER($D37&amp;"")="finalized",IF(ISNUMBER($K37),$K37,""),IF($O37&lt;&gt;"",$O37,"")),IF($K37&lt;&gt;"",$K37,IF($O37&lt;&gt;"",$O37,""))))))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IF(COUNTA($A37:$M37)=0,"",IF(OR(LEFT(LOWER(TRIM($F37&amp;"")),12)="subscription",LOWER(TRIM($F37&amp;""))="membership"),"Subscription",IF(OR(AND($H37&lt;&gt;"",$H37=0),LEFT(LOWER(TRIM($F37&amp;"")),9)="free game",LOWER(TRIM($F37&amp;""))="free",LOWER(TRIM($F37&amp;""))="free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IF(COUNTA($A38:$M38)=0,"",IF(OR(LEFT(LOWER(TRIM($F38&amp;"")),12)="subscription",LOWER(TRIM($F38&amp;""))="membership"),"",IF($G38="","",IF(ISNUMBER(SEARCH("non",LOWER($E38&amp;""))),$G38*0.85,$G38))))</x:f>
      </x:c>
      <x:c r="O38" s="987" t="str">
        <x:f>IF(COUNTA($A38:$M38)=0,"",IF(OR(LEFT(LOWER(TRIM($F38&amp;"")),12)="subscription",LOWER(TRIM($F38&amp;""))="membership"),"",IF(OR($N38="",$I38="",$I38=0),"",IFERROR($N38/$I38,""))))</x:f>
      </x:c>
      <x:c r="P38" s="987" t="str">
        <x:f>IF(COUNTA($A38:$M38)=0,"",IF(OR(LEFT(LOWER(TRIM($F38&amp;"")),12)="subscription",LOWER(TRIM($F38&amp;""))="membership"),"",IF(LOWER($L38&amp;"")="yes",0,IF(OR(AND($H38&lt;&gt;"",$H38=0),LEFT(LOWER(TRIM($F38&amp;"")),9)="free game",LOWER(TRIM($F38&amp;""))="free",LOWER(TRIM($F38&amp;""))="free entry"),IF(LOWER($D38&amp;"")="finalized",IF(ISNUMBER($K38),$K38,""),IF($O38&lt;&gt;"",$O38,"")),IF($K38&lt;&gt;"",$K38,IF($O38&lt;&gt;"",$O38,""))))))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IF(COUNTA($A38:$M38)=0,"",IF(OR(LEFT(LOWER(TRIM($F38&amp;"")),12)="subscription",LOWER(TRIM($F38&amp;""))="membership"),"Subscription",IF(OR(AND($H38&lt;&gt;"",$H38=0),LEFT(LOWER(TRIM($F38&amp;"")),9)="free game",LOWER(TRIM($F38&amp;""))="free",LOWER(TRIM($F38&amp;""))="free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IF(COUNTA($A39:$M39)=0,"",IF(OR(LEFT(LOWER(TRIM($F39&amp;"")),12)="subscription",LOWER(TRIM($F39&amp;""))="membership"),"",IF($G39="","",IF(ISNUMBER(SEARCH("non",LOWER($E39&amp;""))),$G39*0.85,$G39))))</x:f>
      </x:c>
      <x:c r="O39" s="987" t="str">
        <x:f>IF(COUNTA($A39:$M39)=0,"",IF(OR(LEFT(LOWER(TRIM($F39&amp;"")),12)="subscription",LOWER(TRIM($F39&amp;""))="membership"),"",IF(OR($N39="",$I39="",$I39=0),"",IFERROR($N39/$I39,""))))</x:f>
      </x:c>
      <x:c r="P39" s="987" t="str">
        <x:f>IF(COUNTA($A39:$M39)=0,"",IF(OR(LEFT(LOWER(TRIM($F39&amp;"")),12)="subscription",LOWER(TRIM($F39&amp;""))="membership"),"",IF(LOWER($L39&amp;"")="yes",0,IF(OR(AND($H39&lt;&gt;"",$H39=0),LEFT(LOWER(TRIM($F39&amp;"")),9)="free game",LOWER(TRIM($F39&amp;""))="free",LOWER(TRIM($F39&amp;""))="free entry"),IF(LOWER($D39&amp;"")="finalized",IF(ISNUMBER($K39),$K39,""),IF($O39&lt;&gt;"",$O39,"")),IF($K39&lt;&gt;"",$K39,IF($O39&lt;&gt;"",$O39,""))))))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IF(COUNTA($A39:$M39)=0,"",IF(OR(LEFT(LOWER(TRIM($F39&amp;"")),12)="subscription",LOWER(TRIM($F39&amp;""))="membership"),"Subscription",IF(OR(AND($H39&lt;&gt;"",$H39=0),LEFT(LOWER(TRIM($F39&amp;"")),9)="free game",LOWER(TRIM($F39&amp;""))="free",LOWER(TRIM($F39&amp;""))="free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IF(COUNTA($A40:$M40)=0,"",IF(OR(LEFT(LOWER(TRIM($F40&amp;"")),12)="subscription",LOWER(TRIM($F40&amp;""))="membership"),"",IF($G40="","",IF(ISNUMBER(SEARCH("non",LOWER($E40&amp;""))),$G40*0.85,$G40))))</x:f>
      </x:c>
      <x:c r="O40" s="987" t="str">
        <x:f>IF(COUNTA($A40:$M40)=0,"",IF(OR(LEFT(LOWER(TRIM($F40&amp;"")),12)="subscription",LOWER(TRIM($F40&amp;""))="membership"),"",IF(OR($N40="",$I40="",$I40=0),"",IFERROR($N40/$I40,""))))</x:f>
      </x:c>
      <x:c r="P40" s="987" t="str">
        <x:f>IF(COUNTA($A40:$M40)=0,"",IF(OR(LEFT(LOWER(TRIM($F40&amp;"")),12)="subscription",LOWER(TRIM($F40&amp;""))="membership"),"",IF(LOWER($L40&amp;"")="yes",0,IF(OR(AND($H40&lt;&gt;"",$H40=0),LEFT(LOWER(TRIM($F40&amp;"")),9)="free game",LOWER(TRIM($F40&amp;""))="free",LOWER(TRIM($F40&amp;""))="free entry"),IF(LOWER($D40&amp;"")="finalized",IF(ISNUMBER($K40),$K40,""),IF($O40&lt;&gt;"",$O40,"")),IF($K40&lt;&gt;"",$K40,IF($O40&lt;&gt;"",$O40,""))))))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IF(COUNTA($A40:$M40)=0,"",IF(OR(LEFT(LOWER(TRIM($F40&amp;"")),12)="subscription",LOWER(TRIM($F40&amp;""))="membership"),"Subscription",IF(OR(AND($H40&lt;&gt;"",$H40=0),LEFT(LOWER(TRIM($F40&amp;"")),9)="free game",LOWER(TRIM($F40&amp;""))="free",LOWER(TRIM($F40&amp;""))="free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IF(COUNTA($A41:$M41)=0,"",IF(OR(LEFT(LOWER(TRIM($F41&amp;"")),12)="subscription",LOWER(TRIM($F41&amp;""))="membership"),"",IF($G41="","",IF(ISNUMBER(SEARCH("non",LOWER($E41&amp;""))),$G41*0.85,$G41))))</x:f>
      </x:c>
      <x:c r="O41" s="987" t="str">
        <x:f>IF(COUNTA($A41:$M41)=0,"",IF(OR(LEFT(LOWER(TRIM($F41&amp;"")),12)="subscription",LOWER(TRIM($F41&amp;""))="membership"),"",IF(OR($N41="",$I41="",$I41=0),"",IFERROR($N41/$I41,""))))</x:f>
      </x:c>
      <x:c r="P41" s="987" t="str">
        <x:f>IF(COUNTA($A41:$M41)=0,"",IF(OR(LEFT(LOWER(TRIM($F41&amp;"")),12)="subscription",LOWER(TRIM($F41&amp;""))="membership"),"",IF(LOWER($L41&amp;"")="yes",0,IF(OR(AND($H41&lt;&gt;"",$H41=0),LEFT(LOWER(TRIM($F41&amp;"")),9)="free game",LOWER(TRIM($F41&amp;""))="free",LOWER(TRIM($F41&amp;""))="free entry"),IF(LOWER($D41&amp;"")="finalized",IF(ISNUMBER($K41),$K41,""),IF($O41&lt;&gt;"",$O41,"")),IF($K41&lt;&gt;"",$K41,IF($O41&lt;&gt;"",$O41,""))))))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IF(COUNTA($A41:$M41)=0,"",IF(OR(LEFT(LOWER(TRIM($F41&amp;"")),12)="subscription",LOWER(TRIM($F41&amp;""))="membership"),"Subscription",IF(OR(AND($H41&lt;&gt;"",$H41=0),LEFT(LOWER(TRIM($F41&amp;"")),9)="free game",LOWER(TRIM($F41&amp;""))="free",LOWER(TRIM($F41&amp;""))="free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IF(COUNTA($A42:$M42)=0,"",IF(OR(LEFT(LOWER(TRIM($F42&amp;"")),12)="subscription",LOWER(TRIM($F42&amp;""))="membership"),"",IF($G42="","",IF(ISNUMBER(SEARCH("non",LOWER($E42&amp;""))),$G42*0.85,$G42))))</x:f>
      </x:c>
      <x:c r="O42" s="987" t="str">
        <x:f>IF(COUNTA($A42:$M42)=0,"",IF(OR(LEFT(LOWER(TRIM($F42&amp;"")),12)="subscription",LOWER(TRIM($F42&amp;""))="membership"),"",IF(OR($N42="",$I42="",$I42=0),"",IFERROR($N42/$I42,""))))</x:f>
      </x:c>
      <x:c r="P42" s="987" t="str">
        <x:f>IF(COUNTA($A42:$M42)=0,"",IF(OR(LEFT(LOWER(TRIM($F42&amp;"")),12)="subscription",LOWER(TRIM($F42&amp;""))="membership"),"",IF(LOWER($L42&amp;"")="yes",0,IF(OR(AND($H42&lt;&gt;"",$H42=0),LEFT(LOWER(TRIM($F42&amp;"")),9)="free game",LOWER(TRIM($F42&amp;""))="free",LOWER(TRIM($F42&amp;""))="free entry"),IF(LOWER($D42&amp;"")="finalized",IF(ISNUMBER($K42),$K42,""),IF($O42&lt;&gt;"",$O42,"")),IF($K42&lt;&gt;"",$K42,IF($O42&lt;&gt;"",$O42,""))))))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IF(COUNTA($A42:$M42)=0,"",IF(OR(LEFT(LOWER(TRIM($F42&amp;"")),12)="subscription",LOWER(TRIM($F42&amp;""))="membership"),"Subscription",IF(OR(AND($H42&lt;&gt;"",$H42=0),LEFT(LOWER(TRIM($F42&amp;"")),9)="free game",LOWER(TRIM($F42&amp;""))="free",LOWER(TRIM($F42&amp;""))="free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IF(COUNTA($A43:$M43)=0,"",IF(OR(LEFT(LOWER(TRIM($F43&amp;"")),12)="subscription",LOWER(TRIM($F43&amp;""))="membership"),"",IF($G43="","",IF(ISNUMBER(SEARCH("non",LOWER($E43&amp;""))),$G43*0.85,$G43))))</x:f>
      </x:c>
      <x:c r="O43" s="987" t="str">
        <x:f>IF(COUNTA($A43:$M43)=0,"",IF(OR(LEFT(LOWER(TRIM($F43&amp;"")),12)="subscription",LOWER(TRIM($F43&amp;""))="membership"),"",IF(OR($N43="",$I43="",$I43=0),"",IFERROR($N43/$I43,""))))</x:f>
      </x:c>
      <x:c r="P43" s="987" t="str">
        <x:f>IF(COUNTA($A43:$M43)=0,"",IF(OR(LEFT(LOWER(TRIM($F43&amp;"")),12)="subscription",LOWER(TRIM($F43&amp;""))="membership"),"",IF(LOWER($L43&amp;"")="yes",0,IF(OR(AND($H43&lt;&gt;"",$H43=0),LEFT(LOWER(TRIM($F43&amp;"")),9)="free game",LOWER(TRIM($F43&amp;""))="free",LOWER(TRIM($F43&amp;""))="free entry"),IF(LOWER($D43&amp;"")="finalized",IF(ISNUMBER($K43),$K43,""),IF($O43&lt;&gt;"",$O43,"")),IF($K43&lt;&gt;"",$K43,IF($O43&lt;&gt;"",$O43,""))))))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IF(COUNTA($A43:$M43)=0,"",IF(OR(LEFT(LOWER(TRIM($F43&amp;"")),12)="subscription",LOWER(TRIM($F43&amp;""))="membership"),"Subscription",IF(OR(AND($H43&lt;&gt;"",$H43=0),LEFT(LOWER(TRIM($F43&amp;"")),9)="free game",LOWER(TRIM($F43&amp;""))="free",LOWER(TRIM($F43&amp;""))="free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IF(COUNTA($A44:$M44)=0,"",IF(OR(LEFT(LOWER(TRIM($F44&amp;"")),12)="subscription",LOWER(TRIM($F44&amp;""))="membership"),"",IF($G44="","",IF(ISNUMBER(SEARCH("non",LOWER($E44&amp;""))),$G44*0.85,$G44))))</x:f>
      </x:c>
      <x:c r="O44" s="987" t="str">
        <x:f>IF(COUNTA($A44:$M44)=0,"",IF(OR(LEFT(LOWER(TRIM($F44&amp;"")),12)="subscription",LOWER(TRIM($F44&amp;""))="membership"),"",IF(OR($N44="",$I44="",$I44=0),"",IFERROR($N44/$I44,""))))</x:f>
      </x:c>
      <x:c r="P44" s="987" t="str">
        <x:f>IF(COUNTA($A44:$M44)=0,"",IF(OR(LEFT(LOWER(TRIM($F44&amp;"")),12)="subscription",LOWER(TRIM($F44&amp;""))="membership"),"",IF(LOWER($L44&amp;"")="yes",0,IF(OR(AND($H44&lt;&gt;"",$H44=0),LEFT(LOWER(TRIM($F44&amp;"")),9)="free game",LOWER(TRIM($F44&amp;""))="free",LOWER(TRIM($F44&amp;""))="free entry"),IF(LOWER($D44&amp;"")="finalized",IF(ISNUMBER($K44),$K44,""),IF($O44&lt;&gt;"",$O44,"")),IF($K44&lt;&gt;"",$K44,IF($O44&lt;&gt;"",$O44,""))))))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IF(COUNTA($A44:$M44)=0,"",IF(OR(LEFT(LOWER(TRIM($F44&amp;"")),12)="subscription",LOWER(TRIM($F44&amp;""))="membership"),"Subscription",IF(OR(AND($H44&lt;&gt;"",$H44=0),LEFT(LOWER(TRIM($F44&amp;"")),9)="free game",LOWER(TRIM($F44&amp;""))="free",LOWER(TRIM($F44&amp;""))="free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IF(COUNTA($A45:$M45)=0,"",IF(OR(LEFT(LOWER(TRIM($F45&amp;"")),12)="subscription",LOWER(TRIM($F45&amp;""))="membership"),"",IF($G45="","",IF(ISNUMBER(SEARCH("non",LOWER($E45&amp;""))),$G45*0.85,$G45))))</x:f>
      </x:c>
      <x:c r="O45" s="987" t="str">
        <x:f>IF(COUNTA($A45:$M45)=0,"",IF(OR(LEFT(LOWER(TRIM($F45&amp;"")),12)="subscription",LOWER(TRIM($F45&amp;""))="membership"),"",IF(OR($N45="",$I45="",$I45=0),"",IFERROR($N45/$I45,""))))</x:f>
      </x:c>
      <x:c r="P45" s="987" t="str">
        <x:f>IF(COUNTA($A45:$M45)=0,"",IF(OR(LEFT(LOWER(TRIM($F45&amp;"")),12)="subscription",LOWER(TRIM($F45&amp;""))="membership"),"",IF(LOWER($L45&amp;"")="yes",0,IF(OR(AND($H45&lt;&gt;"",$H45=0),LEFT(LOWER(TRIM($F45&amp;"")),9)="free game",LOWER(TRIM($F45&amp;""))="free",LOWER(TRIM($F45&amp;""))="free entry"),IF(LOWER($D45&amp;"")="finalized",IF(ISNUMBER($K45),$K45,""),IF($O45&lt;&gt;"",$O45,"")),IF($K45&lt;&gt;"",$K45,IF($O45&lt;&gt;"",$O45,""))))))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IF(COUNTA($A45:$M45)=0,"",IF(OR(LEFT(LOWER(TRIM($F45&amp;"")),12)="subscription",LOWER(TRIM($F45&amp;""))="membership"),"Subscription",IF(OR(AND($H45&lt;&gt;"",$H45=0),LEFT(LOWER(TRIM($F45&amp;"")),9)="free game",LOWER(TRIM($F45&amp;""))="free",LOWER(TRIM($F45&amp;""))="free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IF(COUNTA($A46:$M46)=0,"",IF(OR(LEFT(LOWER(TRIM($F46&amp;"")),12)="subscription",LOWER(TRIM($F46&amp;""))="membership"),"",IF($G46="","",IF(ISNUMBER(SEARCH("non",LOWER($E46&amp;""))),$G46*0.85,$G46))))</x:f>
      </x:c>
      <x:c r="O46" s="987" t="str">
        <x:f>IF(COUNTA($A46:$M46)=0,"",IF(OR(LEFT(LOWER(TRIM($F46&amp;"")),12)="subscription",LOWER(TRIM($F46&amp;""))="membership"),"",IF(OR($N46="",$I46="",$I46=0),"",IFERROR($N46/$I46,""))))</x:f>
      </x:c>
      <x:c r="P46" s="987" t="str">
        <x:f>IF(COUNTA($A46:$M46)=0,"",IF(OR(LEFT(LOWER(TRIM($F46&amp;"")),12)="subscription",LOWER(TRIM($F46&amp;""))="membership"),"",IF(LOWER($L46&amp;"")="yes",0,IF(OR(AND($H46&lt;&gt;"",$H46=0),LEFT(LOWER(TRIM($F46&amp;"")),9)="free game",LOWER(TRIM($F46&amp;""))="free",LOWER(TRIM($F46&amp;""))="free entry"),IF(LOWER($D46&amp;"")="finalized",IF(ISNUMBER($K46),$K46,""),IF($O46&lt;&gt;"",$O46,"")),IF($K46&lt;&gt;"",$K46,IF($O46&lt;&gt;"",$O46,""))))))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IF(COUNTA($A46:$M46)=0,"",IF(OR(LEFT(LOWER(TRIM($F46&amp;"")),12)="subscription",LOWER(TRIM($F46&amp;""))="membership"),"Subscription",IF(OR(AND($H46&lt;&gt;"",$H46=0),LEFT(LOWER(TRIM($F46&amp;"")),9)="free game",LOWER(TRIM($F46&amp;""))="free",LOWER(TRIM($F46&amp;""))="free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IF(COUNTA($A47:$M47)=0,"",IF(OR(LEFT(LOWER(TRIM($F47&amp;"")),12)="subscription",LOWER(TRIM($F47&amp;""))="membership"),"",IF($G47="","",IF(ISNUMBER(SEARCH("non",LOWER($E47&amp;""))),$G47*0.85,$G47))))</x:f>
      </x:c>
      <x:c r="O47" s="987" t="str">
        <x:f>IF(COUNTA($A47:$M47)=0,"",IF(OR(LEFT(LOWER(TRIM($F47&amp;"")),12)="subscription",LOWER(TRIM($F47&amp;""))="membership"),"",IF(OR($N47="",$I47="",$I47=0),"",IFERROR($N47/$I47,""))))</x:f>
      </x:c>
      <x:c r="P47" s="987" t="str">
        <x:f>IF(COUNTA($A47:$M47)=0,"",IF(OR(LEFT(LOWER(TRIM($F47&amp;"")),12)="subscription",LOWER(TRIM($F47&amp;""))="membership"),"",IF(LOWER($L47&amp;"")="yes",0,IF(OR(AND($H47&lt;&gt;"",$H47=0),LEFT(LOWER(TRIM($F47&amp;"")),9)="free game",LOWER(TRIM($F47&amp;""))="free",LOWER(TRIM($F47&amp;""))="free entry"),IF(LOWER($D47&amp;"")="finalized",IF(ISNUMBER($K47),$K47,""),IF($O47&lt;&gt;"",$O47,"")),IF($K47&lt;&gt;"",$K47,IF($O47&lt;&gt;"",$O47,""))))))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IF(COUNTA($A47:$M47)=0,"",IF(OR(LEFT(LOWER(TRIM($F47&amp;"")),12)="subscription",LOWER(TRIM($F47&amp;""))="membership"),"Subscription",IF(OR(AND($H47&lt;&gt;"",$H47=0),LEFT(LOWER(TRIM($F47&amp;"")),9)="free game",LOWER(TRIM($F47&amp;""))="free",LOWER(TRIM($F47&amp;""))="free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IF(COUNTA($A48:$M48)=0,"",IF(OR(LEFT(LOWER(TRIM($F48&amp;"")),12)="subscription",LOWER(TRIM($F48&amp;""))="membership"),"",IF($G48="","",IF(ISNUMBER(SEARCH("non",LOWER($E48&amp;""))),$G48*0.85,$G48))))</x:f>
      </x:c>
      <x:c r="O48" s="987" t="str">
        <x:f>IF(COUNTA($A48:$M48)=0,"",IF(OR(LEFT(LOWER(TRIM($F48&amp;"")),12)="subscription",LOWER(TRIM($F48&amp;""))="membership"),"",IF(OR($N48="",$I48="",$I48=0),"",IFERROR($N48/$I48,""))))</x:f>
      </x:c>
      <x:c r="P48" s="987" t="str">
        <x:f>IF(COUNTA($A48:$M48)=0,"",IF(OR(LEFT(LOWER(TRIM($F48&amp;"")),12)="subscription",LOWER(TRIM($F48&amp;""))="membership"),"",IF(LOWER($L48&amp;"")="yes",0,IF(OR(AND($H48&lt;&gt;"",$H48=0),LEFT(LOWER(TRIM($F48&amp;"")),9)="free game",LOWER(TRIM($F48&amp;""))="free",LOWER(TRIM($F48&amp;""))="free entry"),IF(LOWER($D48&amp;"")="finalized",IF(ISNUMBER($K48),$K48,""),IF($O48&lt;&gt;"",$O48,"")),IF($K48&lt;&gt;"",$K48,IF($O48&lt;&gt;"",$O48,""))))))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IF(COUNTA($A48:$M48)=0,"",IF(OR(LEFT(LOWER(TRIM($F48&amp;"")),12)="subscription",LOWER(TRIM($F48&amp;""))="membership"),"Subscription",IF(OR(AND($H48&lt;&gt;"",$H48=0),LEFT(LOWER(TRIM($F48&amp;"")),9)="free game",LOWER(TRIM($F48&amp;""))="free",LOWER(TRIM($F48&amp;""))="free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IF(COUNTA($A49:$M49)=0,"",IF(OR(LEFT(LOWER(TRIM($F49&amp;"")),12)="subscription",LOWER(TRIM($F49&amp;""))="membership"),"",IF($G49="","",IF(ISNUMBER(SEARCH("non",LOWER($E49&amp;""))),$G49*0.85,$G49))))</x:f>
      </x:c>
      <x:c r="O49" s="987" t="str">
        <x:f>IF(COUNTA($A49:$M49)=0,"",IF(OR(LEFT(LOWER(TRIM($F49&amp;"")),12)="subscription",LOWER(TRIM($F49&amp;""))="membership"),"",IF(OR($N49="",$I49="",$I49=0),"",IFERROR($N49/$I49,""))))</x:f>
      </x:c>
      <x:c r="P49" s="987" t="str">
        <x:f>IF(COUNTA($A49:$M49)=0,"",IF(OR(LEFT(LOWER(TRIM($F49&amp;"")),12)="subscription",LOWER(TRIM($F49&amp;""))="membership"),"",IF(LOWER($L49&amp;"")="yes",0,IF(OR(AND($H49&lt;&gt;"",$H49=0),LEFT(LOWER(TRIM($F49&amp;"")),9)="free game",LOWER(TRIM($F49&amp;""))="free",LOWER(TRIM($F49&amp;""))="free entry"),IF(LOWER($D49&amp;"")="finalized",IF(ISNUMBER($K49),$K49,""),IF($O49&lt;&gt;"",$O49,"")),IF($K49&lt;&gt;"",$K49,IF($O49&lt;&gt;"",$O49,""))))))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IF(COUNTA($A49:$M49)=0,"",IF(OR(LEFT(LOWER(TRIM($F49&amp;"")),12)="subscription",LOWER(TRIM($F49&amp;""))="membership"),"Subscription",IF(OR(AND($H49&lt;&gt;"",$H49=0),LEFT(LOWER(TRIM($F49&amp;"")),9)="free game",LOWER(TRIM($F49&amp;""))="free",LOWER(TRIM($F49&amp;""))="free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IF(COUNTA($A50:$M50)=0,"",IF(OR(LEFT(LOWER(TRIM($F50&amp;"")),12)="subscription",LOWER(TRIM($F50&amp;""))="membership"),"",IF($G50="","",IF(ISNUMBER(SEARCH("non",LOWER($E50&amp;""))),$G50*0.85,$G50))))</x:f>
      </x:c>
      <x:c r="O50" s="987" t="str">
        <x:f>IF(COUNTA($A50:$M50)=0,"",IF(OR(LEFT(LOWER(TRIM($F50&amp;"")),12)="subscription",LOWER(TRIM($F50&amp;""))="membership"),"",IF(OR($N50="",$I50="",$I50=0),"",IFERROR($N50/$I50,""))))</x:f>
      </x:c>
      <x:c r="P50" s="987" t="str">
        <x:f>IF(COUNTA($A50:$M50)=0,"",IF(OR(LEFT(LOWER(TRIM($F50&amp;"")),12)="subscription",LOWER(TRIM($F50&amp;""))="membership"),"",IF(LOWER($L50&amp;"")="yes",0,IF(OR(AND($H50&lt;&gt;"",$H50=0),LEFT(LOWER(TRIM($F50&amp;"")),9)="free game",LOWER(TRIM($F50&amp;""))="free",LOWER(TRIM($F50&amp;""))="free entry"),IF(LOWER($D50&amp;"")="finalized",IF(ISNUMBER($K50),$K50,""),IF($O50&lt;&gt;"",$O50,"")),IF($K50&lt;&gt;"",$K50,IF($O50&lt;&gt;"",$O50,""))))))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IF(COUNTA($A50:$M50)=0,"",IF(OR(LEFT(LOWER(TRIM($F50&amp;"")),12)="subscription",LOWER(TRIM($F50&amp;""))="membership"),"Subscription",IF(OR(AND($H50&lt;&gt;"",$H50=0),LEFT(LOWER(TRIM($F50&amp;"")),9)="free game",LOWER(TRIM($F50&amp;""))="free",LOWER(TRIM($F50&amp;""))="free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IF(COUNTA($A51:$M51)=0,"",IF(OR(LEFT(LOWER(TRIM($F51&amp;"")),12)="subscription",LOWER(TRIM($F51&amp;""))="membership"),"",IF($G51="","",IF(ISNUMBER(SEARCH("non",LOWER($E51&amp;""))),$G51*0.85,$G51))))</x:f>
      </x:c>
      <x:c r="O51" s="987" t="str">
        <x:f>IF(COUNTA($A51:$M51)=0,"",IF(OR(LEFT(LOWER(TRIM($F51&amp;"")),12)="subscription",LOWER(TRIM($F51&amp;""))="membership"),"",IF(OR($N51="",$I51="",$I51=0),"",IFERROR($N51/$I51,""))))</x:f>
      </x:c>
      <x:c r="P51" s="987" t="str">
        <x:f>IF(COUNTA($A51:$M51)=0,"",IF(OR(LEFT(LOWER(TRIM($F51&amp;"")),12)="subscription",LOWER(TRIM($F51&amp;""))="membership"),"",IF(LOWER($L51&amp;"")="yes",0,IF(OR(AND($H51&lt;&gt;"",$H51=0),LEFT(LOWER(TRIM($F51&amp;"")),9)="free game",LOWER(TRIM($F51&amp;""))="free",LOWER(TRIM($F51&amp;""))="free entry"),IF(LOWER($D51&amp;"")="finalized",IF(ISNUMBER($K51),$K51,""),IF($O51&lt;&gt;"",$O51,"")),IF($K51&lt;&gt;"",$K51,IF($O51&lt;&gt;"",$O51,""))))))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IF(COUNTA($A51:$M51)=0,"",IF(OR(LEFT(LOWER(TRIM($F51&amp;"")),12)="subscription",LOWER(TRIM($F51&amp;""))="membership"),"Subscription",IF(OR(AND($H51&lt;&gt;"",$H51=0),LEFT(LOWER(TRIM($F51&amp;"")),9)="free game",LOWER(TRIM($F51&amp;""))="free",LOWER(TRIM($F51&amp;""))="free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IF(COUNTA($A52:$M52)=0,"",IF(OR(LEFT(LOWER(TRIM($F52&amp;"")),12)="subscription",LOWER(TRIM($F52&amp;""))="membership"),"",IF($G52="","",IF(ISNUMBER(SEARCH("non",LOWER($E52&amp;""))),$G52*0.85,$G52))))</x:f>
      </x:c>
      <x:c r="O52" s="987" t="str">
        <x:f>IF(COUNTA($A52:$M52)=0,"",IF(OR(LEFT(LOWER(TRIM($F52&amp;"")),12)="subscription",LOWER(TRIM($F52&amp;""))="membership"),"",IF(OR($N52="",$I52="",$I52=0),"",IFERROR($N52/$I52,""))))</x:f>
      </x:c>
      <x:c r="P52" s="987" t="str">
        <x:f>IF(COUNTA($A52:$M52)=0,"",IF(OR(LEFT(LOWER(TRIM($F52&amp;"")),12)="subscription",LOWER(TRIM($F52&amp;""))="membership"),"",IF(LOWER($L52&amp;"")="yes",0,IF(OR(AND($H52&lt;&gt;"",$H52=0),LEFT(LOWER(TRIM($F52&amp;"")),9)="free game",LOWER(TRIM($F52&amp;""))="free",LOWER(TRIM($F52&amp;""))="free entry"),IF(LOWER($D52&amp;"")="finalized",IF(ISNUMBER($K52),$K52,""),IF($O52&lt;&gt;"",$O52,"")),IF($K52&lt;&gt;"",$K52,IF($O52&lt;&gt;"",$O52,""))))))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IF(COUNTA($A52:$M52)=0,"",IF(OR(LEFT(LOWER(TRIM($F52&amp;"")),12)="subscription",LOWER(TRIM($F52&amp;""))="membership"),"Subscription",IF(OR(AND($H52&lt;&gt;"",$H52=0),LEFT(LOWER(TRIM($F52&amp;"")),9)="free game",LOWER(TRIM($F52&amp;""))="free",LOWER(TRIM($F52&amp;""))="free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IF(COUNTA($A53:$M53)=0,"",IF(OR(LEFT(LOWER(TRIM($F53&amp;"")),12)="subscription",LOWER(TRIM($F53&amp;""))="membership"),"",IF($G53="","",IF(ISNUMBER(SEARCH("non",LOWER($E53&amp;""))),$G53*0.85,$G53))))</x:f>
      </x:c>
      <x:c r="O53" s="987" t="str">
        <x:f>IF(COUNTA($A53:$M53)=0,"",IF(OR(LEFT(LOWER(TRIM($F53&amp;"")),12)="subscription",LOWER(TRIM($F53&amp;""))="membership"),"",IF(OR($N53="",$I53="",$I53=0),"",IFERROR($N53/$I53,""))))</x:f>
      </x:c>
      <x:c r="P53" s="987" t="str">
        <x:f>IF(COUNTA($A53:$M53)=0,"",IF(OR(LEFT(LOWER(TRIM($F53&amp;"")),12)="subscription",LOWER(TRIM($F53&amp;""))="membership"),"",IF(LOWER($L53&amp;"")="yes",0,IF(OR(AND($H53&lt;&gt;"",$H53=0),LEFT(LOWER(TRIM($F53&amp;"")),9)="free game",LOWER(TRIM($F53&amp;""))="free",LOWER(TRIM($F53&amp;""))="free entry"),IF(LOWER($D53&amp;"")="finalized",IF(ISNUMBER($K53),$K53,""),IF($O53&lt;&gt;"",$O53,"")),IF($K53&lt;&gt;"",$K53,IF($O53&lt;&gt;"",$O53,""))))))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IF(COUNTA($A53:$M53)=0,"",IF(OR(LEFT(LOWER(TRIM($F53&amp;"")),12)="subscription",LOWER(TRIM($F53&amp;""))="membership"),"Subscription",IF(OR(AND($H53&lt;&gt;"",$H53=0),LEFT(LOWER(TRIM($F53&amp;"")),9)="free game",LOWER(TRIM($F53&amp;""))="free",LOWER(TRIM($F53&amp;""))="free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IF(COUNTA($A54:$M54)=0,"",IF(OR(LEFT(LOWER(TRIM($F54&amp;"")),12)="subscription",LOWER(TRIM($F54&amp;""))="membership"),"",IF($G54="","",IF(ISNUMBER(SEARCH("non",LOWER($E54&amp;""))),$G54*0.85,$G54))))</x:f>
      </x:c>
      <x:c r="O54" s="987" t="str">
        <x:f>IF(COUNTA($A54:$M54)=0,"",IF(OR(LEFT(LOWER(TRIM($F54&amp;"")),12)="subscription",LOWER(TRIM($F54&amp;""))="membership"),"",IF(OR($N54="",$I54="",$I54=0),"",IFERROR($N54/$I54,""))))</x:f>
      </x:c>
      <x:c r="P54" s="987" t="str">
        <x:f>IF(COUNTA($A54:$M54)=0,"",IF(OR(LEFT(LOWER(TRIM($F54&amp;"")),12)="subscription",LOWER(TRIM($F54&amp;""))="membership"),"",IF(LOWER($L54&amp;"")="yes",0,IF(OR(AND($H54&lt;&gt;"",$H54=0),LEFT(LOWER(TRIM($F54&amp;"")),9)="free game",LOWER(TRIM($F54&amp;""))="free",LOWER(TRIM($F54&amp;""))="free entry"),IF(LOWER($D54&amp;"")="finalized",IF(ISNUMBER($K54),$K54,""),IF($O54&lt;&gt;"",$O54,"")),IF($K54&lt;&gt;"",$K54,IF($O54&lt;&gt;"",$O54,""))))))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IF(COUNTA($A54:$M54)=0,"",IF(OR(LEFT(LOWER(TRIM($F54&amp;"")),12)="subscription",LOWER(TRIM($F54&amp;""))="membership"),"Subscription",IF(OR(AND($H54&lt;&gt;"",$H54=0),LEFT(LOWER(TRIM($F54&amp;"")),9)="free game",LOWER(TRIM($F54&amp;""))="free",LOWER(TRIM($F54&amp;""))="free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IF(COUNTA($A55:$M55)=0,"",IF(OR(LEFT(LOWER(TRIM($F55&amp;"")),12)="subscription",LOWER(TRIM($F55&amp;""))="membership"),"",IF($G55="","",IF(ISNUMBER(SEARCH("non",LOWER($E55&amp;""))),$G55*0.85,$G55))))</x:f>
      </x:c>
      <x:c r="O55" s="987" t="str">
        <x:f>IF(COUNTA($A55:$M55)=0,"",IF(OR(LEFT(LOWER(TRIM($F55&amp;"")),12)="subscription",LOWER(TRIM($F55&amp;""))="membership"),"",IF(OR($N55="",$I55="",$I55=0),"",IFERROR($N55/$I55,""))))</x:f>
      </x:c>
      <x:c r="P55" s="987" t="str">
        <x:f>IF(COUNTA($A55:$M55)=0,"",IF(OR(LEFT(LOWER(TRIM($F55&amp;"")),12)="subscription",LOWER(TRIM($F55&amp;""))="membership"),"",IF(LOWER($L55&amp;"")="yes",0,IF(OR(AND($H55&lt;&gt;"",$H55=0),LEFT(LOWER(TRIM($F55&amp;"")),9)="free game",LOWER(TRIM($F55&amp;""))="free",LOWER(TRIM($F55&amp;""))="free entry"),IF(LOWER($D55&amp;"")="finalized",IF(ISNUMBER($K55),$K55,""),IF($O55&lt;&gt;"",$O55,"")),IF($K55&lt;&gt;"",$K55,IF($O55&lt;&gt;"",$O55,""))))))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IF(COUNTA($A55:$M55)=0,"",IF(OR(LEFT(LOWER(TRIM($F55&amp;"")),12)="subscription",LOWER(TRIM($F55&amp;""))="membership"),"Subscription",IF(OR(AND($H55&lt;&gt;"",$H55=0),LEFT(LOWER(TRIM($F55&amp;"")),9)="free game",LOWER(TRIM($F55&amp;""))="free",LOWER(TRIM($F55&amp;""))="free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IF(COUNTA($A56:$M56)=0,"",IF(OR(LEFT(LOWER(TRIM($F56&amp;"")),12)="subscription",LOWER(TRIM($F56&amp;""))="membership"),"",IF($G56="","",IF(ISNUMBER(SEARCH("non",LOWER($E56&amp;""))),$G56*0.85,$G56))))</x:f>
      </x:c>
      <x:c r="O56" s="987" t="str">
        <x:f>IF(COUNTA($A56:$M56)=0,"",IF(OR(LEFT(LOWER(TRIM($F56&amp;"")),12)="subscription",LOWER(TRIM($F56&amp;""))="membership"),"",IF(OR($N56="",$I56="",$I56=0),"",IFERROR($N56/$I56,""))))</x:f>
      </x:c>
      <x:c r="P56" s="987" t="str">
        <x:f>IF(COUNTA($A56:$M56)=0,"",IF(OR(LEFT(LOWER(TRIM($F56&amp;"")),12)="subscription",LOWER(TRIM($F56&amp;""))="membership"),"",IF(LOWER($L56&amp;"")="yes",0,IF(OR(AND($H56&lt;&gt;"",$H56=0),LEFT(LOWER(TRIM($F56&amp;"")),9)="free game",LOWER(TRIM($F56&amp;""))="free",LOWER(TRIM($F56&amp;""))="free entry"),IF(LOWER($D56&amp;"")="finalized",IF(ISNUMBER($K56),$K56,""),IF($O56&lt;&gt;"",$O56,"")),IF($K56&lt;&gt;"",$K56,IF($O56&lt;&gt;"",$O56,""))))))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IF(COUNTA($A56:$M56)=0,"",IF(OR(LEFT(LOWER(TRIM($F56&amp;"")),12)="subscription",LOWER(TRIM($F56&amp;""))="membership"),"Subscription",IF(OR(AND($H56&lt;&gt;"",$H56=0),LEFT(LOWER(TRIM($F56&amp;"")),9)="free game",LOWER(TRIM($F56&amp;""))="free",LOWER(TRIM($F56&amp;""))="free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IF(COUNTA($A57:$M57)=0,"",IF(OR(LEFT(LOWER(TRIM($F57&amp;"")),12)="subscription",LOWER(TRIM($F57&amp;""))="membership"),"",IF($G57="","",IF(ISNUMBER(SEARCH("non",LOWER($E57&amp;""))),$G57*0.85,$G57))))</x:f>
      </x:c>
      <x:c r="O57" s="987" t="str">
        <x:f>IF(COUNTA($A57:$M57)=0,"",IF(OR(LEFT(LOWER(TRIM($F57&amp;"")),12)="subscription",LOWER(TRIM($F57&amp;""))="membership"),"",IF(OR($N57="",$I57="",$I57=0),"",IFERROR($N57/$I57,""))))</x:f>
      </x:c>
      <x:c r="P57" s="987" t="str">
        <x:f>IF(COUNTA($A57:$M57)=0,"",IF(OR(LEFT(LOWER(TRIM($F57&amp;"")),12)="subscription",LOWER(TRIM($F57&amp;""))="membership"),"",IF(LOWER($L57&amp;"")="yes",0,IF(OR(AND($H57&lt;&gt;"",$H57=0),LEFT(LOWER(TRIM($F57&amp;"")),9)="free game",LOWER(TRIM($F57&amp;""))="free",LOWER(TRIM($F57&amp;""))="free entry"),IF(LOWER($D57&amp;"")="finalized",IF(ISNUMBER($K57),$K57,""),IF($O57&lt;&gt;"",$O57,"")),IF($K57&lt;&gt;"",$K57,IF($O57&lt;&gt;"",$O57,""))))))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IF(COUNTA($A57:$M57)=0,"",IF(OR(LEFT(LOWER(TRIM($F57&amp;"")),12)="subscription",LOWER(TRIM($F57&amp;""))="membership"),"Subscription",IF(OR(AND($H57&lt;&gt;"",$H57=0),LEFT(LOWER(TRIM($F57&amp;"")),9)="free game",LOWER(TRIM($F57&amp;""))="free",LOWER(TRIM($F57&amp;""))="free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IF(COUNTA($A58:$M58)=0,"",IF(OR(LEFT(LOWER(TRIM($F58&amp;"")),12)="subscription",LOWER(TRIM($F58&amp;""))="membership"),"",IF($G58="","",IF(ISNUMBER(SEARCH("non",LOWER($E58&amp;""))),$G58*0.85,$G58))))</x:f>
      </x:c>
      <x:c r="O58" s="987" t="str">
        <x:f>IF(COUNTA($A58:$M58)=0,"",IF(OR(LEFT(LOWER(TRIM($F58&amp;"")),12)="subscription",LOWER(TRIM($F58&amp;""))="membership"),"",IF(OR($N58="",$I58="",$I58=0),"",IFERROR($N58/$I58,""))))</x:f>
      </x:c>
      <x:c r="P58" s="987" t="str">
        <x:f>IF(COUNTA($A58:$M58)=0,"",IF(OR(LEFT(LOWER(TRIM($F58&amp;"")),12)="subscription",LOWER(TRIM($F58&amp;""))="membership"),"",IF(LOWER($L58&amp;"")="yes",0,IF(OR(AND($H58&lt;&gt;"",$H58=0),LEFT(LOWER(TRIM($F58&amp;"")),9)="free game",LOWER(TRIM($F58&amp;""))="free",LOWER(TRIM($F58&amp;""))="free entry"),IF(LOWER($D58&amp;"")="finalized",IF(ISNUMBER($K58),$K58,""),IF($O58&lt;&gt;"",$O58,"")),IF($K58&lt;&gt;"",$K58,IF($O58&lt;&gt;"",$O58,""))))))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IF(COUNTA($A58:$M58)=0,"",IF(OR(LEFT(LOWER(TRIM($F58&amp;"")),12)="subscription",LOWER(TRIM($F58&amp;""))="membership"),"Subscription",IF(OR(AND($H58&lt;&gt;"",$H58=0),LEFT(LOWER(TRIM($F58&amp;"")),9)="free game",LOWER(TRIM($F58&amp;""))="free",LOWER(TRIM($F58&amp;""))="free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IF(COUNTA($A59:$M59)=0,"",IF(OR(LEFT(LOWER(TRIM($F59&amp;"")),12)="subscription",LOWER(TRIM($F59&amp;""))="membership"),"",IF($G59="","",IF(ISNUMBER(SEARCH("non",LOWER($E59&amp;""))),$G59*0.85,$G59))))</x:f>
      </x:c>
      <x:c r="O59" s="987" t="str">
        <x:f>IF(COUNTA($A59:$M59)=0,"",IF(OR(LEFT(LOWER(TRIM($F59&amp;"")),12)="subscription",LOWER(TRIM($F59&amp;""))="membership"),"",IF(OR($N59="",$I59="",$I59=0),"",IFERROR($N59/$I59,""))))</x:f>
      </x:c>
      <x:c r="P59" s="987" t="str">
        <x:f>IF(COUNTA($A59:$M59)=0,"",IF(OR(LEFT(LOWER(TRIM($F59&amp;"")),12)="subscription",LOWER(TRIM($F59&amp;""))="membership"),"",IF(LOWER($L59&amp;"")="yes",0,IF(OR(AND($H59&lt;&gt;"",$H59=0),LEFT(LOWER(TRIM($F59&amp;"")),9)="free game",LOWER(TRIM($F59&amp;""))="free",LOWER(TRIM($F59&amp;""))="free entry"),IF(LOWER($D59&amp;"")="finalized",IF(ISNUMBER($K59),$K59,""),IF($O59&lt;&gt;"",$O59,"")),IF($K59&lt;&gt;"",$K59,IF($O59&lt;&gt;"",$O59,""))))))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IF(COUNTA($A59:$M59)=0,"",IF(OR(LEFT(LOWER(TRIM($F59&amp;"")),12)="subscription",LOWER(TRIM($F59&amp;""))="membership"),"Subscription",IF(OR(AND($H59&lt;&gt;"",$H59=0),LEFT(LOWER(TRIM($F59&amp;"")),9)="free game",LOWER(TRIM($F59&amp;""))="free",LOWER(TRIM($F59&amp;""))="free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IF(COUNTA($A60:$M60)=0,"",IF(OR(LEFT(LOWER(TRIM($F60&amp;"")),12)="subscription",LOWER(TRIM($F60&amp;""))="membership"),"",IF($G60="","",IF(ISNUMBER(SEARCH("non",LOWER($E60&amp;""))),$G60*0.85,$G60))))</x:f>
      </x:c>
      <x:c r="O60" s="987" t="str">
        <x:f>IF(COUNTA($A60:$M60)=0,"",IF(OR(LEFT(LOWER(TRIM($F60&amp;"")),12)="subscription",LOWER(TRIM($F60&amp;""))="membership"),"",IF(OR($N60="",$I60="",$I60=0),"",IFERROR($N60/$I60,""))))</x:f>
      </x:c>
      <x:c r="P60" s="987" t="str">
        <x:f>IF(COUNTA($A60:$M60)=0,"",IF(OR(LEFT(LOWER(TRIM($F60&amp;"")),12)="subscription",LOWER(TRIM($F60&amp;""))="membership"),"",IF(LOWER($L60&amp;"")="yes",0,IF(OR(AND($H60&lt;&gt;"",$H60=0),LEFT(LOWER(TRIM($F60&amp;"")),9)="free game",LOWER(TRIM($F60&amp;""))="free",LOWER(TRIM($F60&amp;""))="free entry"),IF(LOWER($D60&amp;"")="finalized",IF(ISNUMBER($K60),$K60,""),IF($O60&lt;&gt;"",$O60,"")),IF($K60&lt;&gt;"",$K60,IF($O60&lt;&gt;"",$O60,""))))))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IF(COUNTA($A60:$M60)=0,"",IF(OR(LEFT(LOWER(TRIM($F60&amp;"")),12)="subscription",LOWER(TRIM($F60&amp;""))="membership"),"Subscription",IF(OR(AND($H60&lt;&gt;"",$H60=0),LEFT(LOWER(TRIM($F60&amp;"")),9)="free game",LOWER(TRIM($F60&amp;""))="free",LOWER(TRIM($F60&amp;""))="free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IF(COUNTA($A61:$M61)=0,"",IF(OR(LEFT(LOWER(TRIM($F61&amp;"")),12)="subscription",LOWER(TRIM($F61&amp;""))="membership"),"",IF($G61="","",IF(ISNUMBER(SEARCH("non",LOWER($E61&amp;""))),$G61*0.85,$G61))))</x:f>
      </x:c>
      <x:c r="O61" s="987" t="str">
        <x:f>IF(COUNTA($A61:$M61)=0,"",IF(OR(LEFT(LOWER(TRIM($F61&amp;"")),12)="subscription",LOWER(TRIM($F61&amp;""))="membership"),"",IF(OR($N61="",$I61="",$I61=0),"",IFERROR($N61/$I61,""))))</x:f>
      </x:c>
      <x:c r="P61" s="987" t="str">
        <x:f>IF(COUNTA($A61:$M61)=0,"",IF(OR(LEFT(LOWER(TRIM($F61&amp;"")),12)="subscription",LOWER(TRIM($F61&amp;""))="membership"),"",IF(LOWER($L61&amp;"")="yes",0,IF(OR(AND($H61&lt;&gt;"",$H61=0),LEFT(LOWER(TRIM($F61&amp;"")),9)="free game",LOWER(TRIM($F61&amp;""))="free",LOWER(TRIM($F61&amp;""))="free entry"),IF(LOWER($D61&amp;"")="finalized",IF(ISNUMBER($K61),$K61,""),IF($O61&lt;&gt;"",$O61,"")),IF($K61&lt;&gt;"",$K61,IF($O61&lt;&gt;"",$O61,""))))))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IF(COUNTA($A61:$M61)=0,"",IF(OR(LEFT(LOWER(TRIM($F61&amp;"")),12)="subscription",LOWER(TRIM($F61&amp;""))="membership"),"Subscription",IF(OR(AND($H61&lt;&gt;"",$H61=0),LEFT(LOWER(TRIM($F61&amp;"")),9)="free game",LOWER(TRIM($F61&amp;""))="free",LOWER(TRIM($F61&amp;""))="free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IF(COUNTA($A62:$M62)=0,"",IF(OR(LEFT(LOWER(TRIM($F62&amp;"")),12)="subscription",LOWER(TRIM($F62&amp;""))="membership"),"",IF($G62="","",IF(ISNUMBER(SEARCH("non",LOWER($E62&amp;""))),$G62*0.85,$G62))))</x:f>
      </x:c>
      <x:c r="O62" s="987" t="str">
        <x:f>IF(COUNTA($A62:$M62)=0,"",IF(OR(LEFT(LOWER(TRIM($F62&amp;"")),12)="subscription",LOWER(TRIM($F62&amp;""))="membership"),"",IF(OR($N62="",$I62="",$I62=0),"",IFERROR($N62/$I62,""))))</x:f>
      </x:c>
      <x:c r="P62" s="987" t="str">
        <x:f>IF(COUNTA($A62:$M62)=0,"",IF(OR(LEFT(LOWER(TRIM($F62&amp;"")),12)="subscription",LOWER(TRIM($F62&amp;""))="membership"),"",IF(LOWER($L62&amp;"")="yes",0,IF(OR(AND($H62&lt;&gt;"",$H62=0),LEFT(LOWER(TRIM($F62&amp;"")),9)="free game",LOWER(TRIM($F62&amp;""))="free",LOWER(TRIM($F62&amp;""))="free entry"),IF(LOWER($D62&amp;"")="finalized",IF(ISNUMBER($K62),$K62,""),IF($O62&lt;&gt;"",$O62,"")),IF($K62&lt;&gt;"",$K62,IF($O62&lt;&gt;"",$O62,""))))))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IF(COUNTA($A62:$M62)=0,"",IF(OR(LEFT(LOWER(TRIM($F62&amp;"")),12)="subscription",LOWER(TRIM($F62&amp;""))="membership"),"Subscription",IF(OR(AND($H62&lt;&gt;"",$H62=0),LEFT(LOWER(TRIM($F62&amp;"")),9)="free game",LOWER(TRIM($F62&amp;""))="free",LOWER(TRIM($F62&amp;""))="free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IF(COUNTA($A63:$M63)=0,"",IF(OR(LEFT(LOWER(TRIM($F63&amp;"")),12)="subscription",LOWER(TRIM($F63&amp;""))="membership"),"",IF($G63="","",IF(ISNUMBER(SEARCH("non",LOWER($E63&amp;""))),$G63*0.85,$G63))))</x:f>
      </x:c>
      <x:c r="O63" s="987" t="str">
        <x:f>IF(COUNTA($A63:$M63)=0,"",IF(OR(LEFT(LOWER(TRIM($F63&amp;"")),12)="subscription",LOWER(TRIM($F63&amp;""))="membership"),"",IF(OR($N63="",$I63="",$I63=0),"",IFERROR($N63/$I63,""))))</x:f>
      </x:c>
      <x:c r="P63" s="987" t="str">
        <x:f>IF(COUNTA($A63:$M63)=0,"",IF(OR(LEFT(LOWER(TRIM($F63&amp;"")),12)="subscription",LOWER(TRIM($F63&amp;""))="membership"),"",IF(LOWER($L63&amp;"")="yes",0,IF(OR(AND($H63&lt;&gt;"",$H63=0),LEFT(LOWER(TRIM($F63&amp;"")),9)="free game",LOWER(TRIM($F63&amp;""))="free",LOWER(TRIM($F63&amp;""))="free entry"),IF(LOWER($D63&amp;"")="finalized",IF(ISNUMBER($K63),$K63,""),IF($O63&lt;&gt;"",$O63,"")),IF($K63&lt;&gt;"",$K63,IF($O63&lt;&gt;"",$O63,""))))))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IF(COUNTA($A63:$M63)=0,"",IF(OR(LEFT(LOWER(TRIM($F63&amp;"")),12)="subscription",LOWER(TRIM($F63&amp;""))="membership"),"Subscription",IF(OR(AND($H63&lt;&gt;"",$H63=0),LEFT(LOWER(TRIM($F63&amp;"")),9)="free game",LOWER(TRIM($F63&amp;""))="free",LOWER(TRIM($F63&amp;""))="free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IF(COUNTA($A64:$M64)=0,"",IF(OR(LEFT(LOWER(TRIM($F64&amp;"")),12)="subscription",LOWER(TRIM($F64&amp;""))="membership"),"",IF($G64="","",IF(ISNUMBER(SEARCH("non",LOWER($E64&amp;""))),$G64*0.85,$G64))))</x:f>
      </x:c>
      <x:c r="O64" s="987" t="str">
        <x:f>IF(COUNTA($A64:$M64)=0,"",IF(OR(LEFT(LOWER(TRIM($F64&amp;"")),12)="subscription",LOWER(TRIM($F64&amp;""))="membership"),"",IF(OR($N64="",$I64="",$I64=0),"",IFERROR($N64/$I64,""))))</x:f>
      </x:c>
      <x:c r="P64" s="987" t="str">
        <x:f>IF(COUNTA($A64:$M64)=0,"",IF(OR(LEFT(LOWER(TRIM($F64&amp;"")),12)="subscription",LOWER(TRIM($F64&amp;""))="membership"),"",IF(LOWER($L64&amp;"")="yes",0,IF(OR(AND($H64&lt;&gt;"",$H64=0),LEFT(LOWER(TRIM($F64&amp;"")),9)="free game",LOWER(TRIM($F64&amp;""))="free",LOWER(TRIM($F64&amp;""))="free entry"),IF(LOWER($D64&amp;"")="finalized",IF(ISNUMBER($K64),$K64,""),IF($O64&lt;&gt;"",$O64,"")),IF($K64&lt;&gt;"",$K64,IF($O64&lt;&gt;"",$O64,""))))))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IF(COUNTA($A64:$M64)=0,"",IF(OR(LEFT(LOWER(TRIM($F64&amp;"")),12)="subscription",LOWER(TRIM($F64&amp;""))="membership"),"Subscription",IF(OR(AND($H64&lt;&gt;"",$H64=0),LEFT(LOWER(TRIM($F64&amp;"")),9)="free game",LOWER(TRIM($F64&amp;""))="free",LOWER(TRIM($F64&amp;""))="free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IF(COUNTA($A65:$M65)=0,"",IF(OR(LEFT(LOWER(TRIM($F65&amp;"")),12)="subscription",LOWER(TRIM($F65&amp;""))="membership"),"",IF($G65="","",IF(ISNUMBER(SEARCH("non",LOWER($E65&amp;""))),$G65*0.85,$G65))))</x:f>
      </x:c>
      <x:c r="O65" s="987" t="str">
        <x:f>IF(COUNTA($A65:$M65)=0,"",IF(OR(LEFT(LOWER(TRIM($F65&amp;"")),12)="subscription",LOWER(TRIM($F65&amp;""))="membership"),"",IF(OR($N65="",$I65="",$I65=0),"",IFERROR($N65/$I65,""))))</x:f>
      </x:c>
      <x:c r="P65" s="987" t="str">
        <x:f>IF(COUNTA($A65:$M65)=0,"",IF(OR(LEFT(LOWER(TRIM($F65&amp;"")),12)="subscription",LOWER(TRIM($F65&amp;""))="membership"),"",IF(LOWER($L65&amp;"")="yes",0,IF(OR(AND($H65&lt;&gt;"",$H65=0),LEFT(LOWER(TRIM($F65&amp;"")),9)="free game",LOWER(TRIM($F65&amp;""))="free",LOWER(TRIM($F65&amp;""))="free entry"),IF(LOWER($D65&amp;"")="finalized",IF(ISNUMBER($K65),$K65,""),IF($O65&lt;&gt;"",$O65,"")),IF($K65&lt;&gt;"",$K65,IF($O65&lt;&gt;"",$O65,""))))))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IF(COUNTA($A65:$M65)=0,"",IF(OR(LEFT(LOWER(TRIM($F65&amp;"")),12)="subscription",LOWER(TRIM($F65&amp;""))="membership"),"Subscription",IF(OR(AND($H65&lt;&gt;"",$H65=0),LEFT(LOWER(TRIM($F65&amp;"")),9)="free game",LOWER(TRIM($F65&amp;""))="free",LOWER(TRIM($F65&amp;""))="free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IF(COUNTA($A66:$M66)=0,"",IF(OR(LEFT(LOWER(TRIM($F66&amp;"")),12)="subscription",LOWER(TRIM($F66&amp;""))="membership"),"",IF($G66="","",IF(ISNUMBER(SEARCH("non",LOWER($E66&amp;""))),$G66*0.85,$G66))))</x:f>
      </x:c>
      <x:c r="O66" s="987" t="str">
        <x:f>IF(COUNTA($A66:$M66)=0,"",IF(OR(LEFT(LOWER(TRIM($F66&amp;"")),12)="subscription",LOWER(TRIM($F66&amp;""))="membership"),"",IF(OR($N66="",$I66="",$I66=0),"",IFERROR($N66/$I66,""))))</x:f>
      </x:c>
      <x:c r="P66" s="987" t="str">
        <x:f>IF(COUNTA($A66:$M66)=0,"",IF(OR(LEFT(LOWER(TRIM($F66&amp;"")),12)="subscription",LOWER(TRIM($F66&amp;""))="membership"),"",IF(LOWER($L66&amp;"")="yes",0,IF(OR(AND($H66&lt;&gt;"",$H66=0),LEFT(LOWER(TRIM($F66&amp;"")),9)="free game",LOWER(TRIM($F66&amp;""))="free",LOWER(TRIM($F66&amp;""))="free entry"),IF(LOWER($D66&amp;"")="finalized",IF(ISNUMBER($K66),$K66,""),IF($O66&lt;&gt;"",$O66,"")),IF($K66&lt;&gt;"",$K66,IF($O66&lt;&gt;"",$O66,""))))))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IF(COUNTA($A66:$M66)=0,"",IF(OR(LEFT(LOWER(TRIM($F66&amp;"")),12)="subscription",LOWER(TRIM($F66&amp;""))="membership"),"Subscription",IF(OR(AND($H66&lt;&gt;"",$H66=0),LEFT(LOWER(TRIM($F66&amp;"")),9)="free game",LOWER(TRIM($F66&amp;""))="free",LOWER(TRIM($F66&amp;""))="free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IF(COUNTA($A67:$M67)=0,"",IF(OR(LEFT(LOWER(TRIM($F67&amp;"")),12)="subscription",LOWER(TRIM($F67&amp;""))="membership"),"",IF($G67="","",IF(ISNUMBER(SEARCH("non",LOWER($E67&amp;""))),$G67*0.85,$G67))))</x:f>
      </x:c>
      <x:c r="O67" s="987" t="str">
        <x:f>IF(COUNTA($A67:$M67)=0,"",IF(OR(LEFT(LOWER(TRIM($F67&amp;"")),12)="subscription",LOWER(TRIM($F67&amp;""))="membership"),"",IF(OR($N67="",$I67="",$I67=0),"",IFERROR($N67/$I67,""))))</x:f>
      </x:c>
      <x:c r="P67" s="987" t="str">
        <x:f>IF(COUNTA($A67:$M67)=0,"",IF(OR(LEFT(LOWER(TRIM($F67&amp;"")),12)="subscription",LOWER(TRIM($F67&amp;""))="membership"),"",IF(LOWER($L67&amp;"")="yes",0,IF(OR(AND($H67&lt;&gt;"",$H67=0),LEFT(LOWER(TRIM($F67&amp;"")),9)="free game",LOWER(TRIM($F67&amp;""))="free",LOWER(TRIM($F67&amp;""))="free entry"),IF(LOWER($D67&amp;"")="finalized",IF(ISNUMBER($K67),$K67,""),IF($O67&lt;&gt;"",$O67,"")),IF($K67&lt;&gt;"",$K67,IF($O67&lt;&gt;"",$O67,""))))))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IF(COUNTA($A67:$M67)=0,"",IF(OR(LEFT(LOWER(TRIM($F67&amp;"")),12)="subscription",LOWER(TRIM($F67&amp;""))="membership"),"Subscription",IF(OR(AND($H67&lt;&gt;"",$H67=0),LEFT(LOWER(TRIM($F67&amp;"")),9)="free game",LOWER(TRIM($F67&amp;""))="free",LOWER(TRIM($F67&amp;""))="free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IF(COUNTA($A68:$M68)=0,"",IF(OR(LEFT(LOWER(TRIM($F68&amp;"")),12)="subscription",LOWER(TRIM($F68&amp;""))="membership"),"",IF($G68="","",IF(ISNUMBER(SEARCH("non",LOWER($E68&amp;""))),$G68*0.85,$G68))))</x:f>
      </x:c>
      <x:c r="O68" s="987" t="str">
        <x:f>IF(COUNTA($A68:$M68)=0,"",IF(OR(LEFT(LOWER(TRIM($F68&amp;"")),12)="subscription",LOWER(TRIM($F68&amp;""))="membership"),"",IF(OR($N68="",$I68="",$I68=0),"",IFERROR($N68/$I68,""))))</x:f>
      </x:c>
      <x:c r="P68" s="987" t="str">
        <x:f>IF(COUNTA($A68:$M68)=0,"",IF(OR(LEFT(LOWER(TRIM($F68&amp;"")),12)="subscription",LOWER(TRIM($F68&amp;""))="membership"),"",IF(LOWER($L68&amp;"")="yes",0,IF(OR(AND($H68&lt;&gt;"",$H68=0),LEFT(LOWER(TRIM($F68&amp;"")),9)="free game",LOWER(TRIM($F68&amp;""))="free",LOWER(TRIM($F68&amp;""))="free entry"),IF(LOWER($D68&amp;"")="finalized",IF(ISNUMBER($K68),$K68,""),IF($O68&lt;&gt;"",$O68,"")),IF($K68&lt;&gt;"",$K68,IF($O68&lt;&gt;"",$O68,""))))))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IF(COUNTA($A68:$M68)=0,"",IF(OR(LEFT(LOWER(TRIM($F68&amp;"")),12)="subscription",LOWER(TRIM($F68&amp;""))="membership"),"Subscription",IF(OR(AND($H68&lt;&gt;"",$H68=0),LEFT(LOWER(TRIM($F68&amp;"")),9)="free game",LOWER(TRIM($F68&amp;""))="free",LOWER(TRIM($F68&amp;""))="free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IF(COUNTA($A69:$M69)=0,"",IF(OR(LEFT(LOWER(TRIM($F69&amp;"")),12)="subscription",LOWER(TRIM($F69&amp;""))="membership"),"",IF($G69="","",IF(ISNUMBER(SEARCH("non",LOWER($E69&amp;""))),$G69*0.85,$G69))))</x:f>
      </x:c>
      <x:c r="O69" s="987" t="str">
        <x:f>IF(COUNTA($A69:$M69)=0,"",IF(OR(LEFT(LOWER(TRIM($F69&amp;"")),12)="subscription",LOWER(TRIM($F69&amp;""))="membership"),"",IF(OR($N69="",$I69="",$I69=0),"",IFERROR($N69/$I69,""))))</x:f>
      </x:c>
      <x:c r="P69" s="987" t="str">
        <x:f>IF(COUNTA($A69:$M69)=0,"",IF(OR(LEFT(LOWER(TRIM($F69&amp;"")),12)="subscription",LOWER(TRIM($F69&amp;""))="membership"),"",IF(LOWER($L69&amp;"")="yes",0,IF(OR(AND($H69&lt;&gt;"",$H69=0),LEFT(LOWER(TRIM($F69&amp;"")),9)="free game",LOWER(TRIM($F69&amp;""))="free",LOWER(TRIM($F69&amp;""))="free entry"),IF(LOWER($D69&amp;"")="finalized",IF(ISNUMBER($K69),$K69,""),IF($O69&lt;&gt;"",$O69,"")),IF($K69&lt;&gt;"",$K69,IF($O69&lt;&gt;"",$O69,""))))))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IF(COUNTA($A69:$M69)=0,"",IF(OR(LEFT(LOWER(TRIM($F69&amp;"")),12)="subscription",LOWER(TRIM($F69&amp;""))="membership"),"Subscription",IF(OR(AND($H69&lt;&gt;"",$H69=0),LEFT(LOWER(TRIM($F69&amp;"")),9)="free game",LOWER(TRIM($F69&amp;""))="free",LOWER(TRIM($F69&amp;""))="free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IF(COUNTA($A70:$M70)=0,"",IF(OR(LEFT(LOWER(TRIM($F70&amp;"")),12)="subscription",LOWER(TRIM($F70&amp;""))="membership"),"",IF($G70="","",IF(ISNUMBER(SEARCH("non",LOWER($E70&amp;""))),$G70*0.85,$G70))))</x:f>
      </x:c>
      <x:c r="O70" s="987" t="str">
        <x:f>IF(COUNTA($A70:$M70)=0,"",IF(OR(LEFT(LOWER(TRIM($F70&amp;"")),12)="subscription",LOWER(TRIM($F70&amp;""))="membership"),"",IF(OR($N70="",$I70="",$I70=0),"",IFERROR($N70/$I70,""))))</x:f>
      </x:c>
      <x:c r="P70" s="987" t="str">
        <x:f>IF(COUNTA($A70:$M70)=0,"",IF(OR(LEFT(LOWER(TRIM($F70&amp;"")),12)="subscription",LOWER(TRIM($F70&amp;""))="membership"),"",IF(LOWER($L70&amp;"")="yes",0,IF(OR(AND($H70&lt;&gt;"",$H70=0),LEFT(LOWER(TRIM($F70&amp;"")),9)="free game",LOWER(TRIM($F70&amp;""))="free",LOWER(TRIM($F70&amp;""))="free entry"),IF(LOWER($D70&amp;"")="finalized",IF(ISNUMBER($K70),$K70,""),IF($O70&lt;&gt;"",$O70,"")),IF($K70&lt;&gt;"",$K70,IF($O70&lt;&gt;"",$O70,""))))))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IF(COUNTA($A70:$M70)=0,"",IF(OR(LEFT(LOWER(TRIM($F70&amp;"")),12)="subscription",LOWER(TRIM($F70&amp;""))="membership"),"Subscription",IF(OR(AND($H70&lt;&gt;"",$H70=0),LEFT(LOWER(TRIM($F70&amp;"")),9)="free game",LOWER(TRIM($F70&amp;""))="free",LOWER(TRIM($F70&amp;""))="free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IF(COUNTA($A71:$M71)=0,"",IF(OR(LEFT(LOWER(TRIM($F71&amp;"")),12)="subscription",LOWER(TRIM($F71&amp;""))="membership"),"",IF($G71="","",IF(ISNUMBER(SEARCH("non",LOWER($E71&amp;""))),$G71*0.85,$G71))))</x:f>
      </x:c>
      <x:c r="O71" s="987" t="str">
        <x:f>IF(COUNTA($A71:$M71)=0,"",IF(OR(LEFT(LOWER(TRIM($F71&amp;"")),12)="subscription",LOWER(TRIM($F71&amp;""))="membership"),"",IF(OR($N71="",$I71="",$I71=0),"",IFERROR($N71/$I71,""))))</x:f>
      </x:c>
      <x:c r="P71" s="987" t="str">
        <x:f>IF(COUNTA($A71:$M71)=0,"",IF(OR(LEFT(LOWER(TRIM($F71&amp;"")),12)="subscription",LOWER(TRIM($F71&amp;""))="membership"),"",IF(LOWER($L71&amp;"")="yes",0,IF(OR(AND($H71&lt;&gt;"",$H71=0),LEFT(LOWER(TRIM($F71&amp;"")),9)="free game",LOWER(TRIM($F71&amp;""))="free",LOWER(TRIM($F71&amp;""))="free entry"),IF(LOWER($D71&amp;"")="finalized",IF(ISNUMBER($K71),$K71,""),IF($O71&lt;&gt;"",$O71,"")),IF($K71&lt;&gt;"",$K71,IF($O71&lt;&gt;"",$O71,""))))))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IF(COUNTA($A71:$M71)=0,"",IF(OR(LEFT(LOWER(TRIM($F71&amp;"")),12)="subscription",LOWER(TRIM($F71&amp;""))="membership"),"Subscription",IF(OR(AND($H71&lt;&gt;"",$H71=0),LEFT(LOWER(TRIM($F71&amp;"")),9)="free game",LOWER(TRIM($F71&amp;""))="free",LOWER(TRIM($F71&amp;""))="free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IF(COUNTA($A72:$M72)=0,"",IF(OR(LEFT(LOWER(TRIM($F72&amp;"")),12)="subscription",LOWER(TRIM($F72&amp;""))="membership"),"",IF($G72="","",IF(ISNUMBER(SEARCH("non",LOWER($E72&amp;""))),$G72*0.85,$G72))))</x:f>
      </x:c>
      <x:c r="O72" s="987" t="str">
        <x:f>IF(COUNTA($A72:$M72)=0,"",IF(OR(LEFT(LOWER(TRIM($F72&amp;"")),12)="subscription",LOWER(TRIM($F72&amp;""))="membership"),"",IF(OR($N72="",$I72="",$I72=0),"",IFERROR($N72/$I72,""))))</x:f>
      </x:c>
      <x:c r="P72" s="987" t="str">
        <x:f>IF(COUNTA($A72:$M72)=0,"",IF(OR(LEFT(LOWER(TRIM($F72&amp;"")),12)="subscription",LOWER(TRIM($F72&amp;""))="membership"),"",IF(LOWER($L72&amp;"")="yes",0,IF(OR(AND($H72&lt;&gt;"",$H72=0),LEFT(LOWER(TRIM($F72&amp;"")),9)="free game",LOWER(TRIM($F72&amp;""))="free",LOWER(TRIM($F72&amp;""))="free entry"),IF(LOWER($D72&amp;"")="finalized",IF(ISNUMBER($K72),$K72,""),IF($O72&lt;&gt;"",$O72,"")),IF($K72&lt;&gt;"",$K72,IF($O72&lt;&gt;"",$O72,""))))))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IF(COUNTA($A72:$M72)=0,"",IF(OR(LEFT(LOWER(TRIM($F72&amp;"")),12)="subscription",LOWER(TRIM($F72&amp;""))="membership"),"Subscription",IF(OR(AND($H72&lt;&gt;"",$H72=0),LEFT(LOWER(TRIM($F72&amp;"")),9)="free game",LOWER(TRIM($F72&amp;""))="free",LOWER(TRIM($F72&amp;""))="free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IF(COUNTA($A73:$M73)=0,"",IF(OR(LEFT(LOWER(TRIM($F73&amp;"")),12)="subscription",LOWER(TRIM($F73&amp;""))="membership"),"",IF($G73="","",IF(ISNUMBER(SEARCH("non",LOWER($E73&amp;""))),$G73*0.85,$G73))))</x:f>
      </x:c>
      <x:c r="O73" s="987" t="str">
        <x:f>IF(COUNTA($A73:$M73)=0,"",IF(OR(LEFT(LOWER(TRIM($F73&amp;"")),12)="subscription",LOWER(TRIM($F73&amp;""))="membership"),"",IF(OR($N73="",$I73="",$I73=0),"",IFERROR($N73/$I73,""))))</x:f>
      </x:c>
      <x:c r="P73" s="987" t="str">
        <x:f>IF(COUNTA($A73:$M73)=0,"",IF(OR(LEFT(LOWER(TRIM($F73&amp;"")),12)="subscription",LOWER(TRIM($F73&amp;""))="membership"),"",IF(LOWER($L73&amp;"")="yes",0,IF(OR(AND($H73&lt;&gt;"",$H73=0),LEFT(LOWER(TRIM($F73&amp;"")),9)="free game",LOWER(TRIM($F73&amp;""))="free",LOWER(TRIM($F73&amp;""))="free entry"),IF(LOWER($D73&amp;"")="finalized",IF(ISNUMBER($K73),$K73,""),IF($O73&lt;&gt;"",$O73,"")),IF($K73&lt;&gt;"",$K73,IF($O73&lt;&gt;"",$O73,""))))))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IF(COUNTA($A73:$M73)=0,"",IF(OR(LEFT(LOWER(TRIM($F73&amp;"")),12)="subscription",LOWER(TRIM($F73&amp;""))="membership"),"Subscription",IF(OR(AND($H73&lt;&gt;"",$H73=0),LEFT(LOWER(TRIM($F73&amp;"")),9)="free game",LOWER(TRIM($F73&amp;""))="free",LOWER(TRIM($F73&amp;""))="free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IF(COUNTA($A74:$M74)=0,"",IF(OR(LEFT(LOWER(TRIM($F74&amp;"")),12)="subscription",LOWER(TRIM($F74&amp;""))="membership"),"",IF($G74="","",IF(ISNUMBER(SEARCH("non",LOWER($E74&amp;""))),$G74*0.85,$G74))))</x:f>
      </x:c>
      <x:c r="O74" s="987" t="str">
        <x:f>IF(COUNTA($A74:$M74)=0,"",IF(OR(LEFT(LOWER(TRIM($F74&amp;"")),12)="subscription",LOWER(TRIM($F74&amp;""))="membership"),"",IF(OR($N74="",$I74="",$I74=0),"",IFERROR($N74/$I74,""))))</x:f>
      </x:c>
      <x:c r="P74" s="987" t="str">
        <x:f>IF(COUNTA($A74:$M74)=0,"",IF(OR(LEFT(LOWER(TRIM($F74&amp;"")),12)="subscription",LOWER(TRIM($F74&amp;""))="membership"),"",IF(LOWER($L74&amp;"")="yes",0,IF(OR(AND($H74&lt;&gt;"",$H74=0),LEFT(LOWER(TRIM($F74&amp;"")),9)="free game",LOWER(TRIM($F74&amp;""))="free",LOWER(TRIM($F74&amp;""))="free entry"),IF(LOWER($D74&amp;"")="finalized",IF(ISNUMBER($K74),$K74,""),IF($O74&lt;&gt;"",$O74,"")),IF($K74&lt;&gt;"",$K74,IF($O74&lt;&gt;"",$O74,""))))))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IF(COUNTA($A74:$M74)=0,"",IF(OR(LEFT(LOWER(TRIM($F74&amp;"")),12)="subscription",LOWER(TRIM($F74&amp;""))="membership"),"Subscription",IF(OR(AND($H74&lt;&gt;"",$H74=0),LEFT(LOWER(TRIM($F74&amp;"")),9)="free game",LOWER(TRIM($F74&amp;""))="free",LOWER(TRIM($F74&amp;""))="free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IF(COUNTA($A75:$M75)=0,"",IF(OR(LEFT(LOWER(TRIM($F75&amp;"")),12)="subscription",LOWER(TRIM($F75&amp;""))="membership"),"",IF($G75="","",IF(ISNUMBER(SEARCH("non",LOWER($E75&amp;""))),$G75*0.85,$G75))))</x:f>
      </x:c>
      <x:c r="O75" s="987" t="str">
        <x:f>IF(COUNTA($A75:$M75)=0,"",IF(OR(LEFT(LOWER(TRIM($F75&amp;"")),12)="subscription",LOWER(TRIM($F75&amp;""))="membership"),"",IF(OR($N75="",$I75="",$I75=0),"",IFERROR($N75/$I75,""))))</x:f>
      </x:c>
      <x:c r="P75" s="987" t="str">
        <x:f>IF(COUNTA($A75:$M75)=0,"",IF(OR(LEFT(LOWER(TRIM($F75&amp;"")),12)="subscription",LOWER(TRIM($F75&amp;""))="membership"),"",IF(LOWER($L75&amp;"")="yes",0,IF(OR(AND($H75&lt;&gt;"",$H75=0),LEFT(LOWER(TRIM($F75&amp;"")),9)="free game",LOWER(TRIM($F75&amp;""))="free",LOWER(TRIM($F75&amp;""))="free entry"),IF(LOWER($D75&amp;"")="finalized",IF(ISNUMBER($K75),$K75,""),IF($O75&lt;&gt;"",$O75,"")),IF($K75&lt;&gt;"",$K75,IF($O75&lt;&gt;"",$O75,""))))))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IF(COUNTA($A75:$M75)=0,"",IF(OR(LEFT(LOWER(TRIM($F75&amp;"")),12)="subscription",LOWER(TRIM($F75&amp;""))="membership"),"Subscription",IF(OR(AND($H75&lt;&gt;"",$H75=0),LEFT(LOWER(TRIM($F75&amp;"")),9)="free game",LOWER(TRIM($F75&amp;""))="free",LOWER(TRIM($F75&amp;""))="free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IF(COUNTA($A76:$M76)=0,"",IF(OR(LEFT(LOWER(TRIM($F76&amp;"")),12)="subscription",LOWER(TRIM($F76&amp;""))="membership"),"",IF($G76="","",IF(ISNUMBER(SEARCH("non",LOWER($E76&amp;""))),$G76*0.85,$G76))))</x:f>
      </x:c>
      <x:c r="O76" s="987" t="str">
        <x:f>IF(COUNTA($A76:$M76)=0,"",IF(OR(LEFT(LOWER(TRIM($F76&amp;"")),12)="subscription",LOWER(TRIM($F76&amp;""))="membership"),"",IF(OR($N76="",$I76="",$I76=0),"",IFERROR($N76/$I76,""))))</x:f>
      </x:c>
      <x:c r="P76" s="987" t="str">
        <x:f>IF(COUNTA($A76:$M76)=0,"",IF(OR(LEFT(LOWER(TRIM($F76&amp;"")),12)="subscription",LOWER(TRIM($F76&amp;""))="membership"),"",IF(LOWER($L76&amp;"")="yes",0,IF(OR(AND($H76&lt;&gt;"",$H76=0),LEFT(LOWER(TRIM($F76&amp;"")),9)="free game",LOWER(TRIM($F76&amp;""))="free",LOWER(TRIM($F76&amp;""))="free entry"),IF(LOWER($D76&amp;"")="finalized",IF(ISNUMBER($K76),$K76,""),IF($O76&lt;&gt;"",$O76,"")),IF($K76&lt;&gt;"",$K76,IF($O76&lt;&gt;"",$O76,""))))))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IF(COUNTA($A76:$M76)=0,"",IF(OR(LEFT(LOWER(TRIM($F76&amp;"")),12)="subscription",LOWER(TRIM($F76&amp;""))="membership"),"Subscription",IF(OR(AND($H76&lt;&gt;"",$H76=0),LEFT(LOWER(TRIM($F76&amp;"")),9)="free game",LOWER(TRIM($F76&amp;""))="free",LOWER(TRIM($F76&amp;""))="free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IF(COUNTA($A77:$M77)=0,"",IF(OR(LEFT(LOWER(TRIM($F77&amp;"")),12)="subscription",LOWER(TRIM($F77&amp;""))="membership"),"",IF($G77="","",IF(ISNUMBER(SEARCH("non",LOWER($E77&amp;""))),$G77*0.85,$G77))))</x:f>
      </x:c>
      <x:c r="O77" s="987" t="str">
        <x:f>IF(COUNTA($A77:$M77)=0,"",IF(OR(LEFT(LOWER(TRIM($F77&amp;"")),12)="subscription",LOWER(TRIM($F77&amp;""))="membership"),"",IF(OR($N77="",$I77="",$I77=0),"",IFERROR($N77/$I77,""))))</x:f>
      </x:c>
      <x:c r="P77" s="987" t="str">
        <x:f>IF(COUNTA($A77:$M77)=0,"",IF(OR(LEFT(LOWER(TRIM($F77&amp;"")),12)="subscription",LOWER(TRIM($F77&amp;""))="membership"),"",IF(LOWER($L77&amp;"")="yes",0,IF(OR(AND($H77&lt;&gt;"",$H77=0),LEFT(LOWER(TRIM($F77&amp;"")),9)="free game",LOWER(TRIM($F77&amp;""))="free",LOWER(TRIM($F77&amp;""))="free entry"),IF(LOWER($D77&amp;"")="finalized",IF(ISNUMBER($K77),$K77,""),IF($O77&lt;&gt;"",$O77,"")),IF($K77&lt;&gt;"",$K77,IF($O77&lt;&gt;"",$O77,""))))))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IF(COUNTA($A77:$M77)=0,"",IF(OR(LEFT(LOWER(TRIM($F77&amp;"")),12)="subscription",LOWER(TRIM($F77&amp;""))="membership"),"Subscription",IF(OR(AND($H77&lt;&gt;"",$H77=0),LEFT(LOWER(TRIM($F77&amp;"")),9)="free game",LOWER(TRIM($F77&amp;""))="free",LOWER(TRIM($F77&amp;""))="free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IF(COUNTA($A78:$M78)=0,"",IF(OR(LEFT(LOWER(TRIM($F78&amp;"")),12)="subscription",LOWER(TRIM($F78&amp;""))="membership"),"",IF($G78="","",IF(ISNUMBER(SEARCH("non",LOWER($E78&amp;""))),$G78*0.85,$G78))))</x:f>
      </x:c>
      <x:c r="O78" s="987" t="str">
        <x:f>IF(COUNTA($A78:$M78)=0,"",IF(OR(LEFT(LOWER(TRIM($F78&amp;"")),12)="subscription",LOWER(TRIM($F78&amp;""))="membership"),"",IF(OR($N78="",$I78="",$I78=0),"",IFERROR($N78/$I78,""))))</x:f>
      </x:c>
      <x:c r="P78" s="987" t="str">
        <x:f>IF(COUNTA($A78:$M78)=0,"",IF(OR(LEFT(LOWER(TRIM($F78&amp;"")),12)="subscription",LOWER(TRIM($F78&amp;""))="membership"),"",IF(LOWER($L78&amp;"")="yes",0,IF(OR(AND($H78&lt;&gt;"",$H78=0),LEFT(LOWER(TRIM($F78&amp;"")),9)="free game",LOWER(TRIM($F78&amp;""))="free",LOWER(TRIM($F78&amp;""))="free entry"),IF(LOWER($D78&amp;"")="finalized",IF(ISNUMBER($K78),$K78,""),IF($O78&lt;&gt;"",$O78,"")),IF($K78&lt;&gt;"",$K78,IF($O78&lt;&gt;"",$O78,""))))))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IF(COUNTA($A78:$M78)=0,"",IF(OR(LEFT(LOWER(TRIM($F78&amp;"")),12)="subscription",LOWER(TRIM($F78&amp;""))="membership"),"Subscription",IF(OR(AND($H78&lt;&gt;"",$H78=0),LEFT(LOWER(TRIM($F78&amp;"")),9)="free game",LOWER(TRIM($F78&amp;""))="free",LOWER(TRIM($F78&amp;""))="free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IF(COUNTA($A79:$M79)=0,"",IF(OR(LEFT(LOWER(TRIM($F79&amp;"")),12)="subscription",LOWER(TRIM($F79&amp;""))="membership"),"",IF($G79="","",IF(ISNUMBER(SEARCH("non",LOWER($E79&amp;""))),$G79*0.85,$G79))))</x:f>
      </x:c>
      <x:c r="O79" s="987" t="str">
        <x:f>IF(COUNTA($A79:$M79)=0,"",IF(OR(LEFT(LOWER(TRIM($F79&amp;"")),12)="subscription",LOWER(TRIM($F79&amp;""))="membership"),"",IF(OR($N79="",$I79="",$I79=0),"",IFERROR($N79/$I79,""))))</x:f>
      </x:c>
      <x:c r="P79" s="987" t="str">
        <x:f>IF(COUNTA($A79:$M79)=0,"",IF(OR(LEFT(LOWER(TRIM($F79&amp;"")),12)="subscription",LOWER(TRIM($F79&amp;""))="membership"),"",IF(LOWER($L79&amp;"")="yes",0,IF(OR(AND($H79&lt;&gt;"",$H79=0),LEFT(LOWER(TRIM($F79&amp;"")),9)="free game",LOWER(TRIM($F79&amp;""))="free",LOWER(TRIM($F79&amp;""))="free entry"),IF(LOWER($D79&amp;"")="finalized",IF(ISNUMBER($K79),$K79,""),IF($O79&lt;&gt;"",$O79,"")),IF($K79&lt;&gt;"",$K79,IF($O79&lt;&gt;"",$O79,""))))))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IF(COUNTA($A79:$M79)=0,"",IF(OR(LEFT(LOWER(TRIM($F79&amp;"")),12)="subscription",LOWER(TRIM($F79&amp;""))="membership"),"Subscription",IF(OR(AND($H79&lt;&gt;"",$H79=0),LEFT(LOWER(TRIM($F79&amp;"")),9)="free game",LOWER(TRIM($F79&amp;""))="free",LOWER(TRIM($F79&amp;""))="free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IF(COUNTA($A80:$M80)=0,"",IF(OR(LEFT(LOWER(TRIM($F80&amp;"")),12)="subscription",LOWER(TRIM($F80&amp;""))="membership"),"",IF($G80="","",IF(ISNUMBER(SEARCH("non",LOWER($E80&amp;""))),$G80*0.85,$G80))))</x:f>
      </x:c>
      <x:c r="O80" s="987" t="str">
        <x:f>IF(COUNTA($A80:$M80)=0,"",IF(OR(LEFT(LOWER(TRIM($F80&amp;"")),12)="subscription",LOWER(TRIM($F80&amp;""))="membership"),"",IF(OR($N80="",$I80="",$I80=0),"",IFERROR($N80/$I80,""))))</x:f>
      </x:c>
      <x:c r="P80" s="987" t="str">
        <x:f>IF(COUNTA($A80:$M80)=0,"",IF(OR(LEFT(LOWER(TRIM($F80&amp;"")),12)="subscription",LOWER(TRIM($F80&amp;""))="membership"),"",IF(LOWER($L80&amp;"")="yes",0,IF(OR(AND($H80&lt;&gt;"",$H80=0),LEFT(LOWER(TRIM($F80&amp;"")),9)="free game",LOWER(TRIM($F80&amp;""))="free",LOWER(TRIM($F80&amp;""))="free entry"),IF(LOWER($D80&amp;"")="finalized",IF(ISNUMBER($K80),$K80,""),IF($O80&lt;&gt;"",$O80,"")),IF($K80&lt;&gt;"",$K80,IF($O80&lt;&gt;"",$O80,""))))))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IF(COUNTA($A80:$M80)=0,"",IF(OR(LEFT(LOWER(TRIM($F80&amp;"")),12)="subscription",LOWER(TRIM($F80&amp;""))="membership"),"Subscription",IF(OR(AND($H80&lt;&gt;"",$H80=0),LEFT(LOWER(TRIM($F80&amp;"")),9)="free game",LOWER(TRIM($F80&amp;""))="free",LOWER(TRIM($F80&amp;""))="free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IF(COUNTA($A81:$M81)=0,"",IF(OR(LEFT(LOWER(TRIM($F81&amp;"")),12)="subscription",LOWER(TRIM($F81&amp;""))="membership"),"",IF($G81="","",IF(ISNUMBER(SEARCH("non",LOWER($E81&amp;""))),$G81*0.85,$G81))))</x:f>
      </x:c>
      <x:c r="O81" s="987" t="str">
        <x:f>IF(COUNTA($A81:$M81)=0,"",IF(OR(LEFT(LOWER(TRIM($F81&amp;"")),12)="subscription",LOWER(TRIM($F81&amp;""))="membership"),"",IF(OR($N81="",$I81="",$I81=0),"",IFERROR($N81/$I81,""))))</x:f>
      </x:c>
      <x:c r="P81" s="987" t="str">
        <x:f>IF(COUNTA($A81:$M81)=0,"",IF(OR(LEFT(LOWER(TRIM($F81&amp;"")),12)="subscription",LOWER(TRIM($F81&amp;""))="membership"),"",IF(LOWER($L81&amp;"")="yes",0,IF(OR(AND($H81&lt;&gt;"",$H81=0),LEFT(LOWER(TRIM($F81&amp;"")),9)="free game",LOWER(TRIM($F81&amp;""))="free",LOWER(TRIM($F81&amp;""))="free entry"),IF(LOWER($D81&amp;"")="finalized",IF(ISNUMBER($K81),$K81,""),IF($O81&lt;&gt;"",$O81,"")),IF($K81&lt;&gt;"",$K81,IF($O81&lt;&gt;"",$O81,""))))))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IF(COUNTA($A81:$M81)=0,"",IF(OR(LEFT(LOWER(TRIM($F81&amp;"")),12)="subscription",LOWER(TRIM($F81&amp;""))="membership"),"Subscription",IF(OR(AND($H81&lt;&gt;"",$H81=0),LEFT(LOWER(TRIM($F81&amp;"")),9)="free game",LOWER(TRIM($F81&amp;""))="free",LOWER(TRIM($F81&amp;""))="free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IF(COUNTA($A82:$M82)=0,"",IF(OR(LEFT(LOWER(TRIM($F82&amp;"")),12)="subscription",LOWER(TRIM($F82&amp;""))="membership"),"",IF($G82="","",IF(ISNUMBER(SEARCH("non",LOWER($E82&amp;""))),$G82*0.85,$G82))))</x:f>
      </x:c>
      <x:c r="O82" s="987" t="str">
        <x:f>IF(COUNTA($A82:$M82)=0,"",IF(OR(LEFT(LOWER(TRIM($F82&amp;"")),12)="subscription",LOWER(TRIM($F82&amp;""))="membership"),"",IF(OR($N82="",$I82="",$I82=0),"",IFERROR($N82/$I82,""))))</x:f>
      </x:c>
      <x:c r="P82" s="987" t="str">
        <x:f>IF(COUNTA($A82:$M82)=0,"",IF(OR(LEFT(LOWER(TRIM($F82&amp;"")),12)="subscription",LOWER(TRIM($F82&amp;""))="membership"),"",IF(LOWER($L82&amp;"")="yes",0,IF(OR(AND($H82&lt;&gt;"",$H82=0),LEFT(LOWER(TRIM($F82&amp;"")),9)="free game",LOWER(TRIM($F82&amp;""))="free",LOWER(TRIM($F82&amp;""))="free entry"),IF(LOWER($D82&amp;"")="finalized",IF(ISNUMBER($K82),$K82,""),IF($O82&lt;&gt;"",$O82,"")),IF($K82&lt;&gt;"",$K82,IF($O82&lt;&gt;"",$O82,""))))))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IF(COUNTA($A82:$M82)=0,"",IF(OR(LEFT(LOWER(TRIM($F82&amp;"")),12)="subscription",LOWER(TRIM($F82&amp;""))="membership"),"Subscription",IF(OR(AND($H82&lt;&gt;"",$H82=0),LEFT(LOWER(TRIM($F82&amp;"")),9)="free game",LOWER(TRIM($F82&amp;""))="free",LOWER(TRIM($F82&amp;""))="free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IF(COUNTA($A83:$M83)=0,"",IF(OR(LEFT(LOWER(TRIM($F83&amp;"")),12)="subscription",LOWER(TRIM($F83&amp;""))="membership"),"",IF($G83="","",IF(ISNUMBER(SEARCH("non",LOWER($E83&amp;""))),$G83*0.85,$G83))))</x:f>
      </x:c>
      <x:c r="O83" s="987" t="str">
        <x:f>IF(COUNTA($A83:$M83)=0,"",IF(OR(LEFT(LOWER(TRIM($F83&amp;"")),12)="subscription",LOWER(TRIM($F83&amp;""))="membership"),"",IF(OR($N83="",$I83="",$I83=0),"",IFERROR($N83/$I83,""))))</x:f>
      </x:c>
      <x:c r="P83" s="987" t="str">
        <x:f>IF(COUNTA($A83:$M83)=0,"",IF(OR(LEFT(LOWER(TRIM($F83&amp;"")),12)="subscription",LOWER(TRIM($F83&amp;""))="membership"),"",IF(LOWER($L83&amp;"")="yes",0,IF(OR(AND($H83&lt;&gt;"",$H83=0),LEFT(LOWER(TRIM($F83&amp;"")),9)="free game",LOWER(TRIM($F83&amp;""))="free",LOWER(TRIM($F83&amp;""))="free entry"),IF(LOWER($D83&amp;"")="finalized",IF(ISNUMBER($K83),$K83,""),IF($O83&lt;&gt;"",$O83,"")),IF($K83&lt;&gt;"",$K83,IF($O83&lt;&gt;"",$O83,""))))))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IF(COUNTA($A83:$M83)=0,"",IF(OR(LEFT(LOWER(TRIM($F83&amp;"")),12)="subscription",LOWER(TRIM($F83&amp;""))="membership"),"Subscription",IF(OR(AND($H83&lt;&gt;"",$H83=0),LEFT(LOWER(TRIM($F83&amp;"")),9)="free game",LOWER(TRIM($F83&amp;""))="free",LOWER(TRIM($F83&amp;""))="free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IF(COUNTA($A84:$M84)=0,"",IF(OR(LEFT(LOWER(TRIM($F84&amp;"")),12)="subscription",LOWER(TRIM($F84&amp;""))="membership"),"",IF($G84="","",IF(ISNUMBER(SEARCH("non",LOWER($E84&amp;""))),$G84*0.85,$G84))))</x:f>
      </x:c>
      <x:c r="O84" s="987" t="str">
        <x:f>IF(COUNTA($A84:$M84)=0,"",IF(OR(LEFT(LOWER(TRIM($F84&amp;"")),12)="subscription",LOWER(TRIM($F84&amp;""))="membership"),"",IF(OR($N84="",$I84="",$I84=0),"",IFERROR($N84/$I84,""))))</x:f>
      </x:c>
      <x:c r="P84" s="987" t="str">
        <x:f>IF(COUNTA($A84:$M84)=0,"",IF(OR(LEFT(LOWER(TRIM($F84&amp;"")),12)="subscription",LOWER(TRIM($F84&amp;""))="membership"),"",IF(LOWER($L84&amp;"")="yes",0,IF(OR(AND($H84&lt;&gt;"",$H84=0),LEFT(LOWER(TRIM($F84&amp;"")),9)="free game",LOWER(TRIM($F84&amp;""))="free",LOWER(TRIM($F84&amp;""))="free entry"),IF(LOWER($D84&amp;"")="finalized",IF(ISNUMBER($K84),$K84,""),IF($O84&lt;&gt;"",$O84,"")),IF($K84&lt;&gt;"",$K84,IF($O84&lt;&gt;"",$O84,""))))))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IF(COUNTA($A84:$M84)=0,"",IF(OR(LEFT(LOWER(TRIM($F84&amp;"")),12)="subscription",LOWER(TRIM($F84&amp;""))="membership"),"Subscription",IF(OR(AND($H84&lt;&gt;"",$H84=0),LEFT(LOWER(TRIM($F84&amp;"")),9)="free game",LOWER(TRIM($F84&amp;""))="free",LOWER(TRIM($F84&amp;""))="free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IF(COUNTA($A85:$M85)=0,"",IF(OR(LEFT(LOWER(TRIM($F85&amp;"")),12)="subscription",LOWER(TRIM($F85&amp;""))="membership"),"",IF($G85="","",IF(ISNUMBER(SEARCH("non",LOWER($E85&amp;""))),$G85*0.85,$G85))))</x:f>
      </x:c>
      <x:c r="O85" s="987" t="str">
        <x:f>IF(COUNTA($A85:$M85)=0,"",IF(OR(LEFT(LOWER(TRIM($F85&amp;"")),12)="subscription",LOWER(TRIM($F85&amp;""))="membership"),"",IF(OR($N85="",$I85="",$I85=0),"",IFERROR($N85/$I85,""))))</x:f>
      </x:c>
      <x:c r="P85" s="987" t="str">
        <x:f>IF(COUNTA($A85:$M85)=0,"",IF(OR(LEFT(LOWER(TRIM($F85&amp;"")),12)="subscription",LOWER(TRIM($F85&amp;""))="membership"),"",IF(LOWER($L85&amp;"")="yes",0,IF(OR(AND($H85&lt;&gt;"",$H85=0),LEFT(LOWER(TRIM($F85&amp;"")),9)="free game",LOWER(TRIM($F85&amp;""))="free",LOWER(TRIM($F85&amp;""))="free entry"),IF(LOWER($D85&amp;"")="finalized",IF(ISNUMBER($K85),$K85,""),IF($O85&lt;&gt;"",$O85,"")),IF($K85&lt;&gt;"",$K85,IF($O85&lt;&gt;"",$O85,""))))))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IF(COUNTA($A85:$M85)=0,"",IF(OR(LEFT(LOWER(TRIM($F85&amp;"")),12)="subscription",LOWER(TRIM($F85&amp;""))="membership"),"Subscription",IF(OR(AND($H85&lt;&gt;"",$H85=0),LEFT(LOWER(TRIM($F85&amp;"")),9)="free game",LOWER(TRIM($F85&amp;""))="free",LOWER(TRIM($F85&amp;""))="free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IF(COUNTA($A86:$M86)=0,"",IF(OR(LEFT(LOWER(TRIM($F86&amp;"")),12)="subscription",LOWER(TRIM($F86&amp;""))="membership"),"",IF($G86="","",IF(ISNUMBER(SEARCH("non",LOWER($E86&amp;""))),$G86*0.85,$G86))))</x:f>
      </x:c>
      <x:c r="O86" s="987" t="str">
        <x:f>IF(COUNTA($A86:$M86)=0,"",IF(OR(LEFT(LOWER(TRIM($F86&amp;"")),12)="subscription",LOWER(TRIM($F86&amp;""))="membership"),"",IF(OR($N86="",$I86="",$I86=0),"",IFERROR($N86/$I86,""))))</x:f>
      </x:c>
      <x:c r="P86" s="987" t="str">
        <x:f>IF(COUNTA($A86:$M86)=0,"",IF(OR(LEFT(LOWER(TRIM($F86&amp;"")),12)="subscription",LOWER(TRIM($F86&amp;""))="membership"),"",IF(LOWER($L86&amp;"")="yes",0,IF(OR(AND($H86&lt;&gt;"",$H86=0),LEFT(LOWER(TRIM($F86&amp;"")),9)="free game",LOWER(TRIM($F86&amp;""))="free",LOWER(TRIM($F86&amp;""))="free entry"),IF(LOWER($D86&amp;"")="finalized",IF(ISNUMBER($K86),$K86,""),IF($O86&lt;&gt;"",$O86,"")),IF($K86&lt;&gt;"",$K86,IF($O86&lt;&gt;"",$O86,""))))))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IF(COUNTA($A86:$M86)=0,"",IF(OR(LEFT(LOWER(TRIM($F86&amp;"")),12)="subscription",LOWER(TRIM($F86&amp;""))="membership"),"Subscription",IF(OR(AND($H86&lt;&gt;"",$H86=0),LEFT(LOWER(TRIM($F86&amp;"")),9)="free game",LOWER(TRIM($F86&amp;""))="free",LOWER(TRIM($F86&amp;""))="free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IF(COUNTA($A87:$M87)=0,"",IF(OR(LEFT(LOWER(TRIM($F87&amp;"")),12)="subscription",LOWER(TRIM($F87&amp;""))="membership"),"",IF($G87="","",IF(ISNUMBER(SEARCH("non",LOWER($E87&amp;""))),$G87*0.85,$G87))))</x:f>
      </x:c>
      <x:c r="O87" s="987" t="str">
        <x:f>IF(COUNTA($A87:$M87)=0,"",IF(OR(LEFT(LOWER(TRIM($F87&amp;"")),12)="subscription",LOWER(TRIM($F87&amp;""))="membership"),"",IF(OR($N87="",$I87="",$I87=0),"",IFERROR($N87/$I87,""))))</x:f>
      </x:c>
      <x:c r="P87" s="987" t="str">
        <x:f>IF(COUNTA($A87:$M87)=0,"",IF(OR(LEFT(LOWER(TRIM($F87&amp;"")),12)="subscription",LOWER(TRIM($F87&amp;""))="membership"),"",IF(LOWER($L87&amp;"")="yes",0,IF(OR(AND($H87&lt;&gt;"",$H87=0),LEFT(LOWER(TRIM($F87&amp;"")),9)="free game",LOWER(TRIM($F87&amp;""))="free",LOWER(TRIM($F87&amp;""))="free entry"),IF(LOWER($D87&amp;"")="finalized",IF(ISNUMBER($K87),$K87,""),IF($O87&lt;&gt;"",$O87,"")),IF($K87&lt;&gt;"",$K87,IF($O87&lt;&gt;"",$O87,""))))))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IF(COUNTA($A87:$M87)=0,"",IF(OR(LEFT(LOWER(TRIM($F87&amp;"")),12)="subscription",LOWER(TRIM($F87&amp;""))="membership"),"Subscription",IF(OR(AND($H87&lt;&gt;"",$H87=0),LEFT(LOWER(TRIM($F87&amp;"")),9)="free game",LOWER(TRIM($F87&amp;""))="free",LOWER(TRIM($F87&amp;""))="free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IF(COUNTA($A88:$M88)=0,"",IF(OR(LEFT(LOWER(TRIM($F88&amp;"")),12)="subscription",LOWER(TRIM($F88&amp;""))="membership"),"",IF($G88="","",IF(ISNUMBER(SEARCH("non",LOWER($E88&amp;""))),$G88*0.85,$G88))))</x:f>
      </x:c>
      <x:c r="O88" s="987" t="str">
        <x:f>IF(COUNTA($A88:$M88)=0,"",IF(OR(LEFT(LOWER(TRIM($F88&amp;"")),12)="subscription",LOWER(TRIM($F88&amp;""))="membership"),"",IF(OR($N88="",$I88="",$I88=0),"",IFERROR($N88/$I88,""))))</x:f>
      </x:c>
      <x:c r="P88" s="987" t="str">
        <x:f>IF(COUNTA($A88:$M88)=0,"",IF(OR(LEFT(LOWER(TRIM($F88&amp;"")),12)="subscription",LOWER(TRIM($F88&amp;""))="membership"),"",IF(LOWER($L88&amp;"")="yes",0,IF(OR(AND($H88&lt;&gt;"",$H88=0),LEFT(LOWER(TRIM($F88&amp;"")),9)="free game",LOWER(TRIM($F88&amp;""))="free",LOWER(TRIM($F88&amp;""))="free entry"),IF(LOWER($D88&amp;"")="finalized",IF(ISNUMBER($K88),$K88,""),IF($O88&lt;&gt;"",$O88,"")),IF($K88&lt;&gt;"",$K88,IF($O88&lt;&gt;"",$O88,""))))))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IF(COUNTA($A88:$M88)=0,"",IF(OR(LEFT(LOWER(TRIM($F88&amp;"")),12)="subscription",LOWER(TRIM($F88&amp;""))="membership"),"Subscription",IF(OR(AND($H88&lt;&gt;"",$H88=0),LEFT(LOWER(TRIM($F88&amp;"")),9)="free game",LOWER(TRIM($F88&amp;""))="free",LOWER(TRIM($F88&amp;""))="free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IF(COUNTA($A89:$M89)=0,"",IF(OR(LEFT(LOWER(TRIM($F89&amp;"")),12)="subscription",LOWER(TRIM($F89&amp;""))="membership"),"",IF($G89="","",IF(ISNUMBER(SEARCH("non",LOWER($E89&amp;""))),$G89*0.85,$G89))))</x:f>
      </x:c>
      <x:c r="O89" s="987" t="str">
        <x:f>IF(COUNTA($A89:$M89)=0,"",IF(OR(LEFT(LOWER(TRIM($F89&amp;"")),12)="subscription",LOWER(TRIM($F89&amp;""))="membership"),"",IF(OR($N89="",$I89="",$I89=0),"",IFERROR($N89/$I89,""))))</x:f>
      </x:c>
      <x:c r="P89" s="987" t="str">
        <x:f>IF(COUNTA($A89:$M89)=0,"",IF(OR(LEFT(LOWER(TRIM($F89&amp;"")),12)="subscription",LOWER(TRIM($F89&amp;""))="membership"),"",IF(LOWER($L89&amp;"")="yes",0,IF(OR(AND($H89&lt;&gt;"",$H89=0),LEFT(LOWER(TRIM($F89&amp;"")),9)="free game",LOWER(TRIM($F89&amp;""))="free",LOWER(TRIM($F89&amp;""))="free entry"),IF(LOWER($D89&amp;"")="finalized",IF(ISNUMBER($K89),$K89,""),IF($O89&lt;&gt;"",$O89,"")),IF($K89&lt;&gt;"",$K89,IF($O89&lt;&gt;"",$O89,""))))))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IF(COUNTA($A89:$M89)=0,"",IF(OR(LEFT(LOWER(TRIM($F89&amp;"")),12)="subscription",LOWER(TRIM($F89&amp;""))="membership"),"Subscription",IF(OR(AND($H89&lt;&gt;"",$H89=0),LEFT(LOWER(TRIM($F89&amp;"")),9)="free game",LOWER(TRIM($F89&amp;""))="free",LOWER(TRIM($F89&amp;""))="free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IF(COUNTA($A90:$M90)=0,"",IF(OR(LEFT(LOWER(TRIM($F90&amp;"")),12)="subscription",LOWER(TRIM($F90&amp;""))="membership"),"",IF($G90="","",IF(ISNUMBER(SEARCH("non",LOWER($E90&amp;""))),$G90*0.85,$G90))))</x:f>
      </x:c>
      <x:c r="O90" s="987" t="str">
        <x:f>IF(COUNTA($A90:$M90)=0,"",IF(OR(LEFT(LOWER(TRIM($F90&amp;"")),12)="subscription",LOWER(TRIM($F90&amp;""))="membership"),"",IF(OR($N90="",$I90="",$I90=0),"",IFERROR($N90/$I90,""))))</x:f>
      </x:c>
      <x:c r="P90" s="987" t="str">
        <x:f>IF(COUNTA($A90:$M90)=0,"",IF(OR(LEFT(LOWER(TRIM($F90&amp;"")),12)="subscription",LOWER(TRIM($F90&amp;""))="membership"),"",IF(LOWER($L90&amp;"")="yes",0,IF(OR(AND($H90&lt;&gt;"",$H90=0),LEFT(LOWER(TRIM($F90&amp;"")),9)="free game",LOWER(TRIM($F90&amp;""))="free",LOWER(TRIM($F90&amp;""))="free entry"),IF(LOWER($D90&amp;"")="finalized",IF(ISNUMBER($K90),$K90,""),IF($O90&lt;&gt;"",$O90,"")),IF($K90&lt;&gt;"",$K90,IF($O90&lt;&gt;"",$O90,""))))))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IF(COUNTA($A90:$M90)=0,"",IF(OR(LEFT(LOWER(TRIM($F90&amp;"")),12)="subscription",LOWER(TRIM($F90&amp;""))="membership"),"Subscription",IF(OR(AND($H90&lt;&gt;"",$H90=0),LEFT(LOWER(TRIM($F90&amp;"")),9)="free game",LOWER(TRIM($F90&amp;""))="free",LOWER(TRIM($F90&amp;""))="free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IF(COUNTA($A91:$M91)=0,"",IF(OR(LEFT(LOWER(TRIM($F91&amp;"")),12)="subscription",LOWER(TRIM($F91&amp;""))="membership"),"",IF($G91="","",IF(ISNUMBER(SEARCH("non",LOWER($E91&amp;""))),$G91*0.85,$G91))))</x:f>
      </x:c>
      <x:c r="O91" s="987" t="str">
        <x:f>IF(COUNTA($A91:$M91)=0,"",IF(OR(LEFT(LOWER(TRIM($F91&amp;"")),12)="subscription",LOWER(TRIM($F91&amp;""))="membership"),"",IF(OR($N91="",$I91="",$I91=0),"",IFERROR($N91/$I91,""))))</x:f>
      </x:c>
      <x:c r="P91" s="987" t="str">
        <x:f>IF(COUNTA($A91:$M91)=0,"",IF(OR(LEFT(LOWER(TRIM($F91&amp;"")),12)="subscription",LOWER(TRIM($F91&amp;""))="membership"),"",IF(LOWER($L91&amp;"")="yes",0,IF(OR(AND($H91&lt;&gt;"",$H91=0),LEFT(LOWER(TRIM($F91&amp;"")),9)="free game",LOWER(TRIM($F91&amp;""))="free",LOWER(TRIM($F91&amp;""))="free entry"),IF(LOWER($D91&amp;"")="finalized",IF(ISNUMBER($K91),$K91,""),IF($O91&lt;&gt;"",$O91,"")),IF($K91&lt;&gt;"",$K91,IF($O91&lt;&gt;"",$O91,""))))))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IF(COUNTA($A91:$M91)=0,"",IF(OR(LEFT(LOWER(TRIM($F91&amp;"")),12)="subscription",LOWER(TRIM($F91&amp;""))="membership"),"Subscription",IF(OR(AND($H91&lt;&gt;"",$H91=0),LEFT(LOWER(TRIM($F91&amp;"")),9)="free game",LOWER(TRIM($F91&amp;""))="free",LOWER(TRIM($F91&amp;""))="free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IF(COUNTA($A92:$M92)=0,"",IF(OR(LEFT(LOWER(TRIM($F92&amp;"")),12)="subscription",LOWER(TRIM($F92&amp;""))="membership"),"",IF($G92="","",IF(ISNUMBER(SEARCH("non",LOWER($E92&amp;""))),$G92*0.85,$G92))))</x:f>
      </x:c>
      <x:c r="O92" s="987" t="str">
        <x:f>IF(COUNTA($A92:$M92)=0,"",IF(OR(LEFT(LOWER(TRIM($F92&amp;"")),12)="subscription",LOWER(TRIM($F92&amp;""))="membership"),"",IF(OR($N92="",$I92="",$I92=0),"",IFERROR($N92/$I92,""))))</x:f>
      </x:c>
      <x:c r="P92" s="987" t="str">
        <x:f>IF(COUNTA($A92:$M92)=0,"",IF(OR(LEFT(LOWER(TRIM($F92&amp;"")),12)="subscription",LOWER(TRIM($F92&amp;""))="membership"),"",IF(LOWER($L92&amp;"")="yes",0,IF(OR(AND($H92&lt;&gt;"",$H92=0),LEFT(LOWER(TRIM($F92&amp;"")),9)="free game",LOWER(TRIM($F92&amp;""))="free",LOWER(TRIM($F92&amp;""))="free entry"),IF(LOWER($D92&amp;"")="finalized",IF(ISNUMBER($K92),$K92,""),IF($O92&lt;&gt;"",$O92,"")),IF($K92&lt;&gt;"",$K92,IF($O92&lt;&gt;"",$O92,""))))))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IF(COUNTA($A92:$M92)=0,"",IF(OR(LEFT(LOWER(TRIM($F92&amp;"")),12)="subscription",LOWER(TRIM($F92&amp;""))="membership"),"Subscription",IF(OR(AND($H92&lt;&gt;"",$H92=0),LEFT(LOWER(TRIM($F92&amp;"")),9)="free game",LOWER(TRIM($F92&amp;""))="free",LOWER(TRIM($F92&amp;""))="free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IF(COUNTA($A93:$M93)=0,"",IF(OR(LEFT(LOWER(TRIM($F93&amp;"")),12)="subscription",LOWER(TRIM($F93&amp;""))="membership"),"",IF($G93="","",IF(ISNUMBER(SEARCH("non",LOWER($E93&amp;""))),$G93*0.85,$G93))))</x:f>
      </x:c>
      <x:c r="O93" s="987" t="str">
        <x:f>IF(COUNTA($A93:$M93)=0,"",IF(OR(LEFT(LOWER(TRIM($F93&amp;"")),12)="subscription",LOWER(TRIM($F93&amp;""))="membership"),"",IF(OR($N93="",$I93="",$I93=0),"",IFERROR($N93/$I93,""))))</x:f>
      </x:c>
      <x:c r="P93" s="987" t="str">
        <x:f>IF(COUNTA($A93:$M93)=0,"",IF(OR(LEFT(LOWER(TRIM($F93&amp;"")),12)="subscription",LOWER(TRIM($F93&amp;""))="membership"),"",IF(LOWER($L93&amp;"")="yes",0,IF(OR(AND($H93&lt;&gt;"",$H93=0),LEFT(LOWER(TRIM($F93&amp;"")),9)="free game",LOWER(TRIM($F93&amp;""))="free",LOWER(TRIM($F93&amp;""))="free entry"),IF(LOWER($D93&amp;"")="finalized",IF(ISNUMBER($K93),$K93,""),IF($O93&lt;&gt;"",$O93,"")),IF($K93&lt;&gt;"",$K93,IF($O93&lt;&gt;"",$O93,""))))))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IF(COUNTA($A93:$M93)=0,"",IF(OR(LEFT(LOWER(TRIM($F93&amp;"")),12)="subscription",LOWER(TRIM($F93&amp;""))="membership"),"Subscription",IF(OR(AND($H93&lt;&gt;"",$H93=0),LEFT(LOWER(TRIM($F93&amp;"")),9)="free game",LOWER(TRIM($F93&amp;""))="free",LOWER(TRIM($F93&amp;""))="free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IF(COUNTA($A94:$M94)=0,"",IF(OR(LEFT(LOWER(TRIM($F94&amp;"")),12)="subscription",LOWER(TRIM($F94&amp;""))="membership"),"",IF($G94="","",IF(ISNUMBER(SEARCH("non",LOWER($E94&amp;""))),$G94*0.85,$G94))))</x:f>
      </x:c>
      <x:c r="O94" s="987" t="str">
        <x:f>IF(COUNTA($A94:$M94)=0,"",IF(OR(LEFT(LOWER(TRIM($F94&amp;"")),12)="subscription",LOWER(TRIM($F94&amp;""))="membership"),"",IF(OR($N94="",$I94="",$I94=0),"",IFERROR($N94/$I94,""))))</x:f>
      </x:c>
      <x:c r="P94" s="987" t="str">
        <x:f>IF(COUNTA($A94:$M94)=0,"",IF(OR(LEFT(LOWER(TRIM($F94&amp;"")),12)="subscription",LOWER(TRIM($F94&amp;""))="membership"),"",IF(LOWER($L94&amp;"")="yes",0,IF(OR(AND($H94&lt;&gt;"",$H94=0),LEFT(LOWER(TRIM($F94&amp;"")),9)="free game",LOWER(TRIM($F94&amp;""))="free",LOWER(TRIM($F94&amp;""))="free entry"),IF(LOWER($D94&amp;"")="finalized",IF(ISNUMBER($K94),$K94,""),IF($O94&lt;&gt;"",$O94,"")),IF($K94&lt;&gt;"",$K94,IF($O94&lt;&gt;"",$O94,""))))))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IF(COUNTA($A94:$M94)=0,"",IF(OR(LEFT(LOWER(TRIM($F94&amp;"")),12)="subscription",LOWER(TRIM($F94&amp;""))="membership"),"Subscription",IF(OR(AND($H94&lt;&gt;"",$H94=0),LEFT(LOWER(TRIM($F94&amp;"")),9)="free game",LOWER(TRIM($F94&amp;""))="free",LOWER(TRIM($F94&amp;""))="free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IF(COUNTA($A95:$M95)=0,"",IF(OR(LEFT(LOWER(TRIM($F95&amp;"")),12)="subscription",LOWER(TRIM($F95&amp;""))="membership"),"",IF($G95="","",IF(ISNUMBER(SEARCH("non",LOWER($E95&amp;""))),$G95*0.85,$G95))))</x:f>
      </x:c>
      <x:c r="O95" s="987" t="str">
        <x:f>IF(COUNTA($A95:$M95)=0,"",IF(OR(LEFT(LOWER(TRIM($F95&amp;"")),12)="subscription",LOWER(TRIM($F95&amp;""))="membership"),"",IF(OR($N95="",$I95="",$I95=0),"",IFERROR($N95/$I95,""))))</x:f>
      </x:c>
      <x:c r="P95" s="987" t="str">
        <x:f>IF(COUNTA($A95:$M95)=0,"",IF(OR(LEFT(LOWER(TRIM($F95&amp;"")),12)="subscription",LOWER(TRIM($F95&amp;""))="membership"),"",IF(LOWER($L95&amp;"")="yes",0,IF(OR(AND($H95&lt;&gt;"",$H95=0),LEFT(LOWER(TRIM($F95&amp;"")),9)="free game",LOWER(TRIM($F95&amp;""))="free",LOWER(TRIM($F95&amp;""))="free entry"),IF(LOWER($D95&amp;"")="finalized",IF(ISNUMBER($K95),$K95,""),IF($O95&lt;&gt;"",$O95,"")),IF($K95&lt;&gt;"",$K95,IF($O95&lt;&gt;"",$O95,""))))))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IF(COUNTA($A95:$M95)=0,"",IF(OR(LEFT(LOWER(TRIM($F95&amp;"")),12)="subscription",LOWER(TRIM($F95&amp;""))="membership"),"Subscription",IF(OR(AND($H95&lt;&gt;"",$H95=0),LEFT(LOWER(TRIM($F95&amp;"")),9)="free game",LOWER(TRIM($F95&amp;""))="free",LOWER(TRIM($F95&amp;""))="free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IF(COUNTA($A96:$M96)=0,"",IF(OR(LEFT(LOWER(TRIM($F96&amp;"")),12)="subscription",LOWER(TRIM($F96&amp;""))="membership"),"",IF($G96="","",IF(ISNUMBER(SEARCH("non",LOWER($E96&amp;""))),$G96*0.85,$G96))))</x:f>
      </x:c>
      <x:c r="O96" s="987" t="str">
        <x:f>IF(COUNTA($A96:$M96)=0,"",IF(OR(LEFT(LOWER(TRIM($F96&amp;"")),12)="subscription",LOWER(TRIM($F96&amp;""))="membership"),"",IF(OR($N96="",$I96="",$I96=0),"",IFERROR($N96/$I96,""))))</x:f>
      </x:c>
      <x:c r="P96" s="987" t="str">
        <x:f>IF(COUNTA($A96:$M96)=0,"",IF(OR(LEFT(LOWER(TRIM($F96&amp;"")),12)="subscription",LOWER(TRIM($F96&amp;""))="membership"),"",IF(LOWER($L96&amp;"")="yes",0,IF(OR(AND($H96&lt;&gt;"",$H96=0),LEFT(LOWER(TRIM($F96&amp;"")),9)="free game",LOWER(TRIM($F96&amp;""))="free",LOWER(TRIM($F96&amp;""))="free entry"),IF(LOWER($D96&amp;"")="finalized",IF(ISNUMBER($K96),$K96,""),IF($O96&lt;&gt;"",$O96,"")),IF($K96&lt;&gt;"",$K96,IF($O96&lt;&gt;"",$O96,""))))))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IF(COUNTA($A96:$M96)=0,"",IF(OR(LEFT(LOWER(TRIM($F96&amp;"")),12)="subscription",LOWER(TRIM($F96&amp;""))="membership"),"Subscription",IF(OR(AND($H96&lt;&gt;"",$H96=0),LEFT(LOWER(TRIM($F96&amp;"")),9)="free game",LOWER(TRIM($F96&amp;""))="free",LOWER(TRIM($F96&amp;""))="free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IF(COUNTA($A97:$M97)=0,"",IF(OR(LEFT(LOWER(TRIM($F97&amp;"")),12)="subscription",LOWER(TRIM($F97&amp;""))="membership"),"",IF($G97="","",IF(ISNUMBER(SEARCH("non",LOWER($E97&amp;""))),$G97*0.85,$G97))))</x:f>
      </x:c>
      <x:c r="O97" s="987" t="str">
        <x:f>IF(COUNTA($A97:$M97)=0,"",IF(OR(LEFT(LOWER(TRIM($F97&amp;"")),12)="subscription",LOWER(TRIM($F97&amp;""))="membership"),"",IF(OR($N97="",$I97="",$I97=0),"",IFERROR($N97/$I97,""))))</x:f>
      </x:c>
      <x:c r="P97" s="987" t="str">
        <x:f>IF(COUNTA($A97:$M97)=0,"",IF(OR(LEFT(LOWER(TRIM($F97&amp;"")),12)="subscription",LOWER(TRIM($F97&amp;""))="membership"),"",IF(LOWER($L97&amp;"")="yes",0,IF(OR(AND($H97&lt;&gt;"",$H97=0),LEFT(LOWER(TRIM($F97&amp;"")),9)="free game",LOWER(TRIM($F97&amp;""))="free",LOWER(TRIM($F97&amp;""))="free entry"),IF(LOWER($D97&amp;"")="finalized",IF(ISNUMBER($K97),$K97,""),IF($O97&lt;&gt;"",$O97,"")),IF($K97&lt;&gt;"",$K97,IF($O97&lt;&gt;"",$O97,""))))))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IF(COUNTA($A97:$M97)=0,"",IF(OR(LEFT(LOWER(TRIM($F97&amp;"")),12)="subscription",LOWER(TRIM($F97&amp;""))="membership"),"Subscription",IF(OR(AND($H97&lt;&gt;"",$H97=0),LEFT(LOWER(TRIM($F97&amp;"")),9)="free game",LOWER(TRIM($F97&amp;""))="free",LOWER(TRIM($F97&amp;""))="free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IF(COUNTA($A98:$M98)=0,"",IF(OR(LEFT(LOWER(TRIM($F98&amp;"")),12)="subscription",LOWER(TRIM($F98&amp;""))="membership"),"",IF($G98="","",IF(ISNUMBER(SEARCH("non",LOWER($E98&amp;""))),$G98*0.85,$G98))))</x:f>
      </x:c>
      <x:c r="O98" s="987" t="str">
        <x:f>IF(COUNTA($A98:$M98)=0,"",IF(OR(LEFT(LOWER(TRIM($F98&amp;"")),12)="subscription",LOWER(TRIM($F98&amp;""))="membership"),"",IF(OR($N98="",$I98="",$I98=0),"",IFERROR($N98/$I98,""))))</x:f>
      </x:c>
      <x:c r="P98" s="987" t="str">
        <x:f>IF(COUNTA($A98:$M98)=0,"",IF(OR(LEFT(LOWER(TRIM($F98&amp;"")),12)="subscription",LOWER(TRIM($F98&amp;""))="membership"),"",IF(LOWER($L98&amp;"")="yes",0,IF(OR(AND($H98&lt;&gt;"",$H98=0),LEFT(LOWER(TRIM($F98&amp;"")),9)="free game",LOWER(TRIM($F98&amp;""))="free",LOWER(TRIM($F98&amp;""))="free entry"),IF(LOWER($D98&amp;"")="finalized",IF(ISNUMBER($K98),$K98,""),IF($O98&lt;&gt;"",$O98,"")),IF($K98&lt;&gt;"",$K98,IF($O98&lt;&gt;"",$O98,""))))))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IF(COUNTA($A98:$M98)=0,"",IF(OR(LEFT(LOWER(TRIM($F98&amp;"")),12)="subscription",LOWER(TRIM($F98&amp;""))="membership"),"Subscription",IF(OR(AND($H98&lt;&gt;"",$H98=0),LEFT(LOWER(TRIM($F98&amp;"")),9)="free game",LOWER(TRIM($F98&amp;""))="free",LOWER(TRIM($F98&amp;""))="free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IF(COUNTA($A99:$M99)=0,"",IF(OR(LEFT(LOWER(TRIM($F99&amp;"")),12)="subscription",LOWER(TRIM($F99&amp;""))="membership"),"",IF($G99="","",IF(ISNUMBER(SEARCH("non",LOWER($E99&amp;""))),$G99*0.85,$G99))))</x:f>
      </x:c>
      <x:c r="O99" s="987" t="str">
        <x:f>IF(COUNTA($A99:$M99)=0,"",IF(OR(LEFT(LOWER(TRIM($F99&amp;"")),12)="subscription",LOWER(TRIM($F99&amp;""))="membership"),"",IF(OR($N99="",$I99="",$I99=0),"",IFERROR($N99/$I99,""))))</x:f>
      </x:c>
      <x:c r="P99" s="987" t="str">
        <x:f>IF(COUNTA($A99:$M99)=0,"",IF(OR(LEFT(LOWER(TRIM($F99&amp;"")),12)="subscription",LOWER(TRIM($F99&amp;""))="membership"),"",IF(LOWER($L99&amp;"")="yes",0,IF(OR(AND($H99&lt;&gt;"",$H99=0),LEFT(LOWER(TRIM($F99&amp;"")),9)="free game",LOWER(TRIM($F99&amp;""))="free",LOWER(TRIM($F99&amp;""))="free entry"),IF(LOWER($D99&amp;"")="finalized",IF(ISNUMBER($K99),$K99,""),IF($O99&lt;&gt;"",$O99,"")),IF($K99&lt;&gt;"",$K99,IF($O99&lt;&gt;"",$O99,""))))))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IF(COUNTA($A99:$M99)=0,"",IF(OR(LEFT(LOWER(TRIM($F99&amp;"")),12)="subscription",LOWER(TRIM($F99&amp;""))="membership"),"Subscription",IF(OR(AND($H99&lt;&gt;"",$H99=0),LEFT(LOWER(TRIM($F99&amp;"")),9)="free game",LOWER(TRIM($F99&amp;""))="free",LOWER(TRIM($F99&amp;""))="free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IF(COUNTA($A100:$M100)=0,"",IF(OR(LEFT(LOWER(TRIM($F100&amp;"")),12)="subscription",LOWER(TRIM($F100&amp;""))="membership"),"",IF($G100="","",IF(ISNUMBER(SEARCH("non",LOWER($E100&amp;""))),$G100*0.85,$G100))))</x:f>
      </x:c>
      <x:c r="O100" s="987" t="str">
        <x:f>IF(COUNTA($A100:$M100)=0,"",IF(OR(LEFT(LOWER(TRIM($F100&amp;"")),12)="subscription",LOWER(TRIM($F100&amp;""))="membership"),"",IF(OR($N100="",$I100="",$I100=0),"",IFERROR($N100/$I100,""))))</x:f>
      </x:c>
      <x:c r="P100" s="987" t="str">
        <x:f>IF(COUNTA($A100:$M100)=0,"",IF(OR(LEFT(LOWER(TRIM($F100&amp;"")),12)="subscription",LOWER(TRIM($F100&amp;""))="membership"),"",IF(LOWER($L100&amp;"")="yes",0,IF(OR(AND($H100&lt;&gt;"",$H100=0),LEFT(LOWER(TRIM($F100&amp;"")),9)="free game",LOWER(TRIM($F100&amp;""))="free",LOWER(TRIM($F100&amp;""))="free entry"),IF(LOWER($D100&amp;"")="finalized",IF(ISNUMBER($K100),$K100,""),IF($O100&lt;&gt;"",$O100,"")),IF($K100&lt;&gt;"",$K100,IF($O100&lt;&gt;"",$O100,""))))))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IF(COUNTA($A100:$M100)=0,"",IF(OR(LEFT(LOWER(TRIM($F100&amp;"")),12)="subscription",LOWER(TRIM($F100&amp;""))="membership"),"Subscription",IF(OR(AND($H100&lt;&gt;"",$H100=0),LEFT(LOWER(TRIM($F100&amp;"")),9)="free game",LOWER(TRIM($F100&amp;""))="free",LOWER(TRIM($F100&amp;""))="free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IF(COUNTA($A101:$M101)=0,"",IF(OR(LEFT(LOWER(TRIM($F101&amp;"")),12)="subscription",LOWER(TRIM($F101&amp;""))="membership"),"",IF($G101="","",IF(ISNUMBER(SEARCH("non",LOWER($E101&amp;""))),$G101*0.85,$G101))))</x:f>
      </x:c>
      <x:c r="O101" s="987" t="str">
        <x:f>IF(COUNTA($A101:$M101)=0,"",IF(OR(LEFT(LOWER(TRIM($F101&amp;"")),12)="subscription",LOWER(TRIM($F101&amp;""))="membership"),"",IF(OR($N101="",$I101="",$I101=0),"",IFERROR($N101/$I101,""))))</x:f>
      </x:c>
      <x:c r="P101" s="987" t="str">
        <x:f>IF(COUNTA($A101:$M101)=0,"",IF(OR(LEFT(LOWER(TRIM($F101&amp;"")),12)="subscription",LOWER(TRIM($F101&amp;""))="membership"),"",IF(LOWER($L101&amp;"")="yes",0,IF(OR(AND($H101&lt;&gt;"",$H101=0),LEFT(LOWER(TRIM($F101&amp;"")),9)="free game",LOWER(TRIM($F101&amp;""))="free",LOWER(TRIM($F101&amp;""))="free entry"),IF(LOWER($D101&amp;"")="finalized",IF(ISNUMBER($K101),$K101,""),IF($O101&lt;&gt;"",$O101,"")),IF($K101&lt;&gt;"",$K101,IF($O101&lt;&gt;"",$O101,""))))))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IF(COUNTA($A101:$M101)=0,"",IF(OR(LEFT(LOWER(TRIM($F101&amp;"")),12)="subscription",LOWER(TRIM($F101&amp;""))="membership"),"Subscription",IF(OR(AND($H101&lt;&gt;"",$H101=0),LEFT(LOWER(TRIM($F101&amp;"")),9)="free game",LOWER(TRIM($F101&amp;""))="free",LOWER(TRIM($F101&amp;""))="free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IF(COUNTA($A102:$M102)=0,"",IF(OR(LEFT(LOWER(TRIM($F102&amp;"")),12)="subscription",LOWER(TRIM($F102&amp;""))="membership"),"",IF($G102="","",IF(ISNUMBER(SEARCH("non",LOWER($E102&amp;""))),$G102*0.85,$G102))))</x:f>
      </x:c>
      <x:c r="O102" s="987" t="str">
        <x:f>IF(COUNTA($A102:$M102)=0,"",IF(OR(LEFT(LOWER(TRIM($F102&amp;"")),12)="subscription",LOWER(TRIM($F102&amp;""))="membership"),"",IF(OR($N102="",$I102="",$I102=0),"",IFERROR($N102/$I102,""))))</x:f>
      </x:c>
      <x:c r="P102" s="987" t="str">
        <x:f>IF(COUNTA($A102:$M102)=0,"",IF(OR(LEFT(LOWER(TRIM($F102&amp;"")),12)="subscription",LOWER(TRIM($F102&amp;""))="membership"),"",IF(LOWER($L102&amp;"")="yes",0,IF(OR(AND($H102&lt;&gt;"",$H102=0),LEFT(LOWER(TRIM($F102&amp;"")),9)="free game",LOWER(TRIM($F102&amp;""))="free",LOWER(TRIM($F102&amp;""))="free entry"),IF(LOWER($D102&amp;"")="finalized",IF(ISNUMBER($K102),$K102,""),IF($O102&lt;&gt;"",$O102,"")),IF($K102&lt;&gt;"",$K102,IF($O102&lt;&gt;"",$O102,""))))))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IF(COUNTA($A102:$M102)=0,"",IF(OR(LEFT(LOWER(TRIM($F102&amp;"")),12)="subscription",LOWER(TRIM($F102&amp;""))="membership"),"Subscription",IF(OR(AND($H102&lt;&gt;"",$H102=0),LEFT(LOWER(TRIM($F102&amp;"")),9)="free game",LOWER(TRIM($F102&amp;""))="free",LOWER(TRIM($F102&amp;""))="free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IF(COUNTA($A103:$M103)=0,"",IF(OR(LEFT(LOWER(TRIM($F103&amp;"")),12)="subscription",LOWER(TRIM($F103&amp;""))="membership"),"",IF($G103="","",IF(ISNUMBER(SEARCH("non",LOWER($E103&amp;""))),$G103*0.85,$G103))))</x:f>
      </x:c>
      <x:c r="O103" s="987" t="str">
        <x:f>IF(COUNTA($A103:$M103)=0,"",IF(OR(LEFT(LOWER(TRIM($F103&amp;"")),12)="subscription",LOWER(TRIM($F103&amp;""))="membership"),"",IF(OR($N103="",$I103="",$I103=0),"",IFERROR($N103/$I103,""))))</x:f>
      </x:c>
      <x:c r="P103" s="987" t="str">
        <x:f>IF(COUNTA($A103:$M103)=0,"",IF(OR(LEFT(LOWER(TRIM($F103&amp;"")),12)="subscription",LOWER(TRIM($F103&amp;""))="membership"),"",IF(LOWER($L103&amp;"")="yes",0,IF(OR(AND($H103&lt;&gt;"",$H103=0),LEFT(LOWER(TRIM($F103&amp;"")),9)="free game",LOWER(TRIM($F103&amp;""))="free",LOWER(TRIM($F103&amp;""))="free entry"),IF(LOWER($D103&amp;"")="finalized",IF(ISNUMBER($K103),$K103,""),IF($O103&lt;&gt;"",$O103,"")),IF($K103&lt;&gt;"",$K103,IF($O103&lt;&gt;"",$O103,""))))))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IF(COUNTA($A103:$M103)=0,"",IF(OR(LEFT(LOWER(TRIM($F103&amp;"")),12)="subscription",LOWER(TRIM($F103&amp;""))="membership"),"Subscription",IF(OR(AND($H103&lt;&gt;"",$H103=0),LEFT(LOWER(TRIM($F103&amp;"")),9)="free game",LOWER(TRIM($F103&amp;""))="free",LOWER(TRIM($F103&amp;""))="free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IF(COUNTA($A104:$M104)=0,"",IF(OR(LEFT(LOWER(TRIM($F104&amp;"")),12)="subscription",LOWER(TRIM($F104&amp;""))="membership"),"",IF($G104="","",IF(ISNUMBER(SEARCH("non",LOWER($E104&amp;""))),$G104*0.85,$G104))))</x:f>
      </x:c>
      <x:c r="O104" s="987" t="str">
        <x:f>IF(COUNTA($A104:$M104)=0,"",IF(OR(LEFT(LOWER(TRIM($F104&amp;"")),12)="subscription",LOWER(TRIM($F104&amp;""))="membership"),"",IF(OR($N104="",$I104="",$I104=0),"",IFERROR($N104/$I104,""))))</x:f>
      </x:c>
      <x:c r="P104" s="987" t="str">
        <x:f>IF(COUNTA($A104:$M104)=0,"",IF(OR(LEFT(LOWER(TRIM($F104&amp;"")),12)="subscription",LOWER(TRIM($F104&amp;""))="membership"),"",IF(LOWER($L104&amp;"")="yes",0,IF(OR(AND($H104&lt;&gt;"",$H104=0),LEFT(LOWER(TRIM($F104&amp;"")),9)="free game",LOWER(TRIM($F104&amp;""))="free",LOWER(TRIM($F104&amp;""))="free entry"),IF(LOWER($D104&amp;"")="finalized",IF(ISNUMBER($K104),$K104,""),IF($O104&lt;&gt;"",$O104,"")),IF($K104&lt;&gt;"",$K104,IF($O104&lt;&gt;"",$O104,""))))))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IF(COUNTA($A104:$M104)=0,"",IF(OR(LEFT(LOWER(TRIM($F104&amp;"")),12)="subscription",LOWER(TRIM($F104&amp;""))="membership"),"Subscription",IF(OR(AND($H104&lt;&gt;"",$H104=0),LEFT(LOWER(TRIM($F104&amp;"")),9)="free game",LOWER(TRIM($F104&amp;""))="free",LOWER(TRIM($F104&amp;""))="free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IF(COUNTA($A105:$M105)=0,"",IF(OR(LEFT(LOWER(TRIM($F105&amp;"")),12)="subscription",LOWER(TRIM($F105&amp;""))="membership"),"",IF($G105="","",IF(ISNUMBER(SEARCH("non",LOWER($E105&amp;""))),$G105*0.85,$G105))))</x:f>
      </x:c>
      <x:c r="O105" s="987" t="str">
        <x:f>IF(COUNTA($A105:$M105)=0,"",IF(OR(LEFT(LOWER(TRIM($F105&amp;"")),12)="subscription",LOWER(TRIM($F105&amp;""))="membership"),"",IF(OR($N105="",$I105="",$I105=0),"",IFERROR($N105/$I105,""))))</x:f>
      </x:c>
      <x:c r="P105" s="987" t="str">
        <x:f>IF(COUNTA($A105:$M105)=0,"",IF(OR(LEFT(LOWER(TRIM($F105&amp;"")),12)="subscription",LOWER(TRIM($F105&amp;""))="membership"),"",IF(LOWER($L105&amp;"")="yes",0,IF(OR(AND($H105&lt;&gt;"",$H105=0),LEFT(LOWER(TRIM($F105&amp;"")),9)="free game",LOWER(TRIM($F105&amp;""))="free",LOWER(TRIM($F105&amp;""))="free entry"),IF(LOWER($D105&amp;"")="finalized",IF(ISNUMBER($K105),$K105,""),IF($O105&lt;&gt;"",$O105,"")),IF($K105&lt;&gt;"",$K105,IF($O105&lt;&gt;"",$O105,""))))))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IF(COUNTA($A105:$M105)=0,"",IF(OR(LEFT(LOWER(TRIM($F105&amp;"")),12)="subscription",LOWER(TRIM($F105&amp;""))="membership"),"Subscription",IF(OR(AND($H105&lt;&gt;"",$H105=0),LEFT(LOWER(TRIM($F105&amp;"")),9)="free game",LOWER(TRIM($F105&amp;""))="free",LOWER(TRIM($F105&amp;""))="free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IF(COUNTA($A106:$M106)=0,"",IF(OR(LEFT(LOWER(TRIM($F106&amp;"")),12)="subscription",LOWER(TRIM($F106&amp;""))="membership"),"",IF($G106="","",IF(ISNUMBER(SEARCH("non",LOWER($E106&amp;""))),$G106*0.85,$G106))))</x:f>
      </x:c>
      <x:c r="O106" s="987" t="str">
        <x:f>IF(COUNTA($A106:$M106)=0,"",IF(OR(LEFT(LOWER(TRIM($F106&amp;"")),12)="subscription",LOWER(TRIM($F106&amp;""))="membership"),"",IF(OR($N106="",$I106="",$I106=0),"",IFERROR($N106/$I106,""))))</x:f>
      </x:c>
      <x:c r="P106" s="987" t="str">
        <x:f>IF(COUNTA($A106:$M106)=0,"",IF(OR(LEFT(LOWER(TRIM($F106&amp;"")),12)="subscription",LOWER(TRIM($F106&amp;""))="membership"),"",IF(LOWER($L106&amp;"")="yes",0,IF(OR(AND($H106&lt;&gt;"",$H106=0),LEFT(LOWER(TRIM($F106&amp;"")),9)="free game",LOWER(TRIM($F106&amp;""))="free",LOWER(TRIM($F106&amp;""))="free entry"),IF(LOWER($D106&amp;"")="finalized",IF(ISNUMBER($K106),$K106,""),IF($O106&lt;&gt;"",$O106,"")),IF($K106&lt;&gt;"",$K106,IF($O106&lt;&gt;"",$O106,""))))))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IF(COUNTA($A106:$M106)=0,"",IF(OR(LEFT(LOWER(TRIM($F106&amp;"")),12)="subscription",LOWER(TRIM($F106&amp;""))="membership"),"Subscription",IF(OR(AND($H106&lt;&gt;"",$H106=0),LEFT(LOWER(TRIM($F106&amp;"")),9)="free game",LOWER(TRIM($F106&amp;""))="free",LOWER(TRIM($F106&amp;""))="free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IF(COUNTA($A107:$M107)=0,"",IF(OR(LEFT(LOWER(TRIM($F107&amp;"")),12)="subscription",LOWER(TRIM($F107&amp;""))="membership"),"",IF($G107="","",IF(ISNUMBER(SEARCH("non",LOWER($E107&amp;""))),$G107*0.85,$G107))))</x:f>
      </x:c>
      <x:c r="O107" s="987" t="str">
        <x:f>IF(COUNTA($A107:$M107)=0,"",IF(OR(LEFT(LOWER(TRIM($F107&amp;"")),12)="subscription",LOWER(TRIM($F107&amp;""))="membership"),"",IF(OR($N107="",$I107="",$I107=0),"",IFERROR($N107/$I107,""))))</x:f>
      </x:c>
      <x:c r="P107" s="987" t="str">
        <x:f>IF(COUNTA($A107:$M107)=0,"",IF(OR(LEFT(LOWER(TRIM($F107&amp;"")),12)="subscription",LOWER(TRIM($F107&amp;""))="membership"),"",IF(LOWER($L107&amp;"")="yes",0,IF(OR(AND($H107&lt;&gt;"",$H107=0),LEFT(LOWER(TRIM($F107&amp;"")),9)="free game",LOWER(TRIM($F107&amp;""))="free",LOWER(TRIM($F107&amp;""))="free entry"),IF(LOWER($D107&amp;"")="finalized",IF(ISNUMBER($K107),$K107,""),IF($O107&lt;&gt;"",$O107,"")),IF($K107&lt;&gt;"",$K107,IF($O107&lt;&gt;"",$O107,""))))))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IF(COUNTA($A107:$M107)=0,"",IF(OR(LEFT(LOWER(TRIM($F107&amp;"")),12)="subscription",LOWER(TRIM($F107&amp;""))="membership"),"Subscription",IF(OR(AND($H107&lt;&gt;"",$H107=0),LEFT(LOWER(TRIM($F107&amp;"")),9)="free game",LOWER(TRIM($F107&amp;""))="free",LOWER(TRIM($F107&amp;""))="free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IF(COUNTA($A108:$M108)=0,"",IF(OR(LEFT(LOWER(TRIM($F108&amp;"")),12)="subscription",LOWER(TRIM($F108&amp;""))="membership"),"",IF($G108="","",IF(ISNUMBER(SEARCH("non",LOWER($E108&amp;""))),$G108*0.85,$G108))))</x:f>
      </x:c>
      <x:c r="O108" s="987" t="str">
        <x:f>IF(COUNTA($A108:$M108)=0,"",IF(OR(LEFT(LOWER(TRIM($F108&amp;"")),12)="subscription",LOWER(TRIM($F108&amp;""))="membership"),"",IF(OR($N108="",$I108="",$I108=0),"",IFERROR($N108/$I108,""))))</x:f>
      </x:c>
      <x:c r="P108" s="987" t="str">
        <x:f>IF(COUNTA($A108:$M108)=0,"",IF(OR(LEFT(LOWER(TRIM($F108&amp;"")),12)="subscription",LOWER(TRIM($F108&amp;""))="membership"),"",IF(LOWER($L108&amp;"")="yes",0,IF(OR(AND($H108&lt;&gt;"",$H108=0),LEFT(LOWER(TRIM($F108&amp;"")),9)="free game",LOWER(TRIM($F108&amp;""))="free",LOWER(TRIM($F108&amp;""))="free entry"),IF(LOWER($D108&amp;"")="finalized",IF(ISNUMBER($K108),$K108,""),IF($O108&lt;&gt;"",$O108,"")),IF($K108&lt;&gt;"",$K108,IF($O108&lt;&gt;"",$O108,""))))))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IF(COUNTA($A108:$M108)=0,"",IF(OR(LEFT(LOWER(TRIM($F108&amp;"")),12)="subscription",LOWER(TRIM($F108&amp;""))="membership"),"Subscription",IF(OR(AND($H108&lt;&gt;"",$H108=0),LEFT(LOWER(TRIM($F108&amp;"")),9)="free game",LOWER(TRIM($F108&amp;""))="free",LOWER(TRIM($F108&amp;""))="free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IF(COUNTA($A109:$M109)=0,"",IF(OR(LEFT(LOWER(TRIM($F109&amp;"")),12)="subscription",LOWER(TRIM($F109&amp;""))="membership"),"",IF($G109="","",IF(ISNUMBER(SEARCH("non",LOWER($E109&amp;""))),$G109*0.85,$G109))))</x:f>
      </x:c>
      <x:c r="O109" s="987" t="str">
        <x:f>IF(COUNTA($A109:$M109)=0,"",IF(OR(LEFT(LOWER(TRIM($F109&amp;"")),12)="subscription",LOWER(TRIM($F109&amp;""))="membership"),"",IF(OR($N109="",$I109="",$I109=0),"",IFERROR($N109/$I109,""))))</x:f>
      </x:c>
      <x:c r="P109" s="987" t="str">
        <x:f>IF(COUNTA($A109:$M109)=0,"",IF(OR(LEFT(LOWER(TRIM($F109&amp;"")),12)="subscription",LOWER(TRIM($F109&amp;""))="membership"),"",IF(LOWER($L109&amp;"")="yes",0,IF(OR(AND($H109&lt;&gt;"",$H109=0),LEFT(LOWER(TRIM($F109&amp;"")),9)="free game",LOWER(TRIM($F109&amp;""))="free",LOWER(TRIM($F109&amp;""))="free entry"),IF(LOWER($D109&amp;"")="finalized",IF(ISNUMBER($K109),$K109,""),IF($O109&lt;&gt;"",$O109,"")),IF($K109&lt;&gt;"",$K109,IF($O109&lt;&gt;"",$O109,""))))))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IF(COUNTA($A109:$M109)=0,"",IF(OR(LEFT(LOWER(TRIM($F109&amp;"")),12)="subscription",LOWER(TRIM($F109&amp;""))="membership"),"Subscription",IF(OR(AND($H109&lt;&gt;"",$H109=0),LEFT(LOWER(TRIM($F109&amp;"")),9)="free game",LOWER(TRIM($F109&amp;""))="free",LOWER(TRIM($F109&amp;""))="free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IF(COUNTA($A110:$M110)=0,"",IF(OR(LEFT(LOWER(TRIM($F110&amp;"")),12)="subscription",LOWER(TRIM($F110&amp;""))="membership"),"",IF($G110="","",IF(ISNUMBER(SEARCH("non",LOWER($E110&amp;""))),$G110*0.85,$G110))))</x:f>
      </x:c>
      <x:c r="O110" s="987" t="str">
        <x:f>IF(COUNTA($A110:$M110)=0,"",IF(OR(LEFT(LOWER(TRIM($F110&amp;"")),12)="subscription",LOWER(TRIM($F110&amp;""))="membership"),"",IF(OR($N110="",$I110="",$I110=0),"",IFERROR($N110/$I110,""))))</x:f>
      </x:c>
      <x:c r="P110" s="987" t="str">
        <x:f>IF(COUNTA($A110:$M110)=0,"",IF(OR(LEFT(LOWER(TRIM($F110&amp;"")),12)="subscription",LOWER(TRIM($F110&amp;""))="membership"),"",IF(LOWER($L110&amp;"")="yes",0,IF(OR(AND($H110&lt;&gt;"",$H110=0),LEFT(LOWER(TRIM($F110&amp;"")),9)="free game",LOWER(TRIM($F110&amp;""))="free",LOWER(TRIM($F110&amp;""))="free entry"),IF(LOWER($D110&amp;"")="finalized",IF(ISNUMBER($K110),$K110,""),IF($O110&lt;&gt;"",$O110,"")),IF($K110&lt;&gt;"",$K110,IF($O110&lt;&gt;"",$O110,""))))))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IF(COUNTA($A110:$M110)=0,"",IF(OR(LEFT(LOWER(TRIM($F110&amp;"")),12)="subscription",LOWER(TRIM($F110&amp;""))="membership"),"Subscription",IF(OR(AND($H110&lt;&gt;"",$H110=0),LEFT(LOWER(TRIM($F110&amp;"")),9)="free game",LOWER(TRIM($F110&amp;""))="free",LOWER(TRIM($F110&amp;""))="free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IF(COUNTA($A111:$M111)=0,"",IF(OR(LEFT(LOWER(TRIM($F111&amp;"")),12)="subscription",LOWER(TRIM($F111&amp;""))="membership"),"",IF($G111="","",IF(ISNUMBER(SEARCH("non",LOWER($E111&amp;""))),$G111*0.85,$G111))))</x:f>
      </x:c>
      <x:c r="O111" s="987" t="str">
        <x:f>IF(COUNTA($A111:$M111)=0,"",IF(OR(LEFT(LOWER(TRIM($F111&amp;"")),12)="subscription",LOWER(TRIM($F111&amp;""))="membership"),"",IF(OR($N111="",$I111="",$I111=0),"",IFERROR($N111/$I111,""))))</x:f>
      </x:c>
      <x:c r="P111" s="987" t="str">
        <x:f>IF(COUNTA($A111:$M111)=0,"",IF(OR(LEFT(LOWER(TRIM($F111&amp;"")),12)="subscription",LOWER(TRIM($F111&amp;""))="membership"),"",IF(LOWER($L111&amp;"")="yes",0,IF(OR(AND($H111&lt;&gt;"",$H111=0),LEFT(LOWER(TRIM($F111&amp;"")),9)="free game",LOWER(TRIM($F111&amp;""))="free",LOWER(TRIM($F111&amp;""))="free entry"),IF(LOWER($D111&amp;"")="finalized",IF(ISNUMBER($K111),$K111,""),IF($O111&lt;&gt;"",$O111,"")),IF($K111&lt;&gt;"",$K111,IF($O111&lt;&gt;"",$O111,""))))))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IF(COUNTA($A111:$M111)=0,"",IF(OR(LEFT(LOWER(TRIM($F111&amp;"")),12)="subscription",LOWER(TRIM($F111&amp;""))="membership"),"Subscription",IF(OR(AND($H111&lt;&gt;"",$H111=0),LEFT(LOWER(TRIM($F111&amp;"")),9)="free game",LOWER(TRIM($F111&amp;""))="free",LOWER(TRIM($F111&amp;""))="free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IF(COUNTA($A112:$M112)=0,"",IF(OR(LEFT(LOWER(TRIM($F112&amp;"")),12)="subscription",LOWER(TRIM($F112&amp;""))="membership"),"",IF($G112="","",IF(ISNUMBER(SEARCH("non",LOWER($E112&amp;""))),$G112*0.85,$G112))))</x:f>
      </x:c>
      <x:c r="O112" s="987" t="str">
        <x:f>IF(COUNTA($A112:$M112)=0,"",IF(OR(LEFT(LOWER(TRIM($F112&amp;"")),12)="subscription",LOWER(TRIM($F112&amp;""))="membership"),"",IF(OR($N112="",$I112="",$I112=0),"",IFERROR($N112/$I112,""))))</x:f>
      </x:c>
      <x:c r="P112" s="987" t="str">
        <x:f>IF(COUNTA($A112:$M112)=0,"",IF(OR(LEFT(LOWER(TRIM($F112&amp;"")),12)="subscription",LOWER(TRIM($F112&amp;""))="membership"),"",IF(LOWER($L112&amp;"")="yes",0,IF(OR(AND($H112&lt;&gt;"",$H112=0),LEFT(LOWER(TRIM($F112&amp;"")),9)="free game",LOWER(TRIM($F112&amp;""))="free",LOWER(TRIM($F112&amp;""))="free entry"),IF(LOWER($D112&amp;"")="finalized",IF(ISNUMBER($K112),$K112,""),IF($O112&lt;&gt;"",$O112,"")),IF($K112&lt;&gt;"",$K112,IF($O112&lt;&gt;"",$O112,""))))))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IF(COUNTA($A112:$M112)=0,"",IF(OR(LEFT(LOWER(TRIM($F112&amp;"")),12)="subscription",LOWER(TRIM($F112&amp;""))="membership"),"Subscription",IF(OR(AND($H112&lt;&gt;"",$H112=0),LEFT(LOWER(TRIM($F112&amp;"")),9)="free game",LOWER(TRIM($F112&amp;""))="free",LOWER(TRIM($F112&amp;""))="free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IF(COUNTA($A113:$M113)=0,"",IF(OR(LEFT(LOWER(TRIM($F113&amp;"")),12)="subscription",LOWER(TRIM($F113&amp;""))="membership"),"",IF($G113="","",IF(ISNUMBER(SEARCH("non",LOWER($E113&amp;""))),$G113*0.85,$G113))))</x:f>
      </x:c>
      <x:c r="O113" s="987" t="str">
        <x:f>IF(COUNTA($A113:$M113)=0,"",IF(OR(LEFT(LOWER(TRIM($F113&amp;"")),12)="subscription",LOWER(TRIM($F113&amp;""))="membership"),"",IF(OR($N113="",$I113="",$I113=0),"",IFERROR($N113/$I113,""))))</x:f>
      </x:c>
      <x:c r="P113" s="987" t="str">
        <x:f>IF(COUNTA($A113:$M113)=0,"",IF(OR(LEFT(LOWER(TRIM($F113&amp;"")),12)="subscription",LOWER(TRIM($F113&amp;""))="membership"),"",IF(LOWER($L113&amp;"")="yes",0,IF(OR(AND($H113&lt;&gt;"",$H113=0),LEFT(LOWER(TRIM($F113&amp;"")),9)="free game",LOWER(TRIM($F113&amp;""))="free",LOWER(TRIM($F113&amp;""))="free entry"),IF(LOWER($D113&amp;"")="finalized",IF(ISNUMBER($K113),$K113,""),IF($O113&lt;&gt;"",$O113,"")),IF($K113&lt;&gt;"",$K113,IF($O113&lt;&gt;"",$O113,""))))))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IF(COUNTA($A113:$M113)=0,"",IF(OR(LEFT(LOWER(TRIM($F113&amp;"")),12)="subscription",LOWER(TRIM($F113&amp;""))="membership"),"Subscription",IF(OR(AND($H113&lt;&gt;"",$H113=0),LEFT(LOWER(TRIM($F113&amp;"")),9)="free game",LOWER(TRIM($F113&amp;""))="free",LOWER(TRIM($F113&amp;""))="free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IF(COUNTA($A114:$M114)=0,"",IF(OR(LEFT(LOWER(TRIM($F114&amp;"")),12)="subscription",LOWER(TRIM($F114&amp;""))="membership"),"",IF($G114="","",IF(ISNUMBER(SEARCH("non",LOWER($E114&amp;""))),$G114*0.85,$G114))))</x:f>
      </x:c>
      <x:c r="O114" s="987" t="str">
        <x:f>IF(COUNTA($A114:$M114)=0,"",IF(OR(LEFT(LOWER(TRIM($F114&amp;"")),12)="subscription",LOWER(TRIM($F114&amp;""))="membership"),"",IF(OR($N114="",$I114="",$I114=0),"",IFERROR($N114/$I114,""))))</x:f>
      </x:c>
      <x:c r="P114" s="987" t="str">
        <x:f>IF(COUNTA($A114:$M114)=0,"",IF(OR(LEFT(LOWER(TRIM($F114&amp;"")),12)="subscription",LOWER(TRIM($F114&amp;""))="membership"),"",IF(LOWER($L114&amp;"")="yes",0,IF(OR(AND($H114&lt;&gt;"",$H114=0),LEFT(LOWER(TRIM($F114&amp;"")),9)="free game",LOWER(TRIM($F114&amp;""))="free",LOWER(TRIM($F114&amp;""))="free entry"),IF(LOWER($D114&amp;"")="finalized",IF(ISNUMBER($K114),$K114,""),IF($O114&lt;&gt;"",$O114,"")),IF($K114&lt;&gt;"",$K114,IF($O114&lt;&gt;"",$O114,""))))))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IF(COUNTA($A114:$M114)=0,"",IF(OR(LEFT(LOWER(TRIM($F114&amp;"")),12)="subscription",LOWER(TRIM($F114&amp;""))="membership"),"Subscription",IF(OR(AND($H114&lt;&gt;"",$H114=0),LEFT(LOWER(TRIM($F114&amp;"")),9)="free game",LOWER(TRIM($F114&amp;""))="free",LOWER(TRIM($F114&amp;""))="free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IF(COUNTA($A115:$M115)=0,"",IF(OR(LEFT(LOWER(TRIM($F115&amp;"")),12)="subscription",LOWER(TRIM($F115&amp;""))="membership"),"",IF($G115="","",IF(ISNUMBER(SEARCH("non",LOWER($E115&amp;""))),$G115*0.85,$G115))))</x:f>
      </x:c>
      <x:c r="O115" s="987" t="str">
        <x:f>IF(COUNTA($A115:$M115)=0,"",IF(OR(LEFT(LOWER(TRIM($F115&amp;"")),12)="subscription",LOWER(TRIM($F115&amp;""))="membership"),"",IF(OR($N115="",$I115="",$I115=0),"",IFERROR($N115/$I115,""))))</x:f>
      </x:c>
      <x:c r="P115" s="987" t="str">
        <x:f>IF(COUNTA($A115:$M115)=0,"",IF(OR(LEFT(LOWER(TRIM($F115&amp;"")),12)="subscription",LOWER(TRIM($F115&amp;""))="membership"),"",IF(LOWER($L115&amp;"")="yes",0,IF(OR(AND($H115&lt;&gt;"",$H115=0),LEFT(LOWER(TRIM($F115&amp;"")),9)="free game",LOWER(TRIM($F115&amp;""))="free",LOWER(TRIM($F115&amp;""))="free entry"),IF(LOWER($D115&amp;"")="finalized",IF(ISNUMBER($K115),$K115,""),IF($O115&lt;&gt;"",$O115,"")),IF($K115&lt;&gt;"",$K115,IF($O115&lt;&gt;"",$O115,""))))))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IF(COUNTA($A115:$M115)=0,"",IF(OR(LEFT(LOWER(TRIM($F115&amp;"")),12)="subscription",LOWER(TRIM($F115&amp;""))="membership"),"Subscription",IF(OR(AND($H115&lt;&gt;"",$H115=0),LEFT(LOWER(TRIM($F115&amp;"")),9)="free game",LOWER(TRIM($F115&amp;""))="free",LOWER(TRIM($F115&amp;""))="free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IF(COUNTA($A116:$M116)=0,"",IF(OR(LEFT(LOWER(TRIM($F116&amp;"")),12)="subscription",LOWER(TRIM($F116&amp;""))="membership"),"",IF($G116="","",IF(ISNUMBER(SEARCH("non",LOWER($E116&amp;""))),$G116*0.85,$G116))))</x:f>
      </x:c>
      <x:c r="O116" s="987" t="str">
        <x:f>IF(COUNTA($A116:$M116)=0,"",IF(OR(LEFT(LOWER(TRIM($F116&amp;"")),12)="subscription",LOWER(TRIM($F116&amp;""))="membership"),"",IF(OR($N116="",$I116="",$I116=0),"",IFERROR($N116/$I116,""))))</x:f>
      </x:c>
      <x:c r="P116" s="987" t="str">
        <x:f>IF(COUNTA($A116:$M116)=0,"",IF(OR(LEFT(LOWER(TRIM($F116&amp;"")),12)="subscription",LOWER(TRIM($F116&amp;""))="membership"),"",IF(LOWER($L116&amp;"")="yes",0,IF(OR(AND($H116&lt;&gt;"",$H116=0),LEFT(LOWER(TRIM($F116&amp;"")),9)="free game",LOWER(TRIM($F116&amp;""))="free",LOWER(TRIM($F116&amp;""))="free entry"),IF(LOWER($D116&amp;"")="finalized",IF(ISNUMBER($K116),$K116,""),IF($O116&lt;&gt;"",$O116,"")),IF($K116&lt;&gt;"",$K116,IF($O116&lt;&gt;"",$O116,""))))))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IF(COUNTA($A116:$M116)=0,"",IF(OR(LEFT(LOWER(TRIM($F116&amp;"")),12)="subscription",LOWER(TRIM($F116&amp;""))="membership"),"Subscription",IF(OR(AND($H116&lt;&gt;"",$H116=0),LEFT(LOWER(TRIM($F116&amp;"")),9)="free game",LOWER(TRIM($F116&amp;""))="free",LOWER(TRIM($F116&amp;""))="free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IF(COUNTA($A117:$M117)=0,"",IF(OR(LEFT(LOWER(TRIM($F117&amp;"")),12)="subscription",LOWER(TRIM($F117&amp;""))="membership"),"",IF($G117="","",IF(ISNUMBER(SEARCH("non",LOWER($E117&amp;""))),$G117*0.85,$G117))))</x:f>
      </x:c>
      <x:c r="O117" s="987" t="str">
        <x:f>IF(COUNTA($A117:$M117)=0,"",IF(OR(LEFT(LOWER(TRIM($F117&amp;"")),12)="subscription",LOWER(TRIM($F117&amp;""))="membership"),"",IF(OR($N117="",$I117="",$I117=0),"",IFERROR($N117/$I117,""))))</x:f>
      </x:c>
      <x:c r="P117" s="987" t="str">
        <x:f>IF(COUNTA($A117:$M117)=0,"",IF(OR(LEFT(LOWER(TRIM($F117&amp;"")),12)="subscription",LOWER(TRIM($F117&amp;""))="membership"),"",IF(LOWER($L117&amp;"")="yes",0,IF(OR(AND($H117&lt;&gt;"",$H117=0),LEFT(LOWER(TRIM($F117&amp;"")),9)="free game",LOWER(TRIM($F117&amp;""))="free",LOWER(TRIM($F117&amp;""))="free entry"),IF(LOWER($D117&amp;"")="finalized",IF(ISNUMBER($K117),$K117,""),IF($O117&lt;&gt;"",$O117,"")),IF($K117&lt;&gt;"",$K117,IF($O117&lt;&gt;"",$O117,""))))))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IF(COUNTA($A117:$M117)=0,"",IF(OR(LEFT(LOWER(TRIM($F117&amp;"")),12)="subscription",LOWER(TRIM($F117&amp;""))="membership"),"Subscription",IF(OR(AND($H117&lt;&gt;"",$H117=0),LEFT(LOWER(TRIM($F117&amp;"")),9)="free game",LOWER(TRIM($F117&amp;""))="free",LOWER(TRIM($F117&amp;""))="free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IF(COUNTA($A118:$M118)=0,"",IF(OR(LEFT(LOWER(TRIM($F118&amp;"")),12)="subscription",LOWER(TRIM($F118&amp;""))="membership"),"",IF($G118="","",IF(ISNUMBER(SEARCH("non",LOWER($E118&amp;""))),$G118*0.85,$G118))))</x:f>
      </x:c>
      <x:c r="O118" s="987" t="str">
        <x:f>IF(COUNTA($A118:$M118)=0,"",IF(OR(LEFT(LOWER(TRIM($F118&amp;"")),12)="subscription",LOWER(TRIM($F118&amp;""))="membership"),"",IF(OR($N118="",$I118="",$I118=0),"",IFERROR($N118/$I118,""))))</x:f>
      </x:c>
      <x:c r="P118" s="987" t="str">
        <x:f>IF(COUNTA($A118:$M118)=0,"",IF(OR(LEFT(LOWER(TRIM($F118&amp;"")),12)="subscription",LOWER(TRIM($F118&amp;""))="membership"),"",IF(LOWER($L118&amp;"")="yes",0,IF(OR(AND($H118&lt;&gt;"",$H118=0),LEFT(LOWER(TRIM($F118&amp;"")),9)="free game",LOWER(TRIM($F118&amp;""))="free",LOWER(TRIM($F118&amp;""))="free entry"),IF(LOWER($D118&amp;"")="finalized",IF(ISNUMBER($K118),$K118,""),IF($O118&lt;&gt;"",$O118,"")),IF($K118&lt;&gt;"",$K118,IF($O118&lt;&gt;"",$O118,""))))))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IF(COUNTA($A118:$M118)=0,"",IF(OR(LEFT(LOWER(TRIM($F118&amp;"")),12)="subscription",LOWER(TRIM($F118&amp;""))="membership"),"Subscription",IF(OR(AND($H118&lt;&gt;"",$H118=0),LEFT(LOWER(TRIM($F118&amp;"")),9)="free game",LOWER(TRIM($F118&amp;""))="free",LOWER(TRIM($F118&amp;""))="free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IF(COUNTA($A119:$M119)=0,"",IF(OR(LEFT(LOWER(TRIM($F119&amp;"")),12)="subscription",LOWER(TRIM($F119&amp;""))="membership"),"",IF($G119="","",IF(ISNUMBER(SEARCH("non",LOWER($E119&amp;""))),$G119*0.85,$G119))))</x:f>
      </x:c>
      <x:c r="O119" s="987" t="str">
        <x:f>IF(COUNTA($A119:$M119)=0,"",IF(OR(LEFT(LOWER(TRIM($F119&amp;"")),12)="subscription",LOWER(TRIM($F119&amp;""))="membership"),"",IF(OR($N119="",$I119="",$I119=0),"",IFERROR($N119/$I119,""))))</x:f>
      </x:c>
      <x:c r="P119" s="987" t="str">
        <x:f>IF(COUNTA($A119:$M119)=0,"",IF(OR(LEFT(LOWER(TRIM($F119&amp;"")),12)="subscription",LOWER(TRIM($F119&amp;""))="membership"),"",IF(LOWER($L119&amp;"")="yes",0,IF(OR(AND($H119&lt;&gt;"",$H119=0),LEFT(LOWER(TRIM($F119&amp;"")),9)="free game",LOWER(TRIM($F119&amp;""))="free",LOWER(TRIM($F119&amp;""))="free entry"),IF(LOWER($D119&amp;"")="finalized",IF(ISNUMBER($K119),$K119,""),IF($O119&lt;&gt;"",$O119,"")),IF($K119&lt;&gt;"",$K119,IF($O119&lt;&gt;"",$O119,""))))))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IF(COUNTA($A119:$M119)=0,"",IF(OR(LEFT(LOWER(TRIM($F119&amp;"")),12)="subscription",LOWER(TRIM($F119&amp;""))="membership"),"Subscription",IF(OR(AND($H119&lt;&gt;"",$H119=0),LEFT(LOWER(TRIM($F119&amp;"")),9)="free game",LOWER(TRIM($F119&amp;""))="free",LOWER(TRIM($F119&amp;""))="free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IF(COUNTA($A120:$M120)=0,"",IF(OR(LEFT(LOWER(TRIM($F120&amp;"")),12)="subscription",LOWER(TRIM($F120&amp;""))="membership"),"",IF($G120="","",IF(ISNUMBER(SEARCH("non",LOWER($E120&amp;""))),$G120*0.85,$G120))))</x:f>
      </x:c>
      <x:c r="O120" s="987" t="str">
        <x:f>IF(COUNTA($A120:$M120)=0,"",IF(OR(LEFT(LOWER(TRIM($F120&amp;"")),12)="subscription",LOWER(TRIM($F120&amp;""))="membership"),"",IF(OR($N120="",$I120="",$I120=0),"",IFERROR($N120/$I120,""))))</x:f>
      </x:c>
      <x:c r="P120" s="987" t="str">
        <x:f>IF(COUNTA($A120:$M120)=0,"",IF(OR(LEFT(LOWER(TRIM($F120&amp;"")),12)="subscription",LOWER(TRIM($F120&amp;""))="membership"),"",IF(LOWER($L120&amp;"")="yes",0,IF(OR(AND($H120&lt;&gt;"",$H120=0),LEFT(LOWER(TRIM($F120&amp;"")),9)="free game",LOWER(TRIM($F120&amp;""))="free",LOWER(TRIM($F120&amp;""))="free entry"),IF(LOWER($D120&amp;"")="finalized",IF(ISNUMBER($K120),$K120,""),IF($O120&lt;&gt;"",$O120,"")),IF($K120&lt;&gt;"",$K120,IF($O120&lt;&gt;"",$O120,""))))))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IF(COUNTA($A120:$M120)=0,"",IF(OR(LEFT(LOWER(TRIM($F120&amp;"")),12)="subscription",LOWER(TRIM($F120&amp;""))="membership"),"Subscription",IF(OR(AND($H120&lt;&gt;"",$H120=0),LEFT(LOWER(TRIM($F120&amp;"")),9)="free game",LOWER(TRIM($F120&amp;""))="free",LOWER(TRIM($F120&amp;""))="free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IF(COUNTA($A121:$M121)=0,"",IF(OR(LEFT(LOWER(TRIM($F121&amp;"")),12)="subscription",LOWER(TRIM($F121&amp;""))="membership"),"",IF($G121="","",IF(ISNUMBER(SEARCH("non",LOWER($E121&amp;""))),$G121*0.85,$G121))))</x:f>
      </x:c>
      <x:c r="O121" s="987" t="str">
        <x:f>IF(COUNTA($A121:$M121)=0,"",IF(OR(LEFT(LOWER(TRIM($F121&amp;"")),12)="subscription",LOWER(TRIM($F121&amp;""))="membership"),"",IF(OR($N121="",$I121="",$I121=0),"",IFERROR($N121/$I121,""))))</x:f>
      </x:c>
      <x:c r="P121" s="987" t="str">
        <x:f>IF(COUNTA($A121:$M121)=0,"",IF(OR(LEFT(LOWER(TRIM($F121&amp;"")),12)="subscription",LOWER(TRIM($F121&amp;""))="membership"),"",IF(LOWER($L121&amp;"")="yes",0,IF(OR(AND($H121&lt;&gt;"",$H121=0),LEFT(LOWER(TRIM($F121&amp;"")),9)="free game",LOWER(TRIM($F121&amp;""))="free",LOWER(TRIM($F121&amp;""))="free entry"),IF(LOWER($D121&amp;"")="finalized",IF(ISNUMBER($K121),$K121,""),IF($O121&lt;&gt;"",$O121,"")),IF($K121&lt;&gt;"",$K121,IF($O121&lt;&gt;"",$O121,""))))))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IF(COUNTA($A121:$M121)=0,"",IF(OR(LEFT(LOWER(TRIM($F121&amp;"")),12)="subscription",LOWER(TRIM($F121&amp;""))="membership"),"Subscription",IF(OR(AND($H121&lt;&gt;"",$H121=0),LEFT(LOWER(TRIM($F121&amp;"")),9)="free game",LOWER(TRIM($F121&amp;""))="free",LOWER(TRIM($F121&amp;""))="free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IF(COUNTA($A122:$M122)=0,"",IF(OR(LEFT(LOWER(TRIM($F122&amp;"")),12)="subscription",LOWER(TRIM($F122&amp;""))="membership"),"",IF($G122="","",IF(ISNUMBER(SEARCH("non",LOWER($E122&amp;""))),$G122*0.85,$G122))))</x:f>
      </x:c>
      <x:c r="O122" s="987" t="str">
        <x:f>IF(COUNTA($A122:$M122)=0,"",IF(OR(LEFT(LOWER(TRIM($F122&amp;"")),12)="subscription",LOWER(TRIM($F122&amp;""))="membership"),"",IF(OR($N122="",$I122="",$I122=0),"",IFERROR($N122/$I122,""))))</x:f>
      </x:c>
      <x:c r="P122" s="987" t="str">
        <x:f>IF(COUNTA($A122:$M122)=0,"",IF(OR(LEFT(LOWER(TRIM($F122&amp;"")),12)="subscription",LOWER(TRIM($F122&amp;""))="membership"),"",IF(LOWER($L122&amp;"")="yes",0,IF(OR(AND($H122&lt;&gt;"",$H122=0),LEFT(LOWER(TRIM($F122&amp;"")),9)="free game",LOWER(TRIM($F122&amp;""))="free",LOWER(TRIM($F122&amp;""))="free entry"),IF(LOWER($D122&amp;"")="finalized",IF(ISNUMBER($K122),$K122,""),IF($O122&lt;&gt;"",$O122,"")),IF($K122&lt;&gt;"",$K122,IF($O122&lt;&gt;"",$O122,""))))))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IF(COUNTA($A122:$M122)=0,"",IF(OR(LEFT(LOWER(TRIM($F122&amp;"")),12)="subscription",LOWER(TRIM($F122&amp;""))="membership"),"Subscription",IF(OR(AND($H122&lt;&gt;"",$H122=0),LEFT(LOWER(TRIM($F122&amp;"")),9)="free game",LOWER(TRIM($F122&amp;""))="free",LOWER(TRIM($F122&amp;""))="free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IF(COUNTA($A123:$M123)=0,"",IF(OR(LEFT(LOWER(TRIM($F123&amp;"")),12)="subscription",LOWER(TRIM($F123&amp;""))="membership"),"",IF($G123="","",IF(ISNUMBER(SEARCH("non",LOWER($E123&amp;""))),$G123*0.85,$G123))))</x:f>
      </x:c>
      <x:c r="O123" s="987" t="str">
        <x:f>IF(COUNTA($A123:$M123)=0,"",IF(OR(LEFT(LOWER(TRIM($F123&amp;"")),12)="subscription",LOWER(TRIM($F123&amp;""))="membership"),"",IF(OR($N123="",$I123="",$I123=0),"",IFERROR($N123/$I123,""))))</x:f>
      </x:c>
      <x:c r="P123" s="987" t="str">
        <x:f>IF(COUNTA($A123:$M123)=0,"",IF(OR(LEFT(LOWER(TRIM($F123&amp;"")),12)="subscription",LOWER(TRIM($F123&amp;""))="membership"),"",IF(LOWER($L123&amp;"")="yes",0,IF(OR(AND($H123&lt;&gt;"",$H123=0),LEFT(LOWER(TRIM($F123&amp;"")),9)="free game",LOWER(TRIM($F123&amp;""))="free",LOWER(TRIM($F123&amp;""))="free entry"),IF(LOWER($D123&amp;"")="finalized",IF(ISNUMBER($K123),$K123,""),IF($O123&lt;&gt;"",$O123,"")),IF($K123&lt;&gt;"",$K123,IF($O123&lt;&gt;"",$O123,""))))))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IF(COUNTA($A123:$M123)=0,"",IF(OR(LEFT(LOWER(TRIM($F123&amp;"")),12)="subscription",LOWER(TRIM($F123&amp;""))="membership"),"Subscription",IF(OR(AND($H123&lt;&gt;"",$H123=0),LEFT(LOWER(TRIM($F123&amp;"")),9)="free game",LOWER(TRIM($F123&amp;""))="free",LOWER(TRIM($F123&amp;""))="free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IF(COUNTA($A124:$M124)=0,"",IF(OR(LEFT(LOWER(TRIM($F124&amp;"")),12)="subscription",LOWER(TRIM($F124&amp;""))="membership"),"",IF($G124="","",IF(ISNUMBER(SEARCH("non",LOWER($E124&amp;""))),$G124*0.85,$G124))))</x:f>
      </x:c>
      <x:c r="O124" s="987" t="str">
        <x:f>IF(COUNTA($A124:$M124)=0,"",IF(OR(LEFT(LOWER(TRIM($F124&amp;"")),12)="subscription",LOWER(TRIM($F124&amp;""))="membership"),"",IF(OR($N124="",$I124="",$I124=0),"",IFERROR($N124/$I124,""))))</x:f>
      </x:c>
      <x:c r="P124" s="987" t="str">
        <x:f>IF(COUNTA($A124:$M124)=0,"",IF(OR(LEFT(LOWER(TRIM($F124&amp;"")),12)="subscription",LOWER(TRIM($F124&amp;""))="membership"),"",IF(LOWER($L124&amp;"")="yes",0,IF(OR(AND($H124&lt;&gt;"",$H124=0),LEFT(LOWER(TRIM($F124&amp;"")),9)="free game",LOWER(TRIM($F124&amp;""))="free",LOWER(TRIM($F124&amp;""))="free entry"),IF(LOWER($D124&amp;"")="finalized",IF(ISNUMBER($K124),$K124,""),IF($O124&lt;&gt;"",$O124,"")),IF($K124&lt;&gt;"",$K124,IF($O124&lt;&gt;"",$O124,""))))))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IF(COUNTA($A124:$M124)=0,"",IF(OR(LEFT(LOWER(TRIM($F124&amp;"")),12)="subscription",LOWER(TRIM($F124&amp;""))="membership"),"Subscription",IF(OR(AND($H124&lt;&gt;"",$H124=0),LEFT(LOWER(TRIM($F124&amp;"")),9)="free game",LOWER(TRIM($F124&amp;""))="free",LOWER(TRIM($F124&amp;""))="free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IF(COUNTA($A125:$M125)=0,"",IF(OR(LEFT(LOWER(TRIM($F125&amp;"")),12)="subscription",LOWER(TRIM($F125&amp;""))="membership"),"",IF($G125="","",IF(ISNUMBER(SEARCH("non",LOWER($E125&amp;""))),$G125*0.85,$G125))))</x:f>
      </x:c>
      <x:c r="O125" s="987" t="str">
        <x:f>IF(COUNTA($A125:$M125)=0,"",IF(OR(LEFT(LOWER(TRIM($F125&amp;"")),12)="subscription",LOWER(TRIM($F125&amp;""))="membership"),"",IF(OR($N125="",$I125="",$I125=0),"",IFERROR($N125/$I125,""))))</x:f>
      </x:c>
      <x:c r="P125" s="987" t="str">
        <x:f>IF(COUNTA($A125:$M125)=0,"",IF(OR(LEFT(LOWER(TRIM($F125&amp;"")),12)="subscription",LOWER(TRIM($F125&amp;""))="membership"),"",IF(LOWER($L125&amp;"")="yes",0,IF(OR(AND($H125&lt;&gt;"",$H125=0),LEFT(LOWER(TRIM($F125&amp;"")),9)="free game",LOWER(TRIM($F125&amp;""))="free",LOWER(TRIM($F125&amp;""))="free entry"),IF(LOWER($D125&amp;"")="finalized",IF(ISNUMBER($K125),$K125,""),IF($O125&lt;&gt;"",$O125,"")),IF($K125&lt;&gt;"",$K125,IF($O125&lt;&gt;"",$O125,""))))))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IF(COUNTA($A125:$M125)=0,"",IF(OR(LEFT(LOWER(TRIM($F125&amp;"")),12)="subscription",LOWER(TRIM($F125&amp;""))="membership"),"Subscription",IF(OR(AND($H125&lt;&gt;"",$H125=0),LEFT(LOWER(TRIM($F125&amp;"")),9)="free game",LOWER(TRIM($F125&amp;""))="free",LOWER(TRIM($F125&amp;""))="free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IF(COUNTA($A126:$M126)=0,"",IF(OR(LEFT(LOWER(TRIM($F126&amp;"")),12)="subscription",LOWER(TRIM($F126&amp;""))="membership"),"",IF($G126="","",IF(ISNUMBER(SEARCH("non",LOWER($E126&amp;""))),$G126*0.85,$G126))))</x:f>
      </x:c>
      <x:c r="O126" s="987" t="str">
        <x:f>IF(COUNTA($A126:$M126)=0,"",IF(OR(LEFT(LOWER(TRIM($F126&amp;"")),12)="subscription",LOWER(TRIM($F126&amp;""))="membership"),"",IF(OR($N126="",$I126="",$I126=0),"",IFERROR($N126/$I126,""))))</x:f>
      </x:c>
      <x:c r="P126" s="987" t="str">
        <x:f>IF(COUNTA($A126:$M126)=0,"",IF(OR(LEFT(LOWER(TRIM($F126&amp;"")),12)="subscription",LOWER(TRIM($F126&amp;""))="membership"),"",IF(LOWER($L126&amp;"")="yes",0,IF(OR(AND($H126&lt;&gt;"",$H126=0),LEFT(LOWER(TRIM($F126&amp;"")),9)="free game",LOWER(TRIM($F126&amp;""))="free",LOWER(TRIM($F126&amp;""))="free entry"),IF(LOWER($D126&amp;"")="finalized",IF(ISNUMBER($K126),$K126,""),IF($O126&lt;&gt;"",$O126,"")),IF($K126&lt;&gt;"",$K126,IF($O126&lt;&gt;"",$O126,""))))))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IF(COUNTA($A126:$M126)=0,"",IF(OR(LEFT(LOWER(TRIM($F126&amp;"")),12)="subscription",LOWER(TRIM($F126&amp;""))="membership"),"Subscription",IF(OR(AND($H126&lt;&gt;"",$H126=0),LEFT(LOWER(TRIM($F126&amp;"")),9)="free game",LOWER(TRIM($F126&amp;""))="free",LOWER(TRIM($F126&amp;""))="free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IF(COUNTA($A127:$M127)=0,"",IF(OR(LEFT(LOWER(TRIM($F127&amp;"")),12)="subscription",LOWER(TRIM($F127&amp;""))="membership"),"",IF($G127="","",IF(ISNUMBER(SEARCH("non",LOWER($E127&amp;""))),$G127*0.85,$G127))))</x:f>
      </x:c>
      <x:c r="O127" s="987" t="str">
        <x:f>IF(COUNTA($A127:$M127)=0,"",IF(OR(LEFT(LOWER(TRIM($F127&amp;"")),12)="subscription",LOWER(TRIM($F127&amp;""))="membership"),"",IF(OR($N127="",$I127="",$I127=0),"",IFERROR($N127/$I127,""))))</x:f>
      </x:c>
      <x:c r="P127" s="987" t="str">
        <x:f>IF(COUNTA($A127:$M127)=0,"",IF(OR(LEFT(LOWER(TRIM($F127&amp;"")),12)="subscription",LOWER(TRIM($F127&amp;""))="membership"),"",IF(LOWER($L127&amp;"")="yes",0,IF(OR(AND($H127&lt;&gt;"",$H127=0),LEFT(LOWER(TRIM($F127&amp;"")),9)="free game",LOWER(TRIM($F127&amp;""))="free",LOWER(TRIM($F127&amp;""))="free entry"),IF(LOWER($D127&amp;"")="finalized",IF(ISNUMBER($K127),$K127,""),IF($O127&lt;&gt;"",$O127,"")),IF($K127&lt;&gt;"",$K127,IF($O127&lt;&gt;"",$O127,""))))))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IF(COUNTA($A127:$M127)=0,"",IF(OR(LEFT(LOWER(TRIM($F127&amp;"")),12)="subscription",LOWER(TRIM($F127&amp;""))="membership"),"Subscription",IF(OR(AND($H127&lt;&gt;"",$H127=0),LEFT(LOWER(TRIM($F127&amp;"")),9)="free game",LOWER(TRIM($F127&amp;""))="free",LOWER(TRIM($F127&amp;""))="free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IF(COUNTA($A128:$M128)=0,"",IF(OR(LEFT(LOWER(TRIM($F128&amp;"")),12)="subscription",LOWER(TRIM($F128&amp;""))="membership"),"",IF($G128="","",IF(ISNUMBER(SEARCH("non",LOWER($E128&amp;""))),$G128*0.85,$G128))))</x:f>
      </x:c>
      <x:c r="O128" s="987" t="str">
        <x:f>IF(COUNTA($A128:$M128)=0,"",IF(OR(LEFT(LOWER(TRIM($F128&amp;"")),12)="subscription",LOWER(TRIM($F128&amp;""))="membership"),"",IF(OR($N128="",$I128="",$I128=0),"",IFERROR($N128/$I128,""))))</x:f>
      </x:c>
      <x:c r="P128" s="987" t="str">
        <x:f>IF(COUNTA($A128:$M128)=0,"",IF(OR(LEFT(LOWER(TRIM($F128&amp;"")),12)="subscription",LOWER(TRIM($F128&amp;""))="membership"),"",IF(LOWER($L128&amp;"")="yes",0,IF(OR(AND($H128&lt;&gt;"",$H128=0),LEFT(LOWER(TRIM($F128&amp;"")),9)="free game",LOWER(TRIM($F128&amp;""))="free",LOWER(TRIM($F128&amp;""))="free entry"),IF(LOWER($D128&amp;"")="finalized",IF(ISNUMBER($K128),$K128,""),IF($O128&lt;&gt;"",$O128,"")),IF($K128&lt;&gt;"",$K128,IF($O128&lt;&gt;"",$O128,""))))))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IF(COUNTA($A128:$M128)=0,"",IF(OR(LEFT(LOWER(TRIM($F128&amp;"")),12)="subscription",LOWER(TRIM($F128&amp;""))="membership"),"Subscription",IF(OR(AND($H128&lt;&gt;"",$H128=0),LEFT(LOWER(TRIM($F128&amp;"")),9)="free game",LOWER(TRIM($F128&amp;""))="free",LOWER(TRIM($F128&amp;""))="free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IF(COUNTA($A129:$M129)=0,"",IF(OR(LEFT(LOWER(TRIM($F129&amp;"")),12)="subscription",LOWER(TRIM($F129&amp;""))="membership"),"",IF($G129="","",IF(ISNUMBER(SEARCH("non",LOWER($E129&amp;""))),$G129*0.85,$G129))))</x:f>
      </x:c>
      <x:c r="O129" s="987" t="str">
        <x:f>IF(COUNTA($A129:$M129)=0,"",IF(OR(LEFT(LOWER(TRIM($F129&amp;"")),12)="subscription",LOWER(TRIM($F129&amp;""))="membership"),"",IF(OR($N129="",$I129="",$I129=0),"",IFERROR($N129/$I129,""))))</x:f>
      </x:c>
      <x:c r="P129" s="987" t="str">
        <x:f>IF(COUNTA($A129:$M129)=0,"",IF(OR(LEFT(LOWER(TRIM($F129&amp;"")),12)="subscription",LOWER(TRIM($F129&amp;""))="membership"),"",IF(LOWER($L129&amp;"")="yes",0,IF(OR(AND($H129&lt;&gt;"",$H129=0),LEFT(LOWER(TRIM($F129&amp;"")),9)="free game",LOWER(TRIM($F129&amp;""))="free",LOWER(TRIM($F129&amp;""))="free entry"),IF(LOWER($D129&amp;"")="finalized",IF(ISNUMBER($K129),$K129,""),IF($O129&lt;&gt;"",$O129,"")),IF($K129&lt;&gt;"",$K129,IF($O129&lt;&gt;"",$O129,""))))))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IF(COUNTA($A129:$M129)=0,"",IF(OR(LEFT(LOWER(TRIM($F129&amp;"")),12)="subscription",LOWER(TRIM($F129&amp;""))="membership"),"Subscription",IF(OR(AND($H129&lt;&gt;"",$H129=0),LEFT(LOWER(TRIM($F129&amp;"")),9)="free game",LOWER(TRIM($F129&amp;""))="free",LOWER(TRIM($F129&amp;""))="free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IF(COUNTA($A130:$M130)=0,"",IF(OR(LEFT(LOWER(TRIM($F130&amp;"")),12)="subscription",LOWER(TRIM($F130&amp;""))="membership"),"",IF($G130="","",IF(ISNUMBER(SEARCH("non",LOWER($E130&amp;""))),$G130*0.85,$G130))))</x:f>
      </x:c>
      <x:c r="O130" s="987" t="str">
        <x:f>IF(COUNTA($A130:$M130)=0,"",IF(OR(LEFT(LOWER(TRIM($F130&amp;"")),12)="subscription",LOWER(TRIM($F130&amp;""))="membership"),"",IF(OR($N130="",$I130="",$I130=0),"",IFERROR($N130/$I130,""))))</x:f>
      </x:c>
      <x:c r="P130" s="987" t="str">
        <x:f>IF(COUNTA($A130:$M130)=0,"",IF(OR(LEFT(LOWER(TRIM($F130&amp;"")),12)="subscription",LOWER(TRIM($F130&amp;""))="membership"),"",IF(LOWER($L130&amp;"")="yes",0,IF(OR(AND($H130&lt;&gt;"",$H130=0),LEFT(LOWER(TRIM($F130&amp;"")),9)="free game",LOWER(TRIM($F130&amp;""))="free",LOWER(TRIM($F130&amp;""))="free entry"),IF(LOWER($D130&amp;"")="finalized",IF(ISNUMBER($K130),$K130,""),IF($O130&lt;&gt;"",$O130,"")),IF($K130&lt;&gt;"",$K130,IF($O130&lt;&gt;"",$O130,""))))))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IF(COUNTA($A130:$M130)=0,"",IF(OR(LEFT(LOWER(TRIM($F130&amp;"")),12)="subscription",LOWER(TRIM($F130&amp;""))="membership"),"Subscription",IF(OR(AND($H130&lt;&gt;"",$H130=0),LEFT(LOWER(TRIM($F130&amp;"")),9)="free game",LOWER(TRIM($F130&amp;""))="free",LOWER(TRIM($F130&amp;""))="free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IF(COUNTA($A131:$M131)=0,"",IF(OR(LEFT(LOWER(TRIM($F131&amp;"")),12)="subscription",LOWER(TRIM($F131&amp;""))="membership"),"",IF($G131="","",IF(ISNUMBER(SEARCH("non",LOWER($E131&amp;""))),$G131*0.85,$G131))))</x:f>
      </x:c>
      <x:c r="O131" s="987" t="str">
        <x:f>IF(COUNTA($A131:$M131)=0,"",IF(OR(LEFT(LOWER(TRIM($F131&amp;"")),12)="subscription",LOWER(TRIM($F131&amp;""))="membership"),"",IF(OR($N131="",$I131="",$I131=0),"",IFERROR($N131/$I131,""))))</x:f>
      </x:c>
      <x:c r="P131" s="987" t="str">
        <x:f>IF(COUNTA($A131:$M131)=0,"",IF(OR(LEFT(LOWER(TRIM($F131&amp;"")),12)="subscription",LOWER(TRIM($F131&amp;""))="membership"),"",IF(LOWER($L131&amp;"")="yes",0,IF(OR(AND($H131&lt;&gt;"",$H131=0),LEFT(LOWER(TRIM($F131&amp;"")),9)="free game",LOWER(TRIM($F131&amp;""))="free",LOWER(TRIM($F131&amp;""))="free entry"),IF(LOWER($D131&amp;"")="finalized",IF(ISNUMBER($K131),$K131,""),IF($O131&lt;&gt;"",$O131,"")),IF($K131&lt;&gt;"",$K131,IF($O131&lt;&gt;"",$O131,""))))))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IF(COUNTA($A131:$M131)=0,"",IF(OR(LEFT(LOWER(TRIM($F131&amp;"")),12)="subscription",LOWER(TRIM($F131&amp;""))="membership"),"Subscription",IF(OR(AND($H131&lt;&gt;"",$H131=0),LEFT(LOWER(TRIM($F131&amp;"")),9)="free game",LOWER(TRIM($F131&amp;""))="free",LOWER(TRIM($F131&amp;""))="free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IF(COUNTA($A132:$M132)=0,"",IF(OR(LEFT(LOWER(TRIM($F132&amp;"")),12)="subscription",LOWER(TRIM($F132&amp;""))="membership"),"",IF($G132="","",IF(ISNUMBER(SEARCH("non",LOWER($E132&amp;""))),$G132*0.85,$G132))))</x:f>
      </x:c>
      <x:c r="O132" s="987" t="str">
        <x:f>IF(COUNTA($A132:$M132)=0,"",IF(OR(LEFT(LOWER(TRIM($F132&amp;"")),12)="subscription",LOWER(TRIM($F132&amp;""))="membership"),"",IF(OR($N132="",$I132="",$I132=0),"",IFERROR($N132/$I132,""))))</x:f>
      </x:c>
      <x:c r="P132" s="987" t="str">
        <x:f>IF(COUNTA($A132:$M132)=0,"",IF(OR(LEFT(LOWER(TRIM($F132&amp;"")),12)="subscription",LOWER(TRIM($F132&amp;""))="membership"),"",IF(LOWER($L132&amp;"")="yes",0,IF(OR(AND($H132&lt;&gt;"",$H132=0),LEFT(LOWER(TRIM($F132&amp;"")),9)="free game",LOWER(TRIM($F132&amp;""))="free",LOWER(TRIM($F132&amp;""))="free entry"),IF(LOWER($D132&amp;"")="finalized",IF(ISNUMBER($K132),$K132,""),IF($O132&lt;&gt;"",$O132,"")),IF($K132&lt;&gt;"",$K132,IF($O132&lt;&gt;"",$O132,""))))))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IF(COUNTA($A132:$M132)=0,"",IF(OR(LEFT(LOWER(TRIM($F132&amp;"")),12)="subscription",LOWER(TRIM($F132&amp;""))="membership"),"Subscription",IF(OR(AND($H132&lt;&gt;"",$H132=0),LEFT(LOWER(TRIM($F132&amp;"")),9)="free game",LOWER(TRIM($F132&amp;""))="free",LOWER(TRIM($F132&amp;""))="free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IF(COUNTA($A133:$M133)=0,"",IF(OR(LEFT(LOWER(TRIM($F133&amp;"")),12)="subscription",LOWER(TRIM($F133&amp;""))="membership"),"",IF($G133="","",IF(ISNUMBER(SEARCH("non",LOWER($E133&amp;""))),$G133*0.85,$G133))))</x:f>
      </x:c>
      <x:c r="O133" s="987" t="str">
        <x:f>IF(COUNTA($A133:$M133)=0,"",IF(OR(LEFT(LOWER(TRIM($F133&amp;"")),12)="subscription",LOWER(TRIM($F133&amp;""))="membership"),"",IF(OR($N133="",$I133="",$I133=0),"",IFERROR($N133/$I133,""))))</x:f>
      </x:c>
      <x:c r="P133" s="987" t="str">
        <x:f>IF(COUNTA($A133:$M133)=0,"",IF(OR(LEFT(LOWER(TRIM($F133&amp;"")),12)="subscription",LOWER(TRIM($F133&amp;""))="membership"),"",IF(LOWER($L133&amp;"")="yes",0,IF(OR(AND($H133&lt;&gt;"",$H133=0),LEFT(LOWER(TRIM($F133&amp;"")),9)="free game",LOWER(TRIM($F133&amp;""))="free",LOWER(TRIM($F133&amp;""))="free entry"),IF(LOWER($D133&amp;"")="finalized",IF(ISNUMBER($K133),$K133,""),IF($O133&lt;&gt;"",$O133,"")),IF($K133&lt;&gt;"",$K133,IF($O133&lt;&gt;"",$O133,""))))))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IF(COUNTA($A133:$M133)=0,"",IF(OR(LEFT(LOWER(TRIM($F133&amp;"")),12)="subscription",LOWER(TRIM($F133&amp;""))="membership"),"Subscription",IF(OR(AND($H133&lt;&gt;"",$H133=0),LEFT(LOWER(TRIM($F133&amp;"")),9)="free game",LOWER(TRIM($F133&amp;""))="free",LOWER(TRIM($F133&amp;""))="free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IF(COUNTA($A134:$M134)=0,"",IF(OR(LEFT(LOWER(TRIM($F134&amp;"")),12)="subscription",LOWER(TRIM($F134&amp;""))="membership"),"",IF($G134="","",IF(ISNUMBER(SEARCH("non",LOWER($E134&amp;""))),$G134*0.85,$G134))))</x:f>
      </x:c>
      <x:c r="O134" s="987" t="str">
        <x:f>IF(COUNTA($A134:$M134)=0,"",IF(OR(LEFT(LOWER(TRIM($F134&amp;"")),12)="subscription",LOWER(TRIM($F134&amp;""))="membership"),"",IF(OR($N134="",$I134="",$I134=0),"",IFERROR($N134/$I134,""))))</x:f>
      </x:c>
      <x:c r="P134" s="987" t="str">
        <x:f>IF(COUNTA($A134:$M134)=0,"",IF(OR(LEFT(LOWER(TRIM($F134&amp;"")),12)="subscription",LOWER(TRIM($F134&amp;""))="membership"),"",IF(LOWER($L134&amp;"")="yes",0,IF(OR(AND($H134&lt;&gt;"",$H134=0),LEFT(LOWER(TRIM($F134&amp;"")),9)="free game",LOWER(TRIM($F134&amp;""))="free",LOWER(TRIM($F134&amp;""))="free entry"),IF(LOWER($D134&amp;"")="finalized",IF(ISNUMBER($K134),$K134,""),IF($O134&lt;&gt;"",$O134,"")),IF($K134&lt;&gt;"",$K134,IF($O134&lt;&gt;"",$O134,""))))))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IF(COUNTA($A134:$M134)=0,"",IF(OR(LEFT(LOWER(TRIM($F134&amp;"")),12)="subscription",LOWER(TRIM($F134&amp;""))="membership"),"Subscription",IF(OR(AND($H134&lt;&gt;"",$H134=0),LEFT(LOWER(TRIM($F134&amp;"")),9)="free game",LOWER(TRIM($F134&amp;""))="free",LOWER(TRIM($F134&amp;""))="free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IF(COUNTA($A135:$M135)=0,"",IF(OR(LEFT(LOWER(TRIM($F135&amp;"")),12)="subscription",LOWER(TRIM($F135&amp;""))="membership"),"",IF($G135="","",IF(ISNUMBER(SEARCH("non",LOWER($E135&amp;""))),$G135*0.85,$G135))))</x:f>
      </x:c>
      <x:c r="O135" s="987" t="str">
        <x:f>IF(COUNTA($A135:$M135)=0,"",IF(OR(LEFT(LOWER(TRIM($F135&amp;"")),12)="subscription",LOWER(TRIM($F135&amp;""))="membership"),"",IF(OR($N135="",$I135="",$I135=0),"",IFERROR($N135/$I135,""))))</x:f>
      </x:c>
      <x:c r="P135" s="987" t="str">
        <x:f>IF(COUNTA($A135:$M135)=0,"",IF(OR(LEFT(LOWER(TRIM($F135&amp;"")),12)="subscription",LOWER(TRIM($F135&amp;""))="membership"),"",IF(LOWER($L135&amp;"")="yes",0,IF(OR(AND($H135&lt;&gt;"",$H135=0),LEFT(LOWER(TRIM($F135&amp;"")),9)="free game",LOWER(TRIM($F135&amp;""))="free",LOWER(TRIM($F135&amp;""))="free entry"),IF(LOWER($D135&amp;"")="finalized",IF(ISNUMBER($K135),$K135,""),IF($O135&lt;&gt;"",$O135,"")),IF($K135&lt;&gt;"",$K135,IF($O135&lt;&gt;"",$O135,""))))))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IF(COUNTA($A135:$M135)=0,"",IF(OR(LEFT(LOWER(TRIM($F135&amp;"")),12)="subscription",LOWER(TRIM($F135&amp;""))="membership"),"Subscription",IF(OR(AND($H135&lt;&gt;"",$H135=0),LEFT(LOWER(TRIM($F135&amp;"")),9)="free game",LOWER(TRIM($F135&amp;""))="free",LOWER(TRIM($F135&amp;""))="free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IF(COUNTA($A136:$M136)=0,"",IF(OR(LEFT(LOWER(TRIM($F136&amp;"")),12)="subscription",LOWER(TRIM($F136&amp;""))="membership"),"",IF($G136="","",IF(ISNUMBER(SEARCH("non",LOWER($E136&amp;""))),$G136*0.85,$G136))))</x:f>
      </x:c>
      <x:c r="O136" s="987" t="str">
        <x:f>IF(COUNTA($A136:$M136)=0,"",IF(OR(LEFT(LOWER(TRIM($F136&amp;"")),12)="subscription",LOWER(TRIM($F136&amp;""))="membership"),"",IF(OR($N136="",$I136="",$I136=0),"",IFERROR($N136/$I136,""))))</x:f>
      </x:c>
      <x:c r="P136" s="987" t="str">
        <x:f>IF(COUNTA($A136:$M136)=0,"",IF(OR(LEFT(LOWER(TRIM($F136&amp;"")),12)="subscription",LOWER(TRIM($F136&amp;""))="membership"),"",IF(LOWER($L136&amp;"")="yes",0,IF(OR(AND($H136&lt;&gt;"",$H136=0),LEFT(LOWER(TRIM($F136&amp;"")),9)="free game",LOWER(TRIM($F136&amp;""))="free",LOWER(TRIM($F136&amp;""))="free entry"),IF(LOWER($D136&amp;"")="finalized",IF(ISNUMBER($K136),$K136,""),IF($O136&lt;&gt;"",$O136,"")),IF($K136&lt;&gt;"",$K136,IF($O136&lt;&gt;"",$O136,""))))))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IF(COUNTA($A136:$M136)=0,"",IF(OR(LEFT(LOWER(TRIM($F136&amp;"")),12)="subscription",LOWER(TRIM($F136&amp;""))="membership"),"Subscription",IF(OR(AND($H136&lt;&gt;"",$H136=0),LEFT(LOWER(TRIM($F136&amp;"")),9)="free game",LOWER(TRIM($F136&amp;""))="free",LOWER(TRIM($F136&amp;""))="free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IF(COUNTA($A137:$M137)=0,"",IF(OR(LEFT(LOWER(TRIM($F137&amp;"")),12)="subscription",LOWER(TRIM($F137&amp;""))="membership"),"",IF($G137="","",IF(ISNUMBER(SEARCH("non",LOWER($E137&amp;""))),$G137*0.85,$G137))))</x:f>
      </x:c>
      <x:c r="O137" s="987" t="str">
        <x:f>IF(COUNTA($A137:$M137)=0,"",IF(OR(LEFT(LOWER(TRIM($F137&amp;"")),12)="subscription",LOWER(TRIM($F137&amp;""))="membership"),"",IF(OR($N137="",$I137="",$I137=0),"",IFERROR($N137/$I137,""))))</x:f>
      </x:c>
      <x:c r="P137" s="987" t="str">
        <x:f>IF(COUNTA($A137:$M137)=0,"",IF(OR(LEFT(LOWER(TRIM($F137&amp;"")),12)="subscription",LOWER(TRIM($F137&amp;""))="membership"),"",IF(LOWER($L137&amp;"")="yes",0,IF(OR(AND($H137&lt;&gt;"",$H137=0),LEFT(LOWER(TRIM($F137&amp;"")),9)="free game",LOWER(TRIM($F137&amp;""))="free",LOWER(TRIM($F137&amp;""))="free entry"),IF(LOWER($D137&amp;"")="finalized",IF(ISNUMBER($K137),$K137,""),IF($O137&lt;&gt;"",$O137,"")),IF($K137&lt;&gt;"",$K137,IF($O137&lt;&gt;"",$O137,""))))))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IF(COUNTA($A137:$M137)=0,"",IF(OR(LEFT(LOWER(TRIM($F137&amp;"")),12)="subscription",LOWER(TRIM($F137&amp;""))="membership"),"Subscription",IF(OR(AND($H137&lt;&gt;"",$H137=0),LEFT(LOWER(TRIM($F137&amp;"")),9)="free game",LOWER(TRIM($F137&amp;""))="free",LOWER(TRIM($F137&amp;""))="free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IF(COUNTA($A138:$M138)=0,"",IF(OR(LEFT(LOWER(TRIM($F138&amp;"")),12)="subscription",LOWER(TRIM($F138&amp;""))="membership"),"",IF($G138="","",IF(ISNUMBER(SEARCH("non",LOWER($E138&amp;""))),$G138*0.85,$G138))))</x:f>
      </x:c>
      <x:c r="O138" s="987" t="str">
        <x:f>IF(COUNTA($A138:$M138)=0,"",IF(OR(LEFT(LOWER(TRIM($F138&amp;"")),12)="subscription",LOWER(TRIM($F138&amp;""))="membership"),"",IF(OR($N138="",$I138="",$I138=0),"",IFERROR($N138/$I138,""))))</x:f>
      </x:c>
      <x:c r="P138" s="987" t="str">
        <x:f>IF(COUNTA($A138:$M138)=0,"",IF(OR(LEFT(LOWER(TRIM($F138&amp;"")),12)="subscription",LOWER(TRIM($F138&amp;""))="membership"),"",IF(LOWER($L138&amp;"")="yes",0,IF(OR(AND($H138&lt;&gt;"",$H138=0),LEFT(LOWER(TRIM($F138&amp;"")),9)="free game",LOWER(TRIM($F138&amp;""))="free",LOWER(TRIM($F138&amp;""))="free entry"),IF(LOWER($D138&amp;"")="finalized",IF(ISNUMBER($K138),$K138,""),IF($O138&lt;&gt;"",$O138,"")),IF($K138&lt;&gt;"",$K138,IF($O138&lt;&gt;"",$O138,""))))))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IF(COUNTA($A138:$M138)=0,"",IF(OR(LEFT(LOWER(TRIM($F138&amp;"")),12)="subscription",LOWER(TRIM($F138&amp;""))="membership"),"Subscription",IF(OR(AND($H138&lt;&gt;"",$H138=0),LEFT(LOWER(TRIM($F138&amp;"")),9)="free game",LOWER(TRIM($F138&amp;""))="free",LOWER(TRIM($F138&amp;""))="free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IF(COUNTA($A139:$M139)=0,"",IF(OR(LEFT(LOWER(TRIM($F139&amp;"")),12)="subscription",LOWER(TRIM($F139&amp;""))="membership"),"",IF($G139="","",IF(ISNUMBER(SEARCH("non",LOWER($E139&amp;""))),$G139*0.85,$G139))))</x:f>
      </x:c>
      <x:c r="O139" s="987" t="str">
        <x:f>IF(COUNTA($A139:$M139)=0,"",IF(OR(LEFT(LOWER(TRIM($F139&amp;"")),12)="subscription",LOWER(TRIM($F139&amp;""))="membership"),"",IF(OR($N139="",$I139="",$I139=0),"",IFERROR($N139/$I139,""))))</x:f>
      </x:c>
      <x:c r="P139" s="987" t="str">
        <x:f>IF(COUNTA($A139:$M139)=0,"",IF(OR(LEFT(LOWER(TRIM($F139&amp;"")),12)="subscription",LOWER(TRIM($F139&amp;""))="membership"),"",IF(LOWER($L139&amp;"")="yes",0,IF(OR(AND($H139&lt;&gt;"",$H139=0),LEFT(LOWER(TRIM($F139&amp;"")),9)="free game",LOWER(TRIM($F139&amp;""))="free",LOWER(TRIM($F139&amp;""))="free entry"),IF(LOWER($D139&amp;"")="finalized",IF(ISNUMBER($K139),$K139,""),IF($O139&lt;&gt;"",$O139,"")),IF($K139&lt;&gt;"",$K139,IF($O139&lt;&gt;"",$O139,""))))))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IF(COUNTA($A139:$M139)=0,"",IF(OR(LEFT(LOWER(TRIM($F139&amp;"")),12)="subscription",LOWER(TRIM($F139&amp;""))="membership"),"Subscription",IF(OR(AND($H139&lt;&gt;"",$H139=0),LEFT(LOWER(TRIM($F139&amp;"")),9)="free game",LOWER(TRIM($F139&amp;""))="free",LOWER(TRIM($F139&amp;""))="free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IF(COUNTA($A140:$M140)=0,"",IF(OR(LEFT(LOWER(TRIM($F140&amp;"")),12)="subscription",LOWER(TRIM($F140&amp;""))="membership"),"",IF($G140="","",IF(ISNUMBER(SEARCH("non",LOWER($E140&amp;""))),$G140*0.85,$G140))))</x:f>
      </x:c>
      <x:c r="O140" s="987" t="str">
        <x:f>IF(COUNTA($A140:$M140)=0,"",IF(OR(LEFT(LOWER(TRIM($F140&amp;"")),12)="subscription",LOWER(TRIM($F140&amp;""))="membership"),"",IF(OR($N140="",$I140="",$I140=0),"",IFERROR($N140/$I140,""))))</x:f>
      </x:c>
      <x:c r="P140" s="987" t="str">
        <x:f>IF(COUNTA($A140:$M140)=0,"",IF(OR(LEFT(LOWER(TRIM($F140&amp;"")),12)="subscription",LOWER(TRIM($F140&amp;""))="membership"),"",IF(LOWER($L140&amp;"")="yes",0,IF(OR(AND($H140&lt;&gt;"",$H140=0),LEFT(LOWER(TRIM($F140&amp;"")),9)="free game",LOWER(TRIM($F140&amp;""))="free",LOWER(TRIM($F140&amp;""))="free entry"),IF(LOWER($D140&amp;"")="finalized",IF(ISNUMBER($K140),$K140,""),IF($O140&lt;&gt;"",$O140,"")),IF($K140&lt;&gt;"",$K140,IF($O140&lt;&gt;"",$O140,""))))))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IF(COUNTA($A140:$M140)=0,"",IF(OR(LEFT(LOWER(TRIM($F140&amp;"")),12)="subscription",LOWER(TRIM($F140&amp;""))="membership"),"Subscription",IF(OR(AND($H140&lt;&gt;"",$H140=0),LEFT(LOWER(TRIM($F140&amp;"")),9)="free game",LOWER(TRIM($F140&amp;""))="free",LOWER(TRIM($F140&amp;""))="free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IF(COUNTA($A141:$M141)=0,"",IF(OR(LEFT(LOWER(TRIM($F141&amp;"")),12)="subscription",LOWER(TRIM($F141&amp;""))="membership"),"",IF($G141="","",IF(ISNUMBER(SEARCH("non",LOWER($E141&amp;""))),$G141*0.85,$G141))))</x:f>
      </x:c>
      <x:c r="O141" s="987" t="str">
        <x:f>IF(COUNTA($A141:$M141)=0,"",IF(OR(LEFT(LOWER(TRIM($F141&amp;"")),12)="subscription",LOWER(TRIM($F141&amp;""))="membership"),"",IF(OR($N141="",$I141="",$I141=0),"",IFERROR($N141/$I141,""))))</x:f>
      </x:c>
      <x:c r="P141" s="987" t="str">
        <x:f>IF(COUNTA($A141:$M141)=0,"",IF(OR(LEFT(LOWER(TRIM($F141&amp;"")),12)="subscription",LOWER(TRIM($F141&amp;""))="membership"),"",IF(LOWER($L141&amp;"")="yes",0,IF(OR(AND($H141&lt;&gt;"",$H141=0),LEFT(LOWER(TRIM($F141&amp;"")),9)="free game",LOWER(TRIM($F141&amp;""))="free",LOWER(TRIM($F141&amp;""))="free entry"),IF(LOWER($D141&amp;"")="finalized",IF(ISNUMBER($K141),$K141,""),IF($O141&lt;&gt;"",$O141,"")),IF($K141&lt;&gt;"",$K141,IF($O141&lt;&gt;"",$O141,""))))))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IF(COUNTA($A141:$M141)=0,"",IF(OR(LEFT(LOWER(TRIM($F141&amp;"")),12)="subscription",LOWER(TRIM($F141&amp;""))="membership"),"Subscription",IF(OR(AND($H141&lt;&gt;"",$H141=0),LEFT(LOWER(TRIM($F141&amp;"")),9)="free game",LOWER(TRIM($F141&amp;""))="free",LOWER(TRIM($F141&amp;""))="free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IF(COUNTA($A142:$M142)=0,"",IF(OR(LEFT(LOWER(TRIM($F142&amp;"")),12)="subscription",LOWER(TRIM($F142&amp;""))="membership"),"",IF($G142="","",IF(ISNUMBER(SEARCH("non",LOWER($E142&amp;""))),$G142*0.85,$G142))))</x:f>
      </x:c>
      <x:c r="O142" s="987" t="str">
        <x:f>IF(COUNTA($A142:$M142)=0,"",IF(OR(LEFT(LOWER(TRIM($F142&amp;"")),12)="subscription",LOWER(TRIM($F142&amp;""))="membership"),"",IF(OR($N142="",$I142="",$I142=0),"",IFERROR($N142/$I142,""))))</x:f>
      </x:c>
      <x:c r="P142" s="987" t="str">
        <x:f>IF(COUNTA($A142:$M142)=0,"",IF(OR(LEFT(LOWER(TRIM($F142&amp;"")),12)="subscription",LOWER(TRIM($F142&amp;""))="membership"),"",IF(LOWER($L142&amp;"")="yes",0,IF(OR(AND($H142&lt;&gt;"",$H142=0),LEFT(LOWER(TRIM($F142&amp;"")),9)="free game",LOWER(TRIM($F142&amp;""))="free",LOWER(TRIM($F142&amp;""))="free entry"),IF(LOWER($D142&amp;"")="finalized",IF(ISNUMBER($K142),$K142,""),IF($O142&lt;&gt;"",$O142,"")),IF($K142&lt;&gt;"",$K142,IF($O142&lt;&gt;"",$O142,""))))))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IF(COUNTA($A142:$M142)=0,"",IF(OR(LEFT(LOWER(TRIM($F142&amp;"")),12)="subscription",LOWER(TRIM($F142&amp;""))="membership"),"Subscription",IF(OR(AND($H142&lt;&gt;"",$H142=0),LEFT(LOWER(TRIM($F142&amp;"")),9)="free game",LOWER(TRIM($F142&amp;""))="free",LOWER(TRIM($F142&amp;""))="free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IF(COUNTA($A143:$M143)=0,"",IF(OR(LEFT(LOWER(TRIM($F143&amp;"")),12)="subscription",LOWER(TRIM($F143&amp;""))="membership"),"",IF($G143="","",IF(ISNUMBER(SEARCH("non",LOWER($E143&amp;""))),$G143*0.85,$G143))))</x:f>
      </x:c>
      <x:c r="O143" s="987" t="str">
        <x:f>IF(COUNTA($A143:$M143)=0,"",IF(OR(LEFT(LOWER(TRIM($F143&amp;"")),12)="subscription",LOWER(TRIM($F143&amp;""))="membership"),"",IF(OR($N143="",$I143="",$I143=0),"",IFERROR($N143/$I143,""))))</x:f>
      </x:c>
      <x:c r="P143" s="987" t="str">
        <x:f>IF(COUNTA($A143:$M143)=0,"",IF(OR(LEFT(LOWER(TRIM($F143&amp;"")),12)="subscription",LOWER(TRIM($F143&amp;""))="membership"),"",IF(LOWER($L143&amp;"")="yes",0,IF(OR(AND($H143&lt;&gt;"",$H143=0),LEFT(LOWER(TRIM($F143&amp;"")),9)="free game",LOWER(TRIM($F143&amp;""))="free",LOWER(TRIM($F143&amp;""))="free entry"),IF(LOWER($D143&amp;"")="finalized",IF(ISNUMBER($K143),$K143,""),IF($O143&lt;&gt;"",$O143,"")),IF($K143&lt;&gt;"",$K143,IF($O143&lt;&gt;"",$O143,""))))))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IF(COUNTA($A143:$M143)=0,"",IF(OR(LEFT(LOWER(TRIM($F143&amp;"")),12)="subscription",LOWER(TRIM($F143&amp;""))="membership"),"Subscription",IF(OR(AND($H143&lt;&gt;"",$H143=0),LEFT(LOWER(TRIM($F143&amp;"")),9)="free game",LOWER(TRIM($F143&amp;""))="free",LOWER(TRIM($F143&amp;""))="free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IF(COUNTA($A144:$M144)=0,"",IF(OR(LEFT(LOWER(TRIM($F144&amp;"")),12)="subscription",LOWER(TRIM($F144&amp;""))="membership"),"",IF($G144="","",IF(ISNUMBER(SEARCH("non",LOWER($E144&amp;""))),$G144*0.85,$G144))))</x:f>
      </x:c>
      <x:c r="O144" s="987" t="str">
        <x:f>IF(COUNTA($A144:$M144)=0,"",IF(OR(LEFT(LOWER(TRIM($F144&amp;"")),12)="subscription",LOWER(TRIM($F144&amp;""))="membership"),"",IF(OR($N144="",$I144="",$I144=0),"",IFERROR($N144/$I144,""))))</x:f>
      </x:c>
      <x:c r="P144" s="987" t="str">
        <x:f>IF(COUNTA($A144:$M144)=0,"",IF(OR(LEFT(LOWER(TRIM($F144&amp;"")),12)="subscription",LOWER(TRIM($F144&amp;""))="membership"),"",IF(LOWER($L144&amp;"")="yes",0,IF(OR(AND($H144&lt;&gt;"",$H144=0),LEFT(LOWER(TRIM($F144&amp;"")),9)="free game",LOWER(TRIM($F144&amp;""))="free",LOWER(TRIM($F144&amp;""))="free entry"),IF(LOWER($D144&amp;"")="finalized",IF(ISNUMBER($K144),$K144,""),IF($O144&lt;&gt;"",$O144,"")),IF($K144&lt;&gt;"",$K144,IF($O144&lt;&gt;"",$O144,""))))))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IF(COUNTA($A144:$M144)=0,"",IF(OR(LEFT(LOWER(TRIM($F144&amp;"")),12)="subscription",LOWER(TRIM($F144&amp;""))="membership"),"Subscription",IF(OR(AND($H144&lt;&gt;"",$H144=0),LEFT(LOWER(TRIM($F144&amp;"")),9)="free game",LOWER(TRIM($F144&amp;""))="free",LOWER(TRIM($F144&amp;""))="free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IF(COUNTA($A145:$M145)=0,"",IF(OR(LEFT(LOWER(TRIM($F145&amp;"")),12)="subscription",LOWER(TRIM($F145&amp;""))="membership"),"",IF($G145="","",IF(ISNUMBER(SEARCH("non",LOWER($E145&amp;""))),$G145*0.85,$G145))))</x:f>
      </x:c>
      <x:c r="O145" s="987" t="str">
        <x:f>IF(COUNTA($A145:$M145)=0,"",IF(OR(LEFT(LOWER(TRIM($F145&amp;"")),12)="subscription",LOWER(TRIM($F145&amp;""))="membership"),"",IF(OR($N145="",$I145="",$I145=0),"",IFERROR($N145/$I145,""))))</x:f>
      </x:c>
      <x:c r="P145" s="987" t="str">
        <x:f>IF(COUNTA($A145:$M145)=0,"",IF(OR(LEFT(LOWER(TRIM($F145&amp;"")),12)="subscription",LOWER(TRIM($F145&amp;""))="membership"),"",IF(LOWER($L145&amp;"")="yes",0,IF(OR(AND($H145&lt;&gt;"",$H145=0),LEFT(LOWER(TRIM($F145&amp;"")),9)="free game",LOWER(TRIM($F145&amp;""))="free",LOWER(TRIM($F145&amp;""))="free entry"),IF(LOWER($D145&amp;"")="finalized",IF(ISNUMBER($K145),$K145,""),IF($O145&lt;&gt;"",$O145,"")),IF($K145&lt;&gt;"",$K145,IF($O145&lt;&gt;"",$O145,""))))))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IF(COUNTA($A145:$M145)=0,"",IF(OR(LEFT(LOWER(TRIM($F145&amp;"")),12)="subscription",LOWER(TRIM($F145&amp;""))="membership"),"Subscription",IF(OR(AND($H145&lt;&gt;"",$H145=0),LEFT(LOWER(TRIM($F145&amp;"")),9)="free game",LOWER(TRIM($F145&amp;""))="free",LOWER(TRIM($F145&amp;""))="free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IF(COUNTA($A146:$M146)=0,"",IF(OR(LEFT(LOWER(TRIM($F146&amp;"")),12)="subscription",LOWER(TRIM($F146&amp;""))="membership"),"",IF($G146="","",IF(ISNUMBER(SEARCH("non",LOWER($E146&amp;""))),$G146*0.85,$G146))))</x:f>
      </x:c>
      <x:c r="O146" s="987" t="str">
        <x:f>IF(COUNTA($A146:$M146)=0,"",IF(OR(LEFT(LOWER(TRIM($F146&amp;"")),12)="subscription",LOWER(TRIM($F146&amp;""))="membership"),"",IF(OR($N146="",$I146="",$I146=0),"",IFERROR($N146/$I146,""))))</x:f>
      </x:c>
      <x:c r="P146" s="987" t="str">
        <x:f>IF(COUNTA($A146:$M146)=0,"",IF(OR(LEFT(LOWER(TRIM($F146&amp;"")),12)="subscription",LOWER(TRIM($F146&amp;""))="membership"),"",IF(LOWER($L146&amp;"")="yes",0,IF(OR(AND($H146&lt;&gt;"",$H146=0),LEFT(LOWER(TRIM($F146&amp;"")),9)="free game",LOWER(TRIM($F146&amp;""))="free",LOWER(TRIM($F146&amp;""))="free entry"),IF(LOWER($D146&amp;"")="finalized",IF(ISNUMBER($K146),$K146,""),IF($O146&lt;&gt;"",$O146,"")),IF($K146&lt;&gt;"",$K146,IF($O146&lt;&gt;"",$O146,""))))))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IF(COUNTA($A146:$M146)=0,"",IF(OR(LEFT(LOWER(TRIM($F146&amp;"")),12)="subscription",LOWER(TRIM($F146&amp;""))="membership"),"Subscription",IF(OR(AND($H146&lt;&gt;"",$H146=0),LEFT(LOWER(TRIM($F146&amp;"")),9)="free game",LOWER(TRIM($F146&amp;""))="free",LOWER(TRIM($F146&amp;""))="free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IF(COUNTA($A147:$M147)=0,"",IF(OR(LEFT(LOWER(TRIM($F147&amp;"")),12)="subscription",LOWER(TRIM($F147&amp;""))="membership"),"",IF($G147="","",IF(ISNUMBER(SEARCH("non",LOWER($E147&amp;""))),$G147*0.85,$G147))))</x:f>
      </x:c>
      <x:c r="O147" s="987" t="str">
        <x:f>IF(COUNTA($A147:$M147)=0,"",IF(OR(LEFT(LOWER(TRIM($F147&amp;"")),12)="subscription",LOWER(TRIM($F147&amp;""))="membership"),"",IF(OR($N147="",$I147="",$I147=0),"",IFERROR($N147/$I147,""))))</x:f>
      </x:c>
      <x:c r="P147" s="987" t="str">
        <x:f>IF(COUNTA($A147:$M147)=0,"",IF(OR(LEFT(LOWER(TRIM($F147&amp;"")),12)="subscription",LOWER(TRIM($F147&amp;""))="membership"),"",IF(LOWER($L147&amp;"")="yes",0,IF(OR(AND($H147&lt;&gt;"",$H147=0),LEFT(LOWER(TRIM($F147&amp;"")),9)="free game",LOWER(TRIM($F147&amp;""))="free",LOWER(TRIM($F147&amp;""))="free entry"),IF(LOWER($D147&amp;"")="finalized",IF(ISNUMBER($K147),$K147,""),IF($O147&lt;&gt;"",$O147,"")),IF($K147&lt;&gt;"",$K147,IF($O147&lt;&gt;"",$O147,""))))))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IF(COUNTA($A147:$M147)=0,"",IF(OR(LEFT(LOWER(TRIM($F147&amp;"")),12)="subscription",LOWER(TRIM($F147&amp;""))="membership"),"Subscription",IF(OR(AND($H147&lt;&gt;"",$H147=0),LEFT(LOWER(TRIM($F147&amp;"")),9)="free game",LOWER(TRIM($F147&amp;""))="free",LOWER(TRIM($F147&amp;""))="free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IF(COUNTA($A148:$M148)=0,"",IF(OR(LEFT(LOWER(TRIM($F148&amp;"")),12)="subscription",LOWER(TRIM($F148&amp;""))="membership"),"",IF($G148="","",IF(ISNUMBER(SEARCH("non",LOWER($E148&amp;""))),$G148*0.85,$G148))))</x:f>
      </x:c>
      <x:c r="O148" s="987" t="str">
        <x:f>IF(COUNTA($A148:$M148)=0,"",IF(OR(LEFT(LOWER(TRIM($F148&amp;"")),12)="subscription",LOWER(TRIM($F148&amp;""))="membership"),"",IF(OR($N148="",$I148="",$I148=0),"",IFERROR($N148/$I148,""))))</x:f>
      </x:c>
      <x:c r="P148" s="987" t="str">
        <x:f>IF(COUNTA($A148:$M148)=0,"",IF(OR(LEFT(LOWER(TRIM($F148&amp;"")),12)="subscription",LOWER(TRIM($F148&amp;""))="membership"),"",IF(LOWER($L148&amp;"")="yes",0,IF(OR(AND($H148&lt;&gt;"",$H148=0),LEFT(LOWER(TRIM($F148&amp;"")),9)="free game",LOWER(TRIM($F148&amp;""))="free",LOWER(TRIM($F148&amp;""))="free entry"),IF(LOWER($D148&amp;"")="finalized",IF(ISNUMBER($K148),$K148,""),IF($O148&lt;&gt;"",$O148,"")),IF($K148&lt;&gt;"",$K148,IF($O148&lt;&gt;"",$O148,""))))))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IF(COUNTA($A148:$M148)=0,"",IF(OR(LEFT(LOWER(TRIM($F148&amp;"")),12)="subscription",LOWER(TRIM($F148&amp;""))="membership"),"Subscription",IF(OR(AND($H148&lt;&gt;"",$H148=0),LEFT(LOWER(TRIM($F148&amp;"")),9)="free game",LOWER(TRIM($F148&amp;""))="free",LOWER(TRIM($F148&amp;""))="free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IF(COUNTA($A149:$M149)=0,"",IF(OR(LEFT(LOWER(TRIM($F149&amp;"")),12)="subscription",LOWER(TRIM($F149&amp;""))="membership"),"",IF($G149="","",IF(ISNUMBER(SEARCH("non",LOWER($E149&amp;""))),$G149*0.85,$G149))))</x:f>
      </x:c>
      <x:c r="O149" s="987" t="str">
        <x:f>IF(COUNTA($A149:$M149)=0,"",IF(OR(LEFT(LOWER(TRIM($F149&amp;"")),12)="subscription",LOWER(TRIM($F149&amp;""))="membership"),"",IF(OR($N149="",$I149="",$I149=0),"",IFERROR($N149/$I149,""))))</x:f>
      </x:c>
      <x:c r="P149" s="987" t="str">
        <x:f>IF(COUNTA($A149:$M149)=0,"",IF(OR(LEFT(LOWER(TRIM($F149&amp;"")),12)="subscription",LOWER(TRIM($F149&amp;""))="membership"),"",IF(LOWER($L149&amp;"")="yes",0,IF(OR(AND($H149&lt;&gt;"",$H149=0),LEFT(LOWER(TRIM($F149&amp;"")),9)="free game",LOWER(TRIM($F149&amp;""))="free",LOWER(TRIM($F149&amp;""))="free entry"),IF(LOWER($D149&amp;"")="finalized",IF(ISNUMBER($K149),$K149,""),IF($O149&lt;&gt;"",$O149,"")),IF($K149&lt;&gt;"",$K149,IF($O149&lt;&gt;"",$O149,""))))))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IF(COUNTA($A149:$M149)=0,"",IF(OR(LEFT(LOWER(TRIM($F149&amp;"")),12)="subscription",LOWER(TRIM($F149&amp;""))="membership"),"Subscription",IF(OR(AND($H149&lt;&gt;"",$H149=0),LEFT(LOWER(TRIM($F149&amp;"")),9)="free game",LOWER(TRIM($F149&amp;""))="free",LOWER(TRIM($F149&amp;""))="free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IF(COUNTA($A150:$M150)=0,"",IF(OR(LEFT(LOWER(TRIM($F150&amp;"")),12)="subscription",LOWER(TRIM($F150&amp;""))="membership"),"",IF($G150="","",IF(ISNUMBER(SEARCH("non",LOWER($E150&amp;""))),$G150*0.85,$G150))))</x:f>
      </x:c>
      <x:c r="O150" s="987" t="str">
        <x:f>IF(COUNTA($A150:$M150)=0,"",IF(OR(LEFT(LOWER(TRIM($F150&amp;"")),12)="subscription",LOWER(TRIM($F150&amp;""))="membership"),"",IF(OR($N150="",$I150="",$I150=0),"",IFERROR($N150/$I150,""))))</x:f>
      </x:c>
      <x:c r="P150" s="987" t="str">
        <x:f>IF(COUNTA($A150:$M150)=0,"",IF(OR(LEFT(LOWER(TRIM($F150&amp;"")),12)="subscription",LOWER(TRIM($F150&amp;""))="membership"),"",IF(LOWER($L150&amp;"")="yes",0,IF(OR(AND($H150&lt;&gt;"",$H150=0),LEFT(LOWER(TRIM($F150&amp;"")),9)="free game",LOWER(TRIM($F150&amp;""))="free",LOWER(TRIM($F150&amp;""))="free entry"),IF(LOWER($D150&amp;"")="finalized",IF(ISNUMBER($K150),$K150,""),IF($O150&lt;&gt;"",$O150,"")),IF($K150&lt;&gt;"",$K150,IF($O150&lt;&gt;"",$O150,""))))))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IF(COUNTA($A150:$M150)=0,"",IF(OR(LEFT(LOWER(TRIM($F150&amp;"")),12)="subscription",LOWER(TRIM($F150&amp;""))="membership"),"Subscription",IF(OR(AND($H150&lt;&gt;"",$H150=0),LEFT(LOWER(TRIM($F150&amp;"")),9)="free game",LOWER(TRIM($F150&amp;""))="free",LOWER(TRIM($F150&amp;""))="free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IF(COUNTA($A151:$M151)=0,"",IF(OR(LEFT(LOWER(TRIM($F151&amp;"")),12)="subscription",LOWER(TRIM($F151&amp;""))="membership"),"",IF($G151="","",IF(ISNUMBER(SEARCH("non",LOWER($E151&amp;""))),$G151*0.85,$G151))))</x:f>
      </x:c>
      <x:c r="O151" s="987" t="str">
        <x:f>IF(COUNTA($A151:$M151)=0,"",IF(OR(LEFT(LOWER(TRIM($F151&amp;"")),12)="subscription",LOWER(TRIM($F151&amp;""))="membership"),"",IF(OR($N151="",$I151="",$I151=0),"",IFERROR($N151/$I151,""))))</x:f>
      </x:c>
      <x:c r="P151" s="987" t="str">
        <x:f>IF(COUNTA($A151:$M151)=0,"",IF(OR(LEFT(LOWER(TRIM($F151&amp;"")),12)="subscription",LOWER(TRIM($F151&amp;""))="membership"),"",IF(LOWER($L151&amp;"")="yes",0,IF(OR(AND($H151&lt;&gt;"",$H151=0),LEFT(LOWER(TRIM($F151&amp;"")),9)="free game",LOWER(TRIM($F151&amp;""))="free",LOWER(TRIM($F151&amp;""))="free entry"),IF(LOWER($D151&amp;"")="finalized",IF(ISNUMBER($K151),$K151,""),IF($O151&lt;&gt;"",$O151,"")),IF($K151&lt;&gt;"",$K151,IF($O151&lt;&gt;"",$O151,""))))))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IF(COUNTA($A151:$M151)=0,"",IF(OR(LEFT(LOWER(TRIM($F151&amp;"")),12)="subscription",LOWER(TRIM($F151&amp;""))="membership"),"Subscription",IF(OR(AND($H151&lt;&gt;"",$H151=0),LEFT(LOWER(TRIM($F151&amp;"")),9)="free game",LOWER(TRIM($F151&amp;""))="free",LOWER(TRIM($F151&amp;""))="free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IF(COUNTA($A152:$M152)=0,"",IF(OR(LEFT(LOWER(TRIM($F152&amp;"")),12)="subscription",LOWER(TRIM($F152&amp;""))="membership"),"",IF($G152="","",IF(ISNUMBER(SEARCH("non",LOWER($E152&amp;""))),$G152*0.85,$G152))))</x:f>
      </x:c>
      <x:c r="O152" s="987" t="str">
        <x:f>IF(COUNTA($A152:$M152)=0,"",IF(OR(LEFT(LOWER(TRIM($F152&amp;"")),12)="subscription",LOWER(TRIM($F152&amp;""))="membership"),"",IF(OR($N152="",$I152="",$I152=0),"",IFERROR($N152/$I152,""))))</x:f>
      </x:c>
      <x:c r="P152" s="987" t="str">
        <x:f>IF(COUNTA($A152:$M152)=0,"",IF(OR(LEFT(LOWER(TRIM($F152&amp;"")),12)="subscription",LOWER(TRIM($F152&amp;""))="membership"),"",IF(LOWER($L152&amp;"")="yes",0,IF(OR(AND($H152&lt;&gt;"",$H152=0),LEFT(LOWER(TRIM($F152&amp;"")),9)="free game",LOWER(TRIM($F152&amp;""))="free",LOWER(TRIM($F152&amp;""))="free entry"),IF(LOWER($D152&amp;"")="finalized",IF(ISNUMBER($K152),$K152,""),IF($O152&lt;&gt;"",$O152,"")),IF($K152&lt;&gt;"",$K152,IF($O152&lt;&gt;"",$O152,""))))))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IF(COUNTA($A152:$M152)=0,"",IF(OR(LEFT(LOWER(TRIM($F152&amp;"")),12)="subscription",LOWER(TRIM($F152&amp;""))="membership"),"Subscription",IF(OR(AND($H152&lt;&gt;"",$H152=0),LEFT(LOWER(TRIM($F152&amp;"")),9)="free game",LOWER(TRIM($F152&amp;""))="free",LOWER(TRIM($F152&amp;""))="free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IF(COUNTA($A153:$M153)=0,"",IF(OR(LEFT(LOWER(TRIM($F153&amp;"")),12)="subscription",LOWER(TRIM($F153&amp;""))="membership"),"",IF($G153="","",IF(ISNUMBER(SEARCH("non",LOWER($E153&amp;""))),$G153*0.85,$G153))))</x:f>
      </x:c>
      <x:c r="O153" s="987" t="str">
        <x:f>IF(COUNTA($A153:$M153)=0,"",IF(OR(LEFT(LOWER(TRIM($F153&amp;"")),12)="subscription",LOWER(TRIM($F153&amp;""))="membership"),"",IF(OR($N153="",$I153="",$I153=0),"",IFERROR($N153/$I153,""))))</x:f>
      </x:c>
      <x:c r="P153" s="987" t="str">
        <x:f>IF(COUNTA($A153:$M153)=0,"",IF(OR(LEFT(LOWER(TRIM($F153&amp;"")),12)="subscription",LOWER(TRIM($F153&amp;""))="membership"),"",IF(LOWER($L153&amp;"")="yes",0,IF(OR(AND($H153&lt;&gt;"",$H153=0),LEFT(LOWER(TRIM($F153&amp;"")),9)="free game",LOWER(TRIM($F153&amp;""))="free",LOWER(TRIM($F153&amp;""))="free entry"),IF(LOWER($D153&amp;"")="finalized",IF(ISNUMBER($K153),$K153,""),IF($O153&lt;&gt;"",$O153,"")),IF($K153&lt;&gt;"",$K153,IF($O153&lt;&gt;"",$O153,""))))))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IF(COUNTA($A153:$M153)=0,"",IF(OR(LEFT(LOWER(TRIM($F153&amp;"")),12)="subscription",LOWER(TRIM($F153&amp;""))="membership"),"Subscription",IF(OR(AND($H153&lt;&gt;"",$H153=0),LEFT(LOWER(TRIM($F153&amp;"")),9)="free game",LOWER(TRIM($F153&amp;""))="free",LOWER(TRIM($F153&amp;""))="free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IF(COUNTA($A154:$M154)=0,"",IF(OR(LEFT(LOWER(TRIM($F154&amp;"")),12)="subscription",LOWER(TRIM($F154&amp;""))="membership"),"",IF($G154="","",IF(ISNUMBER(SEARCH("non",LOWER($E154&amp;""))),$G154*0.85,$G154))))</x:f>
      </x:c>
      <x:c r="O154" s="987" t="str">
        <x:f>IF(COUNTA($A154:$M154)=0,"",IF(OR(LEFT(LOWER(TRIM($F154&amp;"")),12)="subscription",LOWER(TRIM($F154&amp;""))="membership"),"",IF(OR($N154="",$I154="",$I154=0),"",IFERROR($N154/$I154,""))))</x:f>
      </x:c>
      <x:c r="P154" s="987" t="str">
        <x:f>IF(COUNTA($A154:$M154)=0,"",IF(OR(LEFT(LOWER(TRIM($F154&amp;"")),12)="subscription",LOWER(TRIM($F154&amp;""))="membership"),"",IF(LOWER($L154&amp;"")="yes",0,IF(OR(AND($H154&lt;&gt;"",$H154=0),LEFT(LOWER(TRIM($F154&amp;"")),9)="free game",LOWER(TRIM($F154&amp;""))="free",LOWER(TRIM($F154&amp;""))="free entry"),IF(LOWER($D154&amp;"")="finalized",IF(ISNUMBER($K154),$K154,""),IF($O154&lt;&gt;"",$O154,"")),IF($K154&lt;&gt;"",$K154,IF($O154&lt;&gt;"",$O154,""))))))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IF(COUNTA($A154:$M154)=0,"",IF(OR(LEFT(LOWER(TRIM($F154&amp;"")),12)="subscription",LOWER(TRIM($F154&amp;""))="membership"),"Subscription",IF(OR(AND($H154&lt;&gt;"",$H154=0),LEFT(LOWER(TRIM($F154&amp;"")),9)="free game",LOWER(TRIM($F154&amp;""))="free",LOWER(TRIM($F154&amp;""))="free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IF(COUNTA($A155:$M155)=0,"",IF(OR(LEFT(LOWER(TRIM($F155&amp;"")),12)="subscription",LOWER(TRIM($F155&amp;""))="membership"),"",IF($G155="","",IF(ISNUMBER(SEARCH("non",LOWER($E155&amp;""))),$G155*0.85,$G155))))</x:f>
      </x:c>
      <x:c r="O155" s="987" t="str">
        <x:f>IF(COUNTA($A155:$M155)=0,"",IF(OR(LEFT(LOWER(TRIM($F155&amp;"")),12)="subscription",LOWER(TRIM($F155&amp;""))="membership"),"",IF(OR($N155="",$I155="",$I155=0),"",IFERROR($N155/$I155,""))))</x:f>
      </x:c>
      <x:c r="P155" s="987" t="str">
        <x:f>IF(COUNTA($A155:$M155)=0,"",IF(OR(LEFT(LOWER(TRIM($F155&amp;"")),12)="subscription",LOWER(TRIM($F155&amp;""))="membership"),"",IF(LOWER($L155&amp;"")="yes",0,IF(OR(AND($H155&lt;&gt;"",$H155=0),LEFT(LOWER(TRIM($F155&amp;"")),9)="free game",LOWER(TRIM($F155&amp;""))="free",LOWER(TRIM($F155&amp;""))="free entry"),IF(LOWER($D155&amp;"")="finalized",IF(ISNUMBER($K155),$K155,""),IF($O155&lt;&gt;"",$O155,"")),IF($K155&lt;&gt;"",$K155,IF($O155&lt;&gt;"",$O155,""))))))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IF(COUNTA($A155:$M155)=0,"",IF(OR(LEFT(LOWER(TRIM($F155&amp;"")),12)="subscription",LOWER(TRIM($F155&amp;""))="membership"),"Subscription",IF(OR(AND($H155&lt;&gt;"",$H155=0),LEFT(LOWER(TRIM($F155&amp;"")),9)="free game",LOWER(TRIM($F155&amp;""))="free",LOWER(TRIM($F155&amp;""))="free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IF(COUNTA($A156:$M156)=0,"",IF(OR(LEFT(LOWER(TRIM($F156&amp;"")),12)="subscription",LOWER(TRIM($F156&amp;""))="membership"),"",IF($G156="","",IF(ISNUMBER(SEARCH("non",LOWER($E156&amp;""))),$G156*0.85,$G156))))</x:f>
      </x:c>
      <x:c r="O156" s="987" t="str">
        <x:f>IF(COUNTA($A156:$M156)=0,"",IF(OR(LEFT(LOWER(TRIM($F156&amp;"")),12)="subscription",LOWER(TRIM($F156&amp;""))="membership"),"",IF(OR($N156="",$I156="",$I156=0),"",IFERROR($N156/$I156,""))))</x:f>
      </x:c>
      <x:c r="P156" s="987" t="str">
        <x:f>IF(COUNTA($A156:$M156)=0,"",IF(OR(LEFT(LOWER(TRIM($F156&amp;"")),12)="subscription",LOWER(TRIM($F156&amp;""))="membership"),"",IF(LOWER($L156&amp;"")="yes",0,IF(OR(AND($H156&lt;&gt;"",$H156=0),LEFT(LOWER(TRIM($F156&amp;"")),9)="free game",LOWER(TRIM($F156&amp;""))="free",LOWER(TRIM($F156&amp;""))="free entry"),IF(LOWER($D156&amp;"")="finalized",IF(ISNUMBER($K156),$K156,""),IF($O156&lt;&gt;"",$O156,"")),IF($K156&lt;&gt;"",$K156,IF($O156&lt;&gt;"",$O156,""))))))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IF(COUNTA($A156:$M156)=0,"",IF(OR(LEFT(LOWER(TRIM($F156&amp;"")),12)="subscription",LOWER(TRIM($F156&amp;""))="membership"),"Subscription",IF(OR(AND($H156&lt;&gt;"",$H156=0),LEFT(LOWER(TRIM($F156&amp;"")),9)="free game",LOWER(TRIM($F156&amp;""))="free",LOWER(TRIM($F156&amp;""))="free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IF(COUNTA($A157:$M157)=0,"",IF(OR(LEFT(LOWER(TRIM($F157&amp;"")),12)="subscription",LOWER(TRIM($F157&amp;""))="membership"),"",IF($G157="","",IF(ISNUMBER(SEARCH("non",LOWER($E157&amp;""))),$G157*0.85,$G157))))</x:f>
      </x:c>
      <x:c r="O157" s="987" t="str">
        <x:f>IF(COUNTA($A157:$M157)=0,"",IF(OR(LEFT(LOWER(TRIM($F157&amp;"")),12)="subscription",LOWER(TRIM($F157&amp;""))="membership"),"",IF(OR($N157="",$I157="",$I157=0),"",IFERROR($N157/$I157,""))))</x:f>
      </x:c>
      <x:c r="P157" s="987" t="str">
        <x:f>IF(COUNTA($A157:$M157)=0,"",IF(OR(LEFT(LOWER(TRIM($F157&amp;"")),12)="subscription",LOWER(TRIM($F157&amp;""))="membership"),"",IF(LOWER($L157&amp;"")="yes",0,IF(OR(AND($H157&lt;&gt;"",$H157=0),LEFT(LOWER(TRIM($F157&amp;"")),9)="free game",LOWER(TRIM($F157&amp;""))="free",LOWER(TRIM($F157&amp;""))="free entry"),IF(LOWER($D157&amp;"")="finalized",IF(ISNUMBER($K157),$K157,""),IF($O157&lt;&gt;"",$O157,"")),IF($K157&lt;&gt;"",$K157,IF($O157&lt;&gt;"",$O157,""))))))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IF(COUNTA($A157:$M157)=0,"",IF(OR(LEFT(LOWER(TRIM($F157&amp;"")),12)="subscription",LOWER(TRIM($F157&amp;""))="membership"),"Subscription",IF(OR(AND($H157&lt;&gt;"",$H157=0),LEFT(LOWER(TRIM($F157&amp;"")),9)="free game",LOWER(TRIM($F157&amp;""))="free",LOWER(TRIM($F157&amp;""))="free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IF(COUNTA($A158:$M158)=0,"",IF(OR(LEFT(LOWER(TRIM($F158&amp;"")),12)="subscription",LOWER(TRIM($F158&amp;""))="membership"),"",IF($G158="","",IF(ISNUMBER(SEARCH("non",LOWER($E158&amp;""))),$G158*0.85,$G158))))</x:f>
      </x:c>
      <x:c r="O158" s="987" t="str">
        <x:f>IF(COUNTA($A158:$M158)=0,"",IF(OR(LEFT(LOWER(TRIM($F158&amp;"")),12)="subscription",LOWER(TRIM($F158&amp;""))="membership"),"",IF(OR($N158="",$I158="",$I158=0),"",IFERROR($N158/$I158,""))))</x:f>
      </x:c>
      <x:c r="P158" s="987" t="str">
        <x:f>IF(COUNTA($A158:$M158)=0,"",IF(OR(LEFT(LOWER(TRIM($F158&amp;"")),12)="subscription",LOWER(TRIM($F158&amp;""))="membership"),"",IF(LOWER($L158&amp;"")="yes",0,IF(OR(AND($H158&lt;&gt;"",$H158=0),LEFT(LOWER(TRIM($F158&amp;"")),9)="free game",LOWER(TRIM($F158&amp;""))="free",LOWER(TRIM($F158&amp;""))="free entry"),IF(LOWER($D158&amp;"")="finalized",IF(ISNUMBER($K158),$K158,""),IF($O158&lt;&gt;"",$O158,"")),IF($K158&lt;&gt;"",$K158,IF($O158&lt;&gt;"",$O158,""))))))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IF(COUNTA($A158:$M158)=0,"",IF(OR(LEFT(LOWER(TRIM($F158&amp;"")),12)="subscription",LOWER(TRIM($F158&amp;""))="membership"),"Subscription",IF(OR(AND($H158&lt;&gt;"",$H158=0),LEFT(LOWER(TRIM($F158&amp;"")),9)="free game",LOWER(TRIM($F158&amp;""))="free",LOWER(TRIM($F158&amp;""))="free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IF(COUNTA($A159:$M159)=0,"",IF(OR(LEFT(LOWER(TRIM($F159&amp;"")),12)="subscription",LOWER(TRIM($F159&amp;""))="membership"),"",IF($G159="","",IF(ISNUMBER(SEARCH("non",LOWER($E159&amp;""))),$G159*0.85,$G159))))</x:f>
      </x:c>
      <x:c r="O159" s="987" t="str">
        <x:f>IF(COUNTA($A159:$M159)=0,"",IF(OR(LEFT(LOWER(TRIM($F159&amp;"")),12)="subscription",LOWER(TRIM($F159&amp;""))="membership"),"",IF(OR($N159="",$I159="",$I159=0),"",IFERROR($N159/$I159,""))))</x:f>
      </x:c>
      <x:c r="P159" s="987" t="str">
        <x:f>IF(COUNTA($A159:$M159)=0,"",IF(OR(LEFT(LOWER(TRIM($F159&amp;"")),12)="subscription",LOWER(TRIM($F159&amp;""))="membership"),"",IF(LOWER($L159&amp;"")="yes",0,IF(OR(AND($H159&lt;&gt;"",$H159=0),LEFT(LOWER(TRIM($F159&amp;"")),9)="free game",LOWER(TRIM($F159&amp;""))="free",LOWER(TRIM($F159&amp;""))="free entry"),IF(LOWER($D159&amp;"")="finalized",IF(ISNUMBER($K159),$K159,""),IF($O159&lt;&gt;"",$O159,"")),IF($K159&lt;&gt;"",$K159,IF($O159&lt;&gt;"",$O159,""))))))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IF(COUNTA($A159:$M159)=0,"",IF(OR(LEFT(LOWER(TRIM($F159&amp;"")),12)="subscription",LOWER(TRIM($F159&amp;""))="membership"),"Subscription",IF(OR(AND($H159&lt;&gt;"",$H159=0),LEFT(LOWER(TRIM($F159&amp;"")),9)="free game",LOWER(TRIM($F159&amp;""))="free",LOWER(TRIM($F159&amp;""))="free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IF(COUNTA($A160:$M160)=0,"",IF(OR(LEFT(LOWER(TRIM($F160&amp;"")),12)="subscription",LOWER(TRIM($F160&amp;""))="membership"),"",IF($G160="","",IF(ISNUMBER(SEARCH("non",LOWER($E160&amp;""))),$G160*0.85,$G160))))</x:f>
      </x:c>
      <x:c r="O160" s="987" t="str">
        <x:f>IF(COUNTA($A160:$M160)=0,"",IF(OR(LEFT(LOWER(TRIM($F160&amp;"")),12)="subscription",LOWER(TRIM($F160&amp;""))="membership"),"",IF(OR($N160="",$I160="",$I160=0),"",IFERROR($N160/$I160,""))))</x:f>
      </x:c>
      <x:c r="P160" s="987" t="str">
        <x:f>IF(COUNTA($A160:$M160)=0,"",IF(OR(LEFT(LOWER(TRIM($F160&amp;"")),12)="subscription",LOWER(TRIM($F160&amp;""))="membership"),"",IF(LOWER($L160&amp;"")="yes",0,IF(OR(AND($H160&lt;&gt;"",$H160=0),LEFT(LOWER(TRIM($F160&amp;"")),9)="free game",LOWER(TRIM($F160&amp;""))="free",LOWER(TRIM($F160&amp;""))="free entry"),IF(LOWER($D160&amp;"")="finalized",IF(ISNUMBER($K160),$K160,""),IF($O160&lt;&gt;"",$O160,"")),IF($K160&lt;&gt;"",$K160,IF($O160&lt;&gt;"",$O160,""))))))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IF(COUNTA($A160:$M160)=0,"",IF(OR(LEFT(LOWER(TRIM($F160&amp;"")),12)="subscription",LOWER(TRIM($F160&amp;""))="membership"),"Subscription",IF(OR(AND($H160&lt;&gt;"",$H160=0),LEFT(LOWER(TRIM($F160&amp;"")),9)="free game",LOWER(TRIM($F160&amp;""))="free",LOWER(TRIM($F160&amp;""))="free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IF(COUNTA($A161:$M161)=0,"",IF(OR(LEFT(LOWER(TRIM($F161&amp;"")),12)="subscription",LOWER(TRIM($F161&amp;""))="membership"),"",IF($G161="","",IF(ISNUMBER(SEARCH("non",LOWER($E161&amp;""))),$G161*0.85,$G161))))</x:f>
      </x:c>
      <x:c r="O161" s="987" t="str">
        <x:f>IF(COUNTA($A161:$M161)=0,"",IF(OR(LEFT(LOWER(TRIM($F161&amp;"")),12)="subscription",LOWER(TRIM($F161&amp;""))="membership"),"",IF(OR($N161="",$I161="",$I161=0),"",IFERROR($N161/$I161,""))))</x:f>
      </x:c>
      <x:c r="P161" s="987" t="str">
        <x:f>IF(COUNTA($A161:$M161)=0,"",IF(OR(LEFT(LOWER(TRIM($F161&amp;"")),12)="subscription",LOWER(TRIM($F161&amp;""))="membership"),"",IF(LOWER($L161&amp;"")="yes",0,IF(OR(AND($H161&lt;&gt;"",$H161=0),LEFT(LOWER(TRIM($F161&amp;"")),9)="free game",LOWER(TRIM($F161&amp;""))="free",LOWER(TRIM($F161&amp;""))="free entry"),IF(LOWER($D161&amp;"")="finalized",IF(ISNUMBER($K161),$K161,""),IF($O161&lt;&gt;"",$O161,"")),IF($K161&lt;&gt;"",$K161,IF($O161&lt;&gt;"",$O161,""))))))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IF(COUNTA($A161:$M161)=0,"",IF(OR(LEFT(LOWER(TRIM($F161&amp;"")),12)="subscription",LOWER(TRIM($F161&amp;""))="membership"),"Subscription",IF(OR(AND($H161&lt;&gt;"",$H161=0),LEFT(LOWER(TRIM($F161&amp;"")),9)="free game",LOWER(TRIM($F161&amp;""))="free",LOWER(TRIM($F161&amp;""))="free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IF(COUNTA($A162:$M162)=0,"",IF(OR(LEFT(LOWER(TRIM($F162&amp;"")),12)="subscription",LOWER(TRIM($F162&amp;""))="membership"),"",IF($G162="","",IF(ISNUMBER(SEARCH("non",LOWER($E162&amp;""))),$G162*0.85,$G162))))</x:f>
      </x:c>
      <x:c r="O162" s="987" t="str">
        <x:f>IF(COUNTA($A162:$M162)=0,"",IF(OR(LEFT(LOWER(TRIM($F162&amp;"")),12)="subscription",LOWER(TRIM($F162&amp;""))="membership"),"",IF(OR($N162="",$I162="",$I162=0),"",IFERROR($N162/$I162,""))))</x:f>
      </x:c>
      <x:c r="P162" s="987" t="str">
        <x:f>IF(COUNTA($A162:$M162)=0,"",IF(OR(LEFT(LOWER(TRIM($F162&amp;"")),12)="subscription",LOWER(TRIM($F162&amp;""))="membership"),"",IF(LOWER($L162&amp;"")="yes",0,IF(OR(AND($H162&lt;&gt;"",$H162=0),LEFT(LOWER(TRIM($F162&amp;"")),9)="free game",LOWER(TRIM($F162&amp;""))="free",LOWER(TRIM($F162&amp;""))="free entry"),IF(LOWER($D162&amp;"")="finalized",IF(ISNUMBER($K162),$K162,""),IF($O162&lt;&gt;"",$O162,"")),IF($K162&lt;&gt;"",$K162,IF($O162&lt;&gt;"",$O162,""))))))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IF(COUNTA($A162:$M162)=0,"",IF(OR(LEFT(LOWER(TRIM($F162&amp;"")),12)="subscription",LOWER(TRIM($F162&amp;""))="membership"),"Subscription",IF(OR(AND($H162&lt;&gt;"",$H162=0),LEFT(LOWER(TRIM($F162&amp;"")),9)="free game",LOWER(TRIM($F162&amp;""))="free",LOWER(TRIM($F162&amp;""))="free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IF(COUNTA($A163:$M163)=0,"",IF(OR(LEFT(LOWER(TRIM($F163&amp;"")),12)="subscription",LOWER(TRIM($F163&amp;""))="membership"),"",IF($G163="","",IF(ISNUMBER(SEARCH("non",LOWER($E163&amp;""))),$G163*0.85,$G163))))</x:f>
      </x:c>
      <x:c r="O163" s="987" t="str">
        <x:f>IF(COUNTA($A163:$M163)=0,"",IF(OR(LEFT(LOWER(TRIM($F163&amp;"")),12)="subscription",LOWER(TRIM($F163&amp;""))="membership"),"",IF(OR($N163="",$I163="",$I163=0),"",IFERROR($N163/$I163,""))))</x:f>
      </x:c>
      <x:c r="P163" s="987" t="str">
        <x:f>IF(COUNTA($A163:$M163)=0,"",IF(OR(LEFT(LOWER(TRIM($F163&amp;"")),12)="subscription",LOWER(TRIM($F163&amp;""))="membership"),"",IF(LOWER($L163&amp;"")="yes",0,IF(OR(AND($H163&lt;&gt;"",$H163=0),LEFT(LOWER(TRIM($F163&amp;"")),9)="free game",LOWER(TRIM($F163&amp;""))="free",LOWER(TRIM($F163&amp;""))="free entry"),IF(LOWER($D163&amp;"")="finalized",IF(ISNUMBER($K163),$K163,""),IF($O163&lt;&gt;"",$O163,"")),IF($K163&lt;&gt;"",$K163,IF($O163&lt;&gt;"",$O163,""))))))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IF(COUNTA($A163:$M163)=0,"",IF(OR(LEFT(LOWER(TRIM($F163&amp;"")),12)="subscription",LOWER(TRIM($F163&amp;""))="membership"),"Subscription",IF(OR(AND($H163&lt;&gt;"",$H163=0),LEFT(LOWER(TRIM($F163&amp;"")),9)="free game",LOWER(TRIM($F163&amp;""))="free",LOWER(TRIM($F163&amp;""))="free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IF(COUNTA($A164:$M164)=0,"",IF(OR(LEFT(LOWER(TRIM($F164&amp;"")),12)="subscription",LOWER(TRIM($F164&amp;""))="membership"),"",IF($G164="","",IF(ISNUMBER(SEARCH("non",LOWER($E164&amp;""))),$G164*0.85,$G164))))</x:f>
      </x:c>
      <x:c r="O164" s="987" t="str">
        <x:f>IF(COUNTA($A164:$M164)=0,"",IF(OR(LEFT(LOWER(TRIM($F164&amp;"")),12)="subscription",LOWER(TRIM($F164&amp;""))="membership"),"",IF(OR($N164="",$I164="",$I164=0),"",IFERROR($N164/$I164,""))))</x:f>
      </x:c>
      <x:c r="P164" s="987" t="str">
        <x:f>IF(COUNTA($A164:$M164)=0,"",IF(OR(LEFT(LOWER(TRIM($F164&amp;"")),12)="subscription",LOWER(TRIM($F164&amp;""))="membership"),"",IF(LOWER($L164&amp;"")="yes",0,IF(OR(AND($H164&lt;&gt;"",$H164=0),LEFT(LOWER(TRIM($F164&amp;"")),9)="free game",LOWER(TRIM($F164&amp;""))="free",LOWER(TRIM($F164&amp;""))="free entry"),IF(LOWER($D164&amp;"")="finalized",IF(ISNUMBER($K164),$K164,""),IF($O164&lt;&gt;"",$O164,"")),IF($K164&lt;&gt;"",$K164,IF($O164&lt;&gt;"",$O164,""))))))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IF(COUNTA($A164:$M164)=0,"",IF(OR(LEFT(LOWER(TRIM($F164&amp;"")),12)="subscription",LOWER(TRIM($F164&amp;""))="membership"),"Subscription",IF(OR(AND($H164&lt;&gt;"",$H164=0),LEFT(LOWER(TRIM($F164&amp;"")),9)="free game",LOWER(TRIM($F164&amp;""))="free",LOWER(TRIM($F164&amp;""))="free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IF(COUNTA($A165:$M165)=0,"",IF(OR(LEFT(LOWER(TRIM($F165&amp;"")),12)="subscription",LOWER(TRIM($F165&amp;""))="membership"),"",IF($G165="","",IF(ISNUMBER(SEARCH("non",LOWER($E165&amp;""))),$G165*0.85,$G165))))</x:f>
      </x:c>
      <x:c r="O165" s="987" t="str">
        <x:f>IF(COUNTA($A165:$M165)=0,"",IF(OR(LEFT(LOWER(TRIM($F165&amp;"")),12)="subscription",LOWER(TRIM($F165&amp;""))="membership"),"",IF(OR($N165="",$I165="",$I165=0),"",IFERROR($N165/$I165,""))))</x:f>
      </x:c>
      <x:c r="P165" s="987" t="str">
        <x:f>IF(COUNTA($A165:$M165)=0,"",IF(OR(LEFT(LOWER(TRIM($F165&amp;"")),12)="subscription",LOWER(TRIM($F165&amp;""))="membership"),"",IF(LOWER($L165&amp;"")="yes",0,IF(OR(AND($H165&lt;&gt;"",$H165=0),LEFT(LOWER(TRIM($F165&amp;"")),9)="free game",LOWER(TRIM($F165&amp;""))="free",LOWER(TRIM($F165&amp;""))="free entry"),IF(LOWER($D165&amp;"")="finalized",IF(ISNUMBER($K165),$K165,""),IF($O165&lt;&gt;"",$O165,"")),IF($K165&lt;&gt;"",$K165,IF($O165&lt;&gt;"",$O165,""))))))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IF(COUNTA($A165:$M165)=0,"",IF(OR(LEFT(LOWER(TRIM($F165&amp;"")),12)="subscription",LOWER(TRIM($F165&amp;""))="membership"),"Subscription",IF(OR(AND($H165&lt;&gt;"",$H165=0),LEFT(LOWER(TRIM($F165&amp;"")),9)="free game",LOWER(TRIM($F165&amp;""))="free",LOWER(TRIM($F165&amp;""))="free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IF(COUNTA($A166:$M166)=0,"",IF(OR(LEFT(LOWER(TRIM($F166&amp;"")),12)="subscription",LOWER(TRIM($F166&amp;""))="membership"),"",IF($G166="","",IF(ISNUMBER(SEARCH("non",LOWER($E166&amp;""))),$G166*0.85,$G166))))</x:f>
      </x:c>
      <x:c r="O166" s="987" t="str">
        <x:f>IF(COUNTA($A166:$M166)=0,"",IF(OR(LEFT(LOWER(TRIM($F166&amp;"")),12)="subscription",LOWER(TRIM($F166&amp;""))="membership"),"",IF(OR($N166="",$I166="",$I166=0),"",IFERROR($N166/$I166,""))))</x:f>
      </x:c>
      <x:c r="P166" s="987" t="str">
        <x:f>IF(COUNTA($A166:$M166)=0,"",IF(OR(LEFT(LOWER(TRIM($F166&amp;"")),12)="subscription",LOWER(TRIM($F166&amp;""))="membership"),"",IF(LOWER($L166&amp;"")="yes",0,IF(OR(AND($H166&lt;&gt;"",$H166=0),LEFT(LOWER(TRIM($F166&amp;"")),9)="free game",LOWER(TRIM($F166&amp;""))="free",LOWER(TRIM($F166&amp;""))="free entry"),IF(LOWER($D166&amp;"")="finalized",IF(ISNUMBER($K166),$K166,""),IF($O166&lt;&gt;"",$O166,"")),IF($K166&lt;&gt;"",$K166,IF($O166&lt;&gt;"",$O166,""))))))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IF(COUNTA($A166:$M166)=0,"",IF(OR(LEFT(LOWER(TRIM($F166&amp;"")),12)="subscription",LOWER(TRIM($F166&amp;""))="membership"),"Subscription",IF(OR(AND($H166&lt;&gt;"",$H166=0),LEFT(LOWER(TRIM($F166&amp;"")),9)="free game",LOWER(TRIM($F166&amp;""))="free",LOWER(TRIM($F166&amp;""))="free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IF(COUNTA($A167:$M167)=0,"",IF(OR(LEFT(LOWER(TRIM($F167&amp;"")),12)="subscription",LOWER(TRIM($F167&amp;""))="membership"),"",IF($G167="","",IF(ISNUMBER(SEARCH("non",LOWER($E167&amp;""))),$G167*0.85,$G167))))</x:f>
      </x:c>
      <x:c r="O167" s="987" t="str">
        <x:f>IF(COUNTA($A167:$M167)=0,"",IF(OR(LEFT(LOWER(TRIM($F167&amp;"")),12)="subscription",LOWER(TRIM($F167&amp;""))="membership"),"",IF(OR($N167="",$I167="",$I167=0),"",IFERROR($N167/$I167,""))))</x:f>
      </x:c>
      <x:c r="P167" s="987" t="str">
        <x:f>IF(COUNTA($A167:$M167)=0,"",IF(OR(LEFT(LOWER(TRIM($F167&amp;"")),12)="subscription",LOWER(TRIM($F167&amp;""))="membership"),"",IF(LOWER($L167&amp;"")="yes",0,IF(OR(AND($H167&lt;&gt;"",$H167=0),LEFT(LOWER(TRIM($F167&amp;"")),9)="free game",LOWER(TRIM($F167&amp;""))="free",LOWER(TRIM($F167&amp;""))="free entry"),IF(LOWER($D167&amp;"")="finalized",IF(ISNUMBER($K167),$K167,""),IF($O167&lt;&gt;"",$O167,"")),IF($K167&lt;&gt;"",$K167,IF($O167&lt;&gt;"",$O167,""))))))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IF(COUNTA($A167:$M167)=0,"",IF(OR(LEFT(LOWER(TRIM($F167&amp;"")),12)="subscription",LOWER(TRIM($F167&amp;""))="membership"),"Subscription",IF(OR(AND($H167&lt;&gt;"",$H167=0),LEFT(LOWER(TRIM($F167&amp;"")),9)="free game",LOWER(TRIM($F167&amp;""))="free",LOWER(TRIM($F167&amp;""))="free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IF(COUNTA($A168:$M168)=0,"",IF(OR(LEFT(LOWER(TRIM($F168&amp;"")),12)="subscription",LOWER(TRIM($F168&amp;""))="membership"),"",IF($G168="","",IF(ISNUMBER(SEARCH("non",LOWER($E168&amp;""))),$G168*0.85,$G168))))</x:f>
      </x:c>
      <x:c r="O168" s="987" t="str">
        <x:f>IF(COUNTA($A168:$M168)=0,"",IF(OR(LEFT(LOWER(TRIM($F168&amp;"")),12)="subscription",LOWER(TRIM($F168&amp;""))="membership"),"",IF(OR($N168="",$I168="",$I168=0),"",IFERROR($N168/$I168,""))))</x:f>
      </x:c>
      <x:c r="P168" s="987" t="str">
        <x:f>IF(COUNTA($A168:$M168)=0,"",IF(OR(LEFT(LOWER(TRIM($F168&amp;"")),12)="subscription",LOWER(TRIM($F168&amp;""))="membership"),"",IF(LOWER($L168&amp;"")="yes",0,IF(OR(AND($H168&lt;&gt;"",$H168=0),LEFT(LOWER(TRIM($F168&amp;"")),9)="free game",LOWER(TRIM($F168&amp;""))="free",LOWER(TRIM($F168&amp;""))="free entry"),IF(LOWER($D168&amp;"")="finalized",IF(ISNUMBER($K168),$K168,""),IF($O168&lt;&gt;"",$O168,"")),IF($K168&lt;&gt;"",$K168,IF($O168&lt;&gt;"",$O168,""))))))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IF(COUNTA($A168:$M168)=0,"",IF(OR(LEFT(LOWER(TRIM($F168&amp;"")),12)="subscription",LOWER(TRIM($F168&amp;""))="membership"),"Subscription",IF(OR(AND($H168&lt;&gt;"",$H168=0),LEFT(LOWER(TRIM($F168&amp;"")),9)="free game",LOWER(TRIM($F168&amp;""))="free",LOWER(TRIM($F168&amp;""))="free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IF(COUNTA($A169:$M169)=0,"",IF(OR(LEFT(LOWER(TRIM($F169&amp;"")),12)="subscription",LOWER(TRIM($F169&amp;""))="membership"),"",IF($G169="","",IF(ISNUMBER(SEARCH("non",LOWER($E169&amp;""))),$G169*0.85,$G169))))</x:f>
      </x:c>
      <x:c r="O169" s="987" t="str">
        <x:f>IF(COUNTA($A169:$M169)=0,"",IF(OR(LEFT(LOWER(TRIM($F169&amp;"")),12)="subscription",LOWER(TRIM($F169&amp;""))="membership"),"",IF(OR($N169="",$I169="",$I169=0),"",IFERROR($N169/$I169,""))))</x:f>
      </x:c>
      <x:c r="P169" s="987" t="str">
        <x:f>IF(COUNTA($A169:$M169)=0,"",IF(OR(LEFT(LOWER(TRIM($F169&amp;"")),12)="subscription",LOWER(TRIM($F169&amp;""))="membership"),"",IF(LOWER($L169&amp;"")="yes",0,IF(OR(AND($H169&lt;&gt;"",$H169=0),LEFT(LOWER(TRIM($F169&amp;"")),9)="free game",LOWER(TRIM($F169&amp;""))="free",LOWER(TRIM($F169&amp;""))="free entry"),IF(LOWER($D169&amp;"")="finalized",IF(ISNUMBER($K169),$K169,""),IF($O169&lt;&gt;"",$O169,"")),IF($K169&lt;&gt;"",$K169,IF($O169&lt;&gt;"",$O169,""))))))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IF(COUNTA($A169:$M169)=0,"",IF(OR(LEFT(LOWER(TRIM($F169&amp;"")),12)="subscription",LOWER(TRIM($F169&amp;""))="membership"),"Subscription",IF(OR(AND($H169&lt;&gt;"",$H169=0),LEFT(LOWER(TRIM($F169&amp;"")),9)="free game",LOWER(TRIM($F169&amp;""))="free",LOWER(TRIM($F169&amp;""))="free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IF(COUNTA($A170:$M170)=0,"",IF(OR(LEFT(LOWER(TRIM($F170&amp;"")),12)="subscription",LOWER(TRIM($F170&amp;""))="membership"),"",IF($G170="","",IF(ISNUMBER(SEARCH("non",LOWER($E170&amp;""))),$G170*0.85,$G170))))</x:f>
      </x:c>
      <x:c r="O170" s="987" t="str">
        <x:f>IF(COUNTA($A170:$M170)=0,"",IF(OR(LEFT(LOWER(TRIM($F170&amp;"")),12)="subscription",LOWER(TRIM($F170&amp;""))="membership"),"",IF(OR($N170="",$I170="",$I170=0),"",IFERROR($N170/$I170,""))))</x:f>
      </x:c>
      <x:c r="P170" s="987" t="str">
        <x:f>IF(COUNTA($A170:$M170)=0,"",IF(OR(LEFT(LOWER(TRIM($F170&amp;"")),12)="subscription",LOWER(TRIM($F170&amp;""))="membership"),"",IF(LOWER($L170&amp;"")="yes",0,IF(OR(AND($H170&lt;&gt;"",$H170=0),LEFT(LOWER(TRIM($F170&amp;"")),9)="free game",LOWER(TRIM($F170&amp;""))="free",LOWER(TRIM($F170&amp;""))="free entry"),IF(LOWER($D170&amp;"")="finalized",IF(ISNUMBER($K170),$K170,""),IF($O170&lt;&gt;"",$O170,"")),IF($K170&lt;&gt;"",$K170,IF($O170&lt;&gt;"",$O170,""))))))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IF(COUNTA($A170:$M170)=0,"",IF(OR(LEFT(LOWER(TRIM($F170&amp;"")),12)="subscription",LOWER(TRIM($F170&amp;""))="membership"),"Subscription",IF(OR(AND($H170&lt;&gt;"",$H170=0),LEFT(LOWER(TRIM($F170&amp;"")),9)="free game",LOWER(TRIM($F170&amp;""))="free",LOWER(TRIM($F170&amp;""))="free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IF(COUNTA($A171:$M171)=0,"",IF(OR(LEFT(LOWER(TRIM($F171&amp;"")),12)="subscription",LOWER(TRIM($F171&amp;""))="membership"),"",IF($G171="","",IF(ISNUMBER(SEARCH("non",LOWER($E171&amp;""))),$G171*0.85,$G171))))</x:f>
      </x:c>
      <x:c r="O171" s="987" t="str">
        <x:f>IF(COUNTA($A171:$M171)=0,"",IF(OR(LEFT(LOWER(TRIM($F171&amp;"")),12)="subscription",LOWER(TRIM($F171&amp;""))="membership"),"",IF(OR($N171="",$I171="",$I171=0),"",IFERROR($N171/$I171,""))))</x:f>
      </x:c>
      <x:c r="P171" s="987" t="str">
        <x:f>IF(COUNTA($A171:$M171)=0,"",IF(OR(LEFT(LOWER(TRIM($F171&amp;"")),12)="subscription",LOWER(TRIM($F171&amp;""))="membership"),"",IF(LOWER($L171&amp;"")="yes",0,IF(OR(AND($H171&lt;&gt;"",$H171=0),LEFT(LOWER(TRIM($F171&amp;"")),9)="free game",LOWER(TRIM($F171&amp;""))="free",LOWER(TRIM($F171&amp;""))="free entry"),IF(LOWER($D171&amp;"")="finalized",IF(ISNUMBER($K171),$K171,""),IF($O171&lt;&gt;"",$O171,"")),IF($K171&lt;&gt;"",$K171,IF($O171&lt;&gt;"",$O171,""))))))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IF(COUNTA($A171:$M171)=0,"",IF(OR(LEFT(LOWER(TRIM($F171&amp;"")),12)="subscription",LOWER(TRIM($F171&amp;""))="membership"),"Subscription",IF(OR(AND($H171&lt;&gt;"",$H171=0),LEFT(LOWER(TRIM($F171&amp;"")),9)="free game",LOWER(TRIM($F171&amp;""))="free",LOWER(TRIM($F171&amp;""))="free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IF(COUNTA($A172:$M172)=0,"",IF(OR(LEFT(LOWER(TRIM($F172&amp;"")),12)="subscription",LOWER(TRIM($F172&amp;""))="membership"),"",IF($G172="","",IF(ISNUMBER(SEARCH("non",LOWER($E172&amp;""))),$G172*0.85,$G172))))</x:f>
      </x:c>
      <x:c r="O172" s="987" t="str">
        <x:f>IF(COUNTA($A172:$M172)=0,"",IF(OR(LEFT(LOWER(TRIM($F172&amp;"")),12)="subscription",LOWER(TRIM($F172&amp;""))="membership"),"",IF(OR($N172="",$I172="",$I172=0),"",IFERROR($N172/$I172,""))))</x:f>
      </x:c>
      <x:c r="P172" s="987" t="str">
        <x:f>IF(COUNTA($A172:$M172)=0,"",IF(OR(LEFT(LOWER(TRIM($F172&amp;"")),12)="subscription",LOWER(TRIM($F172&amp;""))="membership"),"",IF(LOWER($L172&amp;"")="yes",0,IF(OR(AND($H172&lt;&gt;"",$H172=0),LEFT(LOWER(TRIM($F172&amp;"")),9)="free game",LOWER(TRIM($F172&amp;""))="free",LOWER(TRIM($F172&amp;""))="free entry"),IF(LOWER($D172&amp;"")="finalized",IF(ISNUMBER($K172),$K172,""),IF($O172&lt;&gt;"",$O172,"")),IF($K172&lt;&gt;"",$K172,IF($O172&lt;&gt;"",$O172,""))))))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IF(COUNTA($A172:$M172)=0,"",IF(OR(LEFT(LOWER(TRIM($F172&amp;"")),12)="subscription",LOWER(TRIM($F172&amp;""))="membership"),"Subscription",IF(OR(AND($H172&lt;&gt;"",$H172=0),LEFT(LOWER(TRIM($F172&amp;"")),9)="free game",LOWER(TRIM($F172&amp;""))="free",LOWER(TRIM($F172&amp;""))="free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IF(COUNTA($A173:$M173)=0,"",IF(OR(LEFT(LOWER(TRIM($F173&amp;"")),12)="subscription",LOWER(TRIM($F173&amp;""))="membership"),"",IF($G173="","",IF(ISNUMBER(SEARCH("non",LOWER($E173&amp;""))),$G173*0.85,$G173))))</x:f>
      </x:c>
      <x:c r="O173" s="987" t="str">
        <x:f>IF(COUNTA($A173:$M173)=0,"",IF(OR(LEFT(LOWER(TRIM($F173&amp;"")),12)="subscription",LOWER(TRIM($F173&amp;""))="membership"),"",IF(OR($N173="",$I173="",$I173=0),"",IFERROR($N173/$I173,""))))</x:f>
      </x:c>
      <x:c r="P173" s="987" t="str">
        <x:f>IF(COUNTA($A173:$M173)=0,"",IF(OR(LEFT(LOWER(TRIM($F173&amp;"")),12)="subscription",LOWER(TRIM($F173&amp;""))="membership"),"",IF(LOWER($L173&amp;"")="yes",0,IF(OR(AND($H173&lt;&gt;"",$H173=0),LEFT(LOWER(TRIM($F173&amp;"")),9)="free game",LOWER(TRIM($F173&amp;""))="free",LOWER(TRIM($F173&amp;""))="free entry"),IF(LOWER($D173&amp;"")="finalized",IF(ISNUMBER($K173),$K173,""),IF($O173&lt;&gt;"",$O173,"")),IF($K173&lt;&gt;"",$K173,IF($O173&lt;&gt;"",$O173,""))))))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IF(COUNTA($A173:$M173)=0,"",IF(OR(LEFT(LOWER(TRIM($F173&amp;"")),12)="subscription",LOWER(TRIM($F173&amp;""))="membership"),"Subscription",IF(OR(AND($H173&lt;&gt;"",$H173=0),LEFT(LOWER(TRIM($F173&amp;"")),9)="free game",LOWER(TRIM($F173&amp;""))="free",LOWER(TRIM($F173&amp;""))="free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IF(COUNTA($A174:$M174)=0,"",IF(OR(LEFT(LOWER(TRIM($F174&amp;"")),12)="subscription",LOWER(TRIM($F174&amp;""))="membership"),"",IF($G174="","",IF(ISNUMBER(SEARCH("non",LOWER($E174&amp;""))),$G174*0.85,$G174))))</x:f>
      </x:c>
      <x:c r="O174" s="987" t="str">
        <x:f>IF(COUNTA($A174:$M174)=0,"",IF(OR(LEFT(LOWER(TRIM($F174&amp;"")),12)="subscription",LOWER(TRIM($F174&amp;""))="membership"),"",IF(OR($N174="",$I174="",$I174=0),"",IFERROR($N174/$I174,""))))</x:f>
      </x:c>
      <x:c r="P174" s="987" t="str">
        <x:f>IF(COUNTA($A174:$M174)=0,"",IF(OR(LEFT(LOWER(TRIM($F174&amp;"")),12)="subscription",LOWER(TRIM($F174&amp;""))="membership"),"",IF(LOWER($L174&amp;"")="yes",0,IF(OR(AND($H174&lt;&gt;"",$H174=0),LEFT(LOWER(TRIM($F174&amp;"")),9)="free game",LOWER(TRIM($F174&amp;""))="free",LOWER(TRIM($F174&amp;""))="free entry"),IF(LOWER($D174&amp;"")="finalized",IF(ISNUMBER($K174),$K174,""),IF($O174&lt;&gt;"",$O174,"")),IF($K174&lt;&gt;"",$K174,IF($O174&lt;&gt;"",$O174,""))))))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IF(COUNTA($A174:$M174)=0,"",IF(OR(LEFT(LOWER(TRIM($F174&amp;"")),12)="subscription",LOWER(TRIM($F174&amp;""))="membership"),"Subscription",IF(OR(AND($H174&lt;&gt;"",$H174=0),LEFT(LOWER(TRIM($F174&amp;"")),9)="free game",LOWER(TRIM($F174&amp;""))="free",LOWER(TRIM($F174&amp;""))="free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IF(COUNTA($A175:$M175)=0,"",IF(OR(LEFT(LOWER(TRIM($F175&amp;"")),12)="subscription",LOWER(TRIM($F175&amp;""))="membership"),"",IF($G175="","",IF(ISNUMBER(SEARCH("non",LOWER($E175&amp;""))),$G175*0.85,$G175))))</x:f>
      </x:c>
      <x:c r="O175" s="987" t="str">
        <x:f>IF(COUNTA($A175:$M175)=0,"",IF(OR(LEFT(LOWER(TRIM($F175&amp;"")),12)="subscription",LOWER(TRIM($F175&amp;""))="membership"),"",IF(OR($N175="",$I175="",$I175=0),"",IFERROR($N175/$I175,""))))</x:f>
      </x:c>
      <x:c r="P175" s="987" t="str">
        <x:f>IF(COUNTA($A175:$M175)=0,"",IF(OR(LEFT(LOWER(TRIM($F175&amp;"")),12)="subscription",LOWER(TRIM($F175&amp;""))="membership"),"",IF(LOWER($L175&amp;"")="yes",0,IF(OR(AND($H175&lt;&gt;"",$H175=0),LEFT(LOWER(TRIM($F175&amp;"")),9)="free game",LOWER(TRIM($F175&amp;""))="free",LOWER(TRIM($F175&amp;""))="free entry"),IF(LOWER($D175&amp;"")="finalized",IF(ISNUMBER($K175),$K175,""),IF($O175&lt;&gt;"",$O175,"")),IF($K175&lt;&gt;"",$K175,IF($O175&lt;&gt;"",$O175,""))))))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IF(COUNTA($A175:$M175)=0,"",IF(OR(LEFT(LOWER(TRIM($F175&amp;"")),12)="subscription",LOWER(TRIM($F175&amp;""))="membership"),"Subscription",IF(OR(AND($H175&lt;&gt;"",$H175=0),LEFT(LOWER(TRIM($F175&amp;"")),9)="free game",LOWER(TRIM($F175&amp;""))="free",LOWER(TRIM($F175&amp;""))="free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IF(COUNTA($A176:$M176)=0,"",IF(OR(LEFT(LOWER(TRIM($F176&amp;"")),12)="subscription",LOWER(TRIM($F176&amp;""))="membership"),"",IF($G176="","",IF(ISNUMBER(SEARCH("non",LOWER($E176&amp;""))),$G176*0.85,$G176))))</x:f>
      </x:c>
      <x:c r="O176" s="987" t="str">
        <x:f>IF(COUNTA($A176:$M176)=0,"",IF(OR(LEFT(LOWER(TRIM($F176&amp;"")),12)="subscription",LOWER(TRIM($F176&amp;""))="membership"),"",IF(OR($N176="",$I176="",$I176=0),"",IFERROR($N176/$I176,""))))</x:f>
      </x:c>
      <x:c r="P176" s="987" t="str">
        <x:f>IF(COUNTA($A176:$M176)=0,"",IF(OR(LEFT(LOWER(TRIM($F176&amp;"")),12)="subscription",LOWER(TRIM($F176&amp;""))="membership"),"",IF(LOWER($L176&amp;"")="yes",0,IF(OR(AND($H176&lt;&gt;"",$H176=0),LEFT(LOWER(TRIM($F176&amp;"")),9)="free game",LOWER(TRIM($F176&amp;""))="free",LOWER(TRIM($F176&amp;""))="free entry"),IF(LOWER($D176&amp;"")="finalized",IF(ISNUMBER($K176),$K176,""),IF($O176&lt;&gt;"",$O176,"")),IF($K176&lt;&gt;"",$K176,IF($O176&lt;&gt;"",$O176,""))))))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IF(COUNTA($A176:$M176)=0,"",IF(OR(LEFT(LOWER(TRIM($F176&amp;"")),12)="subscription",LOWER(TRIM($F176&amp;""))="membership"),"Subscription",IF(OR(AND($H176&lt;&gt;"",$H176=0),LEFT(LOWER(TRIM($F176&amp;"")),9)="free game",LOWER(TRIM($F176&amp;""))="free",LOWER(TRIM($F176&amp;""))="free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IF(COUNTA($A177:$M177)=0,"",IF(OR(LEFT(LOWER(TRIM($F177&amp;"")),12)="subscription",LOWER(TRIM($F177&amp;""))="membership"),"",IF($G177="","",IF(ISNUMBER(SEARCH("non",LOWER($E177&amp;""))),$G177*0.85,$G177))))</x:f>
      </x:c>
      <x:c r="O177" s="987" t="str">
        <x:f>IF(COUNTA($A177:$M177)=0,"",IF(OR(LEFT(LOWER(TRIM($F177&amp;"")),12)="subscription",LOWER(TRIM($F177&amp;""))="membership"),"",IF(OR($N177="",$I177="",$I177=0),"",IFERROR($N177/$I177,""))))</x:f>
      </x:c>
      <x:c r="P177" s="987" t="str">
        <x:f>IF(COUNTA($A177:$M177)=0,"",IF(OR(LEFT(LOWER(TRIM($F177&amp;"")),12)="subscription",LOWER(TRIM($F177&amp;""))="membership"),"",IF(LOWER($L177&amp;"")="yes",0,IF(OR(AND($H177&lt;&gt;"",$H177=0),LEFT(LOWER(TRIM($F177&amp;"")),9)="free game",LOWER(TRIM($F177&amp;""))="free",LOWER(TRIM($F177&amp;""))="free entry"),IF(LOWER($D177&amp;"")="finalized",IF(ISNUMBER($K177),$K177,""),IF($O177&lt;&gt;"",$O177,"")),IF($K177&lt;&gt;"",$K177,IF($O177&lt;&gt;"",$O177,""))))))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IF(COUNTA($A177:$M177)=0,"",IF(OR(LEFT(LOWER(TRIM($F177&amp;"")),12)="subscription",LOWER(TRIM($F177&amp;""))="membership"),"Subscription",IF(OR(AND($H177&lt;&gt;"",$H177=0),LEFT(LOWER(TRIM($F177&amp;"")),9)="free game",LOWER(TRIM($F177&amp;""))="free",LOWER(TRIM($F177&amp;""))="free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IF(COUNTA($A178:$M178)=0,"",IF(OR(LEFT(LOWER(TRIM($F178&amp;"")),12)="subscription",LOWER(TRIM($F178&amp;""))="membership"),"",IF($G178="","",IF(ISNUMBER(SEARCH("non",LOWER($E178&amp;""))),$G178*0.85,$G178))))</x:f>
      </x:c>
      <x:c r="O178" s="987" t="str">
        <x:f>IF(COUNTA($A178:$M178)=0,"",IF(OR(LEFT(LOWER(TRIM($F178&amp;"")),12)="subscription",LOWER(TRIM($F178&amp;""))="membership"),"",IF(OR($N178="",$I178="",$I178=0),"",IFERROR($N178/$I178,""))))</x:f>
      </x:c>
      <x:c r="P178" s="987" t="str">
        <x:f>IF(COUNTA($A178:$M178)=0,"",IF(OR(LEFT(LOWER(TRIM($F178&amp;"")),12)="subscription",LOWER(TRIM($F178&amp;""))="membership"),"",IF(LOWER($L178&amp;"")="yes",0,IF(OR(AND($H178&lt;&gt;"",$H178=0),LEFT(LOWER(TRIM($F178&amp;"")),9)="free game",LOWER(TRIM($F178&amp;""))="free",LOWER(TRIM($F178&amp;""))="free entry"),IF(LOWER($D178&amp;"")="finalized",IF(ISNUMBER($K178),$K178,""),IF($O178&lt;&gt;"",$O178,"")),IF($K178&lt;&gt;"",$K178,IF($O178&lt;&gt;"",$O178,""))))))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IF(COUNTA($A178:$M178)=0,"",IF(OR(LEFT(LOWER(TRIM($F178&amp;"")),12)="subscription",LOWER(TRIM($F178&amp;""))="membership"),"Subscription",IF(OR(AND($H178&lt;&gt;"",$H178=0),LEFT(LOWER(TRIM($F178&amp;"")),9)="free game",LOWER(TRIM($F178&amp;""))="free",LOWER(TRIM($F178&amp;""))="free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IF(COUNTA($A179:$M179)=0,"",IF(OR(LEFT(LOWER(TRIM($F179&amp;"")),12)="subscription",LOWER(TRIM($F179&amp;""))="membership"),"",IF($G179="","",IF(ISNUMBER(SEARCH("non",LOWER($E179&amp;""))),$G179*0.85,$G179))))</x:f>
      </x:c>
      <x:c r="O179" s="987" t="str">
        <x:f>IF(COUNTA($A179:$M179)=0,"",IF(OR(LEFT(LOWER(TRIM($F179&amp;"")),12)="subscription",LOWER(TRIM($F179&amp;""))="membership"),"",IF(OR($N179="",$I179="",$I179=0),"",IFERROR($N179/$I179,""))))</x:f>
      </x:c>
      <x:c r="P179" s="987" t="str">
        <x:f>IF(COUNTA($A179:$M179)=0,"",IF(OR(LEFT(LOWER(TRIM($F179&amp;"")),12)="subscription",LOWER(TRIM($F179&amp;""))="membership"),"",IF(LOWER($L179&amp;"")="yes",0,IF(OR(AND($H179&lt;&gt;"",$H179=0),LEFT(LOWER(TRIM($F179&amp;"")),9)="free game",LOWER(TRIM($F179&amp;""))="free",LOWER(TRIM($F179&amp;""))="free entry"),IF(LOWER($D179&amp;"")="finalized",IF(ISNUMBER($K179),$K179,""),IF($O179&lt;&gt;"",$O179,"")),IF($K179&lt;&gt;"",$K179,IF($O179&lt;&gt;"",$O179,""))))))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IF(COUNTA($A179:$M179)=0,"",IF(OR(LEFT(LOWER(TRIM($F179&amp;"")),12)="subscription",LOWER(TRIM($F179&amp;""))="membership"),"Subscription",IF(OR(AND($H179&lt;&gt;"",$H179=0),LEFT(LOWER(TRIM($F179&amp;"")),9)="free game",LOWER(TRIM($F179&amp;""))="free",LOWER(TRIM($F179&amp;""))="free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IF(COUNTA($A180:$M180)=0,"",IF(OR(LEFT(LOWER(TRIM($F180&amp;"")),12)="subscription",LOWER(TRIM($F180&amp;""))="membership"),"",IF($G180="","",IF(ISNUMBER(SEARCH("non",LOWER($E180&amp;""))),$G180*0.85,$G180))))</x:f>
      </x:c>
      <x:c r="O180" s="987" t="str">
        <x:f>IF(COUNTA($A180:$M180)=0,"",IF(OR(LEFT(LOWER(TRIM($F180&amp;"")),12)="subscription",LOWER(TRIM($F180&amp;""))="membership"),"",IF(OR($N180="",$I180="",$I180=0),"",IFERROR($N180/$I180,""))))</x:f>
      </x:c>
      <x:c r="P180" s="987" t="str">
        <x:f>IF(COUNTA($A180:$M180)=0,"",IF(OR(LEFT(LOWER(TRIM($F180&amp;"")),12)="subscription",LOWER(TRIM($F180&amp;""))="membership"),"",IF(LOWER($L180&amp;"")="yes",0,IF(OR(AND($H180&lt;&gt;"",$H180=0),LEFT(LOWER(TRIM($F180&amp;"")),9)="free game",LOWER(TRIM($F180&amp;""))="free",LOWER(TRIM($F180&amp;""))="free entry"),IF(LOWER($D180&amp;"")="finalized",IF(ISNUMBER($K180),$K180,""),IF($O180&lt;&gt;"",$O180,"")),IF($K180&lt;&gt;"",$K180,IF($O180&lt;&gt;"",$O180,""))))))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IF(COUNTA($A180:$M180)=0,"",IF(OR(LEFT(LOWER(TRIM($F180&amp;"")),12)="subscription",LOWER(TRIM($F180&amp;""))="membership"),"Subscription",IF(OR(AND($H180&lt;&gt;"",$H180=0),LEFT(LOWER(TRIM($F180&amp;"")),9)="free game",LOWER(TRIM($F180&amp;""))="free",LOWER(TRIM($F180&amp;""))="free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IF(COUNTA($A181:$M181)=0,"",IF(OR(LEFT(LOWER(TRIM($F181&amp;"")),12)="subscription",LOWER(TRIM($F181&amp;""))="membership"),"",IF($G181="","",IF(ISNUMBER(SEARCH("non",LOWER($E181&amp;""))),$G181*0.85,$G181))))</x:f>
      </x:c>
      <x:c r="O181" s="987" t="str">
        <x:f>IF(COUNTA($A181:$M181)=0,"",IF(OR(LEFT(LOWER(TRIM($F181&amp;"")),12)="subscription",LOWER(TRIM($F181&amp;""))="membership"),"",IF(OR($N181="",$I181="",$I181=0),"",IFERROR($N181/$I181,""))))</x:f>
      </x:c>
      <x:c r="P181" s="987" t="str">
        <x:f>IF(COUNTA($A181:$M181)=0,"",IF(OR(LEFT(LOWER(TRIM($F181&amp;"")),12)="subscription",LOWER(TRIM($F181&amp;""))="membership"),"",IF(LOWER($L181&amp;"")="yes",0,IF(OR(AND($H181&lt;&gt;"",$H181=0),LEFT(LOWER(TRIM($F181&amp;"")),9)="free game",LOWER(TRIM($F181&amp;""))="free",LOWER(TRIM($F181&amp;""))="free entry"),IF(LOWER($D181&amp;"")="finalized",IF(ISNUMBER($K181),$K181,""),IF($O181&lt;&gt;"",$O181,"")),IF($K181&lt;&gt;"",$K181,IF($O181&lt;&gt;"",$O181,""))))))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IF(COUNTA($A181:$M181)=0,"",IF(OR(LEFT(LOWER(TRIM($F181&amp;"")),12)="subscription",LOWER(TRIM($F181&amp;""))="membership"),"Subscription",IF(OR(AND($H181&lt;&gt;"",$H181=0),LEFT(LOWER(TRIM($F181&amp;"")),9)="free game",LOWER(TRIM($F181&amp;""))="free",LOWER(TRIM($F181&amp;""))="free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IF(COUNTA($A182:$M182)=0,"",IF(OR(LEFT(LOWER(TRIM($F182&amp;"")),12)="subscription",LOWER(TRIM($F182&amp;""))="membership"),"",IF($G182="","",IF(ISNUMBER(SEARCH("non",LOWER($E182&amp;""))),$G182*0.85,$G182))))</x:f>
      </x:c>
      <x:c r="O182" s="987" t="str">
        <x:f>IF(COUNTA($A182:$M182)=0,"",IF(OR(LEFT(LOWER(TRIM($F182&amp;"")),12)="subscription",LOWER(TRIM($F182&amp;""))="membership"),"",IF(OR($N182="",$I182="",$I182=0),"",IFERROR($N182/$I182,""))))</x:f>
      </x:c>
      <x:c r="P182" s="987" t="str">
        <x:f>IF(COUNTA($A182:$M182)=0,"",IF(OR(LEFT(LOWER(TRIM($F182&amp;"")),12)="subscription",LOWER(TRIM($F182&amp;""))="membership"),"",IF(LOWER($L182&amp;"")="yes",0,IF(OR(AND($H182&lt;&gt;"",$H182=0),LEFT(LOWER(TRIM($F182&amp;"")),9)="free game",LOWER(TRIM($F182&amp;""))="free",LOWER(TRIM($F182&amp;""))="free entry"),IF(LOWER($D182&amp;"")="finalized",IF(ISNUMBER($K182),$K182,""),IF($O182&lt;&gt;"",$O182,"")),IF($K182&lt;&gt;"",$K182,IF($O182&lt;&gt;"",$O182,""))))))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IF(COUNTA($A182:$M182)=0,"",IF(OR(LEFT(LOWER(TRIM($F182&amp;"")),12)="subscription",LOWER(TRIM($F182&amp;""))="membership"),"Subscription",IF(OR(AND($H182&lt;&gt;"",$H182=0),LEFT(LOWER(TRIM($F182&amp;"")),9)="free game",LOWER(TRIM($F182&amp;""))="free",LOWER(TRIM($F182&amp;""))="free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IF(COUNTA($A183:$M183)=0,"",IF(OR(LEFT(LOWER(TRIM($F183&amp;"")),12)="subscription",LOWER(TRIM($F183&amp;""))="membership"),"",IF($G183="","",IF(ISNUMBER(SEARCH("non",LOWER($E183&amp;""))),$G183*0.85,$G183))))</x:f>
      </x:c>
      <x:c r="O183" s="987" t="str">
        <x:f>IF(COUNTA($A183:$M183)=0,"",IF(OR(LEFT(LOWER(TRIM($F183&amp;"")),12)="subscription",LOWER(TRIM($F183&amp;""))="membership"),"",IF(OR($N183="",$I183="",$I183=0),"",IFERROR($N183/$I183,""))))</x:f>
      </x:c>
      <x:c r="P183" s="987" t="str">
        <x:f>IF(COUNTA($A183:$M183)=0,"",IF(OR(LEFT(LOWER(TRIM($F183&amp;"")),12)="subscription",LOWER(TRIM($F183&amp;""))="membership"),"",IF(LOWER($L183&amp;"")="yes",0,IF(OR(AND($H183&lt;&gt;"",$H183=0),LEFT(LOWER(TRIM($F183&amp;"")),9)="free game",LOWER(TRIM($F183&amp;""))="free",LOWER(TRIM($F183&amp;""))="free entry"),IF(LOWER($D183&amp;"")="finalized",IF(ISNUMBER($K183),$K183,""),IF($O183&lt;&gt;"",$O183,"")),IF($K183&lt;&gt;"",$K183,IF($O183&lt;&gt;"",$O183,""))))))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IF(COUNTA($A183:$M183)=0,"",IF(OR(LEFT(LOWER(TRIM($F183&amp;"")),12)="subscription",LOWER(TRIM($F183&amp;""))="membership"),"Subscription",IF(OR(AND($H183&lt;&gt;"",$H183=0),LEFT(LOWER(TRIM($F183&amp;"")),9)="free game",LOWER(TRIM($F183&amp;""))="free",LOWER(TRIM($F183&amp;""))="free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IF(COUNTA($A184:$M184)=0,"",IF(OR(LEFT(LOWER(TRIM($F184&amp;"")),12)="subscription",LOWER(TRIM($F184&amp;""))="membership"),"",IF($G184="","",IF(ISNUMBER(SEARCH("non",LOWER($E184&amp;""))),$G184*0.85,$G184))))</x:f>
      </x:c>
      <x:c r="O184" s="987" t="str">
        <x:f>IF(COUNTA($A184:$M184)=0,"",IF(OR(LEFT(LOWER(TRIM($F184&amp;"")),12)="subscription",LOWER(TRIM($F184&amp;""))="membership"),"",IF(OR($N184="",$I184="",$I184=0),"",IFERROR($N184/$I184,""))))</x:f>
      </x:c>
      <x:c r="P184" s="987" t="str">
        <x:f>IF(COUNTA($A184:$M184)=0,"",IF(OR(LEFT(LOWER(TRIM($F184&amp;"")),12)="subscription",LOWER(TRIM($F184&amp;""))="membership"),"",IF(LOWER($L184&amp;"")="yes",0,IF(OR(AND($H184&lt;&gt;"",$H184=0),LEFT(LOWER(TRIM($F184&amp;"")),9)="free game",LOWER(TRIM($F184&amp;""))="free",LOWER(TRIM($F184&amp;""))="free entry"),IF(LOWER($D184&amp;"")="finalized",IF(ISNUMBER($K184),$K184,""),IF($O184&lt;&gt;"",$O184,"")),IF($K184&lt;&gt;"",$K184,IF($O184&lt;&gt;"",$O184,""))))))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IF(COUNTA($A184:$M184)=0,"",IF(OR(LEFT(LOWER(TRIM($F184&amp;"")),12)="subscription",LOWER(TRIM($F184&amp;""))="membership"),"Subscription",IF(OR(AND($H184&lt;&gt;"",$H184=0),LEFT(LOWER(TRIM($F184&amp;"")),9)="free game",LOWER(TRIM($F184&amp;""))="free",LOWER(TRIM($F184&amp;""))="free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IF(COUNTA($A185:$M185)=0,"",IF(OR(LEFT(LOWER(TRIM($F185&amp;"")),12)="subscription",LOWER(TRIM($F185&amp;""))="membership"),"",IF($G185="","",IF(ISNUMBER(SEARCH("non",LOWER($E185&amp;""))),$G185*0.85,$G185))))</x:f>
      </x:c>
      <x:c r="O185" s="987" t="str">
        <x:f>IF(COUNTA($A185:$M185)=0,"",IF(OR(LEFT(LOWER(TRIM($F185&amp;"")),12)="subscription",LOWER(TRIM($F185&amp;""))="membership"),"",IF(OR($N185="",$I185="",$I185=0),"",IFERROR($N185/$I185,""))))</x:f>
      </x:c>
      <x:c r="P185" s="987" t="str">
        <x:f>IF(COUNTA($A185:$M185)=0,"",IF(OR(LEFT(LOWER(TRIM($F185&amp;"")),12)="subscription",LOWER(TRIM($F185&amp;""))="membership"),"",IF(LOWER($L185&amp;"")="yes",0,IF(OR(AND($H185&lt;&gt;"",$H185=0),LEFT(LOWER(TRIM($F185&amp;"")),9)="free game",LOWER(TRIM($F185&amp;""))="free",LOWER(TRIM($F185&amp;""))="free entry"),IF(LOWER($D185&amp;"")="finalized",IF(ISNUMBER($K185),$K185,""),IF($O185&lt;&gt;"",$O185,"")),IF($K185&lt;&gt;"",$K185,IF($O185&lt;&gt;"",$O185,""))))))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IF(COUNTA($A185:$M185)=0,"",IF(OR(LEFT(LOWER(TRIM($F185&amp;"")),12)="subscription",LOWER(TRIM($F185&amp;""))="membership"),"Subscription",IF(OR(AND($H185&lt;&gt;"",$H185=0),LEFT(LOWER(TRIM($F185&amp;"")),9)="free game",LOWER(TRIM($F185&amp;""))="free",LOWER(TRIM($F185&amp;""))="free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IF(COUNTA($A186:$M186)=0,"",IF(OR(LEFT(LOWER(TRIM($F186&amp;"")),12)="subscription",LOWER(TRIM($F186&amp;""))="membership"),"",IF($G186="","",IF(ISNUMBER(SEARCH("non",LOWER($E186&amp;""))),$G186*0.85,$G186))))</x:f>
      </x:c>
      <x:c r="O186" s="987" t="str">
        <x:f>IF(COUNTA($A186:$M186)=0,"",IF(OR(LEFT(LOWER(TRIM($F186&amp;"")),12)="subscription",LOWER(TRIM($F186&amp;""))="membership"),"",IF(OR($N186="",$I186="",$I186=0),"",IFERROR($N186/$I186,""))))</x:f>
      </x:c>
      <x:c r="P186" s="987" t="str">
        <x:f>IF(COUNTA($A186:$M186)=0,"",IF(OR(LEFT(LOWER(TRIM($F186&amp;"")),12)="subscription",LOWER(TRIM($F186&amp;""))="membership"),"",IF(LOWER($L186&amp;"")="yes",0,IF(OR(AND($H186&lt;&gt;"",$H186=0),LEFT(LOWER(TRIM($F186&amp;"")),9)="free game",LOWER(TRIM($F186&amp;""))="free",LOWER(TRIM($F186&amp;""))="free entry"),IF(LOWER($D186&amp;"")="finalized",IF(ISNUMBER($K186),$K186,""),IF($O186&lt;&gt;"",$O186,"")),IF($K186&lt;&gt;"",$K186,IF($O186&lt;&gt;"",$O186,""))))))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IF(COUNTA($A186:$M186)=0,"",IF(OR(LEFT(LOWER(TRIM($F186&amp;"")),12)="subscription",LOWER(TRIM($F186&amp;""))="membership"),"Subscription",IF(OR(AND($H186&lt;&gt;"",$H186=0),LEFT(LOWER(TRIM($F186&amp;"")),9)="free game",LOWER(TRIM($F186&amp;""))="free",LOWER(TRIM($F186&amp;""))="free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IF(COUNTA($A187:$M187)=0,"",IF(OR(LEFT(LOWER(TRIM($F187&amp;"")),12)="subscription",LOWER(TRIM($F187&amp;""))="membership"),"",IF($G187="","",IF(ISNUMBER(SEARCH("non",LOWER($E187&amp;""))),$G187*0.85,$G187))))</x:f>
      </x:c>
      <x:c r="O187" s="987" t="str">
        <x:f>IF(COUNTA($A187:$M187)=0,"",IF(OR(LEFT(LOWER(TRIM($F187&amp;"")),12)="subscription",LOWER(TRIM($F187&amp;""))="membership"),"",IF(OR($N187="",$I187="",$I187=0),"",IFERROR($N187/$I187,""))))</x:f>
      </x:c>
      <x:c r="P187" s="987" t="str">
        <x:f>IF(COUNTA($A187:$M187)=0,"",IF(OR(LEFT(LOWER(TRIM($F187&amp;"")),12)="subscription",LOWER(TRIM($F187&amp;""))="membership"),"",IF(LOWER($L187&amp;"")="yes",0,IF(OR(AND($H187&lt;&gt;"",$H187=0),LEFT(LOWER(TRIM($F187&amp;"")),9)="free game",LOWER(TRIM($F187&amp;""))="free",LOWER(TRIM($F187&amp;""))="free entry"),IF(LOWER($D187&amp;"")="finalized",IF(ISNUMBER($K187),$K187,""),IF($O187&lt;&gt;"",$O187,"")),IF($K187&lt;&gt;"",$K187,IF($O187&lt;&gt;"",$O187,""))))))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IF(COUNTA($A187:$M187)=0,"",IF(OR(LEFT(LOWER(TRIM($F187&amp;"")),12)="subscription",LOWER(TRIM($F187&amp;""))="membership"),"Subscription",IF(OR(AND($H187&lt;&gt;"",$H187=0),LEFT(LOWER(TRIM($F187&amp;"")),9)="free game",LOWER(TRIM($F187&amp;""))="free",LOWER(TRIM($F187&amp;""))="free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IF(COUNTA($A188:$M188)=0,"",IF(OR(LEFT(LOWER(TRIM($F188&amp;"")),12)="subscription",LOWER(TRIM($F188&amp;""))="membership"),"",IF($G188="","",IF(ISNUMBER(SEARCH("non",LOWER($E188&amp;""))),$G188*0.85,$G188))))</x:f>
      </x:c>
      <x:c r="O188" s="987" t="str">
        <x:f>IF(COUNTA($A188:$M188)=0,"",IF(OR(LEFT(LOWER(TRIM($F188&amp;"")),12)="subscription",LOWER(TRIM($F188&amp;""))="membership"),"",IF(OR($N188="",$I188="",$I188=0),"",IFERROR($N188/$I188,""))))</x:f>
      </x:c>
      <x:c r="P188" s="987" t="str">
        <x:f>IF(COUNTA($A188:$M188)=0,"",IF(OR(LEFT(LOWER(TRIM($F188&amp;"")),12)="subscription",LOWER(TRIM($F188&amp;""))="membership"),"",IF(LOWER($L188&amp;"")="yes",0,IF(OR(AND($H188&lt;&gt;"",$H188=0),LEFT(LOWER(TRIM($F188&amp;"")),9)="free game",LOWER(TRIM($F188&amp;""))="free",LOWER(TRIM($F188&amp;""))="free entry"),IF(LOWER($D188&amp;"")="finalized",IF(ISNUMBER($K188),$K188,""),IF($O188&lt;&gt;"",$O188,"")),IF($K188&lt;&gt;"",$K188,IF($O188&lt;&gt;"",$O188,""))))))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IF(COUNTA($A188:$M188)=0,"",IF(OR(LEFT(LOWER(TRIM($F188&amp;"")),12)="subscription",LOWER(TRIM($F188&amp;""))="membership"),"Subscription",IF(OR(AND($H188&lt;&gt;"",$H188=0),LEFT(LOWER(TRIM($F188&amp;"")),9)="free game",LOWER(TRIM($F188&amp;""))="free",LOWER(TRIM($F188&amp;""))="free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IF(COUNTA($A189:$M189)=0,"",IF(OR(LEFT(LOWER(TRIM($F189&amp;"")),12)="subscription",LOWER(TRIM($F189&amp;""))="membership"),"",IF($G189="","",IF(ISNUMBER(SEARCH("non",LOWER($E189&amp;""))),$G189*0.85,$G189))))</x:f>
      </x:c>
      <x:c r="O189" s="987" t="str">
        <x:f>IF(COUNTA($A189:$M189)=0,"",IF(OR(LEFT(LOWER(TRIM($F189&amp;"")),12)="subscription",LOWER(TRIM($F189&amp;""))="membership"),"",IF(OR($N189="",$I189="",$I189=0),"",IFERROR($N189/$I189,""))))</x:f>
      </x:c>
      <x:c r="P189" s="987" t="str">
        <x:f>IF(COUNTA($A189:$M189)=0,"",IF(OR(LEFT(LOWER(TRIM($F189&amp;"")),12)="subscription",LOWER(TRIM($F189&amp;""))="membership"),"",IF(LOWER($L189&amp;"")="yes",0,IF(OR(AND($H189&lt;&gt;"",$H189=0),LEFT(LOWER(TRIM($F189&amp;"")),9)="free game",LOWER(TRIM($F189&amp;""))="free",LOWER(TRIM($F189&amp;""))="free entry"),IF(LOWER($D189&amp;"")="finalized",IF(ISNUMBER($K189),$K189,""),IF($O189&lt;&gt;"",$O189,"")),IF($K189&lt;&gt;"",$K189,IF($O189&lt;&gt;"",$O189,""))))))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IF(COUNTA($A189:$M189)=0,"",IF(OR(LEFT(LOWER(TRIM($F189&amp;"")),12)="subscription",LOWER(TRIM($F189&amp;""))="membership"),"Subscription",IF(OR(AND($H189&lt;&gt;"",$H189=0),LEFT(LOWER(TRIM($F189&amp;"")),9)="free game",LOWER(TRIM($F189&amp;""))="free",LOWER(TRIM($F189&amp;""))="free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IF(COUNTA($A190:$M190)=0,"",IF(OR(LEFT(LOWER(TRIM($F190&amp;"")),12)="subscription",LOWER(TRIM($F190&amp;""))="membership"),"",IF($G190="","",IF(ISNUMBER(SEARCH("non",LOWER($E190&amp;""))),$G190*0.85,$G190))))</x:f>
      </x:c>
      <x:c r="O190" s="987" t="str">
        <x:f>IF(COUNTA($A190:$M190)=0,"",IF(OR(LEFT(LOWER(TRIM($F190&amp;"")),12)="subscription",LOWER(TRIM($F190&amp;""))="membership"),"",IF(OR($N190="",$I190="",$I190=0),"",IFERROR($N190/$I190,""))))</x:f>
      </x:c>
      <x:c r="P190" s="987" t="str">
        <x:f>IF(COUNTA($A190:$M190)=0,"",IF(OR(LEFT(LOWER(TRIM($F190&amp;"")),12)="subscription",LOWER(TRIM($F190&amp;""))="membership"),"",IF(LOWER($L190&amp;"")="yes",0,IF(OR(AND($H190&lt;&gt;"",$H190=0),LEFT(LOWER(TRIM($F190&amp;"")),9)="free game",LOWER(TRIM($F190&amp;""))="free",LOWER(TRIM($F190&amp;""))="free entry"),IF(LOWER($D190&amp;"")="finalized",IF(ISNUMBER($K190),$K190,""),IF($O190&lt;&gt;"",$O190,"")),IF($K190&lt;&gt;"",$K190,IF($O190&lt;&gt;"",$O190,""))))))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IF(COUNTA($A190:$M190)=0,"",IF(OR(LEFT(LOWER(TRIM($F190&amp;"")),12)="subscription",LOWER(TRIM($F190&amp;""))="membership"),"Subscription",IF(OR(AND($H190&lt;&gt;"",$H190=0),LEFT(LOWER(TRIM($F190&amp;"")),9)="free game",LOWER(TRIM($F190&amp;""))="free",LOWER(TRIM($F190&amp;""))="free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IF(COUNTA($A191:$M191)=0,"",IF(OR(LEFT(LOWER(TRIM($F191&amp;"")),12)="subscription",LOWER(TRIM($F191&amp;""))="membership"),"",IF($G191="","",IF(ISNUMBER(SEARCH("non",LOWER($E191&amp;""))),$G191*0.85,$G191))))</x:f>
      </x:c>
      <x:c r="O191" s="987" t="str">
        <x:f>IF(COUNTA($A191:$M191)=0,"",IF(OR(LEFT(LOWER(TRIM($F191&amp;"")),12)="subscription",LOWER(TRIM($F191&amp;""))="membership"),"",IF(OR($N191="",$I191="",$I191=0),"",IFERROR($N191/$I191,""))))</x:f>
      </x:c>
      <x:c r="P191" s="987" t="str">
        <x:f>IF(COUNTA($A191:$M191)=0,"",IF(OR(LEFT(LOWER(TRIM($F191&amp;"")),12)="subscription",LOWER(TRIM($F191&amp;""))="membership"),"",IF(LOWER($L191&amp;"")="yes",0,IF(OR(AND($H191&lt;&gt;"",$H191=0),LEFT(LOWER(TRIM($F191&amp;"")),9)="free game",LOWER(TRIM($F191&amp;""))="free",LOWER(TRIM($F191&amp;""))="free entry"),IF(LOWER($D191&amp;"")="finalized",IF(ISNUMBER($K191),$K191,""),IF($O191&lt;&gt;"",$O191,"")),IF($K191&lt;&gt;"",$K191,IF($O191&lt;&gt;"",$O191,""))))))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IF(COUNTA($A191:$M191)=0,"",IF(OR(LEFT(LOWER(TRIM($F191&amp;"")),12)="subscription",LOWER(TRIM($F191&amp;""))="membership"),"Subscription",IF(OR(AND($H191&lt;&gt;"",$H191=0),LEFT(LOWER(TRIM($F191&amp;"")),9)="free game",LOWER(TRIM($F191&amp;""))="free",LOWER(TRIM($F191&amp;""))="free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IF(COUNTA($A192:$M192)=0,"",IF(OR(LEFT(LOWER(TRIM($F192&amp;"")),12)="subscription",LOWER(TRIM($F192&amp;""))="membership"),"",IF($G192="","",IF(ISNUMBER(SEARCH("non",LOWER($E192&amp;""))),$G192*0.85,$G192))))</x:f>
      </x:c>
      <x:c r="O192" s="987" t="str">
        <x:f>IF(COUNTA($A192:$M192)=0,"",IF(OR(LEFT(LOWER(TRIM($F192&amp;"")),12)="subscription",LOWER(TRIM($F192&amp;""))="membership"),"",IF(OR($N192="",$I192="",$I192=0),"",IFERROR($N192/$I192,""))))</x:f>
      </x:c>
      <x:c r="P192" s="987" t="str">
        <x:f>IF(COUNTA($A192:$M192)=0,"",IF(OR(LEFT(LOWER(TRIM($F192&amp;"")),12)="subscription",LOWER(TRIM($F192&amp;""))="membership"),"",IF(LOWER($L192&amp;"")="yes",0,IF(OR(AND($H192&lt;&gt;"",$H192=0),LEFT(LOWER(TRIM($F192&amp;"")),9)="free game",LOWER(TRIM($F192&amp;""))="free",LOWER(TRIM($F192&amp;""))="free entry"),IF(LOWER($D192&amp;"")="finalized",IF(ISNUMBER($K192),$K192,""),IF($O192&lt;&gt;"",$O192,"")),IF($K192&lt;&gt;"",$K192,IF($O192&lt;&gt;"",$O192,""))))))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IF(COUNTA($A192:$M192)=0,"",IF(OR(LEFT(LOWER(TRIM($F192&amp;"")),12)="subscription",LOWER(TRIM($F192&amp;""))="membership"),"Subscription",IF(OR(AND($H192&lt;&gt;"",$H192=0),LEFT(LOWER(TRIM($F192&amp;"")),9)="free game",LOWER(TRIM($F192&amp;""))="free",LOWER(TRIM($F192&amp;""))="free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IF(COUNTA($A193:$M193)=0,"",IF(OR(LEFT(LOWER(TRIM($F193&amp;"")),12)="subscription",LOWER(TRIM($F193&amp;""))="membership"),"",IF($G193="","",IF(ISNUMBER(SEARCH("non",LOWER($E193&amp;""))),$G193*0.85,$G193))))</x:f>
      </x:c>
      <x:c r="O193" s="987" t="str">
        <x:f>IF(COUNTA($A193:$M193)=0,"",IF(OR(LEFT(LOWER(TRIM($F193&amp;"")),12)="subscription",LOWER(TRIM($F193&amp;""))="membership"),"",IF(OR($N193="",$I193="",$I193=0),"",IFERROR($N193/$I193,""))))</x:f>
      </x:c>
      <x:c r="P193" s="987" t="str">
        <x:f>IF(COUNTA($A193:$M193)=0,"",IF(OR(LEFT(LOWER(TRIM($F193&amp;"")),12)="subscription",LOWER(TRIM($F193&amp;""))="membership"),"",IF(LOWER($L193&amp;"")="yes",0,IF(OR(AND($H193&lt;&gt;"",$H193=0),LEFT(LOWER(TRIM($F193&amp;"")),9)="free game",LOWER(TRIM($F193&amp;""))="free",LOWER(TRIM($F193&amp;""))="free entry"),IF(LOWER($D193&amp;"")="finalized",IF(ISNUMBER($K193),$K193,""),IF($O193&lt;&gt;"",$O193,"")),IF($K193&lt;&gt;"",$K193,IF($O193&lt;&gt;"",$O193,""))))))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IF(COUNTA($A193:$M193)=0,"",IF(OR(LEFT(LOWER(TRIM($F193&amp;"")),12)="subscription",LOWER(TRIM($F193&amp;""))="membership"),"Subscription",IF(OR(AND($H193&lt;&gt;"",$H193=0),LEFT(LOWER(TRIM($F193&amp;"")),9)="free game",LOWER(TRIM($F193&amp;""))="free",LOWER(TRIM($F193&amp;""))="free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IF(COUNTA($A194:$M194)=0,"",IF(OR(LEFT(LOWER(TRIM($F194&amp;"")),12)="subscription",LOWER(TRIM($F194&amp;""))="membership"),"",IF($G194="","",IF(ISNUMBER(SEARCH("non",LOWER($E194&amp;""))),$G194*0.85,$G194))))</x:f>
      </x:c>
      <x:c r="O194" s="987" t="str">
        <x:f>IF(COUNTA($A194:$M194)=0,"",IF(OR(LEFT(LOWER(TRIM($F194&amp;"")),12)="subscription",LOWER(TRIM($F194&amp;""))="membership"),"",IF(OR($N194="",$I194="",$I194=0),"",IFERROR($N194/$I194,""))))</x:f>
      </x:c>
      <x:c r="P194" s="987" t="str">
        <x:f>IF(COUNTA($A194:$M194)=0,"",IF(OR(LEFT(LOWER(TRIM($F194&amp;"")),12)="subscription",LOWER(TRIM($F194&amp;""))="membership"),"",IF(LOWER($L194&amp;"")="yes",0,IF(OR(AND($H194&lt;&gt;"",$H194=0),LEFT(LOWER(TRIM($F194&amp;"")),9)="free game",LOWER(TRIM($F194&amp;""))="free",LOWER(TRIM($F194&amp;""))="free entry"),IF(LOWER($D194&amp;"")="finalized",IF(ISNUMBER($K194),$K194,""),IF($O194&lt;&gt;"",$O194,"")),IF($K194&lt;&gt;"",$K194,IF($O194&lt;&gt;"",$O194,""))))))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IF(COUNTA($A194:$M194)=0,"",IF(OR(LEFT(LOWER(TRIM($F194&amp;"")),12)="subscription",LOWER(TRIM($F194&amp;""))="membership"),"Subscription",IF(OR(AND($H194&lt;&gt;"",$H194=0),LEFT(LOWER(TRIM($F194&amp;"")),9)="free game",LOWER(TRIM($F194&amp;""))="free",LOWER(TRIM($F194&amp;""))="free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IF(COUNTA($A195:$M195)=0,"",IF(OR(LEFT(LOWER(TRIM($F195&amp;"")),12)="subscription",LOWER(TRIM($F195&amp;""))="membership"),"",IF($G195="","",IF(ISNUMBER(SEARCH("non",LOWER($E195&amp;""))),$G195*0.85,$G195))))</x:f>
      </x:c>
      <x:c r="O195" s="987" t="str">
        <x:f>IF(COUNTA($A195:$M195)=0,"",IF(OR(LEFT(LOWER(TRIM($F195&amp;"")),12)="subscription",LOWER(TRIM($F195&amp;""))="membership"),"",IF(OR($N195="",$I195="",$I195=0),"",IFERROR($N195/$I195,""))))</x:f>
      </x:c>
      <x:c r="P195" s="987" t="str">
        <x:f>IF(COUNTA($A195:$M195)=0,"",IF(OR(LEFT(LOWER(TRIM($F195&amp;"")),12)="subscription",LOWER(TRIM($F195&amp;""))="membership"),"",IF(LOWER($L195&amp;"")="yes",0,IF(OR(AND($H195&lt;&gt;"",$H195=0),LEFT(LOWER(TRIM($F195&amp;"")),9)="free game",LOWER(TRIM($F195&amp;""))="free",LOWER(TRIM($F195&amp;""))="free entry"),IF(LOWER($D195&amp;"")="finalized",IF(ISNUMBER($K195),$K195,""),IF($O195&lt;&gt;"",$O195,"")),IF($K195&lt;&gt;"",$K195,IF($O195&lt;&gt;"",$O195,""))))))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IF(COUNTA($A195:$M195)=0,"",IF(OR(LEFT(LOWER(TRIM($F195&amp;"")),12)="subscription",LOWER(TRIM($F195&amp;""))="membership"),"Subscription",IF(OR(AND($H195&lt;&gt;"",$H195=0),LEFT(LOWER(TRIM($F195&amp;"")),9)="free game",LOWER(TRIM($F195&amp;""))="free",LOWER(TRIM($F195&amp;""))="free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IF(COUNTA($A196:$M196)=0,"",IF(OR(LEFT(LOWER(TRIM($F196&amp;"")),12)="subscription",LOWER(TRIM($F196&amp;""))="membership"),"",IF($G196="","",IF(ISNUMBER(SEARCH("non",LOWER($E196&amp;""))),$G196*0.85,$G196))))</x:f>
      </x:c>
      <x:c r="O196" s="987" t="str">
        <x:f>IF(COUNTA($A196:$M196)=0,"",IF(OR(LEFT(LOWER(TRIM($F196&amp;"")),12)="subscription",LOWER(TRIM($F196&amp;""))="membership"),"",IF(OR($N196="",$I196="",$I196=0),"",IFERROR($N196/$I196,""))))</x:f>
      </x:c>
      <x:c r="P196" s="987" t="str">
        <x:f>IF(COUNTA($A196:$M196)=0,"",IF(OR(LEFT(LOWER(TRIM($F196&amp;"")),12)="subscription",LOWER(TRIM($F196&amp;""))="membership"),"",IF(LOWER($L196&amp;"")="yes",0,IF(OR(AND($H196&lt;&gt;"",$H196=0),LEFT(LOWER(TRIM($F196&amp;"")),9)="free game",LOWER(TRIM($F196&amp;""))="free",LOWER(TRIM($F196&amp;""))="free entry"),IF(LOWER($D196&amp;"")="finalized",IF(ISNUMBER($K196),$K196,""),IF($O196&lt;&gt;"",$O196,"")),IF($K196&lt;&gt;"",$K196,IF($O196&lt;&gt;"",$O196,""))))))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IF(COUNTA($A196:$M196)=0,"",IF(OR(LEFT(LOWER(TRIM($F196&amp;"")),12)="subscription",LOWER(TRIM($F196&amp;""))="membership"),"Subscription",IF(OR(AND($H196&lt;&gt;"",$H196=0),LEFT(LOWER(TRIM($F196&amp;"")),9)="free game",LOWER(TRIM($F196&amp;""))="free",LOWER(TRIM($F196&amp;""))="free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IF(COUNTA($A197:$M197)=0,"",IF(OR(LEFT(LOWER(TRIM($F197&amp;"")),12)="subscription",LOWER(TRIM($F197&amp;""))="membership"),"",IF($G197="","",IF(ISNUMBER(SEARCH("non",LOWER($E197&amp;""))),$G197*0.85,$G197))))</x:f>
      </x:c>
      <x:c r="O197" s="987" t="str">
        <x:f>IF(COUNTA($A197:$M197)=0,"",IF(OR(LEFT(LOWER(TRIM($F197&amp;"")),12)="subscription",LOWER(TRIM($F197&amp;""))="membership"),"",IF(OR($N197="",$I197="",$I197=0),"",IFERROR($N197/$I197,""))))</x:f>
      </x:c>
      <x:c r="P197" s="987" t="str">
        <x:f>IF(COUNTA($A197:$M197)=0,"",IF(OR(LEFT(LOWER(TRIM($F197&amp;"")),12)="subscription",LOWER(TRIM($F197&amp;""))="membership"),"",IF(LOWER($L197&amp;"")="yes",0,IF(OR(AND($H197&lt;&gt;"",$H197=0),LEFT(LOWER(TRIM($F197&amp;"")),9)="free game",LOWER(TRIM($F197&amp;""))="free",LOWER(TRIM($F197&amp;""))="free entry"),IF(LOWER($D197&amp;"")="finalized",IF(ISNUMBER($K197),$K197,""),IF($O197&lt;&gt;"",$O197,"")),IF($K197&lt;&gt;"",$K197,IF($O197&lt;&gt;"",$O197,""))))))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IF(COUNTA($A197:$M197)=0,"",IF(OR(LEFT(LOWER(TRIM($F197&amp;"")),12)="subscription",LOWER(TRIM($F197&amp;""))="membership"),"Subscription",IF(OR(AND($H197&lt;&gt;"",$H197=0),LEFT(LOWER(TRIM($F197&amp;"")),9)="free game",LOWER(TRIM($F197&amp;""))="free",LOWER(TRIM($F197&amp;""))="free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IF(COUNTA($A198:$M198)=0,"",IF(OR(LEFT(LOWER(TRIM($F198&amp;"")),12)="subscription",LOWER(TRIM($F198&amp;""))="membership"),"",IF($G198="","",IF(ISNUMBER(SEARCH("non",LOWER($E198&amp;""))),$G198*0.85,$G198))))</x:f>
      </x:c>
      <x:c r="O198" s="987" t="str">
        <x:f>IF(COUNTA($A198:$M198)=0,"",IF(OR(LEFT(LOWER(TRIM($F198&amp;"")),12)="subscription",LOWER(TRIM($F198&amp;""))="membership"),"",IF(OR($N198="",$I198="",$I198=0),"",IFERROR($N198/$I198,""))))</x:f>
      </x:c>
      <x:c r="P198" s="987" t="str">
        <x:f>IF(COUNTA($A198:$M198)=0,"",IF(OR(LEFT(LOWER(TRIM($F198&amp;"")),12)="subscription",LOWER(TRIM($F198&amp;""))="membership"),"",IF(LOWER($L198&amp;"")="yes",0,IF(OR(AND($H198&lt;&gt;"",$H198=0),LEFT(LOWER(TRIM($F198&amp;"")),9)="free game",LOWER(TRIM($F198&amp;""))="free",LOWER(TRIM($F198&amp;""))="free entry"),IF(LOWER($D198&amp;"")="finalized",IF(ISNUMBER($K198),$K198,""),IF($O198&lt;&gt;"",$O198,"")),IF($K198&lt;&gt;"",$K198,IF($O198&lt;&gt;"",$O198,""))))))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IF(COUNTA($A198:$M198)=0,"",IF(OR(LEFT(LOWER(TRIM($F198&amp;"")),12)="subscription",LOWER(TRIM($F198&amp;""))="membership"),"Subscription",IF(OR(AND($H198&lt;&gt;"",$H198=0),LEFT(LOWER(TRIM($F198&amp;"")),9)="free game",LOWER(TRIM($F198&amp;""))="free",LOWER(TRIM($F198&amp;""))="free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IF(COUNTA($A199:$M199)=0,"",IF(OR(LEFT(LOWER(TRIM($F199&amp;"")),12)="subscription",LOWER(TRIM($F199&amp;""))="membership"),"",IF($G199="","",IF(ISNUMBER(SEARCH("non",LOWER($E199&amp;""))),$G199*0.85,$G199))))</x:f>
      </x:c>
      <x:c r="O199" s="987" t="str">
        <x:f>IF(COUNTA($A199:$M199)=0,"",IF(OR(LEFT(LOWER(TRIM($F199&amp;"")),12)="subscription",LOWER(TRIM($F199&amp;""))="membership"),"",IF(OR($N199="",$I199="",$I199=0),"",IFERROR($N199/$I199,""))))</x:f>
      </x:c>
      <x:c r="P199" s="987" t="str">
        <x:f>IF(COUNTA($A199:$M199)=0,"",IF(OR(LEFT(LOWER(TRIM($F199&amp;"")),12)="subscription",LOWER(TRIM($F199&amp;""))="membership"),"",IF(LOWER($L199&amp;"")="yes",0,IF(OR(AND($H199&lt;&gt;"",$H199=0),LEFT(LOWER(TRIM($F199&amp;"")),9)="free game",LOWER(TRIM($F199&amp;""))="free",LOWER(TRIM($F199&amp;""))="free entry"),IF(LOWER($D199&amp;"")="finalized",IF(ISNUMBER($K199),$K199,""),IF($O199&lt;&gt;"",$O199,"")),IF($K199&lt;&gt;"",$K199,IF($O199&lt;&gt;"",$O199,""))))))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IF(COUNTA($A199:$M199)=0,"",IF(OR(LEFT(LOWER(TRIM($F199&amp;"")),12)="subscription",LOWER(TRIM($F199&amp;""))="membership"),"Subscription",IF(OR(AND($H199&lt;&gt;"",$H199=0),LEFT(LOWER(TRIM($F199&amp;"")),9)="free game",LOWER(TRIM($F199&amp;""))="free",LOWER(TRIM($F199&amp;""))="free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IF(COUNTA($A200:$M200)=0,"",IF(OR(LEFT(LOWER(TRIM($F200&amp;"")),12)="subscription",LOWER(TRIM($F200&amp;""))="membership"),"",IF($G200="","",IF(ISNUMBER(SEARCH("non",LOWER($E200&amp;""))),$G200*0.85,$G200))))</x:f>
      </x:c>
      <x:c r="O200" s="987" t="str">
        <x:f>IF(COUNTA($A200:$M200)=0,"",IF(OR(LEFT(LOWER(TRIM($F200&amp;"")),12)="subscription",LOWER(TRIM($F200&amp;""))="membership"),"",IF(OR($N200="",$I200="",$I200=0),"",IFERROR($N200/$I200,""))))</x:f>
      </x:c>
      <x:c r="P200" s="987" t="str">
        <x:f>IF(COUNTA($A200:$M200)=0,"",IF(OR(LEFT(LOWER(TRIM($F200&amp;"")),12)="subscription",LOWER(TRIM($F200&amp;""))="membership"),"",IF(LOWER($L200&amp;"")="yes",0,IF(OR(AND($H200&lt;&gt;"",$H200=0),LEFT(LOWER(TRIM($F200&amp;"")),9)="free game",LOWER(TRIM($F200&amp;""))="free",LOWER(TRIM($F200&amp;""))="free entry"),IF(LOWER($D200&amp;"")="finalized",IF(ISNUMBER($K200),$K200,""),IF($O200&lt;&gt;"",$O200,"")),IF($K200&lt;&gt;"",$K200,IF($O200&lt;&gt;"",$O200,""))))))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IF(COUNTA($A200:$M200)=0,"",IF(OR(LEFT(LOWER(TRIM($F200&amp;"")),12)="subscription",LOWER(TRIM($F200&amp;""))="membership"),"Subscription",IF(OR(AND($H200&lt;&gt;"",$H200=0),LEFT(LOWER(TRIM($F200&amp;"")),9)="free game",LOWER(TRIM($F200&amp;""))="free",LOWER(TRIM($F200&amp;""))="free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IF(COUNTA($A201:$M201)=0,"",IF(OR(LEFT(LOWER(TRIM($F201&amp;"")),12)="subscription",LOWER(TRIM($F201&amp;""))="membership"),"",IF($G201="","",IF(ISNUMBER(SEARCH("non",LOWER($E201&amp;""))),$G201*0.85,$G201))))</x:f>
      </x:c>
      <x:c r="O201" s="987" t="str">
        <x:f>IF(COUNTA($A201:$M201)=0,"",IF(OR(LEFT(LOWER(TRIM($F201&amp;"")),12)="subscription",LOWER(TRIM($F201&amp;""))="membership"),"",IF(OR($N201="",$I201="",$I201=0),"",IFERROR($N201/$I201,""))))</x:f>
      </x:c>
      <x:c r="P201" s="987" t="str">
        <x:f>IF(COUNTA($A201:$M201)=0,"",IF(OR(LEFT(LOWER(TRIM($F201&amp;"")),12)="subscription",LOWER(TRIM($F201&amp;""))="membership"),"",IF(LOWER($L201&amp;"")="yes",0,IF(OR(AND($H201&lt;&gt;"",$H201=0),LEFT(LOWER(TRIM($F201&amp;"")),9)="free game",LOWER(TRIM($F201&amp;""))="free",LOWER(TRIM($F201&amp;""))="free entry"),IF(LOWER($D201&amp;"")="finalized",IF(ISNUMBER($K201),$K201,""),IF($O201&lt;&gt;"",$O201,"")),IF($K201&lt;&gt;"",$K201,IF($O201&lt;&gt;"",$O201,""))))))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IF(COUNTA($A201:$M201)=0,"",IF(OR(LEFT(LOWER(TRIM($F201&amp;"")),12)="subscription",LOWER(TRIM($F201&amp;""))="membership"),"Subscription",IF(OR(AND($H201&lt;&gt;"",$H201=0),LEFT(LOWER(TRIM($F201&amp;"")),9)="free game",LOWER(TRIM($F201&amp;""))="free",LOWER(TRIM($F201&amp;""))="free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IF(COUNTA($A202:$M202)=0,"",IF(OR(LEFT(LOWER(TRIM($F202&amp;"")),12)="subscription",LOWER(TRIM($F202&amp;""))="membership"),"",IF($G202="","",IF(ISNUMBER(SEARCH("non",LOWER($E202&amp;""))),$G202*0.85,$G202))))</x:f>
      </x:c>
      <x:c r="O202" s="987" t="str">
        <x:f>IF(COUNTA($A202:$M202)=0,"",IF(OR(LEFT(LOWER(TRIM($F202&amp;"")),12)="subscription",LOWER(TRIM($F202&amp;""))="membership"),"",IF(OR($N202="",$I202="",$I202=0),"",IFERROR($N202/$I202,""))))</x:f>
      </x:c>
      <x:c r="P202" s="987" t="str">
        <x:f>IF(COUNTA($A202:$M202)=0,"",IF(OR(LEFT(LOWER(TRIM($F202&amp;"")),12)="subscription",LOWER(TRIM($F202&amp;""))="membership"),"",IF(LOWER($L202&amp;"")="yes",0,IF(OR(AND($H202&lt;&gt;"",$H202=0),LEFT(LOWER(TRIM($F202&amp;"")),9)="free game",LOWER(TRIM($F202&amp;""))="free",LOWER(TRIM($F202&amp;""))="free entry"),IF(LOWER($D202&amp;"")="finalized",IF(ISNUMBER($K202),$K202,""),IF($O202&lt;&gt;"",$O202,"")),IF($K202&lt;&gt;"",$K202,IF($O202&lt;&gt;"",$O202,""))))))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IF(COUNTA($A202:$M202)=0,"",IF(OR(LEFT(LOWER(TRIM($F202&amp;"")),12)="subscription",LOWER(TRIM($F202&amp;""))="membership"),"Subscription",IF(OR(AND($H202&lt;&gt;"",$H202=0),LEFT(LOWER(TRIM($F202&amp;"")),9)="free game",LOWER(TRIM($F202&amp;""))="free",LOWER(TRIM($F202&amp;""))="free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IF(COUNTA($A203:$M203)=0,"",IF(OR(LEFT(LOWER(TRIM($F203&amp;"")),12)="subscription",LOWER(TRIM($F203&amp;""))="membership"),"",IF($G203="","",IF(ISNUMBER(SEARCH("non",LOWER($E203&amp;""))),$G203*0.85,$G203))))</x:f>
      </x:c>
      <x:c r="O203" s="987" t="str">
        <x:f>IF(COUNTA($A203:$M203)=0,"",IF(OR(LEFT(LOWER(TRIM($F203&amp;"")),12)="subscription",LOWER(TRIM($F203&amp;""))="membership"),"",IF(OR($N203="",$I203="",$I203=0),"",IFERROR($N203/$I203,""))))</x:f>
      </x:c>
      <x:c r="P203" s="987" t="str">
        <x:f>IF(COUNTA($A203:$M203)=0,"",IF(OR(LEFT(LOWER(TRIM($F203&amp;"")),12)="subscription",LOWER(TRIM($F203&amp;""))="membership"),"",IF(LOWER($L203&amp;"")="yes",0,IF(OR(AND($H203&lt;&gt;"",$H203=0),LEFT(LOWER(TRIM($F203&amp;"")),9)="free game",LOWER(TRIM($F203&amp;""))="free",LOWER(TRIM($F203&amp;""))="free entry"),IF(LOWER($D203&amp;"")="finalized",IF(ISNUMBER($K203),$K203,""),IF($O203&lt;&gt;"",$O203,"")),IF($K203&lt;&gt;"",$K203,IF($O203&lt;&gt;"",$O203,""))))))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IF(COUNTA($A203:$M203)=0,"",IF(OR(LEFT(LOWER(TRIM($F203&amp;"")),12)="subscription",LOWER(TRIM($F203&amp;""))="membership"),"Subscription",IF(OR(AND($H203&lt;&gt;"",$H203=0),LEFT(LOWER(TRIM($F203&amp;"")),9)="free game",LOWER(TRIM($F203&amp;""))="free",LOWER(TRIM($F203&amp;""))="free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IF(COUNTA($A204:$M204)=0,"",IF(OR(LEFT(LOWER(TRIM($F204&amp;"")),12)="subscription",LOWER(TRIM($F204&amp;""))="membership"),"",IF($G204="","",IF(ISNUMBER(SEARCH("non",LOWER($E204&amp;""))),$G204*0.85,$G204))))</x:f>
      </x:c>
      <x:c r="O204" s="987" t="str">
        <x:f>IF(COUNTA($A204:$M204)=0,"",IF(OR(LEFT(LOWER(TRIM($F204&amp;"")),12)="subscription",LOWER(TRIM($F204&amp;""))="membership"),"",IF(OR($N204="",$I204="",$I204=0),"",IFERROR($N204/$I204,""))))</x:f>
      </x:c>
      <x:c r="P204" s="987" t="str">
        <x:f>IF(COUNTA($A204:$M204)=0,"",IF(OR(LEFT(LOWER(TRIM($F204&amp;"")),12)="subscription",LOWER(TRIM($F204&amp;""))="membership"),"",IF(LOWER($L204&amp;"")="yes",0,IF(OR(AND($H204&lt;&gt;"",$H204=0),LEFT(LOWER(TRIM($F204&amp;"")),9)="free game",LOWER(TRIM($F204&amp;""))="free",LOWER(TRIM($F204&amp;""))="free entry"),IF(LOWER($D204&amp;"")="finalized",IF(ISNUMBER($K204),$K204,""),IF($O204&lt;&gt;"",$O204,"")),IF($K204&lt;&gt;"",$K204,IF($O204&lt;&gt;"",$O204,""))))))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IF(COUNTA($A204:$M204)=0,"",IF(OR(LEFT(LOWER(TRIM($F204&amp;"")),12)="subscription",LOWER(TRIM($F204&amp;""))="membership"),"Subscription",IF(OR(AND($H204&lt;&gt;"",$H204=0),LEFT(LOWER(TRIM($F204&amp;"")),9)="free game",LOWER(TRIM($F204&amp;""))="free",LOWER(TRIM($F204&amp;""))="free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IF(COUNTA($A205:$M205)=0,"",IF(OR(LEFT(LOWER(TRIM($F205&amp;"")),12)="subscription",LOWER(TRIM($F205&amp;""))="membership"),"",IF($G205="","",IF(ISNUMBER(SEARCH("non",LOWER($E205&amp;""))),$G205*0.85,$G205))))</x:f>
      </x:c>
      <x:c r="O205" s="987" t="str">
        <x:f>IF(COUNTA($A205:$M205)=0,"",IF(OR(LEFT(LOWER(TRIM($F205&amp;"")),12)="subscription",LOWER(TRIM($F205&amp;""))="membership"),"",IF(OR($N205="",$I205="",$I205=0),"",IFERROR($N205/$I205,""))))</x:f>
      </x:c>
      <x:c r="P205" s="987" t="str">
        <x:f>IF(COUNTA($A205:$M205)=0,"",IF(OR(LEFT(LOWER(TRIM($F205&amp;"")),12)="subscription",LOWER(TRIM($F205&amp;""))="membership"),"",IF(LOWER($L205&amp;"")="yes",0,IF(OR(AND($H205&lt;&gt;"",$H205=0),LEFT(LOWER(TRIM($F205&amp;"")),9)="free game",LOWER(TRIM($F205&amp;""))="free",LOWER(TRIM($F205&amp;""))="free entry"),IF(LOWER($D205&amp;"")="finalized",IF(ISNUMBER($K205),$K205,""),IF($O205&lt;&gt;"",$O205,"")),IF($K205&lt;&gt;"",$K205,IF($O205&lt;&gt;"",$O205,""))))))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IF(COUNTA($A205:$M205)=0,"",IF(OR(LEFT(LOWER(TRIM($F205&amp;"")),12)="subscription",LOWER(TRIM($F205&amp;""))="membership"),"Subscription",IF(OR(AND($H205&lt;&gt;"",$H205=0),LEFT(LOWER(TRIM($F205&amp;"")),9)="free game",LOWER(TRIM($F205&amp;""))="free",LOWER(TRIM($F205&amp;""))="free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IF(COUNTA($A206:$M206)=0,"",IF(OR(LEFT(LOWER(TRIM($F206&amp;"")),12)="subscription",LOWER(TRIM($F206&amp;""))="membership"),"",IF($G206="","",IF(ISNUMBER(SEARCH("non",LOWER($E206&amp;""))),$G206*0.85,$G206))))</x:f>
      </x:c>
      <x:c r="O206" s="987" t="str">
        <x:f>IF(COUNTA($A206:$M206)=0,"",IF(OR(LEFT(LOWER(TRIM($F206&amp;"")),12)="subscription",LOWER(TRIM($F206&amp;""))="membership"),"",IF(OR($N206="",$I206="",$I206=0),"",IFERROR($N206/$I206,""))))</x:f>
      </x:c>
      <x:c r="P206" s="987" t="str">
        <x:f>IF(COUNTA($A206:$M206)=0,"",IF(OR(LEFT(LOWER(TRIM($F206&amp;"")),12)="subscription",LOWER(TRIM($F206&amp;""))="membership"),"",IF(LOWER($L206&amp;"")="yes",0,IF(OR(AND($H206&lt;&gt;"",$H206=0),LEFT(LOWER(TRIM($F206&amp;"")),9)="free game",LOWER(TRIM($F206&amp;""))="free",LOWER(TRIM($F206&amp;""))="free entry"),IF(LOWER($D206&amp;"")="finalized",IF(ISNUMBER($K206),$K206,""),IF($O206&lt;&gt;"",$O206,"")),IF($K206&lt;&gt;"",$K206,IF($O206&lt;&gt;"",$O206,""))))))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IF(COUNTA($A206:$M206)=0,"",IF(OR(LEFT(LOWER(TRIM($F206&amp;"")),12)="subscription",LOWER(TRIM($F206&amp;""))="membership"),"Subscription",IF(OR(AND($H206&lt;&gt;"",$H206=0),LEFT(LOWER(TRIM($F206&amp;"")),9)="free game",LOWER(TRIM($F206&amp;""))="free",LOWER(TRIM($F206&amp;""))="free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IF(COUNTA($A207:$M207)=0,"",IF(OR(LEFT(LOWER(TRIM($F207&amp;"")),12)="subscription",LOWER(TRIM($F207&amp;""))="membership"),"",IF($G207="","",IF(ISNUMBER(SEARCH("non",LOWER($E207&amp;""))),$G207*0.85,$G207))))</x:f>
      </x:c>
      <x:c r="O207" s="987" t="str">
        <x:f>IF(COUNTA($A207:$M207)=0,"",IF(OR(LEFT(LOWER(TRIM($F207&amp;"")),12)="subscription",LOWER(TRIM($F207&amp;""))="membership"),"",IF(OR($N207="",$I207="",$I207=0),"",IFERROR($N207/$I207,""))))</x:f>
      </x:c>
      <x:c r="P207" s="987" t="str">
        <x:f>IF(COUNTA($A207:$M207)=0,"",IF(OR(LEFT(LOWER(TRIM($F207&amp;"")),12)="subscription",LOWER(TRIM($F207&amp;""))="membership"),"",IF(LOWER($L207&amp;"")="yes",0,IF(OR(AND($H207&lt;&gt;"",$H207=0),LEFT(LOWER(TRIM($F207&amp;"")),9)="free game",LOWER(TRIM($F207&amp;""))="free",LOWER(TRIM($F207&amp;""))="free entry"),IF(LOWER($D207&amp;"")="finalized",IF(ISNUMBER($K207),$K207,""),IF($O207&lt;&gt;"",$O207,"")),IF($K207&lt;&gt;"",$K207,IF($O207&lt;&gt;"",$O207,""))))))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IF(COUNTA($A207:$M207)=0,"",IF(OR(LEFT(LOWER(TRIM($F207&amp;"")),12)="subscription",LOWER(TRIM($F207&amp;""))="membership"),"Subscription",IF(OR(AND($H207&lt;&gt;"",$H207=0),LEFT(LOWER(TRIM($F207&amp;"")),9)="free game",LOWER(TRIM($F207&amp;""))="free",LOWER(TRIM($F207&amp;""))="free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IF(COUNTA($A208:$M208)=0,"",IF(OR(LEFT(LOWER(TRIM($F208&amp;"")),12)="subscription",LOWER(TRIM($F208&amp;""))="membership"),"",IF($G208="","",IF(ISNUMBER(SEARCH("non",LOWER($E208&amp;""))),$G208*0.85,$G208))))</x:f>
      </x:c>
      <x:c r="O208" s="987" t="str">
        <x:f>IF(COUNTA($A208:$M208)=0,"",IF(OR(LEFT(LOWER(TRIM($F208&amp;"")),12)="subscription",LOWER(TRIM($F208&amp;""))="membership"),"",IF(OR($N208="",$I208="",$I208=0),"",IFERROR($N208/$I208,""))))</x:f>
      </x:c>
      <x:c r="P208" s="987" t="str">
        <x:f>IF(COUNTA($A208:$M208)=0,"",IF(OR(LEFT(LOWER(TRIM($F208&amp;"")),12)="subscription",LOWER(TRIM($F208&amp;""))="membership"),"",IF(LOWER($L208&amp;"")="yes",0,IF(OR(AND($H208&lt;&gt;"",$H208=0),LEFT(LOWER(TRIM($F208&amp;"")),9)="free game",LOWER(TRIM($F208&amp;""))="free",LOWER(TRIM($F208&amp;""))="free entry"),IF(LOWER($D208&amp;"")="finalized",IF(ISNUMBER($K208),$K208,""),IF($O208&lt;&gt;"",$O208,"")),IF($K208&lt;&gt;"",$K208,IF($O208&lt;&gt;"",$O208,""))))))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IF(COUNTA($A208:$M208)=0,"",IF(OR(LEFT(LOWER(TRIM($F208&amp;"")),12)="subscription",LOWER(TRIM($F208&amp;""))="membership"),"Subscription",IF(OR(AND($H208&lt;&gt;"",$H208=0),LEFT(LOWER(TRIM($F208&amp;"")),9)="free game",LOWER(TRIM($F208&amp;""))="free",LOWER(TRIM($F208&amp;""))="free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IF(COUNTA($A209:$M209)=0,"",IF(OR(LEFT(LOWER(TRIM($F209&amp;"")),12)="subscription",LOWER(TRIM($F209&amp;""))="membership"),"",IF($G209="","",IF(ISNUMBER(SEARCH("non",LOWER($E209&amp;""))),$G209*0.85,$G209))))</x:f>
      </x:c>
      <x:c r="O209" s="987" t="str">
        <x:f>IF(COUNTA($A209:$M209)=0,"",IF(OR(LEFT(LOWER(TRIM($F209&amp;"")),12)="subscription",LOWER(TRIM($F209&amp;""))="membership"),"",IF(OR($N209="",$I209="",$I209=0),"",IFERROR($N209/$I209,""))))</x:f>
      </x:c>
      <x:c r="P209" s="987" t="str">
        <x:f>IF(COUNTA($A209:$M209)=0,"",IF(OR(LEFT(LOWER(TRIM($F209&amp;"")),12)="subscription",LOWER(TRIM($F209&amp;""))="membership"),"",IF(LOWER($L209&amp;"")="yes",0,IF(OR(AND($H209&lt;&gt;"",$H209=0),LEFT(LOWER(TRIM($F209&amp;"")),9)="free game",LOWER(TRIM($F209&amp;""))="free",LOWER(TRIM($F209&amp;""))="free entry"),IF(LOWER($D209&amp;"")="finalized",IF(ISNUMBER($K209),$K209,""),IF($O209&lt;&gt;"",$O209,"")),IF($K209&lt;&gt;"",$K209,IF($O209&lt;&gt;"",$O209,""))))))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IF(COUNTA($A209:$M209)=0,"",IF(OR(LEFT(LOWER(TRIM($F209&amp;"")),12)="subscription",LOWER(TRIM($F209&amp;""))="membership"),"Subscription",IF(OR(AND($H209&lt;&gt;"",$H209=0),LEFT(LOWER(TRIM($F209&amp;"")),9)="free game",LOWER(TRIM($F209&amp;""))="free",LOWER(TRIM($F209&amp;""))="free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IF(COUNTA($A210:$M210)=0,"",IF(OR(LEFT(LOWER(TRIM($F210&amp;"")),12)="subscription",LOWER(TRIM($F210&amp;""))="membership"),"",IF($G210="","",IF(ISNUMBER(SEARCH("non",LOWER($E210&amp;""))),$G210*0.85,$G210))))</x:f>
      </x:c>
      <x:c r="O210" s="987" t="str">
        <x:f>IF(COUNTA($A210:$M210)=0,"",IF(OR(LEFT(LOWER(TRIM($F210&amp;"")),12)="subscription",LOWER(TRIM($F210&amp;""))="membership"),"",IF(OR($N210="",$I210="",$I210=0),"",IFERROR($N210/$I210,""))))</x:f>
      </x:c>
      <x:c r="P210" s="987" t="str">
        <x:f>IF(COUNTA($A210:$M210)=0,"",IF(OR(LEFT(LOWER(TRIM($F210&amp;"")),12)="subscription",LOWER(TRIM($F210&amp;""))="membership"),"",IF(LOWER($L210&amp;"")="yes",0,IF(OR(AND($H210&lt;&gt;"",$H210=0),LEFT(LOWER(TRIM($F210&amp;"")),9)="free game",LOWER(TRIM($F210&amp;""))="free",LOWER(TRIM($F210&amp;""))="free entry"),IF(LOWER($D210&amp;"")="finalized",IF(ISNUMBER($K210),$K210,""),IF($O210&lt;&gt;"",$O210,"")),IF($K210&lt;&gt;"",$K210,IF($O210&lt;&gt;"",$O210,""))))))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IF(COUNTA($A210:$M210)=0,"",IF(OR(LEFT(LOWER(TRIM($F210&amp;"")),12)="subscription",LOWER(TRIM($F210&amp;""))="membership"),"Subscription",IF(OR(AND($H210&lt;&gt;"",$H210=0),LEFT(LOWER(TRIM($F210&amp;"")),9)="free game",LOWER(TRIM($F210&amp;""))="free",LOWER(TRIM($F210&amp;""))="free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IF(COUNTA($A211:$M211)=0,"",IF(OR(LEFT(LOWER(TRIM($F211&amp;"")),12)="subscription",LOWER(TRIM($F211&amp;""))="membership"),"",IF($G211="","",IF(ISNUMBER(SEARCH("non",LOWER($E211&amp;""))),$G211*0.85,$G211))))</x:f>
      </x:c>
      <x:c r="O211" s="987" t="str">
        <x:f>IF(COUNTA($A211:$M211)=0,"",IF(OR(LEFT(LOWER(TRIM($F211&amp;"")),12)="subscription",LOWER(TRIM($F211&amp;""))="membership"),"",IF(OR($N211="",$I211="",$I211=0),"",IFERROR($N211/$I211,""))))</x:f>
      </x:c>
      <x:c r="P211" s="987" t="str">
        <x:f>IF(COUNTA($A211:$M211)=0,"",IF(OR(LEFT(LOWER(TRIM($F211&amp;"")),12)="subscription",LOWER(TRIM($F211&amp;""))="membership"),"",IF(LOWER($L211&amp;"")="yes",0,IF(OR(AND($H211&lt;&gt;"",$H211=0),LEFT(LOWER(TRIM($F211&amp;"")),9)="free game",LOWER(TRIM($F211&amp;""))="free",LOWER(TRIM($F211&amp;""))="free entry"),IF(LOWER($D211&amp;"")="finalized",IF(ISNUMBER($K211),$K211,""),IF($O211&lt;&gt;"",$O211,"")),IF($K211&lt;&gt;"",$K211,IF($O211&lt;&gt;"",$O211,""))))))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IF(COUNTA($A211:$M211)=0,"",IF(OR(LEFT(LOWER(TRIM($F211&amp;"")),12)="subscription",LOWER(TRIM($F211&amp;""))="membership"),"Subscription",IF(OR(AND($H211&lt;&gt;"",$H211=0),LEFT(LOWER(TRIM($F211&amp;"")),9)="free game",LOWER(TRIM($F211&amp;""))="free",LOWER(TRIM($F211&amp;""))="free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IF(COUNTA($A212:$M212)=0,"",IF(OR(LEFT(LOWER(TRIM($F212&amp;"")),12)="subscription",LOWER(TRIM($F212&amp;""))="membership"),"",IF($G212="","",IF(ISNUMBER(SEARCH("non",LOWER($E212&amp;""))),$G212*0.85,$G212))))</x:f>
      </x:c>
      <x:c r="O212" s="987" t="str">
        <x:f>IF(COUNTA($A212:$M212)=0,"",IF(OR(LEFT(LOWER(TRIM($F212&amp;"")),12)="subscription",LOWER(TRIM($F212&amp;""))="membership"),"",IF(OR($N212="",$I212="",$I212=0),"",IFERROR($N212/$I212,""))))</x:f>
      </x:c>
      <x:c r="P212" s="987" t="str">
        <x:f>IF(COUNTA($A212:$M212)=0,"",IF(OR(LEFT(LOWER(TRIM($F212&amp;"")),12)="subscription",LOWER(TRIM($F212&amp;""))="membership"),"",IF(LOWER($L212&amp;"")="yes",0,IF(OR(AND($H212&lt;&gt;"",$H212=0),LEFT(LOWER(TRIM($F212&amp;"")),9)="free game",LOWER(TRIM($F212&amp;""))="free",LOWER(TRIM($F212&amp;""))="free entry"),IF(LOWER($D212&amp;"")="finalized",IF(ISNUMBER($K212),$K212,""),IF($O212&lt;&gt;"",$O212,"")),IF($K212&lt;&gt;"",$K212,IF($O212&lt;&gt;"",$O212,""))))))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IF(COUNTA($A212:$M212)=0,"",IF(OR(LEFT(LOWER(TRIM($F212&amp;"")),12)="subscription",LOWER(TRIM($F212&amp;""))="membership"),"Subscription",IF(OR(AND($H212&lt;&gt;"",$H212=0),LEFT(LOWER(TRIM($F212&amp;"")),9)="free game",LOWER(TRIM($F212&amp;""))="free",LOWER(TRIM($F212&amp;""))="free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IF(COUNTA($A213:$M213)=0,"",IF(OR(LEFT(LOWER(TRIM($F213&amp;"")),12)="subscription",LOWER(TRIM($F213&amp;""))="membership"),"",IF($G213="","",IF(ISNUMBER(SEARCH("non",LOWER($E213&amp;""))),$G213*0.85,$G213))))</x:f>
      </x:c>
      <x:c r="O213" s="987" t="str">
        <x:f>IF(COUNTA($A213:$M213)=0,"",IF(OR(LEFT(LOWER(TRIM($F213&amp;"")),12)="subscription",LOWER(TRIM($F213&amp;""))="membership"),"",IF(OR($N213="",$I213="",$I213=0),"",IFERROR($N213/$I213,""))))</x:f>
      </x:c>
      <x:c r="P213" s="987" t="str">
        <x:f>IF(COUNTA($A213:$M213)=0,"",IF(OR(LEFT(LOWER(TRIM($F213&amp;"")),12)="subscription",LOWER(TRIM($F213&amp;""))="membership"),"",IF(LOWER($L213&amp;"")="yes",0,IF(OR(AND($H213&lt;&gt;"",$H213=0),LEFT(LOWER(TRIM($F213&amp;"")),9)="free game",LOWER(TRIM($F213&amp;""))="free",LOWER(TRIM($F213&amp;""))="free entry"),IF(LOWER($D213&amp;"")="finalized",IF(ISNUMBER($K213),$K213,""),IF($O213&lt;&gt;"",$O213,"")),IF($K213&lt;&gt;"",$K213,IF($O213&lt;&gt;"",$O213,""))))))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IF(COUNTA($A213:$M213)=0,"",IF(OR(LEFT(LOWER(TRIM($F213&amp;"")),12)="subscription",LOWER(TRIM($F213&amp;""))="membership"),"Subscription",IF(OR(AND($H213&lt;&gt;"",$H213=0),LEFT(LOWER(TRIM($F213&amp;"")),9)="free game",LOWER(TRIM($F213&amp;""))="free",LOWER(TRIM($F213&amp;""))="free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IF(COUNTA($A214:$M214)=0,"",IF(OR(LEFT(LOWER(TRIM($F214&amp;"")),12)="subscription",LOWER(TRIM($F214&amp;""))="membership"),"",IF($G214="","",IF(ISNUMBER(SEARCH("non",LOWER($E214&amp;""))),$G214*0.85,$G214))))</x:f>
      </x:c>
      <x:c r="O214" s="987" t="str">
        <x:f>IF(COUNTA($A214:$M214)=0,"",IF(OR(LEFT(LOWER(TRIM($F214&amp;"")),12)="subscription",LOWER(TRIM($F214&amp;""))="membership"),"",IF(OR($N214="",$I214="",$I214=0),"",IFERROR($N214/$I214,""))))</x:f>
      </x:c>
      <x:c r="P214" s="987" t="str">
        <x:f>IF(COUNTA($A214:$M214)=0,"",IF(OR(LEFT(LOWER(TRIM($F214&amp;"")),12)="subscription",LOWER(TRIM($F214&amp;""))="membership"),"",IF(LOWER($L214&amp;"")="yes",0,IF(OR(AND($H214&lt;&gt;"",$H214=0),LEFT(LOWER(TRIM($F214&amp;"")),9)="free game",LOWER(TRIM($F214&amp;""))="free",LOWER(TRIM($F214&amp;""))="free entry"),IF(LOWER($D214&amp;"")="finalized",IF(ISNUMBER($K214),$K214,""),IF($O214&lt;&gt;"",$O214,"")),IF($K214&lt;&gt;"",$K214,IF($O214&lt;&gt;"",$O214,""))))))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IF(COUNTA($A214:$M214)=0,"",IF(OR(LEFT(LOWER(TRIM($F214&amp;"")),12)="subscription",LOWER(TRIM($F214&amp;""))="membership"),"Subscription",IF(OR(AND($H214&lt;&gt;"",$H214=0),LEFT(LOWER(TRIM($F214&amp;"")),9)="free game",LOWER(TRIM($F214&amp;""))="free",LOWER(TRIM($F214&amp;""))="free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IF(COUNTA($A215:$M215)=0,"",IF(OR(LEFT(LOWER(TRIM($F215&amp;"")),12)="subscription",LOWER(TRIM($F215&amp;""))="membership"),"",IF($G215="","",IF(ISNUMBER(SEARCH("non",LOWER($E215&amp;""))),$G215*0.85,$G215))))</x:f>
      </x:c>
      <x:c r="O215" s="987" t="str">
        <x:f>IF(COUNTA($A215:$M215)=0,"",IF(OR(LEFT(LOWER(TRIM($F215&amp;"")),12)="subscription",LOWER(TRIM($F215&amp;""))="membership"),"",IF(OR($N215="",$I215="",$I215=0),"",IFERROR($N215/$I215,""))))</x:f>
      </x:c>
      <x:c r="P215" s="987" t="str">
        <x:f>IF(COUNTA($A215:$M215)=0,"",IF(OR(LEFT(LOWER(TRIM($F215&amp;"")),12)="subscription",LOWER(TRIM($F215&amp;""))="membership"),"",IF(LOWER($L215&amp;"")="yes",0,IF(OR(AND($H215&lt;&gt;"",$H215=0),LEFT(LOWER(TRIM($F215&amp;"")),9)="free game",LOWER(TRIM($F215&amp;""))="free",LOWER(TRIM($F215&amp;""))="free entry"),IF(LOWER($D215&amp;"")="finalized",IF(ISNUMBER($K215),$K215,""),IF($O215&lt;&gt;"",$O215,"")),IF($K215&lt;&gt;"",$K215,IF($O215&lt;&gt;"",$O215,""))))))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IF(COUNTA($A215:$M215)=0,"",IF(OR(LEFT(LOWER(TRIM($F215&amp;"")),12)="subscription",LOWER(TRIM($F215&amp;""))="membership"),"Subscription",IF(OR(AND($H215&lt;&gt;"",$H215=0),LEFT(LOWER(TRIM($F215&amp;"")),9)="free game",LOWER(TRIM($F215&amp;""))="free",LOWER(TRIM($F215&amp;""))="free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IF(COUNTA($A216:$M216)=0,"",IF(OR(LEFT(LOWER(TRIM($F216&amp;"")),12)="subscription",LOWER(TRIM($F216&amp;""))="membership"),"",IF($G216="","",IF(ISNUMBER(SEARCH("non",LOWER($E216&amp;""))),$G216*0.85,$G216))))</x:f>
      </x:c>
      <x:c r="O216" s="987" t="str">
        <x:f>IF(COUNTA($A216:$M216)=0,"",IF(OR(LEFT(LOWER(TRIM($F216&amp;"")),12)="subscription",LOWER(TRIM($F216&amp;""))="membership"),"",IF(OR($N216="",$I216="",$I216=0),"",IFERROR($N216/$I216,""))))</x:f>
      </x:c>
      <x:c r="P216" s="987" t="str">
        <x:f>IF(COUNTA($A216:$M216)=0,"",IF(OR(LEFT(LOWER(TRIM($F216&amp;"")),12)="subscription",LOWER(TRIM($F216&amp;""))="membership"),"",IF(LOWER($L216&amp;"")="yes",0,IF(OR(AND($H216&lt;&gt;"",$H216=0),LEFT(LOWER(TRIM($F216&amp;"")),9)="free game",LOWER(TRIM($F216&amp;""))="free",LOWER(TRIM($F216&amp;""))="free entry"),IF(LOWER($D216&amp;"")="finalized",IF(ISNUMBER($K216),$K216,""),IF($O216&lt;&gt;"",$O216,"")),IF($K216&lt;&gt;"",$K216,IF($O216&lt;&gt;"",$O216,""))))))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IF(COUNTA($A216:$M216)=0,"",IF(OR(LEFT(LOWER(TRIM($F216&amp;"")),12)="subscription",LOWER(TRIM($F216&amp;""))="membership"),"Subscription",IF(OR(AND($H216&lt;&gt;"",$H216=0),LEFT(LOWER(TRIM($F216&amp;"")),9)="free game",LOWER(TRIM($F216&amp;""))="free",LOWER(TRIM($F216&amp;""))="free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IF(COUNTA($A217:$M217)=0,"",IF(OR(LEFT(LOWER(TRIM($F217&amp;"")),12)="subscription",LOWER(TRIM($F217&amp;""))="membership"),"",IF($G217="","",IF(ISNUMBER(SEARCH("non",LOWER($E217&amp;""))),$G217*0.85,$G217))))</x:f>
      </x:c>
      <x:c r="O217" s="987" t="str">
        <x:f>IF(COUNTA($A217:$M217)=0,"",IF(OR(LEFT(LOWER(TRIM($F217&amp;"")),12)="subscription",LOWER(TRIM($F217&amp;""))="membership"),"",IF(OR($N217="",$I217="",$I217=0),"",IFERROR($N217/$I217,""))))</x:f>
      </x:c>
      <x:c r="P217" s="987" t="str">
        <x:f>IF(COUNTA($A217:$M217)=0,"",IF(OR(LEFT(LOWER(TRIM($F217&amp;"")),12)="subscription",LOWER(TRIM($F217&amp;""))="membership"),"",IF(LOWER($L217&amp;"")="yes",0,IF(OR(AND($H217&lt;&gt;"",$H217=0),LEFT(LOWER(TRIM($F217&amp;"")),9)="free game",LOWER(TRIM($F217&amp;""))="free",LOWER(TRIM($F217&amp;""))="free entry"),IF(LOWER($D217&amp;"")="finalized",IF(ISNUMBER($K217),$K217,""),IF($O217&lt;&gt;"",$O217,"")),IF($K217&lt;&gt;"",$K217,IF($O217&lt;&gt;"",$O217,""))))))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IF(COUNTA($A217:$M217)=0,"",IF(OR(LEFT(LOWER(TRIM($F217&amp;"")),12)="subscription",LOWER(TRIM($F217&amp;""))="membership"),"Subscription",IF(OR(AND($H217&lt;&gt;"",$H217=0),LEFT(LOWER(TRIM($F217&amp;"")),9)="free game",LOWER(TRIM($F217&amp;""))="free",LOWER(TRIM($F217&amp;""))="free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IF(COUNTA($A218:$M218)=0,"",IF(OR(LEFT(LOWER(TRIM($F218&amp;"")),12)="subscription",LOWER(TRIM($F218&amp;""))="membership"),"",IF($G218="","",IF(ISNUMBER(SEARCH("non",LOWER($E218&amp;""))),$G218*0.85,$G218))))</x:f>
      </x:c>
      <x:c r="O218" s="987" t="str">
        <x:f>IF(COUNTA($A218:$M218)=0,"",IF(OR(LEFT(LOWER(TRIM($F218&amp;"")),12)="subscription",LOWER(TRIM($F218&amp;""))="membership"),"",IF(OR($N218="",$I218="",$I218=0),"",IFERROR($N218/$I218,""))))</x:f>
      </x:c>
      <x:c r="P218" s="987" t="str">
        <x:f>IF(COUNTA($A218:$M218)=0,"",IF(OR(LEFT(LOWER(TRIM($F218&amp;"")),12)="subscription",LOWER(TRIM($F218&amp;""))="membership"),"",IF(LOWER($L218&amp;"")="yes",0,IF(OR(AND($H218&lt;&gt;"",$H218=0),LEFT(LOWER(TRIM($F218&amp;"")),9)="free game",LOWER(TRIM($F218&amp;""))="free",LOWER(TRIM($F218&amp;""))="free entry"),IF(LOWER($D218&amp;"")="finalized",IF(ISNUMBER($K218),$K218,""),IF($O218&lt;&gt;"",$O218,"")),IF($K218&lt;&gt;"",$K218,IF($O218&lt;&gt;"",$O218,""))))))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IF(COUNTA($A218:$M218)=0,"",IF(OR(LEFT(LOWER(TRIM($F218&amp;"")),12)="subscription",LOWER(TRIM($F218&amp;""))="membership"),"Subscription",IF(OR(AND($H218&lt;&gt;"",$H218=0),LEFT(LOWER(TRIM($F218&amp;"")),9)="free game",LOWER(TRIM($F218&amp;""))="free",LOWER(TRIM($F218&amp;""))="free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IF(COUNTA($A219:$M219)=0,"",IF(OR(LEFT(LOWER(TRIM($F219&amp;"")),12)="subscription",LOWER(TRIM($F219&amp;""))="membership"),"",IF($G219="","",IF(ISNUMBER(SEARCH("non",LOWER($E219&amp;""))),$G219*0.85,$G219))))</x:f>
      </x:c>
      <x:c r="O219" s="987" t="str">
        <x:f>IF(COUNTA($A219:$M219)=0,"",IF(OR(LEFT(LOWER(TRIM($F219&amp;"")),12)="subscription",LOWER(TRIM($F219&amp;""))="membership"),"",IF(OR($N219="",$I219="",$I219=0),"",IFERROR($N219/$I219,""))))</x:f>
      </x:c>
      <x:c r="P219" s="987" t="str">
        <x:f>IF(COUNTA($A219:$M219)=0,"",IF(OR(LEFT(LOWER(TRIM($F219&amp;"")),12)="subscription",LOWER(TRIM($F219&amp;""))="membership"),"",IF(LOWER($L219&amp;"")="yes",0,IF(OR(AND($H219&lt;&gt;"",$H219=0),LEFT(LOWER(TRIM($F219&amp;"")),9)="free game",LOWER(TRIM($F219&amp;""))="free",LOWER(TRIM($F219&amp;""))="free entry"),IF(LOWER($D219&amp;"")="finalized",IF(ISNUMBER($K219),$K219,""),IF($O219&lt;&gt;"",$O219,"")),IF($K219&lt;&gt;"",$K219,IF($O219&lt;&gt;"",$O219,""))))))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IF(COUNTA($A219:$M219)=0,"",IF(OR(LEFT(LOWER(TRIM($F219&amp;"")),12)="subscription",LOWER(TRIM($F219&amp;""))="membership"),"Subscription",IF(OR(AND($H219&lt;&gt;"",$H219=0),LEFT(LOWER(TRIM($F219&amp;"")),9)="free game",LOWER(TRIM($F219&amp;""))="free",LOWER(TRIM($F219&amp;""))="free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IF(COUNTA($A220:$M220)=0,"",IF(OR(LEFT(LOWER(TRIM($F220&amp;"")),12)="subscription",LOWER(TRIM($F220&amp;""))="membership"),"",IF($G220="","",IF(ISNUMBER(SEARCH("non",LOWER($E220&amp;""))),$G220*0.85,$G220))))</x:f>
      </x:c>
      <x:c r="O220" s="987" t="str">
        <x:f>IF(COUNTA($A220:$M220)=0,"",IF(OR(LEFT(LOWER(TRIM($F220&amp;"")),12)="subscription",LOWER(TRIM($F220&amp;""))="membership"),"",IF(OR($N220="",$I220="",$I220=0),"",IFERROR($N220/$I220,""))))</x:f>
      </x:c>
      <x:c r="P220" s="987" t="str">
        <x:f>IF(COUNTA($A220:$M220)=0,"",IF(OR(LEFT(LOWER(TRIM($F220&amp;"")),12)="subscription",LOWER(TRIM($F220&amp;""))="membership"),"",IF(LOWER($L220&amp;"")="yes",0,IF(OR(AND($H220&lt;&gt;"",$H220=0),LEFT(LOWER(TRIM($F220&amp;"")),9)="free game",LOWER(TRIM($F220&amp;""))="free",LOWER(TRIM($F220&amp;""))="free entry"),IF(LOWER($D220&amp;"")="finalized",IF(ISNUMBER($K220),$K220,""),IF($O220&lt;&gt;"",$O220,"")),IF($K220&lt;&gt;"",$K220,IF($O220&lt;&gt;"",$O220,""))))))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IF(COUNTA($A220:$M220)=0,"",IF(OR(LEFT(LOWER(TRIM($F220&amp;"")),12)="subscription",LOWER(TRIM($F220&amp;""))="membership"),"Subscription",IF(OR(AND($H220&lt;&gt;"",$H220=0),LEFT(LOWER(TRIM($F220&amp;"")),9)="free game",LOWER(TRIM($F220&amp;""))="free",LOWER(TRIM($F220&amp;""))="free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IF(COUNTA($A221:$M221)=0,"",IF(OR(LEFT(LOWER(TRIM($F221&amp;"")),12)="subscription",LOWER(TRIM($F221&amp;""))="membership"),"",IF($G221="","",IF(ISNUMBER(SEARCH("non",LOWER($E221&amp;""))),$G221*0.85,$G221))))</x:f>
      </x:c>
      <x:c r="O221" s="987" t="str">
        <x:f>IF(COUNTA($A221:$M221)=0,"",IF(OR(LEFT(LOWER(TRIM($F221&amp;"")),12)="subscription",LOWER(TRIM($F221&amp;""))="membership"),"",IF(OR($N221="",$I221="",$I221=0),"",IFERROR($N221/$I221,""))))</x:f>
      </x:c>
      <x:c r="P221" s="987" t="str">
        <x:f>IF(COUNTA($A221:$M221)=0,"",IF(OR(LEFT(LOWER(TRIM($F221&amp;"")),12)="subscription",LOWER(TRIM($F221&amp;""))="membership"),"",IF(LOWER($L221&amp;"")="yes",0,IF(OR(AND($H221&lt;&gt;"",$H221=0),LEFT(LOWER(TRIM($F221&amp;"")),9)="free game",LOWER(TRIM($F221&amp;""))="free",LOWER(TRIM($F221&amp;""))="free entry"),IF(LOWER($D221&amp;"")="finalized",IF(ISNUMBER($K221),$K221,""),IF($O221&lt;&gt;"",$O221,"")),IF($K221&lt;&gt;"",$K221,IF($O221&lt;&gt;"",$O221,""))))))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IF(COUNTA($A221:$M221)=0,"",IF(OR(LEFT(LOWER(TRIM($F221&amp;"")),12)="subscription",LOWER(TRIM($F221&amp;""))="membership"),"Subscription",IF(OR(AND($H221&lt;&gt;"",$H221=0),LEFT(LOWER(TRIM($F221&amp;"")),9)="free game",LOWER(TRIM($F221&amp;""))="free",LOWER(TRIM($F221&amp;""))="free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IF(COUNTA($A222:$M222)=0,"",IF(OR(LEFT(LOWER(TRIM($F222&amp;"")),12)="subscription",LOWER(TRIM($F222&amp;""))="membership"),"",IF($G222="","",IF(ISNUMBER(SEARCH("non",LOWER($E222&amp;""))),$G222*0.85,$G222))))</x:f>
      </x:c>
      <x:c r="O222" s="987" t="str">
        <x:f>IF(COUNTA($A222:$M222)=0,"",IF(OR(LEFT(LOWER(TRIM($F222&amp;"")),12)="subscription",LOWER(TRIM($F222&amp;""))="membership"),"",IF(OR($N222="",$I222="",$I222=0),"",IFERROR($N222/$I222,""))))</x:f>
      </x:c>
      <x:c r="P222" s="987" t="str">
        <x:f>IF(COUNTA($A222:$M222)=0,"",IF(OR(LEFT(LOWER(TRIM($F222&amp;"")),12)="subscription",LOWER(TRIM($F222&amp;""))="membership"),"",IF(LOWER($L222&amp;"")="yes",0,IF(OR(AND($H222&lt;&gt;"",$H222=0),LEFT(LOWER(TRIM($F222&amp;"")),9)="free game",LOWER(TRIM($F222&amp;""))="free",LOWER(TRIM($F222&amp;""))="free entry"),IF(LOWER($D222&amp;"")="finalized",IF(ISNUMBER($K222),$K222,""),IF($O222&lt;&gt;"",$O222,"")),IF($K222&lt;&gt;"",$K222,IF($O222&lt;&gt;"",$O222,""))))))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IF(COUNTA($A222:$M222)=0,"",IF(OR(LEFT(LOWER(TRIM($F222&amp;"")),12)="subscription",LOWER(TRIM($F222&amp;""))="membership"),"Subscription",IF(OR(AND($H222&lt;&gt;"",$H222=0),LEFT(LOWER(TRIM($F222&amp;"")),9)="free game",LOWER(TRIM($F222&amp;""))="free",LOWER(TRIM($F222&amp;""))="free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IF(COUNTA($A223:$M223)=0,"",IF(OR(LEFT(LOWER(TRIM($F223&amp;"")),12)="subscription",LOWER(TRIM($F223&amp;""))="membership"),"",IF($G223="","",IF(ISNUMBER(SEARCH("non",LOWER($E223&amp;""))),$G223*0.85,$G223))))</x:f>
      </x:c>
      <x:c r="O223" s="987" t="str">
        <x:f>IF(COUNTA($A223:$M223)=0,"",IF(OR(LEFT(LOWER(TRIM($F223&amp;"")),12)="subscription",LOWER(TRIM($F223&amp;""))="membership"),"",IF(OR($N223="",$I223="",$I223=0),"",IFERROR($N223/$I223,""))))</x:f>
      </x:c>
      <x:c r="P223" s="987" t="str">
        <x:f>IF(COUNTA($A223:$M223)=0,"",IF(OR(LEFT(LOWER(TRIM($F223&amp;"")),12)="subscription",LOWER(TRIM($F223&amp;""))="membership"),"",IF(LOWER($L223&amp;"")="yes",0,IF(OR(AND($H223&lt;&gt;"",$H223=0),LEFT(LOWER(TRIM($F223&amp;"")),9)="free game",LOWER(TRIM($F223&amp;""))="free",LOWER(TRIM($F223&amp;""))="free entry"),IF(LOWER($D223&amp;"")="finalized",IF(ISNUMBER($K223),$K223,""),IF($O223&lt;&gt;"",$O223,"")),IF($K223&lt;&gt;"",$K223,IF($O223&lt;&gt;"",$O223,""))))))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IF(COUNTA($A223:$M223)=0,"",IF(OR(LEFT(LOWER(TRIM($F223&amp;"")),12)="subscription",LOWER(TRIM($F223&amp;""))="membership"),"Subscription",IF(OR(AND($H223&lt;&gt;"",$H223=0),LEFT(LOWER(TRIM($F223&amp;"")),9)="free game",LOWER(TRIM($F223&amp;""))="free",LOWER(TRIM($F223&amp;""))="free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IF(COUNTA($A224:$M224)=0,"",IF(OR(LEFT(LOWER(TRIM($F224&amp;"")),12)="subscription",LOWER(TRIM($F224&amp;""))="membership"),"",IF($G224="","",IF(ISNUMBER(SEARCH("non",LOWER($E224&amp;""))),$G224*0.85,$G224))))</x:f>
      </x:c>
      <x:c r="O224" s="987" t="str">
        <x:f>IF(COUNTA($A224:$M224)=0,"",IF(OR(LEFT(LOWER(TRIM($F224&amp;"")),12)="subscription",LOWER(TRIM($F224&amp;""))="membership"),"",IF(OR($N224="",$I224="",$I224=0),"",IFERROR($N224/$I224,""))))</x:f>
      </x:c>
      <x:c r="P224" s="987" t="str">
        <x:f>IF(COUNTA($A224:$M224)=0,"",IF(OR(LEFT(LOWER(TRIM($F224&amp;"")),12)="subscription",LOWER(TRIM($F224&amp;""))="membership"),"",IF(LOWER($L224&amp;"")="yes",0,IF(OR(AND($H224&lt;&gt;"",$H224=0),LEFT(LOWER(TRIM($F224&amp;"")),9)="free game",LOWER(TRIM($F224&amp;""))="free",LOWER(TRIM($F224&amp;""))="free entry"),IF(LOWER($D224&amp;"")="finalized",IF(ISNUMBER($K224),$K224,""),IF($O224&lt;&gt;"",$O224,"")),IF($K224&lt;&gt;"",$K224,IF($O224&lt;&gt;"",$O224,""))))))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IF(COUNTA($A224:$M224)=0,"",IF(OR(LEFT(LOWER(TRIM($F224&amp;"")),12)="subscription",LOWER(TRIM($F224&amp;""))="membership"),"Subscription",IF(OR(AND($H224&lt;&gt;"",$H224=0),LEFT(LOWER(TRIM($F224&amp;"")),9)="free game",LOWER(TRIM($F224&amp;""))="free",LOWER(TRIM($F224&amp;""))="free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IF(COUNTA($A225:$M225)=0,"",IF(OR(LEFT(LOWER(TRIM($F225&amp;"")),12)="subscription",LOWER(TRIM($F225&amp;""))="membership"),"",IF($G225="","",IF(ISNUMBER(SEARCH("non",LOWER($E225&amp;""))),$G225*0.85,$G225))))</x:f>
      </x:c>
      <x:c r="O225" s="987" t="str">
        <x:f>IF(COUNTA($A225:$M225)=0,"",IF(OR(LEFT(LOWER(TRIM($F225&amp;"")),12)="subscription",LOWER(TRIM($F225&amp;""))="membership"),"",IF(OR($N225="",$I225="",$I225=0),"",IFERROR($N225/$I225,""))))</x:f>
      </x:c>
      <x:c r="P225" s="987" t="str">
        <x:f>IF(COUNTA($A225:$M225)=0,"",IF(OR(LEFT(LOWER(TRIM($F225&amp;"")),12)="subscription",LOWER(TRIM($F225&amp;""))="membership"),"",IF(LOWER($L225&amp;"")="yes",0,IF(OR(AND($H225&lt;&gt;"",$H225=0),LEFT(LOWER(TRIM($F225&amp;"")),9)="free game",LOWER(TRIM($F225&amp;""))="free",LOWER(TRIM($F225&amp;""))="free entry"),IF(LOWER($D225&amp;"")="finalized",IF(ISNUMBER($K225),$K225,""),IF($O225&lt;&gt;"",$O225,"")),IF($K225&lt;&gt;"",$K225,IF($O225&lt;&gt;"",$O225,""))))))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IF(COUNTA($A225:$M225)=0,"",IF(OR(LEFT(LOWER(TRIM($F225&amp;"")),12)="subscription",LOWER(TRIM($F225&amp;""))="membership"),"Subscription",IF(OR(AND($H225&lt;&gt;"",$H225=0),LEFT(LOWER(TRIM($F225&amp;"")),9)="free game",LOWER(TRIM($F225&amp;""))="free",LOWER(TRIM($F225&amp;""))="free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IF(COUNTA($A226:$M226)=0,"",IF(OR(LEFT(LOWER(TRIM($F226&amp;"")),12)="subscription",LOWER(TRIM($F226&amp;""))="membership"),"",IF($G226="","",IF(ISNUMBER(SEARCH("non",LOWER($E226&amp;""))),$G226*0.85,$G226))))</x:f>
      </x:c>
      <x:c r="O226" s="987" t="str">
        <x:f>IF(COUNTA($A226:$M226)=0,"",IF(OR(LEFT(LOWER(TRIM($F226&amp;"")),12)="subscription",LOWER(TRIM($F226&amp;""))="membership"),"",IF(OR($N226="",$I226="",$I226=0),"",IFERROR($N226/$I226,""))))</x:f>
      </x:c>
      <x:c r="P226" s="987" t="str">
        <x:f>IF(COUNTA($A226:$M226)=0,"",IF(OR(LEFT(LOWER(TRIM($F226&amp;"")),12)="subscription",LOWER(TRIM($F226&amp;""))="membership"),"",IF(LOWER($L226&amp;"")="yes",0,IF(OR(AND($H226&lt;&gt;"",$H226=0),LEFT(LOWER(TRIM($F226&amp;"")),9)="free game",LOWER(TRIM($F226&amp;""))="free",LOWER(TRIM($F226&amp;""))="free entry"),IF(LOWER($D226&amp;"")="finalized",IF(ISNUMBER($K226),$K226,""),IF($O226&lt;&gt;"",$O226,"")),IF($K226&lt;&gt;"",$K226,IF($O226&lt;&gt;"",$O226,""))))))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IF(COUNTA($A226:$M226)=0,"",IF(OR(LEFT(LOWER(TRIM($F226&amp;"")),12)="subscription",LOWER(TRIM($F226&amp;""))="membership"),"Subscription",IF(OR(AND($H226&lt;&gt;"",$H226=0),LEFT(LOWER(TRIM($F226&amp;"")),9)="free game",LOWER(TRIM($F226&amp;""))="free",LOWER(TRIM($F226&amp;""))="free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IF(COUNTA($A227:$M227)=0,"",IF(OR(LEFT(LOWER(TRIM($F227&amp;"")),12)="subscription",LOWER(TRIM($F227&amp;""))="membership"),"",IF($G227="","",IF(ISNUMBER(SEARCH("non",LOWER($E227&amp;""))),$G227*0.85,$G227))))</x:f>
      </x:c>
      <x:c r="O227" s="987" t="str">
        <x:f>IF(COUNTA($A227:$M227)=0,"",IF(OR(LEFT(LOWER(TRIM($F227&amp;"")),12)="subscription",LOWER(TRIM($F227&amp;""))="membership"),"",IF(OR($N227="",$I227="",$I227=0),"",IFERROR($N227/$I227,""))))</x:f>
      </x:c>
      <x:c r="P227" s="987" t="str">
        <x:f>IF(COUNTA($A227:$M227)=0,"",IF(OR(LEFT(LOWER(TRIM($F227&amp;"")),12)="subscription",LOWER(TRIM($F227&amp;""))="membership"),"",IF(LOWER($L227&amp;"")="yes",0,IF(OR(AND($H227&lt;&gt;"",$H227=0),LEFT(LOWER(TRIM($F227&amp;"")),9)="free game",LOWER(TRIM($F227&amp;""))="free",LOWER(TRIM($F227&amp;""))="free entry"),IF(LOWER($D227&amp;"")="finalized",IF(ISNUMBER($K227),$K227,""),IF($O227&lt;&gt;"",$O227,"")),IF($K227&lt;&gt;"",$K227,IF($O227&lt;&gt;"",$O227,""))))))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IF(COUNTA($A227:$M227)=0,"",IF(OR(LEFT(LOWER(TRIM($F227&amp;"")),12)="subscription",LOWER(TRIM($F227&amp;""))="membership"),"Subscription",IF(OR(AND($H227&lt;&gt;"",$H227=0),LEFT(LOWER(TRIM($F227&amp;"")),9)="free game",LOWER(TRIM($F227&amp;""))="free",LOWER(TRIM($F227&amp;""))="free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IF(COUNTA($A228:$M228)=0,"",IF(OR(LEFT(LOWER(TRIM($F228&amp;"")),12)="subscription",LOWER(TRIM($F228&amp;""))="membership"),"",IF($G228="","",IF(ISNUMBER(SEARCH("non",LOWER($E228&amp;""))),$G228*0.85,$G228))))</x:f>
      </x:c>
      <x:c r="O228" s="987" t="str">
        <x:f>IF(COUNTA($A228:$M228)=0,"",IF(OR(LEFT(LOWER(TRIM($F228&amp;"")),12)="subscription",LOWER(TRIM($F228&amp;""))="membership"),"",IF(OR($N228="",$I228="",$I228=0),"",IFERROR($N228/$I228,""))))</x:f>
      </x:c>
      <x:c r="P228" s="987" t="str">
        <x:f>IF(COUNTA($A228:$M228)=0,"",IF(OR(LEFT(LOWER(TRIM($F228&amp;"")),12)="subscription",LOWER(TRIM($F228&amp;""))="membership"),"",IF(LOWER($L228&amp;"")="yes",0,IF(OR(AND($H228&lt;&gt;"",$H228=0),LEFT(LOWER(TRIM($F228&amp;"")),9)="free game",LOWER(TRIM($F228&amp;""))="free",LOWER(TRIM($F228&amp;""))="free entry"),IF(LOWER($D228&amp;"")="finalized",IF(ISNUMBER($K228),$K228,""),IF($O228&lt;&gt;"",$O228,"")),IF($K228&lt;&gt;"",$K228,IF($O228&lt;&gt;"",$O228,""))))))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IF(COUNTA($A228:$M228)=0,"",IF(OR(LEFT(LOWER(TRIM($F228&amp;"")),12)="subscription",LOWER(TRIM($F228&amp;""))="membership"),"Subscription",IF(OR(AND($H228&lt;&gt;"",$H228=0),LEFT(LOWER(TRIM($F228&amp;"")),9)="free game",LOWER(TRIM($F228&amp;""))="free",LOWER(TRIM($F228&amp;""))="free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IF(COUNTA($A229:$M229)=0,"",IF(OR(LEFT(LOWER(TRIM($F229&amp;"")),12)="subscription",LOWER(TRIM($F229&amp;""))="membership"),"",IF($G229="","",IF(ISNUMBER(SEARCH("non",LOWER($E229&amp;""))),$G229*0.85,$G229))))</x:f>
      </x:c>
      <x:c r="O229" s="987" t="str">
        <x:f>IF(COUNTA($A229:$M229)=0,"",IF(OR(LEFT(LOWER(TRIM($F229&amp;"")),12)="subscription",LOWER(TRIM($F229&amp;""))="membership"),"",IF(OR($N229="",$I229="",$I229=0),"",IFERROR($N229/$I229,""))))</x:f>
      </x:c>
      <x:c r="P229" s="987" t="str">
        <x:f>IF(COUNTA($A229:$M229)=0,"",IF(OR(LEFT(LOWER(TRIM($F229&amp;"")),12)="subscription",LOWER(TRIM($F229&amp;""))="membership"),"",IF(LOWER($L229&amp;"")="yes",0,IF(OR(AND($H229&lt;&gt;"",$H229=0),LEFT(LOWER(TRIM($F229&amp;"")),9)="free game",LOWER(TRIM($F229&amp;""))="free",LOWER(TRIM($F229&amp;""))="free entry"),IF(LOWER($D229&amp;"")="finalized",IF(ISNUMBER($K229),$K229,""),IF($O229&lt;&gt;"",$O229,"")),IF($K229&lt;&gt;"",$K229,IF($O229&lt;&gt;"",$O229,""))))))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IF(COUNTA($A229:$M229)=0,"",IF(OR(LEFT(LOWER(TRIM($F229&amp;"")),12)="subscription",LOWER(TRIM($F229&amp;""))="membership"),"Subscription",IF(OR(AND($H229&lt;&gt;"",$H229=0),LEFT(LOWER(TRIM($F229&amp;"")),9)="free game",LOWER(TRIM($F229&amp;""))="free",LOWER(TRIM($F229&amp;""))="free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IF(COUNTA($A230:$M230)=0,"",IF(OR(LEFT(LOWER(TRIM($F230&amp;"")),12)="subscription",LOWER(TRIM($F230&amp;""))="membership"),"",IF($G230="","",IF(ISNUMBER(SEARCH("non",LOWER($E230&amp;""))),$G230*0.85,$G230))))</x:f>
      </x:c>
      <x:c r="O230" s="987" t="str">
        <x:f>IF(COUNTA($A230:$M230)=0,"",IF(OR(LEFT(LOWER(TRIM($F230&amp;"")),12)="subscription",LOWER(TRIM($F230&amp;""))="membership"),"",IF(OR($N230="",$I230="",$I230=0),"",IFERROR($N230/$I230,""))))</x:f>
      </x:c>
      <x:c r="P230" s="987" t="str">
        <x:f>IF(COUNTA($A230:$M230)=0,"",IF(OR(LEFT(LOWER(TRIM($F230&amp;"")),12)="subscription",LOWER(TRIM($F230&amp;""))="membership"),"",IF(LOWER($L230&amp;"")="yes",0,IF(OR(AND($H230&lt;&gt;"",$H230=0),LEFT(LOWER(TRIM($F230&amp;"")),9)="free game",LOWER(TRIM($F230&amp;""))="free",LOWER(TRIM($F230&amp;""))="free entry"),IF(LOWER($D230&amp;"")="finalized",IF(ISNUMBER($K230),$K230,""),IF($O230&lt;&gt;"",$O230,"")),IF($K230&lt;&gt;"",$K230,IF($O230&lt;&gt;"",$O230,""))))))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IF(COUNTA($A230:$M230)=0,"",IF(OR(LEFT(LOWER(TRIM($F230&amp;"")),12)="subscription",LOWER(TRIM($F230&amp;""))="membership"),"Subscription",IF(OR(AND($H230&lt;&gt;"",$H230=0),LEFT(LOWER(TRIM($F230&amp;"")),9)="free game",LOWER(TRIM($F230&amp;""))="free",LOWER(TRIM($F230&amp;""))="free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IF(COUNTA($A231:$M231)=0,"",IF(OR(LEFT(LOWER(TRIM($F231&amp;"")),12)="subscription",LOWER(TRIM($F231&amp;""))="membership"),"",IF($G231="","",IF(ISNUMBER(SEARCH("non",LOWER($E231&amp;""))),$G231*0.85,$G231))))</x:f>
      </x:c>
      <x:c r="O231" s="987" t="str">
        <x:f>IF(COUNTA($A231:$M231)=0,"",IF(OR(LEFT(LOWER(TRIM($F231&amp;"")),12)="subscription",LOWER(TRIM($F231&amp;""))="membership"),"",IF(OR($N231="",$I231="",$I231=0),"",IFERROR($N231/$I231,""))))</x:f>
      </x:c>
      <x:c r="P231" s="987" t="str">
        <x:f>IF(COUNTA($A231:$M231)=0,"",IF(OR(LEFT(LOWER(TRIM($F231&amp;"")),12)="subscription",LOWER(TRIM($F231&amp;""))="membership"),"",IF(LOWER($L231&amp;"")="yes",0,IF(OR(AND($H231&lt;&gt;"",$H231=0),LEFT(LOWER(TRIM($F231&amp;"")),9)="free game",LOWER(TRIM($F231&amp;""))="free",LOWER(TRIM($F231&amp;""))="free entry"),IF(LOWER($D231&amp;"")="finalized",IF(ISNUMBER($K231),$K231,""),IF($O231&lt;&gt;"",$O231,"")),IF($K231&lt;&gt;"",$K231,IF($O231&lt;&gt;"",$O231,""))))))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IF(COUNTA($A231:$M231)=0,"",IF(OR(LEFT(LOWER(TRIM($F231&amp;"")),12)="subscription",LOWER(TRIM($F231&amp;""))="membership"),"Subscription",IF(OR(AND($H231&lt;&gt;"",$H231=0),LEFT(LOWER(TRIM($F231&amp;"")),9)="free game",LOWER(TRIM($F231&amp;""))="free",LOWER(TRIM($F231&amp;""))="free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IF(COUNTA($A232:$M232)=0,"",IF(OR(LEFT(LOWER(TRIM($F232&amp;"")),12)="subscription",LOWER(TRIM($F232&amp;""))="membership"),"",IF($G232="","",IF(ISNUMBER(SEARCH("non",LOWER($E232&amp;""))),$G232*0.85,$G232))))</x:f>
      </x:c>
      <x:c r="O232" s="987" t="str">
        <x:f>IF(COUNTA($A232:$M232)=0,"",IF(OR(LEFT(LOWER(TRIM($F232&amp;"")),12)="subscription",LOWER(TRIM($F232&amp;""))="membership"),"",IF(OR($N232="",$I232="",$I232=0),"",IFERROR($N232/$I232,""))))</x:f>
      </x:c>
      <x:c r="P232" s="987" t="str">
        <x:f>IF(COUNTA($A232:$M232)=0,"",IF(OR(LEFT(LOWER(TRIM($F232&amp;"")),12)="subscription",LOWER(TRIM($F232&amp;""))="membership"),"",IF(LOWER($L232&amp;"")="yes",0,IF(OR(AND($H232&lt;&gt;"",$H232=0),LEFT(LOWER(TRIM($F232&amp;"")),9)="free game",LOWER(TRIM($F232&amp;""))="free",LOWER(TRIM($F232&amp;""))="free entry"),IF(LOWER($D232&amp;"")="finalized",IF(ISNUMBER($K232),$K232,""),IF($O232&lt;&gt;"",$O232,"")),IF($K232&lt;&gt;"",$K232,IF($O232&lt;&gt;"",$O232,""))))))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IF(COUNTA($A232:$M232)=0,"",IF(OR(LEFT(LOWER(TRIM($F232&amp;"")),12)="subscription",LOWER(TRIM($F232&amp;""))="membership"),"Subscription",IF(OR(AND($H232&lt;&gt;"",$H232=0),LEFT(LOWER(TRIM($F232&amp;"")),9)="free game",LOWER(TRIM($F232&amp;""))="free",LOWER(TRIM($F232&amp;""))="free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IF(COUNTA($A233:$M233)=0,"",IF(OR(LEFT(LOWER(TRIM($F233&amp;"")),12)="subscription",LOWER(TRIM($F233&amp;""))="membership"),"",IF($G233="","",IF(ISNUMBER(SEARCH("non",LOWER($E233&amp;""))),$G233*0.85,$G233))))</x:f>
      </x:c>
      <x:c r="O233" s="987" t="str">
        <x:f>IF(COUNTA($A233:$M233)=0,"",IF(OR(LEFT(LOWER(TRIM($F233&amp;"")),12)="subscription",LOWER(TRIM($F233&amp;""))="membership"),"",IF(OR($N233="",$I233="",$I233=0),"",IFERROR($N233/$I233,""))))</x:f>
      </x:c>
      <x:c r="P233" s="987" t="str">
        <x:f>IF(COUNTA($A233:$M233)=0,"",IF(OR(LEFT(LOWER(TRIM($F233&amp;"")),12)="subscription",LOWER(TRIM($F233&amp;""))="membership"),"",IF(LOWER($L233&amp;"")="yes",0,IF(OR(AND($H233&lt;&gt;"",$H233=0),LEFT(LOWER(TRIM($F233&amp;"")),9)="free game",LOWER(TRIM($F233&amp;""))="free",LOWER(TRIM($F233&amp;""))="free entry"),IF(LOWER($D233&amp;"")="finalized",IF(ISNUMBER($K233),$K233,""),IF($O233&lt;&gt;"",$O233,"")),IF($K233&lt;&gt;"",$K233,IF($O233&lt;&gt;"",$O233,""))))))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IF(COUNTA($A233:$M233)=0,"",IF(OR(LEFT(LOWER(TRIM($F233&amp;"")),12)="subscription",LOWER(TRIM($F233&amp;""))="membership"),"Subscription",IF(OR(AND($H233&lt;&gt;"",$H233=0),LEFT(LOWER(TRIM($F233&amp;"")),9)="free game",LOWER(TRIM($F233&amp;""))="free",LOWER(TRIM($F233&amp;""))="free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IF(COUNTA($A234:$M234)=0,"",IF(OR(LEFT(LOWER(TRIM($F234&amp;"")),12)="subscription",LOWER(TRIM($F234&amp;""))="membership"),"",IF($G234="","",IF(ISNUMBER(SEARCH("non",LOWER($E234&amp;""))),$G234*0.85,$G234))))</x:f>
      </x:c>
      <x:c r="O234" s="987" t="str">
        <x:f>IF(COUNTA($A234:$M234)=0,"",IF(OR(LEFT(LOWER(TRIM($F234&amp;"")),12)="subscription",LOWER(TRIM($F234&amp;""))="membership"),"",IF(OR($N234="",$I234="",$I234=0),"",IFERROR($N234/$I234,""))))</x:f>
      </x:c>
      <x:c r="P234" s="987" t="str">
        <x:f>IF(COUNTA($A234:$M234)=0,"",IF(OR(LEFT(LOWER(TRIM($F234&amp;"")),12)="subscription",LOWER(TRIM($F234&amp;""))="membership"),"",IF(LOWER($L234&amp;"")="yes",0,IF(OR(AND($H234&lt;&gt;"",$H234=0),LEFT(LOWER(TRIM($F234&amp;"")),9)="free game",LOWER(TRIM($F234&amp;""))="free",LOWER(TRIM($F234&amp;""))="free entry"),IF(LOWER($D234&amp;"")="finalized",IF(ISNUMBER($K234),$K234,""),IF($O234&lt;&gt;"",$O234,"")),IF($K234&lt;&gt;"",$K234,IF($O234&lt;&gt;"",$O234,""))))))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IF(COUNTA($A234:$M234)=0,"",IF(OR(LEFT(LOWER(TRIM($F234&amp;"")),12)="subscription",LOWER(TRIM($F234&amp;""))="membership"),"Subscription",IF(OR(AND($H234&lt;&gt;"",$H234=0),LEFT(LOWER(TRIM($F234&amp;"")),9)="free game",LOWER(TRIM($F234&amp;""))="free",LOWER(TRIM($F234&amp;""))="free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IF(COUNTA($A235:$M235)=0,"",IF(OR(LEFT(LOWER(TRIM($F235&amp;"")),12)="subscription",LOWER(TRIM($F235&amp;""))="membership"),"",IF($G235="","",IF(ISNUMBER(SEARCH("non",LOWER($E235&amp;""))),$G235*0.85,$G235))))</x:f>
      </x:c>
      <x:c r="O235" s="987" t="str">
        <x:f>IF(COUNTA($A235:$M235)=0,"",IF(OR(LEFT(LOWER(TRIM($F235&amp;"")),12)="subscription",LOWER(TRIM($F235&amp;""))="membership"),"",IF(OR($N235="",$I235="",$I235=0),"",IFERROR($N235/$I235,""))))</x:f>
      </x:c>
      <x:c r="P235" s="987" t="str">
        <x:f>IF(COUNTA($A235:$M235)=0,"",IF(OR(LEFT(LOWER(TRIM($F235&amp;"")),12)="subscription",LOWER(TRIM($F235&amp;""))="membership"),"",IF(LOWER($L235&amp;"")="yes",0,IF(OR(AND($H235&lt;&gt;"",$H235=0),LEFT(LOWER(TRIM($F235&amp;"")),9)="free game",LOWER(TRIM($F235&amp;""))="free",LOWER(TRIM($F235&amp;""))="free entry"),IF(LOWER($D235&amp;"")="finalized",IF(ISNUMBER($K235),$K235,""),IF($O235&lt;&gt;"",$O235,"")),IF($K235&lt;&gt;"",$K235,IF($O235&lt;&gt;"",$O235,""))))))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IF(COUNTA($A235:$M235)=0,"",IF(OR(LEFT(LOWER(TRIM($F235&amp;"")),12)="subscription",LOWER(TRIM($F235&amp;""))="membership"),"Subscription",IF(OR(AND($H235&lt;&gt;"",$H235=0),LEFT(LOWER(TRIM($F235&amp;"")),9)="free game",LOWER(TRIM($F235&amp;""))="free",LOWER(TRIM($F235&amp;""))="free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IF(COUNTA($A236:$M236)=0,"",IF(OR(LEFT(LOWER(TRIM($F236&amp;"")),12)="subscription",LOWER(TRIM($F236&amp;""))="membership"),"",IF($G236="","",IF(ISNUMBER(SEARCH("non",LOWER($E236&amp;""))),$G236*0.85,$G236))))</x:f>
      </x:c>
      <x:c r="O236" s="987" t="str">
        <x:f>IF(COUNTA($A236:$M236)=0,"",IF(OR(LEFT(LOWER(TRIM($F236&amp;"")),12)="subscription",LOWER(TRIM($F236&amp;""))="membership"),"",IF(OR($N236="",$I236="",$I236=0),"",IFERROR($N236/$I236,""))))</x:f>
      </x:c>
      <x:c r="P236" s="987" t="str">
        <x:f>IF(COUNTA($A236:$M236)=0,"",IF(OR(LEFT(LOWER(TRIM($F236&amp;"")),12)="subscription",LOWER(TRIM($F236&amp;""))="membership"),"",IF(LOWER($L236&amp;"")="yes",0,IF(OR(AND($H236&lt;&gt;"",$H236=0),LEFT(LOWER(TRIM($F236&amp;"")),9)="free game",LOWER(TRIM($F236&amp;""))="free",LOWER(TRIM($F236&amp;""))="free entry"),IF(LOWER($D236&amp;"")="finalized",IF(ISNUMBER($K236),$K236,""),IF($O236&lt;&gt;"",$O236,"")),IF($K236&lt;&gt;"",$K236,IF($O236&lt;&gt;"",$O236,""))))))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IF(COUNTA($A236:$M236)=0,"",IF(OR(LEFT(LOWER(TRIM($F236&amp;"")),12)="subscription",LOWER(TRIM($F236&amp;""))="membership"),"Subscription",IF(OR(AND($H236&lt;&gt;"",$H236=0),LEFT(LOWER(TRIM($F236&amp;"")),9)="free game",LOWER(TRIM($F236&amp;""))="free",LOWER(TRIM($F236&amp;""))="free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IF(COUNTA($A237:$M237)=0,"",IF(OR(LEFT(LOWER(TRIM($F237&amp;"")),12)="subscription",LOWER(TRIM($F237&amp;""))="membership"),"",IF($G237="","",IF(ISNUMBER(SEARCH("non",LOWER($E237&amp;""))),$G237*0.85,$G237))))</x:f>
      </x:c>
      <x:c r="O237" s="987" t="str">
        <x:f>IF(COUNTA($A237:$M237)=0,"",IF(OR(LEFT(LOWER(TRIM($F237&amp;"")),12)="subscription",LOWER(TRIM($F237&amp;""))="membership"),"",IF(OR($N237="",$I237="",$I237=0),"",IFERROR($N237/$I237,""))))</x:f>
      </x:c>
      <x:c r="P237" s="987" t="str">
        <x:f>IF(COUNTA($A237:$M237)=0,"",IF(OR(LEFT(LOWER(TRIM($F237&amp;"")),12)="subscription",LOWER(TRIM($F237&amp;""))="membership"),"",IF(LOWER($L237&amp;"")="yes",0,IF(OR(AND($H237&lt;&gt;"",$H237=0),LEFT(LOWER(TRIM($F237&amp;"")),9)="free game",LOWER(TRIM($F237&amp;""))="free",LOWER(TRIM($F237&amp;""))="free entry"),IF(LOWER($D237&amp;"")="finalized",IF(ISNUMBER($K237),$K237,""),IF($O237&lt;&gt;"",$O237,"")),IF($K237&lt;&gt;"",$K237,IF($O237&lt;&gt;"",$O237,""))))))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IF(COUNTA($A237:$M237)=0,"",IF(OR(LEFT(LOWER(TRIM($F237&amp;"")),12)="subscription",LOWER(TRIM($F237&amp;""))="membership"),"Subscription",IF(OR(AND($H237&lt;&gt;"",$H237=0),LEFT(LOWER(TRIM($F237&amp;"")),9)="free game",LOWER(TRIM($F237&amp;""))="free",LOWER(TRIM($F237&amp;""))="free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IF(COUNTA($A238:$M238)=0,"",IF(OR(LEFT(LOWER(TRIM($F238&amp;"")),12)="subscription",LOWER(TRIM($F238&amp;""))="membership"),"",IF($G238="","",IF(ISNUMBER(SEARCH("non",LOWER($E238&amp;""))),$G238*0.85,$G238))))</x:f>
      </x:c>
      <x:c r="O238" s="987" t="str">
        <x:f>IF(COUNTA($A238:$M238)=0,"",IF(OR(LEFT(LOWER(TRIM($F238&amp;"")),12)="subscription",LOWER(TRIM($F238&amp;""))="membership"),"",IF(OR($N238="",$I238="",$I238=0),"",IFERROR($N238/$I238,""))))</x:f>
      </x:c>
      <x:c r="P238" s="987" t="str">
        <x:f>IF(COUNTA($A238:$M238)=0,"",IF(OR(LEFT(LOWER(TRIM($F238&amp;"")),12)="subscription",LOWER(TRIM($F238&amp;""))="membership"),"",IF(LOWER($L238&amp;"")="yes",0,IF(OR(AND($H238&lt;&gt;"",$H238=0),LEFT(LOWER(TRIM($F238&amp;"")),9)="free game",LOWER(TRIM($F238&amp;""))="free",LOWER(TRIM($F238&amp;""))="free entry"),IF(LOWER($D238&amp;"")="finalized",IF(ISNUMBER($K238),$K238,""),IF($O238&lt;&gt;"",$O238,"")),IF($K238&lt;&gt;"",$K238,IF($O238&lt;&gt;"",$O238,""))))))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IF(COUNTA($A238:$M238)=0,"",IF(OR(LEFT(LOWER(TRIM($F238&amp;"")),12)="subscription",LOWER(TRIM($F238&amp;""))="membership"),"Subscription",IF(OR(AND($H238&lt;&gt;"",$H238=0),LEFT(LOWER(TRIM($F238&amp;"")),9)="free game",LOWER(TRIM($F238&amp;""))="free",LOWER(TRIM($F238&amp;""))="free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IF(COUNTA($A239:$M239)=0,"",IF(OR(LEFT(LOWER(TRIM($F239&amp;"")),12)="subscription",LOWER(TRIM($F239&amp;""))="membership"),"",IF($G239="","",IF(ISNUMBER(SEARCH("non",LOWER($E239&amp;""))),$G239*0.85,$G239))))</x:f>
      </x:c>
      <x:c r="O239" s="987" t="str">
        <x:f>IF(COUNTA($A239:$M239)=0,"",IF(OR(LEFT(LOWER(TRIM($F239&amp;"")),12)="subscription",LOWER(TRIM($F239&amp;""))="membership"),"",IF(OR($N239="",$I239="",$I239=0),"",IFERROR($N239/$I239,""))))</x:f>
      </x:c>
      <x:c r="P239" s="987" t="str">
        <x:f>IF(COUNTA($A239:$M239)=0,"",IF(OR(LEFT(LOWER(TRIM($F239&amp;"")),12)="subscription",LOWER(TRIM($F239&amp;""))="membership"),"",IF(LOWER($L239&amp;"")="yes",0,IF(OR(AND($H239&lt;&gt;"",$H239=0),LEFT(LOWER(TRIM($F239&amp;"")),9)="free game",LOWER(TRIM($F239&amp;""))="free",LOWER(TRIM($F239&amp;""))="free entry"),IF(LOWER($D239&amp;"")="finalized",IF(ISNUMBER($K239),$K239,""),IF($O239&lt;&gt;"",$O239,"")),IF($K239&lt;&gt;"",$K239,IF($O239&lt;&gt;"",$O239,""))))))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IF(COUNTA($A239:$M239)=0,"",IF(OR(LEFT(LOWER(TRIM($F239&amp;"")),12)="subscription",LOWER(TRIM($F239&amp;""))="membership"),"Subscription",IF(OR(AND($H239&lt;&gt;"",$H239=0),LEFT(LOWER(TRIM($F239&amp;"")),9)="free game",LOWER(TRIM($F239&amp;""))="free",LOWER(TRIM($F239&amp;""))="free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IF(COUNTA($A240:$M240)=0,"",IF(OR(LEFT(LOWER(TRIM($F240&amp;"")),12)="subscription",LOWER(TRIM($F240&amp;""))="membership"),"",IF($G240="","",IF(ISNUMBER(SEARCH("non",LOWER($E240&amp;""))),$G240*0.85,$G240))))</x:f>
      </x:c>
      <x:c r="O240" s="987" t="str">
        <x:f>IF(COUNTA($A240:$M240)=0,"",IF(OR(LEFT(LOWER(TRIM($F240&amp;"")),12)="subscription",LOWER(TRIM($F240&amp;""))="membership"),"",IF(OR($N240="",$I240="",$I240=0),"",IFERROR($N240/$I240,""))))</x:f>
      </x:c>
      <x:c r="P240" s="987" t="str">
        <x:f>IF(COUNTA($A240:$M240)=0,"",IF(OR(LEFT(LOWER(TRIM($F240&amp;"")),12)="subscription",LOWER(TRIM($F240&amp;""))="membership"),"",IF(LOWER($L240&amp;"")="yes",0,IF(OR(AND($H240&lt;&gt;"",$H240=0),LEFT(LOWER(TRIM($F240&amp;"")),9)="free game",LOWER(TRIM($F240&amp;""))="free",LOWER(TRIM($F240&amp;""))="free entry"),IF(LOWER($D240&amp;"")="finalized",IF(ISNUMBER($K240),$K240,""),IF($O240&lt;&gt;"",$O240,"")),IF($K240&lt;&gt;"",$K240,IF($O240&lt;&gt;"",$O240,""))))))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IF(COUNTA($A240:$M240)=0,"",IF(OR(LEFT(LOWER(TRIM($F240&amp;"")),12)="subscription",LOWER(TRIM($F240&amp;""))="membership"),"Subscription",IF(OR(AND($H240&lt;&gt;"",$H240=0),LEFT(LOWER(TRIM($F240&amp;"")),9)="free game",LOWER(TRIM($F240&amp;""))="free",LOWER(TRIM($F240&amp;""))="free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IF(COUNTA($A241:$M241)=0,"",IF(OR(LEFT(LOWER(TRIM($F241&amp;"")),12)="subscription",LOWER(TRIM($F241&amp;""))="membership"),"",IF($G241="","",IF(ISNUMBER(SEARCH("non",LOWER($E241&amp;""))),$G241*0.85,$G241))))</x:f>
      </x:c>
      <x:c r="O241" s="987" t="str">
        <x:f>IF(COUNTA($A241:$M241)=0,"",IF(OR(LEFT(LOWER(TRIM($F241&amp;"")),12)="subscription",LOWER(TRIM($F241&amp;""))="membership"),"",IF(OR($N241="",$I241="",$I241=0),"",IFERROR($N241/$I241,""))))</x:f>
      </x:c>
      <x:c r="P241" s="987" t="str">
        <x:f>IF(COUNTA($A241:$M241)=0,"",IF(OR(LEFT(LOWER(TRIM($F241&amp;"")),12)="subscription",LOWER(TRIM($F241&amp;""))="membership"),"",IF(LOWER($L241&amp;"")="yes",0,IF(OR(AND($H241&lt;&gt;"",$H241=0),LEFT(LOWER(TRIM($F241&amp;"")),9)="free game",LOWER(TRIM($F241&amp;""))="free",LOWER(TRIM($F241&amp;""))="free entry"),IF(LOWER($D241&amp;"")="finalized",IF(ISNUMBER($K241),$K241,""),IF($O241&lt;&gt;"",$O241,"")),IF($K241&lt;&gt;"",$K241,IF($O241&lt;&gt;"",$O241,""))))))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IF(COUNTA($A241:$M241)=0,"",IF(OR(LEFT(LOWER(TRIM($F241&amp;"")),12)="subscription",LOWER(TRIM($F241&amp;""))="membership"),"Subscription",IF(OR(AND($H241&lt;&gt;"",$H241=0),LEFT(LOWER(TRIM($F241&amp;"")),9)="free game",LOWER(TRIM($F241&amp;""))="free",LOWER(TRIM($F241&amp;""))="free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IF(COUNTA($A242:$M242)=0,"",IF(OR(LEFT(LOWER(TRIM($F242&amp;"")),12)="subscription",LOWER(TRIM($F242&amp;""))="membership"),"",IF($G242="","",IF(ISNUMBER(SEARCH("non",LOWER($E242&amp;""))),$G242*0.85,$G242))))</x:f>
      </x:c>
      <x:c r="O242" s="987" t="str">
        <x:f>IF(COUNTA($A242:$M242)=0,"",IF(OR(LEFT(LOWER(TRIM($F242&amp;"")),12)="subscription",LOWER(TRIM($F242&amp;""))="membership"),"",IF(OR($N242="",$I242="",$I242=0),"",IFERROR($N242/$I242,""))))</x:f>
      </x:c>
      <x:c r="P242" s="987" t="str">
        <x:f>IF(COUNTA($A242:$M242)=0,"",IF(OR(LEFT(LOWER(TRIM($F242&amp;"")),12)="subscription",LOWER(TRIM($F242&amp;""))="membership"),"",IF(LOWER($L242&amp;"")="yes",0,IF(OR(AND($H242&lt;&gt;"",$H242=0),LEFT(LOWER(TRIM($F242&amp;"")),9)="free game",LOWER(TRIM($F242&amp;""))="free",LOWER(TRIM($F242&amp;""))="free entry"),IF(LOWER($D242&amp;"")="finalized",IF(ISNUMBER($K242),$K242,""),IF($O242&lt;&gt;"",$O242,"")),IF($K242&lt;&gt;"",$K242,IF($O242&lt;&gt;"",$O242,""))))))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IF(COUNTA($A242:$M242)=0,"",IF(OR(LEFT(LOWER(TRIM($F242&amp;"")),12)="subscription",LOWER(TRIM($F242&amp;""))="membership"),"Subscription",IF(OR(AND($H242&lt;&gt;"",$H242=0),LEFT(LOWER(TRIM($F242&amp;"")),9)="free game",LOWER(TRIM($F242&amp;""))="free",LOWER(TRIM($F242&amp;""))="free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IF(COUNTA($A243:$M243)=0,"",IF(OR(LEFT(LOWER(TRIM($F243&amp;"")),12)="subscription",LOWER(TRIM($F243&amp;""))="membership"),"",IF($G243="","",IF(ISNUMBER(SEARCH("non",LOWER($E243&amp;""))),$G243*0.85,$G243))))</x:f>
      </x:c>
      <x:c r="O243" s="987" t="str">
        <x:f>IF(COUNTA($A243:$M243)=0,"",IF(OR(LEFT(LOWER(TRIM($F243&amp;"")),12)="subscription",LOWER(TRIM($F243&amp;""))="membership"),"",IF(OR($N243="",$I243="",$I243=0),"",IFERROR($N243/$I243,""))))</x:f>
      </x:c>
      <x:c r="P243" s="987" t="str">
        <x:f>IF(COUNTA($A243:$M243)=0,"",IF(OR(LEFT(LOWER(TRIM($F243&amp;"")),12)="subscription",LOWER(TRIM($F243&amp;""))="membership"),"",IF(LOWER($L243&amp;"")="yes",0,IF(OR(AND($H243&lt;&gt;"",$H243=0),LEFT(LOWER(TRIM($F243&amp;"")),9)="free game",LOWER(TRIM($F243&amp;""))="free",LOWER(TRIM($F243&amp;""))="free entry"),IF(LOWER($D243&amp;"")="finalized",IF(ISNUMBER($K243),$K243,""),IF($O243&lt;&gt;"",$O243,"")),IF($K243&lt;&gt;"",$K243,IF($O243&lt;&gt;"",$O243,""))))))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IF(COUNTA($A243:$M243)=0,"",IF(OR(LEFT(LOWER(TRIM($F243&amp;"")),12)="subscription",LOWER(TRIM($F243&amp;""))="membership"),"Subscription",IF(OR(AND($H243&lt;&gt;"",$H243=0),LEFT(LOWER(TRIM($F243&amp;"")),9)="free game",LOWER(TRIM($F243&amp;""))="free",LOWER(TRIM($F243&amp;""))="free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IF(COUNTA($A244:$M244)=0,"",IF(OR(LEFT(LOWER(TRIM($F244&amp;"")),12)="subscription",LOWER(TRIM($F244&amp;""))="membership"),"",IF($G244="","",IF(ISNUMBER(SEARCH("non",LOWER($E244&amp;""))),$G244*0.85,$G244))))</x:f>
      </x:c>
      <x:c r="O244" s="987" t="str">
        <x:f>IF(COUNTA($A244:$M244)=0,"",IF(OR(LEFT(LOWER(TRIM($F244&amp;"")),12)="subscription",LOWER(TRIM($F244&amp;""))="membership"),"",IF(OR($N244="",$I244="",$I244=0),"",IFERROR($N244/$I244,""))))</x:f>
      </x:c>
      <x:c r="P244" s="987" t="str">
        <x:f>IF(COUNTA($A244:$M244)=0,"",IF(OR(LEFT(LOWER(TRIM($F244&amp;"")),12)="subscription",LOWER(TRIM($F244&amp;""))="membership"),"",IF(LOWER($L244&amp;"")="yes",0,IF(OR(AND($H244&lt;&gt;"",$H244=0),LEFT(LOWER(TRIM($F244&amp;"")),9)="free game",LOWER(TRIM($F244&amp;""))="free",LOWER(TRIM($F244&amp;""))="free entry"),IF(LOWER($D244&amp;"")="finalized",IF(ISNUMBER($K244),$K244,""),IF($O244&lt;&gt;"",$O244,"")),IF($K244&lt;&gt;"",$K244,IF($O244&lt;&gt;"",$O244,""))))))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IF(COUNTA($A244:$M244)=0,"",IF(OR(LEFT(LOWER(TRIM($F244&amp;"")),12)="subscription",LOWER(TRIM($F244&amp;""))="membership"),"Subscription",IF(OR(AND($H244&lt;&gt;"",$H244=0),LEFT(LOWER(TRIM($F244&amp;"")),9)="free game",LOWER(TRIM($F244&amp;""))="free",LOWER(TRIM($F244&amp;""))="free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IF(COUNTA($A245:$M245)=0,"",IF(OR(LEFT(LOWER(TRIM($F245&amp;"")),12)="subscription",LOWER(TRIM($F245&amp;""))="membership"),"",IF($G245="","",IF(ISNUMBER(SEARCH("non",LOWER($E245&amp;""))),$G245*0.85,$G245))))</x:f>
      </x:c>
      <x:c r="O245" s="987" t="str">
        <x:f>IF(COUNTA($A245:$M245)=0,"",IF(OR(LEFT(LOWER(TRIM($F245&amp;"")),12)="subscription",LOWER(TRIM($F245&amp;""))="membership"),"",IF(OR($N245="",$I245="",$I245=0),"",IFERROR($N245/$I245,""))))</x:f>
      </x:c>
      <x:c r="P245" s="987" t="str">
        <x:f>IF(COUNTA($A245:$M245)=0,"",IF(OR(LEFT(LOWER(TRIM($F245&amp;"")),12)="subscription",LOWER(TRIM($F245&amp;""))="membership"),"",IF(LOWER($L245&amp;"")="yes",0,IF(OR(AND($H245&lt;&gt;"",$H245=0),LEFT(LOWER(TRIM($F245&amp;"")),9)="free game",LOWER(TRIM($F245&amp;""))="free",LOWER(TRIM($F245&amp;""))="free entry"),IF(LOWER($D245&amp;"")="finalized",IF(ISNUMBER($K245),$K245,""),IF($O245&lt;&gt;"",$O245,"")),IF($K245&lt;&gt;"",$K245,IF($O245&lt;&gt;"",$O245,""))))))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IF(COUNTA($A245:$M245)=0,"",IF(OR(LEFT(LOWER(TRIM($F245&amp;"")),12)="subscription",LOWER(TRIM($F245&amp;""))="membership"),"Subscription",IF(OR(AND($H245&lt;&gt;"",$H245=0),LEFT(LOWER(TRIM($F245&amp;"")),9)="free game",LOWER(TRIM($F245&amp;""))="free",LOWER(TRIM($F245&amp;""))="free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IF(COUNTA($A246:$M246)=0,"",IF(OR(LEFT(LOWER(TRIM($F246&amp;"")),12)="subscription",LOWER(TRIM($F246&amp;""))="membership"),"",IF($G246="","",IF(ISNUMBER(SEARCH("non",LOWER($E246&amp;""))),$G246*0.85,$G246))))</x:f>
      </x:c>
      <x:c r="O246" s="987" t="str">
        <x:f>IF(COUNTA($A246:$M246)=0,"",IF(OR(LEFT(LOWER(TRIM($F246&amp;"")),12)="subscription",LOWER(TRIM($F246&amp;""))="membership"),"",IF(OR($N246="",$I246="",$I246=0),"",IFERROR($N246/$I246,""))))</x:f>
      </x:c>
      <x:c r="P246" s="987" t="str">
        <x:f>IF(COUNTA($A246:$M246)=0,"",IF(OR(LEFT(LOWER(TRIM($F246&amp;"")),12)="subscription",LOWER(TRIM($F246&amp;""))="membership"),"",IF(LOWER($L246&amp;"")="yes",0,IF(OR(AND($H246&lt;&gt;"",$H246=0),LEFT(LOWER(TRIM($F246&amp;"")),9)="free game",LOWER(TRIM($F246&amp;""))="free",LOWER(TRIM($F246&amp;""))="free entry"),IF(LOWER($D246&amp;"")="finalized",IF(ISNUMBER($K246),$K246,""),IF($O246&lt;&gt;"",$O246,"")),IF($K246&lt;&gt;"",$K246,IF($O246&lt;&gt;"",$O246,""))))))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IF(COUNTA($A246:$M246)=0,"",IF(OR(LEFT(LOWER(TRIM($F246&amp;"")),12)="subscription",LOWER(TRIM($F246&amp;""))="membership"),"Subscription",IF(OR(AND($H246&lt;&gt;"",$H246=0),LEFT(LOWER(TRIM($F246&amp;"")),9)="free game",LOWER(TRIM($F246&amp;""))="free",LOWER(TRIM($F246&amp;""))="free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IF(COUNTA($A247:$M247)=0,"",IF(OR(LEFT(LOWER(TRIM($F247&amp;"")),12)="subscription",LOWER(TRIM($F247&amp;""))="membership"),"",IF($G247="","",IF(ISNUMBER(SEARCH("non",LOWER($E247&amp;""))),$G247*0.85,$G247))))</x:f>
      </x:c>
      <x:c r="O247" s="987" t="str">
        <x:f>IF(COUNTA($A247:$M247)=0,"",IF(OR(LEFT(LOWER(TRIM($F247&amp;"")),12)="subscription",LOWER(TRIM($F247&amp;""))="membership"),"",IF(OR($N247="",$I247="",$I247=0),"",IFERROR($N247/$I247,""))))</x:f>
      </x:c>
      <x:c r="P247" s="987" t="str">
        <x:f>IF(COUNTA($A247:$M247)=0,"",IF(OR(LEFT(LOWER(TRIM($F247&amp;"")),12)="subscription",LOWER(TRIM($F247&amp;""))="membership"),"",IF(LOWER($L247&amp;"")="yes",0,IF(OR(AND($H247&lt;&gt;"",$H247=0),LEFT(LOWER(TRIM($F247&amp;"")),9)="free game",LOWER(TRIM($F247&amp;""))="free",LOWER(TRIM($F247&amp;""))="free entry"),IF(LOWER($D247&amp;"")="finalized",IF(ISNUMBER($K247),$K247,""),IF($O247&lt;&gt;"",$O247,"")),IF($K247&lt;&gt;"",$K247,IF($O247&lt;&gt;"",$O247,""))))))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IF(COUNTA($A247:$M247)=0,"",IF(OR(LEFT(LOWER(TRIM($F247&amp;"")),12)="subscription",LOWER(TRIM($F247&amp;""))="membership"),"Subscription",IF(OR(AND($H247&lt;&gt;"",$H247=0),LEFT(LOWER(TRIM($F247&amp;"")),9)="free game",LOWER(TRIM($F247&amp;""))="free",LOWER(TRIM($F247&amp;""))="free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IF(COUNTA($A248:$M248)=0,"",IF(OR(LEFT(LOWER(TRIM($F248&amp;"")),12)="subscription",LOWER(TRIM($F248&amp;""))="membership"),"",IF($G248="","",IF(ISNUMBER(SEARCH("non",LOWER($E248&amp;""))),$G248*0.85,$G248))))</x:f>
      </x:c>
      <x:c r="O248" s="987" t="str">
        <x:f>IF(COUNTA($A248:$M248)=0,"",IF(OR(LEFT(LOWER(TRIM($F248&amp;"")),12)="subscription",LOWER(TRIM($F248&amp;""))="membership"),"",IF(OR($N248="",$I248="",$I248=0),"",IFERROR($N248/$I248,""))))</x:f>
      </x:c>
      <x:c r="P248" s="987" t="str">
        <x:f>IF(COUNTA($A248:$M248)=0,"",IF(OR(LEFT(LOWER(TRIM($F248&amp;"")),12)="subscription",LOWER(TRIM($F248&amp;""))="membership"),"",IF(LOWER($L248&amp;"")="yes",0,IF(OR(AND($H248&lt;&gt;"",$H248=0),LEFT(LOWER(TRIM($F248&amp;"")),9)="free game",LOWER(TRIM($F248&amp;""))="free",LOWER(TRIM($F248&amp;""))="free entry"),IF(LOWER($D248&amp;"")="finalized",IF(ISNUMBER($K248),$K248,""),IF($O248&lt;&gt;"",$O248,"")),IF($K248&lt;&gt;"",$K248,IF($O248&lt;&gt;"",$O248,""))))))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IF(COUNTA($A248:$M248)=0,"",IF(OR(LEFT(LOWER(TRIM($F248&amp;"")),12)="subscription",LOWER(TRIM($F248&amp;""))="membership"),"Subscription",IF(OR(AND($H248&lt;&gt;"",$H248=0),LEFT(LOWER(TRIM($F248&amp;"")),9)="free game",LOWER(TRIM($F248&amp;""))="free",LOWER(TRIM($F248&amp;""))="free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IF(COUNTA($A249:$M249)=0,"",IF(OR(LEFT(LOWER(TRIM($F249&amp;"")),12)="subscription",LOWER(TRIM($F249&amp;""))="membership"),"",IF($G249="","",IF(ISNUMBER(SEARCH("non",LOWER($E249&amp;""))),$G249*0.85,$G249))))</x:f>
      </x:c>
      <x:c r="O249" s="987" t="str">
        <x:f>IF(COUNTA($A249:$M249)=0,"",IF(OR(LEFT(LOWER(TRIM($F249&amp;"")),12)="subscription",LOWER(TRIM($F249&amp;""))="membership"),"",IF(OR($N249="",$I249="",$I249=0),"",IFERROR($N249/$I249,""))))</x:f>
      </x:c>
      <x:c r="P249" s="987" t="str">
        <x:f>IF(COUNTA($A249:$M249)=0,"",IF(OR(LEFT(LOWER(TRIM($F249&amp;"")),12)="subscription",LOWER(TRIM($F249&amp;""))="membership"),"",IF(LOWER($L249&amp;"")="yes",0,IF(OR(AND($H249&lt;&gt;"",$H249=0),LEFT(LOWER(TRIM($F249&amp;"")),9)="free game",LOWER(TRIM($F249&amp;""))="free",LOWER(TRIM($F249&amp;""))="free entry"),IF(LOWER($D249&amp;"")="finalized",IF(ISNUMBER($K249),$K249,""),IF($O249&lt;&gt;"",$O249,"")),IF($K249&lt;&gt;"",$K249,IF($O249&lt;&gt;"",$O249,""))))))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IF(COUNTA($A249:$M249)=0,"",IF(OR(LEFT(LOWER(TRIM($F249&amp;"")),12)="subscription",LOWER(TRIM($F249&amp;""))="membership"),"Subscription",IF(OR(AND($H249&lt;&gt;"",$H249=0),LEFT(LOWER(TRIM($F249&amp;"")),9)="free game",LOWER(TRIM($F249&amp;""))="free",LOWER(TRIM($F249&amp;""))="free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IF(COUNTA($A250:$M250)=0,"",IF(OR(LEFT(LOWER(TRIM($F250&amp;"")),12)="subscription",LOWER(TRIM($F250&amp;""))="membership"),"",IF($G250="","",IF(ISNUMBER(SEARCH("non",LOWER($E250&amp;""))),$G250*0.85,$G250))))</x:f>
      </x:c>
      <x:c r="O250" s="987" t="str">
        <x:f>IF(COUNTA($A250:$M250)=0,"",IF(OR(LEFT(LOWER(TRIM($F250&amp;"")),12)="subscription",LOWER(TRIM($F250&amp;""))="membership"),"",IF(OR($N250="",$I250="",$I250=0),"",IFERROR($N250/$I250,""))))</x:f>
      </x:c>
      <x:c r="P250" s="987" t="str">
        <x:f>IF(COUNTA($A250:$M250)=0,"",IF(OR(LEFT(LOWER(TRIM($F250&amp;"")),12)="subscription",LOWER(TRIM($F250&amp;""))="membership"),"",IF(LOWER($L250&amp;"")="yes",0,IF(OR(AND($H250&lt;&gt;"",$H250=0),LEFT(LOWER(TRIM($F250&amp;"")),9)="free game",LOWER(TRIM($F250&amp;""))="free",LOWER(TRIM($F250&amp;""))="free entry"),IF(LOWER($D250&amp;"")="finalized",IF(ISNUMBER($K250),$K250,""),IF($O250&lt;&gt;"",$O250,"")),IF($K250&lt;&gt;"",$K250,IF($O250&lt;&gt;"",$O250,""))))))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IF(COUNTA($A250:$M250)=0,"",IF(OR(LEFT(LOWER(TRIM($F250&amp;"")),12)="subscription",LOWER(TRIM($F250&amp;""))="membership"),"Subscription",IF(OR(AND($H250&lt;&gt;"",$H250=0),LEFT(LOWER(TRIM($F250&amp;"")),9)="free game",LOWER(TRIM($F250&amp;""))="free",LOWER(TRIM($F250&amp;""))="free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IF(COUNTA($A251:$M251)=0,"",IF(OR(LEFT(LOWER(TRIM($F251&amp;"")),12)="subscription",LOWER(TRIM($F251&amp;""))="membership"),"",IF($G251="","",IF(ISNUMBER(SEARCH("non",LOWER($E251&amp;""))),$G251*0.85,$G251))))</x:f>
      </x:c>
      <x:c r="O251" s="987" t="str">
        <x:f>IF(COUNTA($A251:$M251)=0,"",IF(OR(LEFT(LOWER(TRIM($F251&amp;"")),12)="subscription",LOWER(TRIM($F251&amp;""))="membership"),"",IF(OR($N251="",$I251="",$I251=0),"",IFERROR($N251/$I251,""))))</x:f>
      </x:c>
      <x:c r="P251" s="987" t="str">
        <x:f>IF(COUNTA($A251:$M251)=0,"",IF(OR(LEFT(LOWER(TRIM($F251&amp;"")),12)="subscription",LOWER(TRIM($F251&amp;""))="membership"),"",IF(LOWER($L251&amp;"")="yes",0,IF(OR(AND($H251&lt;&gt;"",$H251=0),LEFT(LOWER(TRIM($F251&amp;"")),9)="free game",LOWER(TRIM($F251&amp;""))="free",LOWER(TRIM($F251&amp;""))="free entry"),IF(LOWER($D251&amp;"")="finalized",IF(ISNUMBER($K251),$K251,""),IF($O251&lt;&gt;"",$O251,"")),IF($K251&lt;&gt;"",$K251,IF($O251&lt;&gt;"",$O251,""))))))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IF(COUNTA($A251:$M251)=0,"",IF(OR(LEFT(LOWER(TRIM($F251&amp;"")),12)="subscription",LOWER(TRIM($F251&amp;""))="membership"),"Subscription",IF(OR(AND($H251&lt;&gt;"",$H251=0),LEFT(LOWER(TRIM($F251&amp;"")),9)="free game",LOWER(TRIM($F251&amp;""))="free",LOWER(TRIM($F251&amp;""))="free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IF(COUNTA($A252:$M252)=0,"",IF(OR(LEFT(LOWER(TRIM($F252&amp;"")),12)="subscription",LOWER(TRIM($F252&amp;""))="membership"),"",IF($G252="","",IF(ISNUMBER(SEARCH("non",LOWER($E252&amp;""))),$G252*0.85,$G252))))</x:f>
      </x:c>
      <x:c r="O252" s="987" t="str">
        <x:f>IF(COUNTA($A252:$M252)=0,"",IF(OR(LEFT(LOWER(TRIM($F252&amp;"")),12)="subscription",LOWER(TRIM($F252&amp;""))="membership"),"",IF(OR($N252="",$I252="",$I252=0),"",IFERROR($N252/$I252,""))))</x:f>
      </x:c>
      <x:c r="P252" s="987" t="str">
        <x:f>IF(COUNTA($A252:$M252)=0,"",IF(OR(LEFT(LOWER(TRIM($F252&amp;"")),12)="subscription",LOWER(TRIM($F252&amp;""))="membership"),"",IF(LOWER($L252&amp;"")="yes",0,IF(OR(AND($H252&lt;&gt;"",$H252=0),LEFT(LOWER(TRIM($F252&amp;"")),9)="free game",LOWER(TRIM($F252&amp;""))="free",LOWER(TRIM($F252&amp;""))="free entry"),IF(LOWER($D252&amp;"")="finalized",IF(ISNUMBER($K252),$K252,""),IF($O252&lt;&gt;"",$O252,"")),IF($K252&lt;&gt;"",$K252,IF($O252&lt;&gt;"",$O252,""))))))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IF(COUNTA($A252:$M252)=0,"",IF(OR(LEFT(LOWER(TRIM($F252&amp;"")),12)="subscription",LOWER(TRIM($F252&amp;""))="membership"),"Subscription",IF(OR(AND($H252&lt;&gt;"",$H252=0),LEFT(LOWER(TRIM($F252&amp;"")),9)="free game",LOWER(TRIM($F252&amp;""))="free",LOWER(TRIM($F252&amp;""))="free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IF(COUNTA($A253:$M253)=0,"",IF(OR(LEFT(LOWER(TRIM($F253&amp;"")),12)="subscription",LOWER(TRIM($F253&amp;""))="membership"),"",IF($G253="","",IF(ISNUMBER(SEARCH("non",LOWER($E253&amp;""))),$G253*0.85,$G253))))</x:f>
      </x:c>
      <x:c r="O253" s="987" t="str">
        <x:f>IF(COUNTA($A253:$M253)=0,"",IF(OR(LEFT(LOWER(TRIM($F253&amp;"")),12)="subscription",LOWER(TRIM($F253&amp;""))="membership"),"",IF(OR($N253="",$I253="",$I253=0),"",IFERROR($N253/$I253,""))))</x:f>
      </x:c>
      <x:c r="P253" s="987" t="str">
        <x:f>IF(COUNTA($A253:$M253)=0,"",IF(OR(LEFT(LOWER(TRIM($F253&amp;"")),12)="subscription",LOWER(TRIM($F253&amp;""))="membership"),"",IF(LOWER($L253&amp;"")="yes",0,IF(OR(AND($H253&lt;&gt;"",$H253=0),LEFT(LOWER(TRIM($F253&amp;"")),9)="free game",LOWER(TRIM($F253&amp;""))="free",LOWER(TRIM($F253&amp;""))="free entry"),IF(LOWER($D253&amp;"")="finalized",IF(ISNUMBER($K253),$K253,""),IF($O253&lt;&gt;"",$O253,"")),IF($K253&lt;&gt;"",$K253,IF($O253&lt;&gt;"",$O253,""))))))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IF(COUNTA($A253:$M253)=0,"",IF(OR(LEFT(LOWER(TRIM($F253&amp;"")),12)="subscription",LOWER(TRIM($F253&amp;""))="membership"),"Subscription",IF(OR(AND($H253&lt;&gt;"",$H253=0),LEFT(LOWER(TRIM($F253&amp;"")),9)="free game",LOWER(TRIM($F253&amp;""))="free",LOWER(TRIM($F253&amp;""))="free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IF(COUNTA($A254:$M254)=0,"",IF(OR(LEFT(LOWER(TRIM($F254&amp;"")),12)="subscription",LOWER(TRIM($F254&amp;""))="membership"),"",IF($G254="","",IF(ISNUMBER(SEARCH("non",LOWER($E254&amp;""))),$G254*0.85,$G254))))</x:f>
      </x:c>
      <x:c r="O254" s="987" t="str">
        <x:f>IF(COUNTA($A254:$M254)=0,"",IF(OR(LEFT(LOWER(TRIM($F254&amp;"")),12)="subscription",LOWER(TRIM($F254&amp;""))="membership"),"",IF(OR($N254="",$I254="",$I254=0),"",IFERROR($N254/$I254,""))))</x:f>
      </x:c>
      <x:c r="P254" s="987" t="str">
        <x:f>IF(COUNTA($A254:$M254)=0,"",IF(OR(LEFT(LOWER(TRIM($F254&amp;"")),12)="subscription",LOWER(TRIM($F254&amp;""))="membership"),"",IF(LOWER($L254&amp;"")="yes",0,IF(OR(AND($H254&lt;&gt;"",$H254=0),LEFT(LOWER(TRIM($F254&amp;"")),9)="free game",LOWER(TRIM($F254&amp;""))="free",LOWER(TRIM($F254&amp;""))="free entry"),IF(LOWER($D254&amp;"")="finalized",IF(ISNUMBER($K254),$K254,""),IF($O254&lt;&gt;"",$O254,"")),IF($K254&lt;&gt;"",$K254,IF($O254&lt;&gt;"",$O254,""))))))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IF(COUNTA($A254:$M254)=0,"",IF(OR(LEFT(LOWER(TRIM($F254&amp;"")),12)="subscription",LOWER(TRIM($F254&amp;""))="membership"),"Subscription",IF(OR(AND($H254&lt;&gt;"",$H254=0),LEFT(LOWER(TRIM($F254&amp;"")),9)="free game",LOWER(TRIM($F254&amp;""))="free",LOWER(TRIM($F254&amp;""))="free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IF(COUNTA($A255:$M255)=0,"",IF(OR(LEFT(LOWER(TRIM($F255&amp;"")),12)="subscription",LOWER(TRIM($F255&amp;""))="membership"),"",IF($G255="","",IF(ISNUMBER(SEARCH("non",LOWER($E255&amp;""))),$G255*0.85,$G255))))</x:f>
      </x:c>
      <x:c r="O255" s="987" t="str">
        <x:f>IF(COUNTA($A255:$M255)=0,"",IF(OR(LEFT(LOWER(TRIM($F255&amp;"")),12)="subscription",LOWER(TRIM($F255&amp;""))="membership"),"",IF(OR($N255="",$I255="",$I255=0),"",IFERROR($N255/$I255,""))))</x:f>
      </x:c>
      <x:c r="P255" s="987" t="str">
        <x:f>IF(COUNTA($A255:$M255)=0,"",IF(OR(LEFT(LOWER(TRIM($F255&amp;"")),12)="subscription",LOWER(TRIM($F255&amp;""))="membership"),"",IF(LOWER($L255&amp;"")="yes",0,IF(OR(AND($H255&lt;&gt;"",$H255=0),LEFT(LOWER(TRIM($F255&amp;"")),9)="free game",LOWER(TRIM($F255&amp;""))="free",LOWER(TRIM($F255&amp;""))="free entry"),IF(LOWER($D255&amp;"")="finalized",IF(ISNUMBER($K255),$K255,""),IF($O255&lt;&gt;"",$O255,"")),IF($K255&lt;&gt;"",$K255,IF($O255&lt;&gt;"",$O255,""))))))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IF(COUNTA($A255:$M255)=0,"",IF(OR(LEFT(LOWER(TRIM($F255&amp;"")),12)="subscription",LOWER(TRIM($F255&amp;""))="membership"),"Subscription",IF(OR(AND($H255&lt;&gt;"",$H255=0),LEFT(LOWER(TRIM($F255&amp;"")),9)="free game",LOWER(TRIM($F255&amp;""))="free",LOWER(TRIM($F255&amp;""))="free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IF(COUNTA($A256:$M256)=0,"",IF(OR(LEFT(LOWER(TRIM($F256&amp;"")),12)="subscription",LOWER(TRIM($F256&amp;""))="membership"),"",IF($G256="","",IF(ISNUMBER(SEARCH("non",LOWER($E256&amp;""))),$G256*0.85,$G256))))</x:f>
      </x:c>
      <x:c r="O256" s="987" t="str">
        <x:f>IF(COUNTA($A256:$M256)=0,"",IF(OR(LEFT(LOWER(TRIM($F256&amp;"")),12)="subscription",LOWER(TRIM($F256&amp;""))="membership"),"",IF(OR($N256="",$I256="",$I256=0),"",IFERROR($N256/$I256,""))))</x:f>
      </x:c>
      <x:c r="P256" s="987" t="str">
        <x:f>IF(COUNTA($A256:$M256)=0,"",IF(OR(LEFT(LOWER(TRIM($F256&amp;"")),12)="subscription",LOWER(TRIM($F256&amp;""))="membership"),"",IF(LOWER($L256&amp;"")="yes",0,IF(OR(AND($H256&lt;&gt;"",$H256=0),LEFT(LOWER(TRIM($F256&amp;"")),9)="free game",LOWER(TRIM($F256&amp;""))="free",LOWER(TRIM($F256&amp;""))="free entry"),IF(LOWER($D256&amp;"")="finalized",IF(ISNUMBER($K256),$K256,""),IF($O256&lt;&gt;"",$O256,"")),IF($K256&lt;&gt;"",$K256,IF($O256&lt;&gt;"",$O256,""))))))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IF(COUNTA($A256:$M256)=0,"",IF(OR(LEFT(LOWER(TRIM($F256&amp;"")),12)="subscription",LOWER(TRIM($F256&amp;""))="membership"),"Subscription",IF(OR(AND($H256&lt;&gt;"",$H256=0),LEFT(LOWER(TRIM($F256&amp;"")),9)="free game",LOWER(TRIM($F256&amp;""))="free",LOWER(TRIM($F256&amp;""))="free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IF(COUNTA($A257:$M257)=0,"",IF(OR(LEFT(LOWER(TRIM($F257&amp;"")),12)="subscription",LOWER(TRIM($F257&amp;""))="membership"),"",IF($G257="","",IF(ISNUMBER(SEARCH("non",LOWER($E257&amp;""))),$G257*0.85,$G257))))</x:f>
      </x:c>
      <x:c r="O257" s="987" t="str">
        <x:f>IF(COUNTA($A257:$M257)=0,"",IF(OR(LEFT(LOWER(TRIM($F257&amp;"")),12)="subscription",LOWER(TRIM($F257&amp;""))="membership"),"",IF(OR($N257="",$I257="",$I257=0),"",IFERROR($N257/$I257,""))))</x:f>
      </x:c>
      <x:c r="P257" s="987" t="str">
        <x:f>IF(COUNTA($A257:$M257)=0,"",IF(OR(LEFT(LOWER(TRIM($F257&amp;"")),12)="subscription",LOWER(TRIM($F257&amp;""))="membership"),"",IF(LOWER($L257&amp;"")="yes",0,IF(OR(AND($H257&lt;&gt;"",$H257=0),LEFT(LOWER(TRIM($F257&amp;"")),9)="free game",LOWER(TRIM($F257&amp;""))="free",LOWER(TRIM($F257&amp;""))="free entry"),IF(LOWER($D257&amp;"")="finalized",IF(ISNUMBER($K257),$K257,""),IF($O257&lt;&gt;"",$O257,"")),IF($K257&lt;&gt;"",$K257,IF($O257&lt;&gt;"",$O257,""))))))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IF(COUNTA($A257:$M257)=0,"",IF(OR(LEFT(LOWER(TRIM($F257&amp;"")),12)="subscription",LOWER(TRIM($F257&amp;""))="membership"),"Subscription",IF(OR(AND($H257&lt;&gt;"",$H257=0),LEFT(LOWER(TRIM($F257&amp;"")),9)="free game",LOWER(TRIM($F257&amp;""))="free",LOWER(TRIM($F257&amp;""))="free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IF(COUNTA($A258:$M258)=0,"",IF(OR(LEFT(LOWER(TRIM($F258&amp;"")),12)="subscription",LOWER(TRIM($F258&amp;""))="membership"),"",IF($G258="","",IF(ISNUMBER(SEARCH("non",LOWER($E258&amp;""))),$G258*0.85,$G258))))</x:f>
      </x:c>
      <x:c r="O258" s="987" t="str">
        <x:f>IF(COUNTA($A258:$M258)=0,"",IF(OR(LEFT(LOWER(TRIM($F258&amp;"")),12)="subscription",LOWER(TRIM($F258&amp;""))="membership"),"",IF(OR($N258="",$I258="",$I258=0),"",IFERROR($N258/$I258,""))))</x:f>
      </x:c>
      <x:c r="P258" s="987" t="str">
        <x:f>IF(COUNTA($A258:$M258)=0,"",IF(OR(LEFT(LOWER(TRIM($F258&amp;"")),12)="subscription",LOWER(TRIM($F258&amp;""))="membership"),"",IF(LOWER($L258&amp;"")="yes",0,IF(OR(AND($H258&lt;&gt;"",$H258=0),LEFT(LOWER(TRIM($F258&amp;"")),9)="free game",LOWER(TRIM($F258&amp;""))="free",LOWER(TRIM($F258&amp;""))="free entry"),IF(LOWER($D258&amp;"")="finalized",IF(ISNUMBER($K258),$K258,""),IF($O258&lt;&gt;"",$O258,"")),IF($K258&lt;&gt;"",$K258,IF($O258&lt;&gt;"",$O258,""))))))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IF(COUNTA($A258:$M258)=0,"",IF(OR(LEFT(LOWER(TRIM($F258&amp;"")),12)="subscription",LOWER(TRIM($F258&amp;""))="membership"),"Subscription",IF(OR(AND($H258&lt;&gt;"",$H258=0),LEFT(LOWER(TRIM($F258&amp;"")),9)="free game",LOWER(TRIM($F258&amp;""))="free",LOWER(TRIM($F258&amp;""))="free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IF(COUNTA($A259:$M259)=0,"",IF(OR(LEFT(LOWER(TRIM($F259&amp;"")),12)="subscription",LOWER(TRIM($F259&amp;""))="membership"),"",IF($G259="","",IF(ISNUMBER(SEARCH("non",LOWER($E259&amp;""))),$G259*0.85,$G259))))</x:f>
      </x:c>
      <x:c r="O259" s="987" t="str">
        <x:f>IF(COUNTA($A259:$M259)=0,"",IF(OR(LEFT(LOWER(TRIM($F259&amp;"")),12)="subscription",LOWER(TRIM($F259&amp;""))="membership"),"",IF(OR($N259="",$I259="",$I259=0),"",IFERROR($N259/$I259,""))))</x:f>
      </x:c>
      <x:c r="P259" s="987" t="str">
        <x:f>IF(COUNTA($A259:$M259)=0,"",IF(OR(LEFT(LOWER(TRIM($F259&amp;"")),12)="subscription",LOWER(TRIM($F259&amp;""))="membership"),"",IF(LOWER($L259&amp;"")="yes",0,IF(OR(AND($H259&lt;&gt;"",$H259=0),LEFT(LOWER(TRIM($F259&amp;"")),9)="free game",LOWER(TRIM($F259&amp;""))="free",LOWER(TRIM($F259&amp;""))="free entry"),IF(LOWER($D259&amp;"")="finalized",IF(ISNUMBER($K259),$K259,""),IF($O259&lt;&gt;"",$O259,"")),IF($K259&lt;&gt;"",$K259,IF($O259&lt;&gt;"",$O259,""))))))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IF(COUNTA($A259:$M259)=0,"",IF(OR(LEFT(LOWER(TRIM($F259&amp;"")),12)="subscription",LOWER(TRIM($F259&amp;""))="membership"),"Subscription",IF(OR(AND($H259&lt;&gt;"",$H259=0),LEFT(LOWER(TRIM($F259&amp;"")),9)="free game",LOWER(TRIM($F259&amp;""))="free",LOWER(TRIM($F259&amp;""))="free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IF(COUNTA($A260:$M260)=0,"",IF(OR(LEFT(LOWER(TRIM($F260&amp;"")),12)="subscription",LOWER(TRIM($F260&amp;""))="membership"),"",IF($G260="","",IF(ISNUMBER(SEARCH("non",LOWER($E260&amp;""))),$G260*0.85,$G260))))</x:f>
      </x:c>
      <x:c r="O260" s="987" t="str">
        <x:f>IF(COUNTA($A260:$M260)=0,"",IF(OR(LEFT(LOWER(TRIM($F260&amp;"")),12)="subscription",LOWER(TRIM($F260&amp;""))="membership"),"",IF(OR($N260="",$I260="",$I260=0),"",IFERROR($N260/$I260,""))))</x:f>
      </x:c>
      <x:c r="P260" s="987" t="str">
        <x:f>IF(COUNTA($A260:$M260)=0,"",IF(OR(LEFT(LOWER(TRIM($F260&amp;"")),12)="subscription",LOWER(TRIM($F260&amp;""))="membership"),"",IF(LOWER($L260&amp;"")="yes",0,IF(OR(AND($H260&lt;&gt;"",$H260=0),LEFT(LOWER(TRIM($F260&amp;"")),9)="free game",LOWER(TRIM($F260&amp;""))="free",LOWER(TRIM($F260&amp;""))="free entry"),IF(LOWER($D260&amp;"")="finalized",IF(ISNUMBER($K260),$K260,""),IF($O260&lt;&gt;"",$O260,"")),IF($K260&lt;&gt;"",$K260,IF($O260&lt;&gt;"",$O260,""))))))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IF(COUNTA($A260:$M260)=0,"",IF(OR(LEFT(LOWER(TRIM($F260&amp;"")),12)="subscription",LOWER(TRIM($F260&amp;""))="membership"),"Subscription",IF(OR(AND($H260&lt;&gt;"",$H260=0),LEFT(LOWER(TRIM($F260&amp;"")),9)="free game",LOWER(TRIM($F260&amp;""))="free",LOWER(TRIM($F260&amp;""))="free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IF(COUNTA($A261:$M261)=0,"",IF(OR(LEFT(LOWER(TRIM($F261&amp;"")),12)="subscription",LOWER(TRIM($F261&amp;""))="membership"),"",IF($G261="","",IF(ISNUMBER(SEARCH("non",LOWER($E261&amp;""))),$G261*0.85,$G261))))</x:f>
      </x:c>
      <x:c r="O261" s="987" t="str">
        <x:f>IF(COUNTA($A261:$M261)=0,"",IF(OR(LEFT(LOWER(TRIM($F261&amp;"")),12)="subscription",LOWER(TRIM($F261&amp;""))="membership"),"",IF(OR($N261="",$I261="",$I261=0),"",IFERROR($N261/$I261,""))))</x:f>
      </x:c>
      <x:c r="P261" s="987" t="str">
        <x:f>IF(COUNTA($A261:$M261)=0,"",IF(OR(LEFT(LOWER(TRIM($F261&amp;"")),12)="subscription",LOWER(TRIM($F261&amp;""))="membership"),"",IF(LOWER($L261&amp;"")="yes",0,IF(OR(AND($H261&lt;&gt;"",$H261=0),LEFT(LOWER(TRIM($F261&amp;"")),9)="free game",LOWER(TRIM($F261&amp;""))="free",LOWER(TRIM($F261&amp;""))="free entry"),IF(LOWER($D261&amp;"")="finalized",IF(ISNUMBER($K261),$K261,""),IF($O261&lt;&gt;"",$O261,"")),IF($K261&lt;&gt;"",$K261,IF($O261&lt;&gt;"",$O261,""))))))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IF(COUNTA($A261:$M261)=0,"",IF(OR(LEFT(LOWER(TRIM($F261&amp;"")),12)="subscription",LOWER(TRIM($F261&amp;""))="membership"),"Subscription",IF(OR(AND($H261&lt;&gt;"",$H261=0),LEFT(LOWER(TRIM($F261&amp;"")),9)="free game",LOWER(TRIM($F261&amp;""))="free",LOWER(TRIM($F261&amp;""))="free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IF(COUNTA($A262:$M262)=0,"",IF(OR(LEFT(LOWER(TRIM($F262&amp;"")),12)="subscription",LOWER(TRIM($F262&amp;""))="membership"),"",IF($G262="","",IF(ISNUMBER(SEARCH("non",LOWER($E262&amp;""))),$G262*0.85,$G262))))</x:f>
      </x:c>
      <x:c r="O262" s="987" t="str">
        <x:f>IF(COUNTA($A262:$M262)=0,"",IF(OR(LEFT(LOWER(TRIM($F262&amp;"")),12)="subscription",LOWER(TRIM($F262&amp;""))="membership"),"",IF(OR($N262="",$I262="",$I262=0),"",IFERROR($N262/$I262,""))))</x:f>
      </x:c>
      <x:c r="P262" s="987" t="str">
        <x:f>IF(COUNTA($A262:$M262)=0,"",IF(OR(LEFT(LOWER(TRIM($F262&amp;"")),12)="subscription",LOWER(TRIM($F262&amp;""))="membership"),"",IF(LOWER($L262&amp;"")="yes",0,IF(OR(AND($H262&lt;&gt;"",$H262=0),LEFT(LOWER(TRIM($F262&amp;"")),9)="free game",LOWER(TRIM($F262&amp;""))="free",LOWER(TRIM($F262&amp;""))="free entry"),IF(LOWER($D262&amp;"")="finalized",IF(ISNUMBER($K262),$K262,""),IF($O262&lt;&gt;"",$O262,"")),IF($K262&lt;&gt;"",$K262,IF($O262&lt;&gt;"",$O262,""))))))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IF(COUNTA($A262:$M262)=0,"",IF(OR(LEFT(LOWER(TRIM($F262&amp;"")),12)="subscription",LOWER(TRIM($F262&amp;""))="membership"),"Subscription",IF(OR(AND($H262&lt;&gt;"",$H262=0),LEFT(LOWER(TRIM($F262&amp;"")),9)="free game",LOWER(TRIM($F262&amp;""))="free",LOWER(TRIM($F262&amp;""))="free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IF(COUNTA($A263:$M263)=0,"",IF(OR(LEFT(LOWER(TRIM($F263&amp;"")),12)="subscription",LOWER(TRIM($F263&amp;""))="membership"),"",IF($G263="","",IF(ISNUMBER(SEARCH("non",LOWER($E263&amp;""))),$G263*0.85,$G263))))</x:f>
      </x:c>
      <x:c r="O263" s="987" t="str">
        <x:f>IF(COUNTA($A263:$M263)=0,"",IF(OR(LEFT(LOWER(TRIM($F263&amp;"")),12)="subscription",LOWER(TRIM($F263&amp;""))="membership"),"",IF(OR($N263="",$I263="",$I263=0),"",IFERROR($N263/$I263,""))))</x:f>
      </x:c>
      <x:c r="P263" s="987" t="str">
        <x:f>IF(COUNTA($A263:$M263)=0,"",IF(OR(LEFT(LOWER(TRIM($F263&amp;"")),12)="subscription",LOWER(TRIM($F263&amp;""))="membership"),"",IF(LOWER($L263&amp;"")="yes",0,IF(OR(AND($H263&lt;&gt;"",$H263=0),LEFT(LOWER(TRIM($F263&amp;"")),9)="free game",LOWER(TRIM($F263&amp;""))="free",LOWER(TRIM($F263&amp;""))="free entry"),IF(LOWER($D263&amp;"")="finalized",IF(ISNUMBER($K263),$K263,""),IF($O263&lt;&gt;"",$O263,"")),IF($K263&lt;&gt;"",$K263,IF($O263&lt;&gt;"",$O263,""))))))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IF(COUNTA($A263:$M263)=0,"",IF(OR(LEFT(LOWER(TRIM($F263&amp;"")),12)="subscription",LOWER(TRIM($F263&amp;""))="membership"),"Subscription",IF(OR(AND($H263&lt;&gt;"",$H263=0),LEFT(LOWER(TRIM($F263&amp;"")),9)="free game",LOWER(TRIM($F263&amp;""))="free",LOWER(TRIM($F263&amp;""))="free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IF(COUNTA($A264:$M264)=0,"",IF(OR(LEFT(LOWER(TRIM($F264&amp;"")),12)="subscription",LOWER(TRIM($F264&amp;""))="membership"),"",IF($G264="","",IF(ISNUMBER(SEARCH("non",LOWER($E264&amp;""))),$G264*0.85,$G264))))</x:f>
      </x:c>
      <x:c r="O264" s="987" t="str">
        <x:f>IF(COUNTA($A264:$M264)=0,"",IF(OR(LEFT(LOWER(TRIM($F264&amp;"")),12)="subscription",LOWER(TRIM($F264&amp;""))="membership"),"",IF(OR($N264="",$I264="",$I264=0),"",IFERROR($N264/$I264,""))))</x:f>
      </x:c>
      <x:c r="P264" s="987" t="str">
        <x:f>IF(COUNTA($A264:$M264)=0,"",IF(OR(LEFT(LOWER(TRIM($F264&amp;"")),12)="subscription",LOWER(TRIM($F264&amp;""))="membership"),"",IF(LOWER($L264&amp;"")="yes",0,IF(OR(AND($H264&lt;&gt;"",$H264=0),LEFT(LOWER(TRIM($F264&amp;"")),9)="free game",LOWER(TRIM($F264&amp;""))="free",LOWER(TRIM($F264&amp;""))="free entry"),IF(LOWER($D264&amp;"")="finalized",IF(ISNUMBER($K264),$K264,""),IF($O264&lt;&gt;"",$O264,"")),IF($K264&lt;&gt;"",$K264,IF($O264&lt;&gt;"",$O264,""))))))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IF(COUNTA($A264:$M264)=0,"",IF(OR(LEFT(LOWER(TRIM($F264&amp;"")),12)="subscription",LOWER(TRIM($F264&amp;""))="membership"),"Subscription",IF(OR(AND($H264&lt;&gt;"",$H264=0),LEFT(LOWER(TRIM($F264&amp;"")),9)="free game",LOWER(TRIM($F264&amp;""))="free",LOWER(TRIM($F264&amp;""))="free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IF(COUNTA($A265:$M265)=0,"",IF(OR(LEFT(LOWER(TRIM($F265&amp;"")),12)="subscription",LOWER(TRIM($F265&amp;""))="membership"),"",IF($G265="","",IF(ISNUMBER(SEARCH("non",LOWER($E265&amp;""))),$G265*0.85,$G265))))</x:f>
      </x:c>
      <x:c r="O265" s="987" t="str">
        <x:f>IF(COUNTA($A265:$M265)=0,"",IF(OR(LEFT(LOWER(TRIM($F265&amp;"")),12)="subscription",LOWER(TRIM($F265&amp;""))="membership"),"",IF(OR($N265="",$I265="",$I265=0),"",IFERROR($N265/$I265,""))))</x:f>
      </x:c>
      <x:c r="P265" s="987" t="str">
        <x:f>IF(COUNTA($A265:$M265)=0,"",IF(OR(LEFT(LOWER(TRIM($F265&amp;"")),12)="subscription",LOWER(TRIM($F265&amp;""))="membership"),"",IF(LOWER($L265&amp;"")="yes",0,IF(OR(AND($H265&lt;&gt;"",$H265=0),LEFT(LOWER(TRIM($F265&amp;"")),9)="free game",LOWER(TRIM($F265&amp;""))="free",LOWER(TRIM($F265&amp;""))="free entry"),IF(LOWER($D265&amp;"")="finalized",IF(ISNUMBER($K265),$K265,""),IF($O265&lt;&gt;"",$O265,"")),IF($K265&lt;&gt;"",$K265,IF($O265&lt;&gt;"",$O265,""))))))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IF(COUNTA($A265:$M265)=0,"",IF(OR(LEFT(LOWER(TRIM($F265&amp;"")),12)="subscription",LOWER(TRIM($F265&amp;""))="membership"),"Subscription",IF(OR(AND($H265&lt;&gt;"",$H265=0),LEFT(LOWER(TRIM($F265&amp;"")),9)="free game",LOWER(TRIM($F265&amp;""))="free",LOWER(TRIM($F265&amp;""))="free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IF(COUNTA($A266:$M266)=0,"",IF(OR(LEFT(LOWER(TRIM($F266&amp;"")),12)="subscription",LOWER(TRIM($F266&amp;""))="membership"),"",IF($G266="","",IF(ISNUMBER(SEARCH("non",LOWER($E266&amp;""))),$G266*0.85,$G266))))</x:f>
      </x:c>
      <x:c r="O266" s="987" t="str">
        <x:f>IF(COUNTA($A266:$M266)=0,"",IF(OR(LEFT(LOWER(TRIM($F266&amp;"")),12)="subscription",LOWER(TRIM($F266&amp;""))="membership"),"",IF(OR($N266="",$I266="",$I266=0),"",IFERROR($N266/$I266,""))))</x:f>
      </x:c>
      <x:c r="P266" s="987" t="str">
        <x:f>IF(COUNTA($A266:$M266)=0,"",IF(OR(LEFT(LOWER(TRIM($F266&amp;"")),12)="subscription",LOWER(TRIM($F266&amp;""))="membership"),"",IF(LOWER($L266&amp;"")="yes",0,IF(OR(AND($H266&lt;&gt;"",$H266=0),LEFT(LOWER(TRIM($F266&amp;"")),9)="free game",LOWER(TRIM($F266&amp;""))="free",LOWER(TRIM($F266&amp;""))="free entry"),IF(LOWER($D266&amp;"")="finalized",IF(ISNUMBER($K266),$K266,""),IF($O266&lt;&gt;"",$O266,"")),IF($K266&lt;&gt;"",$K266,IF($O266&lt;&gt;"",$O266,""))))))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IF(COUNTA($A266:$M266)=0,"",IF(OR(LEFT(LOWER(TRIM($F266&amp;"")),12)="subscription",LOWER(TRIM($F266&amp;""))="membership"),"Subscription",IF(OR(AND($H266&lt;&gt;"",$H266=0),LEFT(LOWER(TRIM($F266&amp;"")),9)="free game",LOWER(TRIM($F266&amp;""))="free",LOWER(TRIM($F266&amp;""))="free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IF(COUNTA($A267:$M267)=0,"",IF(OR(LEFT(LOWER(TRIM($F267&amp;"")),12)="subscription",LOWER(TRIM($F267&amp;""))="membership"),"",IF($G267="","",IF(ISNUMBER(SEARCH("non",LOWER($E267&amp;""))),$G267*0.85,$G267))))</x:f>
      </x:c>
      <x:c r="O267" s="987" t="str">
        <x:f>IF(COUNTA($A267:$M267)=0,"",IF(OR(LEFT(LOWER(TRIM($F267&amp;"")),12)="subscription",LOWER(TRIM($F267&amp;""))="membership"),"",IF(OR($N267="",$I267="",$I267=0),"",IFERROR($N267/$I267,""))))</x:f>
      </x:c>
      <x:c r="P267" s="987" t="str">
        <x:f>IF(COUNTA($A267:$M267)=0,"",IF(OR(LEFT(LOWER(TRIM($F267&amp;"")),12)="subscription",LOWER(TRIM($F267&amp;""))="membership"),"",IF(LOWER($L267&amp;"")="yes",0,IF(OR(AND($H267&lt;&gt;"",$H267=0),LEFT(LOWER(TRIM($F267&amp;"")),9)="free game",LOWER(TRIM($F267&amp;""))="free",LOWER(TRIM($F267&amp;""))="free entry"),IF(LOWER($D267&amp;"")="finalized",IF(ISNUMBER($K267),$K267,""),IF($O267&lt;&gt;"",$O267,"")),IF($K267&lt;&gt;"",$K267,IF($O267&lt;&gt;"",$O267,""))))))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IF(COUNTA($A267:$M267)=0,"",IF(OR(LEFT(LOWER(TRIM($F267&amp;"")),12)="subscription",LOWER(TRIM($F267&amp;""))="membership"),"Subscription",IF(OR(AND($H267&lt;&gt;"",$H267=0),LEFT(LOWER(TRIM($F267&amp;"")),9)="free game",LOWER(TRIM($F267&amp;""))="free",LOWER(TRIM($F267&amp;""))="free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IF(COUNTA($A268:$M268)=0,"",IF(OR(LEFT(LOWER(TRIM($F268&amp;"")),12)="subscription",LOWER(TRIM($F268&amp;""))="membership"),"",IF($G268="","",IF(ISNUMBER(SEARCH("non",LOWER($E268&amp;""))),$G268*0.85,$G268))))</x:f>
      </x:c>
      <x:c r="O268" s="987" t="str">
        <x:f>IF(COUNTA($A268:$M268)=0,"",IF(OR(LEFT(LOWER(TRIM($F268&amp;"")),12)="subscription",LOWER(TRIM($F268&amp;""))="membership"),"",IF(OR($N268="",$I268="",$I268=0),"",IFERROR($N268/$I268,""))))</x:f>
      </x:c>
      <x:c r="P268" s="987" t="str">
        <x:f>IF(COUNTA($A268:$M268)=0,"",IF(OR(LEFT(LOWER(TRIM($F268&amp;"")),12)="subscription",LOWER(TRIM($F268&amp;""))="membership"),"",IF(LOWER($L268&amp;"")="yes",0,IF(OR(AND($H268&lt;&gt;"",$H268=0),LEFT(LOWER(TRIM($F268&amp;"")),9)="free game",LOWER(TRIM($F268&amp;""))="free",LOWER(TRIM($F268&amp;""))="free entry"),IF(LOWER($D268&amp;"")="finalized",IF(ISNUMBER($K268),$K268,""),IF($O268&lt;&gt;"",$O268,"")),IF($K268&lt;&gt;"",$K268,IF($O268&lt;&gt;"",$O268,""))))))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IF(COUNTA($A268:$M268)=0,"",IF(OR(LEFT(LOWER(TRIM($F268&amp;"")),12)="subscription",LOWER(TRIM($F268&amp;""))="membership"),"Subscription",IF(OR(AND($H268&lt;&gt;"",$H268=0),LEFT(LOWER(TRIM($F268&amp;"")),9)="free game",LOWER(TRIM($F268&amp;""))="free",LOWER(TRIM($F268&amp;""))="free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IF(COUNTA($A269:$M269)=0,"",IF(OR(LEFT(LOWER(TRIM($F269&amp;"")),12)="subscription",LOWER(TRIM($F269&amp;""))="membership"),"",IF($G269="","",IF(ISNUMBER(SEARCH("non",LOWER($E269&amp;""))),$G269*0.85,$G269))))</x:f>
      </x:c>
      <x:c r="O269" s="987" t="str">
        <x:f>IF(COUNTA($A269:$M269)=0,"",IF(OR(LEFT(LOWER(TRIM($F269&amp;"")),12)="subscription",LOWER(TRIM($F269&amp;""))="membership"),"",IF(OR($N269="",$I269="",$I269=0),"",IFERROR($N269/$I269,""))))</x:f>
      </x:c>
      <x:c r="P269" s="987" t="str">
        <x:f>IF(COUNTA($A269:$M269)=0,"",IF(OR(LEFT(LOWER(TRIM($F269&amp;"")),12)="subscription",LOWER(TRIM($F269&amp;""))="membership"),"",IF(LOWER($L269&amp;"")="yes",0,IF(OR(AND($H269&lt;&gt;"",$H269=0),LEFT(LOWER(TRIM($F269&amp;"")),9)="free game",LOWER(TRIM($F269&amp;""))="free",LOWER(TRIM($F269&amp;""))="free entry"),IF(LOWER($D269&amp;"")="finalized",IF(ISNUMBER($K269),$K269,""),IF($O269&lt;&gt;"",$O269,"")),IF($K269&lt;&gt;"",$K269,IF($O269&lt;&gt;"",$O269,""))))))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IF(COUNTA($A269:$M269)=0,"",IF(OR(LEFT(LOWER(TRIM($F269&amp;"")),12)="subscription",LOWER(TRIM($F269&amp;""))="membership"),"Subscription",IF(OR(AND($H269&lt;&gt;"",$H269=0),LEFT(LOWER(TRIM($F269&amp;"")),9)="free game",LOWER(TRIM($F269&amp;""))="free",LOWER(TRIM($F269&amp;""))="free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IF(COUNTA($A270:$M270)=0,"",IF(OR(LEFT(LOWER(TRIM($F270&amp;"")),12)="subscription",LOWER(TRIM($F270&amp;""))="membership"),"",IF($G270="","",IF(ISNUMBER(SEARCH("non",LOWER($E270&amp;""))),$G270*0.85,$G270))))</x:f>
      </x:c>
      <x:c r="O270" s="987" t="str">
        <x:f>IF(COUNTA($A270:$M270)=0,"",IF(OR(LEFT(LOWER(TRIM($F270&amp;"")),12)="subscription",LOWER(TRIM($F270&amp;""))="membership"),"",IF(OR($N270="",$I270="",$I270=0),"",IFERROR($N270/$I270,""))))</x:f>
      </x:c>
      <x:c r="P270" s="987" t="str">
        <x:f>IF(COUNTA($A270:$M270)=0,"",IF(OR(LEFT(LOWER(TRIM($F270&amp;"")),12)="subscription",LOWER(TRIM($F270&amp;""))="membership"),"",IF(LOWER($L270&amp;"")="yes",0,IF(OR(AND($H270&lt;&gt;"",$H270=0),LEFT(LOWER(TRIM($F270&amp;"")),9)="free game",LOWER(TRIM($F270&amp;""))="free",LOWER(TRIM($F270&amp;""))="free entry"),IF(LOWER($D270&amp;"")="finalized",IF(ISNUMBER($K270),$K270,""),IF($O270&lt;&gt;"",$O270,"")),IF($K270&lt;&gt;"",$K270,IF($O270&lt;&gt;"",$O270,""))))))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IF(COUNTA($A270:$M270)=0,"",IF(OR(LEFT(LOWER(TRIM($F270&amp;"")),12)="subscription",LOWER(TRIM($F270&amp;""))="membership"),"Subscription",IF(OR(AND($H270&lt;&gt;"",$H270=0),LEFT(LOWER(TRIM($F270&amp;"")),9)="free game",LOWER(TRIM($F270&amp;""))="free",LOWER(TRIM($F270&amp;""))="free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IF(COUNTA($A271:$M271)=0,"",IF(OR(LEFT(LOWER(TRIM($F271&amp;"")),12)="subscription",LOWER(TRIM($F271&amp;""))="membership"),"",IF($G271="","",IF(ISNUMBER(SEARCH("non",LOWER($E271&amp;""))),$G271*0.85,$G271))))</x:f>
      </x:c>
      <x:c r="O271" s="987" t="str">
        <x:f>IF(COUNTA($A271:$M271)=0,"",IF(OR(LEFT(LOWER(TRIM($F271&amp;"")),12)="subscription",LOWER(TRIM($F271&amp;""))="membership"),"",IF(OR($N271="",$I271="",$I271=0),"",IFERROR($N271/$I271,""))))</x:f>
      </x:c>
      <x:c r="P271" s="987" t="str">
        <x:f>IF(COUNTA($A271:$M271)=0,"",IF(OR(LEFT(LOWER(TRIM($F271&amp;"")),12)="subscription",LOWER(TRIM($F271&amp;""))="membership"),"",IF(LOWER($L271&amp;"")="yes",0,IF(OR(AND($H271&lt;&gt;"",$H271=0),LEFT(LOWER(TRIM($F271&amp;"")),9)="free game",LOWER(TRIM($F271&amp;""))="free",LOWER(TRIM($F271&amp;""))="free entry"),IF(LOWER($D271&amp;"")="finalized",IF(ISNUMBER($K271),$K271,""),IF($O271&lt;&gt;"",$O271,"")),IF($K271&lt;&gt;"",$K271,IF($O271&lt;&gt;"",$O271,""))))))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IF(COUNTA($A271:$M271)=0,"",IF(OR(LEFT(LOWER(TRIM($F271&amp;"")),12)="subscription",LOWER(TRIM($F271&amp;""))="membership"),"Subscription",IF(OR(AND($H271&lt;&gt;"",$H271=0),LEFT(LOWER(TRIM($F271&amp;"")),9)="free game",LOWER(TRIM($F271&amp;""))="free",LOWER(TRIM($F271&amp;""))="free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IF(COUNTA($A272:$M272)=0,"",IF(OR(LEFT(LOWER(TRIM($F272&amp;"")),12)="subscription",LOWER(TRIM($F272&amp;""))="membership"),"",IF($G272="","",IF(ISNUMBER(SEARCH("non",LOWER($E272&amp;""))),$G272*0.85,$G272))))</x:f>
      </x:c>
      <x:c r="O272" s="987" t="str">
        <x:f>IF(COUNTA($A272:$M272)=0,"",IF(OR(LEFT(LOWER(TRIM($F272&amp;"")),12)="subscription",LOWER(TRIM($F272&amp;""))="membership"),"",IF(OR($N272="",$I272="",$I272=0),"",IFERROR($N272/$I272,""))))</x:f>
      </x:c>
      <x:c r="P272" s="987" t="str">
        <x:f>IF(COUNTA($A272:$M272)=0,"",IF(OR(LEFT(LOWER(TRIM($F272&amp;"")),12)="subscription",LOWER(TRIM($F272&amp;""))="membership"),"",IF(LOWER($L272&amp;"")="yes",0,IF(OR(AND($H272&lt;&gt;"",$H272=0),LEFT(LOWER(TRIM($F272&amp;"")),9)="free game",LOWER(TRIM($F272&amp;""))="free",LOWER(TRIM($F272&amp;""))="free entry"),IF(LOWER($D272&amp;"")="finalized",IF(ISNUMBER($K272),$K272,""),IF($O272&lt;&gt;"",$O272,"")),IF($K272&lt;&gt;"",$K272,IF($O272&lt;&gt;"",$O272,""))))))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IF(COUNTA($A272:$M272)=0,"",IF(OR(LEFT(LOWER(TRIM($F272&amp;"")),12)="subscription",LOWER(TRIM($F272&amp;""))="membership"),"Subscription",IF(OR(AND($H272&lt;&gt;"",$H272=0),LEFT(LOWER(TRIM($F272&amp;"")),9)="free game",LOWER(TRIM($F272&amp;""))="free",LOWER(TRIM($F272&amp;""))="free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IF(COUNTA($A273:$M273)=0,"",IF(OR(LEFT(LOWER(TRIM($F273&amp;"")),12)="subscription",LOWER(TRIM($F273&amp;""))="membership"),"",IF($G273="","",IF(ISNUMBER(SEARCH("non",LOWER($E273&amp;""))),$G273*0.85,$G273))))</x:f>
      </x:c>
      <x:c r="O273" s="987" t="str">
        <x:f>IF(COUNTA($A273:$M273)=0,"",IF(OR(LEFT(LOWER(TRIM($F273&amp;"")),12)="subscription",LOWER(TRIM($F273&amp;""))="membership"),"",IF(OR($N273="",$I273="",$I273=0),"",IFERROR($N273/$I273,""))))</x:f>
      </x:c>
      <x:c r="P273" s="987" t="str">
        <x:f>IF(COUNTA($A273:$M273)=0,"",IF(OR(LEFT(LOWER(TRIM($F273&amp;"")),12)="subscription",LOWER(TRIM($F273&amp;""))="membership"),"",IF(LOWER($L273&amp;"")="yes",0,IF(OR(AND($H273&lt;&gt;"",$H273=0),LEFT(LOWER(TRIM($F273&amp;"")),9)="free game",LOWER(TRIM($F273&amp;""))="free",LOWER(TRIM($F273&amp;""))="free entry"),IF(LOWER($D273&amp;"")="finalized",IF(ISNUMBER($K273),$K273,""),IF($O273&lt;&gt;"",$O273,"")),IF($K273&lt;&gt;"",$K273,IF($O273&lt;&gt;"",$O273,""))))))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IF(COUNTA($A273:$M273)=0,"",IF(OR(LEFT(LOWER(TRIM($F273&amp;"")),12)="subscription",LOWER(TRIM($F273&amp;""))="membership"),"Subscription",IF(OR(AND($H273&lt;&gt;"",$H273=0),LEFT(LOWER(TRIM($F273&amp;"")),9)="free game",LOWER(TRIM($F273&amp;""))="free",LOWER(TRIM($F273&amp;""))="free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IF(COUNTA($A274:$M274)=0,"",IF(OR(LEFT(LOWER(TRIM($F274&amp;"")),12)="subscription",LOWER(TRIM($F274&amp;""))="membership"),"",IF($G274="","",IF(ISNUMBER(SEARCH("non",LOWER($E274&amp;""))),$G274*0.85,$G274))))</x:f>
      </x:c>
      <x:c r="O274" s="987" t="str">
        <x:f>IF(COUNTA($A274:$M274)=0,"",IF(OR(LEFT(LOWER(TRIM($F274&amp;"")),12)="subscription",LOWER(TRIM($F274&amp;""))="membership"),"",IF(OR($N274="",$I274="",$I274=0),"",IFERROR($N274/$I274,""))))</x:f>
      </x:c>
      <x:c r="P274" s="987" t="str">
        <x:f>IF(COUNTA($A274:$M274)=0,"",IF(OR(LEFT(LOWER(TRIM($F274&amp;"")),12)="subscription",LOWER(TRIM($F274&amp;""))="membership"),"",IF(LOWER($L274&amp;"")="yes",0,IF(OR(AND($H274&lt;&gt;"",$H274=0),LEFT(LOWER(TRIM($F274&amp;"")),9)="free game",LOWER(TRIM($F274&amp;""))="free",LOWER(TRIM($F274&amp;""))="free entry"),IF(LOWER($D274&amp;"")="finalized",IF(ISNUMBER($K274),$K274,""),IF($O274&lt;&gt;"",$O274,"")),IF($K274&lt;&gt;"",$K274,IF($O274&lt;&gt;"",$O274,""))))))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IF(COUNTA($A274:$M274)=0,"",IF(OR(LEFT(LOWER(TRIM($F274&amp;"")),12)="subscription",LOWER(TRIM($F274&amp;""))="membership"),"Subscription",IF(OR(AND($H274&lt;&gt;"",$H274=0),LEFT(LOWER(TRIM($F274&amp;"")),9)="free game",LOWER(TRIM($F274&amp;""))="free",LOWER(TRIM($F274&amp;""))="free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IF(COUNTA($A275:$M275)=0,"",IF(OR(LEFT(LOWER(TRIM($F275&amp;"")),12)="subscription",LOWER(TRIM($F275&amp;""))="membership"),"",IF($G275="","",IF(ISNUMBER(SEARCH("non",LOWER($E275&amp;""))),$G275*0.85,$G275))))</x:f>
      </x:c>
      <x:c r="O275" s="987" t="str">
        <x:f>IF(COUNTA($A275:$M275)=0,"",IF(OR(LEFT(LOWER(TRIM($F275&amp;"")),12)="subscription",LOWER(TRIM($F275&amp;""))="membership"),"",IF(OR($N275="",$I275="",$I275=0),"",IFERROR($N275/$I275,""))))</x:f>
      </x:c>
      <x:c r="P275" s="987" t="str">
        <x:f>IF(COUNTA($A275:$M275)=0,"",IF(OR(LEFT(LOWER(TRIM($F275&amp;"")),12)="subscription",LOWER(TRIM($F275&amp;""))="membership"),"",IF(LOWER($L275&amp;"")="yes",0,IF(OR(AND($H275&lt;&gt;"",$H275=0),LEFT(LOWER(TRIM($F275&amp;"")),9)="free game",LOWER(TRIM($F275&amp;""))="free",LOWER(TRIM($F275&amp;""))="free entry"),IF(LOWER($D275&amp;"")="finalized",IF(ISNUMBER($K275),$K275,""),IF($O275&lt;&gt;"",$O275,"")),IF($K275&lt;&gt;"",$K275,IF($O275&lt;&gt;"",$O275,""))))))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IF(COUNTA($A275:$M275)=0,"",IF(OR(LEFT(LOWER(TRIM($F275&amp;"")),12)="subscription",LOWER(TRIM($F275&amp;""))="membership"),"Subscription",IF(OR(AND($H275&lt;&gt;"",$H275=0),LEFT(LOWER(TRIM($F275&amp;"")),9)="free game",LOWER(TRIM($F275&amp;""))="free",LOWER(TRIM($F275&amp;""))="free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IF(COUNTA($A276:$M276)=0,"",IF(OR(LEFT(LOWER(TRIM($F276&amp;"")),12)="subscription",LOWER(TRIM($F276&amp;""))="membership"),"",IF($G276="","",IF(ISNUMBER(SEARCH("non",LOWER($E276&amp;""))),$G276*0.85,$G276))))</x:f>
      </x:c>
      <x:c r="O276" s="987" t="str">
        <x:f>IF(COUNTA($A276:$M276)=0,"",IF(OR(LEFT(LOWER(TRIM($F276&amp;"")),12)="subscription",LOWER(TRIM($F276&amp;""))="membership"),"",IF(OR($N276="",$I276="",$I276=0),"",IFERROR($N276/$I276,""))))</x:f>
      </x:c>
      <x:c r="P276" s="987" t="str">
        <x:f>IF(COUNTA($A276:$M276)=0,"",IF(OR(LEFT(LOWER(TRIM($F276&amp;"")),12)="subscription",LOWER(TRIM($F276&amp;""))="membership"),"",IF(LOWER($L276&amp;"")="yes",0,IF(OR(AND($H276&lt;&gt;"",$H276=0),LEFT(LOWER(TRIM($F276&amp;"")),9)="free game",LOWER(TRIM($F276&amp;""))="free",LOWER(TRIM($F276&amp;""))="free entry"),IF(LOWER($D276&amp;"")="finalized",IF(ISNUMBER($K276),$K276,""),IF($O276&lt;&gt;"",$O276,"")),IF($K276&lt;&gt;"",$K276,IF($O276&lt;&gt;"",$O276,""))))))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IF(COUNTA($A276:$M276)=0,"",IF(OR(LEFT(LOWER(TRIM($F276&amp;"")),12)="subscription",LOWER(TRIM($F276&amp;""))="membership"),"Subscription",IF(OR(AND($H276&lt;&gt;"",$H276=0),LEFT(LOWER(TRIM($F276&amp;"")),9)="free game",LOWER(TRIM($F276&amp;""))="free",LOWER(TRIM($F276&amp;""))="free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IF(COUNTA($A277:$M277)=0,"",IF(OR(LEFT(LOWER(TRIM($F277&amp;"")),12)="subscription",LOWER(TRIM($F277&amp;""))="membership"),"",IF($G277="","",IF(ISNUMBER(SEARCH("non",LOWER($E277&amp;""))),$G277*0.85,$G277))))</x:f>
      </x:c>
      <x:c r="O277" s="987" t="str">
        <x:f>IF(COUNTA($A277:$M277)=0,"",IF(OR(LEFT(LOWER(TRIM($F277&amp;"")),12)="subscription",LOWER(TRIM($F277&amp;""))="membership"),"",IF(OR($N277="",$I277="",$I277=0),"",IFERROR($N277/$I277,""))))</x:f>
      </x:c>
      <x:c r="P277" s="987" t="str">
        <x:f>IF(COUNTA($A277:$M277)=0,"",IF(OR(LEFT(LOWER(TRIM($F277&amp;"")),12)="subscription",LOWER(TRIM($F277&amp;""))="membership"),"",IF(LOWER($L277&amp;"")="yes",0,IF(OR(AND($H277&lt;&gt;"",$H277=0),LEFT(LOWER(TRIM($F277&amp;"")),9)="free game",LOWER(TRIM($F277&amp;""))="free",LOWER(TRIM($F277&amp;""))="free entry"),IF(LOWER($D277&amp;"")="finalized",IF(ISNUMBER($K277),$K277,""),IF($O277&lt;&gt;"",$O277,"")),IF($K277&lt;&gt;"",$K277,IF($O277&lt;&gt;"",$O277,""))))))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IF(COUNTA($A277:$M277)=0,"",IF(OR(LEFT(LOWER(TRIM($F277&amp;"")),12)="subscription",LOWER(TRIM($F277&amp;""))="membership"),"Subscription",IF(OR(AND($H277&lt;&gt;"",$H277=0),LEFT(LOWER(TRIM($F277&amp;"")),9)="free game",LOWER(TRIM($F277&amp;""))="free",LOWER(TRIM($F277&amp;""))="free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IF(COUNTA($A278:$M278)=0,"",IF(OR(LEFT(LOWER(TRIM($F278&amp;"")),12)="subscription",LOWER(TRIM($F278&amp;""))="membership"),"",IF($G278="","",IF(ISNUMBER(SEARCH("non",LOWER($E278&amp;""))),$G278*0.85,$G278))))</x:f>
      </x:c>
      <x:c r="O278" s="987" t="str">
        <x:f>IF(COUNTA($A278:$M278)=0,"",IF(OR(LEFT(LOWER(TRIM($F278&amp;"")),12)="subscription",LOWER(TRIM($F278&amp;""))="membership"),"",IF(OR($N278="",$I278="",$I278=0),"",IFERROR($N278/$I278,""))))</x:f>
      </x:c>
      <x:c r="P278" s="987" t="str">
        <x:f>IF(COUNTA($A278:$M278)=0,"",IF(OR(LEFT(LOWER(TRIM($F278&amp;"")),12)="subscription",LOWER(TRIM($F278&amp;""))="membership"),"",IF(LOWER($L278&amp;"")="yes",0,IF(OR(AND($H278&lt;&gt;"",$H278=0),LEFT(LOWER(TRIM($F278&amp;"")),9)="free game",LOWER(TRIM($F278&amp;""))="free",LOWER(TRIM($F278&amp;""))="free entry"),IF(LOWER($D278&amp;"")="finalized",IF(ISNUMBER($K278),$K278,""),IF($O278&lt;&gt;"",$O278,"")),IF($K278&lt;&gt;"",$K278,IF($O278&lt;&gt;"",$O278,""))))))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IF(COUNTA($A278:$M278)=0,"",IF(OR(LEFT(LOWER(TRIM($F278&amp;"")),12)="subscription",LOWER(TRIM($F278&amp;""))="membership"),"Subscription",IF(OR(AND($H278&lt;&gt;"",$H278=0),LEFT(LOWER(TRIM($F278&amp;"")),9)="free game",LOWER(TRIM($F278&amp;""))="free",LOWER(TRIM($F278&amp;""))="free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IF(COUNTA($A279:$M279)=0,"",IF(OR(LEFT(LOWER(TRIM($F279&amp;"")),12)="subscription",LOWER(TRIM($F279&amp;""))="membership"),"",IF($G279="","",IF(ISNUMBER(SEARCH("non",LOWER($E279&amp;""))),$G279*0.85,$G279))))</x:f>
      </x:c>
      <x:c r="O279" s="987" t="str">
        <x:f>IF(COUNTA($A279:$M279)=0,"",IF(OR(LEFT(LOWER(TRIM($F279&amp;"")),12)="subscription",LOWER(TRIM($F279&amp;""))="membership"),"",IF(OR($N279="",$I279="",$I279=0),"",IFERROR($N279/$I279,""))))</x:f>
      </x:c>
      <x:c r="P279" s="987" t="str">
        <x:f>IF(COUNTA($A279:$M279)=0,"",IF(OR(LEFT(LOWER(TRIM($F279&amp;"")),12)="subscription",LOWER(TRIM($F279&amp;""))="membership"),"",IF(LOWER($L279&amp;"")="yes",0,IF(OR(AND($H279&lt;&gt;"",$H279=0),LEFT(LOWER(TRIM($F279&amp;"")),9)="free game",LOWER(TRIM($F279&amp;""))="free",LOWER(TRIM($F279&amp;""))="free entry"),IF(LOWER($D279&amp;"")="finalized",IF(ISNUMBER($K279),$K279,""),IF($O279&lt;&gt;"",$O279,"")),IF($K279&lt;&gt;"",$K279,IF($O279&lt;&gt;"",$O279,""))))))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IF(COUNTA($A279:$M279)=0,"",IF(OR(LEFT(LOWER(TRIM($F279&amp;"")),12)="subscription",LOWER(TRIM($F279&amp;""))="membership"),"Subscription",IF(OR(AND($H279&lt;&gt;"",$H279=0),LEFT(LOWER(TRIM($F279&amp;"")),9)="free game",LOWER(TRIM($F279&amp;""))="free",LOWER(TRIM($F279&amp;""))="free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IF(COUNTA($A280:$M280)=0,"",IF(OR(LEFT(LOWER(TRIM($F280&amp;"")),12)="subscription",LOWER(TRIM($F280&amp;""))="membership"),"",IF($G280="","",IF(ISNUMBER(SEARCH("non",LOWER($E280&amp;""))),$G280*0.85,$G280))))</x:f>
      </x:c>
      <x:c r="O280" s="987" t="str">
        <x:f>IF(COUNTA($A280:$M280)=0,"",IF(OR(LEFT(LOWER(TRIM($F280&amp;"")),12)="subscription",LOWER(TRIM($F280&amp;""))="membership"),"",IF(OR($N280="",$I280="",$I280=0),"",IFERROR($N280/$I280,""))))</x:f>
      </x:c>
      <x:c r="P280" s="987" t="str">
        <x:f>IF(COUNTA($A280:$M280)=0,"",IF(OR(LEFT(LOWER(TRIM($F280&amp;"")),12)="subscription",LOWER(TRIM($F280&amp;""))="membership"),"",IF(LOWER($L280&amp;"")="yes",0,IF(OR(AND($H280&lt;&gt;"",$H280=0),LEFT(LOWER(TRIM($F280&amp;"")),9)="free game",LOWER(TRIM($F280&amp;""))="free",LOWER(TRIM($F280&amp;""))="free entry"),IF(LOWER($D280&amp;"")="finalized",IF(ISNUMBER($K280),$K280,""),IF($O280&lt;&gt;"",$O280,"")),IF($K280&lt;&gt;"",$K280,IF($O280&lt;&gt;"",$O280,""))))))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IF(COUNTA($A280:$M280)=0,"",IF(OR(LEFT(LOWER(TRIM($F280&amp;"")),12)="subscription",LOWER(TRIM($F280&amp;""))="membership"),"Subscription",IF(OR(AND($H280&lt;&gt;"",$H280=0),LEFT(LOWER(TRIM($F280&amp;"")),9)="free game",LOWER(TRIM($F280&amp;""))="free",LOWER(TRIM($F280&amp;""))="free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IF(COUNTA($A281:$M281)=0,"",IF(OR(LEFT(LOWER(TRIM($F281&amp;"")),12)="subscription",LOWER(TRIM($F281&amp;""))="membership"),"",IF($G281="","",IF(ISNUMBER(SEARCH("non",LOWER($E281&amp;""))),$G281*0.85,$G281))))</x:f>
      </x:c>
      <x:c r="O281" s="987" t="str">
        <x:f>IF(COUNTA($A281:$M281)=0,"",IF(OR(LEFT(LOWER(TRIM($F281&amp;"")),12)="subscription",LOWER(TRIM($F281&amp;""))="membership"),"",IF(OR($N281="",$I281="",$I281=0),"",IFERROR($N281/$I281,""))))</x:f>
      </x:c>
      <x:c r="P281" s="987" t="str">
        <x:f>IF(COUNTA($A281:$M281)=0,"",IF(OR(LEFT(LOWER(TRIM($F281&amp;"")),12)="subscription",LOWER(TRIM($F281&amp;""))="membership"),"",IF(LOWER($L281&amp;"")="yes",0,IF(OR(AND($H281&lt;&gt;"",$H281=0),LEFT(LOWER(TRIM($F281&amp;"")),9)="free game",LOWER(TRIM($F281&amp;""))="free",LOWER(TRIM($F281&amp;""))="free entry"),IF(LOWER($D281&amp;"")="finalized",IF(ISNUMBER($K281),$K281,""),IF($O281&lt;&gt;"",$O281,"")),IF($K281&lt;&gt;"",$K281,IF($O281&lt;&gt;"",$O281,""))))))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IF(COUNTA($A281:$M281)=0,"",IF(OR(LEFT(LOWER(TRIM($F281&amp;"")),12)="subscription",LOWER(TRIM($F281&amp;""))="membership"),"Subscription",IF(OR(AND($H281&lt;&gt;"",$H281=0),LEFT(LOWER(TRIM($F281&amp;"")),9)="free game",LOWER(TRIM($F281&amp;""))="free",LOWER(TRIM($F281&amp;""))="free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IF(COUNTA($A282:$M282)=0,"",IF(OR(LEFT(LOWER(TRIM($F282&amp;"")),12)="subscription",LOWER(TRIM($F282&amp;""))="membership"),"",IF($G282="","",IF(ISNUMBER(SEARCH("non",LOWER($E282&amp;""))),$G282*0.85,$G282))))</x:f>
      </x:c>
      <x:c r="O282" s="987" t="str">
        <x:f>IF(COUNTA($A282:$M282)=0,"",IF(OR(LEFT(LOWER(TRIM($F282&amp;"")),12)="subscription",LOWER(TRIM($F282&amp;""))="membership"),"",IF(OR($N282="",$I282="",$I282=0),"",IFERROR($N282/$I282,""))))</x:f>
      </x:c>
      <x:c r="P282" s="987" t="str">
        <x:f>IF(COUNTA($A282:$M282)=0,"",IF(OR(LEFT(LOWER(TRIM($F282&amp;"")),12)="subscription",LOWER(TRIM($F282&amp;""))="membership"),"",IF(LOWER($L282&amp;"")="yes",0,IF(OR(AND($H282&lt;&gt;"",$H282=0),LEFT(LOWER(TRIM($F282&amp;"")),9)="free game",LOWER(TRIM($F282&amp;""))="free",LOWER(TRIM($F282&amp;""))="free entry"),IF(LOWER($D282&amp;"")="finalized",IF(ISNUMBER($K282),$K282,""),IF($O282&lt;&gt;"",$O282,"")),IF($K282&lt;&gt;"",$K282,IF($O282&lt;&gt;"",$O282,""))))))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IF(COUNTA($A282:$M282)=0,"",IF(OR(LEFT(LOWER(TRIM($F282&amp;"")),12)="subscription",LOWER(TRIM($F282&amp;""))="membership"),"Subscription",IF(OR(AND($H282&lt;&gt;"",$H282=0),LEFT(LOWER(TRIM($F282&amp;"")),9)="free game",LOWER(TRIM($F282&amp;""))="free",LOWER(TRIM($F282&amp;""))="free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IF(COUNTA($A283:$M283)=0,"",IF(OR(LEFT(LOWER(TRIM($F283&amp;"")),12)="subscription",LOWER(TRIM($F283&amp;""))="membership"),"",IF($G283="","",IF(ISNUMBER(SEARCH("non",LOWER($E283&amp;""))),$G283*0.85,$G283))))</x:f>
      </x:c>
      <x:c r="O283" s="987" t="str">
        <x:f>IF(COUNTA($A283:$M283)=0,"",IF(OR(LEFT(LOWER(TRIM($F283&amp;"")),12)="subscription",LOWER(TRIM($F283&amp;""))="membership"),"",IF(OR($N283="",$I283="",$I283=0),"",IFERROR($N283/$I283,""))))</x:f>
      </x:c>
      <x:c r="P283" s="987" t="str">
        <x:f>IF(COUNTA($A283:$M283)=0,"",IF(OR(LEFT(LOWER(TRIM($F283&amp;"")),12)="subscription",LOWER(TRIM($F283&amp;""))="membership"),"",IF(LOWER($L283&amp;"")="yes",0,IF(OR(AND($H283&lt;&gt;"",$H283=0),LEFT(LOWER(TRIM($F283&amp;"")),9)="free game",LOWER(TRIM($F283&amp;""))="free",LOWER(TRIM($F283&amp;""))="free entry"),IF(LOWER($D283&amp;"")="finalized",IF(ISNUMBER($K283),$K283,""),IF($O283&lt;&gt;"",$O283,"")),IF($K283&lt;&gt;"",$K283,IF($O283&lt;&gt;"",$O283,""))))))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IF(COUNTA($A283:$M283)=0,"",IF(OR(LEFT(LOWER(TRIM($F283&amp;"")),12)="subscription",LOWER(TRIM($F283&amp;""))="membership"),"Subscription",IF(OR(AND($H283&lt;&gt;"",$H283=0),LEFT(LOWER(TRIM($F283&amp;"")),9)="free game",LOWER(TRIM($F283&amp;""))="free",LOWER(TRIM($F283&amp;""))="free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IF(COUNTA($A284:$M284)=0,"",IF(OR(LEFT(LOWER(TRIM($F284&amp;"")),12)="subscription",LOWER(TRIM($F284&amp;""))="membership"),"",IF($G284="","",IF(ISNUMBER(SEARCH("non",LOWER($E284&amp;""))),$G284*0.85,$G284))))</x:f>
      </x:c>
      <x:c r="O284" s="987" t="str">
        <x:f>IF(COUNTA($A284:$M284)=0,"",IF(OR(LEFT(LOWER(TRIM($F284&amp;"")),12)="subscription",LOWER(TRIM($F284&amp;""))="membership"),"",IF(OR($N284="",$I284="",$I284=0),"",IFERROR($N284/$I284,""))))</x:f>
      </x:c>
      <x:c r="P284" s="987" t="str">
        <x:f>IF(COUNTA($A284:$M284)=0,"",IF(OR(LEFT(LOWER(TRIM($F284&amp;"")),12)="subscription",LOWER(TRIM($F284&amp;""))="membership"),"",IF(LOWER($L284&amp;"")="yes",0,IF(OR(AND($H284&lt;&gt;"",$H284=0),LEFT(LOWER(TRIM($F284&amp;"")),9)="free game",LOWER(TRIM($F284&amp;""))="free",LOWER(TRIM($F284&amp;""))="free entry"),IF(LOWER($D284&amp;"")="finalized",IF(ISNUMBER($K284),$K284,""),IF($O284&lt;&gt;"",$O284,"")),IF($K284&lt;&gt;"",$K284,IF($O284&lt;&gt;"",$O284,""))))))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IF(COUNTA($A284:$M284)=0,"",IF(OR(LEFT(LOWER(TRIM($F284&amp;"")),12)="subscription",LOWER(TRIM($F284&amp;""))="membership"),"Subscription",IF(OR(AND($H284&lt;&gt;"",$H284=0),LEFT(LOWER(TRIM($F284&amp;"")),9)="free game",LOWER(TRIM($F284&amp;""))="free",LOWER(TRIM($F284&amp;""))="free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IF(COUNTA($A285:$M285)=0,"",IF(OR(LEFT(LOWER(TRIM($F285&amp;"")),12)="subscription",LOWER(TRIM($F285&amp;""))="membership"),"",IF($G285="","",IF(ISNUMBER(SEARCH("non",LOWER($E285&amp;""))),$G285*0.85,$G285))))</x:f>
      </x:c>
      <x:c r="O285" s="987" t="str">
        <x:f>IF(COUNTA($A285:$M285)=0,"",IF(OR(LEFT(LOWER(TRIM($F285&amp;"")),12)="subscription",LOWER(TRIM($F285&amp;""))="membership"),"",IF(OR($N285="",$I285="",$I285=0),"",IFERROR($N285/$I285,""))))</x:f>
      </x:c>
      <x:c r="P285" s="987" t="str">
        <x:f>IF(COUNTA($A285:$M285)=0,"",IF(OR(LEFT(LOWER(TRIM($F285&amp;"")),12)="subscription",LOWER(TRIM($F285&amp;""))="membership"),"",IF(LOWER($L285&amp;"")="yes",0,IF(OR(AND($H285&lt;&gt;"",$H285=0),LEFT(LOWER(TRIM($F285&amp;"")),9)="free game",LOWER(TRIM($F285&amp;""))="free",LOWER(TRIM($F285&amp;""))="free entry"),IF(LOWER($D285&amp;"")="finalized",IF(ISNUMBER($K285),$K285,""),IF($O285&lt;&gt;"",$O285,"")),IF($K285&lt;&gt;"",$K285,IF($O285&lt;&gt;"",$O285,""))))))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IF(COUNTA($A285:$M285)=0,"",IF(OR(LEFT(LOWER(TRIM($F285&amp;"")),12)="subscription",LOWER(TRIM($F285&amp;""))="membership"),"Subscription",IF(OR(AND($H285&lt;&gt;"",$H285=0),LEFT(LOWER(TRIM($F285&amp;"")),9)="free game",LOWER(TRIM($F285&amp;""))="free",LOWER(TRIM($F285&amp;""))="free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IF(COUNTA($A286:$M286)=0,"",IF(OR(LEFT(LOWER(TRIM($F286&amp;"")),12)="subscription",LOWER(TRIM($F286&amp;""))="membership"),"",IF($G286="","",IF(ISNUMBER(SEARCH("non",LOWER($E286&amp;""))),$G286*0.85,$G286))))</x:f>
      </x:c>
      <x:c r="O286" s="987" t="str">
        <x:f>IF(COUNTA($A286:$M286)=0,"",IF(OR(LEFT(LOWER(TRIM($F286&amp;"")),12)="subscription",LOWER(TRIM($F286&amp;""))="membership"),"",IF(OR($N286="",$I286="",$I286=0),"",IFERROR($N286/$I286,""))))</x:f>
      </x:c>
      <x:c r="P286" s="987" t="str">
        <x:f>IF(COUNTA($A286:$M286)=0,"",IF(OR(LEFT(LOWER(TRIM($F286&amp;"")),12)="subscription",LOWER(TRIM($F286&amp;""))="membership"),"",IF(LOWER($L286&amp;"")="yes",0,IF(OR(AND($H286&lt;&gt;"",$H286=0),LEFT(LOWER(TRIM($F286&amp;"")),9)="free game",LOWER(TRIM($F286&amp;""))="free",LOWER(TRIM($F286&amp;""))="free entry"),IF(LOWER($D286&amp;"")="finalized",IF(ISNUMBER($K286),$K286,""),IF($O286&lt;&gt;"",$O286,"")),IF($K286&lt;&gt;"",$K286,IF($O286&lt;&gt;"",$O286,""))))))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IF(COUNTA($A286:$M286)=0,"",IF(OR(LEFT(LOWER(TRIM($F286&amp;"")),12)="subscription",LOWER(TRIM($F286&amp;""))="membership"),"Subscription",IF(OR(AND($H286&lt;&gt;"",$H286=0),LEFT(LOWER(TRIM($F286&amp;"")),9)="free game",LOWER(TRIM($F286&amp;""))="free",LOWER(TRIM($F286&amp;""))="free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IF(COUNTA($A287:$M287)=0,"",IF(OR(LEFT(LOWER(TRIM($F287&amp;"")),12)="subscription",LOWER(TRIM($F287&amp;""))="membership"),"",IF($G287="","",IF(ISNUMBER(SEARCH("non",LOWER($E287&amp;""))),$G287*0.85,$G287))))</x:f>
      </x:c>
      <x:c r="O287" s="987" t="str">
        <x:f>IF(COUNTA($A287:$M287)=0,"",IF(OR(LEFT(LOWER(TRIM($F287&amp;"")),12)="subscription",LOWER(TRIM($F287&amp;""))="membership"),"",IF(OR($N287="",$I287="",$I287=0),"",IFERROR($N287/$I287,""))))</x:f>
      </x:c>
      <x:c r="P287" s="987" t="str">
        <x:f>IF(COUNTA($A287:$M287)=0,"",IF(OR(LEFT(LOWER(TRIM($F287&amp;"")),12)="subscription",LOWER(TRIM($F287&amp;""))="membership"),"",IF(LOWER($L287&amp;"")="yes",0,IF(OR(AND($H287&lt;&gt;"",$H287=0),LEFT(LOWER(TRIM($F287&amp;"")),9)="free game",LOWER(TRIM($F287&amp;""))="free",LOWER(TRIM($F287&amp;""))="free entry"),IF(LOWER($D287&amp;"")="finalized",IF(ISNUMBER($K287),$K287,""),IF($O287&lt;&gt;"",$O287,"")),IF($K287&lt;&gt;"",$K287,IF($O287&lt;&gt;"",$O287,""))))))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IF(COUNTA($A287:$M287)=0,"",IF(OR(LEFT(LOWER(TRIM($F287&amp;"")),12)="subscription",LOWER(TRIM($F287&amp;""))="membership"),"Subscription",IF(OR(AND($H287&lt;&gt;"",$H287=0),LEFT(LOWER(TRIM($F287&amp;"")),9)="free game",LOWER(TRIM($F287&amp;""))="free",LOWER(TRIM($F287&amp;""))="free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IF(COUNTA($A288:$M288)=0,"",IF(OR(LEFT(LOWER(TRIM($F288&amp;"")),12)="subscription",LOWER(TRIM($F288&amp;""))="membership"),"",IF($G288="","",IF(ISNUMBER(SEARCH("non",LOWER($E288&amp;""))),$G288*0.85,$G288))))</x:f>
      </x:c>
      <x:c r="O288" s="987" t="str">
        <x:f>IF(COUNTA($A288:$M288)=0,"",IF(OR(LEFT(LOWER(TRIM($F288&amp;"")),12)="subscription",LOWER(TRIM($F288&amp;""))="membership"),"",IF(OR($N288="",$I288="",$I288=0),"",IFERROR($N288/$I288,""))))</x:f>
      </x:c>
      <x:c r="P288" s="987" t="str">
        <x:f>IF(COUNTA($A288:$M288)=0,"",IF(OR(LEFT(LOWER(TRIM($F288&amp;"")),12)="subscription",LOWER(TRIM($F288&amp;""))="membership"),"",IF(LOWER($L288&amp;"")="yes",0,IF(OR(AND($H288&lt;&gt;"",$H288=0),LEFT(LOWER(TRIM($F288&amp;"")),9)="free game",LOWER(TRIM($F288&amp;""))="free",LOWER(TRIM($F288&amp;""))="free entry"),IF(LOWER($D288&amp;"")="finalized",IF(ISNUMBER($K288),$K288,""),IF($O288&lt;&gt;"",$O288,"")),IF($K288&lt;&gt;"",$K288,IF($O288&lt;&gt;"",$O288,""))))))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IF(COUNTA($A288:$M288)=0,"",IF(OR(LEFT(LOWER(TRIM($F288&amp;"")),12)="subscription",LOWER(TRIM($F288&amp;""))="membership"),"Subscription",IF(OR(AND($H288&lt;&gt;"",$H288=0),LEFT(LOWER(TRIM($F288&amp;"")),9)="free game",LOWER(TRIM($F288&amp;""))="free",LOWER(TRIM($F288&amp;""))="free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IF(COUNTA($A289:$M289)=0,"",IF(OR(LEFT(LOWER(TRIM($F289&amp;"")),12)="subscription",LOWER(TRIM($F289&amp;""))="membership"),"",IF($G289="","",IF(ISNUMBER(SEARCH("non",LOWER($E289&amp;""))),$G289*0.85,$G289))))</x:f>
      </x:c>
      <x:c r="O289" s="987" t="str">
        <x:f>IF(COUNTA($A289:$M289)=0,"",IF(OR(LEFT(LOWER(TRIM($F289&amp;"")),12)="subscription",LOWER(TRIM($F289&amp;""))="membership"),"",IF(OR($N289="",$I289="",$I289=0),"",IFERROR($N289/$I289,""))))</x:f>
      </x:c>
      <x:c r="P289" s="987" t="str">
        <x:f>IF(COUNTA($A289:$M289)=0,"",IF(OR(LEFT(LOWER(TRIM($F289&amp;"")),12)="subscription",LOWER(TRIM($F289&amp;""))="membership"),"",IF(LOWER($L289&amp;"")="yes",0,IF(OR(AND($H289&lt;&gt;"",$H289=0),LEFT(LOWER(TRIM($F289&amp;"")),9)="free game",LOWER(TRIM($F289&amp;""))="free",LOWER(TRIM($F289&amp;""))="free entry"),IF(LOWER($D289&amp;"")="finalized",IF(ISNUMBER($K289),$K289,""),IF($O289&lt;&gt;"",$O289,"")),IF($K289&lt;&gt;"",$K289,IF($O289&lt;&gt;"",$O289,""))))))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IF(COUNTA($A289:$M289)=0,"",IF(OR(LEFT(LOWER(TRIM($F289&amp;"")),12)="subscription",LOWER(TRIM($F289&amp;""))="membership"),"Subscription",IF(OR(AND($H289&lt;&gt;"",$H289=0),LEFT(LOWER(TRIM($F289&amp;"")),9)="free game",LOWER(TRIM($F289&amp;""))="free",LOWER(TRIM($F289&amp;""))="free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IF(COUNTA($A290:$M290)=0,"",IF(OR(LEFT(LOWER(TRIM($F290&amp;"")),12)="subscription",LOWER(TRIM($F290&amp;""))="membership"),"",IF($G290="","",IF(ISNUMBER(SEARCH("non",LOWER($E290&amp;""))),$G290*0.85,$G290))))</x:f>
      </x:c>
      <x:c r="O290" s="987" t="str">
        <x:f>IF(COUNTA($A290:$M290)=0,"",IF(OR(LEFT(LOWER(TRIM($F290&amp;"")),12)="subscription",LOWER(TRIM($F290&amp;""))="membership"),"",IF(OR($N290="",$I290="",$I290=0),"",IFERROR($N290/$I290,""))))</x:f>
      </x:c>
      <x:c r="P290" s="987" t="str">
        <x:f>IF(COUNTA($A290:$M290)=0,"",IF(OR(LEFT(LOWER(TRIM($F290&amp;"")),12)="subscription",LOWER(TRIM($F290&amp;""))="membership"),"",IF(LOWER($L290&amp;"")="yes",0,IF(OR(AND($H290&lt;&gt;"",$H290=0),LEFT(LOWER(TRIM($F290&amp;"")),9)="free game",LOWER(TRIM($F290&amp;""))="free",LOWER(TRIM($F290&amp;""))="free entry"),IF(LOWER($D290&amp;"")="finalized",IF(ISNUMBER($K290),$K290,""),IF($O290&lt;&gt;"",$O290,"")),IF($K290&lt;&gt;"",$K290,IF($O290&lt;&gt;"",$O290,""))))))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IF(COUNTA($A290:$M290)=0,"",IF(OR(LEFT(LOWER(TRIM($F290&amp;"")),12)="subscription",LOWER(TRIM($F290&amp;""))="membership"),"Subscription",IF(OR(AND($H290&lt;&gt;"",$H290=0),LEFT(LOWER(TRIM($F290&amp;"")),9)="free game",LOWER(TRIM($F290&amp;""))="free",LOWER(TRIM($F290&amp;""))="free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IF(COUNTA($A291:$M291)=0,"",IF(OR(LEFT(LOWER(TRIM($F291&amp;"")),12)="subscription",LOWER(TRIM($F291&amp;""))="membership"),"",IF($G291="","",IF(ISNUMBER(SEARCH("non",LOWER($E291&amp;""))),$G291*0.85,$G291))))</x:f>
      </x:c>
      <x:c r="O291" s="987" t="str">
        <x:f>IF(COUNTA($A291:$M291)=0,"",IF(OR(LEFT(LOWER(TRIM($F291&amp;"")),12)="subscription",LOWER(TRIM($F291&amp;""))="membership"),"",IF(OR($N291="",$I291="",$I291=0),"",IFERROR($N291/$I291,""))))</x:f>
      </x:c>
      <x:c r="P291" s="987" t="str">
        <x:f>IF(COUNTA($A291:$M291)=0,"",IF(OR(LEFT(LOWER(TRIM($F291&amp;"")),12)="subscription",LOWER(TRIM($F291&amp;""))="membership"),"",IF(LOWER($L291&amp;"")="yes",0,IF(OR(AND($H291&lt;&gt;"",$H291=0),LEFT(LOWER(TRIM($F291&amp;"")),9)="free game",LOWER(TRIM($F291&amp;""))="free",LOWER(TRIM($F291&amp;""))="free entry"),IF(LOWER($D291&amp;"")="finalized",IF(ISNUMBER($K291),$K291,""),IF($O291&lt;&gt;"",$O291,"")),IF($K291&lt;&gt;"",$K291,IF($O291&lt;&gt;"",$O291,""))))))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IF(COUNTA($A291:$M291)=0,"",IF(OR(LEFT(LOWER(TRIM($F291&amp;"")),12)="subscription",LOWER(TRIM($F291&amp;""))="membership"),"Subscription",IF(OR(AND($H291&lt;&gt;"",$H291=0),LEFT(LOWER(TRIM($F291&amp;"")),9)="free game",LOWER(TRIM($F291&amp;""))="free",LOWER(TRIM($F291&amp;""))="free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IF(COUNTA($A292:$M292)=0,"",IF(OR(LEFT(LOWER(TRIM($F292&amp;"")),12)="subscription",LOWER(TRIM($F292&amp;""))="membership"),"",IF($G292="","",IF(ISNUMBER(SEARCH("non",LOWER($E292&amp;""))),$G292*0.85,$G292))))</x:f>
      </x:c>
      <x:c r="O292" s="987" t="str">
        <x:f>IF(COUNTA($A292:$M292)=0,"",IF(OR(LEFT(LOWER(TRIM($F292&amp;"")),12)="subscription",LOWER(TRIM($F292&amp;""))="membership"),"",IF(OR($N292="",$I292="",$I292=0),"",IFERROR($N292/$I292,""))))</x:f>
      </x:c>
      <x:c r="P292" s="987" t="str">
        <x:f>IF(COUNTA($A292:$M292)=0,"",IF(OR(LEFT(LOWER(TRIM($F292&amp;"")),12)="subscription",LOWER(TRIM($F292&amp;""))="membership"),"",IF(LOWER($L292&amp;"")="yes",0,IF(OR(AND($H292&lt;&gt;"",$H292=0),LEFT(LOWER(TRIM($F292&amp;"")),9)="free game",LOWER(TRIM($F292&amp;""))="free",LOWER(TRIM($F292&amp;""))="free entry"),IF(LOWER($D292&amp;"")="finalized",IF(ISNUMBER($K292),$K292,""),IF($O292&lt;&gt;"",$O292,"")),IF($K292&lt;&gt;"",$K292,IF($O292&lt;&gt;"",$O292,""))))))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IF(COUNTA($A292:$M292)=0,"",IF(OR(LEFT(LOWER(TRIM($F292&amp;"")),12)="subscription",LOWER(TRIM($F292&amp;""))="membership"),"Subscription",IF(OR(AND($H292&lt;&gt;"",$H292=0),LEFT(LOWER(TRIM($F292&amp;"")),9)="free game",LOWER(TRIM($F292&amp;""))="free",LOWER(TRIM($F292&amp;""))="free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IF(COUNTA($A293:$M293)=0,"",IF(OR(LEFT(LOWER(TRIM($F293&amp;"")),12)="subscription",LOWER(TRIM($F293&amp;""))="membership"),"",IF($G293="","",IF(ISNUMBER(SEARCH("non",LOWER($E293&amp;""))),$G293*0.85,$G293))))</x:f>
      </x:c>
      <x:c r="O293" s="987" t="str">
        <x:f>IF(COUNTA($A293:$M293)=0,"",IF(OR(LEFT(LOWER(TRIM($F293&amp;"")),12)="subscription",LOWER(TRIM($F293&amp;""))="membership"),"",IF(OR($N293="",$I293="",$I293=0),"",IFERROR($N293/$I293,""))))</x:f>
      </x:c>
      <x:c r="P293" s="987" t="str">
        <x:f>IF(COUNTA($A293:$M293)=0,"",IF(OR(LEFT(LOWER(TRIM($F293&amp;"")),12)="subscription",LOWER(TRIM($F293&amp;""))="membership"),"",IF(LOWER($L293&amp;"")="yes",0,IF(OR(AND($H293&lt;&gt;"",$H293=0),LEFT(LOWER(TRIM($F293&amp;"")),9)="free game",LOWER(TRIM($F293&amp;""))="free",LOWER(TRIM($F293&amp;""))="free entry"),IF(LOWER($D293&amp;"")="finalized",IF(ISNUMBER($K293),$K293,""),IF($O293&lt;&gt;"",$O293,"")),IF($K293&lt;&gt;"",$K293,IF($O293&lt;&gt;"",$O293,""))))))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IF(COUNTA($A293:$M293)=0,"",IF(OR(LEFT(LOWER(TRIM($F293&amp;"")),12)="subscription",LOWER(TRIM($F293&amp;""))="membership"),"Subscription",IF(OR(AND($H293&lt;&gt;"",$H293=0),LEFT(LOWER(TRIM($F293&amp;"")),9)="free game",LOWER(TRIM($F293&amp;""))="free",LOWER(TRIM($F293&amp;""))="free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IF(COUNTA($A294:$M294)=0,"",IF(OR(LEFT(LOWER(TRIM($F294&amp;"")),12)="subscription",LOWER(TRIM($F294&amp;""))="membership"),"",IF($G294="","",IF(ISNUMBER(SEARCH("non",LOWER($E294&amp;""))),$G294*0.85,$G294))))</x:f>
      </x:c>
      <x:c r="O294" s="987" t="str">
        <x:f>IF(COUNTA($A294:$M294)=0,"",IF(OR(LEFT(LOWER(TRIM($F294&amp;"")),12)="subscription",LOWER(TRIM($F294&amp;""))="membership"),"",IF(OR($N294="",$I294="",$I294=0),"",IFERROR($N294/$I294,""))))</x:f>
      </x:c>
      <x:c r="P294" s="987" t="str">
        <x:f>IF(COUNTA($A294:$M294)=0,"",IF(OR(LEFT(LOWER(TRIM($F294&amp;"")),12)="subscription",LOWER(TRIM($F294&amp;""))="membership"),"",IF(LOWER($L294&amp;"")="yes",0,IF(OR(AND($H294&lt;&gt;"",$H294=0),LEFT(LOWER(TRIM($F294&amp;"")),9)="free game",LOWER(TRIM($F294&amp;""))="free",LOWER(TRIM($F294&amp;""))="free entry"),IF(LOWER($D294&amp;"")="finalized",IF(ISNUMBER($K294),$K294,""),IF($O294&lt;&gt;"",$O294,"")),IF($K294&lt;&gt;"",$K294,IF($O294&lt;&gt;"",$O294,""))))))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IF(COUNTA($A294:$M294)=0,"",IF(OR(LEFT(LOWER(TRIM($F294&amp;"")),12)="subscription",LOWER(TRIM($F294&amp;""))="membership"),"Subscription",IF(OR(AND($H294&lt;&gt;"",$H294=0),LEFT(LOWER(TRIM($F294&amp;"")),9)="free game",LOWER(TRIM($F294&amp;""))="free",LOWER(TRIM($F294&amp;""))="free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IF(COUNTA($A295:$M295)=0,"",IF(OR(LEFT(LOWER(TRIM($F295&amp;"")),12)="subscription",LOWER(TRIM($F295&amp;""))="membership"),"",IF($G295="","",IF(ISNUMBER(SEARCH("non",LOWER($E295&amp;""))),$G295*0.85,$G295))))</x:f>
      </x:c>
      <x:c r="O295" s="987" t="str">
        <x:f>IF(COUNTA($A295:$M295)=0,"",IF(OR(LEFT(LOWER(TRIM($F295&amp;"")),12)="subscription",LOWER(TRIM($F295&amp;""))="membership"),"",IF(OR($N295="",$I295="",$I295=0),"",IFERROR($N295/$I295,""))))</x:f>
      </x:c>
      <x:c r="P295" s="987" t="str">
        <x:f>IF(COUNTA($A295:$M295)=0,"",IF(OR(LEFT(LOWER(TRIM($F295&amp;"")),12)="subscription",LOWER(TRIM($F295&amp;""))="membership"),"",IF(LOWER($L295&amp;"")="yes",0,IF(OR(AND($H295&lt;&gt;"",$H295=0),LEFT(LOWER(TRIM($F295&amp;"")),9)="free game",LOWER(TRIM($F295&amp;""))="free",LOWER(TRIM($F295&amp;""))="free entry"),IF(LOWER($D295&amp;"")="finalized",IF(ISNUMBER($K295),$K295,""),IF($O295&lt;&gt;"",$O295,"")),IF($K295&lt;&gt;"",$K295,IF($O295&lt;&gt;"",$O295,""))))))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IF(COUNTA($A295:$M295)=0,"",IF(OR(LEFT(LOWER(TRIM($F295&amp;"")),12)="subscription",LOWER(TRIM($F295&amp;""))="membership"),"Subscription",IF(OR(AND($H295&lt;&gt;"",$H295=0),LEFT(LOWER(TRIM($F295&amp;"")),9)="free game",LOWER(TRIM($F295&amp;""))="free",LOWER(TRIM($F295&amp;""))="free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IF(COUNTA($A296:$M296)=0,"",IF(OR(LEFT(LOWER(TRIM($F296&amp;"")),12)="subscription",LOWER(TRIM($F296&amp;""))="membership"),"",IF($G296="","",IF(ISNUMBER(SEARCH("non",LOWER($E296&amp;""))),$G296*0.85,$G296))))</x:f>
      </x:c>
      <x:c r="O296" s="987" t="str">
        <x:f>IF(COUNTA($A296:$M296)=0,"",IF(OR(LEFT(LOWER(TRIM($F296&amp;"")),12)="subscription",LOWER(TRIM($F296&amp;""))="membership"),"",IF(OR($N296="",$I296="",$I296=0),"",IFERROR($N296/$I296,""))))</x:f>
      </x:c>
      <x:c r="P296" s="987" t="str">
        <x:f>IF(COUNTA($A296:$M296)=0,"",IF(OR(LEFT(LOWER(TRIM($F296&amp;"")),12)="subscription",LOWER(TRIM($F296&amp;""))="membership"),"",IF(LOWER($L296&amp;"")="yes",0,IF(OR(AND($H296&lt;&gt;"",$H296=0),LEFT(LOWER(TRIM($F296&amp;"")),9)="free game",LOWER(TRIM($F296&amp;""))="free",LOWER(TRIM($F296&amp;""))="free entry"),IF(LOWER($D296&amp;"")="finalized",IF(ISNUMBER($K296),$K296,""),IF($O296&lt;&gt;"",$O296,"")),IF($K296&lt;&gt;"",$K296,IF($O296&lt;&gt;"",$O296,""))))))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IF(COUNTA($A296:$M296)=0,"",IF(OR(LEFT(LOWER(TRIM($F296&amp;"")),12)="subscription",LOWER(TRIM($F296&amp;""))="membership"),"Subscription",IF(OR(AND($H296&lt;&gt;"",$H296=0),LEFT(LOWER(TRIM($F296&amp;"")),9)="free game",LOWER(TRIM($F296&amp;""))="free",LOWER(TRIM($F296&amp;""))="free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IF(COUNTA($A297:$M297)=0,"",IF(OR(LEFT(LOWER(TRIM($F297&amp;"")),12)="subscription",LOWER(TRIM($F297&amp;""))="membership"),"",IF($G297="","",IF(ISNUMBER(SEARCH("non",LOWER($E297&amp;""))),$G297*0.85,$G297))))</x:f>
      </x:c>
      <x:c r="O297" s="987" t="str">
        <x:f>IF(COUNTA($A297:$M297)=0,"",IF(OR(LEFT(LOWER(TRIM($F297&amp;"")),12)="subscription",LOWER(TRIM($F297&amp;""))="membership"),"",IF(OR($N297="",$I297="",$I297=0),"",IFERROR($N297/$I297,""))))</x:f>
      </x:c>
      <x:c r="P297" s="987" t="str">
        <x:f>IF(COUNTA($A297:$M297)=0,"",IF(OR(LEFT(LOWER(TRIM($F297&amp;"")),12)="subscription",LOWER(TRIM($F297&amp;""))="membership"),"",IF(LOWER($L297&amp;"")="yes",0,IF(OR(AND($H297&lt;&gt;"",$H297=0),LEFT(LOWER(TRIM($F297&amp;"")),9)="free game",LOWER(TRIM($F297&amp;""))="free",LOWER(TRIM($F297&amp;""))="free entry"),IF(LOWER($D297&amp;"")="finalized",IF(ISNUMBER($K297),$K297,""),IF($O297&lt;&gt;"",$O297,"")),IF($K297&lt;&gt;"",$K297,IF($O297&lt;&gt;"",$O297,""))))))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IF(COUNTA($A297:$M297)=0,"",IF(OR(LEFT(LOWER(TRIM($F297&amp;"")),12)="subscription",LOWER(TRIM($F297&amp;""))="membership"),"Subscription",IF(OR(AND($H297&lt;&gt;"",$H297=0),LEFT(LOWER(TRIM($F297&amp;"")),9)="free game",LOWER(TRIM($F297&amp;""))="free",LOWER(TRIM($F297&amp;""))="free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IF(COUNTA($A298:$M298)=0,"",IF(OR(LEFT(LOWER(TRIM($F298&amp;"")),12)="subscription",LOWER(TRIM($F298&amp;""))="membership"),"",IF($G298="","",IF(ISNUMBER(SEARCH("non",LOWER($E298&amp;""))),$G298*0.85,$G298))))</x:f>
      </x:c>
      <x:c r="O298" s="987" t="str">
        <x:f>IF(COUNTA($A298:$M298)=0,"",IF(OR(LEFT(LOWER(TRIM($F298&amp;"")),12)="subscription",LOWER(TRIM($F298&amp;""))="membership"),"",IF(OR($N298="",$I298="",$I298=0),"",IFERROR($N298/$I298,""))))</x:f>
      </x:c>
      <x:c r="P298" s="987" t="str">
        <x:f>IF(COUNTA($A298:$M298)=0,"",IF(OR(LEFT(LOWER(TRIM($F298&amp;"")),12)="subscription",LOWER(TRIM($F298&amp;""))="membership"),"",IF(LOWER($L298&amp;"")="yes",0,IF(OR(AND($H298&lt;&gt;"",$H298=0),LEFT(LOWER(TRIM($F298&amp;"")),9)="free game",LOWER(TRIM($F298&amp;""))="free",LOWER(TRIM($F298&amp;""))="free entry"),IF(LOWER($D298&amp;"")="finalized",IF(ISNUMBER($K298),$K298,""),IF($O298&lt;&gt;"",$O298,"")),IF($K298&lt;&gt;"",$K298,IF($O298&lt;&gt;"",$O298,""))))))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IF(COUNTA($A298:$M298)=0,"",IF(OR(LEFT(LOWER(TRIM($F298&amp;"")),12)="subscription",LOWER(TRIM($F298&amp;""))="membership"),"Subscription",IF(OR(AND($H298&lt;&gt;"",$H298=0),LEFT(LOWER(TRIM($F298&amp;"")),9)="free game",LOWER(TRIM($F298&amp;""))="free",LOWER(TRIM($F298&amp;""))="free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IF(COUNTA($A299:$M299)=0,"",IF(OR(LEFT(LOWER(TRIM($F299&amp;"")),12)="subscription",LOWER(TRIM($F299&amp;""))="membership"),"",IF($G299="","",IF(ISNUMBER(SEARCH("non",LOWER($E299&amp;""))),$G299*0.85,$G299))))</x:f>
      </x:c>
      <x:c r="O299" s="987" t="str">
        <x:f>IF(COUNTA($A299:$M299)=0,"",IF(OR(LEFT(LOWER(TRIM($F299&amp;"")),12)="subscription",LOWER(TRIM($F299&amp;""))="membership"),"",IF(OR($N299="",$I299="",$I299=0),"",IFERROR($N299/$I299,""))))</x:f>
      </x:c>
      <x:c r="P299" s="987" t="str">
        <x:f>IF(COUNTA($A299:$M299)=0,"",IF(OR(LEFT(LOWER(TRIM($F299&amp;"")),12)="subscription",LOWER(TRIM($F299&amp;""))="membership"),"",IF(LOWER($L299&amp;"")="yes",0,IF(OR(AND($H299&lt;&gt;"",$H299=0),LEFT(LOWER(TRIM($F299&amp;"")),9)="free game",LOWER(TRIM($F299&amp;""))="free",LOWER(TRIM($F299&amp;""))="free entry"),IF(LOWER($D299&amp;"")="finalized",IF(ISNUMBER($K299),$K299,""),IF($O299&lt;&gt;"",$O299,"")),IF($K299&lt;&gt;"",$K299,IF($O299&lt;&gt;"",$O299,""))))))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IF(COUNTA($A299:$M299)=0,"",IF(OR(LEFT(LOWER(TRIM($F299&amp;"")),12)="subscription",LOWER(TRIM($F299&amp;""))="membership"),"Subscription",IF(OR(AND($H299&lt;&gt;"",$H299=0),LEFT(LOWER(TRIM($F299&amp;"")),9)="free game",LOWER(TRIM($F299&amp;""))="free",LOWER(TRIM($F299&amp;""))="free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IF(COUNTA($A300:$M300)=0,"",IF(OR(LEFT(LOWER(TRIM($F300&amp;"")),12)="subscription",LOWER(TRIM($F300&amp;""))="membership"),"",IF($G300="","",IF(ISNUMBER(SEARCH("non",LOWER($E300&amp;""))),$G300*0.85,$G300))))</x:f>
      </x:c>
      <x:c r="O300" s="987" t="str">
        <x:f>IF(COUNTA($A300:$M300)=0,"",IF(OR(LEFT(LOWER(TRIM($F300&amp;"")),12)="subscription",LOWER(TRIM($F300&amp;""))="membership"),"",IF(OR($N300="",$I300="",$I300=0),"",IFERROR($N300/$I300,""))))</x:f>
      </x:c>
      <x:c r="P300" s="987" t="str">
        <x:f>IF(COUNTA($A300:$M300)=0,"",IF(OR(LEFT(LOWER(TRIM($F300&amp;"")),12)="subscription",LOWER(TRIM($F300&amp;""))="membership"),"",IF(LOWER($L300&amp;"")="yes",0,IF(OR(AND($H300&lt;&gt;"",$H300=0),LEFT(LOWER(TRIM($F300&amp;"")),9)="free game",LOWER(TRIM($F300&amp;""))="free",LOWER(TRIM($F300&amp;""))="free entry"),IF(LOWER($D300&amp;"")="finalized",IF(ISNUMBER($K300),$K300,""),IF($O300&lt;&gt;"",$O300,"")),IF($K300&lt;&gt;"",$K300,IF($O300&lt;&gt;"",$O300,""))))))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IF(COUNTA($A300:$M300)=0,"",IF(OR(LEFT(LOWER(TRIM($F300&amp;"")),12)="subscription",LOWER(TRIM($F300&amp;""))="membership"),"Subscription",IF(OR(AND($H300&lt;&gt;"",$H300=0),LEFT(LOWER(TRIM($F300&amp;"")),9)="free game",LOWER(TRIM($F300&amp;""))="free",LOWER(TRIM($F300&amp;""))="free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IF(COUNTA($A301:$M301)=0,"",IF(OR(LEFT(LOWER(TRIM($F301&amp;"")),12)="subscription",LOWER(TRIM($F301&amp;""))="membership"),"",IF($G301="","",IF(ISNUMBER(SEARCH("non",LOWER($E301&amp;""))),$G301*0.85,$G301))))</x:f>
      </x:c>
      <x:c r="O301" s="987" t="str">
        <x:f>IF(COUNTA($A301:$M301)=0,"",IF(OR(LEFT(LOWER(TRIM($F301&amp;"")),12)="subscription",LOWER(TRIM($F301&amp;""))="membership"),"",IF(OR($N301="",$I301="",$I301=0),"",IFERROR($N301/$I301,""))))</x:f>
      </x:c>
      <x:c r="P301" s="987" t="str">
        <x:f>IF(COUNTA($A301:$M301)=0,"",IF(OR(LEFT(LOWER(TRIM($F301&amp;"")),12)="subscription",LOWER(TRIM($F301&amp;""))="membership"),"",IF(LOWER($L301&amp;"")="yes",0,IF(OR(AND($H301&lt;&gt;"",$H301=0),LEFT(LOWER(TRIM($F301&amp;"")),9)="free game",LOWER(TRIM($F301&amp;""))="free",LOWER(TRIM($F301&amp;""))="free entry"),IF(LOWER($D301&amp;"")="finalized",IF(ISNUMBER($K301),$K301,""),IF($O301&lt;&gt;"",$O301,"")),IF($K301&lt;&gt;"",$K301,IF($O301&lt;&gt;"",$O301,""))))))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IF(COUNTA($A301:$M301)=0,"",IF(OR(LEFT(LOWER(TRIM($F301&amp;"")),12)="subscription",LOWER(TRIM($F301&amp;""))="membership"),"Subscription",IF(OR(AND($H301&lt;&gt;"",$H301=0),LEFT(LOWER(TRIM($F301&amp;"")),9)="free game",LOWER(TRIM($F301&amp;""))="free",LOWER(TRIM($F301&amp;""))="free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IF(COUNTA($A302:$M302)=0,"",IF(OR(LEFT(LOWER(TRIM($F302&amp;"")),12)="subscription",LOWER(TRIM($F302&amp;""))="membership"),"",IF($G302="","",IF(ISNUMBER(SEARCH("non",LOWER($E302&amp;""))),$G302*0.85,$G302))))</x:f>
      </x:c>
      <x:c r="O302" s="987" t="str">
        <x:f>IF(COUNTA($A302:$M302)=0,"",IF(OR(LEFT(LOWER(TRIM($F302&amp;"")),12)="subscription",LOWER(TRIM($F302&amp;""))="membership"),"",IF(OR($N302="",$I302="",$I302=0),"",IFERROR($N302/$I302,""))))</x:f>
      </x:c>
      <x:c r="P302" s="987" t="str">
        <x:f>IF(COUNTA($A302:$M302)=0,"",IF(OR(LEFT(LOWER(TRIM($F302&amp;"")),12)="subscription",LOWER(TRIM($F302&amp;""))="membership"),"",IF(LOWER($L302&amp;"")="yes",0,IF(OR(AND($H302&lt;&gt;"",$H302=0),LEFT(LOWER(TRIM($F302&amp;"")),9)="free game",LOWER(TRIM($F302&amp;""))="free",LOWER(TRIM($F302&amp;""))="free entry"),IF(LOWER($D302&amp;"")="finalized",IF(ISNUMBER($K302),$K302,""),IF($O302&lt;&gt;"",$O302,"")),IF($K302&lt;&gt;"",$K302,IF($O302&lt;&gt;"",$O302,""))))))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IF(COUNTA($A302:$M302)=0,"",IF(OR(LEFT(LOWER(TRIM($F302&amp;"")),12)="subscription",LOWER(TRIM($F302&amp;""))="membership"),"Subscription",IF(OR(AND($H302&lt;&gt;"",$H302=0),LEFT(LOWER(TRIM($F302&amp;"")),9)="free game",LOWER(TRIM($F302&amp;""))="free",LOWER(TRIM($F302&amp;""))="free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IF(COUNTA($A303:$M303)=0,"",IF(OR(LEFT(LOWER(TRIM($F303&amp;"")),12)="subscription",LOWER(TRIM($F303&amp;""))="membership"),"",IF($G303="","",IF(ISNUMBER(SEARCH("non",LOWER($E303&amp;""))),$G303*0.85,$G303))))</x:f>
      </x:c>
      <x:c r="O303" s="987" t="str">
        <x:f>IF(COUNTA($A303:$M303)=0,"",IF(OR(LEFT(LOWER(TRIM($F303&amp;"")),12)="subscription",LOWER(TRIM($F303&amp;""))="membership"),"",IF(OR($N303="",$I303="",$I303=0),"",IFERROR($N303/$I303,""))))</x:f>
      </x:c>
      <x:c r="P303" s="987" t="str">
        <x:f>IF(COUNTA($A303:$M303)=0,"",IF(OR(LEFT(LOWER(TRIM($F303&amp;"")),12)="subscription",LOWER(TRIM($F303&amp;""))="membership"),"",IF(LOWER($L303&amp;"")="yes",0,IF(OR(AND($H303&lt;&gt;"",$H303=0),LEFT(LOWER(TRIM($F303&amp;"")),9)="free game",LOWER(TRIM($F303&amp;""))="free",LOWER(TRIM($F303&amp;""))="free entry"),IF(LOWER($D303&amp;"")="finalized",IF(ISNUMBER($K303),$K303,""),IF($O303&lt;&gt;"",$O303,"")),IF($K303&lt;&gt;"",$K303,IF($O303&lt;&gt;"",$O303,""))))))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IF(COUNTA($A303:$M303)=0,"",IF(OR(LEFT(LOWER(TRIM($F303&amp;"")),12)="subscription",LOWER(TRIM($F303&amp;""))="membership"),"Subscription",IF(OR(AND($H303&lt;&gt;"",$H303=0),LEFT(LOWER(TRIM($F303&amp;"")),9)="free game",LOWER(TRIM($F303&amp;""))="free",LOWER(TRIM($F303&amp;""))="free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IF(COUNTA($A304:$M304)=0,"",IF(OR(LEFT(LOWER(TRIM($F304&amp;"")),12)="subscription",LOWER(TRIM($F304&amp;""))="membership"),"",IF($G304="","",IF(ISNUMBER(SEARCH("non",LOWER($E304&amp;""))),$G304*0.85,$G304))))</x:f>
      </x:c>
      <x:c r="O304" s="987" t="str">
        <x:f>IF(COUNTA($A304:$M304)=0,"",IF(OR(LEFT(LOWER(TRIM($F304&amp;"")),12)="subscription",LOWER(TRIM($F304&amp;""))="membership"),"",IF(OR($N304="",$I304="",$I304=0),"",IFERROR($N304/$I304,""))))</x:f>
      </x:c>
      <x:c r="P304" s="987" t="str">
        <x:f>IF(COUNTA($A304:$M304)=0,"",IF(OR(LEFT(LOWER(TRIM($F304&amp;"")),12)="subscription",LOWER(TRIM($F304&amp;""))="membership"),"",IF(LOWER($L304&amp;"")="yes",0,IF(OR(AND($H304&lt;&gt;"",$H304=0),LEFT(LOWER(TRIM($F304&amp;"")),9)="free game",LOWER(TRIM($F304&amp;""))="free",LOWER(TRIM($F304&amp;""))="free entry"),IF(LOWER($D304&amp;"")="finalized",IF(ISNUMBER($K304),$K304,""),IF($O304&lt;&gt;"",$O304,"")),IF($K304&lt;&gt;"",$K304,IF($O304&lt;&gt;"",$O304,""))))))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IF(COUNTA($A304:$M304)=0,"",IF(OR(LEFT(LOWER(TRIM($F304&amp;"")),12)="subscription",LOWER(TRIM($F304&amp;""))="membership"),"Subscription",IF(OR(AND($H304&lt;&gt;"",$H304=0),LEFT(LOWER(TRIM($F304&amp;"")),9)="free game",LOWER(TRIM($F304&amp;""))="free",LOWER(TRIM($F304&amp;""))="free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IF(COUNTA($A305:$M305)=0,"",IF(OR(LEFT(LOWER(TRIM($F305&amp;"")),12)="subscription",LOWER(TRIM($F305&amp;""))="membership"),"",IF($G305="","",IF(ISNUMBER(SEARCH("non",LOWER($E305&amp;""))),$G305*0.85,$G305))))</x:f>
      </x:c>
      <x:c r="O305" s="987" t="str">
        <x:f>IF(COUNTA($A305:$M305)=0,"",IF(OR(LEFT(LOWER(TRIM($F305&amp;"")),12)="subscription",LOWER(TRIM($F305&amp;""))="membership"),"",IF(OR($N305="",$I305="",$I305=0),"",IFERROR($N305/$I305,""))))</x:f>
      </x:c>
      <x:c r="P305" s="987" t="str">
        <x:f>IF(COUNTA($A305:$M305)=0,"",IF(OR(LEFT(LOWER(TRIM($F305&amp;"")),12)="subscription",LOWER(TRIM($F305&amp;""))="membership"),"",IF(LOWER($L305&amp;"")="yes",0,IF(OR(AND($H305&lt;&gt;"",$H305=0),LEFT(LOWER(TRIM($F305&amp;"")),9)="free game",LOWER(TRIM($F305&amp;""))="free",LOWER(TRIM($F305&amp;""))="free entry"),IF(LOWER($D305&amp;"")="finalized",IF(ISNUMBER($K305),$K305,""),IF($O305&lt;&gt;"",$O305,"")),IF($K305&lt;&gt;"",$K305,IF($O305&lt;&gt;"",$O305,""))))))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IF(COUNTA($A305:$M305)=0,"",IF(OR(LEFT(LOWER(TRIM($F305&amp;"")),12)="subscription",LOWER(TRIM($F305&amp;""))="membership"),"Subscription",IF(OR(AND($H305&lt;&gt;"",$H305=0),LEFT(LOWER(TRIM($F305&amp;"")),9)="free game",LOWER(TRIM($F305&amp;""))="free",LOWER(TRIM($F305&amp;""))="free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IF(COUNTA($A306:$M306)=0,"",IF(OR(LEFT(LOWER(TRIM($F306&amp;"")),12)="subscription",LOWER(TRIM($F306&amp;""))="membership"),"",IF($G306="","",IF(ISNUMBER(SEARCH("non",LOWER($E306&amp;""))),$G306*0.85,$G306))))</x:f>
      </x:c>
      <x:c r="O306" s="987" t="str">
        <x:f>IF(COUNTA($A306:$M306)=0,"",IF(OR(LEFT(LOWER(TRIM($F306&amp;"")),12)="subscription",LOWER(TRIM($F306&amp;""))="membership"),"",IF(OR($N306="",$I306="",$I306=0),"",IFERROR($N306/$I306,""))))</x:f>
      </x:c>
      <x:c r="P306" s="987" t="str">
        <x:f>IF(COUNTA($A306:$M306)=0,"",IF(OR(LEFT(LOWER(TRIM($F306&amp;"")),12)="subscription",LOWER(TRIM($F306&amp;""))="membership"),"",IF(LOWER($L306&amp;"")="yes",0,IF(OR(AND($H306&lt;&gt;"",$H306=0),LEFT(LOWER(TRIM($F306&amp;"")),9)="free game",LOWER(TRIM($F306&amp;""))="free",LOWER(TRIM($F306&amp;""))="free entry"),IF(LOWER($D306&amp;"")="finalized",IF(ISNUMBER($K306),$K306,""),IF($O306&lt;&gt;"",$O306,"")),IF($K306&lt;&gt;"",$K306,IF($O306&lt;&gt;"",$O306,""))))))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IF(COUNTA($A306:$M306)=0,"",IF(OR(LEFT(LOWER(TRIM($F306&amp;"")),12)="subscription",LOWER(TRIM($F306&amp;""))="membership"),"Subscription",IF(OR(AND($H306&lt;&gt;"",$H306=0),LEFT(LOWER(TRIM($F306&amp;"")),9)="free game",LOWER(TRIM($F306&amp;""))="free",LOWER(TRIM($F306&amp;""))="free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IF(COUNTA($A307:$M307)=0,"",IF(OR(LEFT(LOWER(TRIM($F307&amp;"")),12)="subscription",LOWER(TRIM($F307&amp;""))="membership"),"",IF($G307="","",IF(ISNUMBER(SEARCH("non",LOWER($E307&amp;""))),$G307*0.85,$G307))))</x:f>
      </x:c>
      <x:c r="O307" s="987" t="str">
        <x:f>IF(COUNTA($A307:$M307)=0,"",IF(OR(LEFT(LOWER(TRIM($F307&amp;"")),12)="subscription",LOWER(TRIM($F307&amp;""))="membership"),"",IF(OR($N307="",$I307="",$I307=0),"",IFERROR($N307/$I307,""))))</x:f>
      </x:c>
      <x:c r="P307" s="987" t="str">
        <x:f>IF(COUNTA($A307:$M307)=0,"",IF(OR(LEFT(LOWER(TRIM($F307&amp;"")),12)="subscription",LOWER(TRIM($F307&amp;""))="membership"),"",IF(LOWER($L307&amp;"")="yes",0,IF(OR(AND($H307&lt;&gt;"",$H307=0),LEFT(LOWER(TRIM($F307&amp;"")),9)="free game",LOWER(TRIM($F307&amp;""))="free",LOWER(TRIM($F307&amp;""))="free entry"),IF(LOWER($D307&amp;"")="finalized",IF(ISNUMBER($K307),$K307,""),IF($O307&lt;&gt;"",$O307,"")),IF($K307&lt;&gt;"",$K307,IF($O307&lt;&gt;"",$O307,""))))))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IF(COUNTA($A307:$M307)=0,"",IF(OR(LEFT(LOWER(TRIM($F307&amp;"")),12)="subscription",LOWER(TRIM($F307&amp;""))="membership"),"Subscription",IF(OR(AND($H307&lt;&gt;"",$H307=0),LEFT(LOWER(TRIM($F307&amp;"")),9)="free game",LOWER(TRIM($F307&amp;""))="free",LOWER(TRIM($F307&amp;""))="free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IF(COUNTA($A308:$M308)=0,"",IF(OR(LEFT(LOWER(TRIM($F308&amp;"")),12)="subscription",LOWER(TRIM($F308&amp;""))="membership"),"",IF($G308="","",IF(ISNUMBER(SEARCH("non",LOWER($E308&amp;""))),$G308*0.85,$G308))))</x:f>
      </x:c>
      <x:c r="O308" s="987" t="str">
        <x:f>IF(COUNTA($A308:$M308)=0,"",IF(OR(LEFT(LOWER(TRIM($F308&amp;"")),12)="subscription",LOWER(TRIM($F308&amp;""))="membership"),"",IF(OR($N308="",$I308="",$I308=0),"",IFERROR($N308/$I308,""))))</x:f>
      </x:c>
      <x:c r="P308" s="987" t="str">
        <x:f>IF(COUNTA($A308:$M308)=0,"",IF(OR(LEFT(LOWER(TRIM($F308&amp;"")),12)="subscription",LOWER(TRIM($F308&amp;""))="membership"),"",IF(LOWER($L308&amp;"")="yes",0,IF(OR(AND($H308&lt;&gt;"",$H308=0),LEFT(LOWER(TRIM($F308&amp;"")),9)="free game",LOWER(TRIM($F308&amp;""))="free",LOWER(TRIM($F308&amp;""))="free entry"),IF(LOWER($D308&amp;"")="finalized",IF(ISNUMBER($K308),$K308,""),IF($O308&lt;&gt;"",$O308,"")),IF($K308&lt;&gt;"",$K308,IF($O308&lt;&gt;"",$O308,""))))))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IF(COUNTA($A308:$M308)=0,"",IF(OR(LEFT(LOWER(TRIM($F308&amp;"")),12)="subscription",LOWER(TRIM($F308&amp;""))="membership"),"Subscription",IF(OR(AND($H308&lt;&gt;"",$H308=0),LEFT(LOWER(TRIM($F308&amp;"")),9)="free game",LOWER(TRIM($F308&amp;""))="free",LOWER(TRIM($F308&amp;""))="free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IF(COUNTA($A309:$M309)=0,"",IF(OR(LEFT(LOWER(TRIM($F309&amp;"")),12)="subscription",LOWER(TRIM($F309&amp;""))="membership"),"",IF($G309="","",IF(ISNUMBER(SEARCH("non",LOWER($E309&amp;""))),$G309*0.85,$G309))))</x:f>
      </x:c>
      <x:c r="O309" s="987" t="str">
        <x:f>IF(COUNTA($A309:$M309)=0,"",IF(OR(LEFT(LOWER(TRIM($F309&amp;"")),12)="subscription",LOWER(TRIM($F309&amp;""))="membership"),"",IF(OR($N309="",$I309="",$I309=0),"",IFERROR($N309/$I309,""))))</x:f>
      </x:c>
      <x:c r="P309" s="987" t="str">
        <x:f>IF(COUNTA($A309:$M309)=0,"",IF(OR(LEFT(LOWER(TRIM($F309&amp;"")),12)="subscription",LOWER(TRIM($F309&amp;""))="membership"),"",IF(LOWER($L309&amp;"")="yes",0,IF(OR(AND($H309&lt;&gt;"",$H309=0),LEFT(LOWER(TRIM($F309&amp;"")),9)="free game",LOWER(TRIM($F309&amp;""))="free",LOWER(TRIM($F309&amp;""))="free entry"),IF(LOWER($D309&amp;"")="finalized",IF(ISNUMBER($K309),$K309,""),IF($O309&lt;&gt;"",$O309,"")),IF($K309&lt;&gt;"",$K309,IF($O309&lt;&gt;"",$O309,""))))))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IF(COUNTA($A309:$M309)=0,"",IF(OR(LEFT(LOWER(TRIM($F309&amp;"")),12)="subscription",LOWER(TRIM($F309&amp;""))="membership"),"Subscription",IF(OR(AND($H309&lt;&gt;"",$H309=0),LEFT(LOWER(TRIM($F309&amp;"")),9)="free game",LOWER(TRIM($F309&amp;""))="free",LOWER(TRIM($F309&amp;""))="free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IF(COUNTA($A310:$M310)=0,"",IF(OR(LEFT(LOWER(TRIM($F310&amp;"")),12)="subscription",LOWER(TRIM($F310&amp;""))="membership"),"",IF($G310="","",IF(ISNUMBER(SEARCH("non",LOWER($E310&amp;""))),$G310*0.85,$G310))))</x:f>
      </x:c>
      <x:c r="O310" s="987" t="str">
        <x:f>IF(COUNTA($A310:$M310)=0,"",IF(OR(LEFT(LOWER(TRIM($F310&amp;"")),12)="subscription",LOWER(TRIM($F310&amp;""))="membership"),"",IF(OR($N310="",$I310="",$I310=0),"",IFERROR($N310/$I310,""))))</x:f>
      </x:c>
      <x:c r="P310" s="987" t="str">
        <x:f>IF(COUNTA($A310:$M310)=0,"",IF(OR(LEFT(LOWER(TRIM($F310&amp;"")),12)="subscription",LOWER(TRIM($F310&amp;""))="membership"),"",IF(LOWER($L310&amp;"")="yes",0,IF(OR(AND($H310&lt;&gt;"",$H310=0),LEFT(LOWER(TRIM($F310&amp;"")),9)="free game",LOWER(TRIM($F310&amp;""))="free",LOWER(TRIM($F310&amp;""))="free entry"),IF(LOWER($D310&amp;"")="finalized",IF(ISNUMBER($K310),$K310,""),IF($O310&lt;&gt;"",$O310,"")),IF($K310&lt;&gt;"",$K310,IF($O310&lt;&gt;"",$O310,""))))))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IF(COUNTA($A310:$M310)=0,"",IF(OR(LEFT(LOWER(TRIM($F310&amp;"")),12)="subscription",LOWER(TRIM($F310&amp;""))="membership"),"Subscription",IF(OR(AND($H310&lt;&gt;"",$H310=0),LEFT(LOWER(TRIM($F310&amp;"")),9)="free game",LOWER(TRIM($F310&amp;""))="free",LOWER(TRIM($F310&amp;""))="free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IF(COUNTA($A311:$M311)=0,"",IF(OR(LEFT(LOWER(TRIM($F311&amp;"")),12)="subscription",LOWER(TRIM($F311&amp;""))="membership"),"",IF($G311="","",IF(ISNUMBER(SEARCH("non",LOWER($E311&amp;""))),$G311*0.85,$G311))))</x:f>
      </x:c>
      <x:c r="O311" s="987" t="str">
        <x:f>IF(COUNTA($A311:$M311)=0,"",IF(OR(LEFT(LOWER(TRIM($F311&amp;"")),12)="subscription",LOWER(TRIM($F311&amp;""))="membership"),"",IF(OR($N311="",$I311="",$I311=0),"",IFERROR($N311/$I311,""))))</x:f>
      </x:c>
      <x:c r="P311" s="987" t="str">
        <x:f>IF(COUNTA($A311:$M311)=0,"",IF(OR(LEFT(LOWER(TRIM($F311&amp;"")),12)="subscription",LOWER(TRIM($F311&amp;""))="membership"),"",IF(LOWER($L311&amp;"")="yes",0,IF(OR(AND($H311&lt;&gt;"",$H311=0),LEFT(LOWER(TRIM($F311&amp;"")),9)="free game",LOWER(TRIM($F311&amp;""))="free",LOWER(TRIM($F311&amp;""))="free entry"),IF(LOWER($D311&amp;"")="finalized",IF(ISNUMBER($K311),$K311,""),IF($O311&lt;&gt;"",$O311,"")),IF($K311&lt;&gt;"",$K311,IF($O311&lt;&gt;"",$O311,""))))))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IF(COUNTA($A311:$M311)=0,"",IF(OR(LEFT(LOWER(TRIM($F311&amp;"")),12)="subscription",LOWER(TRIM($F311&amp;""))="membership"),"Subscription",IF(OR(AND($H311&lt;&gt;"",$H311=0),LEFT(LOWER(TRIM($F311&amp;"")),9)="free game",LOWER(TRIM($F311&amp;""))="free",LOWER(TRIM($F311&amp;""))="free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IF(COUNTA($A312:$M312)=0,"",IF(OR(LEFT(LOWER(TRIM($F312&amp;"")),12)="subscription",LOWER(TRIM($F312&amp;""))="membership"),"",IF($G312="","",IF(ISNUMBER(SEARCH("non",LOWER($E312&amp;""))),$G312*0.85,$G312))))</x:f>
      </x:c>
      <x:c r="O312" s="987" t="str">
        <x:f>IF(COUNTA($A312:$M312)=0,"",IF(OR(LEFT(LOWER(TRIM($F312&amp;"")),12)="subscription",LOWER(TRIM($F312&amp;""))="membership"),"",IF(OR($N312="",$I312="",$I312=0),"",IFERROR($N312/$I312,""))))</x:f>
      </x:c>
      <x:c r="P312" s="987" t="str">
        <x:f>IF(COUNTA($A312:$M312)=0,"",IF(OR(LEFT(LOWER(TRIM($F312&amp;"")),12)="subscription",LOWER(TRIM($F312&amp;""))="membership"),"",IF(LOWER($L312&amp;"")="yes",0,IF(OR(AND($H312&lt;&gt;"",$H312=0),LEFT(LOWER(TRIM($F312&amp;"")),9)="free game",LOWER(TRIM($F312&amp;""))="free",LOWER(TRIM($F312&amp;""))="free entry"),IF(LOWER($D312&amp;"")="finalized",IF(ISNUMBER($K312),$K312,""),IF($O312&lt;&gt;"",$O312,"")),IF($K312&lt;&gt;"",$K312,IF($O312&lt;&gt;"",$O312,""))))))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IF(COUNTA($A312:$M312)=0,"",IF(OR(LEFT(LOWER(TRIM($F312&amp;"")),12)="subscription",LOWER(TRIM($F312&amp;""))="membership"),"Subscription",IF(OR(AND($H312&lt;&gt;"",$H312=0),LEFT(LOWER(TRIM($F312&amp;"")),9)="free game",LOWER(TRIM($F312&amp;""))="free",LOWER(TRIM($F312&amp;""))="free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IF(COUNTA($A313:$M313)=0,"",IF(OR(LEFT(LOWER(TRIM($F313&amp;"")),12)="subscription",LOWER(TRIM($F313&amp;""))="membership"),"",IF($G313="","",IF(ISNUMBER(SEARCH("non",LOWER($E313&amp;""))),$G313*0.85,$G313))))</x:f>
      </x:c>
      <x:c r="O313" s="987" t="str">
        <x:f>IF(COUNTA($A313:$M313)=0,"",IF(OR(LEFT(LOWER(TRIM($F313&amp;"")),12)="subscription",LOWER(TRIM($F313&amp;""))="membership"),"",IF(OR($N313="",$I313="",$I313=0),"",IFERROR($N313/$I313,""))))</x:f>
      </x:c>
      <x:c r="P313" s="987" t="str">
        <x:f>IF(COUNTA($A313:$M313)=0,"",IF(OR(LEFT(LOWER(TRIM($F313&amp;"")),12)="subscription",LOWER(TRIM($F313&amp;""))="membership"),"",IF(LOWER($L313&amp;"")="yes",0,IF(OR(AND($H313&lt;&gt;"",$H313=0),LEFT(LOWER(TRIM($F313&amp;"")),9)="free game",LOWER(TRIM($F313&amp;""))="free",LOWER(TRIM($F313&amp;""))="free entry"),IF(LOWER($D313&amp;"")="finalized",IF(ISNUMBER($K313),$K313,""),IF($O313&lt;&gt;"",$O313,"")),IF($K313&lt;&gt;"",$K313,IF($O313&lt;&gt;"",$O313,""))))))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IF(COUNTA($A313:$M313)=0,"",IF(OR(LEFT(LOWER(TRIM($F313&amp;"")),12)="subscription",LOWER(TRIM($F313&amp;""))="membership"),"Subscription",IF(OR(AND($H313&lt;&gt;"",$H313=0),LEFT(LOWER(TRIM($F313&amp;"")),9)="free game",LOWER(TRIM($F313&amp;""))="free",LOWER(TRIM($F313&amp;""))="free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IF(COUNTA($A314:$M314)=0,"",IF(OR(LEFT(LOWER(TRIM($F314&amp;"")),12)="subscription",LOWER(TRIM($F314&amp;""))="membership"),"",IF($G314="","",IF(ISNUMBER(SEARCH("non",LOWER($E314&amp;""))),$G314*0.85,$G314))))</x:f>
      </x:c>
      <x:c r="O314" s="987" t="str">
        <x:f>IF(COUNTA($A314:$M314)=0,"",IF(OR(LEFT(LOWER(TRIM($F314&amp;"")),12)="subscription",LOWER(TRIM($F314&amp;""))="membership"),"",IF(OR($N314="",$I314="",$I314=0),"",IFERROR($N314/$I314,""))))</x:f>
      </x:c>
      <x:c r="P314" s="987" t="str">
        <x:f>IF(COUNTA($A314:$M314)=0,"",IF(OR(LEFT(LOWER(TRIM($F314&amp;"")),12)="subscription",LOWER(TRIM($F314&amp;""))="membership"),"",IF(LOWER($L314&amp;"")="yes",0,IF(OR(AND($H314&lt;&gt;"",$H314=0),LEFT(LOWER(TRIM($F314&amp;"")),9)="free game",LOWER(TRIM($F314&amp;""))="free",LOWER(TRIM($F314&amp;""))="free entry"),IF(LOWER($D314&amp;"")="finalized",IF(ISNUMBER($K314),$K314,""),IF($O314&lt;&gt;"",$O314,"")),IF($K314&lt;&gt;"",$K314,IF($O314&lt;&gt;"",$O314,""))))))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IF(COUNTA($A314:$M314)=0,"",IF(OR(LEFT(LOWER(TRIM($F314&amp;"")),12)="subscription",LOWER(TRIM($F314&amp;""))="membership"),"Subscription",IF(OR(AND($H314&lt;&gt;"",$H314=0),LEFT(LOWER(TRIM($F314&amp;"")),9)="free game",LOWER(TRIM($F314&amp;""))="free",LOWER(TRIM($F314&amp;""))="free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IF(COUNTA($A315:$M315)=0,"",IF(OR(LEFT(LOWER(TRIM($F315&amp;"")),12)="subscription",LOWER(TRIM($F315&amp;""))="membership"),"",IF($G315="","",IF(ISNUMBER(SEARCH("non",LOWER($E315&amp;""))),$G315*0.85,$G315))))</x:f>
      </x:c>
      <x:c r="O315" s="987" t="str">
        <x:f>IF(COUNTA($A315:$M315)=0,"",IF(OR(LEFT(LOWER(TRIM($F315&amp;"")),12)="subscription",LOWER(TRIM($F315&amp;""))="membership"),"",IF(OR($N315="",$I315="",$I315=0),"",IFERROR($N315/$I315,""))))</x:f>
      </x:c>
      <x:c r="P315" s="987" t="str">
        <x:f>IF(COUNTA($A315:$M315)=0,"",IF(OR(LEFT(LOWER(TRIM($F315&amp;"")),12)="subscription",LOWER(TRIM($F315&amp;""))="membership"),"",IF(LOWER($L315&amp;"")="yes",0,IF(OR(AND($H315&lt;&gt;"",$H315=0),LEFT(LOWER(TRIM($F315&amp;"")),9)="free game",LOWER(TRIM($F315&amp;""))="free",LOWER(TRIM($F315&amp;""))="free entry"),IF(LOWER($D315&amp;"")="finalized",IF(ISNUMBER($K315),$K315,""),IF($O315&lt;&gt;"",$O315,"")),IF($K315&lt;&gt;"",$K315,IF($O315&lt;&gt;"",$O315,""))))))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IF(COUNTA($A315:$M315)=0,"",IF(OR(LEFT(LOWER(TRIM($F315&amp;"")),12)="subscription",LOWER(TRIM($F315&amp;""))="membership"),"Subscription",IF(OR(AND($H315&lt;&gt;"",$H315=0),LEFT(LOWER(TRIM($F315&amp;"")),9)="free game",LOWER(TRIM($F315&amp;""))="free",LOWER(TRIM($F315&amp;""))="free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IF(COUNTA($A316:$M316)=0,"",IF(OR(LEFT(LOWER(TRIM($F316&amp;"")),12)="subscription",LOWER(TRIM($F316&amp;""))="membership"),"",IF($G316="","",IF(ISNUMBER(SEARCH("non",LOWER($E316&amp;""))),$G316*0.85,$G316))))</x:f>
      </x:c>
      <x:c r="O316" s="987" t="str">
        <x:f>IF(COUNTA($A316:$M316)=0,"",IF(OR(LEFT(LOWER(TRIM($F316&amp;"")),12)="subscription",LOWER(TRIM($F316&amp;""))="membership"),"",IF(OR($N316="",$I316="",$I316=0),"",IFERROR($N316/$I316,""))))</x:f>
      </x:c>
      <x:c r="P316" s="987" t="str">
        <x:f>IF(COUNTA($A316:$M316)=0,"",IF(OR(LEFT(LOWER(TRIM($F316&amp;"")),12)="subscription",LOWER(TRIM($F316&amp;""))="membership"),"",IF(LOWER($L316&amp;"")="yes",0,IF(OR(AND($H316&lt;&gt;"",$H316=0),LEFT(LOWER(TRIM($F316&amp;"")),9)="free game",LOWER(TRIM($F316&amp;""))="free",LOWER(TRIM($F316&amp;""))="free entry"),IF(LOWER($D316&amp;"")="finalized",IF(ISNUMBER($K316),$K316,""),IF($O316&lt;&gt;"",$O316,"")),IF($K316&lt;&gt;"",$K316,IF($O316&lt;&gt;"",$O316,""))))))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IF(COUNTA($A316:$M316)=0,"",IF(OR(LEFT(LOWER(TRIM($F316&amp;"")),12)="subscription",LOWER(TRIM($F316&amp;""))="membership"),"Subscription",IF(OR(AND($H316&lt;&gt;"",$H316=0),LEFT(LOWER(TRIM($F316&amp;"")),9)="free game",LOWER(TRIM($F316&amp;""))="free",LOWER(TRIM($F316&amp;""))="free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IF(COUNTA($A317:$M317)=0,"",IF(OR(LEFT(LOWER(TRIM($F317&amp;"")),12)="subscription",LOWER(TRIM($F317&amp;""))="membership"),"",IF($G317="","",IF(ISNUMBER(SEARCH("non",LOWER($E317&amp;""))),$G317*0.85,$G317))))</x:f>
      </x:c>
      <x:c r="O317" s="987" t="str">
        <x:f>IF(COUNTA($A317:$M317)=0,"",IF(OR(LEFT(LOWER(TRIM($F317&amp;"")),12)="subscription",LOWER(TRIM($F317&amp;""))="membership"),"",IF(OR($N317="",$I317="",$I317=0),"",IFERROR($N317/$I317,""))))</x:f>
      </x:c>
      <x:c r="P317" s="987" t="str">
        <x:f>IF(COUNTA($A317:$M317)=0,"",IF(OR(LEFT(LOWER(TRIM($F317&amp;"")),12)="subscription",LOWER(TRIM($F317&amp;""))="membership"),"",IF(LOWER($L317&amp;"")="yes",0,IF(OR(AND($H317&lt;&gt;"",$H317=0),LEFT(LOWER(TRIM($F317&amp;"")),9)="free game",LOWER(TRIM($F317&amp;""))="free",LOWER(TRIM($F317&amp;""))="free entry"),IF(LOWER($D317&amp;"")="finalized",IF(ISNUMBER($K317),$K317,""),IF($O317&lt;&gt;"",$O317,"")),IF($K317&lt;&gt;"",$K317,IF($O317&lt;&gt;"",$O317,""))))))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IF(COUNTA($A317:$M317)=0,"",IF(OR(LEFT(LOWER(TRIM($F317&amp;"")),12)="subscription",LOWER(TRIM($F317&amp;""))="membership"),"Subscription",IF(OR(AND($H317&lt;&gt;"",$H317=0),LEFT(LOWER(TRIM($F317&amp;"")),9)="free game",LOWER(TRIM($F317&amp;""))="free",LOWER(TRIM($F317&amp;""))="free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IF(COUNTA($A318:$M318)=0,"",IF(OR(LEFT(LOWER(TRIM($F318&amp;"")),12)="subscription",LOWER(TRIM($F318&amp;""))="membership"),"",IF($G318="","",IF(ISNUMBER(SEARCH("non",LOWER($E318&amp;""))),$G318*0.85,$G318))))</x:f>
      </x:c>
      <x:c r="O318" s="987" t="str">
        <x:f>IF(COUNTA($A318:$M318)=0,"",IF(OR(LEFT(LOWER(TRIM($F318&amp;"")),12)="subscription",LOWER(TRIM($F318&amp;""))="membership"),"",IF(OR($N318="",$I318="",$I318=0),"",IFERROR($N318/$I318,""))))</x:f>
      </x:c>
      <x:c r="P318" s="987" t="str">
        <x:f>IF(COUNTA($A318:$M318)=0,"",IF(OR(LEFT(LOWER(TRIM($F318&amp;"")),12)="subscription",LOWER(TRIM($F318&amp;""))="membership"),"",IF(LOWER($L318&amp;"")="yes",0,IF(OR(AND($H318&lt;&gt;"",$H318=0),LEFT(LOWER(TRIM($F318&amp;"")),9)="free game",LOWER(TRIM($F318&amp;""))="free",LOWER(TRIM($F318&amp;""))="free entry"),IF(LOWER($D318&amp;"")="finalized",IF(ISNUMBER($K318),$K318,""),IF($O318&lt;&gt;"",$O318,"")),IF($K318&lt;&gt;"",$K318,IF($O318&lt;&gt;"",$O318,""))))))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IF(COUNTA($A318:$M318)=0,"",IF(OR(LEFT(LOWER(TRIM($F318&amp;"")),12)="subscription",LOWER(TRIM($F318&amp;""))="membership"),"Subscription",IF(OR(AND($H318&lt;&gt;"",$H318=0),LEFT(LOWER(TRIM($F318&amp;"")),9)="free game",LOWER(TRIM($F318&amp;""))="free",LOWER(TRIM($F318&amp;""))="free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IF(COUNTA($A319:$M319)=0,"",IF(OR(LEFT(LOWER(TRIM($F319&amp;"")),12)="subscription",LOWER(TRIM($F319&amp;""))="membership"),"",IF($G319="","",IF(ISNUMBER(SEARCH("non",LOWER($E319&amp;""))),$G319*0.85,$G319))))</x:f>
      </x:c>
      <x:c r="O319" s="987" t="str">
        <x:f>IF(COUNTA($A319:$M319)=0,"",IF(OR(LEFT(LOWER(TRIM($F319&amp;"")),12)="subscription",LOWER(TRIM($F319&amp;""))="membership"),"",IF(OR($N319="",$I319="",$I319=0),"",IFERROR($N319/$I319,""))))</x:f>
      </x:c>
      <x:c r="P319" s="987" t="str">
        <x:f>IF(COUNTA($A319:$M319)=0,"",IF(OR(LEFT(LOWER(TRIM($F319&amp;"")),12)="subscription",LOWER(TRIM($F319&amp;""))="membership"),"",IF(LOWER($L319&amp;"")="yes",0,IF(OR(AND($H319&lt;&gt;"",$H319=0),LEFT(LOWER(TRIM($F319&amp;"")),9)="free game",LOWER(TRIM($F319&amp;""))="free",LOWER(TRIM($F319&amp;""))="free entry"),IF(LOWER($D319&amp;"")="finalized",IF(ISNUMBER($K319),$K319,""),IF($O319&lt;&gt;"",$O319,"")),IF($K319&lt;&gt;"",$K319,IF($O319&lt;&gt;"",$O319,""))))))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IF(COUNTA($A319:$M319)=0,"",IF(OR(LEFT(LOWER(TRIM($F319&amp;"")),12)="subscription",LOWER(TRIM($F319&amp;""))="membership"),"Subscription",IF(OR(AND($H319&lt;&gt;"",$H319=0),LEFT(LOWER(TRIM($F319&amp;"")),9)="free game",LOWER(TRIM($F319&amp;""))="free",LOWER(TRIM($F319&amp;""))="free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IF(COUNTA($A320:$M320)=0,"",IF(OR(LEFT(LOWER(TRIM($F320&amp;"")),12)="subscription",LOWER(TRIM($F320&amp;""))="membership"),"",IF($G320="","",IF(ISNUMBER(SEARCH("non",LOWER($E320&amp;""))),$G320*0.85,$G320))))</x:f>
      </x:c>
      <x:c r="O320" s="987" t="str">
        <x:f>IF(COUNTA($A320:$M320)=0,"",IF(OR(LEFT(LOWER(TRIM($F320&amp;"")),12)="subscription",LOWER(TRIM($F320&amp;""))="membership"),"",IF(OR($N320="",$I320="",$I320=0),"",IFERROR($N320/$I320,""))))</x:f>
      </x:c>
      <x:c r="P320" s="987" t="str">
        <x:f>IF(COUNTA($A320:$M320)=0,"",IF(OR(LEFT(LOWER(TRIM($F320&amp;"")),12)="subscription",LOWER(TRIM($F320&amp;""))="membership"),"",IF(LOWER($L320&amp;"")="yes",0,IF(OR(AND($H320&lt;&gt;"",$H320=0),LEFT(LOWER(TRIM($F320&amp;"")),9)="free game",LOWER(TRIM($F320&amp;""))="free",LOWER(TRIM($F320&amp;""))="free entry"),IF(LOWER($D320&amp;"")="finalized",IF(ISNUMBER($K320),$K320,""),IF($O320&lt;&gt;"",$O320,"")),IF($K320&lt;&gt;"",$K320,IF($O320&lt;&gt;"",$O320,""))))))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IF(COUNTA($A320:$M320)=0,"",IF(OR(LEFT(LOWER(TRIM($F320&amp;"")),12)="subscription",LOWER(TRIM($F320&amp;""))="membership"),"Subscription",IF(OR(AND($H320&lt;&gt;"",$H320=0),LEFT(LOWER(TRIM($F320&amp;"")),9)="free game",LOWER(TRIM($F320&amp;""))="free",LOWER(TRIM($F320&amp;""))="free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IF(COUNTA($A321:$M321)=0,"",IF(OR(LEFT(LOWER(TRIM($F321&amp;"")),12)="subscription",LOWER(TRIM($F321&amp;""))="membership"),"",IF($G321="","",IF(ISNUMBER(SEARCH("non",LOWER($E321&amp;""))),$G321*0.85,$G321))))</x:f>
      </x:c>
      <x:c r="O321" s="987" t="str">
        <x:f>IF(COUNTA($A321:$M321)=0,"",IF(OR(LEFT(LOWER(TRIM($F321&amp;"")),12)="subscription",LOWER(TRIM($F321&amp;""))="membership"),"",IF(OR($N321="",$I321="",$I321=0),"",IFERROR($N321/$I321,""))))</x:f>
      </x:c>
      <x:c r="P321" s="987" t="str">
        <x:f>IF(COUNTA($A321:$M321)=0,"",IF(OR(LEFT(LOWER(TRIM($F321&amp;"")),12)="subscription",LOWER(TRIM($F321&amp;""))="membership"),"",IF(LOWER($L321&amp;"")="yes",0,IF(OR(AND($H321&lt;&gt;"",$H321=0),LEFT(LOWER(TRIM($F321&amp;"")),9)="free game",LOWER(TRIM($F321&amp;""))="free",LOWER(TRIM($F321&amp;""))="free entry"),IF(LOWER($D321&amp;"")="finalized",IF(ISNUMBER($K321),$K321,""),IF($O321&lt;&gt;"",$O321,"")),IF($K321&lt;&gt;"",$K321,IF($O321&lt;&gt;"",$O321,""))))))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IF(COUNTA($A321:$M321)=0,"",IF(OR(LEFT(LOWER(TRIM($F321&amp;"")),12)="subscription",LOWER(TRIM($F321&amp;""))="membership"),"Subscription",IF(OR(AND($H321&lt;&gt;"",$H321=0),LEFT(LOWER(TRIM($F321&amp;"")),9)="free game",LOWER(TRIM($F321&amp;""))="free",LOWER(TRIM($F321&amp;""))="free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IF(COUNTA($A322:$M322)=0,"",IF(OR(LEFT(LOWER(TRIM($F322&amp;"")),12)="subscription",LOWER(TRIM($F322&amp;""))="membership"),"",IF($G322="","",IF(ISNUMBER(SEARCH("non",LOWER($E322&amp;""))),$G322*0.85,$G322))))</x:f>
      </x:c>
      <x:c r="O322" s="987" t="str">
        <x:f>IF(COUNTA($A322:$M322)=0,"",IF(OR(LEFT(LOWER(TRIM($F322&amp;"")),12)="subscription",LOWER(TRIM($F322&amp;""))="membership"),"",IF(OR($N322="",$I322="",$I322=0),"",IFERROR($N322/$I322,""))))</x:f>
      </x:c>
      <x:c r="P322" s="987" t="str">
        <x:f>IF(COUNTA($A322:$M322)=0,"",IF(OR(LEFT(LOWER(TRIM($F322&amp;"")),12)="subscription",LOWER(TRIM($F322&amp;""))="membership"),"",IF(LOWER($L322&amp;"")="yes",0,IF(OR(AND($H322&lt;&gt;"",$H322=0),LEFT(LOWER(TRIM($F322&amp;"")),9)="free game",LOWER(TRIM($F322&amp;""))="free",LOWER(TRIM($F322&amp;""))="free entry"),IF(LOWER($D322&amp;"")="finalized",IF(ISNUMBER($K322),$K322,""),IF($O322&lt;&gt;"",$O322,"")),IF($K322&lt;&gt;"",$K322,IF($O322&lt;&gt;"",$O322,""))))))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IF(COUNTA($A322:$M322)=0,"",IF(OR(LEFT(LOWER(TRIM($F322&amp;"")),12)="subscription",LOWER(TRIM($F322&amp;""))="membership"),"Subscription",IF(OR(AND($H322&lt;&gt;"",$H322=0),LEFT(LOWER(TRIM($F322&amp;"")),9)="free game",LOWER(TRIM($F322&amp;""))="free",LOWER(TRIM($F322&amp;""))="free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IF(COUNTA($A323:$M323)=0,"",IF(OR(LEFT(LOWER(TRIM($F323&amp;"")),12)="subscription",LOWER(TRIM($F323&amp;""))="membership"),"",IF($G323="","",IF(ISNUMBER(SEARCH("non",LOWER($E323&amp;""))),$G323*0.85,$G323))))</x:f>
      </x:c>
      <x:c r="O323" s="987" t="str">
        <x:f>IF(COUNTA($A323:$M323)=0,"",IF(OR(LEFT(LOWER(TRIM($F323&amp;"")),12)="subscription",LOWER(TRIM($F323&amp;""))="membership"),"",IF(OR($N323="",$I323="",$I323=0),"",IFERROR($N323/$I323,""))))</x:f>
      </x:c>
      <x:c r="P323" s="987" t="str">
        <x:f>IF(COUNTA($A323:$M323)=0,"",IF(OR(LEFT(LOWER(TRIM($F323&amp;"")),12)="subscription",LOWER(TRIM($F323&amp;""))="membership"),"",IF(LOWER($L323&amp;"")="yes",0,IF(OR(AND($H323&lt;&gt;"",$H323=0),LEFT(LOWER(TRIM($F323&amp;"")),9)="free game",LOWER(TRIM($F323&amp;""))="free",LOWER(TRIM($F323&amp;""))="free entry"),IF(LOWER($D323&amp;"")="finalized",IF(ISNUMBER($K323),$K323,""),IF($O323&lt;&gt;"",$O323,"")),IF($K323&lt;&gt;"",$K323,IF($O323&lt;&gt;"",$O323,""))))))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IF(COUNTA($A323:$M323)=0,"",IF(OR(LEFT(LOWER(TRIM($F323&amp;"")),12)="subscription",LOWER(TRIM($F323&amp;""))="membership"),"Subscription",IF(OR(AND($H323&lt;&gt;"",$H323=0),LEFT(LOWER(TRIM($F323&amp;"")),9)="free game",LOWER(TRIM($F323&amp;""))="free",LOWER(TRIM($F323&amp;""))="free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IF(COUNTA($A324:$M324)=0,"",IF(OR(LEFT(LOWER(TRIM($F324&amp;"")),12)="subscription",LOWER(TRIM($F324&amp;""))="membership"),"",IF($G324="","",IF(ISNUMBER(SEARCH("non",LOWER($E324&amp;""))),$G324*0.85,$G324))))</x:f>
      </x:c>
      <x:c r="O324" s="987" t="str">
        <x:f>IF(COUNTA($A324:$M324)=0,"",IF(OR(LEFT(LOWER(TRIM($F324&amp;"")),12)="subscription",LOWER(TRIM($F324&amp;""))="membership"),"",IF(OR($N324="",$I324="",$I324=0),"",IFERROR($N324/$I324,""))))</x:f>
      </x:c>
      <x:c r="P324" s="987" t="str">
        <x:f>IF(COUNTA($A324:$M324)=0,"",IF(OR(LEFT(LOWER(TRIM($F324&amp;"")),12)="subscription",LOWER(TRIM($F324&amp;""))="membership"),"",IF(LOWER($L324&amp;"")="yes",0,IF(OR(AND($H324&lt;&gt;"",$H324=0),LEFT(LOWER(TRIM($F324&amp;"")),9)="free game",LOWER(TRIM($F324&amp;""))="free",LOWER(TRIM($F324&amp;""))="free entry"),IF(LOWER($D324&amp;"")="finalized",IF(ISNUMBER($K324),$K324,""),IF($O324&lt;&gt;"",$O324,"")),IF($K324&lt;&gt;"",$K324,IF($O324&lt;&gt;"",$O324,""))))))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IF(COUNTA($A324:$M324)=0,"",IF(OR(LEFT(LOWER(TRIM($F324&amp;"")),12)="subscription",LOWER(TRIM($F324&amp;""))="membership"),"Subscription",IF(OR(AND($H324&lt;&gt;"",$H324=0),LEFT(LOWER(TRIM($F324&amp;"")),9)="free game",LOWER(TRIM($F324&amp;""))="free",LOWER(TRIM($F324&amp;""))="free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IF(COUNTA($A325:$M325)=0,"",IF(OR(LEFT(LOWER(TRIM($F325&amp;"")),12)="subscription",LOWER(TRIM($F325&amp;""))="membership"),"",IF($G325="","",IF(ISNUMBER(SEARCH("non",LOWER($E325&amp;""))),$G325*0.85,$G325))))</x:f>
      </x:c>
      <x:c r="O325" s="987" t="str">
        <x:f>IF(COUNTA($A325:$M325)=0,"",IF(OR(LEFT(LOWER(TRIM($F325&amp;"")),12)="subscription",LOWER(TRIM($F325&amp;""))="membership"),"",IF(OR($N325="",$I325="",$I325=0),"",IFERROR($N325/$I325,""))))</x:f>
      </x:c>
      <x:c r="P325" s="987" t="str">
        <x:f>IF(COUNTA($A325:$M325)=0,"",IF(OR(LEFT(LOWER(TRIM($F325&amp;"")),12)="subscription",LOWER(TRIM($F325&amp;""))="membership"),"",IF(LOWER($L325&amp;"")="yes",0,IF(OR(AND($H325&lt;&gt;"",$H325=0),LEFT(LOWER(TRIM($F325&amp;"")),9)="free game",LOWER(TRIM($F325&amp;""))="free",LOWER(TRIM($F325&amp;""))="free entry"),IF(LOWER($D325&amp;"")="finalized",IF(ISNUMBER($K325),$K325,""),IF($O325&lt;&gt;"",$O325,"")),IF($K325&lt;&gt;"",$K325,IF($O325&lt;&gt;"",$O325,""))))))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IF(COUNTA($A325:$M325)=0,"",IF(OR(LEFT(LOWER(TRIM($F325&amp;"")),12)="subscription",LOWER(TRIM($F325&amp;""))="membership"),"Subscription",IF(OR(AND($H325&lt;&gt;"",$H325=0),LEFT(LOWER(TRIM($F325&amp;"")),9)="free game",LOWER(TRIM($F325&amp;""))="free",LOWER(TRIM($F325&amp;""))="free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IF(COUNTA($A326:$M326)=0,"",IF(OR(LEFT(LOWER(TRIM($F326&amp;"")),12)="subscription",LOWER(TRIM($F326&amp;""))="membership"),"",IF($G326="","",IF(ISNUMBER(SEARCH("non",LOWER($E326&amp;""))),$G326*0.85,$G326))))</x:f>
      </x:c>
      <x:c r="O326" s="987" t="str">
        <x:f>IF(COUNTA($A326:$M326)=0,"",IF(OR(LEFT(LOWER(TRIM($F326&amp;"")),12)="subscription",LOWER(TRIM($F326&amp;""))="membership"),"",IF(OR($N326="",$I326="",$I326=0),"",IFERROR($N326/$I326,""))))</x:f>
      </x:c>
      <x:c r="P326" s="987" t="str">
        <x:f>IF(COUNTA($A326:$M326)=0,"",IF(OR(LEFT(LOWER(TRIM($F326&amp;"")),12)="subscription",LOWER(TRIM($F326&amp;""))="membership"),"",IF(LOWER($L326&amp;"")="yes",0,IF(OR(AND($H326&lt;&gt;"",$H326=0),LEFT(LOWER(TRIM($F326&amp;"")),9)="free game",LOWER(TRIM($F326&amp;""))="free",LOWER(TRIM($F326&amp;""))="free entry"),IF(LOWER($D326&amp;"")="finalized",IF(ISNUMBER($K326),$K326,""),IF($O326&lt;&gt;"",$O326,"")),IF($K326&lt;&gt;"",$K326,IF($O326&lt;&gt;"",$O326,""))))))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IF(COUNTA($A326:$M326)=0,"",IF(OR(LEFT(LOWER(TRIM($F326&amp;"")),12)="subscription",LOWER(TRIM($F326&amp;""))="membership"),"Subscription",IF(OR(AND($H326&lt;&gt;"",$H326=0),LEFT(LOWER(TRIM($F326&amp;"")),9)="free game",LOWER(TRIM($F326&amp;""))="free",LOWER(TRIM($F326&amp;""))="free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IF(COUNTA($A327:$M327)=0,"",IF(OR(LEFT(LOWER(TRIM($F327&amp;"")),12)="subscription",LOWER(TRIM($F327&amp;""))="membership"),"",IF($G327="","",IF(ISNUMBER(SEARCH("non",LOWER($E327&amp;""))),$G327*0.85,$G327))))</x:f>
      </x:c>
      <x:c r="O327" s="987" t="str">
        <x:f>IF(COUNTA($A327:$M327)=0,"",IF(OR(LEFT(LOWER(TRIM($F327&amp;"")),12)="subscription",LOWER(TRIM($F327&amp;""))="membership"),"",IF(OR($N327="",$I327="",$I327=0),"",IFERROR($N327/$I327,""))))</x:f>
      </x:c>
      <x:c r="P327" s="987" t="str">
        <x:f>IF(COUNTA($A327:$M327)=0,"",IF(OR(LEFT(LOWER(TRIM($F327&amp;"")),12)="subscription",LOWER(TRIM($F327&amp;""))="membership"),"",IF(LOWER($L327&amp;"")="yes",0,IF(OR(AND($H327&lt;&gt;"",$H327=0),LEFT(LOWER(TRIM($F327&amp;"")),9)="free game",LOWER(TRIM($F327&amp;""))="free",LOWER(TRIM($F327&amp;""))="free entry"),IF(LOWER($D327&amp;"")="finalized",IF(ISNUMBER($K327),$K327,""),IF($O327&lt;&gt;"",$O327,"")),IF($K327&lt;&gt;"",$K327,IF($O327&lt;&gt;"",$O327,""))))))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IF(COUNTA($A327:$M327)=0,"",IF(OR(LEFT(LOWER(TRIM($F327&amp;"")),12)="subscription",LOWER(TRIM($F327&amp;""))="membership"),"Subscription",IF(OR(AND($H327&lt;&gt;"",$H327=0),LEFT(LOWER(TRIM($F327&amp;"")),9)="free game",LOWER(TRIM($F327&amp;""))="free",LOWER(TRIM($F327&amp;""))="free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IF(COUNTA($A328:$M328)=0,"",IF(OR(LEFT(LOWER(TRIM($F328&amp;"")),12)="subscription",LOWER(TRIM($F328&amp;""))="membership"),"",IF($G328="","",IF(ISNUMBER(SEARCH("non",LOWER($E328&amp;""))),$G328*0.85,$G328))))</x:f>
      </x:c>
      <x:c r="O328" s="987" t="str">
        <x:f>IF(COUNTA($A328:$M328)=0,"",IF(OR(LEFT(LOWER(TRIM($F328&amp;"")),12)="subscription",LOWER(TRIM($F328&amp;""))="membership"),"",IF(OR($N328="",$I328="",$I328=0),"",IFERROR($N328/$I328,""))))</x:f>
      </x:c>
      <x:c r="P328" s="987" t="str">
        <x:f>IF(COUNTA($A328:$M328)=0,"",IF(OR(LEFT(LOWER(TRIM($F328&amp;"")),12)="subscription",LOWER(TRIM($F328&amp;""))="membership"),"",IF(LOWER($L328&amp;"")="yes",0,IF(OR(AND($H328&lt;&gt;"",$H328=0),LEFT(LOWER(TRIM($F328&amp;"")),9)="free game",LOWER(TRIM($F328&amp;""))="free",LOWER(TRIM($F328&amp;""))="free entry"),IF(LOWER($D328&amp;"")="finalized",IF(ISNUMBER($K328),$K328,""),IF($O328&lt;&gt;"",$O328,"")),IF($K328&lt;&gt;"",$K328,IF($O328&lt;&gt;"",$O328,""))))))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IF(COUNTA($A328:$M328)=0,"",IF(OR(LEFT(LOWER(TRIM($F328&amp;"")),12)="subscription",LOWER(TRIM($F328&amp;""))="membership"),"Subscription",IF(OR(AND($H328&lt;&gt;"",$H328=0),LEFT(LOWER(TRIM($F328&amp;"")),9)="free game",LOWER(TRIM($F328&amp;""))="free",LOWER(TRIM($F328&amp;""))="free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IF(COUNTA($A329:$M329)=0,"",IF(OR(LEFT(LOWER(TRIM($F329&amp;"")),12)="subscription",LOWER(TRIM($F329&amp;""))="membership"),"",IF($G329="","",IF(ISNUMBER(SEARCH("non",LOWER($E329&amp;""))),$G329*0.85,$G329))))</x:f>
      </x:c>
      <x:c r="O329" s="987" t="str">
        <x:f>IF(COUNTA($A329:$M329)=0,"",IF(OR(LEFT(LOWER(TRIM($F329&amp;"")),12)="subscription",LOWER(TRIM($F329&amp;""))="membership"),"",IF(OR($N329="",$I329="",$I329=0),"",IFERROR($N329/$I329,""))))</x:f>
      </x:c>
      <x:c r="P329" s="987" t="str">
        <x:f>IF(COUNTA($A329:$M329)=0,"",IF(OR(LEFT(LOWER(TRIM($F329&amp;"")),12)="subscription",LOWER(TRIM($F329&amp;""))="membership"),"",IF(LOWER($L329&amp;"")="yes",0,IF(OR(AND($H329&lt;&gt;"",$H329=0),LEFT(LOWER(TRIM($F329&amp;"")),9)="free game",LOWER(TRIM($F329&amp;""))="free",LOWER(TRIM($F329&amp;""))="free entry"),IF(LOWER($D329&amp;"")="finalized",IF(ISNUMBER($K329),$K329,""),IF($O329&lt;&gt;"",$O329,"")),IF($K329&lt;&gt;"",$K329,IF($O329&lt;&gt;"",$O329,""))))))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IF(COUNTA($A329:$M329)=0,"",IF(OR(LEFT(LOWER(TRIM($F329&amp;"")),12)="subscription",LOWER(TRIM($F329&amp;""))="membership"),"Subscription",IF(OR(AND($H329&lt;&gt;"",$H329=0),LEFT(LOWER(TRIM($F329&amp;"")),9)="free game",LOWER(TRIM($F329&amp;""))="free",LOWER(TRIM($F329&amp;""))="free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IF(COUNTA($A330:$M330)=0,"",IF(OR(LEFT(LOWER(TRIM($F330&amp;"")),12)="subscription",LOWER(TRIM($F330&amp;""))="membership"),"",IF($G330="","",IF(ISNUMBER(SEARCH("non",LOWER($E330&amp;""))),$G330*0.85,$G330))))</x:f>
      </x:c>
      <x:c r="O330" s="987" t="str">
        <x:f>IF(COUNTA($A330:$M330)=0,"",IF(OR(LEFT(LOWER(TRIM($F330&amp;"")),12)="subscription",LOWER(TRIM($F330&amp;""))="membership"),"",IF(OR($N330="",$I330="",$I330=0),"",IFERROR($N330/$I330,""))))</x:f>
      </x:c>
      <x:c r="P330" s="987" t="str">
        <x:f>IF(COUNTA($A330:$M330)=0,"",IF(OR(LEFT(LOWER(TRIM($F330&amp;"")),12)="subscription",LOWER(TRIM($F330&amp;""))="membership"),"",IF(LOWER($L330&amp;"")="yes",0,IF(OR(AND($H330&lt;&gt;"",$H330=0),LEFT(LOWER(TRIM($F330&amp;"")),9)="free game",LOWER(TRIM($F330&amp;""))="free",LOWER(TRIM($F330&amp;""))="free entry"),IF(LOWER($D330&amp;"")="finalized",IF(ISNUMBER($K330),$K330,""),IF($O330&lt;&gt;"",$O330,"")),IF($K330&lt;&gt;"",$K330,IF($O330&lt;&gt;"",$O330,""))))))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IF(COUNTA($A330:$M330)=0,"",IF(OR(LEFT(LOWER(TRIM($F330&amp;"")),12)="subscription",LOWER(TRIM($F330&amp;""))="membership"),"Subscription",IF(OR(AND($H330&lt;&gt;"",$H330=0),LEFT(LOWER(TRIM($F330&amp;"")),9)="free game",LOWER(TRIM($F330&amp;""))="free",LOWER(TRIM($F330&amp;""))="free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IF(COUNTA($A331:$M331)=0,"",IF(OR(LEFT(LOWER(TRIM($F331&amp;"")),12)="subscription",LOWER(TRIM($F331&amp;""))="membership"),"",IF($G331="","",IF(ISNUMBER(SEARCH("non",LOWER($E331&amp;""))),$G331*0.85,$G331))))</x:f>
      </x:c>
      <x:c r="O331" s="987" t="str">
        <x:f>IF(COUNTA($A331:$M331)=0,"",IF(OR(LEFT(LOWER(TRIM($F331&amp;"")),12)="subscription",LOWER(TRIM($F331&amp;""))="membership"),"",IF(OR($N331="",$I331="",$I331=0),"",IFERROR($N331/$I331,""))))</x:f>
      </x:c>
      <x:c r="P331" s="987" t="str">
        <x:f>IF(COUNTA($A331:$M331)=0,"",IF(OR(LEFT(LOWER(TRIM($F331&amp;"")),12)="subscription",LOWER(TRIM($F331&amp;""))="membership"),"",IF(LOWER($L331&amp;"")="yes",0,IF(OR(AND($H331&lt;&gt;"",$H331=0),LEFT(LOWER(TRIM($F331&amp;"")),9)="free game",LOWER(TRIM($F331&amp;""))="free",LOWER(TRIM($F331&amp;""))="free entry"),IF(LOWER($D331&amp;"")="finalized",IF(ISNUMBER($K331),$K331,""),IF($O331&lt;&gt;"",$O331,"")),IF($K331&lt;&gt;"",$K331,IF($O331&lt;&gt;"",$O331,""))))))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IF(COUNTA($A331:$M331)=0,"",IF(OR(LEFT(LOWER(TRIM($F331&amp;"")),12)="subscription",LOWER(TRIM($F331&amp;""))="membership"),"Subscription",IF(OR(AND($H331&lt;&gt;"",$H331=0),LEFT(LOWER(TRIM($F331&amp;"")),9)="free game",LOWER(TRIM($F331&amp;""))="free",LOWER(TRIM($F331&amp;""))="free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IF(COUNTA($A332:$M332)=0,"",IF(OR(LEFT(LOWER(TRIM($F332&amp;"")),12)="subscription",LOWER(TRIM($F332&amp;""))="membership"),"",IF($G332="","",IF(ISNUMBER(SEARCH("non",LOWER($E332&amp;""))),$G332*0.85,$G332))))</x:f>
      </x:c>
      <x:c r="O332" s="987" t="str">
        <x:f>IF(COUNTA($A332:$M332)=0,"",IF(OR(LEFT(LOWER(TRIM($F332&amp;"")),12)="subscription",LOWER(TRIM($F332&amp;""))="membership"),"",IF(OR($N332="",$I332="",$I332=0),"",IFERROR($N332/$I332,""))))</x:f>
      </x:c>
      <x:c r="P332" s="987" t="str">
        <x:f>IF(COUNTA($A332:$M332)=0,"",IF(OR(LEFT(LOWER(TRIM($F332&amp;"")),12)="subscription",LOWER(TRIM($F332&amp;""))="membership"),"",IF(LOWER($L332&amp;"")="yes",0,IF(OR(AND($H332&lt;&gt;"",$H332=0),LEFT(LOWER(TRIM($F332&amp;"")),9)="free game",LOWER(TRIM($F332&amp;""))="free",LOWER(TRIM($F332&amp;""))="free entry"),IF(LOWER($D332&amp;"")="finalized",IF(ISNUMBER($K332),$K332,""),IF($O332&lt;&gt;"",$O332,"")),IF($K332&lt;&gt;"",$K332,IF($O332&lt;&gt;"",$O332,""))))))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IF(COUNTA($A332:$M332)=0,"",IF(OR(LEFT(LOWER(TRIM($F332&amp;"")),12)="subscription",LOWER(TRIM($F332&amp;""))="membership"),"Subscription",IF(OR(AND($H332&lt;&gt;"",$H332=0),LEFT(LOWER(TRIM($F332&amp;"")),9)="free game",LOWER(TRIM($F332&amp;""))="free",LOWER(TRIM($F332&amp;""))="free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IF(COUNTA($A333:$M333)=0,"",IF(OR(LEFT(LOWER(TRIM($F333&amp;"")),12)="subscription",LOWER(TRIM($F333&amp;""))="membership"),"",IF($G333="","",IF(ISNUMBER(SEARCH("non",LOWER($E333&amp;""))),$G333*0.85,$G333))))</x:f>
      </x:c>
      <x:c r="O333" s="987" t="str">
        <x:f>IF(COUNTA($A333:$M333)=0,"",IF(OR(LEFT(LOWER(TRIM($F333&amp;"")),12)="subscription",LOWER(TRIM($F333&amp;""))="membership"),"",IF(OR($N333="",$I333="",$I333=0),"",IFERROR($N333/$I333,""))))</x:f>
      </x:c>
      <x:c r="P333" s="987" t="str">
        <x:f>IF(COUNTA($A333:$M333)=0,"",IF(OR(LEFT(LOWER(TRIM($F333&amp;"")),12)="subscription",LOWER(TRIM($F333&amp;""))="membership"),"",IF(LOWER($L333&amp;"")="yes",0,IF(OR(AND($H333&lt;&gt;"",$H333=0),LEFT(LOWER(TRIM($F333&amp;"")),9)="free game",LOWER(TRIM($F333&amp;""))="free",LOWER(TRIM($F333&amp;""))="free entry"),IF(LOWER($D333&amp;"")="finalized",IF(ISNUMBER($K333),$K333,""),IF($O333&lt;&gt;"",$O333,"")),IF($K333&lt;&gt;"",$K333,IF($O333&lt;&gt;"",$O333,""))))))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IF(COUNTA($A333:$M333)=0,"",IF(OR(LEFT(LOWER(TRIM($F333&amp;"")),12)="subscription",LOWER(TRIM($F333&amp;""))="membership"),"Subscription",IF(OR(AND($H333&lt;&gt;"",$H333=0),LEFT(LOWER(TRIM($F333&amp;"")),9)="free game",LOWER(TRIM($F333&amp;""))="free",LOWER(TRIM($F333&amp;""))="free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IF(COUNTA($A334:$M334)=0,"",IF(OR(LEFT(LOWER(TRIM($F334&amp;"")),12)="subscription",LOWER(TRIM($F334&amp;""))="membership"),"",IF($G334="","",IF(ISNUMBER(SEARCH("non",LOWER($E334&amp;""))),$G334*0.85,$G334))))</x:f>
      </x:c>
      <x:c r="O334" s="987" t="str">
        <x:f>IF(COUNTA($A334:$M334)=0,"",IF(OR(LEFT(LOWER(TRIM($F334&amp;"")),12)="subscription",LOWER(TRIM($F334&amp;""))="membership"),"",IF(OR($N334="",$I334="",$I334=0),"",IFERROR($N334/$I334,""))))</x:f>
      </x:c>
      <x:c r="P334" s="987" t="str">
        <x:f>IF(COUNTA($A334:$M334)=0,"",IF(OR(LEFT(LOWER(TRIM($F334&amp;"")),12)="subscription",LOWER(TRIM($F334&amp;""))="membership"),"",IF(LOWER($L334&amp;"")="yes",0,IF(OR(AND($H334&lt;&gt;"",$H334=0),LEFT(LOWER(TRIM($F334&amp;"")),9)="free game",LOWER(TRIM($F334&amp;""))="free",LOWER(TRIM($F334&amp;""))="free entry"),IF(LOWER($D334&amp;"")="finalized",IF(ISNUMBER($K334),$K334,""),IF($O334&lt;&gt;"",$O334,"")),IF($K334&lt;&gt;"",$K334,IF($O334&lt;&gt;"",$O334,""))))))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IF(COUNTA($A334:$M334)=0,"",IF(OR(LEFT(LOWER(TRIM($F334&amp;"")),12)="subscription",LOWER(TRIM($F334&amp;""))="membership"),"Subscription",IF(OR(AND($H334&lt;&gt;"",$H334=0),LEFT(LOWER(TRIM($F334&amp;"")),9)="free game",LOWER(TRIM($F334&amp;""))="free",LOWER(TRIM($F334&amp;""))="free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IF(COUNTA($A335:$M335)=0,"",IF(OR(LEFT(LOWER(TRIM($F335&amp;"")),12)="subscription",LOWER(TRIM($F335&amp;""))="membership"),"",IF($G335="","",IF(ISNUMBER(SEARCH("non",LOWER($E335&amp;""))),$G335*0.85,$G335))))</x:f>
      </x:c>
      <x:c r="O335" s="987" t="str">
        <x:f>IF(COUNTA($A335:$M335)=0,"",IF(OR(LEFT(LOWER(TRIM($F335&amp;"")),12)="subscription",LOWER(TRIM($F335&amp;""))="membership"),"",IF(OR($N335="",$I335="",$I335=0),"",IFERROR($N335/$I335,""))))</x:f>
      </x:c>
      <x:c r="P335" s="987" t="str">
        <x:f>IF(COUNTA($A335:$M335)=0,"",IF(OR(LEFT(LOWER(TRIM($F335&amp;"")),12)="subscription",LOWER(TRIM($F335&amp;""))="membership"),"",IF(LOWER($L335&amp;"")="yes",0,IF(OR(AND($H335&lt;&gt;"",$H335=0),LEFT(LOWER(TRIM($F335&amp;"")),9)="free game",LOWER(TRIM($F335&amp;""))="free",LOWER(TRIM($F335&amp;""))="free entry"),IF(LOWER($D335&amp;"")="finalized",IF(ISNUMBER($K335),$K335,""),IF($O335&lt;&gt;"",$O335,"")),IF($K335&lt;&gt;"",$K335,IF($O335&lt;&gt;"",$O335,""))))))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IF(COUNTA($A335:$M335)=0,"",IF(OR(LEFT(LOWER(TRIM($F335&amp;"")),12)="subscription",LOWER(TRIM($F335&amp;""))="membership"),"Subscription",IF(OR(AND($H335&lt;&gt;"",$H335=0),LEFT(LOWER(TRIM($F335&amp;"")),9)="free game",LOWER(TRIM($F335&amp;""))="free",LOWER(TRIM($F335&amp;""))="free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IF(COUNTA($A336:$M336)=0,"",IF(OR(LEFT(LOWER(TRIM($F336&amp;"")),12)="subscription",LOWER(TRIM($F336&amp;""))="membership"),"",IF($G336="","",IF(ISNUMBER(SEARCH("non",LOWER($E336&amp;""))),$G336*0.85,$G336))))</x:f>
      </x:c>
      <x:c r="O336" s="987" t="str">
        <x:f>IF(COUNTA($A336:$M336)=0,"",IF(OR(LEFT(LOWER(TRIM($F336&amp;"")),12)="subscription",LOWER(TRIM($F336&amp;""))="membership"),"",IF(OR($N336="",$I336="",$I336=0),"",IFERROR($N336/$I336,""))))</x:f>
      </x:c>
      <x:c r="P336" s="987" t="str">
        <x:f>IF(COUNTA($A336:$M336)=0,"",IF(OR(LEFT(LOWER(TRIM($F336&amp;"")),12)="subscription",LOWER(TRIM($F336&amp;""))="membership"),"",IF(LOWER($L336&amp;"")="yes",0,IF(OR(AND($H336&lt;&gt;"",$H336=0),LEFT(LOWER(TRIM($F336&amp;"")),9)="free game",LOWER(TRIM($F336&amp;""))="free",LOWER(TRIM($F336&amp;""))="free entry"),IF(LOWER($D336&amp;"")="finalized",IF(ISNUMBER($K336),$K336,""),IF($O336&lt;&gt;"",$O336,"")),IF($K336&lt;&gt;"",$K336,IF($O336&lt;&gt;"",$O336,""))))))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IF(COUNTA($A336:$M336)=0,"",IF(OR(LEFT(LOWER(TRIM($F336&amp;"")),12)="subscription",LOWER(TRIM($F336&amp;""))="membership"),"Subscription",IF(OR(AND($H336&lt;&gt;"",$H336=0),LEFT(LOWER(TRIM($F336&amp;"")),9)="free game",LOWER(TRIM($F336&amp;""))="free",LOWER(TRIM($F336&amp;""))="free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IF(COUNTA($A337:$M337)=0,"",IF(OR(LEFT(LOWER(TRIM($F337&amp;"")),12)="subscription",LOWER(TRIM($F337&amp;""))="membership"),"",IF($G337="","",IF(ISNUMBER(SEARCH("non",LOWER($E337&amp;""))),$G337*0.85,$G337))))</x:f>
      </x:c>
      <x:c r="O337" s="987" t="str">
        <x:f>IF(COUNTA($A337:$M337)=0,"",IF(OR(LEFT(LOWER(TRIM($F337&amp;"")),12)="subscription",LOWER(TRIM($F337&amp;""))="membership"),"",IF(OR($N337="",$I337="",$I337=0),"",IFERROR($N337/$I337,""))))</x:f>
      </x:c>
      <x:c r="P337" s="987" t="str">
        <x:f>IF(COUNTA($A337:$M337)=0,"",IF(OR(LEFT(LOWER(TRIM($F337&amp;"")),12)="subscription",LOWER(TRIM($F337&amp;""))="membership"),"",IF(LOWER($L337&amp;"")="yes",0,IF(OR(AND($H337&lt;&gt;"",$H337=0),LEFT(LOWER(TRIM($F337&amp;"")),9)="free game",LOWER(TRIM($F337&amp;""))="free",LOWER(TRIM($F337&amp;""))="free entry"),IF(LOWER($D337&amp;"")="finalized",IF(ISNUMBER($K337),$K337,""),IF($O337&lt;&gt;"",$O337,"")),IF($K337&lt;&gt;"",$K337,IF($O337&lt;&gt;"",$O337,""))))))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IF(COUNTA($A337:$M337)=0,"",IF(OR(LEFT(LOWER(TRIM($F337&amp;"")),12)="subscription",LOWER(TRIM($F337&amp;""))="membership"),"Subscription",IF(OR(AND($H337&lt;&gt;"",$H337=0),LEFT(LOWER(TRIM($F337&amp;"")),9)="free game",LOWER(TRIM($F337&amp;""))="free",LOWER(TRIM($F337&amp;""))="free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IF(COUNTA($A338:$M338)=0,"",IF(OR(LEFT(LOWER(TRIM($F338&amp;"")),12)="subscription",LOWER(TRIM($F338&amp;""))="membership"),"",IF($G338="","",IF(ISNUMBER(SEARCH("non",LOWER($E338&amp;""))),$G338*0.85,$G338))))</x:f>
      </x:c>
      <x:c r="O338" s="987" t="str">
        <x:f>IF(COUNTA($A338:$M338)=0,"",IF(OR(LEFT(LOWER(TRIM($F338&amp;"")),12)="subscription",LOWER(TRIM($F338&amp;""))="membership"),"",IF(OR($N338="",$I338="",$I338=0),"",IFERROR($N338/$I338,""))))</x:f>
      </x:c>
      <x:c r="P338" s="987" t="str">
        <x:f>IF(COUNTA($A338:$M338)=0,"",IF(OR(LEFT(LOWER(TRIM($F338&amp;"")),12)="subscription",LOWER(TRIM($F338&amp;""))="membership"),"",IF(LOWER($L338&amp;"")="yes",0,IF(OR(AND($H338&lt;&gt;"",$H338=0),LEFT(LOWER(TRIM($F338&amp;"")),9)="free game",LOWER(TRIM($F338&amp;""))="free",LOWER(TRIM($F338&amp;""))="free entry"),IF(LOWER($D338&amp;"")="finalized",IF(ISNUMBER($K338),$K338,""),IF($O338&lt;&gt;"",$O338,"")),IF($K338&lt;&gt;"",$K338,IF($O338&lt;&gt;"",$O338,""))))))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IF(COUNTA($A338:$M338)=0,"",IF(OR(LEFT(LOWER(TRIM($F338&amp;"")),12)="subscription",LOWER(TRIM($F338&amp;""))="membership"),"Subscription",IF(OR(AND($H338&lt;&gt;"",$H338=0),LEFT(LOWER(TRIM($F338&amp;"")),9)="free game",LOWER(TRIM($F338&amp;""))="free",LOWER(TRIM($F338&amp;""))="free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IF(COUNTA($A339:$M339)=0,"",IF(OR(LEFT(LOWER(TRIM($F339&amp;"")),12)="subscription",LOWER(TRIM($F339&amp;""))="membership"),"",IF($G339="","",IF(ISNUMBER(SEARCH("non",LOWER($E339&amp;""))),$G339*0.85,$G339))))</x:f>
      </x:c>
      <x:c r="O339" s="987" t="str">
        <x:f>IF(COUNTA($A339:$M339)=0,"",IF(OR(LEFT(LOWER(TRIM($F339&amp;"")),12)="subscription",LOWER(TRIM($F339&amp;""))="membership"),"",IF(OR($N339="",$I339="",$I339=0),"",IFERROR($N339/$I339,""))))</x:f>
      </x:c>
      <x:c r="P339" s="987" t="str">
        <x:f>IF(COUNTA($A339:$M339)=0,"",IF(OR(LEFT(LOWER(TRIM($F339&amp;"")),12)="subscription",LOWER(TRIM($F339&amp;""))="membership"),"",IF(LOWER($L339&amp;"")="yes",0,IF(OR(AND($H339&lt;&gt;"",$H339=0),LEFT(LOWER(TRIM($F339&amp;"")),9)="free game",LOWER(TRIM($F339&amp;""))="free",LOWER(TRIM($F339&amp;""))="free entry"),IF(LOWER($D339&amp;"")="finalized",IF(ISNUMBER($K339),$K339,""),IF($O339&lt;&gt;"",$O339,"")),IF($K339&lt;&gt;"",$K339,IF($O339&lt;&gt;"",$O339,""))))))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IF(COUNTA($A339:$M339)=0,"",IF(OR(LEFT(LOWER(TRIM($F339&amp;"")),12)="subscription",LOWER(TRIM($F339&amp;""))="membership"),"Subscription",IF(OR(AND($H339&lt;&gt;"",$H339=0),LEFT(LOWER(TRIM($F339&amp;"")),9)="free game",LOWER(TRIM($F339&amp;""))="free",LOWER(TRIM($F339&amp;""))="free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IF(COUNTA($A340:$M340)=0,"",IF(OR(LEFT(LOWER(TRIM($F340&amp;"")),12)="subscription",LOWER(TRIM($F340&amp;""))="membership"),"",IF($G340="","",IF(ISNUMBER(SEARCH("non",LOWER($E340&amp;""))),$G340*0.85,$G340))))</x:f>
      </x:c>
      <x:c r="O340" s="987" t="str">
        <x:f>IF(COUNTA($A340:$M340)=0,"",IF(OR(LEFT(LOWER(TRIM($F340&amp;"")),12)="subscription",LOWER(TRIM($F340&amp;""))="membership"),"",IF(OR($N340="",$I340="",$I340=0),"",IFERROR($N340/$I340,""))))</x:f>
      </x:c>
      <x:c r="P340" s="987" t="str">
        <x:f>IF(COUNTA($A340:$M340)=0,"",IF(OR(LEFT(LOWER(TRIM($F340&amp;"")),12)="subscription",LOWER(TRIM($F340&amp;""))="membership"),"",IF(LOWER($L340&amp;"")="yes",0,IF(OR(AND($H340&lt;&gt;"",$H340=0),LEFT(LOWER(TRIM($F340&amp;"")),9)="free game",LOWER(TRIM($F340&amp;""))="free",LOWER(TRIM($F340&amp;""))="free entry"),IF(LOWER($D340&amp;"")="finalized",IF(ISNUMBER($K340),$K340,""),IF($O340&lt;&gt;"",$O340,"")),IF($K340&lt;&gt;"",$K340,IF($O340&lt;&gt;"",$O340,""))))))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IF(COUNTA($A340:$M340)=0,"",IF(OR(LEFT(LOWER(TRIM($F340&amp;"")),12)="subscription",LOWER(TRIM($F340&amp;""))="membership"),"Subscription",IF(OR(AND($H340&lt;&gt;"",$H340=0),LEFT(LOWER(TRIM($F340&amp;"")),9)="free game",LOWER(TRIM($F340&amp;""))="free",LOWER(TRIM($F340&amp;""))="free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IF(COUNTA($A341:$M341)=0,"",IF(OR(LEFT(LOWER(TRIM($F341&amp;"")),12)="subscription",LOWER(TRIM($F341&amp;""))="membership"),"",IF($G341="","",IF(ISNUMBER(SEARCH("non",LOWER($E341&amp;""))),$G341*0.85,$G341))))</x:f>
      </x:c>
      <x:c r="O341" s="987" t="str">
        <x:f>IF(COUNTA($A341:$M341)=0,"",IF(OR(LEFT(LOWER(TRIM($F341&amp;"")),12)="subscription",LOWER(TRIM($F341&amp;""))="membership"),"",IF(OR($N341="",$I341="",$I341=0),"",IFERROR($N341/$I341,""))))</x:f>
      </x:c>
      <x:c r="P341" s="987" t="str">
        <x:f>IF(COUNTA($A341:$M341)=0,"",IF(OR(LEFT(LOWER(TRIM($F341&amp;"")),12)="subscription",LOWER(TRIM($F341&amp;""))="membership"),"",IF(LOWER($L341&amp;"")="yes",0,IF(OR(AND($H341&lt;&gt;"",$H341=0),LEFT(LOWER(TRIM($F341&amp;"")),9)="free game",LOWER(TRIM($F341&amp;""))="free",LOWER(TRIM($F341&amp;""))="free entry"),IF(LOWER($D341&amp;"")="finalized",IF(ISNUMBER($K341),$K341,""),IF($O341&lt;&gt;"",$O341,"")),IF($K341&lt;&gt;"",$K341,IF($O341&lt;&gt;"",$O341,""))))))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IF(COUNTA($A341:$M341)=0,"",IF(OR(LEFT(LOWER(TRIM($F341&amp;"")),12)="subscription",LOWER(TRIM($F341&amp;""))="membership"),"Subscription",IF(OR(AND($H341&lt;&gt;"",$H341=0),LEFT(LOWER(TRIM($F341&amp;"")),9)="free game",LOWER(TRIM($F341&amp;""))="free",LOWER(TRIM($F341&amp;""))="free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IF(COUNTA($A342:$M342)=0,"",IF(OR(LEFT(LOWER(TRIM($F342&amp;"")),12)="subscription",LOWER(TRIM($F342&amp;""))="membership"),"",IF($G342="","",IF(ISNUMBER(SEARCH("non",LOWER($E342&amp;""))),$G342*0.85,$G342))))</x:f>
      </x:c>
      <x:c r="O342" s="987" t="str">
        <x:f>IF(COUNTA($A342:$M342)=0,"",IF(OR(LEFT(LOWER(TRIM($F342&amp;"")),12)="subscription",LOWER(TRIM($F342&amp;""))="membership"),"",IF(OR($N342="",$I342="",$I342=0),"",IFERROR($N342/$I342,""))))</x:f>
      </x:c>
      <x:c r="P342" s="987" t="str">
        <x:f>IF(COUNTA($A342:$M342)=0,"",IF(OR(LEFT(LOWER(TRIM($F342&amp;"")),12)="subscription",LOWER(TRIM($F342&amp;""))="membership"),"",IF(LOWER($L342&amp;"")="yes",0,IF(OR(AND($H342&lt;&gt;"",$H342=0),LEFT(LOWER(TRIM($F342&amp;"")),9)="free game",LOWER(TRIM($F342&amp;""))="free",LOWER(TRIM($F342&amp;""))="free entry"),IF(LOWER($D342&amp;"")="finalized",IF(ISNUMBER($K342),$K342,""),IF($O342&lt;&gt;"",$O342,"")),IF($K342&lt;&gt;"",$K342,IF($O342&lt;&gt;"",$O342,""))))))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IF(COUNTA($A342:$M342)=0,"",IF(OR(LEFT(LOWER(TRIM($F342&amp;"")),12)="subscription",LOWER(TRIM($F342&amp;""))="membership"),"Subscription",IF(OR(AND($H342&lt;&gt;"",$H342=0),LEFT(LOWER(TRIM($F342&amp;"")),9)="free game",LOWER(TRIM($F342&amp;""))="free",LOWER(TRIM($F342&amp;""))="free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IF(COUNTA($A343:$M343)=0,"",IF(OR(LEFT(LOWER(TRIM($F343&amp;"")),12)="subscription",LOWER(TRIM($F343&amp;""))="membership"),"",IF($G343="","",IF(ISNUMBER(SEARCH("non",LOWER($E343&amp;""))),$G343*0.85,$G343))))</x:f>
      </x:c>
      <x:c r="O343" s="987" t="str">
        <x:f>IF(COUNTA($A343:$M343)=0,"",IF(OR(LEFT(LOWER(TRIM($F343&amp;"")),12)="subscription",LOWER(TRIM($F343&amp;""))="membership"),"",IF(OR($N343="",$I343="",$I343=0),"",IFERROR($N343/$I343,""))))</x:f>
      </x:c>
      <x:c r="P343" s="987" t="str">
        <x:f>IF(COUNTA($A343:$M343)=0,"",IF(OR(LEFT(LOWER(TRIM($F343&amp;"")),12)="subscription",LOWER(TRIM($F343&amp;""))="membership"),"",IF(LOWER($L343&amp;"")="yes",0,IF(OR(AND($H343&lt;&gt;"",$H343=0),LEFT(LOWER(TRIM($F343&amp;"")),9)="free game",LOWER(TRIM($F343&amp;""))="free",LOWER(TRIM($F343&amp;""))="free entry"),IF(LOWER($D343&amp;"")="finalized",IF(ISNUMBER($K343),$K343,""),IF($O343&lt;&gt;"",$O343,"")),IF($K343&lt;&gt;"",$K343,IF($O343&lt;&gt;"",$O343,""))))))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IF(COUNTA($A343:$M343)=0,"",IF(OR(LEFT(LOWER(TRIM($F343&amp;"")),12)="subscription",LOWER(TRIM($F343&amp;""))="membership"),"Subscription",IF(OR(AND($H343&lt;&gt;"",$H343=0),LEFT(LOWER(TRIM($F343&amp;"")),9)="free game",LOWER(TRIM($F343&amp;""))="free",LOWER(TRIM($F343&amp;""))="free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IF(COUNTA($A344:$M344)=0,"",IF(OR(LEFT(LOWER(TRIM($F344&amp;"")),12)="subscription",LOWER(TRIM($F344&amp;""))="membership"),"",IF($G344="","",IF(ISNUMBER(SEARCH("non",LOWER($E344&amp;""))),$G344*0.85,$G344))))</x:f>
      </x:c>
      <x:c r="O344" s="987" t="str">
        <x:f>IF(COUNTA($A344:$M344)=0,"",IF(OR(LEFT(LOWER(TRIM($F344&amp;"")),12)="subscription",LOWER(TRIM($F344&amp;""))="membership"),"",IF(OR($N344="",$I344="",$I344=0),"",IFERROR($N344/$I344,""))))</x:f>
      </x:c>
      <x:c r="P344" s="987" t="str">
        <x:f>IF(COUNTA($A344:$M344)=0,"",IF(OR(LEFT(LOWER(TRIM($F344&amp;"")),12)="subscription",LOWER(TRIM($F344&amp;""))="membership"),"",IF(LOWER($L344&amp;"")="yes",0,IF(OR(AND($H344&lt;&gt;"",$H344=0),LEFT(LOWER(TRIM($F344&amp;"")),9)="free game",LOWER(TRIM($F344&amp;""))="free",LOWER(TRIM($F344&amp;""))="free entry"),IF(LOWER($D344&amp;"")="finalized",IF(ISNUMBER($K344),$K344,""),IF($O344&lt;&gt;"",$O344,"")),IF($K344&lt;&gt;"",$K344,IF($O344&lt;&gt;"",$O344,""))))))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IF(COUNTA($A344:$M344)=0,"",IF(OR(LEFT(LOWER(TRIM($F344&amp;"")),12)="subscription",LOWER(TRIM($F344&amp;""))="membership"),"Subscription",IF(OR(AND($H344&lt;&gt;"",$H344=0),LEFT(LOWER(TRIM($F344&amp;"")),9)="free game",LOWER(TRIM($F344&amp;""))="free",LOWER(TRIM($F344&amp;""))="free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IF(COUNTA($A345:$M345)=0,"",IF(OR(LEFT(LOWER(TRIM($F345&amp;"")),12)="subscription",LOWER(TRIM($F345&amp;""))="membership"),"",IF($G345="","",IF(ISNUMBER(SEARCH("non",LOWER($E345&amp;""))),$G345*0.85,$G345))))</x:f>
      </x:c>
      <x:c r="O345" s="987" t="str">
        <x:f>IF(COUNTA($A345:$M345)=0,"",IF(OR(LEFT(LOWER(TRIM($F345&amp;"")),12)="subscription",LOWER(TRIM($F345&amp;""))="membership"),"",IF(OR($N345="",$I345="",$I345=0),"",IFERROR($N345/$I345,""))))</x:f>
      </x:c>
      <x:c r="P345" s="987" t="str">
        <x:f>IF(COUNTA($A345:$M345)=0,"",IF(OR(LEFT(LOWER(TRIM($F345&amp;"")),12)="subscription",LOWER(TRIM($F345&amp;""))="membership"),"",IF(LOWER($L345&amp;"")="yes",0,IF(OR(AND($H345&lt;&gt;"",$H345=0),LEFT(LOWER(TRIM($F345&amp;"")),9)="free game",LOWER(TRIM($F345&amp;""))="free",LOWER(TRIM($F345&amp;""))="free entry"),IF(LOWER($D345&amp;"")="finalized",IF(ISNUMBER($K345),$K345,""),IF($O345&lt;&gt;"",$O345,"")),IF($K345&lt;&gt;"",$K345,IF($O345&lt;&gt;"",$O345,""))))))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IF(COUNTA($A345:$M345)=0,"",IF(OR(LEFT(LOWER(TRIM($F345&amp;"")),12)="subscription",LOWER(TRIM($F345&amp;""))="membership"),"Subscription",IF(OR(AND($H345&lt;&gt;"",$H345=0),LEFT(LOWER(TRIM($F345&amp;"")),9)="free game",LOWER(TRIM($F345&amp;""))="free",LOWER(TRIM($F345&amp;""))="free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IF(COUNTA($A346:$M346)=0,"",IF(OR(LEFT(LOWER(TRIM($F346&amp;"")),12)="subscription",LOWER(TRIM($F346&amp;""))="membership"),"",IF($G346="","",IF(ISNUMBER(SEARCH("non",LOWER($E346&amp;""))),$G346*0.85,$G346))))</x:f>
      </x:c>
      <x:c r="O346" s="987" t="str">
        <x:f>IF(COUNTA($A346:$M346)=0,"",IF(OR(LEFT(LOWER(TRIM($F346&amp;"")),12)="subscription",LOWER(TRIM($F346&amp;""))="membership"),"",IF(OR($N346="",$I346="",$I346=0),"",IFERROR($N346/$I346,""))))</x:f>
      </x:c>
      <x:c r="P346" s="987" t="str">
        <x:f>IF(COUNTA($A346:$M346)=0,"",IF(OR(LEFT(LOWER(TRIM($F346&amp;"")),12)="subscription",LOWER(TRIM($F346&amp;""))="membership"),"",IF(LOWER($L346&amp;"")="yes",0,IF(OR(AND($H346&lt;&gt;"",$H346=0),LEFT(LOWER(TRIM($F346&amp;"")),9)="free game",LOWER(TRIM($F346&amp;""))="free",LOWER(TRIM($F346&amp;""))="free entry"),IF(LOWER($D346&amp;"")="finalized",IF(ISNUMBER($K346),$K346,""),IF($O346&lt;&gt;"",$O346,"")),IF($K346&lt;&gt;"",$K346,IF($O346&lt;&gt;"",$O346,""))))))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IF(COUNTA($A346:$M346)=0,"",IF(OR(LEFT(LOWER(TRIM($F346&amp;"")),12)="subscription",LOWER(TRIM($F346&amp;""))="membership"),"Subscription",IF(OR(AND($H346&lt;&gt;"",$H346=0),LEFT(LOWER(TRIM($F346&amp;"")),9)="free game",LOWER(TRIM($F346&amp;""))="free",LOWER(TRIM($F346&amp;""))="free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IF(COUNTA($A347:$M347)=0,"",IF(OR(LEFT(LOWER(TRIM($F347&amp;"")),12)="subscription",LOWER(TRIM($F347&amp;""))="membership"),"",IF($G347="","",IF(ISNUMBER(SEARCH("non",LOWER($E347&amp;""))),$G347*0.85,$G347))))</x:f>
      </x:c>
      <x:c r="O347" s="987" t="str">
        <x:f>IF(COUNTA($A347:$M347)=0,"",IF(OR(LEFT(LOWER(TRIM($F347&amp;"")),12)="subscription",LOWER(TRIM($F347&amp;""))="membership"),"",IF(OR($N347="",$I347="",$I347=0),"",IFERROR($N347/$I347,""))))</x:f>
      </x:c>
      <x:c r="P347" s="987" t="str">
        <x:f>IF(COUNTA($A347:$M347)=0,"",IF(OR(LEFT(LOWER(TRIM($F347&amp;"")),12)="subscription",LOWER(TRIM($F347&amp;""))="membership"),"",IF(LOWER($L347&amp;"")="yes",0,IF(OR(AND($H347&lt;&gt;"",$H347=0),LEFT(LOWER(TRIM($F347&amp;"")),9)="free game",LOWER(TRIM($F347&amp;""))="free",LOWER(TRIM($F347&amp;""))="free entry"),IF(LOWER($D347&amp;"")="finalized",IF(ISNUMBER($K347),$K347,""),IF($O347&lt;&gt;"",$O347,"")),IF($K347&lt;&gt;"",$K347,IF($O347&lt;&gt;"",$O347,""))))))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IF(COUNTA($A347:$M347)=0,"",IF(OR(LEFT(LOWER(TRIM($F347&amp;"")),12)="subscription",LOWER(TRIM($F347&amp;""))="membership"),"Subscription",IF(OR(AND($H347&lt;&gt;"",$H347=0),LEFT(LOWER(TRIM($F347&amp;"")),9)="free game",LOWER(TRIM($F347&amp;""))="free",LOWER(TRIM($F347&amp;""))="free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IF(COUNTA($A348:$M348)=0,"",IF(OR(LEFT(LOWER(TRIM($F348&amp;"")),12)="subscription",LOWER(TRIM($F348&amp;""))="membership"),"",IF($G348="","",IF(ISNUMBER(SEARCH("non",LOWER($E348&amp;""))),$G348*0.85,$G348))))</x:f>
      </x:c>
      <x:c r="O348" s="987" t="str">
        <x:f>IF(COUNTA($A348:$M348)=0,"",IF(OR(LEFT(LOWER(TRIM($F348&amp;"")),12)="subscription",LOWER(TRIM($F348&amp;""))="membership"),"",IF(OR($N348="",$I348="",$I348=0),"",IFERROR($N348/$I348,""))))</x:f>
      </x:c>
      <x:c r="P348" s="987" t="str">
        <x:f>IF(COUNTA($A348:$M348)=0,"",IF(OR(LEFT(LOWER(TRIM($F348&amp;"")),12)="subscription",LOWER(TRIM($F348&amp;""))="membership"),"",IF(LOWER($L348&amp;"")="yes",0,IF(OR(AND($H348&lt;&gt;"",$H348=0),LEFT(LOWER(TRIM($F348&amp;"")),9)="free game",LOWER(TRIM($F348&amp;""))="free",LOWER(TRIM($F348&amp;""))="free entry"),IF(LOWER($D348&amp;"")="finalized",IF(ISNUMBER($K348),$K348,""),IF($O348&lt;&gt;"",$O348,"")),IF($K348&lt;&gt;"",$K348,IF($O348&lt;&gt;"",$O348,""))))))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IF(COUNTA($A348:$M348)=0,"",IF(OR(LEFT(LOWER(TRIM($F348&amp;"")),12)="subscription",LOWER(TRIM($F348&amp;""))="membership"),"Subscription",IF(OR(AND($H348&lt;&gt;"",$H348=0),LEFT(LOWER(TRIM($F348&amp;"")),9)="free game",LOWER(TRIM($F348&amp;""))="free",LOWER(TRIM($F348&amp;""))="free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IF(COUNTA($A349:$M349)=0,"",IF(OR(LEFT(LOWER(TRIM($F349&amp;"")),12)="subscription",LOWER(TRIM($F349&amp;""))="membership"),"",IF($G349="","",IF(ISNUMBER(SEARCH("non",LOWER($E349&amp;""))),$G349*0.85,$G349))))</x:f>
      </x:c>
      <x:c r="O349" s="987" t="str">
        <x:f>IF(COUNTA($A349:$M349)=0,"",IF(OR(LEFT(LOWER(TRIM($F349&amp;"")),12)="subscription",LOWER(TRIM($F349&amp;""))="membership"),"",IF(OR($N349="",$I349="",$I349=0),"",IFERROR($N349/$I349,""))))</x:f>
      </x:c>
      <x:c r="P349" s="987" t="str">
        <x:f>IF(COUNTA($A349:$M349)=0,"",IF(OR(LEFT(LOWER(TRIM($F349&amp;"")),12)="subscription",LOWER(TRIM($F349&amp;""))="membership"),"",IF(LOWER($L349&amp;"")="yes",0,IF(OR(AND($H349&lt;&gt;"",$H349=0),LEFT(LOWER(TRIM($F349&amp;"")),9)="free game",LOWER(TRIM($F349&amp;""))="free",LOWER(TRIM($F349&amp;""))="free entry"),IF(LOWER($D349&amp;"")="finalized",IF(ISNUMBER($K349),$K349,""),IF($O349&lt;&gt;"",$O349,"")),IF($K349&lt;&gt;"",$K349,IF($O349&lt;&gt;"",$O349,""))))))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IF(COUNTA($A349:$M349)=0,"",IF(OR(LEFT(LOWER(TRIM($F349&amp;"")),12)="subscription",LOWER(TRIM($F349&amp;""))="membership"),"Subscription",IF(OR(AND($H349&lt;&gt;"",$H349=0),LEFT(LOWER(TRIM($F349&amp;"")),9)="free game",LOWER(TRIM($F349&amp;""))="free",LOWER(TRIM($F349&amp;""))="free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IF(COUNTA($A350:$M350)=0,"",IF(OR(LEFT(LOWER(TRIM($F350&amp;"")),12)="subscription",LOWER(TRIM($F350&amp;""))="membership"),"",IF($G350="","",IF(ISNUMBER(SEARCH("non",LOWER($E350&amp;""))),$G350*0.85,$G350))))</x:f>
      </x:c>
      <x:c r="O350" s="987" t="str">
        <x:f>IF(COUNTA($A350:$M350)=0,"",IF(OR(LEFT(LOWER(TRIM($F350&amp;"")),12)="subscription",LOWER(TRIM($F350&amp;""))="membership"),"",IF(OR($N350="",$I350="",$I350=0),"",IFERROR($N350/$I350,""))))</x:f>
      </x:c>
      <x:c r="P350" s="987" t="str">
        <x:f>IF(COUNTA($A350:$M350)=0,"",IF(OR(LEFT(LOWER(TRIM($F350&amp;"")),12)="subscription",LOWER(TRIM($F350&amp;""))="membership"),"",IF(LOWER($L350&amp;"")="yes",0,IF(OR(AND($H350&lt;&gt;"",$H350=0),LEFT(LOWER(TRIM($F350&amp;"")),9)="free game",LOWER(TRIM($F350&amp;""))="free",LOWER(TRIM($F350&amp;""))="free entry"),IF(LOWER($D350&amp;"")="finalized",IF(ISNUMBER($K350),$K350,""),IF($O350&lt;&gt;"",$O350,"")),IF($K350&lt;&gt;"",$K350,IF($O350&lt;&gt;"",$O350,""))))))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IF(COUNTA($A350:$M350)=0,"",IF(OR(LEFT(LOWER(TRIM($F350&amp;"")),12)="subscription",LOWER(TRIM($F350&amp;""))="membership"),"Subscription",IF(OR(AND($H350&lt;&gt;"",$H350=0),LEFT(LOWER(TRIM($F350&amp;"")),9)="free game",LOWER(TRIM($F350&amp;""))="free",LOWER(TRIM($F350&amp;""))="free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IF(COUNTA($A351:$M351)=0,"",IF(OR(LEFT(LOWER(TRIM($F351&amp;"")),12)="subscription",LOWER(TRIM($F351&amp;""))="membership"),"",IF($G351="","",IF(ISNUMBER(SEARCH("non",LOWER($E351&amp;""))),$G351*0.85,$G351))))</x:f>
      </x:c>
      <x:c r="O351" s="987" t="str">
        <x:f>IF(COUNTA($A351:$M351)=0,"",IF(OR(LEFT(LOWER(TRIM($F351&amp;"")),12)="subscription",LOWER(TRIM($F351&amp;""))="membership"),"",IF(OR($N351="",$I351="",$I351=0),"",IFERROR($N351/$I351,""))))</x:f>
      </x:c>
      <x:c r="P351" s="987" t="str">
        <x:f>IF(COUNTA($A351:$M351)=0,"",IF(OR(LEFT(LOWER(TRIM($F351&amp;"")),12)="subscription",LOWER(TRIM($F351&amp;""))="membership"),"",IF(LOWER($L351&amp;"")="yes",0,IF(OR(AND($H351&lt;&gt;"",$H351=0),LEFT(LOWER(TRIM($F351&amp;"")),9)="free game",LOWER(TRIM($F351&amp;""))="free",LOWER(TRIM($F351&amp;""))="free entry"),IF(LOWER($D351&amp;"")="finalized",IF(ISNUMBER($K351),$K351,""),IF($O351&lt;&gt;"",$O351,"")),IF($K351&lt;&gt;"",$K351,IF($O351&lt;&gt;"",$O351,""))))))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IF(COUNTA($A351:$M351)=0,"",IF(OR(LEFT(LOWER(TRIM($F351&amp;"")),12)="subscription",LOWER(TRIM($F351&amp;""))="membership"),"Subscription",IF(OR(AND($H351&lt;&gt;"",$H351=0),LEFT(LOWER(TRIM($F351&amp;"")),9)="free game",LOWER(TRIM($F351&amp;""))="free",LOWER(TRIM($F351&amp;""))="free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IF(COUNTA($A352:$M352)=0,"",IF(OR(LEFT(LOWER(TRIM($F352&amp;"")),12)="subscription",LOWER(TRIM($F352&amp;""))="membership"),"",IF($G352="","",IF(ISNUMBER(SEARCH("non",LOWER($E352&amp;""))),$G352*0.85,$G352))))</x:f>
      </x:c>
      <x:c r="O352" s="987" t="str">
        <x:f>IF(COUNTA($A352:$M352)=0,"",IF(OR(LEFT(LOWER(TRIM($F352&amp;"")),12)="subscription",LOWER(TRIM($F352&amp;""))="membership"),"",IF(OR($N352="",$I352="",$I352=0),"",IFERROR($N352/$I352,""))))</x:f>
      </x:c>
      <x:c r="P352" s="987" t="str">
        <x:f>IF(COUNTA($A352:$M352)=0,"",IF(OR(LEFT(LOWER(TRIM($F352&amp;"")),12)="subscription",LOWER(TRIM($F352&amp;""))="membership"),"",IF(LOWER($L352&amp;"")="yes",0,IF(OR(AND($H352&lt;&gt;"",$H352=0),LEFT(LOWER(TRIM($F352&amp;"")),9)="free game",LOWER(TRIM($F352&amp;""))="free",LOWER(TRIM($F352&amp;""))="free entry"),IF(LOWER($D352&amp;"")="finalized",IF(ISNUMBER($K352),$K352,""),IF($O352&lt;&gt;"",$O352,"")),IF($K352&lt;&gt;"",$K352,IF($O352&lt;&gt;"",$O352,""))))))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IF(COUNTA($A352:$M352)=0,"",IF(OR(LEFT(LOWER(TRIM($F352&amp;"")),12)="subscription",LOWER(TRIM($F352&amp;""))="membership"),"Subscription",IF(OR(AND($H352&lt;&gt;"",$H352=0),LEFT(LOWER(TRIM($F352&amp;"")),9)="free game",LOWER(TRIM($F352&amp;""))="free",LOWER(TRIM($F352&amp;""))="free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IF(COUNTA($A353:$M353)=0,"",IF(OR(LEFT(LOWER(TRIM($F353&amp;"")),12)="subscription",LOWER(TRIM($F353&amp;""))="membership"),"",IF($G353="","",IF(ISNUMBER(SEARCH("non",LOWER($E353&amp;""))),$G353*0.85,$G353))))</x:f>
      </x:c>
      <x:c r="O353" s="987" t="str">
        <x:f>IF(COUNTA($A353:$M353)=0,"",IF(OR(LEFT(LOWER(TRIM($F353&amp;"")),12)="subscription",LOWER(TRIM($F353&amp;""))="membership"),"",IF(OR($N353="",$I353="",$I353=0),"",IFERROR($N353/$I353,""))))</x:f>
      </x:c>
      <x:c r="P353" s="987" t="str">
        <x:f>IF(COUNTA($A353:$M353)=0,"",IF(OR(LEFT(LOWER(TRIM($F353&amp;"")),12)="subscription",LOWER(TRIM($F353&amp;""))="membership"),"",IF(LOWER($L353&amp;"")="yes",0,IF(OR(AND($H353&lt;&gt;"",$H353=0),LEFT(LOWER(TRIM($F353&amp;"")),9)="free game",LOWER(TRIM($F353&amp;""))="free",LOWER(TRIM($F353&amp;""))="free entry"),IF(LOWER($D353&amp;"")="finalized",IF(ISNUMBER($K353),$K353,""),IF($O353&lt;&gt;"",$O353,"")),IF($K353&lt;&gt;"",$K353,IF($O353&lt;&gt;"",$O353,""))))))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IF(COUNTA($A353:$M353)=0,"",IF(OR(LEFT(LOWER(TRIM($F353&amp;"")),12)="subscription",LOWER(TRIM($F353&amp;""))="membership"),"Subscription",IF(OR(AND($H353&lt;&gt;"",$H353=0),LEFT(LOWER(TRIM($F353&amp;"")),9)="free game",LOWER(TRIM($F353&amp;""))="free",LOWER(TRIM($F353&amp;""))="free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IF(COUNTA($A354:$M354)=0,"",IF(OR(LEFT(LOWER(TRIM($F354&amp;"")),12)="subscription",LOWER(TRIM($F354&amp;""))="membership"),"",IF($G354="","",IF(ISNUMBER(SEARCH("non",LOWER($E354&amp;""))),$G354*0.85,$G354))))</x:f>
      </x:c>
      <x:c r="O354" s="987" t="str">
        <x:f>IF(COUNTA($A354:$M354)=0,"",IF(OR(LEFT(LOWER(TRIM($F354&amp;"")),12)="subscription",LOWER(TRIM($F354&amp;""))="membership"),"",IF(OR($N354="",$I354="",$I354=0),"",IFERROR($N354/$I354,""))))</x:f>
      </x:c>
      <x:c r="P354" s="987" t="str">
        <x:f>IF(COUNTA($A354:$M354)=0,"",IF(OR(LEFT(LOWER(TRIM($F354&amp;"")),12)="subscription",LOWER(TRIM($F354&amp;""))="membership"),"",IF(LOWER($L354&amp;"")="yes",0,IF(OR(AND($H354&lt;&gt;"",$H354=0),LEFT(LOWER(TRIM($F354&amp;"")),9)="free game",LOWER(TRIM($F354&amp;""))="free",LOWER(TRIM($F354&amp;""))="free entry"),IF(LOWER($D354&amp;"")="finalized",IF(ISNUMBER($K354),$K354,""),IF($O354&lt;&gt;"",$O354,"")),IF($K354&lt;&gt;"",$K354,IF($O354&lt;&gt;"",$O354,""))))))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IF(COUNTA($A354:$M354)=0,"",IF(OR(LEFT(LOWER(TRIM($F354&amp;"")),12)="subscription",LOWER(TRIM($F354&amp;""))="membership"),"Subscription",IF(OR(AND($H354&lt;&gt;"",$H354=0),LEFT(LOWER(TRIM($F354&amp;"")),9)="free game",LOWER(TRIM($F354&amp;""))="free",LOWER(TRIM($F354&amp;""))="free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IF(COUNTA($A355:$M355)=0,"",IF(OR(LEFT(LOWER(TRIM($F355&amp;"")),12)="subscription",LOWER(TRIM($F355&amp;""))="membership"),"",IF($G355="","",IF(ISNUMBER(SEARCH("non",LOWER($E355&amp;""))),$G355*0.85,$G355))))</x:f>
      </x:c>
      <x:c r="O355" s="987" t="str">
        <x:f>IF(COUNTA($A355:$M355)=0,"",IF(OR(LEFT(LOWER(TRIM($F355&amp;"")),12)="subscription",LOWER(TRIM($F355&amp;""))="membership"),"",IF(OR($N355="",$I355="",$I355=0),"",IFERROR($N355/$I355,""))))</x:f>
      </x:c>
      <x:c r="P355" s="987" t="str">
        <x:f>IF(COUNTA($A355:$M355)=0,"",IF(OR(LEFT(LOWER(TRIM($F355&amp;"")),12)="subscription",LOWER(TRIM($F355&amp;""))="membership"),"",IF(LOWER($L355&amp;"")="yes",0,IF(OR(AND($H355&lt;&gt;"",$H355=0),LEFT(LOWER(TRIM($F355&amp;"")),9)="free game",LOWER(TRIM($F355&amp;""))="free",LOWER(TRIM($F355&amp;""))="free entry"),IF(LOWER($D355&amp;"")="finalized",IF(ISNUMBER($K355),$K355,""),IF($O355&lt;&gt;"",$O355,"")),IF($K355&lt;&gt;"",$K355,IF($O355&lt;&gt;"",$O355,""))))))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IF(COUNTA($A355:$M355)=0,"",IF(OR(LEFT(LOWER(TRIM($F355&amp;"")),12)="subscription",LOWER(TRIM($F355&amp;""))="membership"),"Subscription",IF(OR(AND($H355&lt;&gt;"",$H355=0),LEFT(LOWER(TRIM($F355&amp;"")),9)="free game",LOWER(TRIM($F355&amp;""))="free",LOWER(TRIM($F355&amp;""))="free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IF(COUNTA($A356:$M356)=0,"",IF(OR(LEFT(LOWER(TRIM($F356&amp;"")),12)="subscription",LOWER(TRIM($F356&amp;""))="membership"),"",IF($G356="","",IF(ISNUMBER(SEARCH("non",LOWER($E356&amp;""))),$G356*0.85,$G356))))</x:f>
      </x:c>
      <x:c r="O356" s="987" t="str">
        <x:f>IF(COUNTA($A356:$M356)=0,"",IF(OR(LEFT(LOWER(TRIM($F356&amp;"")),12)="subscription",LOWER(TRIM($F356&amp;""))="membership"),"",IF(OR($N356="",$I356="",$I356=0),"",IFERROR($N356/$I356,""))))</x:f>
      </x:c>
      <x:c r="P356" s="987" t="str">
        <x:f>IF(COUNTA($A356:$M356)=0,"",IF(OR(LEFT(LOWER(TRIM($F356&amp;"")),12)="subscription",LOWER(TRIM($F356&amp;""))="membership"),"",IF(LOWER($L356&amp;"")="yes",0,IF(OR(AND($H356&lt;&gt;"",$H356=0),LEFT(LOWER(TRIM($F356&amp;"")),9)="free game",LOWER(TRIM($F356&amp;""))="free",LOWER(TRIM($F356&amp;""))="free entry"),IF(LOWER($D356&amp;"")="finalized",IF(ISNUMBER($K356),$K356,""),IF($O356&lt;&gt;"",$O356,"")),IF($K356&lt;&gt;"",$K356,IF($O356&lt;&gt;"",$O356,""))))))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IF(COUNTA($A356:$M356)=0,"",IF(OR(LEFT(LOWER(TRIM($F356&amp;"")),12)="subscription",LOWER(TRIM($F356&amp;""))="membership"),"Subscription",IF(OR(AND($H356&lt;&gt;"",$H356=0),LEFT(LOWER(TRIM($F356&amp;"")),9)="free game",LOWER(TRIM($F356&amp;""))="free",LOWER(TRIM($F356&amp;""))="free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IF(COUNTA($A357:$M357)=0,"",IF(OR(LEFT(LOWER(TRIM($F357&amp;"")),12)="subscription",LOWER(TRIM($F357&amp;""))="membership"),"",IF($G357="","",IF(ISNUMBER(SEARCH("non",LOWER($E357&amp;""))),$G357*0.85,$G357))))</x:f>
      </x:c>
      <x:c r="O357" s="987" t="str">
        <x:f>IF(COUNTA($A357:$M357)=0,"",IF(OR(LEFT(LOWER(TRIM($F357&amp;"")),12)="subscription",LOWER(TRIM($F357&amp;""))="membership"),"",IF(OR($N357="",$I357="",$I357=0),"",IFERROR($N357/$I357,""))))</x:f>
      </x:c>
      <x:c r="P357" s="987" t="str">
        <x:f>IF(COUNTA($A357:$M357)=0,"",IF(OR(LEFT(LOWER(TRIM($F357&amp;"")),12)="subscription",LOWER(TRIM($F357&amp;""))="membership"),"",IF(LOWER($L357&amp;"")="yes",0,IF(OR(AND($H357&lt;&gt;"",$H357=0),LEFT(LOWER(TRIM($F357&amp;"")),9)="free game",LOWER(TRIM($F357&amp;""))="free",LOWER(TRIM($F357&amp;""))="free entry"),IF(LOWER($D357&amp;"")="finalized",IF(ISNUMBER($K357),$K357,""),IF($O357&lt;&gt;"",$O357,"")),IF($K357&lt;&gt;"",$K357,IF($O357&lt;&gt;"",$O357,""))))))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IF(COUNTA($A357:$M357)=0,"",IF(OR(LEFT(LOWER(TRIM($F357&amp;"")),12)="subscription",LOWER(TRIM($F357&amp;""))="membership"),"Subscription",IF(OR(AND($H357&lt;&gt;"",$H357=0),LEFT(LOWER(TRIM($F357&amp;"")),9)="free game",LOWER(TRIM($F357&amp;""))="free",LOWER(TRIM($F357&amp;""))="free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IF(COUNTA($A358:$M358)=0,"",IF(OR(LEFT(LOWER(TRIM($F358&amp;"")),12)="subscription",LOWER(TRIM($F358&amp;""))="membership"),"",IF($G358="","",IF(ISNUMBER(SEARCH("non",LOWER($E358&amp;""))),$G358*0.85,$G358))))</x:f>
      </x:c>
      <x:c r="O358" s="987" t="str">
        <x:f>IF(COUNTA($A358:$M358)=0,"",IF(OR(LEFT(LOWER(TRIM($F358&amp;"")),12)="subscription",LOWER(TRIM($F358&amp;""))="membership"),"",IF(OR($N358="",$I358="",$I358=0),"",IFERROR($N358/$I358,""))))</x:f>
      </x:c>
      <x:c r="P358" s="987" t="str">
        <x:f>IF(COUNTA($A358:$M358)=0,"",IF(OR(LEFT(LOWER(TRIM($F358&amp;"")),12)="subscription",LOWER(TRIM($F358&amp;""))="membership"),"",IF(LOWER($L358&amp;"")="yes",0,IF(OR(AND($H358&lt;&gt;"",$H358=0),LEFT(LOWER(TRIM($F358&amp;"")),9)="free game",LOWER(TRIM($F358&amp;""))="free",LOWER(TRIM($F358&amp;""))="free entry"),IF(LOWER($D358&amp;"")="finalized",IF(ISNUMBER($K358),$K358,""),IF($O358&lt;&gt;"",$O358,"")),IF($K358&lt;&gt;"",$K358,IF($O358&lt;&gt;"",$O358,""))))))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IF(COUNTA($A358:$M358)=0,"",IF(OR(LEFT(LOWER(TRIM($F358&amp;"")),12)="subscription",LOWER(TRIM($F358&amp;""))="membership"),"Subscription",IF(OR(AND($H358&lt;&gt;"",$H358=0),LEFT(LOWER(TRIM($F358&amp;"")),9)="free game",LOWER(TRIM($F358&amp;""))="free",LOWER(TRIM($F358&amp;""))="free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IF(COUNTA($A359:$M359)=0,"",IF(OR(LEFT(LOWER(TRIM($F359&amp;"")),12)="subscription",LOWER(TRIM($F359&amp;""))="membership"),"",IF($G359="","",IF(ISNUMBER(SEARCH("non",LOWER($E359&amp;""))),$G359*0.85,$G359))))</x:f>
      </x:c>
      <x:c r="O359" s="987" t="str">
        <x:f>IF(COUNTA($A359:$M359)=0,"",IF(OR(LEFT(LOWER(TRIM($F359&amp;"")),12)="subscription",LOWER(TRIM($F359&amp;""))="membership"),"",IF(OR($N359="",$I359="",$I359=0),"",IFERROR($N359/$I359,""))))</x:f>
      </x:c>
      <x:c r="P359" s="987" t="str">
        <x:f>IF(COUNTA($A359:$M359)=0,"",IF(OR(LEFT(LOWER(TRIM($F359&amp;"")),12)="subscription",LOWER(TRIM($F359&amp;""))="membership"),"",IF(LOWER($L359&amp;"")="yes",0,IF(OR(AND($H359&lt;&gt;"",$H359=0),LEFT(LOWER(TRIM($F359&amp;"")),9)="free game",LOWER(TRIM($F359&amp;""))="free",LOWER(TRIM($F359&amp;""))="free entry"),IF(LOWER($D359&amp;"")="finalized",IF(ISNUMBER($K359),$K359,""),IF($O359&lt;&gt;"",$O359,"")),IF($K359&lt;&gt;"",$K359,IF($O359&lt;&gt;"",$O359,""))))))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IF(COUNTA($A359:$M359)=0,"",IF(OR(LEFT(LOWER(TRIM($F359&amp;"")),12)="subscription",LOWER(TRIM($F359&amp;""))="membership"),"Subscription",IF(OR(AND($H359&lt;&gt;"",$H359=0),LEFT(LOWER(TRIM($F359&amp;"")),9)="free game",LOWER(TRIM($F359&amp;""))="free",LOWER(TRIM($F359&amp;""))="free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IF(COUNTA($A360:$M360)=0,"",IF(OR(LEFT(LOWER(TRIM($F360&amp;"")),12)="subscription",LOWER(TRIM($F360&amp;""))="membership"),"",IF($G360="","",IF(ISNUMBER(SEARCH("non",LOWER($E360&amp;""))),$G360*0.85,$G360))))</x:f>
      </x:c>
      <x:c r="O360" s="987" t="str">
        <x:f>IF(COUNTA($A360:$M360)=0,"",IF(OR(LEFT(LOWER(TRIM($F360&amp;"")),12)="subscription",LOWER(TRIM($F360&amp;""))="membership"),"",IF(OR($N360="",$I360="",$I360=0),"",IFERROR($N360/$I360,""))))</x:f>
      </x:c>
      <x:c r="P360" s="987" t="str">
        <x:f>IF(COUNTA($A360:$M360)=0,"",IF(OR(LEFT(LOWER(TRIM($F360&amp;"")),12)="subscription",LOWER(TRIM($F360&amp;""))="membership"),"",IF(LOWER($L360&amp;"")="yes",0,IF(OR(AND($H360&lt;&gt;"",$H360=0),LEFT(LOWER(TRIM($F360&amp;"")),9)="free game",LOWER(TRIM($F360&amp;""))="free",LOWER(TRIM($F360&amp;""))="free entry"),IF(LOWER($D360&amp;"")="finalized",IF(ISNUMBER($K360),$K360,""),IF($O360&lt;&gt;"",$O360,"")),IF($K360&lt;&gt;"",$K360,IF($O360&lt;&gt;"",$O360,""))))))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IF(COUNTA($A360:$M360)=0,"",IF(OR(LEFT(LOWER(TRIM($F360&amp;"")),12)="subscription",LOWER(TRIM($F360&amp;""))="membership"),"Subscription",IF(OR(AND($H360&lt;&gt;"",$H360=0),LEFT(LOWER(TRIM($F360&amp;"")),9)="free game",LOWER(TRIM($F360&amp;""))="free",LOWER(TRIM($F360&amp;""))="free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IF(COUNTA($A361:$M361)=0,"",IF(OR(LEFT(LOWER(TRIM($F361&amp;"")),12)="subscription",LOWER(TRIM($F361&amp;""))="membership"),"",IF($G361="","",IF(ISNUMBER(SEARCH("non",LOWER($E361&amp;""))),$G361*0.85,$G361))))</x:f>
      </x:c>
      <x:c r="O361" s="987" t="str">
        <x:f>IF(COUNTA($A361:$M361)=0,"",IF(OR(LEFT(LOWER(TRIM($F361&amp;"")),12)="subscription",LOWER(TRIM($F361&amp;""))="membership"),"",IF(OR($N361="",$I361="",$I361=0),"",IFERROR($N361/$I361,""))))</x:f>
      </x:c>
      <x:c r="P361" s="987" t="str">
        <x:f>IF(COUNTA($A361:$M361)=0,"",IF(OR(LEFT(LOWER(TRIM($F361&amp;"")),12)="subscription",LOWER(TRIM($F361&amp;""))="membership"),"",IF(LOWER($L361&amp;"")="yes",0,IF(OR(AND($H361&lt;&gt;"",$H361=0),LEFT(LOWER(TRIM($F361&amp;"")),9)="free game",LOWER(TRIM($F361&amp;""))="free",LOWER(TRIM($F361&amp;""))="free entry"),IF(LOWER($D361&amp;"")="finalized",IF(ISNUMBER($K361),$K361,""),IF($O361&lt;&gt;"",$O361,"")),IF($K361&lt;&gt;"",$K361,IF($O361&lt;&gt;"",$O361,""))))))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IF(COUNTA($A361:$M361)=0,"",IF(OR(LEFT(LOWER(TRIM($F361&amp;"")),12)="subscription",LOWER(TRIM($F361&amp;""))="membership"),"Subscription",IF(OR(AND($H361&lt;&gt;"",$H361=0),LEFT(LOWER(TRIM($F361&amp;"")),9)="free game",LOWER(TRIM($F361&amp;""))="free",LOWER(TRIM($F361&amp;""))="free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IF(COUNTA($A362:$M362)=0,"",IF(OR(LEFT(LOWER(TRIM($F362&amp;"")),12)="subscription",LOWER(TRIM($F362&amp;""))="membership"),"",IF($G362="","",IF(ISNUMBER(SEARCH("non",LOWER($E362&amp;""))),$G362*0.85,$G362))))</x:f>
      </x:c>
      <x:c r="O362" s="987" t="str">
        <x:f>IF(COUNTA($A362:$M362)=0,"",IF(OR(LEFT(LOWER(TRIM($F362&amp;"")),12)="subscription",LOWER(TRIM($F362&amp;""))="membership"),"",IF(OR($N362="",$I362="",$I362=0),"",IFERROR($N362/$I362,""))))</x:f>
      </x:c>
      <x:c r="P362" s="987" t="str">
        <x:f>IF(COUNTA($A362:$M362)=0,"",IF(OR(LEFT(LOWER(TRIM($F362&amp;"")),12)="subscription",LOWER(TRIM($F362&amp;""))="membership"),"",IF(LOWER($L362&amp;"")="yes",0,IF(OR(AND($H362&lt;&gt;"",$H362=0),LEFT(LOWER(TRIM($F362&amp;"")),9)="free game",LOWER(TRIM($F362&amp;""))="free",LOWER(TRIM($F362&amp;""))="free entry"),IF(LOWER($D362&amp;"")="finalized",IF(ISNUMBER($K362),$K362,""),IF($O362&lt;&gt;"",$O362,"")),IF($K362&lt;&gt;"",$K362,IF($O362&lt;&gt;"",$O362,""))))))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IF(COUNTA($A362:$M362)=0,"",IF(OR(LEFT(LOWER(TRIM($F362&amp;"")),12)="subscription",LOWER(TRIM($F362&amp;""))="membership"),"Subscription",IF(OR(AND($H362&lt;&gt;"",$H362=0),LEFT(LOWER(TRIM($F362&amp;"")),9)="free game",LOWER(TRIM($F362&amp;""))="free",LOWER(TRIM($F362&amp;""))="free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IF(COUNTA($A363:$M363)=0,"",IF(OR(LEFT(LOWER(TRIM($F363&amp;"")),12)="subscription",LOWER(TRIM($F363&amp;""))="membership"),"",IF($G363="","",IF(ISNUMBER(SEARCH("non",LOWER($E363&amp;""))),$G363*0.85,$G363))))</x:f>
      </x:c>
      <x:c r="O363" s="987" t="str">
        <x:f>IF(COUNTA($A363:$M363)=0,"",IF(OR(LEFT(LOWER(TRIM($F363&amp;"")),12)="subscription",LOWER(TRIM($F363&amp;""))="membership"),"",IF(OR($N363="",$I363="",$I363=0),"",IFERROR($N363/$I363,""))))</x:f>
      </x:c>
      <x:c r="P363" s="987" t="str">
        <x:f>IF(COUNTA($A363:$M363)=0,"",IF(OR(LEFT(LOWER(TRIM($F363&amp;"")),12)="subscription",LOWER(TRIM($F363&amp;""))="membership"),"",IF(LOWER($L363&amp;"")="yes",0,IF(OR(AND($H363&lt;&gt;"",$H363=0),LEFT(LOWER(TRIM($F363&amp;"")),9)="free game",LOWER(TRIM($F363&amp;""))="free",LOWER(TRIM($F363&amp;""))="free entry"),IF(LOWER($D363&amp;"")="finalized",IF(ISNUMBER($K363),$K363,""),IF($O363&lt;&gt;"",$O363,"")),IF($K363&lt;&gt;"",$K363,IF($O363&lt;&gt;"",$O363,""))))))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IF(COUNTA($A363:$M363)=0,"",IF(OR(LEFT(LOWER(TRIM($F363&amp;"")),12)="subscription",LOWER(TRIM($F363&amp;""))="membership"),"Subscription",IF(OR(AND($H363&lt;&gt;"",$H363=0),LEFT(LOWER(TRIM($F363&amp;"")),9)="free game",LOWER(TRIM($F363&amp;""))="free",LOWER(TRIM($F363&amp;""))="free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IF(COUNTA($A364:$M364)=0,"",IF(OR(LEFT(LOWER(TRIM($F364&amp;"")),12)="subscription",LOWER(TRIM($F364&amp;""))="membership"),"",IF($G364="","",IF(ISNUMBER(SEARCH("non",LOWER($E364&amp;""))),$G364*0.85,$G364))))</x:f>
      </x:c>
      <x:c r="O364" s="987" t="str">
        <x:f>IF(COUNTA($A364:$M364)=0,"",IF(OR(LEFT(LOWER(TRIM($F364&amp;"")),12)="subscription",LOWER(TRIM($F364&amp;""))="membership"),"",IF(OR($N364="",$I364="",$I364=0),"",IFERROR($N364/$I364,""))))</x:f>
      </x:c>
      <x:c r="P364" s="987" t="str">
        <x:f>IF(COUNTA($A364:$M364)=0,"",IF(OR(LEFT(LOWER(TRIM($F364&amp;"")),12)="subscription",LOWER(TRIM($F364&amp;""))="membership"),"",IF(LOWER($L364&amp;"")="yes",0,IF(OR(AND($H364&lt;&gt;"",$H364=0),LEFT(LOWER(TRIM($F364&amp;"")),9)="free game",LOWER(TRIM($F364&amp;""))="free",LOWER(TRIM($F364&amp;""))="free entry"),IF(LOWER($D364&amp;"")="finalized",IF(ISNUMBER($K364),$K364,""),IF($O364&lt;&gt;"",$O364,"")),IF($K364&lt;&gt;"",$K364,IF($O364&lt;&gt;"",$O364,""))))))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IF(COUNTA($A364:$M364)=0,"",IF(OR(LEFT(LOWER(TRIM($F364&amp;"")),12)="subscription",LOWER(TRIM($F364&amp;""))="membership"),"Subscription",IF(OR(AND($H364&lt;&gt;"",$H364=0),LEFT(LOWER(TRIM($F364&amp;"")),9)="free game",LOWER(TRIM($F364&amp;""))="free",LOWER(TRIM($F364&amp;""))="free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IF(COUNTA($A365:$M365)=0,"",IF(OR(LEFT(LOWER(TRIM($F365&amp;"")),12)="subscription",LOWER(TRIM($F365&amp;""))="membership"),"",IF($G365="","",IF(ISNUMBER(SEARCH("non",LOWER($E365&amp;""))),$G365*0.85,$G365))))</x:f>
      </x:c>
      <x:c r="O365" s="987" t="str">
        <x:f>IF(COUNTA($A365:$M365)=0,"",IF(OR(LEFT(LOWER(TRIM($F365&amp;"")),12)="subscription",LOWER(TRIM($F365&amp;""))="membership"),"",IF(OR($N365="",$I365="",$I365=0),"",IFERROR($N365/$I365,""))))</x:f>
      </x:c>
      <x:c r="P365" s="987" t="str">
        <x:f>IF(COUNTA($A365:$M365)=0,"",IF(OR(LEFT(LOWER(TRIM($F365&amp;"")),12)="subscription",LOWER(TRIM($F365&amp;""))="membership"),"",IF(LOWER($L365&amp;"")="yes",0,IF(OR(AND($H365&lt;&gt;"",$H365=0),LEFT(LOWER(TRIM($F365&amp;"")),9)="free game",LOWER(TRIM($F365&amp;""))="free",LOWER(TRIM($F365&amp;""))="free entry"),IF(LOWER($D365&amp;"")="finalized",IF(ISNUMBER($K365),$K365,""),IF($O365&lt;&gt;"",$O365,"")),IF($K365&lt;&gt;"",$K365,IF($O365&lt;&gt;"",$O365,""))))))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IF(COUNTA($A365:$M365)=0,"",IF(OR(LEFT(LOWER(TRIM($F365&amp;"")),12)="subscription",LOWER(TRIM($F365&amp;""))="membership"),"Subscription",IF(OR(AND($H365&lt;&gt;"",$H365=0),LEFT(LOWER(TRIM($F365&amp;"")),9)="free game",LOWER(TRIM($F365&amp;""))="free",LOWER(TRIM($F365&amp;""))="free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IF(COUNTA($A366:$M366)=0,"",IF(OR(LEFT(LOWER(TRIM($F366&amp;"")),12)="subscription",LOWER(TRIM($F366&amp;""))="membership"),"",IF($G366="","",IF(ISNUMBER(SEARCH("non",LOWER($E366&amp;""))),$G366*0.85,$G366))))</x:f>
      </x:c>
      <x:c r="O366" s="987" t="str">
        <x:f>IF(COUNTA($A366:$M366)=0,"",IF(OR(LEFT(LOWER(TRIM($F366&amp;"")),12)="subscription",LOWER(TRIM($F366&amp;""))="membership"),"",IF(OR($N366="",$I366="",$I366=0),"",IFERROR($N366/$I366,""))))</x:f>
      </x:c>
      <x:c r="P366" s="987" t="str">
        <x:f>IF(COUNTA($A366:$M366)=0,"",IF(OR(LEFT(LOWER(TRIM($F366&amp;"")),12)="subscription",LOWER(TRIM($F366&amp;""))="membership"),"",IF(LOWER($L366&amp;"")="yes",0,IF(OR(AND($H366&lt;&gt;"",$H366=0),LEFT(LOWER(TRIM($F366&amp;"")),9)="free game",LOWER(TRIM($F366&amp;""))="free",LOWER(TRIM($F366&amp;""))="free entry"),IF(LOWER($D366&amp;"")="finalized",IF(ISNUMBER($K366),$K366,""),IF($O366&lt;&gt;"",$O366,"")),IF($K366&lt;&gt;"",$K366,IF($O366&lt;&gt;"",$O366,""))))))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IF(COUNTA($A366:$M366)=0,"",IF(OR(LEFT(LOWER(TRIM($F366&amp;"")),12)="subscription",LOWER(TRIM($F366&amp;""))="membership"),"Subscription",IF(OR(AND($H366&lt;&gt;"",$H366=0),LEFT(LOWER(TRIM($F366&amp;"")),9)="free game",LOWER(TRIM($F366&amp;""))="free",LOWER(TRIM($F366&amp;""))="free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IF(COUNTA($A367:$M367)=0,"",IF(OR(LEFT(LOWER(TRIM($F367&amp;"")),12)="subscription",LOWER(TRIM($F367&amp;""))="membership"),"",IF($G367="","",IF(ISNUMBER(SEARCH("non",LOWER($E367&amp;""))),$G367*0.85,$G367))))</x:f>
      </x:c>
      <x:c r="O367" s="987" t="str">
        <x:f>IF(COUNTA($A367:$M367)=0,"",IF(OR(LEFT(LOWER(TRIM($F367&amp;"")),12)="subscription",LOWER(TRIM($F367&amp;""))="membership"),"",IF(OR($N367="",$I367="",$I367=0),"",IFERROR($N367/$I367,""))))</x:f>
      </x:c>
      <x:c r="P367" s="987" t="str">
        <x:f>IF(COUNTA($A367:$M367)=0,"",IF(OR(LEFT(LOWER(TRIM($F367&amp;"")),12)="subscription",LOWER(TRIM($F367&amp;""))="membership"),"",IF(LOWER($L367&amp;"")="yes",0,IF(OR(AND($H367&lt;&gt;"",$H367=0),LEFT(LOWER(TRIM($F367&amp;"")),9)="free game",LOWER(TRIM($F367&amp;""))="free",LOWER(TRIM($F367&amp;""))="free entry"),IF(LOWER($D367&amp;"")="finalized",IF(ISNUMBER($K367),$K367,""),IF($O367&lt;&gt;"",$O367,"")),IF($K367&lt;&gt;"",$K367,IF($O367&lt;&gt;"",$O367,""))))))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IF(COUNTA($A367:$M367)=0,"",IF(OR(LEFT(LOWER(TRIM($F367&amp;"")),12)="subscription",LOWER(TRIM($F367&amp;""))="membership"),"Subscription",IF(OR(AND($H367&lt;&gt;"",$H367=0),LEFT(LOWER(TRIM($F367&amp;"")),9)="free game",LOWER(TRIM($F367&amp;""))="free",LOWER(TRIM($F367&amp;""))="free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IF(COUNTA($A368:$M368)=0,"",IF(OR(LEFT(LOWER(TRIM($F368&amp;"")),12)="subscription",LOWER(TRIM($F368&amp;""))="membership"),"",IF($G368="","",IF(ISNUMBER(SEARCH("non",LOWER($E368&amp;""))),$G368*0.85,$G368))))</x:f>
      </x:c>
      <x:c r="O368" s="987" t="str">
        <x:f>IF(COUNTA($A368:$M368)=0,"",IF(OR(LEFT(LOWER(TRIM($F368&amp;"")),12)="subscription",LOWER(TRIM($F368&amp;""))="membership"),"",IF(OR($N368="",$I368="",$I368=0),"",IFERROR($N368/$I368,""))))</x:f>
      </x:c>
      <x:c r="P368" s="987" t="str">
        <x:f>IF(COUNTA($A368:$M368)=0,"",IF(OR(LEFT(LOWER(TRIM($F368&amp;"")),12)="subscription",LOWER(TRIM($F368&amp;""))="membership"),"",IF(LOWER($L368&amp;"")="yes",0,IF(OR(AND($H368&lt;&gt;"",$H368=0),LEFT(LOWER(TRIM($F368&amp;"")),9)="free game",LOWER(TRIM($F368&amp;""))="free",LOWER(TRIM($F368&amp;""))="free entry"),IF(LOWER($D368&amp;"")="finalized",IF(ISNUMBER($K368),$K368,""),IF($O368&lt;&gt;"",$O368,"")),IF($K368&lt;&gt;"",$K368,IF($O368&lt;&gt;"",$O368,""))))))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IF(COUNTA($A368:$M368)=0,"",IF(OR(LEFT(LOWER(TRIM($F368&amp;"")),12)="subscription",LOWER(TRIM($F368&amp;""))="membership"),"Subscription",IF(OR(AND($H368&lt;&gt;"",$H368=0),LEFT(LOWER(TRIM($F368&amp;"")),9)="free game",LOWER(TRIM($F368&amp;""))="free",LOWER(TRIM($F368&amp;""))="free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IF(COUNTA($A369:$M369)=0,"",IF(OR(LEFT(LOWER(TRIM($F369&amp;"")),12)="subscription",LOWER(TRIM($F369&amp;""))="membership"),"",IF($G369="","",IF(ISNUMBER(SEARCH("non",LOWER($E369&amp;""))),$G369*0.85,$G369))))</x:f>
      </x:c>
      <x:c r="O369" s="987" t="str">
        <x:f>IF(COUNTA($A369:$M369)=0,"",IF(OR(LEFT(LOWER(TRIM($F369&amp;"")),12)="subscription",LOWER(TRIM($F369&amp;""))="membership"),"",IF(OR($N369="",$I369="",$I369=0),"",IFERROR($N369/$I369,""))))</x:f>
      </x:c>
      <x:c r="P369" s="987" t="str">
        <x:f>IF(COUNTA($A369:$M369)=0,"",IF(OR(LEFT(LOWER(TRIM($F369&amp;"")),12)="subscription",LOWER(TRIM($F369&amp;""))="membership"),"",IF(LOWER($L369&amp;"")="yes",0,IF(OR(AND($H369&lt;&gt;"",$H369=0),LEFT(LOWER(TRIM($F369&amp;"")),9)="free game",LOWER(TRIM($F369&amp;""))="free",LOWER(TRIM($F369&amp;""))="free entry"),IF(LOWER($D369&amp;"")="finalized",IF(ISNUMBER($K369),$K369,""),IF($O369&lt;&gt;"",$O369,"")),IF($K369&lt;&gt;"",$K369,IF($O369&lt;&gt;"",$O369,""))))))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IF(COUNTA($A369:$M369)=0,"",IF(OR(LEFT(LOWER(TRIM($F369&amp;"")),12)="subscription",LOWER(TRIM($F369&amp;""))="membership"),"Subscription",IF(OR(AND($H369&lt;&gt;"",$H369=0),LEFT(LOWER(TRIM($F369&amp;"")),9)="free game",LOWER(TRIM($F369&amp;""))="free",LOWER(TRIM($F369&amp;""))="free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IF(COUNTA($A370:$M370)=0,"",IF(OR(LEFT(LOWER(TRIM($F370&amp;"")),12)="subscription",LOWER(TRIM($F370&amp;""))="membership"),"",IF($G370="","",IF(ISNUMBER(SEARCH("non",LOWER($E370&amp;""))),$G370*0.85,$G370))))</x:f>
      </x:c>
      <x:c r="O370" s="987" t="str">
        <x:f>IF(COUNTA($A370:$M370)=0,"",IF(OR(LEFT(LOWER(TRIM($F370&amp;"")),12)="subscription",LOWER(TRIM($F370&amp;""))="membership"),"",IF(OR($N370="",$I370="",$I370=0),"",IFERROR($N370/$I370,""))))</x:f>
      </x:c>
      <x:c r="P370" s="987" t="str">
        <x:f>IF(COUNTA($A370:$M370)=0,"",IF(OR(LEFT(LOWER(TRIM($F370&amp;"")),12)="subscription",LOWER(TRIM($F370&amp;""))="membership"),"",IF(LOWER($L370&amp;"")="yes",0,IF(OR(AND($H370&lt;&gt;"",$H370=0),LEFT(LOWER(TRIM($F370&amp;"")),9)="free game",LOWER(TRIM($F370&amp;""))="free",LOWER(TRIM($F370&amp;""))="free entry"),IF(LOWER($D370&amp;"")="finalized",IF(ISNUMBER($K370),$K370,""),IF($O370&lt;&gt;"",$O370,"")),IF($K370&lt;&gt;"",$K370,IF($O370&lt;&gt;"",$O370,""))))))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IF(COUNTA($A370:$M370)=0,"",IF(OR(LEFT(LOWER(TRIM($F370&amp;"")),12)="subscription",LOWER(TRIM($F370&amp;""))="membership"),"Subscription",IF(OR(AND($H370&lt;&gt;"",$H370=0),LEFT(LOWER(TRIM($F370&amp;"")),9)="free game",LOWER(TRIM($F370&amp;""))="free",LOWER(TRIM($F370&amp;""))="free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IF(COUNTA($A371:$M371)=0,"",IF(OR(LEFT(LOWER(TRIM($F371&amp;"")),12)="subscription",LOWER(TRIM($F371&amp;""))="membership"),"",IF($G371="","",IF(ISNUMBER(SEARCH("non",LOWER($E371&amp;""))),$G371*0.85,$G371))))</x:f>
      </x:c>
      <x:c r="O371" s="987" t="str">
        <x:f>IF(COUNTA($A371:$M371)=0,"",IF(OR(LEFT(LOWER(TRIM($F371&amp;"")),12)="subscription",LOWER(TRIM($F371&amp;""))="membership"),"",IF(OR($N371="",$I371="",$I371=0),"",IFERROR($N371/$I371,""))))</x:f>
      </x:c>
      <x:c r="P371" s="987" t="str">
        <x:f>IF(COUNTA($A371:$M371)=0,"",IF(OR(LEFT(LOWER(TRIM($F371&amp;"")),12)="subscription",LOWER(TRIM($F371&amp;""))="membership"),"",IF(LOWER($L371&amp;"")="yes",0,IF(OR(AND($H371&lt;&gt;"",$H371=0),LEFT(LOWER(TRIM($F371&amp;"")),9)="free game",LOWER(TRIM($F371&amp;""))="free",LOWER(TRIM($F371&amp;""))="free entry"),IF(LOWER($D371&amp;"")="finalized",IF(ISNUMBER($K371),$K371,""),IF($O371&lt;&gt;"",$O371,"")),IF($K371&lt;&gt;"",$K371,IF($O371&lt;&gt;"",$O371,""))))))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IF(COUNTA($A371:$M371)=0,"",IF(OR(LEFT(LOWER(TRIM($F371&amp;"")),12)="subscription",LOWER(TRIM($F371&amp;""))="membership"),"Subscription",IF(OR(AND($H371&lt;&gt;"",$H371=0),LEFT(LOWER(TRIM($F371&amp;"")),9)="free game",LOWER(TRIM($F371&amp;""))="free",LOWER(TRIM($F371&amp;""))="free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IF(COUNTA($A372:$M372)=0,"",IF(OR(LEFT(LOWER(TRIM($F372&amp;"")),12)="subscription",LOWER(TRIM($F372&amp;""))="membership"),"",IF($G372="","",IF(ISNUMBER(SEARCH("non",LOWER($E372&amp;""))),$G372*0.85,$G372))))</x:f>
      </x:c>
      <x:c r="O372" s="987" t="str">
        <x:f>IF(COUNTA($A372:$M372)=0,"",IF(OR(LEFT(LOWER(TRIM($F372&amp;"")),12)="subscription",LOWER(TRIM($F372&amp;""))="membership"),"",IF(OR($N372="",$I372="",$I372=0),"",IFERROR($N372/$I372,""))))</x:f>
      </x:c>
      <x:c r="P372" s="987" t="str">
        <x:f>IF(COUNTA($A372:$M372)=0,"",IF(OR(LEFT(LOWER(TRIM($F372&amp;"")),12)="subscription",LOWER(TRIM($F372&amp;""))="membership"),"",IF(LOWER($L372&amp;"")="yes",0,IF(OR(AND($H372&lt;&gt;"",$H372=0),LEFT(LOWER(TRIM($F372&amp;"")),9)="free game",LOWER(TRIM($F372&amp;""))="free",LOWER(TRIM($F372&amp;""))="free entry"),IF(LOWER($D372&amp;"")="finalized",IF(ISNUMBER($K372),$K372,""),IF($O372&lt;&gt;"",$O372,"")),IF($K372&lt;&gt;"",$K372,IF($O372&lt;&gt;"",$O372,""))))))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IF(COUNTA($A372:$M372)=0,"",IF(OR(LEFT(LOWER(TRIM($F372&amp;"")),12)="subscription",LOWER(TRIM($F372&amp;""))="membership"),"Subscription",IF(OR(AND($H372&lt;&gt;"",$H372=0),LEFT(LOWER(TRIM($F372&amp;"")),9)="free game",LOWER(TRIM($F372&amp;""))="free",LOWER(TRIM($F372&amp;""))="free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IF(COUNTA($A373:$M373)=0,"",IF(OR(LEFT(LOWER(TRIM($F373&amp;"")),12)="subscription",LOWER(TRIM($F373&amp;""))="membership"),"",IF($G373="","",IF(ISNUMBER(SEARCH("non",LOWER($E373&amp;""))),$G373*0.85,$G373))))</x:f>
      </x:c>
      <x:c r="O373" s="987" t="str">
        <x:f>IF(COUNTA($A373:$M373)=0,"",IF(OR(LEFT(LOWER(TRIM($F373&amp;"")),12)="subscription",LOWER(TRIM($F373&amp;""))="membership"),"",IF(OR($N373="",$I373="",$I373=0),"",IFERROR($N373/$I373,""))))</x:f>
      </x:c>
      <x:c r="P373" s="987" t="str">
        <x:f>IF(COUNTA($A373:$M373)=0,"",IF(OR(LEFT(LOWER(TRIM($F373&amp;"")),12)="subscription",LOWER(TRIM($F373&amp;""))="membership"),"",IF(LOWER($L373&amp;"")="yes",0,IF(OR(AND($H373&lt;&gt;"",$H373=0),LEFT(LOWER(TRIM($F373&amp;"")),9)="free game",LOWER(TRIM($F373&amp;""))="free",LOWER(TRIM($F373&amp;""))="free entry"),IF(LOWER($D373&amp;"")="finalized",IF(ISNUMBER($K373),$K373,""),IF($O373&lt;&gt;"",$O373,"")),IF($K373&lt;&gt;"",$K373,IF($O373&lt;&gt;"",$O373,""))))))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IF(COUNTA($A373:$M373)=0,"",IF(OR(LEFT(LOWER(TRIM($F373&amp;"")),12)="subscription",LOWER(TRIM($F373&amp;""))="membership"),"Subscription",IF(OR(AND($H373&lt;&gt;"",$H373=0),LEFT(LOWER(TRIM($F373&amp;"")),9)="free game",LOWER(TRIM($F373&amp;""))="free",LOWER(TRIM($F373&amp;""))="free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IF(COUNTA($A374:$M374)=0,"",IF(OR(LEFT(LOWER(TRIM($F374&amp;"")),12)="subscription",LOWER(TRIM($F374&amp;""))="membership"),"",IF($G374="","",IF(ISNUMBER(SEARCH("non",LOWER($E374&amp;""))),$G374*0.85,$G374))))</x:f>
      </x:c>
      <x:c r="O374" s="987" t="str">
        <x:f>IF(COUNTA($A374:$M374)=0,"",IF(OR(LEFT(LOWER(TRIM($F374&amp;"")),12)="subscription",LOWER(TRIM($F374&amp;""))="membership"),"",IF(OR($N374="",$I374="",$I374=0),"",IFERROR($N374/$I374,""))))</x:f>
      </x:c>
      <x:c r="P374" s="987" t="str">
        <x:f>IF(COUNTA($A374:$M374)=0,"",IF(OR(LEFT(LOWER(TRIM($F374&amp;"")),12)="subscription",LOWER(TRIM($F374&amp;""))="membership"),"",IF(LOWER($L374&amp;"")="yes",0,IF(OR(AND($H374&lt;&gt;"",$H374=0),LEFT(LOWER(TRIM($F374&amp;"")),9)="free game",LOWER(TRIM($F374&amp;""))="free",LOWER(TRIM($F374&amp;""))="free entry"),IF(LOWER($D374&amp;"")="finalized",IF(ISNUMBER($K374),$K374,""),IF($O374&lt;&gt;"",$O374,"")),IF($K374&lt;&gt;"",$K374,IF($O374&lt;&gt;"",$O374,""))))))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IF(COUNTA($A374:$M374)=0,"",IF(OR(LEFT(LOWER(TRIM($F374&amp;"")),12)="subscription",LOWER(TRIM($F374&amp;""))="membership"),"Subscription",IF(OR(AND($H374&lt;&gt;"",$H374=0),LEFT(LOWER(TRIM($F374&amp;"")),9)="free game",LOWER(TRIM($F374&amp;""))="free",LOWER(TRIM($F374&amp;""))="free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IF(COUNTA($A375:$M375)=0,"",IF(OR(LEFT(LOWER(TRIM($F375&amp;"")),12)="subscription",LOWER(TRIM($F375&amp;""))="membership"),"",IF($G375="","",IF(ISNUMBER(SEARCH("non",LOWER($E375&amp;""))),$G375*0.85,$G375))))</x:f>
      </x:c>
      <x:c r="O375" s="987" t="str">
        <x:f>IF(COUNTA($A375:$M375)=0,"",IF(OR(LEFT(LOWER(TRIM($F375&amp;"")),12)="subscription",LOWER(TRIM($F375&amp;""))="membership"),"",IF(OR($N375="",$I375="",$I375=0),"",IFERROR($N375/$I375,""))))</x:f>
      </x:c>
      <x:c r="P375" s="987" t="str">
        <x:f>IF(COUNTA($A375:$M375)=0,"",IF(OR(LEFT(LOWER(TRIM($F375&amp;"")),12)="subscription",LOWER(TRIM($F375&amp;""))="membership"),"",IF(LOWER($L375&amp;"")="yes",0,IF(OR(AND($H375&lt;&gt;"",$H375=0),LEFT(LOWER(TRIM($F375&amp;"")),9)="free game",LOWER(TRIM($F375&amp;""))="free",LOWER(TRIM($F375&amp;""))="free entry"),IF(LOWER($D375&amp;"")="finalized",IF(ISNUMBER($K375),$K375,""),IF($O375&lt;&gt;"",$O375,"")),IF($K375&lt;&gt;"",$K375,IF($O375&lt;&gt;"",$O375,""))))))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IF(COUNTA($A375:$M375)=0,"",IF(OR(LEFT(LOWER(TRIM($F375&amp;"")),12)="subscription",LOWER(TRIM($F375&amp;""))="membership"),"Subscription",IF(OR(AND($H375&lt;&gt;"",$H375=0),LEFT(LOWER(TRIM($F375&amp;"")),9)="free game",LOWER(TRIM($F375&amp;""))="free",LOWER(TRIM($F375&amp;""))="free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IF(COUNTA($A376:$M376)=0,"",IF(OR(LEFT(LOWER(TRIM($F376&amp;"")),12)="subscription",LOWER(TRIM($F376&amp;""))="membership"),"",IF($G376="","",IF(ISNUMBER(SEARCH("non",LOWER($E376&amp;""))),$G376*0.85,$G376))))</x:f>
      </x:c>
      <x:c r="O376" s="987" t="str">
        <x:f>IF(COUNTA($A376:$M376)=0,"",IF(OR(LEFT(LOWER(TRIM($F376&amp;"")),12)="subscription",LOWER(TRIM($F376&amp;""))="membership"),"",IF(OR($N376="",$I376="",$I376=0),"",IFERROR($N376/$I376,""))))</x:f>
      </x:c>
      <x:c r="P376" s="987" t="str">
        <x:f>IF(COUNTA($A376:$M376)=0,"",IF(OR(LEFT(LOWER(TRIM($F376&amp;"")),12)="subscription",LOWER(TRIM($F376&amp;""))="membership"),"",IF(LOWER($L376&amp;"")="yes",0,IF(OR(AND($H376&lt;&gt;"",$H376=0),LEFT(LOWER(TRIM($F376&amp;"")),9)="free game",LOWER(TRIM($F376&amp;""))="free",LOWER(TRIM($F376&amp;""))="free entry"),IF(LOWER($D376&amp;"")="finalized",IF(ISNUMBER($K376),$K376,""),IF($O376&lt;&gt;"",$O376,"")),IF($K376&lt;&gt;"",$K376,IF($O376&lt;&gt;"",$O376,""))))))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IF(COUNTA($A376:$M376)=0,"",IF(OR(LEFT(LOWER(TRIM($F376&amp;"")),12)="subscription",LOWER(TRIM($F376&amp;""))="membership"),"Subscription",IF(OR(AND($H376&lt;&gt;"",$H376=0),LEFT(LOWER(TRIM($F376&amp;"")),9)="free game",LOWER(TRIM($F376&amp;""))="free",LOWER(TRIM($F376&amp;""))="free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IF(COUNTA($A377:$M377)=0,"",IF(OR(LEFT(LOWER(TRIM($F377&amp;"")),12)="subscription",LOWER(TRIM($F377&amp;""))="membership"),"",IF($G377="","",IF(ISNUMBER(SEARCH("non",LOWER($E377&amp;""))),$G377*0.85,$G377))))</x:f>
      </x:c>
      <x:c r="O377" s="987" t="str">
        <x:f>IF(COUNTA($A377:$M377)=0,"",IF(OR(LEFT(LOWER(TRIM($F377&amp;"")),12)="subscription",LOWER(TRIM($F377&amp;""))="membership"),"",IF(OR($N377="",$I377="",$I377=0),"",IFERROR($N377/$I377,""))))</x:f>
      </x:c>
      <x:c r="P377" s="987" t="str">
        <x:f>IF(COUNTA($A377:$M377)=0,"",IF(OR(LEFT(LOWER(TRIM($F377&amp;"")),12)="subscription",LOWER(TRIM($F377&amp;""))="membership"),"",IF(LOWER($L377&amp;"")="yes",0,IF(OR(AND($H377&lt;&gt;"",$H377=0),LEFT(LOWER(TRIM($F377&amp;"")),9)="free game",LOWER(TRIM($F377&amp;""))="free",LOWER(TRIM($F377&amp;""))="free entry"),IF(LOWER($D377&amp;"")="finalized",IF(ISNUMBER($K377),$K377,""),IF($O377&lt;&gt;"",$O377,"")),IF($K377&lt;&gt;"",$K377,IF($O377&lt;&gt;"",$O377,""))))))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IF(COUNTA($A377:$M377)=0,"",IF(OR(LEFT(LOWER(TRIM($F377&amp;"")),12)="subscription",LOWER(TRIM($F377&amp;""))="membership"),"Subscription",IF(OR(AND($H377&lt;&gt;"",$H377=0),LEFT(LOWER(TRIM($F377&amp;"")),9)="free game",LOWER(TRIM($F377&amp;""))="free",LOWER(TRIM($F377&amp;""))="free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IF(COUNTA($A378:$M378)=0,"",IF(OR(LEFT(LOWER(TRIM($F378&amp;"")),12)="subscription",LOWER(TRIM($F378&amp;""))="membership"),"",IF($G378="","",IF(ISNUMBER(SEARCH("non",LOWER($E378&amp;""))),$G378*0.85,$G378))))</x:f>
      </x:c>
      <x:c r="O378" s="987" t="str">
        <x:f>IF(COUNTA($A378:$M378)=0,"",IF(OR(LEFT(LOWER(TRIM($F378&amp;"")),12)="subscription",LOWER(TRIM($F378&amp;""))="membership"),"",IF(OR($N378="",$I378="",$I378=0),"",IFERROR($N378/$I378,""))))</x:f>
      </x:c>
      <x:c r="P378" s="987" t="str">
        <x:f>IF(COUNTA($A378:$M378)=0,"",IF(OR(LEFT(LOWER(TRIM($F378&amp;"")),12)="subscription",LOWER(TRIM($F378&amp;""))="membership"),"",IF(LOWER($L378&amp;"")="yes",0,IF(OR(AND($H378&lt;&gt;"",$H378=0),LEFT(LOWER(TRIM($F378&amp;"")),9)="free game",LOWER(TRIM($F378&amp;""))="free",LOWER(TRIM($F378&amp;""))="free entry"),IF(LOWER($D378&amp;"")="finalized",IF(ISNUMBER($K378),$K378,""),IF($O378&lt;&gt;"",$O378,"")),IF($K378&lt;&gt;"",$K378,IF($O378&lt;&gt;"",$O378,""))))))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IF(COUNTA($A378:$M378)=0,"",IF(OR(LEFT(LOWER(TRIM($F378&amp;"")),12)="subscription",LOWER(TRIM($F378&amp;""))="membership"),"Subscription",IF(OR(AND($H378&lt;&gt;"",$H378=0),LEFT(LOWER(TRIM($F378&amp;"")),9)="free game",LOWER(TRIM($F378&amp;""))="free",LOWER(TRIM($F378&amp;""))="free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IF(COUNTA($A379:$M379)=0,"",IF(OR(LEFT(LOWER(TRIM($F379&amp;"")),12)="subscription",LOWER(TRIM($F379&amp;""))="membership"),"",IF($G379="","",IF(ISNUMBER(SEARCH("non",LOWER($E379&amp;""))),$G379*0.85,$G379))))</x:f>
      </x:c>
      <x:c r="O379" s="987" t="str">
        <x:f>IF(COUNTA($A379:$M379)=0,"",IF(OR(LEFT(LOWER(TRIM($F379&amp;"")),12)="subscription",LOWER(TRIM($F379&amp;""))="membership"),"",IF(OR($N379="",$I379="",$I379=0),"",IFERROR($N379/$I379,""))))</x:f>
      </x:c>
      <x:c r="P379" s="987" t="str">
        <x:f>IF(COUNTA($A379:$M379)=0,"",IF(OR(LEFT(LOWER(TRIM($F379&amp;"")),12)="subscription",LOWER(TRIM($F379&amp;""))="membership"),"",IF(LOWER($L379&amp;"")="yes",0,IF(OR(AND($H379&lt;&gt;"",$H379=0),LEFT(LOWER(TRIM($F379&amp;"")),9)="free game",LOWER(TRIM($F379&amp;""))="free",LOWER(TRIM($F379&amp;""))="free entry"),IF(LOWER($D379&amp;"")="finalized",IF(ISNUMBER($K379),$K379,""),IF($O379&lt;&gt;"",$O379,"")),IF($K379&lt;&gt;"",$K379,IF($O379&lt;&gt;"",$O379,""))))))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IF(COUNTA($A379:$M379)=0,"",IF(OR(LEFT(LOWER(TRIM($F379&amp;"")),12)="subscription",LOWER(TRIM($F379&amp;""))="membership"),"Subscription",IF(OR(AND($H379&lt;&gt;"",$H379=0),LEFT(LOWER(TRIM($F379&amp;"")),9)="free game",LOWER(TRIM($F379&amp;""))="free",LOWER(TRIM($F379&amp;""))="free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IF(COUNTA($A380:$M380)=0,"",IF(OR(LEFT(LOWER(TRIM($F380&amp;"")),12)="subscription",LOWER(TRIM($F380&amp;""))="membership"),"",IF($G380="","",IF(ISNUMBER(SEARCH("non",LOWER($E380&amp;""))),$G380*0.85,$G380))))</x:f>
      </x:c>
      <x:c r="O380" s="987" t="str">
        <x:f>IF(COUNTA($A380:$M380)=0,"",IF(OR(LEFT(LOWER(TRIM($F380&amp;"")),12)="subscription",LOWER(TRIM($F380&amp;""))="membership"),"",IF(OR($N380="",$I380="",$I380=0),"",IFERROR($N380/$I380,""))))</x:f>
      </x:c>
      <x:c r="P380" s="987" t="str">
        <x:f>IF(COUNTA($A380:$M380)=0,"",IF(OR(LEFT(LOWER(TRIM($F380&amp;"")),12)="subscription",LOWER(TRIM($F380&amp;""))="membership"),"",IF(LOWER($L380&amp;"")="yes",0,IF(OR(AND($H380&lt;&gt;"",$H380=0),LEFT(LOWER(TRIM($F380&amp;"")),9)="free game",LOWER(TRIM($F380&amp;""))="free",LOWER(TRIM($F380&amp;""))="free entry"),IF(LOWER($D380&amp;"")="finalized",IF(ISNUMBER($K380),$K380,""),IF($O380&lt;&gt;"",$O380,"")),IF($K380&lt;&gt;"",$K380,IF($O380&lt;&gt;"",$O380,""))))))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IF(COUNTA($A380:$M380)=0,"",IF(OR(LEFT(LOWER(TRIM($F380&amp;"")),12)="subscription",LOWER(TRIM($F380&amp;""))="membership"),"Subscription",IF(OR(AND($H380&lt;&gt;"",$H380=0),LEFT(LOWER(TRIM($F380&amp;"")),9)="free game",LOWER(TRIM($F380&amp;""))="free",LOWER(TRIM($F380&amp;""))="free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IF(COUNTA($A381:$M381)=0,"",IF(OR(LEFT(LOWER(TRIM($F381&amp;"")),12)="subscription",LOWER(TRIM($F381&amp;""))="membership"),"",IF($G381="","",IF(ISNUMBER(SEARCH("non",LOWER($E381&amp;""))),$G381*0.85,$G381))))</x:f>
      </x:c>
      <x:c r="O381" s="987" t="str">
        <x:f>IF(COUNTA($A381:$M381)=0,"",IF(OR(LEFT(LOWER(TRIM($F381&amp;"")),12)="subscription",LOWER(TRIM($F381&amp;""))="membership"),"",IF(OR($N381="",$I381="",$I381=0),"",IFERROR($N381/$I381,""))))</x:f>
      </x:c>
      <x:c r="P381" s="987" t="str">
        <x:f>IF(COUNTA($A381:$M381)=0,"",IF(OR(LEFT(LOWER(TRIM($F381&amp;"")),12)="subscription",LOWER(TRIM($F381&amp;""))="membership"),"",IF(LOWER($L381&amp;"")="yes",0,IF(OR(AND($H381&lt;&gt;"",$H381=0),LEFT(LOWER(TRIM($F381&amp;"")),9)="free game",LOWER(TRIM($F381&amp;""))="free",LOWER(TRIM($F381&amp;""))="free entry"),IF(LOWER($D381&amp;"")="finalized",IF(ISNUMBER($K381),$K381,""),IF($O381&lt;&gt;"",$O381,"")),IF($K381&lt;&gt;"",$K381,IF($O381&lt;&gt;"",$O381,""))))))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IF(COUNTA($A381:$M381)=0,"",IF(OR(LEFT(LOWER(TRIM($F381&amp;"")),12)="subscription",LOWER(TRIM($F381&amp;""))="membership"),"Subscription",IF(OR(AND($H381&lt;&gt;"",$H381=0),LEFT(LOWER(TRIM($F381&amp;"")),9)="free game",LOWER(TRIM($F381&amp;""))="free",LOWER(TRIM($F381&amp;""))="free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IF(COUNTA($A382:$M382)=0,"",IF(OR(LEFT(LOWER(TRIM($F382&amp;"")),12)="subscription",LOWER(TRIM($F382&amp;""))="membership"),"",IF($G382="","",IF(ISNUMBER(SEARCH("non",LOWER($E382&amp;""))),$G382*0.85,$G382))))</x:f>
      </x:c>
      <x:c r="O382" s="987" t="str">
        <x:f>IF(COUNTA($A382:$M382)=0,"",IF(OR(LEFT(LOWER(TRIM($F382&amp;"")),12)="subscription",LOWER(TRIM($F382&amp;""))="membership"),"",IF(OR($N382="",$I382="",$I382=0),"",IFERROR($N382/$I382,""))))</x:f>
      </x:c>
      <x:c r="P382" s="987" t="str">
        <x:f>IF(COUNTA($A382:$M382)=0,"",IF(OR(LEFT(LOWER(TRIM($F382&amp;"")),12)="subscription",LOWER(TRIM($F382&amp;""))="membership"),"",IF(LOWER($L382&amp;"")="yes",0,IF(OR(AND($H382&lt;&gt;"",$H382=0),LEFT(LOWER(TRIM($F382&amp;"")),9)="free game",LOWER(TRIM($F382&amp;""))="free",LOWER(TRIM($F382&amp;""))="free entry"),IF(LOWER($D382&amp;"")="finalized",IF(ISNUMBER($K382),$K382,""),IF($O382&lt;&gt;"",$O382,"")),IF($K382&lt;&gt;"",$K382,IF($O382&lt;&gt;"",$O382,""))))))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IF(COUNTA($A382:$M382)=0,"",IF(OR(LEFT(LOWER(TRIM($F382&amp;"")),12)="subscription",LOWER(TRIM($F382&amp;""))="membership"),"Subscription",IF(OR(AND($H382&lt;&gt;"",$H382=0),LEFT(LOWER(TRIM($F382&amp;"")),9)="free game",LOWER(TRIM($F382&amp;""))="free",LOWER(TRIM($F382&amp;""))="free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IF(COUNTA($A383:$M383)=0,"",IF(OR(LEFT(LOWER(TRIM($F383&amp;"")),12)="subscription",LOWER(TRIM($F383&amp;""))="membership"),"",IF($G383="","",IF(ISNUMBER(SEARCH("non",LOWER($E383&amp;""))),$G383*0.85,$G383))))</x:f>
      </x:c>
      <x:c r="O383" s="987" t="str">
        <x:f>IF(COUNTA($A383:$M383)=0,"",IF(OR(LEFT(LOWER(TRIM($F383&amp;"")),12)="subscription",LOWER(TRIM($F383&amp;""))="membership"),"",IF(OR($N383="",$I383="",$I383=0),"",IFERROR($N383/$I383,""))))</x:f>
      </x:c>
      <x:c r="P383" s="987" t="str">
        <x:f>IF(COUNTA($A383:$M383)=0,"",IF(OR(LEFT(LOWER(TRIM($F383&amp;"")),12)="subscription",LOWER(TRIM($F383&amp;""))="membership"),"",IF(LOWER($L383&amp;"")="yes",0,IF(OR(AND($H383&lt;&gt;"",$H383=0),LEFT(LOWER(TRIM($F383&amp;"")),9)="free game",LOWER(TRIM($F383&amp;""))="free",LOWER(TRIM($F383&amp;""))="free entry"),IF(LOWER($D383&amp;"")="finalized",IF(ISNUMBER($K383),$K383,""),IF($O383&lt;&gt;"",$O383,"")),IF($K383&lt;&gt;"",$K383,IF($O383&lt;&gt;"",$O383,""))))))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IF(COUNTA($A383:$M383)=0,"",IF(OR(LEFT(LOWER(TRIM($F383&amp;"")),12)="subscription",LOWER(TRIM($F383&amp;""))="membership"),"Subscription",IF(OR(AND($H383&lt;&gt;"",$H383=0),LEFT(LOWER(TRIM($F383&amp;"")),9)="free game",LOWER(TRIM($F383&amp;""))="free",LOWER(TRIM($F383&amp;""))="free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IF(COUNTA($A384:$M384)=0,"",IF(OR(LEFT(LOWER(TRIM($F384&amp;"")),12)="subscription",LOWER(TRIM($F384&amp;""))="membership"),"",IF($G384="","",IF(ISNUMBER(SEARCH("non",LOWER($E384&amp;""))),$G384*0.85,$G384))))</x:f>
      </x:c>
      <x:c r="O384" s="987" t="str">
        <x:f>IF(COUNTA($A384:$M384)=0,"",IF(OR(LEFT(LOWER(TRIM($F384&amp;"")),12)="subscription",LOWER(TRIM($F384&amp;""))="membership"),"",IF(OR($N384="",$I384="",$I384=0),"",IFERROR($N384/$I384,""))))</x:f>
      </x:c>
      <x:c r="P384" s="987" t="str">
        <x:f>IF(COUNTA($A384:$M384)=0,"",IF(OR(LEFT(LOWER(TRIM($F384&amp;"")),12)="subscription",LOWER(TRIM($F384&amp;""))="membership"),"",IF(LOWER($L384&amp;"")="yes",0,IF(OR(AND($H384&lt;&gt;"",$H384=0),LEFT(LOWER(TRIM($F384&amp;"")),9)="free game",LOWER(TRIM($F384&amp;""))="free",LOWER(TRIM($F384&amp;""))="free entry"),IF(LOWER($D384&amp;"")="finalized",IF(ISNUMBER($K384),$K384,""),IF($O384&lt;&gt;"",$O384,"")),IF($K384&lt;&gt;"",$K384,IF($O384&lt;&gt;"",$O384,""))))))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IF(COUNTA($A384:$M384)=0,"",IF(OR(LEFT(LOWER(TRIM($F384&amp;"")),12)="subscription",LOWER(TRIM($F384&amp;""))="membership"),"Subscription",IF(OR(AND($H384&lt;&gt;"",$H384=0),LEFT(LOWER(TRIM($F384&amp;"")),9)="free game",LOWER(TRIM($F384&amp;""))="free",LOWER(TRIM($F384&amp;""))="free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IF(COUNTA($A385:$M385)=0,"",IF(OR(LEFT(LOWER(TRIM($F385&amp;"")),12)="subscription",LOWER(TRIM($F385&amp;""))="membership"),"",IF($G385="","",IF(ISNUMBER(SEARCH("non",LOWER($E385&amp;""))),$G385*0.85,$G385))))</x:f>
      </x:c>
      <x:c r="O385" s="987" t="str">
        <x:f>IF(COUNTA($A385:$M385)=0,"",IF(OR(LEFT(LOWER(TRIM($F385&amp;"")),12)="subscription",LOWER(TRIM($F385&amp;""))="membership"),"",IF(OR($N385="",$I385="",$I385=0),"",IFERROR($N385/$I385,""))))</x:f>
      </x:c>
      <x:c r="P385" s="987" t="str">
        <x:f>IF(COUNTA($A385:$M385)=0,"",IF(OR(LEFT(LOWER(TRIM($F385&amp;"")),12)="subscription",LOWER(TRIM($F385&amp;""))="membership"),"",IF(LOWER($L385&amp;"")="yes",0,IF(OR(AND($H385&lt;&gt;"",$H385=0),LEFT(LOWER(TRIM($F385&amp;"")),9)="free game",LOWER(TRIM($F385&amp;""))="free",LOWER(TRIM($F385&amp;""))="free entry"),IF(LOWER($D385&amp;"")="finalized",IF(ISNUMBER($K385),$K385,""),IF($O385&lt;&gt;"",$O385,"")),IF($K385&lt;&gt;"",$K385,IF($O385&lt;&gt;"",$O385,""))))))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IF(COUNTA($A385:$M385)=0,"",IF(OR(LEFT(LOWER(TRIM($F385&amp;"")),12)="subscription",LOWER(TRIM($F385&amp;""))="membership"),"Subscription",IF(OR(AND($H385&lt;&gt;"",$H385=0),LEFT(LOWER(TRIM($F385&amp;"")),9)="free game",LOWER(TRIM($F385&amp;""))="free",LOWER(TRIM($F385&amp;""))="free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IF(COUNTA($A386:$M386)=0,"",IF(OR(LEFT(LOWER(TRIM($F386&amp;"")),12)="subscription",LOWER(TRIM($F386&amp;""))="membership"),"",IF($G386="","",IF(ISNUMBER(SEARCH("non",LOWER($E386&amp;""))),$G386*0.85,$G386))))</x:f>
      </x:c>
      <x:c r="O386" s="987" t="str">
        <x:f>IF(COUNTA($A386:$M386)=0,"",IF(OR(LEFT(LOWER(TRIM($F386&amp;"")),12)="subscription",LOWER(TRIM($F386&amp;""))="membership"),"",IF(OR($N386="",$I386="",$I386=0),"",IFERROR($N386/$I386,""))))</x:f>
      </x:c>
      <x:c r="P386" s="987" t="str">
        <x:f>IF(COUNTA($A386:$M386)=0,"",IF(OR(LEFT(LOWER(TRIM($F386&amp;"")),12)="subscription",LOWER(TRIM($F386&amp;""))="membership"),"",IF(LOWER($L386&amp;"")="yes",0,IF(OR(AND($H386&lt;&gt;"",$H386=0),LEFT(LOWER(TRIM($F386&amp;"")),9)="free game",LOWER(TRIM($F386&amp;""))="free",LOWER(TRIM($F386&amp;""))="free entry"),IF(LOWER($D386&amp;"")="finalized",IF(ISNUMBER($K386),$K386,""),IF($O386&lt;&gt;"",$O386,"")),IF($K386&lt;&gt;"",$K386,IF($O386&lt;&gt;"",$O386,""))))))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IF(COUNTA($A386:$M386)=0,"",IF(OR(LEFT(LOWER(TRIM($F386&amp;"")),12)="subscription",LOWER(TRIM($F386&amp;""))="membership"),"Subscription",IF(OR(AND($H386&lt;&gt;"",$H386=0),LEFT(LOWER(TRIM($F386&amp;"")),9)="free game",LOWER(TRIM($F386&amp;""))="free",LOWER(TRIM($F386&amp;""))="free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IF(COUNTA($A387:$M387)=0,"",IF(OR(LEFT(LOWER(TRIM($F387&amp;"")),12)="subscription",LOWER(TRIM($F387&amp;""))="membership"),"",IF($G387="","",IF(ISNUMBER(SEARCH("non",LOWER($E387&amp;""))),$G387*0.85,$G387))))</x:f>
      </x:c>
      <x:c r="O387" s="987" t="str">
        <x:f>IF(COUNTA($A387:$M387)=0,"",IF(OR(LEFT(LOWER(TRIM($F387&amp;"")),12)="subscription",LOWER(TRIM($F387&amp;""))="membership"),"",IF(OR($N387="",$I387="",$I387=0),"",IFERROR($N387/$I387,""))))</x:f>
      </x:c>
      <x:c r="P387" s="987" t="str">
        <x:f>IF(COUNTA($A387:$M387)=0,"",IF(OR(LEFT(LOWER(TRIM($F387&amp;"")),12)="subscription",LOWER(TRIM($F387&amp;""))="membership"),"",IF(LOWER($L387&amp;"")="yes",0,IF(OR(AND($H387&lt;&gt;"",$H387=0),LEFT(LOWER(TRIM($F387&amp;"")),9)="free game",LOWER(TRIM($F387&amp;""))="free",LOWER(TRIM($F387&amp;""))="free entry"),IF(LOWER($D387&amp;"")="finalized",IF(ISNUMBER($K387),$K387,""),IF($O387&lt;&gt;"",$O387,"")),IF($K387&lt;&gt;"",$K387,IF($O387&lt;&gt;"",$O387,""))))))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IF(COUNTA($A387:$M387)=0,"",IF(OR(LEFT(LOWER(TRIM($F387&amp;"")),12)="subscription",LOWER(TRIM($F387&amp;""))="membership"),"Subscription",IF(OR(AND($H387&lt;&gt;"",$H387=0),LEFT(LOWER(TRIM($F387&amp;"")),9)="free game",LOWER(TRIM($F387&amp;""))="free",LOWER(TRIM($F387&amp;""))="free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IF(COUNTA($A388:$M388)=0,"",IF(OR(LEFT(LOWER(TRIM($F388&amp;"")),12)="subscription",LOWER(TRIM($F388&amp;""))="membership"),"",IF($G388="","",IF(ISNUMBER(SEARCH("non",LOWER($E388&amp;""))),$G388*0.85,$G388))))</x:f>
      </x:c>
      <x:c r="O388" s="987" t="str">
        <x:f>IF(COUNTA($A388:$M388)=0,"",IF(OR(LEFT(LOWER(TRIM($F388&amp;"")),12)="subscription",LOWER(TRIM($F388&amp;""))="membership"),"",IF(OR($N388="",$I388="",$I388=0),"",IFERROR($N388/$I388,""))))</x:f>
      </x:c>
      <x:c r="P388" s="987" t="str">
        <x:f>IF(COUNTA($A388:$M388)=0,"",IF(OR(LEFT(LOWER(TRIM($F388&amp;"")),12)="subscription",LOWER(TRIM($F388&amp;""))="membership"),"",IF(LOWER($L388&amp;"")="yes",0,IF(OR(AND($H388&lt;&gt;"",$H388=0),LEFT(LOWER(TRIM($F388&amp;"")),9)="free game",LOWER(TRIM($F388&amp;""))="free",LOWER(TRIM($F388&amp;""))="free entry"),IF(LOWER($D388&amp;"")="finalized",IF(ISNUMBER($K388),$K388,""),IF($O388&lt;&gt;"",$O388,"")),IF($K388&lt;&gt;"",$K388,IF($O388&lt;&gt;"",$O388,""))))))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IF(COUNTA($A388:$M388)=0,"",IF(OR(LEFT(LOWER(TRIM($F388&amp;"")),12)="subscription",LOWER(TRIM($F388&amp;""))="membership"),"Subscription",IF(OR(AND($H388&lt;&gt;"",$H388=0),LEFT(LOWER(TRIM($F388&amp;"")),9)="free game",LOWER(TRIM($F388&amp;""))="free",LOWER(TRIM($F388&amp;""))="free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IF(COUNTA($A389:$M389)=0,"",IF(OR(LEFT(LOWER(TRIM($F389&amp;"")),12)="subscription",LOWER(TRIM($F389&amp;""))="membership"),"",IF($G389="","",IF(ISNUMBER(SEARCH("non",LOWER($E389&amp;""))),$G389*0.85,$G389))))</x:f>
      </x:c>
      <x:c r="O389" s="987" t="str">
        <x:f>IF(COUNTA($A389:$M389)=0,"",IF(OR(LEFT(LOWER(TRIM($F389&amp;"")),12)="subscription",LOWER(TRIM($F389&amp;""))="membership"),"",IF(OR($N389="",$I389="",$I389=0),"",IFERROR($N389/$I389,""))))</x:f>
      </x:c>
      <x:c r="P389" s="987" t="str">
        <x:f>IF(COUNTA($A389:$M389)=0,"",IF(OR(LEFT(LOWER(TRIM($F389&amp;"")),12)="subscription",LOWER(TRIM($F389&amp;""))="membership"),"",IF(LOWER($L389&amp;"")="yes",0,IF(OR(AND($H389&lt;&gt;"",$H389=0),LEFT(LOWER(TRIM($F389&amp;"")),9)="free game",LOWER(TRIM($F389&amp;""))="free",LOWER(TRIM($F389&amp;""))="free entry"),IF(LOWER($D389&amp;"")="finalized",IF(ISNUMBER($K389),$K389,""),IF($O389&lt;&gt;"",$O389,"")),IF($K389&lt;&gt;"",$K389,IF($O389&lt;&gt;"",$O389,""))))))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IF(COUNTA($A389:$M389)=0,"",IF(OR(LEFT(LOWER(TRIM($F389&amp;"")),12)="subscription",LOWER(TRIM($F389&amp;""))="membership"),"Subscription",IF(OR(AND($H389&lt;&gt;"",$H389=0),LEFT(LOWER(TRIM($F389&amp;"")),9)="free game",LOWER(TRIM($F389&amp;""))="free",LOWER(TRIM($F389&amp;""))="free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IF(COUNTA($A390:$M390)=0,"",IF(OR(LEFT(LOWER(TRIM($F390&amp;"")),12)="subscription",LOWER(TRIM($F390&amp;""))="membership"),"",IF($G390="","",IF(ISNUMBER(SEARCH("non",LOWER($E390&amp;""))),$G390*0.85,$G390))))</x:f>
      </x:c>
      <x:c r="O390" s="987" t="str">
        <x:f>IF(COUNTA($A390:$M390)=0,"",IF(OR(LEFT(LOWER(TRIM($F390&amp;"")),12)="subscription",LOWER(TRIM($F390&amp;""))="membership"),"",IF(OR($N390="",$I390="",$I390=0),"",IFERROR($N390/$I390,""))))</x:f>
      </x:c>
      <x:c r="P390" s="987" t="str">
        <x:f>IF(COUNTA($A390:$M390)=0,"",IF(OR(LEFT(LOWER(TRIM($F390&amp;"")),12)="subscription",LOWER(TRIM($F390&amp;""))="membership"),"",IF(LOWER($L390&amp;"")="yes",0,IF(OR(AND($H390&lt;&gt;"",$H390=0),LEFT(LOWER(TRIM($F390&amp;"")),9)="free game",LOWER(TRIM($F390&amp;""))="free",LOWER(TRIM($F390&amp;""))="free entry"),IF(LOWER($D390&amp;"")="finalized",IF(ISNUMBER($K390),$K390,""),IF($O390&lt;&gt;"",$O390,"")),IF($K390&lt;&gt;"",$K390,IF($O390&lt;&gt;"",$O390,""))))))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IF(COUNTA($A390:$M390)=0,"",IF(OR(LEFT(LOWER(TRIM($F390&amp;"")),12)="subscription",LOWER(TRIM($F390&amp;""))="membership"),"Subscription",IF(OR(AND($H390&lt;&gt;"",$H390=0),LEFT(LOWER(TRIM($F390&amp;"")),9)="free game",LOWER(TRIM($F390&amp;""))="free",LOWER(TRIM($F390&amp;""))="free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IF(COUNTA($A391:$M391)=0,"",IF(OR(LEFT(LOWER(TRIM($F391&amp;"")),12)="subscription",LOWER(TRIM($F391&amp;""))="membership"),"",IF($G391="","",IF(ISNUMBER(SEARCH("non",LOWER($E391&amp;""))),$G391*0.85,$G391))))</x:f>
      </x:c>
      <x:c r="O391" s="987" t="str">
        <x:f>IF(COUNTA($A391:$M391)=0,"",IF(OR(LEFT(LOWER(TRIM($F391&amp;"")),12)="subscription",LOWER(TRIM($F391&amp;""))="membership"),"",IF(OR($N391="",$I391="",$I391=0),"",IFERROR($N391/$I391,""))))</x:f>
      </x:c>
      <x:c r="P391" s="987" t="str">
        <x:f>IF(COUNTA($A391:$M391)=0,"",IF(OR(LEFT(LOWER(TRIM($F391&amp;"")),12)="subscription",LOWER(TRIM($F391&amp;""))="membership"),"",IF(LOWER($L391&amp;"")="yes",0,IF(OR(AND($H391&lt;&gt;"",$H391=0),LEFT(LOWER(TRIM($F391&amp;"")),9)="free game",LOWER(TRIM($F391&amp;""))="free",LOWER(TRIM($F391&amp;""))="free entry"),IF(LOWER($D391&amp;"")="finalized",IF(ISNUMBER($K391),$K391,""),IF($O391&lt;&gt;"",$O391,"")),IF($K391&lt;&gt;"",$K391,IF($O391&lt;&gt;"",$O391,""))))))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IF(COUNTA($A391:$M391)=0,"",IF(OR(LEFT(LOWER(TRIM($F391&amp;"")),12)="subscription",LOWER(TRIM($F391&amp;""))="membership"),"Subscription",IF(OR(AND($H391&lt;&gt;"",$H391=0),LEFT(LOWER(TRIM($F391&amp;"")),9)="free game",LOWER(TRIM($F391&amp;""))="free",LOWER(TRIM($F391&amp;""))="free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IF(COUNTA($A392:$M392)=0,"",IF(OR(LEFT(LOWER(TRIM($F392&amp;"")),12)="subscription",LOWER(TRIM($F392&amp;""))="membership"),"",IF($G392="","",IF(ISNUMBER(SEARCH("non",LOWER($E392&amp;""))),$G392*0.85,$G392))))</x:f>
      </x:c>
      <x:c r="O392" s="987" t="str">
        <x:f>IF(COUNTA($A392:$M392)=0,"",IF(OR(LEFT(LOWER(TRIM($F392&amp;"")),12)="subscription",LOWER(TRIM($F392&amp;""))="membership"),"",IF(OR($N392="",$I392="",$I392=0),"",IFERROR($N392/$I392,""))))</x:f>
      </x:c>
      <x:c r="P392" s="987" t="str">
        <x:f>IF(COUNTA($A392:$M392)=0,"",IF(OR(LEFT(LOWER(TRIM($F392&amp;"")),12)="subscription",LOWER(TRIM($F392&amp;""))="membership"),"",IF(LOWER($L392&amp;"")="yes",0,IF(OR(AND($H392&lt;&gt;"",$H392=0),LEFT(LOWER(TRIM($F392&amp;"")),9)="free game",LOWER(TRIM($F392&amp;""))="free",LOWER(TRIM($F392&amp;""))="free entry"),IF(LOWER($D392&amp;"")="finalized",IF(ISNUMBER($K392),$K392,""),IF($O392&lt;&gt;"",$O392,"")),IF($K392&lt;&gt;"",$K392,IF($O392&lt;&gt;"",$O392,""))))))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IF(COUNTA($A392:$M392)=0,"",IF(OR(LEFT(LOWER(TRIM($F392&amp;"")),12)="subscription",LOWER(TRIM($F392&amp;""))="membership"),"Subscription",IF(OR(AND($H392&lt;&gt;"",$H392=0),LEFT(LOWER(TRIM($F392&amp;"")),9)="free game",LOWER(TRIM($F392&amp;""))="free",LOWER(TRIM($F392&amp;""))="free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IF(COUNTA($A393:$M393)=0,"",IF(OR(LEFT(LOWER(TRIM($F393&amp;"")),12)="subscription",LOWER(TRIM($F393&amp;""))="membership"),"",IF($G393="","",IF(ISNUMBER(SEARCH("non",LOWER($E393&amp;""))),$G393*0.85,$G393))))</x:f>
      </x:c>
      <x:c r="O393" s="987" t="str">
        <x:f>IF(COUNTA($A393:$M393)=0,"",IF(OR(LEFT(LOWER(TRIM($F393&amp;"")),12)="subscription",LOWER(TRIM($F393&amp;""))="membership"),"",IF(OR($N393="",$I393="",$I393=0),"",IFERROR($N393/$I393,""))))</x:f>
      </x:c>
      <x:c r="P393" s="987" t="str">
        <x:f>IF(COUNTA($A393:$M393)=0,"",IF(OR(LEFT(LOWER(TRIM($F393&amp;"")),12)="subscription",LOWER(TRIM($F393&amp;""))="membership"),"",IF(LOWER($L393&amp;"")="yes",0,IF(OR(AND($H393&lt;&gt;"",$H393=0),LEFT(LOWER(TRIM($F393&amp;"")),9)="free game",LOWER(TRIM($F393&amp;""))="free",LOWER(TRIM($F393&amp;""))="free entry"),IF(LOWER($D393&amp;"")="finalized",IF(ISNUMBER($K393),$K393,""),IF($O393&lt;&gt;"",$O393,"")),IF($K393&lt;&gt;"",$K393,IF($O393&lt;&gt;"",$O393,""))))))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IF(COUNTA($A393:$M393)=0,"",IF(OR(LEFT(LOWER(TRIM($F393&amp;"")),12)="subscription",LOWER(TRIM($F393&amp;""))="membership"),"Subscription",IF(OR(AND($H393&lt;&gt;"",$H393=0),LEFT(LOWER(TRIM($F393&amp;"")),9)="free game",LOWER(TRIM($F393&amp;""))="free",LOWER(TRIM($F393&amp;""))="free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IF(COUNTA($A394:$M394)=0,"",IF(OR(LEFT(LOWER(TRIM($F394&amp;"")),12)="subscription",LOWER(TRIM($F394&amp;""))="membership"),"",IF($G394="","",IF(ISNUMBER(SEARCH("non",LOWER($E394&amp;""))),$G394*0.85,$G394))))</x:f>
      </x:c>
      <x:c r="O394" s="987" t="str">
        <x:f>IF(COUNTA($A394:$M394)=0,"",IF(OR(LEFT(LOWER(TRIM($F394&amp;"")),12)="subscription",LOWER(TRIM($F394&amp;""))="membership"),"",IF(OR($N394="",$I394="",$I394=0),"",IFERROR($N394/$I394,""))))</x:f>
      </x:c>
      <x:c r="P394" s="987" t="str">
        <x:f>IF(COUNTA($A394:$M394)=0,"",IF(OR(LEFT(LOWER(TRIM($F394&amp;"")),12)="subscription",LOWER(TRIM($F394&amp;""))="membership"),"",IF(LOWER($L394&amp;"")="yes",0,IF(OR(AND($H394&lt;&gt;"",$H394=0),LEFT(LOWER(TRIM($F394&amp;"")),9)="free game",LOWER(TRIM($F394&amp;""))="free",LOWER(TRIM($F394&amp;""))="free entry"),IF(LOWER($D394&amp;"")="finalized",IF(ISNUMBER($K394),$K394,""),IF($O394&lt;&gt;"",$O394,"")),IF($K394&lt;&gt;"",$K394,IF($O394&lt;&gt;"",$O394,""))))))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IF(COUNTA($A394:$M394)=0,"",IF(OR(LEFT(LOWER(TRIM($F394&amp;"")),12)="subscription",LOWER(TRIM($F394&amp;""))="membership"),"Subscription",IF(OR(AND($H394&lt;&gt;"",$H394=0),LEFT(LOWER(TRIM($F394&amp;"")),9)="free game",LOWER(TRIM($F394&amp;""))="free",LOWER(TRIM($F394&amp;""))="free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IF(COUNTA($A395:$M395)=0,"",IF(OR(LEFT(LOWER(TRIM($F395&amp;"")),12)="subscription",LOWER(TRIM($F395&amp;""))="membership"),"",IF($G395="","",IF(ISNUMBER(SEARCH("non",LOWER($E395&amp;""))),$G395*0.85,$G395))))</x:f>
      </x:c>
      <x:c r="O395" s="987" t="str">
        <x:f>IF(COUNTA($A395:$M395)=0,"",IF(OR(LEFT(LOWER(TRIM($F395&amp;"")),12)="subscription",LOWER(TRIM($F395&amp;""))="membership"),"",IF(OR($N395="",$I395="",$I395=0),"",IFERROR($N395/$I395,""))))</x:f>
      </x:c>
      <x:c r="P395" s="987" t="str">
        <x:f>IF(COUNTA($A395:$M395)=0,"",IF(OR(LEFT(LOWER(TRIM($F395&amp;"")),12)="subscription",LOWER(TRIM($F395&amp;""))="membership"),"",IF(LOWER($L395&amp;"")="yes",0,IF(OR(AND($H395&lt;&gt;"",$H395=0),LEFT(LOWER(TRIM($F395&amp;"")),9)="free game",LOWER(TRIM($F395&amp;""))="free",LOWER(TRIM($F395&amp;""))="free entry"),IF(LOWER($D395&amp;"")="finalized",IF(ISNUMBER($K395),$K395,""),IF($O395&lt;&gt;"",$O395,"")),IF($K395&lt;&gt;"",$K395,IF($O395&lt;&gt;"",$O395,""))))))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IF(COUNTA($A395:$M395)=0,"",IF(OR(LEFT(LOWER(TRIM($F395&amp;"")),12)="subscription",LOWER(TRIM($F395&amp;""))="membership"),"Subscription",IF(OR(AND($H395&lt;&gt;"",$H395=0),LEFT(LOWER(TRIM($F395&amp;"")),9)="free game",LOWER(TRIM($F395&amp;""))="free",LOWER(TRIM($F395&amp;""))="free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IF(COUNTA($A396:$M396)=0,"",IF(OR(LEFT(LOWER(TRIM($F396&amp;"")),12)="subscription",LOWER(TRIM($F396&amp;""))="membership"),"",IF($G396="","",IF(ISNUMBER(SEARCH("non",LOWER($E396&amp;""))),$G396*0.85,$G396))))</x:f>
      </x:c>
      <x:c r="O396" s="987" t="str">
        <x:f>IF(COUNTA($A396:$M396)=0,"",IF(OR(LEFT(LOWER(TRIM($F396&amp;"")),12)="subscription",LOWER(TRIM($F396&amp;""))="membership"),"",IF(OR($N396="",$I396="",$I396=0),"",IFERROR($N396/$I396,""))))</x:f>
      </x:c>
      <x:c r="P396" s="987" t="str">
        <x:f>IF(COUNTA($A396:$M396)=0,"",IF(OR(LEFT(LOWER(TRIM($F396&amp;"")),12)="subscription",LOWER(TRIM($F396&amp;""))="membership"),"",IF(LOWER($L396&amp;"")="yes",0,IF(OR(AND($H396&lt;&gt;"",$H396=0),LEFT(LOWER(TRIM($F396&amp;"")),9)="free game",LOWER(TRIM($F396&amp;""))="free",LOWER(TRIM($F396&amp;""))="free entry"),IF(LOWER($D396&amp;"")="finalized",IF(ISNUMBER($K396),$K396,""),IF($O396&lt;&gt;"",$O396,"")),IF($K396&lt;&gt;"",$K396,IF($O396&lt;&gt;"",$O396,""))))))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IF(COUNTA($A396:$M396)=0,"",IF(OR(LEFT(LOWER(TRIM($F396&amp;"")),12)="subscription",LOWER(TRIM($F396&amp;""))="membership"),"Subscription",IF(OR(AND($H396&lt;&gt;"",$H396=0),LEFT(LOWER(TRIM($F396&amp;"")),9)="free game",LOWER(TRIM($F396&amp;""))="free",LOWER(TRIM($F396&amp;""))="free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IF(COUNTA($A397:$M397)=0,"",IF(OR(LEFT(LOWER(TRIM($F397&amp;"")),12)="subscription",LOWER(TRIM($F397&amp;""))="membership"),"",IF($G397="","",IF(ISNUMBER(SEARCH("non",LOWER($E397&amp;""))),$G397*0.85,$G397))))</x:f>
      </x:c>
      <x:c r="O397" s="987" t="str">
        <x:f>IF(COUNTA($A397:$M397)=0,"",IF(OR(LEFT(LOWER(TRIM($F397&amp;"")),12)="subscription",LOWER(TRIM($F397&amp;""))="membership"),"",IF(OR($N397="",$I397="",$I397=0),"",IFERROR($N397/$I397,""))))</x:f>
      </x:c>
      <x:c r="P397" s="987" t="str">
        <x:f>IF(COUNTA($A397:$M397)=0,"",IF(OR(LEFT(LOWER(TRIM($F397&amp;"")),12)="subscription",LOWER(TRIM($F397&amp;""))="membership"),"",IF(LOWER($L397&amp;"")="yes",0,IF(OR(AND($H397&lt;&gt;"",$H397=0),LEFT(LOWER(TRIM($F397&amp;"")),9)="free game",LOWER(TRIM($F397&amp;""))="free",LOWER(TRIM($F397&amp;""))="free entry"),IF(LOWER($D397&amp;"")="finalized",IF(ISNUMBER($K397),$K397,""),IF($O397&lt;&gt;"",$O397,"")),IF($K397&lt;&gt;"",$K397,IF($O397&lt;&gt;"",$O397,""))))))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IF(COUNTA($A397:$M397)=0,"",IF(OR(LEFT(LOWER(TRIM($F397&amp;"")),12)="subscription",LOWER(TRIM($F397&amp;""))="membership"),"Subscription",IF(OR(AND($H397&lt;&gt;"",$H397=0),LEFT(LOWER(TRIM($F397&amp;"")),9)="free game",LOWER(TRIM($F397&amp;""))="free",LOWER(TRIM($F397&amp;""))="free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IF(COUNTA($A398:$M398)=0,"",IF(OR(LEFT(LOWER(TRIM($F398&amp;"")),12)="subscription",LOWER(TRIM($F398&amp;""))="membership"),"",IF($G398="","",IF(ISNUMBER(SEARCH("non",LOWER($E398&amp;""))),$G398*0.85,$G398))))</x:f>
      </x:c>
      <x:c r="O398" s="987" t="str">
        <x:f>IF(COUNTA($A398:$M398)=0,"",IF(OR(LEFT(LOWER(TRIM($F398&amp;"")),12)="subscription",LOWER(TRIM($F398&amp;""))="membership"),"",IF(OR($N398="",$I398="",$I398=0),"",IFERROR($N398/$I398,""))))</x:f>
      </x:c>
      <x:c r="P398" s="987" t="str">
        <x:f>IF(COUNTA($A398:$M398)=0,"",IF(OR(LEFT(LOWER(TRIM($F398&amp;"")),12)="subscription",LOWER(TRIM($F398&amp;""))="membership"),"",IF(LOWER($L398&amp;"")="yes",0,IF(OR(AND($H398&lt;&gt;"",$H398=0),LEFT(LOWER(TRIM($F398&amp;"")),9)="free game",LOWER(TRIM($F398&amp;""))="free",LOWER(TRIM($F398&amp;""))="free entry"),IF(LOWER($D398&amp;"")="finalized",IF(ISNUMBER($K398),$K398,""),IF($O398&lt;&gt;"",$O398,"")),IF($K398&lt;&gt;"",$K398,IF($O398&lt;&gt;"",$O398,""))))))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IF(COUNTA($A398:$M398)=0,"",IF(OR(LEFT(LOWER(TRIM($F398&amp;"")),12)="subscription",LOWER(TRIM($F398&amp;""))="membership"),"Subscription",IF(OR(AND($H398&lt;&gt;"",$H398=0),LEFT(LOWER(TRIM($F398&amp;"")),9)="free game",LOWER(TRIM($F398&amp;""))="free",LOWER(TRIM($F398&amp;""))="free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IF(COUNTA($A399:$M399)=0,"",IF(OR(LEFT(LOWER(TRIM($F399&amp;"")),12)="subscription",LOWER(TRIM($F399&amp;""))="membership"),"",IF($G399="","",IF(ISNUMBER(SEARCH("non",LOWER($E399&amp;""))),$G399*0.85,$G399))))</x:f>
      </x:c>
      <x:c r="O399" s="987" t="str">
        <x:f>IF(COUNTA($A399:$M399)=0,"",IF(OR(LEFT(LOWER(TRIM($F399&amp;"")),12)="subscription",LOWER(TRIM($F399&amp;""))="membership"),"",IF(OR($N399="",$I399="",$I399=0),"",IFERROR($N399/$I399,""))))</x:f>
      </x:c>
      <x:c r="P399" s="987" t="str">
        <x:f>IF(COUNTA($A399:$M399)=0,"",IF(OR(LEFT(LOWER(TRIM($F399&amp;"")),12)="subscription",LOWER(TRIM($F399&amp;""))="membership"),"",IF(LOWER($L399&amp;"")="yes",0,IF(OR(AND($H399&lt;&gt;"",$H399=0),LEFT(LOWER(TRIM($F399&amp;"")),9)="free game",LOWER(TRIM($F399&amp;""))="free",LOWER(TRIM($F399&amp;""))="free entry"),IF(LOWER($D399&amp;"")="finalized",IF(ISNUMBER($K399),$K399,""),IF($O399&lt;&gt;"",$O399,"")),IF($K399&lt;&gt;"",$K399,IF($O399&lt;&gt;"",$O399,""))))))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IF(COUNTA($A399:$M399)=0,"",IF(OR(LEFT(LOWER(TRIM($F399&amp;"")),12)="subscription",LOWER(TRIM($F399&amp;""))="membership"),"Subscription",IF(OR(AND($H399&lt;&gt;"",$H399=0),LEFT(LOWER(TRIM($F399&amp;"")),9)="free game",LOWER(TRIM($F399&amp;""))="free",LOWER(TRIM($F399&amp;""))="free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IF(COUNTA($A400:$M400)=0,"",IF(OR(LEFT(LOWER(TRIM($F400&amp;"")),12)="subscription",LOWER(TRIM($F400&amp;""))="membership"),"",IF($G400="","",IF(ISNUMBER(SEARCH("non",LOWER($E400&amp;""))),$G400*0.85,$G400))))</x:f>
      </x:c>
      <x:c r="O400" s="987" t="str">
        <x:f>IF(COUNTA($A400:$M400)=0,"",IF(OR(LEFT(LOWER(TRIM($F400&amp;"")),12)="subscription",LOWER(TRIM($F400&amp;""))="membership"),"",IF(OR($N400="",$I400="",$I400=0),"",IFERROR($N400/$I400,""))))</x:f>
      </x:c>
      <x:c r="P400" s="987" t="str">
        <x:f>IF(COUNTA($A400:$M400)=0,"",IF(OR(LEFT(LOWER(TRIM($F400&amp;"")),12)="subscription",LOWER(TRIM($F400&amp;""))="membership"),"",IF(LOWER($L400&amp;"")="yes",0,IF(OR(AND($H400&lt;&gt;"",$H400=0),LEFT(LOWER(TRIM($F400&amp;"")),9)="free game",LOWER(TRIM($F400&amp;""))="free",LOWER(TRIM($F400&amp;""))="free entry"),IF(LOWER($D400&amp;"")="finalized",IF(ISNUMBER($K400),$K400,""),IF($O400&lt;&gt;"",$O400,"")),IF($K400&lt;&gt;"",$K400,IF($O400&lt;&gt;"",$O400,""))))))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IF(COUNTA($A400:$M400)=0,"",IF(OR(LEFT(LOWER(TRIM($F400&amp;"")),12)="subscription",LOWER(TRIM($F400&amp;""))="membership"),"Subscription",IF(OR(AND($H400&lt;&gt;"",$H400=0),LEFT(LOWER(TRIM($F400&amp;"")),9)="free game",LOWER(TRIM($F400&amp;""))="free",LOWER(TRIM($F400&amp;""))="free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IF(COUNTA($A401:$M401)=0,"",IF(OR(LEFT(LOWER(TRIM($F401&amp;"")),12)="subscription",LOWER(TRIM($F401&amp;""))="membership"),"",IF($G401="","",IF(ISNUMBER(SEARCH("non",LOWER($E401&amp;""))),$G401*0.85,$G401))))</x:f>
      </x:c>
      <x:c r="O401" s="987" t="str">
        <x:f>IF(COUNTA($A401:$M401)=0,"",IF(OR(LEFT(LOWER(TRIM($F401&amp;"")),12)="subscription",LOWER(TRIM($F401&amp;""))="membership"),"",IF(OR($N401="",$I401="",$I401=0),"",IFERROR($N401/$I401,""))))</x:f>
      </x:c>
      <x:c r="P401" s="987" t="str">
        <x:f>IF(COUNTA($A401:$M401)=0,"",IF(OR(LEFT(LOWER(TRIM($F401&amp;"")),12)="subscription",LOWER(TRIM($F401&amp;""))="membership"),"",IF(LOWER($L401&amp;"")="yes",0,IF(OR(AND($H401&lt;&gt;"",$H401=0),LEFT(LOWER(TRIM($F401&amp;"")),9)="free game",LOWER(TRIM($F401&amp;""))="free",LOWER(TRIM($F401&amp;""))="free entry"),IF(LOWER($D401&amp;"")="finalized",IF(ISNUMBER($K401),$K401,""),IF($O401&lt;&gt;"",$O401,"")),IF($K401&lt;&gt;"",$K401,IF($O401&lt;&gt;"",$O401,""))))))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IF(COUNTA($A401:$M401)=0,"",IF(OR(LEFT(LOWER(TRIM($F401&amp;"")),12)="subscription",LOWER(TRIM($F401&amp;""))="membership"),"Subscription",IF(OR(AND($H401&lt;&gt;"",$H401=0),LEFT(LOWER(TRIM($F401&amp;"")),9)="free game",LOWER(TRIM($F401&amp;""))="free",LOWER(TRIM($F401&amp;""))="free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IF(COUNTA($A402:$M402)=0,"",IF(OR(LEFT(LOWER(TRIM($F402&amp;"")),12)="subscription",LOWER(TRIM($F402&amp;""))="membership"),"",IF($G402="","",IF(ISNUMBER(SEARCH("non",LOWER($E402&amp;""))),$G402*0.85,$G402))))</x:f>
      </x:c>
      <x:c r="O402" s="987" t="str">
        <x:f>IF(COUNTA($A402:$M402)=0,"",IF(OR(LEFT(LOWER(TRIM($F402&amp;"")),12)="subscription",LOWER(TRIM($F402&amp;""))="membership"),"",IF(OR($N402="",$I402="",$I402=0),"",IFERROR($N402/$I402,""))))</x:f>
      </x:c>
      <x:c r="P402" s="987" t="str">
        <x:f>IF(COUNTA($A402:$M402)=0,"",IF(OR(LEFT(LOWER(TRIM($F402&amp;"")),12)="subscription",LOWER(TRIM($F402&amp;""))="membership"),"",IF(LOWER($L402&amp;"")="yes",0,IF(OR(AND($H402&lt;&gt;"",$H402=0),LEFT(LOWER(TRIM($F402&amp;"")),9)="free game",LOWER(TRIM($F402&amp;""))="free",LOWER(TRIM($F402&amp;""))="free entry"),IF(LOWER($D402&amp;"")="finalized",IF(ISNUMBER($K402),$K402,""),IF($O402&lt;&gt;"",$O402,"")),IF($K402&lt;&gt;"",$K402,IF($O402&lt;&gt;"",$O402,""))))))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IF(COUNTA($A402:$M402)=0,"",IF(OR(LEFT(LOWER(TRIM($F402&amp;"")),12)="subscription",LOWER(TRIM($F402&amp;""))="membership"),"Subscription",IF(OR(AND($H402&lt;&gt;"",$H402=0),LEFT(LOWER(TRIM($F402&amp;"")),9)="free game",LOWER(TRIM($F402&amp;""))="free",LOWER(TRIM($F402&amp;""))="free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IF(COUNTA($A403:$M403)=0,"",IF(OR(LEFT(LOWER(TRIM($F403&amp;"")),12)="subscription",LOWER(TRIM($F403&amp;""))="membership"),"",IF($G403="","",IF(ISNUMBER(SEARCH("non",LOWER($E403&amp;""))),$G403*0.85,$G403))))</x:f>
      </x:c>
      <x:c r="O403" s="987" t="str">
        <x:f>IF(COUNTA($A403:$M403)=0,"",IF(OR(LEFT(LOWER(TRIM($F403&amp;"")),12)="subscription",LOWER(TRIM($F403&amp;""))="membership"),"",IF(OR($N403="",$I403="",$I403=0),"",IFERROR($N403/$I403,""))))</x:f>
      </x:c>
      <x:c r="P403" s="987" t="str">
        <x:f>IF(COUNTA($A403:$M403)=0,"",IF(OR(LEFT(LOWER(TRIM($F403&amp;"")),12)="subscription",LOWER(TRIM($F403&amp;""))="membership"),"",IF(LOWER($L403&amp;"")="yes",0,IF(OR(AND($H403&lt;&gt;"",$H403=0),LEFT(LOWER(TRIM($F403&amp;"")),9)="free game",LOWER(TRIM($F403&amp;""))="free",LOWER(TRIM($F403&amp;""))="free entry"),IF(LOWER($D403&amp;"")="finalized",IF(ISNUMBER($K403),$K403,""),IF($O403&lt;&gt;"",$O403,"")),IF($K403&lt;&gt;"",$K403,IF($O403&lt;&gt;"",$O403,""))))))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IF(COUNTA($A403:$M403)=0,"",IF(OR(LEFT(LOWER(TRIM($F403&amp;"")),12)="subscription",LOWER(TRIM($F403&amp;""))="membership"),"Subscription",IF(OR(AND($H403&lt;&gt;"",$H403=0),LEFT(LOWER(TRIM($F403&amp;"")),9)="free game",LOWER(TRIM($F403&amp;""))="free",LOWER(TRIM($F403&amp;""))="free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IF(COUNTA($A404:$M404)=0,"",IF(OR(LEFT(LOWER(TRIM($F404&amp;"")),12)="subscription",LOWER(TRIM($F404&amp;""))="membership"),"",IF($G404="","",IF(ISNUMBER(SEARCH("non",LOWER($E404&amp;""))),$G404*0.85,$G404))))</x:f>
      </x:c>
      <x:c r="O404" s="987" t="str">
        <x:f>IF(COUNTA($A404:$M404)=0,"",IF(OR(LEFT(LOWER(TRIM($F404&amp;"")),12)="subscription",LOWER(TRIM($F404&amp;""))="membership"),"",IF(OR($N404="",$I404="",$I404=0),"",IFERROR($N404/$I404,""))))</x:f>
      </x:c>
      <x:c r="P404" s="987" t="str">
        <x:f>IF(COUNTA($A404:$M404)=0,"",IF(OR(LEFT(LOWER(TRIM($F404&amp;"")),12)="subscription",LOWER(TRIM($F404&amp;""))="membership"),"",IF(LOWER($L404&amp;"")="yes",0,IF(OR(AND($H404&lt;&gt;"",$H404=0),LEFT(LOWER(TRIM($F404&amp;"")),9)="free game",LOWER(TRIM($F404&amp;""))="free",LOWER(TRIM($F404&amp;""))="free entry"),IF(LOWER($D404&amp;"")="finalized",IF(ISNUMBER($K404),$K404,""),IF($O404&lt;&gt;"",$O404,"")),IF($K404&lt;&gt;"",$K404,IF($O404&lt;&gt;"",$O404,""))))))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IF(COUNTA($A404:$M404)=0,"",IF(OR(LEFT(LOWER(TRIM($F404&amp;"")),12)="subscription",LOWER(TRIM($F404&amp;""))="membership"),"Subscription",IF(OR(AND($H404&lt;&gt;"",$H404=0),LEFT(LOWER(TRIM($F404&amp;"")),9)="free game",LOWER(TRIM($F404&amp;""))="free",LOWER(TRIM($F404&amp;""))="free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IF(COUNTA($A405:$M405)=0,"",IF(OR(LEFT(LOWER(TRIM($F405&amp;"")),12)="subscription",LOWER(TRIM($F405&amp;""))="membership"),"",IF($G405="","",IF(ISNUMBER(SEARCH("non",LOWER($E405&amp;""))),$G405*0.85,$G405))))</x:f>
      </x:c>
      <x:c r="O405" s="987" t="str">
        <x:f>IF(COUNTA($A405:$M405)=0,"",IF(OR(LEFT(LOWER(TRIM($F405&amp;"")),12)="subscription",LOWER(TRIM($F405&amp;""))="membership"),"",IF(OR($N405="",$I405="",$I405=0),"",IFERROR($N405/$I405,""))))</x:f>
      </x:c>
      <x:c r="P405" s="987" t="str">
        <x:f>IF(COUNTA($A405:$M405)=0,"",IF(OR(LEFT(LOWER(TRIM($F405&amp;"")),12)="subscription",LOWER(TRIM($F405&amp;""))="membership"),"",IF(LOWER($L405&amp;"")="yes",0,IF(OR(AND($H405&lt;&gt;"",$H405=0),LEFT(LOWER(TRIM($F405&amp;"")),9)="free game",LOWER(TRIM($F405&amp;""))="free",LOWER(TRIM($F405&amp;""))="free entry"),IF(LOWER($D405&amp;"")="finalized",IF(ISNUMBER($K405),$K405,""),IF($O405&lt;&gt;"",$O405,"")),IF($K405&lt;&gt;"",$K405,IF($O405&lt;&gt;"",$O405,""))))))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IF(COUNTA($A405:$M405)=0,"",IF(OR(LEFT(LOWER(TRIM($F405&amp;"")),12)="subscription",LOWER(TRIM($F405&amp;""))="membership"),"Subscription",IF(OR(AND($H405&lt;&gt;"",$H405=0),LEFT(LOWER(TRIM($F405&amp;"")),9)="free game",LOWER(TRIM($F405&amp;""))="free",LOWER(TRIM($F405&amp;""))="free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IF(COUNTA($A406:$M406)=0,"",IF(OR(LEFT(LOWER(TRIM($F406&amp;"")),12)="subscription",LOWER(TRIM($F406&amp;""))="membership"),"",IF($G406="","",IF(ISNUMBER(SEARCH("non",LOWER($E406&amp;""))),$G406*0.85,$G406))))</x:f>
      </x:c>
      <x:c r="O406" s="987" t="str">
        <x:f>IF(COUNTA($A406:$M406)=0,"",IF(OR(LEFT(LOWER(TRIM($F406&amp;"")),12)="subscription",LOWER(TRIM($F406&amp;""))="membership"),"",IF(OR($N406="",$I406="",$I406=0),"",IFERROR($N406/$I406,""))))</x:f>
      </x:c>
      <x:c r="P406" s="987" t="str">
        <x:f>IF(COUNTA($A406:$M406)=0,"",IF(OR(LEFT(LOWER(TRIM($F406&amp;"")),12)="subscription",LOWER(TRIM($F406&amp;""))="membership"),"",IF(LOWER($L406&amp;"")="yes",0,IF(OR(AND($H406&lt;&gt;"",$H406=0),LEFT(LOWER(TRIM($F406&amp;"")),9)="free game",LOWER(TRIM($F406&amp;""))="free",LOWER(TRIM($F406&amp;""))="free entry"),IF(LOWER($D406&amp;"")="finalized",IF(ISNUMBER($K406),$K406,""),IF($O406&lt;&gt;"",$O406,"")),IF($K406&lt;&gt;"",$K406,IF($O406&lt;&gt;"",$O406,""))))))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IF(COUNTA($A406:$M406)=0,"",IF(OR(LEFT(LOWER(TRIM($F406&amp;"")),12)="subscription",LOWER(TRIM($F406&amp;""))="membership"),"Subscription",IF(OR(AND($H406&lt;&gt;"",$H406=0),LEFT(LOWER(TRIM($F406&amp;"")),9)="free game",LOWER(TRIM($F406&amp;""))="free",LOWER(TRIM($F406&amp;""))="free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IF(COUNTA($A407:$M407)=0,"",IF(OR(LEFT(LOWER(TRIM($F407&amp;"")),12)="subscription",LOWER(TRIM($F407&amp;""))="membership"),"",IF($G407="","",IF(ISNUMBER(SEARCH("non",LOWER($E407&amp;""))),$G407*0.85,$G407))))</x:f>
      </x:c>
      <x:c r="O407" s="987" t="str">
        <x:f>IF(COUNTA($A407:$M407)=0,"",IF(OR(LEFT(LOWER(TRIM($F407&amp;"")),12)="subscription",LOWER(TRIM($F407&amp;""))="membership"),"",IF(OR($N407="",$I407="",$I407=0),"",IFERROR($N407/$I407,""))))</x:f>
      </x:c>
      <x:c r="P407" s="987" t="str">
        <x:f>IF(COUNTA($A407:$M407)=0,"",IF(OR(LEFT(LOWER(TRIM($F407&amp;"")),12)="subscription",LOWER(TRIM($F407&amp;""))="membership"),"",IF(LOWER($L407&amp;"")="yes",0,IF(OR(AND($H407&lt;&gt;"",$H407=0),LEFT(LOWER(TRIM($F407&amp;"")),9)="free game",LOWER(TRIM($F407&amp;""))="free",LOWER(TRIM($F407&amp;""))="free entry"),IF(LOWER($D407&amp;"")="finalized",IF(ISNUMBER($K407),$K407,""),IF($O407&lt;&gt;"",$O407,"")),IF($K407&lt;&gt;"",$K407,IF($O407&lt;&gt;"",$O407,""))))))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IF(COUNTA($A407:$M407)=0,"",IF(OR(LEFT(LOWER(TRIM($F407&amp;"")),12)="subscription",LOWER(TRIM($F407&amp;""))="membership"),"Subscription",IF(OR(AND($H407&lt;&gt;"",$H407=0),LEFT(LOWER(TRIM($F407&amp;"")),9)="free game",LOWER(TRIM($F407&amp;""))="free",LOWER(TRIM($F407&amp;""))="free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IF(COUNTA($A408:$M408)=0,"",IF(OR(LEFT(LOWER(TRIM($F408&amp;"")),12)="subscription",LOWER(TRIM($F408&amp;""))="membership"),"",IF($G408="","",IF(ISNUMBER(SEARCH("non",LOWER($E408&amp;""))),$G408*0.85,$G408))))</x:f>
      </x:c>
      <x:c r="O408" s="987" t="str">
        <x:f>IF(COUNTA($A408:$M408)=0,"",IF(OR(LEFT(LOWER(TRIM($F408&amp;"")),12)="subscription",LOWER(TRIM($F408&amp;""))="membership"),"",IF(OR($N408="",$I408="",$I408=0),"",IFERROR($N408/$I408,""))))</x:f>
      </x:c>
      <x:c r="P408" s="987" t="str">
        <x:f>IF(COUNTA($A408:$M408)=0,"",IF(OR(LEFT(LOWER(TRIM($F408&amp;"")),12)="subscription",LOWER(TRIM($F408&amp;""))="membership"),"",IF(LOWER($L408&amp;"")="yes",0,IF(OR(AND($H408&lt;&gt;"",$H408=0),LEFT(LOWER(TRIM($F408&amp;"")),9)="free game",LOWER(TRIM($F408&amp;""))="free",LOWER(TRIM($F408&amp;""))="free entry"),IF(LOWER($D408&amp;"")="finalized",IF(ISNUMBER($K408),$K408,""),IF($O408&lt;&gt;"",$O408,"")),IF($K408&lt;&gt;"",$K408,IF($O408&lt;&gt;"",$O408,""))))))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IF(COUNTA($A408:$M408)=0,"",IF(OR(LEFT(LOWER(TRIM($F408&amp;"")),12)="subscription",LOWER(TRIM($F408&amp;""))="membership"),"Subscription",IF(OR(AND($H408&lt;&gt;"",$H408=0),LEFT(LOWER(TRIM($F408&amp;"")),9)="free game",LOWER(TRIM($F408&amp;""))="free",LOWER(TRIM($F408&amp;""))="free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IF(COUNTA($A409:$M409)=0,"",IF(OR(LEFT(LOWER(TRIM($F409&amp;"")),12)="subscription",LOWER(TRIM($F409&amp;""))="membership"),"",IF($G409="","",IF(ISNUMBER(SEARCH("non",LOWER($E409&amp;""))),$G409*0.85,$G409))))</x:f>
      </x:c>
      <x:c r="O409" s="987" t="str">
        <x:f>IF(COUNTA($A409:$M409)=0,"",IF(OR(LEFT(LOWER(TRIM($F409&amp;"")),12)="subscription",LOWER(TRIM($F409&amp;""))="membership"),"",IF(OR($N409="",$I409="",$I409=0),"",IFERROR($N409/$I409,""))))</x:f>
      </x:c>
      <x:c r="P409" s="987" t="str">
        <x:f>IF(COUNTA($A409:$M409)=0,"",IF(OR(LEFT(LOWER(TRIM($F409&amp;"")),12)="subscription",LOWER(TRIM($F409&amp;""))="membership"),"",IF(LOWER($L409&amp;"")="yes",0,IF(OR(AND($H409&lt;&gt;"",$H409=0),LEFT(LOWER(TRIM($F409&amp;"")),9)="free game",LOWER(TRIM($F409&amp;""))="free",LOWER(TRIM($F409&amp;""))="free entry"),IF(LOWER($D409&amp;"")="finalized",IF(ISNUMBER($K409),$K409,""),IF($O409&lt;&gt;"",$O409,"")),IF($K409&lt;&gt;"",$K409,IF($O409&lt;&gt;"",$O409,""))))))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IF(COUNTA($A409:$M409)=0,"",IF(OR(LEFT(LOWER(TRIM($F409&amp;"")),12)="subscription",LOWER(TRIM($F409&amp;""))="membership"),"Subscription",IF(OR(AND($H409&lt;&gt;"",$H409=0),LEFT(LOWER(TRIM($F409&amp;"")),9)="free game",LOWER(TRIM($F409&amp;""))="free",LOWER(TRIM($F409&amp;""))="free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IF(COUNTA($A410:$M410)=0,"",IF(OR(LEFT(LOWER(TRIM($F410&amp;"")),12)="subscription",LOWER(TRIM($F410&amp;""))="membership"),"",IF($G410="","",IF(ISNUMBER(SEARCH("non",LOWER($E410&amp;""))),$G410*0.85,$G410))))</x:f>
      </x:c>
      <x:c r="O410" s="987" t="str">
        <x:f>IF(COUNTA($A410:$M410)=0,"",IF(OR(LEFT(LOWER(TRIM($F410&amp;"")),12)="subscription",LOWER(TRIM($F410&amp;""))="membership"),"",IF(OR($N410="",$I410="",$I410=0),"",IFERROR($N410/$I410,""))))</x:f>
      </x:c>
      <x:c r="P410" s="987" t="str">
        <x:f>IF(COUNTA($A410:$M410)=0,"",IF(OR(LEFT(LOWER(TRIM($F410&amp;"")),12)="subscription",LOWER(TRIM($F410&amp;""))="membership"),"",IF(LOWER($L410&amp;"")="yes",0,IF(OR(AND($H410&lt;&gt;"",$H410=0),LEFT(LOWER(TRIM($F410&amp;"")),9)="free game",LOWER(TRIM($F410&amp;""))="free",LOWER(TRIM($F410&amp;""))="free entry"),IF(LOWER($D410&amp;"")="finalized",IF(ISNUMBER($K410),$K410,""),IF($O410&lt;&gt;"",$O410,"")),IF($K410&lt;&gt;"",$K410,IF($O410&lt;&gt;"",$O410,""))))))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IF(COUNTA($A410:$M410)=0,"",IF(OR(LEFT(LOWER(TRIM($F410&amp;"")),12)="subscription",LOWER(TRIM($F410&amp;""))="membership"),"Subscription",IF(OR(AND($H410&lt;&gt;"",$H410=0),LEFT(LOWER(TRIM($F410&amp;"")),9)="free game",LOWER(TRIM($F410&amp;""))="free",LOWER(TRIM($F410&amp;""))="free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IF(COUNTA($A411:$M411)=0,"",IF(OR(LEFT(LOWER(TRIM($F411&amp;"")),12)="subscription",LOWER(TRIM($F411&amp;""))="membership"),"",IF($G411="","",IF(ISNUMBER(SEARCH("non",LOWER($E411&amp;""))),$G411*0.85,$G411))))</x:f>
      </x:c>
      <x:c r="O411" s="987" t="str">
        <x:f>IF(COUNTA($A411:$M411)=0,"",IF(OR(LEFT(LOWER(TRIM($F411&amp;"")),12)="subscription",LOWER(TRIM($F411&amp;""))="membership"),"",IF(OR($N411="",$I411="",$I411=0),"",IFERROR($N411/$I411,""))))</x:f>
      </x:c>
      <x:c r="P411" s="987" t="str">
        <x:f>IF(COUNTA($A411:$M411)=0,"",IF(OR(LEFT(LOWER(TRIM($F411&amp;"")),12)="subscription",LOWER(TRIM($F411&amp;""))="membership"),"",IF(LOWER($L411&amp;"")="yes",0,IF(OR(AND($H411&lt;&gt;"",$H411=0),LEFT(LOWER(TRIM($F411&amp;"")),9)="free game",LOWER(TRIM($F411&amp;""))="free",LOWER(TRIM($F411&amp;""))="free entry"),IF(LOWER($D411&amp;"")="finalized",IF(ISNUMBER($K411),$K411,""),IF($O411&lt;&gt;"",$O411,"")),IF($K411&lt;&gt;"",$K411,IF($O411&lt;&gt;"",$O411,""))))))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IF(COUNTA($A411:$M411)=0,"",IF(OR(LEFT(LOWER(TRIM($F411&amp;"")),12)="subscription",LOWER(TRIM($F411&amp;""))="membership"),"Subscription",IF(OR(AND($H411&lt;&gt;"",$H411=0),LEFT(LOWER(TRIM($F411&amp;"")),9)="free game",LOWER(TRIM($F411&amp;""))="free",LOWER(TRIM($F411&amp;""))="free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IF(COUNTA($A412:$M412)=0,"",IF(OR(LEFT(LOWER(TRIM($F412&amp;"")),12)="subscription",LOWER(TRIM($F412&amp;""))="membership"),"",IF($G412="","",IF(ISNUMBER(SEARCH("non",LOWER($E412&amp;""))),$G412*0.85,$G412))))</x:f>
      </x:c>
      <x:c r="O412" s="987" t="str">
        <x:f>IF(COUNTA($A412:$M412)=0,"",IF(OR(LEFT(LOWER(TRIM($F412&amp;"")),12)="subscription",LOWER(TRIM($F412&amp;""))="membership"),"",IF(OR($N412="",$I412="",$I412=0),"",IFERROR($N412/$I412,""))))</x:f>
      </x:c>
      <x:c r="P412" s="987" t="str">
        <x:f>IF(COUNTA($A412:$M412)=0,"",IF(OR(LEFT(LOWER(TRIM($F412&amp;"")),12)="subscription",LOWER(TRIM($F412&amp;""))="membership"),"",IF(LOWER($L412&amp;"")="yes",0,IF(OR(AND($H412&lt;&gt;"",$H412=0),LEFT(LOWER(TRIM($F412&amp;"")),9)="free game",LOWER(TRIM($F412&amp;""))="free",LOWER(TRIM($F412&amp;""))="free entry"),IF(LOWER($D412&amp;"")="finalized",IF(ISNUMBER($K412),$K412,""),IF($O412&lt;&gt;"",$O412,"")),IF($K412&lt;&gt;"",$K412,IF($O412&lt;&gt;"",$O412,""))))))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IF(COUNTA($A412:$M412)=0,"",IF(OR(LEFT(LOWER(TRIM($F412&amp;"")),12)="subscription",LOWER(TRIM($F412&amp;""))="membership"),"Subscription",IF(OR(AND($H412&lt;&gt;"",$H412=0),LEFT(LOWER(TRIM($F412&amp;"")),9)="free game",LOWER(TRIM($F412&amp;""))="free",LOWER(TRIM($F412&amp;""))="free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IF(COUNTA($A413:$M413)=0,"",IF(OR(LEFT(LOWER(TRIM($F413&amp;"")),12)="subscription",LOWER(TRIM($F413&amp;""))="membership"),"",IF($G413="","",IF(ISNUMBER(SEARCH("non",LOWER($E413&amp;""))),$G413*0.85,$G413))))</x:f>
      </x:c>
      <x:c r="O413" s="987" t="str">
        <x:f>IF(COUNTA($A413:$M413)=0,"",IF(OR(LEFT(LOWER(TRIM($F413&amp;"")),12)="subscription",LOWER(TRIM($F413&amp;""))="membership"),"",IF(OR($N413="",$I413="",$I413=0),"",IFERROR($N413/$I413,""))))</x:f>
      </x:c>
      <x:c r="P413" s="987" t="str">
        <x:f>IF(COUNTA($A413:$M413)=0,"",IF(OR(LEFT(LOWER(TRIM($F413&amp;"")),12)="subscription",LOWER(TRIM($F413&amp;""))="membership"),"",IF(LOWER($L413&amp;"")="yes",0,IF(OR(AND($H413&lt;&gt;"",$H413=0),LEFT(LOWER(TRIM($F413&amp;"")),9)="free game",LOWER(TRIM($F413&amp;""))="free",LOWER(TRIM($F413&amp;""))="free entry"),IF(LOWER($D413&amp;"")="finalized",IF(ISNUMBER($K413),$K413,""),IF($O413&lt;&gt;"",$O413,"")),IF($K413&lt;&gt;"",$K413,IF($O413&lt;&gt;"",$O413,""))))))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IF(COUNTA($A413:$M413)=0,"",IF(OR(LEFT(LOWER(TRIM($F413&amp;"")),12)="subscription",LOWER(TRIM($F413&amp;""))="membership"),"Subscription",IF(OR(AND($H413&lt;&gt;"",$H413=0),LEFT(LOWER(TRIM($F413&amp;"")),9)="free game",LOWER(TRIM($F413&amp;""))="free",LOWER(TRIM($F413&amp;""))="free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IF(COUNTA($A414:$M414)=0,"",IF(OR(LEFT(LOWER(TRIM($F414&amp;"")),12)="subscription",LOWER(TRIM($F414&amp;""))="membership"),"",IF($G414="","",IF(ISNUMBER(SEARCH("non",LOWER($E414&amp;""))),$G414*0.85,$G414))))</x:f>
      </x:c>
      <x:c r="O414" s="987" t="str">
        <x:f>IF(COUNTA($A414:$M414)=0,"",IF(OR(LEFT(LOWER(TRIM($F414&amp;"")),12)="subscription",LOWER(TRIM($F414&amp;""))="membership"),"",IF(OR($N414="",$I414="",$I414=0),"",IFERROR($N414/$I414,""))))</x:f>
      </x:c>
      <x:c r="P414" s="987" t="str">
        <x:f>IF(COUNTA($A414:$M414)=0,"",IF(OR(LEFT(LOWER(TRIM($F414&amp;"")),12)="subscription",LOWER(TRIM($F414&amp;""))="membership"),"",IF(LOWER($L414&amp;"")="yes",0,IF(OR(AND($H414&lt;&gt;"",$H414=0),LEFT(LOWER(TRIM($F414&amp;"")),9)="free game",LOWER(TRIM($F414&amp;""))="free",LOWER(TRIM($F414&amp;""))="free entry"),IF(LOWER($D414&amp;"")="finalized",IF(ISNUMBER($K414),$K414,""),IF($O414&lt;&gt;"",$O414,"")),IF($K414&lt;&gt;"",$K414,IF($O414&lt;&gt;"",$O414,""))))))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IF(COUNTA($A414:$M414)=0,"",IF(OR(LEFT(LOWER(TRIM($F414&amp;"")),12)="subscription",LOWER(TRIM($F414&amp;""))="membership"),"Subscription",IF(OR(AND($H414&lt;&gt;"",$H414=0),LEFT(LOWER(TRIM($F414&amp;"")),9)="free game",LOWER(TRIM($F414&amp;""))="free",LOWER(TRIM($F414&amp;""))="free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IF(COUNTA($A415:$M415)=0,"",IF(OR(LEFT(LOWER(TRIM($F415&amp;"")),12)="subscription",LOWER(TRIM($F415&amp;""))="membership"),"",IF($G415="","",IF(ISNUMBER(SEARCH("non",LOWER($E415&amp;""))),$G415*0.85,$G415))))</x:f>
      </x:c>
      <x:c r="O415" s="987" t="str">
        <x:f>IF(COUNTA($A415:$M415)=0,"",IF(OR(LEFT(LOWER(TRIM($F415&amp;"")),12)="subscription",LOWER(TRIM($F415&amp;""))="membership"),"",IF(OR($N415="",$I415="",$I415=0),"",IFERROR($N415/$I415,""))))</x:f>
      </x:c>
      <x:c r="P415" s="987" t="str">
        <x:f>IF(COUNTA($A415:$M415)=0,"",IF(OR(LEFT(LOWER(TRIM($F415&amp;"")),12)="subscription",LOWER(TRIM($F415&amp;""))="membership"),"",IF(LOWER($L415&amp;"")="yes",0,IF(OR(AND($H415&lt;&gt;"",$H415=0),LEFT(LOWER(TRIM($F415&amp;"")),9)="free game",LOWER(TRIM($F415&amp;""))="free",LOWER(TRIM($F415&amp;""))="free entry"),IF(LOWER($D415&amp;"")="finalized",IF(ISNUMBER($K415),$K415,""),IF($O415&lt;&gt;"",$O415,"")),IF($K415&lt;&gt;"",$K415,IF($O415&lt;&gt;"",$O415,""))))))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IF(COUNTA($A415:$M415)=0,"",IF(OR(LEFT(LOWER(TRIM($F415&amp;"")),12)="subscription",LOWER(TRIM($F415&amp;""))="membership"),"Subscription",IF(OR(AND($H415&lt;&gt;"",$H415=0),LEFT(LOWER(TRIM($F415&amp;"")),9)="free game",LOWER(TRIM($F415&amp;""))="free",LOWER(TRIM($F415&amp;""))="free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IF(COUNTA($A416:$M416)=0,"",IF(OR(LEFT(LOWER(TRIM($F416&amp;"")),12)="subscription",LOWER(TRIM($F416&amp;""))="membership"),"",IF($G416="","",IF(ISNUMBER(SEARCH("non",LOWER($E416&amp;""))),$G416*0.85,$G416))))</x:f>
      </x:c>
      <x:c r="O416" s="987" t="str">
        <x:f>IF(COUNTA($A416:$M416)=0,"",IF(OR(LEFT(LOWER(TRIM($F416&amp;"")),12)="subscription",LOWER(TRIM($F416&amp;""))="membership"),"",IF(OR($N416="",$I416="",$I416=0),"",IFERROR($N416/$I416,""))))</x:f>
      </x:c>
      <x:c r="P416" s="987" t="str">
        <x:f>IF(COUNTA($A416:$M416)=0,"",IF(OR(LEFT(LOWER(TRIM($F416&amp;"")),12)="subscription",LOWER(TRIM($F416&amp;""))="membership"),"",IF(LOWER($L416&amp;"")="yes",0,IF(OR(AND($H416&lt;&gt;"",$H416=0),LEFT(LOWER(TRIM($F416&amp;"")),9)="free game",LOWER(TRIM($F416&amp;""))="free",LOWER(TRIM($F416&amp;""))="free entry"),IF(LOWER($D416&amp;"")="finalized",IF(ISNUMBER($K416),$K416,""),IF($O416&lt;&gt;"",$O416,"")),IF($K416&lt;&gt;"",$K416,IF($O416&lt;&gt;"",$O416,""))))))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IF(COUNTA($A416:$M416)=0,"",IF(OR(LEFT(LOWER(TRIM($F416&amp;"")),12)="subscription",LOWER(TRIM($F416&amp;""))="membership"),"Subscription",IF(OR(AND($H416&lt;&gt;"",$H416=0),LEFT(LOWER(TRIM($F416&amp;"")),9)="free game",LOWER(TRIM($F416&amp;""))="free",LOWER(TRIM($F416&amp;""))="free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IF(COUNTA($A417:$M417)=0,"",IF(OR(LEFT(LOWER(TRIM($F417&amp;"")),12)="subscription",LOWER(TRIM($F417&amp;""))="membership"),"",IF($G417="","",IF(ISNUMBER(SEARCH("non",LOWER($E417&amp;""))),$G417*0.85,$G417))))</x:f>
      </x:c>
      <x:c r="O417" s="987" t="str">
        <x:f>IF(COUNTA($A417:$M417)=0,"",IF(OR(LEFT(LOWER(TRIM($F417&amp;"")),12)="subscription",LOWER(TRIM($F417&amp;""))="membership"),"",IF(OR($N417="",$I417="",$I417=0),"",IFERROR($N417/$I417,""))))</x:f>
      </x:c>
      <x:c r="P417" s="987" t="str">
        <x:f>IF(COUNTA($A417:$M417)=0,"",IF(OR(LEFT(LOWER(TRIM($F417&amp;"")),12)="subscription",LOWER(TRIM($F417&amp;""))="membership"),"",IF(LOWER($L417&amp;"")="yes",0,IF(OR(AND($H417&lt;&gt;"",$H417=0),LEFT(LOWER(TRIM($F417&amp;"")),9)="free game",LOWER(TRIM($F417&amp;""))="free",LOWER(TRIM($F417&amp;""))="free entry"),IF(LOWER($D417&amp;"")="finalized",IF(ISNUMBER($K417),$K417,""),IF($O417&lt;&gt;"",$O417,"")),IF($K417&lt;&gt;"",$K417,IF($O417&lt;&gt;"",$O417,""))))))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IF(COUNTA($A417:$M417)=0,"",IF(OR(LEFT(LOWER(TRIM($F417&amp;"")),12)="subscription",LOWER(TRIM($F417&amp;""))="membership"),"Subscription",IF(OR(AND($H417&lt;&gt;"",$H417=0),LEFT(LOWER(TRIM($F417&amp;"")),9)="free game",LOWER(TRIM($F417&amp;""))="free",LOWER(TRIM($F417&amp;""))="free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IF(COUNTA($A418:$M418)=0,"",IF(OR(LEFT(LOWER(TRIM($F418&amp;"")),12)="subscription",LOWER(TRIM($F418&amp;""))="membership"),"",IF($G418="","",IF(ISNUMBER(SEARCH("non",LOWER($E418&amp;""))),$G418*0.85,$G418))))</x:f>
      </x:c>
      <x:c r="O418" s="987" t="str">
        <x:f>IF(COUNTA($A418:$M418)=0,"",IF(OR(LEFT(LOWER(TRIM($F418&amp;"")),12)="subscription",LOWER(TRIM($F418&amp;""))="membership"),"",IF(OR($N418="",$I418="",$I418=0),"",IFERROR($N418/$I418,""))))</x:f>
      </x:c>
      <x:c r="P418" s="987" t="str">
        <x:f>IF(COUNTA($A418:$M418)=0,"",IF(OR(LEFT(LOWER(TRIM($F418&amp;"")),12)="subscription",LOWER(TRIM($F418&amp;""))="membership"),"",IF(LOWER($L418&amp;"")="yes",0,IF(OR(AND($H418&lt;&gt;"",$H418=0),LEFT(LOWER(TRIM($F418&amp;"")),9)="free game",LOWER(TRIM($F418&amp;""))="free",LOWER(TRIM($F418&amp;""))="free entry"),IF(LOWER($D418&amp;"")="finalized",IF(ISNUMBER($K418),$K418,""),IF($O418&lt;&gt;"",$O418,"")),IF($K418&lt;&gt;"",$K418,IF($O418&lt;&gt;"",$O418,""))))))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IF(COUNTA($A418:$M418)=0,"",IF(OR(LEFT(LOWER(TRIM($F418&amp;"")),12)="subscription",LOWER(TRIM($F418&amp;""))="membership"),"Subscription",IF(OR(AND($H418&lt;&gt;"",$H418=0),LEFT(LOWER(TRIM($F418&amp;"")),9)="free game",LOWER(TRIM($F418&amp;""))="free",LOWER(TRIM($F418&amp;""))="free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IF(COUNTA($A419:$M419)=0,"",IF(OR(LEFT(LOWER(TRIM($F419&amp;"")),12)="subscription",LOWER(TRIM($F419&amp;""))="membership"),"",IF($G419="","",IF(ISNUMBER(SEARCH("non",LOWER($E419&amp;""))),$G419*0.85,$G419))))</x:f>
      </x:c>
      <x:c r="O419" s="987" t="str">
        <x:f>IF(COUNTA($A419:$M419)=0,"",IF(OR(LEFT(LOWER(TRIM($F419&amp;"")),12)="subscription",LOWER(TRIM($F419&amp;""))="membership"),"",IF(OR($N419="",$I419="",$I419=0),"",IFERROR($N419/$I419,""))))</x:f>
      </x:c>
      <x:c r="P419" s="987" t="str">
        <x:f>IF(COUNTA($A419:$M419)=0,"",IF(OR(LEFT(LOWER(TRIM($F419&amp;"")),12)="subscription",LOWER(TRIM($F419&amp;""))="membership"),"",IF(LOWER($L419&amp;"")="yes",0,IF(OR(AND($H419&lt;&gt;"",$H419=0),LEFT(LOWER(TRIM($F419&amp;"")),9)="free game",LOWER(TRIM($F419&amp;""))="free",LOWER(TRIM($F419&amp;""))="free entry"),IF(LOWER($D419&amp;"")="finalized",IF(ISNUMBER($K419),$K419,""),IF($O419&lt;&gt;"",$O419,"")),IF($K419&lt;&gt;"",$K419,IF($O419&lt;&gt;"",$O419,""))))))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IF(COUNTA($A419:$M419)=0,"",IF(OR(LEFT(LOWER(TRIM($F419&amp;"")),12)="subscription",LOWER(TRIM($F419&amp;""))="membership"),"Subscription",IF(OR(AND($H419&lt;&gt;"",$H419=0),LEFT(LOWER(TRIM($F419&amp;"")),9)="free game",LOWER(TRIM($F419&amp;""))="free",LOWER(TRIM($F419&amp;""))="free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IF(COUNTA($A420:$M420)=0,"",IF(OR(LEFT(LOWER(TRIM($F420&amp;"")),12)="subscription",LOWER(TRIM($F420&amp;""))="membership"),"",IF($G420="","",IF(ISNUMBER(SEARCH("non",LOWER($E420&amp;""))),$G420*0.85,$G420))))</x:f>
      </x:c>
      <x:c r="O420" s="987" t="str">
        <x:f>IF(COUNTA($A420:$M420)=0,"",IF(OR(LEFT(LOWER(TRIM($F420&amp;"")),12)="subscription",LOWER(TRIM($F420&amp;""))="membership"),"",IF(OR($N420="",$I420="",$I420=0),"",IFERROR($N420/$I420,""))))</x:f>
      </x:c>
      <x:c r="P420" s="987" t="str">
        <x:f>IF(COUNTA($A420:$M420)=0,"",IF(OR(LEFT(LOWER(TRIM($F420&amp;"")),12)="subscription",LOWER(TRIM($F420&amp;""))="membership"),"",IF(LOWER($L420&amp;"")="yes",0,IF(OR(AND($H420&lt;&gt;"",$H420=0),LEFT(LOWER(TRIM($F420&amp;"")),9)="free game",LOWER(TRIM($F420&amp;""))="free",LOWER(TRIM($F420&amp;""))="free entry"),IF(LOWER($D420&amp;"")="finalized",IF(ISNUMBER($K420),$K420,""),IF($O420&lt;&gt;"",$O420,"")),IF($K420&lt;&gt;"",$K420,IF($O420&lt;&gt;"",$O420,""))))))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IF(COUNTA($A420:$M420)=0,"",IF(OR(LEFT(LOWER(TRIM($F420&amp;"")),12)="subscription",LOWER(TRIM($F420&amp;""))="membership"),"Subscription",IF(OR(AND($H420&lt;&gt;"",$H420=0),LEFT(LOWER(TRIM($F420&amp;"")),9)="free game",LOWER(TRIM($F420&amp;""))="free",LOWER(TRIM($F420&amp;""))="free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IF(COUNTA($A421:$M421)=0,"",IF(OR(LEFT(LOWER(TRIM($F421&amp;"")),12)="subscription",LOWER(TRIM($F421&amp;""))="membership"),"",IF($G421="","",IF(ISNUMBER(SEARCH("non",LOWER($E421&amp;""))),$G421*0.85,$G421))))</x:f>
      </x:c>
      <x:c r="O421" s="987" t="str">
        <x:f>IF(COUNTA($A421:$M421)=0,"",IF(OR(LEFT(LOWER(TRIM($F421&amp;"")),12)="subscription",LOWER(TRIM($F421&amp;""))="membership"),"",IF(OR($N421="",$I421="",$I421=0),"",IFERROR($N421/$I421,""))))</x:f>
      </x:c>
      <x:c r="P421" s="987" t="str">
        <x:f>IF(COUNTA($A421:$M421)=0,"",IF(OR(LEFT(LOWER(TRIM($F421&amp;"")),12)="subscription",LOWER(TRIM($F421&amp;""))="membership"),"",IF(LOWER($L421&amp;"")="yes",0,IF(OR(AND($H421&lt;&gt;"",$H421=0),LEFT(LOWER(TRIM($F421&amp;"")),9)="free game",LOWER(TRIM($F421&amp;""))="free",LOWER(TRIM($F421&amp;""))="free entry"),IF(LOWER($D421&amp;"")="finalized",IF(ISNUMBER($K421),$K421,""),IF($O421&lt;&gt;"",$O421,"")),IF($K421&lt;&gt;"",$K421,IF($O421&lt;&gt;"",$O421,""))))))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IF(COUNTA($A421:$M421)=0,"",IF(OR(LEFT(LOWER(TRIM($F421&amp;"")),12)="subscription",LOWER(TRIM($F421&amp;""))="membership"),"Subscription",IF(OR(AND($H421&lt;&gt;"",$H421=0),LEFT(LOWER(TRIM($F421&amp;"")),9)="free game",LOWER(TRIM($F421&amp;""))="free",LOWER(TRIM($F421&amp;""))="free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IF(COUNTA($A422:$M422)=0,"",IF(OR(LEFT(LOWER(TRIM($F422&amp;"")),12)="subscription",LOWER(TRIM($F422&amp;""))="membership"),"",IF($G422="","",IF(ISNUMBER(SEARCH("non",LOWER($E422&amp;""))),$G422*0.85,$G422))))</x:f>
      </x:c>
      <x:c r="O422" s="987" t="str">
        <x:f>IF(COUNTA($A422:$M422)=0,"",IF(OR(LEFT(LOWER(TRIM($F422&amp;"")),12)="subscription",LOWER(TRIM($F422&amp;""))="membership"),"",IF(OR($N422="",$I422="",$I422=0),"",IFERROR($N422/$I422,""))))</x:f>
      </x:c>
      <x:c r="P422" s="987" t="str">
        <x:f>IF(COUNTA($A422:$M422)=0,"",IF(OR(LEFT(LOWER(TRIM($F422&amp;"")),12)="subscription",LOWER(TRIM($F422&amp;""))="membership"),"",IF(LOWER($L422&amp;"")="yes",0,IF(OR(AND($H422&lt;&gt;"",$H422=0),LEFT(LOWER(TRIM($F422&amp;"")),9)="free game",LOWER(TRIM($F422&amp;""))="free",LOWER(TRIM($F422&amp;""))="free entry"),IF(LOWER($D422&amp;"")="finalized",IF(ISNUMBER($K422),$K422,""),IF($O422&lt;&gt;"",$O422,"")),IF($K422&lt;&gt;"",$K422,IF($O422&lt;&gt;"",$O422,""))))))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IF(COUNTA($A422:$M422)=0,"",IF(OR(LEFT(LOWER(TRIM($F422&amp;"")),12)="subscription",LOWER(TRIM($F422&amp;""))="membership"),"Subscription",IF(OR(AND($H422&lt;&gt;"",$H422=0),LEFT(LOWER(TRIM($F422&amp;"")),9)="free game",LOWER(TRIM($F422&amp;""))="free",LOWER(TRIM($F422&amp;""))="free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IF(COUNTA($A423:$M423)=0,"",IF(OR(LEFT(LOWER(TRIM($F423&amp;"")),12)="subscription",LOWER(TRIM($F423&amp;""))="membership"),"",IF($G423="","",IF(ISNUMBER(SEARCH("non",LOWER($E423&amp;""))),$G423*0.85,$G423))))</x:f>
      </x:c>
      <x:c r="O423" s="987" t="str">
        <x:f>IF(COUNTA($A423:$M423)=0,"",IF(OR(LEFT(LOWER(TRIM($F423&amp;"")),12)="subscription",LOWER(TRIM($F423&amp;""))="membership"),"",IF(OR($N423="",$I423="",$I423=0),"",IFERROR($N423/$I423,""))))</x:f>
      </x:c>
      <x:c r="P423" s="987" t="str">
        <x:f>IF(COUNTA($A423:$M423)=0,"",IF(OR(LEFT(LOWER(TRIM($F423&amp;"")),12)="subscription",LOWER(TRIM($F423&amp;""))="membership"),"",IF(LOWER($L423&amp;"")="yes",0,IF(OR(AND($H423&lt;&gt;"",$H423=0),LEFT(LOWER(TRIM($F423&amp;"")),9)="free game",LOWER(TRIM($F423&amp;""))="free",LOWER(TRIM($F423&amp;""))="free entry"),IF(LOWER($D423&amp;"")="finalized",IF(ISNUMBER($K423),$K423,""),IF($O423&lt;&gt;"",$O423,"")),IF($K423&lt;&gt;"",$K423,IF($O423&lt;&gt;"",$O423,""))))))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IF(COUNTA($A423:$M423)=0,"",IF(OR(LEFT(LOWER(TRIM($F423&amp;"")),12)="subscription",LOWER(TRIM($F423&amp;""))="membership"),"Subscription",IF(OR(AND($H423&lt;&gt;"",$H423=0),LEFT(LOWER(TRIM($F423&amp;"")),9)="free game",LOWER(TRIM($F423&amp;""))="free",LOWER(TRIM($F423&amp;""))="free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IF(COUNTA($A424:$M424)=0,"",IF(OR(LEFT(LOWER(TRIM($F424&amp;"")),12)="subscription",LOWER(TRIM($F424&amp;""))="membership"),"",IF($G424="","",IF(ISNUMBER(SEARCH("non",LOWER($E424&amp;""))),$G424*0.85,$G424))))</x:f>
      </x:c>
      <x:c r="O424" s="987" t="str">
        <x:f>IF(COUNTA($A424:$M424)=0,"",IF(OR(LEFT(LOWER(TRIM($F424&amp;"")),12)="subscription",LOWER(TRIM($F424&amp;""))="membership"),"",IF(OR($N424="",$I424="",$I424=0),"",IFERROR($N424/$I424,""))))</x:f>
      </x:c>
      <x:c r="P424" s="987" t="str">
        <x:f>IF(COUNTA($A424:$M424)=0,"",IF(OR(LEFT(LOWER(TRIM($F424&amp;"")),12)="subscription",LOWER(TRIM($F424&amp;""))="membership"),"",IF(LOWER($L424&amp;"")="yes",0,IF(OR(AND($H424&lt;&gt;"",$H424=0),LEFT(LOWER(TRIM($F424&amp;"")),9)="free game",LOWER(TRIM($F424&amp;""))="free",LOWER(TRIM($F424&amp;""))="free entry"),IF(LOWER($D424&amp;"")="finalized",IF(ISNUMBER($K424),$K424,""),IF($O424&lt;&gt;"",$O424,"")),IF($K424&lt;&gt;"",$K424,IF($O424&lt;&gt;"",$O424,""))))))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IF(COUNTA($A424:$M424)=0,"",IF(OR(LEFT(LOWER(TRIM($F424&amp;"")),12)="subscription",LOWER(TRIM($F424&amp;""))="membership"),"Subscription",IF(OR(AND($H424&lt;&gt;"",$H424=0),LEFT(LOWER(TRIM($F424&amp;"")),9)="free game",LOWER(TRIM($F424&amp;""))="free",LOWER(TRIM($F424&amp;""))="free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IF(COUNTA($A425:$M425)=0,"",IF(OR(LEFT(LOWER(TRIM($F425&amp;"")),12)="subscription",LOWER(TRIM($F425&amp;""))="membership"),"",IF($G425="","",IF(ISNUMBER(SEARCH("non",LOWER($E425&amp;""))),$G425*0.85,$G425))))</x:f>
      </x:c>
      <x:c r="O425" s="987" t="str">
        <x:f>IF(COUNTA($A425:$M425)=0,"",IF(OR(LEFT(LOWER(TRIM($F425&amp;"")),12)="subscription",LOWER(TRIM($F425&amp;""))="membership"),"",IF(OR($N425="",$I425="",$I425=0),"",IFERROR($N425/$I425,""))))</x:f>
      </x:c>
      <x:c r="P425" s="987" t="str">
        <x:f>IF(COUNTA($A425:$M425)=0,"",IF(OR(LEFT(LOWER(TRIM($F425&amp;"")),12)="subscription",LOWER(TRIM($F425&amp;""))="membership"),"",IF(LOWER($L425&amp;"")="yes",0,IF(OR(AND($H425&lt;&gt;"",$H425=0),LEFT(LOWER(TRIM($F425&amp;"")),9)="free game",LOWER(TRIM($F425&amp;""))="free",LOWER(TRIM($F425&amp;""))="free entry"),IF(LOWER($D425&amp;"")="finalized",IF(ISNUMBER($K425),$K425,""),IF($O425&lt;&gt;"",$O425,"")),IF($K425&lt;&gt;"",$K425,IF($O425&lt;&gt;"",$O425,""))))))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IF(COUNTA($A425:$M425)=0,"",IF(OR(LEFT(LOWER(TRIM($F425&amp;"")),12)="subscription",LOWER(TRIM($F425&amp;""))="membership"),"Subscription",IF(OR(AND($H425&lt;&gt;"",$H425=0),LEFT(LOWER(TRIM($F425&amp;"")),9)="free game",LOWER(TRIM($F425&amp;""))="free",LOWER(TRIM($F425&amp;""))="free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IF(COUNTA($A426:$M426)=0,"",IF(OR(LEFT(LOWER(TRIM($F426&amp;"")),12)="subscription",LOWER(TRIM($F426&amp;""))="membership"),"",IF($G426="","",IF(ISNUMBER(SEARCH("non",LOWER($E426&amp;""))),$G426*0.85,$G426))))</x:f>
      </x:c>
      <x:c r="O426" s="987" t="str">
        <x:f>IF(COUNTA($A426:$M426)=0,"",IF(OR(LEFT(LOWER(TRIM($F426&amp;"")),12)="subscription",LOWER(TRIM($F426&amp;""))="membership"),"",IF(OR($N426="",$I426="",$I426=0),"",IFERROR($N426/$I426,""))))</x:f>
      </x:c>
      <x:c r="P426" s="987" t="str">
        <x:f>IF(COUNTA($A426:$M426)=0,"",IF(OR(LEFT(LOWER(TRIM($F426&amp;"")),12)="subscription",LOWER(TRIM($F426&amp;""))="membership"),"",IF(LOWER($L426&amp;"")="yes",0,IF(OR(AND($H426&lt;&gt;"",$H426=0),LEFT(LOWER(TRIM($F426&amp;"")),9)="free game",LOWER(TRIM($F426&amp;""))="free",LOWER(TRIM($F426&amp;""))="free entry"),IF(LOWER($D426&amp;"")="finalized",IF(ISNUMBER($K426),$K426,""),IF($O426&lt;&gt;"",$O426,"")),IF($K426&lt;&gt;"",$K426,IF($O426&lt;&gt;"",$O426,""))))))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IF(COUNTA($A426:$M426)=0,"",IF(OR(LEFT(LOWER(TRIM($F426&amp;"")),12)="subscription",LOWER(TRIM($F426&amp;""))="membership"),"Subscription",IF(OR(AND($H426&lt;&gt;"",$H426=0),LEFT(LOWER(TRIM($F426&amp;"")),9)="free game",LOWER(TRIM($F426&amp;""))="free",LOWER(TRIM($F426&amp;""))="free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IF(COUNTA($A427:$M427)=0,"",IF(OR(LEFT(LOWER(TRIM($F427&amp;"")),12)="subscription",LOWER(TRIM($F427&amp;""))="membership"),"",IF($G427="","",IF(ISNUMBER(SEARCH("non",LOWER($E427&amp;""))),$G427*0.85,$G427))))</x:f>
      </x:c>
      <x:c r="O427" s="987" t="str">
        <x:f>IF(COUNTA($A427:$M427)=0,"",IF(OR(LEFT(LOWER(TRIM($F427&amp;"")),12)="subscription",LOWER(TRIM($F427&amp;""))="membership"),"",IF(OR($N427="",$I427="",$I427=0),"",IFERROR($N427/$I427,""))))</x:f>
      </x:c>
      <x:c r="P427" s="987" t="str">
        <x:f>IF(COUNTA($A427:$M427)=0,"",IF(OR(LEFT(LOWER(TRIM($F427&amp;"")),12)="subscription",LOWER(TRIM($F427&amp;""))="membership"),"",IF(LOWER($L427&amp;"")="yes",0,IF(OR(AND($H427&lt;&gt;"",$H427=0),LEFT(LOWER(TRIM($F427&amp;"")),9)="free game",LOWER(TRIM($F427&amp;""))="free",LOWER(TRIM($F427&amp;""))="free entry"),IF(LOWER($D427&amp;"")="finalized",IF(ISNUMBER($K427),$K427,""),IF($O427&lt;&gt;"",$O427,"")),IF($K427&lt;&gt;"",$K427,IF($O427&lt;&gt;"",$O427,""))))))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IF(COUNTA($A427:$M427)=0,"",IF(OR(LEFT(LOWER(TRIM($F427&amp;"")),12)="subscription",LOWER(TRIM($F427&amp;""))="membership"),"Subscription",IF(OR(AND($H427&lt;&gt;"",$H427=0),LEFT(LOWER(TRIM($F427&amp;"")),9)="free game",LOWER(TRIM($F427&amp;""))="free",LOWER(TRIM($F427&amp;""))="free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IF(COUNTA($A428:$M428)=0,"",IF(OR(LEFT(LOWER(TRIM($F428&amp;"")),12)="subscription",LOWER(TRIM($F428&amp;""))="membership"),"",IF($G428="","",IF(ISNUMBER(SEARCH("non",LOWER($E428&amp;""))),$G428*0.85,$G428))))</x:f>
      </x:c>
      <x:c r="O428" s="987" t="str">
        <x:f>IF(COUNTA($A428:$M428)=0,"",IF(OR(LEFT(LOWER(TRIM($F428&amp;"")),12)="subscription",LOWER(TRIM($F428&amp;""))="membership"),"",IF(OR($N428="",$I428="",$I428=0),"",IFERROR($N428/$I428,""))))</x:f>
      </x:c>
      <x:c r="P428" s="987" t="str">
        <x:f>IF(COUNTA($A428:$M428)=0,"",IF(OR(LEFT(LOWER(TRIM($F428&amp;"")),12)="subscription",LOWER(TRIM($F428&amp;""))="membership"),"",IF(LOWER($L428&amp;"")="yes",0,IF(OR(AND($H428&lt;&gt;"",$H428=0),LEFT(LOWER(TRIM($F428&amp;"")),9)="free game",LOWER(TRIM($F428&amp;""))="free",LOWER(TRIM($F428&amp;""))="free entry"),IF(LOWER($D428&amp;"")="finalized",IF(ISNUMBER($K428),$K428,""),IF($O428&lt;&gt;"",$O428,"")),IF($K428&lt;&gt;"",$K428,IF($O428&lt;&gt;"",$O428,""))))))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IF(COUNTA($A428:$M428)=0,"",IF(OR(LEFT(LOWER(TRIM($F428&amp;"")),12)="subscription",LOWER(TRIM($F428&amp;""))="membership"),"Subscription",IF(OR(AND($H428&lt;&gt;"",$H428=0),LEFT(LOWER(TRIM($F428&amp;"")),9)="free game",LOWER(TRIM($F428&amp;""))="free",LOWER(TRIM($F428&amp;""))="free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IF(COUNTA($A429:$M429)=0,"",IF(OR(LEFT(LOWER(TRIM($F429&amp;"")),12)="subscription",LOWER(TRIM($F429&amp;""))="membership"),"",IF($G429="","",IF(ISNUMBER(SEARCH("non",LOWER($E429&amp;""))),$G429*0.85,$G429))))</x:f>
      </x:c>
      <x:c r="O429" s="987" t="str">
        <x:f>IF(COUNTA($A429:$M429)=0,"",IF(OR(LEFT(LOWER(TRIM($F429&amp;"")),12)="subscription",LOWER(TRIM($F429&amp;""))="membership"),"",IF(OR($N429="",$I429="",$I429=0),"",IFERROR($N429/$I429,""))))</x:f>
      </x:c>
      <x:c r="P429" s="987" t="str">
        <x:f>IF(COUNTA($A429:$M429)=0,"",IF(OR(LEFT(LOWER(TRIM($F429&amp;"")),12)="subscription",LOWER(TRIM($F429&amp;""))="membership"),"",IF(LOWER($L429&amp;"")="yes",0,IF(OR(AND($H429&lt;&gt;"",$H429=0),LEFT(LOWER(TRIM($F429&amp;"")),9)="free game",LOWER(TRIM($F429&amp;""))="free",LOWER(TRIM($F429&amp;""))="free entry"),IF(LOWER($D429&amp;"")="finalized",IF(ISNUMBER($K429),$K429,""),IF($O429&lt;&gt;"",$O429,"")),IF($K429&lt;&gt;"",$K429,IF($O429&lt;&gt;"",$O429,""))))))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IF(COUNTA($A429:$M429)=0,"",IF(OR(LEFT(LOWER(TRIM($F429&amp;"")),12)="subscription",LOWER(TRIM($F429&amp;""))="membership"),"Subscription",IF(OR(AND($H429&lt;&gt;"",$H429=0),LEFT(LOWER(TRIM($F429&amp;"")),9)="free game",LOWER(TRIM($F429&amp;""))="free",LOWER(TRIM($F429&amp;""))="free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IF(COUNTA($A430:$M430)=0,"",IF(OR(LEFT(LOWER(TRIM($F430&amp;"")),12)="subscription",LOWER(TRIM($F430&amp;""))="membership"),"",IF($G430="","",IF(ISNUMBER(SEARCH("non",LOWER($E430&amp;""))),$G430*0.85,$G430))))</x:f>
      </x:c>
      <x:c r="O430" s="987" t="str">
        <x:f>IF(COUNTA($A430:$M430)=0,"",IF(OR(LEFT(LOWER(TRIM($F430&amp;"")),12)="subscription",LOWER(TRIM($F430&amp;""))="membership"),"",IF(OR($N430="",$I430="",$I430=0),"",IFERROR($N430/$I430,""))))</x:f>
      </x:c>
      <x:c r="P430" s="987" t="str">
        <x:f>IF(COUNTA($A430:$M430)=0,"",IF(OR(LEFT(LOWER(TRIM($F430&amp;"")),12)="subscription",LOWER(TRIM($F430&amp;""))="membership"),"",IF(LOWER($L430&amp;"")="yes",0,IF(OR(AND($H430&lt;&gt;"",$H430=0),LEFT(LOWER(TRIM($F430&amp;"")),9)="free game",LOWER(TRIM($F430&amp;""))="free",LOWER(TRIM($F430&amp;""))="free entry"),IF(LOWER($D430&amp;"")="finalized",IF(ISNUMBER($K430),$K430,""),IF($O430&lt;&gt;"",$O430,"")),IF($K430&lt;&gt;"",$K430,IF($O430&lt;&gt;"",$O430,""))))))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IF(COUNTA($A430:$M430)=0,"",IF(OR(LEFT(LOWER(TRIM($F430&amp;"")),12)="subscription",LOWER(TRIM($F430&amp;""))="membership"),"Subscription",IF(OR(AND($H430&lt;&gt;"",$H430=0),LEFT(LOWER(TRIM($F430&amp;"")),9)="free game",LOWER(TRIM($F430&amp;""))="free",LOWER(TRIM($F430&amp;""))="free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IF(COUNTA($A431:$M431)=0,"",IF(OR(LEFT(LOWER(TRIM($F431&amp;"")),12)="subscription",LOWER(TRIM($F431&amp;""))="membership"),"",IF($G431="","",IF(ISNUMBER(SEARCH("non",LOWER($E431&amp;""))),$G431*0.85,$G431))))</x:f>
      </x:c>
      <x:c r="O431" s="987" t="str">
        <x:f>IF(COUNTA($A431:$M431)=0,"",IF(OR(LEFT(LOWER(TRIM($F431&amp;"")),12)="subscription",LOWER(TRIM($F431&amp;""))="membership"),"",IF(OR($N431="",$I431="",$I431=0),"",IFERROR($N431/$I431,""))))</x:f>
      </x:c>
      <x:c r="P431" s="987" t="str">
        <x:f>IF(COUNTA($A431:$M431)=0,"",IF(OR(LEFT(LOWER(TRIM($F431&amp;"")),12)="subscription",LOWER(TRIM($F431&amp;""))="membership"),"",IF(LOWER($L431&amp;"")="yes",0,IF(OR(AND($H431&lt;&gt;"",$H431=0),LEFT(LOWER(TRIM($F431&amp;"")),9)="free game",LOWER(TRIM($F431&amp;""))="free",LOWER(TRIM($F431&amp;""))="free entry"),IF(LOWER($D431&amp;"")="finalized",IF(ISNUMBER($K431),$K431,""),IF($O431&lt;&gt;"",$O431,"")),IF($K431&lt;&gt;"",$K431,IF($O431&lt;&gt;"",$O431,""))))))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IF(COUNTA($A431:$M431)=0,"",IF(OR(LEFT(LOWER(TRIM($F431&amp;"")),12)="subscription",LOWER(TRIM($F431&amp;""))="membership"),"Subscription",IF(OR(AND($H431&lt;&gt;"",$H431=0),LEFT(LOWER(TRIM($F431&amp;"")),9)="free game",LOWER(TRIM($F431&amp;""))="free",LOWER(TRIM($F431&amp;""))="free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IF(COUNTA($A432:$M432)=0,"",IF(OR(LEFT(LOWER(TRIM($F432&amp;"")),12)="subscription",LOWER(TRIM($F432&amp;""))="membership"),"",IF($G432="","",IF(ISNUMBER(SEARCH("non",LOWER($E432&amp;""))),$G432*0.85,$G432))))</x:f>
      </x:c>
      <x:c r="O432" s="987" t="str">
        <x:f>IF(COUNTA($A432:$M432)=0,"",IF(OR(LEFT(LOWER(TRIM($F432&amp;"")),12)="subscription",LOWER(TRIM($F432&amp;""))="membership"),"",IF(OR($N432="",$I432="",$I432=0),"",IFERROR($N432/$I432,""))))</x:f>
      </x:c>
      <x:c r="P432" s="987" t="str">
        <x:f>IF(COUNTA($A432:$M432)=0,"",IF(OR(LEFT(LOWER(TRIM($F432&amp;"")),12)="subscription",LOWER(TRIM($F432&amp;""))="membership"),"",IF(LOWER($L432&amp;"")="yes",0,IF(OR(AND($H432&lt;&gt;"",$H432=0),LEFT(LOWER(TRIM($F432&amp;"")),9)="free game",LOWER(TRIM($F432&amp;""))="free",LOWER(TRIM($F432&amp;""))="free entry"),IF(LOWER($D432&amp;"")="finalized",IF(ISNUMBER($K432),$K432,""),IF($O432&lt;&gt;"",$O432,"")),IF($K432&lt;&gt;"",$K432,IF($O432&lt;&gt;"",$O432,""))))))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IF(COUNTA($A432:$M432)=0,"",IF(OR(LEFT(LOWER(TRIM($F432&amp;"")),12)="subscription",LOWER(TRIM($F432&amp;""))="membership"),"Subscription",IF(OR(AND($H432&lt;&gt;"",$H432=0),LEFT(LOWER(TRIM($F432&amp;"")),9)="free game",LOWER(TRIM($F432&amp;""))="free",LOWER(TRIM($F432&amp;""))="free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IF(COUNTA($A433:$M433)=0,"",IF(OR(LEFT(LOWER(TRIM($F433&amp;"")),12)="subscription",LOWER(TRIM($F433&amp;""))="membership"),"",IF($G433="","",IF(ISNUMBER(SEARCH("non",LOWER($E433&amp;""))),$G433*0.85,$G433))))</x:f>
      </x:c>
      <x:c r="O433" s="987" t="str">
        <x:f>IF(COUNTA($A433:$M433)=0,"",IF(OR(LEFT(LOWER(TRIM($F433&amp;"")),12)="subscription",LOWER(TRIM($F433&amp;""))="membership"),"",IF(OR($N433="",$I433="",$I433=0),"",IFERROR($N433/$I433,""))))</x:f>
      </x:c>
      <x:c r="P433" s="987" t="str">
        <x:f>IF(COUNTA($A433:$M433)=0,"",IF(OR(LEFT(LOWER(TRIM($F433&amp;"")),12)="subscription",LOWER(TRIM($F433&amp;""))="membership"),"",IF(LOWER($L433&amp;"")="yes",0,IF(OR(AND($H433&lt;&gt;"",$H433=0),LEFT(LOWER(TRIM($F433&amp;"")),9)="free game",LOWER(TRIM($F433&amp;""))="free",LOWER(TRIM($F433&amp;""))="free entry"),IF(LOWER($D433&amp;"")="finalized",IF(ISNUMBER($K433),$K433,""),IF($O433&lt;&gt;"",$O433,"")),IF($K433&lt;&gt;"",$K433,IF($O433&lt;&gt;"",$O433,""))))))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IF(COUNTA($A433:$M433)=0,"",IF(OR(LEFT(LOWER(TRIM($F433&amp;"")),12)="subscription",LOWER(TRIM($F433&amp;""))="membership"),"Subscription",IF(OR(AND($H433&lt;&gt;"",$H433=0),LEFT(LOWER(TRIM($F433&amp;"")),9)="free game",LOWER(TRIM($F433&amp;""))="free",LOWER(TRIM($F433&amp;""))="free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IF(COUNTA($A434:$M434)=0,"",IF(OR(LEFT(LOWER(TRIM($F434&amp;"")),12)="subscription",LOWER(TRIM($F434&amp;""))="membership"),"",IF($G434="","",IF(ISNUMBER(SEARCH("non",LOWER($E434&amp;""))),$G434*0.85,$G434))))</x:f>
      </x:c>
      <x:c r="O434" s="987" t="str">
        <x:f>IF(COUNTA($A434:$M434)=0,"",IF(OR(LEFT(LOWER(TRIM($F434&amp;"")),12)="subscription",LOWER(TRIM($F434&amp;""))="membership"),"",IF(OR($N434="",$I434="",$I434=0),"",IFERROR($N434/$I434,""))))</x:f>
      </x:c>
      <x:c r="P434" s="987" t="str">
        <x:f>IF(COUNTA($A434:$M434)=0,"",IF(OR(LEFT(LOWER(TRIM($F434&amp;"")),12)="subscription",LOWER(TRIM($F434&amp;""))="membership"),"",IF(LOWER($L434&amp;"")="yes",0,IF(OR(AND($H434&lt;&gt;"",$H434=0),LEFT(LOWER(TRIM($F434&amp;"")),9)="free game",LOWER(TRIM($F434&amp;""))="free",LOWER(TRIM($F434&amp;""))="free entry"),IF(LOWER($D434&amp;"")="finalized",IF(ISNUMBER($K434),$K434,""),IF($O434&lt;&gt;"",$O434,"")),IF($K434&lt;&gt;"",$K434,IF($O434&lt;&gt;"",$O434,""))))))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IF(COUNTA($A434:$M434)=0,"",IF(OR(LEFT(LOWER(TRIM($F434&amp;"")),12)="subscription",LOWER(TRIM($F434&amp;""))="membership"),"Subscription",IF(OR(AND($H434&lt;&gt;"",$H434=0),LEFT(LOWER(TRIM($F434&amp;"")),9)="free game",LOWER(TRIM($F434&amp;""))="free",LOWER(TRIM($F434&amp;""))="free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IF(COUNTA($A435:$M435)=0,"",IF(OR(LEFT(LOWER(TRIM($F435&amp;"")),12)="subscription",LOWER(TRIM($F435&amp;""))="membership"),"",IF($G435="","",IF(ISNUMBER(SEARCH("non",LOWER($E435&amp;""))),$G435*0.85,$G435))))</x:f>
      </x:c>
      <x:c r="O435" s="987" t="str">
        <x:f>IF(COUNTA($A435:$M435)=0,"",IF(OR(LEFT(LOWER(TRIM($F435&amp;"")),12)="subscription",LOWER(TRIM($F435&amp;""))="membership"),"",IF(OR($N435="",$I435="",$I435=0),"",IFERROR($N435/$I435,""))))</x:f>
      </x:c>
      <x:c r="P435" s="987" t="str">
        <x:f>IF(COUNTA($A435:$M435)=0,"",IF(OR(LEFT(LOWER(TRIM($F435&amp;"")),12)="subscription",LOWER(TRIM($F435&amp;""))="membership"),"",IF(LOWER($L435&amp;"")="yes",0,IF(OR(AND($H435&lt;&gt;"",$H435=0),LEFT(LOWER(TRIM($F435&amp;"")),9)="free game",LOWER(TRIM($F435&amp;""))="free",LOWER(TRIM($F435&amp;""))="free entry"),IF(LOWER($D435&amp;"")="finalized",IF(ISNUMBER($K435),$K435,""),IF($O435&lt;&gt;"",$O435,"")),IF($K435&lt;&gt;"",$K435,IF($O435&lt;&gt;"",$O435,""))))))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IF(COUNTA($A435:$M435)=0,"",IF(OR(LEFT(LOWER(TRIM($F435&amp;"")),12)="subscription",LOWER(TRIM($F435&amp;""))="membership"),"Subscription",IF(OR(AND($H435&lt;&gt;"",$H435=0),LEFT(LOWER(TRIM($F435&amp;"")),9)="free game",LOWER(TRIM($F435&amp;""))="free",LOWER(TRIM($F435&amp;""))="free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IF(COUNTA($A436:$M436)=0,"",IF(OR(LEFT(LOWER(TRIM($F436&amp;"")),12)="subscription",LOWER(TRIM($F436&amp;""))="membership"),"",IF($G436="","",IF(ISNUMBER(SEARCH("non",LOWER($E436&amp;""))),$G436*0.85,$G436))))</x:f>
      </x:c>
      <x:c r="O436" s="987" t="str">
        <x:f>IF(COUNTA($A436:$M436)=0,"",IF(OR(LEFT(LOWER(TRIM($F436&amp;"")),12)="subscription",LOWER(TRIM($F436&amp;""))="membership"),"",IF(OR($N436="",$I436="",$I436=0),"",IFERROR($N436/$I436,""))))</x:f>
      </x:c>
      <x:c r="P436" s="987" t="str">
        <x:f>IF(COUNTA($A436:$M436)=0,"",IF(OR(LEFT(LOWER(TRIM($F436&amp;"")),12)="subscription",LOWER(TRIM($F436&amp;""))="membership"),"",IF(LOWER($L436&amp;"")="yes",0,IF(OR(AND($H436&lt;&gt;"",$H436=0),LEFT(LOWER(TRIM($F436&amp;"")),9)="free game",LOWER(TRIM($F436&amp;""))="free",LOWER(TRIM($F436&amp;""))="free entry"),IF(LOWER($D436&amp;"")="finalized",IF(ISNUMBER($K436),$K436,""),IF($O436&lt;&gt;"",$O436,"")),IF($K436&lt;&gt;"",$K436,IF($O436&lt;&gt;"",$O436,""))))))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IF(COUNTA($A436:$M436)=0,"",IF(OR(LEFT(LOWER(TRIM($F436&amp;"")),12)="subscription",LOWER(TRIM($F436&amp;""))="membership"),"Subscription",IF(OR(AND($H436&lt;&gt;"",$H436=0),LEFT(LOWER(TRIM($F436&amp;"")),9)="free game",LOWER(TRIM($F436&amp;""))="free",LOWER(TRIM($F436&amp;""))="free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IF(COUNTA($A437:$M437)=0,"",IF(OR(LEFT(LOWER(TRIM($F437&amp;"")),12)="subscription",LOWER(TRIM($F437&amp;""))="membership"),"",IF($G437="","",IF(ISNUMBER(SEARCH("non",LOWER($E437&amp;""))),$G437*0.85,$G437))))</x:f>
      </x:c>
      <x:c r="O437" s="987" t="str">
        <x:f>IF(COUNTA($A437:$M437)=0,"",IF(OR(LEFT(LOWER(TRIM($F437&amp;"")),12)="subscription",LOWER(TRIM($F437&amp;""))="membership"),"",IF(OR($N437="",$I437="",$I437=0),"",IFERROR($N437/$I437,""))))</x:f>
      </x:c>
      <x:c r="P437" s="987" t="str">
        <x:f>IF(COUNTA($A437:$M437)=0,"",IF(OR(LEFT(LOWER(TRIM($F437&amp;"")),12)="subscription",LOWER(TRIM($F437&amp;""))="membership"),"",IF(LOWER($L437&amp;"")="yes",0,IF(OR(AND($H437&lt;&gt;"",$H437=0),LEFT(LOWER(TRIM($F437&amp;"")),9)="free game",LOWER(TRIM($F437&amp;""))="free",LOWER(TRIM($F437&amp;""))="free entry"),IF(LOWER($D437&amp;"")="finalized",IF(ISNUMBER($K437),$K437,""),IF($O437&lt;&gt;"",$O437,"")),IF($K437&lt;&gt;"",$K437,IF($O437&lt;&gt;"",$O437,""))))))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IF(COUNTA($A437:$M437)=0,"",IF(OR(LEFT(LOWER(TRIM($F437&amp;"")),12)="subscription",LOWER(TRIM($F437&amp;""))="membership"),"Subscription",IF(OR(AND($H437&lt;&gt;"",$H437=0),LEFT(LOWER(TRIM($F437&amp;"")),9)="free game",LOWER(TRIM($F437&amp;""))="free",LOWER(TRIM($F437&amp;""))="free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IF(COUNTA($A438:$M438)=0,"",IF(OR(LEFT(LOWER(TRIM($F438&amp;"")),12)="subscription",LOWER(TRIM($F438&amp;""))="membership"),"",IF($G438="","",IF(ISNUMBER(SEARCH("non",LOWER($E438&amp;""))),$G438*0.85,$G438))))</x:f>
      </x:c>
      <x:c r="O438" s="987" t="str">
        <x:f>IF(COUNTA($A438:$M438)=0,"",IF(OR(LEFT(LOWER(TRIM($F438&amp;"")),12)="subscription",LOWER(TRIM($F438&amp;""))="membership"),"",IF(OR($N438="",$I438="",$I438=0),"",IFERROR($N438/$I438,""))))</x:f>
      </x:c>
      <x:c r="P438" s="987" t="str">
        <x:f>IF(COUNTA($A438:$M438)=0,"",IF(OR(LEFT(LOWER(TRIM($F438&amp;"")),12)="subscription",LOWER(TRIM($F438&amp;""))="membership"),"",IF(LOWER($L438&amp;"")="yes",0,IF(OR(AND($H438&lt;&gt;"",$H438=0),LEFT(LOWER(TRIM($F438&amp;"")),9)="free game",LOWER(TRIM($F438&amp;""))="free",LOWER(TRIM($F438&amp;""))="free entry"),IF(LOWER($D438&amp;"")="finalized",IF(ISNUMBER($K438),$K438,""),IF($O438&lt;&gt;"",$O438,"")),IF($K438&lt;&gt;"",$K438,IF($O438&lt;&gt;"",$O438,""))))))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IF(COUNTA($A438:$M438)=0,"",IF(OR(LEFT(LOWER(TRIM($F438&amp;"")),12)="subscription",LOWER(TRIM($F438&amp;""))="membership"),"Subscription",IF(OR(AND($H438&lt;&gt;"",$H438=0),LEFT(LOWER(TRIM($F438&amp;"")),9)="free game",LOWER(TRIM($F438&amp;""))="free",LOWER(TRIM($F438&amp;""))="free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IF(COUNTA($A439:$M439)=0,"",IF(OR(LEFT(LOWER(TRIM($F439&amp;"")),12)="subscription",LOWER(TRIM($F439&amp;""))="membership"),"",IF($G439="","",IF(ISNUMBER(SEARCH("non",LOWER($E439&amp;""))),$G439*0.85,$G439))))</x:f>
      </x:c>
      <x:c r="O439" s="987" t="str">
        <x:f>IF(COUNTA($A439:$M439)=0,"",IF(OR(LEFT(LOWER(TRIM($F439&amp;"")),12)="subscription",LOWER(TRIM($F439&amp;""))="membership"),"",IF(OR($N439="",$I439="",$I439=0),"",IFERROR($N439/$I439,""))))</x:f>
      </x:c>
      <x:c r="P439" s="987" t="str">
        <x:f>IF(COUNTA($A439:$M439)=0,"",IF(OR(LEFT(LOWER(TRIM($F439&amp;"")),12)="subscription",LOWER(TRIM($F439&amp;""))="membership"),"",IF(LOWER($L439&amp;"")="yes",0,IF(OR(AND($H439&lt;&gt;"",$H439=0),LEFT(LOWER(TRIM($F439&amp;"")),9)="free game",LOWER(TRIM($F439&amp;""))="free",LOWER(TRIM($F439&amp;""))="free entry"),IF(LOWER($D439&amp;"")="finalized",IF(ISNUMBER($K439),$K439,""),IF($O439&lt;&gt;"",$O439,"")),IF($K439&lt;&gt;"",$K439,IF($O439&lt;&gt;"",$O439,""))))))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IF(COUNTA($A439:$M439)=0,"",IF(OR(LEFT(LOWER(TRIM($F439&amp;"")),12)="subscription",LOWER(TRIM($F439&amp;""))="membership"),"Subscription",IF(OR(AND($H439&lt;&gt;"",$H439=0),LEFT(LOWER(TRIM($F439&amp;"")),9)="free game",LOWER(TRIM($F439&amp;""))="free",LOWER(TRIM($F439&amp;""))="free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IF(COUNTA($A440:$M440)=0,"",IF(OR(LEFT(LOWER(TRIM($F440&amp;"")),12)="subscription",LOWER(TRIM($F440&amp;""))="membership"),"",IF($G440="","",IF(ISNUMBER(SEARCH("non",LOWER($E440&amp;""))),$G440*0.85,$G440))))</x:f>
      </x:c>
      <x:c r="O440" s="987" t="str">
        <x:f>IF(COUNTA($A440:$M440)=0,"",IF(OR(LEFT(LOWER(TRIM($F440&amp;"")),12)="subscription",LOWER(TRIM($F440&amp;""))="membership"),"",IF(OR($N440="",$I440="",$I440=0),"",IFERROR($N440/$I440,""))))</x:f>
      </x:c>
      <x:c r="P440" s="987" t="str">
        <x:f>IF(COUNTA($A440:$M440)=0,"",IF(OR(LEFT(LOWER(TRIM($F440&amp;"")),12)="subscription",LOWER(TRIM($F440&amp;""))="membership"),"",IF(LOWER($L440&amp;"")="yes",0,IF(OR(AND($H440&lt;&gt;"",$H440=0),LEFT(LOWER(TRIM($F440&amp;"")),9)="free game",LOWER(TRIM($F440&amp;""))="free",LOWER(TRIM($F440&amp;""))="free entry"),IF(LOWER($D440&amp;"")="finalized",IF(ISNUMBER($K440),$K440,""),IF($O440&lt;&gt;"",$O440,"")),IF($K440&lt;&gt;"",$K440,IF($O440&lt;&gt;"",$O440,""))))))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IF(COUNTA($A440:$M440)=0,"",IF(OR(LEFT(LOWER(TRIM($F440&amp;"")),12)="subscription",LOWER(TRIM($F440&amp;""))="membership"),"Subscription",IF(OR(AND($H440&lt;&gt;"",$H440=0),LEFT(LOWER(TRIM($F440&amp;"")),9)="free game",LOWER(TRIM($F440&amp;""))="free",LOWER(TRIM($F440&amp;""))="free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IF(COUNTA($A441:$M441)=0,"",IF(OR(LEFT(LOWER(TRIM($F441&amp;"")),12)="subscription",LOWER(TRIM($F441&amp;""))="membership"),"",IF($G441="","",IF(ISNUMBER(SEARCH("non",LOWER($E441&amp;""))),$G441*0.85,$G441))))</x:f>
      </x:c>
      <x:c r="O441" s="987" t="str">
        <x:f>IF(COUNTA($A441:$M441)=0,"",IF(OR(LEFT(LOWER(TRIM($F441&amp;"")),12)="subscription",LOWER(TRIM($F441&amp;""))="membership"),"",IF(OR($N441="",$I441="",$I441=0),"",IFERROR($N441/$I441,""))))</x:f>
      </x:c>
      <x:c r="P441" s="987" t="str">
        <x:f>IF(COUNTA($A441:$M441)=0,"",IF(OR(LEFT(LOWER(TRIM($F441&amp;"")),12)="subscription",LOWER(TRIM($F441&amp;""))="membership"),"",IF(LOWER($L441&amp;"")="yes",0,IF(OR(AND($H441&lt;&gt;"",$H441=0),LEFT(LOWER(TRIM($F441&amp;"")),9)="free game",LOWER(TRIM($F441&amp;""))="free",LOWER(TRIM($F441&amp;""))="free entry"),IF(LOWER($D441&amp;"")="finalized",IF(ISNUMBER($K441),$K441,""),IF($O441&lt;&gt;"",$O441,"")),IF($K441&lt;&gt;"",$K441,IF($O441&lt;&gt;"",$O441,""))))))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IF(COUNTA($A441:$M441)=0,"",IF(OR(LEFT(LOWER(TRIM($F441&amp;"")),12)="subscription",LOWER(TRIM($F441&amp;""))="membership"),"Subscription",IF(OR(AND($H441&lt;&gt;"",$H441=0),LEFT(LOWER(TRIM($F441&amp;"")),9)="free game",LOWER(TRIM($F441&amp;""))="free",LOWER(TRIM($F441&amp;""))="free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IF(COUNTA($A442:$M442)=0,"",IF(OR(LEFT(LOWER(TRIM($F442&amp;"")),12)="subscription",LOWER(TRIM($F442&amp;""))="membership"),"",IF($G442="","",IF(ISNUMBER(SEARCH("non",LOWER($E442&amp;""))),$G442*0.85,$G442))))</x:f>
      </x:c>
      <x:c r="O442" s="987" t="str">
        <x:f>IF(COUNTA($A442:$M442)=0,"",IF(OR(LEFT(LOWER(TRIM($F442&amp;"")),12)="subscription",LOWER(TRIM($F442&amp;""))="membership"),"",IF(OR($N442="",$I442="",$I442=0),"",IFERROR($N442/$I442,""))))</x:f>
      </x:c>
      <x:c r="P442" s="987" t="str">
        <x:f>IF(COUNTA($A442:$M442)=0,"",IF(OR(LEFT(LOWER(TRIM($F442&amp;"")),12)="subscription",LOWER(TRIM($F442&amp;""))="membership"),"",IF(LOWER($L442&amp;"")="yes",0,IF(OR(AND($H442&lt;&gt;"",$H442=0),LEFT(LOWER(TRIM($F442&amp;"")),9)="free game",LOWER(TRIM($F442&amp;""))="free",LOWER(TRIM($F442&amp;""))="free entry"),IF(LOWER($D442&amp;"")="finalized",IF(ISNUMBER($K442),$K442,""),IF($O442&lt;&gt;"",$O442,"")),IF($K442&lt;&gt;"",$K442,IF($O442&lt;&gt;"",$O442,""))))))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IF(COUNTA($A442:$M442)=0,"",IF(OR(LEFT(LOWER(TRIM($F442&amp;"")),12)="subscription",LOWER(TRIM($F442&amp;""))="membership"),"Subscription",IF(OR(AND($H442&lt;&gt;"",$H442=0),LEFT(LOWER(TRIM($F442&amp;"")),9)="free game",LOWER(TRIM($F442&amp;""))="free",LOWER(TRIM($F442&amp;""))="free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IF(COUNTA($A443:$M443)=0,"",IF(OR(LEFT(LOWER(TRIM($F443&amp;"")),12)="subscription",LOWER(TRIM($F443&amp;""))="membership"),"",IF($G443="","",IF(ISNUMBER(SEARCH("non",LOWER($E443&amp;""))),$G443*0.85,$G443))))</x:f>
      </x:c>
      <x:c r="O443" s="987" t="str">
        <x:f>IF(COUNTA($A443:$M443)=0,"",IF(OR(LEFT(LOWER(TRIM($F443&amp;"")),12)="subscription",LOWER(TRIM($F443&amp;""))="membership"),"",IF(OR($N443="",$I443="",$I443=0),"",IFERROR($N443/$I443,""))))</x:f>
      </x:c>
      <x:c r="P443" s="987" t="str">
        <x:f>IF(COUNTA($A443:$M443)=0,"",IF(OR(LEFT(LOWER(TRIM($F443&amp;"")),12)="subscription",LOWER(TRIM($F443&amp;""))="membership"),"",IF(LOWER($L443&amp;"")="yes",0,IF(OR(AND($H443&lt;&gt;"",$H443=0),LEFT(LOWER(TRIM($F443&amp;"")),9)="free game",LOWER(TRIM($F443&amp;""))="free",LOWER(TRIM($F443&amp;""))="free entry"),IF(LOWER($D443&amp;"")="finalized",IF(ISNUMBER($K443),$K443,""),IF($O443&lt;&gt;"",$O443,"")),IF($K443&lt;&gt;"",$K443,IF($O443&lt;&gt;"",$O443,""))))))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IF(COUNTA($A443:$M443)=0,"",IF(OR(LEFT(LOWER(TRIM($F443&amp;"")),12)="subscription",LOWER(TRIM($F443&amp;""))="membership"),"Subscription",IF(OR(AND($H443&lt;&gt;"",$H443=0),LEFT(LOWER(TRIM($F443&amp;"")),9)="free game",LOWER(TRIM($F443&amp;""))="free",LOWER(TRIM($F443&amp;""))="free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IF(COUNTA($A444:$M444)=0,"",IF(OR(LEFT(LOWER(TRIM($F444&amp;"")),12)="subscription",LOWER(TRIM($F444&amp;""))="membership"),"",IF($G444="","",IF(ISNUMBER(SEARCH("non",LOWER($E444&amp;""))),$G444*0.85,$G444))))</x:f>
      </x:c>
      <x:c r="O444" s="987" t="str">
        <x:f>IF(COUNTA($A444:$M444)=0,"",IF(OR(LEFT(LOWER(TRIM($F444&amp;"")),12)="subscription",LOWER(TRIM($F444&amp;""))="membership"),"",IF(OR($N444="",$I444="",$I444=0),"",IFERROR($N444/$I444,""))))</x:f>
      </x:c>
      <x:c r="P444" s="987" t="str">
        <x:f>IF(COUNTA($A444:$M444)=0,"",IF(OR(LEFT(LOWER(TRIM($F444&amp;"")),12)="subscription",LOWER(TRIM($F444&amp;""))="membership"),"",IF(LOWER($L444&amp;"")="yes",0,IF(OR(AND($H444&lt;&gt;"",$H444=0),LEFT(LOWER(TRIM($F444&amp;"")),9)="free game",LOWER(TRIM($F444&amp;""))="free",LOWER(TRIM($F444&amp;""))="free entry"),IF(LOWER($D444&amp;"")="finalized",IF(ISNUMBER($K444),$K444,""),IF($O444&lt;&gt;"",$O444,"")),IF($K444&lt;&gt;"",$K444,IF($O444&lt;&gt;"",$O444,""))))))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IF(COUNTA($A444:$M444)=0,"",IF(OR(LEFT(LOWER(TRIM($F444&amp;"")),12)="subscription",LOWER(TRIM($F444&amp;""))="membership"),"Subscription",IF(OR(AND($H444&lt;&gt;"",$H444=0),LEFT(LOWER(TRIM($F444&amp;"")),9)="free game",LOWER(TRIM($F444&amp;""))="free",LOWER(TRIM($F444&amp;""))="free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IF(COUNTA($A445:$M445)=0,"",IF(OR(LEFT(LOWER(TRIM($F445&amp;"")),12)="subscription",LOWER(TRIM($F445&amp;""))="membership"),"",IF($G445="","",IF(ISNUMBER(SEARCH("non",LOWER($E445&amp;""))),$G445*0.85,$G445))))</x:f>
      </x:c>
      <x:c r="O445" s="987" t="str">
        <x:f>IF(COUNTA($A445:$M445)=0,"",IF(OR(LEFT(LOWER(TRIM($F445&amp;"")),12)="subscription",LOWER(TRIM($F445&amp;""))="membership"),"",IF(OR($N445="",$I445="",$I445=0),"",IFERROR($N445/$I445,""))))</x:f>
      </x:c>
      <x:c r="P445" s="987" t="str">
        <x:f>IF(COUNTA($A445:$M445)=0,"",IF(OR(LEFT(LOWER(TRIM($F445&amp;"")),12)="subscription",LOWER(TRIM($F445&amp;""))="membership"),"",IF(LOWER($L445&amp;"")="yes",0,IF(OR(AND($H445&lt;&gt;"",$H445=0),LEFT(LOWER(TRIM($F445&amp;"")),9)="free game",LOWER(TRIM($F445&amp;""))="free",LOWER(TRIM($F445&amp;""))="free entry"),IF(LOWER($D445&amp;"")="finalized",IF(ISNUMBER($K445),$K445,""),IF($O445&lt;&gt;"",$O445,"")),IF($K445&lt;&gt;"",$K445,IF($O445&lt;&gt;"",$O445,""))))))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IF(COUNTA($A445:$M445)=0,"",IF(OR(LEFT(LOWER(TRIM($F445&amp;"")),12)="subscription",LOWER(TRIM($F445&amp;""))="membership"),"Subscription",IF(OR(AND($H445&lt;&gt;"",$H445=0),LEFT(LOWER(TRIM($F445&amp;"")),9)="free game",LOWER(TRIM($F445&amp;""))="free",LOWER(TRIM($F445&amp;""))="free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IF(COUNTA($A446:$M446)=0,"",IF(OR(LEFT(LOWER(TRIM($F446&amp;"")),12)="subscription",LOWER(TRIM($F446&amp;""))="membership"),"",IF($G446="","",IF(ISNUMBER(SEARCH("non",LOWER($E446&amp;""))),$G446*0.85,$G446))))</x:f>
      </x:c>
      <x:c r="O446" s="987" t="str">
        <x:f>IF(COUNTA($A446:$M446)=0,"",IF(OR(LEFT(LOWER(TRIM($F446&amp;"")),12)="subscription",LOWER(TRIM($F446&amp;""))="membership"),"",IF(OR($N446="",$I446="",$I446=0),"",IFERROR($N446/$I446,""))))</x:f>
      </x:c>
      <x:c r="P446" s="987" t="str">
        <x:f>IF(COUNTA($A446:$M446)=0,"",IF(OR(LEFT(LOWER(TRIM($F446&amp;"")),12)="subscription",LOWER(TRIM($F446&amp;""))="membership"),"",IF(LOWER($L446&amp;"")="yes",0,IF(OR(AND($H446&lt;&gt;"",$H446=0),LEFT(LOWER(TRIM($F446&amp;"")),9)="free game",LOWER(TRIM($F446&amp;""))="free",LOWER(TRIM($F446&amp;""))="free entry"),IF(LOWER($D446&amp;"")="finalized",IF(ISNUMBER($K446),$K446,""),IF($O446&lt;&gt;"",$O446,"")),IF($K446&lt;&gt;"",$K446,IF($O446&lt;&gt;"",$O446,""))))))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IF(COUNTA($A446:$M446)=0,"",IF(OR(LEFT(LOWER(TRIM($F446&amp;"")),12)="subscription",LOWER(TRIM($F446&amp;""))="membership"),"Subscription",IF(OR(AND($H446&lt;&gt;"",$H446=0),LEFT(LOWER(TRIM($F446&amp;"")),9)="free game",LOWER(TRIM($F446&amp;""))="free",LOWER(TRIM($F446&amp;""))="free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IF(COUNTA($A447:$M447)=0,"",IF(OR(LEFT(LOWER(TRIM($F447&amp;"")),12)="subscription",LOWER(TRIM($F447&amp;""))="membership"),"",IF($G447="","",IF(ISNUMBER(SEARCH("non",LOWER($E447&amp;""))),$G447*0.85,$G447))))</x:f>
      </x:c>
      <x:c r="O447" s="987" t="str">
        <x:f>IF(COUNTA($A447:$M447)=0,"",IF(OR(LEFT(LOWER(TRIM($F447&amp;"")),12)="subscription",LOWER(TRIM($F447&amp;""))="membership"),"",IF(OR($N447="",$I447="",$I447=0),"",IFERROR($N447/$I447,""))))</x:f>
      </x:c>
      <x:c r="P447" s="987" t="str">
        <x:f>IF(COUNTA($A447:$M447)=0,"",IF(OR(LEFT(LOWER(TRIM($F447&amp;"")),12)="subscription",LOWER(TRIM($F447&amp;""))="membership"),"",IF(LOWER($L447&amp;"")="yes",0,IF(OR(AND($H447&lt;&gt;"",$H447=0),LEFT(LOWER(TRIM($F447&amp;"")),9)="free game",LOWER(TRIM($F447&amp;""))="free",LOWER(TRIM($F447&amp;""))="free entry"),IF(LOWER($D447&amp;"")="finalized",IF(ISNUMBER($K447),$K447,""),IF($O447&lt;&gt;"",$O447,"")),IF($K447&lt;&gt;"",$K447,IF($O447&lt;&gt;"",$O447,""))))))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IF(COUNTA($A447:$M447)=0,"",IF(OR(LEFT(LOWER(TRIM($F447&amp;"")),12)="subscription",LOWER(TRIM($F447&amp;""))="membership"),"Subscription",IF(OR(AND($H447&lt;&gt;"",$H447=0),LEFT(LOWER(TRIM($F447&amp;"")),9)="free game",LOWER(TRIM($F447&amp;""))="free",LOWER(TRIM($F447&amp;""))="free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IF(COUNTA($A448:$M448)=0,"",IF(OR(LEFT(LOWER(TRIM($F448&amp;"")),12)="subscription",LOWER(TRIM($F448&amp;""))="membership"),"",IF($G448="","",IF(ISNUMBER(SEARCH("non",LOWER($E448&amp;""))),$G448*0.85,$G448))))</x:f>
      </x:c>
      <x:c r="O448" s="987" t="str">
        <x:f>IF(COUNTA($A448:$M448)=0,"",IF(OR(LEFT(LOWER(TRIM($F448&amp;"")),12)="subscription",LOWER(TRIM($F448&amp;""))="membership"),"",IF(OR($N448="",$I448="",$I448=0),"",IFERROR($N448/$I448,""))))</x:f>
      </x:c>
      <x:c r="P448" s="987" t="str">
        <x:f>IF(COUNTA($A448:$M448)=0,"",IF(OR(LEFT(LOWER(TRIM($F448&amp;"")),12)="subscription",LOWER(TRIM($F448&amp;""))="membership"),"",IF(LOWER($L448&amp;"")="yes",0,IF(OR(AND($H448&lt;&gt;"",$H448=0),LEFT(LOWER(TRIM($F448&amp;"")),9)="free game",LOWER(TRIM($F448&amp;""))="free",LOWER(TRIM($F448&amp;""))="free entry"),IF(LOWER($D448&amp;"")="finalized",IF(ISNUMBER($K448),$K448,""),IF($O448&lt;&gt;"",$O448,"")),IF($K448&lt;&gt;"",$K448,IF($O448&lt;&gt;"",$O448,""))))))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IF(COUNTA($A448:$M448)=0,"",IF(OR(LEFT(LOWER(TRIM($F448&amp;"")),12)="subscription",LOWER(TRIM($F448&amp;""))="membership"),"Subscription",IF(OR(AND($H448&lt;&gt;"",$H448=0),LEFT(LOWER(TRIM($F448&amp;"")),9)="free game",LOWER(TRIM($F448&amp;""))="free",LOWER(TRIM($F448&amp;""))="free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IF(COUNTA($A449:$M449)=0,"",IF(OR(LEFT(LOWER(TRIM($F449&amp;"")),12)="subscription",LOWER(TRIM($F449&amp;""))="membership"),"",IF($G449="","",IF(ISNUMBER(SEARCH("non",LOWER($E449&amp;""))),$G449*0.85,$G449))))</x:f>
      </x:c>
      <x:c r="O449" s="987" t="str">
        <x:f>IF(COUNTA($A449:$M449)=0,"",IF(OR(LEFT(LOWER(TRIM($F449&amp;"")),12)="subscription",LOWER(TRIM($F449&amp;""))="membership"),"",IF(OR($N449="",$I449="",$I449=0),"",IFERROR($N449/$I449,""))))</x:f>
      </x:c>
      <x:c r="P449" s="987" t="str">
        <x:f>IF(COUNTA($A449:$M449)=0,"",IF(OR(LEFT(LOWER(TRIM($F449&amp;"")),12)="subscription",LOWER(TRIM($F449&amp;""))="membership"),"",IF(LOWER($L449&amp;"")="yes",0,IF(OR(AND($H449&lt;&gt;"",$H449=0),LEFT(LOWER(TRIM($F449&amp;"")),9)="free game",LOWER(TRIM($F449&amp;""))="free",LOWER(TRIM($F449&amp;""))="free entry"),IF(LOWER($D449&amp;"")="finalized",IF(ISNUMBER($K449),$K449,""),IF($O449&lt;&gt;"",$O449,"")),IF($K449&lt;&gt;"",$K449,IF($O449&lt;&gt;"",$O449,""))))))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IF(COUNTA($A449:$M449)=0,"",IF(OR(LEFT(LOWER(TRIM($F449&amp;"")),12)="subscription",LOWER(TRIM($F449&amp;""))="membership"),"Subscription",IF(OR(AND($H449&lt;&gt;"",$H449=0),LEFT(LOWER(TRIM($F449&amp;"")),9)="free game",LOWER(TRIM($F449&amp;""))="free",LOWER(TRIM($F449&amp;""))="free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IF(COUNTA($A450:$M450)=0,"",IF(OR(LEFT(LOWER(TRIM($F450&amp;"")),12)="subscription",LOWER(TRIM($F450&amp;""))="membership"),"",IF($G450="","",IF(ISNUMBER(SEARCH("non",LOWER($E450&amp;""))),$G450*0.85,$G450))))</x:f>
      </x:c>
      <x:c r="O450" s="987" t="str">
        <x:f>IF(COUNTA($A450:$M450)=0,"",IF(OR(LEFT(LOWER(TRIM($F450&amp;"")),12)="subscription",LOWER(TRIM($F450&amp;""))="membership"),"",IF(OR($N450="",$I450="",$I450=0),"",IFERROR($N450/$I450,""))))</x:f>
      </x:c>
      <x:c r="P450" s="987" t="str">
        <x:f>IF(COUNTA($A450:$M450)=0,"",IF(OR(LEFT(LOWER(TRIM($F450&amp;"")),12)="subscription",LOWER(TRIM($F450&amp;""))="membership"),"",IF(LOWER($L450&amp;"")="yes",0,IF(OR(AND($H450&lt;&gt;"",$H450=0),LEFT(LOWER(TRIM($F450&amp;"")),9)="free game",LOWER(TRIM($F450&amp;""))="free",LOWER(TRIM($F450&amp;""))="free entry"),IF(LOWER($D450&amp;"")="finalized",IF(ISNUMBER($K450),$K450,""),IF($O450&lt;&gt;"",$O450,"")),IF($K450&lt;&gt;"",$K450,IF($O450&lt;&gt;"",$O450,""))))))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IF(COUNTA($A450:$M450)=0,"",IF(OR(LEFT(LOWER(TRIM($F450&amp;"")),12)="subscription",LOWER(TRIM($F450&amp;""))="membership"),"Subscription",IF(OR(AND($H450&lt;&gt;"",$H450=0),LEFT(LOWER(TRIM($F450&amp;"")),9)="free game",LOWER(TRIM($F450&amp;""))="free",LOWER(TRIM($F450&amp;""))="free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IF(COUNTA($A451:$M451)=0,"",IF(OR(LEFT(LOWER(TRIM($F451&amp;"")),12)="subscription",LOWER(TRIM($F451&amp;""))="membership"),"",IF($G451="","",IF(ISNUMBER(SEARCH("non",LOWER($E451&amp;""))),$G451*0.85,$G451))))</x:f>
      </x:c>
      <x:c r="O451" s="987" t="str">
        <x:f>IF(COUNTA($A451:$M451)=0,"",IF(OR(LEFT(LOWER(TRIM($F451&amp;"")),12)="subscription",LOWER(TRIM($F451&amp;""))="membership"),"",IF(OR($N451="",$I451="",$I451=0),"",IFERROR($N451/$I451,""))))</x:f>
      </x:c>
      <x:c r="P451" s="987" t="str">
        <x:f>IF(COUNTA($A451:$M451)=0,"",IF(OR(LEFT(LOWER(TRIM($F451&amp;"")),12)="subscription",LOWER(TRIM($F451&amp;""))="membership"),"",IF(LOWER($L451&amp;"")="yes",0,IF(OR(AND($H451&lt;&gt;"",$H451=0),LEFT(LOWER(TRIM($F451&amp;"")),9)="free game",LOWER(TRIM($F451&amp;""))="free",LOWER(TRIM($F451&amp;""))="free entry"),IF(LOWER($D451&amp;"")="finalized",IF(ISNUMBER($K451),$K451,""),IF($O451&lt;&gt;"",$O451,"")),IF($K451&lt;&gt;"",$K451,IF($O451&lt;&gt;"",$O451,""))))))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IF(COUNTA($A451:$M451)=0,"",IF(OR(LEFT(LOWER(TRIM($F451&amp;"")),12)="subscription",LOWER(TRIM($F451&amp;""))="membership"),"Subscription",IF(OR(AND($H451&lt;&gt;"",$H451=0),LEFT(LOWER(TRIM($F451&amp;"")),9)="free game",LOWER(TRIM($F451&amp;""))="free",LOWER(TRIM($F451&amp;""))="free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IF(COUNTA($A452:$M452)=0,"",IF(OR(LEFT(LOWER(TRIM($F452&amp;"")),12)="subscription",LOWER(TRIM($F452&amp;""))="membership"),"",IF($G452="","",IF(ISNUMBER(SEARCH("non",LOWER($E452&amp;""))),$G452*0.85,$G452))))</x:f>
      </x:c>
      <x:c r="O452" s="987" t="str">
        <x:f>IF(COUNTA($A452:$M452)=0,"",IF(OR(LEFT(LOWER(TRIM($F452&amp;"")),12)="subscription",LOWER(TRIM($F452&amp;""))="membership"),"",IF(OR($N452="",$I452="",$I452=0),"",IFERROR($N452/$I452,""))))</x:f>
      </x:c>
      <x:c r="P452" s="987" t="str">
        <x:f>IF(COUNTA($A452:$M452)=0,"",IF(OR(LEFT(LOWER(TRIM($F452&amp;"")),12)="subscription",LOWER(TRIM($F452&amp;""))="membership"),"",IF(LOWER($L452&amp;"")="yes",0,IF(OR(AND($H452&lt;&gt;"",$H452=0),LEFT(LOWER(TRIM($F452&amp;"")),9)="free game",LOWER(TRIM($F452&amp;""))="free",LOWER(TRIM($F452&amp;""))="free entry"),IF(LOWER($D452&amp;"")="finalized",IF(ISNUMBER($K452),$K452,""),IF($O452&lt;&gt;"",$O452,"")),IF($K452&lt;&gt;"",$K452,IF($O452&lt;&gt;"",$O452,""))))))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IF(COUNTA($A452:$M452)=0,"",IF(OR(LEFT(LOWER(TRIM($F452&amp;"")),12)="subscription",LOWER(TRIM($F452&amp;""))="membership"),"Subscription",IF(OR(AND($H452&lt;&gt;"",$H452=0),LEFT(LOWER(TRIM($F452&amp;"")),9)="free game",LOWER(TRIM($F452&amp;""))="free",LOWER(TRIM($F452&amp;""))="free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IF(COUNTA($A453:$M453)=0,"",IF(OR(LEFT(LOWER(TRIM($F453&amp;"")),12)="subscription",LOWER(TRIM($F453&amp;""))="membership"),"",IF($G453="","",IF(ISNUMBER(SEARCH("non",LOWER($E453&amp;""))),$G453*0.85,$G453))))</x:f>
      </x:c>
      <x:c r="O453" s="987" t="str">
        <x:f>IF(COUNTA($A453:$M453)=0,"",IF(OR(LEFT(LOWER(TRIM($F453&amp;"")),12)="subscription",LOWER(TRIM($F453&amp;""))="membership"),"",IF(OR($N453="",$I453="",$I453=0),"",IFERROR($N453/$I453,""))))</x:f>
      </x:c>
      <x:c r="P453" s="987" t="str">
        <x:f>IF(COUNTA($A453:$M453)=0,"",IF(OR(LEFT(LOWER(TRIM($F453&amp;"")),12)="subscription",LOWER(TRIM($F453&amp;""))="membership"),"",IF(LOWER($L453&amp;"")="yes",0,IF(OR(AND($H453&lt;&gt;"",$H453=0),LEFT(LOWER(TRIM($F453&amp;"")),9)="free game",LOWER(TRIM($F453&amp;""))="free",LOWER(TRIM($F453&amp;""))="free entry"),IF(LOWER($D453&amp;"")="finalized",IF(ISNUMBER($K453),$K453,""),IF($O453&lt;&gt;"",$O453,"")),IF($K453&lt;&gt;"",$K453,IF($O453&lt;&gt;"",$O453,""))))))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IF(COUNTA($A453:$M453)=0,"",IF(OR(LEFT(LOWER(TRIM($F453&amp;"")),12)="subscription",LOWER(TRIM($F453&amp;""))="membership"),"Subscription",IF(OR(AND($H453&lt;&gt;"",$H453=0),LEFT(LOWER(TRIM($F453&amp;"")),9)="free game",LOWER(TRIM($F453&amp;""))="free",LOWER(TRIM($F453&amp;""))="free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IF(COUNTA($A454:$M454)=0,"",IF(OR(LEFT(LOWER(TRIM($F454&amp;"")),12)="subscription",LOWER(TRIM($F454&amp;""))="membership"),"",IF($G454="","",IF(ISNUMBER(SEARCH("non",LOWER($E454&amp;""))),$G454*0.85,$G454))))</x:f>
      </x:c>
      <x:c r="O454" s="987" t="str">
        <x:f>IF(COUNTA($A454:$M454)=0,"",IF(OR(LEFT(LOWER(TRIM($F454&amp;"")),12)="subscription",LOWER(TRIM($F454&amp;""))="membership"),"",IF(OR($N454="",$I454="",$I454=0),"",IFERROR($N454/$I454,""))))</x:f>
      </x:c>
      <x:c r="P454" s="987" t="str">
        <x:f>IF(COUNTA($A454:$M454)=0,"",IF(OR(LEFT(LOWER(TRIM($F454&amp;"")),12)="subscription",LOWER(TRIM($F454&amp;""))="membership"),"",IF(LOWER($L454&amp;"")="yes",0,IF(OR(AND($H454&lt;&gt;"",$H454=0),LEFT(LOWER(TRIM($F454&amp;"")),9)="free game",LOWER(TRIM($F454&amp;""))="free",LOWER(TRIM($F454&amp;""))="free entry"),IF(LOWER($D454&amp;"")="finalized",IF(ISNUMBER($K454),$K454,""),IF($O454&lt;&gt;"",$O454,"")),IF($K454&lt;&gt;"",$K454,IF($O454&lt;&gt;"",$O454,""))))))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IF(COUNTA($A454:$M454)=0,"",IF(OR(LEFT(LOWER(TRIM($F454&amp;"")),12)="subscription",LOWER(TRIM($F454&amp;""))="membership"),"Subscription",IF(OR(AND($H454&lt;&gt;"",$H454=0),LEFT(LOWER(TRIM($F454&amp;"")),9)="free game",LOWER(TRIM($F454&amp;""))="free",LOWER(TRIM($F454&amp;""))="free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IF(COUNTA($A455:$M455)=0,"",IF(OR(LEFT(LOWER(TRIM($F455&amp;"")),12)="subscription",LOWER(TRIM($F455&amp;""))="membership"),"",IF($G455="","",IF(ISNUMBER(SEARCH("non",LOWER($E455&amp;""))),$G455*0.85,$G455))))</x:f>
      </x:c>
      <x:c r="O455" s="987" t="str">
        <x:f>IF(COUNTA($A455:$M455)=0,"",IF(OR(LEFT(LOWER(TRIM($F455&amp;"")),12)="subscription",LOWER(TRIM($F455&amp;""))="membership"),"",IF(OR($N455="",$I455="",$I455=0),"",IFERROR($N455/$I455,""))))</x:f>
      </x:c>
      <x:c r="P455" s="987" t="str">
        <x:f>IF(COUNTA($A455:$M455)=0,"",IF(OR(LEFT(LOWER(TRIM($F455&amp;"")),12)="subscription",LOWER(TRIM($F455&amp;""))="membership"),"",IF(LOWER($L455&amp;"")="yes",0,IF(OR(AND($H455&lt;&gt;"",$H455=0),LEFT(LOWER(TRIM($F455&amp;"")),9)="free game",LOWER(TRIM($F455&amp;""))="free",LOWER(TRIM($F455&amp;""))="free entry"),IF(LOWER($D455&amp;"")="finalized",IF(ISNUMBER($K455),$K455,""),IF($O455&lt;&gt;"",$O455,"")),IF($K455&lt;&gt;"",$K455,IF($O455&lt;&gt;"",$O455,""))))))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IF(COUNTA($A455:$M455)=0,"",IF(OR(LEFT(LOWER(TRIM($F455&amp;"")),12)="subscription",LOWER(TRIM($F455&amp;""))="membership"),"Subscription",IF(OR(AND($H455&lt;&gt;"",$H455=0),LEFT(LOWER(TRIM($F455&amp;"")),9)="free game",LOWER(TRIM($F455&amp;""))="free",LOWER(TRIM($F455&amp;""))="free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IF(COUNTA($A456:$M456)=0,"",IF(OR(LEFT(LOWER(TRIM($F456&amp;"")),12)="subscription",LOWER(TRIM($F456&amp;""))="membership"),"",IF($G456="","",IF(ISNUMBER(SEARCH("non",LOWER($E456&amp;""))),$G456*0.85,$G456))))</x:f>
      </x:c>
      <x:c r="O456" s="987" t="str">
        <x:f>IF(COUNTA($A456:$M456)=0,"",IF(OR(LEFT(LOWER(TRIM($F456&amp;"")),12)="subscription",LOWER(TRIM($F456&amp;""))="membership"),"",IF(OR($N456="",$I456="",$I456=0),"",IFERROR($N456/$I456,""))))</x:f>
      </x:c>
      <x:c r="P456" s="987" t="str">
        <x:f>IF(COUNTA($A456:$M456)=0,"",IF(OR(LEFT(LOWER(TRIM($F456&amp;"")),12)="subscription",LOWER(TRIM($F456&amp;""))="membership"),"",IF(LOWER($L456&amp;"")="yes",0,IF(OR(AND($H456&lt;&gt;"",$H456=0),LEFT(LOWER(TRIM($F456&amp;"")),9)="free game",LOWER(TRIM($F456&amp;""))="free",LOWER(TRIM($F456&amp;""))="free entry"),IF(LOWER($D456&amp;"")="finalized",IF(ISNUMBER($K456),$K456,""),IF($O456&lt;&gt;"",$O456,"")),IF($K456&lt;&gt;"",$K456,IF($O456&lt;&gt;"",$O456,""))))))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IF(COUNTA($A456:$M456)=0,"",IF(OR(LEFT(LOWER(TRIM($F456&amp;"")),12)="subscription",LOWER(TRIM($F456&amp;""))="membership"),"Subscription",IF(OR(AND($H456&lt;&gt;"",$H456=0),LEFT(LOWER(TRIM($F456&amp;"")),9)="free game",LOWER(TRIM($F456&amp;""))="free",LOWER(TRIM($F456&amp;""))="free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IF(COUNTA($A457:$M457)=0,"",IF(OR(LEFT(LOWER(TRIM($F457&amp;"")),12)="subscription",LOWER(TRIM($F457&amp;""))="membership"),"",IF($G457="","",IF(ISNUMBER(SEARCH("non",LOWER($E457&amp;""))),$G457*0.85,$G457))))</x:f>
      </x:c>
      <x:c r="O457" s="987" t="str">
        <x:f>IF(COUNTA($A457:$M457)=0,"",IF(OR(LEFT(LOWER(TRIM($F457&amp;"")),12)="subscription",LOWER(TRIM($F457&amp;""))="membership"),"",IF(OR($N457="",$I457="",$I457=0),"",IFERROR($N457/$I457,""))))</x:f>
      </x:c>
      <x:c r="P457" s="987" t="str">
        <x:f>IF(COUNTA($A457:$M457)=0,"",IF(OR(LEFT(LOWER(TRIM($F457&amp;"")),12)="subscription",LOWER(TRIM($F457&amp;""))="membership"),"",IF(LOWER($L457&amp;"")="yes",0,IF(OR(AND($H457&lt;&gt;"",$H457=0),LEFT(LOWER(TRIM($F457&amp;"")),9)="free game",LOWER(TRIM($F457&amp;""))="free",LOWER(TRIM($F457&amp;""))="free entry"),IF(LOWER($D457&amp;"")="finalized",IF(ISNUMBER($K457),$K457,""),IF($O457&lt;&gt;"",$O457,"")),IF($K457&lt;&gt;"",$K457,IF($O457&lt;&gt;"",$O457,""))))))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IF(COUNTA($A457:$M457)=0,"",IF(OR(LEFT(LOWER(TRIM($F457&amp;"")),12)="subscription",LOWER(TRIM($F457&amp;""))="membership"),"Subscription",IF(OR(AND($H457&lt;&gt;"",$H457=0),LEFT(LOWER(TRIM($F457&amp;"")),9)="free game",LOWER(TRIM($F457&amp;""))="free",LOWER(TRIM($F457&amp;""))="free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IF(COUNTA($A458:$M458)=0,"",IF(OR(LEFT(LOWER(TRIM($F458&amp;"")),12)="subscription",LOWER(TRIM($F458&amp;""))="membership"),"",IF($G458="","",IF(ISNUMBER(SEARCH("non",LOWER($E458&amp;""))),$G458*0.85,$G458))))</x:f>
      </x:c>
      <x:c r="O458" s="987" t="str">
        <x:f>IF(COUNTA($A458:$M458)=0,"",IF(OR(LEFT(LOWER(TRIM($F458&amp;"")),12)="subscription",LOWER(TRIM($F458&amp;""))="membership"),"",IF(OR($N458="",$I458="",$I458=0),"",IFERROR($N458/$I458,""))))</x:f>
      </x:c>
      <x:c r="P458" s="987" t="str">
        <x:f>IF(COUNTA($A458:$M458)=0,"",IF(OR(LEFT(LOWER(TRIM($F458&amp;"")),12)="subscription",LOWER(TRIM($F458&amp;""))="membership"),"",IF(LOWER($L458&amp;"")="yes",0,IF(OR(AND($H458&lt;&gt;"",$H458=0),LEFT(LOWER(TRIM($F458&amp;"")),9)="free game",LOWER(TRIM($F458&amp;""))="free",LOWER(TRIM($F458&amp;""))="free entry"),IF(LOWER($D458&amp;"")="finalized",IF(ISNUMBER($K458),$K458,""),IF($O458&lt;&gt;"",$O458,"")),IF($K458&lt;&gt;"",$K458,IF($O458&lt;&gt;"",$O458,""))))))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IF(COUNTA($A458:$M458)=0,"",IF(OR(LEFT(LOWER(TRIM($F458&amp;"")),12)="subscription",LOWER(TRIM($F458&amp;""))="membership"),"Subscription",IF(OR(AND($H458&lt;&gt;"",$H458=0),LEFT(LOWER(TRIM($F458&amp;"")),9)="free game",LOWER(TRIM($F458&amp;""))="free",LOWER(TRIM($F458&amp;""))="free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IF(COUNTA($A459:$M459)=0,"",IF(OR(LEFT(LOWER(TRIM($F459&amp;"")),12)="subscription",LOWER(TRIM($F459&amp;""))="membership"),"",IF($G459="","",IF(ISNUMBER(SEARCH("non",LOWER($E459&amp;""))),$G459*0.85,$G459))))</x:f>
      </x:c>
      <x:c r="O459" s="987" t="str">
        <x:f>IF(COUNTA($A459:$M459)=0,"",IF(OR(LEFT(LOWER(TRIM($F459&amp;"")),12)="subscription",LOWER(TRIM($F459&amp;""))="membership"),"",IF(OR($N459="",$I459="",$I459=0),"",IFERROR($N459/$I459,""))))</x:f>
      </x:c>
      <x:c r="P459" s="987" t="str">
        <x:f>IF(COUNTA($A459:$M459)=0,"",IF(OR(LEFT(LOWER(TRIM($F459&amp;"")),12)="subscription",LOWER(TRIM($F459&amp;""))="membership"),"",IF(LOWER($L459&amp;"")="yes",0,IF(OR(AND($H459&lt;&gt;"",$H459=0),LEFT(LOWER(TRIM($F459&amp;"")),9)="free game",LOWER(TRIM($F459&amp;""))="free",LOWER(TRIM($F459&amp;""))="free entry"),IF(LOWER($D459&amp;"")="finalized",IF(ISNUMBER($K459),$K459,""),IF($O459&lt;&gt;"",$O459,"")),IF($K459&lt;&gt;"",$K459,IF($O459&lt;&gt;"",$O459,""))))))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IF(COUNTA($A459:$M459)=0,"",IF(OR(LEFT(LOWER(TRIM($F459&amp;"")),12)="subscription",LOWER(TRIM($F459&amp;""))="membership"),"Subscription",IF(OR(AND($H459&lt;&gt;"",$H459=0),LEFT(LOWER(TRIM($F459&amp;"")),9)="free game",LOWER(TRIM($F459&amp;""))="free",LOWER(TRIM($F459&amp;""))="free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IF(COUNTA($A460:$M460)=0,"",IF(OR(LEFT(LOWER(TRIM($F460&amp;"")),12)="subscription",LOWER(TRIM($F460&amp;""))="membership"),"",IF($G460="","",IF(ISNUMBER(SEARCH("non",LOWER($E460&amp;""))),$G460*0.85,$G460))))</x:f>
      </x:c>
      <x:c r="O460" s="987" t="str">
        <x:f>IF(COUNTA($A460:$M460)=0,"",IF(OR(LEFT(LOWER(TRIM($F460&amp;"")),12)="subscription",LOWER(TRIM($F460&amp;""))="membership"),"",IF(OR($N460="",$I460="",$I460=0),"",IFERROR($N460/$I460,""))))</x:f>
      </x:c>
      <x:c r="P460" s="987" t="str">
        <x:f>IF(COUNTA($A460:$M460)=0,"",IF(OR(LEFT(LOWER(TRIM($F460&amp;"")),12)="subscription",LOWER(TRIM($F460&amp;""))="membership"),"",IF(LOWER($L460&amp;"")="yes",0,IF(OR(AND($H460&lt;&gt;"",$H460=0),LEFT(LOWER(TRIM($F460&amp;"")),9)="free game",LOWER(TRIM($F460&amp;""))="free",LOWER(TRIM($F460&amp;""))="free entry"),IF(LOWER($D460&amp;"")="finalized",IF(ISNUMBER($K460),$K460,""),IF($O460&lt;&gt;"",$O460,"")),IF($K460&lt;&gt;"",$K460,IF($O460&lt;&gt;"",$O460,""))))))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IF(COUNTA($A460:$M460)=0,"",IF(OR(LEFT(LOWER(TRIM($F460&amp;"")),12)="subscription",LOWER(TRIM($F460&amp;""))="membership"),"Subscription",IF(OR(AND($H460&lt;&gt;"",$H460=0),LEFT(LOWER(TRIM($F460&amp;"")),9)="free game",LOWER(TRIM($F460&amp;""))="free",LOWER(TRIM($F460&amp;""))="free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IF(COUNTA($A461:$M461)=0,"",IF(OR(LEFT(LOWER(TRIM($F461&amp;"")),12)="subscription",LOWER(TRIM($F461&amp;""))="membership"),"",IF($G461="","",IF(ISNUMBER(SEARCH("non",LOWER($E461&amp;""))),$G461*0.85,$G461))))</x:f>
      </x:c>
      <x:c r="O461" s="987" t="str">
        <x:f>IF(COUNTA($A461:$M461)=0,"",IF(OR(LEFT(LOWER(TRIM($F461&amp;"")),12)="subscription",LOWER(TRIM($F461&amp;""))="membership"),"",IF(OR($N461="",$I461="",$I461=0),"",IFERROR($N461/$I461,""))))</x:f>
      </x:c>
      <x:c r="P461" s="987" t="str">
        <x:f>IF(COUNTA($A461:$M461)=0,"",IF(OR(LEFT(LOWER(TRIM($F461&amp;"")),12)="subscription",LOWER(TRIM($F461&amp;""))="membership"),"",IF(LOWER($L461&amp;"")="yes",0,IF(OR(AND($H461&lt;&gt;"",$H461=0),LEFT(LOWER(TRIM($F461&amp;"")),9)="free game",LOWER(TRIM($F461&amp;""))="free",LOWER(TRIM($F461&amp;""))="free entry"),IF(LOWER($D461&amp;"")="finalized",IF(ISNUMBER($K461),$K461,""),IF($O461&lt;&gt;"",$O461,"")),IF($K461&lt;&gt;"",$K461,IF($O461&lt;&gt;"",$O461,""))))))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IF(COUNTA($A461:$M461)=0,"",IF(OR(LEFT(LOWER(TRIM($F461&amp;"")),12)="subscription",LOWER(TRIM($F461&amp;""))="membership"),"Subscription",IF(OR(AND($H461&lt;&gt;"",$H461=0),LEFT(LOWER(TRIM($F461&amp;"")),9)="free game",LOWER(TRIM($F461&amp;""))="free",LOWER(TRIM($F461&amp;""))="free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IF(COUNTA($A462:$M462)=0,"",IF(OR(LEFT(LOWER(TRIM($F462&amp;"")),12)="subscription",LOWER(TRIM($F462&amp;""))="membership"),"",IF($G462="","",IF(ISNUMBER(SEARCH("non",LOWER($E462&amp;""))),$G462*0.85,$G462))))</x:f>
      </x:c>
      <x:c r="O462" s="987" t="str">
        <x:f>IF(COUNTA($A462:$M462)=0,"",IF(OR(LEFT(LOWER(TRIM($F462&amp;"")),12)="subscription",LOWER(TRIM($F462&amp;""))="membership"),"",IF(OR($N462="",$I462="",$I462=0),"",IFERROR($N462/$I462,""))))</x:f>
      </x:c>
      <x:c r="P462" s="987" t="str">
        <x:f>IF(COUNTA($A462:$M462)=0,"",IF(OR(LEFT(LOWER(TRIM($F462&amp;"")),12)="subscription",LOWER(TRIM($F462&amp;""))="membership"),"",IF(LOWER($L462&amp;"")="yes",0,IF(OR(AND($H462&lt;&gt;"",$H462=0),LEFT(LOWER(TRIM($F462&amp;"")),9)="free game",LOWER(TRIM($F462&amp;""))="free",LOWER(TRIM($F462&amp;""))="free entry"),IF(LOWER($D462&amp;"")="finalized",IF(ISNUMBER($K462),$K462,""),IF($O462&lt;&gt;"",$O462,"")),IF($K462&lt;&gt;"",$K462,IF($O462&lt;&gt;"",$O462,""))))))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IF(COUNTA($A462:$M462)=0,"",IF(OR(LEFT(LOWER(TRIM($F462&amp;"")),12)="subscription",LOWER(TRIM($F462&amp;""))="membership"),"Subscription",IF(OR(AND($H462&lt;&gt;"",$H462=0),LEFT(LOWER(TRIM($F462&amp;"")),9)="free game",LOWER(TRIM($F462&amp;""))="free",LOWER(TRIM($F462&amp;""))="free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IF(COUNTA($A463:$M463)=0,"",IF(OR(LEFT(LOWER(TRIM($F463&amp;"")),12)="subscription",LOWER(TRIM($F463&amp;""))="membership"),"",IF($G463="","",IF(ISNUMBER(SEARCH("non",LOWER($E463&amp;""))),$G463*0.85,$G463))))</x:f>
      </x:c>
      <x:c r="O463" s="987" t="str">
        <x:f>IF(COUNTA($A463:$M463)=0,"",IF(OR(LEFT(LOWER(TRIM($F463&amp;"")),12)="subscription",LOWER(TRIM($F463&amp;""))="membership"),"",IF(OR($N463="",$I463="",$I463=0),"",IFERROR($N463/$I463,""))))</x:f>
      </x:c>
      <x:c r="P463" s="987" t="str">
        <x:f>IF(COUNTA($A463:$M463)=0,"",IF(OR(LEFT(LOWER(TRIM($F463&amp;"")),12)="subscription",LOWER(TRIM($F463&amp;""))="membership"),"",IF(LOWER($L463&amp;"")="yes",0,IF(OR(AND($H463&lt;&gt;"",$H463=0),LEFT(LOWER(TRIM($F463&amp;"")),9)="free game",LOWER(TRIM($F463&amp;""))="free",LOWER(TRIM($F463&amp;""))="free entry"),IF(LOWER($D463&amp;"")="finalized",IF(ISNUMBER($K463),$K463,""),IF($O463&lt;&gt;"",$O463,"")),IF($K463&lt;&gt;"",$K463,IF($O463&lt;&gt;"",$O463,""))))))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IF(COUNTA($A463:$M463)=0,"",IF(OR(LEFT(LOWER(TRIM($F463&amp;"")),12)="subscription",LOWER(TRIM($F463&amp;""))="membership"),"Subscription",IF(OR(AND($H463&lt;&gt;"",$H463=0),LEFT(LOWER(TRIM($F463&amp;"")),9)="free game",LOWER(TRIM($F463&amp;""))="free",LOWER(TRIM($F463&amp;""))="free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IF(COUNTA($A464:$M464)=0,"",IF(OR(LEFT(LOWER(TRIM($F464&amp;"")),12)="subscription",LOWER(TRIM($F464&amp;""))="membership"),"",IF($G464="","",IF(ISNUMBER(SEARCH("non",LOWER($E464&amp;""))),$G464*0.85,$G464))))</x:f>
      </x:c>
      <x:c r="O464" s="987" t="str">
        <x:f>IF(COUNTA($A464:$M464)=0,"",IF(OR(LEFT(LOWER(TRIM($F464&amp;"")),12)="subscription",LOWER(TRIM($F464&amp;""))="membership"),"",IF(OR($N464="",$I464="",$I464=0),"",IFERROR($N464/$I464,""))))</x:f>
      </x:c>
      <x:c r="P464" s="987" t="str">
        <x:f>IF(COUNTA($A464:$M464)=0,"",IF(OR(LEFT(LOWER(TRIM($F464&amp;"")),12)="subscription",LOWER(TRIM($F464&amp;""))="membership"),"",IF(LOWER($L464&amp;"")="yes",0,IF(OR(AND($H464&lt;&gt;"",$H464=0),LEFT(LOWER(TRIM($F464&amp;"")),9)="free game",LOWER(TRIM($F464&amp;""))="free",LOWER(TRIM($F464&amp;""))="free entry"),IF(LOWER($D464&amp;"")="finalized",IF(ISNUMBER($K464),$K464,""),IF($O464&lt;&gt;"",$O464,"")),IF($K464&lt;&gt;"",$K464,IF($O464&lt;&gt;"",$O464,""))))))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IF(COUNTA($A464:$M464)=0,"",IF(OR(LEFT(LOWER(TRIM($F464&amp;"")),12)="subscription",LOWER(TRIM($F464&amp;""))="membership"),"Subscription",IF(OR(AND($H464&lt;&gt;"",$H464=0),LEFT(LOWER(TRIM($F464&amp;"")),9)="free game",LOWER(TRIM($F464&amp;""))="free",LOWER(TRIM($F464&amp;""))="free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IF(COUNTA($A465:$M465)=0,"",IF(OR(LEFT(LOWER(TRIM($F465&amp;"")),12)="subscription",LOWER(TRIM($F465&amp;""))="membership"),"",IF($G465="","",IF(ISNUMBER(SEARCH("non",LOWER($E465&amp;""))),$G465*0.85,$G465))))</x:f>
      </x:c>
      <x:c r="O465" s="987" t="str">
        <x:f>IF(COUNTA($A465:$M465)=0,"",IF(OR(LEFT(LOWER(TRIM($F465&amp;"")),12)="subscription",LOWER(TRIM($F465&amp;""))="membership"),"",IF(OR($N465="",$I465="",$I465=0),"",IFERROR($N465/$I465,""))))</x:f>
      </x:c>
      <x:c r="P465" s="987" t="str">
        <x:f>IF(COUNTA($A465:$M465)=0,"",IF(OR(LEFT(LOWER(TRIM($F465&amp;"")),12)="subscription",LOWER(TRIM($F465&amp;""))="membership"),"",IF(LOWER($L465&amp;"")="yes",0,IF(OR(AND($H465&lt;&gt;"",$H465=0),LEFT(LOWER(TRIM($F465&amp;"")),9)="free game",LOWER(TRIM($F465&amp;""))="free",LOWER(TRIM($F465&amp;""))="free entry"),IF(LOWER($D465&amp;"")="finalized",IF(ISNUMBER($K465),$K465,""),IF($O465&lt;&gt;"",$O465,"")),IF($K465&lt;&gt;"",$K465,IF($O465&lt;&gt;"",$O465,""))))))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IF(COUNTA($A465:$M465)=0,"",IF(OR(LEFT(LOWER(TRIM($F465&amp;"")),12)="subscription",LOWER(TRIM($F465&amp;""))="membership"),"Subscription",IF(OR(AND($H465&lt;&gt;"",$H465=0),LEFT(LOWER(TRIM($F465&amp;"")),9)="free game",LOWER(TRIM($F465&amp;""))="free",LOWER(TRIM($F465&amp;""))="free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IF(COUNTA($A466:$M466)=0,"",IF(OR(LEFT(LOWER(TRIM($F466&amp;"")),12)="subscription",LOWER(TRIM($F466&amp;""))="membership"),"",IF($G466="","",IF(ISNUMBER(SEARCH("non",LOWER($E466&amp;""))),$G466*0.85,$G466))))</x:f>
      </x:c>
      <x:c r="O466" s="987" t="str">
        <x:f>IF(COUNTA($A466:$M466)=0,"",IF(OR(LEFT(LOWER(TRIM($F466&amp;"")),12)="subscription",LOWER(TRIM($F466&amp;""))="membership"),"",IF(OR($N466="",$I466="",$I466=0),"",IFERROR($N466/$I466,""))))</x:f>
      </x:c>
      <x:c r="P466" s="987" t="str">
        <x:f>IF(COUNTA($A466:$M466)=0,"",IF(OR(LEFT(LOWER(TRIM($F466&amp;"")),12)="subscription",LOWER(TRIM($F466&amp;""))="membership"),"",IF(LOWER($L466&amp;"")="yes",0,IF(OR(AND($H466&lt;&gt;"",$H466=0),LEFT(LOWER(TRIM($F466&amp;"")),9)="free game",LOWER(TRIM($F466&amp;""))="free",LOWER(TRIM($F466&amp;""))="free entry"),IF(LOWER($D466&amp;"")="finalized",IF(ISNUMBER($K466),$K466,""),IF($O466&lt;&gt;"",$O466,"")),IF($K466&lt;&gt;"",$K466,IF($O466&lt;&gt;"",$O466,""))))))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IF(COUNTA($A466:$M466)=0,"",IF(OR(LEFT(LOWER(TRIM($F466&amp;"")),12)="subscription",LOWER(TRIM($F466&amp;""))="membership"),"Subscription",IF(OR(AND($H466&lt;&gt;"",$H466=0),LEFT(LOWER(TRIM($F466&amp;"")),9)="free game",LOWER(TRIM($F466&amp;""))="free",LOWER(TRIM($F466&amp;""))="free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IF(COUNTA($A467:$M467)=0,"",IF(OR(LEFT(LOWER(TRIM($F467&amp;"")),12)="subscription",LOWER(TRIM($F467&amp;""))="membership"),"",IF($G467="","",IF(ISNUMBER(SEARCH("non",LOWER($E467&amp;""))),$G467*0.85,$G467))))</x:f>
      </x:c>
      <x:c r="O467" s="987" t="str">
        <x:f>IF(COUNTA($A467:$M467)=0,"",IF(OR(LEFT(LOWER(TRIM($F467&amp;"")),12)="subscription",LOWER(TRIM($F467&amp;""))="membership"),"",IF(OR($N467="",$I467="",$I467=0),"",IFERROR($N467/$I467,""))))</x:f>
      </x:c>
      <x:c r="P467" s="987" t="str">
        <x:f>IF(COUNTA($A467:$M467)=0,"",IF(OR(LEFT(LOWER(TRIM($F467&amp;"")),12)="subscription",LOWER(TRIM($F467&amp;""))="membership"),"",IF(LOWER($L467&amp;"")="yes",0,IF(OR(AND($H467&lt;&gt;"",$H467=0),LEFT(LOWER(TRIM($F467&amp;"")),9)="free game",LOWER(TRIM($F467&amp;""))="free",LOWER(TRIM($F467&amp;""))="free entry"),IF(LOWER($D467&amp;"")="finalized",IF(ISNUMBER($K467),$K467,""),IF($O467&lt;&gt;"",$O467,"")),IF($K467&lt;&gt;"",$K467,IF($O467&lt;&gt;"",$O467,""))))))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IF(COUNTA($A467:$M467)=0,"",IF(OR(LEFT(LOWER(TRIM($F467&amp;"")),12)="subscription",LOWER(TRIM($F467&amp;""))="membership"),"Subscription",IF(OR(AND($H467&lt;&gt;"",$H467=0),LEFT(LOWER(TRIM($F467&amp;"")),9)="free game",LOWER(TRIM($F467&amp;""))="free",LOWER(TRIM($F467&amp;""))="free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IF(COUNTA($A468:$M468)=0,"",IF(OR(LEFT(LOWER(TRIM($F468&amp;"")),12)="subscription",LOWER(TRIM($F468&amp;""))="membership"),"",IF($G468="","",IF(ISNUMBER(SEARCH("non",LOWER($E468&amp;""))),$G468*0.85,$G468))))</x:f>
      </x:c>
      <x:c r="O468" s="987" t="str">
        <x:f>IF(COUNTA($A468:$M468)=0,"",IF(OR(LEFT(LOWER(TRIM($F468&amp;"")),12)="subscription",LOWER(TRIM($F468&amp;""))="membership"),"",IF(OR($N468="",$I468="",$I468=0),"",IFERROR($N468/$I468,""))))</x:f>
      </x:c>
      <x:c r="P468" s="987" t="str">
        <x:f>IF(COUNTA($A468:$M468)=0,"",IF(OR(LEFT(LOWER(TRIM($F468&amp;"")),12)="subscription",LOWER(TRIM($F468&amp;""))="membership"),"",IF(LOWER($L468&amp;"")="yes",0,IF(OR(AND($H468&lt;&gt;"",$H468=0),LEFT(LOWER(TRIM($F468&amp;"")),9)="free game",LOWER(TRIM($F468&amp;""))="free",LOWER(TRIM($F468&amp;""))="free entry"),IF(LOWER($D468&amp;"")="finalized",IF(ISNUMBER($K468),$K468,""),IF($O468&lt;&gt;"",$O468,"")),IF($K468&lt;&gt;"",$K468,IF($O468&lt;&gt;"",$O468,""))))))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IF(COUNTA($A468:$M468)=0,"",IF(OR(LEFT(LOWER(TRIM($F468&amp;"")),12)="subscription",LOWER(TRIM($F468&amp;""))="membership"),"Subscription",IF(OR(AND($H468&lt;&gt;"",$H468=0),LEFT(LOWER(TRIM($F468&amp;"")),9)="free game",LOWER(TRIM($F468&amp;""))="free",LOWER(TRIM($F468&amp;""))="free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IF(COUNTA($A469:$M469)=0,"",IF(OR(LEFT(LOWER(TRIM($F469&amp;"")),12)="subscription",LOWER(TRIM($F469&amp;""))="membership"),"",IF($G469="","",IF(ISNUMBER(SEARCH("non",LOWER($E469&amp;""))),$G469*0.85,$G469))))</x:f>
      </x:c>
      <x:c r="O469" s="987" t="str">
        <x:f>IF(COUNTA($A469:$M469)=0,"",IF(OR(LEFT(LOWER(TRIM($F469&amp;"")),12)="subscription",LOWER(TRIM($F469&amp;""))="membership"),"",IF(OR($N469="",$I469="",$I469=0),"",IFERROR($N469/$I469,""))))</x:f>
      </x:c>
      <x:c r="P469" s="987" t="str">
        <x:f>IF(COUNTA($A469:$M469)=0,"",IF(OR(LEFT(LOWER(TRIM($F469&amp;"")),12)="subscription",LOWER(TRIM($F469&amp;""))="membership"),"",IF(LOWER($L469&amp;"")="yes",0,IF(OR(AND($H469&lt;&gt;"",$H469=0),LEFT(LOWER(TRIM($F469&amp;"")),9)="free game",LOWER(TRIM($F469&amp;""))="free",LOWER(TRIM($F469&amp;""))="free entry"),IF(LOWER($D469&amp;"")="finalized",IF(ISNUMBER($K469),$K469,""),IF($O469&lt;&gt;"",$O469,"")),IF($K469&lt;&gt;"",$K469,IF($O469&lt;&gt;"",$O469,""))))))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IF(COUNTA($A469:$M469)=0,"",IF(OR(LEFT(LOWER(TRIM($F469&amp;"")),12)="subscription",LOWER(TRIM($F469&amp;""))="membership"),"Subscription",IF(OR(AND($H469&lt;&gt;"",$H469=0),LEFT(LOWER(TRIM($F469&amp;"")),9)="free game",LOWER(TRIM($F469&amp;""))="free",LOWER(TRIM($F469&amp;""))="free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IF(COUNTA($A470:$M470)=0,"",IF(OR(LEFT(LOWER(TRIM($F470&amp;"")),12)="subscription",LOWER(TRIM($F470&amp;""))="membership"),"",IF($G470="","",IF(ISNUMBER(SEARCH("non",LOWER($E470&amp;""))),$G470*0.85,$G470))))</x:f>
      </x:c>
      <x:c r="O470" s="987" t="str">
        <x:f>IF(COUNTA($A470:$M470)=0,"",IF(OR(LEFT(LOWER(TRIM($F470&amp;"")),12)="subscription",LOWER(TRIM($F470&amp;""))="membership"),"",IF(OR($N470="",$I470="",$I470=0),"",IFERROR($N470/$I470,""))))</x:f>
      </x:c>
      <x:c r="P470" s="987" t="str">
        <x:f>IF(COUNTA($A470:$M470)=0,"",IF(OR(LEFT(LOWER(TRIM($F470&amp;"")),12)="subscription",LOWER(TRIM($F470&amp;""))="membership"),"",IF(LOWER($L470&amp;"")="yes",0,IF(OR(AND($H470&lt;&gt;"",$H470=0),LEFT(LOWER(TRIM($F470&amp;"")),9)="free game",LOWER(TRIM($F470&amp;""))="free",LOWER(TRIM($F470&amp;""))="free entry"),IF(LOWER($D470&amp;"")="finalized",IF(ISNUMBER($K470),$K470,""),IF($O470&lt;&gt;"",$O470,"")),IF($K470&lt;&gt;"",$K470,IF($O470&lt;&gt;"",$O470,""))))))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IF(COUNTA($A470:$M470)=0,"",IF(OR(LEFT(LOWER(TRIM($F470&amp;"")),12)="subscription",LOWER(TRIM($F470&amp;""))="membership"),"Subscription",IF(OR(AND($H470&lt;&gt;"",$H470=0),LEFT(LOWER(TRIM($F470&amp;"")),9)="free game",LOWER(TRIM($F470&amp;""))="free",LOWER(TRIM($F470&amp;""))="free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IF(COUNTA($A471:$M471)=0,"",IF(OR(LEFT(LOWER(TRIM($F471&amp;"")),12)="subscription",LOWER(TRIM($F471&amp;""))="membership"),"",IF($G471="","",IF(ISNUMBER(SEARCH("non",LOWER($E471&amp;""))),$G471*0.85,$G471))))</x:f>
      </x:c>
      <x:c r="O471" s="987" t="str">
        <x:f>IF(COUNTA($A471:$M471)=0,"",IF(OR(LEFT(LOWER(TRIM($F471&amp;"")),12)="subscription",LOWER(TRIM($F471&amp;""))="membership"),"",IF(OR($N471="",$I471="",$I471=0),"",IFERROR($N471/$I471,""))))</x:f>
      </x:c>
      <x:c r="P471" s="987" t="str">
        <x:f>IF(COUNTA($A471:$M471)=0,"",IF(OR(LEFT(LOWER(TRIM($F471&amp;"")),12)="subscription",LOWER(TRIM($F471&amp;""))="membership"),"",IF(LOWER($L471&amp;"")="yes",0,IF(OR(AND($H471&lt;&gt;"",$H471=0),LEFT(LOWER(TRIM($F471&amp;"")),9)="free game",LOWER(TRIM($F471&amp;""))="free",LOWER(TRIM($F471&amp;""))="free entry"),IF(LOWER($D471&amp;"")="finalized",IF(ISNUMBER($K471),$K471,""),IF($O471&lt;&gt;"",$O471,"")),IF($K471&lt;&gt;"",$K471,IF($O471&lt;&gt;"",$O471,""))))))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IF(COUNTA($A471:$M471)=0,"",IF(OR(LEFT(LOWER(TRIM($F471&amp;"")),12)="subscription",LOWER(TRIM($F471&amp;""))="membership"),"Subscription",IF(OR(AND($H471&lt;&gt;"",$H471=0),LEFT(LOWER(TRIM($F471&amp;"")),9)="free game",LOWER(TRIM($F471&amp;""))="free",LOWER(TRIM($F471&amp;""))="free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IF(COUNTA($A472:$M472)=0,"",IF(OR(LEFT(LOWER(TRIM($F472&amp;"")),12)="subscription",LOWER(TRIM($F472&amp;""))="membership"),"",IF($G472="","",IF(ISNUMBER(SEARCH("non",LOWER($E472&amp;""))),$G472*0.85,$G472))))</x:f>
      </x:c>
      <x:c r="O472" s="987" t="str">
        <x:f>IF(COUNTA($A472:$M472)=0,"",IF(OR(LEFT(LOWER(TRIM($F472&amp;"")),12)="subscription",LOWER(TRIM($F472&amp;""))="membership"),"",IF(OR($N472="",$I472="",$I472=0),"",IFERROR($N472/$I472,""))))</x:f>
      </x:c>
      <x:c r="P472" s="987" t="str">
        <x:f>IF(COUNTA($A472:$M472)=0,"",IF(OR(LEFT(LOWER(TRIM($F472&amp;"")),12)="subscription",LOWER(TRIM($F472&amp;""))="membership"),"",IF(LOWER($L472&amp;"")="yes",0,IF(OR(AND($H472&lt;&gt;"",$H472=0),LEFT(LOWER(TRIM($F472&amp;"")),9)="free game",LOWER(TRIM($F472&amp;""))="free",LOWER(TRIM($F472&amp;""))="free entry"),IF(LOWER($D472&amp;"")="finalized",IF(ISNUMBER($K472),$K472,""),IF($O472&lt;&gt;"",$O472,"")),IF($K472&lt;&gt;"",$K472,IF($O472&lt;&gt;"",$O472,""))))))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IF(COUNTA($A472:$M472)=0,"",IF(OR(LEFT(LOWER(TRIM($F472&amp;"")),12)="subscription",LOWER(TRIM($F472&amp;""))="membership"),"Subscription",IF(OR(AND($H472&lt;&gt;"",$H472=0),LEFT(LOWER(TRIM($F472&amp;"")),9)="free game",LOWER(TRIM($F472&amp;""))="free",LOWER(TRIM($F472&amp;""))="free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IF(COUNTA($A473:$M473)=0,"",IF(OR(LEFT(LOWER(TRIM($F473&amp;"")),12)="subscription",LOWER(TRIM($F473&amp;""))="membership"),"",IF($G473="","",IF(ISNUMBER(SEARCH("non",LOWER($E473&amp;""))),$G473*0.85,$G473))))</x:f>
      </x:c>
      <x:c r="O473" s="987" t="str">
        <x:f>IF(COUNTA($A473:$M473)=0,"",IF(OR(LEFT(LOWER(TRIM($F473&amp;"")),12)="subscription",LOWER(TRIM($F473&amp;""))="membership"),"",IF(OR($N473="",$I473="",$I473=0),"",IFERROR($N473/$I473,""))))</x:f>
      </x:c>
      <x:c r="P473" s="987" t="str">
        <x:f>IF(COUNTA($A473:$M473)=0,"",IF(OR(LEFT(LOWER(TRIM($F473&amp;"")),12)="subscription",LOWER(TRIM($F473&amp;""))="membership"),"",IF(LOWER($L473&amp;"")="yes",0,IF(OR(AND($H473&lt;&gt;"",$H473=0),LEFT(LOWER(TRIM($F473&amp;"")),9)="free game",LOWER(TRIM($F473&amp;""))="free",LOWER(TRIM($F473&amp;""))="free entry"),IF(LOWER($D473&amp;"")="finalized",IF(ISNUMBER($K473),$K473,""),IF($O473&lt;&gt;"",$O473,"")),IF($K473&lt;&gt;"",$K473,IF($O473&lt;&gt;"",$O473,""))))))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IF(COUNTA($A473:$M473)=0,"",IF(OR(LEFT(LOWER(TRIM($F473&amp;"")),12)="subscription",LOWER(TRIM($F473&amp;""))="membership"),"Subscription",IF(OR(AND($H473&lt;&gt;"",$H473=0),LEFT(LOWER(TRIM($F473&amp;"")),9)="free game",LOWER(TRIM($F473&amp;""))="free",LOWER(TRIM($F473&amp;""))="free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IF(COUNTA($A474:$M474)=0,"",IF(OR(LEFT(LOWER(TRIM($F474&amp;"")),12)="subscription",LOWER(TRIM($F474&amp;""))="membership"),"",IF($G474="","",IF(ISNUMBER(SEARCH("non",LOWER($E474&amp;""))),$G474*0.85,$G474))))</x:f>
      </x:c>
      <x:c r="O474" s="987" t="str">
        <x:f>IF(COUNTA($A474:$M474)=0,"",IF(OR(LEFT(LOWER(TRIM($F474&amp;"")),12)="subscription",LOWER(TRIM($F474&amp;""))="membership"),"",IF(OR($N474="",$I474="",$I474=0),"",IFERROR($N474/$I474,""))))</x:f>
      </x:c>
      <x:c r="P474" s="987" t="str">
        <x:f>IF(COUNTA($A474:$M474)=0,"",IF(OR(LEFT(LOWER(TRIM($F474&amp;"")),12)="subscription",LOWER(TRIM($F474&amp;""))="membership"),"",IF(LOWER($L474&amp;"")="yes",0,IF(OR(AND($H474&lt;&gt;"",$H474=0),LEFT(LOWER(TRIM($F474&amp;"")),9)="free game",LOWER(TRIM($F474&amp;""))="free",LOWER(TRIM($F474&amp;""))="free entry"),IF(LOWER($D474&amp;"")="finalized",IF(ISNUMBER($K474),$K474,""),IF($O474&lt;&gt;"",$O474,"")),IF($K474&lt;&gt;"",$K474,IF($O474&lt;&gt;"",$O474,""))))))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IF(COUNTA($A474:$M474)=0,"",IF(OR(LEFT(LOWER(TRIM($F474&amp;"")),12)="subscription",LOWER(TRIM($F474&amp;""))="membership"),"Subscription",IF(OR(AND($H474&lt;&gt;"",$H474=0),LEFT(LOWER(TRIM($F474&amp;"")),9)="free game",LOWER(TRIM($F474&amp;""))="free",LOWER(TRIM($F474&amp;""))="free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IF(COUNTA($A475:$M475)=0,"",IF(OR(LEFT(LOWER(TRIM($F475&amp;"")),12)="subscription",LOWER(TRIM($F475&amp;""))="membership"),"",IF($G475="","",IF(ISNUMBER(SEARCH("non",LOWER($E475&amp;""))),$G475*0.85,$G475))))</x:f>
      </x:c>
      <x:c r="O475" s="987" t="str">
        <x:f>IF(COUNTA($A475:$M475)=0,"",IF(OR(LEFT(LOWER(TRIM($F475&amp;"")),12)="subscription",LOWER(TRIM($F475&amp;""))="membership"),"",IF(OR($N475="",$I475="",$I475=0),"",IFERROR($N475/$I475,""))))</x:f>
      </x:c>
      <x:c r="P475" s="987" t="str">
        <x:f>IF(COUNTA($A475:$M475)=0,"",IF(OR(LEFT(LOWER(TRIM($F475&amp;"")),12)="subscription",LOWER(TRIM($F475&amp;""))="membership"),"",IF(LOWER($L475&amp;"")="yes",0,IF(OR(AND($H475&lt;&gt;"",$H475=0),LEFT(LOWER(TRIM($F475&amp;"")),9)="free game",LOWER(TRIM($F475&amp;""))="free",LOWER(TRIM($F475&amp;""))="free entry"),IF(LOWER($D475&amp;"")="finalized",IF(ISNUMBER($K475),$K475,""),IF($O475&lt;&gt;"",$O475,"")),IF($K475&lt;&gt;"",$K475,IF($O475&lt;&gt;"",$O475,""))))))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IF(COUNTA($A475:$M475)=0,"",IF(OR(LEFT(LOWER(TRIM($F475&amp;"")),12)="subscription",LOWER(TRIM($F475&amp;""))="membership"),"Subscription",IF(OR(AND($H475&lt;&gt;"",$H475=0),LEFT(LOWER(TRIM($F475&amp;"")),9)="free game",LOWER(TRIM($F475&amp;""))="free",LOWER(TRIM($F475&amp;""))="free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IF(COUNTA($A476:$M476)=0,"",IF(OR(LEFT(LOWER(TRIM($F476&amp;"")),12)="subscription",LOWER(TRIM($F476&amp;""))="membership"),"",IF($G476="","",IF(ISNUMBER(SEARCH("non",LOWER($E476&amp;""))),$G476*0.85,$G476))))</x:f>
      </x:c>
      <x:c r="O476" s="987" t="str">
        <x:f>IF(COUNTA($A476:$M476)=0,"",IF(OR(LEFT(LOWER(TRIM($F476&amp;"")),12)="subscription",LOWER(TRIM($F476&amp;""))="membership"),"",IF(OR($N476="",$I476="",$I476=0),"",IFERROR($N476/$I476,""))))</x:f>
      </x:c>
      <x:c r="P476" s="987" t="str">
        <x:f>IF(COUNTA($A476:$M476)=0,"",IF(OR(LEFT(LOWER(TRIM($F476&amp;"")),12)="subscription",LOWER(TRIM($F476&amp;""))="membership"),"",IF(LOWER($L476&amp;"")="yes",0,IF(OR(AND($H476&lt;&gt;"",$H476=0),LEFT(LOWER(TRIM($F476&amp;"")),9)="free game",LOWER(TRIM($F476&amp;""))="free",LOWER(TRIM($F476&amp;""))="free entry"),IF(LOWER($D476&amp;"")="finalized",IF(ISNUMBER($K476),$K476,""),IF($O476&lt;&gt;"",$O476,"")),IF($K476&lt;&gt;"",$K476,IF($O476&lt;&gt;"",$O476,""))))))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IF(COUNTA($A476:$M476)=0,"",IF(OR(LEFT(LOWER(TRIM($F476&amp;"")),12)="subscription",LOWER(TRIM($F476&amp;""))="membership"),"Subscription",IF(OR(AND($H476&lt;&gt;"",$H476=0),LEFT(LOWER(TRIM($F476&amp;"")),9)="free game",LOWER(TRIM($F476&amp;""))="free",LOWER(TRIM($F476&amp;""))="free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IF(COUNTA($A477:$M477)=0,"",IF(OR(LEFT(LOWER(TRIM($F477&amp;"")),12)="subscription",LOWER(TRIM($F477&amp;""))="membership"),"",IF($G477="","",IF(ISNUMBER(SEARCH("non",LOWER($E477&amp;""))),$G477*0.85,$G477))))</x:f>
      </x:c>
      <x:c r="O477" s="987" t="str">
        <x:f>IF(COUNTA($A477:$M477)=0,"",IF(OR(LEFT(LOWER(TRIM($F477&amp;"")),12)="subscription",LOWER(TRIM($F477&amp;""))="membership"),"",IF(OR($N477="",$I477="",$I477=0),"",IFERROR($N477/$I477,""))))</x:f>
      </x:c>
      <x:c r="P477" s="987" t="str">
        <x:f>IF(COUNTA($A477:$M477)=0,"",IF(OR(LEFT(LOWER(TRIM($F477&amp;"")),12)="subscription",LOWER(TRIM($F477&amp;""))="membership"),"",IF(LOWER($L477&amp;"")="yes",0,IF(OR(AND($H477&lt;&gt;"",$H477=0),LEFT(LOWER(TRIM($F477&amp;"")),9)="free game",LOWER(TRIM($F477&amp;""))="free",LOWER(TRIM($F477&amp;""))="free entry"),IF(LOWER($D477&amp;"")="finalized",IF(ISNUMBER($K477),$K477,""),IF($O477&lt;&gt;"",$O477,"")),IF($K477&lt;&gt;"",$K477,IF($O477&lt;&gt;"",$O477,""))))))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IF(COUNTA($A477:$M477)=0,"",IF(OR(LEFT(LOWER(TRIM($F477&amp;"")),12)="subscription",LOWER(TRIM($F477&amp;""))="membership"),"Subscription",IF(OR(AND($H477&lt;&gt;"",$H477=0),LEFT(LOWER(TRIM($F477&amp;"")),9)="free game",LOWER(TRIM($F477&amp;""))="free",LOWER(TRIM($F477&amp;""))="free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IF(COUNTA($A478:$M478)=0,"",IF(OR(LEFT(LOWER(TRIM($F478&amp;"")),12)="subscription",LOWER(TRIM($F478&amp;""))="membership"),"",IF($G478="","",IF(ISNUMBER(SEARCH("non",LOWER($E478&amp;""))),$G478*0.85,$G478))))</x:f>
      </x:c>
      <x:c r="O478" s="987" t="str">
        <x:f>IF(COUNTA($A478:$M478)=0,"",IF(OR(LEFT(LOWER(TRIM($F478&amp;"")),12)="subscription",LOWER(TRIM($F478&amp;""))="membership"),"",IF(OR($N478="",$I478="",$I478=0),"",IFERROR($N478/$I478,""))))</x:f>
      </x:c>
      <x:c r="P478" s="987" t="str">
        <x:f>IF(COUNTA($A478:$M478)=0,"",IF(OR(LEFT(LOWER(TRIM($F478&amp;"")),12)="subscription",LOWER(TRIM($F478&amp;""))="membership"),"",IF(LOWER($L478&amp;"")="yes",0,IF(OR(AND($H478&lt;&gt;"",$H478=0),LEFT(LOWER(TRIM($F478&amp;"")),9)="free game",LOWER(TRIM($F478&amp;""))="free",LOWER(TRIM($F478&amp;""))="free entry"),IF(LOWER($D478&amp;"")="finalized",IF(ISNUMBER($K478),$K478,""),IF($O478&lt;&gt;"",$O478,"")),IF($K478&lt;&gt;"",$K478,IF($O478&lt;&gt;"",$O478,""))))))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IF(COUNTA($A478:$M478)=0,"",IF(OR(LEFT(LOWER(TRIM($F478&amp;"")),12)="subscription",LOWER(TRIM($F478&amp;""))="membership"),"Subscription",IF(OR(AND($H478&lt;&gt;"",$H478=0),LEFT(LOWER(TRIM($F478&amp;"")),9)="free game",LOWER(TRIM($F478&amp;""))="free",LOWER(TRIM($F478&amp;""))="free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IF(COUNTA($A479:$M479)=0,"",IF(OR(LEFT(LOWER(TRIM($F479&amp;"")),12)="subscription",LOWER(TRIM($F479&amp;""))="membership"),"",IF($G479="","",IF(ISNUMBER(SEARCH("non",LOWER($E479&amp;""))),$G479*0.85,$G479))))</x:f>
      </x:c>
      <x:c r="O479" s="987" t="str">
        <x:f>IF(COUNTA($A479:$M479)=0,"",IF(OR(LEFT(LOWER(TRIM($F479&amp;"")),12)="subscription",LOWER(TRIM($F479&amp;""))="membership"),"",IF(OR($N479="",$I479="",$I479=0),"",IFERROR($N479/$I479,""))))</x:f>
      </x:c>
      <x:c r="P479" s="987" t="str">
        <x:f>IF(COUNTA($A479:$M479)=0,"",IF(OR(LEFT(LOWER(TRIM($F479&amp;"")),12)="subscription",LOWER(TRIM($F479&amp;""))="membership"),"",IF(LOWER($L479&amp;"")="yes",0,IF(OR(AND($H479&lt;&gt;"",$H479=0),LEFT(LOWER(TRIM($F479&amp;"")),9)="free game",LOWER(TRIM($F479&amp;""))="free",LOWER(TRIM($F479&amp;""))="free entry"),IF(LOWER($D479&amp;"")="finalized",IF(ISNUMBER($K479),$K479,""),IF($O479&lt;&gt;"",$O479,"")),IF($K479&lt;&gt;"",$K479,IF($O479&lt;&gt;"",$O479,""))))))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IF(COUNTA($A479:$M479)=0,"",IF(OR(LEFT(LOWER(TRIM($F479&amp;"")),12)="subscription",LOWER(TRIM($F479&amp;""))="membership"),"Subscription",IF(OR(AND($H479&lt;&gt;"",$H479=0),LEFT(LOWER(TRIM($F479&amp;"")),9)="free game",LOWER(TRIM($F479&amp;""))="free",LOWER(TRIM($F479&amp;""))="free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IF(COUNTA($A480:$M480)=0,"",IF(OR(LEFT(LOWER(TRIM($F480&amp;"")),12)="subscription",LOWER(TRIM($F480&amp;""))="membership"),"",IF($G480="","",IF(ISNUMBER(SEARCH("non",LOWER($E480&amp;""))),$G480*0.85,$G480))))</x:f>
      </x:c>
      <x:c r="O480" s="987" t="str">
        <x:f>IF(COUNTA($A480:$M480)=0,"",IF(OR(LEFT(LOWER(TRIM($F480&amp;"")),12)="subscription",LOWER(TRIM($F480&amp;""))="membership"),"",IF(OR($N480="",$I480="",$I480=0),"",IFERROR($N480/$I480,""))))</x:f>
      </x:c>
      <x:c r="P480" s="987" t="str">
        <x:f>IF(COUNTA($A480:$M480)=0,"",IF(OR(LEFT(LOWER(TRIM($F480&amp;"")),12)="subscription",LOWER(TRIM($F480&amp;""))="membership"),"",IF(LOWER($L480&amp;"")="yes",0,IF(OR(AND($H480&lt;&gt;"",$H480=0),LEFT(LOWER(TRIM($F480&amp;"")),9)="free game",LOWER(TRIM($F480&amp;""))="free",LOWER(TRIM($F480&amp;""))="free entry"),IF(LOWER($D480&amp;"")="finalized",IF(ISNUMBER($K480),$K480,""),IF($O480&lt;&gt;"",$O480,"")),IF($K480&lt;&gt;"",$K480,IF($O480&lt;&gt;"",$O480,""))))))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IF(COUNTA($A480:$M480)=0,"",IF(OR(LEFT(LOWER(TRIM($F480&amp;"")),12)="subscription",LOWER(TRIM($F480&amp;""))="membership"),"Subscription",IF(OR(AND($H480&lt;&gt;"",$H480=0),LEFT(LOWER(TRIM($F480&amp;"")),9)="free game",LOWER(TRIM($F480&amp;""))="free",LOWER(TRIM($F480&amp;""))="free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IF(COUNTA($A481:$M481)=0,"",IF(OR(LEFT(LOWER(TRIM($F481&amp;"")),12)="subscription",LOWER(TRIM($F481&amp;""))="membership"),"",IF($G481="","",IF(ISNUMBER(SEARCH("non",LOWER($E481&amp;""))),$G481*0.85,$G481))))</x:f>
      </x:c>
      <x:c r="O481" s="987" t="str">
        <x:f>IF(COUNTA($A481:$M481)=0,"",IF(OR(LEFT(LOWER(TRIM($F481&amp;"")),12)="subscription",LOWER(TRIM($F481&amp;""))="membership"),"",IF(OR($N481="",$I481="",$I481=0),"",IFERROR($N481/$I481,""))))</x:f>
      </x:c>
      <x:c r="P481" s="987" t="str">
        <x:f>IF(COUNTA($A481:$M481)=0,"",IF(OR(LEFT(LOWER(TRIM($F481&amp;"")),12)="subscription",LOWER(TRIM($F481&amp;""))="membership"),"",IF(LOWER($L481&amp;"")="yes",0,IF(OR(AND($H481&lt;&gt;"",$H481=0),LEFT(LOWER(TRIM($F481&amp;"")),9)="free game",LOWER(TRIM($F481&amp;""))="free",LOWER(TRIM($F481&amp;""))="free entry"),IF(LOWER($D481&amp;"")="finalized",IF(ISNUMBER($K481),$K481,""),IF($O481&lt;&gt;"",$O481,"")),IF($K481&lt;&gt;"",$K481,IF($O481&lt;&gt;"",$O481,""))))))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IF(COUNTA($A481:$M481)=0,"",IF(OR(LEFT(LOWER(TRIM($F481&amp;"")),12)="subscription",LOWER(TRIM($F481&amp;""))="membership"),"Subscription",IF(OR(AND($H481&lt;&gt;"",$H481=0),LEFT(LOWER(TRIM($F481&amp;"")),9)="free game",LOWER(TRIM($F481&amp;""))="free",LOWER(TRIM($F481&amp;""))="free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IF(COUNTA($A482:$M482)=0,"",IF(OR(LEFT(LOWER(TRIM($F482&amp;"")),12)="subscription",LOWER(TRIM($F482&amp;""))="membership"),"",IF($G482="","",IF(ISNUMBER(SEARCH("non",LOWER($E482&amp;""))),$G482*0.85,$G482))))</x:f>
      </x:c>
      <x:c r="O482" s="987" t="str">
        <x:f>IF(COUNTA($A482:$M482)=0,"",IF(OR(LEFT(LOWER(TRIM($F482&amp;"")),12)="subscription",LOWER(TRIM($F482&amp;""))="membership"),"",IF(OR($N482="",$I482="",$I482=0),"",IFERROR($N482/$I482,""))))</x:f>
      </x:c>
      <x:c r="P482" s="987" t="str">
        <x:f>IF(COUNTA($A482:$M482)=0,"",IF(OR(LEFT(LOWER(TRIM($F482&amp;"")),12)="subscription",LOWER(TRIM($F482&amp;""))="membership"),"",IF(LOWER($L482&amp;"")="yes",0,IF(OR(AND($H482&lt;&gt;"",$H482=0),LEFT(LOWER(TRIM($F482&amp;"")),9)="free game",LOWER(TRIM($F482&amp;""))="free",LOWER(TRIM($F482&amp;""))="free entry"),IF(LOWER($D482&amp;"")="finalized",IF(ISNUMBER($K482),$K482,""),IF($O482&lt;&gt;"",$O482,"")),IF($K482&lt;&gt;"",$K482,IF($O482&lt;&gt;"",$O482,""))))))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IF(COUNTA($A482:$M482)=0,"",IF(OR(LEFT(LOWER(TRIM($F482&amp;"")),12)="subscription",LOWER(TRIM($F482&amp;""))="membership"),"Subscription",IF(OR(AND($H482&lt;&gt;"",$H482=0),LEFT(LOWER(TRIM($F482&amp;"")),9)="free game",LOWER(TRIM($F482&amp;""))="free",LOWER(TRIM($F482&amp;""))="free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IF(COUNTA($A483:$M483)=0,"",IF(OR(LEFT(LOWER(TRIM($F483&amp;"")),12)="subscription",LOWER(TRIM($F483&amp;""))="membership"),"",IF($G483="","",IF(ISNUMBER(SEARCH("non",LOWER($E483&amp;""))),$G483*0.85,$G483))))</x:f>
      </x:c>
      <x:c r="O483" s="987" t="str">
        <x:f>IF(COUNTA($A483:$M483)=0,"",IF(OR(LEFT(LOWER(TRIM($F483&amp;"")),12)="subscription",LOWER(TRIM($F483&amp;""))="membership"),"",IF(OR($N483="",$I483="",$I483=0),"",IFERROR($N483/$I483,""))))</x:f>
      </x:c>
      <x:c r="P483" s="987" t="str">
        <x:f>IF(COUNTA($A483:$M483)=0,"",IF(OR(LEFT(LOWER(TRIM($F483&amp;"")),12)="subscription",LOWER(TRIM($F483&amp;""))="membership"),"",IF(LOWER($L483&amp;"")="yes",0,IF(OR(AND($H483&lt;&gt;"",$H483=0),LEFT(LOWER(TRIM($F483&amp;"")),9)="free game",LOWER(TRIM($F483&amp;""))="free",LOWER(TRIM($F483&amp;""))="free entry"),IF(LOWER($D483&amp;"")="finalized",IF(ISNUMBER($K483),$K483,""),IF($O483&lt;&gt;"",$O483,"")),IF($K483&lt;&gt;"",$K483,IF($O483&lt;&gt;"",$O483,""))))))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IF(COUNTA($A483:$M483)=0,"",IF(OR(LEFT(LOWER(TRIM($F483&amp;"")),12)="subscription",LOWER(TRIM($F483&amp;""))="membership"),"Subscription",IF(OR(AND($H483&lt;&gt;"",$H483=0),LEFT(LOWER(TRIM($F483&amp;"")),9)="free game",LOWER(TRIM($F483&amp;""))="free",LOWER(TRIM($F483&amp;""))="free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IF(COUNTA($A484:$M484)=0,"",IF(OR(LEFT(LOWER(TRIM($F484&amp;"")),12)="subscription",LOWER(TRIM($F484&amp;""))="membership"),"",IF($G484="","",IF(ISNUMBER(SEARCH("non",LOWER($E484&amp;""))),$G484*0.85,$G484))))</x:f>
      </x:c>
      <x:c r="O484" s="987" t="str">
        <x:f>IF(COUNTA($A484:$M484)=0,"",IF(OR(LEFT(LOWER(TRIM($F484&amp;"")),12)="subscription",LOWER(TRIM($F484&amp;""))="membership"),"",IF(OR($N484="",$I484="",$I484=0),"",IFERROR($N484/$I484,""))))</x:f>
      </x:c>
      <x:c r="P484" s="987" t="str">
        <x:f>IF(COUNTA($A484:$M484)=0,"",IF(OR(LEFT(LOWER(TRIM($F484&amp;"")),12)="subscription",LOWER(TRIM($F484&amp;""))="membership"),"",IF(LOWER($L484&amp;"")="yes",0,IF(OR(AND($H484&lt;&gt;"",$H484=0),LEFT(LOWER(TRIM($F484&amp;"")),9)="free game",LOWER(TRIM($F484&amp;""))="free",LOWER(TRIM($F484&amp;""))="free entry"),IF(LOWER($D484&amp;"")="finalized",IF(ISNUMBER($K484),$K484,""),IF($O484&lt;&gt;"",$O484,"")),IF($K484&lt;&gt;"",$K484,IF($O484&lt;&gt;"",$O484,""))))))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IF(COUNTA($A484:$M484)=0,"",IF(OR(LEFT(LOWER(TRIM($F484&amp;"")),12)="subscription",LOWER(TRIM($F484&amp;""))="membership"),"Subscription",IF(OR(AND($H484&lt;&gt;"",$H484=0),LEFT(LOWER(TRIM($F484&amp;"")),9)="free game",LOWER(TRIM($F484&amp;""))="free",LOWER(TRIM($F484&amp;""))="free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IF(COUNTA($A485:$M485)=0,"",IF(OR(LEFT(LOWER(TRIM($F485&amp;"")),12)="subscription",LOWER(TRIM($F485&amp;""))="membership"),"",IF($G485="","",IF(ISNUMBER(SEARCH("non",LOWER($E485&amp;""))),$G485*0.85,$G485))))</x:f>
      </x:c>
      <x:c r="O485" s="987" t="str">
        <x:f>IF(COUNTA($A485:$M485)=0,"",IF(OR(LEFT(LOWER(TRIM($F485&amp;"")),12)="subscription",LOWER(TRIM($F485&amp;""))="membership"),"",IF(OR($N485="",$I485="",$I485=0),"",IFERROR($N485/$I485,""))))</x:f>
      </x:c>
      <x:c r="P485" s="987" t="str">
        <x:f>IF(COUNTA($A485:$M485)=0,"",IF(OR(LEFT(LOWER(TRIM($F485&amp;"")),12)="subscription",LOWER(TRIM($F485&amp;""))="membership"),"",IF(LOWER($L485&amp;"")="yes",0,IF(OR(AND($H485&lt;&gt;"",$H485=0),LEFT(LOWER(TRIM($F485&amp;"")),9)="free game",LOWER(TRIM($F485&amp;""))="free",LOWER(TRIM($F485&amp;""))="free entry"),IF(LOWER($D485&amp;"")="finalized",IF(ISNUMBER($K485),$K485,""),IF($O485&lt;&gt;"",$O485,"")),IF($K485&lt;&gt;"",$K485,IF($O485&lt;&gt;"",$O485,""))))))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IF(COUNTA($A485:$M485)=0,"",IF(OR(LEFT(LOWER(TRIM($F485&amp;"")),12)="subscription",LOWER(TRIM($F485&amp;""))="membership"),"Subscription",IF(OR(AND($H485&lt;&gt;"",$H485=0),LEFT(LOWER(TRIM($F485&amp;"")),9)="free game",LOWER(TRIM($F485&amp;""))="free",LOWER(TRIM($F485&amp;""))="free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IF(COUNTA($A486:$M486)=0,"",IF(OR(LEFT(LOWER(TRIM($F486&amp;"")),12)="subscription",LOWER(TRIM($F486&amp;""))="membership"),"",IF($G486="","",IF(ISNUMBER(SEARCH("non",LOWER($E486&amp;""))),$G486*0.85,$G486))))</x:f>
      </x:c>
      <x:c r="O486" s="987" t="str">
        <x:f>IF(COUNTA($A486:$M486)=0,"",IF(OR(LEFT(LOWER(TRIM($F486&amp;"")),12)="subscription",LOWER(TRIM($F486&amp;""))="membership"),"",IF(OR($N486="",$I486="",$I486=0),"",IFERROR($N486/$I486,""))))</x:f>
      </x:c>
      <x:c r="P486" s="987" t="str">
        <x:f>IF(COUNTA($A486:$M486)=0,"",IF(OR(LEFT(LOWER(TRIM($F486&amp;"")),12)="subscription",LOWER(TRIM($F486&amp;""))="membership"),"",IF(LOWER($L486&amp;"")="yes",0,IF(OR(AND($H486&lt;&gt;"",$H486=0),LEFT(LOWER(TRIM($F486&amp;"")),9)="free game",LOWER(TRIM($F486&amp;""))="free",LOWER(TRIM($F486&amp;""))="free entry"),IF(LOWER($D486&amp;"")="finalized",IF(ISNUMBER($K486),$K486,""),IF($O486&lt;&gt;"",$O486,"")),IF($K486&lt;&gt;"",$K486,IF($O486&lt;&gt;"",$O486,""))))))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IF(COUNTA($A486:$M486)=0,"",IF(OR(LEFT(LOWER(TRIM($F486&amp;"")),12)="subscription",LOWER(TRIM($F486&amp;""))="membership"),"Subscription",IF(OR(AND($H486&lt;&gt;"",$H486=0),LEFT(LOWER(TRIM($F486&amp;"")),9)="free game",LOWER(TRIM($F486&amp;""))="free",LOWER(TRIM($F486&amp;""))="free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IF(COUNTA($A487:$M487)=0,"",IF(OR(LEFT(LOWER(TRIM($F487&amp;"")),12)="subscription",LOWER(TRIM($F487&amp;""))="membership"),"",IF($G487="","",IF(ISNUMBER(SEARCH("non",LOWER($E487&amp;""))),$G487*0.85,$G487))))</x:f>
      </x:c>
      <x:c r="O487" s="987" t="str">
        <x:f>IF(COUNTA($A487:$M487)=0,"",IF(OR(LEFT(LOWER(TRIM($F487&amp;"")),12)="subscription",LOWER(TRIM($F487&amp;""))="membership"),"",IF(OR($N487="",$I487="",$I487=0),"",IFERROR($N487/$I487,""))))</x:f>
      </x:c>
      <x:c r="P487" s="987" t="str">
        <x:f>IF(COUNTA($A487:$M487)=0,"",IF(OR(LEFT(LOWER(TRIM($F487&amp;"")),12)="subscription",LOWER(TRIM($F487&amp;""))="membership"),"",IF(LOWER($L487&amp;"")="yes",0,IF(OR(AND($H487&lt;&gt;"",$H487=0),LEFT(LOWER(TRIM($F487&amp;"")),9)="free game",LOWER(TRIM($F487&amp;""))="free",LOWER(TRIM($F487&amp;""))="free entry"),IF(LOWER($D487&amp;"")="finalized",IF(ISNUMBER($K487),$K487,""),IF($O487&lt;&gt;"",$O487,"")),IF($K487&lt;&gt;"",$K487,IF($O487&lt;&gt;"",$O487,""))))))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IF(COUNTA($A487:$M487)=0,"",IF(OR(LEFT(LOWER(TRIM($F487&amp;"")),12)="subscription",LOWER(TRIM($F487&amp;""))="membership"),"Subscription",IF(OR(AND($H487&lt;&gt;"",$H487=0),LEFT(LOWER(TRIM($F487&amp;"")),9)="free game",LOWER(TRIM($F487&amp;""))="free",LOWER(TRIM($F487&amp;""))="free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IF(COUNTA($A488:$M488)=0,"",IF(OR(LEFT(LOWER(TRIM($F488&amp;"")),12)="subscription",LOWER(TRIM($F488&amp;""))="membership"),"",IF($G488="","",IF(ISNUMBER(SEARCH("non",LOWER($E488&amp;""))),$G488*0.85,$G488))))</x:f>
      </x:c>
      <x:c r="O488" s="987" t="str">
        <x:f>IF(COUNTA($A488:$M488)=0,"",IF(OR(LEFT(LOWER(TRIM($F488&amp;"")),12)="subscription",LOWER(TRIM($F488&amp;""))="membership"),"",IF(OR($N488="",$I488="",$I488=0),"",IFERROR($N488/$I488,""))))</x:f>
      </x:c>
      <x:c r="P488" s="987" t="str">
        <x:f>IF(COUNTA($A488:$M488)=0,"",IF(OR(LEFT(LOWER(TRIM($F488&amp;"")),12)="subscription",LOWER(TRIM($F488&amp;""))="membership"),"",IF(LOWER($L488&amp;"")="yes",0,IF(OR(AND($H488&lt;&gt;"",$H488=0),LEFT(LOWER(TRIM($F488&amp;"")),9)="free game",LOWER(TRIM($F488&amp;""))="free",LOWER(TRIM($F488&amp;""))="free entry"),IF(LOWER($D488&amp;"")="finalized",IF(ISNUMBER($K488),$K488,""),IF($O488&lt;&gt;"",$O488,"")),IF($K488&lt;&gt;"",$K488,IF($O488&lt;&gt;"",$O488,""))))))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IF(COUNTA($A488:$M488)=0,"",IF(OR(LEFT(LOWER(TRIM($F488&amp;"")),12)="subscription",LOWER(TRIM($F488&amp;""))="membership"),"Subscription",IF(OR(AND($H488&lt;&gt;"",$H488=0),LEFT(LOWER(TRIM($F488&amp;"")),9)="free game",LOWER(TRIM($F488&amp;""))="free",LOWER(TRIM($F488&amp;""))="free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IF(COUNTA($A489:$M489)=0,"",IF(OR(LEFT(LOWER(TRIM($F489&amp;"")),12)="subscription",LOWER(TRIM($F489&amp;""))="membership"),"",IF($G489="","",IF(ISNUMBER(SEARCH("non",LOWER($E489&amp;""))),$G489*0.85,$G489))))</x:f>
      </x:c>
      <x:c r="O489" s="987" t="str">
        <x:f>IF(COUNTA($A489:$M489)=0,"",IF(OR(LEFT(LOWER(TRIM($F489&amp;"")),12)="subscription",LOWER(TRIM($F489&amp;""))="membership"),"",IF(OR($N489="",$I489="",$I489=0),"",IFERROR($N489/$I489,""))))</x:f>
      </x:c>
      <x:c r="P489" s="987" t="str">
        <x:f>IF(COUNTA($A489:$M489)=0,"",IF(OR(LEFT(LOWER(TRIM($F489&amp;"")),12)="subscription",LOWER(TRIM($F489&amp;""))="membership"),"",IF(LOWER($L489&amp;"")="yes",0,IF(OR(AND($H489&lt;&gt;"",$H489=0),LEFT(LOWER(TRIM($F489&amp;"")),9)="free game",LOWER(TRIM($F489&amp;""))="free",LOWER(TRIM($F489&amp;""))="free entry"),IF(LOWER($D489&amp;"")="finalized",IF(ISNUMBER($K489),$K489,""),IF($O489&lt;&gt;"",$O489,"")),IF($K489&lt;&gt;"",$K489,IF($O489&lt;&gt;"",$O489,""))))))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IF(COUNTA($A489:$M489)=0,"",IF(OR(LEFT(LOWER(TRIM($F489&amp;"")),12)="subscription",LOWER(TRIM($F489&amp;""))="membership"),"Subscription",IF(OR(AND($H489&lt;&gt;"",$H489=0),LEFT(LOWER(TRIM($F489&amp;"")),9)="free game",LOWER(TRIM($F489&amp;""))="free",LOWER(TRIM($F489&amp;""))="free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IF(COUNTA($A490:$M490)=0,"",IF(OR(LEFT(LOWER(TRIM($F490&amp;"")),12)="subscription",LOWER(TRIM($F490&amp;""))="membership"),"",IF($G490="","",IF(ISNUMBER(SEARCH("non",LOWER($E490&amp;""))),$G490*0.85,$G490))))</x:f>
      </x:c>
      <x:c r="O490" s="987" t="str">
        <x:f>IF(COUNTA($A490:$M490)=0,"",IF(OR(LEFT(LOWER(TRIM($F490&amp;"")),12)="subscription",LOWER(TRIM($F490&amp;""))="membership"),"",IF(OR($N490="",$I490="",$I490=0),"",IFERROR($N490/$I490,""))))</x:f>
      </x:c>
      <x:c r="P490" s="987" t="str">
        <x:f>IF(COUNTA($A490:$M490)=0,"",IF(OR(LEFT(LOWER(TRIM($F490&amp;"")),12)="subscription",LOWER(TRIM($F490&amp;""))="membership"),"",IF(LOWER($L490&amp;"")="yes",0,IF(OR(AND($H490&lt;&gt;"",$H490=0),LEFT(LOWER(TRIM($F490&amp;"")),9)="free game",LOWER(TRIM($F490&amp;""))="free",LOWER(TRIM($F490&amp;""))="free entry"),IF(LOWER($D490&amp;"")="finalized",IF(ISNUMBER($K490),$K490,""),IF($O490&lt;&gt;"",$O490,"")),IF($K490&lt;&gt;"",$K490,IF($O490&lt;&gt;"",$O490,""))))))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IF(COUNTA($A490:$M490)=0,"",IF(OR(LEFT(LOWER(TRIM($F490&amp;"")),12)="subscription",LOWER(TRIM($F490&amp;""))="membership"),"Subscription",IF(OR(AND($H490&lt;&gt;"",$H490=0),LEFT(LOWER(TRIM($F490&amp;"")),9)="free game",LOWER(TRIM($F490&amp;""))="free",LOWER(TRIM($F490&amp;""))="free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IF(COUNTA($A491:$M491)=0,"",IF(OR(LEFT(LOWER(TRIM($F491&amp;"")),12)="subscription",LOWER(TRIM($F491&amp;""))="membership"),"",IF($G491="","",IF(ISNUMBER(SEARCH("non",LOWER($E491&amp;""))),$G491*0.85,$G491))))</x:f>
      </x:c>
      <x:c r="O491" s="987" t="str">
        <x:f>IF(COUNTA($A491:$M491)=0,"",IF(OR(LEFT(LOWER(TRIM($F491&amp;"")),12)="subscription",LOWER(TRIM($F491&amp;""))="membership"),"",IF(OR($N491="",$I491="",$I491=0),"",IFERROR($N491/$I491,""))))</x:f>
      </x:c>
      <x:c r="P491" s="987" t="str">
        <x:f>IF(COUNTA($A491:$M491)=0,"",IF(OR(LEFT(LOWER(TRIM($F491&amp;"")),12)="subscription",LOWER(TRIM($F491&amp;""))="membership"),"",IF(LOWER($L491&amp;"")="yes",0,IF(OR(AND($H491&lt;&gt;"",$H491=0),LEFT(LOWER(TRIM($F491&amp;"")),9)="free game",LOWER(TRIM($F491&amp;""))="free",LOWER(TRIM($F491&amp;""))="free entry"),IF(LOWER($D491&amp;"")="finalized",IF(ISNUMBER($K491),$K491,""),IF($O491&lt;&gt;"",$O491,"")),IF($K491&lt;&gt;"",$K491,IF($O491&lt;&gt;"",$O491,""))))))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IF(COUNTA($A491:$M491)=0,"",IF(OR(LEFT(LOWER(TRIM($F491&amp;"")),12)="subscription",LOWER(TRIM($F491&amp;""))="membership"),"Subscription",IF(OR(AND($H491&lt;&gt;"",$H491=0),LEFT(LOWER(TRIM($F491&amp;"")),9)="free game",LOWER(TRIM($F491&amp;""))="free",LOWER(TRIM($F491&amp;""))="free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IF(COUNTA($A492:$M492)=0,"",IF(OR(LEFT(LOWER(TRIM($F492&amp;"")),12)="subscription",LOWER(TRIM($F492&amp;""))="membership"),"",IF($G492="","",IF(ISNUMBER(SEARCH("non",LOWER($E492&amp;""))),$G492*0.85,$G492))))</x:f>
      </x:c>
      <x:c r="O492" s="987" t="str">
        <x:f>IF(COUNTA($A492:$M492)=0,"",IF(OR(LEFT(LOWER(TRIM($F492&amp;"")),12)="subscription",LOWER(TRIM($F492&amp;""))="membership"),"",IF(OR($N492="",$I492="",$I492=0),"",IFERROR($N492/$I492,""))))</x:f>
      </x:c>
      <x:c r="P492" s="987" t="str">
        <x:f>IF(COUNTA($A492:$M492)=0,"",IF(OR(LEFT(LOWER(TRIM($F492&amp;"")),12)="subscription",LOWER(TRIM($F492&amp;""))="membership"),"",IF(LOWER($L492&amp;"")="yes",0,IF(OR(AND($H492&lt;&gt;"",$H492=0),LEFT(LOWER(TRIM($F492&amp;"")),9)="free game",LOWER(TRIM($F492&amp;""))="free",LOWER(TRIM($F492&amp;""))="free entry"),IF(LOWER($D492&amp;"")="finalized",IF(ISNUMBER($K492),$K492,""),IF($O492&lt;&gt;"",$O492,"")),IF($K492&lt;&gt;"",$K492,IF($O492&lt;&gt;"",$O492,""))))))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IF(COUNTA($A492:$M492)=0,"",IF(OR(LEFT(LOWER(TRIM($F492&amp;"")),12)="subscription",LOWER(TRIM($F492&amp;""))="membership"),"Subscription",IF(OR(AND($H492&lt;&gt;"",$H492=0),LEFT(LOWER(TRIM($F492&amp;"")),9)="free game",LOWER(TRIM($F492&amp;""))="free",LOWER(TRIM($F492&amp;""))="free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IF(COUNTA($A493:$M493)=0,"",IF(OR(LEFT(LOWER(TRIM($F493&amp;"")),12)="subscription",LOWER(TRIM($F493&amp;""))="membership"),"",IF($G493="","",IF(ISNUMBER(SEARCH("non",LOWER($E493&amp;""))),$G493*0.85,$G493))))</x:f>
      </x:c>
      <x:c r="O493" s="987" t="str">
        <x:f>IF(COUNTA($A493:$M493)=0,"",IF(OR(LEFT(LOWER(TRIM($F493&amp;"")),12)="subscription",LOWER(TRIM($F493&amp;""))="membership"),"",IF(OR($N493="",$I493="",$I493=0),"",IFERROR($N493/$I493,""))))</x:f>
      </x:c>
      <x:c r="P493" s="987" t="str">
        <x:f>IF(COUNTA($A493:$M493)=0,"",IF(OR(LEFT(LOWER(TRIM($F493&amp;"")),12)="subscription",LOWER(TRIM($F493&amp;""))="membership"),"",IF(LOWER($L493&amp;"")="yes",0,IF(OR(AND($H493&lt;&gt;"",$H493=0),LEFT(LOWER(TRIM($F493&amp;"")),9)="free game",LOWER(TRIM($F493&amp;""))="free",LOWER(TRIM($F493&amp;""))="free entry"),IF(LOWER($D493&amp;"")="finalized",IF(ISNUMBER($K493),$K493,""),IF($O493&lt;&gt;"",$O493,"")),IF($K493&lt;&gt;"",$K493,IF($O493&lt;&gt;"",$O493,""))))))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IF(COUNTA($A493:$M493)=0,"",IF(OR(LEFT(LOWER(TRIM($F493&amp;"")),12)="subscription",LOWER(TRIM($F493&amp;""))="membership"),"Subscription",IF(OR(AND($H493&lt;&gt;"",$H493=0),LEFT(LOWER(TRIM($F493&amp;"")),9)="free game",LOWER(TRIM($F493&amp;""))="free",LOWER(TRIM($F493&amp;""))="free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IF(COUNTA($A494:$M494)=0,"",IF(OR(LEFT(LOWER(TRIM($F494&amp;"")),12)="subscription",LOWER(TRIM($F494&amp;""))="membership"),"",IF($G494="","",IF(ISNUMBER(SEARCH("non",LOWER($E494&amp;""))),$G494*0.85,$G494))))</x:f>
      </x:c>
      <x:c r="O494" s="987" t="str">
        <x:f>IF(COUNTA($A494:$M494)=0,"",IF(OR(LEFT(LOWER(TRIM($F494&amp;"")),12)="subscription",LOWER(TRIM($F494&amp;""))="membership"),"",IF(OR($N494="",$I494="",$I494=0),"",IFERROR($N494/$I494,""))))</x:f>
      </x:c>
      <x:c r="P494" s="987" t="str">
        <x:f>IF(COUNTA($A494:$M494)=0,"",IF(OR(LEFT(LOWER(TRIM($F494&amp;"")),12)="subscription",LOWER(TRIM($F494&amp;""))="membership"),"",IF(LOWER($L494&amp;"")="yes",0,IF(OR(AND($H494&lt;&gt;"",$H494=0),LEFT(LOWER(TRIM($F494&amp;"")),9)="free game",LOWER(TRIM($F494&amp;""))="free",LOWER(TRIM($F494&amp;""))="free entry"),IF(LOWER($D494&amp;"")="finalized",IF(ISNUMBER($K494),$K494,""),IF($O494&lt;&gt;"",$O494,"")),IF($K494&lt;&gt;"",$K494,IF($O494&lt;&gt;"",$O494,""))))))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IF(COUNTA($A494:$M494)=0,"",IF(OR(LEFT(LOWER(TRIM($F494&amp;"")),12)="subscription",LOWER(TRIM($F494&amp;""))="membership"),"Subscription",IF(OR(AND($H494&lt;&gt;"",$H494=0),LEFT(LOWER(TRIM($F494&amp;"")),9)="free game",LOWER(TRIM($F494&amp;""))="free",LOWER(TRIM($F494&amp;""))="free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IF(COUNTA($A495:$M495)=0,"",IF(OR(LEFT(LOWER(TRIM($F495&amp;"")),12)="subscription",LOWER(TRIM($F495&amp;""))="membership"),"",IF($G495="","",IF(ISNUMBER(SEARCH("non",LOWER($E495&amp;""))),$G495*0.85,$G495))))</x:f>
      </x:c>
      <x:c r="O495" s="987" t="str">
        <x:f>IF(COUNTA($A495:$M495)=0,"",IF(OR(LEFT(LOWER(TRIM($F495&amp;"")),12)="subscription",LOWER(TRIM($F495&amp;""))="membership"),"",IF(OR($N495="",$I495="",$I495=0),"",IFERROR($N495/$I495,""))))</x:f>
      </x:c>
      <x:c r="P495" s="987" t="str">
        <x:f>IF(COUNTA($A495:$M495)=0,"",IF(OR(LEFT(LOWER(TRIM($F495&amp;"")),12)="subscription",LOWER(TRIM($F495&amp;""))="membership"),"",IF(LOWER($L495&amp;"")="yes",0,IF(OR(AND($H495&lt;&gt;"",$H495=0),LEFT(LOWER(TRIM($F495&amp;"")),9)="free game",LOWER(TRIM($F495&amp;""))="free",LOWER(TRIM($F495&amp;""))="free entry"),IF(LOWER($D495&amp;"")="finalized",IF(ISNUMBER($K495),$K495,""),IF($O495&lt;&gt;"",$O495,"")),IF($K495&lt;&gt;"",$K495,IF($O495&lt;&gt;"",$O495,""))))))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IF(COUNTA($A495:$M495)=0,"",IF(OR(LEFT(LOWER(TRIM($F495&amp;"")),12)="subscription",LOWER(TRIM($F495&amp;""))="membership"),"Subscription",IF(OR(AND($H495&lt;&gt;"",$H495=0),LEFT(LOWER(TRIM($F495&amp;"")),9)="free game",LOWER(TRIM($F495&amp;""))="free",LOWER(TRIM($F495&amp;""))="free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IF(COUNTA($A496:$M496)=0,"",IF(OR(LEFT(LOWER(TRIM($F496&amp;"")),12)="subscription",LOWER(TRIM($F496&amp;""))="membership"),"",IF($G496="","",IF(ISNUMBER(SEARCH("non",LOWER($E496&amp;""))),$G496*0.85,$G496))))</x:f>
      </x:c>
      <x:c r="O496" s="987" t="str">
        <x:f>IF(COUNTA($A496:$M496)=0,"",IF(OR(LEFT(LOWER(TRIM($F496&amp;"")),12)="subscription",LOWER(TRIM($F496&amp;""))="membership"),"",IF(OR($N496="",$I496="",$I496=0),"",IFERROR($N496/$I496,""))))</x:f>
      </x:c>
      <x:c r="P496" s="987" t="str">
        <x:f>IF(COUNTA($A496:$M496)=0,"",IF(OR(LEFT(LOWER(TRIM($F496&amp;"")),12)="subscription",LOWER(TRIM($F496&amp;""))="membership"),"",IF(LOWER($L496&amp;"")="yes",0,IF(OR(AND($H496&lt;&gt;"",$H496=0),LEFT(LOWER(TRIM($F496&amp;"")),9)="free game",LOWER(TRIM($F496&amp;""))="free",LOWER(TRIM($F496&amp;""))="free entry"),IF(LOWER($D496&amp;"")="finalized",IF(ISNUMBER($K496),$K496,""),IF($O496&lt;&gt;"",$O496,"")),IF($K496&lt;&gt;"",$K496,IF($O496&lt;&gt;"",$O496,""))))))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IF(COUNTA($A496:$M496)=0,"",IF(OR(LEFT(LOWER(TRIM($F496&amp;"")),12)="subscription",LOWER(TRIM($F496&amp;""))="membership"),"Subscription",IF(OR(AND($H496&lt;&gt;"",$H496=0),LEFT(LOWER(TRIM($F496&amp;"")),9)="free game",LOWER(TRIM($F496&amp;""))="free",LOWER(TRIM($F496&amp;""))="free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IF(COUNTA($A497:$M497)=0,"",IF(OR(LEFT(LOWER(TRIM($F497&amp;"")),12)="subscription",LOWER(TRIM($F497&amp;""))="membership"),"",IF($G497="","",IF(ISNUMBER(SEARCH("non",LOWER($E497&amp;""))),$G497*0.85,$G497))))</x:f>
      </x:c>
      <x:c r="O497" s="987" t="str">
        <x:f>IF(COUNTA($A497:$M497)=0,"",IF(OR(LEFT(LOWER(TRIM($F497&amp;"")),12)="subscription",LOWER(TRIM($F497&amp;""))="membership"),"",IF(OR($N497="",$I497="",$I497=0),"",IFERROR($N497/$I497,""))))</x:f>
      </x:c>
      <x:c r="P497" s="987" t="str">
        <x:f>IF(COUNTA($A497:$M497)=0,"",IF(OR(LEFT(LOWER(TRIM($F497&amp;"")),12)="subscription",LOWER(TRIM($F497&amp;""))="membership"),"",IF(LOWER($L497&amp;"")="yes",0,IF(OR(AND($H497&lt;&gt;"",$H497=0),LEFT(LOWER(TRIM($F497&amp;"")),9)="free game",LOWER(TRIM($F497&amp;""))="free",LOWER(TRIM($F497&amp;""))="free entry"),IF(LOWER($D497&amp;"")="finalized",IF(ISNUMBER($K497),$K497,""),IF($O497&lt;&gt;"",$O497,"")),IF($K497&lt;&gt;"",$K497,IF($O497&lt;&gt;"",$O497,""))))))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IF(COUNTA($A497:$M497)=0,"",IF(OR(LEFT(LOWER(TRIM($F497&amp;"")),12)="subscription",LOWER(TRIM($F497&amp;""))="membership"),"Subscription",IF(OR(AND($H497&lt;&gt;"",$H497=0),LEFT(LOWER(TRIM($F497&amp;"")),9)="free game",LOWER(TRIM($F497&amp;""))="free",LOWER(TRIM($F497&amp;""))="free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IF(COUNTA($A498:$M498)=0,"",IF(OR(LEFT(LOWER(TRIM($F498&amp;"")),12)="subscription",LOWER(TRIM($F498&amp;""))="membership"),"",IF($G498="","",IF(ISNUMBER(SEARCH("non",LOWER($E498&amp;""))),$G498*0.85,$G498))))</x:f>
      </x:c>
      <x:c r="O498" s="987" t="str">
        <x:f>IF(COUNTA($A498:$M498)=0,"",IF(OR(LEFT(LOWER(TRIM($F498&amp;"")),12)="subscription",LOWER(TRIM($F498&amp;""))="membership"),"",IF(OR($N498="",$I498="",$I498=0),"",IFERROR($N498/$I498,""))))</x:f>
      </x:c>
      <x:c r="P498" s="987" t="str">
        <x:f>IF(COUNTA($A498:$M498)=0,"",IF(OR(LEFT(LOWER(TRIM($F498&amp;"")),12)="subscription",LOWER(TRIM($F498&amp;""))="membership"),"",IF(LOWER($L498&amp;"")="yes",0,IF(OR(AND($H498&lt;&gt;"",$H498=0),LEFT(LOWER(TRIM($F498&amp;"")),9)="free game",LOWER(TRIM($F498&amp;""))="free",LOWER(TRIM($F498&amp;""))="free entry"),IF(LOWER($D498&amp;"")="finalized",IF(ISNUMBER($K498),$K498,""),IF($O498&lt;&gt;"",$O498,"")),IF($K498&lt;&gt;"",$K498,IF($O498&lt;&gt;"",$O498,""))))))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IF(COUNTA($A498:$M498)=0,"",IF(OR(LEFT(LOWER(TRIM($F498&amp;"")),12)="subscription",LOWER(TRIM($F498&amp;""))="membership"),"Subscription",IF(OR(AND($H498&lt;&gt;"",$H498=0),LEFT(LOWER(TRIM($F498&amp;"")),9)="free game",LOWER(TRIM($F498&amp;""))="free",LOWER(TRIM($F498&amp;""))="free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IF(COUNTA($A499:$M499)=0,"",IF(OR(LEFT(LOWER(TRIM($F499&amp;"")),12)="subscription",LOWER(TRIM($F499&amp;""))="membership"),"",IF($G499="","",IF(ISNUMBER(SEARCH("non",LOWER($E499&amp;""))),$G499*0.85,$G499))))</x:f>
      </x:c>
      <x:c r="O499" s="987" t="str">
        <x:f>IF(COUNTA($A499:$M499)=0,"",IF(OR(LEFT(LOWER(TRIM($F499&amp;"")),12)="subscription",LOWER(TRIM($F499&amp;""))="membership"),"",IF(OR($N499="",$I499="",$I499=0),"",IFERROR($N499/$I499,""))))</x:f>
      </x:c>
      <x:c r="P499" s="987" t="str">
        <x:f>IF(COUNTA($A499:$M499)=0,"",IF(OR(LEFT(LOWER(TRIM($F499&amp;"")),12)="subscription",LOWER(TRIM($F499&amp;""))="membership"),"",IF(LOWER($L499&amp;"")="yes",0,IF(OR(AND($H499&lt;&gt;"",$H499=0),LEFT(LOWER(TRIM($F499&amp;"")),9)="free game",LOWER(TRIM($F499&amp;""))="free",LOWER(TRIM($F499&amp;""))="free entry"),IF(LOWER($D499&amp;"")="finalized",IF(ISNUMBER($K499),$K499,""),IF($O499&lt;&gt;"",$O499,"")),IF($K499&lt;&gt;"",$K499,IF($O499&lt;&gt;"",$O499,""))))))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IF(COUNTA($A499:$M499)=0,"",IF(OR(LEFT(LOWER(TRIM($F499&amp;"")),12)="subscription",LOWER(TRIM($F499&amp;""))="membership"),"Subscription",IF(OR(AND($H499&lt;&gt;"",$H499=0),LEFT(LOWER(TRIM($F499&amp;"")),9)="free game",LOWER(TRIM($F499&amp;""))="free",LOWER(TRIM($F499&amp;""))="free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IF(COUNTA($A500:$M500)=0,"",IF(OR(LEFT(LOWER(TRIM($F500&amp;"")),12)="subscription",LOWER(TRIM($F500&amp;""))="membership"),"",IF($G500="","",IF(ISNUMBER(SEARCH("non",LOWER($E500&amp;""))),$G500*0.85,$G500))))</x:f>
      </x:c>
      <x:c r="O500" s="987" t="str">
        <x:f>IF(COUNTA($A500:$M500)=0,"",IF(OR(LEFT(LOWER(TRIM($F500&amp;"")),12)="subscription",LOWER(TRIM($F500&amp;""))="membership"),"",IF(OR($N500="",$I500="",$I500=0),"",IFERROR($N500/$I500,""))))</x:f>
      </x:c>
      <x:c r="P500" s="987" t="str">
        <x:f>IF(COUNTA($A500:$M500)=0,"",IF(OR(LEFT(LOWER(TRIM($F500&amp;"")),12)="subscription",LOWER(TRIM($F500&amp;""))="membership"),"",IF(LOWER($L500&amp;"")="yes",0,IF(OR(AND($H500&lt;&gt;"",$H500=0),LEFT(LOWER(TRIM($F500&amp;"")),9)="free game",LOWER(TRIM($F500&amp;""))="free",LOWER(TRIM($F500&amp;""))="free entry"),IF(LOWER($D500&amp;"")="finalized",IF(ISNUMBER($K500),$K500,""),IF($O500&lt;&gt;"",$O500,"")),IF($K500&lt;&gt;"",$K500,IF($O500&lt;&gt;"",$O500,""))))))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IF(COUNTA($A500:$M500)=0,"",IF(OR(LEFT(LOWER(TRIM($F500&amp;"")),12)="subscription",LOWER(TRIM($F500&amp;""))="membership"),"Subscription",IF(OR(AND($H500&lt;&gt;"",$H500=0),LEFT(LOWER(TRIM($F500&amp;"")),9)="free game",LOWER(TRIM($F500&amp;""))="free",LOWER(TRIM($F500&amp;""))="free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IF(COUNTA($A501:$M501)=0,"",IF(OR(LEFT(LOWER(TRIM($F501&amp;"")),12)="subscription",LOWER(TRIM($F501&amp;""))="membership"),"",IF($G501="","",IF(ISNUMBER(SEARCH("non",LOWER($E501&amp;""))),$G501*0.85,$G501))))</x:f>
      </x:c>
      <x:c r="O501" s="988" t="str">
        <x:f>IF(COUNTA($A501:$M501)=0,"",IF(OR(LEFT(LOWER(TRIM($F501&amp;"")),12)="subscription",LOWER(TRIM($F501&amp;""))="membership"),"",IF(OR($N501="",$I501="",$I501=0),"",IFERROR($N501/$I501,""))))</x:f>
      </x:c>
      <x:c r="P501" s="988" t="str">
        <x:f>IF(COUNTA($A501:$M501)=0,"",IF(OR(LEFT(LOWER(TRIM($F501&amp;"")),12)="subscription",LOWER(TRIM($F501&amp;""))="membership"),"",IF(LOWER($L501&amp;"")="yes",0,IF(OR(AND($H501&lt;&gt;"",$H501=0),LEFT(LOWER(TRIM($F501&amp;"")),9)="free game",LOWER(TRIM($F501&amp;""))="free",LOWER(TRIM($F501&amp;""))="free entry"),IF(LOWER($D501&amp;"")="finalized",IF(ISNUMBER($K501),$K501,""),IF($O501&lt;&gt;"",$O501,"")),IF($K501&lt;&gt;"",$K501,IF($O501&lt;&gt;"",$O501,""))))))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IF(COUNTA($A501:$M501)=0,"",IF(OR(LEFT(LOWER(TRIM($F501&amp;"")),12)="subscription",LOWER(TRIM($F501&amp;""))="membership"),"Subscription",IF(OR(AND($H501&lt;&gt;"",$H501=0),LEFT(LOWER(TRIM($F501&amp;"")),9)="free game",LOWER(TRIM($F501&amp;""))="free",LOWER(TRIM($F501&amp;""))="free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IF(COUNTA($A502:$M502)=0,"",IF(OR(LEFT(LOWER(TRIM($F502&amp;"")),12)="subscription",LOWER(TRIM($F502&amp;""))="membership"),"",IF($G502="","",IF(ISNUMBER(SEARCH("non",LOWER($E502&amp;""))),$G502*0.85,$G502))))</x:f>
      </x:c>
      <x:c r="O502" s="988" t="str">
        <x:f>IF(COUNTA($A502:$M502)=0,"",IF(OR(LEFT(LOWER(TRIM($F502&amp;"")),12)="subscription",LOWER(TRIM($F502&amp;""))="membership"),"",IF(OR($N502="",$I502="",$I502=0),"",IFERROR($N502/$I502,""))))</x:f>
      </x:c>
      <x:c r="P502" s="988" t="str">
        <x:f>IF(COUNTA($A502:$M502)=0,"",IF(OR(LEFT(LOWER(TRIM($F502&amp;"")),12)="subscription",LOWER(TRIM($F502&amp;""))="membership"),"",IF(LOWER($L502&amp;"")="yes",0,IF(OR(AND($H502&lt;&gt;"",$H502=0),LEFT(LOWER(TRIM($F502&amp;"")),9)="free game",LOWER(TRIM($F502&amp;""))="free",LOWER(TRIM($F502&amp;""))="free entry"),IF(LOWER($D502&amp;"")="finalized",IF(ISNUMBER($K502),$K502,""),IF($O502&lt;&gt;"",$O502,"")),IF($K502&lt;&gt;"",$K502,IF($O502&lt;&gt;"",$O502,""))))))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IF(COUNTA($A502:$M502)=0,"",IF(OR(LEFT(LOWER(TRIM($F502&amp;"")),12)="subscription",LOWER(TRIM($F502&amp;""))="membership"),"Subscription",IF(OR(AND($H502&lt;&gt;"",$H502=0),LEFT(LOWER(TRIM($F502&amp;"")),9)="free game",LOWER(TRIM($F502&amp;""))="free",LOWER(TRIM($F502&amp;""))="free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IF(COUNTA($A503:$M503)=0,"",IF(OR(LEFT(LOWER(TRIM($F503&amp;"")),12)="subscription",LOWER(TRIM($F503&amp;""))="membership"),"",IF($G503="","",IF(ISNUMBER(SEARCH("non",LOWER($E503&amp;""))),$G503*0.85,$G503))))</x:f>
      </x:c>
      <x:c r="O503" s="988" t="str">
        <x:f>IF(COUNTA($A503:$M503)=0,"",IF(OR(LEFT(LOWER(TRIM($F503&amp;"")),12)="subscription",LOWER(TRIM($F503&amp;""))="membership"),"",IF(OR($N503="",$I503="",$I503=0),"",IFERROR($N503/$I503,""))))</x:f>
      </x:c>
      <x:c r="P503" s="988" t="str">
        <x:f>IF(COUNTA($A503:$M503)=0,"",IF(OR(LEFT(LOWER(TRIM($F503&amp;"")),12)="subscription",LOWER(TRIM($F503&amp;""))="membership"),"",IF(LOWER($L503&amp;"")="yes",0,IF(OR(AND($H503&lt;&gt;"",$H503=0),LEFT(LOWER(TRIM($F503&amp;"")),9)="free game",LOWER(TRIM($F503&amp;""))="free",LOWER(TRIM($F503&amp;""))="free entry"),IF(LOWER($D503&amp;"")="finalized",IF(ISNUMBER($K503),$K503,""),IF($O503&lt;&gt;"",$O503,"")),IF($K503&lt;&gt;"",$K503,IF($O503&lt;&gt;"",$O503,""))))))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IF(COUNTA($A503:$M503)=0,"",IF(OR(LEFT(LOWER(TRIM($F503&amp;"")),12)="subscription",LOWER(TRIM($F503&amp;""))="membership"),"Subscription",IF(OR(AND($H503&lt;&gt;"",$H503=0),LEFT(LOWER(TRIM($F503&amp;"")),9)="free game",LOWER(TRIM($F503&amp;""))="free",LOWER(TRIM($F503&amp;""))="free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IF(COUNTA($A504:$M504)=0,"",IF(OR(LEFT(LOWER(TRIM($F504&amp;"")),12)="subscription",LOWER(TRIM($F504&amp;""))="membership"),"",IF($G504="","",IF(ISNUMBER(SEARCH("non",LOWER($E504&amp;""))),$G504*0.85,$G504))))</x:f>
      </x:c>
      <x:c r="O504" s="988" t="str">
        <x:f>IF(COUNTA($A504:$M504)=0,"",IF(OR(LEFT(LOWER(TRIM($F504&amp;"")),12)="subscription",LOWER(TRIM($F504&amp;""))="membership"),"",IF(OR($N504="",$I504="",$I504=0),"",IFERROR($N504/$I504,""))))</x:f>
      </x:c>
      <x:c r="P504" s="988" t="str">
        <x:f>IF(COUNTA($A504:$M504)=0,"",IF(OR(LEFT(LOWER(TRIM($F504&amp;"")),12)="subscription",LOWER(TRIM($F504&amp;""))="membership"),"",IF(LOWER($L504&amp;"")="yes",0,IF(OR(AND($H504&lt;&gt;"",$H504=0),LEFT(LOWER(TRIM($F504&amp;"")),9)="free game",LOWER(TRIM($F504&amp;""))="free",LOWER(TRIM($F504&amp;""))="free entry"),IF(LOWER($D504&amp;"")="finalized",IF(ISNUMBER($K504),$K504,""),IF($O504&lt;&gt;"",$O504,"")),IF($K504&lt;&gt;"",$K504,IF($O504&lt;&gt;"",$O504,""))))))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IF(COUNTA($A504:$M504)=0,"",IF(OR(LEFT(LOWER(TRIM($F504&amp;"")),12)="subscription",LOWER(TRIM($F504&amp;""))="membership"),"Subscription",IF(OR(AND($H504&lt;&gt;"",$H504=0),LEFT(LOWER(TRIM($F504&amp;"")),9)="free game",LOWER(TRIM($F504&amp;""))="free",LOWER(TRIM($F504&amp;""))="free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allowBlank="1" showDropDown="0" sqref="F5:F504">
      <x:formula1>"Cash,Points,Hybrid,Free Game — completed challenge/chips,Subscription — membership charge only"</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 min="8" max="8" width="2" customWidth="1" hidden="1"/>
  </x:cols>
  <x:sheetData>
    <x:row r="1" ht="30" hidden="0" customHeight="1">
      <x:c r="A1" s="961" t="str">
        <x:v>Record Review — Game Index and Field Review — v246.3.6</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24" hidden="0" customHeight="1">
      <x:c r="A5" s="332" t="str">
        <x:f>IF($H5="","",ROWS($A$5:A5))</x:f>
        <x:v/>
      </x:c>
      <x:c r="B5" s="332" t="str">
        <x:f>IF($H5="","","G-"&amp;TEXT($A5,"0000"))</x:f>
        <x:v/>
      </x:c>
      <x:c r="C5" s="331" t="str">
        <x:f>IF($H5="","",IFERROR(INDEX('Game Records'!$A:$A,$H5),""))</x:f>
        <x:v/>
      </x:c>
      <x:c r="D5" s="331" t="str">
        <x:f>IF($H5="","",IFERROR(INDEX('Game Records'!$U:$U,$H5),""))</x:f>
        <x:v/>
      </x:c>
      <x:c r="E5" s="331" t="str">
        <x:f>IF($H5="","",IF($F5="","No Highlighted Fields","Highlighted Fields Present"))</x:f>
        <x:v/>
      </x:c>
      <x:c r="F5" s="331" t="str">
        <x:f>IF($H5="","",IF(INDEX('Game Records'!$B:$B,$H5)="","Start Date; ","")&amp;IF(INDEX('Game Records'!$C:$C,$H5)="","End Date; ","")&amp;IF(AND(INDEX('Game Records'!$U:$U,$H5)&lt;&gt;"Subscription",INDEX('Game Records'!$U:$U,$H5)&lt;&gt;"Free Game",INDEX('Game Records'!$U:$U,$H5)&lt;&gt;"Disqualified — Free Game",OR(INDEX('Game Records'!$D:$D,$H5)="",LOWER(INDEX('Game Records'!$D:$D,$H5)&amp;"")="n/a")),"Entry Mode; ","")&amp;IF(AND(INDEX('Game Records'!$U:$U,$H5)&lt;&gt;"Subscription",INDEX('Game Records'!$U:$U,$H5)&lt;&gt;"Free Game",INDEX('Game Records'!$U:$U,$H5)&lt;&gt;"Disqualified — Free Game",OR(INDEX('Game Records'!$E:$E,$H5)="",LOWER(INDEX('Game Records'!$E:$E,$H5)&amp;"")="n/a")),"Game Type; ","")&amp;IF(INDEX('Game Records'!$F:$F,$H5)="","Payment Type; ","")&amp;IF(AND(INDEX('Game Records'!$U:$U,$H5)&lt;&gt;"Subscription",INDEX('Game Records'!$U:$U,$H5)&lt;&gt;"Free Game",INDEX('Game Records'!$U:$U,$H5)&lt;&gt;"Disqualified — Free Game",INDEX('Game Records'!$G:$G,$H5)=""),"Gross Pot; ","")&amp;IF(AND(INDEX('Game Records'!$U:$U,$H5)&lt;&gt;"Free Game",INDEX('Game Records'!$U:$U,$H5)&lt;&gt;"Disqualified — Free Game",INDEX('Game Records'!$H:$H,$H5)=""),"Entry Fee; ","")&amp;IF(AND(INDEX('Game Records'!$U:$U,$H5)&lt;&gt;"Subscription",INDEX('Game Records'!$U:$U,$H5)&lt;&gt;"Free Game",INDEX('Game Records'!$U:$U,$H5)&lt;&gt;"Disqualified — Free Game",INDEX('Game Records'!$I:$I,$H5)=""),"Eligible Players; ","")&amp;IF(AND(INDEX('Game Records'!$U:$U,$H5)&lt;&gt;"Subscription",INDEX('Game Records'!$U:$U,$H5)&lt;&gt;"Free Game",INDEX('Game Records'!$U:$U,$H5)&lt;&gt;"Disqualified — Free Game",INDEX('Game Records'!$J:$J,$H5)=""),"Total Players; ","")&amp;IF(AND(LOWER(INDEX('Game Records'!$D:$D,$H5)&amp;"")="finalized",LOWER(INDEX('Game Records'!$L:$L,$H5)&amp;"")&lt;&gt;"yes",INDEX('Game Records'!$U:$U,$H5)&lt;&gt;"Subscription",INDEX('Game Records'!$U:$U,$H5)&lt;&gt;"Free Game",INDEX('Game Records'!$U:$U,$H5)&lt;&gt;"Disqualified — Free Game",INDEX('Game Records'!$K:$K,$H5)=""),"Final Earned; ","")&amp;IF(AND(LOWER(INDEX('Game Records'!$D:$D,$H5)&amp;"")="finalized",INDEX('Game Records'!$U:$U,$H5)&lt;&gt;"Subscription",INDEX('Game Records'!$U:$U,$H5)&lt;&gt;"Free Game",INDEX('Game Records'!$U:$U,$H5)&lt;&gt;"Disqualified — Free Game",OR(INDEX('Game Records'!$L:$L,$H5)="",LOWER(INDEX('Game Records'!$L:$L,$H5)&amp;"")="n/a")),"Disqualified Status; ",""))</x:f>
        <x:v/>
      </x:c>
      <x:c r="G5" s="331" t="str">
        <x:f>IF($H5="","",IFERROR(INDEX('Game Records'!$M:$M,$H5),""))</x:f>
        <x:v/>
      </x:c>
      <x:c r="H5" s="104" t="str">
        <x:f>IFERROR(MATCH(1,INDEX((('Game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 s="980" t="str">
        <x:v>Disqualified Games</x:v>
      </x:c>
      <x:c r="J5" s="981" t="n">
        <x:f>COUNTIF('Game Records'!$U$5:$U$504,"Disqualified")</x:f>
        <x:v>0</x:v>
      </x:c>
    </x:row>
    <x:row r="6" ht="24" hidden="0" customHeight="1">
      <x:c r="A6" s="332" t="str">
        <x:f>IF($H6="","",ROWS($A$5:A6))</x:f>
        <x:v/>
      </x:c>
      <x:c r="B6" s="332" t="str">
        <x:f>IF($H6="","","G-"&amp;TEXT($A6,"0000"))</x:f>
        <x:v/>
      </x:c>
      <x:c r="C6" s="331" t="str">
        <x:f>IF($H6="","",IFERROR(INDEX('Game Records'!$A:$A,$H6),""))</x:f>
        <x:v/>
      </x:c>
      <x:c r="D6" s="331" t="str">
        <x:f>IF($H6="","",IFERROR(INDEX('Game Records'!$U:$U,$H6),""))</x:f>
        <x:v/>
      </x:c>
      <x:c r="E6" s="331" t="str">
        <x:f>IF($H6="","",IF($F6="","No Highlighted Fields","Highlighted Fields Present"))</x:f>
        <x:v/>
      </x:c>
      <x:c r="F6" s="331" t="str">
        <x:f>IF($H6="","",IF(INDEX('Game Records'!$B:$B,$H6)="","Start Date; ","")&amp;IF(INDEX('Game Records'!$C:$C,$H6)="","End Date; ","")&amp;IF(AND(INDEX('Game Records'!$U:$U,$H6)&lt;&gt;"Subscription",INDEX('Game Records'!$U:$U,$H6)&lt;&gt;"Free Game",INDEX('Game Records'!$U:$U,$H6)&lt;&gt;"Disqualified — Free Game",OR(INDEX('Game Records'!$D:$D,$H6)="",LOWER(INDEX('Game Records'!$D:$D,$H6)&amp;"")="n/a")),"Entry Mode; ","")&amp;IF(AND(INDEX('Game Records'!$U:$U,$H6)&lt;&gt;"Subscription",INDEX('Game Records'!$U:$U,$H6)&lt;&gt;"Free Game",INDEX('Game Records'!$U:$U,$H6)&lt;&gt;"Disqualified — Free Game",OR(INDEX('Game Records'!$E:$E,$H6)="",LOWER(INDEX('Game Records'!$E:$E,$H6)&amp;"")="n/a")),"Game Type; ","")&amp;IF(INDEX('Game Records'!$F:$F,$H6)="","Payment Type; ","")&amp;IF(AND(INDEX('Game Records'!$U:$U,$H6)&lt;&gt;"Subscription",INDEX('Game Records'!$U:$U,$H6)&lt;&gt;"Free Game",INDEX('Game Records'!$U:$U,$H6)&lt;&gt;"Disqualified — Free Game",INDEX('Game Records'!$G:$G,$H6)=""),"Gross Pot; ","")&amp;IF(AND(INDEX('Game Records'!$U:$U,$H6)&lt;&gt;"Free Game",INDEX('Game Records'!$U:$U,$H6)&lt;&gt;"Disqualified — Free Game",INDEX('Game Records'!$H:$H,$H6)=""),"Entry Fee; ","")&amp;IF(AND(INDEX('Game Records'!$U:$U,$H6)&lt;&gt;"Subscription",INDEX('Game Records'!$U:$U,$H6)&lt;&gt;"Free Game",INDEX('Game Records'!$U:$U,$H6)&lt;&gt;"Disqualified — Free Game",INDEX('Game Records'!$I:$I,$H6)=""),"Eligible Players; ","")&amp;IF(AND(INDEX('Game Records'!$U:$U,$H6)&lt;&gt;"Subscription",INDEX('Game Records'!$U:$U,$H6)&lt;&gt;"Free Game",INDEX('Game Records'!$U:$U,$H6)&lt;&gt;"Disqualified — Free Game",INDEX('Game Records'!$J:$J,$H6)=""),"Total Players; ","")&amp;IF(AND(LOWER(INDEX('Game Records'!$D:$D,$H6)&amp;"")="finalized",LOWER(INDEX('Game Records'!$L:$L,$H6)&amp;"")&lt;&gt;"yes",INDEX('Game Records'!$U:$U,$H6)&lt;&gt;"Subscription",INDEX('Game Records'!$U:$U,$H6)&lt;&gt;"Free Game",INDEX('Game Records'!$U:$U,$H6)&lt;&gt;"Disqualified — Free Game",INDEX('Game Records'!$K:$K,$H6)=""),"Final Earned; ","")&amp;IF(AND(LOWER(INDEX('Game Records'!$D:$D,$H6)&amp;"")="finalized",INDEX('Game Records'!$U:$U,$H6)&lt;&gt;"Subscription",INDEX('Game Records'!$U:$U,$H6)&lt;&gt;"Free Game",INDEX('Game Records'!$U:$U,$H6)&lt;&gt;"Disqualified — Free Game",OR(INDEX('Game Records'!$L:$L,$H6)="",LOWER(INDEX('Game Records'!$L:$L,$H6)&amp;"")="n/a")),"Disqualified Status; ",""))</x:f>
        <x:v/>
      </x:c>
      <x:c r="G6" s="331" t="str">
        <x:f>IF($H6="","",IFERROR(INDEX('Game Records'!$M:$M,$H6),""))</x:f>
        <x:v/>
      </x:c>
      <x:c r="H6" s="104" t="str">
        <x:f>IF($H5="","",IFERROR(MATCH(1,INDEX((ROW('Game Records'!$U$5:$U$504)&gt;$H5)*(('Game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 s="980" t="str">
        <x:v>Free Games</x:v>
      </x:c>
      <x:c r="J6" s="981" t="n">
        <x:f>COUNTIF('Game Records'!$U$5:$U$504,"Free Game")+COUNTIF('Game Records'!$U$5:$U$504,"Disqualified — Free Game")</x:f>
        <x:v>0</x:v>
      </x:c>
    </x:row>
    <x:row r="7" ht="24" hidden="0" customHeight="1">
      <x:c r="A7" s="332" t="str">
        <x:f>IF($H7="","",ROWS($A$5:A7))</x:f>
        <x:v/>
      </x:c>
      <x:c r="B7" s="332" t="str">
        <x:f>IF($H7="","","G-"&amp;TEXT($A7,"0000"))</x:f>
        <x:v/>
      </x:c>
      <x:c r="C7" s="331" t="str">
        <x:f>IF($H7="","",IFERROR(INDEX('Game Records'!$A:$A,$H7),""))</x:f>
        <x:v/>
      </x:c>
      <x:c r="D7" s="331" t="str">
        <x:f>IF($H7="","",IFERROR(INDEX('Game Records'!$U:$U,$H7),""))</x:f>
        <x:v/>
      </x:c>
      <x:c r="E7" s="331" t="str">
        <x:f>IF($H7="","",IF($F7="","No Highlighted Fields","Highlighted Fields Present"))</x:f>
        <x:v/>
      </x:c>
      <x:c r="F7" s="331" t="str">
        <x:f>IF($H7="","",IF(INDEX('Game Records'!$B:$B,$H7)="","Start Date; ","")&amp;IF(INDEX('Game Records'!$C:$C,$H7)="","End Date; ","")&amp;IF(AND(INDEX('Game Records'!$U:$U,$H7)&lt;&gt;"Subscription",INDEX('Game Records'!$U:$U,$H7)&lt;&gt;"Free Game",INDEX('Game Records'!$U:$U,$H7)&lt;&gt;"Disqualified — Free Game",OR(INDEX('Game Records'!$D:$D,$H7)="",LOWER(INDEX('Game Records'!$D:$D,$H7)&amp;"")="n/a")),"Entry Mode; ","")&amp;IF(AND(INDEX('Game Records'!$U:$U,$H7)&lt;&gt;"Subscription",INDEX('Game Records'!$U:$U,$H7)&lt;&gt;"Free Game",INDEX('Game Records'!$U:$U,$H7)&lt;&gt;"Disqualified — Free Game",OR(INDEX('Game Records'!$E:$E,$H7)="",LOWER(INDEX('Game Records'!$E:$E,$H7)&amp;"")="n/a")),"Game Type; ","")&amp;IF(INDEX('Game Records'!$F:$F,$H7)="","Payment Type; ","")&amp;IF(AND(INDEX('Game Records'!$U:$U,$H7)&lt;&gt;"Subscription",INDEX('Game Records'!$U:$U,$H7)&lt;&gt;"Free Game",INDEX('Game Records'!$U:$U,$H7)&lt;&gt;"Disqualified — Free Game",INDEX('Game Records'!$G:$G,$H7)=""),"Gross Pot; ","")&amp;IF(AND(INDEX('Game Records'!$U:$U,$H7)&lt;&gt;"Free Game",INDEX('Game Records'!$U:$U,$H7)&lt;&gt;"Disqualified — Free Game",INDEX('Game Records'!$H:$H,$H7)=""),"Entry Fee; ","")&amp;IF(AND(INDEX('Game Records'!$U:$U,$H7)&lt;&gt;"Subscription",INDEX('Game Records'!$U:$U,$H7)&lt;&gt;"Free Game",INDEX('Game Records'!$U:$U,$H7)&lt;&gt;"Disqualified — Free Game",INDEX('Game Records'!$I:$I,$H7)=""),"Eligible Players; ","")&amp;IF(AND(INDEX('Game Records'!$U:$U,$H7)&lt;&gt;"Subscription",INDEX('Game Records'!$U:$U,$H7)&lt;&gt;"Free Game",INDEX('Game Records'!$U:$U,$H7)&lt;&gt;"Disqualified — Free Game",INDEX('Game Records'!$J:$J,$H7)=""),"Total Players; ","")&amp;IF(AND(LOWER(INDEX('Game Records'!$D:$D,$H7)&amp;"")="finalized",LOWER(INDEX('Game Records'!$L:$L,$H7)&amp;"")&lt;&gt;"yes",INDEX('Game Records'!$U:$U,$H7)&lt;&gt;"Subscription",INDEX('Game Records'!$U:$U,$H7)&lt;&gt;"Free Game",INDEX('Game Records'!$U:$U,$H7)&lt;&gt;"Disqualified — Free Game",INDEX('Game Records'!$K:$K,$H7)=""),"Final Earned; ","")&amp;IF(AND(LOWER(INDEX('Game Records'!$D:$D,$H7)&amp;"")="finalized",INDEX('Game Records'!$U:$U,$H7)&lt;&gt;"Subscription",INDEX('Game Records'!$U:$U,$H7)&lt;&gt;"Free Game",INDEX('Game Records'!$U:$U,$H7)&lt;&gt;"Disqualified — Free Game",OR(INDEX('Game Records'!$L:$L,$H7)="",LOWER(INDEX('Game Records'!$L:$L,$H7)&amp;"")="n/a")),"Disqualified Status; ",""))</x:f>
        <x:v/>
      </x:c>
      <x:c r="G7" s="331" t="str">
        <x:f>IF($H7="","",IFERROR(INDEX('Game Records'!$M:$M,$H7),""))</x:f>
        <x:v/>
      </x:c>
      <x:c r="H7" s="104" t="str">
        <x:f>IF($H6="","",IFERROR(MATCH(1,INDEX((ROW('Game Records'!$U$5:$U$504)&gt;$H6)*(('Game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 s="980" t="str">
        <x:v>Points Games</x:v>
      </x:c>
      <x:c r="J7" s="981" t="n">
        <x:f>COUNTIF('Game Records'!$F$5:$F$504,"Points")</x:f>
        <x:v>0</x:v>
      </x:c>
    </x:row>
    <x:row r="8" ht="24" hidden="0" customHeight="1">
      <x:c r="A8" s="332" t="str">
        <x:f>IF($H8="","",ROWS($A$5:A8))</x:f>
        <x:v/>
      </x:c>
      <x:c r="B8" s="332" t="str">
        <x:f>IF($H8="","","G-"&amp;TEXT($A8,"0000"))</x:f>
        <x:v/>
      </x:c>
      <x:c r="C8" s="331" t="str">
        <x:f>IF($H8="","",IFERROR(INDEX('Game Records'!$A:$A,$H8),""))</x:f>
        <x:v/>
      </x:c>
      <x:c r="D8" s="331" t="str">
        <x:f>IF($H8="","",IFERROR(INDEX('Game Records'!$U:$U,$H8),""))</x:f>
        <x:v/>
      </x:c>
      <x:c r="E8" s="331" t="str">
        <x:f>IF($H8="","",IF($F8="","No Highlighted Fields","Highlighted Fields Present"))</x:f>
        <x:v/>
      </x:c>
      <x:c r="F8" s="331" t="str">
        <x:f>IF($H8="","",IF(INDEX('Game Records'!$B:$B,$H8)="","Start Date; ","")&amp;IF(INDEX('Game Records'!$C:$C,$H8)="","End Date; ","")&amp;IF(AND(INDEX('Game Records'!$U:$U,$H8)&lt;&gt;"Subscription",INDEX('Game Records'!$U:$U,$H8)&lt;&gt;"Free Game",INDEX('Game Records'!$U:$U,$H8)&lt;&gt;"Disqualified — Free Game",OR(INDEX('Game Records'!$D:$D,$H8)="",LOWER(INDEX('Game Records'!$D:$D,$H8)&amp;"")="n/a")),"Entry Mode; ","")&amp;IF(AND(INDEX('Game Records'!$U:$U,$H8)&lt;&gt;"Subscription",INDEX('Game Records'!$U:$U,$H8)&lt;&gt;"Free Game",INDEX('Game Records'!$U:$U,$H8)&lt;&gt;"Disqualified — Free Game",OR(INDEX('Game Records'!$E:$E,$H8)="",LOWER(INDEX('Game Records'!$E:$E,$H8)&amp;"")="n/a")),"Game Type; ","")&amp;IF(INDEX('Game Records'!$F:$F,$H8)="","Payment Type; ","")&amp;IF(AND(INDEX('Game Records'!$U:$U,$H8)&lt;&gt;"Subscription",INDEX('Game Records'!$U:$U,$H8)&lt;&gt;"Free Game",INDEX('Game Records'!$U:$U,$H8)&lt;&gt;"Disqualified — Free Game",INDEX('Game Records'!$G:$G,$H8)=""),"Gross Pot; ","")&amp;IF(AND(INDEX('Game Records'!$U:$U,$H8)&lt;&gt;"Free Game",INDEX('Game Records'!$U:$U,$H8)&lt;&gt;"Disqualified — Free Game",INDEX('Game Records'!$H:$H,$H8)=""),"Entry Fee; ","")&amp;IF(AND(INDEX('Game Records'!$U:$U,$H8)&lt;&gt;"Subscription",INDEX('Game Records'!$U:$U,$H8)&lt;&gt;"Free Game",INDEX('Game Records'!$U:$U,$H8)&lt;&gt;"Disqualified — Free Game",INDEX('Game Records'!$I:$I,$H8)=""),"Eligible Players; ","")&amp;IF(AND(INDEX('Game Records'!$U:$U,$H8)&lt;&gt;"Subscription",INDEX('Game Records'!$U:$U,$H8)&lt;&gt;"Free Game",INDEX('Game Records'!$U:$U,$H8)&lt;&gt;"Disqualified — Free Game",INDEX('Game Records'!$J:$J,$H8)=""),"Total Players; ","")&amp;IF(AND(LOWER(INDEX('Game Records'!$D:$D,$H8)&amp;"")="finalized",LOWER(INDEX('Game Records'!$L:$L,$H8)&amp;"")&lt;&gt;"yes",INDEX('Game Records'!$U:$U,$H8)&lt;&gt;"Subscription",INDEX('Game Records'!$U:$U,$H8)&lt;&gt;"Free Game",INDEX('Game Records'!$U:$U,$H8)&lt;&gt;"Disqualified — Free Game",INDEX('Game Records'!$K:$K,$H8)=""),"Final Earned; ","")&amp;IF(AND(LOWER(INDEX('Game Records'!$D:$D,$H8)&amp;"")="finalized",INDEX('Game Records'!$U:$U,$H8)&lt;&gt;"Subscription",INDEX('Game Records'!$U:$U,$H8)&lt;&gt;"Free Game",INDEX('Game Records'!$U:$U,$H8)&lt;&gt;"Disqualified — Free Game",OR(INDEX('Game Records'!$L:$L,$H8)="",LOWER(INDEX('Game Records'!$L:$L,$H8)&amp;"")="n/a")),"Disqualified Status; ",""))</x:f>
        <x:v/>
      </x:c>
      <x:c r="G8" s="331" t="str">
        <x:f>IF($H8="","",IFERROR(INDEX('Game Records'!$M:$M,$H8),""))</x:f>
        <x:v/>
      </x:c>
      <x:c r="H8" s="104" t="str">
        <x:f>IF($H7="","",IFERROR(MATCH(1,INDEX((ROW('Game Records'!$U$5:$U$504)&gt;$H7)*(('Game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 s="980" t="str">
        <x:v>Cash / Hybrid Games</x:v>
      </x:c>
      <x:c r="J8" s="981" t="n">
        <x:f>COUNTIF('Game Records'!$F$5:$F$504,"Cash")+COUNTIF('Game Records'!$F$5:$F$504,"Hybrid")</x:f>
        <x:v>0</x:v>
      </x:c>
    </x:row>
    <x:row r="9" ht="24" hidden="0" customHeight="1">
      <x:c r="A9" s="332" t="str">
        <x:f>IF($H9="","",ROWS($A$5:A9))</x:f>
        <x:v/>
      </x:c>
      <x:c r="B9" s="332" t="str">
        <x:f>IF($H9="","","G-"&amp;TEXT($A9,"0000"))</x:f>
        <x:v/>
      </x:c>
      <x:c r="C9" s="331" t="str">
        <x:f>IF($H9="","",IFERROR(INDEX('Game Records'!$A:$A,$H9),""))</x:f>
        <x:v/>
      </x:c>
      <x:c r="D9" s="331" t="str">
        <x:f>IF($H9="","",IFERROR(INDEX('Game Records'!$U:$U,$H9),""))</x:f>
        <x:v/>
      </x:c>
      <x:c r="E9" s="331" t="str">
        <x:f>IF($H9="","",IF($F9="","No Highlighted Fields","Highlighted Fields Present"))</x:f>
        <x:v/>
      </x:c>
      <x:c r="F9" s="331" t="str">
        <x:f>IF($H9="","",IF(INDEX('Game Records'!$B:$B,$H9)="","Start Date; ","")&amp;IF(INDEX('Game Records'!$C:$C,$H9)="","End Date; ","")&amp;IF(AND(INDEX('Game Records'!$U:$U,$H9)&lt;&gt;"Subscription",INDEX('Game Records'!$U:$U,$H9)&lt;&gt;"Free Game",INDEX('Game Records'!$U:$U,$H9)&lt;&gt;"Disqualified — Free Game",OR(INDEX('Game Records'!$D:$D,$H9)="",LOWER(INDEX('Game Records'!$D:$D,$H9)&amp;"")="n/a")),"Entry Mode; ","")&amp;IF(AND(INDEX('Game Records'!$U:$U,$H9)&lt;&gt;"Subscription",INDEX('Game Records'!$U:$U,$H9)&lt;&gt;"Free Game",INDEX('Game Records'!$U:$U,$H9)&lt;&gt;"Disqualified — Free Game",OR(INDEX('Game Records'!$E:$E,$H9)="",LOWER(INDEX('Game Records'!$E:$E,$H9)&amp;"")="n/a")),"Game Type; ","")&amp;IF(INDEX('Game Records'!$F:$F,$H9)="","Payment Type; ","")&amp;IF(AND(INDEX('Game Records'!$U:$U,$H9)&lt;&gt;"Subscription",INDEX('Game Records'!$U:$U,$H9)&lt;&gt;"Free Game",INDEX('Game Records'!$U:$U,$H9)&lt;&gt;"Disqualified — Free Game",INDEX('Game Records'!$G:$G,$H9)=""),"Gross Pot; ","")&amp;IF(AND(INDEX('Game Records'!$U:$U,$H9)&lt;&gt;"Free Game",INDEX('Game Records'!$U:$U,$H9)&lt;&gt;"Disqualified — Free Game",INDEX('Game Records'!$H:$H,$H9)=""),"Entry Fee; ","")&amp;IF(AND(INDEX('Game Records'!$U:$U,$H9)&lt;&gt;"Subscription",INDEX('Game Records'!$U:$U,$H9)&lt;&gt;"Free Game",INDEX('Game Records'!$U:$U,$H9)&lt;&gt;"Disqualified — Free Game",INDEX('Game Records'!$I:$I,$H9)=""),"Eligible Players; ","")&amp;IF(AND(INDEX('Game Records'!$U:$U,$H9)&lt;&gt;"Subscription",INDEX('Game Records'!$U:$U,$H9)&lt;&gt;"Free Game",INDEX('Game Records'!$U:$U,$H9)&lt;&gt;"Disqualified — Free Game",INDEX('Game Records'!$J:$J,$H9)=""),"Total Players; ","")&amp;IF(AND(LOWER(INDEX('Game Records'!$D:$D,$H9)&amp;"")="finalized",LOWER(INDEX('Game Records'!$L:$L,$H9)&amp;"")&lt;&gt;"yes",INDEX('Game Records'!$U:$U,$H9)&lt;&gt;"Subscription",INDEX('Game Records'!$U:$U,$H9)&lt;&gt;"Free Game",INDEX('Game Records'!$U:$U,$H9)&lt;&gt;"Disqualified — Free Game",INDEX('Game Records'!$K:$K,$H9)=""),"Final Earned; ","")&amp;IF(AND(LOWER(INDEX('Game Records'!$D:$D,$H9)&amp;"")="finalized",INDEX('Game Records'!$U:$U,$H9)&lt;&gt;"Subscription",INDEX('Game Records'!$U:$U,$H9)&lt;&gt;"Free Game",INDEX('Game Records'!$U:$U,$H9)&lt;&gt;"Disqualified — Free Game",OR(INDEX('Game Records'!$L:$L,$H9)="",LOWER(INDEX('Game Records'!$L:$L,$H9)&amp;"")="n/a")),"Disqualified Status; ",""))</x:f>
        <x:v/>
      </x:c>
      <x:c r="G9" s="331" t="str">
        <x:f>IF($H9="","",IFERROR(INDEX('Game Records'!$M:$M,$H9),""))</x:f>
        <x:v/>
      </x:c>
      <x:c r="H9" s="104" t="str">
        <x:f>IF($H8="","",IFERROR(MATCH(1,INDEX((ROW('Game Records'!$U$5:$U$504)&gt;$H8)*(('Game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 s="104"/>
      <x:c r="J9" s="104"/>
    </x:row>
    <x:row r="10" ht="24" hidden="0" customHeight="1">
      <x:c r="A10" s="332" t="str">
        <x:f>IF($H10="","",ROWS($A$5:A10))</x:f>
        <x:v/>
      </x:c>
      <x:c r="B10" s="332" t="str">
        <x:f>IF($H10="","","G-"&amp;TEXT($A10,"0000"))</x:f>
        <x:v/>
      </x:c>
      <x:c r="C10" s="331" t="str">
        <x:f>IF($H10="","",IFERROR(INDEX('Game Records'!$A:$A,$H10),""))</x:f>
        <x:v/>
      </x:c>
      <x:c r="D10" s="331" t="str">
        <x:f>IF($H10="","",IFERROR(INDEX('Game Records'!$U:$U,$H10),""))</x:f>
        <x:v/>
      </x:c>
      <x:c r="E10" s="331" t="str">
        <x:f>IF($H10="","",IF($F10="","No Highlighted Fields","Highlighted Fields Present"))</x:f>
        <x:v/>
      </x:c>
      <x:c r="F10" s="331" t="str">
        <x:f>IF($H10="","",IF(INDEX('Game Records'!$B:$B,$H10)="","Start Date; ","")&amp;IF(INDEX('Game Records'!$C:$C,$H10)="","End Date; ","")&amp;IF(AND(INDEX('Game Records'!$U:$U,$H10)&lt;&gt;"Subscription",INDEX('Game Records'!$U:$U,$H10)&lt;&gt;"Free Game",INDEX('Game Records'!$U:$U,$H10)&lt;&gt;"Disqualified — Free Game",OR(INDEX('Game Records'!$D:$D,$H10)="",LOWER(INDEX('Game Records'!$D:$D,$H10)&amp;"")="n/a")),"Entry Mode; ","")&amp;IF(AND(INDEX('Game Records'!$U:$U,$H10)&lt;&gt;"Subscription",INDEX('Game Records'!$U:$U,$H10)&lt;&gt;"Free Game",INDEX('Game Records'!$U:$U,$H10)&lt;&gt;"Disqualified — Free Game",OR(INDEX('Game Records'!$E:$E,$H10)="",LOWER(INDEX('Game Records'!$E:$E,$H10)&amp;"")="n/a")),"Game Type; ","")&amp;IF(INDEX('Game Records'!$F:$F,$H10)="","Payment Type; ","")&amp;IF(AND(INDEX('Game Records'!$U:$U,$H10)&lt;&gt;"Subscription",INDEX('Game Records'!$U:$U,$H10)&lt;&gt;"Free Game",INDEX('Game Records'!$U:$U,$H10)&lt;&gt;"Disqualified — Free Game",INDEX('Game Records'!$G:$G,$H10)=""),"Gross Pot; ","")&amp;IF(AND(INDEX('Game Records'!$U:$U,$H10)&lt;&gt;"Free Game",INDEX('Game Records'!$U:$U,$H10)&lt;&gt;"Disqualified — Free Game",INDEX('Game Records'!$H:$H,$H10)=""),"Entry Fee; ","")&amp;IF(AND(INDEX('Game Records'!$U:$U,$H10)&lt;&gt;"Subscription",INDEX('Game Records'!$U:$U,$H10)&lt;&gt;"Free Game",INDEX('Game Records'!$U:$U,$H10)&lt;&gt;"Disqualified — Free Game",INDEX('Game Records'!$I:$I,$H10)=""),"Eligible Players; ","")&amp;IF(AND(INDEX('Game Records'!$U:$U,$H10)&lt;&gt;"Subscription",INDEX('Game Records'!$U:$U,$H10)&lt;&gt;"Free Game",INDEX('Game Records'!$U:$U,$H10)&lt;&gt;"Disqualified — Free Game",INDEX('Game Records'!$J:$J,$H10)=""),"Total Players; ","")&amp;IF(AND(LOWER(INDEX('Game Records'!$D:$D,$H10)&amp;"")="finalized",LOWER(INDEX('Game Records'!$L:$L,$H10)&amp;"")&lt;&gt;"yes",INDEX('Game Records'!$U:$U,$H10)&lt;&gt;"Subscription",INDEX('Game Records'!$U:$U,$H10)&lt;&gt;"Free Game",INDEX('Game Records'!$U:$U,$H10)&lt;&gt;"Disqualified — Free Game",INDEX('Game Records'!$K:$K,$H10)=""),"Final Earned; ","")&amp;IF(AND(LOWER(INDEX('Game Records'!$D:$D,$H10)&amp;"")="finalized",INDEX('Game Records'!$U:$U,$H10)&lt;&gt;"Subscription",INDEX('Game Records'!$U:$U,$H10)&lt;&gt;"Free Game",INDEX('Game Records'!$U:$U,$H10)&lt;&gt;"Disqualified — Free Game",OR(INDEX('Game Records'!$L:$L,$H10)="",LOWER(INDEX('Game Records'!$L:$L,$H10)&amp;"")="n/a")),"Disqualified Status; ",""))</x:f>
        <x:v/>
      </x:c>
      <x:c r="G10" s="331" t="str">
        <x:f>IF($H10="","",IFERROR(INDEX('Game Records'!$M:$M,$H10),""))</x:f>
        <x:v/>
      </x:c>
      <x:c r="H10" s="104" t="str">
        <x:f>IF($H9="","",IFERROR(MATCH(1,INDEX((ROW('Game Records'!$U$5:$U$504)&gt;$H9)*(('Game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 s="104"/>
      <x:c r="J10" s="104"/>
    </x:row>
    <x:row r="11" ht="24" hidden="0" customHeight="1">
      <x:c r="A11" s="332" t="str">
        <x:f>IF($H11="","",ROWS($A$5:A11))</x:f>
        <x:v/>
      </x:c>
      <x:c r="B11" s="332" t="str">
        <x:f>IF($H11="","","G-"&amp;TEXT($A11,"0000"))</x:f>
        <x:v/>
      </x:c>
      <x:c r="C11" s="331" t="str">
        <x:f>IF($H11="","",IFERROR(INDEX('Game Records'!$A:$A,$H11),""))</x:f>
        <x:v/>
      </x:c>
      <x:c r="D11" s="331" t="str">
        <x:f>IF($H11="","",IFERROR(INDEX('Game Records'!$U:$U,$H11),""))</x:f>
        <x:v/>
      </x:c>
      <x:c r="E11" s="331" t="str">
        <x:f>IF($H11="","",IF($F11="","No Highlighted Fields","Highlighted Fields Present"))</x:f>
        <x:v/>
      </x:c>
      <x:c r="F11" s="331" t="str">
        <x:f>IF($H11="","",IF(INDEX('Game Records'!$B:$B,$H11)="","Start Date; ","")&amp;IF(INDEX('Game Records'!$C:$C,$H11)="","End Date; ","")&amp;IF(AND(INDEX('Game Records'!$U:$U,$H11)&lt;&gt;"Subscription",INDEX('Game Records'!$U:$U,$H11)&lt;&gt;"Free Game",INDEX('Game Records'!$U:$U,$H11)&lt;&gt;"Disqualified — Free Game",OR(INDEX('Game Records'!$D:$D,$H11)="",LOWER(INDEX('Game Records'!$D:$D,$H11)&amp;"")="n/a")),"Entry Mode; ","")&amp;IF(AND(INDEX('Game Records'!$U:$U,$H11)&lt;&gt;"Subscription",INDEX('Game Records'!$U:$U,$H11)&lt;&gt;"Free Game",INDEX('Game Records'!$U:$U,$H11)&lt;&gt;"Disqualified — Free Game",OR(INDEX('Game Records'!$E:$E,$H11)="",LOWER(INDEX('Game Records'!$E:$E,$H11)&amp;"")="n/a")),"Game Type; ","")&amp;IF(INDEX('Game Records'!$F:$F,$H11)="","Payment Type; ","")&amp;IF(AND(INDEX('Game Records'!$U:$U,$H11)&lt;&gt;"Subscription",INDEX('Game Records'!$U:$U,$H11)&lt;&gt;"Free Game",INDEX('Game Records'!$U:$U,$H11)&lt;&gt;"Disqualified — Free Game",INDEX('Game Records'!$G:$G,$H11)=""),"Gross Pot; ","")&amp;IF(AND(INDEX('Game Records'!$U:$U,$H11)&lt;&gt;"Free Game",INDEX('Game Records'!$U:$U,$H11)&lt;&gt;"Disqualified — Free Game",INDEX('Game Records'!$H:$H,$H11)=""),"Entry Fee; ","")&amp;IF(AND(INDEX('Game Records'!$U:$U,$H11)&lt;&gt;"Subscription",INDEX('Game Records'!$U:$U,$H11)&lt;&gt;"Free Game",INDEX('Game Records'!$U:$U,$H11)&lt;&gt;"Disqualified — Free Game",INDEX('Game Records'!$I:$I,$H11)=""),"Eligible Players; ","")&amp;IF(AND(INDEX('Game Records'!$U:$U,$H11)&lt;&gt;"Subscription",INDEX('Game Records'!$U:$U,$H11)&lt;&gt;"Free Game",INDEX('Game Records'!$U:$U,$H11)&lt;&gt;"Disqualified — Free Game",INDEX('Game Records'!$J:$J,$H11)=""),"Total Players; ","")&amp;IF(AND(LOWER(INDEX('Game Records'!$D:$D,$H11)&amp;"")="finalized",LOWER(INDEX('Game Records'!$L:$L,$H11)&amp;"")&lt;&gt;"yes",INDEX('Game Records'!$U:$U,$H11)&lt;&gt;"Subscription",INDEX('Game Records'!$U:$U,$H11)&lt;&gt;"Free Game",INDEX('Game Records'!$U:$U,$H11)&lt;&gt;"Disqualified — Free Game",INDEX('Game Records'!$K:$K,$H11)=""),"Final Earned; ","")&amp;IF(AND(LOWER(INDEX('Game Records'!$D:$D,$H11)&amp;"")="finalized",INDEX('Game Records'!$U:$U,$H11)&lt;&gt;"Subscription",INDEX('Game Records'!$U:$U,$H11)&lt;&gt;"Free Game",INDEX('Game Records'!$U:$U,$H11)&lt;&gt;"Disqualified — Free Game",OR(INDEX('Game Records'!$L:$L,$H11)="",LOWER(INDEX('Game Records'!$L:$L,$H11)&amp;"")="n/a")),"Disqualified Status; ",""))</x:f>
        <x:v/>
      </x:c>
      <x:c r="G11" s="331" t="str">
        <x:f>IF($H11="","",IFERROR(INDEX('Game Records'!$M:$M,$H11),""))</x:f>
        <x:v/>
      </x:c>
      <x:c r="H11" s="104" t="str">
        <x:f>IF($H10="","",IFERROR(MATCH(1,INDEX((ROW('Game Records'!$U$5:$U$504)&gt;$H10)*(('Game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 s="104"/>
      <x:c r="J11" s="104"/>
    </x:row>
    <x:row r="12" ht="24" hidden="0" customHeight="1">
      <x:c r="A12" s="332" t="str">
        <x:f>IF($H12="","",ROWS($A$5:A12))</x:f>
        <x:v/>
      </x:c>
      <x:c r="B12" s="332" t="str">
        <x:f>IF($H12="","","G-"&amp;TEXT($A12,"0000"))</x:f>
        <x:v/>
      </x:c>
      <x:c r="C12" s="331" t="str">
        <x:f>IF($H12="","",IFERROR(INDEX('Game Records'!$A:$A,$H12),""))</x:f>
        <x:v/>
      </x:c>
      <x:c r="D12" s="331" t="str">
        <x:f>IF($H12="","",IFERROR(INDEX('Game Records'!$U:$U,$H12),""))</x:f>
        <x:v/>
      </x:c>
      <x:c r="E12" s="331" t="str">
        <x:f>IF($H12="","",IF($F12="","No Highlighted Fields","Highlighted Fields Present"))</x:f>
        <x:v/>
      </x:c>
      <x:c r="F12" s="331" t="str">
        <x:f>IF($H12="","",IF(INDEX('Game Records'!$B:$B,$H12)="","Start Date; ","")&amp;IF(INDEX('Game Records'!$C:$C,$H12)="","End Date; ","")&amp;IF(AND(INDEX('Game Records'!$U:$U,$H12)&lt;&gt;"Subscription",INDEX('Game Records'!$U:$U,$H12)&lt;&gt;"Free Game",INDEX('Game Records'!$U:$U,$H12)&lt;&gt;"Disqualified — Free Game",OR(INDEX('Game Records'!$D:$D,$H12)="",LOWER(INDEX('Game Records'!$D:$D,$H12)&amp;"")="n/a")),"Entry Mode; ","")&amp;IF(AND(INDEX('Game Records'!$U:$U,$H12)&lt;&gt;"Subscription",INDEX('Game Records'!$U:$U,$H12)&lt;&gt;"Free Game",INDEX('Game Records'!$U:$U,$H12)&lt;&gt;"Disqualified — Free Game",OR(INDEX('Game Records'!$E:$E,$H12)="",LOWER(INDEX('Game Records'!$E:$E,$H12)&amp;"")="n/a")),"Game Type; ","")&amp;IF(INDEX('Game Records'!$F:$F,$H12)="","Payment Type; ","")&amp;IF(AND(INDEX('Game Records'!$U:$U,$H12)&lt;&gt;"Subscription",INDEX('Game Records'!$U:$U,$H12)&lt;&gt;"Free Game",INDEX('Game Records'!$U:$U,$H12)&lt;&gt;"Disqualified — Free Game",INDEX('Game Records'!$G:$G,$H12)=""),"Gross Pot; ","")&amp;IF(AND(INDEX('Game Records'!$U:$U,$H12)&lt;&gt;"Free Game",INDEX('Game Records'!$U:$U,$H12)&lt;&gt;"Disqualified — Free Game",INDEX('Game Records'!$H:$H,$H12)=""),"Entry Fee; ","")&amp;IF(AND(INDEX('Game Records'!$U:$U,$H12)&lt;&gt;"Subscription",INDEX('Game Records'!$U:$U,$H12)&lt;&gt;"Free Game",INDEX('Game Records'!$U:$U,$H12)&lt;&gt;"Disqualified — Free Game",INDEX('Game Records'!$I:$I,$H12)=""),"Eligible Players; ","")&amp;IF(AND(INDEX('Game Records'!$U:$U,$H12)&lt;&gt;"Subscription",INDEX('Game Records'!$U:$U,$H12)&lt;&gt;"Free Game",INDEX('Game Records'!$U:$U,$H12)&lt;&gt;"Disqualified — Free Game",INDEX('Game Records'!$J:$J,$H12)=""),"Total Players; ","")&amp;IF(AND(LOWER(INDEX('Game Records'!$D:$D,$H12)&amp;"")="finalized",LOWER(INDEX('Game Records'!$L:$L,$H12)&amp;"")&lt;&gt;"yes",INDEX('Game Records'!$U:$U,$H12)&lt;&gt;"Subscription",INDEX('Game Records'!$U:$U,$H12)&lt;&gt;"Free Game",INDEX('Game Records'!$U:$U,$H12)&lt;&gt;"Disqualified — Free Game",INDEX('Game Records'!$K:$K,$H12)=""),"Final Earned; ","")&amp;IF(AND(LOWER(INDEX('Game Records'!$D:$D,$H12)&amp;"")="finalized",INDEX('Game Records'!$U:$U,$H12)&lt;&gt;"Subscription",INDEX('Game Records'!$U:$U,$H12)&lt;&gt;"Free Game",INDEX('Game Records'!$U:$U,$H12)&lt;&gt;"Disqualified — Free Game",OR(INDEX('Game Records'!$L:$L,$H12)="",LOWER(INDEX('Game Records'!$L:$L,$H12)&amp;"")="n/a")),"Disqualified Status; ",""))</x:f>
        <x:v/>
      </x:c>
      <x:c r="G12" s="331" t="str">
        <x:f>IF($H12="","",IFERROR(INDEX('Game Records'!$M:$M,$H12),""))</x:f>
        <x:v/>
      </x:c>
      <x:c r="H12" s="104" t="str">
        <x:f>IF($H11="","",IFERROR(MATCH(1,INDEX((ROW('Game Records'!$U$5:$U$504)&gt;$H11)*(('Game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 s="104"/>
      <x:c r="J12" s="104"/>
    </x:row>
    <x:row r="13" ht="24" hidden="0" customHeight="1">
      <x:c r="A13" s="332" t="str">
        <x:f>IF($H13="","",ROWS($A$5:A13))</x:f>
        <x:v/>
      </x:c>
      <x:c r="B13" s="332" t="str">
        <x:f>IF($H13="","","G-"&amp;TEXT($A13,"0000"))</x:f>
        <x:v/>
      </x:c>
      <x:c r="C13" s="331" t="str">
        <x:f>IF($H13="","",IFERROR(INDEX('Game Records'!$A:$A,$H13),""))</x:f>
        <x:v/>
      </x:c>
      <x:c r="D13" s="331" t="str">
        <x:f>IF($H13="","",IFERROR(INDEX('Game Records'!$U:$U,$H13),""))</x:f>
        <x:v/>
      </x:c>
      <x:c r="E13" s="331" t="str">
        <x:f>IF($H13="","",IF($F13="","No Highlighted Fields","Highlighted Fields Present"))</x:f>
        <x:v/>
      </x:c>
      <x:c r="F13" s="331" t="str">
        <x:f>IF($H13="","",IF(INDEX('Game Records'!$B:$B,$H13)="","Start Date; ","")&amp;IF(INDEX('Game Records'!$C:$C,$H13)="","End Date; ","")&amp;IF(AND(INDEX('Game Records'!$U:$U,$H13)&lt;&gt;"Subscription",INDEX('Game Records'!$U:$U,$H13)&lt;&gt;"Free Game",INDEX('Game Records'!$U:$U,$H13)&lt;&gt;"Disqualified — Free Game",OR(INDEX('Game Records'!$D:$D,$H13)="",LOWER(INDEX('Game Records'!$D:$D,$H13)&amp;"")="n/a")),"Entry Mode; ","")&amp;IF(AND(INDEX('Game Records'!$U:$U,$H13)&lt;&gt;"Subscription",INDEX('Game Records'!$U:$U,$H13)&lt;&gt;"Free Game",INDEX('Game Records'!$U:$U,$H13)&lt;&gt;"Disqualified — Free Game",OR(INDEX('Game Records'!$E:$E,$H13)="",LOWER(INDEX('Game Records'!$E:$E,$H13)&amp;"")="n/a")),"Game Type; ","")&amp;IF(INDEX('Game Records'!$F:$F,$H13)="","Payment Type; ","")&amp;IF(AND(INDEX('Game Records'!$U:$U,$H13)&lt;&gt;"Subscription",INDEX('Game Records'!$U:$U,$H13)&lt;&gt;"Free Game",INDEX('Game Records'!$U:$U,$H13)&lt;&gt;"Disqualified — Free Game",INDEX('Game Records'!$G:$G,$H13)=""),"Gross Pot; ","")&amp;IF(AND(INDEX('Game Records'!$U:$U,$H13)&lt;&gt;"Free Game",INDEX('Game Records'!$U:$U,$H13)&lt;&gt;"Disqualified — Free Game",INDEX('Game Records'!$H:$H,$H13)=""),"Entry Fee; ","")&amp;IF(AND(INDEX('Game Records'!$U:$U,$H13)&lt;&gt;"Subscription",INDEX('Game Records'!$U:$U,$H13)&lt;&gt;"Free Game",INDEX('Game Records'!$U:$U,$H13)&lt;&gt;"Disqualified — Free Game",INDEX('Game Records'!$I:$I,$H13)=""),"Eligible Players; ","")&amp;IF(AND(INDEX('Game Records'!$U:$U,$H13)&lt;&gt;"Subscription",INDEX('Game Records'!$U:$U,$H13)&lt;&gt;"Free Game",INDEX('Game Records'!$U:$U,$H13)&lt;&gt;"Disqualified — Free Game",INDEX('Game Records'!$J:$J,$H13)=""),"Total Players; ","")&amp;IF(AND(LOWER(INDEX('Game Records'!$D:$D,$H13)&amp;"")="finalized",LOWER(INDEX('Game Records'!$L:$L,$H13)&amp;"")&lt;&gt;"yes",INDEX('Game Records'!$U:$U,$H13)&lt;&gt;"Subscription",INDEX('Game Records'!$U:$U,$H13)&lt;&gt;"Free Game",INDEX('Game Records'!$U:$U,$H13)&lt;&gt;"Disqualified — Free Game",INDEX('Game Records'!$K:$K,$H13)=""),"Final Earned; ","")&amp;IF(AND(LOWER(INDEX('Game Records'!$D:$D,$H13)&amp;"")="finalized",INDEX('Game Records'!$U:$U,$H13)&lt;&gt;"Subscription",INDEX('Game Records'!$U:$U,$H13)&lt;&gt;"Free Game",INDEX('Game Records'!$U:$U,$H13)&lt;&gt;"Disqualified — Free Game",OR(INDEX('Game Records'!$L:$L,$H13)="",LOWER(INDEX('Game Records'!$L:$L,$H13)&amp;"")="n/a")),"Disqualified Status; ",""))</x:f>
        <x:v/>
      </x:c>
      <x:c r="G13" s="331" t="str">
        <x:f>IF($H13="","",IFERROR(INDEX('Game Records'!$M:$M,$H13),""))</x:f>
        <x:v/>
      </x:c>
      <x:c r="H13" s="104" t="str">
        <x:f>IF($H12="","",IFERROR(MATCH(1,INDEX((ROW('Game Records'!$U$5:$U$504)&gt;$H12)*(('Game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 s="104"/>
      <x:c r="J13" s="104"/>
    </x:row>
    <x:row r="14" ht="24" hidden="0" customHeight="1">
      <x:c r="A14" s="332" t="str">
        <x:f>IF($H14="","",ROWS($A$5:A14))</x:f>
        <x:v/>
      </x:c>
      <x:c r="B14" s="332" t="str">
        <x:f>IF($H14="","","G-"&amp;TEXT($A14,"0000"))</x:f>
        <x:v/>
      </x:c>
      <x:c r="C14" s="331" t="str">
        <x:f>IF($H14="","",IFERROR(INDEX('Game Records'!$A:$A,$H14),""))</x:f>
        <x:v/>
      </x:c>
      <x:c r="D14" s="331" t="str">
        <x:f>IF($H14="","",IFERROR(INDEX('Game Records'!$U:$U,$H14),""))</x:f>
        <x:v/>
      </x:c>
      <x:c r="E14" s="331" t="str">
        <x:f>IF($H14="","",IF($F14="","No Highlighted Fields","Highlighted Fields Present"))</x:f>
        <x:v/>
      </x:c>
      <x:c r="F14" s="331" t="str">
        <x:f>IF($H14="","",IF(INDEX('Game Records'!$B:$B,$H14)="","Start Date; ","")&amp;IF(INDEX('Game Records'!$C:$C,$H14)="","End Date; ","")&amp;IF(AND(INDEX('Game Records'!$U:$U,$H14)&lt;&gt;"Subscription",INDEX('Game Records'!$U:$U,$H14)&lt;&gt;"Free Game",INDEX('Game Records'!$U:$U,$H14)&lt;&gt;"Disqualified — Free Game",OR(INDEX('Game Records'!$D:$D,$H14)="",LOWER(INDEX('Game Records'!$D:$D,$H14)&amp;"")="n/a")),"Entry Mode; ","")&amp;IF(AND(INDEX('Game Records'!$U:$U,$H14)&lt;&gt;"Subscription",INDEX('Game Records'!$U:$U,$H14)&lt;&gt;"Free Game",INDEX('Game Records'!$U:$U,$H14)&lt;&gt;"Disqualified — Free Game",OR(INDEX('Game Records'!$E:$E,$H14)="",LOWER(INDEX('Game Records'!$E:$E,$H14)&amp;"")="n/a")),"Game Type; ","")&amp;IF(INDEX('Game Records'!$F:$F,$H14)="","Payment Type; ","")&amp;IF(AND(INDEX('Game Records'!$U:$U,$H14)&lt;&gt;"Subscription",INDEX('Game Records'!$U:$U,$H14)&lt;&gt;"Free Game",INDEX('Game Records'!$U:$U,$H14)&lt;&gt;"Disqualified — Free Game",INDEX('Game Records'!$G:$G,$H14)=""),"Gross Pot; ","")&amp;IF(AND(INDEX('Game Records'!$U:$U,$H14)&lt;&gt;"Free Game",INDEX('Game Records'!$U:$U,$H14)&lt;&gt;"Disqualified — Free Game",INDEX('Game Records'!$H:$H,$H14)=""),"Entry Fee; ","")&amp;IF(AND(INDEX('Game Records'!$U:$U,$H14)&lt;&gt;"Subscription",INDEX('Game Records'!$U:$U,$H14)&lt;&gt;"Free Game",INDEX('Game Records'!$U:$U,$H14)&lt;&gt;"Disqualified — Free Game",INDEX('Game Records'!$I:$I,$H14)=""),"Eligible Players; ","")&amp;IF(AND(INDEX('Game Records'!$U:$U,$H14)&lt;&gt;"Subscription",INDEX('Game Records'!$U:$U,$H14)&lt;&gt;"Free Game",INDEX('Game Records'!$U:$U,$H14)&lt;&gt;"Disqualified — Free Game",INDEX('Game Records'!$J:$J,$H14)=""),"Total Players; ","")&amp;IF(AND(LOWER(INDEX('Game Records'!$D:$D,$H14)&amp;"")="finalized",LOWER(INDEX('Game Records'!$L:$L,$H14)&amp;"")&lt;&gt;"yes",INDEX('Game Records'!$U:$U,$H14)&lt;&gt;"Subscription",INDEX('Game Records'!$U:$U,$H14)&lt;&gt;"Free Game",INDEX('Game Records'!$U:$U,$H14)&lt;&gt;"Disqualified — Free Game",INDEX('Game Records'!$K:$K,$H14)=""),"Final Earned; ","")&amp;IF(AND(LOWER(INDEX('Game Records'!$D:$D,$H14)&amp;"")="finalized",INDEX('Game Records'!$U:$U,$H14)&lt;&gt;"Subscription",INDEX('Game Records'!$U:$U,$H14)&lt;&gt;"Free Game",INDEX('Game Records'!$U:$U,$H14)&lt;&gt;"Disqualified — Free Game",OR(INDEX('Game Records'!$L:$L,$H14)="",LOWER(INDEX('Game Records'!$L:$L,$H14)&amp;"")="n/a")),"Disqualified Status; ",""))</x:f>
        <x:v/>
      </x:c>
      <x:c r="G14" s="331" t="str">
        <x:f>IF($H14="","",IFERROR(INDEX('Game Records'!$M:$M,$H14),""))</x:f>
        <x:v/>
      </x:c>
      <x:c r="H14" s="104" t="str">
        <x:f>IF($H13="","",IFERROR(MATCH(1,INDEX((ROW('Game Records'!$U$5:$U$504)&gt;$H13)*(('Game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 s="104"/>
      <x:c r="J14" s="104"/>
    </x:row>
    <x:row r="15" ht="24" hidden="0" customHeight="1">
      <x:c r="A15" s="332" t="str">
        <x:f>IF($H15="","",ROWS($A$5:A15))</x:f>
        <x:v/>
      </x:c>
      <x:c r="B15" s="332" t="str">
        <x:f>IF($H15="","","G-"&amp;TEXT($A15,"0000"))</x:f>
        <x:v/>
      </x:c>
      <x:c r="C15" s="331" t="str">
        <x:f>IF($H15="","",IFERROR(INDEX('Game Records'!$A:$A,$H15),""))</x:f>
        <x:v/>
      </x:c>
      <x:c r="D15" s="331" t="str">
        <x:f>IF($H15="","",IFERROR(INDEX('Game Records'!$U:$U,$H15),""))</x:f>
        <x:v/>
      </x:c>
      <x:c r="E15" s="331" t="str">
        <x:f>IF($H15="","",IF($F15="","No Highlighted Fields","Highlighted Fields Present"))</x:f>
        <x:v/>
      </x:c>
      <x:c r="F15" s="331" t="str">
        <x:f>IF($H15="","",IF(INDEX('Game Records'!$B:$B,$H15)="","Start Date; ","")&amp;IF(INDEX('Game Records'!$C:$C,$H15)="","End Date; ","")&amp;IF(AND(INDEX('Game Records'!$U:$U,$H15)&lt;&gt;"Subscription",INDEX('Game Records'!$U:$U,$H15)&lt;&gt;"Free Game",INDEX('Game Records'!$U:$U,$H15)&lt;&gt;"Disqualified — Free Game",OR(INDEX('Game Records'!$D:$D,$H15)="",LOWER(INDEX('Game Records'!$D:$D,$H15)&amp;"")="n/a")),"Entry Mode; ","")&amp;IF(AND(INDEX('Game Records'!$U:$U,$H15)&lt;&gt;"Subscription",INDEX('Game Records'!$U:$U,$H15)&lt;&gt;"Free Game",INDEX('Game Records'!$U:$U,$H15)&lt;&gt;"Disqualified — Free Game",OR(INDEX('Game Records'!$E:$E,$H15)="",LOWER(INDEX('Game Records'!$E:$E,$H15)&amp;"")="n/a")),"Game Type; ","")&amp;IF(INDEX('Game Records'!$F:$F,$H15)="","Payment Type; ","")&amp;IF(AND(INDEX('Game Records'!$U:$U,$H15)&lt;&gt;"Subscription",INDEX('Game Records'!$U:$U,$H15)&lt;&gt;"Free Game",INDEX('Game Records'!$U:$U,$H15)&lt;&gt;"Disqualified — Free Game",INDEX('Game Records'!$G:$G,$H15)=""),"Gross Pot; ","")&amp;IF(AND(INDEX('Game Records'!$U:$U,$H15)&lt;&gt;"Free Game",INDEX('Game Records'!$U:$U,$H15)&lt;&gt;"Disqualified — Free Game",INDEX('Game Records'!$H:$H,$H15)=""),"Entry Fee; ","")&amp;IF(AND(INDEX('Game Records'!$U:$U,$H15)&lt;&gt;"Subscription",INDEX('Game Records'!$U:$U,$H15)&lt;&gt;"Free Game",INDEX('Game Records'!$U:$U,$H15)&lt;&gt;"Disqualified — Free Game",INDEX('Game Records'!$I:$I,$H15)=""),"Eligible Players; ","")&amp;IF(AND(INDEX('Game Records'!$U:$U,$H15)&lt;&gt;"Subscription",INDEX('Game Records'!$U:$U,$H15)&lt;&gt;"Free Game",INDEX('Game Records'!$U:$U,$H15)&lt;&gt;"Disqualified — Free Game",INDEX('Game Records'!$J:$J,$H15)=""),"Total Players; ","")&amp;IF(AND(LOWER(INDEX('Game Records'!$D:$D,$H15)&amp;"")="finalized",LOWER(INDEX('Game Records'!$L:$L,$H15)&amp;"")&lt;&gt;"yes",INDEX('Game Records'!$U:$U,$H15)&lt;&gt;"Subscription",INDEX('Game Records'!$U:$U,$H15)&lt;&gt;"Free Game",INDEX('Game Records'!$U:$U,$H15)&lt;&gt;"Disqualified — Free Game",INDEX('Game Records'!$K:$K,$H15)=""),"Final Earned; ","")&amp;IF(AND(LOWER(INDEX('Game Records'!$D:$D,$H15)&amp;"")="finalized",INDEX('Game Records'!$U:$U,$H15)&lt;&gt;"Subscription",INDEX('Game Records'!$U:$U,$H15)&lt;&gt;"Free Game",INDEX('Game Records'!$U:$U,$H15)&lt;&gt;"Disqualified — Free Game",OR(INDEX('Game Records'!$L:$L,$H15)="",LOWER(INDEX('Game Records'!$L:$L,$H15)&amp;"")="n/a")),"Disqualified Status; ",""))</x:f>
        <x:v/>
      </x:c>
      <x:c r="G15" s="331" t="str">
        <x:f>IF($H15="","",IFERROR(INDEX('Game Records'!$M:$M,$H15),""))</x:f>
        <x:v/>
      </x:c>
      <x:c r="H15" s="104" t="str">
        <x:f>IF($H14="","",IFERROR(MATCH(1,INDEX((ROW('Game Records'!$U$5:$U$504)&gt;$H14)*(('Game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 s="104"/>
      <x:c r="J15" s="104"/>
    </x:row>
    <x:row r="16" ht="24" hidden="0" customHeight="1">
      <x:c r="A16" s="332" t="str">
        <x:f>IF($H16="","",ROWS($A$5:A16))</x:f>
        <x:v/>
      </x:c>
      <x:c r="B16" s="332" t="str">
        <x:f>IF($H16="","","G-"&amp;TEXT($A16,"0000"))</x:f>
        <x:v/>
      </x:c>
      <x:c r="C16" s="331" t="str">
        <x:f>IF($H16="","",IFERROR(INDEX('Game Records'!$A:$A,$H16),""))</x:f>
        <x:v/>
      </x:c>
      <x:c r="D16" s="331" t="str">
        <x:f>IF($H16="","",IFERROR(INDEX('Game Records'!$U:$U,$H16),""))</x:f>
        <x:v/>
      </x:c>
      <x:c r="E16" s="331" t="str">
        <x:f>IF($H16="","",IF($F16="","No Highlighted Fields","Highlighted Fields Present"))</x:f>
        <x:v/>
      </x:c>
      <x:c r="F16" s="331" t="str">
        <x:f>IF($H16="","",IF(INDEX('Game Records'!$B:$B,$H16)="","Start Date; ","")&amp;IF(INDEX('Game Records'!$C:$C,$H16)="","End Date; ","")&amp;IF(AND(INDEX('Game Records'!$U:$U,$H16)&lt;&gt;"Subscription",INDEX('Game Records'!$U:$U,$H16)&lt;&gt;"Free Game",INDEX('Game Records'!$U:$U,$H16)&lt;&gt;"Disqualified — Free Game",OR(INDEX('Game Records'!$D:$D,$H16)="",LOWER(INDEX('Game Records'!$D:$D,$H16)&amp;"")="n/a")),"Entry Mode; ","")&amp;IF(AND(INDEX('Game Records'!$U:$U,$H16)&lt;&gt;"Subscription",INDEX('Game Records'!$U:$U,$H16)&lt;&gt;"Free Game",INDEX('Game Records'!$U:$U,$H16)&lt;&gt;"Disqualified — Free Game",OR(INDEX('Game Records'!$E:$E,$H16)="",LOWER(INDEX('Game Records'!$E:$E,$H16)&amp;"")="n/a")),"Game Type; ","")&amp;IF(INDEX('Game Records'!$F:$F,$H16)="","Payment Type; ","")&amp;IF(AND(INDEX('Game Records'!$U:$U,$H16)&lt;&gt;"Subscription",INDEX('Game Records'!$U:$U,$H16)&lt;&gt;"Free Game",INDEX('Game Records'!$U:$U,$H16)&lt;&gt;"Disqualified — Free Game",INDEX('Game Records'!$G:$G,$H16)=""),"Gross Pot; ","")&amp;IF(AND(INDEX('Game Records'!$U:$U,$H16)&lt;&gt;"Free Game",INDEX('Game Records'!$U:$U,$H16)&lt;&gt;"Disqualified — Free Game",INDEX('Game Records'!$H:$H,$H16)=""),"Entry Fee; ","")&amp;IF(AND(INDEX('Game Records'!$U:$U,$H16)&lt;&gt;"Subscription",INDEX('Game Records'!$U:$U,$H16)&lt;&gt;"Free Game",INDEX('Game Records'!$U:$U,$H16)&lt;&gt;"Disqualified — Free Game",INDEX('Game Records'!$I:$I,$H16)=""),"Eligible Players; ","")&amp;IF(AND(INDEX('Game Records'!$U:$U,$H16)&lt;&gt;"Subscription",INDEX('Game Records'!$U:$U,$H16)&lt;&gt;"Free Game",INDEX('Game Records'!$U:$U,$H16)&lt;&gt;"Disqualified — Free Game",INDEX('Game Records'!$J:$J,$H16)=""),"Total Players; ","")&amp;IF(AND(LOWER(INDEX('Game Records'!$D:$D,$H16)&amp;"")="finalized",LOWER(INDEX('Game Records'!$L:$L,$H16)&amp;"")&lt;&gt;"yes",INDEX('Game Records'!$U:$U,$H16)&lt;&gt;"Subscription",INDEX('Game Records'!$U:$U,$H16)&lt;&gt;"Free Game",INDEX('Game Records'!$U:$U,$H16)&lt;&gt;"Disqualified — Free Game",INDEX('Game Records'!$K:$K,$H16)=""),"Final Earned; ","")&amp;IF(AND(LOWER(INDEX('Game Records'!$D:$D,$H16)&amp;"")="finalized",INDEX('Game Records'!$U:$U,$H16)&lt;&gt;"Subscription",INDEX('Game Records'!$U:$U,$H16)&lt;&gt;"Free Game",INDEX('Game Records'!$U:$U,$H16)&lt;&gt;"Disqualified — Free Game",OR(INDEX('Game Records'!$L:$L,$H16)="",LOWER(INDEX('Game Records'!$L:$L,$H16)&amp;"")="n/a")),"Disqualified Status; ",""))</x:f>
        <x:v/>
      </x:c>
      <x:c r="G16" s="331" t="str">
        <x:f>IF($H16="","",IFERROR(INDEX('Game Records'!$M:$M,$H16),""))</x:f>
        <x:v/>
      </x:c>
      <x:c r="H16" s="104" t="str">
        <x:f>IF($H15="","",IFERROR(MATCH(1,INDEX((ROW('Game Records'!$U$5:$U$504)&gt;$H15)*(('Game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 s="104"/>
      <x:c r="J16" s="104"/>
    </x:row>
    <x:row r="17" ht="24" hidden="0" customHeight="1">
      <x:c r="A17" s="332" t="str">
        <x:f>IF($H17="","",ROWS($A$5:A17))</x:f>
        <x:v/>
      </x:c>
      <x:c r="B17" s="332" t="str">
        <x:f>IF($H17="","","G-"&amp;TEXT($A17,"0000"))</x:f>
        <x:v/>
      </x:c>
      <x:c r="C17" s="331" t="str">
        <x:f>IF($H17="","",IFERROR(INDEX('Game Records'!$A:$A,$H17),""))</x:f>
        <x:v/>
      </x:c>
      <x:c r="D17" s="331" t="str">
        <x:f>IF($H17="","",IFERROR(INDEX('Game Records'!$U:$U,$H17),""))</x:f>
        <x:v/>
      </x:c>
      <x:c r="E17" s="331" t="str">
        <x:f>IF($H17="","",IF($F17="","No Highlighted Fields","Highlighted Fields Present"))</x:f>
        <x:v/>
      </x:c>
      <x:c r="F17" s="331" t="str">
        <x:f>IF($H17="","",IF(INDEX('Game Records'!$B:$B,$H17)="","Start Date; ","")&amp;IF(INDEX('Game Records'!$C:$C,$H17)="","End Date; ","")&amp;IF(AND(INDEX('Game Records'!$U:$U,$H17)&lt;&gt;"Subscription",INDEX('Game Records'!$U:$U,$H17)&lt;&gt;"Free Game",INDEX('Game Records'!$U:$U,$H17)&lt;&gt;"Disqualified — Free Game",OR(INDEX('Game Records'!$D:$D,$H17)="",LOWER(INDEX('Game Records'!$D:$D,$H17)&amp;"")="n/a")),"Entry Mode; ","")&amp;IF(AND(INDEX('Game Records'!$U:$U,$H17)&lt;&gt;"Subscription",INDEX('Game Records'!$U:$U,$H17)&lt;&gt;"Free Game",INDEX('Game Records'!$U:$U,$H17)&lt;&gt;"Disqualified — Free Game",OR(INDEX('Game Records'!$E:$E,$H17)="",LOWER(INDEX('Game Records'!$E:$E,$H17)&amp;"")="n/a")),"Game Type; ","")&amp;IF(INDEX('Game Records'!$F:$F,$H17)="","Payment Type; ","")&amp;IF(AND(INDEX('Game Records'!$U:$U,$H17)&lt;&gt;"Subscription",INDEX('Game Records'!$U:$U,$H17)&lt;&gt;"Free Game",INDEX('Game Records'!$U:$U,$H17)&lt;&gt;"Disqualified — Free Game",INDEX('Game Records'!$G:$G,$H17)=""),"Gross Pot; ","")&amp;IF(AND(INDEX('Game Records'!$U:$U,$H17)&lt;&gt;"Free Game",INDEX('Game Records'!$U:$U,$H17)&lt;&gt;"Disqualified — Free Game",INDEX('Game Records'!$H:$H,$H17)=""),"Entry Fee; ","")&amp;IF(AND(INDEX('Game Records'!$U:$U,$H17)&lt;&gt;"Subscription",INDEX('Game Records'!$U:$U,$H17)&lt;&gt;"Free Game",INDEX('Game Records'!$U:$U,$H17)&lt;&gt;"Disqualified — Free Game",INDEX('Game Records'!$I:$I,$H17)=""),"Eligible Players; ","")&amp;IF(AND(INDEX('Game Records'!$U:$U,$H17)&lt;&gt;"Subscription",INDEX('Game Records'!$U:$U,$H17)&lt;&gt;"Free Game",INDEX('Game Records'!$U:$U,$H17)&lt;&gt;"Disqualified — Free Game",INDEX('Game Records'!$J:$J,$H17)=""),"Total Players; ","")&amp;IF(AND(LOWER(INDEX('Game Records'!$D:$D,$H17)&amp;"")="finalized",LOWER(INDEX('Game Records'!$L:$L,$H17)&amp;"")&lt;&gt;"yes",INDEX('Game Records'!$U:$U,$H17)&lt;&gt;"Subscription",INDEX('Game Records'!$U:$U,$H17)&lt;&gt;"Free Game",INDEX('Game Records'!$U:$U,$H17)&lt;&gt;"Disqualified — Free Game",INDEX('Game Records'!$K:$K,$H17)=""),"Final Earned; ","")&amp;IF(AND(LOWER(INDEX('Game Records'!$D:$D,$H17)&amp;"")="finalized",INDEX('Game Records'!$U:$U,$H17)&lt;&gt;"Subscription",INDEX('Game Records'!$U:$U,$H17)&lt;&gt;"Free Game",INDEX('Game Records'!$U:$U,$H17)&lt;&gt;"Disqualified — Free Game",OR(INDEX('Game Records'!$L:$L,$H17)="",LOWER(INDEX('Game Records'!$L:$L,$H17)&amp;"")="n/a")),"Disqualified Status; ",""))</x:f>
        <x:v/>
      </x:c>
      <x:c r="G17" s="331" t="str">
        <x:f>IF($H17="","",IFERROR(INDEX('Game Records'!$M:$M,$H17),""))</x:f>
        <x:v/>
      </x:c>
      <x:c r="H17" s="104" t="str">
        <x:f>IF($H16="","",IFERROR(MATCH(1,INDEX((ROW('Game Records'!$U$5:$U$504)&gt;$H16)*(('Game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 s="104"/>
      <x:c r="J17" s="104"/>
    </x:row>
    <x:row r="18" ht="24" hidden="0" customHeight="1">
      <x:c r="A18" s="332" t="str">
        <x:f>IF($H18="","",ROWS($A$5:A18))</x:f>
        <x:v/>
      </x:c>
      <x:c r="B18" s="332" t="str">
        <x:f>IF($H18="","","G-"&amp;TEXT($A18,"0000"))</x:f>
        <x:v/>
      </x:c>
      <x:c r="C18" s="331" t="str">
        <x:f>IF($H18="","",IFERROR(INDEX('Game Records'!$A:$A,$H18),""))</x:f>
        <x:v/>
      </x:c>
      <x:c r="D18" s="331" t="str">
        <x:f>IF($H18="","",IFERROR(INDEX('Game Records'!$U:$U,$H18),""))</x:f>
        <x:v/>
      </x:c>
      <x:c r="E18" s="331" t="str">
        <x:f>IF($H18="","",IF($F18="","No Highlighted Fields","Highlighted Fields Present"))</x:f>
        <x:v/>
      </x:c>
      <x:c r="F18" s="331" t="str">
        <x:f>IF($H18="","",IF(INDEX('Game Records'!$B:$B,$H18)="","Start Date; ","")&amp;IF(INDEX('Game Records'!$C:$C,$H18)="","End Date; ","")&amp;IF(AND(INDEX('Game Records'!$U:$U,$H18)&lt;&gt;"Subscription",INDEX('Game Records'!$U:$U,$H18)&lt;&gt;"Free Game",INDEX('Game Records'!$U:$U,$H18)&lt;&gt;"Disqualified — Free Game",OR(INDEX('Game Records'!$D:$D,$H18)="",LOWER(INDEX('Game Records'!$D:$D,$H18)&amp;"")="n/a")),"Entry Mode; ","")&amp;IF(AND(INDEX('Game Records'!$U:$U,$H18)&lt;&gt;"Subscription",INDEX('Game Records'!$U:$U,$H18)&lt;&gt;"Free Game",INDEX('Game Records'!$U:$U,$H18)&lt;&gt;"Disqualified — Free Game",OR(INDEX('Game Records'!$E:$E,$H18)="",LOWER(INDEX('Game Records'!$E:$E,$H18)&amp;"")="n/a")),"Game Type; ","")&amp;IF(INDEX('Game Records'!$F:$F,$H18)="","Payment Type; ","")&amp;IF(AND(INDEX('Game Records'!$U:$U,$H18)&lt;&gt;"Subscription",INDEX('Game Records'!$U:$U,$H18)&lt;&gt;"Free Game",INDEX('Game Records'!$U:$U,$H18)&lt;&gt;"Disqualified — Free Game",INDEX('Game Records'!$G:$G,$H18)=""),"Gross Pot; ","")&amp;IF(AND(INDEX('Game Records'!$U:$U,$H18)&lt;&gt;"Free Game",INDEX('Game Records'!$U:$U,$H18)&lt;&gt;"Disqualified — Free Game",INDEX('Game Records'!$H:$H,$H18)=""),"Entry Fee; ","")&amp;IF(AND(INDEX('Game Records'!$U:$U,$H18)&lt;&gt;"Subscription",INDEX('Game Records'!$U:$U,$H18)&lt;&gt;"Free Game",INDEX('Game Records'!$U:$U,$H18)&lt;&gt;"Disqualified — Free Game",INDEX('Game Records'!$I:$I,$H18)=""),"Eligible Players; ","")&amp;IF(AND(INDEX('Game Records'!$U:$U,$H18)&lt;&gt;"Subscription",INDEX('Game Records'!$U:$U,$H18)&lt;&gt;"Free Game",INDEX('Game Records'!$U:$U,$H18)&lt;&gt;"Disqualified — Free Game",INDEX('Game Records'!$J:$J,$H18)=""),"Total Players; ","")&amp;IF(AND(LOWER(INDEX('Game Records'!$D:$D,$H18)&amp;"")="finalized",LOWER(INDEX('Game Records'!$L:$L,$H18)&amp;"")&lt;&gt;"yes",INDEX('Game Records'!$U:$U,$H18)&lt;&gt;"Subscription",INDEX('Game Records'!$U:$U,$H18)&lt;&gt;"Free Game",INDEX('Game Records'!$U:$U,$H18)&lt;&gt;"Disqualified — Free Game",INDEX('Game Records'!$K:$K,$H18)=""),"Final Earned; ","")&amp;IF(AND(LOWER(INDEX('Game Records'!$D:$D,$H18)&amp;"")="finalized",INDEX('Game Records'!$U:$U,$H18)&lt;&gt;"Subscription",INDEX('Game Records'!$U:$U,$H18)&lt;&gt;"Free Game",INDEX('Game Records'!$U:$U,$H18)&lt;&gt;"Disqualified — Free Game",OR(INDEX('Game Records'!$L:$L,$H18)="",LOWER(INDEX('Game Records'!$L:$L,$H18)&amp;"")="n/a")),"Disqualified Status; ",""))</x:f>
        <x:v/>
      </x:c>
      <x:c r="G18" s="331" t="str">
        <x:f>IF($H18="","",IFERROR(INDEX('Game Records'!$M:$M,$H18),""))</x:f>
        <x:v/>
      </x:c>
      <x:c r="H18" s="104" t="str">
        <x:f>IF($H17="","",IFERROR(MATCH(1,INDEX((ROW('Game Records'!$U$5:$U$504)&gt;$H17)*(('Game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 s="104"/>
      <x:c r="J18" s="104"/>
    </x:row>
    <x:row r="19" ht="24" hidden="0" customHeight="1">
      <x:c r="A19" s="332" t="str">
        <x:f>IF($H19="","",ROWS($A$5:A19))</x:f>
        <x:v/>
      </x:c>
      <x:c r="B19" s="332" t="str">
        <x:f>IF($H19="","","G-"&amp;TEXT($A19,"0000"))</x:f>
        <x:v/>
      </x:c>
      <x:c r="C19" s="331" t="str">
        <x:f>IF($H19="","",IFERROR(INDEX('Game Records'!$A:$A,$H19),""))</x:f>
        <x:v/>
      </x:c>
      <x:c r="D19" s="331" t="str">
        <x:f>IF($H19="","",IFERROR(INDEX('Game Records'!$U:$U,$H19),""))</x:f>
        <x:v/>
      </x:c>
      <x:c r="E19" s="331" t="str">
        <x:f>IF($H19="","",IF($F19="","No Highlighted Fields","Highlighted Fields Present"))</x:f>
        <x:v/>
      </x:c>
      <x:c r="F19" s="331" t="str">
        <x:f>IF($H19="","",IF(INDEX('Game Records'!$B:$B,$H19)="","Start Date; ","")&amp;IF(INDEX('Game Records'!$C:$C,$H19)="","End Date; ","")&amp;IF(AND(INDEX('Game Records'!$U:$U,$H19)&lt;&gt;"Subscription",INDEX('Game Records'!$U:$U,$H19)&lt;&gt;"Free Game",INDEX('Game Records'!$U:$U,$H19)&lt;&gt;"Disqualified — Free Game",OR(INDEX('Game Records'!$D:$D,$H19)="",LOWER(INDEX('Game Records'!$D:$D,$H19)&amp;"")="n/a")),"Entry Mode; ","")&amp;IF(AND(INDEX('Game Records'!$U:$U,$H19)&lt;&gt;"Subscription",INDEX('Game Records'!$U:$U,$H19)&lt;&gt;"Free Game",INDEX('Game Records'!$U:$U,$H19)&lt;&gt;"Disqualified — Free Game",OR(INDEX('Game Records'!$E:$E,$H19)="",LOWER(INDEX('Game Records'!$E:$E,$H19)&amp;"")="n/a")),"Game Type; ","")&amp;IF(INDEX('Game Records'!$F:$F,$H19)="","Payment Type; ","")&amp;IF(AND(INDEX('Game Records'!$U:$U,$H19)&lt;&gt;"Subscription",INDEX('Game Records'!$U:$U,$H19)&lt;&gt;"Free Game",INDEX('Game Records'!$U:$U,$H19)&lt;&gt;"Disqualified — Free Game",INDEX('Game Records'!$G:$G,$H19)=""),"Gross Pot; ","")&amp;IF(AND(INDEX('Game Records'!$U:$U,$H19)&lt;&gt;"Free Game",INDEX('Game Records'!$U:$U,$H19)&lt;&gt;"Disqualified — Free Game",INDEX('Game Records'!$H:$H,$H19)=""),"Entry Fee; ","")&amp;IF(AND(INDEX('Game Records'!$U:$U,$H19)&lt;&gt;"Subscription",INDEX('Game Records'!$U:$U,$H19)&lt;&gt;"Free Game",INDEX('Game Records'!$U:$U,$H19)&lt;&gt;"Disqualified — Free Game",INDEX('Game Records'!$I:$I,$H19)=""),"Eligible Players; ","")&amp;IF(AND(INDEX('Game Records'!$U:$U,$H19)&lt;&gt;"Subscription",INDEX('Game Records'!$U:$U,$H19)&lt;&gt;"Free Game",INDEX('Game Records'!$U:$U,$H19)&lt;&gt;"Disqualified — Free Game",INDEX('Game Records'!$J:$J,$H19)=""),"Total Players; ","")&amp;IF(AND(LOWER(INDEX('Game Records'!$D:$D,$H19)&amp;"")="finalized",LOWER(INDEX('Game Records'!$L:$L,$H19)&amp;"")&lt;&gt;"yes",INDEX('Game Records'!$U:$U,$H19)&lt;&gt;"Subscription",INDEX('Game Records'!$U:$U,$H19)&lt;&gt;"Free Game",INDEX('Game Records'!$U:$U,$H19)&lt;&gt;"Disqualified — Free Game",INDEX('Game Records'!$K:$K,$H19)=""),"Final Earned; ","")&amp;IF(AND(LOWER(INDEX('Game Records'!$D:$D,$H19)&amp;"")="finalized",INDEX('Game Records'!$U:$U,$H19)&lt;&gt;"Subscription",INDEX('Game Records'!$U:$U,$H19)&lt;&gt;"Free Game",INDEX('Game Records'!$U:$U,$H19)&lt;&gt;"Disqualified — Free Game",OR(INDEX('Game Records'!$L:$L,$H19)="",LOWER(INDEX('Game Records'!$L:$L,$H19)&amp;"")="n/a")),"Disqualified Status; ",""))</x:f>
        <x:v/>
      </x:c>
      <x:c r="G19" s="331" t="str">
        <x:f>IF($H19="","",IFERROR(INDEX('Game Records'!$M:$M,$H19),""))</x:f>
        <x:v/>
      </x:c>
      <x:c r="H19" s="104" t="str">
        <x:f>IF($H18="","",IFERROR(MATCH(1,INDEX((ROW('Game Records'!$U$5:$U$504)&gt;$H18)*(('Game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 s="104"/>
      <x:c r="J19" s="104"/>
    </x:row>
    <x:row r="20" ht="24" hidden="0" customHeight="1">
      <x:c r="A20" s="332" t="str">
        <x:f>IF($H20="","",ROWS($A$5:A20))</x:f>
        <x:v/>
      </x:c>
      <x:c r="B20" s="332" t="str">
        <x:f>IF($H20="","","G-"&amp;TEXT($A20,"0000"))</x:f>
        <x:v/>
      </x:c>
      <x:c r="C20" s="331" t="str">
        <x:f>IF($H20="","",IFERROR(INDEX('Game Records'!$A:$A,$H20),""))</x:f>
        <x:v/>
      </x:c>
      <x:c r="D20" s="331" t="str">
        <x:f>IF($H20="","",IFERROR(INDEX('Game Records'!$U:$U,$H20),""))</x:f>
        <x:v/>
      </x:c>
      <x:c r="E20" s="331" t="str">
        <x:f>IF($H20="","",IF($F20="","No Highlighted Fields","Highlighted Fields Present"))</x:f>
        <x:v/>
      </x:c>
      <x:c r="F20" s="331" t="str">
        <x:f>IF($H20="","",IF(INDEX('Game Records'!$B:$B,$H20)="","Start Date; ","")&amp;IF(INDEX('Game Records'!$C:$C,$H20)="","End Date; ","")&amp;IF(AND(INDEX('Game Records'!$U:$U,$H20)&lt;&gt;"Subscription",INDEX('Game Records'!$U:$U,$H20)&lt;&gt;"Free Game",INDEX('Game Records'!$U:$U,$H20)&lt;&gt;"Disqualified — Free Game",OR(INDEX('Game Records'!$D:$D,$H20)="",LOWER(INDEX('Game Records'!$D:$D,$H20)&amp;"")="n/a")),"Entry Mode; ","")&amp;IF(AND(INDEX('Game Records'!$U:$U,$H20)&lt;&gt;"Subscription",INDEX('Game Records'!$U:$U,$H20)&lt;&gt;"Free Game",INDEX('Game Records'!$U:$U,$H20)&lt;&gt;"Disqualified — Free Game",OR(INDEX('Game Records'!$E:$E,$H20)="",LOWER(INDEX('Game Records'!$E:$E,$H20)&amp;"")="n/a")),"Game Type; ","")&amp;IF(INDEX('Game Records'!$F:$F,$H20)="","Payment Type; ","")&amp;IF(AND(INDEX('Game Records'!$U:$U,$H20)&lt;&gt;"Subscription",INDEX('Game Records'!$U:$U,$H20)&lt;&gt;"Free Game",INDEX('Game Records'!$U:$U,$H20)&lt;&gt;"Disqualified — Free Game",INDEX('Game Records'!$G:$G,$H20)=""),"Gross Pot; ","")&amp;IF(AND(INDEX('Game Records'!$U:$U,$H20)&lt;&gt;"Free Game",INDEX('Game Records'!$U:$U,$H20)&lt;&gt;"Disqualified — Free Game",INDEX('Game Records'!$H:$H,$H20)=""),"Entry Fee; ","")&amp;IF(AND(INDEX('Game Records'!$U:$U,$H20)&lt;&gt;"Subscription",INDEX('Game Records'!$U:$U,$H20)&lt;&gt;"Free Game",INDEX('Game Records'!$U:$U,$H20)&lt;&gt;"Disqualified — Free Game",INDEX('Game Records'!$I:$I,$H20)=""),"Eligible Players; ","")&amp;IF(AND(INDEX('Game Records'!$U:$U,$H20)&lt;&gt;"Subscription",INDEX('Game Records'!$U:$U,$H20)&lt;&gt;"Free Game",INDEX('Game Records'!$U:$U,$H20)&lt;&gt;"Disqualified — Free Game",INDEX('Game Records'!$J:$J,$H20)=""),"Total Players; ","")&amp;IF(AND(LOWER(INDEX('Game Records'!$D:$D,$H20)&amp;"")="finalized",LOWER(INDEX('Game Records'!$L:$L,$H20)&amp;"")&lt;&gt;"yes",INDEX('Game Records'!$U:$U,$H20)&lt;&gt;"Subscription",INDEX('Game Records'!$U:$U,$H20)&lt;&gt;"Free Game",INDEX('Game Records'!$U:$U,$H20)&lt;&gt;"Disqualified — Free Game",INDEX('Game Records'!$K:$K,$H20)=""),"Final Earned; ","")&amp;IF(AND(LOWER(INDEX('Game Records'!$D:$D,$H20)&amp;"")="finalized",INDEX('Game Records'!$U:$U,$H20)&lt;&gt;"Subscription",INDEX('Game Records'!$U:$U,$H20)&lt;&gt;"Free Game",INDEX('Game Records'!$U:$U,$H20)&lt;&gt;"Disqualified — Free Game",OR(INDEX('Game Records'!$L:$L,$H20)="",LOWER(INDEX('Game Records'!$L:$L,$H20)&amp;"")="n/a")),"Disqualified Status; ",""))</x:f>
        <x:v/>
      </x:c>
      <x:c r="G20" s="331" t="str">
        <x:f>IF($H20="","",IFERROR(INDEX('Game Records'!$M:$M,$H20),""))</x:f>
        <x:v/>
      </x:c>
      <x:c r="H20" s="104" t="str">
        <x:f>IF($H19="","",IFERROR(MATCH(1,INDEX((ROW('Game Records'!$U$5:$U$504)&gt;$H19)*(('Game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0" s="104"/>
      <x:c r="J20" s="104"/>
    </x:row>
    <x:row r="21" ht="24" hidden="0" customHeight="1">
      <x:c r="A21" s="332" t="str">
        <x:f>IF($H21="","",ROWS($A$5:A21))</x:f>
        <x:v/>
      </x:c>
      <x:c r="B21" s="332" t="str">
        <x:f>IF($H21="","","G-"&amp;TEXT($A21,"0000"))</x:f>
        <x:v/>
      </x:c>
      <x:c r="C21" s="331" t="str">
        <x:f>IF($H21="","",IFERROR(INDEX('Game Records'!$A:$A,$H21),""))</x:f>
        <x:v/>
      </x:c>
      <x:c r="D21" s="331" t="str">
        <x:f>IF($H21="","",IFERROR(INDEX('Game Records'!$U:$U,$H21),""))</x:f>
        <x:v/>
      </x:c>
      <x:c r="E21" s="331" t="str">
        <x:f>IF($H21="","",IF($F21="","No Highlighted Fields","Highlighted Fields Present"))</x:f>
        <x:v/>
      </x:c>
      <x:c r="F21" s="331" t="str">
        <x:f>IF($H21="","",IF(INDEX('Game Records'!$B:$B,$H21)="","Start Date; ","")&amp;IF(INDEX('Game Records'!$C:$C,$H21)="","End Date; ","")&amp;IF(AND(INDEX('Game Records'!$U:$U,$H21)&lt;&gt;"Subscription",INDEX('Game Records'!$U:$U,$H21)&lt;&gt;"Free Game",INDEX('Game Records'!$U:$U,$H21)&lt;&gt;"Disqualified — Free Game",OR(INDEX('Game Records'!$D:$D,$H21)="",LOWER(INDEX('Game Records'!$D:$D,$H21)&amp;"")="n/a")),"Entry Mode; ","")&amp;IF(AND(INDEX('Game Records'!$U:$U,$H21)&lt;&gt;"Subscription",INDEX('Game Records'!$U:$U,$H21)&lt;&gt;"Free Game",INDEX('Game Records'!$U:$U,$H21)&lt;&gt;"Disqualified — Free Game",OR(INDEX('Game Records'!$E:$E,$H21)="",LOWER(INDEX('Game Records'!$E:$E,$H21)&amp;"")="n/a")),"Game Type; ","")&amp;IF(INDEX('Game Records'!$F:$F,$H21)="","Payment Type; ","")&amp;IF(AND(INDEX('Game Records'!$U:$U,$H21)&lt;&gt;"Subscription",INDEX('Game Records'!$U:$U,$H21)&lt;&gt;"Free Game",INDEX('Game Records'!$U:$U,$H21)&lt;&gt;"Disqualified — Free Game",INDEX('Game Records'!$G:$G,$H21)=""),"Gross Pot; ","")&amp;IF(AND(INDEX('Game Records'!$U:$U,$H21)&lt;&gt;"Free Game",INDEX('Game Records'!$U:$U,$H21)&lt;&gt;"Disqualified — Free Game",INDEX('Game Records'!$H:$H,$H21)=""),"Entry Fee; ","")&amp;IF(AND(INDEX('Game Records'!$U:$U,$H21)&lt;&gt;"Subscription",INDEX('Game Records'!$U:$U,$H21)&lt;&gt;"Free Game",INDEX('Game Records'!$U:$U,$H21)&lt;&gt;"Disqualified — Free Game",INDEX('Game Records'!$I:$I,$H21)=""),"Eligible Players; ","")&amp;IF(AND(INDEX('Game Records'!$U:$U,$H21)&lt;&gt;"Subscription",INDEX('Game Records'!$U:$U,$H21)&lt;&gt;"Free Game",INDEX('Game Records'!$U:$U,$H21)&lt;&gt;"Disqualified — Free Game",INDEX('Game Records'!$J:$J,$H21)=""),"Total Players; ","")&amp;IF(AND(LOWER(INDEX('Game Records'!$D:$D,$H21)&amp;"")="finalized",LOWER(INDEX('Game Records'!$L:$L,$H21)&amp;"")&lt;&gt;"yes",INDEX('Game Records'!$U:$U,$H21)&lt;&gt;"Subscription",INDEX('Game Records'!$U:$U,$H21)&lt;&gt;"Free Game",INDEX('Game Records'!$U:$U,$H21)&lt;&gt;"Disqualified — Free Game",INDEX('Game Records'!$K:$K,$H21)=""),"Final Earned; ","")&amp;IF(AND(LOWER(INDEX('Game Records'!$D:$D,$H21)&amp;"")="finalized",INDEX('Game Records'!$U:$U,$H21)&lt;&gt;"Subscription",INDEX('Game Records'!$U:$U,$H21)&lt;&gt;"Free Game",INDEX('Game Records'!$U:$U,$H21)&lt;&gt;"Disqualified — Free Game",OR(INDEX('Game Records'!$L:$L,$H21)="",LOWER(INDEX('Game Records'!$L:$L,$H21)&amp;"")="n/a")),"Disqualified Status; ",""))</x:f>
        <x:v/>
      </x:c>
      <x:c r="G21" s="331" t="str">
        <x:f>IF($H21="","",IFERROR(INDEX('Game Records'!$M:$M,$H21),""))</x:f>
        <x:v/>
      </x:c>
      <x:c r="H21" s="104" t="str">
        <x:f>IF($H20="","",IFERROR(MATCH(1,INDEX((ROW('Game Records'!$U$5:$U$504)&gt;$H20)*(('Game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1" s="104"/>
      <x:c r="J21" s="104"/>
    </x:row>
    <x:row r="22" ht="24" hidden="0" customHeight="1">
      <x:c r="A22" s="332" t="str">
        <x:f>IF($H22="","",ROWS($A$5:A22))</x:f>
        <x:v/>
      </x:c>
      <x:c r="B22" s="332" t="str">
        <x:f>IF($H22="","","G-"&amp;TEXT($A22,"0000"))</x:f>
        <x:v/>
      </x:c>
      <x:c r="C22" s="331" t="str">
        <x:f>IF($H22="","",IFERROR(INDEX('Game Records'!$A:$A,$H22),""))</x:f>
        <x:v/>
      </x:c>
      <x:c r="D22" s="331" t="str">
        <x:f>IF($H22="","",IFERROR(INDEX('Game Records'!$U:$U,$H22),""))</x:f>
        <x:v/>
      </x:c>
      <x:c r="E22" s="331" t="str">
        <x:f>IF($H22="","",IF($F22="","No Highlighted Fields","Highlighted Fields Present"))</x:f>
        <x:v/>
      </x:c>
      <x:c r="F22" s="331" t="str">
        <x:f>IF($H22="","",IF(INDEX('Game Records'!$B:$B,$H22)="","Start Date; ","")&amp;IF(INDEX('Game Records'!$C:$C,$H22)="","End Date; ","")&amp;IF(AND(INDEX('Game Records'!$U:$U,$H22)&lt;&gt;"Subscription",INDEX('Game Records'!$U:$U,$H22)&lt;&gt;"Free Game",INDEX('Game Records'!$U:$U,$H22)&lt;&gt;"Disqualified — Free Game",OR(INDEX('Game Records'!$D:$D,$H22)="",LOWER(INDEX('Game Records'!$D:$D,$H22)&amp;"")="n/a")),"Entry Mode; ","")&amp;IF(AND(INDEX('Game Records'!$U:$U,$H22)&lt;&gt;"Subscription",INDEX('Game Records'!$U:$U,$H22)&lt;&gt;"Free Game",INDEX('Game Records'!$U:$U,$H22)&lt;&gt;"Disqualified — Free Game",OR(INDEX('Game Records'!$E:$E,$H22)="",LOWER(INDEX('Game Records'!$E:$E,$H22)&amp;"")="n/a")),"Game Type; ","")&amp;IF(INDEX('Game Records'!$F:$F,$H22)="","Payment Type; ","")&amp;IF(AND(INDEX('Game Records'!$U:$U,$H22)&lt;&gt;"Subscription",INDEX('Game Records'!$U:$U,$H22)&lt;&gt;"Free Game",INDEX('Game Records'!$U:$U,$H22)&lt;&gt;"Disqualified — Free Game",INDEX('Game Records'!$G:$G,$H22)=""),"Gross Pot; ","")&amp;IF(AND(INDEX('Game Records'!$U:$U,$H22)&lt;&gt;"Free Game",INDEX('Game Records'!$U:$U,$H22)&lt;&gt;"Disqualified — Free Game",INDEX('Game Records'!$H:$H,$H22)=""),"Entry Fee; ","")&amp;IF(AND(INDEX('Game Records'!$U:$U,$H22)&lt;&gt;"Subscription",INDEX('Game Records'!$U:$U,$H22)&lt;&gt;"Free Game",INDEX('Game Records'!$U:$U,$H22)&lt;&gt;"Disqualified — Free Game",INDEX('Game Records'!$I:$I,$H22)=""),"Eligible Players; ","")&amp;IF(AND(INDEX('Game Records'!$U:$U,$H22)&lt;&gt;"Subscription",INDEX('Game Records'!$U:$U,$H22)&lt;&gt;"Free Game",INDEX('Game Records'!$U:$U,$H22)&lt;&gt;"Disqualified — Free Game",INDEX('Game Records'!$J:$J,$H22)=""),"Total Players; ","")&amp;IF(AND(LOWER(INDEX('Game Records'!$D:$D,$H22)&amp;"")="finalized",LOWER(INDEX('Game Records'!$L:$L,$H22)&amp;"")&lt;&gt;"yes",INDEX('Game Records'!$U:$U,$H22)&lt;&gt;"Subscription",INDEX('Game Records'!$U:$U,$H22)&lt;&gt;"Free Game",INDEX('Game Records'!$U:$U,$H22)&lt;&gt;"Disqualified — Free Game",INDEX('Game Records'!$K:$K,$H22)=""),"Final Earned; ","")&amp;IF(AND(LOWER(INDEX('Game Records'!$D:$D,$H22)&amp;"")="finalized",INDEX('Game Records'!$U:$U,$H22)&lt;&gt;"Subscription",INDEX('Game Records'!$U:$U,$H22)&lt;&gt;"Free Game",INDEX('Game Records'!$U:$U,$H22)&lt;&gt;"Disqualified — Free Game",OR(INDEX('Game Records'!$L:$L,$H22)="",LOWER(INDEX('Game Records'!$L:$L,$H22)&amp;"")="n/a")),"Disqualified Status; ",""))</x:f>
        <x:v/>
      </x:c>
      <x:c r="G22" s="331" t="str">
        <x:f>IF($H22="","",IFERROR(INDEX('Game Records'!$M:$M,$H22),""))</x:f>
        <x:v/>
      </x:c>
      <x:c r="H22" s="104" t="str">
        <x:f>IF($H21="","",IFERROR(MATCH(1,INDEX((ROW('Game Records'!$U$5:$U$504)&gt;$H21)*(('Game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2" s="104"/>
      <x:c r="J22" s="104"/>
    </x:row>
    <x:row r="23" ht="24" hidden="0" customHeight="1">
      <x:c r="A23" s="332" t="str">
        <x:f>IF($H23="","",ROWS($A$5:A23))</x:f>
        <x:v/>
      </x:c>
      <x:c r="B23" s="332" t="str">
        <x:f>IF($H23="","","G-"&amp;TEXT($A23,"0000"))</x:f>
        <x:v/>
      </x:c>
      <x:c r="C23" s="331" t="str">
        <x:f>IF($H23="","",IFERROR(INDEX('Game Records'!$A:$A,$H23),""))</x:f>
        <x:v/>
      </x:c>
      <x:c r="D23" s="331" t="str">
        <x:f>IF($H23="","",IFERROR(INDEX('Game Records'!$U:$U,$H23),""))</x:f>
        <x:v/>
      </x:c>
      <x:c r="E23" s="331" t="str">
        <x:f>IF($H23="","",IF($F23="","No Highlighted Fields","Highlighted Fields Present"))</x:f>
        <x:v/>
      </x:c>
      <x:c r="F23" s="331" t="str">
        <x:f>IF($H23="","",IF(INDEX('Game Records'!$B:$B,$H23)="","Start Date; ","")&amp;IF(INDEX('Game Records'!$C:$C,$H23)="","End Date; ","")&amp;IF(AND(INDEX('Game Records'!$U:$U,$H23)&lt;&gt;"Subscription",INDEX('Game Records'!$U:$U,$H23)&lt;&gt;"Free Game",INDEX('Game Records'!$U:$U,$H23)&lt;&gt;"Disqualified — Free Game",OR(INDEX('Game Records'!$D:$D,$H23)="",LOWER(INDEX('Game Records'!$D:$D,$H23)&amp;"")="n/a")),"Entry Mode; ","")&amp;IF(AND(INDEX('Game Records'!$U:$U,$H23)&lt;&gt;"Subscription",INDEX('Game Records'!$U:$U,$H23)&lt;&gt;"Free Game",INDEX('Game Records'!$U:$U,$H23)&lt;&gt;"Disqualified — Free Game",OR(INDEX('Game Records'!$E:$E,$H23)="",LOWER(INDEX('Game Records'!$E:$E,$H23)&amp;"")="n/a")),"Game Type; ","")&amp;IF(INDEX('Game Records'!$F:$F,$H23)="","Payment Type; ","")&amp;IF(AND(INDEX('Game Records'!$U:$U,$H23)&lt;&gt;"Subscription",INDEX('Game Records'!$U:$U,$H23)&lt;&gt;"Free Game",INDEX('Game Records'!$U:$U,$H23)&lt;&gt;"Disqualified — Free Game",INDEX('Game Records'!$G:$G,$H23)=""),"Gross Pot; ","")&amp;IF(AND(INDEX('Game Records'!$U:$U,$H23)&lt;&gt;"Free Game",INDEX('Game Records'!$U:$U,$H23)&lt;&gt;"Disqualified — Free Game",INDEX('Game Records'!$H:$H,$H23)=""),"Entry Fee; ","")&amp;IF(AND(INDEX('Game Records'!$U:$U,$H23)&lt;&gt;"Subscription",INDEX('Game Records'!$U:$U,$H23)&lt;&gt;"Free Game",INDEX('Game Records'!$U:$U,$H23)&lt;&gt;"Disqualified — Free Game",INDEX('Game Records'!$I:$I,$H23)=""),"Eligible Players; ","")&amp;IF(AND(INDEX('Game Records'!$U:$U,$H23)&lt;&gt;"Subscription",INDEX('Game Records'!$U:$U,$H23)&lt;&gt;"Free Game",INDEX('Game Records'!$U:$U,$H23)&lt;&gt;"Disqualified — Free Game",INDEX('Game Records'!$J:$J,$H23)=""),"Total Players; ","")&amp;IF(AND(LOWER(INDEX('Game Records'!$D:$D,$H23)&amp;"")="finalized",LOWER(INDEX('Game Records'!$L:$L,$H23)&amp;"")&lt;&gt;"yes",INDEX('Game Records'!$U:$U,$H23)&lt;&gt;"Subscription",INDEX('Game Records'!$U:$U,$H23)&lt;&gt;"Free Game",INDEX('Game Records'!$U:$U,$H23)&lt;&gt;"Disqualified — Free Game",INDEX('Game Records'!$K:$K,$H23)=""),"Final Earned; ","")&amp;IF(AND(LOWER(INDEX('Game Records'!$D:$D,$H23)&amp;"")="finalized",INDEX('Game Records'!$U:$U,$H23)&lt;&gt;"Subscription",INDEX('Game Records'!$U:$U,$H23)&lt;&gt;"Free Game",INDEX('Game Records'!$U:$U,$H23)&lt;&gt;"Disqualified — Free Game",OR(INDEX('Game Records'!$L:$L,$H23)="",LOWER(INDEX('Game Records'!$L:$L,$H23)&amp;"")="n/a")),"Disqualified Status; ",""))</x:f>
        <x:v/>
      </x:c>
      <x:c r="G23" s="331" t="str">
        <x:f>IF($H23="","",IFERROR(INDEX('Game Records'!$M:$M,$H23),""))</x:f>
        <x:v/>
      </x:c>
      <x:c r="H23" s="104" t="str">
        <x:f>IF($H22="","",IFERROR(MATCH(1,INDEX((ROW('Game Records'!$U$5:$U$504)&gt;$H22)*(('Game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3" s="104"/>
      <x:c r="J23" s="104"/>
    </x:row>
    <x:row r="24" ht="24" hidden="0" customHeight="1">
      <x:c r="A24" s="332" t="str">
        <x:f>IF($H24="","",ROWS($A$5:A24))</x:f>
        <x:v/>
      </x:c>
      <x:c r="B24" s="332" t="str">
        <x:f>IF($H24="","","G-"&amp;TEXT($A24,"0000"))</x:f>
        <x:v/>
      </x:c>
      <x:c r="C24" s="331" t="str">
        <x:f>IF($H24="","",IFERROR(INDEX('Game Records'!$A:$A,$H24),""))</x:f>
        <x:v/>
      </x:c>
      <x:c r="D24" s="331" t="str">
        <x:f>IF($H24="","",IFERROR(INDEX('Game Records'!$U:$U,$H24),""))</x:f>
        <x:v/>
      </x:c>
      <x:c r="E24" s="331" t="str">
        <x:f>IF($H24="","",IF($F24="","No Highlighted Fields","Highlighted Fields Present"))</x:f>
        <x:v/>
      </x:c>
      <x:c r="F24" s="331" t="str">
        <x:f>IF($H24="","",IF(INDEX('Game Records'!$B:$B,$H24)="","Start Date; ","")&amp;IF(INDEX('Game Records'!$C:$C,$H24)="","End Date; ","")&amp;IF(AND(INDEX('Game Records'!$U:$U,$H24)&lt;&gt;"Subscription",INDEX('Game Records'!$U:$U,$H24)&lt;&gt;"Free Game",INDEX('Game Records'!$U:$U,$H24)&lt;&gt;"Disqualified — Free Game",OR(INDEX('Game Records'!$D:$D,$H24)="",LOWER(INDEX('Game Records'!$D:$D,$H24)&amp;"")="n/a")),"Entry Mode; ","")&amp;IF(AND(INDEX('Game Records'!$U:$U,$H24)&lt;&gt;"Subscription",INDEX('Game Records'!$U:$U,$H24)&lt;&gt;"Free Game",INDEX('Game Records'!$U:$U,$H24)&lt;&gt;"Disqualified — Free Game",OR(INDEX('Game Records'!$E:$E,$H24)="",LOWER(INDEX('Game Records'!$E:$E,$H24)&amp;"")="n/a")),"Game Type; ","")&amp;IF(INDEX('Game Records'!$F:$F,$H24)="","Payment Type; ","")&amp;IF(AND(INDEX('Game Records'!$U:$U,$H24)&lt;&gt;"Subscription",INDEX('Game Records'!$U:$U,$H24)&lt;&gt;"Free Game",INDEX('Game Records'!$U:$U,$H24)&lt;&gt;"Disqualified — Free Game",INDEX('Game Records'!$G:$G,$H24)=""),"Gross Pot; ","")&amp;IF(AND(INDEX('Game Records'!$U:$U,$H24)&lt;&gt;"Free Game",INDEX('Game Records'!$U:$U,$H24)&lt;&gt;"Disqualified — Free Game",INDEX('Game Records'!$H:$H,$H24)=""),"Entry Fee; ","")&amp;IF(AND(INDEX('Game Records'!$U:$U,$H24)&lt;&gt;"Subscription",INDEX('Game Records'!$U:$U,$H24)&lt;&gt;"Free Game",INDEX('Game Records'!$U:$U,$H24)&lt;&gt;"Disqualified — Free Game",INDEX('Game Records'!$I:$I,$H24)=""),"Eligible Players; ","")&amp;IF(AND(INDEX('Game Records'!$U:$U,$H24)&lt;&gt;"Subscription",INDEX('Game Records'!$U:$U,$H24)&lt;&gt;"Free Game",INDEX('Game Records'!$U:$U,$H24)&lt;&gt;"Disqualified — Free Game",INDEX('Game Records'!$J:$J,$H24)=""),"Total Players; ","")&amp;IF(AND(LOWER(INDEX('Game Records'!$D:$D,$H24)&amp;"")="finalized",LOWER(INDEX('Game Records'!$L:$L,$H24)&amp;"")&lt;&gt;"yes",INDEX('Game Records'!$U:$U,$H24)&lt;&gt;"Subscription",INDEX('Game Records'!$U:$U,$H24)&lt;&gt;"Free Game",INDEX('Game Records'!$U:$U,$H24)&lt;&gt;"Disqualified — Free Game",INDEX('Game Records'!$K:$K,$H24)=""),"Final Earned; ","")&amp;IF(AND(LOWER(INDEX('Game Records'!$D:$D,$H24)&amp;"")="finalized",INDEX('Game Records'!$U:$U,$H24)&lt;&gt;"Subscription",INDEX('Game Records'!$U:$U,$H24)&lt;&gt;"Free Game",INDEX('Game Records'!$U:$U,$H24)&lt;&gt;"Disqualified — Free Game",OR(INDEX('Game Records'!$L:$L,$H24)="",LOWER(INDEX('Game Records'!$L:$L,$H24)&amp;"")="n/a")),"Disqualified Status; ",""))</x:f>
        <x:v/>
      </x:c>
      <x:c r="G24" s="331" t="str">
        <x:f>IF($H24="","",IFERROR(INDEX('Game Records'!$M:$M,$H24),""))</x:f>
        <x:v/>
      </x:c>
      <x:c r="H24" s="104" t="str">
        <x:f>IF($H23="","",IFERROR(MATCH(1,INDEX((ROW('Game Records'!$U$5:$U$504)&gt;$H23)*(('Game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4" s="104"/>
      <x:c r="J24" s="104"/>
    </x:row>
    <x:row r="25" ht="24" hidden="0" customHeight="1">
      <x:c r="A25" s="332" t="str">
        <x:f>IF($H25="","",ROWS($A$5:A25))</x:f>
        <x:v/>
      </x:c>
      <x:c r="B25" s="332" t="str">
        <x:f>IF($H25="","","G-"&amp;TEXT($A25,"0000"))</x:f>
        <x:v/>
      </x:c>
      <x:c r="C25" s="331" t="str">
        <x:f>IF($H25="","",IFERROR(INDEX('Game Records'!$A:$A,$H25),""))</x:f>
        <x:v/>
      </x:c>
      <x:c r="D25" s="331" t="str">
        <x:f>IF($H25="","",IFERROR(INDEX('Game Records'!$U:$U,$H25),""))</x:f>
        <x:v/>
      </x:c>
      <x:c r="E25" s="331" t="str">
        <x:f>IF($H25="","",IF($F25="","No Highlighted Fields","Highlighted Fields Present"))</x:f>
        <x:v/>
      </x:c>
      <x:c r="F25" s="331" t="str">
        <x:f>IF($H25="","",IF(INDEX('Game Records'!$B:$B,$H25)="","Start Date; ","")&amp;IF(INDEX('Game Records'!$C:$C,$H25)="","End Date; ","")&amp;IF(AND(INDEX('Game Records'!$U:$U,$H25)&lt;&gt;"Subscription",INDEX('Game Records'!$U:$U,$H25)&lt;&gt;"Free Game",INDEX('Game Records'!$U:$U,$H25)&lt;&gt;"Disqualified — Free Game",OR(INDEX('Game Records'!$D:$D,$H25)="",LOWER(INDEX('Game Records'!$D:$D,$H25)&amp;"")="n/a")),"Entry Mode; ","")&amp;IF(AND(INDEX('Game Records'!$U:$U,$H25)&lt;&gt;"Subscription",INDEX('Game Records'!$U:$U,$H25)&lt;&gt;"Free Game",INDEX('Game Records'!$U:$U,$H25)&lt;&gt;"Disqualified — Free Game",OR(INDEX('Game Records'!$E:$E,$H25)="",LOWER(INDEX('Game Records'!$E:$E,$H25)&amp;"")="n/a")),"Game Type; ","")&amp;IF(INDEX('Game Records'!$F:$F,$H25)="","Payment Type; ","")&amp;IF(AND(INDEX('Game Records'!$U:$U,$H25)&lt;&gt;"Subscription",INDEX('Game Records'!$U:$U,$H25)&lt;&gt;"Free Game",INDEX('Game Records'!$U:$U,$H25)&lt;&gt;"Disqualified — Free Game",INDEX('Game Records'!$G:$G,$H25)=""),"Gross Pot; ","")&amp;IF(AND(INDEX('Game Records'!$U:$U,$H25)&lt;&gt;"Free Game",INDEX('Game Records'!$U:$U,$H25)&lt;&gt;"Disqualified — Free Game",INDEX('Game Records'!$H:$H,$H25)=""),"Entry Fee; ","")&amp;IF(AND(INDEX('Game Records'!$U:$U,$H25)&lt;&gt;"Subscription",INDEX('Game Records'!$U:$U,$H25)&lt;&gt;"Free Game",INDEX('Game Records'!$U:$U,$H25)&lt;&gt;"Disqualified — Free Game",INDEX('Game Records'!$I:$I,$H25)=""),"Eligible Players; ","")&amp;IF(AND(INDEX('Game Records'!$U:$U,$H25)&lt;&gt;"Subscription",INDEX('Game Records'!$U:$U,$H25)&lt;&gt;"Free Game",INDEX('Game Records'!$U:$U,$H25)&lt;&gt;"Disqualified — Free Game",INDEX('Game Records'!$J:$J,$H25)=""),"Total Players; ","")&amp;IF(AND(LOWER(INDEX('Game Records'!$D:$D,$H25)&amp;"")="finalized",LOWER(INDEX('Game Records'!$L:$L,$H25)&amp;"")&lt;&gt;"yes",INDEX('Game Records'!$U:$U,$H25)&lt;&gt;"Subscription",INDEX('Game Records'!$U:$U,$H25)&lt;&gt;"Free Game",INDEX('Game Records'!$U:$U,$H25)&lt;&gt;"Disqualified — Free Game",INDEX('Game Records'!$K:$K,$H25)=""),"Final Earned; ","")&amp;IF(AND(LOWER(INDEX('Game Records'!$D:$D,$H25)&amp;"")="finalized",INDEX('Game Records'!$U:$U,$H25)&lt;&gt;"Subscription",INDEX('Game Records'!$U:$U,$H25)&lt;&gt;"Free Game",INDEX('Game Records'!$U:$U,$H25)&lt;&gt;"Disqualified — Free Game",OR(INDEX('Game Records'!$L:$L,$H25)="",LOWER(INDEX('Game Records'!$L:$L,$H25)&amp;"")="n/a")),"Disqualified Status; ",""))</x:f>
        <x:v/>
      </x:c>
      <x:c r="G25" s="331" t="str">
        <x:f>IF($H25="","",IFERROR(INDEX('Game Records'!$M:$M,$H25),""))</x:f>
        <x:v/>
      </x:c>
      <x:c r="H25" s="104" t="str">
        <x:f>IF($H24="","",IFERROR(MATCH(1,INDEX((ROW('Game Records'!$U$5:$U$504)&gt;$H24)*(('Game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5" s="104"/>
      <x:c r="J25" s="104"/>
    </x:row>
    <x:row r="26" ht="24" hidden="0" customHeight="1">
      <x:c r="A26" s="332" t="str">
        <x:f>IF($H26="","",ROWS($A$5:A26))</x:f>
        <x:v/>
      </x:c>
      <x:c r="B26" s="332" t="str">
        <x:f>IF($H26="","","G-"&amp;TEXT($A26,"0000"))</x:f>
        <x:v/>
      </x:c>
      <x:c r="C26" s="331" t="str">
        <x:f>IF($H26="","",IFERROR(INDEX('Game Records'!$A:$A,$H26),""))</x:f>
        <x:v/>
      </x:c>
      <x:c r="D26" s="331" t="str">
        <x:f>IF($H26="","",IFERROR(INDEX('Game Records'!$U:$U,$H26),""))</x:f>
        <x:v/>
      </x:c>
      <x:c r="E26" s="331" t="str">
        <x:f>IF($H26="","",IF($F26="","No Highlighted Fields","Highlighted Fields Present"))</x:f>
        <x:v/>
      </x:c>
      <x:c r="F26" s="331" t="str">
        <x:f>IF($H26="","",IF(INDEX('Game Records'!$B:$B,$H26)="","Start Date; ","")&amp;IF(INDEX('Game Records'!$C:$C,$H26)="","End Date; ","")&amp;IF(AND(INDEX('Game Records'!$U:$U,$H26)&lt;&gt;"Subscription",INDEX('Game Records'!$U:$U,$H26)&lt;&gt;"Free Game",INDEX('Game Records'!$U:$U,$H26)&lt;&gt;"Disqualified — Free Game",OR(INDEX('Game Records'!$D:$D,$H26)="",LOWER(INDEX('Game Records'!$D:$D,$H26)&amp;"")="n/a")),"Entry Mode; ","")&amp;IF(AND(INDEX('Game Records'!$U:$U,$H26)&lt;&gt;"Subscription",INDEX('Game Records'!$U:$U,$H26)&lt;&gt;"Free Game",INDEX('Game Records'!$U:$U,$H26)&lt;&gt;"Disqualified — Free Game",OR(INDEX('Game Records'!$E:$E,$H26)="",LOWER(INDEX('Game Records'!$E:$E,$H26)&amp;"")="n/a")),"Game Type; ","")&amp;IF(INDEX('Game Records'!$F:$F,$H26)="","Payment Type; ","")&amp;IF(AND(INDEX('Game Records'!$U:$U,$H26)&lt;&gt;"Subscription",INDEX('Game Records'!$U:$U,$H26)&lt;&gt;"Free Game",INDEX('Game Records'!$U:$U,$H26)&lt;&gt;"Disqualified — Free Game",INDEX('Game Records'!$G:$G,$H26)=""),"Gross Pot; ","")&amp;IF(AND(INDEX('Game Records'!$U:$U,$H26)&lt;&gt;"Free Game",INDEX('Game Records'!$U:$U,$H26)&lt;&gt;"Disqualified — Free Game",INDEX('Game Records'!$H:$H,$H26)=""),"Entry Fee; ","")&amp;IF(AND(INDEX('Game Records'!$U:$U,$H26)&lt;&gt;"Subscription",INDEX('Game Records'!$U:$U,$H26)&lt;&gt;"Free Game",INDEX('Game Records'!$U:$U,$H26)&lt;&gt;"Disqualified — Free Game",INDEX('Game Records'!$I:$I,$H26)=""),"Eligible Players; ","")&amp;IF(AND(INDEX('Game Records'!$U:$U,$H26)&lt;&gt;"Subscription",INDEX('Game Records'!$U:$U,$H26)&lt;&gt;"Free Game",INDEX('Game Records'!$U:$U,$H26)&lt;&gt;"Disqualified — Free Game",INDEX('Game Records'!$J:$J,$H26)=""),"Total Players; ","")&amp;IF(AND(LOWER(INDEX('Game Records'!$D:$D,$H26)&amp;"")="finalized",LOWER(INDEX('Game Records'!$L:$L,$H26)&amp;"")&lt;&gt;"yes",INDEX('Game Records'!$U:$U,$H26)&lt;&gt;"Subscription",INDEX('Game Records'!$U:$U,$H26)&lt;&gt;"Free Game",INDEX('Game Records'!$U:$U,$H26)&lt;&gt;"Disqualified — Free Game",INDEX('Game Records'!$K:$K,$H26)=""),"Final Earned; ","")&amp;IF(AND(LOWER(INDEX('Game Records'!$D:$D,$H26)&amp;"")="finalized",INDEX('Game Records'!$U:$U,$H26)&lt;&gt;"Subscription",INDEX('Game Records'!$U:$U,$H26)&lt;&gt;"Free Game",INDEX('Game Records'!$U:$U,$H26)&lt;&gt;"Disqualified — Free Game",OR(INDEX('Game Records'!$L:$L,$H26)="",LOWER(INDEX('Game Records'!$L:$L,$H26)&amp;"")="n/a")),"Disqualified Status; ",""))</x:f>
        <x:v/>
      </x:c>
      <x:c r="G26" s="331" t="str">
        <x:f>IF($H26="","",IFERROR(INDEX('Game Records'!$M:$M,$H26),""))</x:f>
        <x:v/>
      </x:c>
      <x:c r="H26" s="104" t="str">
        <x:f>IF($H25="","",IFERROR(MATCH(1,INDEX((ROW('Game Records'!$U$5:$U$504)&gt;$H25)*(('Game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6" s="104"/>
      <x:c r="J26" s="104"/>
    </x:row>
    <x:row r="27" ht="24" hidden="0" customHeight="1">
      <x:c r="A27" s="332" t="str">
        <x:f>IF($H27="","",ROWS($A$5:A27))</x:f>
        <x:v/>
      </x:c>
      <x:c r="B27" s="332" t="str">
        <x:f>IF($H27="","","G-"&amp;TEXT($A27,"0000"))</x:f>
        <x:v/>
      </x:c>
      <x:c r="C27" s="331" t="str">
        <x:f>IF($H27="","",IFERROR(INDEX('Game Records'!$A:$A,$H27),""))</x:f>
        <x:v/>
      </x:c>
      <x:c r="D27" s="331" t="str">
        <x:f>IF($H27="","",IFERROR(INDEX('Game Records'!$U:$U,$H27),""))</x:f>
        <x:v/>
      </x:c>
      <x:c r="E27" s="331" t="str">
        <x:f>IF($H27="","",IF($F27="","No Highlighted Fields","Highlighted Fields Present"))</x:f>
        <x:v/>
      </x:c>
      <x:c r="F27" s="331" t="str">
        <x:f>IF($H27="","",IF(INDEX('Game Records'!$B:$B,$H27)="","Start Date; ","")&amp;IF(INDEX('Game Records'!$C:$C,$H27)="","End Date; ","")&amp;IF(AND(INDEX('Game Records'!$U:$U,$H27)&lt;&gt;"Subscription",INDEX('Game Records'!$U:$U,$H27)&lt;&gt;"Free Game",INDEX('Game Records'!$U:$U,$H27)&lt;&gt;"Disqualified — Free Game",OR(INDEX('Game Records'!$D:$D,$H27)="",LOWER(INDEX('Game Records'!$D:$D,$H27)&amp;"")="n/a")),"Entry Mode; ","")&amp;IF(AND(INDEX('Game Records'!$U:$U,$H27)&lt;&gt;"Subscription",INDEX('Game Records'!$U:$U,$H27)&lt;&gt;"Free Game",INDEX('Game Records'!$U:$U,$H27)&lt;&gt;"Disqualified — Free Game",OR(INDEX('Game Records'!$E:$E,$H27)="",LOWER(INDEX('Game Records'!$E:$E,$H27)&amp;"")="n/a")),"Game Type; ","")&amp;IF(INDEX('Game Records'!$F:$F,$H27)="","Payment Type; ","")&amp;IF(AND(INDEX('Game Records'!$U:$U,$H27)&lt;&gt;"Subscription",INDEX('Game Records'!$U:$U,$H27)&lt;&gt;"Free Game",INDEX('Game Records'!$U:$U,$H27)&lt;&gt;"Disqualified — Free Game",INDEX('Game Records'!$G:$G,$H27)=""),"Gross Pot; ","")&amp;IF(AND(INDEX('Game Records'!$U:$U,$H27)&lt;&gt;"Free Game",INDEX('Game Records'!$U:$U,$H27)&lt;&gt;"Disqualified — Free Game",INDEX('Game Records'!$H:$H,$H27)=""),"Entry Fee; ","")&amp;IF(AND(INDEX('Game Records'!$U:$U,$H27)&lt;&gt;"Subscription",INDEX('Game Records'!$U:$U,$H27)&lt;&gt;"Free Game",INDEX('Game Records'!$U:$U,$H27)&lt;&gt;"Disqualified — Free Game",INDEX('Game Records'!$I:$I,$H27)=""),"Eligible Players; ","")&amp;IF(AND(INDEX('Game Records'!$U:$U,$H27)&lt;&gt;"Subscription",INDEX('Game Records'!$U:$U,$H27)&lt;&gt;"Free Game",INDEX('Game Records'!$U:$U,$H27)&lt;&gt;"Disqualified — Free Game",INDEX('Game Records'!$J:$J,$H27)=""),"Total Players; ","")&amp;IF(AND(LOWER(INDEX('Game Records'!$D:$D,$H27)&amp;"")="finalized",LOWER(INDEX('Game Records'!$L:$L,$H27)&amp;"")&lt;&gt;"yes",INDEX('Game Records'!$U:$U,$H27)&lt;&gt;"Subscription",INDEX('Game Records'!$U:$U,$H27)&lt;&gt;"Free Game",INDEX('Game Records'!$U:$U,$H27)&lt;&gt;"Disqualified — Free Game",INDEX('Game Records'!$K:$K,$H27)=""),"Final Earned; ","")&amp;IF(AND(LOWER(INDEX('Game Records'!$D:$D,$H27)&amp;"")="finalized",INDEX('Game Records'!$U:$U,$H27)&lt;&gt;"Subscription",INDEX('Game Records'!$U:$U,$H27)&lt;&gt;"Free Game",INDEX('Game Records'!$U:$U,$H27)&lt;&gt;"Disqualified — Free Game",OR(INDEX('Game Records'!$L:$L,$H27)="",LOWER(INDEX('Game Records'!$L:$L,$H27)&amp;"")="n/a")),"Disqualified Status; ",""))</x:f>
        <x:v/>
      </x:c>
      <x:c r="G27" s="331" t="str">
        <x:f>IF($H27="","",IFERROR(INDEX('Game Records'!$M:$M,$H27),""))</x:f>
        <x:v/>
      </x:c>
      <x:c r="H27" s="104" t="str">
        <x:f>IF($H26="","",IFERROR(MATCH(1,INDEX((ROW('Game Records'!$U$5:$U$504)&gt;$H26)*(('Game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7" s="104"/>
      <x:c r="J27" s="104"/>
    </x:row>
    <x:row r="28" ht="24" hidden="0" customHeight="1">
      <x:c r="A28" s="332" t="str">
        <x:f>IF($H28="","",ROWS($A$5:A28))</x:f>
        <x:v/>
      </x:c>
      <x:c r="B28" s="332" t="str">
        <x:f>IF($H28="","","G-"&amp;TEXT($A28,"0000"))</x:f>
        <x:v/>
      </x:c>
      <x:c r="C28" s="331" t="str">
        <x:f>IF($H28="","",IFERROR(INDEX('Game Records'!$A:$A,$H28),""))</x:f>
        <x:v/>
      </x:c>
      <x:c r="D28" s="331" t="str">
        <x:f>IF($H28="","",IFERROR(INDEX('Game Records'!$U:$U,$H28),""))</x:f>
        <x:v/>
      </x:c>
      <x:c r="E28" s="331" t="str">
        <x:f>IF($H28="","",IF($F28="","No Highlighted Fields","Highlighted Fields Present"))</x:f>
        <x:v/>
      </x:c>
      <x:c r="F28" s="331" t="str">
        <x:f>IF($H28="","",IF(INDEX('Game Records'!$B:$B,$H28)="","Start Date; ","")&amp;IF(INDEX('Game Records'!$C:$C,$H28)="","End Date; ","")&amp;IF(AND(INDEX('Game Records'!$U:$U,$H28)&lt;&gt;"Subscription",INDEX('Game Records'!$U:$U,$H28)&lt;&gt;"Free Game",INDEX('Game Records'!$U:$U,$H28)&lt;&gt;"Disqualified — Free Game",OR(INDEX('Game Records'!$D:$D,$H28)="",LOWER(INDEX('Game Records'!$D:$D,$H28)&amp;"")="n/a")),"Entry Mode; ","")&amp;IF(AND(INDEX('Game Records'!$U:$U,$H28)&lt;&gt;"Subscription",INDEX('Game Records'!$U:$U,$H28)&lt;&gt;"Free Game",INDEX('Game Records'!$U:$U,$H28)&lt;&gt;"Disqualified — Free Game",OR(INDEX('Game Records'!$E:$E,$H28)="",LOWER(INDEX('Game Records'!$E:$E,$H28)&amp;"")="n/a")),"Game Type; ","")&amp;IF(INDEX('Game Records'!$F:$F,$H28)="","Payment Type; ","")&amp;IF(AND(INDEX('Game Records'!$U:$U,$H28)&lt;&gt;"Subscription",INDEX('Game Records'!$U:$U,$H28)&lt;&gt;"Free Game",INDEX('Game Records'!$U:$U,$H28)&lt;&gt;"Disqualified — Free Game",INDEX('Game Records'!$G:$G,$H28)=""),"Gross Pot; ","")&amp;IF(AND(INDEX('Game Records'!$U:$U,$H28)&lt;&gt;"Free Game",INDEX('Game Records'!$U:$U,$H28)&lt;&gt;"Disqualified — Free Game",INDEX('Game Records'!$H:$H,$H28)=""),"Entry Fee; ","")&amp;IF(AND(INDEX('Game Records'!$U:$U,$H28)&lt;&gt;"Subscription",INDEX('Game Records'!$U:$U,$H28)&lt;&gt;"Free Game",INDEX('Game Records'!$U:$U,$H28)&lt;&gt;"Disqualified — Free Game",INDEX('Game Records'!$I:$I,$H28)=""),"Eligible Players; ","")&amp;IF(AND(INDEX('Game Records'!$U:$U,$H28)&lt;&gt;"Subscription",INDEX('Game Records'!$U:$U,$H28)&lt;&gt;"Free Game",INDEX('Game Records'!$U:$U,$H28)&lt;&gt;"Disqualified — Free Game",INDEX('Game Records'!$J:$J,$H28)=""),"Total Players; ","")&amp;IF(AND(LOWER(INDEX('Game Records'!$D:$D,$H28)&amp;"")="finalized",LOWER(INDEX('Game Records'!$L:$L,$H28)&amp;"")&lt;&gt;"yes",INDEX('Game Records'!$U:$U,$H28)&lt;&gt;"Subscription",INDEX('Game Records'!$U:$U,$H28)&lt;&gt;"Free Game",INDEX('Game Records'!$U:$U,$H28)&lt;&gt;"Disqualified — Free Game",INDEX('Game Records'!$K:$K,$H28)=""),"Final Earned; ","")&amp;IF(AND(LOWER(INDEX('Game Records'!$D:$D,$H28)&amp;"")="finalized",INDEX('Game Records'!$U:$U,$H28)&lt;&gt;"Subscription",INDEX('Game Records'!$U:$U,$H28)&lt;&gt;"Free Game",INDEX('Game Records'!$U:$U,$H28)&lt;&gt;"Disqualified — Free Game",OR(INDEX('Game Records'!$L:$L,$H28)="",LOWER(INDEX('Game Records'!$L:$L,$H28)&amp;"")="n/a")),"Disqualified Status; ",""))</x:f>
        <x:v/>
      </x:c>
      <x:c r="G28" s="331" t="str">
        <x:f>IF($H28="","",IFERROR(INDEX('Game Records'!$M:$M,$H28),""))</x:f>
        <x:v/>
      </x:c>
      <x:c r="H28" s="104" t="str">
        <x:f>IF($H27="","",IFERROR(MATCH(1,INDEX((ROW('Game Records'!$U$5:$U$504)&gt;$H27)*(('Game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8" s="104"/>
      <x:c r="J28" s="104"/>
    </x:row>
    <x:row r="29" ht="24" hidden="0" customHeight="1">
      <x:c r="A29" s="332" t="str">
        <x:f>IF($H29="","",ROWS($A$5:A29))</x:f>
        <x:v/>
      </x:c>
      <x:c r="B29" s="332" t="str">
        <x:f>IF($H29="","","G-"&amp;TEXT($A29,"0000"))</x:f>
        <x:v/>
      </x:c>
      <x:c r="C29" s="331" t="str">
        <x:f>IF($H29="","",IFERROR(INDEX('Game Records'!$A:$A,$H29),""))</x:f>
        <x:v/>
      </x:c>
      <x:c r="D29" s="331" t="str">
        <x:f>IF($H29="","",IFERROR(INDEX('Game Records'!$U:$U,$H29),""))</x:f>
        <x:v/>
      </x:c>
      <x:c r="E29" s="331" t="str">
        <x:f>IF($H29="","",IF($F29="","No Highlighted Fields","Highlighted Fields Present"))</x:f>
        <x:v/>
      </x:c>
      <x:c r="F29" s="331" t="str">
        <x:f>IF($H29="","",IF(INDEX('Game Records'!$B:$B,$H29)="","Start Date; ","")&amp;IF(INDEX('Game Records'!$C:$C,$H29)="","End Date; ","")&amp;IF(AND(INDEX('Game Records'!$U:$U,$H29)&lt;&gt;"Subscription",INDEX('Game Records'!$U:$U,$H29)&lt;&gt;"Free Game",INDEX('Game Records'!$U:$U,$H29)&lt;&gt;"Disqualified — Free Game",OR(INDEX('Game Records'!$D:$D,$H29)="",LOWER(INDEX('Game Records'!$D:$D,$H29)&amp;"")="n/a")),"Entry Mode; ","")&amp;IF(AND(INDEX('Game Records'!$U:$U,$H29)&lt;&gt;"Subscription",INDEX('Game Records'!$U:$U,$H29)&lt;&gt;"Free Game",INDEX('Game Records'!$U:$U,$H29)&lt;&gt;"Disqualified — Free Game",OR(INDEX('Game Records'!$E:$E,$H29)="",LOWER(INDEX('Game Records'!$E:$E,$H29)&amp;"")="n/a")),"Game Type; ","")&amp;IF(INDEX('Game Records'!$F:$F,$H29)="","Payment Type; ","")&amp;IF(AND(INDEX('Game Records'!$U:$U,$H29)&lt;&gt;"Subscription",INDEX('Game Records'!$U:$U,$H29)&lt;&gt;"Free Game",INDEX('Game Records'!$U:$U,$H29)&lt;&gt;"Disqualified — Free Game",INDEX('Game Records'!$G:$G,$H29)=""),"Gross Pot; ","")&amp;IF(AND(INDEX('Game Records'!$U:$U,$H29)&lt;&gt;"Free Game",INDEX('Game Records'!$U:$U,$H29)&lt;&gt;"Disqualified — Free Game",INDEX('Game Records'!$H:$H,$H29)=""),"Entry Fee; ","")&amp;IF(AND(INDEX('Game Records'!$U:$U,$H29)&lt;&gt;"Subscription",INDEX('Game Records'!$U:$U,$H29)&lt;&gt;"Free Game",INDEX('Game Records'!$U:$U,$H29)&lt;&gt;"Disqualified — Free Game",INDEX('Game Records'!$I:$I,$H29)=""),"Eligible Players; ","")&amp;IF(AND(INDEX('Game Records'!$U:$U,$H29)&lt;&gt;"Subscription",INDEX('Game Records'!$U:$U,$H29)&lt;&gt;"Free Game",INDEX('Game Records'!$U:$U,$H29)&lt;&gt;"Disqualified — Free Game",INDEX('Game Records'!$J:$J,$H29)=""),"Total Players; ","")&amp;IF(AND(LOWER(INDEX('Game Records'!$D:$D,$H29)&amp;"")="finalized",LOWER(INDEX('Game Records'!$L:$L,$H29)&amp;"")&lt;&gt;"yes",INDEX('Game Records'!$U:$U,$H29)&lt;&gt;"Subscription",INDEX('Game Records'!$U:$U,$H29)&lt;&gt;"Free Game",INDEX('Game Records'!$U:$U,$H29)&lt;&gt;"Disqualified — Free Game",INDEX('Game Records'!$K:$K,$H29)=""),"Final Earned; ","")&amp;IF(AND(LOWER(INDEX('Game Records'!$D:$D,$H29)&amp;"")="finalized",INDEX('Game Records'!$U:$U,$H29)&lt;&gt;"Subscription",INDEX('Game Records'!$U:$U,$H29)&lt;&gt;"Free Game",INDEX('Game Records'!$U:$U,$H29)&lt;&gt;"Disqualified — Free Game",OR(INDEX('Game Records'!$L:$L,$H29)="",LOWER(INDEX('Game Records'!$L:$L,$H29)&amp;"")="n/a")),"Disqualified Status; ",""))</x:f>
        <x:v/>
      </x:c>
      <x:c r="G29" s="331" t="str">
        <x:f>IF($H29="","",IFERROR(INDEX('Game Records'!$M:$M,$H29),""))</x:f>
        <x:v/>
      </x:c>
      <x:c r="H29" s="104" t="str">
        <x:f>IF($H28="","",IFERROR(MATCH(1,INDEX((ROW('Game Records'!$U$5:$U$504)&gt;$H28)*(('Game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9" s="104"/>
      <x:c r="J29" s="104"/>
    </x:row>
    <x:row r="30" ht="24" hidden="0" customHeight="1">
      <x:c r="A30" s="332" t="str">
        <x:f>IF($H30="","",ROWS($A$5:A30))</x:f>
        <x:v/>
      </x:c>
      <x:c r="B30" s="332" t="str">
        <x:f>IF($H30="","","G-"&amp;TEXT($A30,"0000"))</x:f>
        <x:v/>
      </x:c>
      <x:c r="C30" s="331" t="str">
        <x:f>IF($H30="","",IFERROR(INDEX('Game Records'!$A:$A,$H30),""))</x:f>
        <x:v/>
      </x:c>
      <x:c r="D30" s="331" t="str">
        <x:f>IF($H30="","",IFERROR(INDEX('Game Records'!$U:$U,$H30),""))</x:f>
        <x:v/>
      </x:c>
      <x:c r="E30" s="331" t="str">
        <x:f>IF($H30="","",IF($F30="","No Highlighted Fields","Highlighted Fields Present"))</x:f>
        <x:v/>
      </x:c>
      <x:c r="F30" s="331" t="str">
        <x:f>IF($H30="","",IF(INDEX('Game Records'!$B:$B,$H30)="","Start Date; ","")&amp;IF(INDEX('Game Records'!$C:$C,$H30)="","End Date; ","")&amp;IF(AND(INDEX('Game Records'!$U:$U,$H30)&lt;&gt;"Subscription",INDEX('Game Records'!$U:$U,$H30)&lt;&gt;"Free Game",INDEX('Game Records'!$U:$U,$H30)&lt;&gt;"Disqualified — Free Game",OR(INDEX('Game Records'!$D:$D,$H30)="",LOWER(INDEX('Game Records'!$D:$D,$H30)&amp;"")="n/a")),"Entry Mode; ","")&amp;IF(AND(INDEX('Game Records'!$U:$U,$H30)&lt;&gt;"Subscription",INDEX('Game Records'!$U:$U,$H30)&lt;&gt;"Free Game",INDEX('Game Records'!$U:$U,$H30)&lt;&gt;"Disqualified — Free Game",OR(INDEX('Game Records'!$E:$E,$H30)="",LOWER(INDEX('Game Records'!$E:$E,$H30)&amp;"")="n/a")),"Game Type; ","")&amp;IF(INDEX('Game Records'!$F:$F,$H30)="","Payment Type; ","")&amp;IF(AND(INDEX('Game Records'!$U:$U,$H30)&lt;&gt;"Subscription",INDEX('Game Records'!$U:$U,$H30)&lt;&gt;"Free Game",INDEX('Game Records'!$U:$U,$H30)&lt;&gt;"Disqualified — Free Game",INDEX('Game Records'!$G:$G,$H30)=""),"Gross Pot; ","")&amp;IF(AND(INDEX('Game Records'!$U:$U,$H30)&lt;&gt;"Free Game",INDEX('Game Records'!$U:$U,$H30)&lt;&gt;"Disqualified — Free Game",INDEX('Game Records'!$H:$H,$H30)=""),"Entry Fee; ","")&amp;IF(AND(INDEX('Game Records'!$U:$U,$H30)&lt;&gt;"Subscription",INDEX('Game Records'!$U:$U,$H30)&lt;&gt;"Free Game",INDEX('Game Records'!$U:$U,$H30)&lt;&gt;"Disqualified — Free Game",INDEX('Game Records'!$I:$I,$H30)=""),"Eligible Players; ","")&amp;IF(AND(INDEX('Game Records'!$U:$U,$H30)&lt;&gt;"Subscription",INDEX('Game Records'!$U:$U,$H30)&lt;&gt;"Free Game",INDEX('Game Records'!$U:$U,$H30)&lt;&gt;"Disqualified — Free Game",INDEX('Game Records'!$J:$J,$H30)=""),"Total Players; ","")&amp;IF(AND(LOWER(INDEX('Game Records'!$D:$D,$H30)&amp;"")="finalized",LOWER(INDEX('Game Records'!$L:$L,$H30)&amp;"")&lt;&gt;"yes",INDEX('Game Records'!$U:$U,$H30)&lt;&gt;"Subscription",INDEX('Game Records'!$U:$U,$H30)&lt;&gt;"Free Game",INDEX('Game Records'!$U:$U,$H30)&lt;&gt;"Disqualified — Free Game",INDEX('Game Records'!$K:$K,$H30)=""),"Final Earned; ","")&amp;IF(AND(LOWER(INDEX('Game Records'!$D:$D,$H30)&amp;"")="finalized",INDEX('Game Records'!$U:$U,$H30)&lt;&gt;"Subscription",INDEX('Game Records'!$U:$U,$H30)&lt;&gt;"Free Game",INDEX('Game Records'!$U:$U,$H30)&lt;&gt;"Disqualified — Free Game",OR(INDEX('Game Records'!$L:$L,$H30)="",LOWER(INDEX('Game Records'!$L:$L,$H30)&amp;"")="n/a")),"Disqualified Status; ",""))</x:f>
        <x:v/>
      </x:c>
      <x:c r="G30" s="331" t="str">
        <x:f>IF($H30="","",IFERROR(INDEX('Game Records'!$M:$M,$H30),""))</x:f>
        <x:v/>
      </x:c>
      <x:c r="H30" s="104" t="str">
        <x:f>IF($H29="","",IFERROR(MATCH(1,INDEX((ROW('Game Records'!$U$5:$U$504)&gt;$H29)*(('Game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0" s="104"/>
      <x:c r="J30" s="104"/>
    </x:row>
    <x:row r="31" ht="24" hidden="0" customHeight="1">
      <x:c r="A31" s="332" t="str">
        <x:f>IF($H31="","",ROWS($A$5:A31))</x:f>
        <x:v/>
      </x:c>
      <x:c r="B31" s="332" t="str">
        <x:f>IF($H31="","","G-"&amp;TEXT($A31,"0000"))</x:f>
        <x:v/>
      </x:c>
      <x:c r="C31" s="331" t="str">
        <x:f>IF($H31="","",IFERROR(INDEX('Game Records'!$A:$A,$H31),""))</x:f>
        <x:v/>
      </x:c>
      <x:c r="D31" s="331" t="str">
        <x:f>IF($H31="","",IFERROR(INDEX('Game Records'!$U:$U,$H31),""))</x:f>
        <x:v/>
      </x:c>
      <x:c r="E31" s="331" t="str">
        <x:f>IF($H31="","",IF($F31="","No Highlighted Fields","Highlighted Fields Present"))</x:f>
        <x:v/>
      </x:c>
      <x:c r="F31" s="331" t="str">
        <x:f>IF($H31="","",IF(INDEX('Game Records'!$B:$B,$H31)="","Start Date; ","")&amp;IF(INDEX('Game Records'!$C:$C,$H31)="","End Date; ","")&amp;IF(AND(INDEX('Game Records'!$U:$U,$H31)&lt;&gt;"Subscription",INDEX('Game Records'!$U:$U,$H31)&lt;&gt;"Free Game",INDEX('Game Records'!$U:$U,$H31)&lt;&gt;"Disqualified — Free Game",OR(INDEX('Game Records'!$D:$D,$H31)="",LOWER(INDEX('Game Records'!$D:$D,$H31)&amp;"")="n/a")),"Entry Mode; ","")&amp;IF(AND(INDEX('Game Records'!$U:$U,$H31)&lt;&gt;"Subscription",INDEX('Game Records'!$U:$U,$H31)&lt;&gt;"Free Game",INDEX('Game Records'!$U:$U,$H31)&lt;&gt;"Disqualified — Free Game",OR(INDEX('Game Records'!$E:$E,$H31)="",LOWER(INDEX('Game Records'!$E:$E,$H31)&amp;"")="n/a")),"Game Type; ","")&amp;IF(INDEX('Game Records'!$F:$F,$H31)="","Payment Type; ","")&amp;IF(AND(INDEX('Game Records'!$U:$U,$H31)&lt;&gt;"Subscription",INDEX('Game Records'!$U:$U,$H31)&lt;&gt;"Free Game",INDEX('Game Records'!$U:$U,$H31)&lt;&gt;"Disqualified — Free Game",INDEX('Game Records'!$G:$G,$H31)=""),"Gross Pot; ","")&amp;IF(AND(INDEX('Game Records'!$U:$U,$H31)&lt;&gt;"Free Game",INDEX('Game Records'!$U:$U,$H31)&lt;&gt;"Disqualified — Free Game",INDEX('Game Records'!$H:$H,$H31)=""),"Entry Fee; ","")&amp;IF(AND(INDEX('Game Records'!$U:$U,$H31)&lt;&gt;"Subscription",INDEX('Game Records'!$U:$U,$H31)&lt;&gt;"Free Game",INDEX('Game Records'!$U:$U,$H31)&lt;&gt;"Disqualified — Free Game",INDEX('Game Records'!$I:$I,$H31)=""),"Eligible Players; ","")&amp;IF(AND(INDEX('Game Records'!$U:$U,$H31)&lt;&gt;"Subscription",INDEX('Game Records'!$U:$U,$H31)&lt;&gt;"Free Game",INDEX('Game Records'!$U:$U,$H31)&lt;&gt;"Disqualified — Free Game",INDEX('Game Records'!$J:$J,$H31)=""),"Total Players; ","")&amp;IF(AND(LOWER(INDEX('Game Records'!$D:$D,$H31)&amp;"")="finalized",LOWER(INDEX('Game Records'!$L:$L,$H31)&amp;"")&lt;&gt;"yes",INDEX('Game Records'!$U:$U,$H31)&lt;&gt;"Subscription",INDEX('Game Records'!$U:$U,$H31)&lt;&gt;"Free Game",INDEX('Game Records'!$U:$U,$H31)&lt;&gt;"Disqualified — Free Game",INDEX('Game Records'!$K:$K,$H31)=""),"Final Earned; ","")&amp;IF(AND(LOWER(INDEX('Game Records'!$D:$D,$H31)&amp;"")="finalized",INDEX('Game Records'!$U:$U,$H31)&lt;&gt;"Subscription",INDEX('Game Records'!$U:$U,$H31)&lt;&gt;"Free Game",INDEX('Game Records'!$U:$U,$H31)&lt;&gt;"Disqualified — Free Game",OR(INDEX('Game Records'!$L:$L,$H31)="",LOWER(INDEX('Game Records'!$L:$L,$H31)&amp;"")="n/a")),"Disqualified Status; ",""))</x:f>
        <x:v/>
      </x:c>
      <x:c r="G31" s="331" t="str">
        <x:f>IF($H31="","",IFERROR(INDEX('Game Records'!$M:$M,$H31),""))</x:f>
        <x:v/>
      </x:c>
      <x:c r="H31" s="104" t="str">
        <x:f>IF($H30="","",IFERROR(MATCH(1,INDEX((ROW('Game Records'!$U$5:$U$504)&gt;$H30)*(('Game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1" s="104"/>
      <x:c r="J31" s="104"/>
    </x:row>
    <x:row r="32" ht="24" hidden="0" customHeight="1">
      <x:c r="A32" s="332" t="str">
        <x:f>IF($H32="","",ROWS($A$5:A32))</x:f>
        <x:v/>
      </x:c>
      <x:c r="B32" s="332" t="str">
        <x:f>IF($H32="","","G-"&amp;TEXT($A32,"0000"))</x:f>
        <x:v/>
      </x:c>
      <x:c r="C32" s="331" t="str">
        <x:f>IF($H32="","",IFERROR(INDEX('Game Records'!$A:$A,$H32),""))</x:f>
        <x:v/>
      </x:c>
      <x:c r="D32" s="331" t="str">
        <x:f>IF($H32="","",IFERROR(INDEX('Game Records'!$U:$U,$H32),""))</x:f>
        <x:v/>
      </x:c>
      <x:c r="E32" s="331" t="str">
        <x:f>IF($H32="","",IF($F32="","No Highlighted Fields","Highlighted Fields Present"))</x:f>
        <x:v/>
      </x:c>
      <x:c r="F32" s="331" t="str">
        <x:f>IF($H32="","",IF(INDEX('Game Records'!$B:$B,$H32)="","Start Date; ","")&amp;IF(INDEX('Game Records'!$C:$C,$H32)="","End Date; ","")&amp;IF(AND(INDEX('Game Records'!$U:$U,$H32)&lt;&gt;"Subscription",INDEX('Game Records'!$U:$U,$H32)&lt;&gt;"Free Game",INDEX('Game Records'!$U:$U,$H32)&lt;&gt;"Disqualified — Free Game",OR(INDEX('Game Records'!$D:$D,$H32)="",LOWER(INDEX('Game Records'!$D:$D,$H32)&amp;"")="n/a")),"Entry Mode; ","")&amp;IF(AND(INDEX('Game Records'!$U:$U,$H32)&lt;&gt;"Subscription",INDEX('Game Records'!$U:$U,$H32)&lt;&gt;"Free Game",INDEX('Game Records'!$U:$U,$H32)&lt;&gt;"Disqualified — Free Game",OR(INDEX('Game Records'!$E:$E,$H32)="",LOWER(INDEX('Game Records'!$E:$E,$H32)&amp;"")="n/a")),"Game Type; ","")&amp;IF(INDEX('Game Records'!$F:$F,$H32)="","Payment Type; ","")&amp;IF(AND(INDEX('Game Records'!$U:$U,$H32)&lt;&gt;"Subscription",INDEX('Game Records'!$U:$U,$H32)&lt;&gt;"Free Game",INDEX('Game Records'!$U:$U,$H32)&lt;&gt;"Disqualified — Free Game",INDEX('Game Records'!$G:$G,$H32)=""),"Gross Pot; ","")&amp;IF(AND(INDEX('Game Records'!$U:$U,$H32)&lt;&gt;"Free Game",INDEX('Game Records'!$U:$U,$H32)&lt;&gt;"Disqualified — Free Game",INDEX('Game Records'!$H:$H,$H32)=""),"Entry Fee; ","")&amp;IF(AND(INDEX('Game Records'!$U:$U,$H32)&lt;&gt;"Subscription",INDEX('Game Records'!$U:$U,$H32)&lt;&gt;"Free Game",INDEX('Game Records'!$U:$U,$H32)&lt;&gt;"Disqualified — Free Game",INDEX('Game Records'!$I:$I,$H32)=""),"Eligible Players; ","")&amp;IF(AND(INDEX('Game Records'!$U:$U,$H32)&lt;&gt;"Subscription",INDEX('Game Records'!$U:$U,$H32)&lt;&gt;"Free Game",INDEX('Game Records'!$U:$U,$H32)&lt;&gt;"Disqualified — Free Game",INDEX('Game Records'!$J:$J,$H32)=""),"Total Players; ","")&amp;IF(AND(LOWER(INDEX('Game Records'!$D:$D,$H32)&amp;"")="finalized",LOWER(INDEX('Game Records'!$L:$L,$H32)&amp;"")&lt;&gt;"yes",INDEX('Game Records'!$U:$U,$H32)&lt;&gt;"Subscription",INDEX('Game Records'!$U:$U,$H32)&lt;&gt;"Free Game",INDEX('Game Records'!$U:$U,$H32)&lt;&gt;"Disqualified — Free Game",INDEX('Game Records'!$K:$K,$H32)=""),"Final Earned; ","")&amp;IF(AND(LOWER(INDEX('Game Records'!$D:$D,$H32)&amp;"")="finalized",INDEX('Game Records'!$U:$U,$H32)&lt;&gt;"Subscription",INDEX('Game Records'!$U:$U,$H32)&lt;&gt;"Free Game",INDEX('Game Records'!$U:$U,$H32)&lt;&gt;"Disqualified — Free Game",OR(INDEX('Game Records'!$L:$L,$H32)="",LOWER(INDEX('Game Records'!$L:$L,$H32)&amp;"")="n/a")),"Disqualified Status; ",""))</x:f>
        <x:v/>
      </x:c>
      <x:c r="G32" s="331" t="str">
        <x:f>IF($H32="","",IFERROR(INDEX('Game Records'!$M:$M,$H32),""))</x:f>
        <x:v/>
      </x:c>
      <x:c r="H32" s="104" t="str">
        <x:f>IF($H31="","",IFERROR(MATCH(1,INDEX((ROW('Game Records'!$U$5:$U$504)&gt;$H31)*(('Game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2" s="104"/>
      <x:c r="J32" s="104"/>
    </x:row>
    <x:row r="33" ht="24" hidden="0" customHeight="1">
      <x:c r="A33" s="332" t="str">
        <x:f>IF($H33="","",ROWS($A$5:A33))</x:f>
        <x:v/>
      </x:c>
      <x:c r="B33" s="332" t="str">
        <x:f>IF($H33="","","G-"&amp;TEXT($A33,"0000"))</x:f>
        <x:v/>
      </x:c>
      <x:c r="C33" s="331" t="str">
        <x:f>IF($H33="","",IFERROR(INDEX('Game Records'!$A:$A,$H33),""))</x:f>
        <x:v/>
      </x:c>
      <x:c r="D33" s="331" t="str">
        <x:f>IF($H33="","",IFERROR(INDEX('Game Records'!$U:$U,$H33),""))</x:f>
        <x:v/>
      </x:c>
      <x:c r="E33" s="331" t="str">
        <x:f>IF($H33="","",IF($F33="","No Highlighted Fields","Highlighted Fields Present"))</x:f>
        <x:v/>
      </x:c>
      <x:c r="F33" s="331" t="str">
        <x:f>IF($H33="","",IF(INDEX('Game Records'!$B:$B,$H33)="","Start Date; ","")&amp;IF(INDEX('Game Records'!$C:$C,$H33)="","End Date; ","")&amp;IF(AND(INDEX('Game Records'!$U:$U,$H33)&lt;&gt;"Subscription",INDEX('Game Records'!$U:$U,$H33)&lt;&gt;"Free Game",INDEX('Game Records'!$U:$U,$H33)&lt;&gt;"Disqualified — Free Game",OR(INDEX('Game Records'!$D:$D,$H33)="",LOWER(INDEX('Game Records'!$D:$D,$H33)&amp;"")="n/a")),"Entry Mode; ","")&amp;IF(AND(INDEX('Game Records'!$U:$U,$H33)&lt;&gt;"Subscription",INDEX('Game Records'!$U:$U,$H33)&lt;&gt;"Free Game",INDEX('Game Records'!$U:$U,$H33)&lt;&gt;"Disqualified — Free Game",OR(INDEX('Game Records'!$E:$E,$H33)="",LOWER(INDEX('Game Records'!$E:$E,$H33)&amp;"")="n/a")),"Game Type; ","")&amp;IF(INDEX('Game Records'!$F:$F,$H33)="","Payment Type; ","")&amp;IF(AND(INDEX('Game Records'!$U:$U,$H33)&lt;&gt;"Subscription",INDEX('Game Records'!$U:$U,$H33)&lt;&gt;"Free Game",INDEX('Game Records'!$U:$U,$H33)&lt;&gt;"Disqualified — Free Game",INDEX('Game Records'!$G:$G,$H33)=""),"Gross Pot; ","")&amp;IF(AND(INDEX('Game Records'!$U:$U,$H33)&lt;&gt;"Free Game",INDEX('Game Records'!$U:$U,$H33)&lt;&gt;"Disqualified — Free Game",INDEX('Game Records'!$H:$H,$H33)=""),"Entry Fee; ","")&amp;IF(AND(INDEX('Game Records'!$U:$U,$H33)&lt;&gt;"Subscription",INDEX('Game Records'!$U:$U,$H33)&lt;&gt;"Free Game",INDEX('Game Records'!$U:$U,$H33)&lt;&gt;"Disqualified — Free Game",INDEX('Game Records'!$I:$I,$H33)=""),"Eligible Players; ","")&amp;IF(AND(INDEX('Game Records'!$U:$U,$H33)&lt;&gt;"Subscription",INDEX('Game Records'!$U:$U,$H33)&lt;&gt;"Free Game",INDEX('Game Records'!$U:$U,$H33)&lt;&gt;"Disqualified — Free Game",INDEX('Game Records'!$J:$J,$H33)=""),"Total Players; ","")&amp;IF(AND(LOWER(INDEX('Game Records'!$D:$D,$H33)&amp;"")="finalized",LOWER(INDEX('Game Records'!$L:$L,$H33)&amp;"")&lt;&gt;"yes",INDEX('Game Records'!$U:$U,$H33)&lt;&gt;"Subscription",INDEX('Game Records'!$U:$U,$H33)&lt;&gt;"Free Game",INDEX('Game Records'!$U:$U,$H33)&lt;&gt;"Disqualified — Free Game",INDEX('Game Records'!$K:$K,$H33)=""),"Final Earned; ","")&amp;IF(AND(LOWER(INDEX('Game Records'!$D:$D,$H33)&amp;"")="finalized",INDEX('Game Records'!$U:$U,$H33)&lt;&gt;"Subscription",INDEX('Game Records'!$U:$U,$H33)&lt;&gt;"Free Game",INDEX('Game Records'!$U:$U,$H33)&lt;&gt;"Disqualified — Free Game",OR(INDEX('Game Records'!$L:$L,$H33)="",LOWER(INDEX('Game Records'!$L:$L,$H33)&amp;"")="n/a")),"Disqualified Status; ",""))</x:f>
        <x:v/>
      </x:c>
      <x:c r="G33" s="331" t="str">
        <x:f>IF($H33="","",IFERROR(INDEX('Game Records'!$M:$M,$H33),""))</x:f>
        <x:v/>
      </x:c>
      <x:c r="H33" s="104" t="str">
        <x:f>IF($H32="","",IFERROR(MATCH(1,INDEX((ROW('Game Records'!$U$5:$U$504)&gt;$H32)*(('Game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3" s="104"/>
      <x:c r="J33" s="104"/>
    </x:row>
    <x:row r="34" ht="24" hidden="0" customHeight="1">
      <x:c r="A34" s="332" t="str">
        <x:f>IF($H34="","",ROWS($A$5:A34))</x:f>
        <x:v/>
      </x:c>
      <x:c r="B34" s="332" t="str">
        <x:f>IF($H34="","","G-"&amp;TEXT($A34,"0000"))</x:f>
        <x:v/>
      </x:c>
      <x:c r="C34" s="331" t="str">
        <x:f>IF($H34="","",IFERROR(INDEX('Game Records'!$A:$A,$H34),""))</x:f>
        <x:v/>
      </x:c>
      <x:c r="D34" s="331" t="str">
        <x:f>IF($H34="","",IFERROR(INDEX('Game Records'!$U:$U,$H34),""))</x:f>
        <x:v/>
      </x:c>
      <x:c r="E34" s="331" t="str">
        <x:f>IF($H34="","",IF($F34="","No Highlighted Fields","Highlighted Fields Present"))</x:f>
        <x:v/>
      </x:c>
      <x:c r="F34" s="331" t="str">
        <x:f>IF($H34="","",IF(INDEX('Game Records'!$B:$B,$H34)="","Start Date; ","")&amp;IF(INDEX('Game Records'!$C:$C,$H34)="","End Date; ","")&amp;IF(AND(INDEX('Game Records'!$U:$U,$H34)&lt;&gt;"Subscription",INDEX('Game Records'!$U:$U,$H34)&lt;&gt;"Free Game",INDEX('Game Records'!$U:$U,$H34)&lt;&gt;"Disqualified — Free Game",OR(INDEX('Game Records'!$D:$D,$H34)="",LOWER(INDEX('Game Records'!$D:$D,$H34)&amp;"")="n/a")),"Entry Mode; ","")&amp;IF(AND(INDEX('Game Records'!$U:$U,$H34)&lt;&gt;"Subscription",INDEX('Game Records'!$U:$U,$H34)&lt;&gt;"Free Game",INDEX('Game Records'!$U:$U,$H34)&lt;&gt;"Disqualified — Free Game",OR(INDEX('Game Records'!$E:$E,$H34)="",LOWER(INDEX('Game Records'!$E:$E,$H34)&amp;"")="n/a")),"Game Type; ","")&amp;IF(INDEX('Game Records'!$F:$F,$H34)="","Payment Type; ","")&amp;IF(AND(INDEX('Game Records'!$U:$U,$H34)&lt;&gt;"Subscription",INDEX('Game Records'!$U:$U,$H34)&lt;&gt;"Free Game",INDEX('Game Records'!$U:$U,$H34)&lt;&gt;"Disqualified — Free Game",INDEX('Game Records'!$G:$G,$H34)=""),"Gross Pot; ","")&amp;IF(AND(INDEX('Game Records'!$U:$U,$H34)&lt;&gt;"Free Game",INDEX('Game Records'!$U:$U,$H34)&lt;&gt;"Disqualified — Free Game",INDEX('Game Records'!$H:$H,$H34)=""),"Entry Fee; ","")&amp;IF(AND(INDEX('Game Records'!$U:$U,$H34)&lt;&gt;"Subscription",INDEX('Game Records'!$U:$U,$H34)&lt;&gt;"Free Game",INDEX('Game Records'!$U:$U,$H34)&lt;&gt;"Disqualified — Free Game",INDEX('Game Records'!$I:$I,$H34)=""),"Eligible Players; ","")&amp;IF(AND(INDEX('Game Records'!$U:$U,$H34)&lt;&gt;"Subscription",INDEX('Game Records'!$U:$U,$H34)&lt;&gt;"Free Game",INDEX('Game Records'!$U:$U,$H34)&lt;&gt;"Disqualified — Free Game",INDEX('Game Records'!$J:$J,$H34)=""),"Total Players; ","")&amp;IF(AND(LOWER(INDEX('Game Records'!$D:$D,$H34)&amp;"")="finalized",LOWER(INDEX('Game Records'!$L:$L,$H34)&amp;"")&lt;&gt;"yes",INDEX('Game Records'!$U:$U,$H34)&lt;&gt;"Subscription",INDEX('Game Records'!$U:$U,$H34)&lt;&gt;"Free Game",INDEX('Game Records'!$U:$U,$H34)&lt;&gt;"Disqualified — Free Game",INDEX('Game Records'!$K:$K,$H34)=""),"Final Earned; ","")&amp;IF(AND(LOWER(INDEX('Game Records'!$D:$D,$H34)&amp;"")="finalized",INDEX('Game Records'!$U:$U,$H34)&lt;&gt;"Subscription",INDEX('Game Records'!$U:$U,$H34)&lt;&gt;"Free Game",INDEX('Game Records'!$U:$U,$H34)&lt;&gt;"Disqualified — Free Game",OR(INDEX('Game Records'!$L:$L,$H34)="",LOWER(INDEX('Game Records'!$L:$L,$H34)&amp;"")="n/a")),"Disqualified Status; ",""))</x:f>
        <x:v/>
      </x:c>
      <x:c r="G34" s="331" t="str">
        <x:f>IF($H34="","",IFERROR(INDEX('Game Records'!$M:$M,$H34),""))</x:f>
        <x:v/>
      </x:c>
      <x:c r="H34" s="104" t="str">
        <x:f>IF($H33="","",IFERROR(MATCH(1,INDEX((ROW('Game Records'!$U$5:$U$504)&gt;$H33)*(('Game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4" s="104"/>
      <x:c r="J34" s="104"/>
    </x:row>
    <x:row r="35" ht="24" hidden="0" customHeight="1">
      <x:c r="A35" s="332" t="str">
        <x:f>IF($H35="","",ROWS($A$5:A35))</x:f>
        <x:v/>
      </x:c>
      <x:c r="B35" s="332" t="str">
        <x:f>IF($H35="","","G-"&amp;TEXT($A35,"0000"))</x:f>
        <x:v/>
      </x:c>
      <x:c r="C35" s="331" t="str">
        <x:f>IF($H35="","",IFERROR(INDEX('Game Records'!$A:$A,$H35),""))</x:f>
        <x:v/>
      </x:c>
      <x:c r="D35" s="331" t="str">
        <x:f>IF($H35="","",IFERROR(INDEX('Game Records'!$U:$U,$H35),""))</x:f>
        <x:v/>
      </x:c>
      <x:c r="E35" s="331" t="str">
        <x:f>IF($H35="","",IF($F35="","No Highlighted Fields","Highlighted Fields Present"))</x:f>
        <x:v/>
      </x:c>
      <x:c r="F35" s="331" t="str">
        <x:f>IF($H35="","",IF(INDEX('Game Records'!$B:$B,$H35)="","Start Date; ","")&amp;IF(INDEX('Game Records'!$C:$C,$H35)="","End Date; ","")&amp;IF(AND(INDEX('Game Records'!$U:$U,$H35)&lt;&gt;"Subscription",INDEX('Game Records'!$U:$U,$H35)&lt;&gt;"Free Game",INDEX('Game Records'!$U:$U,$H35)&lt;&gt;"Disqualified — Free Game",OR(INDEX('Game Records'!$D:$D,$H35)="",LOWER(INDEX('Game Records'!$D:$D,$H35)&amp;"")="n/a")),"Entry Mode; ","")&amp;IF(AND(INDEX('Game Records'!$U:$U,$H35)&lt;&gt;"Subscription",INDEX('Game Records'!$U:$U,$H35)&lt;&gt;"Free Game",INDEX('Game Records'!$U:$U,$H35)&lt;&gt;"Disqualified — Free Game",OR(INDEX('Game Records'!$E:$E,$H35)="",LOWER(INDEX('Game Records'!$E:$E,$H35)&amp;"")="n/a")),"Game Type; ","")&amp;IF(INDEX('Game Records'!$F:$F,$H35)="","Payment Type; ","")&amp;IF(AND(INDEX('Game Records'!$U:$U,$H35)&lt;&gt;"Subscription",INDEX('Game Records'!$U:$U,$H35)&lt;&gt;"Free Game",INDEX('Game Records'!$U:$U,$H35)&lt;&gt;"Disqualified — Free Game",INDEX('Game Records'!$G:$G,$H35)=""),"Gross Pot; ","")&amp;IF(AND(INDEX('Game Records'!$U:$U,$H35)&lt;&gt;"Free Game",INDEX('Game Records'!$U:$U,$H35)&lt;&gt;"Disqualified — Free Game",INDEX('Game Records'!$H:$H,$H35)=""),"Entry Fee; ","")&amp;IF(AND(INDEX('Game Records'!$U:$U,$H35)&lt;&gt;"Subscription",INDEX('Game Records'!$U:$U,$H35)&lt;&gt;"Free Game",INDEX('Game Records'!$U:$U,$H35)&lt;&gt;"Disqualified — Free Game",INDEX('Game Records'!$I:$I,$H35)=""),"Eligible Players; ","")&amp;IF(AND(INDEX('Game Records'!$U:$U,$H35)&lt;&gt;"Subscription",INDEX('Game Records'!$U:$U,$H35)&lt;&gt;"Free Game",INDEX('Game Records'!$U:$U,$H35)&lt;&gt;"Disqualified — Free Game",INDEX('Game Records'!$J:$J,$H35)=""),"Total Players; ","")&amp;IF(AND(LOWER(INDEX('Game Records'!$D:$D,$H35)&amp;"")="finalized",LOWER(INDEX('Game Records'!$L:$L,$H35)&amp;"")&lt;&gt;"yes",INDEX('Game Records'!$U:$U,$H35)&lt;&gt;"Subscription",INDEX('Game Records'!$U:$U,$H35)&lt;&gt;"Free Game",INDEX('Game Records'!$U:$U,$H35)&lt;&gt;"Disqualified — Free Game",INDEX('Game Records'!$K:$K,$H35)=""),"Final Earned; ","")&amp;IF(AND(LOWER(INDEX('Game Records'!$D:$D,$H35)&amp;"")="finalized",INDEX('Game Records'!$U:$U,$H35)&lt;&gt;"Subscription",INDEX('Game Records'!$U:$U,$H35)&lt;&gt;"Free Game",INDEX('Game Records'!$U:$U,$H35)&lt;&gt;"Disqualified — Free Game",OR(INDEX('Game Records'!$L:$L,$H35)="",LOWER(INDEX('Game Records'!$L:$L,$H35)&amp;"")="n/a")),"Disqualified Status; ",""))</x:f>
        <x:v/>
      </x:c>
      <x:c r="G35" s="331" t="str">
        <x:f>IF($H35="","",IFERROR(INDEX('Game Records'!$M:$M,$H35),""))</x:f>
        <x:v/>
      </x:c>
      <x:c r="H35" s="104" t="str">
        <x:f>IF($H34="","",IFERROR(MATCH(1,INDEX((ROW('Game Records'!$U$5:$U$504)&gt;$H34)*(('Game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5" s="104"/>
      <x:c r="J35" s="104"/>
    </x:row>
    <x:row r="36" ht="24" hidden="0" customHeight="1">
      <x:c r="A36" s="332" t="str">
        <x:f>IF($H36="","",ROWS($A$5:A36))</x:f>
        <x:v/>
      </x:c>
      <x:c r="B36" s="332" t="str">
        <x:f>IF($H36="","","G-"&amp;TEXT($A36,"0000"))</x:f>
        <x:v/>
      </x:c>
      <x:c r="C36" s="331" t="str">
        <x:f>IF($H36="","",IFERROR(INDEX('Game Records'!$A:$A,$H36),""))</x:f>
        <x:v/>
      </x:c>
      <x:c r="D36" s="331" t="str">
        <x:f>IF($H36="","",IFERROR(INDEX('Game Records'!$U:$U,$H36),""))</x:f>
        <x:v/>
      </x:c>
      <x:c r="E36" s="331" t="str">
        <x:f>IF($H36="","",IF($F36="","No Highlighted Fields","Highlighted Fields Present"))</x:f>
        <x:v/>
      </x:c>
      <x:c r="F36" s="331" t="str">
        <x:f>IF($H36="","",IF(INDEX('Game Records'!$B:$B,$H36)="","Start Date; ","")&amp;IF(INDEX('Game Records'!$C:$C,$H36)="","End Date; ","")&amp;IF(AND(INDEX('Game Records'!$U:$U,$H36)&lt;&gt;"Subscription",INDEX('Game Records'!$U:$U,$H36)&lt;&gt;"Free Game",INDEX('Game Records'!$U:$U,$H36)&lt;&gt;"Disqualified — Free Game",OR(INDEX('Game Records'!$D:$D,$H36)="",LOWER(INDEX('Game Records'!$D:$D,$H36)&amp;"")="n/a")),"Entry Mode; ","")&amp;IF(AND(INDEX('Game Records'!$U:$U,$H36)&lt;&gt;"Subscription",INDEX('Game Records'!$U:$U,$H36)&lt;&gt;"Free Game",INDEX('Game Records'!$U:$U,$H36)&lt;&gt;"Disqualified — Free Game",OR(INDEX('Game Records'!$E:$E,$H36)="",LOWER(INDEX('Game Records'!$E:$E,$H36)&amp;"")="n/a")),"Game Type; ","")&amp;IF(INDEX('Game Records'!$F:$F,$H36)="","Payment Type; ","")&amp;IF(AND(INDEX('Game Records'!$U:$U,$H36)&lt;&gt;"Subscription",INDEX('Game Records'!$U:$U,$H36)&lt;&gt;"Free Game",INDEX('Game Records'!$U:$U,$H36)&lt;&gt;"Disqualified — Free Game",INDEX('Game Records'!$G:$G,$H36)=""),"Gross Pot; ","")&amp;IF(AND(INDEX('Game Records'!$U:$U,$H36)&lt;&gt;"Free Game",INDEX('Game Records'!$U:$U,$H36)&lt;&gt;"Disqualified — Free Game",INDEX('Game Records'!$H:$H,$H36)=""),"Entry Fee; ","")&amp;IF(AND(INDEX('Game Records'!$U:$U,$H36)&lt;&gt;"Subscription",INDEX('Game Records'!$U:$U,$H36)&lt;&gt;"Free Game",INDEX('Game Records'!$U:$U,$H36)&lt;&gt;"Disqualified — Free Game",INDEX('Game Records'!$I:$I,$H36)=""),"Eligible Players; ","")&amp;IF(AND(INDEX('Game Records'!$U:$U,$H36)&lt;&gt;"Subscription",INDEX('Game Records'!$U:$U,$H36)&lt;&gt;"Free Game",INDEX('Game Records'!$U:$U,$H36)&lt;&gt;"Disqualified — Free Game",INDEX('Game Records'!$J:$J,$H36)=""),"Total Players; ","")&amp;IF(AND(LOWER(INDEX('Game Records'!$D:$D,$H36)&amp;"")="finalized",LOWER(INDEX('Game Records'!$L:$L,$H36)&amp;"")&lt;&gt;"yes",INDEX('Game Records'!$U:$U,$H36)&lt;&gt;"Subscription",INDEX('Game Records'!$U:$U,$H36)&lt;&gt;"Free Game",INDEX('Game Records'!$U:$U,$H36)&lt;&gt;"Disqualified — Free Game",INDEX('Game Records'!$K:$K,$H36)=""),"Final Earned; ","")&amp;IF(AND(LOWER(INDEX('Game Records'!$D:$D,$H36)&amp;"")="finalized",INDEX('Game Records'!$U:$U,$H36)&lt;&gt;"Subscription",INDEX('Game Records'!$U:$U,$H36)&lt;&gt;"Free Game",INDEX('Game Records'!$U:$U,$H36)&lt;&gt;"Disqualified — Free Game",OR(INDEX('Game Records'!$L:$L,$H36)="",LOWER(INDEX('Game Records'!$L:$L,$H36)&amp;"")="n/a")),"Disqualified Status; ",""))</x:f>
        <x:v/>
      </x:c>
      <x:c r="G36" s="331" t="str">
        <x:f>IF($H36="","",IFERROR(INDEX('Game Records'!$M:$M,$H36),""))</x:f>
        <x:v/>
      </x:c>
      <x:c r="H36" s="104" t="str">
        <x:f>IF($H35="","",IFERROR(MATCH(1,INDEX((ROW('Game Records'!$U$5:$U$504)&gt;$H35)*(('Game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6" s="104"/>
      <x:c r="J36" s="104"/>
    </x:row>
    <x:row r="37" ht="24" hidden="0" customHeight="1">
      <x:c r="A37" s="332" t="str">
        <x:f>IF($H37="","",ROWS($A$5:A37))</x:f>
        <x:v/>
      </x:c>
      <x:c r="B37" s="332" t="str">
        <x:f>IF($H37="","","G-"&amp;TEXT($A37,"0000"))</x:f>
        <x:v/>
      </x:c>
      <x:c r="C37" s="331" t="str">
        <x:f>IF($H37="","",IFERROR(INDEX('Game Records'!$A:$A,$H37),""))</x:f>
        <x:v/>
      </x:c>
      <x:c r="D37" s="331" t="str">
        <x:f>IF($H37="","",IFERROR(INDEX('Game Records'!$U:$U,$H37),""))</x:f>
        <x:v/>
      </x:c>
      <x:c r="E37" s="331" t="str">
        <x:f>IF($H37="","",IF($F37="","No Highlighted Fields","Highlighted Fields Present"))</x:f>
        <x:v/>
      </x:c>
      <x:c r="F37" s="331" t="str">
        <x:f>IF($H37="","",IF(INDEX('Game Records'!$B:$B,$H37)="","Start Date; ","")&amp;IF(INDEX('Game Records'!$C:$C,$H37)="","End Date; ","")&amp;IF(AND(INDEX('Game Records'!$U:$U,$H37)&lt;&gt;"Subscription",INDEX('Game Records'!$U:$U,$H37)&lt;&gt;"Free Game",INDEX('Game Records'!$U:$U,$H37)&lt;&gt;"Disqualified — Free Game",OR(INDEX('Game Records'!$D:$D,$H37)="",LOWER(INDEX('Game Records'!$D:$D,$H37)&amp;"")="n/a")),"Entry Mode; ","")&amp;IF(AND(INDEX('Game Records'!$U:$U,$H37)&lt;&gt;"Subscription",INDEX('Game Records'!$U:$U,$H37)&lt;&gt;"Free Game",INDEX('Game Records'!$U:$U,$H37)&lt;&gt;"Disqualified — Free Game",OR(INDEX('Game Records'!$E:$E,$H37)="",LOWER(INDEX('Game Records'!$E:$E,$H37)&amp;"")="n/a")),"Game Type; ","")&amp;IF(INDEX('Game Records'!$F:$F,$H37)="","Payment Type; ","")&amp;IF(AND(INDEX('Game Records'!$U:$U,$H37)&lt;&gt;"Subscription",INDEX('Game Records'!$U:$U,$H37)&lt;&gt;"Free Game",INDEX('Game Records'!$U:$U,$H37)&lt;&gt;"Disqualified — Free Game",INDEX('Game Records'!$G:$G,$H37)=""),"Gross Pot; ","")&amp;IF(AND(INDEX('Game Records'!$U:$U,$H37)&lt;&gt;"Free Game",INDEX('Game Records'!$U:$U,$H37)&lt;&gt;"Disqualified — Free Game",INDEX('Game Records'!$H:$H,$H37)=""),"Entry Fee; ","")&amp;IF(AND(INDEX('Game Records'!$U:$U,$H37)&lt;&gt;"Subscription",INDEX('Game Records'!$U:$U,$H37)&lt;&gt;"Free Game",INDEX('Game Records'!$U:$U,$H37)&lt;&gt;"Disqualified — Free Game",INDEX('Game Records'!$I:$I,$H37)=""),"Eligible Players; ","")&amp;IF(AND(INDEX('Game Records'!$U:$U,$H37)&lt;&gt;"Subscription",INDEX('Game Records'!$U:$U,$H37)&lt;&gt;"Free Game",INDEX('Game Records'!$U:$U,$H37)&lt;&gt;"Disqualified — Free Game",INDEX('Game Records'!$J:$J,$H37)=""),"Total Players; ","")&amp;IF(AND(LOWER(INDEX('Game Records'!$D:$D,$H37)&amp;"")="finalized",LOWER(INDEX('Game Records'!$L:$L,$H37)&amp;"")&lt;&gt;"yes",INDEX('Game Records'!$U:$U,$H37)&lt;&gt;"Subscription",INDEX('Game Records'!$U:$U,$H37)&lt;&gt;"Free Game",INDEX('Game Records'!$U:$U,$H37)&lt;&gt;"Disqualified — Free Game",INDEX('Game Records'!$K:$K,$H37)=""),"Final Earned; ","")&amp;IF(AND(LOWER(INDEX('Game Records'!$D:$D,$H37)&amp;"")="finalized",INDEX('Game Records'!$U:$U,$H37)&lt;&gt;"Subscription",INDEX('Game Records'!$U:$U,$H37)&lt;&gt;"Free Game",INDEX('Game Records'!$U:$U,$H37)&lt;&gt;"Disqualified — Free Game",OR(INDEX('Game Records'!$L:$L,$H37)="",LOWER(INDEX('Game Records'!$L:$L,$H37)&amp;"")="n/a")),"Disqualified Status; ",""))</x:f>
        <x:v/>
      </x:c>
      <x:c r="G37" s="331" t="str">
        <x:f>IF($H37="","",IFERROR(INDEX('Game Records'!$M:$M,$H37),""))</x:f>
        <x:v/>
      </x:c>
      <x:c r="H37" s="104" t="str">
        <x:f>IF($H36="","",IFERROR(MATCH(1,INDEX((ROW('Game Records'!$U$5:$U$504)&gt;$H36)*(('Game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7" s="104"/>
      <x:c r="J37" s="104"/>
    </x:row>
    <x:row r="38" ht="24" hidden="0" customHeight="1">
      <x:c r="A38" s="332" t="str">
        <x:f>IF($H38="","",ROWS($A$5:A38))</x:f>
        <x:v/>
      </x:c>
      <x:c r="B38" s="332" t="str">
        <x:f>IF($H38="","","G-"&amp;TEXT($A38,"0000"))</x:f>
        <x:v/>
      </x:c>
      <x:c r="C38" s="331" t="str">
        <x:f>IF($H38="","",IFERROR(INDEX('Game Records'!$A:$A,$H38),""))</x:f>
        <x:v/>
      </x:c>
      <x:c r="D38" s="331" t="str">
        <x:f>IF($H38="","",IFERROR(INDEX('Game Records'!$U:$U,$H38),""))</x:f>
        <x:v/>
      </x:c>
      <x:c r="E38" s="331" t="str">
        <x:f>IF($H38="","",IF($F38="","No Highlighted Fields","Highlighted Fields Present"))</x:f>
        <x:v/>
      </x:c>
      <x:c r="F38" s="331" t="str">
        <x:f>IF($H38="","",IF(INDEX('Game Records'!$B:$B,$H38)="","Start Date; ","")&amp;IF(INDEX('Game Records'!$C:$C,$H38)="","End Date; ","")&amp;IF(AND(INDEX('Game Records'!$U:$U,$H38)&lt;&gt;"Subscription",INDEX('Game Records'!$U:$U,$H38)&lt;&gt;"Free Game",INDEX('Game Records'!$U:$U,$H38)&lt;&gt;"Disqualified — Free Game",OR(INDEX('Game Records'!$D:$D,$H38)="",LOWER(INDEX('Game Records'!$D:$D,$H38)&amp;"")="n/a")),"Entry Mode; ","")&amp;IF(AND(INDEX('Game Records'!$U:$U,$H38)&lt;&gt;"Subscription",INDEX('Game Records'!$U:$U,$H38)&lt;&gt;"Free Game",INDEX('Game Records'!$U:$U,$H38)&lt;&gt;"Disqualified — Free Game",OR(INDEX('Game Records'!$E:$E,$H38)="",LOWER(INDEX('Game Records'!$E:$E,$H38)&amp;"")="n/a")),"Game Type; ","")&amp;IF(INDEX('Game Records'!$F:$F,$H38)="","Payment Type; ","")&amp;IF(AND(INDEX('Game Records'!$U:$U,$H38)&lt;&gt;"Subscription",INDEX('Game Records'!$U:$U,$H38)&lt;&gt;"Free Game",INDEX('Game Records'!$U:$U,$H38)&lt;&gt;"Disqualified — Free Game",INDEX('Game Records'!$G:$G,$H38)=""),"Gross Pot; ","")&amp;IF(AND(INDEX('Game Records'!$U:$U,$H38)&lt;&gt;"Free Game",INDEX('Game Records'!$U:$U,$H38)&lt;&gt;"Disqualified — Free Game",INDEX('Game Records'!$H:$H,$H38)=""),"Entry Fee; ","")&amp;IF(AND(INDEX('Game Records'!$U:$U,$H38)&lt;&gt;"Subscription",INDEX('Game Records'!$U:$U,$H38)&lt;&gt;"Free Game",INDEX('Game Records'!$U:$U,$H38)&lt;&gt;"Disqualified — Free Game",INDEX('Game Records'!$I:$I,$H38)=""),"Eligible Players; ","")&amp;IF(AND(INDEX('Game Records'!$U:$U,$H38)&lt;&gt;"Subscription",INDEX('Game Records'!$U:$U,$H38)&lt;&gt;"Free Game",INDEX('Game Records'!$U:$U,$H38)&lt;&gt;"Disqualified — Free Game",INDEX('Game Records'!$J:$J,$H38)=""),"Total Players; ","")&amp;IF(AND(LOWER(INDEX('Game Records'!$D:$D,$H38)&amp;"")="finalized",LOWER(INDEX('Game Records'!$L:$L,$H38)&amp;"")&lt;&gt;"yes",INDEX('Game Records'!$U:$U,$H38)&lt;&gt;"Subscription",INDEX('Game Records'!$U:$U,$H38)&lt;&gt;"Free Game",INDEX('Game Records'!$U:$U,$H38)&lt;&gt;"Disqualified — Free Game",INDEX('Game Records'!$K:$K,$H38)=""),"Final Earned; ","")&amp;IF(AND(LOWER(INDEX('Game Records'!$D:$D,$H38)&amp;"")="finalized",INDEX('Game Records'!$U:$U,$H38)&lt;&gt;"Subscription",INDEX('Game Records'!$U:$U,$H38)&lt;&gt;"Free Game",INDEX('Game Records'!$U:$U,$H38)&lt;&gt;"Disqualified — Free Game",OR(INDEX('Game Records'!$L:$L,$H38)="",LOWER(INDEX('Game Records'!$L:$L,$H38)&amp;"")="n/a")),"Disqualified Status; ",""))</x:f>
        <x:v/>
      </x:c>
      <x:c r="G38" s="331" t="str">
        <x:f>IF($H38="","",IFERROR(INDEX('Game Records'!$M:$M,$H38),""))</x:f>
        <x:v/>
      </x:c>
      <x:c r="H38" s="104" t="str">
        <x:f>IF($H37="","",IFERROR(MATCH(1,INDEX((ROW('Game Records'!$U$5:$U$504)&gt;$H37)*(('Game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8" s="104"/>
      <x:c r="J38" s="104"/>
    </x:row>
    <x:row r="39" ht="24" hidden="0" customHeight="1">
      <x:c r="A39" s="332" t="str">
        <x:f>IF($H39="","",ROWS($A$5:A39))</x:f>
        <x:v/>
      </x:c>
      <x:c r="B39" s="332" t="str">
        <x:f>IF($H39="","","G-"&amp;TEXT($A39,"0000"))</x:f>
        <x:v/>
      </x:c>
      <x:c r="C39" s="331" t="str">
        <x:f>IF($H39="","",IFERROR(INDEX('Game Records'!$A:$A,$H39),""))</x:f>
        <x:v/>
      </x:c>
      <x:c r="D39" s="331" t="str">
        <x:f>IF($H39="","",IFERROR(INDEX('Game Records'!$U:$U,$H39),""))</x:f>
        <x:v/>
      </x:c>
      <x:c r="E39" s="331" t="str">
        <x:f>IF($H39="","",IF($F39="","No Highlighted Fields","Highlighted Fields Present"))</x:f>
        <x:v/>
      </x:c>
      <x:c r="F39" s="331" t="str">
        <x:f>IF($H39="","",IF(INDEX('Game Records'!$B:$B,$H39)="","Start Date; ","")&amp;IF(INDEX('Game Records'!$C:$C,$H39)="","End Date; ","")&amp;IF(AND(INDEX('Game Records'!$U:$U,$H39)&lt;&gt;"Subscription",INDEX('Game Records'!$U:$U,$H39)&lt;&gt;"Free Game",INDEX('Game Records'!$U:$U,$H39)&lt;&gt;"Disqualified — Free Game",OR(INDEX('Game Records'!$D:$D,$H39)="",LOWER(INDEX('Game Records'!$D:$D,$H39)&amp;"")="n/a")),"Entry Mode; ","")&amp;IF(AND(INDEX('Game Records'!$U:$U,$H39)&lt;&gt;"Subscription",INDEX('Game Records'!$U:$U,$H39)&lt;&gt;"Free Game",INDEX('Game Records'!$U:$U,$H39)&lt;&gt;"Disqualified — Free Game",OR(INDEX('Game Records'!$E:$E,$H39)="",LOWER(INDEX('Game Records'!$E:$E,$H39)&amp;"")="n/a")),"Game Type; ","")&amp;IF(INDEX('Game Records'!$F:$F,$H39)="","Payment Type; ","")&amp;IF(AND(INDEX('Game Records'!$U:$U,$H39)&lt;&gt;"Subscription",INDEX('Game Records'!$U:$U,$H39)&lt;&gt;"Free Game",INDEX('Game Records'!$U:$U,$H39)&lt;&gt;"Disqualified — Free Game",INDEX('Game Records'!$G:$G,$H39)=""),"Gross Pot; ","")&amp;IF(AND(INDEX('Game Records'!$U:$U,$H39)&lt;&gt;"Free Game",INDEX('Game Records'!$U:$U,$H39)&lt;&gt;"Disqualified — Free Game",INDEX('Game Records'!$H:$H,$H39)=""),"Entry Fee; ","")&amp;IF(AND(INDEX('Game Records'!$U:$U,$H39)&lt;&gt;"Subscription",INDEX('Game Records'!$U:$U,$H39)&lt;&gt;"Free Game",INDEX('Game Records'!$U:$U,$H39)&lt;&gt;"Disqualified — Free Game",INDEX('Game Records'!$I:$I,$H39)=""),"Eligible Players; ","")&amp;IF(AND(INDEX('Game Records'!$U:$U,$H39)&lt;&gt;"Subscription",INDEX('Game Records'!$U:$U,$H39)&lt;&gt;"Free Game",INDEX('Game Records'!$U:$U,$H39)&lt;&gt;"Disqualified — Free Game",INDEX('Game Records'!$J:$J,$H39)=""),"Total Players; ","")&amp;IF(AND(LOWER(INDEX('Game Records'!$D:$D,$H39)&amp;"")="finalized",LOWER(INDEX('Game Records'!$L:$L,$H39)&amp;"")&lt;&gt;"yes",INDEX('Game Records'!$U:$U,$H39)&lt;&gt;"Subscription",INDEX('Game Records'!$U:$U,$H39)&lt;&gt;"Free Game",INDEX('Game Records'!$U:$U,$H39)&lt;&gt;"Disqualified — Free Game",INDEX('Game Records'!$K:$K,$H39)=""),"Final Earned; ","")&amp;IF(AND(LOWER(INDEX('Game Records'!$D:$D,$H39)&amp;"")="finalized",INDEX('Game Records'!$U:$U,$H39)&lt;&gt;"Subscription",INDEX('Game Records'!$U:$U,$H39)&lt;&gt;"Free Game",INDEX('Game Records'!$U:$U,$H39)&lt;&gt;"Disqualified — Free Game",OR(INDEX('Game Records'!$L:$L,$H39)="",LOWER(INDEX('Game Records'!$L:$L,$H39)&amp;"")="n/a")),"Disqualified Status; ",""))</x:f>
        <x:v/>
      </x:c>
      <x:c r="G39" s="331" t="str">
        <x:f>IF($H39="","",IFERROR(INDEX('Game Records'!$M:$M,$H39),""))</x:f>
        <x:v/>
      </x:c>
      <x:c r="H39" s="104" t="str">
        <x:f>IF($H38="","",IFERROR(MATCH(1,INDEX((ROW('Game Records'!$U$5:$U$504)&gt;$H38)*(('Game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39" s="104"/>
      <x:c r="J39" s="104"/>
    </x:row>
    <x:row r="40" ht="24" hidden="0" customHeight="1">
      <x:c r="A40" s="332" t="str">
        <x:f>IF($H40="","",ROWS($A$5:A40))</x:f>
        <x:v/>
      </x:c>
      <x:c r="B40" s="332" t="str">
        <x:f>IF($H40="","","G-"&amp;TEXT($A40,"0000"))</x:f>
        <x:v/>
      </x:c>
      <x:c r="C40" s="331" t="str">
        <x:f>IF($H40="","",IFERROR(INDEX('Game Records'!$A:$A,$H40),""))</x:f>
        <x:v/>
      </x:c>
      <x:c r="D40" s="331" t="str">
        <x:f>IF($H40="","",IFERROR(INDEX('Game Records'!$U:$U,$H40),""))</x:f>
        <x:v/>
      </x:c>
      <x:c r="E40" s="331" t="str">
        <x:f>IF($H40="","",IF($F40="","No Highlighted Fields","Highlighted Fields Present"))</x:f>
        <x:v/>
      </x:c>
      <x:c r="F40" s="331" t="str">
        <x:f>IF($H40="","",IF(INDEX('Game Records'!$B:$B,$H40)="","Start Date; ","")&amp;IF(INDEX('Game Records'!$C:$C,$H40)="","End Date; ","")&amp;IF(AND(INDEX('Game Records'!$U:$U,$H40)&lt;&gt;"Subscription",INDEX('Game Records'!$U:$U,$H40)&lt;&gt;"Free Game",INDEX('Game Records'!$U:$U,$H40)&lt;&gt;"Disqualified — Free Game",OR(INDEX('Game Records'!$D:$D,$H40)="",LOWER(INDEX('Game Records'!$D:$D,$H40)&amp;"")="n/a")),"Entry Mode; ","")&amp;IF(AND(INDEX('Game Records'!$U:$U,$H40)&lt;&gt;"Subscription",INDEX('Game Records'!$U:$U,$H40)&lt;&gt;"Free Game",INDEX('Game Records'!$U:$U,$H40)&lt;&gt;"Disqualified — Free Game",OR(INDEX('Game Records'!$E:$E,$H40)="",LOWER(INDEX('Game Records'!$E:$E,$H40)&amp;"")="n/a")),"Game Type; ","")&amp;IF(INDEX('Game Records'!$F:$F,$H40)="","Payment Type; ","")&amp;IF(AND(INDEX('Game Records'!$U:$U,$H40)&lt;&gt;"Subscription",INDEX('Game Records'!$U:$U,$H40)&lt;&gt;"Free Game",INDEX('Game Records'!$U:$U,$H40)&lt;&gt;"Disqualified — Free Game",INDEX('Game Records'!$G:$G,$H40)=""),"Gross Pot; ","")&amp;IF(AND(INDEX('Game Records'!$U:$U,$H40)&lt;&gt;"Free Game",INDEX('Game Records'!$U:$U,$H40)&lt;&gt;"Disqualified — Free Game",INDEX('Game Records'!$H:$H,$H40)=""),"Entry Fee; ","")&amp;IF(AND(INDEX('Game Records'!$U:$U,$H40)&lt;&gt;"Subscription",INDEX('Game Records'!$U:$U,$H40)&lt;&gt;"Free Game",INDEX('Game Records'!$U:$U,$H40)&lt;&gt;"Disqualified — Free Game",INDEX('Game Records'!$I:$I,$H40)=""),"Eligible Players; ","")&amp;IF(AND(INDEX('Game Records'!$U:$U,$H40)&lt;&gt;"Subscription",INDEX('Game Records'!$U:$U,$H40)&lt;&gt;"Free Game",INDEX('Game Records'!$U:$U,$H40)&lt;&gt;"Disqualified — Free Game",INDEX('Game Records'!$J:$J,$H40)=""),"Total Players; ","")&amp;IF(AND(LOWER(INDEX('Game Records'!$D:$D,$H40)&amp;"")="finalized",LOWER(INDEX('Game Records'!$L:$L,$H40)&amp;"")&lt;&gt;"yes",INDEX('Game Records'!$U:$U,$H40)&lt;&gt;"Subscription",INDEX('Game Records'!$U:$U,$H40)&lt;&gt;"Free Game",INDEX('Game Records'!$U:$U,$H40)&lt;&gt;"Disqualified — Free Game",INDEX('Game Records'!$K:$K,$H40)=""),"Final Earned; ","")&amp;IF(AND(LOWER(INDEX('Game Records'!$D:$D,$H40)&amp;"")="finalized",INDEX('Game Records'!$U:$U,$H40)&lt;&gt;"Subscription",INDEX('Game Records'!$U:$U,$H40)&lt;&gt;"Free Game",INDEX('Game Records'!$U:$U,$H40)&lt;&gt;"Disqualified — Free Game",OR(INDEX('Game Records'!$L:$L,$H40)="",LOWER(INDEX('Game Records'!$L:$L,$H40)&amp;"")="n/a")),"Disqualified Status; ",""))</x:f>
        <x:v/>
      </x:c>
      <x:c r="G40" s="331" t="str">
        <x:f>IF($H40="","",IFERROR(INDEX('Game Records'!$M:$M,$H40),""))</x:f>
        <x:v/>
      </x:c>
      <x:c r="H40" s="104" t="str">
        <x:f>IF($H39="","",IFERROR(MATCH(1,INDEX((ROW('Game Records'!$U$5:$U$504)&gt;$H39)*(('Game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0" s="104"/>
      <x:c r="J40" s="104"/>
    </x:row>
    <x:row r="41" ht="24" hidden="0" customHeight="1">
      <x:c r="A41" s="332" t="str">
        <x:f>IF($H41="","",ROWS($A$5:A41))</x:f>
        <x:v/>
      </x:c>
      <x:c r="B41" s="332" t="str">
        <x:f>IF($H41="","","G-"&amp;TEXT($A41,"0000"))</x:f>
        <x:v/>
      </x:c>
      <x:c r="C41" s="331" t="str">
        <x:f>IF($H41="","",IFERROR(INDEX('Game Records'!$A:$A,$H41),""))</x:f>
        <x:v/>
      </x:c>
      <x:c r="D41" s="331" t="str">
        <x:f>IF($H41="","",IFERROR(INDEX('Game Records'!$U:$U,$H41),""))</x:f>
        <x:v/>
      </x:c>
      <x:c r="E41" s="331" t="str">
        <x:f>IF($H41="","",IF($F41="","No Highlighted Fields","Highlighted Fields Present"))</x:f>
        <x:v/>
      </x:c>
      <x:c r="F41" s="331" t="str">
        <x:f>IF($H41="","",IF(INDEX('Game Records'!$B:$B,$H41)="","Start Date; ","")&amp;IF(INDEX('Game Records'!$C:$C,$H41)="","End Date; ","")&amp;IF(AND(INDEX('Game Records'!$U:$U,$H41)&lt;&gt;"Subscription",INDEX('Game Records'!$U:$U,$H41)&lt;&gt;"Free Game",INDEX('Game Records'!$U:$U,$H41)&lt;&gt;"Disqualified — Free Game",OR(INDEX('Game Records'!$D:$D,$H41)="",LOWER(INDEX('Game Records'!$D:$D,$H41)&amp;"")="n/a")),"Entry Mode; ","")&amp;IF(AND(INDEX('Game Records'!$U:$U,$H41)&lt;&gt;"Subscription",INDEX('Game Records'!$U:$U,$H41)&lt;&gt;"Free Game",INDEX('Game Records'!$U:$U,$H41)&lt;&gt;"Disqualified — Free Game",OR(INDEX('Game Records'!$E:$E,$H41)="",LOWER(INDEX('Game Records'!$E:$E,$H41)&amp;"")="n/a")),"Game Type; ","")&amp;IF(INDEX('Game Records'!$F:$F,$H41)="","Payment Type; ","")&amp;IF(AND(INDEX('Game Records'!$U:$U,$H41)&lt;&gt;"Subscription",INDEX('Game Records'!$U:$U,$H41)&lt;&gt;"Free Game",INDEX('Game Records'!$U:$U,$H41)&lt;&gt;"Disqualified — Free Game",INDEX('Game Records'!$G:$G,$H41)=""),"Gross Pot; ","")&amp;IF(AND(INDEX('Game Records'!$U:$U,$H41)&lt;&gt;"Free Game",INDEX('Game Records'!$U:$U,$H41)&lt;&gt;"Disqualified — Free Game",INDEX('Game Records'!$H:$H,$H41)=""),"Entry Fee; ","")&amp;IF(AND(INDEX('Game Records'!$U:$U,$H41)&lt;&gt;"Subscription",INDEX('Game Records'!$U:$U,$H41)&lt;&gt;"Free Game",INDEX('Game Records'!$U:$U,$H41)&lt;&gt;"Disqualified — Free Game",INDEX('Game Records'!$I:$I,$H41)=""),"Eligible Players; ","")&amp;IF(AND(INDEX('Game Records'!$U:$U,$H41)&lt;&gt;"Subscription",INDEX('Game Records'!$U:$U,$H41)&lt;&gt;"Free Game",INDEX('Game Records'!$U:$U,$H41)&lt;&gt;"Disqualified — Free Game",INDEX('Game Records'!$J:$J,$H41)=""),"Total Players; ","")&amp;IF(AND(LOWER(INDEX('Game Records'!$D:$D,$H41)&amp;"")="finalized",LOWER(INDEX('Game Records'!$L:$L,$H41)&amp;"")&lt;&gt;"yes",INDEX('Game Records'!$U:$U,$H41)&lt;&gt;"Subscription",INDEX('Game Records'!$U:$U,$H41)&lt;&gt;"Free Game",INDEX('Game Records'!$U:$U,$H41)&lt;&gt;"Disqualified — Free Game",INDEX('Game Records'!$K:$K,$H41)=""),"Final Earned; ","")&amp;IF(AND(LOWER(INDEX('Game Records'!$D:$D,$H41)&amp;"")="finalized",INDEX('Game Records'!$U:$U,$H41)&lt;&gt;"Subscription",INDEX('Game Records'!$U:$U,$H41)&lt;&gt;"Free Game",INDEX('Game Records'!$U:$U,$H41)&lt;&gt;"Disqualified — Free Game",OR(INDEX('Game Records'!$L:$L,$H41)="",LOWER(INDEX('Game Records'!$L:$L,$H41)&amp;"")="n/a")),"Disqualified Status; ",""))</x:f>
        <x:v/>
      </x:c>
      <x:c r="G41" s="331" t="str">
        <x:f>IF($H41="","",IFERROR(INDEX('Game Records'!$M:$M,$H41),""))</x:f>
        <x:v/>
      </x:c>
      <x:c r="H41" s="104" t="str">
        <x:f>IF($H40="","",IFERROR(MATCH(1,INDEX((ROW('Game Records'!$U$5:$U$504)&gt;$H40)*(('Game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1" s="104"/>
      <x:c r="J41" s="104"/>
    </x:row>
    <x:row r="42" ht="24" hidden="0" customHeight="1">
      <x:c r="A42" s="332" t="str">
        <x:f>IF($H42="","",ROWS($A$5:A42))</x:f>
        <x:v/>
      </x:c>
      <x:c r="B42" s="332" t="str">
        <x:f>IF($H42="","","G-"&amp;TEXT($A42,"0000"))</x:f>
        <x:v/>
      </x:c>
      <x:c r="C42" s="331" t="str">
        <x:f>IF($H42="","",IFERROR(INDEX('Game Records'!$A:$A,$H42),""))</x:f>
        <x:v/>
      </x:c>
      <x:c r="D42" s="331" t="str">
        <x:f>IF($H42="","",IFERROR(INDEX('Game Records'!$U:$U,$H42),""))</x:f>
        <x:v/>
      </x:c>
      <x:c r="E42" s="331" t="str">
        <x:f>IF($H42="","",IF($F42="","No Highlighted Fields","Highlighted Fields Present"))</x:f>
        <x:v/>
      </x:c>
      <x:c r="F42" s="331" t="str">
        <x:f>IF($H42="","",IF(INDEX('Game Records'!$B:$B,$H42)="","Start Date; ","")&amp;IF(INDEX('Game Records'!$C:$C,$H42)="","End Date; ","")&amp;IF(AND(INDEX('Game Records'!$U:$U,$H42)&lt;&gt;"Subscription",INDEX('Game Records'!$U:$U,$H42)&lt;&gt;"Free Game",INDEX('Game Records'!$U:$U,$H42)&lt;&gt;"Disqualified — Free Game",OR(INDEX('Game Records'!$D:$D,$H42)="",LOWER(INDEX('Game Records'!$D:$D,$H42)&amp;"")="n/a")),"Entry Mode; ","")&amp;IF(AND(INDEX('Game Records'!$U:$U,$H42)&lt;&gt;"Subscription",INDEX('Game Records'!$U:$U,$H42)&lt;&gt;"Free Game",INDEX('Game Records'!$U:$U,$H42)&lt;&gt;"Disqualified — Free Game",OR(INDEX('Game Records'!$E:$E,$H42)="",LOWER(INDEX('Game Records'!$E:$E,$H42)&amp;"")="n/a")),"Game Type; ","")&amp;IF(INDEX('Game Records'!$F:$F,$H42)="","Payment Type; ","")&amp;IF(AND(INDEX('Game Records'!$U:$U,$H42)&lt;&gt;"Subscription",INDEX('Game Records'!$U:$U,$H42)&lt;&gt;"Free Game",INDEX('Game Records'!$U:$U,$H42)&lt;&gt;"Disqualified — Free Game",INDEX('Game Records'!$G:$G,$H42)=""),"Gross Pot; ","")&amp;IF(AND(INDEX('Game Records'!$U:$U,$H42)&lt;&gt;"Free Game",INDEX('Game Records'!$U:$U,$H42)&lt;&gt;"Disqualified — Free Game",INDEX('Game Records'!$H:$H,$H42)=""),"Entry Fee; ","")&amp;IF(AND(INDEX('Game Records'!$U:$U,$H42)&lt;&gt;"Subscription",INDEX('Game Records'!$U:$U,$H42)&lt;&gt;"Free Game",INDEX('Game Records'!$U:$U,$H42)&lt;&gt;"Disqualified — Free Game",INDEX('Game Records'!$I:$I,$H42)=""),"Eligible Players; ","")&amp;IF(AND(INDEX('Game Records'!$U:$U,$H42)&lt;&gt;"Subscription",INDEX('Game Records'!$U:$U,$H42)&lt;&gt;"Free Game",INDEX('Game Records'!$U:$U,$H42)&lt;&gt;"Disqualified — Free Game",INDEX('Game Records'!$J:$J,$H42)=""),"Total Players; ","")&amp;IF(AND(LOWER(INDEX('Game Records'!$D:$D,$H42)&amp;"")="finalized",LOWER(INDEX('Game Records'!$L:$L,$H42)&amp;"")&lt;&gt;"yes",INDEX('Game Records'!$U:$U,$H42)&lt;&gt;"Subscription",INDEX('Game Records'!$U:$U,$H42)&lt;&gt;"Free Game",INDEX('Game Records'!$U:$U,$H42)&lt;&gt;"Disqualified — Free Game",INDEX('Game Records'!$K:$K,$H42)=""),"Final Earned; ","")&amp;IF(AND(LOWER(INDEX('Game Records'!$D:$D,$H42)&amp;"")="finalized",INDEX('Game Records'!$U:$U,$H42)&lt;&gt;"Subscription",INDEX('Game Records'!$U:$U,$H42)&lt;&gt;"Free Game",INDEX('Game Records'!$U:$U,$H42)&lt;&gt;"Disqualified — Free Game",OR(INDEX('Game Records'!$L:$L,$H42)="",LOWER(INDEX('Game Records'!$L:$L,$H42)&amp;"")="n/a")),"Disqualified Status; ",""))</x:f>
        <x:v/>
      </x:c>
      <x:c r="G42" s="331" t="str">
        <x:f>IF($H42="","",IFERROR(INDEX('Game Records'!$M:$M,$H42),""))</x:f>
        <x:v/>
      </x:c>
      <x:c r="H42" s="104" t="str">
        <x:f>IF($H41="","",IFERROR(MATCH(1,INDEX((ROW('Game Records'!$U$5:$U$504)&gt;$H41)*(('Game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2" s="104"/>
      <x:c r="J42" s="104"/>
    </x:row>
    <x:row r="43" ht="24" hidden="0" customHeight="1">
      <x:c r="A43" s="332" t="str">
        <x:f>IF($H43="","",ROWS($A$5:A43))</x:f>
        <x:v/>
      </x:c>
      <x:c r="B43" s="332" t="str">
        <x:f>IF($H43="","","G-"&amp;TEXT($A43,"0000"))</x:f>
        <x:v/>
      </x:c>
      <x:c r="C43" s="331" t="str">
        <x:f>IF($H43="","",IFERROR(INDEX('Game Records'!$A:$A,$H43),""))</x:f>
        <x:v/>
      </x:c>
      <x:c r="D43" s="331" t="str">
        <x:f>IF($H43="","",IFERROR(INDEX('Game Records'!$U:$U,$H43),""))</x:f>
        <x:v/>
      </x:c>
      <x:c r="E43" s="331" t="str">
        <x:f>IF($H43="","",IF($F43="","No Highlighted Fields","Highlighted Fields Present"))</x:f>
        <x:v/>
      </x:c>
      <x:c r="F43" s="331" t="str">
        <x:f>IF($H43="","",IF(INDEX('Game Records'!$B:$B,$H43)="","Start Date; ","")&amp;IF(INDEX('Game Records'!$C:$C,$H43)="","End Date; ","")&amp;IF(AND(INDEX('Game Records'!$U:$U,$H43)&lt;&gt;"Subscription",INDEX('Game Records'!$U:$U,$H43)&lt;&gt;"Free Game",INDEX('Game Records'!$U:$U,$H43)&lt;&gt;"Disqualified — Free Game",OR(INDEX('Game Records'!$D:$D,$H43)="",LOWER(INDEX('Game Records'!$D:$D,$H43)&amp;"")="n/a")),"Entry Mode; ","")&amp;IF(AND(INDEX('Game Records'!$U:$U,$H43)&lt;&gt;"Subscription",INDEX('Game Records'!$U:$U,$H43)&lt;&gt;"Free Game",INDEX('Game Records'!$U:$U,$H43)&lt;&gt;"Disqualified — Free Game",OR(INDEX('Game Records'!$E:$E,$H43)="",LOWER(INDEX('Game Records'!$E:$E,$H43)&amp;"")="n/a")),"Game Type; ","")&amp;IF(INDEX('Game Records'!$F:$F,$H43)="","Payment Type; ","")&amp;IF(AND(INDEX('Game Records'!$U:$U,$H43)&lt;&gt;"Subscription",INDEX('Game Records'!$U:$U,$H43)&lt;&gt;"Free Game",INDEX('Game Records'!$U:$U,$H43)&lt;&gt;"Disqualified — Free Game",INDEX('Game Records'!$G:$G,$H43)=""),"Gross Pot; ","")&amp;IF(AND(INDEX('Game Records'!$U:$U,$H43)&lt;&gt;"Free Game",INDEX('Game Records'!$U:$U,$H43)&lt;&gt;"Disqualified — Free Game",INDEX('Game Records'!$H:$H,$H43)=""),"Entry Fee; ","")&amp;IF(AND(INDEX('Game Records'!$U:$U,$H43)&lt;&gt;"Subscription",INDEX('Game Records'!$U:$U,$H43)&lt;&gt;"Free Game",INDEX('Game Records'!$U:$U,$H43)&lt;&gt;"Disqualified — Free Game",INDEX('Game Records'!$I:$I,$H43)=""),"Eligible Players; ","")&amp;IF(AND(INDEX('Game Records'!$U:$U,$H43)&lt;&gt;"Subscription",INDEX('Game Records'!$U:$U,$H43)&lt;&gt;"Free Game",INDEX('Game Records'!$U:$U,$H43)&lt;&gt;"Disqualified — Free Game",INDEX('Game Records'!$J:$J,$H43)=""),"Total Players; ","")&amp;IF(AND(LOWER(INDEX('Game Records'!$D:$D,$H43)&amp;"")="finalized",LOWER(INDEX('Game Records'!$L:$L,$H43)&amp;"")&lt;&gt;"yes",INDEX('Game Records'!$U:$U,$H43)&lt;&gt;"Subscription",INDEX('Game Records'!$U:$U,$H43)&lt;&gt;"Free Game",INDEX('Game Records'!$U:$U,$H43)&lt;&gt;"Disqualified — Free Game",INDEX('Game Records'!$K:$K,$H43)=""),"Final Earned; ","")&amp;IF(AND(LOWER(INDEX('Game Records'!$D:$D,$H43)&amp;"")="finalized",INDEX('Game Records'!$U:$U,$H43)&lt;&gt;"Subscription",INDEX('Game Records'!$U:$U,$H43)&lt;&gt;"Free Game",INDEX('Game Records'!$U:$U,$H43)&lt;&gt;"Disqualified — Free Game",OR(INDEX('Game Records'!$L:$L,$H43)="",LOWER(INDEX('Game Records'!$L:$L,$H43)&amp;"")="n/a")),"Disqualified Status; ",""))</x:f>
        <x:v/>
      </x:c>
      <x:c r="G43" s="331" t="str">
        <x:f>IF($H43="","",IFERROR(INDEX('Game Records'!$M:$M,$H43),""))</x:f>
        <x:v/>
      </x:c>
      <x:c r="H43" s="104" t="str">
        <x:f>IF($H42="","",IFERROR(MATCH(1,INDEX((ROW('Game Records'!$U$5:$U$504)&gt;$H42)*(('Game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3" s="104"/>
      <x:c r="J43" s="104"/>
    </x:row>
    <x:row r="44" ht="24" hidden="0" customHeight="1">
      <x:c r="A44" s="332" t="str">
        <x:f>IF($H44="","",ROWS($A$5:A44))</x:f>
        <x:v/>
      </x:c>
      <x:c r="B44" s="332" t="str">
        <x:f>IF($H44="","","G-"&amp;TEXT($A44,"0000"))</x:f>
        <x:v/>
      </x:c>
      <x:c r="C44" s="331" t="str">
        <x:f>IF($H44="","",IFERROR(INDEX('Game Records'!$A:$A,$H44),""))</x:f>
        <x:v/>
      </x:c>
      <x:c r="D44" s="331" t="str">
        <x:f>IF($H44="","",IFERROR(INDEX('Game Records'!$U:$U,$H44),""))</x:f>
        <x:v/>
      </x:c>
      <x:c r="E44" s="331" t="str">
        <x:f>IF($H44="","",IF($F44="","No Highlighted Fields","Highlighted Fields Present"))</x:f>
        <x:v/>
      </x:c>
      <x:c r="F44" s="331" t="str">
        <x:f>IF($H44="","",IF(INDEX('Game Records'!$B:$B,$H44)="","Start Date; ","")&amp;IF(INDEX('Game Records'!$C:$C,$H44)="","End Date; ","")&amp;IF(AND(INDEX('Game Records'!$U:$U,$H44)&lt;&gt;"Subscription",INDEX('Game Records'!$U:$U,$H44)&lt;&gt;"Free Game",INDEX('Game Records'!$U:$U,$H44)&lt;&gt;"Disqualified — Free Game",OR(INDEX('Game Records'!$D:$D,$H44)="",LOWER(INDEX('Game Records'!$D:$D,$H44)&amp;"")="n/a")),"Entry Mode; ","")&amp;IF(AND(INDEX('Game Records'!$U:$U,$H44)&lt;&gt;"Subscription",INDEX('Game Records'!$U:$U,$H44)&lt;&gt;"Free Game",INDEX('Game Records'!$U:$U,$H44)&lt;&gt;"Disqualified — Free Game",OR(INDEX('Game Records'!$E:$E,$H44)="",LOWER(INDEX('Game Records'!$E:$E,$H44)&amp;"")="n/a")),"Game Type; ","")&amp;IF(INDEX('Game Records'!$F:$F,$H44)="","Payment Type; ","")&amp;IF(AND(INDEX('Game Records'!$U:$U,$H44)&lt;&gt;"Subscription",INDEX('Game Records'!$U:$U,$H44)&lt;&gt;"Free Game",INDEX('Game Records'!$U:$U,$H44)&lt;&gt;"Disqualified — Free Game",INDEX('Game Records'!$G:$G,$H44)=""),"Gross Pot; ","")&amp;IF(AND(INDEX('Game Records'!$U:$U,$H44)&lt;&gt;"Free Game",INDEX('Game Records'!$U:$U,$H44)&lt;&gt;"Disqualified — Free Game",INDEX('Game Records'!$H:$H,$H44)=""),"Entry Fee; ","")&amp;IF(AND(INDEX('Game Records'!$U:$U,$H44)&lt;&gt;"Subscription",INDEX('Game Records'!$U:$U,$H44)&lt;&gt;"Free Game",INDEX('Game Records'!$U:$U,$H44)&lt;&gt;"Disqualified — Free Game",INDEX('Game Records'!$I:$I,$H44)=""),"Eligible Players; ","")&amp;IF(AND(INDEX('Game Records'!$U:$U,$H44)&lt;&gt;"Subscription",INDEX('Game Records'!$U:$U,$H44)&lt;&gt;"Free Game",INDEX('Game Records'!$U:$U,$H44)&lt;&gt;"Disqualified — Free Game",INDEX('Game Records'!$J:$J,$H44)=""),"Total Players; ","")&amp;IF(AND(LOWER(INDEX('Game Records'!$D:$D,$H44)&amp;"")="finalized",LOWER(INDEX('Game Records'!$L:$L,$H44)&amp;"")&lt;&gt;"yes",INDEX('Game Records'!$U:$U,$H44)&lt;&gt;"Subscription",INDEX('Game Records'!$U:$U,$H44)&lt;&gt;"Free Game",INDEX('Game Records'!$U:$U,$H44)&lt;&gt;"Disqualified — Free Game",INDEX('Game Records'!$K:$K,$H44)=""),"Final Earned; ","")&amp;IF(AND(LOWER(INDEX('Game Records'!$D:$D,$H44)&amp;"")="finalized",INDEX('Game Records'!$U:$U,$H44)&lt;&gt;"Subscription",INDEX('Game Records'!$U:$U,$H44)&lt;&gt;"Free Game",INDEX('Game Records'!$U:$U,$H44)&lt;&gt;"Disqualified — Free Game",OR(INDEX('Game Records'!$L:$L,$H44)="",LOWER(INDEX('Game Records'!$L:$L,$H44)&amp;"")="n/a")),"Disqualified Status; ",""))</x:f>
        <x:v/>
      </x:c>
      <x:c r="G44" s="331" t="str">
        <x:f>IF($H44="","",IFERROR(INDEX('Game Records'!$M:$M,$H44),""))</x:f>
        <x:v/>
      </x:c>
      <x:c r="H44" s="104" t="str">
        <x:f>IF($H43="","",IFERROR(MATCH(1,INDEX((ROW('Game Records'!$U$5:$U$504)&gt;$H43)*(('Game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4" s="104"/>
      <x:c r="J44" s="104"/>
    </x:row>
    <x:row r="45" ht="24" hidden="0" customHeight="1">
      <x:c r="A45" s="332" t="str">
        <x:f>IF($H45="","",ROWS($A$5:A45))</x:f>
        <x:v/>
      </x:c>
      <x:c r="B45" s="332" t="str">
        <x:f>IF($H45="","","G-"&amp;TEXT($A45,"0000"))</x:f>
        <x:v/>
      </x:c>
      <x:c r="C45" s="331" t="str">
        <x:f>IF($H45="","",IFERROR(INDEX('Game Records'!$A:$A,$H45),""))</x:f>
        <x:v/>
      </x:c>
      <x:c r="D45" s="331" t="str">
        <x:f>IF($H45="","",IFERROR(INDEX('Game Records'!$U:$U,$H45),""))</x:f>
        <x:v/>
      </x:c>
      <x:c r="E45" s="331" t="str">
        <x:f>IF($H45="","",IF($F45="","No Highlighted Fields","Highlighted Fields Present"))</x:f>
        <x:v/>
      </x:c>
      <x:c r="F45" s="331" t="str">
        <x:f>IF($H45="","",IF(INDEX('Game Records'!$B:$B,$H45)="","Start Date; ","")&amp;IF(INDEX('Game Records'!$C:$C,$H45)="","End Date; ","")&amp;IF(AND(INDEX('Game Records'!$U:$U,$H45)&lt;&gt;"Subscription",INDEX('Game Records'!$U:$U,$H45)&lt;&gt;"Free Game",INDEX('Game Records'!$U:$U,$H45)&lt;&gt;"Disqualified — Free Game",OR(INDEX('Game Records'!$D:$D,$H45)="",LOWER(INDEX('Game Records'!$D:$D,$H45)&amp;"")="n/a")),"Entry Mode; ","")&amp;IF(AND(INDEX('Game Records'!$U:$U,$H45)&lt;&gt;"Subscription",INDEX('Game Records'!$U:$U,$H45)&lt;&gt;"Free Game",INDEX('Game Records'!$U:$U,$H45)&lt;&gt;"Disqualified — Free Game",OR(INDEX('Game Records'!$E:$E,$H45)="",LOWER(INDEX('Game Records'!$E:$E,$H45)&amp;"")="n/a")),"Game Type; ","")&amp;IF(INDEX('Game Records'!$F:$F,$H45)="","Payment Type; ","")&amp;IF(AND(INDEX('Game Records'!$U:$U,$H45)&lt;&gt;"Subscription",INDEX('Game Records'!$U:$U,$H45)&lt;&gt;"Free Game",INDEX('Game Records'!$U:$U,$H45)&lt;&gt;"Disqualified — Free Game",INDEX('Game Records'!$G:$G,$H45)=""),"Gross Pot; ","")&amp;IF(AND(INDEX('Game Records'!$U:$U,$H45)&lt;&gt;"Free Game",INDEX('Game Records'!$U:$U,$H45)&lt;&gt;"Disqualified — Free Game",INDEX('Game Records'!$H:$H,$H45)=""),"Entry Fee; ","")&amp;IF(AND(INDEX('Game Records'!$U:$U,$H45)&lt;&gt;"Subscription",INDEX('Game Records'!$U:$U,$H45)&lt;&gt;"Free Game",INDEX('Game Records'!$U:$U,$H45)&lt;&gt;"Disqualified — Free Game",INDEX('Game Records'!$I:$I,$H45)=""),"Eligible Players; ","")&amp;IF(AND(INDEX('Game Records'!$U:$U,$H45)&lt;&gt;"Subscription",INDEX('Game Records'!$U:$U,$H45)&lt;&gt;"Free Game",INDEX('Game Records'!$U:$U,$H45)&lt;&gt;"Disqualified — Free Game",INDEX('Game Records'!$J:$J,$H45)=""),"Total Players; ","")&amp;IF(AND(LOWER(INDEX('Game Records'!$D:$D,$H45)&amp;"")="finalized",LOWER(INDEX('Game Records'!$L:$L,$H45)&amp;"")&lt;&gt;"yes",INDEX('Game Records'!$U:$U,$H45)&lt;&gt;"Subscription",INDEX('Game Records'!$U:$U,$H45)&lt;&gt;"Free Game",INDEX('Game Records'!$U:$U,$H45)&lt;&gt;"Disqualified — Free Game",INDEX('Game Records'!$K:$K,$H45)=""),"Final Earned; ","")&amp;IF(AND(LOWER(INDEX('Game Records'!$D:$D,$H45)&amp;"")="finalized",INDEX('Game Records'!$U:$U,$H45)&lt;&gt;"Subscription",INDEX('Game Records'!$U:$U,$H45)&lt;&gt;"Free Game",INDEX('Game Records'!$U:$U,$H45)&lt;&gt;"Disqualified — Free Game",OR(INDEX('Game Records'!$L:$L,$H45)="",LOWER(INDEX('Game Records'!$L:$L,$H45)&amp;"")="n/a")),"Disqualified Status; ",""))</x:f>
        <x:v/>
      </x:c>
      <x:c r="G45" s="331" t="str">
        <x:f>IF($H45="","",IFERROR(INDEX('Game Records'!$M:$M,$H45),""))</x:f>
        <x:v/>
      </x:c>
      <x:c r="H45" s="104" t="str">
        <x:f>IF($H44="","",IFERROR(MATCH(1,INDEX((ROW('Game Records'!$U$5:$U$504)&gt;$H44)*(('Game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5" s="104"/>
      <x:c r="J45" s="104"/>
    </x:row>
    <x:row r="46" ht="24" hidden="0" customHeight="1">
      <x:c r="A46" s="332" t="str">
        <x:f>IF($H46="","",ROWS($A$5:A46))</x:f>
        <x:v/>
      </x:c>
      <x:c r="B46" s="332" t="str">
        <x:f>IF($H46="","","G-"&amp;TEXT($A46,"0000"))</x:f>
        <x:v/>
      </x:c>
      <x:c r="C46" s="331" t="str">
        <x:f>IF($H46="","",IFERROR(INDEX('Game Records'!$A:$A,$H46),""))</x:f>
        <x:v/>
      </x:c>
      <x:c r="D46" s="331" t="str">
        <x:f>IF($H46="","",IFERROR(INDEX('Game Records'!$U:$U,$H46),""))</x:f>
        <x:v/>
      </x:c>
      <x:c r="E46" s="331" t="str">
        <x:f>IF($H46="","",IF($F46="","No Highlighted Fields","Highlighted Fields Present"))</x:f>
        <x:v/>
      </x:c>
      <x:c r="F46" s="331" t="str">
        <x:f>IF($H46="","",IF(INDEX('Game Records'!$B:$B,$H46)="","Start Date; ","")&amp;IF(INDEX('Game Records'!$C:$C,$H46)="","End Date; ","")&amp;IF(AND(INDEX('Game Records'!$U:$U,$H46)&lt;&gt;"Subscription",INDEX('Game Records'!$U:$U,$H46)&lt;&gt;"Free Game",INDEX('Game Records'!$U:$U,$H46)&lt;&gt;"Disqualified — Free Game",OR(INDEX('Game Records'!$D:$D,$H46)="",LOWER(INDEX('Game Records'!$D:$D,$H46)&amp;"")="n/a")),"Entry Mode; ","")&amp;IF(AND(INDEX('Game Records'!$U:$U,$H46)&lt;&gt;"Subscription",INDEX('Game Records'!$U:$U,$H46)&lt;&gt;"Free Game",INDEX('Game Records'!$U:$U,$H46)&lt;&gt;"Disqualified — Free Game",OR(INDEX('Game Records'!$E:$E,$H46)="",LOWER(INDEX('Game Records'!$E:$E,$H46)&amp;"")="n/a")),"Game Type; ","")&amp;IF(INDEX('Game Records'!$F:$F,$H46)="","Payment Type; ","")&amp;IF(AND(INDEX('Game Records'!$U:$U,$H46)&lt;&gt;"Subscription",INDEX('Game Records'!$U:$U,$H46)&lt;&gt;"Free Game",INDEX('Game Records'!$U:$U,$H46)&lt;&gt;"Disqualified — Free Game",INDEX('Game Records'!$G:$G,$H46)=""),"Gross Pot; ","")&amp;IF(AND(INDEX('Game Records'!$U:$U,$H46)&lt;&gt;"Free Game",INDEX('Game Records'!$U:$U,$H46)&lt;&gt;"Disqualified — Free Game",INDEX('Game Records'!$H:$H,$H46)=""),"Entry Fee; ","")&amp;IF(AND(INDEX('Game Records'!$U:$U,$H46)&lt;&gt;"Subscription",INDEX('Game Records'!$U:$U,$H46)&lt;&gt;"Free Game",INDEX('Game Records'!$U:$U,$H46)&lt;&gt;"Disqualified — Free Game",INDEX('Game Records'!$I:$I,$H46)=""),"Eligible Players; ","")&amp;IF(AND(INDEX('Game Records'!$U:$U,$H46)&lt;&gt;"Subscription",INDEX('Game Records'!$U:$U,$H46)&lt;&gt;"Free Game",INDEX('Game Records'!$U:$U,$H46)&lt;&gt;"Disqualified — Free Game",INDEX('Game Records'!$J:$J,$H46)=""),"Total Players; ","")&amp;IF(AND(LOWER(INDEX('Game Records'!$D:$D,$H46)&amp;"")="finalized",LOWER(INDEX('Game Records'!$L:$L,$H46)&amp;"")&lt;&gt;"yes",INDEX('Game Records'!$U:$U,$H46)&lt;&gt;"Subscription",INDEX('Game Records'!$U:$U,$H46)&lt;&gt;"Free Game",INDEX('Game Records'!$U:$U,$H46)&lt;&gt;"Disqualified — Free Game",INDEX('Game Records'!$K:$K,$H46)=""),"Final Earned; ","")&amp;IF(AND(LOWER(INDEX('Game Records'!$D:$D,$H46)&amp;"")="finalized",INDEX('Game Records'!$U:$U,$H46)&lt;&gt;"Subscription",INDEX('Game Records'!$U:$U,$H46)&lt;&gt;"Free Game",INDEX('Game Records'!$U:$U,$H46)&lt;&gt;"Disqualified — Free Game",OR(INDEX('Game Records'!$L:$L,$H46)="",LOWER(INDEX('Game Records'!$L:$L,$H46)&amp;"")="n/a")),"Disqualified Status; ",""))</x:f>
        <x:v/>
      </x:c>
      <x:c r="G46" s="331" t="str">
        <x:f>IF($H46="","",IFERROR(INDEX('Game Records'!$M:$M,$H46),""))</x:f>
        <x:v/>
      </x:c>
      <x:c r="H46" s="104" t="str">
        <x:f>IF($H45="","",IFERROR(MATCH(1,INDEX((ROW('Game Records'!$U$5:$U$504)&gt;$H45)*(('Game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6" s="104"/>
      <x:c r="J46" s="104"/>
    </x:row>
    <x:row r="47" ht="24" hidden="0" customHeight="1">
      <x:c r="A47" s="332" t="str">
        <x:f>IF($H47="","",ROWS($A$5:A47))</x:f>
        <x:v/>
      </x:c>
      <x:c r="B47" s="332" t="str">
        <x:f>IF($H47="","","G-"&amp;TEXT($A47,"0000"))</x:f>
        <x:v/>
      </x:c>
      <x:c r="C47" s="331" t="str">
        <x:f>IF($H47="","",IFERROR(INDEX('Game Records'!$A:$A,$H47),""))</x:f>
        <x:v/>
      </x:c>
      <x:c r="D47" s="331" t="str">
        <x:f>IF($H47="","",IFERROR(INDEX('Game Records'!$U:$U,$H47),""))</x:f>
        <x:v/>
      </x:c>
      <x:c r="E47" s="331" t="str">
        <x:f>IF($H47="","",IF($F47="","No Highlighted Fields","Highlighted Fields Present"))</x:f>
        <x:v/>
      </x:c>
      <x:c r="F47" s="331" t="str">
        <x:f>IF($H47="","",IF(INDEX('Game Records'!$B:$B,$H47)="","Start Date; ","")&amp;IF(INDEX('Game Records'!$C:$C,$H47)="","End Date; ","")&amp;IF(AND(INDEX('Game Records'!$U:$U,$H47)&lt;&gt;"Subscription",INDEX('Game Records'!$U:$U,$H47)&lt;&gt;"Free Game",INDEX('Game Records'!$U:$U,$H47)&lt;&gt;"Disqualified — Free Game",OR(INDEX('Game Records'!$D:$D,$H47)="",LOWER(INDEX('Game Records'!$D:$D,$H47)&amp;"")="n/a")),"Entry Mode; ","")&amp;IF(AND(INDEX('Game Records'!$U:$U,$H47)&lt;&gt;"Subscription",INDEX('Game Records'!$U:$U,$H47)&lt;&gt;"Free Game",INDEX('Game Records'!$U:$U,$H47)&lt;&gt;"Disqualified — Free Game",OR(INDEX('Game Records'!$E:$E,$H47)="",LOWER(INDEX('Game Records'!$E:$E,$H47)&amp;"")="n/a")),"Game Type; ","")&amp;IF(INDEX('Game Records'!$F:$F,$H47)="","Payment Type; ","")&amp;IF(AND(INDEX('Game Records'!$U:$U,$H47)&lt;&gt;"Subscription",INDEX('Game Records'!$U:$U,$H47)&lt;&gt;"Free Game",INDEX('Game Records'!$U:$U,$H47)&lt;&gt;"Disqualified — Free Game",INDEX('Game Records'!$G:$G,$H47)=""),"Gross Pot; ","")&amp;IF(AND(INDEX('Game Records'!$U:$U,$H47)&lt;&gt;"Free Game",INDEX('Game Records'!$U:$U,$H47)&lt;&gt;"Disqualified — Free Game",INDEX('Game Records'!$H:$H,$H47)=""),"Entry Fee; ","")&amp;IF(AND(INDEX('Game Records'!$U:$U,$H47)&lt;&gt;"Subscription",INDEX('Game Records'!$U:$U,$H47)&lt;&gt;"Free Game",INDEX('Game Records'!$U:$U,$H47)&lt;&gt;"Disqualified — Free Game",INDEX('Game Records'!$I:$I,$H47)=""),"Eligible Players; ","")&amp;IF(AND(INDEX('Game Records'!$U:$U,$H47)&lt;&gt;"Subscription",INDEX('Game Records'!$U:$U,$H47)&lt;&gt;"Free Game",INDEX('Game Records'!$U:$U,$H47)&lt;&gt;"Disqualified — Free Game",INDEX('Game Records'!$J:$J,$H47)=""),"Total Players; ","")&amp;IF(AND(LOWER(INDEX('Game Records'!$D:$D,$H47)&amp;"")="finalized",LOWER(INDEX('Game Records'!$L:$L,$H47)&amp;"")&lt;&gt;"yes",INDEX('Game Records'!$U:$U,$H47)&lt;&gt;"Subscription",INDEX('Game Records'!$U:$U,$H47)&lt;&gt;"Free Game",INDEX('Game Records'!$U:$U,$H47)&lt;&gt;"Disqualified — Free Game",INDEX('Game Records'!$K:$K,$H47)=""),"Final Earned; ","")&amp;IF(AND(LOWER(INDEX('Game Records'!$D:$D,$H47)&amp;"")="finalized",INDEX('Game Records'!$U:$U,$H47)&lt;&gt;"Subscription",INDEX('Game Records'!$U:$U,$H47)&lt;&gt;"Free Game",INDEX('Game Records'!$U:$U,$H47)&lt;&gt;"Disqualified — Free Game",OR(INDEX('Game Records'!$L:$L,$H47)="",LOWER(INDEX('Game Records'!$L:$L,$H47)&amp;"")="n/a")),"Disqualified Status; ",""))</x:f>
        <x:v/>
      </x:c>
      <x:c r="G47" s="331" t="str">
        <x:f>IF($H47="","",IFERROR(INDEX('Game Records'!$M:$M,$H47),""))</x:f>
        <x:v/>
      </x:c>
      <x:c r="H47" s="104" t="str">
        <x:f>IF($H46="","",IFERROR(MATCH(1,INDEX((ROW('Game Records'!$U$5:$U$504)&gt;$H46)*(('Game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7" s="104"/>
      <x:c r="J47" s="104"/>
    </x:row>
    <x:row r="48" ht="24" hidden="0" customHeight="1">
      <x:c r="A48" s="332" t="str">
        <x:f>IF($H48="","",ROWS($A$5:A48))</x:f>
        <x:v/>
      </x:c>
      <x:c r="B48" s="332" t="str">
        <x:f>IF($H48="","","G-"&amp;TEXT($A48,"0000"))</x:f>
        <x:v/>
      </x:c>
      <x:c r="C48" s="331" t="str">
        <x:f>IF($H48="","",IFERROR(INDEX('Game Records'!$A:$A,$H48),""))</x:f>
        <x:v/>
      </x:c>
      <x:c r="D48" s="331" t="str">
        <x:f>IF($H48="","",IFERROR(INDEX('Game Records'!$U:$U,$H48),""))</x:f>
        <x:v/>
      </x:c>
      <x:c r="E48" s="331" t="str">
        <x:f>IF($H48="","",IF($F48="","No Highlighted Fields","Highlighted Fields Present"))</x:f>
        <x:v/>
      </x:c>
      <x:c r="F48" s="331" t="str">
        <x:f>IF($H48="","",IF(INDEX('Game Records'!$B:$B,$H48)="","Start Date; ","")&amp;IF(INDEX('Game Records'!$C:$C,$H48)="","End Date; ","")&amp;IF(AND(INDEX('Game Records'!$U:$U,$H48)&lt;&gt;"Subscription",INDEX('Game Records'!$U:$U,$H48)&lt;&gt;"Free Game",INDEX('Game Records'!$U:$U,$H48)&lt;&gt;"Disqualified — Free Game",OR(INDEX('Game Records'!$D:$D,$H48)="",LOWER(INDEX('Game Records'!$D:$D,$H48)&amp;"")="n/a")),"Entry Mode; ","")&amp;IF(AND(INDEX('Game Records'!$U:$U,$H48)&lt;&gt;"Subscription",INDEX('Game Records'!$U:$U,$H48)&lt;&gt;"Free Game",INDEX('Game Records'!$U:$U,$H48)&lt;&gt;"Disqualified — Free Game",OR(INDEX('Game Records'!$E:$E,$H48)="",LOWER(INDEX('Game Records'!$E:$E,$H48)&amp;"")="n/a")),"Game Type; ","")&amp;IF(INDEX('Game Records'!$F:$F,$H48)="","Payment Type; ","")&amp;IF(AND(INDEX('Game Records'!$U:$U,$H48)&lt;&gt;"Subscription",INDEX('Game Records'!$U:$U,$H48)&lt;&gt;"Free Game",INDEX('Game Records'!$U:$U,$H48)&lt;&gt;"Disqualified — Free Game",INDEX('Game Records'!$G:$G,$H48)=""),"Gross Pot; ","")&amp;IF(AND(INDEX('Game Records'!$U:$U,$H48)&lt;&gt;"Free Game",INDEX('Game Records'!$U:$U,$H48)&lt;&gt;"Disqualified — Free Game",INDEX('Game Records'!$H:$H,$H48)=""),"Entry Fee; ","")&amp;IF(AND(INDEX('Game Records'!$U:$U,$H48)&lt;&gt;"Subscription",INDEX('Game Records'!$U:$U,$H48)&lt;&gt;"Free Game",INDEX('Game Records'!$U:$U,$H48)&lt;&gt;"Disqualified — Free Game",INDEX('Game Records'!$I:$I,$H48)=""),"Eligible Players; ","")&amp;IF(AND(INDEX('Game Records'!$U:$U,$H48)&lt;&gt;"Subscription",INDEX('Game Records'!$U:$U,$H48)&lt;&gt;"Free Game",INDEX('Game Records'!$U:$U,$H48)&lt;&gt;"Disqualified — Free Game",INDEX('Game Records'!$J:$J,$H48)=""),"Total Players; ","")&amp;IF(AND(LOWER(INDEX('Game Records'!$D:$D,$H48)&amp;"")="finalized",LOWER(INDEX('Game Records'!$L:$L,$H48)&amp;"")&lt;&gt;"yes",INDEX('Game Records'!$U:$U,$H48)&lt;&gt;"Subscription",INDEX('Game Records'!$U:$U,$H48)&lt;&gt;"Free Game",INDEX('Game Records'!$U:$U,$H48)&lt;&gt;"Disqualified — Free Game",INDEX('Game Records'!$K:$K,$H48)=""),"Final Earned; ","")&amp;IF(AND(LOWER(INDEX('Game Records'!$D:$D,$H48)&amp;"")="finalized",INDEX('Game Records'!$U:$U,$H48)&lt;&gt;"Subscription",INDEX('Game Records'!$U:$U,$H48)&lt;&gt;"Free Game",INDEX('Game Records'!$U:$U,$H48)&lt;&gt;"Disqualified — Free Game",OR(INDEX('Game Records'!$L:$L,$H48)="",LOWER(INDEX('Game Records'!$L:$L,$H48)&amp;"")="n/a")),"Disqualified Status; ",""))</x:f>
        <x:v/>
      </x:c>
      <x:c r="G48" s="331" t="str">
        <x:f>IF($H48="","",IFERROR(INDEX('Game Records'!$M:$M,$H48),""))</x:f>
        <x:v/>
      </x:c>
      <x:c r="H48" s="104" t="str">
        <x:f>IF($H47="","",IFERROR(MATCH(1,INDEX((ROW('Game Records'!$U$5:$U$504)&gt;$H47)*(('Game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8" s="104"/>
      <x:c r="J48" s="104"/>
    </x:row>
    <x:row r="49" ht="24" hidden="0" customHeight="1">
      <x:c r="A49" s="332" t="str">
        <x:f>IF($H49="","",ROWS($A$5:A49))</x:f>
        <x:v/>
      </x:c>
      <x:c r="B49" s="332" t="str">
        <x:f>IF($H49="","","G-"&amp;TEXT($A49,"0000"))</x:f>
        <x:v/>
      </x:c>
      <x:c r="C49" s="331" t="str">
        <x:f>IF($H49="","",IFERROR(INDEX('Game Records'!$A:$A,$H49),""))</x:f>
        <x:v/>
      </x:c>
      <x:c r="D49" s="331" t="str">
        <x:f>IF($H49="","",IFERROR(INDEX('Game Records'!$U:$U,$H49),""))</x:f>
        <x:v/>
      </x:c>
      <x:c r="E49" s="331" t="str">
        <x:f>IF($H49="","",IF($F49="","No Highlighted Fields","Highlighted Fields Present"))</x:f>
        <x:v/>
      </x:c>
      <x:c r="F49" s="331" t="str">
        <x:f>IF($H49="","",IF(INDEX('Game Records'!$B:$B,$H49)="","Start Date; ","")&amp;IF(INDEX('Game Records'!$C:$C,$H49)="","End Date; ","")&amp;IF(AND(INDEX('Game Records'!$U:$U,$H49)&lt;&gt;"Subscription",INDEX('Game Records'!$U:$U,$H49)&lt;&gt;"Free Game",INDEX('Game Records'!$U:$U,$H49)&lt;&gt;"Disqualified — Free Game",OR(INDEX('Game Records'!$D:$D,$H49)="",LOWER(INDEX('Game Records'!$D:$D,$H49)&amp;"")="n/a")),"Entry Mode; ","")&amp;IF(AND(INDEX('Game Records'!$U:$U,$H49)&lt;&gt;"Subscription",INDEX('Game Records'!$U:$U,$H49)&lt;&gt;"Free Game",INDEX('Game Records'!$U:$U,$H49)&lt;&gt;"Disqualified — Free Game",OR(INDEX('Game Records'!$E:$E,$H49)="",LOWER(INDEX('Game Records'!$E:$E,$H49)&amp;"")="n/a")),"Game Type; ","")&amp;IF(INDEX('Game Records'!$F:$F,$H49)="","Payment Type; ","")&amp;IF(AND(INDEX('Game Records'!$U:$U,$H49)&lt;&gt;"Subscription",INDEX('Game Records'!$U:$U,$H49)&lt;&gt;"Free Game",INDEX('Game Records'!$U:$U,$H49)&lt;&gt;"Disqualified — Free Game",INDEX('Game Records'!$G:$G,$H49)=""),"Gross Pot; ","")&amp;IF(AND(INDEX('Game Records'!$U:$U,$H49)&lt;&gt;"Free Game",INDEX('Game Records'!$U:$U,$H49)&lt;&gt;"Disqualified — Free Game",INDEX('Game Records'!$H:$H,$H49)=""),"Entry Fee; ","")&amp;IF(AND(INDEX('Game Records'!$U:$U,$H49)&lt;&gt;"Subscription",INDEX('Game Records'!$U:$U,$H49)&lt;&gt;"Free Game",INDEX('Game Records'!$U:$U,$H49)&lt;&gt;"Disqualified — Free Game",INDEX('Game Records'!$I:$I,$H49)=""),"Eligible Players; ","")&amp;IF(AND(INDEX('Game Records'!$U:$U,$H49)&lt;&gt;"Subscription",INDEX('Game Records'!$U:$U,$H49)&lt;&gt;"Free Game",INDEX('Game Records'!$U:$U,$H49)&lt;&gt;"Disqualified — Free Game",INDEX('Game Records'!$J:$J,$H49)=""),"Total Players; ","")&amp;IF(AND(LOWER(INDEX('Game Records'!$D:$D,$H49)&amp;"")="finalized",LOWER(INDEX('Game Records'!$L:$L,$H49)&amp;"")&lt;&gt;"yes",INDEX('Game Records'!$U:$U,$H49)&lt;&gt;"Subscription",INDEX('Game Records'!$U:$U,$H49)&lt;&gt;"Free Game",INDEX('Game Records'!$U:$U,$H49)&lt;&gt;"Disqualified — Free Game",INDEX('Game Records'!$K:$K,$H49)=""),"Final Earned; ","")&amp;IF(AND(LOWER(INDEX('Game Records'!$D:$D,$H49)&amp;"")="finalized",INDEX('Game Records'!$U:$U,$H49)&lt;&gt;"Subscription",INDEX('Game Records'!$U:$U,$H49)&lt;&gt;"Free Game",INDEX('Game Records'!$U:$U,$H49)&lt;&gt;"Disqualified — Free Game",OR(INDEX('Game Records'!$L:$L,$H49)="",LOWER(INDEX('Game Records'!$L:$L,$H49)&amp;"")="n/a")),"Disqualified Status; ",""))</x:f>
        <x:v/>
      </x:c>
      <x:c r="G49" s="331" t="str">
        <x:f>IF($H49="","",IFERROR(INDEX('Game Records'!$M:$M,$H49),""))</x:f>
        <x:v/>
      </x:c>
      <x:c r="H49" s="104" t="str">
        <x:f>IF($H48="","",IFERROR(MATCH(1,INDEX((ROW('Game Records'!$U$5:$U$504)&gt;$H48)*(('Game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49" s="104"/>
      <x:c r="J49" s="104"/>
    </x:row>
    <x:row r="50" ht="24" hidden="0" customHeight="1">
      <x:c r="A50" s="332" t="str">
        <x:f>IF($H50="","",ROWS($A$5:A50))</x:f>
        <x:v/>
      </x:c>
      <x:c r="B50" s="332" t="str">
        <x:f>IF($H50="","","G-"&amp;TEXT($A50,"0000"))</x:f>
        <x:v/>
      </x:c>
      <x:c r="C50" s="331" t="str">
        <x:f>IF($H50="","",IFERROR(INDEX('Game Records'!$A:$A,$H50),""))</x:f>
        <x:v/>
      </x:c>
      <x:c r="D50" s="331" t="str">
        <x:f>IF($H50="","",IFERROR(INDEX('Game Records'!$U:$U,$H50),""))</x:f>
        <x:v/>
      </x:c>
      <x:c r="E50" s="331" t="str">
        <x:f>IF($H50="","",IF($F50="","No Highlighted Fields","Highlighted Fields Present"))</x:f>
        <x:v/>
      </x:c>
      <x:c r="F50" s="331" t="str">
        <x:f>IF($H50="","",IF(INDEX('Game Records'!$B:$B,$H50)="","Start Date; ","")&amp;IF(INDEX('Game Records'!$C:$C,$H50)="","End Date; ","")&amp;IF(AND(INDEX('Game Records'!$U:$U,$H50)&lt;&gt;"Subscription",INDEX('Game Records'!$U:$U,$H50)&lt;&gt;"Free Game",INDEX('Game Records'!$U:$U,$H50)&lt;&gt;"Disqualified — Free Game",OR(INDEX('Game Records'!$D:$D,$H50)="",LOWER(INDEX('Game Records'!$D:$D,$H50)&amp;"")="n/a")),"Entry Mode; ","")&amp;IF(AND(INDEX('Game Records'!$U:$U,$H50)&lt;&gt;"Subscription",INDEX('Game Records'!$U:$U,$H50)&lt;&gt;"Free Game",INDEX('Game Records'!$U:$U,$H50)&lt;&gt;"Disqualified — Free Game",OR(INDEX('Game Records'!$E:$E,$H50)="",LOWER(INDEX('Game Records'!$E:$E,$H50)&amp;"")="n/a")),"Game Type; ","")&amp;IF(INDEX('Game Records'!$F:$F,$H50)="","Payment Type; ","")&amp;IF(AND(INDEX('Game Records'!$U:$U,$H50)&lt;&gt;"Subscription",INDEX('Game Records'!$U:$U,$H50)&lt;&gt;"Free Game",INDEX('Game Records'!$U:$U,$H50)&lt;&gt;"Disqualified — Free Game",INDEX('Game Records'!$G:$G,$H50)=""),"Gross Pot; ","")&amp;IF(AND(INDEX('Game Records'!$U:$U,$H50)&lt;&gt;"Free Game",INDEX('Game Records'!$U:$U,$H50)&lt;&gt;"Disqualified — Free Game",INDEX('Game Records'!$H:$H,$H50)=""),"Entry Fee; ","")&amp;IF(AND(INDEX('Game Records'!$U:$U,$H50)&lt;&gt;"Subscription",INDEX('Game Records'!$U:$U,$H50)&lt;&gt;"Free Game",INDEX('Game Records'!$U:$U,$H50)&lt;&gt;"Disqualified — Free Game",INDEX('Game Records'!$I:$I,$H50)=""),"Eligible Players; ","")&amp;IF(AND(INDEX('Game Records'!$U:$U,$H50)&lt;&gt;"Subscription",INDEX('Game Records'!$U:$U,$H50)&lt;&gt;"Free Game",INDEX('Game Records'!$U:$U,$H50)&lt;&gt;"Disqualified — Free Game",INDEX('Game Records'!$J:$J,$H50)=""),"Total Players; ","")&amp;IF(AND(LOWER(INDEX('Game Records'!$D:$D,$H50)&amp;"")="finalized",LOWER(INDEX('Game Records'!$L:$L,$H50)&amp;"")&lt;&gt;"yes",INDEX('Game Records'!$U:$U,$H50)&lt;&gt;"Subscription",INDEX('Game Records'!$U:$U,$H50)&lt;&gt;"Free Game",INDEX('Game Records'!$U:$U,$H50)&lt;&gt;"Disqualified — Free Game",INDEX('Game Records'!$K:$K,$H50)=""),"Final Earned; ","")&amp;IF(AND(LOWER(INDEX('Game Records'!$D:$D,$H50)&amp;"")="finalized",INDEX('Game Records'!$U:$U,$H50)&lt;&gt;"Subscription",INDEX('Game Records'!$U:$U,$H50)&lt;&gt;"Free Game",INDEX('Game Records'!$U:$U,$H50)&lt;&gt;"Disqualified — Free Game",OR(INDEX('Game Records'!$L:$L,$H50)="",LOWER(INDEX('Game Records'!$L:$L,$H50)&amp;"")="n/a")),"Disqualified Status; ",""))</x:f>
        <x:v/>
      </x:c>
      <x:c r="G50" s="331" t="str">
        <x:f>IF($H50="","",IFERROR(INDEX('Game Records'!$M:$M,$H50),""))</x:f>
        <x:v/>
      </x:c>
      <x:c r="H50" s="104" t="str">
        <x:f>IF($H49="","",IFERROR(MATCH(1,INDEX((ROW('Game Records'!$U$5:$U$504)&gt;$H49)*(('Game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0" s="104"/>
      <x:c r="J50" s="104"/>
    </x:row>
    <x:row r="51" ht="24" hidden="0" customHeight="1">
      <x:c r="A51" s="332" t="str">
        <x:f>IF($H51="","",ROWS($A$5:A51))</x:f>
        <x:v/>
      </x:c>
      <x:c r="B51" s="332" t="str">
        <x:f>IF($H51="","","G-"&amp;TEXT($A51,"0000"))</x:f>
        <x:v/>
      </x:c>
      <x:c r="C51" s="331" t="str">
        <x:f>IF($H51="","",IFERROR(INDEX('Game Records'!$A:$A,$H51),""))</x:f>
        <x:v/>
      </x:c>
      <x:c r="D51" s="331" t="str">
        <x:f>IF($H51="","",IFERROR(INDEX('Game Records'!$U:$U,$H51),""))</x:f>
        <x:v/>
      </x:c>
      <x:c r="E51" s="331" t="str">
        <x:f>IF($H51="","",IF($F51="","No Highlighted Fields","Highlighted Fields Present"))</x:f>
        <x:v/>
      </x:c>
      <x:c r="F51" s="331" t="str">
        <x:f>IF($H51="","",IF(INDEX('Game Records'!$B:$B,$H51)="","Start Date; ","")&amp;IF(INDEX('Game Records'!$C:$C,$H51)="","End Date; ","")&amp;IF(AND(INDEX('Game Records'!$U:$U,$H51)&lt;&gt;"Subscription",INDEX('Game Records'!$U:$U,$H51)&lt;&gt;"Free Game",INDEX('Game Records'!$U:$U,$H51)&lt;&gt;"Disqualified — Free Game",OR(INDEX('Game Records'!$D:$D,$H51)="",LOWER(INDEX('Game Records'!$D:$D,$H51)&amp;"")="n/a")),"Entry Mode; ","")&amp;IF(AND(INDEX('Game Records'!$U:$U,$H51)&lt;&gt;"Subscription",INDEX('Game Records'!$U:$U,$H51)&lt;&gt;"Free Game",INDEX('Game Records'!$U:$U,$H51)&lt;&gt;"Disqualified — Free Game",OR(INDEX('Game Records'!$E:$E,$H51)="",LOWER(INDEX('Game Records'!$E:$E,$H51)&amp;"")="n/a")),"Game Type; ","")&amp;IF(INDEX('Game Records'!$F:$F,$H51)="","Payment Type; ","")&amp;IF(AND(INDEX('Game Records'!$U:$U,$H51)&lt;&gt;"Subscription",INDEX('Game Records'!$U:$U,$H51)&lt;&gt;"Free Game",INDEX('Game Records'!$U:$U,$H51)&lt;&gt;"Disqualified — Free Game",INDEX('Game Records'!$G:$G,$H51)=""),"Gross Pot; ","")&amp;IF(AND(INDEX('Game Records'!$U:$U,$H51)&lt;&gt;"Free Game",INDEX('Game Records'!$U:$U,$H51)&lt;&gt;"Disqualified — Free Game",INDEX('Game Records'!$H:$H,$H51)=""),"Entry Fee; ","")&amp;IF(AND(INDEX('Game Records'!$U:$U,$H51)&lt;&gt;"Subscription",INDEX('Game Records'!$U:$U,$H51)&lt;&gt;"Free Game",INDEX('Game Records'!$U:$U,$H51)&lt;&gt;"Disqualified — Free Game",INDEX('Game Records'!$I:$I,$H51)=""),"Eligible Players; ","")&amp;IF(AND(INDEX('Game Records'!$U:$U,$H51)&lt;&gt;"Subscription",INDEX('Game Records'!$U:$U,$H51)&lt;&gt;"Free Game",INDEX('Game Records'!$U:$U,$H51)&lt;&gt;"Disqualified — Free Game",INDEX('Game Records'!$J:$J,$H51)=""),"Total Players; ","")&amp;IF(AND(LOWER(INDEX('Game Records'!$D:$D,$H51)&amp;"")="finalized",LOWER(INDEX('Game Records'!$L:$L,$H51)&amp;"")&lt;&gt;"yes",INDEX('Game Records'!$U:$U,$H51)&lt;&gt;"Subscription",INDEX('Game Records'!$U:$U,$H51)&lt;&gt;"Free Game",INDEX('Game Records'!$U:$U,$H51)&lt;&gt;"Disqualified — Free Game",INDEX('Game Records'!$K:$K,$H51)=""),"Final Earned; ","")&amp;IF(AND(LOWER(INDEX('Game Records'!$D:$D,$H51)&amp;"")="finalized",INDEX('Game Records'!$U:$U,$H51)&lt;&gt;"Subscription",INDEX('Game Records'!$U:$U,$H51)&lt;&gt;"Free Game",INDEX('Game Records'!$U:$U,$H51)&lt;&gt;"Disqualified — Free Game",OR(INDEX('Game Records'!$L:$L,$H51)="",LOWER(INDEX('Game Records'!$L:$L,$H51)&amp;"")="n/a")),"Disqualified Status; ",""))</x:f>
        <x:v/>
      </x:c>
      <x:c r="G51" s="331" t="str">
        <x:f>IF($H51="","",IFERROR(INDEX('Game Records'!$M:$M,$H51),""))</x:f>
        <x:v/>
      </x:c>
      <x:c r="H51" s="104" t="str">
        <x:f>IF($H50="","",IFERROR(MATCH(1,INDEX((ROW('Game Records'!$U$5:$U$504)&gt;$H50)*(('Game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1" s="104"/>
      <x:c r="J51" s="104"/>
    </x:row>
    <x:row r="52" ht="24" hidden="0" customHeight="1">
      <x:c r="A52" s="332" t="str">
        <x:f>IF($H52="","",ROWS($A$5:A52))</x:f>
        <x:v/>
      </x:c>
      <x:c r="B52" s="332" t="str">
        <x:f>IF($H52="","","G-"&amp;TEXT($A52,"0000"))</x:f>
        <x:v/>
      </x:c>
      <x:c r="C52" s="331" t="str">
        <x:f>IF($H52="","",IFERROR(INDEX('Game Records'!$A:$A,$H52),""))</x:f>
        <x:v/>
      </x:c>
      <x:c r="D52" s="331" t="str">
        <x:f>IF($H52="","",IFERROR(INDEX('Game Records'!$U:$U,$H52),""))</x:f>
        <x:v/>
      </x:c>
      <x:c r="E52" s="331" t="str">
        <x:f>IF($H52="","",IF($F52="","No Highlighted Fields","Highlighted Fields Present"))</x:f>
        <x:v/>
      </x:c>
      <x:c r="F52" s="331" t="str">
        <x:f>IF($H52="","",IF(INDEX('Game Records'!$B:$B,$H52)="","Start Date; ","")&amp;IF(INDEX('Game Records'!$C:$C,$H52)="","End Date; ","")&amp;IF(AND(INDEX('Game Records'!$U:$U,$H52)&lt;&gt;"Subscription",INDEX('Game Records'!$U:$U,$H52)&lt;&gt;"Free Game",INDEX('Game Records'!$U:$U,$H52)&lt;&gt;"Disqualified — Free Game",OR(INDEX('Game Records'!$D:$D,$H52)="",LOWER(INDEX('Game Records'!$D:$D,$H52)&amp;"")="n/a")),"Entry Mode; ","")&amp;IF(AND(INDEX('Game Records'!$U:$U,$H52)&lt;&gt;"Subscription",INDEX('Game Records'!$U:$U,$H52)&lt;&gt;"Free Game",INDEX('Game Records'!$U:$U,$H52)&lt;&gt;"Disqualified — Free Game",OR(INDEX('Game Records'!$E:$E,$H52)="",LOWER(INDEX('Game Records'!$E:$E,$H52)&amp;"")="n/a")),"Game Type; ","")&amp;IF(INDEX('Game Records'!$F:$F,$H52)="","Payment Type; ","")&amp;IF(AND(INDEX('Game Records'!$U:$U,$H52)&lt;&gt;"Subscription",INDEX('Game Records'!$U:$U,$H52)&lt;&gt;"Free Game",INDEX('Game Records'!$U:$U,$H52)&lt;&gt;"Disqualified — Free Game",INDEX('Game Records'!$G:$G,$H52)=""),"Gross Pot; ","")&amp;IF(AND(INDEX('Game Records'!$U:$U,$H52)&lt;&gt;"Free Game",INDEX('Game Records'!$U:$U,$H52)&lt;&gt;"Disqualified — Free Game",INDEX('Game Records'!$H:$H,$H52)=""),"Entry Fee; ","")&amp;IF(AND(INDEX('Game Records'!$U:$U,$H52)&lt;&gt;"Subscription",INDEX('Game Records'!$U:$U,$H52)&lt;&gt;"Free Game",INDEX('Game Records'!$U:$U,$H52)&lt;&gt;"Disqualified — Free Game",INDEX('Game Records'!$I:$I,$H52)=""),"Eligible Players; ","")&amp;IF(AND(INDEX('Game Records'!$U:$U,$H52)&lt;&gt;"Subscription",INDEX('Game Records'!$U:$U,$H52)&lt;&gt;"Free Game",INDEX('Game Records'!$U:$U,$H52)&lt;&gt;"Disqualified — Free Game",INDEX('Game Records'!$J:$J,$H52)=""),"Total Players; ","")&amp;IF(AND(LOWER(INDEX('Game Records'!$D:$D,$H52)&amp;"")="finalized",LOWER(INDEX('Game Records'!$L:$L,$H52)&amp;"")&lt;&gt;"yes",INDEX('Game Records'!$U:$U,$H52)&lt;&gt;"Subscription",INDEX('Game Records'!$U:$U,$H52)&lt;&gt;"Free Game",INDEX('Game Records'!$U:$U,$H52)&lt;&gt;"Disqualified — Free Game",INDEX('Game Records'!$K:$K,$H52)=""),"Final Earned; ","")&amp;IF(AND(LOWER(INDEX('Game Records'!$D:$D,$H52)&amp;"")="finalized",INDEX('Game Records'!$U:$U,$H52)&lt;&gt;"Subscription",INDEX('Game Records'!$U:$U,$H52)&lt;&gt;"Free Game",INDEX('Game Records'!$U:$U,$H52)&lt;&gt;"Disqualified — Free Game",OR(INDEX('Game Records'!$L:$L,$H52)="",LOWER(INDEX('Game Records'!$L:$L,$H52)&amp;"")="n/a")),"Disqualified Status; ",""))</x:f>
        <x:v/>
      </x:c>
      <x:c r="G52" s="331" t="str">
        <x:f>IF($H52="","",IFERROR(INDEX('Game Records'!$M:$M,$H52),""))</x:f>
        <x:v/>
      </x:c>
      <x:c r="H52" s="104" t="str">
        <x:f>IF($H51="","",IFERROR(MATCH(1,INDEX((ROW('Game Records'!$U$5:$U$504)&gt;$H51)*(('Game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2" s="104"/>
      <x:c r="J52" s="104"/>
    </x:row>
    <x:row r="53" ht="24" hidden="0" customHeight="1">
      <x:c r="A53" s="332" t="str">
        <x:f>IF($H53="","",ROWS($A$5:A53))</x:f>
        <x:v/>
      </x:c>
      <x:c r="B53" s="332" t="str">
        <x:f>IF($H53="","","G-"&amp;TEXT($A53,"0000"))</x:f>
        <x:v/>
      </x:c>
      <x:c r="C53" s="331" t="str">
        <x:f>IF($H53="","",IFERROR(INDEX('Game Records'!$A:$A,$H53),""))</x:f>
        <x:v/>
      </x:c>
      <x:c r="D53" s="331" t="str">
        <x:f>IF($H53="","",IFERROR(INDEX('Game Records'!$U:$U,$H53),""))</x:f>
        <x:v/>
      </x:c>
      <x:c r="E53" s="331" t="str">
        <x:f>IF($H53="","",IF($F53="","No Highlighted Fields","Highlighted Fields Present"))</x:f>
        <x:v/>
      </x:c>
      <x:c r="F53" s="331" t="str">
        <x:f>IF($H53="","",IF(INDEX('Game Records'!$B:$B,$H53)="","Start Date; ","")&amp;IF(INDEX('Game Records'!$C:$C,$H53)="","End Date; ","")&amp;IF(AND(INDEX('Game Records'!$U:$U,$H53)&lt;&gt;"Subscription",INDEX('Game Records'!$U:$U,$H53)&lt;&gt;"Free Game",INDEX('Game Records'!$U:$U,$H53)&lt;&gt;"Disqualified — Free Game",OR(INDEX('Game Records'!$D:$D,$H53)="",LOWER(INDEX('Game Records'!$D:$D,$H53)&amp;"")="n/a")),"Entry Mode; ","")&amp;IF(AND(INDEX('Game Records'!$U:$U,$H53)&lt;&gt;"Subscription",INDEX('Game Records'!$U:$U,$H53)&lt;&gt;"Free Game",INDEX('Game Records'!$U:$U,$H53)&lt;&gt;"Disqualified — Free Game",OR(INDEX('Game Records'!$E:$E,$H53)="",LOWER(INDEX('Game Records'!$E:$E,$H53)&amp;"")="n/a")),"Game Type; ","")&amp;IF(INDEX('Game Records'!$F:$F,$H53)="","Payment Type; ","")&amp;IF(AND(INDEX('Game Records'!$U:$U,$H53)&lt;&gt;"Subscription",INDEX('Game Records'!$U:$U,$H53)&lt;&gt;"Free Game",INDEX('Game Records'!$U:$U,$H53)&lt;&gt;"Disqualified — Free Game",INDEX('Game Records'!$G:$G,$H53)=""),"Gross Pot; ","")&amp;IF(AND(INDEX('Game Records'!$U:$U,$H53)&lt;&gt;"Free Game",INDEX('Game Records'!$U:$U,$H53)&lt;&gt;"Disqualified — Free Game",INDEX('Game Records'!$H:$H,$H53)=""),"Entry Fee; ","")&amp;IF(AND(INDEX('Game Records'!$U:$U,$H53)&lt;&gt;"Subscription",INDEX('Game Records'!$U:$U,$H53)&lt;&gt;"Free Game",INDEX('Game Records'!$U:$U,$H53)&lt;&gt;"Disqualified — Free Game",INDEX('Game Records'!$I:$I,$H53)=""),"Eligible Players; ","")&amp;IF(AND(INDEX('Game Records'!$U:$U,$H53)&lt;&gt;"Subscription",INDEX('Game Records'!$U:$U,$H53)&lt;&gt;"Free Game",INDEX('Game Records'!$U:$U,$H53)&lt;&gt;"Disqualified — Free Game",INDEX('Game Records'!$J:$J,$H53)=""),"Total Players; ","")&amp;IF(AND(LOWER(INDEX('Game Records'!$D:$D,$H53)&amp;"")="finalized",LOWER(INDEX('Game Records'!$L:$L,$H53)&amp;"")&lt;&gt;"yes",INDEX('Game Records'!$U:$U,$H53)&lt;&gt;"Subscription",INDEX('Game Records'!$U:$U,$H53)&lt;&gt;"Free Game",INDEX('Game Records'!$U:$U,$H53)&lt;&gt;"Disqualified — Free Game",INDEX('Game Records'!$K:$K,$H53)=""),"Final Earned; ","")&amp;IF(AND(LOWER(INDEX('Game Records'!$D:$D,$H53)&amp;"")="finalized",INDEX('Game Records'!$U:$U,$H53)&lt;&gt;"Subscription",INDEX('Game Records'!$U:$U,$H53)&lt;&gt;"Free Game",INDEX('Game Records'!$U:$U,$H53)&lt;&gt;"Disqualified — Free Game",OR(INDEX('Game Records'!$L:$L,$H53)="",LOWER(INDEX('Game Records'!$L:$L,$H53)&amp;"")="n/a")),"Disqualified Status; ",""))</x:f>
        <x:v/>
      </x:c>
      <x:c r="G53" s="331" t="str">
        <x:f>IF($H53="","",IFERROR(INDEX('Game Records'!$M:$M,$H53),""))</x:f>
        <x:v/>
      </x:c>
      <x:c r="H53" s="104" t="str">
        <x:f>IF($H52="","",IFERROR(MATCH(1,INDEX((ROW('Game Records'!$U$5:$U$504)&gt;$H52)*(('Game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3" s="104"/>
      <x:c r="J53" s="104"/>
    </x:row>
    <x:row r="54" ht="24" hidden="0" customHeight="1">
      <x:c r="A54" s="332" t="str">
        <x:f>IF($H54="","",ROWS($A$5:A54))</x:f>
        <x:v/>
      </x:c>
      <x:c r="B54" s="332" t="str">
        <x:f>IF($H54="","","G-"&amp;TEXT($A54,"0000"))</x:f>
        <x:v/>
      </x:c>
      <x:c r="C54" s="331" t="str">
        <x:f>IF($H54="","",IFERROR(INDEX('Game Records'!$A:$A,$H54),""))</x:f>
        <x:v/>
      </x:c>
      <x:c r="D54" s="331" t="str">
        <x:f>IF($H54="","",IFERROR(INDEX('Game Records'!$U:$U,$H54),""))</x:f>
        <x:v/>
      </x:c>
      <x:c r="E54" s="331" t="str">
        <x:f>IF($H54="","",IF($F54="","No Highlighted Fields","Highlighted Fields Present"))</x:f>
        <x:v/>
      </x:c>
      <x:c r="F54" s="331" t="str">
        <x:f>IF($H54="","",IF(INDEX('Game Records'!$B:$B,$H54)="","Start Date; ","")&amp;IF(INDEX('Game Records'!$C:$C,$H54)="","End Date; ","")&amp;IF(AND(INDEX('Game Records'!$U:$U,$H54)&lt;&gt;"Subscription",INDEX('Game Records'!$U:$U,$H54)&lt;&gt;"Free Game",INDEX('Game Records'!$U:$U,$H54)&lt;&gt;"Disqualified — Free Game",OR(INDEX('Game Records'!$D:$D,$H54)="",LOWER(INDEX('Game Records'!$D:$D,$H54)&amp;"")="n/a")),"Entry Mode; ","")&amp;IF(AND(INDEX('Game Records'!$U:$U,$H54)&lt;&gt;"Subscription",INDEX('Game Records'!$U:$U,$H54)&lt;&gt;"Free Game",INDEX('Game Records'!$U:$U,$H54)&lt;&gt;"Disqualified — Free Game",OR(INDEX('Game Records'!$E:$E,$H54)="",LOWER(INDEX('Game Records'!$E:$E,$H54)&amp;"")="n/a")),"Game Type; ","")&amp;IF(INDEX('Game Records'!$F:$F,$H54)="","Payment Type; ","")&amp;IF(AND(INDEX('Game Records'!$U:$U,$H54)&lt;&gt;"Subscription",INDEX('Game Records'!$U:$U,$H54)&lt;&gt;"Free Game",INDEX('Game Records'!$U:$U,$H54)&lt;&gt;"Disqualified — Free Game",INDEX('Game Records'!$G:$G,$H54)=""),"Gross Pot; ","")&amp;IF(AND(INDEX('Game Records'!$U:$U,$H54)&lt;&gt;"Free Game",INDEX('Game Records'!$U:$U,$H54)&lt;&gt;"Disqualified — Free Game",INDEX('Game Records'!$H:$H,$H54)=""),"Entry Fee; ","")&amp;IF(AND(INDEX('Game Records'!$U:$U,$H54)&lt;&gt;"Subscription",INDEX('Game Records'!$U:$U,$H54)&lt;&gt;"Free Game",INDEX('Game Records'!$U:$U,$H54)&lt;&gt;"Disqualified — Free Game",INDEX('Game Records'!$I:$I,$H54)=""),"Eligible Players; ","")&amp;IF(AND(INDEX('Game Records'!$U:$U,$H54)&lt;&gt;"Subscription",INDEX('Game Records'!$U:$U,$H54)&lt;&gt;"Free Game",INDEX('Game Records'!$U:$U,$H54)&lt;&gt;"Disqualified — Free Game",INDEX('Game Records'!$J:$J,$H54)=""),"Total Players; ","")&amp;IF(AND(LOWER(INDEX('Game Records'!$D:$D,$H54)&amp;"")="finalized",LOWER(INDEX('Game Records'!$L:$L,$H54)&amp;"")&lt;&gt;"yes",INDEX('Game Records'!$U:$U,$H54)&lt;&gt;"Subscription",INDEX('Game Records'!$U:$U,$H54)&lt;&gt;"Free Game",INDEX('Game Records'!$U:$U,$H54)&lt;&gt;"Disqualified — Free Game",INDEX('Game Records'!$K:$K,$H54)=""),"Final Earned; ","")&amp;IF(AND(LOWER(INDEX('Game Records'!$D:$D,$H54)&amp;"")="finalized",INDEX('Game Records'!$U:$U,$H54)&lt;&gt;"Subscription",INDEX('Game Records'!$U:$U,$H54)&lt;&gt;"Free Game",INDEX('Game Records'!$U:$U,$H54)&lt;&gt;"Disqualified — Free Game",OR(INDEX('Game Records'!$L:$L,$H54)="",LOWER(INDEX('Game Records'!$L:$L,$H54)&amp;"")="n/a")),"Disqualified Status; ",""))</x:f>
        <x:v/>
      </x:c>
      <x:c r="G54" s="331" t="str">
        <x:f>IF($H54="","",IFERROR(INDEX('Game Records'!$M:$M,$H54),""))</x:f>
        <x:v/>
      </x:c>
      <x:c r="H54" s="104" t="str">
        <x:f>IF($H53="","",IFERROR(MATCH(1,INDEX((ROW('Game Records'!$U$5:$U$504)&gt;$H53)*(('Game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4" s="104"/>
      <x:c r="J54" s="104"/>
    </x:row>
    <x:row r="55" ht="24" hidden="0" customHeight="1">
      <x:c r="A55" s="332" t="str">
        <x:f>IF($H55="","",ROWS($A$5:A55))</x:f>
        <x:v/>
      </x:c>
      <x:c r="B55" s="332" t="str">
        <x:f>IF($H55="","","G-"&amp;TEXT($A55,"0000"))</x:f>
        <x:v/>
      </x:c>
      <x:c r="C55" s="331" t="str">
        <x:f>IF($H55="","",IFERROR(INDEX('Game Records'!$A:$A,$H55),""))</x:f>
        <x:v/>
      </x:c>
      <x:c r="D55" s="331" t="str">
        <x:f>IF($H55="","",IFERROR(INDEX('Game Records'!$U:$U,$H55),""))</x:f>
        <x:v/>
      </x:c>
      <x:c r="E55" s="331" t="str">
        <x:f>IF($H55="","",IF($F55="","No Highlighted Fields","Highlighted Fields Present"))</x:f>
        <x:v/>
      </x:c>
      <x:c r="F55" s="331" t="str">
        <x:f>IF($H55="","",IF(INDEX('Game Records'!$B:$B,$H55)="","Start Date; ","")&amp;IF(INDEX('Game Records'!$C:$C,$H55)="","End Date; ","")&amp;IF(AND(INDEX('Game Records'!$U:$U,$H55)&lt;&gt;"Subscription",INDEX('Game Records'!$U:$U,$H55)&lt;&gt;"Free Game",INDEX('Game Records'!$U:$U,$H55)&lt;&gt;"Disqualified — Free Game",OR(INDEX('Game Records'!$D:$D,$H55)="",LOWER(INDEX('Game Records'!$D:$D,$H55)&amp;"")="n/a")),"Entry Mode; ","")&amp;IF(AND(INDEX('Game Records'!$U:$U,$H55)&lt;&gt;"Subscription",INDEX('Game Records'!$U:$U,$H55)&lt;&gt;"Free Game",INDEX('Game Records'!$U:$U,$H55)&lt;&gt;"Disqualified — Free Game",OR(INDEX('Game Records'!$E:$E,$H55)="",LOWER(INDEX('Game Records'!$E:$E,$H55)&amp;"")="n/a")),"Game Type; ","")&amp;IF(INDEX('Game Records'!$F:$F,$H55)="","Payment Type; ","")&amp;IF(AND(INDEX('Game Records'!$U:$U,$H55)&lt;&gt;"Subscription",INDEX('Game Records'!$U:$U,$H55)&lt;&gt;"Free Game",INDEX('Game Records'!$U:$U,$H55)&lt;&gt;"Disqualified — Free Game",INDEX('Game Records'!$G:$G,$H55)=""),"Gross Pot; ","")&amp;IF(AND(INDEX('Game Records'!$U:$U,$H55)&lt;&gt;"Free Game",INDEX('Game Records'!$U:$U,$H55)&lt;&gt;"Disqualified — Free Game",INDEX('Game Records'!$H:$H,$H55)=""),"Entry Fee; ","")&amp;IF(AND(INDEX('Game Records'!$U:$U,$H55)&lt;&gt;"Subscription",INDEX('Game Records'!$U:$U,$H55)&lt;&gt;"Free Game",INDEX('Game Records'!$U:$U,$H55)&lt;&gt;"Disqualified — Free Game",INDEX('Game Records'!$I:$I,$H55)=""),"Eligible Players; ","")&amp;IF(AND(INDEX('Game Records'!$U:$U,$H55)&lt;&gt;"Subscription",INDEX('Game Records'!$U:$U,$H55)&lt;&gt;"Free Game",INDEX('Game Records'!$U:$U,$H55)&lt;&gt;"Disqualified — Free Game",INDEX('Game Records'!$J:$J,$H55)=""),"Total Players; ","")&amp;IF(AND(LOWER(INDEX('Game Records'!$D:$D,$H55)&amp;"")="finalized",LOWER(INDEX('Game Records'!$L:$L,$H55)&amp;"")&lt;&gt;"yes",INDEX('Game Records'!$U:$U,$H55)&lt;&gt;"Subscription",INDEX('Game Records'!$U:$U,$H55)&lt;&gt;"Free Game",INDEX('Game Records'!$U:$U,$H55)&lt;&gt;"Disqualified — Free Game",INDEX('Game Records'!$K:$K,$H55)=""),"Final Earned; ","")&amp;IF(AND(LOWER(INDEX('Game Records'!$D:$D,$H55)&amp;"")="finalized",INDEX('Game Records'!$U:$U,$H55)&lt;&gt;"Subscription",INDEX('Game Records'!$U:$U,$H55)&lt;&gt;"Free Game",INDEX('Game Records'!$U:$U,$H55)&lt;&gt;"Disqualified — Free Game",OR(INDEX('Game Records'!$L:$L,$H55)="",LOWER(INDEX('Game Records'!$L:$L,$H55)&amp;"")="n/a")),"Disqualified Status; ",""))</x:f>
        <x:v/>
      </x:c>
      <x:c r="G55" s="331" t="str">
        <x:f>IF($H55="","",IFERROR(INDEX('Game Records'!$M:$M,$H55),""))</x:f>
        <x:v/>
      </x:c>
      <x:c r="H55" s="104" t="str">
        <x:f>IF($H54="","",IFERROR(MATCH(1,INDEX((ROW('Game Records'!$U$5:$U$504)&gt;$H54)*(('Game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5" s="104"/>
      <x:c r="J55" s="104"/>
    </x:row>
    <x:row r="56" ht="24" hidden="0" customHeight="1">
      <x:c r="A56" s="332" t="str">
        <x:f>IF($H56="","",ROWS($A$5:A56))</x:f>
        <x:v/>
      </x:c>
      <x:c r="B56" s="332" t="str">
        <x:f>IF($H56="","","G-"&amp;TEXT($A56,"0000"))</x:f>
        <x:v/>
      </x:c>
      <x:c r="C56" s="331" t="str">
        <x:f>IF($H56="","",IFERROR(INDEX('Game Records'!$A:$A,$H56),""))</x:f>
        <x:v/>
      </x:c>
      <x:c r="D56" s="331" t="str">
        <x:f>IF($H56="","",IFERROR(INDEX('Game Records'!$U:$U,$H56),""))</x:f>
        <x:v/>
      </x:c>
      <x:c r="E56" s="331" t="str">
        <x:f>IF($H56="","",IF($F56="","No Highlighted Fields","Highlighted Fields Present"))</x:f>
        <x:v/>
      </x:c>
      <x:c r="F56" s="331" t="str">
        <x:f>IF($H56="","",IF(INDEX('Game Records'!$B:$B,$H56)="","Start Date; ","")&amp;IF(INDEX('Game Records'!$C:$C,$H56)="","End Date; ","")&amp;IF(AND(INDEX('Game Records'!$U:$U,$H56)&lt;&gt;"Subscription",INDEX('Game Records'!$U:$U,$H56)&lt;&gt;"Free Game",INDEX('Game Records'!$U:$U,$H56)&lt;&gt;"Disqualified — Free Game",OR(INDEX('Game Records'!$D:$D,$H56)="",LOWER(INDEX('Game Records'!$D:$D,$H56)&amp;"")="n/a")),"Entry Mode; ","")&amp;IF(AND(INDEX('Game Records'!$U:$U,$H56)&lt;&gt;"Subscription",INDEX('Game Records'!$U:$U,$H56)&lt;&gt;"Free Game",INDEX('Game Records'!$U:$U,$H56)&lt;&gt;"Disqualified — Free Game",OR(INDEX('Game Records'!$E:$E,$H56)="",LOWER(INDEX('Game Records'!$E:$E,$H56)&amp;"")="n/a")),"Game Type; ","")&amp;IF(INDEX('Game Records'!$F:$F,$H56)="","Payment Type; ","")&amp;IF(AND(INDEX('Game Records'!$U:$U,$H56)&lt;&gt;"Subscription",INDEX('Game Records'!$U:$U,$H56)&lt;&gt;"Free Game",INDEX('Game Records'!$U:$U,$H56)&lt;&gt;"Disqualified — Free Game",INDEX('Game Records'!$G:$G,$H56)=""),"Gross Pot; ","")&amp;IF(AND(INDEX('Game Records'!$U:$U,$H56)&lt;&gt;"Free Game",INDEX('Game Records'!$U:$U,$H56)&lt;&gt;"Disqualified — Free Game",INDEX('Game Records'!$H:$H,$H56)=""),"Entry Fee; ","")&amp;IF(AND(INDEX('Game Records'!$U:$U,$H56)&lt;&gt;"Subscription",INDEX('Game Records'!$U:$U,$H56)&lt;&gt;"Free Game",INDEX('Game Records'!$U:$U,$H56)&lt;&gt;"Disqualified — Free Game",INDEX('Game Records'!$I:$I,$H56)=""),"Eligible Players; ","")&amp;IF(AND(INDEX('Game Records'!$U:$U,$H56)&lt;&gt;"Subscription",INDEX('Game Records'!$U:$U,$H56)&lt;&gt;"Free Game",INDEX('Game Records'!$U:$U,$H56)&lt;&gt;"Disqualified — Free Game",INDEX('Game Records'!$J:$J,$H56)=""),"Total Players; ","")&amp;IF(AND(LOWER(INDEX('Game Records'!$D:$D,$H56)&amp;"")="finalized",LOWER(INDEX('Game Records'!$L:$L,$H56)&amp;"")&lt;&gt;"yes",INDEX('Game Records'!$U:$U,$H56)&lt;&gt;"Subscription",INDEX('Game Records'!$U:$U,$H56)&lt;&gt;"Free Game",INDEX('Game Records'!$U:$U,$H56)&lt;&gt;"Disqualified — Free Game",INDEX('Game Records'!$K:$K,$H56)=""),"Final Earned; ","")&amp;IF(AND(LOWER(INDEX('Game Records'!$D:$D,$H56)&amp;"")="finalized",INDEX('Game Records'!$U:$U,$H56)&lt;&gt;"Subscription",INDEX('Game Records'!$U:$U,$H56)&lt;&gt;"Free Game",INDEX('Game Records'!$U:$U,$H56)&lt;&gt;"Disqualified — Free Game",OR(INDEX('Game Records'!$L:$L,$H56)="",LOWER(INDEX('Game Records'!$L:$L,$H56)&amp;"")="n/a")),"Disqualified Status; ",""))</x:f>
        <x:v/>
      </x:c>
      <x:c r="G56" s="331" t="str">
        <x:f>IF($H56="","",IFERROR(INDEX('Game Records'!$M:$M,$H56),""))</x:f>
        <x:v/>
      </x:c>
      <x:c r="H56" s="104" t="str">
        <x:f>IF($H55="","",IFERROR(MATCH(1,INDEX((ROW('Game Records'!$U$5:$U$504)&gt;$H55)*(('Game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6" s="104"/>
      <x:c r="J56" s="104"/>
    </x:row>
    <x:row r="57" ht="24" hidden="0" customHeight="1">
      <x:c r="A57" s="332" t="str">
        <x:f>IF($H57="","",ROWS($A$5:A57))</x:f>
        <x:v/>
      </x:c>
      <x:c r="B57" s="332" t="str">
        <x:f>IF($H57="","","G-"&amp;TEXT($A57,"0000"))</x:f>
        <x:v/>
      </x:c>
      <x:c r="C57" s="331" t="str">
        <x:f>IF($H57="","",IFERROR(INDEX('Game Records'!$A:$A,$H57),""))</x:f>
        <x:v/>
      </x:c>
      <x:c r="D57" s="331" t="str">
        <x:f>IF($H57="","",IFERROR(INDEX('Game Records'!$U:$U,$H57),""))</x:f>
        <x:v/>
      </x:c>
      <x:c r="E57" s="331" t="str">
        <x:f>IF($H57="","",IF($F57="","No Highlighted Fields","Highlighted Fields Present"))</x:f>
        <x:v/>
      </x:c>
      <x:c r="F57" s="331" t="str">
        <x:f>IF($H57="","",IF(INDEX('Game Records'!$B:$B,$H57)="","Start Date; ","")&amp;IF(INDEX('Game Records'!$C:$C,$H57)="","End Date; ","")&amp;IF(AND(INDEX('Game Records'!$U:$U,$H57)&lt;&gt;"Subscription",INDEX('Game Records'!$U:$U,$H57)&lt;&gt;"Free Game",INDEX('Game Records'!$U:$U,$H57)&lt;&gt;"Disqualified — Free Game",OR(INDEX('Game Records'!$D:$D,$H57)="",LOWER(INDEX('Game Records'!$D:$D,$H57)&amp;"")="n/a")),"Entry Mode; ","")&amp;IF(AND(INDEX('Game Records'!$U:$U,$H57)&lt;&gt;"Subscription",INDEX('Game Records'!$U:$U,$H57)&lt;&gt;"Free Game",INDEX('Game Records'!$U:$U,$H57)&lt;&gt;"Disqualified — Free Game",OR(INDEX('Game Records'!$E:$E,$H57)="",LOWER(INDEX('Game Records'!$E:$E,$H57)&amp;"")="n/a")),"Game Type; ","")&amp;IF(INDEX('Game Records'!$F:$F,$H57)="","Payment Type; ","")&amp;IF(AND(INDEX('Game Records'!$U:$U,$H57)&lt;&gt;"Subscription",INDEX('Game Records'!$U:$U,$H57)&lt;&gt;"Free Game",INDEX('Game Records'!$U:$U,$H57)&lt;&gt;"Disqualified — Free Game",INDEX('Game Records'!$G:$G,$H57)=""),"Gross Pot; ","")&amp;IF(AND(INDEX('Game Records'!$U:$U,$H57)&lt;&gt;"Free Game",INDEX('Game Records'!$U:$U,$H57)&lt;&gt;"Disqualified — Free Game",INDEX('Game Records'!$H:$H,$H57)=""),"Entry Fee; ","")&amp;IF(AND(INDEX('Game Records'!$U:$U,$H57)&lt;&gt;"Subscription",INDEX('Game Records'!$U:$U,$H57)&lt;&gt;"Free Game",INDEX('Game Records'!$U:$U,$H57)&lt;&gt;"Disqualified — Free Game",INDEX('Game Records'!$I:$I,$H57)=""),"Eligible Players; ","")&amp;IF(AND(INDEX('Game Records'!$U:$U,$H57)&lt;&gt;"Subscription",INDEX('Game Records'!$U:$U,$H57)&lt;&gt;"Free Game",INDEX('Game Records'!$U:$U,$H57)&lt;&gt;"Disqualified — Free Game",INDEX('Game Records'!$J:$J,$H57)=""),"Total Players; ","")&amp;IF(AND(LOWER(INDEX('Game Records'!$D:$D,$H57)&amp;"")="finalized",LOWER(INDEX('Game Records'!$L:$L,$H57)&amp;"")&lt;&gt;"yes",INDEX('Game Records'!$U:$U,$H57)&lt;&gt;"Subscription",INDEX('Game Records'!$U:$U,$H57)&lt;&gt;"Free Game",INDEX('Game Records'!$U:$U,$H57)&lt;&gt;"Disqualified — Free Game",INDEX('Game Records'!$K:$K,$H57)=""),"Final Earned; ","")&amp;IF(AND(LOWER(INDEX('Game Records'!$D:$D,$H57)&amp;"")="finalized",INDEX('Game Records'!$U:$U,$H57)&lt;&gt;"Subscription",INDEX('Game Records'!$U:$U,$H57)&lt;&gt;"Free Game",INDEX('Game Records'!$U:$U,$H57)&lt;&gt;"Disqualified — Free Game",OR(INDEX('Game Records'!$L:$L,$H57)="",LOWER(INDEX('Game Records'!$L:$L,$H57)&amp;"")="n/a")),"Disqualified Status; ",""))</x:f>
        <x:v/>
      </x:c>
      <x:c r="G57" s="331" t="str">
        <x:f>IF($H57="","",IFERROR(INDEX('Game Records'!$M:$M,$H57),""))</x:f>
        <x:v/>
      </x:c>
      <x:c r="H57" s="104" t="str">
        <x:f>IF($H56="","",IFERROR(MATCH(1,INDEX((ROW('Game Records'!$U$5:$U$504)&gt;$H56)*(('Game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7" s="104"/>
      <x:c r="J57" s="104"/>
    </x:row>
    <x:row r="58" ht="24" hidden="0" customHeight="1">
      <x:c r="A58" s="332" t="str">
        <x:f>IF($H58="","",ROWS($A$5:A58))</x:f>
        <x:v/>
      </x:c>
      <x:c r="B58" s="332" t="str">
        <x:f>IF($H58="","","G-"&amp;TEXT($A58,"0000"))</x:f>
        <x:v/>
      </x:c>
      <x:c r="C58" s="331" t="str">
        <x:f>IF($H58="","",IFERROR(INDEX('Game Records'!$A:$A,$H58),""))</x:f>
        <x:v/>
      </x:c>
      <x:c r="D58" s="331" t="str">
        <x:f>IF($H58="","",IFERROR(INDEX('Game Records'!$U:$U,$H58),""))</x:f>
        <x:v/>
      </x:c>
      <x:c r="E58" s="331" t="str">
        <x:f>IF($H58="","",IF($F58="","No Highlighted Fields","Highlighted Fields Present"))</x:f>
        <x:v/>
      </x:c>
      <x:c r="F58" s="331" t="str">
        <x:f>IF($H58="","",IF(INDEX('Game Records'!$B:$B,$H58)="","Start Date; ","")&amp;IF(INDEX('Game Records'!$C:$C,$H58)="","End Date; ","")&amp;IF(AND(INDEX('Game Records'!$U:$U,$H58)&lt;&gt;"Subscription",INDEX('Game Records'!$U:$U,$H58)&lt;&gt;"Free Game",INDEX('Game Records'!$U:$U,$H58)&lt;&gt;"Disqualified — Free Game",OR(INDEX('Game Records'!$D:$D,$H58)="",LOWER(INDEX('Game Records'!$D:$D,$H58)&amp;"")="n/a")),"Entry Mode; ","")&amp;IF(AND(INDEX('Game Records'!$U:$U,$H58)&lt;&gt;"Subscription",INDEX('Game Records'!$U:$U,$H58)&lt;&gt;"Free Game",INDEX('Game Records'!$U:$U,$H58)&lt;&gt;"Disqualified — Free Game",OR(INDEX('Game Records'!$E:$E,$H58)="",LOWER(INDEX('Game Records'!$E:$E,$H58)&amp;"")="n/a")),"Game Type; ","")&amp;IF(INDEX('Game Records'!$F:$F,$H58)="","Payment Type; ","")&amp;IF(AND(INDEX('Game Records'!$U:$U,$H58)&lt;&gt;"Subscription",INDEX('Game Records'!$U:$U,$H58)&lt;&gt;"Free Game",INDEX('Game Records'!$U:$U,$H58)&lt;&gt;"Disqualified — Free Game",INDEX('Game Records'!$G:$G,$H58)=""),"Gross Pot; ","")&amp;IF(AND(INDEX('Game Records'!$U:$U,$H58)&lt;&gt;"Free Game",INDEX('Game Records'!$U:$U,$H58)&lt;&gt;"Disqualified — Free Game",INDEX('Game Records'!$H:$H,$H58)=""),"Entry Fee; ","")&amp;IF(AND(INDEX('Game Records'!$U:$U,$H58)&lt;&gt;"Subscription",INDEX('Game Records'!$U:$U,$H58)&lt;&gt;"Free Game",INDEX('Game Records'!$U:$U,$H58)&lt;&gt;"Disqualified — Free Game",INDEX('Game Records'!$I:$I,$H58)=""),"Eligible Players; ","")&amp;IF(AND(INDEX('Game Records'!$U:$U,$H58)&lt;&gt;"Subscription",INDEX('Game Records'!$U:$U,$H58)&lt;&gt;"Free Game",INDEX('Game Records'!$U:$U,$H58)&lt;&gt;"Disqualified — Free Game",INDEX('Game Records'!$J:$J,$H58)=""),"Total Players; ","")&amp;IF(AND(LOWER(INDEX('Game Records'!$D:$D,$H58)&amp;"")="finalized",LOWER(INDEX('Game Records'!$L:$L,$H58)&amp;"")&lt;&gt;"yes",INDEX('Game Records'!$U:$U,$H58)&lt;&gt;"Subscription",INDEX('Game Records'!$U:$U,$H58)&lt;&gt;"Free Game",INDEX('Game Records'!$U:$U,$H58)&lt;&gt;"Disqualified — Free Game",INDEX('Game Records'!$K:$K,$H58)=""),"Final Earned; ","")&amp;IF(AND(LOWER(INDEX('Game Records'!$D:$D,$H58)&amp;"")="finalized",INDEX('Game Records'!$U:$U,$H58)&lt;&gt;"Subscription",INDEX('Game Records'!$U:$U,$H58)&lt;&gt;"Free Game",INDEX('Game Records'!$U:$U,$H58)&lt;&gt;"Disqualified — Free Game",OR(INDEX('Game Records'!$L:$L,$H58)="",LOWER(INDEX('Game Records'!$L:$L,$H58)&amp;"")="n/a")),"Disqualified Status; ",""))</x:f>
        <x:v/>
      </x:c>
      <x:c r="G58" s="331" t="str">
        <x:f>IF($H58="","",IFERROR(INDEX('Game Records'!$M:$M,$H58),""))</x:f>
        <x:v/>
      </x:c>
      <x:c r="H58" s="104" t="str">
        <x:f>IF($H57="","",IFERROR(MATCH(1,INDEX((ROW('Game Records'!$U$5:$U$504)&gt;$H57)*(('Game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8" s="104"/>
      <x:c r="J58" s="104"/>
    </x:row>
    <x:row r="59" ht="24" hidden="0" customHeight="1">
      <x:c r="A59" s="332" t="str">
        <x:f>IF($H59="","",ROWS($A$5:A59))</x:f>
        <x:v/>
      </x:c>
      <x:c r="B59" s="332" t="str">
        <x:f>IF($H59="","","G-"&amp;TEXT($A59,"0000"))</x:f>
        <x:v/>
      </x:c>
      <x:c r="C59" s="331" t="str">
        <x:f>IF($H59="","",IFERROR(INDEX('Game Records'!$A:$A,$H59),""))</x:f>
        <x:v/>
      </x:c>
      <x:c r="D59" s="331" t="str">
        <x:f>IF($H59="","",IFERROR(INDEX('Game Records'!$U:$U,$H59),""))</x:f>
        <x:v/>
      </x:c>
      <x:c r="E59" s="331" t="str">
        <x:f>IF($H59="","",IF($F59="","No Highlighted Fields","Highlighted Fields Present"))</x:f>
        <x:v/>
      </x:c>
      <x:c r="F59" s="331" t="str">
        <x:f>IF($H59="","",IF(INDEX('Game Records'!$B:$B,$H59)="","Start Date; ","")&amp;IF(INDEX('Game Records'!$C:$C,$H59)="","End Date; ","")&amp;IF(AND(INDEX('Game Records'!$U:$U,$H59)&lt;&gt;"Subscription",INDEX('Game Records'!$U:$U,$H59)&lt;&gt;"Free Game",INDEX('Game Records'!$U:$U,$H59)&lt;&gt;"Disqualified — Free Game",OR(INDEX('Game Records'!$D:$D,$H59)="",LOWER(INDEX('Game Records'!$D:$D,$H59)&amp;"")="n/a")),"Entry Mode; ","")&amp;IF(AND(INDEX('Game Records'!$U:$U,$H59)&lt;&gt;"Subscription",INDEX('Game Records'!$U:$U,$H59)&lt;&gt;"Free Game",INDEX('Game Records'!$U:$U,$H59)&lt;&gt;"Disqualified — Free Game",OR(INDEX('Game Records'!$E:$E,$H59)="",LOWER(INDEX('Game Records'!$E:$E,$H59)&amp;"")="n/a")),"Game Type; ","")&amp;IF(INDEX('Game Records'!$F:$F,$H59)="","Payment Type; ","")&amp;IF(AND(INDEX('Game Records'!$U:$U,$H59)&lt;&gt;"Subscription",INDEX('Game Records'!$U:$U,$H59)&lt;&gt;"Free Game",INDEX('Game Records'!$U:$U,$H59)&lt;&gt;"Disqualified — Free Game",INDEX('Game Records'!$G:$G,$H59)=""),"Gross Pot; ","")&amp;IF(AND(INDEX('Game Records'!$U:$U,$H59)&lt;&gt;"Free Game",INDEX('Game Records'!$U:$U,$H59)&lt;&gt;"Disqualified — Free Game",INDEX('Game Records'!$H:$H,$H59)=""),"Entry Fee; ","")&amp;IF(AND(INDEX('Game Records'!$U:$U,$H59)&lt;&gt;"Subscription",INDEX('Game Records'!$U:$U,$H59)&lt;&gt;"Free Game",INDEX('Game Records'!$U:$U,$H59)&lt;&gt;"Disqualified — Free Game",INDEX('Game Records'!$I:$I,$H59)=""),"Eligible Players; ","")&amp;IF(AND(INDEX('Game Records'!$U:$U,$H59)&lt;&gt;"Subscription",INDEX('Game Records'!$U:$U,$H59)&lt;&gt;"Free Game",INDEX('Game Records'!$U:$U,$H59)&lt;&gt;"Disqualified — Free Game",INDEX('Game Records'!$J:$J,$H59)=""),"Total Players; ","")&amp;IF(AND(LOWER(INDEX('Game Records'!$D:$D,$H59)&amp;"")="finalized",LOWER(INDEX('Game Records'!$L:$L,$H59)&amp;"")&lt;&gt;"yes",INDEX('Game Records'!$U:$U,$H59)&lt;&gt;"Subscription",INDEX('Game Records'!$U:$U,$H59)&lt;&gt;"Free Game",INDEX('Game Records'!$U:$U,$H59)&lt;&gt;"Disqualified — Free Game",INDEX('Game Records'!$K:$K,$H59)=""),"Final Earned; ","")&amp;IF(AND(LOWER(INDEX('Game Records'!$D:$D,$H59)&amp;"")="finalized",INDEX('Game Records'!$U:$U,$H59)&lt;&gt;"Subscription",INDEX('Game Records'!$U:$U,$H59)&lt;&gt;"Free Game",INDEX('Game Records'!$U:$U,$H59)&lt;&gt;"Disqualified — Free Game",OR(INDEX('Game Records'!$L:$L,$H59)="",LOWER(INDEX('Game Records'!$L:$L,$H59)&amp;"")="n/a")),"Disqualified Status; ",""))</x:f>
        <x:v/>
      </x:c>
      <x:c r="G59" s="331" t="str">
        <x:f>IF($H59="","",IFERROR(INDEX('Game Records'!$M:$M,$H59),""))</x:f>
        <x:v/>
      </x:c>
      <x:c r="H59" s="104" t="str">
        <x:f>IF($H58="","",IFERROR(MATCH(1,INDEX((ROW('Game Records'!$U$5:$U$504)&gt;$H58)*(('Game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59" s="104"/>
      <x:c r="J59" s="104"/>
    </x:row>
    <x:row r="60" ht="24" hidden="0" customHeight="1">
      <x:c r="A60" s="332" t="str">
        <x:f>IF($H60="","",ROWS($A$5:A60))</x:f>
        <x:v/>
      </x:c>
      <x:c r="B60" s="332" t="str">
        <x:f>IF($H60="","","G-"&amp;TEXT($A60,"0000"))</x:f>
        <x:v/>
      </x:c>
      <x:c r="C60" s="331" t="str">
        <x:f>IF($H60="","",IFERROR(INDEX('Game Records'!$A:$A,$H60),""))</x:f>
        <x:v/>
      </x:c>
      <x:c r="D60" s="331" t="str">
        <x:f>IF($H60="","",IFERROR(INDEX('Game Records'!$U:$U,$H60),""))</x:f>
        <x:v/>
      </x:c>
      <x:c r="E60" s="331" t="str">
        <x:f>IF($H60="","",IF($F60="","No Highlighted Fields","Highlighted Fields Present"))</x:f>
        <x:v/>
      </x:c>
      <x:c r="F60" s="331" t="str">
        <x:f>IF($H60="","",IF(INDEX('Game Records'!$B:$B,$H60)="","Start Date; ","")&amp;IF(INDEX('Game Records'!$C:$C,$H60)="","End Date; ","")&amp;IF(AND(INDEX('Game Records'!$U:$U,$H60)&lt;&gt;"Subscription",INDEX('Game Records'!$U:$U,$H60)&lt;&gt;"Free Game",INDEX('Game Records'!$U:$U,$H60)&lt;&gt;"Disqualified — Free Game",OR(INDEX('Game Records'!$D:$D,$H60)="",LOWER(INDEX('Game Records'!$D:$D,$H60)&amp;"")="n/a")),"Entry Mode; ","")&amp;IF(AND(INDEX('Game Records'!$U:$U,$H60)&lt;&gt;"Subscription",INDEX('Game Records'!$U:$U,$H60)&lt;&gt;"Free Game",INDEX('Game Records'!$U:$U,$H60)&lt;&gt;"Disqualified — Free Game",OR(INDEX('Game Records'!$E:$E,$H60)="",LOWER(INDEX('Game Records'!$E:$E,$H60)&amp;"")="n/a")),"Game Type; ","")&amp;IF(INDEX('Game Records'!$F:$F,$H60)="","Payment Type; ","")&amp;IF(AND(INDEX('Game Records'!$U:$U,$H60)&lt;&gt;"Subscription",INDEX('Game Records'!$U:$U,$H60)&lt;&gt;"Free Game",INDEX('Game Records'!$U:$U,$H60)&lt;&gt;"Disqualified — Free Game",INDEX('Game Records'!$G:$G,$H60)=""),"Gross Pot; ","")&amp;IF(AND(INDEX('Game Records'!$U:$U,$H60)&lt;&gt;"Free Game",INDEX('Game Records'!$U:$U,$H60)&lt;&gt;"Disqualified — Free Game",INDEX('Game Records'!$H:$H,$H60)=""),"Entry Fee; ","")&amp;IF(AND(INDEX('Game Records'!$U:$U,$H60)&lt;&gt;"Subscription",INDEX('Game Records'!$U:$U,$H60)&lt;&gt;"Free Game",INDEX('Game Records'!$U:$U,$H60)&lt;&gt;"Disqualified — Free Game",INDEX('Game Records'!$I:$I,$H60)=""),"Eligible Players; ","")&amp;IF(AND(INDEX('Game Records'!$U:$U,$H60)&lt;&gt;"Subscription",INDEX('Game Records'!$U:$U,$H60)&lt;&gt;"Free Game",INDEX('Game Records'!$U:$U,$H60)&lt;&gt;"Disqualified — Free Game",INDEX('Game Records'!$J:$J,$H60)=""),"Total Players; ","")&amp;IF(AND(LOWER(INDEX('Game Records'!$D:$D,$H60)&amp;"")="finalized",LOWER(INDEX('Game Records'!$L:$L,$H60)&amp;"")&lt;&gt;"yes",INDEX('Game Records'!$U:$U,$H60)&lt;&gt;"Subscription",INDEX('Game Records'!$U:$U,$H60)&lt;&gt;"Free Game",INDEX('Game Records'!$U:$U,$H60)&lt;&gt;"Disqualified — Free Game",INDEX('Game Records'!$K:$K,$H60)=""),"Final Earned; ","")&amp;IF(AND(LOWER(INDEX('Game Records'!$D:$D,$H60)&amp;"")="finalized",INDEX('Game Records'!$U:$U,$H60)&lt;&gt;"Subscription",INDEX('Game Records'!$U:$U,$H60)&lt;&gt;"Free Game",INDEX('Game Records'!$U:$U,$H60)&lt;&gt;"Disqualified — Free Game",OR(INDEX('Game Records'!$L:$L,$H60)="",LOWER(INDEX('Game Records'!$L:$L,$H60)&amp;"")="n/a")),"Disqualified Status; ",""))</x:f>
        <x:v/>
      </x:c>
      <x:c r="G60" s="331" t="str">
        <x:f>IF($H60="","",IFERROR(INDEX('Game Records'!$M:$M,$H60),""))</x:f>
        <x:v/>
      </x:c>
      <x:c r="H60" s="104" t="str">
        <x:f>IF($H59="","",IFERROR(MATCH(1,INDEX((ROW('Game Records'!$U$5:$U$504)&gt;$H59)*(('Game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0" s="104"/>
      <x:c r="J60" s="104"/>
    </x:row>
    <x:row r="61" ht="24" hidden="0" customHeight="1">
      <x:c r="A61" s="332" t="str">
        <x:f>IF($H61="","",ROWS($A$5:A61))</x:f>
        <x:v/>
      </x:c>
      <x:c r="B61" s="332" t="str">
        <x:f>IF($H61="","","G-"&amp;TEXT($A61,"0000"))</x:f>
        <x:v/>
      </x:c>
      <x:c r="C61" s="331" t="str">
        <x:f>IF($H61="","",IFERROR(INDEX('Game Records'!$A:$A,$H61),""))</x:f>
        <x:v/>
      </x:c>
      <x:c r="D61" s="331" t="str">
        <x:f>IF($H61="","",IFERROR(INDEX('Game Records'!$U:$U,$H61),""))</x:f>
        <x:v/>
      </x:c>
      <x:c r="E61" s="331" t="str">
        <x:f>IF($H61="","",IF($F61="","No Highlighted Fields","Highlighted Fields Present"))</x:f>
        <x:v/>
      </x:c>
      <x:c r="F61" s="331" t="str">
        <x:f>IF($H61="","",IF(INDEX('Game Records'!$B:$B,$H61)="","Start Date; ","")&amp;IF(INDEX('Game Records'!$C:$C,$H61)="","End Date; ","")&amp;IF(AND(INDEX('Game Records'!$U:$U,$H61)&lt;&gt;"Subscription",INDEX('Game Records'!$U:$U,$H61)&lt;&gt;"Free Game",INDEX('Game Records'!$U:$U,$H61)&lt;&gt;"Disqualified — Free Game",OR(INDEX('Game Records'!$D:$D,$H61)="",LOWER(INDEX('Game Records'!$D:$D,$H61)&amp;"")="n/a")),"Entry Mode; ","")&amp;IF(AND(INDEX('Game Records'!$U:$U,$H61)&lt;&gt;"Subscription",INDEX('Game Records'!$U:$U,$H61)&lt;&gt;"Free Game",INDEX('Game Records'!$U:$U,$H61)&lt;&gt;"Disqualified — Free Game",OR(INDEX('Game Records'!$E:$E,$H61)="",LOWER(INDEX('Game Records'!$E:$E,$H61)&amp;"")="n/a")),"Game Type; ","")&amp;IF(INDEX('Game Records'!$F:$F,$H61)="","Payment Type; ","")&amp;IF(AND(INDEX('Game Records'!$U:$U,$H61)&lt;&gt;"Subscription",INDEX('Game Records'!$U:$U,$H61)&lt;&gt;"Free Game",INDEX('Game Records'!$U:$U,$H61)&lt;&gt;"Disqualified — Free Game",INDEX('Game Records'!$G:$G,$H61)=""),"Gross Pot; ","")&amp;IF(AND(INDEX('Game Records'!$U:$U,$H61)&lt;&gt;"Free Game",INDEX('Game Records'!$U:$U,$H61)&lt;&gt;"Disqualified — Free Game",INDEX('Game Records'!$H:$H,$H61)=""),"Entry Fee; ","")&amp;IF(AND(INDEX('Game Records'!$U:$U,$H61)&lt;&gt;"Subscription",INDEX('Game Records'!$U:$U,$H61)&lt;&gt;"Free Game",INDEX('Game Records'!$U:$U,$H61)&lt;&gt;"Disqualified — Free Game",INDEX('Game Records'!$I:$I,$H61)=""),"Eligible Players; ","")&amp;IF(AND(INDEX('Game Records'!$U:$U,$H61)&lt;&gt;"Subscription",INDEX('Game Records'!$U:$U,$H61)&lt;&gt;"Free Game",INDEX('Game Records'!$U:$U,$H61)&lt;&gt;"Disqualified — Free Game",INDEX('Game Records'!$J:$J,$H61)=""),"Total Players; ","")&amp;IF(AND(LOWER(INDEX('Game Records'!$D:$D,$H61)&amp;"")="finalized",LOWER(INDEX('Game Records'!$L:$L,$H61)&amp;"")&lt;&gt;"yes",INDEX('Game Records'!$U:$U,$H61)&lt;&gt;"Subscription",INDEX('Game Records'!$U:$U,$H61)&lt;&gt;"Free Game",INDEX('Game Records'!$U:$U,$H61)&lt;&gt;"Disqualified — Free Game",INDEX('Game Records'!$K:$K,$H61)=""),"Final Earned; ","")&amp;IF(AND(LOWER(INDEX('Game Records'!$D:$D,$H61)&amp;"")="finalized",INDEX('Game Records'!$U:$U,$H61)&lt;&gt;"Subscription",INDEX('Game Records'!$U:$U,$H61)&lt;&gt;"Free Game",INDEX('Game Records'!$U:$U,$H61)&lt;&gt;"Disqualified — Free Game",OR(INDEX('Game Records'!$L:$L,$H61)="",LOWER(INDEX('Game Records'!$L:$L,$H61)&amp;"")="n/a")),"Disqualified Status; ",""))</x:f>
        <x:v/>
      </x:c>
      <x:c r="G61" s="331" t="str">
        <x:f>IF($H61="","",IFERROR(INDEX('Game Records'!$M:$M,$H61),""))</x:f>
        <x:v/>
      </x:c>
      <x:c r="H61" s="104" t="str">
        <x:f>IF($H60="","",IFERROR(MATCH(1,INDEX((ROW('Game Records'!$U$5:$U$504)&gt;$H60)*(('Game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1" s="104"/>
      <x:c r="J61" s="104"/>
    </x:row>
    <x:row r="62" ht="24" hidden="0" customHeight="1">
      <x:c r="A62" s="332" t="str">
        <x:f>IF($H62="","",ROWS($A$5:A62))</x:f>
        <x:v/>
      </x:c>
      <x:c r="B62" s="332" t="str">
        <x:f>IF($H62="","","G-"&amp;TEXT($A62,"0000"))</x:f>
        <x:v/>
      </x:c>
      <x:c r="C62" s="331" t="str">
        <x:f>IF($H62="","",IFERROR(INDEX('Game Records'!$A:$A,$H62),""))</x:f>
        <x:v/>
      </x:c>
      <x:c r="D62" s="331" t="str">
        <x:f>IF($H62="","",IFERROR(INDEX('Game Records'!$U:$U,$H62),""))</x:f>
        <x:v/>
      </x:c>
      <x:c r="E62" s="331" t="str">
        <x:f>IF($H62="","",IF($F62="","No Highlighted Fields","Highlighted Fields Present"))</x:f>
        <x:v/>
      </x:c>
      <x:c r="F62" s="331" t="str">
        <x:f>IF($H62="","",IF(INDEX('Game Records'!$B:$B,$H62)="","Start Date; ","")&amp;IF(INDEX('Game Records'!$C:$C,$H62)="","End Date; ","")&amp;IF(AND(INDEX('Game Records'!$U:$U,$H62)&lt;&gt;"Subscription",INDEX('Game Records'!$U:$U,$H62)&lt;&gt;"Free Game",INDEX('Game Records'!$U:$U,$H62)&lt;&gt;"Disqualified — Free Game",OR(INDEX('Game Records'!$D:$D,$H62)="",LOWER(INDEX('Game Records'!$D:$D,$H62)&amp;"")="n/a")),"Entry Mode; ","")&amp;IF(AND(INDEX('Game Records'!$U:$U,$H62)&lt;&gt;"Subscription",INDEX('Game Records'!$U:$U,$H62)&lt;&gt;"Free Game",INDEX('Game Records'!$U:$U,$H62)&lt;&gt;"Disqualified — Free Game",OR(INDEX('Game Records'!$E:$E,$H62)="",LOWER(INDEX('Game Records'!$E:$E,$H62)&amp;"")="n/a")),"Game Type; ","")&amp;IF(INDEX('Game Records'!$F:$F,$H62)="","Payment Type; ","")&amp;IF(AND(INDEX('Game Records'!$U:$U,$H62)&lt;&gt;"Subscription",INDEX('Game Records'!$U:$U,$H62)&lt;&gt;"Free Game",INDEX('Game Records'!$U:$U,$H62)&lt;&gt;"Disqualified — Free Game",INDEX('Game Records'!$G:$G,$H62)=""),"Gross Pot; ","")&amp;IF(AND(INDEX('Game Records'!$U:$U,$H62)&lt;&gt;"Free Game",INDEX('Game Records'!$U:$U,$H62)&lt;&gt;"Disqualified — Free Game",INDEX('Game Records'!$H:$H,$H62)=""),"Entry Fee; ","")&amp;IF(AND(INDEX('Game Records'!$U:$U,$H62)&lt;&gt;"Subscription",INDEX('Game Records'!$U:$U,$H62)&lt;&gt;"Free Game",INDEX('Game Records'!$U:$U,$H62)&lt;&gt;"Disqualified — Free Game",INDEX('Game Records'!$I:$I,$H62)=""),"Eligible Players; ","")&amp;IF(AND(INDEX('Game Records'!$U:$U,$H62)&lt;&gt;"Subscription",INDEX('Game Records'!$U:$U,$H62)&lt;&gt;"Free Game",INDEX('Game Records'!$U:$U,$H62)&lt;&gt;"Disqualified — Free Game",INDEX('Game Records'!$J:$J,$H62)=""),"Total Players; ","")&amp;IF(AND(LOWER(INDEX('Game Records'!$D:$D,$H62)&amp;"")="finalized",LOWER(INDEX('Game Records'!$L:$L,$H62)&amp;"")&lt;&gt;"yes",INDEX('Game Records'!$U:$U,$H62)&lt;&gt;"Subscription",INDEX('Game Records'!$U:$U,$H62)&lt;&gt;"Free Game",INDEX('Game Records'!$U:$U,$H62)&lt;&gt;"Disqualified — Free Game",INDEX('Game Records'!$K:$K,$H62)=""),"Final Earned; ","")&amp;IF(AND(LOWER(INDEX('Game Records'!$D:$D,$H62)&amp;"")="finalized",INDEX('Game Records'!$U:$U,$H62)&lt;&gt;"Subscription",INDEX('Game Records'!$U:$U,$H62)&lt;&gt;"Free Game",INDEX('Game Records'!$U:$U,$H62)&lt;&gt;"Disqualified — Free Game",OR(INDEX('Game Records'!$L:$L,$H62)="",LOWER(INDEX('Game Records'!$L:$L,$H62)&amp;"")="n/a")),"Disqualified Status; ",""))</x:f>
        <x:v/>
      </x:c>
      <x:c r="G62" s="331" t="str">
        <x:f>IF($H62="","",IFERROR(INDEX('Game Records'!$M:$M,$H62),""))</x:f>
        <x:v/>
      </x:c>
      <x:c r="H62" s="104" t="str">
        <x:f>IF($H61="","",IFERROR(MATCH(1,INDEX((ROW('Game Records'!$U$5:$U$504)&gt;$H61)*(('Game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2" s="104"/>
      <x:c r="J62" s="104"/>
    </x:row>
    <x:row r="63" ht="24" hidden="0" customHeight="1">
      <x:c r="A63" s="332" t="str">
        <x:f>IF($H63="","",ROWS($A$5:A63))</x:f>
        <x:v/>
      </x:c>
      <x:c r="B63" s="332" t="str">
        <x:f>IF($H63="","","G-"&amp;TEXT($A63,"0000"))</x:f>
        <x:v/>
      </x:c>
      <x:c r="C63" s="331" t="str">
        <x:f>IF($H63="","",IFERROR(INDEX('Game Records'!$A:$A,$H63),""))</x:f>
        <x:v/>
      </x:c>
      <x:c r="D63" s="331" t="str">
        <x:f>IF($H63="","",IFERROR(INDEX('Game Records'!$U:$U,$H63),""))</x:f>
        <x:v/>
      </x:c>
      <x:c r="E63" s="331" t="str">
        <x:f>IF($H63="","",IF($F63="","No Highlighted Fields","Highlighted Fields Present"))</x:f>
        <x:v/>
      </x:c>
      <x:c r="F63" s="331" t="str">
        <x:f>IF($H63="","",IF(INDEX('Game Records'!$B:$B,$H63)="","Start Date; ","")&amp;IF(INDEX('Game Records'!$C:$C,$H63)="","End Date; ","")&amp;IF(AND(INDEX('Game Records'!$U:$U,$H63)&lt;&gt;"Subscription",INDEX('Game Records'!$U:$U,$H63)&lt;&gt;"Free Game",INDEX('Game Records'!$U:$U,$H63)&lt;&gt;"Disqualified — Free Game",OR(INDEX('Game Records'!$D:$D,$H63)="",LOWER(INDEX('Game Records'!$D:$D,$H63)&amp;"")="n/a")),"Entry Mode; ","")&amp;IF(AND(INDEX('Game Records'!$U:$U,$H63)&lt;&gt;"Subscription",INDEX('Game Records'!$U:$U,$H63)&lt;&gt;"Free Game",INDEX('Game Records'!$U:$U,$H63)&lt;&gt;"Disqualified — Free Game",OR(INDEX('Game Records'!$E:$E,$H63)="",LOWER(INDEX('Game Records'!$E:$E,$H63)&amp;"")="n/a")),"Game Type; ","")&amp;IF(INDEX('Game Records'!$F:$F,$H63)="","Payment Type; ","")&amp;IF(AND(INDEX('Game Records'!$U:$U,$H63)&lt;&gt;"Subscription",INDEX('Game Records'!$U:$U,$H63)&lt;&gt;"Free Game",INDEX('Game Records'!$U:$U,$H63)&lt;&gt;"Disqualified — Free Game",INDEX('Game Records'!$G:$G,$H63)=""),"Gross Pot; ","")&amp;IF(AND(INDEX('Game Records'!$U:$U,$H63)&lt;&gt;"Free Game",INDEX('Game Records'!$U:$U,$H63)&lt;&gt;"Disqualified — Free Game",INDEX('Game Records'!$H:$H,$H63)=""),"Entry Fee; ","")&amp;IF(AND(INDEX('Game Records'!$U:$U,$H63)&lt;&gt;"Subscription",INDEX('Game Records'!$U:$U,$H63)&lt;&gt;"Free Game",INDEX('Game Records'!$U:$U,$H63)&lt;&gt;"Disqualified — Free Game",INDEX('Game Records'!$I:$I,$H63)=""),"Eligible Players; ","")&amp;IF(AND(INDEX('Game Records'!$U:$U,$H63)&lt;&gt;"Subscription",INDEX('Game Records'!$U:$U,$H63)&lt;&gt;"Free Game",INDEX('Game Records'!$U:$U,$H63)&lt;&gt;"Disqualified — Free Game",INDEX('Game Records'!$J:$J,$H63)=""),"Total Players; ","")&amp;IF(AND(LOWER(INDEX('Game Records'!$D:$D,$H63)&amp;"")="finalized",LOWER(INDEX('Game Records'!$L:$L,$H63)&amp;"")&lt;&gt;"yes",INDEX('Game Records'!$U:$U,$H63)&lt;&gt;"Subscription",INDEX('Game Records'!$U:$U,$H63)&lt;&gt;"Free Game",INDEX('Game Records'!$U:$U,$H63)&lt;&gt;"Disqualified — Free Game",INDEX('Game Records'!$K:$K,$H63)=""),"Final Earned; ","")&amp;IF(AND(LOWER(INDEX('Game Records'!$D:$D,$H63)&amp;"")="finalized",INDEX('Game Records'!$U:$U,$H63)&lt;&gt;"Subscription",INDEX('Game Records'!$U:$U,$H63)&lt;&gt;"Free Game",INDEX('Game Records'!$U:$U,$H63)&lt;&gt;"Disqualified — Free Game",OR(INDEX('Game Records'!$L:$L,$H63)="",LOWER(INDEX('Game Records'!$L:$L,$H63)&amp;"")="n/a")),"Disqualified Status; ",""))</x:f>
        <x:v/>
      </x:c>
      <x:c r="G63" s="331" t="str">
        <x:f>IF($H63="","",IFERROR(INDEX('Game Records'!$M:$M,$H63),""))</x:f>
        <x:v/>
      </x:c>
      <x:c r="H63" s="104" t="str">
        <x:f>IF($H62="","",IFERROR(MATCH(1,INDEX((ROW('Game Records'!$U$5:$U$504)&gt;$H62)*(('Game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3" s="104"/>
      <x:c r="J63" s="104"/>
    </x:row>
    <x:row r="64" ht="24" hidden="0" customHeight="1">
      <x:c r="A64" s="332" t="str">
        <x:f>IF($H64="","",ROWS($A$5:A64))</x:f>
        <x:v/>
      </x:c>
      <x:c r="B64" s="332" t="str">
        <x:f>IF($H64="","","G-"&amp;TEXT($A64,"0000"))</x:f>
        <x:v/>
      </x:c>
      <x:c r="C64" s="331" t="str">
        <x:f>IF($H64="","",IFERROR(INDEX('Game Records'!$A:$A,$H64),""))</x:f>
        <x:v/>
      </x:c>
      <x:c r="D64" s="331" t="str">
        <x:f>IF($H64="","",IFERROR(INDEX('Game Records'!$U:$U,$H64),""))</x:f>
        <x:v/>
      </x:c>
      <x:c r="E64" s="331" t="str">
        <x:f>IF($H64="","",IF($F64="","No Highlighted Fields","Highlighted Fields Present"))</x:f>
        <x:v/>
      </x:c>
      <x:c r="F64" s="331" t="str">
        <x:f>IF($H64="","",IF(INDEX('Game Records'!$B:$B,$H64)="","Start Date; ","")&amp;IF(INDEX('Game Records'!$C:$C,$H64)="","End Date; ","")&amp;IF(AND(INDEX('Game Records'!$U:$U,$H64)&lt;&gt;"Subscription",INDEX('Game Records'!$U:$U,$H64)&lt;&gt;"Free Game",INDEX('Game Records'!$U:$U,$H64)&lt;&gt;"Disqualified — Free Game",OR(INDEX('Game Records'!$D:$D,$H64)="",LOWER(INDEX('Game Records'!$D:$D,$H64)&amp;"")="n/a")),"Entry Mode; ","")&amp;IF(AND(INDEX('Game Records'!$U:$U,$H64)&lt;&gt;"Subscription",INDEX('Game Records'!$U:$U,$H64)&lt;&gt;"Free Game",INDEX('Game Records'!$U:$U,$H64)&lt;&gt;"Disqualified — Free Game",OR(INDEX('Game Records'!$E:$E,$H64)="",LOWER(INDEX('Game Records'!$E:$E,$H64)&amp;"")="n/a")),"Game Type; ","")&amp;IF(INDEX('Game Records'!$F:$F,$H64)="","Payment Type; ","")&amp;IF(AND(INDEX('Game Records'!$U:$U,$H64)&lt;&gt;"Subscription",INDEX('Game Records'!$U:$U,$H64)&lt;&gt;"Free Game",INDEX('Game Records'!$U:$U,$H64)&lt;&gt;"Disqualified — Free Game",INDEX('Game Records'!$G:$G,$H64)=""),"Gross Pot; ","")&amp;IF(AND(INDEX('Game Records'!$U:$U,$H64)&lt;&gt;"Free Game",INDEX('Game Records'!$U:$U,$H64)&lt;&gt;"Disqualified — Free Game",INDEX('Game Records'!$H:$H,$H64)=""),"Entry Fee; ","")&amp;IF(AND(INDEX('Game Records'!$U:$U,$H64)&lt;&gt;"Subscription",INDEX('Game Records'!$U:$U,$H64)&lt;&gt;"Free Game",INDEX('Game Records'!$U:$U,$H64)&lt;&gt;"Disqualified — Free Game",INDEX('Game Records'!$I:$I,$H64)=""),"Eligible Players; ","")&amp;IF(AND(INDEX('Game Records'!$U:$U,$H64)&lt;&gt;"Subscription",INDEX('Game Records'!$U:$U,$H64)&lt;&gt;"Free Game",INDEX('Game Records'!$U:$U,$H64)&lt;&gt;"Disqualified — Free Game",INDEX('Game Records'!$J:$J,$H64)=""),"Total Players; ","")&amp;IF(AND(LOWER(INDEX('Game Records'!$D:$D,$H64)&amp;"")="finalized",LOWER(INDEX('Game Records'!$L:$L,$H64)&amp;"")&lt;&gt;"yes",INDEX('Game Records'!$U:$U,$H64)&lt;&gt;"Subscription",INDEX('Game Records'!$U:$U,$H64)&lt;&gt;"Free Game",INDEX('Game Records'!$U:$U,$H64)&lt;&gt;"Disqualified — Free Game",INDEX('Game Records'!$K:$K,$H64)=""),"Final Earned; ","")&amp;IF(AND(LOWER(INDEX('Game Records'!$D:$D,$H64)&amp;"")="finalized",INDEX('Game Records'!$U:$U,$H64)&lt;&gt;"Subscription",INDEX('Game Records'!$U:$U,$H64)&lt;&gt;"Free Game",INDEX('Game Records'!$U:$U,$H64)&lt;&gt;"Disqualified — Free Game",OR(INDEX('Game Records'!$L:$L,$H64)="",LOWER(INDEX('Game Records'!$L:$L,$H64)&amp;"")="n/a")),"Disqualified Status; ",""))</x:f>
        <x:v/>
      </x:c>
      <x:c r="G64" s="331" t="str">
        <x:f>IF($H64="","",IFERROR(INDEX('Game Records'!$M:$M,$H64),""))</x:f>
        <x:v/>
      </x:c>
      <x:c r="H64" s="104" t="str">
        <x:f>IF($H63="","",IFERROR(MATCH(1,INDEX((ROW('Game Records'!$U$5:$U$504)&gt;$H63)*(('Game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4" s="104"/>
      <x:c r="J64" s="104"/>
    </x:row>
    <x:row r="65" ht="24" hidden="0" customHeight="1">
      <x:c r="A65" s="332" t="str">
        <x:f>IF($H65="","",ROWS($A$5:A65))</x:f>
        <x:v/>
      </x:c>
      <x:c r="B65" s="332" t="str">
        <x:f>IF($H65="","","G-"&amp;TEXT($A65,"0000"))</x:f>
        <x:v/>
      </x:c>
      <x:c r="C65" s="331" t="str">
        <x:f>IF($H65="","",IFERROR(INDEX('Game Records'!$A:$A,$H65),""))</x:f>
        <x:v/>
      </x:c>
      <x:c r="D65" s="331" t="str">
        <x:f>IF($H65="","",IFERROR(INDEX('Game Records'!$U:$U,$H65),""))</x:f>
        <x:v/>
      </x:c>
      <x:c r="E65" s="331" t="str">
        <x:f>IF($H65="","",IF($F65="","No Highlighted Fields","Highlighted Fields Present"))</x:f>
        <x:v/>
      </x:c>
      <x:c r="F65" s="331" t="str">
        <x:f>IF($H65="","",IF(INDEX('Game Records'!$B:$B,$H65)="","Start Date; ","")&amp;IF(INDEX('Game Records'!$C:$C,$H65)="","End Date; ","")&amp;IF(AND(INDEX('Game Records'!$U:$U,$H65)&lt;&gt;"Subscription",INDEX('Game Records'!$U:$U,$H65)&lt;&gt;"Free Game",INDEX('Game Records'!$U:$U,$H65)&lt;&gt;"Disqualified — Free Game",OR(INDEX('Game Records'!$D:$D,$H65)="",LOWER(INDEX('Game Records'!$D:$D,$H65)&amp;"")="n/a")),"Entry Mode; ","")&amp;IF(AND(INDEX('Game Records'!$U:$U,$H65)&lt;&gt;"Subscription",INDEX('Game Records'!$U:$U,$H65)&lt;&gt;"Free Game",INDEX('Game Records'!$U:$U,$H65)&lt;&gt;"Disqualified — Free Game",OR(INDEX('Game Records'!$E:$E,$H65)="",LOWER(INDEX('Game Records'!$E:$E,$H65)&amp;"")="n/a")),"Game Type; ","")&amp;IF(INDEX('Game Records'!$F:$F,$H65)="","Payment Type; ","")&amp;IF(AND(INDEX('Game Records'!$U:$U,$H65)&lt;&gt;"Subscription",INDEX('Game Records'!$U:$U,$H65)&lt;&gt;"Free Game",INDEX('Game Records'!$U:$U,$H65)&lt;&gt;"Disqualified — Free Game",INDEX('Game Records'!$G:$G,$H65)=""),"Gross Pot; ","")&amp;IF(AND(INDEX('Game Records'!$U:$U,$H65)&lt;&gt;"Free Game",INDEX('Game Records'!$U:$U,$H65)&lt;&gt;"Disqualified — Free Game",INDEX('Game Records'!$H:$H,$H65)=""),"Entry Fee; ","")&amp;IF(AND(INDEX('Game Records'!$U:$U,$H65)&lt;&gt;"Subscription",INDEX('Game Records'!$U:$U,$H65)&lt;&gt;"Free Game",INDEX('Game Records'!$U:$U,$H65)&lt;&gt;"Disqualified — Free Game",INDEX('Game Records'!$I:$I,$H65)=""),"Eligible Players; ","")&amp;IF(AND(INDEX('Game Records'!$U:$U,$H65)&lt;&gt;"Subscription",INDEX('Game Records'!$U:$U,$H65)&lt;&gt;"Free Game",INDEX('Game Records'!$U:$U,$H65)&lt;&gt;"Disqualified — Free Game",INDEX('Game Records'!$J:$J,$H65)=""),"Total Players; ","")&amp;IF(AND(LOWER(INDEX('Game Records'!$D:$D,$H65)&amp;"")="finalized",LOWER(INDEX('Game Records'!$L:$L,$H65)&amp;"")&lt;&gt;"yes",INDEX('Game Records'!$U:$U,$H65)&lt;&gt;"Subscription",INDEX('Game Records'!$U:$U,$H65)&lt;&gt;"Free Game",INDEX('Game Records'!$U:$U,$H65)&lt;&gt;"Disqualified — Free Game",INDEX('Game Records'!$K:$K,$H65)=""),"Final Earned; ","")&amp;IF(AND(LOWER(INDEX('Game Records'!$D:$D,$H65)&amp;"")="finalized",INDEX('Game Records'!$U:$U,$H65)&lt;&gt;"Subscription",INDEX('Game Records'!$U:$U,$H65)&lt;&gt;"Free Game",INDEX('Game Records'!$U:$U,$H65)&lt;&gt;"Disqualified — Free Game",OR(INDEX('Game Records'!$L:$L,$H65)="",LOWER(INDEX('Game Records'!$L:$L,$H65)&amp;"")="n/a")),"Disqualified Status; ",""))</x:f>
        <x:v/>
      </x:c>
      <x:c r="G65" s="331" t="str">
        <x:f>IF($H65="","",IFERROR(INDEX('Game Records'!$M:$M,$H65),""))</x:f>
        <x:v/>
      </x:c>
      <x:c r="H65" s="104" t="str">
        <x:f>IF($H64="","",IFERROR(MATCH(1,INDEX((ROW('Game Records'!$U$5:$U$504)&gt;$H64)*(('Game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5" s="104"/>
      <x:c r="J65" s="104"/>
    </x:row>
    <x:row r="66" ht="24" hidden="0" customHeight="1">
      <x:c r="A66" s="332" t="str">
        <x:f>IF($H66="","",ROWS($A$5:A66))</x:f>
        <x:v/>
      </x:c>
      <x:c r="B66" s="332" t="str">
        <x:f>IF($H66="","","G-"&amp;TEXT($A66,"0000"))</x:f>
        <x:v/>
      </x:c>
      <x:c r="C66" s="331" t="str">
        <x:f>IF($H66="","",IFERROR(INDEX('Game Records'!$A:$A,$H66),""))</x:f>
        <x:v/>
      </x:c>
      <x:c r="D66" s="331" t="str">
        <x:f>IF($H66="","",IFERROR(INDEX('Game Records'!$U:$U,$H66),""))</x:f>
        <x:v/>
      </x:c>
      <x:c r="E66" s="331" t="str">
        <x:f>IF($H66="","",IF($F66="","No Highlighted Fields","Highlighted Fields Present"))</x:f>
        <x:v/>
      </x:c>
      <x:c r="F66" s="331" t="str">
        <x:f>IF($H66="","",IF(INDEX('Game Records'!$B:$B,$H66)="","Start Date; ","")&amp;IF(INDEX('Game Records'!$C:$C,$H66)="","End Date; ","")&amp;IF(AND(INDEX('Game Records'!$U:$U,$H66)&lt;&gt;"Subscription",INDEX('Game Records'!$U:$U,$H66)&lt;&gt;"Free Game",INDEX('Game Records'!$U:$U,$H66)&lt;&gt;"Disqualified — Free Game",OR(INDEX('Game Records'!$D:$D,$H66)="",LOWER(INDEX('Game Records'!$D:$D,$H66)&amp;"")="n/a")),"Entry Mode; ","")&amp;IF(AND(INDEX('Game Records'!$U:$U,$H66)&lt;&gt;"Subscription",INDEX('Game Records'!$U:$U,$H66)&lt;&gt;"Free Game",INDEX('Game Records'!$U:$U,$H66)&lt;&gt;"Disqualified — Free Game",OR(INDEX('Game Records'!$E:$E,$H66)="",LOWER(INDEX('Game Records'!$E:$E,$H66)&amp;"")="n/a")),"Game Type; ","")&amp;IF(INDEX('Game Records'!$F:$F,$H66)="","Payment Type; ","")&amp;IF(AND(INDEX('Game Records'!$U:$U,$H66)&lt;&gt;"Subscription",INDEX('Game Records'!$U:$U,$H66)&lt;&gt;"Free Game",INDEX('Game Records'!$U:$U,$H66)&lt;&gt;"Disqualified — Free Game",INDEX('Game Records'!$G:$G,$H66)=""),"Gross Pot; ","")&amp;IF(AND(INDEX('Game Records'!$U:$U,$H66)&lt;&gt;"Free Game",INDEX('Game Records'!$U:$U,$H66)&lt;&gt;"Disqualified — Free Game",INDEX('Game Records'!$H:$H,$H66)=""),"Entry Fee; ","")&amp;IF(AND(INDEX('Game Records'!$U:$U,$H66)&lt;&gt;"Subscription",INDEX('Game Records'!$U:$U,$H66)&lt;&gt;"Free Game",INDEX('Game Records'!$U:$U,$H66)&lt;&gt;"Disqualified — Free Game",INDEX('Game Records'!$I:$I,$H66)=""),"Eligible Players; ","")&amp;IF(AND(INDEX('Game Records'!$U:$U,$H66)&lt;&gt;"Subscription",INDEX('Game Records'!$U:$U,$H66)&lt;&gt;"Free Game",INDEX('Game Records'!$U:$U,$H66)&lt;&gt;"Disqualified — Free Game",INDEX('Game Records'!$J:$J,$H66)=""),"Total Players; ","")&amp;IF(AND(LOWER(INDEX('Game Records'!$D:$D,$H66)&amp;"")="finalized",LOWER(INDEX('Game Records'!$L:$L,$H66)&amp;"")&lt;&gt;"yes",INDEX('Game Records'!$U:$U,$H66)&lt;&gt;"Subscription",INDEX('Game Records'!$U:$U,$H66)&lt;&gt;"Free Game",INDEX('Game Records'!$U:$U,$H66)&lt;&gt;"Disqualified — Free Game",INDEX('Game Records'!$K:$K,$H66)=""),"Final Earned; ","")&amp;IF(AND(LOWER(INDEX('Game Records'!$D:$D,$H66)&amp;"")="finalized",INDEX('Game Records'!$U:$U,$H66)&lt;&gt;"Subscription",INDEX('Game Records'!$U:$U,$H66)&lt;&gt;"Free Game",INDEX('Game Records'!$U:$U,$H66)&lt;&gt;"Disqualified — Free Game",OR(INDEX('Game Records'!$L:$L,$H66)="",LOWER(INDEX('Game Records'!$L:$L,$H66)&amp;"")="n/a")),"Disqualified Status; ",""))</x:f>
        <x:v/>
      </x:c>
      <x:c r="G66" s="331" t="str">
        <x:f>IF($H66="","",IFERROR(INDEX('Game Records'!$M:$M,$H66),""))</x:f>
        <x:v/>
      </x:c>
      <x:c r="H66" s="104" t="str">
        <x:f>IF($H65="","",IFERROR(MATCH(1,INDEX((ROW('Game Records'!$U$5:$U$504)&gt;$H65)*(('Game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6" s="104"/>
      <x:c r="J66" s="104"/>
    </x:row>
    <x:row r="67" ht="24" hidden="0" customHeight="1">
      <x:c r="A67" s="332" t="str">
        <x:f>IF($H67="","",ROWS($A$5:A67))</x:f>
        <x:v/>
      </x:c>
      <x:c r="B67" s="332" t="str">
        <x:f>IF($H67="","","G-"&amp;TEXT($A67,"0000"))</x:f>
        <x:v/>
      </x:c>
      <x:c r="C67" s="331" t="str">
        <x:f>IF($H67="","",IFERROR(INDEX('Game Records'!$A:$A,$H67),""))</x:f>
        <x:v/>
      </x:c>
      <x:c r="D67" s="331" t="str">
        <x:f>IF($H67="","",IFERROR(INDEX('Game Records'!$U:$U,$H67),""))</x:f>
        <x:v/>
      </x:c>
      <x:c r="E67" s="331" t="str">
        <x:f>IF($H67="","",IF($F67="","No Highlighted Fields","Highlighted Fields Present"))</x:f>
        <x:v/>
      </x:c>
      <x:c r="F67" s="331" t="str">
        <x:f>IF($H67="","",IF(INDEX('Game Records'!$B:$B,$H67)="","Start Date; ","")&amp;IF(INDEX('Game Records'!$C:$C,$H67)="","End Date; ","")&amp;IF(AND(INDEX('Game Records'!$U:$U,$H67)&lt;&gt;"Subscription",INDEX('Game Records'!$U:$U,$H67)&lt;&gt;"Free Game",INDEX('Game Records'!$U:$U,$H67)&lt;&gt;"Disqualified — Free Game",OR(INDEX('Game Records'!$D:$D,$H67)="",LOWER(INDEX('Game Records'!$D:$D,$H67)&amp;"")="n/a")),"Entry Mode; ","")&amp;IF(AND(INDEX('Game Records'!$U:$U,$H67)&lt;&gt;"Subscription",INDEX('Game Records'!$U:$U,$H67)&lt;&gt;"Free Game",INDEX('Game Records'!$U:$U,$H67)&lt;&gt;"Disqualified — Free Game",OR(INDEX('Game Records'!$E:$E,$H67)="",LOWER(INDEX('Game Records'!$E:$E,$H67)&amp;"")="n/a")),"Game Type; ","")&amp;IF(INDEX('Game Records'!$F:$F,$H67)="","Payment Type; ","")&amp;IF(AND(INDEX('Game Records'!$U:$U,$H67)&lt;&gt;"Subscription",INDEX('Game Records'!$U:$U,$H67)&lt;&gt;"Free Game",INDEX('Game Records'!$U:$U,$H67)&lt;&gt;"Disqualified — Free Game",INDEX('Game Records'!$G:$G,$H67)=""),"Gross Pot; ","")&amp;IF(AND(INDEX('Game Records'!$U:$U,$H67)&lt;&gt;"Free Game",INDEX('Game Records'!$U:$U,$H67)&lt;&gt;"Disqualified — Free Game",INDEX('Game Records'!$H:$H,$H67)=""),"Entry Fee; ","")&amp;IF(AND(INDEX('Game Records'!$U:$U,$H67)&lt;&gt;"Subscription",INDEX('Game Records'!$U:$U,$H67)&lt;&gt;"Free Game",INDEX('Game Records'!$U:$U,$H67)&lt;&gt;"Disqualified — Free Game",INDEX('Game Records'!$I:$I,$H67)=""),"Eligible Players; ","")&amp;IF(AND(INDEX('Game Records'!$U:$U,$H67)&lt;&gt;"Subscription",INDEX('Game Records'!$U:$U,$H67)&lt;&gt;"Free Game",INDEX('Game Records'!$U:$U,$H67)&lt;&gt;"Disqualified — Free Game",INDEX('Game Records'!$J:$J,$H67)=""),"Total Players; ","")&amp;IF(AND(LOWER(INDEX('Game Records'!$D:$D,$H67)&amp;"")="finalized",LOWER(INDEX('Game Records'!$L:$L,$H67)&amp;"")&lt;&gt;"yes",INDEX('Game Records'!$U:$U,$H67)&lt;&gt;"Subscription",INDEX('Game Records'!$U:$U,$H67)&lt;&gt;"Free Game",INDEX('Game Records'!$U:$U,$H67)&lt;&gt;"Disqualified — Free Game",INDEX('Game Records'!$K:$K,$H67)=""),"Final Earned; ","")&amp;IF(AND(LOWER(INDEX('Game Records'!$D:$D,$H67)&amp;"")="finalized",INDEX('Game Records'!$U:$U,$H67)&lt;&gt;"Subscription",INDEX('Game Records'!$U:$U,$H67)&lt;&gt;"Free Game",INDEX('Game Records'!$U:$U,$H67)&lt;&gt;"Disqualified — Free Game",OR(INDEX('Game Records'!$L:$L,$H67)="",LOWER(INDEX('Game Records'!$L:$L,$H67)&amp;"")="n/a")),"Disqualified Status; ",""))</x:f>
        <x:v/>
      </x:c>
      <x:c r="G67" s="331" t="str">
        <x:f>IF($H67="","",IFERROR(INDEX('Game Records'!$M:$M,$H67),""))</x:f>
        <x:v/>
      </x:c>
      <x:c r="H67" s="104" t="str">
        <x:f>IF($H66="","",IFERROR(MATCH(1,INDEX((ROW('Game Records'!$U$5:$U$504)&gt;$H66)*(('Game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7" s="104"/>
      <x:c r="J67" s="104"/>
    </x:row>
    <x:row r="68" ht="24" hidden="0" customHeight="1">
      <x:c r="A68" s="332" t="str">
        <x:f>IF($H68="","",ROWS($A$5:A68))</x:f>
        <x:v/>
      </x:c>
      <x:c r="B68" s="332" t="str">
        <x:f>IF($H68="","","G-"&amp;TEXT($A68,"0000"))</x:f>
        <x:v/>
      </x:c>
      <x:c r="C68" s="331" t="str">
        <x:f>IF($H68="","",IFERROR(INDEX('Game Records'!$A:$A,$H68),""))</x:f>
        <x:v/>
      </x:c>
      <x:c r="D68" s="331" t="str">
        <x:f>IF($H68="","",IFERROR(INDEX('Game Records'!$U:$U,$H68),""))</x:f>
        <x:v/>
      </x:c>
      <x:c r="E68" s="331" t="str">
        <x:f>IF($H68="","",IF($F68="","No Highlighted Fields","Highlighted Fields Present"))</x:f>
        <x:v/>
      </x:c>
      <x:c r="F68" s="331" t="str">
        <x:f>IF($H68="","",IF(INDEX('Game Records'!$B:$B,$H68)="","Start Date; ","")&amp;IF(INDEX('Game Records'!$C:$C,$H68)="","End Date; ","")&amp;IF(AND(INDEX('Game Records'!$U:$U,$H68)&lt;&gt;"Subscription",INDEX('Game Records'!$U:$U,$H68)&lt;&gt;"Free Game",INDEX('Game Records'!$U:$U,$H68)&lt;&gt;"Disqualified — Free Game",OR(INDEX('Game Records'!$D:$D,$H68)="",LOWER(INDEX('Game Records'!$D:$D,$H68)&amp;"")="n/a")),"Entry Mode; ","")&amp;IF(AND(INDEX('Game Records'!$U:$U,$H68)&lt;&gt;"Subscription",INDEX('Game Records'!$U:$U,$H68)&lt;&gt;"Free Game",INDEX('Game Records'!$U:$U,$H68)&lt;&gt;"Disqualified — Free Game",OR(INDEX('Game Records'!$E:$E,$H68)="",LOWER(INDEX('Game Records'!$E:$E,$H68)&amp;"")="n/a")),"Game Type; ","")&amp;IF(INDEX('Game Records'!$F:$F,$H68)="","Payment Type; ","")&amp;IF(AND(INDEX('Game Records'!$U:$U,$H68)&lt;&gt;"Subscription",INDEX('Game Records'!$U:$U,$H68)&lt;&gt;"Free Game",INDEX('Game Records'!$U:$U,$H68)&lt;&gt;"Disqualified — Free Game",INDEX('Game Records'!$G:$G,$H68)=""),"Gross Pot; ","")&amp;IF(AND(INDEX('Game Records'!$U:$U,$H68)&lt;&gt;"Free Game",INDEX('Game Records'!$U:$U,$H68)&lt;&gt;"Disqualified — Free Game",INDEX('Game Records'!$H:$H,$H68)=""),"Entry Fee; ","")&amp;IF(AND(INDEX('Game Records'!$U:$U,$H68)&lt;&gt;"Subscription",INDEX('Game Records'!$U:$U,$H68)&lt;&gt;"Free Game",INDEX('Game Records'!$U:$U,$H68)&lt;&gt;"Disqualified — Free Game",INDEX('Game Records'!$I:$I,$H68)=""),"Eligible Players; ","")&amp;IF(AND(INDEX('Game Records'!$U:$U,$H68)&lt;&gt;"Subscription",INDEX('Game Records'!$U:$U,$H68)&lt;&gt;"Free Game",INDEX('Game Records'!$U:$U,$H68)&lt;&gt;"Disqualified — Free Game",INDEX('Game Records'!$J:$J,$H68)=""),"Total Players; ","")&amp;IF(AND(LOWER(INDEX('Game Records'!$D:$D,$H68)&amp;"")="finalized",LOWER(INDEX('Game Records'!$L:$L,$H68)&amp;"")&lt;&gt;"yes",INDEX('Game Records'!$U:$U,$H68)&lt;&gt;"Subscription",INDEX('Game Records'!$U:$U,$H68)&lt;&gt;"Free Game",INDEX('Game Records'!$U:$U,$H68)&lt;&gt;"Disqualified — Free Game",INDEX('Game Records'!$K:$K,$H68)=""),"Final Earned; ","")&amp;IF(AND(LOWER(INDEX('Game Records'!$D:$D,$H68)&amp;"")="finalized",INDEX('Game Records'!$U:$U,$H68)&lt;&gt;"Subscription",INDEX('Game Records'!$U:$U,$H68)&lt;&gt;"Free Game",INDEX('Game Records'!$U:$U,$H68)&lt;&gt;"Disqualified — Free Game",OR(INDEX('Game Records'!$L:$L,$H68)="",LOWER(INDEX('Game Records'!$L:$L,$H68)&amp;"")="n/a")),"Disqualified Status; ",""))</x:f>
        <x:v/>
      </x:c>
      <x:c r="G68" s="331" t="str">
        <x:f>IF($H68="","",IFERROR(INDEX('Game Records'!$M:$M,$H68),""))</x:f>
        <x:v/>
      </x:c>
      <x:c r="H68" s="104" t="str">
        <x:f>IF($H67="","",IFERROR(MATCH(1,INDEX((ROW('Game Records'!$U$5:$U$504)&gt;$H67)*(('Game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8" s="104"/>
      <x:c r="J68" s="104"/>
    </x:row>
    <x:row r="69" ht="24" hidden="0" customHeight="1">
      <x:c r="A69" s="332" t="str">
        <x:f>IF($H69="","",ROWS($A$5:A69))</x:f>
        <x:v/>
      </x:c>
      <x:c r="B69" s="332" t="str">
        <x:f>IF($H69="","","G-"&amp;TEXT($A69,"0000"))</x:f>
        <x:v/>
      </x:c>
      <x:c r="C69" s="331" t="str">
        <x:f>IF($H69="","",IFERROR(INDEX('Game Records'!$A:$A,$H69),""))</x:f>
        <x:v/>
      </x:c>
      <x:c r="D69" s="331" t="str">
        <x:f>IF($H69="","",IFERROR(INDEX('Game Records'!$U:$U,$H69),""))</x:f>
        <x:v/>
      </x:c>
      <x:c r="E69" s="331" t="str">
        <x:f>IF($H69="","",IF($F69="","No Highlighted Fields","Highlighted Fields Present"))</x:f>
        <x:v/>
      </x:c>
      <x:c r="F69" s="331" t="str">
        <x:f>IF($H69="","",IF(INDEX('Game Records'!$B:$B,$H69)="","Start Date; ","")&amp;IF(INDEX('Game Records'!$C:$C,$H69)="","End Date; ","")&amp;IF(AND(INDEX('Game Records'!$U:$U,$H69)&lt;&gt;"Subscription",INDEX('Game Records'!$U:$U,$H69)&lt;&gt;"Free Game",INDEX('Game Records'!$U:$U,$H69)&lt;&gt;"Disqualified — Free Game",OR(INDEX('Game Records'!$D:$D,$H69)="",LOWER(INDEX('Game Records'!$D:$D,$H69)&amp;"")="n/a")),"Entry Mode; ","")&amp;IF(AND(INDEX('Game Records'!$U:$U,$H69)&lt;&gt;"Subscription",INDEX('Game Records'!$U:$U,$H69)&lt;&gt;"Free Game",INDEX('Game Records'!$U:$U,$H69)&lt;&gt;"Disqualified — Free Game",OR(INDEX('Game Records'!$E:$E,$H69)="",LOWER(INDEX('Game Records'!$E:$E,$H69)&amp;"")="n/a")),"Game Type; ","")&amp;IF(INDEX('Game Records'!$F:$F,$H69)="","Payment Type; ","")&amp;IF(AND(INDEX('Game Records'!$U:$U,$H69)&lt;&gt;"Subscription",INDEX('Game Records'!$U:$U,$H69)&lt;&gt;"Free Game",INDEX('Game Records'!$U:$U,$H69)&lt;&gt;"Disqualified — Free Game",INDEX('Game Records'!$G:$G,$H69)=""),"Gross Pot; ","")&amp;IF(AND(INDEX('Game Records'!$U:$U,$H69)&lt;&gt;"Free Game",INDEX('Game Records'!$U:$U,$H69)&lt;&gt;"Disqualified — Free Game",INDEX('Game Records'!$H:$H,$H69)=""),"Entry Fee; ","")&amp;IF(AND(INDEX('Game Records'!$U:$U,$H69)&lt;&gt;"Subscription",INDEX('Game Records'!$U:$U,$H69)&lt;&gt;"Free Game",INDEX('Game Records'!$U:$U,$H69)&lt;&gt;"Disqualified — Free Game",INDEX('Game Records'!$I:$I,$H69)=""),"Eligible Players; ","")&amp;IF(AND(INDEX('Game Records'!$U:$U,$H69)&lt;&gt;"Subscription",INDEX('Game Records'!$U:$U,$H69)&lt;&gt;"Free Game",INDEX('Game Records'!$U:$U,$H69)&lt;&gt;"Disqualified — Free Game",INDEX('Game Records'!$J:$J,$H69)=""),"Total Players; ","")&amp;IF(AND(LOWER(INDEX('Game Records'!$D:$D,$H69)&amp;"")="finalized",LOWER(INDEX('Game Records'!$L:$L,$H69)&amp;"")&lt;&gt;"yes",INDEX('Game Records'!$U:$U,$H69)&lt;&gt;"Subscription",INDEX('Game Records'!$U:$U,$H69)&lt;&gt;"Free Game",INDEX('Game Records'!$U:$U,$H69)&lt;&gt;"Disqualified — Free Game",INDEX('Game Records'!$K:$K,$H69)=""),"Final Earned; ","")&amp;IF(AND(LOWER(INDEX('Game Records'!$D:$D,$H69)&amp;"")="finalized",INDEX('Game Records'!$U:$U,$H69)&lt;&gt;"Subscription",INDEX('Game Records'!$U:$U,$H69)&lt;&gt;"Free Game",INDEX('Game Records'!$U:$U,$H69)&lt;&gt;"Disqualified — Free Game",OR(INDEX('Game Records'!$L:$L,$H69)="",LOWER(INDEX('Game Records'!$L:$L,$H69)&amp;"")="n/a")),"Disqualified Status; ",""))</x:f>
        <x:v/>
      </x:c>
      <x:c r="G69" s="331" t="str">
        <x:f>IF($H69="","",IFERROR(INDEX('Game Records'!$M:$M,$H69),""))</x:f>
        <x:v/>
      </x:c>
      <x:c r="H69" s="104" t="str">
        <x:f>IF($H68="","",IFERROR(MATCH(1,INDEX((ROW('Game Records'!$U$5:$U$504)&gt;$H68)*(('Game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69" s="104"/>
      <x:c r="J69" s="104"/>
    </x:row>
    <x:row r="70" ht="24" hidden="0" customHeight="1">
      <x:c r="A70" s="332" t="str">
        <x:f>IF($H70="","",ROWS($A$5:A70))</x:f>
        <x:v/>
      </x:c>
      <x:c r="B70" s="332" t="str">
        <x:f>IF($H70="","","G-"&amp;TEXT($A70,"0000"))</x:f>
        <x:v/>
      </x:c>
      <x:c r="C70" s="331" t="str">
        <x:f>IF($H70="","",IFERROR(INDEX('Game Records'!$A:$A,$H70),""))</x:f>
        <x:v/>
      </x:c>
      <x:c r="D70" s="331" t="str">
        <x:f>IF($H70="","",IFERROR(INDEX('Game Records'!$U:$U,$H70),""))</x:f>
        <x:v/>
      </x:c>
      <x:c r="E70" s="331" t="str">
        <x:f>IF($H70="","",IF($F70="","No Highlighted Fields","Highlighted Fields Present"))</x:f>
        <x:v/>
      </x:c>
      <x:c r="F70" s="331" t="str">
        <x:f>IF($H70="","",IF(INDEX('Game Records'!$B:$B,$H70)="","Start Date; ","")&amp;IF(INDEX('Game Records'!$C:$C,$H70)="","End Date; ","")&amp;IF(AND(INDEX('Game Records'!$U:$U,$H70)&lt;&gt;"Subscription",INDEX('Game Records'!$U:$U,$H70)&lt;&gt;"Free Game",INDEX('Game Records'!$U:$U,$H70)&lt;&gt;"Disqualified — Free Game",OR(INDEX('Game Records'!$D:$D,$H70)="",LOWER(INDEX('Game Records'!$D:$D,$H70)&amp;"")="n/a")),"Entry Mode; ","")&amp;IF(AND(INDEX('Game Records'!$U:$U,$H70)&lt;&gt;"Subscription",INDEX('Game Records'!$U:$U,$H70)&lt;&gt;"Free Game",INDEX('Game Records'!$U:$U,$H70)&lt;&gt;"Disqualified — Free Game",OR(INDEX('Game Records'!$E:$E,$H70)="",LOWER(INDEX('Game Records'!$E:$E,$H70)&amp;"")="n/a")),"Game Type; ","")&amp;IF(INDEX('Game Records'!$F:$F,$H70)="","Payment Type; ","")&amp;IF(AND(INDEX('Game Records'!$U:$U,$H70)&lt;&gt;"Subscription",INDEX('Game Records'!$U:$U,$H70)&lt;&gt;"Free Game",INDEX('Game Records'!$U:$U,$H70)&lt;&gt;"Disqualified — Free Game",INDEX('Game Records'!$G:$G,$H70)=""),"Gross Pot; ","")&amp;IF(AND(INDEX('Game Records'!$U:$U,$H70)&lt;&gt;"Free Game",INDEX('Game Records'!$U:$U,$H70)&lt;&gt;"Disqualified — Free Game",INDEX('Game Records'!$H:$H,$H70)=""),"Entry Fee; ","")&amp;IF(AND(INDEX('Game Records'!$U:$U,$H70)&lt;&gt;"Subscription",INDEX('Game Records'!$U:$U,$H70)&lt;&gt;"Free Game",INDEX('Game Records'!$U:$U,$H70)&lt;&gt;"Disqualified — Free Game",INDEX('Game Records'!$I:$I,$H70)=""),"Eligible Players; ","")&amp;IF(AND(INDEX('Game Records'!$U:$U,$H70)&lt;&gt;"Subscription",INDEX('Game Records'!$U:$U,$H70)&lt;&gt;"Free Game",INDEX('Game Records'!$U:$U,$H70)&lt;&gt;"Disqualified — Free Game",INDEX('Game Records'!$J:$J,$H70)=""),"Total Players; ","")&amp;IF(AND(LOWER(INDEX('Game Records'!$D:$D,$H70)&amp;"")="finalized",LOWER(INDEX('Game Records'!$L:$L,$H70)&amp;"")&lt;&gt;"yes",INDEX('Game Records'!$U:$U,$H70)&lt;&gt;"Subscription",INDEX('Game Records'!$U:$U,$H70)&lt;&gt;"Free Game",INDEX('Game Records'!$U:$U,$H70)&lt;&gt;"Disqualified — Free Game",INDEX('Game Records'!$K:$K,$H70)=""),"Final Earned; ","")&amp;IF(AND(LOWER(INDEX('Game Records'!$D:$D,$H70)&amp;"")="finalized",INDEX('Game Records'!$U:$U,$H70)&lt;&gt;"Subscription",INDEX('Game Records'!$U:$U,$H70)&lt;&gt;"Free Game",INDEX('Game Records'!$U:$U,$H70)&lt;&gt;"Disqualified — Free Game",OR(INDEX('Game Records'!$L:$L,$H70)="",LOWER(INDEX('Game Records'!$L:$L,$H70)&amp;"")="n/a")),"Disqualified Status; ",""))</x:f>
        <x:v/>
      </x:c>
      <x:c r="G70" s="331" t="str">
        <x:f>IF($H70="","",IFERROR(INDEX('Game Records'!$M:$M,$H70),""))</x:f>
        <x:v/>
      </x:c>
      <x:c r="H70" s="104" t="str">
        <x:f>IF($H69="","",IFERROR(MATCH(1,INDEX((ROW('Game Records'!$U$5:$U$504)&gt;$H69)*(('Game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0" s="104"/>
      <x:c r="J70" s="104"/>
    </x:row>
    <x:row r="71" ht="24" hidden="0" customHeight="1">
      <x:c r="A71" s="332" t="str">
        <x:f>IF($H71="","",ROWS($A$5:A71))</x:f>
        <x:v/>
      </x:c>
      <x:c r="B71" s="332" t="str">
        <x:f>IF($H71="","","G-"&amp;TEXT($A71,"0000"))</x:f>
        <x:v/>
      </x:c>
      <x:c r="C71" s="331" t="str">
        <x:f>IF($H71="","",IFERROR(INDEX('Game Records'!$A:$A,$H71),""))</x:f>
        <x:v/>
      </x:c>
      <x:c r="D71" s="331" t="str">
        <x:f>IF($H71="","",IFERROR(INDEX('Game Records'!$U:$U,$H71),""))</x:f>
        <x:v/>
      </x:c>
      <x:c r="E71" s="331" t="str">
        <x:f>IF($H71="","",IF($F71="","No Highlighted Fields","Highlighted Fields Present"))</x:f>
        <x:v/>
      </x:c>
      <x:c r="F71" s="331" t="str">
        <x:f>IF($H71="","",IF(INDEX('Game Records'!$B:$B,$H71)="","Start Date; ","")&amp;IF(INDEX('Game Records'!$C:$C,$H71)="","End Date; ","")&amp;IF(AND(INDEX('Game Records'!$U:$U,$H71)&lt;&gt;"Subscription",INDEX('Game Records'!$U:$U,$H71)&lt;&gt;"Free Game",INDEX('Game Records'!$U:$U,$H71)&lt;&gt;"Disqualified — Free Game",OR(INDEX('Game Records'!$D:$D,$H71)="",LOWER(INDEX('Game Records'!$D:$D,$H71)&amp;"")="n/a")),"Entry Mode; ","")&amp;IF(AND(INDEX('Game Records'!$U:$U,$H71)&lt;&gt;"Subscription",INDEX('Game Records'!$U:$U,$H71)&lt;&gt;"Free Game",INDEX('Game Records'!$U:$U,$H71)&lt;&gt;"Disqualified — Free Game",OR(INDEX('Game Records'!$E:$E,$H71)="",LOWER(INDEX('Game Records'!$E:$E,$H71)&amp;"")="n/a")),"Game Type; ","")&amp;IF(INDEX('Game Records'!$F:$F,$H71)="","Payment Type; ","")&amp;IF(AND(INDEX('Game Records'!$U:$U,$H71)&lt;&gt;"Subscription",INDEX('Game Records'!$U:$U,$H71)&lt;&gt;"Free Game",INDEX('Game Records'!$U:$U,$H71)&lt;&gt;"Disqualified — Free Game",INDEX('Game Records'!$G:$G,$H71)=""),"Gross Pot; ","")&amp;IF(AND(INDEX('Game Records'!$U:$U,$H71)&lt;&gt;"Free Game",INDEX('Game Records'!$U:$U,$H71)&lt;&gt;"Disqualified — Free Game",INDEX('Game Records'!$H:$H,$H71)=""),"Entry Fee; ","")&amp;IF(AND(INDEX('Game Records'!$U:$U,$H71)&lt;&gt;"Subscription",INDEX('Game Records'!$U:$U,$H71)&lt;&gt;"Free Game",INDEX('Game Records'!$U:$U,$H71)&lt;&gt;"Disqualified — Free Game",INDEX('Game Records'!$I:$I,$H71)=""),"Eligible Players; ","")&amp;IF(AND(INDEX('Game Records'!$U:$U,$H71)&lt;&gt;"Subscription",INDEX('Game Records'!$U:$U,$H71)&lt;&gt;"Free Game",INDEX('Game Records'!$U:$U,$H71)&lt;&gt;"Disqualified — Free Game",INDEX('Game Records'!$J:$J,$H71)=""),"Total Players; ","")&amp;IF(AND(LOWER(INDEX('Game Records'!$D:$D,$H71)&amp;"")="finalized",LOWER(INDEX('Game Records'!$L:$L,$H71)&amp;"")&lt;&gt;"yes",INDEX('Game Records'!$U:$U,$H71)&lt;&gt;"Subscription",INDEX('Game Records'!$U:$U,$H71)&lt;&gt;"Free Game",INDEX('Game Records'!$U:$U,$H71)&lt;&gt;"Disqualified — Free Game",INDEX('Game Records'!$K:$K,$H71)=""),"Final Earned; ","")&amp;IF(AND(LOWER(INDEX('Game Records'!$D:$D,$H71)&amp;"")="finalized",INDEX('Game Records'!$U:$U,$H71)&lt;&gt;"Subscription",INDEX('Game Records'!$U:$U,$H71)&lt;&gt;"Free Game",INDEX('Game Records'!$U:$U,$H71)&lt;&gt;"Disqualified — Free Game",OR(INDEX('Game Records'!$L:$L,$H71)="",LOWER(INDEX('Game Records'!$L:$L,$H71)&amp;"")="n/a")),"Disqualified Status; ",""))</x:f>
        <x:v/>
      </x:c>
      <x:c r="G71" s="331" t="str">
        <x:f>IF($H71="","",IFERROR(INDEX('Game Records'!$M:$M,$H71),""))</x:f>
        <x:v/>
      </x:c>
      <x:c r="H71" s="104" t="str">
        <x:f>IF($H70="","",IFERROR(MATCH(1,INDEX((ROW('Game Records'!$U$5:$U$504)&gt;$H70)*(('Game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1" s="104"/>
      <x:c r="J71" s="104"/>
    </x:row>
    <x:row r="72" ht="24" hidden="0" customHeight="1">
      <x:c r="A72" s="332" t="str">
        <x:f>IF($H72="","",ROWS($A$5:A72))</x:f>
        <x:v/>
      </x:c>
      <x:c r="B72" s="332" t="str">
        <x:f>IF($H72="","","G-"&amp;TEXT($A72,"0000"))</x:f>
        <x:v/>
      </x:c>
      <x:c r="C72" s="331" t="str">
        <x:f>IF($H72="","",IFERROR(INDEX('Game Records'!$A:$A,$H72),""))</x:f>
        <x:v/>
      </x:c>
      <x:c r="D72" s="331" t="str">
        <x:f>IF($H72="","",IFERROR(INDEX('Game Records'!$U:$U,$H72),""))</x:f>
        <x:v/>
      </x:c>
      <x:c r="E72" s="331" t="str">
        <x:f>IF($H72="","",IF($F72="","No Highlighted Fields","Highlighted Fields Present"))</x:f>
        <x:v/>
      </x:c>
      <x:c r="F72" s="331" t="str">
        <x:f>IF($H72="","",IF(INDEX('Game Records'!$B:$B,$H72)="","Start Date; ","")&amp;IF(INDEX('Game Records'!$C:$C,$H72)="","End Date; ","")&amp;IF(AND(INDEX('Game Records'!$U:$U,$H72)&lt;&gt;"Subscription",INDEX('Game Records'!$U:$U,$H72)&lt;&gt;"Free Game",INDEX('Game Records'!$U:$U,$H72)&lt;&gt;"Disqualified — Free Game",OR(INDEX('Game Records'!$D:$D,$H72)="",LOWER(INDEX('Game Records'!$D:$D,$H72)&amp;"")="n/a")),"Entry Mode; ","")&amp;IF(AND(INDEX('Game Records'!$U:$U,$H72)&lt;&gt;"Subscription",INDEX('Game Records'!$U:$U,$H72)&lt;&gt;"Free Game",INDEX('Game Records'!$U:$U,$H72)&lt;&gt;"Disqualified — Free Game",OR(INDEX('Game Records'!$E:$E,$H72)="",LOWER(INDEX('Game Records'!$E:$E,$H72)&amp;"")="n/a")),"Game Type; ","")&amp;IF(INDEX('Game Records'!$F:$F,$H72)="","Payment Type; ","")&amp;IF(AND(INDEX('Game Records'!$U:$U,$H72)&lt;&gt;"Subscription",INDEX('Game Records'!$U:$U,$H72)&lt;&gt;"Free Game",INDEX('Game Records'!$U:$U,$H72)&lt;&gt;"Disqualified — Free Game",INDEX('Game Records'!$G:$G,$H72)=""),"Gross Pot; ","")&amp;IF(AND(INDEX('Game Records'!$U:$U,$H72)&lt;&gt;"Free Game",INDEX('Game Records'!$U:$U,$H72)&lt;&gt;"Disqualified — Free Game",INDEX('Game Records'!$H:$H,$H72)=""),"Entry Fee; ","")&amp;IF(AND(INDEX('Game Records'!$U:$U,$H72)&lt;&gt;"Subscription",INDEX('Game Records'!$U:$U,$H72)&lt;&gt;"Free Game",INDEX('Game Records'!$U:$U,$H72)&lt;&gt;"Disqualified — Free Game",INDEX('Game Records'!$I:$I,$H72)=""),"Eligible Players; ","")&amp;IF(AND(INDEX('Game Records'!$U:$U,$H72)&lt;&gt;"Subscription",INDEX('Game Records'!$U:$U,$H72)&lt;&gt;"Free Game",INDEX('Game Records'!$U:$U,$H72)&lt;&gt;"Disqualified — Free Game",INDEX('Game Records'!$J:$J,$H72)=""),"Total Players; ","")&amp;IF(AND(LOWER(INDEX('Game Records'!$D:$D,$H72)&amp;"")="finalized",LOWER(INDEX('Game Records'!$L:$L,$H72)&amp;"")&lt;&gt;"yes",INDEX('Game Records'!$U:$U,$H72)&lt;&gt;"Subscription",INDEX('Game Records'!$U:$U,$H72)&lt;&gt;"Free Game",INDEX('Game Records'!$U:$U,$H72)&lt;&gt;"Disqualified — Free Game",INDEX('Game Records'!$K:$K,$H72)=""),"Final Earned; ","")&amp;IF(AND(LOWER(INDEX('Game Records'!$D:$D,$H72)&amp;"")="finalized",INDEX('Game Records'!$U:$U,$H72)&lt;&gt;"Subscription",INDEX('Game Records'!$U:$U,$H72)&lt;&gt;"Free Game",INDEX('Game Records'!$U:$U,$H72)&lt;&gt;"Disqualified — Free Game",OR(INDEX('Game Records'!$L:$L,$H72)="",LOWER(INDEX('Game Records'!$L:$L,$H72)&amp;"")="n/a")),"Disqualified Status; ",""))</x:f>
        <x:v/>
      </x:c>
      <x:c r="G72" s="331" t="str">
        <x:f>IF($H72="","",IFERROR(INDEX('Game Records'!$M:$M,$H72),""))</x:f>
        <x:v/>
      </x:c>
      <x:c r="H72" s="104" t="str">
        <x:f>IF($H71="","",IFERROR(MATCH(1,INDEX((ROW('Game Records'!$U$5:$U$504)&gt;$H71)*(('Game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2" s="104"/>
      <x:c r="J72" s="104"/>
    </x:row>
    <x:row r="73" ht="24" hidden="0" customHeight="1">
      <x:c r="A73" s="332" t="str">
        <x:f>IF($H73="","",ROWS($A$5:A73))</x:f>
        <x:v/>
      </x:c>
      <x:c r="B73" s="332" t="str">
        <x:f>IF($H73="","","G-"&amp;TEXT($A73,"0000"))</x:f>
        <x:v/>
      </x:c>
      <x:c r="C73" s="331" t="str">
        <x:f>IF($H73="","",IFERROR(INDEX('Game Records'!$A:$A,$H73),""))</x:f>
        <x:v/>
      </x:c>
      <x:c r="D73" s="331" t="str">
        <x:f>IF($H73="","",IFERROR(INDEX('Game Records'!$U:$U,$H73),""))</x:f>
        <x:v/>
      </x:c>
      <x:c r="E73" s="331" t="str">
        <x:f>IF($H73="","",IF($F73="","No Highlighted Fields","Highlighted Fields Present"))</x:f>
        <x:v/>
      </x:c>
      <x:c r="F73" s="331" t="str">
        <x:f>IF($H73="","",IF(INDEX('Game Records'!$B:$B,$H73)="","Start Date; ","")&amp;IF(INDEX('Game Records'!$C:$C,$H73)="","End Date; ","")&amp;IF(AND(INDEX('Game Records'!$U:$U,$H73)&lt;&gt;"Subscription",INDEX('Game Records'!$U:$U,$H73)&lt;&gt;"Free Game",INDEX('Game Records'!$U:$U,$H73)&lt;&gt;"Disqualified — Free Game",OR(INDEX('Game Records'!$D:$D,$H73)="",LOWER(INDEX('Game Records'!$D:$D,$H73)&amp;"")="n/a")),"Entry Mode; ","")&amp;IF(AND(INDEX('Game Records'!$U:$U,$H73)&lt;&gt;"Subscription",INDEX('Game Records'!$U:$U,$H73)&lt;&gt;"Free Game",INDEX('Game Records'!$U:$U,$H73)&lt;&gt;"Disqualified — Free Game",OR(INDEX('Game Records'!$E:$E,$H73)="",LOWER(INDEX('Game Records'!$E:$E,$H73)&amp;"")="n/a")),"Game Type; ","")&amp;IF(INDEX('Game Records'!$F:$F,$H73)="","Payment Type; ","")&amp;IF(AND(INDEX('Game Records'!$U:$U,$H73)&lt;&gt;"Subscription",INDEX('Game Records'!$U:$U,$H73)&lt;&gt;"Free Game",INDEX('Game Records'!$U:$U,$H73)&lt;&gt;"Disqualified — Free Game",INDEX('Game Records'!$G:$G,$H73)=""),"Gross Pot; ","")&amp;IF(AND(INDEX('Game Records'!$U:$U,$H73)&lt;&gt;"Free Game",INDEX('Game Records'!$U:$U,$H73)&lt;&gt;"Disqualified — Free Game",INDEX('Game Records'!$H:$H,$H73)=""),"Entry Fee; ","")&amp;IF(AND(INDEX('Game Records'!$U:$U,$H73)&lt;&gt;"Subscription",INDEX('Game Records'!$U:$U,$H73)&lt;&gt;"Free Game",INDEX('Game Records'!$U:$U,$H73)&lt;&gt;"Disqualified — Free Game",INDEX('Game Records'!$I:$I,$H73)=""),"Eligible Players; ","")&amp;IF(AND(INDEX('Game Records'!$U:$U,$H73)&lt;&gt;"Subscription",INDEX('Game Records'!$U:$U,$H73)&lt;&gt;"Free Game",INDEX('Game Records'!$U:$U,$H73)&lt;&gt;"Disqualified — Free Game",INDEX('Game Records'!$J:$J,$H73)=""),"Total Players; ","")&amp;IF(AND(LOWER(INDEX('Game Records'!$D:$D,$H73)&amp;"")="finalized",LOWER(INDEX('Game Records'!$L:$L,$H73)&amp;"")&lt;&gt;"yes",INDEX('Game Records'!$U:$U,$H73)&lt;&gt;"Subscription",INDEX('Game Records'!$U:$U,$H73)&lt;&gt;"Free Game",INDEX('Game Records'!$U:$U,$H73)&lt;&gt;"Disqualified — Free Game",INDEX('Game Records'!$K:$K,$H73)=""),"Final Earned; ","")&amp;IF(AND(LOWER(INDEX('Game Records'!$D:$D,$H73)&amp;"")="finalized",INDEX('Game Records'!$U:$U,$H73)&lt;&gt;"Subscription",INDEX('Game Records'!$U:$U,$H73)&lt;&gt;"Free Game",INDEX('Game Records'!$U:$U,$H73)&lt;&gt;"Disqualified — Free Game",OR(INDEX('Game Records'!$L:$L,$H73)="",LOWER(INDEX('Game Records'!$L:$L,$H73)&amp;"")="n/a")),"Disqualified Status; ",""))</x:f>
        <x:v/>
      </x:c>
      <x:c r="G73" s="331" t="str">
        <x:f>IF($H73="","",IFERROR(INDEX('Game Records'!$M:$M,$H73),""))</x:f>
        <x:v/>
      </x:c>
      <x:c r="H73" s="104" t="str">
        <x:f>IF($H72="","",IFERROR(MATCH(1,INDEX((ROW('Game Records'!$U$5:$U$504)&gt;$H72)*(('Game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3" s="104"/>
      <x:c r="J73" s="104"/>
    </x:row>
    <x:row r="74" ht="24" hidden="0" customHeight="1">
      <x:c r="A74" s="332" t="str">
        <x:f>IF($H74="","",ROWS($A$5:A74))</x:f>
        <x:v/>
      </x:c>
      <x:c r="B74" s="332" t="str">
        <x:f>IF($H74="","","G-"&amp;TEXT($A74,"0000"))</x:f>
        <x:v/>
      </x:c>
      <x:c r="C74" s="331" t="str">
        <x:f>IF($H74="","",IFERROR(INDEX('Game Records'!$A:$A,$H74),""))</x:f>
        <x:v/>
      </x:c>
      <x:c r="D74" s="331" t="str">
        <x:f>IF($H74="","",IFERROR(INDEX('Game Records'!$U:$U,$H74),""))</x:f>
        <x:v/>
      </x:c>
      <x:c r="E74" s="331" t="str">
        <x:f>IF($H74="","",IF($F74="","No Highlighted Fields","Highlighted Fields Present"))</x:f>
        <x:v/>
      </x:c>
      <x:c r="F74" s="331" t="str">
        <x:f>IF($H74="","",IF(INDEX('Game Records'!$B:$B,$H74)="","Start Date; ","")&amp;IF(INDEX('Game Records'!$C:$C,$H74)="","End Date; ","")&amp;IF(AND(INDEX('Game Records'!$U:$U,$H74)&lt;&gt;"Subscription",INDEX('Game Records'!$U:$U,$H74)&lt;&gt;"Free Game",INDEX('Game Records'!$U:$U,$H74)&lt;&gt;"Disqualified — Free Game",OR(INDEX('Game Records'!$D:$D,$H74)="",LOWER(INDEX('Game Records'!$D:$D,$H74)&amp;"")="n/a")),"Entry Mode; ","")&amp;IF(AND(INDEX('Game Records'!$U:$U,$H74)&lt;&gt;"Subscription",INDEX('Game Records'!$U:$U,$H74)&lt;&gt;"Free Game",INDEX('Game Records'!$U:$U,$H74)&lt;&gt;"Disqualified — Free Game",OR(INDEX('Game Records'!$E:$E,$H74)="",LOWER(INDEX('Game Records'!$E:$E,$H74)&amp;"")="n/a")),"Game Type; ","")&amp;IF(INDEX('Game Records'!$F:$F,$H74)="","Payment Type; ","")&amp;IF(AND(INDEX('Game Records'!$U:$U,$H74)&lt;&gt;"Subscription",INDEX('Game Records'!$U:$U,$H74)&lt;&gt;"Free Game",INDEX('Game Records'!$U:$U,$H74)&lt;&gt;"Disqualified — Free Game",INDEX('Game Records'!$G:$G,$H74)=""),"Gross Pot; ","")&amp;IF(AND(INDEX('Game Records'!$U:$U,$H74)&lt;&gt;"Free Game",INDEX('Game Records'!$U:$U,$H74)&lt;&gt;"Disqualified — Free Game",INDEX('Game Records'!$H:$H,$H74)=""),"Entry Fee; ","")&amp;IF(AND(INDEX('Game Records'!$U:$U,$H74)&lt;&gt;"Subscription",INDEX('Game Records'!$U:$U,$H74)&lt;&gt;"Free Game",INDEX('Game Records'!$U:$U,$H74)&lt;&gt;"Disqualified — Free Game",INDEX('Game Records'!$I:$I,$H74)=""),"Eligible Players; ","")&amp;IF(AND(INDEX('Game Records'!$U:$U,$H74)&lt;&gt;"Subscription",INDEX('Game Records'!$U:$U,$H74)&lt;&gt;"Free Game",INDEX('Game Records'!$U:$U,$H74)&lt;&gt;"Disqualified — Free Game",INDEX('Game Records'!$J:$J,$H74)=""),"Total Players; ","")&amp;IF(AND(LOWER(INDEX('Game Records'!$D:$D,$H74)&amp;"")="finalized",LOWER(INDEX('Game Records'!$L:$L,$H74)&amp;"")&lt;&gt;"yes",INDEX('Game Records'!$U:$U,$H74)&lt;&gt;"Subscription",INDEX('Game Records'!$U:$U,$H74)&lt;&gt;"Free Game",INDEX('Game Records'!$U:$U,$H74)&lt;&gt;"Disqualified — Free Game",INDEX('Game Records'!$K:$K,$H74)=""),"Final Earned; ","")&amp;IF(AND(LOWER(INDEX('Game Records'!$D:$D,$H74)&amp;"")="finalized",INDEX('Game Records'!$U:$U,$H74)&lt;&gt;"Subscription",INDEX('Game Records'!$U:$U,$H74)&lt;&gt;"Free Game",INDEX('Game Records'!$U:$U,$H74)&lt;&gt;"Disqualified — Free Game",OR(INDEX('Game Records'!$L:$L,$H74)="",LOWER(INDEX('Game Records'!$L:$L,$H74)&amp;"")="n/a")),"Disqualified Status; ",""))</x:f>
        <x:v/>
      </x:c>
      <x:c r="G74" s="331" t="str">
        <x:f>IF($H74="","",IFERROR(INDEX('Game Records'!$M:$M,$H74),""))</x:f>
        <x:v/>
      </x:c>
      <x:c r="H74" s="104" t="str">
        <x:f>IF($H73="","",IFERROR(MATCH(1,INDEX((ROW('Game Records'!$U$5:$U$504)&gt;$H73)*(('Game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4" s="104"/>
      <x:c r="J74" s="104"/>
    </x:row>
    <x:row r="75" ht="24" hidden="0" customHeight="1">
      <x:c r="A75" s="332" t="str">
        <x:f>IF($H75="","",ROWS($A$5:A75))</x:f>
        <x:v/>
      </x:c>
      <x:c r="B75" s="332" t="str">
        <x:f>IF($H75="","","G-"&amp;TEXT($A75,"0000"))</x:f>
        <x:v/>
      </x:c>
      <x:c r="C75" s="331" t="str">
        <x:f>IF($H75="","",IFERROR(INDEX('Game Records'!$A:$A,$H75),""))</x:f>
        <x:v/>
      </x:c>
      <x:c r="D75" s="331" t="str">
        <x:f>IF($H75="","",IFERROR(INDEX('Game Records'!$U:$U,$H75),""))</x:f>
        <x:v/>
      </x:c>
      <x:c r="E75" s="331" t="str">
        <x:f>IF($H75="","",IF($F75="","No Highlighted Fields","Highlighted Fields Present"))</x:f>
        <x:v/>
      </x:c>
      <x:c r="F75" s="331" t="str">
        <x:f>IF($H75="","",IF(INDEX('Game Records'!$B:$B,$H75)="","Start Date; ","")&amp;IF(INDEX('Game Records'!$C:$C,$H75)="","End Date; ","")&amp;IF(AND(INDEX('Game Records'!$U:$U,$H75)&lt;&gt;"Subscription",INDEX('Game Records'!$U:$U,$H75)&lt;&gt;"Free Game",INDEX('Game Records'!$U:$U,$H75)&lt;&gt;"Disqualified — Free Game",OR(INDEX('Game Records'!$D:$D,$H75)="",LOWER(INDEX('Game Records'!$D:$D,$H75)&amp;"")="n/a")),"Entry Mode; ","")&amp;IF(AND(INDEX('Game Records'!$U:$U,$H75)&lt;&gt;"Subscription",INDEX('Game Records'!$U:$U,$H75)&lt;&gt;"Free Game",INDEX('Game Records'!$U:$U,$H75)&lt;&gt;"Disqualified — Free Game",OR(INDEX('Game Records'!$E:$E,$H75)="",LOWER(INDEX('Game Records'!$E:$E,$H75)&amp;"")="n/a")),"Game Type; ","")&amp;IF(INDEX('Game Records'!$F:$F,$H75)="","Payment Type; ","")&amp;IF(AND(INDEX('Game Records'!$U:$U,$H75)&lt;&gt;"Subscription",INDEX('Game Records'!$U:$U,$H75)&lt;&gt;"Free Game",INDEX('Game Records'!$U:$U,$H75)&lt;&gt;"Disqualified — Free Game",INDEX('Game Records'!$G:$G,$H75)=""),"Gross Pot; ","")&amp;IF(AND(INDEX('Game Records'!$U:$U,$H75)&lt;&gt;"Free Game",INDEX('Game Records'!$U:$U,$H75)&lt;&gt;"Disqualified — Free Game",INDEX('Game Records'!$H:$H,$H75)=""),"Entry Fee; ","")&amp;IF(AND(INDEX('Game Records'!$U:$U,$H75)&lt;&gt;"Subscription",INDEX('Game Records'!$U:$U,$H75)&lt;&gt;"Free Game",INDEX('Game Records'!$U:$U,$H75)&lt;&gt;"Disqualified — Free Game",INDEX('Game Records'!$I:$I,$H75)=""),"Eligible Players; ","")&amp;IF(AND(INDEX('Game Records'!$U:$U,$H75)&lt;&gt;"Subscription",INDEX('Game Records'!$U:$U,$H75)&lt;&gt;"Free Game",INDEX('Game Records'!$U:$U,$H75)&lt;&gt;"Disqualified — Free Game",INDEX('Game Records'!$J:$J,$H75)=""),"Total Players; ","")&amp;IF(AND(LOWER(INDEX('Game Records'!$D:$D,$H75)&amp;"")="finalized",LOWER(INDEX('Game Records'!$L:$L,$H75)&amp;"")&lt;&gt;"yes",INDEX('Game Records'!$U:$U,$H75)&lt;&gt;"Subscription",INDEX('Game Records'!$U:$U,$H75)&lt;&gt;"Free Game",INDEX('Game Records'!$U:$U,$H75)&lt;&gt;"Disqualified — Free Game",INDEX('Game Records'!$K:$K,$H75)=""),"Final Earned; ","")&amp;IF(AND(LOWER(INDEX('Game Records'!$D:$D,$H75)&amp;"")="finalized",INDEX('Game Records'!$U:$U,$H75)&lt;&gt;"Subscription",INDEX('Game Records'!$U:$U,$H75)&lt;&gt;"Free Game",INDEX('Game Records'!$U:$U,$H75)&lt;&gt;"Disqualified — Free Game",OR(INDEX('Game Records'!$L:$L,$H75)="",LOWER(INDEX('Game Records'!$L:$L,$H75)&amp;"")="n/a")),"Disqualified Status; ",""))</x:f>
        <x:v/>
      </x:c>
      <x:c r="G75" s="331" t="str">
        <x:f>IF($H75="","",IFERROR(INDEX('Game Records'!$M:$M,$H75),""))</x:f>
        <x:v/>
      </x:c>
      <x:c r="H75" s="104" t="str">
        <x:f>IF($H74="","",IFERROR(MATCH(1,INDEX((ROW('Game Records'!$U$5:$U$504)&gt;$H74)*(('Game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5" s="104"/>
      <x:c r="J75" s="104"/>
    </x:row>
    <x:row r="76" ht="24" hidden="0" customHeight="1">
      <x:c r="A76" s="332" t="str">
        <x:f>IF($H76="","",ROWS($A$5:A76))</x:f>
        <x:v/>
      </x:c>
      <x:c r="B76" s="332" t="str">
        <x:f>IF($H76="","","G-"&amp;TEXT($A76,"0000"))</x:f>
        <x:v/>
      </x:c>
      <x:c r="C76" s="331" t="str">
        <x:f>IF($H76="","",IFERROR(INDEX('Game Records'!$A:$A,$H76),""))</x:f>
        <x:v/>
      </x:c>
      <x:c r="D76" s="331" t="str">
        <x:f>IF($H76="","",IFERROR(INDEX('Game Records'!$U:$U,$H76),""))</x:f>
        <x:v/>
      </x:c>
      <x:c r="E76" s="331" t="str">
        <x:f>IF($H76="","",IF($F76="","No Highlighted Fields","Highlighted Fields Present"))</x:f>
        <x:v/>
      </x:c>
      <x:c r="F76" s="331" t="str">
        <x:f>IF($H76="","",IF(INDEX('Game Records'!$B:$B,$H76)="","Start Date; ","")&amp;IF(INDEX('Game Records'!$C:$C,$H76)="","End Date; ","")&amp;IF(AND(INDEX('Game Records'!$U:$U,$H76)&lt;&gt;"Subscription",INDEX('Game Records'!$U:$U,$H76)&lt;&gt;"Free Game",INDEX('Game Records'!$U:$U,$H76)&lt;&gt;"Disqualified — Free Game",OR(INDEX('Game Records'!$D:$D,$H76)="",LOWER(INDEX('Game Records'!$D:$D,$H76)&amp;"")="n/a")),"Entry Mode; ","")&amp;IF(AND(INDEX('Game Records'!$U:$U,$H76)&lt;&gt;"Subscription",INDEX('Game Records'!$U:$U,$H76)&lt;&gt;"Free Game",INDEX('Game Records'!$U:$U,$H76)&lt;&gt;"Disqualified — Free Game",OR(INDEX('Game Records'!$E:$E,$H76)="",LOWER(INDEX('Game Records'!$E:$E,$H76)&amp;"")="n/a")),"Game Type; ","")&amp;IF(INDEX('Game Records'!$F:$F,$H76)="","Payment Type; ","")&amp;IF(AND(INDEX('Game Records'!$U:$U,$H76)&lt;&gt;"Subscription",INDEX('Game Records'!$U:$U,$H76)&lt;&gt;"Free Game",INDEX('Game Records'!$U:$U,$H76)&lt;&gt;"Disqualified — Free Game",INDEX('Game Records'!$G:$G,$H76)=""),"Gross Pot; ","")&amp;IF(AND(INDEX('Game Records'!$U:$U,$H76)&lt;&gt;"Free Game",INDEX('Game Records'!$U:$U,$H76)&lt;&gt;"Disqualified — Free Game",INDEX('Game Records'!$H:$H,$H76)=""),"Entry Fee; ","")&amp;IF(AND(INDEX('Game Records'!$U:$U,$H76)&lt;&gt;"Subscription",INDEX('Game Records'!$U:$U,$H76)&lt;&gt;"Free Game",INDEX('Game Records'!$U:$U,$H76)&lt;&gt;"Disqualified — Free Game",INDEX('Game Records'!$I:$I,$H76)=""),"Eligible Players; ","")&amp;IF(AND(INDEX('Game Records'!$U:$U,$H76)&lt;&gt;"Subscription",INDEX('Game Records'!$U:$U,$H76)&lt;&gt;"Free Game",INDEX('Game Records'!$U:$U,$H76)&lt;&gt;"Disqualified — Free Game",INDEX('Game Records'!$J:$J,$H76)=""),"Total Players; ","")&amp;IF(AND(LOWER(INDEX('Game Records'!$D:$D,$H76)&amp;"")="finalized",LOWER(INDEX('Game Records'!$L:$L,$H76)&amp;"")&lt;&gt;"yes",INDEX('Game Records'!$U:$U,$H76)&lt;&gt;"Subscription",INDEX('Game Records'!$U:$U,$H76)&lt;&gt;"Free Game",INDEX('Game Records'!$U:$U,$H76)&lt;&gt;"Disqualified — Free Game",INDEX('Game Records'!$K:$K,$H76)=""),"Final Earned; ","")&amp;IF(AND(LOWER(INDEX('Game Records'!$D:$D,$H76)&amp;"")="finalized",INDEX('Game Records'!$U:$U,$H76)&lt;&gt;"Subscription",INDEX('Game Records'!$U:$U,$H76)&lt;&gt;"Free Game",INDEX('Game Records'!$U:$U,$H76)&lt;&gt;"Disqualified — Free Game",OR(INDEX('Game Records'!$L:$L,$H76)="",LOWER(INDEX('Game Records'!$L:$L,$H76)&amp;"")="n/a")),"Disqualified Status; ",""))</x:f>
        <x:v/>
      </x:c>
      <x:c r="G76" s="331" t="str">
        <x:f>IF($H76="","",IFERROR(INDEX('Game Records'!$M:$M,$H76),""))</x:f>
        <x:v/>
      </x:c>
      <x:c r="H76" s="104" t="str">
        <x:f>IF($H75="","",IFERROR(MATCH(1,INDEX((ROW('Game Records'!$U$5:$U$504)&gt;$H75)*(('Game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6" s="104"/>
      <x:c r="J76" s="104"/>
    </x:row>
    <x:row r="77" ht="24" hidden="0" customHeight="1">
      <x:c r="A77" s="332" t="str">
        <x:f>IF($H77="","",ROWS($A$5:A77))</x:f>
        <x:v/>
      </x:c>
      <x:c r="B77" s="332" t="str">
        <x:f>IF($H77="","","G-"&amp;TEXT($A77,"0000"))</x:f>
        <x:v/>
      </x:c>
      <x:c r="C77" s="331" t="str">
        <x:f>IF($H77="","",IFERROR(INDEX('Game Records'!$A:$A,$H77),""))</x:f>
        <x:v/>
      </x:c>
      <x:c r="D77" s="331" t="str">
        <x:f>IF($H77="","",IFERROR(INDEX('Game Records'!$U:$U,$H77),""))</x:f>
        <x:v/>
      </x:c>
      <x:c r="E77" s="331" t="str">
        <x:f>IF($H77="","",IF($F77="","No Highlighted Fields","Highlighted Fields Present"))</x:f>
        <x:v/>
      </x:c>
      <x:c r="F77" s="331" t="str">
        <x:f>IF($H77="","",IF(INDEX('Game Records'!$B:$B,$H77)="","Start Date; ","")&amp;IF(INDEX('Game Records'!$C:$C,$H77)="","End Date; ","")&amp;IF(AND(INDEX('Game Records'!$U:$U,$H77)&lt;&gt;"Subscription",INDEX('Game Records'!$U:$U,$H77)&lt;&gt;"Free Game",INDEX('Game Records'!$U:$U,$H77)&lt;&gt;"Disqualified — Free Game",OR(INDEX('Game Records'!$D:$D,$H77)="",LOWER(INDEX('Game Records'!$D:$D,$H77)&amp;"")="n/a")),"Entry Mode; ","")&amp;IF(AND(INDEX('Game Records'!$U:$U,$H77)&lt;&gt;"Subscription",INDEX('Game Records'!$U:$U,$H77)&lt;&gt;"Free Game",INDEX('Game Records'!$U:$U,$H77)&lt;&gt;"Disqualified — Free Game",OR(INDEX('Game Records'!$E:$E,$H77)="",LOWER(INDEX('Game Records'!$E:$E,$H77)&amp;"")="n/a")),"Game Type; ","")&amp;IF(INDEX('Game Records'!$F:$F,$H77)="","Payment Type; ","")&amp;IF(AND(INDEX('Game Records'!$U:$U,$H77)&lt;&gt;"Subscription",INDEX('Game Records'!$U:$U,$H77)&lt;&gt;"Free Game",INDEX('Game Records'!$U:$U,$H77)&lt;&gt;"Disqualified — Free Game",INDEX('Game Records'!$G:$G,$H77)=""),"Gross Pot; ","")&amp;IF(AND(INDEX('Game Records'!$U:$U,$H77)&lt;&gt;"Free Game",INDEX('Game Records'!$U:$U,$H77)&lt;&gt;"Disqualified — Free Game",INDEX('Game Records'!$H:$H,$H77)=""),"Entry Fee; ","")&amp;IF(AND(INDEX('Game Records'!$U:$U,$H77)&lt;&gt;"Subscription",INDEX('Game Records'!$U:$U,$H77)&lt;&gt;"Free Game",INDEX('Game Records'!$U:$U,$H77)&lt;&gt;"Disqualified — Free Game",INDEX('Game Records'!$I:$I,$H77)=""),"Eligible Players; ","")&amp;IF(AND(INDEX('Game Records'!$U:$U,$H77)&lt;&gt;"Subscription",INDEX('Game Records'!$U:$U,$H77)&lt;&gt;"Free Game",INDEX('Game Records'!$U:$U,$H77)&lt;&gt;"Disqualified — Free Game",INDEX('Game Records'!$J:$J,$H77)=""),"Total Players; ","")&amp;IF(AND(LOWER(INDEX('Game Records'!$D:$D,$H77)&amp;"")="finalized",LOWER(INDEX('Game Records'!$L:$L,$H77)&amp;"")&lt;&gt;"yes",INDEX('Game Records'!$U:$U,$H77)&lt;&gt;"Subscription",INDEX('Game Records'!$U:$U,$H77)&lt;&gt;"Free Game",INDEX('Game Records'!$U:$U,$H77)&lt;&gt;"Disqualified — Free Game",INDEX('Game Records'!$K:$K,$H77)=""),"Final Earned; ","")&amp;IF(AND(LOWER(INDEX('Game Records'!$D:$D,$H77)&amp;"")="finalized",INDEX('Game Records'!$U:$U,$H77)&lt;&gt;"Subscription",INDEX('Game Records'!$U:$U,$H77)&lt;&gt;"Free Game",INDEX('Game Records'!$U:$U,$H77)&lt;&gt;"Disqualified — Free Game",OR(INDEX('Game Records'!$L:$L,$H77)="",LOWER(INDEX('Game Records'!$L:$L,$H77)&amp;"")="n/a")),"Disqualified Status; ",""))</x:f>
        <x:v/>
      </x:c>
      <x:c r="G77" s="331" t="str">
        <x:f>IF($H77="","",IFERROR(INDEX('Game Records'!$M:$M,$H77),""))</x:f>
        <x:v/>
      </x:c>
      <x:c r="H77" s="104" t="str">
        <x:f>IF($H76="","",IFERROR(MATCH(1,INDEX((ROW('Game Records'!$U$5:$U$504)&gt;$H76)*(('Game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7" s="104"/>
      <x:c r="J77" s="104"/>
    </x:row>
    <x:row r="78" ht="24" hidden="0" customHeight="1">
      <x:c r="A78" s="332" t="str">
        <x:f>IF($H78="","",ROWS($A$5:A78))</x:f>
        <x:v/>
      </x:c>
      <x:c r="B78" s="332" t="str">
        <x:f>IF($H78="","","G-"&amp;TEXT($A78,"0000"))</x:f>
        <x:v/>
      </x:c>
      <x:c r="C78" s="331" t="str">
        <x:f>IF($H78="","",IFERROR(INDEX('Game Records'!$A:$A,$H78),""))</x:f>
        <x:v/>
      </x:c>
      <x:c r="D78" s="331" t="str">
        <x:f>IF($H78="","",IFERROR(INDEX('Game Records'!$U:$U,$H78),""))</x:f>
        <x:v/>
      </x:c>
      <x:c r="E78" s="331" t="str">
        <x:f>IF($H78="","",IF($F78="","No Highlighted Fields","Highlighted Fields Present"))</x:f>
        <x:v/>
      </x:c>
      <x:c r="F78" s="331" t="str">
        <x:f>IF($H78="","",IF(INDEX('Game Records'!$B:$B,$H78)="","Start Date; ","")&amp;IF(INDEX('Game Records'!$C:$C,$H78)="","End Date; ","")&amp;IF(AND(INDEX('Game Records'!$U:$U,$H78)&lt;&gt;"Subscription",INDEX('Game Records'!$U:$U,$H78)&lt;&gt;"Free Game",INDEX('Game Records'!$U:$U,$H78)&lt;&gt;"Disqualified — Free Game",OR(INDEX('Game Records'!$D:$D,$H78)="",LOWER(INDEX('Game Records'!$D:$D,$H78)&amp;"")="n/a")),"Entry Mode; ","")&amp;IF(AND(INDEX('Game Records'!$U:$U,$H78)&lt;&gt;"Subscription",INDEX('Game Records'!$U:$U,$H78)&lt;&gt;"Free Game",INDEX('Game Records'!$U:$U,$H78)&lt;&gt;"Disqualified — Free Game",OR(INDEX('Game Records'!$E:$E,$H78)="",LOWER(INDEX('Game Records'!$E:$E,$H78)&amp;"")="n/a")),"Game Type; ","")&amp;IF(INDEX('Game Records'!$F:$F,$H78)="","Payment Type; ","")&amp;IF(AND(INDEX('Game Records'!$U:$U,$H78)&lt;&gt;"Subscription",INDEX('Game Records'!$U:$U,$H78)&lt;&gt;"Free Game",INDEX('Game Records'!$U:$U,$H78)&lt;&gt;"Disqualified — Free Game",INDEX('Game Records'!$G:$G,$H78)=""),"Gross Pot; ","")&amp;IF(AND(INDEX('Game Records'!$U:$U,$H78)&lt;&gt;"Free Game",INDEX('Game Records'!$U:$U,$H78)&lt;&gt;"Disqualified — Free Game",INDEX('Game Records'!$H:$H,$H78)=""),"Entry Fee; ","")&amp;IF(AND(INDEX('Game Records'!$U:$U,$H78)&lt;&gt;"Subscription",INDEX('Game Records'!$U:$U,$H78)&lt;&gt;"Free Game",INDEX('Game Records'!$U:$U,$H78)&lt;&gt;"Disqualified — Free Game",INDEX('Game Records'!$I:$I,$H78)=""),"Eligible Players; ","")&amp;IF(AND(INDEX('Game Records'!$U:$U,$H78)&lt;&gt;"Subscription",INDEX('Game Records'!$U:$U,$H78)&lt;&gt;"Free Game",INDEX('Game Records'!$U:$U,$H78)&lt;&gt;"Disqualified — Free Game",INDEX('Game Records'!$J:$J,$H78)=""),"Total Players; ","")&amp;IF(AND(LOWER(INDEX('Game Records'!$D:$D,$H78)&amp;"")="finalized",LOWER(INDEX('Game Records'!$L:$L,$H78)&amp;"")&lt;&gt;"yes",INDEX('Game Records'!$U:$U,$H78)&lt;&gt;"Subscription",INDEX('Game Records'!$U:$U,$H78)&lt;&gt;"Free Game",INDEX('Game Records'!$U:$U,$H78)&lt;&gt;"Disqualified — Free Game",INDEX('Game Records'!$K:$K,$H78)=""),"Final Earned; ","")&amp;IF(AND(LOWER(INDEX('Game Records'!$D:$D,$H78)&amp;"")="finalized",INDEX('Game Records'!$U:$U,$H78)&lt;&gt;"Subscription",INDEX('Game Records'!$U:$U,$H78)&lt;&gt;"Free Game",INDEX('Game Records'!$U:$U,$H78)&lt;&gt;"Disqualified — Free Game",OR(INDEX('Game Records'!$L:$L,$H78)="",LOWER(INDEX('Game Records'!$L:$L,$H78)&amp;"")="n/a")),"Disqualified Status; ",""))</x:f>
        <x:v/>
      </x:c>
      <x:c r="G78" s="331" t="str">
        <x:f>IF($H78="","",IFERROR(INDEX('Game Records'!$M:$M,$H78),""))</x:f>
        <x:v/>
      </x:c>
      <x:c r="H78" s="104" t="str">
        <x:f>IF($H77="","",IFERROR(MATCH(1,INDEX((ROW('Game Records'!$U$5:$U$504)&gt;$H77)*(('Game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8" s="104"/>
      <x:c r="J78" s="104"/>
    </x:row>
    <x:row r="79" ht="24" hidden="0" customHeight="1">
      <x:c r="A79" s="332" t="str">
        <x:f>IF($H79="","",ROWS($A$5:A79))</x:f>
        <x:v/>
      </x:c>
      <x:c r="B79" s="332" t="str">
        <x:f>IF($H79="","","G-"&amp;TEXT($A79,"0000"))</x:f>
        <x:v/>
      </x:c>
      <x:c r="C79" s="331" t="str">
        <x:f>IF($H79="","",IFERROR(INDEX('Game Records'!$A:$A,$H79),""))</x:f>
        <x:v/>
      </x:c>
      <x:c r="D79" s="331" t="str">
        <x:f>IF($H79="","",IFERROR(INDEX('Game Records'!$U:$U,$H79),""))</x:f>
        <x:v/>
      </x:c>
      <x:c r="E79" s="331" t="str">
        <x:f>IF($H79="","",IF($F79="","No Highlighted Fields","Highlighted Fields Present"))</x:f>
        <x:v/>
      </x:c>
      <x:c r="F79" s="331" t="str">
        <x:f>IF($H79="","",IF(INDEX('Game Records'!$B:$B,$H79)="","Start Date; ","")&amp;IF(INDEX('Game Records'!$C:$C,$H79)="","End Date; ","")&amp;IF(AND(INDEX('Game Records'!$U:$U,$H79)&lt;&gt;"Subscription",INDEX('Game Records'!$U:$U,$H79)&lt;&gt;"Free Game",INDEX('Game Records'!$U:$U,$H79)&lt;&gt;"Disqualified — Free Game",OR(INDEX('Game Records'!$D:$D,$H79)="",LOWER(INDEX('Game Records'!$D:$D,$H79)&amp;"")="n/a")),"Entry Mode; ","")&amp;IF(AND(INDEX('Game Records'!$U:$U,$H79)&lt;&gt;"Subscription",INDEX('Game Records'!$U:$U,$H79)&lt;&gt;"Free Game",INDEX('Game Records'!$U:$U,$H79)&lt;&gt;"Disqualified — Free Game",OR(INDEX('Game Records'!$E:$E,$H79)="",LOWER(INDEX('Game Records'!$E:$E,$H79)&amp;"")="n/a")),"Game Type; ","")&amp;IF(INDEX('Game Records'!$F:$F,$H79)="","Payment Type; ","")&amp;IF(AND(INDEX('Game Records'!$U:$U,$H79)&lt;&gt;"Subscription",INDEX('Game Records'!$U:$U,$H79)&lt;&gt;"Free Game",INDEX('Game Records'!$U:$U,$H79)&lt;&gt;"Disqualified — Free Game",INDEX('Game Records'!$G:$G,$H79)=""),"Gross Pot; ","")&amp;IF(AND(INDEX('Game Records'!$U:$U,$H79)&lt;&gt;"Free Game",INDEX('Game Records'!$U:$U,$H79)&lt;&gt;"Disqualified — Free Game",INDEX('Game Records'!$H:$H,$H79)=""),"Entry Fee; ","")&amp;IF(AND(INDEX('Game Records'!$U:$U,$H79)&lt;&gt;"Subscription",INDEX('Game Records'!$U:$U,$H79)&lt;&gt;"Free Game",INDEX('Game Records'!$U:$U,$H79)&lt;&gt;"Disqualified — Free Game",INDEX('Game Records'!$I:$I,$H79)=""),"Eligible Players; ","")&amp;IF(AND(INDEX('Game Records'!$U:$U,$H79)&lt;&gt;"Subscription",INDEX('Game Records'!$U:$U,$H79)&lt;&gt;"Free Game",INDEX('Game Records'!$U:$U,$H79)&lt;&gt;"Disqualified — Free Game",INDEX('Game Records'!$J:$J,$H79)=""),"Total Players; ","")&amp;IF(AND(LOWER(INDEX('Game Records'!$D:$D,$H79)&amp;"")="finalized",LOWER(INDEX('Game Records'!$L:$L,$H79)&amp;"")&lt;&gt;"yes",INDEX('Game Records'!$U:$U,$H79)&lt;&gt;"Subscription",INDEX('Game Records'!$U:$U,$H79)&lt;&gt;"Free Game",INDEX('Game Records'!$U:$U,$H79)&lt;&gt;"Disqualified — Free Game",INDEX('Game Records'!$K:$K,$H79)=""),"Final Earned; ","")&amp;IF(AND(LOWER(INDEX('Game Records'!$D:$D,$H79)&amp;"")="finalized",INDEX('Game Records'!$U:$U,$H79)&lt;&gt;"Subscription",INDEX('Game Records'!$U:$U,$H79)&lt;&gt;"Free Game",INDEX('Game Records'!$U:$U,$H79)&lt;&gt;"Disqualified — Free Game",OR(INDEX('Game Records'!$L:$L,$H79)="",LOWER(INDEX('Game Records'!$L:$L,$H79)&amp;"")="n/a")),"Disqualified Status; ",""))</x:f>
        <x:v/>
      </x:c>
      <x:c r="G79" s="331" t="str">
        <x:f>IF($H79="","",IFERROR(INDEX('Game Records'!$M:$M,$H79),""))</x:f>
        <x:v/>
      </x:c>
      <x:c r="H79" s="104" t="str">
        <x:f>IF($H78="","",IFERROR(MATCH(1,INDEX((ROW('Game Records'!$U$5:$U$504)&gt;$H78)*(('Game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79" s="104"/>
      <x:c r="J79" s="104"/>
    </x:row>
    <x:row r="80" ht="24" hidden="0" customHeight="1">
      <x:c r="A80" s="332" t="str">
        <x:f>IF($H80="","",ROWS($A$5:A80))</x:f>
        <x:v/>
      </x:c>
      <x:c r="B80" s="332" t="str">
        <x:f>IF($H80="","","G-"&amp;TEXT($A80,"0000"))</x:f>
        <x:v/>
      </x:c>
      <x:c r="C80" s="331" t="str">
        <x:f>IF($H80="","",IFERROR(INDEX('Game Records'!$A:$A,$H80),""))</x:f>
        <x:v/>
      </x:c>
      <x:c r="D80" s="331" t="str">
        <x:f>IF($H80="","",IFERROR(INDEX('Game Records'!$U:$U,$H80),""))</x:f>
        <x:v/>
      </x:c>
      <x:c r="E80" s="331" t="str">
        <x:f>IF($H80="","",IF($F80="","No Highlighted Fields","Highlighted Fields Present"))</x:f>
        <x:v/>
      </x:c>
      <x:c r="F80" s="331" t="str">
        <x:f>IF($H80="","",IF(INDEX('Game Records'!$B:$B,$H80)="","Start Date; ","")&amp;IF(INDEX('Game Records'!$C:$C,$H80)="","End Date; ","")&amp;IF(AND(INDEX('Game Records'!$U:$U,$H80)&lt;&gt;"Subscription",INDEX('Game Records'!$U:$U,$H80)&lt;&gt;"Free Game",INDEX('Game Records'!$U:$U,$H80)&lt;&gt;"Disqualified — Free Game",OR(INDEX('Game Records'!$D:$D,$H80)="",LOWER(INDEX('Game Records'!$D:$D,$H80)&amp;"")="n/a")),"Entry Mode; ","")&amp;IF(AND(INDEX('Game Records'!$U:$U,$H80)&lt;&gt;"Subscription",INDEX('Game Records'!$U:$U,$H80)&lt;&gt;"Free Game",INDEX('Game Records'!$U:$U,$H80)&lt;&gt;"Disqualified — Free Game",OR(INDEX('Game Records'!$E:$E,$H80)="",LOWER(INDEX('Game Records'!$E:$E,$H80)&amp;"")="n/a")),"Game Type; ","")&amp;IF(INDEX('Game Records'!$F:$F,$H80)="","Payment Type; ","")&amp;IF(AND(INDEX('Game Records'!$U:$U,$H80)&lt;&gt;"Subscription",INDEX('Game Records'!$U:$U,$H80)&lt;&gt;"Free Game",INDEX('Game Records'!$U:$U,$H80)&lt;&gt;"Disqualified — Free Game",INDEX('Game Records'!$G:$G,$H80)=""),"Gross Pot; ","")&amp;IF(AND(INDEX('Game Records'!$U:$U,$H80)&lt;&gt;"Free Game",INDEX('Game Records'!$U:$U,$H80)&lt;&gt;"Disqualified — Free Game",INDEX('Game Records'!$H:$H,$H80)=""),"Entry Fee; ","")&amp;IF(AND(INDEX('Game Records'!$U:$U,$H80)&lt;&gt;"Subscription",INDEX('Game Records'!$U:$U,$H80)&lt;&gt;"Free Game",INDEX('Game Records'!$U:$U,$H80)&lt;&gt;"Disqualified — Free Game",INDEX('Game Records'!$I:$I,$H80)=""),"Eligible Players; ","")&amp;IF(AND(INDEX('Game Records'!$U:$U,$H80)&lt;&gt;"Subscription",INDEX('Game Records'!$U:$U,$H80)&lt;&gt;"Free Game",INDEX('Game Records'!$U:$U,$H80)&lt;&gt;"Disqualified — Free Game",INDEX('Game Records'!$J:$J,$H80)=""),"Total Players; ","")&amp;IF(AND(LOWER(INDEX('Game Records'!$D:$D,$H80)&amp;"")="finalized",LOWER(INDEX('Game Records'!$L:$L,$H80)&amp;"")&lt;&gt;"yes",INDEX('Game Records'!$U:$U,$H80)&lt;&gt;"Subscription",INDEX('Game Records'!$U:$U,$H80)&lt;&gt;"Free Game",INDEX('Game Records'!$U:$U,$H80)&lt;&gt;"Disqualified — Free Game",INDEX('Game Records'!$K:$K,$H80)=""),"Final Earned; ","")&amp;IF(AND(LOWER(INDEX('Game Records'!$D:$D,$H80)&amp;"")="finalized",INDEX('Game Records'!$U:$U,$H80)&lt;&gt;"Subscription",INDEX('Game Records'!$U:$U,$H80)&lt;&gt;"Free Game",INDEX('Game Records'!$U:$U,$H80)&lt;&gt;"Disqualified — Free Game",OR(INDEX('Game Records'!$L:$L,$H80)="",LOWER(INDEX('Game Records'!$L:$L,$H80)&amp;"")="n/a")),"Disqualified Status; ",""))</x:f>
        <x:v/>
      </x:c>
      <x:c r="G80" s="331" t="str">
        <x:f>IF($H80="","",IFERROR(INDEX('Game Records'!$M:$M,$H80),""))</x:f>
        <x:v/>
      </x:c>
      <x:c r="H80" s="104" t="str">
        <x:f>IF($H79="","",IFERROR(MATCH(1,INDEX((ROW('Game Records'!$U$5:$U$504)&gt;$H79)*(('Game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0" s="104"/>
      <x:c r="J80" s="104"/>
    </x:row>
    <x:row r="81" ht="24" hidden="0" customHeight="1">
      <x:c r="A81" s="332" t="str">
        <x:f>IF($H81="","",ROWS($A$5:A81))</x:f>
        <x:v/>
      </x:c>
      <x:c r="B81" s="332" t="str">
        <x:f>IF($H81="","","G-"&amp;TEXT($A81,"0000"))</x:f>
        <x:v/>
      </x:c>
      <x:c r="C81" s="331" t="str">
        <x:f>IF($H81="","",IFERROR(INDEX('Game Records'!$A:$A,$H81),""))</x:f>
        <x:v/>
      </x:c>
      <x:c r="D81" s="331" t="str">
        <x:f>IF($H81="","",IFERROR(INDEX('Game Records'!$U:$U,$H81),""))</x:f>
        <x:v/>
      </x:c>
      <x:c r="E81" s="331" t="str">
        <x:f>IF($H81="","",IF($F81="","No Highlighted Fields","Highlighted Fields Present"))</x:f>
        <x:v/>
      </x:c>
      <x:c r="F81" s="331" t="str">
        <x:f>IF($H81="","",IF(INDEX('Game Records'!$B:$B,$H81)="","Start Date; ","")&amp;IF(INDEX('Game Records'!$C:$C,$H81)="","End Date; ","")&amp;IF(AND(INDEX('Game Records'!$U:$U,$H81)&lt;&gt;"Subscription",INDEX('Game Records'!$U:$U,$H81)&lt;&gt;"Free Game",INDEX('Game Records'!$U:$U,$H81)&lt;&gt;"Disqualified — Free Game",OR(INDEX('Game Records'!$D:$D,$H81)="",LOWER(INDEX('Game Records'!$D:$D,$H81)&amp;"")="n/a")),"Entry Mode; ","")&amp;IF(AND(INDEX('Game Records'!$U:$U,$H81)&lt;&gt;"Subscription",INDEX('Game Records'!$U:$U,$H81)&lt;&gt;"Free Game",INDEX('Game Records'!$U:$U,$H81)&lt;&gt;"Disqualified — Free Game",OR(INDEX('Game Records'!$E:$E,$H81)="",LOWER(INDEX('Game Records'!$E:$E,$H81)&amp;"")="n/a")),"Game Type; ","")&amp;IF(INDEX('Game Records'!$F:$F,$H81)="","Payment Type; ","")&amp;IF(AND(INDEX('Game Records'!$U:$U,$H81)&lt;&gt;"Subscription",INDEX('Game Records'!$U:$U,$H81)&lt;&gt;"Free Game",INDEX('Game Records'!$U:$U,$H81)&lt;&gt;"Disqualified — Free Game",INDEX('Game Records'!$G:$G,$H81)=""),"Gross Pot; ","")&amp;IF(AND(INDEX('Game Records'!$U:$U,$H81)&lt;&gt;"Free Game",INDEX('Game Records'!$U:$U,$H81)&lt;&gt;"Disqualified — Free Game",INDEX('Game Records'!$H:$H,$H81)=""),"Entry Fee; ","")&amp;IF(AND(INDEX('Game Records'!$U:$U,$H81)&lt;&gt;"Subscription",INDEX('Game Records'!$U:$U,$H81)&lt;&gt;"Free Game",INDEX('Game Records'!$U:$U,$H81)&lt;&gt;"Disqualified — Free Game",INDEX('Game Records'!$I:$I,$H81)=""),"Eligible Players; ","")&amp;IF(AND(INDEX('Game Records'!$U:$U,$H81)&lt;&gt;"Subscription",INDEX('Game Records'!$U:$U,$H81)&lt;&gt;"Free Game",INDEX('Game Records'!$U:$U,$H81)&lt;&gt;"Disqualified — Free Game",INDEX('Game Records'!$J:$J,$H81)=""),"Total Players; ","")&amp;IF(AND(LOWER(INDEX('Game Records'!$D:$D,$H81)&amp;"")="finalized",LOWER(INDEX('Game Records'!$L:$L,$H81)&amp;"")&lt;&gt;"yes",INDEX('Game Records'!$U:$U,$H81)&lt;&gt;"Subscription",INDEX('Game Records'!$U:$U,$H81)&lt;&gt;"Free Game",INDEX('Game Records'!$U:$U,$H81)&lt;&gt;"Disqualified — Free Game",INDEX('Game Records'!$K:$K,$H81)=""),"Final Earned; ","")&amp;IF(AND(LOWER(INDEX('Game Records'!$D:$D,$H81)&amp;"")="finalized",INDEX('Game Records'!$U:$U,$H81)&lt;&gt;"Subscription",INDEX('Game Records'!$U:$U,$H81)&lt;&gt;"Free Game",INDEX('Game Records'!$U:$U,$H81)&lt;&gt;"Disqualified — Free Game",OR(INDEX('Game Records'!$L:$L,$H81)="",LOWER(INDEX('Game Records'!$L:$L,$H81)&amp;"")="n/a")),"Disqualified Status; ",""))</x:f>
        <x:v/>
      </x:c>
      <x:c r="G81" s="331" t="str">
        <x:f>IF($H81="","",IFERROR(INDEX('Game Records'!$M:$M,$H81),""))</x:f>
        <x:v/>
      </x:c>
      <x:c r="H81" s="104" t="str">
        <x:f>IF($H80="","",IFERROR(MATCH(1,INDEX((ROW('Game Records'!$U$5:$U$504)&gt;$H80)*(('Game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1" s="104"/>
      <x:c r="J81" s="104"/>
    </x:row>
    <x:row r="82" ht="24" hidden="0" customHeight="1">
      <x:c r="A82" s="332" t="str">
        <x:f>IF($H82="","",ROWS($A$5:A82))</x:f>
        <x:v/>
      </x:c>
      <x:c r="B82" s="332" t="str">
        <x:f>IF($H82="","","G-"&amp;TEXT($A82,"0000"))</x:f>
        <x:v/>
      </x:c>
      <x:c r="C82" s="331" t="str">
        <x:f>IF($H82="","",IFERROR(INDEX('Game Records'!$A:$A,$H82),""))</x:f>
        <x:v/>
      </x:c>
      <x:c r="D82" s="331" t="str">
        <x:f>IF($H82="","",IFERROR(INDEX('Game Records'!$U:$U,$H82),""))</x:f>
        <x:v/>
      </x:c>
      <x:c r="E82" s="331" t="str">
        <x:f>IF($H82="","",IF($F82="","No Highlighted Fields","Highlighted Fields Present"))</x:f>
        <x:v/>
      </x:c>
      <x:c r="F82" s="331" t="str">
        <x:f>IF($H82="","",IF(INDEX('Game Records'!$B:$B,$H82)="","Start Date; ","")&amp;IF(INDEX('Game Records'!$C:$C,$H82)="","End Date; ","")&amp;IF(AND(INDEX('Game Records'!$U:$U,$H82)&lt;&gt;"Subscription",INDEX('Game Records'!$U:$U,$H82)&lt;&gt;"Free Game",INDEX('Game Records'!$U:$U,$H82)&lt;&gt;"Disqualified — Free Game",OR(INDEX('Game Records'!$D:$D,$H82)="",LOWER(INDEX('Game Records'!$D:$D,$H82)&amp;"")="n/a")),"Entry Mode; ","")&amp;IF(AND(INDEX('Game Records'!$U:$U,$H82)&lt;&gt;"Subscription",INDEX('Game Records'!$U:$U,$H82)&lt;&gt;"Free Game",INDEX('Game Records'!$U:$U,$H82)&lt;&gt;"Disqualified — Free Game",OR(INDEX('Game Records'!$E:$E,$H82)="",LOWER(INDEX('Game Records'!$E:$E,$H82)&amp;"")="n/a")),"Game Type; ","")&amp;IF(INDEX('Game Records'!$F:$F,$H82)="","Payment Type; ","")&amp;IF(AND(INDEX('Game Records'!$U:$U,$H82)&lt;&gt;"Subscription",INDEX('Game Records'!$U:$U,$H82)&lt;&gt;"Free Game",INDEX('Game Records'!$U:$U,$H82)&lt;&gt;"Disqualified — Free Game",INDEX('Game Records'!$G:$G,$H82)=""),"Gross Pot; ","")&amp;IF(AND(INDEX('Game Records'!$U:$U,$H82)&lt;&gt;"Free Game",INDEX('Game Records'!$U:$U,$H82)&lt;&gt;"Disqualified — Free Game",INDEX('Game Records'!$H:$H,$H82)=""),"Entry Fee; ","")&amp;IF(AND(INDEX('Game Records'!$U:$U,$H82)&lt;&gt;"Subscription",INDEX('Game Records'!$U:$U,$H82)&lt;&gt;"Free Game",INDEX('Game Records'!$U:$U,$H82)&lt;&gt;"Disqualified — Free Game",INDEX('Game Records'!$I:$I,$H82)=""),"Eligible Players; ","")&amp;IF(AND(INDEX('Game Records'!$U:$U,$H82)&lt;&gt;"Subscription",INDEX('Game Records'!$U:$U,$H82)&lt;&gt;"Free Game",INDEX('Game Records'!$U:$U,$H82)&lt;&gt;"Disqualified — Free Game",INDEX('Game Records'!$J:$J,$H82)=""),"Total Players; ","")&amp;IF(AND(LOWER(INDEX('Game Records'!$D:$D,$H82)&amp;"")="finalized",LOWER(INDEX('Game Records'!$L:$L,$H82)&amp;"")&lt;&gt;"yes",INDEX('Game Records'!$U:$U,$H82)&lt;&gt;"Subscription",INDEX('Game Records'!$U:$U,$H82)&lt;&gt;"Free Game",INDEX('Game Records'!$U:$U,$H82)&lt;&gt;"Disqualified — Free Game",INDEX('Game Records'!$K:$K,$H82)=""),"Final Earned; ","")&amp;IF(AND(LOWER(INDEX('Game Records'!$D:$D,$H82)&amp;"")="finalized",INDEX('Game Records'!$U:$U,$H82)&lt;&gt;"Subscription",INDEX('Game Records'!$U:$U,$H82)&lt;&gt;"Free Game",INDEX('Game Records'!$U:$U,$H82)&lt;&gt;"Disqualified — Free Game",OR(INDEX('Game Records'!$L:$L,$H82)="",LOWER(INDEX('Game Records'!$L:$L,$H82)&amp;"")="n/a")),"Disqualified Status; ",""))</x:f>
        <x:v/>
      </x:c>
      <x:c r="G82" s="331" t="str">
        <x:f>IF($H82="","",IFERROR(INDEX('Game Records'!$M:$M,$H82),""))</x:f>
        <x:v/>
      </x:c>
      <x:c r="H82" s="104" t="str">
        <x:f>IF($H81="","",IFERROR(MATCH(1,INDEX((ROW('Game Records'!$U$5:$U$504)&gt;$H81)*(('Game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2" s="104"/>
      <x:c r="J82" s="104"/>
    </x:row>
    <x:row r="83" ht="24" hidden="0" customHeight="1">
      <x:c r="A83" s="332" t="str">
        <x:f>IF($H83="","",ROWS($A$5:A83))</x:f>
        <x:v/>
      </x:c>
      <x:c r="B83" s="332" t="str">
        <x:f>IF($H83="","","G-"&amp;TEXT($A83,"0000"))</x:f>
        <x:v/>
      </x:c>
      <x:c r="C83" s="331" t="str">
        <x:f>IF($H83="","",IFERROR(INDEX('Game Records'!$A:$A,$H83),""))</x:f>
        <x:v/>
      </x:c>
      <x:c r="D83" s="331" t="str">
        <x:f>IF($H83="","",IFERROR(INDEX('Game Records'!$U:$U,$H83),""))</x:f>
        <x:v/>
      </x:c>
      <x:c r="E83" s="331" t="str">
        <x:f>IF($H83="","",IF($F83="","No Highlighted Fields","Highlighted Fields Present"))</x:f>
        <x:v/>
      </x:c>
      <x:c r="F83" s="331" t="str">
        <x:f>IF($H83="","",IF(INDEX('Game Records'!$B:$B,$H83)="","Start Date; ","")&amp;IF(INDEX('Game Records'!$C:$C,$H83)="","End Date; ","")&amp;IF(AND(INDEX('Game Records'!$U:$U,$H83)&lt;&gt;"Subscription",INDEX('Game Records'!$U:$U,$H83)&lt;&gt;"Free Game",INDEX('Game Records'!$U:$U,$H83)&lt;&gt;"Disqualified — Free Game",OR(INDEX('Game Records'!$D:$D,$H83)="",LOWER(INDEX('Game Records'!$D:$D,$H83)&amp;"")="n/a")),"Entry Mode; ","")&amp;IF(AND(INDEX('Game Records'!$U:$U,$H83)&lt;&gt;"Subscription",INDEX('Game Records'!$U:$U,$H83)&lt;&gt;"Free Game",INDEX('Game Records'!$U:$U,$H83)&lt;&gt;"Disqualified — Free Game",OR(INDEX('Game Records'!$E:$E,$H83)="",LOWER(INDEX('Game Records'!$E:$E,$H83)&amp;"")="n/a")),"Game Type; ","")&amp;IF(INDEX('Game Records'!$F:$F,$H83)="","Payment Type; ","")&amp;IF(AND(INDEX('Game Records'!$U:$U,$H83)&lt;&gt;"Subscription",INDEX('Game Records'!$U:$U,$H83)&lt;&gt;"Free Game",INDEX('Game Records'!$U:$U,$H83)&lt;&gt;"Disqualified — Free Game",INDEX('Game Records'!$G:$G,$H83)=""),"Gross Pot; ","")&amp;IF(AND(INDEX('Game Records'!$U:$U,$H83)&lt;&gt;"Free Game",INDEX('Game Records'!$U:$U,$H83)&lt;&gt;"Disqualified — Free Game",INDEX('Game Records'!$H:$H,$H83)=""),"Entry Fee; ","")&amp;IF(AND(INDEX('Game Records'!$U:$U,$H83)&lt;&gt;"Subscription",INDEX('Game Records'!$U:$U,$H83)&lt;&gt;"Free Game",INDEX('Game Records'!$U:$U,$H83)&lt;&gt;"Disqualified — Free Game",INDEX('Game Records'!$I:$I,$H83)=""),"Eligible Players; ","")&amp;IF(AND(INDEX('Game Records'!$U:$U,$H83)&lt;&gt;"Subscription",INDEX('Game Records'!$U:$U,$H83)&lt;&gt;"Free Game",INDEX('Game Records'!$U:$U,$H83)&lt;&gt;"Disqualified — Free Game",INDEX('Game Records'!$J:$J,$H83)=""),"Total Players; ","")&amp;IF(AND(LOWER(INDEX('Game Records'!$D:$D,$H83)&amp;"")="finalized",LOWER(INDEX('Game Records'!$L:$L,$H83)&amp;"")&lt;&gt;"yes",INDEX('Game Records'!$U:$U,$H83)&lt;&gt;"Subscription",INDEX('Game Records'!$U:$U,$H83)&lt;&gt;"Free Game",INDEX('Game Records'!$U:$U,$H83)&lt;&gt;"Disqualified — Free Game",INDEX('Game Records'!$K:$K,$H83)=""),"Final Earned; ","")&amp;IF(AND(LOWER(INDEX('Game Records'!$D:$D,$H83)&amp;"")="finalized",INDEX('Game Records'!$U:$U,$H83)&lt;&gt;"Subscription",INDEX('Game Records'!$U:$U,$H83)&lt;&gt;"Free Game",INDEX('Game Records'!$U:$U,$H83)&lt;&gt;"Disqualified — Free Game",OR(INDEX('Game Records'!$L:$L,$H83)="",LOWER(INDEX('Game Records'!$L:$L,$H83)&amp;"")="n/a")),"Disqualified Status; ",""))</x:f>
        <x:v/>
      </x:c>
      <x:c r="G83" s="331" t="str">
        <x:f>IF($H83="","",IFERROR(INDEX('Game Records'!$M:$M,$H83),""))</x:f>
        <x:v/>
      </x:c>
      <x:c r="H83" s="104" t="str">
        <x:f>IF($H82="","",IFERROR(MATCH(1,INDEX((ROW('Game Records'!$U$5:$U$504)&gt;$H82)*(('Game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3" s="104"/>
      <x:c r="J83" s="104"/>
    </x:row>
    <x:row r="84" ht="24" hidden="0" customHeight="1">
      <x:c r="A84" s="332" t="str">
        <x:f>IF($H84="","",ROWS($A$5:A84))</x:f>
        <x:v/>
      </x:c>
      <x:c r="B84" s="332" t="str">
        <x:f>IF($H84="","","G-"&amp;TEXT($A84,"0000"))</x:f>
        <x:v/>
      </x:c>
      <x:c r="C84" s="331" t="str">
        <x:f>IF($H84="","",IFERROR(INDEX('Game Records'!$A:$A,$H84),""))</x:f>
        <x:v/>
      </x:c>
      <x:c r="D84" s="331" t="str">
        <x:f>IF($H84="","",IFERROR(INDEX('Game Records'!$U:$U,$H84),""))</x:f>
        <x:v/>
      </x:c>
      <x:c r="E84" s="331" t="str">
        <x:f>IF($H84="","",IF($F84="","No Highlighted Fields","Highlighted Fields Present"))</x:f>
        <x:v/>
      </x:c>
      <x:c r="F84" s="331" t="str">
        <x:f>IF($H84="","",IF(INDEX('Game Records'!$B:$B,$H84)="","Start Date; ","")&amp;IF(INDEX('Game Records'!$C:$C,$H84)="","End Date; ","")&amp;IF(AND(INDEX('Game Records'!$U:$U,$H84)&lt;&gt;"Subscription",INDEX('Game Records'!$U:$U,$H84)&lt;&gt;"Free Game",INDEX('Game Records'!$U:$U,$H84)&lt;&gt;"Disqualified — Free Game",OR(INDEX('Game Records'!$D:$D,$H84)="",LOWER(INDEX('Game Records'!$D:$D,$H84)&amp;"")="n/a")),"Entry Mode; ","")&amp;IF(AND(INDEX('Game Records'!$U:$U,$H84)&lt;&gt;"Subscription",INDEX('Game Records'!$U:$U,$H84)&lt;&gt;"Free Game",INDEX('Game Records'!$U:$U,$H84)&lt;&gt;"Disqualified — Free Game",OR(INDEX('Game Records'!$E:$E,$H84)="",LOWER(INDEX('Game Records'!$E:$E,$H84)&amp;"")="n/a")),"Game Type; ","")&amp;IF(INDEX('Game Records'!$F:$F,$H84)="","Payment Type; ","")&amp;IF(AND(INDEX('Game Records'!$U:$U,$H84)&lt;&gt;"Subscription",INDEX('Game Records'!$U:$U,$H84)&lt;&gt;"Free Game",INDEX('Game Records'!$U:$U,$H84)&lt;&gt;"Disqualified — Free Game",INDEX('Game Records'!$G:$G,$H84)=""),"Gross Pot; ","")&amp;IF(AND(INDEX('Game Records'!$U:$U,$H84)&lt;&gt;"Free Game",INDEX('Game Records'!$U:$U,$H84)&lt;&gt;"Disqualified — Free Game",INDEX('Game Records'!$H:$H,$H84)=""),"Entry Fee; ","")&amp;IF(AND(INDEX('Game Records'!$U:$U,$H84)&lt;&gt;"Subscription",INDEX('Game Records'!$U:$U,$H84)&lt;&gt;"Free Game",INDEX('Game Records'!$U:$U,$H84)&lt;&gt;"Disqualified — Free Game",INDEX('Game Records'!$I:$I,$H84)=""),"Eligible Players; ","")&amp;IF(AND(INDEX('Game Records'!$U:$U,$H84)&lt;&gt;"Subscription",INDEX('Game Records'!$U:$U,$H84)&lt;&gt;"Free Game",INDEX('Game Records'!$U:$U,$H84)&lt;&gt;"Disqualified — Free Game",INDEX('Game Records'!$J:$J,$H84)=""),"Total Players; ","")&amp;IF(AND(LOWER(INDEX('Game Records'!$D:$D,$H84)&amp;"")="finalized",LOWER(INDEX('Game Records'!$L:$L,$H84)&amp;"")&lt;&gt;"yes",INDEX('Game Records'!$U:$U,$H84)&lt;&gt;"Subscription",INDEX('Game Records'!$U:$U,$H84)&lt;&gt;"Free Game",INDEX('Game Records'!$U:$U,$H84)&lt;&gt;"Disqualified — Free Game",INDEX('Game Records'!$K:$K,$H84)=""),"Final Earned; ","")&amp;IF(AND(LOWER(INDEX('Game Records'!$D:$D,$H84)&amp;"")="finalized",INDEX('Game Records'!$U:$U,$H84)&lt;&gt;"Subscription",INDEX('Game Records'!$U:$U,$H84)&lt;&gt;"Free Game",INDEX('Game Records'!$U:$U,$H84)&lt;&gt;"Disqualified — Free Game",OR(INDEX('Game Records'!$L:$L,$H84)="",LOWER(INDEX('Game Records'!$L:$L,$H84)&amp;"")="n/a")),"Disqualified Status; ",""))</x:f>
        <x:v/>
      </x:c>
      <x:c r="G84" s="331" t="str">
        <x:f>IF($H84="","",IFERROR(INDEX('Game Records'!$M:$M,$H84),""))</x:f>
        <x:v/>
      </x:c>
      <x:c r="H84" s="104" t="str">
        <x:f>IF($H83="","",IFERROR(MATCH(1,INDEX((ROW('Game Records'!$U$5:$U$504)&gt;$H83)*(('Game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4" s="104"/>
      <x:c r="J84" s="104"/>
    </x:row>
    <x:row r="85" ht="24" hidden="0" customHeight="1">
      <x:c r="A85" s="332" t="str">
        <x:f>IF($H85="","",ROWS($A$5:A85))</x:f>
        <x:v/>
      </x:c>
      <x:c r="B85" s="332" t="str">
        <x:f>IF($H85="","","G-"&amp;TEXT($A85,"0000"))</x:f>
        <x:v/>
      </x:c>
      <x:c r="C85" s="331" t="str">
        <x:f>IF($H85="","",IFERROR(INDEX('Game Records'!$A:$A,$H85),""))</x:f>
        <x:v/>
      </x:c>
      <x:c r="D85" s="331" t="str">
        <x:f>IF($H85="","",IFERROR(INDEX('Game Records'!$U:$U,$H85),""))</x:f>
        <x:v/>
      </x:c>
      <x:c r="E85" s="331" t="str">
        <x:f>IF($H85="","",IF($F85="","No Highlighted Fields","Highlighted Fields Present"))</x:f>
        <x:v/>
      </x:c>
      <x:c r="F85" s="331" t="str">
        <x:f>IF($H85="","",IF(INDEX('Game Records'!$B:$B,$H85)="","Start Date; ","")&amp;IF(INDEX('Game Records'!$C:$C,$H85)="","End Date; ","")&amp;IF(AND(INDEX('Game Records'!$U:$U,$H85)&lt;&gt;"Subscription",INDEX('Game Records'!$U:$U,$H85)&lt;&gt;"Free Game",INDEX('Game Records'!$U:$U,$H85)&lt;&gt;"Disqualified — Free Game",OR(INDEX('Game Records'!$D:$D,$H85)="",LOWER(INDEX('Game Records'!$D:$D,$H85)&amp;"")="n/a")),"Entry Mode; ","")&amp;IF(AND(INDEX('Game Records'!$U:$U,$H85)&lt;&gt;"Subscription",INDEX('Game Records'!$U:$U,$H85)&lt;&gt;"Free Game",INDEX('Game Records'!$U:$U,$H85)&lt;&gt;"Disqualified — Free Game",OR(INDEX('Game Records'!$E:$E,$H85)="",LOWER(INDEX('Game Records'!$E:$E,$H85)&amp;"")="n/a")),"Game Type; ","")&amp;IF(INDEX('Game Records'!$F:$F,$H85)="","Payment Type; ","")&amp;IF(AND(INDEX('Game Records'!$U:$U,$H85)&lt;&gt;"Subscription",INDEX('Game Records'!$U:$U,$H85)&lt;&gt;"Free Game",INDEX('Game Records'!$U:$U,$H85)&lt;&gt;"Disqualified — Free Game",INDEX('Game Records'!$G:$G,$H85)=""),"Gross Pot; ","")&amp;IF(AND(INDEX('Game Records'!$U:$U,$H85)&lt;&gt;"Free Game",INDEX('Game Records'!$U:$U,$H85)&lt;&gt;"Disqualified — Free Game",INDEX('Game Records'!$H:$H,$H85)=""),"Entry Fee; ","")&amp;IF(AND(INDEX('Game Records'!$U:$U,$H85)&lt;&gt;"Subscription",INDEX('Game Records'!$U:$U,$H85)&lt;&gt;"Free Game",INDEX('Game Records'!$U:$U,$H85)&lt;&gt;"Disqualified — Free Game",INDEX('Game Records'!$I:$I,$H85)=""),"Eligible Players; ","")&amp;IF(AND(INDEX('Game Records'!$U:$U,$H85)&lt;&gt;"Subscription",INDEX('Game Records'!$U:$U,$H85)&lt;&gt;"Free Game",INDEX('Game Records'!$U:$U,$H85)&lt;&gt;"Disqualified — Free Game",INDEX('Game Records'!$J:$J,$H85)=""),"Total Players; ","")&amp;IF(AND(LOWER(INDEX('Game Records'!$D:$D,$H85)&amp;"")="finalized",LOWER(INDEX('Game Records'!$L:$L,$H85)&amp;"")&lt;&gt;"yes",INDEX('Game Records'!$U:$U,$H85)&lt;&gt;"Subscription",INDEX('Game Records'!$U:$U,$H85)&lt;&gt;"Free Game",INDEX('Game Records'!$U:$U,$H85)&lt;&gt;"Disqualified — Free Game",INDEX('Game Records'!$K:$K,$H85)=""),"Final Earned; ","")&amp;IF(AND(LOWER(INDEX('Game Records'!$D:$D,$H85)&amp;"")="finalized",INDEX('Game Records'!$U:$U,$H85)&lt;&gt;"Subscription",INDEX('Game Records'!$U:$U,$H85)&lt;&gt;"Free Game",INDEX('Game Records'!$U:$U,$H85)&lt;&gt;"Disqualified — Free Game",OR(INDEX('Game Records'!$L:$L,$H85)="",LOWER(INDEX('Game Records'!$L:$L,$H85)&amp;"")="n/a")),"Disqualified Status; ",""))</x:f>
        <x:v/>
      </x:c>
      <x:c r="G85" s="331" t="str">
        <x:f>IF($H85="","",IFERROR(INDEX('Game Records'!$M:$M,$H85),""))</x:f>
        <x:v/>
      </x:c>
      <x:c r="H85" s="104" t="str">
        <x:f>IF($H84="","",IFERROR(MATCH(1,INDEX((ROW('Game Records'!$U$5:$U$504)&gt;$H84)*(('Game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5" s="104"/>
      <x:c r="J85" s="104"/>
    </x:row>
    <x:row r="86" ht="24" hidden="0" customHeight="1">
      <x:c r="A86" s="332" t="str">
        <x:f>IF($H86="","",ROWS($A$5:A86))</x:f>
        <x:v/>
      </x:c>
      <x:c r="B86" s="332" t="str">
        <x:f>IF($H86="","","G-"&amp;TEXT($A86,"0000"))</x:f>
        <x:v/>
      </x:c>
      <x:c r="C86" s="331" t="str">
        <x:f>IF($H86="","",IFERROR(INDEX('Game Records'!$A:$A,$H86),""))</x:f>
        <x:v/>
      </x:c>
      <x:c r="D86" s="331" t="str">
        <x:f>IF($H86="","",IFERROR(INDEX('Game Records'!$U:$U,$H86),""))</x:f>
        <x:v/>
      </x:c>
      <x:c r="E86" s="331" t="str">
        <x:f>IF($H86="","",IF($F86="","No Highlighted Fields","Highlighted Fields Present"))</x:f>
        <x:v/>
      </x:c>
      <x:c r="F86" s="331" t="str">
        <x:f>IF($H86="","",IF(INDEX('Game Records'!$B:$B,$H86)="","Start Date; ","")&amp;IF(INDEX('Game Records'!$C:$C,$H86)="","End Date; ","")&amp;IF(AND(INDEX('Game Records'!$U:$U,$H86)&lt;&gt;"Subscription",INDEX('Game Records'!$U:$U,$H86)&lt;&gt;"Free Game",INDEX('Game Records'!$U:$U,$H86)&lt;&gt;"Disqualified — Free Game",OR(INDEX('Game Records'!$D:$D,$H86)="",LOWER(INDEX('Game Records'!$D:$D,$H86)&amp;"")="n/a")),"Entry Mode; ","")&amp;IF(AND(INDEX('Game Records'!$U:$U,$H86)&lt;&gt;"Subscription",INDEX('Game Records'!$U:$U,$H86)&lt;&gt;"Free Game",INDEX('Game Records'!$U:$U,$H86)&lt;&gt;"Disqualified — Free Game",OR(INDEX('Game Records'!$E:$E,$H86)="",LOWER(INDEX('Game Records'!$E:$E,$H86)&amp;"")="n/a")),"Game Type; ","")&amp;IF(INDEX('Game Records'!$F:$F,$H86)="","Payment Type; ","")&amp;IF(AND(INDEX('Game Records'!$U:$U,$H86)&lt;&gt;"Subscription",INDEX('Game Records'!$U:$U,$H86)&lt;&gt;"Free Game",INDEX('Game Records'!$U:$U,$H86)&lt;&gt;"Disqualified — Free Game",INDEX('Game Records'!$G:$G,$H86)=""),"Gross Pot; ","")&amp;IF(AND(INDEX('Game Records'!$U:$U,$H86)&lt;&gt;"Free Game",INDEX('Game Records'!$U:$U,$H86)&lt;&gt;"Disqualified — Free Game",INDEX('Game Records'!$H:$H,$H86)=""),"Entry Fee; ","")&amp;IF(AND(INDEX('Game Records'!$U:$U,$H86)&lt;&gt;"Subscription",INDEX('Game Records'!$U:$U,$H86)&lt;&gt;"Free Game",INDEX('Game Records'!$U:$U,$H86)&lt;&gt;"Disqualified — Free Game",INDEX('Game Records'!$I:$I,$H86)=""),"Eligible Players; ","")&amp;IF(AND(INDEX('Game Records'!$U:$U,$H86)&lt;&gt;"Subscription",INDEX('Game Records'!$U:$U,$H86)&lt;&gt;"Free Game",INDEX('Game Records'!$U:$U,$H86)&lt;&gt;"Disqualified — Free Game",INDEX('Game Records'!$J:$J,$H86)=""),"Total Players; ","")&amp;IF(AND(LOWER(INDEX('Game Records'!$D:$D,$H86)&amp;"")="finalized",LOWER(INDEX('Game Records'!$L:$L,$H86)&amp;"")&lt;&gt;"yes",INDEX('Game Records'!$U:$U,$H86)&lt;&gt;"Subscription",INDEX('Game Records'!$U:$U,$H86)&lt;&gt;"Free Game",INDEX('Game Records'!$U:$U,$H86)&lt;&gt;"Disqualified — Free Game",INDEX('Game Records'!$K:$K,$H86)=""),"Final Earned; ","")&amp;IF(AND(LOWER(INDEX('Game Records'!$D:$D,$H86)&amp;"")="finalized",INDEX('Game Records'!$U:$U,$H86)&lt;&gt;"Subscription",INDEX('Game Records'!$U:$U,$H86)&lt;&gt;"Free Game",INDEX('Game Records'!$U:$U,$H86)&lt;&gt;"Disqualified — Free Game",OR(INDEX('Game Records'!$L:$L,$H86)="",LOWER(INDEX('Game Records'!$L:$L,$H86)&amp;"")="n/a")),"Disqualified Status; ",""))</x:f>
        <x:v/>
      </x:c>
      <x:c r="G86" s="331" t="str">
        <x:f>IF($H86="","",IFERROR(INDEX('Game Records'!$M:$M,$H86),""))</x:f>
        <x:v/>
      </x:c>
      <x:c r="H86" s="104" t="str">
        <x:f>IF($H85="","",IFERROR(MATCH(1,INDEX((ROW('Game Records'!$U$5:$U$504)&gt;$H85)*(('Game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6" s="104"/>
      <x:c r="J86" s="104"/>
    </x:row>
    <x:row r="87" ht="24" hidden="0" customHeight="1">
      <x:c r="A87" s="332" t="str">
        <x:f>IF($H87="","",ROWS($A$5:A87))</x:f>
        <x:v/>
      </x:c>
      <x:c r="B87" s="332" t="str">
        <x:f>IF($H87="","","G-"&amp;TEXT($A87,"0000"))</x:f>
        <x:v/>
      </x:c>
      <x:c r="C87" s="331" t="str">
        <x:f>IF($H87="","",IFERROR(INDEX('Game Records'!$A:$A,$H87),""))</x:f>
        <x:v/>
      </x:c>
      <x:c r="D87" s="331" t="str">
        <x:f>IF($H87="","",IFERROR(INDEX('Game Records'!$U:$U,$H87),""))</x:f>
        <x:v/>
      </x:c>
      <x:c r="E87" s="331" t="str">
        <x:f>IF($H87="","",IF($F87="","No Highlighted Fields","Highlighted Fields Present"))</x:f>
        <x:v/>
      </x:c>
      <x:c r="F87" s="331" t="str">
        <x:f>IF($H87="","",IF(INDEX('Game Records'!$B:$B,$H87)="","Start Date; ","")&amp;IF(INDEX('Game Records'!$C:$C,$H87)="","End Date; ","")&amp;IF(AND(INDEX('Game Records'!$U:$U,$H87)&lt;&gt;"Subscription",INDEX('Game Records'!$U:$U,$H87)&lt;&gt;"Free Game",INDEX('Game Records'!$U:$U,$H87)&lt;&gt;"Disqualified — Free Game",OR(INDEX('Game Records'!$D:$D,$H87)="",LOWER(INDEX('Game Records'!$D:$D,$H87)&amp;"")="n/a")),"Entry Mode; ","")&amp;IF(AND(INDEX('Game Records'!$U:$U,$H87)&lt;&gt;"Subscription",INDEX('Game Records'!$U:$U,$H87)&lt;&gt;"Free Game",INDEX('Game Records'!$U:$U,$H87)&lt;&gt;"Disqualified — Free Game",OR(INDEX('Game Records'!$E:$E,$H87)="",LOWER(INDEX('Game Records'!$E:$E,$H87)&amp;"")="n/a")),"Game Type; ","")&amp;IF(INDEX('Game Records'!$F:$F,$H87)="","Payment Type; ","")&amp;IF(AND(INDEX('Game Records'!$U:$U,$H87)&lt;&gt;"Subscription",INDEX('Game Records'!$U:$U,$H87)&lt;&gt;"Free Game",INDEX('Game Records'!$U:$U,$H87)&lt;&gt;"Disqualified — Free Game",INDEX('Game Records'!$G:$G,$H87)=""),"Gross Pot; ","")&amp;IF(AND(INDEX('Game Records'!$U:$U,$H87)&lt;&gt;"Free Game",INDEX('Game Records'!$U:$U,$H87)&lt;&gt;"Disqualified — Free Game",INDEX('Game Records'!$H:$H,$H87)=""),"Entry Fee; ","")&amp;IF(AND(INDEX('Game Records'!$U:$U,$H87)&lt;&gt;"Subscription",INDEX('Game Records'!$U:$U,$H87)&lt;&gt;"Free Game",INDEX('Game Records'!$U:$U,$H87)&lt;&gt;"Disqualified — Free Game",INDEX('Game Records'!$I:$I,$H87)=""),"Eligible Players; ","")&amp;IF(AND(INDEX('Game Records'!$U:$U,$H87)&lt;&gt;"Subscription",INDEX('Game Records'!$U:$U,$H87)&lt;&gt;"Free Game",INDEX('Game Records'!$U:$U,$H87)&lt;&gt;"Disqualified — Free Game",INDEX('Game Records'!$J:$J,$H87)=""),"Total Players; ","")&amp;IF(AND(LOWER(INDEX('Game Records'!$D:$D,$H87)&amp;"")="finalized",LOWER(INDEX('Game Records'!$L:$L,$H87)&amp;"")&lt;&gt;"yes",INDEX('Game Records'!$U:$U,$H87)&lt;&gt;"Subscription",INDEX('Game Records'!$U:$U,$H87)&lt;&gt;"Free Game",INDEX('Game Records'!$U:$U,$H87)&lt;&gt;"Disqualified — Free Game",INDEX('Game Records'!$K:$K,$H87)=""),"Final Earned; ","")&amp;IF(AND(LOWER(INDEX('Game Records'!$D:$D,$H87)&amp;"")="finalized",INDEX('Game Records'!$U:$U,$H87)&lt;&gt;"Subscription",INDEX('Game Records'!$U:$U,$H87)&lt;&gt;"Free Game",INDEX('Game Records'!$U:$U,$H87)&lt;&gt;"Disqualified — Free Game",OR(INDEX('Game Records'!$L:$L,$H87)="",LOWER(INDEX('Game Records'!$L:$L,$H87)&amp;"")="n/a")),"Disqualified Status; ",""))</x:f>
        <x:v/>
      </x:c>
      <x:c r="G87" s="331" t="str">
        <x:f>IF($H87="","",IFERROR(INDEX('Game Records'!$M:$M,$H87),""))</x:f>
        <x:v/>
      </x:c>
      <x:c r="H87" s="104" t="str">
        <x:f>IF($H86="","",IFERROR(MATCH(1,INDEX((ROW('Game Records'!$U$5:$U$504)&gt;$H86)*(('Game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7" s="104"/>
      <x:c r="J87" s="104"/>
    </x:row>
    <x:row r="88" ht="24" hidden="0" customHeight="1">
      <x:c r="A88" s="332" t="str">
        <x:f>IF($H88="","",ROWS($A$5:A88))</x:f>
        <x:v/>
      </x:c>
      <x:c r="B88" s="332" t="str">
        <x:f>IF($H88="","","G-"&amp;TEXT($A88,"0000"))</x:f>
        <x:v/>
      </x:c>
      <x:c r="C88" s="331" t="str">
        <x:f>IF($H88="","",IFERROR(INDEX('Game Records'!$A:$A,$H88),""))</x:f>
        <x:v/>
      </x:c>
      <x:c r="D88" s="331" t="str">
        <x:f>IF($H88="","",IFERROR(INDEX('Game Records'!$U:$U,$H88),""))</x:f>
        <x:v/>
      </x:c>
      <x:c r="E88" s="331" t="str">
        <x:f>IF($H88="","",IF($F88="","No Highlighted Fields","Highlighted Fields Present"))</x:f>
        <x:v/>
      </x:c>
      <x:c r="F88" s="331" t="str">
        <x:f>IF($H88="","",IF(INDEX('Game Records'!$B:$B,$H88)="","Start Date; ","")&amp;IF(INDEX('Game Records'!$C:$C,$H88)="","End Date; ","")&amp;IF(AND(INDEX('Game Records'!$U:$U,$H88)&lt;&gt;"Subscription",INDEX('Game Records'!$U:$U,$H88)&lt;&gt;"Free Game",INDEX('Game Records'!$U:$U,$H88)&lt;&gt;"Disqualified — Free Game",OR(INDEX('Game Records'!$D:$D,$H88)="",LOWER(INDEX('Game Records'!$D:$D,$H88)&amp;"")="n/a")),"Entry Mode; ","")&amp;IF(AND(INDEX('Game Records'!$U:$U,$H88)&lt;&gt;"Subscription",INDEX('Game Records'!$U:$U,$H88)&lt;&gt;"Free Game",INDEX('Game Records'!$U:$U,$H88)&lt;&gt;"Disqualified — Free Game",OR(INDEX('Game Records'!$E:$E,$H88)="",LOWER(INDEX('Game Records'!$E:$E,$H88)&amp;"")="n/a")),"Game Type; ","")&amp;IF(INDEX('Game Records'!$F:$F,$H88)="","Payment Type; ","")&amp;IF(AND(INDEX('Game Records'!$U:$U,$H88)&lt;&gt;"Subscription",INDEX('Game Records'!$U:$U,$H88)&lt;&gt;"Free Game",INDEX('Game Records'!$U:$U,$H88)&lt;&gt;"Disqualified — Free Game",INDEX('Game Records'!$G:$G,$H88)=""),"Gross Pot; ","")&amp;IF(AND(INDEX('Game Records'!$U:$U,$H88)&lt;&gt;"Free Game",INDEX('Game Records'!$U:$U,$H88)&lt;&gt;"Disqualified — Free Game",INDEX('Game Records'!$H:$H,$H88)=""),"Entry Fee; ","")&amp;IF(AND(INDEX('Game Records'!$U:$U,$H88)&lt;&gt;"Subscription",INDEX('Game Records'!$U:$U,$H88)&lt;&gt;"Free Game",INDEX('Game Records'!$U:$U,$H88)&lt;&gt;"Disqualified — Free Game",INDEX('Game Records'!$I:$I,$H88)=""),"Eligible Players; ","")&amp;IF(AND(INDEX('Game Records'!$U:$U,$H88)&lt;&gt;"Subscription",INDEX('Game Records'!$U:$U,$H88)&lt;&gt;"Free Game",INDEX('Game Records'!$U:$U,$H88)&lt;&gt;"Disqualified — Free Game",INDEX('Game Records'!$J:$J,$H88)=""),"Total Players; ","")&amp;IF(AND(LOWER(INDEX('Game Records'!$D:$D,$H88)&amp;"")="finalized",LOWER(INDEX('Game Records'!$L:$L,$H88)&amp;"")&lt;&gt;"yes",INDEX('Game Records'!$U:$U,$H88)&lt;&gt;"Subscription",INDEX('Game Records'!$U:$U,$H88)&lt;&gt;"Free Game",INDEX('Game Records'!$U:$U,$H88)&lt;&gt;"Disqualified — Free Game",INDEX('Game Records'!$K:$K,$H88)=""),"Final Earned; ","")&amp;IF(AND(LOWER(INDEX('Game Records'!$D:$D,$H88)&amp;"")="finalized",INDEX('Game Records'!$U:$U,$H88)&lt;&gt;"Subscription",INDEX('Game Records'!$U:$U,$H88)&lt;&gt;"Free Game",INDEX('Game Records'!$U:$U,$H88)&lt;&gt;"Disqualified — Free Game",OR(INDEX('Game Records'!$L:$L,$H88)="",LOWER(INDEX('Game Records'!$L:$L,$H88)&amp;"")="n/a")),"Disqualified Status; ",""))</x:f>
        <x:v/>
      </x:c>
      <x:c r="G88" s="331" t="str">
        <x:f>IF($H88="","",IFERROR(INDEX('Game Records'!$M:$M,$H88),""))</x:f>
        <x:v/>
      </x:c>
      <x:c r="H88" s="104" t="str">
        <x:f>IF($H87="","",IFERROR(MATCH(1,INDEX((ROW('Game Records'!$U$5:$U$504)&gt;$H87)*(('Game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8" s="104"/>
      <x:c r="J88" s="104"/>
    </x:row>
    <x:row r="89" ht="24" hidden="0" customHeight="1">
      <x:c r="A89" s="332" t="str">
        <x:f>IF($H89="","",ROWS($A$5:A89))</x:f>
        <x:v/>
      </x:c>
      <x:c r="B89" s="332" t="str">
        <x:f>IF($H89="","","G-"&amp;TEXT($A89,"0000"))</x:f>
        <x:v/>
      </x:c>
      <x:c r="C89" s="331" t="str">
        <x:f>IF($H89="","",IFERROR(INDEX('Game Records'!$A:$A,$H89),""))</x:f>
        <x:v/>
      </x:c>
      <x:c r="D89" s="331" t="str">
        <x:f>IF($H89="","",IFERROR(INDEX('Game Records'!$U:$U,$H89),""))</x:f>
        <x:v/>
      </x:c>
      <x:c r="E89" s="331" t="str">
        <x:f>IF($H89="","",IF($F89="","No Highlighted Fields","Highlighted Fields Present"))</x:f>
        <x:v/>
      </x:c>
      <x:c r="F89" s="331" t="str">
        <x:f>IF($H89="","",IF(INDEX('Game Records'!$B:$B,$H89)="","Start Date; ","")&amp;IF(INDEX('Game Records'!$C:$C,$H89)="","End Date; ","")&amp;IF(AND(INDEX('Game Records'!$U:$U,$H89)&lt;&gt;"Subscription",INDEX('Game Records'!$U:$U,$H89)&lt;&gt;"Free Game",INDEX('Game Records'!$U:$U,$H89)&lt;&gt;"Disqualified — Free Game",OR(INDEX('Game Records'!$D:$D,$H89)="",LOWER(INDEX('Game Records'!$D:$D,$H89)&amp;"")="n/a")),"Entry Mode; ","")&amp;IF(AND(INDEX('Game Records'!$U:$U,$H89)&lt;&gt;"Subscription",INDEX('Game Records'!$U:$U,$H89)&lt;&gt;"Free Game",INDEX('Game Records'!$U:$U,$H89)&lt;&gt;"Disqualified — Free Game",OR(INDEX('Game Records'!$E:$E,$H89)="",LOWER(INDEX('Game Records'!$E:$E,$H89)&amp;"")="n/a")),"Game Type; ","")&amp;IF(INDEX('Game Records'!$F:$F,$H89)="","Payment Type; ","")&amp;IF(AND(INDEX('Game Records'!$U:$U,$H89)&lt;&gt;"Subscription",INDEX('Game Records'!$U:$U,$H89)&lt;&gt;"Free Game",INDEX('Game Records'!$U:$U,$H89)&lt;&gt;"Disqualified — Free Game",INDEX('Game Records'!$G:$G,$H89)=""),"Gross Pot; ","")&amp;IF(AND(INDEX('Game Records'!$U:$U,$H89)&lt;&gt;"Free Game",INDEX('Game Records'!$U:$U,$H89)&lt;&gt;"Disqualified — Free Game",INDEX('Game Records'!$H:$H,$H89)=""),"Entry Fee; ","")&amp;IF(AND(INDEX('Game Records'!$U:$U,$H89)&lt;&gt;"Subscription",INDEX('Game Records'!$U:$U,$H89)&lt;&gt;"Free Game",INDEX('Game Records'!$U:$U,$H89)&lt;&gt;"Disqualified — Free Game",INDEX('Game Records'!$I:$I,$H89)=""),"Eligible Players; ","")&amp;IF(AND(INDEX('Game Records'!$U:$U,$H89)&lt;&gt;"Subscription",INDEX('Game Records'!$U:$U,$H89)&lt;&gt;"Free Game",INDEX('Game Records'!$U:$U,$H89)&lt;&gt;"Disqualified — Free Game",INDEX('Game Records'!$J:$J,$H89)=""),"Total Players; ","")&amp;IF(AND(LOWER(INDEX('Game Records'!$D:$D,$H89)&amp;"")="finalized",LOWER(INDEX('Game Records'!$L:$L,$H89)&amp;"")&lt;&gt;"yes",INDEX('Game Records'!$U:$U,$H89)&lt;&gt;"Subscription",INDEX('Game Records'!$U:$U,$H89)&lt;&gt;"Free Game",INDEX('Game Records'!$U:$U,$H89)&lt;&gt;"Disqualified — Free Game",INDEX('Game Records'!$K:$K,$H89)=""),"Final Earned; ","")&amp;IF(AND(LOWER(INDEX('Game Records'!$D:$D,$H89)&amp;"")="finalized",INDEX('Game Records'!$U:$U,$H89)&lt;&gt;"Subscription",INDEX('Game Records'!$U:$U,$H89)&lt;&gt;"Free Game",INDEX('Game Records'!$U:$U,$H89)&lt;&gt;"Disqualified — Free Game",OR(INDEX('Game Records'!$L:$L,$H89)="",LOWER(INDEX('Game Records'!$L:$L,$H89)&amp;"")="n/a")),"Disqualified Status; ",""))</x:f>
        <x:v/>
      </x:c>
      <x:c r="G89" s="331" t="str">
        <x:f>IF($H89="","",IFERROR(INDEX('Game Records'!$M:$M,$H89),""))</x:f>
        <x:v/>
      </x:c>
      <x:c r="H89" s="104" t="str">
        <x:f>IF($H88="","",IFERROR(MATCH(1,INDEX((ROW('Game Records'!$U$5:$U$504)&gt;$H88)*(('Game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89" s="104"/>
      <x:c r="J89" s="104"/>
    </x:row>
    <x:row r="90" ht="24" hidden="0" customHeight="1">
      <x:c r="A90" s="332" t="str">
        <x:f>IF($H90="","",ROWS($A$5:A90))</x:f>
        <x:v/>
      </x:c>
      <x:c r="B90" s="332" t="str">
        <x:f>IF($H90="","","G-"&amp;TEXT($A90,"0000"))</x:f>
        <x:v/>
      </x:c>
      <x:c r="C90" s="331" t="str">
        <x:f>IF($H90="","",IFERROR(INDEX('Game Records'!$A:$A,$H90),""))</x:f>
        <x:v/>
      </x:c>
      <x:c r="D90" s="331" t="str">
        <x:f>IF($H90="","",IFERROR(INDEX('Game Records'!$U:$U,$H90),""))</x:f>
        <x:v/>
      </x:c>
      <x:c r="E90" s="331" t="str">
        <x:f>IF($H90="","",IF($F90="","No Highlighted Fields","Highlighted Fields Present"))</x:f>
        <x:v/>
      </x:c>
      <x:c r="F90" s="331" t="str">
        <x:f>IF($H90="","",IF(INDEX('Game Records'!$B:$B,$H90)="","Start Date; ","")&amp;IF(INDEX('Game Records'!$C:$C,$H90)="","End Date; ","")&amp;IF(AND(INDEX('Game Records'!$U:$U,$H90)&lt;&gt;"Subscription",INDEX('Game Records'!$U:$U,$H90)&lt;&gt;"Free Game",INDEX('Game Records'!$U:$U,$H90)&lt;&gt;"Disqualified — Free Game",OR(INDEX('Game Records'!$D:$D,$H90)="",LOWER(INDEX('Game Records'!$D:$D,$H90)&amp;"")="n/a")),"Entry Mode; ","")&amp;IF(AND(INDEX('Game Records'!$U:$U,$H90)&lt;&gt;"Subscription",INDEX('Game Records'!$U:$U,$H90)&lt;&gt;"Free Game",INDEX('Game Records'!$U:$U,$H90)&lt;&gt;"Disqualified — Free Game",OR(INDEX('Game Records'!$E:$E,$H90)="",LOWER(INDEX('Game Records'!$E:$E,$H90)&amp;"")="n/a")),"Game Type; ","")&amp;IF(INDEX('Game Records'!$F:$F,$H90)="","Payment Type; ","")&amp;IF(AND(INDEX('Game Records'!$U:$U,$H90)&lt;&gt;"Subscription",INDEX('Game Records'!$U:$U,$H90)&lt;&gt;"Free Game",INDEX('Game Records'!$U:$U,$H90)&lt;&gt;"Disqualified — Free Game",INDEX('Game Records'!$G:$G,$H90)=""),"Gross Pot; ","")&amp;IF(AND(INDEX('Game Records'!$U:$U,$H90)&lt;&gt;"Free Game",INDEX('Game Records'!$U:$U,$H90)&lt;&gt;"Disqualified — Free Game",INDEX('Game Records'!$H:$H,$H90)=""),"Entry Fee; ","")&amp;IF(AND(INDEX('Game Records'!$U:$U,$H90)&lt;&gt;"Subscription",INDEX('Game Records'!$U:$U,$H90)&lt;&gt;"Free Game",INDEX('Game Records'!$U:$U,$H90)&lt;&gt;"Disqualified — Free Game",INDEX('Game Records'!$I:$I,$H90)=""),"Eligible Players; ","")&amp;IF(AND(INDEX('Game Records'!$U:$U,$H90)&lt;&gt;"Subscription",INDEX('Game Records'!$U:$U,$H90)&lt;&gt;"Free Game",INDEX('Game Records'!$U:$U,$H90)&lt;&gt;"Disqualified — Free Game",INDEX('Game Records'!$J:$J,$H90)=""),"Total Players; ","")&amp;IF(AND(LOWER(INDEX('Game Records'!$D:$D,$H90)&amp;"")="finalized",LOWER(INDEX('Game Records'!$L:$L,$H90)&amp;"")&lt;&gt;"yes",INDEX('Game Records'!$U:$U,$H90)&lt;&gt;"Subscription",INDEX('Game Records'!$U:$U,$H90)&lt;&gt;"Free Game",INDEX('Game Records'!$U:$U,$H90)&lt;&gt;"Disqualified — Free Game",INDEX('Game Records'!$K:$K,$H90)=""),"Final Earned; ","")&amp;IF(AND(LOWER(INDEX('Game Records'!$D:$D,$H90)&amp;"")="finalized",INDEX('Game Records'!$U:$U,$H90)&lt;&gt;"Subscription",INDEX('Game Records'!$U:$U,$H90)&lt;&gt;"Free Game",INDEX('Game Records'!$U:$U,$H90)&lt;&gt;"Disqualified — Free Game",OR(INDEX('Game Records'!$L:$L,$H90)="",LOWER(INDEX('Game Records'!$L:$L,$H90)&amp;"")="n/a")),"Disqualified Status; ",""))</x:f>
        <x:v/>
      </x:c>
      <x:c r="G90" s="331" t="str">
        <x:f>IF($H90="","",IFERROR(INDEX('Game Records'!$M:$M,$H90),""))</x:f>
        <x:v/>
      </x:c>
      <x:c r="H90" s="104" t="str">
        <x:f>IF($H89="","",IFERROR(MATCH(1,INDEX((ROW('Game Records'!$U$5:$U$504)&gt;$H89)*(('Game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0" s="104"/>
      <x:c r="J90" s="104"/>
    </x:row>
    <x:row r="91" ht="24" hidden="0" customHeight="1">
      <x:c r="A91" s="332" t="str">
        <x:f>IF($H91="","",ROWS($A$5:A91))</x:f>
        <x:v/>
      </x:c>
      <x:c r="B91" s="332" t="str">
        <x:f>IF($H91="","","G-"&amp;TEXT($A91,"0000"))</x:f>
        <x:v/>
      </x:c>
      <x:c r="C91" s="331" t="str">
        <x:f>IF($H91="","",IFERROR(INDEX('Game Records'!$A:$A,$H91),""))</x:f>
        <x:v/>
      </x:c>
      <x:c r="D91" s="331" t="str">
        <x:f>IF($H91="","",IFERROR(INDEX('Game Records'!$U:$U,$H91),""))</x:f>
        <x:v/>
      </x:c>
      <x:c r="E91" s="331" t="str">
        <x:f>IF($H91="","",IF($F91="","No Highlighted Fields","Highlighted Fields Present"))</x:f>
        <x:v/>
      </x:c>
      <x:c r="F91" s="331" t="str">
        <x:f>IF($H91="","",IF(INDEX('Game Records'!$B:$B,$H91)="","Start Date; ","")&amp;IF(INDEX('Game Records'!$C:$C,$H91)="","End Date; ","")&amp;IF(AND(INDEX('Game Records'!$U:$U,$H91)&lt;&gt;"Subscription",INDEX('Game Records'!$U:$U,$H91)&lt;&gt;"Free Game",INDEX('Game Records'!$U:$U,$H91)&lt;&gt;"Disqualified — Free Game",OR(INDEX('Game Records'!$D:$D,$H91)="",LOWER(INDEX('Game Records'!$D:$D,$H91)&amp;"")="n/a")),"Entry Mode; ","")&amp;IF(AND(INDEX('Game Records'!$U:$U,$H91)&lt;&gt;"Subscription",INDEX('Game Records'!$U:$U,$H91)&lt;&gt;"Free Game",INDEX('Game Records'!$U:$U,$H91)&lt;&gt;"Disqualified — Free Game",OR(INDEX('Game Records'!$E:$E,$H91)="",LOWER(INDEX('Game Records'!$E:$E,$H91)&amp;"")="n/a")),"Game Type; ","")&amp;IF(INDEX('Game Records'!$F:$F,$H91)="","Payment Type; ","")&amp;IF(AND(INDEX('Game Records'!$U:$U,$H91)&lt;&gt;"Subscription",INDEX('Game Records'!$U:$U,$H91)&lt;&gt;"Free Game",INDEX('Game Records'!$U:$U,$H91)&lt;&gt;"Disqualified — Free Game",INDEX('Game Records'!$G:$G,$H91)=""),"Gross Pot; ","")&amp;IF(AND(INDEX('Game Records'!$U:$U,$H91)&lt;&gt;"Free Game",INDEX('Game Records'!$U:$U,$H91)&lt;&gt;"Disqualified — Free Game",INDEX('Game Records'!$H:$H,$H91)=""),"Entry Fee; ","")&amp;IF(AND(INDEX('Game Records'!$U:$U,$H91)&lt;&gt;"Subscription",INDEX('Game Records'!$U:$U,$H91)&lt;&gt;"Free Game",INDEX('Game Records'!$U:$U,$H91)&lt;&gt;"Disqualified — Free Game",INDEX('Game Records'!$I:$I,$H91)=""),"Eligible Players; ","")&amp;IF(AND(INDEX('Game Records'!$U:$U,$H91)&lt;&gt;"Subscription",INDEX('Game Records'!$U:$U,$H91)&lt;&gt;"Free Game",INDEX('Game Records'!$U:$U,$H91)&lt;&gt;"Disqualified — Free Game",INDEX('Game Records'!$J:$J,$H91)=""),"Total Players; ","")&amp;IF(AND(LOWER(INDEX('Game Records'!$D:$D,$H91)&amp;"")="finalized",LOWER(INDEX('Game Records'!$L:$L,$H91)&amp;"")&lt;&gt;"yes",INDEX('Game Records'!$U:$U,$H91)&lt;&gt;"Subscription",INDEX('Game Records'!$U:$U,$H91)&lt;&gt;"Free Game",INDEX('Game Records'!$U:$U,$H91)&lt;&gt;"Disqualified — Free Game",INDEX('Game Records'!$K:$K,$H91)=""),"Final Earned; ","")&amp;IF(AND(LOWER(INDEX('Game Records'!$D:$D,$H91)&amp;"")="finalized",INDEX('Game Records'!$U:$U,$H91)&lt;&gt;"Subscription",INDEX('Game Records'!$U:$U,$H91)&lt;&gt;"Free Game",INDEX('Game Records'!$U:$U,$H91)&lt;&gt;"Disqualified — Free Game",OR(INDEX('Game Records'!$L:$L,$H91)="",LOWER(INDEX('Game Records'!$L:$L,$H91)&amp;"")="n/a")),"Disqualified Status; ",""))</x:f>
        <x:v/>
      </x:c>
      <x:c r="G91" s="331" t="str">
        <x:f>IF($H91="","",IFERROR(INDEX('Game Records'!$M:$M,$H91),""))</x:f>
        <x:v/>
      </x:c>
      <x:c r="H91" s="104" t="str">
        <x:f>IF($H90="","",IFERROR(MATCH(1,INDEX((ROW('Game Records'!$U$5:$U$504)&gt;$H90)*(('Game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1" s="104"/>
      <x:c r="J91" s="104"/>
    </x:row>
    <x:row r="92" ht="24" hidden="0" customHeight="1">
      <x:c r="A92" s="332" t="str">
        <x:f>IF($H92="","",ROWS($A$5:A92))</x:f>
        <x:v/>
      </x:c>
      <x:c r="B92" s="332" t="str">
        <x:f>IF($H92="","","G-"&amp;TEXT($A92,"0000"))</x:f>
        <x:v/>
      </x:c>
      <x:c r="C92" s="331" t="str">
        <x:f>IF($H92="","",IFERROR(INDEX('Game Records'!$A:$A,$H92),""))</x:f>
        <x:v/>
      </x:c>
      <x:c r="D92" s="331" t="str">
        <x:f>IF($H92="","",IFERROR(INDEX('Game Records'!$U:$U,$H92),""))</x:f>
        <x:v/>
      </x:c>
      <x:c r="E92" s="331" t="str">
        <x:f>IF($H92="","",IF($F92="","No Highlighted Fields","Highlighted Fields Present"))</x:f>
        <x:v/>
      </x:c>
      <x:c r="F92" s="331" t="str">
        <x:f>IF($H92="","",IF(INDEX('Game Records'!$B:$B,$H92)="","Start Date; ","")&amp;IF(INDEX('Game Records'!$C:$C,$H92)="","End Date; ","")&amp;IF(AND(INDEX('Game Records'!$U:$U,$H92)&lt;&gt;"Subscription",INDEX('Game Records'!$U:$U,$H92)&lt;&gt;"Free Game",INDEX('Game Records'!$U:$U,$H92)&lt;&gt;"Disqualified — Free Game",OR(INDEX('Game Records'!$D:$D,$H92)="",LOWER(INDEX('Game Records'!$D:$D,$H92)&amp;"")="n/a")),"Entry Mode; ","")&amp;IF(AND(INDEX('Game Records'!$U:$U,$H92)&lt;&gt;"Subscription",INDEX('Game Records'!$U:$U,$H92)&lt;&gt;"Free Game",INDEX('Game Records'!$U:$U,$H92)&lt;&gt;"Disqualified — Free Game",OR(INDEX('Game Records'!$E:$E,$H92)="",LOWER(INDEX('Game Records'!$E:$E,$H92)&amp;"")="n/a")),"Game Type; ","")&amp;IF(INDEX('Game Records'!$F:$F,$H92)="","Payment Type; ","")&amp;IF(AND(INDEX('Game Records'!$U:$U,$H92)&lt;&gt;"Subscription",INDEX('Game Records'!$U:$U,$H92)&lt;&gt;"Free Game",INDEX('Game Records'!$U:$U,$H92)&lt;&gt;"Disqualified — Free Game",INDEX('Game Records'!$G:$G,$H92)=""),"Gross Pot; ","")&amp;IF(AND(INDEX('Game Records'!$U:$U,$H92)&lt;&gt;"Free Game",INDEX('Game Records'!$U:$U,$H92)&lt;&gt;"Disqualified — Free Game",INDEX('Game Records'!$H:$H,$H92)=""),"Entry Fee; ","")&amp;IF(AND(INDEX('Game Records'!$U:$U,$H92)&lt;&gt;"Subscription",INDEX('Game Records'!$U:$U,$H92)&lt;&gt;"Free Game",INDEX('Game Records'!$U:$U,$H92)&lt;&gt;"Disqualified — Free Game",INDEX('Game Records'!$I:$I,$H92)=""),"Eligible Players; ","")&amp;IF(AND(INDEX('Game Records'!$U:$U,$H92)&lt;&gt;"Subscription",INDEX('Game Records'!$U:$U,$H92)&lt;&gt;"Free Game",INDEX('Game Records'!$U:$U,$H92)&lt;&gt;"Disqualified — Free Game",INDEX('Game Records'!$J:$J,$H92)=""),"Total Players; ","")&amp;IF(AND(LOWER(INDEX('Game Records'!$D:$D,$H92)&amp;"")="finalized",LOWER(INDEX('Game Records'!$L:$L,$H92)&amp;"")&lt;&gt;"yes",INDEX('Game Records'!$U:$U,$H92)&lt;&gt;"Subscription",INDEX('Game Records'!$U:$U,$H92)&lt;&gt;"Free Game",INDEX('Game Records'!$U:$U,$H92)&lt;&gt;"Disqualified — Free Game",INDEX('Game Records'!$K:$K,$H92)=""),"Final Earned; ","")&amp;IF(AND(LOWER(INDEX('Game Records'!$D:$D,$H92)&amp;"")="finalized",INDEX('Game Records'!$U:$U,$H92)&lt;&gt;"Subscription",INDEX('Game Records'!$U:$U,$H92)&lt;&gt;"Free Game",INDEX('Game Records'!$U:$U,$H92)&lt;&gt;"Disqualified — Free Game",OR(INDEX('Game Records'!$L:$L,$H92)="",LOWER(INDEX('Game Records'!$L:$L,$H92)&amp;"")="n/a")),"Disqualified Status; ",""))</x:f>
        <x:v/>
      </x:c>
      <x:c r="G92" s="331" t="str">
        <x:f>IF($H92="","",IFERROR(INDEX('Game Records'!$M:$M,$H92),""))</x:f>
        <x:v/>
      </x:c>
      <x:c r="H92" s="104" t="str">
        <x:f>IF($H91="","",IFERROR(MATCH(1,INDEX((ROW('Game Records'!$U$5:$U$504)&gt;$H91)*(('Game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2" s="104"/>
      <x:c r="J92" s="104"/>
    </x:row>
    <x:row r="93" ht="24" hidden="0" customHeight="1">
      <x:c r="A93" s="332" t="str">
        <x:f>IF($H93="","",ROWS($A$5:A93))</x:f>
        <x:v/>
      </x:c>
      <x:c r="B93" s="332" t="str">
        <x:f>IF($H93="","","G-"&amp;TEXT($A93,"0000"))</x:f>
        <x:v/>
      </x:c>
      <x:c r="C93" s="331" t="str">
        <x:f>IF($H93="","",IFERROR(INDEX('Game Records'!$A:$A,$H93),""))</x:f>
        <x:v/>
      </x:c>
      <x:c r="D93" s="331" t="str">
        <x:f>IF($H93="","",IFERROR(INDEX('Game Records'!$U:$U,$H93),""))</x:f>
        <x:v/>
      </x:c>
      <x:c r="E93" s="331" t="str">
        <x:f>IF($H93="","",IF($F93="","No Highlighted Fields","Highlighted Fields Present"))</x:f>
        <x:v/>
      </x:c>
      <x:c r="F93" s="331" t="str">
        <x:f>IF($H93="","",IF(INDEX('Game Records'!$B:$B,$H93)="","Start Date; ","")&amp;IF(INDEX('Game Records'!$C:$C,$H93)="","End Date; ","")&amp;IF(AND(INDEX('Game Records'!$U:$U,$H93)&lt;&gt;"Subscription",INDEX('Game Records'!$U:$U,$H93)&lt;&gt;"Free Game",INDEX('Game Records'!$U:$U,$H93)&lt;&gt;"Disqualified — Free Game",OR(INDEX('Game Records'!$D:$D,$H93)="",LOWER(INDEX('Game Records'!$D:$D,$H93)&amp;"")="n/a")),"Entry Mode; ","")&amp;IF(AND(INDEX('Game Records'!$U:$U,$H93)&lt;&gt;"Subscription",INDEX('Game Records'!$U:$U,$H93)&lt;&gt;"Free Game",INDEX('Game Records'!$U:$U,$H93)&lt;&gt;"Disqualified — Free Game",OR(INDEX('Game Records'!$E:$E,$H93)="",LOWER(INDEX('Game Records'!$E:$E,$H93)&amp;"")="n/a")),"Game Type; ","")&amp;IF(INDEX('Game Records'!$F:$F,$H93)="","Payment Type; ","")&amp;IF(AND(INDEX('Game Records'!$U:$U,$H93)&lt;&gt;"Subscription",INDEX('Game Records'!$U:$U,$H93)&lt;&gt;"Free Game",INDEX('Game Records'!$U:$U,$H93)&lt;&gt;"Disqualified — Free Game",INDEX('Game Records'!$G:$G,$H93)=""),"Gross Pot; ","")&amp;IF(AND(INDEX('Game Records'!$U:$U,$H93)&lt;&gt;"Free Game",INDEX('Game Records'!$U:$U,$H93)&lt;&gt;"Disqualified — Free Game",INDEX('Game Records'!$H:$H,$H93)=""),"Entry Fee; ","")&amp;IF(AND(INDEX('Game Records'!$U:$U,$H93)&lt;&gt;"Subscription",INDEX('Game Records'!$U:$U,$H93)&lt;&gt;"Free Game",INDEX('Game Records'!$U:$U,$H93)&lt;&gt;"Disqualified — Free Game",INDEX('Game Records'!$I:$I,$H93)=""),"Eligible Players; ","")&amp;IF(AND(INDEX('Game Records'!$U:$U,$H93)&lt;&gt;"Subscription",INDEX('Game Records'!$U:$U,$H93)&lt;&gt;"Free Game",INDEX('Game Records'!$U:$U,$H93)&lt;&gt;"Disqualified — Free Game",INDEX('Game Records'!$J:$J,$H93)=""),"Total Players; ","")&amp;IF(AND(LOWER(INDEX('Game Records'!$D:$D,$H93)&amp;"")="finalized",LOWER(INDEX('Game Records'!$L:$L,$H93)&amp;"")&lt;&gt;"yes",INDEX('Game Records'!$U:$U,$H93)&lt;&gt;"Subscription",INDEX('Game Records'!$U:$U,$H93)&lt;&gt;"Free Game",INDEX('Game Records'!$U:$U,$H93)&lt;&gt;"Disqualified — Free Game",INDEX('Game Records'!$K:$K,$H93)=""),"Final Earned; ","")&amp;IF(AND(LOWER(INDEX('Game Records'!$D:$D,$H93)&amp;"")="finalized",INDEX('Game Records'!$U:$U,$H93)&lt;&gt;"Subscription",INDEX('Game Records'!$U:$U,$H93)&lt;&gt;"Free Game",INDEX('Game Records'!$U:$U,$H93)&lt;&gt;"Disqualified — Free Game",OR(INDEX('Game Records'!$L:$L,$H93)="",LOWER(INDEX('Game Records'!$L:$L,$H93)&amp;"")="n/a")),"Disqualified Status; ",""))</x:f>
        <x:v/>
      </x:c>
      <x:c r="G93" s="331" t="str">
        <x:f>IF($H93="","",IFERROR(INDEX('Game Records'!$M:$M,$H93),""))</x:f>
        <x:v/>
      </x:c>
      <x:c r="H93" s="104" t="str">
        <x:f>IF($H92="","",IFERROR(MATCH(1,INDEX((ROW('Game Records'!$U$5:$U$504)&gt;$H92)*(('Game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3" s="104"/>
      <x:c r="J93" s="104"/>
    </x:row>
    <x:row r="94" ht="24" hidden="0" customHeight="1">
      <x:c r="A94" s="332" t="str">
        <x:f>IF($H94="","",ROWS($A$5:A94))</x:f>
        <x:v/>
      </x:c>
      <x:c r="B94" s="332" t="str">
        <x:f>IF($H94="","","G-"&amp;TEXT($A94,"0000"))</x:f>
        <x:v/>
      </x:c>
      <x:c r="C94" s="331" t="str">
        <x:f>IF($H94="","",IFERROR(INDEX('Game Records'!$A:$A,$H94),""))</x:f>
        <x:v/>
      </x:c>
      <x:c r="D94" s="331" t="str">
        <x:f>IF($H94="","",IFERROR(INDEX('Game Records'!$U:$U,$H94),""))</x:f>
        <x:v/>
      </x:c>
      <x:c r="E94" s="331" t="str">
        <x:f>IF($H94="","",IF($F94="","No Highlighted Fields","Highlighted Fields Present"))</x:f>
        <x:v/>
      </x:c>
      <x:c r="F94" s="331" t="str">
        <x:f>IF($H94="","",IF(INDEX('Game Records'!$B:$B,$H94)="","Start Date; ","")&amp;IF(INDEX('Game Records'!$C:$C,$H94)="","End Date; ","")&amp;IF(AND(INDEX('Game Records'!$U:$U,$H94)&lt;&gt;"Subscription",INDEX('Game Records'!$U:$U,$H94)&lt;&gt;"Free Game",INDEX('Game Records'!$U:$U,$H94)&lt;&gt;"Disqualified — Free Game",OR(INDEX('Game Records'!$D:$D,$H94)="",LOWER(INDEX('Game Records'!$D:$D,$H94)&amp;"")="n/a")),"Entry Mode; ","")&amp;IF(AND(INDEX('Game Records'!$U:$U,$H94)&lt;&gt;"Subscription",INDEX('Game Records'!$U:$U,$H94)&lt;&gt;"Free Game",INDEX('Game Records'!$U:$U,$H94)&lt;&gt;"Disqualified — Free Game",OR(INDEX('Game Records'!$E:$E,$H94)="",LOWER(INDEX('Game Records'!$E:$E,$H94)&amp;"")="n/a")),"Game Type; ","")&amp;IF(INDEX('Game Records'!$F:$F,$H94)="","Payment Type; ","")&amp;IF(AND(INDEX('Game Records'!$U:$U,$H94)&lt;&gt;"Subscription",INDEX('Game Records'!$U:$U,$H94)&lt;&gt;"Free Game",INDEX('Game Records'!$U:$U,$H94)&lt;&gt;"Disqualified — Free Game",INDEX('Game Records'!$G:$G,$H94)=""),"Gross Pot; ","")&amp;IF(AND(INDEX('Game Records'!$U:$U,$H94)&lt;&gt;"Free Game",INDEX('Game Records'!$U:$U,$H94)&lt;&gt;"Disqualified — Free Game",INDEX('Game Records'!$H:$H,$H94)=""),"Entry Fee; ","")&amp;IF(AND(INDEX('Game Records'!$U:$U,$H94)&lt;&gt;"Subscription",INDEX('Game Records'!$U:$U,$H94)&lt;&gt;"Free Game",INDEX('Game Records'!$U:$U,$H94)&lt;&gt;"Disqualified — Free Game",INDEX('Game Records'!$I:$I,$H94)=""),"Eligible Players; ","")&amp;IF(AND(INDEX('Game Records'!$U:$U,$H94)&lt;&gt;"Subscription",INDEX('Game Records'!$U:$U,$H94)&lt;&gt;"Free Game",INDEX('Game Records'!$U:$U,$H94)&lt;&gt;"Disqualified — Free Game",INDEX('Game Records'!$J:$J,$H94)=""),"Total Players; ","")&amp;IF(AND(LOWER(INDEX('Game Records'!$D:$D,$H94)&amp;"")="finalized",LOWER(INDEX('Game Records'!$L:$L,$H94)&amp;"")&lt;&gt;"yes",INDEX('Game Records'!$U:$U,$H94)&lt;&gt;"Subscription",INDEX('Game Records'!$U:$U,$H94)&lt;&gt;"Free Game",INDEX('Game Records'!$U:$U,$H94)&lt;&gt;"Disqualified — Free Game",INDEX('Game Records'!$K:$K,$H94)=""),"Final Earned; ","")&amp;IF(AND(LOWER(INDEX('Game Records'!$D:$D,$H94)&amp;"")="finalized",INDEX('Game Records'!$U:$U,$H94)&lt;&gt;"Subscription",INDEX('Game Records'!$U:$U,$H94)&lt;&gt;"Free Game",INDEX('Game Records'!$U:$U,$H94)&lt;&gt;"Disqualified — Free Game",OR(INDEX('Game Records'!$L:$L,$H94)="",LOWER(INDEX('Game Records'!$L:$L,$H94)&amp;"")="n/a")),"Disqualified Status; ",""))</x:f>
        <x:v/>
      </x:c>
      <x:c r="G94" s="331" t="str">
        <x:f>IF($H94="","",IFERROR(INDEX('Game Records'!$M:$M,$H94),""))</x:f>
        <x:v/>
      </x:c>
      <x:c r="H94" s="104" t="str">
        <x:f>IF($H93="","",IFERROR(MATCH(1,INDEX((ROW('Game Records'!$U$5:$U$504)&gt;$H93)*(('Game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4" s="104"/>
      <x:c r="J94" s="104"/>
    </x:row>
    <x:row r="95" ht="24" hidden="0" customHeight="1">
      <x:c r="A95" s="332" t="str">
        <x:f>IF($H95="","",ROWS($A$5:A95))</x:f>
        <x:v/>
      </x:c>
      <x:c r="B95" s="332" t="str">
        <x:f>IF($H95="","","G-"&amp;TEXT($A95,"0000"))</x:f>
        <x:v/>
      </x:c>
      <x:c r="C95" s="331" t="str">
        <x:f>IF($H95="","",IFERROR(INDEX('Game Records'!$A:$A,$H95),""))</x:f>
        <x:v/>
      </x:c>
      <x:c r="D95" s="331" t="str">
        <x:f>IF($H95="","",IFERROR(INDEX('Game Records'!$U:$U,$H95),""))</x:f>
        <x:v/>
      </x:c>
      <x:c r="E95" s="331" t="str">
        <x:f>IF($H95="","",IF($F95="","No Highlighted Fields","Highlighted Fields Present"))</x:f>
        <x:v/>
      </x:c>
      <x:c r="F95" s="331" t="str">
        <x:f>IF($H95="","",IF(INDEX('Game Records'!$B:$B,$H95)="","Start Date; ","")&amp;IF(INDEX('Game Records'!$C:$C,$H95)="","End Date; ","")&amp;IF(AND(INDEX('Game Records'!$U:$U,$H95)&lt;&gt;"Subscription",INDEX('Game Records'!$U:$U,$H95)&lt;&gt;"Free Game",INDEX('Game Records'!$U:$U,$H95)&lt;&gt;"Disqualified — Free Game",OR(INDEX('Game Records'!$D:$D,$H95)="",LOWER(INDEX('Game Records'!$D:$D,$H95)&amp;"")="n/a")),"Entry Mode; ","")&amp;IF(AND(INDEX('Game Records'!$U:$U,$H95)&lt;&gt;"Subscription",INDEX('Game Records'!$U:$U,$H95)&lt;&gt;"Free Game",INDEX('Game Records'!$U:$U,$H95)&lt;&gt;"Disqualified — Free Game",OR(INDEX('Game Records'!$E:$E,$H95)="",LOWER(INDEX('Game Records'!$E:$E,$H95)&amp;"")="n/a")),"Game Type; ","")&amp;IF(INDEX('Game Records'!$F:$F,$H95)="","Payment Type; ","")&amp;IF(AND(INDEX('Game Records'!$U:$U,$H95)&lt;&gt;"Subscription",INDEX('Game Records'!$U:$U,$H95)&lt;&gt;"Free Game",INDEX('Game Records'!$U:$U,$H95)&lt;&gt;"Disqualified — Free Game",INDEX('Game Records'!$G:$G,$H95)=""),"Gross Pot; ","")&amp;IF(AND(INDEX('Game Records'!$U:$U,$H95)&lt;&gt;"Free Game",INDEX('Game Records'!$U:$U,$H95)&lt;&gt;"Disqualified — Free Game",INDEX('Game Records'!$H:$H,$H95)=""),"Entry Fee; ","")&amp;IF(AND(INDEX('Game Records'!$U:$U,$H95)&lt;&gt;"Subscription",INDEX('Game Records'!$U:$U,$H95)&lt;&gt;"Free Game",INDEX('Game Records'!$U:$U,$H95)&lt;&gt;"Disqualified — Free Game",INDEX('Game Records'!$I:$I,$H95)=""),"Eligible Players; ","")&amp;IF(AND(INDEX('Game Records'!$U:$U,$H95)&lt;&gt;"Subscription",INDEX('Game Records'!$U:$U,$H95)&lt;&gt;"Free Game",INDEX('Game Records'!$U:$U,$H95)&lt;&gt;"Disqualified — Free Game",INDEX('Game Records'!$J:$J,$H95)=""),"Total Players; ","")&amp;IF(AND(LOWER(INDEX('Game Records'!$D:$D,$H95)&amp;"")="finalized",LOWER(INDEX('Game Records'!$L:$L,$H95)&amp;"")&lt;&gt;"yes",INDEX('Game Records'!$U:$U,$H95)&lt;&gt;"Subscription",INDEX('Game Records'!$U:$U,$H95)&lt;&gt;"Free Game",INDEX('Game Records'!$U:$U,$H95)&lt;&gt;"Disqualified — Free Game",INDEX('Game Records'!$K:$K,$H95)=""),"Final Earned; ","")&amp;IF(AND(LOWER(INDEX('Game Records'!$D:$D,$H95)&amp;"")="finalized",INDEX('Game Records'!$U:$U,$H95)&lt;&gt;"Subscription",INDEX('Game Records'!$U:$U,$H95)&lt;&gt;"Free Game",INDEX('Game Records'!$U:$U,$H95)&lt;&gt;"Disqualified — Free Game",OR(INDEX('Game Records'!$L:$L,$H95)="",LOWER(INDEX('Game Records'!$L:$L,$H95)&amp;"")="n/a")),"Disqualified Status; ",""))</x:f>
        <x:v/>
      </x:c>
      <x:c r="G95" s="331" t="str">
        <x:f>IF($H95="","",IFERROR(INDEX('Game Records'!$M:$M,$H95),""))</x:f>
        <x:v/>
      </x:c>
      <x:c r="H95" s="104" t="str">
        <x:f>IF($H94="","",IFERROR(MATCH(1,INDEX((ROW('Game Records'!$U$5:$U$504)&gt;$H94)*(('Game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5" s="104"/>
      <x:c r="J95" s="104"/>
    </x:row>
    <x:row r="96" ht="24" hidden="0" customHeight="1">
      <x:c r="A96" s="332" t="str">
        <x:f>IF($H96="","",ROWS($A$5:A96))</x:f>
        <x:v/>
      </x:c>
      <x:c r="B96" s="332" t="str">
        <x:f>IF($H96="","","G-"&amp;TEXT($A96,"0000"))</x:f>
        <x:v/>
      </x:c>
      <x:c r="C96" s="331" t="str">
        <x:f>IF($H96="","",IFERROR(INDEX('Game Records'!$A:$A,$H96),""))</x:f>
        <x:v/>
      </x:c>
      <x:c r="D96" s="331" t="str">
        <x:f>IF($H96="","",IFERROR(INDEX('Game Records'!$U:$U,$H96),""))</x:f>
        <x:v/>
      </x:c>
      <x:c r="E96" s="331" t="str">
        <x:f>IF($H96="","",IF($F96="","No Highlighted Fields","Highlighted Fields Present"))</x:f>
        <x:v/>
      </x:c>
      <x:c r="F96" s="331" t="str">
        <x:f>IF($H96="","",IF(INDEX('Game Records'!$B:$B,$H96)="","Start Date; ","")&amp;IF(INDEX('Game Records'!$C:$C,$H96)="","End Date; ","")&amp;IF(AND(INDEX('Game Records'!$U:$U,$H96)&lt;&gt;"Subscription",INDEX('Game Records'!$U:$U,$H96)&lt;&gt;"Free Game",INDEX('Game Records'!$U:$U,$H96)&lt;&gt;"Disqualified — Free Game",OR(INDEX('Game Records'!$D:$D,$H96)="",LOWER(INDEX('Game Records'!$D:$D,$H96)&amp;"")="n/a")),"Entry Mode; ","")&amp;IF(AND(INDEX('Game Records'!$U:$U,$H96)&lt;&gt;"Subscription",INDEX('Game Records'!$U:$U,$H96)&lt;&gt;"Free Game",INDEX('Game Records'!$U:$U,$H96)&lt;&gt;"Disqualified — Free Game",OR(INDEX('Game Records'!$E:$E,$H96)="",LOWER(INDEX('Game Records'!$E:$E,$H96)&amp;"")="n/a")),"Game Type; ","")&amp;IF(INDEX('Game Records'!$F:$F,$H96)="","Payment Type; ","")&amp;IF(AND(INDEX('Game Records'!$U:$U,$H96)&lt;&gt;"Subscription",INDEX('Game Records'!$U:$U,$H96)&lt;&gt;"Free Game",INDEX('Game Records'!$U:$U,$H96)&lt;&gt;"Disqualified — Free Game",INDEX('Game Records'!$G:$G,$H96)=""),"Gross Pot; ","")&amp;IF(AND(INDEX('Game Records'!$U:$U,$H96)&lt;&gt;"Free Game",INDEX('Game Records'!$U:$U,$H96)&lt;&gt;"Disqualified — Free Game",INDEX('Game Records'!$H:$H,$H96)=""),"Entry Fee; ","")&amp;IF(AND(INDEX('Game Records'!$U:$U,$H96)&lt;&gt;"Subscription",INDEX('Game Records'!$U:$U,$H96)&lt;&gt;"Free Game",INDEX('Game Records'!$U:$U,$H96)&lt;&gt;"Disqualified — Free Game",INDEX('Game Records'!$I:$I,$H96)=""),"Eligible Players; ","")&amp;IF(AND(INDEX('Game Records'!$U:$U,$H96)&lt;&gt;"Subscription",INDEX('Game Records'!$U:$U,$H96)&lt;&gt;"Free Game",INDEX('Game Records'!$U:$U,$H96)&lt;&gt;"Disqualified — Free Game",INDEX('Game Records'!$J:$J,$H96)=""),"Total Players; ","")&amp;IF(AND(LOWER(INDEX('Game Records'!$D:$D,$H96)&amp;"")="finalized",LOWER(INDEX('Game Records'!$L:$L,$H96)&amp;"")&lt;&gt;"yes",INDEX('Game Records'!$U:$U,$H96)&lt;&gt;"Subscription",INDEX('Game Records'!$U:$U,$H96)&lt;&gt;"Free Game",INDEX('Game Records'!$U:$U,$H96)&lt;&gt;"Disqualified — Free Game",INDEX('Game Records'!$K:$K,$H96)=""),"Final Earned; ","")&amp;IF(AND(LOWER(INDEX('Game Records'!$D:$D,$H96)&amp;"")="finalized",INDEX('Game Records'!$U:$U,$H96)&lt;&gt;"Subscription",INDEX('Game Records'!$U:$U,$H96)&lt;&gt;"Free Game",INDEX('Game Records'!$U:$U,$H96)&lt;&gt;"Disqualified — Free Game",OR(INDEX('Game Records'!$L:$L,$H96)="",LOWER(INDEX('Game Records'!$L:$L,$H96)&amp;"")="n/a")),"Disqualified Status; ",""))</x:f>
        <x:v/>
      </x:c>
      <x:c r="G96" s="331" t="str">
        <x:f>IF($H96="","",IFERROR(INDEX('Game Records'!$M:$M,$H96),""))</x:f>
        <x:v/>
      </x:c>
      <x:c r="H96" s="104" t="str">
        <x:f>IF($H95="","",IFERROR(MATCH(1,INDEX((ROW('Game Records'!$U$5:$U$504)&gt;$H95)*(('Game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6" s="104"/>
      <x:c r="J96" s="104"/>
    </x:row>
    <x:row r="97" ht="24" hidden="0" customHeight="1">
      <x:c r="A97" s="332" t="str">
        <x:f>IF($H97="","",ROWS($A$5:A97))</x:f>
        <x:v/>
      </x:c>
      <x:c r="B97" s="332" t="str">
        <x:f>IF($H97="","","G-"&amp;TEXT($A97,"0000"))</x:f>
        <x:v/>
      </x:c>
      <x:c r="C97" s="331" t="str">
        <x:f>IF($H97="","",IFERROR(INDEX('Game Records'!$A:$A,$H97),""))</x:f>
        <x:v/>
      </x:c>
      <x:c r="D97" s="331" t="str">
        <x:f>IF($H97="","",IFERROR(INDEX('Game Records'!$U:$U,$H97),""))</x:f>
        <x:v/>
      </x:c>
      <x:c r="E97" s="331" t="str">
        <x:f>IF($H97="","",IF($F97="","No Highlighted Fields","Highlighted Fields Present"))</x:f>
        <x:v/>
      </x:c>
      <x:c r="F97" s="331" t="str">
        <x:f>IF($H97="","",IF(INDEX('Game Records'!$B:$B,$H97)="","Start Date; ","")&amp;IF(INDEX('Game Records'!$C:$C,$H97)="","End Date; ","")&amp;IF(AND(INDEX('Game Records'!$U:$U,$H97)&lt;&gt;"Subscription",INDEX('Game Records'!$U:$U,$H97)&lt;&gt;"Free Game",INDEX('Game Records'!$U:$U,$H97)&lt;&gt;"Disqualified — Free Game",OR(INDEX('Game Records'!$D:$D,$H97)="",LOWER(INDEX('Game Records'!$D:$D,$H97)&amp;"")="n/a")),"Entry Mode; ","")&amp;IF(AND(INDEX('Game Records'!$U:$U,$H97)&lt;&gt;"Subscription",INDEX('Game Records'!$U:$U,$H97)&lt;&gt;"Free Game",INDEX('Game Records'!$U:$U,$H97)&lt;&gt;"Disqualified — Free Game",OR(INDEX('Game Records'!$E:$E,$H97)="",LOWER(INDEX('Game Records'!$E:$E,$H97)&amp;"")="n/a")),"Game Type; ","")&amp;IF(INDEX('Game Records'!$F:$F,$H97)="","Payment Type; ","")&amp;IF(AND(INDEX('Game Records'!$U:$U,$H97)&lt;&gt;"Subscription",INDEX('Game Records'!$U:$U,$H97)&lt;&gt;"Free Game",INDEX('Game Records'!$U:$U,$H97)&lt;&gt;"Disqualified — Free Game",INDEX('Game Records'!$G:$G,$H97)=""),"Gross Pot; ","")&amp;IF(AND(INDEX('Game Records'!$U:$U,$H97)&lt;&gt;"Free Game",INDEX('Game Records'!$U:$U,$H97)&lt;&gt;"Disqualified — Free Game",INDEX('Game Records'!$H:$H,$H97)=""),"Entry Fee; ","")&amp;IF(AND(INDEX('Game Records'!$U:$U,$H97)&lt;&gt;"Subscription",INDEX('Game Records'!$U:$U,$H97)&lt;&gt;"Free Game",INDEX('Game Records'!$U:$U,$H97)&lt;&gt;"Disqualified — Free Game",INDEX('Game Records'!$I:$I,$H97)=""),"Eligible Players; ","")&amp;IF(AND(INDEX('Game Records'!$U:$U,$H97)&lt;&gt;"Subscription",INDEX('Game Records'!$U:$U,$H97)&lt;&gt;"Free Game",INDEX('Game Records'!$U:$U,$H97)&lt;&gt;"Disqualified — Free Game",INDEX('Game Records'!$J:$J,$H97)=""),"Total Players; ","")&amp;IF(AND(LOWER(INDEX('Game Records'!$D:$D,$H97)&amp;"")="finalized",LOWER(INDEX('Game Records'!$L:$L,$H97)&amp;"")&lt;&gt;"yes",INDEX('Game Records'!$U:$U,$H97)&lt;&gt;"Subscription",INDEX('Game Records'!$U:$U,$H97)&lt;&gt;"Free Game",INDEX('Game Records'!$U:$U,$H97)&lt;&gt;"Disqualified — Free Game",INDEX('Game Records'!$K:$K,$H97)=""),"Final Earned; ","")&amp;IF(AND(LOWER(INDEX('Game Records'!$D:$D,$H97)&amp;"")="finalized",INDEX('Game Records'!$U:$U,$H97)&lt;&gt;"Subscription",INDEX('Game Records'!$U:$U,$H97)&lt;&gt;"Free Game",INDEX('Game Records'!$U:$U,$H97)&lt;&gt;"Disqualified — Free Game",OR(INDEX('Game Records'!$L:$L,$H97)="",LOWER(INDEX('Game Records'!$L:$L,$H97)&amp;"")="n/a")),"Disqualified Status; ",""))</x:f>
        <x:v/>
      </x:c>
      <x:c r="G97" s="331" t="str">
        <x:f>IF($H97="","",IFERROR(INDEX('Game Records'!$M:$M,$H97),""))</x:f>
        <x:v/>
      </x:c>
      <x:c r="H97" s="104" t="str">
        <x:f>IF($H96="","",IFERROR(MATCH(1,INDEX((ROW('Game Records'!$U$5:$U$504)&gt;$H96)*(('Game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7" s="104"/>
      <x:c r="J97" s="104"/>
    </x:row>
    <x:row r="98" ht="24" hidden="0" customHeight="1">
      <x:c r="A98" s="332" t="str">
        <x:f>IF($H98="","",ROWS($A$5:A98))</x:f>
        <x:v/>
      </x:c>
      <x:c r="B98" s="332" t="str">
        <x:f>IF($H98="","","G-"&amp;TEXT($A98,"0000"))</x:f>
        <x:v/>
      </x:c>
      <x:c r="C98" s="331" t="str">
        <x:f>IF($H98="","",IFERROR(INDEX('Game Records'!$A:$A,$H98),""))</x:f>
        <x:v/>
      </x:c>
      <x:c r="D98" s="331" t="str">
        <x:f>IF($H98="","",IFERROR(INDEX('Game Records'!$U:$U,$H98),""))</x:f>
        <x:v/>
      </x:c>
      <x:c r="E98" s="331" t="str">
        <x:f>IF($H98="","",IF($F98="","No Highlighted Fields","Highlighted Fields Present"))</x:f>
        <x:v/>
      </x:c>
      <x:c r="F98" s="331" t="str">
        <x:f>IF($H98="","",IF(INDEX('Game Records'!$B:$B,$H98)="","Start Date; ","")&amp;IF(INDEX('Game Records'!$C:$C,$H98)="","End Date; ","")&amp;IF(AND(INDEX('Game Records'!$U:$U,$H98)&lt;&gt;"Subscription",INDEX('Game Records'!$U:$U,$H98)&lt;&gt;"Free Game",INDEX('Game Records'!$U:$U,$H98)&lt;&gt;"Disqualified — Free Game",OR(INDEX('Game Records'!$D:$D,$H98)="",LOWER(INDEX('Game Records'!$D:$D,$H98)&amp;"")="n/a")),"Entry Mode; ","")&amp;IF(AND(INDEX('Game Records'!$U:$U,$H98)&lt;&gt;"Subscription",INDEX('Game Records'!$U:$U,$H98)&lt;&gt;"Free Game",INDEX('Game Records'!$U:$U,$H98)&lt;&gt;"Disqualified — Free Game",OR(INDEX('Game Records'!$E:$E,$H98)="",LOWER(INDEX('Game Records'!$E:$E,$H98)&amp;"")="n/a")),"Game Type; ","")&amp;IF(INDEX('Game Records'!$F:$F,$H98)="","Payment Type; ","")&amp;IF(AND(INDEX('Game Records'!$U:$U,$H98)&lt;&gt;"Subscription",INDEX('Game Records'!$U:$U,$H98)&lt;&gt;"Free Game",INDEX('Game Records'!$U:$U,$H98)&lt;&gt;"Disqualified — Free Game",INDEX('Game Records'!$G:$G,$H98)=""),"Gross Pot; ","")&amp;IF(AND(INDEX('Game Records'!$U:$U,$H98)&lt;&gt;"Free Game",INDEX('Game Records'!$U:$U,$H98)&lt;&gt;"Disqualified — Free Game",INDEX('Game Records'!$H:$H,$H98)=""),"Entry Fee; ","")&amp;IF(AND(INDEX('Game Records'!$U:$U,$H98)&lt;&gt;"Subscription",INDEX('Game Records'!$U:$U,$H98)&lt;&gt;"Free Game",INDEX('Game Records'!$U:$U,$H98)&lt;&gt;"Disqualified — Free Game",INDEX('Game Records'!$I:$I,$H98)=""),"Eligible Players; ","")&amp;IF(AND(INDEX('Game Records'!$U:$U,$H98)&lt;&gt;"Subscription",INDEX('Game Records'!$U:$U,$H98)&lt;&gt;"Free Game",INDEX('Game Records'!$U:$U,$H98)&lt;&gt;"Disqualified — Free Game",INDEX('Game Records'!$J:$J,$H98)=""),"Total Players; ","")&amp;IF(AND(LOWER(INDEX('Game Records'!$D:$D,$H98)&amp;"")="finalized",LOWER(INDEX('Game Records'!$L:$L,$H98)&amp;"")&lt;&gt;"yes",INDEX('Game Records'!$U:$U,$H98)&lt;&gt;"Subscription",INDEX('Game Records'!$U:$U,$H98)&lt;&gt;"Free Game",INDEX('Game Records'!$U:$U,$H98)&lt;&gt;"Disqualified — Free Game",INDEX('Game Records'!$K:$K,$H98)=""),"Final Earned; ","")&amp;IF(AND(LOWER(INDEX('Game Records'!$D:$D,$H98)&amp;"")="finalized",INDEX('Game Records'!$U:$U,$H98)&lt;&gt;"Subscription",INDEX('Game Records'!$U:$U,$H98)&lt;&gt;"Free Game",INDEX('Game Records'!$U:$U,$H98)&lt;&gt;"Disqualified — Free Game",OR(INDEX('Game Records'!$L:$L,$H98)="",LOWER(INDEX('Game Records'!$L:$L,$H98)&amp;"")="n/a")),"Disqualified Status; ",""))</x:f>
        <x:v/>
      </x:c>
      <x:c r="G98" s="331" t="str">
        <x:f>IF($H98="","",IFERROR(INDEX('Game Records'!$M:$M,$H98),""))</x:f>
        <x:v/>
      </x:c>
      <x:c r="H98" s="104" t="str">
        <x:f>IF($H97="","",IFERROR(MATCH(1,INDEX((ROW('Game Records'!$U$5:$U$504)&gt;$H97)*(('Game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8" s="104"/>
      <x:c r="J98" s="104"/>
    </x:row>
    <x:row r="99" ht="24" hidden="0" customHeight="1">
      <x:c r="A99" s="332" t="str">
        <x:f>IF($H99="","",ROWS($A$5:A99))</x:f>
        <x:v/>
      </x:c>
      <x:c r="B99" s="332" t="str">
        <x:f>IF($H99="","","G-"&amp;TEXT($A99,"0000"))</x:f>
        <x:v/>
      </x:c>
      <x:c r="C99" s="331" t="str">
        <x:f>IF($H99="","",IFERROR(INDEX('Game Records'!$A:$A,$H99),""))</x:f>
        <x:v/>
      </x:c>
      <x:c r="D99" s="331" t="str">
        <x:f>IF($H99="","",IFERROR(INDEX('Game Records'!$U:$U,$H99),""))</x:f>
        <x:v/>
      </x:c>
      <x:c r="E99" s="331" t="str">
        <x:f>IF($H99="","",IF($F99="","No Highlighted Fields","Highlighted Fields Present"))</x:f>
        <x:v/>
      </x:c>
      <x:c r="F99" s="331" t="str">
        <x:f>IF($H99="","",IF(INDEX('Game Records'!$B:$B,$H99)="","Start Date; ","")&amp;IF(INDEX('Game Records'!$C:$C,$H99)="","End Date; ","")&amp;IF(AND(INDEX('Game Records'!$U:$U,$H99)&lt;&gt;"Subscription",INDEX('Game Records'!$U:$U,$H99)&lt;&gt;"Free Game",INDEX('Game Records'!$U:$U,$H99)&lt;&gt;"Disqualified — Free Game",OR(INDEX('Game Records'!$D:$D,$H99)="",LOWER(INDEX('Game Records'!$D:$D,$H99)&amp;"")="n/a")),"Entry Mode; ","")&amp;IF(AND(INDEX('Game Records'!$U:$U,$H99)&lt;&gt;"Subscription",INDEX('Game Records'!$U:$U,$H99)&lt;&gt;"Free Game",INDEX('Game Records'!$U:$U,$H99)&lt;&gt;"Disqualified — Free Game",OR(INDEX('Game Records'!$E:$E,$H99)="",LOWER(INDEX('Game Records'!$E:$E,$H99)&amp;"")="n/a")),"Game Type; ","")&amp;IF(INDEX('Game Records'!$F:$F,$H99)="","Payment Type; ","")&amp;IF(AND(INDEX('Game Records'!$U:$U,$H99)&lt;&gt;"Subscription",INDEX('Game Records'!$U:$U,$H99)&lt;&gt;"Free Game",INDEX('Game Records'!$U:$U,$H99)&lt;&gt;"Disqualified — Free Game",INDEX('Game Records'!$G:$G,$H99)=""),"Gross Pot; ","")&amp;IF(AND(INDEX('Game Records'!$U:$U,$H99)&lt;&gt;"Free Game",INDEX('Game Records'!$U:$U,$H99)&lt;&gt;"Disqualified — Free Game",INDEX('Game Records'!$H:$H,$H99)=""),"Entry Fee; ","")&amp;IF(AND(INDEX('Game Records'!$U:$U,$H99)&lt;&gt;"Subscription",INDEX('Game Records'!$U:$U,$H99)&lt;&gt;"Free Game",INDEX('Game Records'!$U:$U,$H99)&lt;&gt;"Disqualified — Free Game",INDEX('Game Records'!$I:$I,$H99)=""),"Eligible Players; ","")&amp;IF(AND(INDEX('Game Records'!$U:$U,$H99)&lt;&gt;"Subscription",INDEX('Game Records'!$U:$U,$H99)&lt;&gt;"Free Game",INDEX('Game Records'!$U:$U,$H99)&lt;&gt;"Disqualified — Free Game",INDEX('Game Records'!$J:$J,$H99)=""),"Total Players; ","")&amp;IF(AND(LOWER(INDEX('Game Records'!$D:$D,$H99)&amp;"")="finalized",LOWER(INDEX('Game Records'!$L:$L,$H99)&amp;"")&lt;&gt;"yes",INDEX('Game Records'!$U:$U,$H99)&lt;&gt;"Subscription",INDEX('Game Records'!$U:$U,$H99)&lt;&gt;"Free Game",INDEX('Game Records'!$U:$U,$H99)&lt;&gt;"Disqualified — Free Game",INDEX('Game Records'!$K:$K,$H99)=""),"Final Earned; ","")&amp;IF(AND(LOWER(INDEX('Game Records'!$D:$D,$H99)&amp;"")="finalized",INDEX('Game Records'!$U:$U,$H99)&lt;&gt;"Subscription",INDEX('Game Records'!$U:$U,$H99)&lt;&gt;"Free Game",INDEX('Game Records'!$U:$U,$H99)&lt;&gt;"Disqualified — Free Game",OR(INDEX('Game Records'!$L:$L,$H99)="",LOWER(INDEX('Game Records'!$L:$L,$H99)&amp;"")="n/a")),"Disqualified Status; ",""))</x:f>
        <x:v/>
      </x:c>
      <x:c r="G99" s="331" t="str">
        <x:f>IF($H99="","",IFERROR(INDEX('Game Records'!$M:$M,$H99),""))</x:f>
        <x:v/>
      </x:c>
      <x:c r="H99" s="104" t="str">
        <x:f>IF($H98="","",IFERROR(MATCH(1,INDEX((ROW('Game Records'!$U$5:$U$504)&gt;$H98)*(('Game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99" s="104"/>
      <x:c r="J99" s="104"/>
    </x:row>
    <x:row r="100" ht="24" hidden="0" customHeight="1">
      <x:c r="A100" s="332" t="str">
        <x:f>IF($H100="","",ROWS($A$5:A100))</x:f>
        <x:v/>
      </x:c>
      <x:c r="B100" s="332" t="str">
        <x:f>IF($H100="","","G-"&amp;TEXT($A100,"0000"))</x:f>
        <x:v/>
      </x:c>
      <x:c r="C100" s="331" t="str">
        <x:f>IF($H100="","",IFERROR(INDEX('Game Records'!$A:$A,$H100),""))</x:f>
        <x:v/>
      </x:c>
      <x:c r="D100" s="331" t="str">
        <x:f>IF($H100="","",IFERROR(INDEX('Game Records'!$U:$U,$H100),""))</x:f>
        <x:v/>
      </x:c>
      <x:c r="E100" s="331" t="str">
        <x:f>IF($H100="","",IF($F100="","No Highlighted Fields","Highlighted Fields Present"))</x:f>
        <x:v/>
      </x:c>
      <x:c r="F100" s="331" t="str">
        <x:f>IF($H100="","",IF(INDEX('Game Records'!$B:$B,$H100)="","Start Date; ","")&amp;IF(INDEX('Game Records'!$C:$C,$H100)="","End Date; ","")&amp;IF(AND(INDEX('Game Records'!$U:$U,$H100)&lt;&gt;"Subscription",INDEX('Game Records'!$U:$U,$H100)&lt;&gt;"Free Game",INDEX('Game Records'!$U:$U,$H100)&lt;&gt;"Disqualified — Free Game",OR(INDEX('Game Records'!$D:$D,$H100)="",LOWER(INDEX('Game Records'!$D:$D,$H100)&amp;"")="n/a")),"Entry Mode; ","")&amp;IF(AND(INDEX('Game Records'!$U:$U,$H100)&lt;&gt;"Subscription",INDEX('Game Records'!$U:$U,$H100)&lt;&gt;"Free Game",INDEX('Game Records'!$U:$U,$H100)&lt;&gt;"Disqualified — Free Game",OR(INDEX('Game Records'!$E:$E,$H100)="",LOWER(INDEX('Game Records'!$E:$E,$H100)&amp;"")="n/a")),"Game Type; ","")&amp;IF(INDEX('Game Records'!$F:$F,$H100)="","Payment Type; ","")&amp;IF(AND(INDEX('Game Records'!$U:$U,$H100)&lt;&gt;"Subscription",INDEX('Game Records'!$U:$U,$H100)&lt;&gt;"Free Game",INDEX('Game Records'!$U:$U,$H100)&lt;&gt;"Disqualified — Free Game",INDEX('Game Records'!$G:$G,$H100)=""),"Gross Pot; ","")&amp;IF(AND(INDEX('Game Records'!$U:$U,$H100)&lt;&gt;"Free Game",INDEX('Game Records'!$U:$U,$H100)&lt;&gt;"Disqualified — Free Game",INDEX('Game Records'!$H:$H,$H100)=""),"Entry Fee; ","")&amp;IF(AND(INDEX('Game Records'!$U:$U,$H100)&lt;&gt;"Subscription",INDEX('Game Records'!$U:$U,$H100)&lt;&gt;"Free Game",INDEX('Game Records'!$U:$U,$H100)&lt;&gt;"Disqualified — Free Game",INDEX('Game Records'!$I:$I,$H100)=""),"Eligible Players; ","")&amp;IF(AND(INDEX('Game Records'!$U:$U,$H100)&lt;&gt;"Subscription",INDEX('Game Records'!$U:$U,$H100)&lt;&gt;"Free Game",INDEX('Game Records'!$U:$U,$H100)&lt;&gt;"Disqualified — Free Game",INDEX('Game Records'!$J:$J,$H100)=""),"Total Players; ","")&amp;IF(AND(LOWER(INDEX('Game Records'!$D:$D,$H100)&amp;"")="finalized",LOWER(INDEX('Game Records'!$L:$L,$H100)&amp;"")&lt;&gt;"yes",INDEX('Game Records'!$U:$U,$H100)&lt;&gt;"Subscription",INDEX('Game Records'!$U:$U,$H100)&lt;&gt;"Free Game",INDEX('Game Records'!$U:$U,$H100)&lt;&gt;"Disqualified — Free Game",INDEX('Game Records'!$K:$K,$H100)=""),"Final Earned; ","")&amp;IF(AND(LOWER(INDEX('Game Records'!$D:$D,$H100)&amp;"")="finalized",INDEX('Game Records'!$U:$U,$H100)&lt;&gt;"Subscription",INDEX('Game Records'!$U:$U,$H100)&lt;&gt;"Free Game",INDEX('Game Records'!$U:$U,$H100)&lt;&gt;"Disqualified — Free Game",OR(INDEX('Game Records'!$L:$L,$H100)="",LOWER(INDEX('Game Records'!$L:$L,$H100)&amp;"")="n/a")),"Disqualified Status; ",""))</x:f>
        <x:v/>
      </x:c>
      <x:c r="G100" s="331" t="str">
        <x:f>IF($H100="","",IFERROR(INDEX('Game Records'!$M:$M,$H100),""))</x:f>
        <x:v/>
      </x:c>
      <x:c r="H100" s="104" t="str">
        <x:f>IF($H99="","",IFERROR(MATCH(1,INDEX((ROW('Game Records'!$U$5:$U$504)&gt;$H99)*(('Game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0" s="104"/>
      <x:c r="J100" s="104"/>
    </x:row>
    <x:row r="101" ht="24" hidden="0" customHeight="1">
      <x:c r="A101" s="332" t="str">
        <x:f>IF($H101="","",ROWS($A$5:A101))</x:f>
        <x:v/>
      </x:c>
      <x:c r="B101" s="332" t="str">
        <x:f>IF($H101="","","G-"&amp;TEXT($A101,"0000"))</x:f>
        <x:v/>
      </x:c>
      <x:c r="C101" s="331" t="str">
        <x:f>IF($H101="","",IFERROR(INDEX('Game Records'!$A:$A,$H101),""))</x:f>
        <x:v/>
      </x:c>
      <x:c r="D101" s="331" t="str">
        <x:f>IF($H101="","",IFERROR(INDEX('Game Records'!$U:$U,$H101),""))</x:f>
        <x:v/>
      </x:c>
      <x:c r="E101" s="331" t="str">
        <x:f>IF($H101="","",IF($F101="","No Highlighted Fields","Highlighted Fields Present"))</x:f>
        <x:v/>
      </x:c>
      <x:c r="F101" s="331" t="str">
        <x:f>IF($H101="","",IF(INDEX('Game Records'!$B:$B,$H101)="","Start Date; ","")&amp;IF(INDEX('Game Records'!$C:$C,$H101)="","End Date; ","")&amp;IF(AND(INDEX('Game Records'!$U:$U,$H101)&lt;&gt;"Subscription",INDEX('Game Records'!$U:$U,$H101)&lt;&gt;"Free Game",INDEX('Game Records'!$U:$U,$H101)&lt;&gt;"Disqualified — Free Game",OR(INDEX('Game Records'!$D:$D,$H101)="",LOWER(INDEX('Game Records'!$D:$D,$H101)&amp;"")="n/a")),"Entry Mode; ","")&amp;IF(AND(INDEX('Game Records'!$U:$U,$H101)&lt;&gt;"Subscription",INDEX('Game Records'!$U:$U,$H101)&lt;&gt;"Free Game",INDEX('Game Records'!$U:$U,$H101)&lt;&gt;"Disqualified — Free Game",OR(INDEX('Game Records'!$E:$E,$H101)="",LOWER(INDEX('Game Records'!$E:$E,$H101)&amp;"")="n/a")),"Game Type; ","")&amp;IF(INDEX('Game Records'!$F:$F,$H101)="","Payment Type; ","")&amp;IF(AND(INDEX('Game Records'!$U:$U,$H101)&lt;&gt;"Subscription",INDEX('Game Records'!$U:$U,$H101)&lt;&gt;"Free Game",INDEX('Game Records'!$U:$U,$H101)&lt;&gt;"Disqualified — Free Game",INDEX('Game Records'!$G:$G,$H101)=""),"Gross Pot; ","")&amp;IF(AND(INDEX('Game Records'!$U:$U,$H101)&lt;&gt;"Free Game",INDEX('Game Records'!$U:$U,$H101)&lt;&gt;"Disqualified — Free Game",INDEX('Game Records'!$H:$H,$H101)=""),"Entry Fee; ","")&amp;IF(AND(INDEX('Game Records'!$U:$U,$H101)&lt;&gt;"Subscription",INDEX('Game Records'!$U:$U,$H101)&lt;&gt;"Free Game",INDEX('Game Records'!$U:$U,$H101)&lt;&gt;"Disqualified — Free Game",INDEX('Game Records'!$I:$I,$H101)=""),"Eligible Players; ","")&amp;IF(AND(INDEX('Game Records'!$U:$U,$H101)&lt;&gt;"Subscription",INDEX('Game Records'!$U:$U,$H101)&lt;&gt;"Free Game",INDEX('Game Records'!$U:$U,$H101)&lt;&gt;"Disqualified — Free Game",INDEX('Game Records'!$J:$J,$H101)=""),"Total Players; ","")&amp;IF(AND(LOWER(INDEX('Game Records'!$D:$D,$H101)&amp;"")="finalized",LOWER(INDEX('Game Records'!$L:$L,$H101)&amp;"")&lt;&gt;"yes",INDEX('Game Records'!$U:$U,$H101)&lt;&gt;"Subscription",INDEX('Game Records'!$U:$U,$H101)&lt;&gt;"Free Game",INDEX('Game Records'!$U:$U,$H101)&lt;&gt;"Disqualified — Free Game",INDEX('Game Records'!$K:$K,$H101)=""),"Final Earned; ","")&amp;IF(AND(LOWER(INDEX('Game Records'!$D:$D,$H101)&amp;"")="finalized",INDEX('Game Records'!$U:$U,$H101)&lt;&gt;"Subscription",INDEX('Game Records'!$U:$U,$H101)&lt;&gt;"Free Game",INDEX('Game Records'!$U:$U,$H101)&lt;&gt;"Disqualified — Free Game",OR(INDEX('Game Records'!$L:$L,$H101)="",LOWER(INDEX('Game Records'!$L:$L,$H101)&amp;"")="n/a")),"Disqualified Status; ",""))</x:f>
        <x:v/>
      </x:c>
      <x:c r="G101" s="331" t="str">
        <x:f>IF($H101="","",IFERROR(INDEX('Game Records'!$M:$M,$H101),""))</x:f>
        <x:v/>
      </x:c>
      <x:c r="H101" s="104" t="str">
        <x:f>IF($H100="","",IFERROR(MATCH(1,INDEX((ROW('Game Records'!$U$5:$U$504)&gt;$H100)*(('Game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1" s="104"/>
      <x:c r="J101" s="104"/>
    </x:row>
    <x:row r="102" ht="24" hidden="0" customHeight="1">
      <x:c r="A102" s="332" t="str">
        <x:f>IF($H102="","",ROWS($A$5:A102))</x:f>
        <x:v/>
      </x:c>
      <x:c r="B102" s="332" t="str">
        <x:f>IF($H102="","","G-"&amp;TEXT($A102,"0000"))</x:f>
        <x:v/>
      </x:c>
      <x:c r="C102" s="331" t="str">
        <x:f>IF($H102="","",IFERROR(INDEX('Game Records'!$A:$A,$H102),""))</x:f>
        <x:v/>
      </x:c>
      <x:c r="D102" s="331" t="str">
        <x:f>IF($H102="","",IFERROR(INDEX('Game Records'!$U:$U,$H102),""))</x:f>
        <x:v/>
      </x:c>
      <x:c r="E102" s="331" t="str">
        <x:f>IF($H102="","",IF($F102="","No Highlighted Fields","Highlighted Fields Present"))</x:f>
        <x:v/>
      </x:c>
      <x:c r="F102" s="331" t="str">
        <x:f>IF($H102="","",IF(INDEX('Game Records'!$B:$B,$H102)="","Start Date; ","")&amp;IF(INDEX('Game Records'!$C:$C,$H102)="","End Date; ","")&amp;IF(AND(INDEX('Game Records'!$U:$U,$H102)&lt;&gt;"Subscription",INDEX('Game Records'!$U:$U,$H102)&lt;&gt;"Free Game",INDEX('Game Records'!$U:$U,$H102)&lt;&gt;"Disqualified — Free Game",OR(INDEX('Game Records'!$D:$D,$H102)="",LOWER(INDEX('Game Records'!$D:$D,$H102)&amp;"")="n/a")),"Entry Mode; ","")&amp;IF(AND(INDEX('Game Records'!$U:$U,$H102)&lt;&gt;"Subscription",INDEX('Game Records'!$U:$U,$H102)&lt;&gt;"Free Game",INDEX('Game Records'!$U:$U,$H102)&lt;&gt;"Disqualified — Free Game",OR(INDEX('Game Records'!$E:$E,$H102)="",LOWER(INDEX('Game Records'!$E:$E,$H102)&amp;"")="n/a")),"Game Type; ","")&amp;IF(INDEX('Game Records'!$F:$F,$H102)="","Payment Type; ","")&amp;IF(AND(INDEX('Game Records'!$U:$U,$H102)&lt;&gt;"Subscription",INDEX('Game Records'!$U:$U,$H102)&lt;&gt;"Free Game",INDEX('Game Records'!$U:$U,$H102)&lt;&gt;"Disqualified — Free Game",INDEX('Game Records'!$G:$G,$H102)=""),"Gross Pot; ","")&amp;IF(AND(INDEX('Game Records'!$U:$U,$H102)&lt;&gt;"Free Game",INDEX('Game Records'!$U:$U,$H102)&lt;&gt;"Disqualified — Free Game",INDEX('Game Records'!$H:$H,$H102)=""),"Entry Fee; ","")&amp;IF(AND(INDEX('Game Records'!$U:$U,$H102)&lt;&gt;"Subscription",INDEX('Game Records'!$U:$U,$H102)&lt;&gt;"Free Game",INDEX('Game Records'!$U:$U,$H102)&lt;&gt;"Disqualified — Free Game",INDEX('Game Records'!$I:$I,$H102)=""),"Eligible Players; ","")&amp;IF(AND(INDEX('Game Records'!$U:$U,$H102)&lt;&gt;"Subscription",INDEX('Game Records'!$U:$U,$H102)&lt;&gt;"Free Game",INDEX('Game Records'!$U:$U,$H102)&lt;&gt;"Disqualified — Free Game",INDEX('Game Records'!$J:$J,$H102)=""),"Total Players; ","")&amp;IF(AND(LOWER(INDEX('Game Records'!$D:$D,$H102)&amp;"")="finalized",LOWER(INDEX('Game Records'!$L:$L,$H102)&amp;"")&lt;&gt;"yes",INDEX('Game Records'!$U:$U,$H102)&lt;&gt;"Subscription",INDEX('Game Records'!$U:$U,$H102)&lt;&gt;"Free Game",INDEX('Game Records'!$U:$U,$H102)&lt;&gt;"Disqualified — Free Game",INDEX('Game Records'!$K:$K,$H102)=""),"Final Earned; ","")&amp;IF(AND(LOWER(INDEX('Game Records'!$D:$D,$H102)&amp;"")="finalized",INDEX('Game Records'!$U:$U,$H102)&lt;&gt;"Subscription",INDEX('Game Records'!$U:$U,$H102)&lt;&gt;"Free Game",INDEX('Game Records'!$U:$U,$H102)&lt;&gt;"Disqualified — Free Game",OR(INDEX('Game Records'!$L:$L,$H102)="",LOWER(INDEX('Game Records'!$L:$L,$H102)&amp;"")="n/a")),"Disqualified Status; ",""))</x:f>
        <x:v/>
      </x:c>
      <x:c r="G102" s="331" t="str">
        <x:f>IF($H102="","",IFERROR(INDEX('Game Records'!$M:$M,$H102),""))</x:f>
        <x:v/>
      </x:c>
      <x:c r="H102" s="104" t="str">
        <x:f>IF($H101="","",IFERROR(MATCH(1,INDEX((ROW('Game Records'!$U$5:$U$504)&gt;$H101)*(('Game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2" s="104"/>
      <x:c r="J102" s="104"/>
    </x:row>
    <x:row r="103" ht="24" hidden="0" customHeight="1">
      <x:c r="A103" s="332" t="str">
        <x:f>IF($H103="","",ROWS($A$5:A103))</x:f>
        <x:v/>
      </x:c>
      <x:c r="B103" s="332" t="str">
        <x:f>IF($H103="","","G-"&amp;TEXT($A103,"0000"))</x:f>
        <x:v/>
      </x:c>
      <x:c r="C103" s="331" t="str">
        <x:f>IF($H103="","",IFERROR(INDEX('Game Records'!$A:$A,$H103),""))</x:f>
        <x:v/>
      </x:c>
      <x:c r="D103" s="331" t="str">
        <x:f>IF($H103="","",IFERROR(INDEX('Game Records'!$U:$U,$H103),""))</x:f>
        <x:v/>
      </x:c>
      <x:c r="E103" s="331" t="str">
        <x:f>IF($H103="","",IF($F103="","No Highlighted Fields","Highlighted Fields Present"))</x:f>
        <x:v/>
      </x:c>
      <x:c r="F103" s="331" t="str">
        <x:f>IF($H103="","",IF(INDEX('Game Records'!$B:$B,$H103)="","Start Date; ","")&amp;IF(INDEX('Game Records'!$C:$C,$H103)="","End Date; ","")&amp;IF(AND(INDEX('Game Records'!$U:$U,$H103)&lt;&gt;"Subscription",INDEX('Game Records'!$U:$U,$H103)&lt;&gt;"Free Game",INDEX('Game Records'!$U:$U,$H103)&lt;&gt;"Disqualified — Free Game",OR(INDEX('Game Records'!$D:$D,$H103)="",LOWER(INDEX('Game Records'!$D:$D,$H103)&amp;"")="n/a")),"Entry Mode; ","")&amp;IF(AND(INDEX('Game Records'!$U:$U,$H103)&lt;&gt;"Subscription",INDEX('Game Records'!$U:$U,$H103)&lt;&gt;"Free Game",INDEX('Game Records'!$U:$U,$H103)&lt;&gt;"Disqualified — Free Game",OR(INDEX('Game Records'!$E:$E,$H103)="",LOWER(INDEX('Game Records'!$E:$E,$H103)&amp;"")="n/a")),"Game Type; ","")&amp;IF(INDEX('Game Records'!$F:$F,$H103)="","Payment Type; ","")&amp;IF(AND(INDEX('Game Records'!$U:$U,$H103)&lt;&gt;"Subscription",INDEX('Game Records'!$U:$U,$H103)&lt;&gt;"Free Game",INDEX('Game Records'!$U:$U,$H103)&lt;&gt;"Disqualified — Free Game",INDEX('Game Records'!$G:$G,$H103)=""),"Gross Pot; ","")&amp;IF(AND(INDEX('Game Records'!$U:$U,$H103)&lt;&gt;"Free Game",INDEX('Game Records'!$U:$U,$H103)&lt;&gt;"Disqualified — Free Game",INDEX('Game Records'!$H:$H,$H103)=""),"Entry Fee; ","")&amp;IF(AND(INDEX('Game Records'!$U:$U,$H103)&lt;&gt;"Subscription",INDEX('Game Records'!$U:$U,$H103)&lt;&gt;"Free Game",INDEX('Game Records'!$U:$U,$H103)&lt;&gt;"Disqualified — Free Game",INDEX('Game Records'!$I:$I,$H103)=""),"Eligible Players; ","")&amp;IF(AND(INDEX('Game Records'!$U:$U,$H103)&lt;&gt;"Subscription",INDEX('Game Records'!$U:$U,$H103)&lt;&gt;"Free Game",INDEX('Game Records'!$U:$U,$H103)&lt;&gt;"Disqualified — Free Game",INDEX('Game Records'!$J:$J,$H103)=""),"Total Players; ","")&amp;IF(AND(LOWER(INDEX('Game Records'!$D:$D,$H103)&amp;"")="finalized",LOWER(INDEX('Game Records'!$L:$L,$H103)&amp;"")&lt;&gt;"yes",INDEX('Game Records'!$U:$U,$H103)&lt;&gt;"Subscription",INDEX('Game Records'!$U:$U,$H103)&lt;&gt;"Free Game",INDEX('Game Records'!$U:$U,$H103)&lt;&gt;"Disqualified — Free Game",INDEX('Game Records'!$K:$K,$H103)=""),"Final Earned; ","")&amp;IF(AND(LOWER(INDEX('Game Records'!$D:$D,$H103)&amp;"")="finalized",INDEX('Game Records'!$U:$U,$H103)&lt;&gt;"Subscription",INDEX('Game Records'!$U:$U,$H103)&lt;&gt;"Free Game",INDEX('Game Records'!$U:$U,$H103)&lt;&gt;"Disqualified — Free Game",OR(INDEX('Game Records'!$L:$L,$H103)="",LOWER(INDEX('Game Records'!$L:$L,$H103)&amp;"")="n/a")),"Disqualified Status; ",""))</x:f>
        <x:v/>
      </x:c>
      <x:c r="G103" s="331" t="str">
        <x:f>IF($H103="","",IFERROR(INDEX('Game Records'!$M:$M,$H103),""))</x:f>
        <x:v/>
      </x:c>
      <x:c r="H103" s="104" t="str">
        <x:f>IF($H102="","",IFERROR(MATCH(1,INDEX((ROW('Game Records'!$U$5:$U$504)&gt;$H102)*(('Game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3" s="104"/>
      <x:c r="J103" s="104"/>
    </x:row>
    <x:row r="104" ht="24" hidden="0" customHeight="1">
      <x:c r="A104" s="332" t="str">
        <x:f>IF($H104="","",ROWS($A$5:A104))</x:f>
        <x:v/>
      </x:c>
      <x:c r="B104" s="332" t="str">
        <x:f>IF($H104="","","G-"&amp;TEXT($A104,"0000"))</x:f>
        <x:v/>
      </x:c>
      <x:c r="C104" s="331" t="str">
        <x:f>IF($H104="","",IFERROR(INDEX('Game Records'!$A:$A,$H104),""))</x:f>
        <x:v/>
      </x:c>
      <x:c r="D104" s="331" t="str">
        <x:f>IF($H104="","",IFERROR(INDEX('Game Records'!$U:$U,$H104),""))</x:f>
        <x:v/>
      </x:c>
      <x:c r="E104" s="331" t="str">
        <x:f>IF($H104="","",IF($F104="","No Highlighted Fields","Highlighted Fields Present"))</x:f>
        <x:v/>
      </x:c>
      <x:c r="F104" s="331" t="str">
        <x:f>IF($H104="","",IF(INDEX('Game Records'!$B:$B,$H104)="","Start Date; ","")&amp;IF(INDEX('Game Records'!$C:$C,$H104)="","End Date; ","")&amp;IF(AND(INDEX('Game Records'!$U:$U,$H104)&lt;&gt;"Subscription",INDEX('Game Records'!$U:$U,$H104)&lt;&gt;"Free Game",INDEX('Game Records'!$U:$U,$H104)&lt;&gt;"Disqualified — Free Game",OR(INDEX('Game Records'!$D:$D,$H104)="",LOWER(INDEX('Game Records'!$D:$D,$H104)&amp;"")="n/a")),"Entry Mode; ","")&amp;IF(AND(INDEX('Game Records'!$U:$U,$H104)&lt;&gt;"Subscription",INDEX('Game Records'!$U:$U,$H104)&lt;&gt;"Free Game",INDEX('Game Records'!$U:$U,$H104)&lt;&gt;"Disqualified — Free Game",OR(INDEX('Game Records'!$E:$E,$H104)="",LOWER(INDEX('Game Records'!$E:$E,$H104)&amp;"")="n/a")),"Game Type; ","")&amp;IF(INDEX('Game Records'!$F:$F,$H104)="","Payment Type; ","")&amp;IF(AND(INDEX('Game Records'!$U:$U,$H104)&lt;&gt;"Subscription",INDEX('Game Records'!$U:$U,$H104)&lt;&gt;"Free Game",INDEX('Game Records'!$U:$U,$H104)&lt;&gt;"Disqualified — Free Game",INDEX('Game Records'!$G:$G,$H104)=""),"Gross Pot; ","")&amp;IF(AND(INDEX('Game Records'!$U:$U,$H104)&lt;&gt;"Free Game",INDEX('Game Records'!$U:$U,$H104)&lt;&gt;"Disqualified — Free Game",INDEX('Game Records'!$H:$H,$H104)=""),"Entry Fee; ","")&amp;IF(AND(INDEX('Game Records'!$U:$U,$H104)&lt;&gt;"Subscription",INDEX('Game Records'!$U:$U,$H104)&lt;&gt;"Free Game",INDEX('Game Records'!$U:$U,$H104)&lt;&gt;"Disqualified — Free Game",INDEX('Game Records'!$I:$I,$H104)=""),"Eligible Players; ","")&amp;IF(AND(INDEX('Game Records'!$U:$U,$H104)&lt;&gt;"Subscription",INDEX('Game Records'!$U:$U,$H104)&lt;&gt;"Free Game",INDEX('Game Records'!$U:$U,$H104)&lt;&gt;"Disqualified — Free Game",INDEX('Game Records'!$J:$J,$H104)=""),"Total Players; ","")&amp;IF(AND(LOWER(INDEX('Game Records'!$D:$D,$H104)&amp;"")="finalized",LOWER(INDEX('Game Records'!$L:$L,$H104)&amp;"")&lt;&gt;"yes",INDEX('Game Records'!$U:$U,$H104)&lt;&gt;"Subscription",INDEX('Game Records'!$U:$U,$H104)&lt;&gt;"Free Game",INDEX('Game Records'!$U:$U,$H104)&lt;&gt;"Disqualified — Free Game",INDEX('Game Records'!$K:$K,$H104)=""),"Final Earned; ","")&amp;IF(AND(LOWER(INDEX('Game Records'!$D:$D,$H104)&amp;"")="finalized",INDEX('Game Records'!$U:$U,$H104)&lt;&gt;"Subscription",INDEX('Game Records'!$U:$U,$H104)&lt;&gt;"Free Game",INDEX('Game Records'!$U:$U,$H104)&lt;&gt;"Disqualified — Free Game",OR(INDEX('Game Records'!$L:$L,$H104)="",LOWER(INDEX('Game Records'!$L:$L,$H104)&amp;"")="n/a")),"Disqualified Status; ",""))</x:f>
        <x:v/>
      </x:c>
      <x:c r="G104" s="331" t="str">
        <x:f>IF($H104="","",IFERROR(INDEX('Game Records'!$M:$M,$H104),""))</x:f>
        <x:v/>
      </x:c>
      <x:c r="H104" s="104" t="str">
        <x:f>IF($H103="","",IFERROR(MATCH(1,INDEX((ROW('Game Records'!$U$5:$U$504)&gt;$H103)*(('Game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4" s="104"/>
      <x:c r="J104" s="104"/>
    </x:row>
    <x:row r="105" ht="24" hidden="0" customHeight="1">
      <x:c r="A105" s="332" t="str">
        <x:f>IF($H105="","",ROWS($A$5:A105))</x:f>
        <x:v/>
      </x:c>
      <x:c r="B105" s="332" t="str">
        <x:f>IF($H105="","","G-"&amp;TEXT($A105,"0000"))</x:f>
        <x:v/>
      </x:c>
      <x:c r="C105" s="331" t="str">
        <x:f>IF($H105="","",IFERROR(INDEX('Game Records'!$A:$A,$H105),""))</x:f>
        <x:v/>
      </x:c>
      <x:c r="D105" s="331" t="str">
        <x:f>IF($H105="","",IFERROR(INDEX('Game Records'!$U:$U,$H105),""))</x:f>
        <x:v/>
      </x:c>
      <x:c r="E105" s="331" t="str">
        <x:f>IF($H105="","",IF($F105="","No Highlighted Fields","Highlighted Fields Present"))</x:f>
        <x:v/>
      </x:c>
      <x:c r="F105" s="331" t="str">
        <x:f>IF($H105="","",IF(INDEX('Game Records'!$B:$B,$H105)="","Start Date; ","")&amp;IF(INDEX('Game Records'!$C:$C,$H105)="","End Date; ","")&amp;IF(AND(INDEX('Game Records'!$U:$U,$H105)&lt;&gt;"Subscription",INDEX('Game Records'!$U:$U,$H105)&lt;&gt;"Free Game",INDEX('Game Records'!$U:$U,$H105)&lt;&gt;"Disqualified — Free Game",OR(INDEX('Game Records'!$D:$D,$H105)="",LOWER(INDEX('Game Records'!$D:$D,$H105)&amp;"")="n/a")),"Entry Mode; ","")&amp;IF(AND(INDEX('Game Records'!$U:$U,$H105)&lt;&gt;"Subscription",INDEX('Game Records'!$U:$U,$H105)&lt;&gt;"Free Game",INDEX('Game Records'!$U:$U,$H105)&lt;&gt;"Disqualified — Free Game",OR(INDEX('Game Records'!$E:$E,$H105)="",LOWER(INDEX('Game Records'!$E:$E,$H105)&amp;"")="n/a")),"Game Type; ","")&amp;IF(INDEX('Game Records'!$F:$F,$H105)="","Payment Type; ","")&amp;IF(AND(INDEX('Game Records'!$U:$U,$H105)&lt;&gt;"Subscription",INDEX('Game Records'!$U:$U,$H105)&lt;&gt;"Free Game",INDEX('Game Records'!$U:$U,$H105)&lt;&gt;"Disqualified — Free Game",INDEX('Game Records'!$G:$G,$H105)=""),"Gross Pot; ","")&amp;IF(AND(INDEX('Game Records'!$U:$U,$H105)&lt;&gt;"Free Game",INDEX('Game Records'!$U:$U,$H105)&lt;&gt;"Disqualified — Free Game",INDEX('Game Records'!$H:$H,$H105)=""),"Entry Fee; ","")&amp;IF(AND(INDEX('Game Records'!$U:$U,$H105)&lt;&gt;"Subscription",INDEX('Game Records'!$U:$U,$H105)&lt;&gt;"Free Game",INDEX('Game Records'!$U:$U,$H105)&lt;&gt;"Disqualified — Free Game",INDEX('Game Records'!$I:$I,$H105)=""),"Eligible Players; ","")&amp;IF(AND(INDEX('Game Records'!$U:$U,$H105)&lt;&gt;"Subscription",INDEX('Game Records'!$U:$U,$H105)&lt;&gt;"Free Game",INDEX('Game Records'!$U:$U,$H105)&lt;&gt;"Disqualified — Free Game",INDEX('Game Records'!$J:$J,$H105)=""),"Total Players; ","")&amp;IF(AND(LOWER(INDEX('Game Records'!$D:$D,$H105)&amp;"")="finalized",LOWER(INDEX('Game Records'!$L:$L,$H105)&amp;"")&lt;&gt;"yes",INDEX('Game Records'!$U:$U,$H105)&lt;&gt;"Subscription",INDEX('Game Records'!$U:$U,$H105)&lt;&gt;"Free Game",INDEX('Game Records'!$U:$U,$H105)&lt;&gt;"Disqualified — Free Game",INDEX('Game Records'!$K:$K,$H105)=""),"Final Earned; ","")&amp;IF(AND(LOWER(INDEX('Game Records'!$D:$D,$H105)&amp;"")="finalized",INDEX('Game Records'!$U:$U,$H105)&lt;&gt;"Subscription",INDEX('Game Records'!$U:$U,$H105)&lt;&gt;"Free Game",INDEX('Game Records'!$U:$U,$H105)&lt;&gt;"Disqualified — Free Game",OR(INDEX('Game Records'!$L:$L,$H105)="",LOWER(INDEX('Game Records'!$L:$L,$H105)&amp;"")="n/a")),"Disqualified Status; ",""))</x:f>
        <x:v/>
      </x:c>
      <x:c r="G105" s="331" t="str">
        <x:f>IF($H105="","",IFERROR(INDEX('Game Records'!$M:$M,$H105),""))</x:f>
        <x:v/>
      </x:c>
      <x:c r="H105" s="104" t="str">
        <x:f>IF($H104="","",IFERROR(MATCH(1,INDEX((ROW('Game Records'!$U$5:$U$504)&gt;$H104)*(('Game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5" s="104"/>
      <x:c r="J105" s="104"/>
    </x:row>
    <x:row r="106" ht="24" hidden="0" customHeight="1">
      <x:c r="A106" s="332" t="str">
        <x:f>IF($H106="","",ROWS($A$5:A106))</x:f>
        <x:v/>
      </x:c>
      <x:c r="B106" s="332" t="str">
        <x:f>IF($H106="","","G-"&amp;TEXT($A106,"0000"))</x:f>
        <x:v/>
      </x:c>
      <x:c r="C106" s="331" t="str">
        <x:f>IF($H106="","",IFERROR(INDEX('Game Records'!$A:$A,$H106),""))</x:f>
        <x:v/>
      </x:c>
      <x:c r="D106" s="331" t="str">
        <x:f>IF($H106="","",IFERROR(INDEX('Game Records'!$U:$U,$H106),""))</x:f>
        <x:v/>
      </x:c>
      <x:c r="E106" s="331" t="str">
        <x:f>IF($H106="","",IF($F106="","No Highlighted Fields","Highlighted Fields Present"))</x:f>
        <x:v/>
      </x:c>
      <x:c r="F106" s="331" t="str">
        <x:f>IF($H106="","",IF(INDEX('Game Records'!$B:$B,$H106)="","Start Date; ","")&amp;IF(INDEX('Game Records'!$C:$C,$H106)="","End Date; ","")&amp;IF(AND(INDEX('Game Records'!$U:$U,$H106)&lt;&gt;"Subscription",INDEX('Game Records'!$U:$U,$H106)&lt;&gt;"Free Game",INDEX('Game Records'!$U:$U,$H106)&lt;&gt;"Disqualified — Free Game",OR(INDEX('Game Records'!$D:$D,$H106)="",LOWER(INDEX('Game Records'!$D:$D,$H106)&amp;"")="n/a")),"Entry Mode; ","")&amp;IF(AND(INDEX('Game Records'!$U:$U,$H106)&lt;&gt;"Subscription",INDEX('Game Records'!$U:$U,$H106)&lt;&gt;"Free Game",INDEX('Game Records'!$U:$U,$H106)&lt;&gt;"Disqualified — Free Game",OR(INDEX('Game Records'!$E:$E,$H106)="",LOWER(INDEX('Game Records'!$E:$E,$H106)&amp;"")="n/a")),"Game Type; ","")&amp;IF(INDEX('Game Records'!$F:$F,$H106)="","Payment Type; ","")&amp;IF(AND(INDEX('Game Records'!$U:$U,$H106)&lt;&gt;"Subscription",INDEX('Game Records'!$U:$U,$H106)&lt;&gt;"Free Game",INDEX('Game Records'!$U:$U,$H106)&lt;&gt;"Disqualified — Free Game",INDEX('Game Records'!$G:$G,$H106)=""),"Gross Pot; ","")&amp;IF(AND(INDEX('Game Records'!$U:$U,$H106)&lt;&gt;"Free Game",INDEX('Game Records'!$U:$U,$H106)&lt;&gt;"Disqualified — Free Game",INDEX('Game Records'!$H:$H,$H106)=""),"Entry Fee; ","")&amp;IF(AND(INDEX('Game Records'!$U:$U,$H106)&lt;&gt;"Subscription",INDEX('Game Records'!$U:$U,$H106)&lt;&gt;"Free Game",INDEX('Game Records'!$U:$U,$H106)&lt;&gt;"Disqualified — Free Game",INDEX('Game Records'!$I:$I,$H106)=""),"Eligible Players; ","")&amp;IF(AND(INDEX('Game Records'!$U:$U,$H106)&lt;&gt;"Subscription",INDEX('Game Records'!$U:$U,$H106)&lt;&gt;"Free Game",INDEX('Game Records'!$U:$U,$H106)&lt;&gt;"Disqualified — Free Game",INDEX('Game Records'!$J:$J,$H106)=""),"Total Players; ","")&amp;IF(AND(LOWER(INDEX('Game Records'!$D:$D,$H106)&amp;"")="finalized",LOWER(INDEX('Game Records'!$L:$L,$H106)&amp;"")&lt;&gt;"yes",INDEX('Game Records'!$U:$U,$H106)&lt;&gt;"Subscription",INDEX('Game Records'!$U:$U,$H106)&lt;&gt;"Free Game",INDEX('Game Records'!$U:$U,$H106)&lt;&gt;"Disqualified — Free Game",INDEX('Game Records'!$K:$K,$H106)=""),"Final Earned; ","")&amp;IF(AND(LOWER(INDEX('Game Records'!$D:$D,$H106)&amp;"")="finalized",INDEX('Game Records'!$U:$U,$H106)&lt;&gt;"Subscription",INDEX('Game Records'!$U:$U,$H106)&lt;&gt;"Free Game",INDEX('Game Records'!$U:$U,$H106)&lt;&gt;"Disqualified — Free Game",OR(INDEX('Game Records'!$L:$L,$H106)="",LOWER(INDEX('Game Records'!$L:$L,$H106)&amp;"")="n/a")),"Disqualified Status; ",""))</x:f>
        <x:v/>
      </x:c>
      <x:c r="G106" s="331" t="str">
        <x:f>IF($H106="","",IFERROR(INDEX('Game Records'!$M:$M,$H106),""))</x:f>
        <x:v/>
      </x:c>
      <x:c r="H106" s="104" t="str">
        <x:f>IF($H105="","",IFERROR(MATCH(1,INDEX((ROW('Game Records'!$U$5:$U$504)&gt;$H105)*(('Game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6" s="104"/>
      <x:c r="J106" s="104"/>
    </x:row>
    <x:row r="107" ht="24" hidden="0" customHeight="1">
      <x:c r="A107" s="332" t="str">
        <x:f>IF($H107="","",ROWS($A$5:A107))</x:f>
        <x:v/>
      </x:c>
      <x:c r="B107" s="332" t="str">
        <x:f>IF($H107="","","G-"&amp;TEXT($A107,"0000"))</x:f>
        <x:v/>
      </x:c>
      <x:c r="C107" s="331" t="str">
        <x:f>IF($H107="","",IFERROR(INDEX('Game Records'!$A:$A,$H107),""))</x:f>
        <x:v/>
      </x:c>
      <x:c r="D107" s="331" t="str">
        <x:f>IF($H107="","",IFERROR(INDEX('Game Records'!$U:$U,$H107),""))</x:f>
        <x:v/>
      </x:c>
      <x:c r="E107" s="331" t="str">
        <x:f>IF($H107="","",IF($F107="","No Highlighted Fields","Highlighted Fields Present"))</x:f>
        <x:v/>
      </x:c>
      <x:c r="F107" s="331" t="str">
        <x:f>IF($H107="","",IF(INDEX('Game Records'!$B:$B,$H107)="","Start Date; ","")&amp;IF(INDEX('Game Records'!$C:$C,$H107)="","End Date; ","")&amp;IF(AND(INDEX('Game Records'!$U:$U,$H107)&lt;&gt;"Subscription",INDEX('Game Records'!$U:$U,$H107)&lt;&gt;"Free Game",INDEX('Game Records'!$U:$U,$H107)&lt;&gt;"Disqualified — Free Game",OR(INDEX('Game Records'!$D:$D,$H107)="",LOWER(INDEX('Game Records'!$D:$D,$H107)&amp;"")="n/a")),"Entry Mode; ","")&amp;IF(AND(INDEX('Game Records'!$U:$U,$H107)&lt;&gt;"Subscription",INDEX('Game Records'!$U:$U,$H107)&lt;&gt;"Free Game",INDEX('Game Records'!$U:$U,$H107)&lt;&gt;"Disqualified — Free Game",OR(INDEX('Game Records'!$E:$E,$H107)="",LOWER(INDEX('Game Records'!$E:$E,$H107)&amp;"")="n/a")),"Game Type; ","")&amp;IF(INDEX('Game Records'!$F:$F,$H107)="","Payment Type; ","")&amp;IF(AND(INDEX('Game Records'!$U:$U,$H107)&lt;&gt;"Subscription",INDEX('Game Records'!$U:$U,$H107)&lt;&gt;"Free Game",INDEX('Game Records'!$U:$U,$H107)&lt;&gt;"Disqualified — Free Game",INDEX('Game Records'!$G:$G,$H107)=""),"Gross Pot; ","")&amp;IF(AND(INDEX('Game Records'!$U:$U,$H107)&lt;&gt;"Free Game",INDEX('Game Records'!$U:$U,$H107)&lt;&gt;"Disqualified — Free Game",INDEX('Game Records'!$H:$H,$H107)=""),"Entry Fee; ","")&amp;IF(AND(INDEX('Game Records'!$U:$U,$H107)&lt;&gt;"Subscription",INDEX('Game Records'!$U:$U,$H107)&lt;&gt;"Free Game",INDEX('Game Records'!$U:$U,$H107)&lt;&gt;"Disqualified — Free Game",INDEX('Game Records'!$I:$I,$H107)=""),"Eligible Players; ","")&amp;IF(AND(INDEX('Game Records'!$U:$U,$H107)&lt;&gt;"Subscription",INDEX('Game Records'!$U:$U,$H107)&lt;&gt;"Free Game",INDEX('Game Records'!$U:$U,$H107)&lt;&gt;"Disqualified — Free Game",INDEX('Game Records'!$J:$J,$H107)=""),"Total Players; ","")&amp;IF(AND(LOWER(INDEX('Game Records'!$D:$D,$H107)&amp;"")="finalized",LOWER(INDEX('Game Records'!$L:$L,$H107)&amp;"")&lt;&gt;"yes",INDEX('Game Records'!$U:$U,$H107)&lt;&gt;"Subscription",INDEX('Game Records'!$U:$U,$H107)&lt;&gt;"Free Game",INDEX('Game Records'!$U:$U,$H107)&lt;&gt;"Disqualified — Free Game",INDEX('Game Records'!$K:$K,$H107)=""),"Final Earned; ","")&amp;IF(AND(LOWER(INDEX('Game Records'!$D:$D,$H107)&amp;"")="finalized",INDEX('Game Records'!$U:$U,$H107)&lt;&gt;"Subscription",INDEX('Game Records'!$U:$U,$H107)&lt;&gt;"Free Game",INDEX('Game Records'!$U:$U,$H107)&lt;&gt;"Disqualified — Free Game",OR(INDEX('Game Records'!$L:$L,$H107)="",LOWER(INDEX('Game Records'!$L:$L,$H107)&amp;"")="n/a")),"Disqualified Status; ",""))</x:f>
        <x:v/>
      </x:c>
      <x:c r="G107" s="331" t="str">
        <x:f>IF($H107="","",IFERROR(INDEX('Game Records'!$M:$M,$H107),""))</x:f>
        <x:v/>
      </x:c>
      <x:c r="H107" s="104" t="str">
        <x:f>IF($H106="","",IFERROR(MATCH(1,INDEX((ROW('Game Records'!$U$5:$U$504)&gt;$H106)*(('Game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7" s="104"/>
      <x:c r="J107" s="104"/>
    </x:row>
    <x:row r="108" ht="24" hidden="0" customHeight="1">
      <x:c r="A108" s="332" t="str">
        <x:f>IF($H108="","",ROWS($A$5:A108))</x:f>
        <x:v/>
      </x:c>
      <x:c r="B108" s="332" t="str">
        <x:f>IF($H108="","","G-"&amp;TEXT($A108,"0000"))</x:f>
        <x:v/>
      </x:c>
      <x:c r="C108" s="331" t="str">
        <x:f>IF($H108="","",IFERROR(INDEX('Game Records'!$A:$A,$H108),""))</x:f>
        <x:v/>
      </x:c>
      <x:c r="D108" s="331" t="str">
        <x:f>IF($H108="","",IFERROR(INDEX('Game Records'!$U:$U,$H108),""))</x:f>
        <x:v/>
      </x:c>
      <x:c r="E108" s="331" t="str">
        <x:f>IF($H108="","",IF($F108="","No Highlighted Fields","Highlighted Fields Present"))</x:f>
        <x:v/>
      </x:c>
      <x:c r="F108" s="331" t="str">
        <x:f>IF($H108="","",IF(INDEX('Game Records'!$B:$B,$H108)="","Start Date; ","")&amp;IF(INDEX('Game Records'!$C:$C,$H108)="","End Date; ","")&amp;IF(AND(INDEX('Game Records'!$U:$U,$H108)&lt;&gt;"Subscription",INDEX('Game Records'!$U:$U,$H108)&lt;&gt;"Free Game",INDEX('Game Records'!$U:$U,$H108)&lt;&gt;"Disqualified — Free Game",OR(INDEX('Game Records'!$D:$D,$H108)="",LOWER(INDEX('Game Records'!$D:$D,$H108)&amp;"")="n/a")),"Entry Mode; ","")&amp;IF(AND(INDEX('Game Records'!$U:$U,$H108)&lt;&gt;"Subscription",INDEX('Game Records'!$U:$U,$H108)&lt;&gt;"Free Game",INDEX('Game Records'!$U:$U,$H108)&lt;&gt;"Disqualified — Free Game",OR(INDEX('Game Records'!$E:$E,$H108)="",LOWER(INDEX('Game Records'!$E:$E,$H108)&amp;"")="n/a")),"Game Type; ","")&amp;IF(INDEX('Game Records'!$F:$F,$H108)="","Payment Type; ","")&amp;IF(AND(INDEX('Game Records'!$U:$U,$H108)&lt;&gt;"Subscription",INDEX('Game Records'!$U:$U,$H108)&lt;&gt;"Free Game",INDEX('Game Records'!$U:$U,$H108)&lt;&gt;"Disqualified — Free Game",INDEX('Game Records'!$G:$G,$H108)=""),"Gross Pot; ","")&amp;IF(AND(INDEX('Game Records'!$U:$U,$H108)&lt;&gt;"Free Game",INDEX('Game Records'!$U:$U,$H108)&lt;&gt;"Disqualified — Free Game",INDEX('Game Records'!$H:$H,$H108)=""),"Entry Fee; ","")&amp;IF(AND(INDEX('Game Records'!$U:$U,$H108)&lt;&gt;"Subscription",INDEX('Game Records'!$U:$U,$H108)&lt;&gt;"Free Game",INDEX('Game Records'!$U:$U,$H108)&lt;&gt;"Disqualified — Free Game",INDEX('Game Records'!$I:$I,$H108)=""),"Eligible Players; ","")&amp;IF(AND(INDEX('Game Records'!$U:$U,$H108)&lt;&gt;"Subscription",INDEX('Game Records'!$U:$U,$H108)&lt;&gt;"Free Game",INDEX('Game Records'!$U:$U,$H108)&lt;&gt;"Disqualified — Free Game",INDEX('Game Records'!$J:$J,$H108)=""),"Total Players; ","")&amp;IF(AND(LOWER(INDEX('Game Records'!$D:$D,$H108)&amp;"")="finalized",LOWER(INDEX('Game Records'!$L:$L,$H108)&amp;"")&lt;&gt;"yes",INDEX('Game Records'!$U:$U,$H108)&lt;&gt;"Subscription",INDEX('Game Records'!$U:$U,$H108)&lt;&gt;"Free Game",INDEX('Game Records'!$U:$U,$H108)&lt;&gt;"Disqualified — Free Game",INDEX('Game Records'!$K:$K,$H108)=""),"Final Earned; ","")&amp;IF(AND(LOWER(INDEX('Game Records'!$D:$D,$H108)&amp;"")="finalized",INDEX('Game Records'!$U:$U,$H108)&lt;&gt;"Subscription",INDEX('Game Records'!$U:$U,$H108)&lt;&gt;"Free Game",INDEX('Game Records'!$U:$U,$H108)&lt;&gt;"Disqualified — Free Game",OR(INDEX('Game Records'!$L:$L,$H108)="",LOWER(INDEX('Game Records'!$L:$L,$H108)&amp;"")="n/a")),"Disqualified Status; ",""))</x:f>
        <x:v/>
      </x:c>
      <x:c r="G108" s="331" t="str">
        <x:f>IF($H108="","",IFERROR(INDEX('Game Records'!$M:$M,$H108),""))</x:f>
        <x:v/>
      </x:c>
      <x:c r="H108" s="104" t="str">
        <x:f>IF($H107="","",IFERROR(MATCH(1,INDEX((ROW('Game Records'!$U$5:$U$504)&gt;$H107)*(('Game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8" s="104"/>
      <x:c r="J108" s="104"/>
    </x:row>
    <x:row r="109" ht="24" hidden="0" customHeight="1">
      <x:c r="A109" s="332" t="str">
        <x:f>IF($H109="","",ROWS($A$5:A109))</x:f>
        <x:v/>
      </x:c>
      <x:c r="B109" s="332" t="str">
        <x:f>IF($H109="","","G-"&amp;TEXT($A109,"0000"))</x:f>
        <x:v/>
      </x:c>
      <x:c r="C109" s="331" t="str">
        <x:f>IF($H109="","",IFERROR(INDEX('Game Records'!$A:$A,$H109),""))</x:f>
        <x:v/>
      </x:c>
      <x:c r="D109" s="331" t="str">
        <x:f>IF($H109="","",IFERROR(INDEX('Game Records'!$U:$U,$H109),""))</x:f>
        <x:v/>
      </x:c>
      <x:c r="E109" s="331" t="str">
        <x:f>IF($H109="","",IF($F109="","No Highlighted Fields","Highlighted Fields Present"))</x:f>
        <x:v/>
      </x:c>
      <x:c r="F109" s="331" t="str">
        <x:f>IF($H109="","",IF(INDEX('Game Records'!$B:$B,$H109)="","Start Date; ","")&amp;IF(INDEX('Game Records'!$C:$C,$H109)="","End Date; ","")&amp;IF(AND(INDEX('Game Records'!$U:$U,$H109)&lt;&gt;"Subscription",INDEX('Game Records'!$U:$U,$H109)&lt;&gt;"Free Game",INDEX('Game Records'!$U:$U,$H109)&lt;&gt;"Disqualified — Free Game",OR(INDEX('Game Records'!$D:$D,$H109)="",LOWER(INDEX('Game Records'!$D:$D,$H109)&amp;"")="n/a")),"Entry Mode; ","")&amp;IF(AND(INDEX('Game Records'!$U:$U,$H109)&lt;&gt;"Subscription",INDEX('Game Records'!$U:$U,$H109)&lt;&gt;"Free Game",INDEX('Game Records'!$U:$U,$H109)&lt;&gt;"Disqualified — Free Game",OR(INDEX('Game Records'!$E:$E,$H109)="",LOWER(INDEX('Game Records'!$E:$E,$H109)&amp;"")="n/a")),"Game Type; ","")&amp;IF(INDEX('Game Records'!$F:$F,$H109)="","Payment Type; ","")&amp;IF(AND(INDEX('Game Records'!$U:$U,$H109)&lt;&gt;"Subscription",INDEX('Game Records'!$U:$U,$H109)&lt;&gt;"Free Game",INDEX('Game Records'!$U:$U,$H109)&lt;&gt;"Disqualified — Free Game",INDEX('Game Records'!$G:$G,$H109)=""),"Gross Pot; ","")&amp;IF(AND(INDEX('Game Records'!$U:$U,$H109)&lt;&gt;"Free Game",INDEX('Game Records'!$U:$U,$H109)&lt;&gt;"Disqualified — Free Game",INDEX('Game Records'!$H:$H,$H109)=""),"Entry Fee; ","")&amp;IF(AND(INDEX('Game Records'!$U:$U,$H109)&lt;&gt;"Subscription",INDEX('Game Records'!$U:$U,$H109)&lt;&gt;"Free Game",INDEX('Game Records'!$U:$U,$H109)&lt;&gt;"Disqualified — Free Game",INDEX('Game Records'!$I:$I,$H109)=""),"Eligible Players; ","")&amp;IF(AND(INDEX('Game Records'!$U:$U,$H109)&lt;&gt;"Subscription",INDEX('Game Records'!$U:$U,$H109)&lt;&gt;"Free Game",INDEX('Game Records'!$U:$U,$H109)&lt;&gt;"Disqualified — Free Game",INDEX('Game Records'!$J:$J,$H109)=""),"Total Players; ","")&amp;IF(AND(LOWER(INDEX('Game Records'!$D:$D,$H109)&amp;"")="finalized",LOWER(INDEX('Game Records'!$L:$L,$H109)&amp;"")&lt;&gt;"yes",INDEX('Game Records'!$U:$U,$H109)&lt;&gt;"Subscription",INDEX('Game Records'!$U:$U,$H109)&lt;&gt;"Free Game",INDEX('Game Records'!$U:$U,$H109)&lt;&gt;"Disqualified — Free Game",INDEX('Game Records'!$K:$K,$H109)=""),"Final Earned; ","")&amp;IF(AND(LOWER(INDEX('Game Records'!$D:$D,$H109)&amp;"")="finalized",INDEX('Game Records'!$U:$U,$H109)&lt;&gt;"Subscription",INDEX('Game Records'!$U:$U,$H109)&lt;&gt;"Free Game",INDEX('Game Records'!$U:$U,$H109)&lt;&gt;"Disqualified — Free Game",OR(INDEX('Game Records'!$L:$L,$H109)="",LOWER(INDEX('Game Records'!$L:$L,$H109)&amp;"")="n/a")),"Disqualified Status; ",""))</x:f>
        <x:v/>
      </x:c>
      <x:c r="G109" s="331" t="str">
        <x:f>IF($H109="","",IFERROR(INDEX('Game Records'!$M:$M,$H109),""))</x:f>
        <x:v/>
      </x:c>
      <x:c r="H109" s="104" t="str">
        <x:f>IF($H108="","",IFERROR(MATCH(1,INDEX((ROW('Game Records'!$U$5:$U$504)&gt;$H108)*(('Game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09" s="104"/>
      <x:c r="J109" s="104"/>
    </x:row>
    <x:row r="110" ht="24" hidden="0" customHeight="1">
      <x:c r="A110" s="332" t="str">
        <x:f>IF($H110="","",ROWS($A$5:A110))</x:f>
        <x:v/>
      </x:c>
      <x:c r="B110" s="332" t="str">
        <x:f>IF($H110="","","G-"&amp;TEXT($A110,"0000"))</x:f>
        <x:v/>
      </x:c>
      <x:c r="C110" s="331" t="str">
        <x:f>IF($H110="","",IFERROR(INDEX('Game Records'!$A:$A,$H110),""))</x:f>
        <x:v/>
      </x:c>
      <x:c r="D110" s="331" t="str">
        <x:f>IF($H110="","",IFERROR(INDEX('Game Records'!$U:$U,$H110),""))</x:f>
        <x:v/>
      </x:c>
      <x:c r="E110" s="331" t="str">
        <x:f>IF($H110="","",IF($F110="","No Highlighted Fields","Highlighted Fields Present"))</x:f>
        <x:v/>
      </x:c>
      <x:c r="F110" s="331" t="str">
        <x:f>IF($H110="","",IF(INDEX('Game Records'!$B:$B,$H110)="","Start Date; ","")&amp;IF(INDEX('Game Records'!$C:$C,$H110)="","End Date; ","")&amp;IF(AND(INDEX('Game Records'!$U:$U,$H110)&lt;&gt;"Subscription",INDEX('Game Records'!$U:$U,$H110)&lt;&gt;"Free Game",INDEX('Game Records'!$U:$U,$H110)&lt;&gt;"Disqualified — Free Game",OR(INDEX('Game Records'!$D:$D,$H110)="",LOWER(INDEX('Game Records'!$D:$D,$H110)&amp;"")="n/a")),"Entry Mode; ","")&amp;IF(AND(INDEX('Game Records'!$U:$U,$H110)&lt;&gt;"Subscription",INDEX('Game Records'!$U:$U,$H110)&lt;&gt;"Free Game",INDEX('Game Records'!$U:$U,$H110)&lt;&gt;"Disqualified — Free Game",OR(INDEX('Game Records'!$E:$E,$H110)="",LOWER(INDEX('Game Records'!$E:$E,$H110)&amp;"")="n/a")),"Game Type; ","")&amp;IF(INDEX('Game Records'!$F:$F,$H110)="","Payment Type; ","")&amp;IF(AND(INDEX('Game Records'!$U:$U,$H110)&lt;&gt;"Subscription",INDEX('Game Records'!$U:$U,$H110)&lt;&gt;"Free Game",INDEX('Game Records'!$U:$U,$H110)&lt;&gt;"Disqualified — Free Game",INDEX('Game Records'!$G:$G,$H110)=""),"Gross Pot; ","")&amp;IF(AND(INDEX('Game Records'!$U:$U,$H110)&lt;&gt;"Free Game",INDEX('Game Records'!$U:$U,$H110)&lt;&gt;"Disqualified — Free Game",INDEX('Game Records'!$H:$H,$H110)=""),"Entry Fee; ","")&amp;IF(AND(INDEX('Game Records'!$U:$U,$H110)&lt;&gt;"Subscription",INDEX('Game Records'!$U:$U,$H110)&lt;&gt;"Free Game",INDEX('Game Records'!$U:$U,$H110)&lt;&gt;"Disqualified — Free Game",INDEX('Game Records'!$I:$I,$H110)=""),"Eligible Players; ","")&amp;IF(AND(INDEX('Game Records'!$U:$U,$H110)&lt;&gt;"Subscription",INDEX('Game Records'!$U:$U,$H110)&lt;&gt;"Free Game",INDEX('Game Records'!$U:$U,$H110)&lt;&gt;"Disqualified — Free Game",INDEX('Game Records'!$J:$J,$H110)=""),"Total Players; ","")&amp;IF(AND(LOWER(INDEX('Game Records'!$D:$D,$H110)&amp;"")="finalized",LOWER(INDEX('Game Records'!$L:$L,$H110)&amp;"")&lt;&gt;"yes",INDEX('Game Records'!$U:$U,$H110)&lt;&gt;"Subscription",INDEX('Game Records'!$U:$U,$H110)&lt;&gt;"Free Game",INDEX('Game Records'!$U:$U,$H110)&lt;&gt;"Disqualified — Free Game",INDEX('Game Records'!$K:$K,$H110)=""),"Final Earned; ","")&amp;IF(AND(LOWER(INDEX('Game Records'!$D:$D,$H110)&amp;"")="finalized",INDEX('Game Records'!$U:$U,$H110)&lt;&gt;"Subscription",INDEX('Game Records'!$U:$U,$H110)&lt;&gt;"Free Game",INDEX('Game Records'!$U:$U,$H110)&lt;&gt;"Disqualified — Free Game",OR(INDEX('Game Records'!$L:$L,$H110)="",LOWER(INDEX('Game Records'!$L:$L,$H110)&amp;"")="n/a")),"Disqualified Status; ",""))</x:f>
        <x:v/>
      </x:c>
      <x:c r="G110" s="331" t="str">
        <x:f>IF($H110="","",IFERROR(INDEX('Game Records'!$M:$M,$H110),""))</x:f>
        <x:v/>
      </x:c>
      <x:c r="H110" s="104" t="str">
        <x:f>IF($H109="","",IFERROR(MATCH(1,INDEX((ROW('Game Records'!$U$5:$U$504)&gt;$H109)*(('Game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0" s="104"/>
      <x:c r="J110" s="104"/>
    </x:row>
    <x:row r="111" ht="24" hidden="0" customHeight="1">
      <x:c r="A111" s="332" t="str">
        <x:f>IF($H111="","",ROWS($A$5:A111))</x:f>
        <x:v/>
      </x:c>
      <x:c r="B111" s="332" t="str">
        <x:f>IF($H111="","","G-"&amp;TEXT($A111,"0000"))</x:f>
        <x:v/>
      </x:c>
      <x:c r="C111" s="331" t="str">
        <x:f>IF($H111="","",IFERROR(INDEX('Game Records'!$A:$A,$H111),""))</x:f>
        <x:v/>
      </x:c>
      <x:c r="D111" s="331" t="str">
        <x:f>IF($H111="","",IFERROR(INDEX('Game Records'!$U:$U,$H111),""))</x:f>
        <x:v/>
      </x:c>
      <x:c r="E111" s="331" t="str">
        <x:f>IF($H111="","",IF($F111="","No Highlighted Fields","Highlighted Fields Present"))</x:f>
        <x:v/>
      </x:c>
      <x:c r="F111" s="331" t="str">
        <x:f>IF($H111="","",IF(INDEX('Game Records'!$B:$B,$H111)="","Start Date; ","")&amp;IF(INDEX('Game Records'!$C:$C,$H111)="","End Date; ","")&amp;IF(AND(INDEX('Game Records'!$U:$U,$H111)&lt;&gt;"Subscription",INDEX('Game Records'!$U:$U,$H111)&lt;&gt;"Free Game",INDEX('Game Records'!$U:$U,$H111)&lt;&gt;"Disqualified — Free Game",OR(INDEX('Game Records'!$D:$D,$H111)="",LOWER(INDEX('Game Records'!$D:$D,$H111)&amp;"")="n/a")),"Entry Mode; ","")&amp;IF(AND(INDEX('Game Records'!$U:$U,$H111)&lt;&gt;"Subscription",INDEX('Game Records'!$U:$U,$H111)&lt;&gt;"Free Game",INDEX('Game Records'!$U:$U,$H111)&lt;&gt;"Disqualified — Free Game",OR(INDEX('Game Records'!$E:$E,$H111)="",LOWER(INDEX('Game Records'!$E:$E,$H111)&amp;"")="n/a")),"Game Type; ","")&amp;IF(INDEX('Game Records'!$F:$F,$H111)="","Payment Type; ","")&amp;IF(AND(INDEX('Game Records'!$U:$U,$H111)&lt;&gt;"Subscription",INDEX('Game Records'!$U:$U,$H111)&lt;&gt;"Free Game",INDEX('Game Records'!$U:$U,$H111)&lt;&gt;"Disqualified — Free Game",INDEX('Game Records'!$G:$G,$H111)=""),"Gross Pot; ","")&amp;IF(AND(INDEX('Game Records'!$U:$U,$H111)&lt;&gt;"Free Game",INDEX('Game Records'!$U:$U,$H111)&lt;&gt;"Disqualified — Free Game",INDEX('Game Records'!$H:$H,$H111)=""),"Entry Fee; ","")&amp;IF(AND(INDEX('Game Records'!$U:$U,$H111)&lt;&gt;"Subscription",INDEX('Game Records'!$U:$U,$H111)&lt;&gt;"Free Game",INDEX('Game Records'!$U:$U,$H111)&lt;&gt;"Disqualified — Free Game",INDEX('Game Records'!$I:$I,$H111)=""),"Eligible Players; ","")&amp;IF(AND(INDEX('Game Records'!$U:$U,$H111)&lt;&gt;"Subscription",INDEX('Game Records'!$U:$U,$H111)&lt;&gt;"Free Game",INDEX('Game Records'!$U:$U,$H111)&lt;&gt;"Disqualified — Free Game",INDEX('Game Records'!$J:$J,$H111)=""),"Total Players; ","")&amp;IF(AND(LOWER(INDEX('Game Records'!$D:$D,$H111)&amp;"")="finalized",LOWER(INDEX('Game Records'!$L:$L,$H111)&amp;"")&lt;&gt;"yes",INDEX('Game Records'!$U:$U,$H111)&lt;&gt;"Subscription",INDEX('Game Records'!$U:$U,$H111)&lt;&gt;"Free Game",INDEX('Game Records'!$U:$U,$H111)&lt;&gt;"Disqualified — Free Game",INDEX('Game Records'!$K:$K,$H111)=""),"Final Earned; ","")&amp;IF(AND(LOWER(INDEX('Game Records'!$D:$D,$H111)&amp;"")="finalized",INDEX('Game Records'!$U:$U,$H111)&lt;&gt;"Subscription",INDEX('Game Records'!$U:$U,$H111)&lt;&gt;"Free Game",INDEX('Game Records'!$U:$U,$H111)&lt;&gt;"Disqualified — Free Game",OR(INDEX('Game Records'!$L:$L,$H111)="",LOWER(INDEX('Game Records'!$L:$L,$H111)&amp;"")="n/a")),"Disqualified Status; ",""))</x:f>
        <x:v/>
      </x:c>
      <x:c r="G111" s="331" t="str">
        <x:f>IF($H111="","",IFERROR(INDEX('Game Records'!$M:$M,$H111),""))</x:f>
        <x:v/>
      </x:c>
      <x:c r="H111" s="104" t="str">
        <x:f>IF($H110="","",IFERROR(MATCH(1,INDEX((ROW('Game Records'!$U$5:$U$504)&gt;$H110)*(('Game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1" s="104"/>
      <x:c r="J111" s="104"/>
    </x:row>
    <x:row r="112" ht="24" hidden="0" customHeight="1">
      <x:c r="A112" s="332" t="str">
        <x:f>IF($H112="","",ROWS($A$5:A112))</x:f>
        <x:v/>
      </x:c>
      <x:c r="B112" s="332" t="str">
        <x:f>IF($H112="","","G-"&amp;TEXT($A112,"0000"))</x:f>
        <x:v/>
      </x:c>
      <x:c r="C112" s="331" t="str">
        <x:f>IF($H112="","",IFERROR(INDEX('Game Records'!$A:$A,$H112),""))</x:f>
        <x:v/>
      </x:c>
      <x:c r="D112" s="331" t="str">
        <x:f>IF($H112="","",IFERROR(INDEX('Game Records'!$U:$U,$H112),""))</x:f>
        <x:v/>
      </x:c>
      <x:c r="E112" s="331" t="str">
        <x:f>IF($H112="","",IF($F112="","No Highlighted Fields","Highlighted Fields Present"))</x:f>
        <x:v/>
      </x:c>
      <x:c r="F112" s="331" t="str">
        <x:f>IF($H112="","",IF(INDEX('Game Records'!$B:$B,$H112)="","Start Date; ","")&amp;IF(INDEX('Game Records'!$C:$C,$H112)="","End Date; ","")&amp;IF(AND(INDEX('Game Records'!$U:$U,$H112)&lt;&gt;"Subscription",INDEX('Game Records'!$U:$U,$H112)&lt;&gt;"Free Game",INDEX('Game Records'!$U:$U,$H112)&lt;&gt;"Disqualified — Free Game",OR(INDEX('Game Records'!$D:$D,$H112)="",LOWER(INDEX('Game Records'!$D:$D,$H112)&amp;"")="n/a")),"Entry Mode; ","")&amp;IF(AND(INDEX('Game Records'!$U:$U,$H112)&lt;&gt;"Subscription",INDEX('Game Records'!$U:$U,$H112)&lt;&gt;"Free Game",INDEX('Game Records'!$U:$U,$H112)&lt;&gt;"Disqualified — Free Game",OR(INDEX('Game Records'!$E:$E,$H112)="",LOWER(INDEX('Game Records'!$E:$E,$H112)&amp;"")="n/a")),"Game Type; ","")&amp;IF(INDEX('Game Records'!$F:$F,$H112)="","Payment Type; ","")&amp;IF(AND(INDEX('Game Records'!$U:$U,$H112)&lt;&gt;"Subscription",INDEX('Game Records'!$U:$U,$H112)&lt;&gt;"Free Game",INDEX('Game Records'!$U:$U,$H112)&lt;&gt;"Disqualified — Free Game",INDEX('Game Records'!$G:$G,$H112)=""),"Gross Pot; ","")&amp;IF(AND(INDEX('Game Records'!$U:$U,$H112)&lt;&gt;"Free Game",INDEX('Game Records'!$U:$U,$H112)&lt;&gt;"Disqualified — Free Game",INDEX('Game Records'!$H:$H,$H112)=""),"Entry Fee; ","")&amp;IF(AND(INDEX('Game Records'!$U:$U,$H112)&lt;&gt;"Subscription",INDEX('Game Records'!$U:$U,$H112)&lt;&gt;"Free Game",INDEX('Game Records'!$U:$U,$H112)&lt;&gt;"Disqualified — Free Game",INDEX('Game Records'!$I:$I,$H112)=""),"Eligible Players; ","")&amp;IF(AND(INDEX('Game Records'!$U:$U,$H112)&lt;&gt;"Subscription",INDEX('Game Records'!$U:$U,$H112)&lt;&gt;"Free Game",INDEX('Game Records'!$U:$U,$H112)&lt;&gt;"Disqualified — Free Game",INDEX('Game Records'!$J:$J,$H112)=""),"Total Players; ","")&amp;IF(AND(LOWER(INDEX('Game Records'!$D:$D,$H112)&amp;"")="finalized",LOWER(INDEX('Game Records'!$L:$L,$H112)&amp;"")&lt;&gt;"yes",INDEX('Game Records'!$U:$U,$H112)&lt;&gt;"Subscription",INDEX('Game Records'!$U:$U,$H112)&lt;&gt;"Free Game",INDEX('Game Records'!$U:$U,$H112)&lt;&gt;"Disqualified — Free Game",INDEX('Game Records'!$K:$K,$H112)=""),"Final Earned; ","")&amp;IF(AND(LOWER(INDEX('Game Records'!$D:$D,$H112)&amp;"")="finalized",INDEX('Game Records'!$U:$U,$H112)&lt;&gt;"Subscription",INDEX('Game Records'!$U:$U,$H112)&lt;&gt;"Free Game",INDEX('Game Records'!$U:$U,$H112)&lt;&gt;"Disqualified — Free Game",OR(INDEX('Game Records'!$L:$L,$H112)="",LOWER(INDEX('Game Records'!$L:$L,$H112)&amp;"")="n/a")),"Disqualified Status; ",""))</x:f>
        <x:v/>
      </x:c>
      <x:c r="G112" s="331" t="str">
        <x:f>IF($H112="","",IFERROR(INDEX('Game Records'!$M:$M,$H112),""))</x:f>
        <x:v/>
      </x:c>
      <x:c r="H112" s="104" t="str">
        <x:f>IF($H111="","",IFERROR(MATCH(1,INDEX((ROW('Game Records'!$U$5:$U$504)&gt;$H111)*(('Game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2" s="104"/>
      <x:c r="J112" s="104"/>
    </x:row>
    <x:row r="113" ht="24" hidden="0" customHeight="1">
      <x:c r="A113" s="332" t="str">
        <x:f>IF($H113="","",ROWS($A$5:A113))</x:f>
        <x:v/>
      </x:c>
      <x:c r="B113" s="332" t="str">
        <x:f>IF($H113="","","G-"&amp;TEXT($A113,"0000"))</x:f>
        <x:v/>
      </x:c>
      <x:c r="C113" s="331" t="str">
        <x:f>IF($H113="","",IFERROR(INDEX('Game Records'!$A:$A,$H113),""))</x:f>
        <x:v/>
      </x:c>
      <x:c r="D113" s="331" t="str">
        <x:f>IF($H113="","",IFERROR(INDEX('Game Records'!$U:$U,$H113),""))</x:f>
        <x:v/>
      </x:c>
      <x:c r="E113" s="331" t="str">
        <x:f>IF($H113="","",IF($F113="","No Highlighted Fields","Highlighted Fields Present"))</x:f>
        <x:v/>
      </x:c>
      <x:c r="F113" s="331" t="str">
        <x:f>IF($H113="","",IF(INDEX('Game Records'!$B:$B,$H113)="","Start Date; ","")&amp;IF(INDEX('Game Records'!$C:$C,$H113)="","End Date; ","")&amp;IF(AND(INDEX('Game Records'!$U:$U,$H113)&lt;&gt;"Subscription",INDEX('Game Records'!$U:$U,$H113)&lt;&gt;"Free Game",INDEX('Game Records'!$U:$U,$H113)&lt;&gt;"Disqualified — Free Game",OR(INDEX('Game Records'!$D:$D,$H113)="",LOWER(INDEX('Game Records'!$D:$D,$H113)&amp;"")="n/a")),"Entry Mode; ","")&amp;IF(AND(INDEX('Game Records'!$U:$U,$H113)&lt;&gt;"Subscription",INDEX('Game Records'!$U:$U,$H113)&lt;&gt;"Free Game",INDEX('Game Records'!$U:$U,$H113)&lt;&gt;"Disqualified — Free Game",OR(INDEX('Game Records'!$E:$E,$H113)="",LOWER(INDEX('Game Records'!$E:$E,$H113)&amp;"")="n/a")),"Game Type; ","")&amp;IF(INDEX('Game Records'!$F:$F,$H113)="","Payment Type; ","")&amp;IF(AND(INDEX('Game Records'!$U:$U,$H113)&lt;&gt;"Subscription",INDEX('Game Records'!$U:$U,$H113)&lt;&gt;"Free Game",INDEX('Game Records'!$U:$U,$H113)&lt;&gt;"Disqualified — Free Game",INDEX('Game Records'!$G:$G,$H113)=""),"Gross Pot; ","")&amp;IF(AND(INDEX('Game Records'!$U:$U,$H113)&lt;&gt;"Free Game",INDEX('Game Records'!$U:$U,$H113)&lt;&gt;"Disqualified — Free Game",INDEX('Game Records'!$H:$H,$H113)=""),"Entry Fee; ","")&amp;IF(AND(INDEX('Game Records'!$U:$U,$H113)&lt;&gt;"Subscription",INDEX('Game Records'!$U:$U,$H113)&lt;&gt;"Free Game",INDEX('Game Records'!$U:$U,$H113)&lt;&gt;"Disqualified — Free Game",INDEX('Game Records'!$I:$I,$H113)=""),"Eligible Players; ","")&amp;IF(AND(INDEX('Game Records'!$U:$U,$H113)&lt;&gt;"Subscription",INDEX('Game Records'!$U:$U,$H113)&lt;&gt;"Free Game",INDEX('Game Records'!$U:$U,$H113)&lt;&gt;"Disqualified — Free Game",INDEX('Game Records'!$J:$J,$H113)=""),"Total Players; ","")&amp;IF(AND(LOWER(INDEX('Game Records'!$D:$D,$H113)&amp;"")="finalized",LOWER(INDEX('Game Records'!$L:$L,$H113)&amp;"")&lt;&gt;"yes",INDEX('Game Records'!$U:$U,$H113)&lt;&gt;"Subscription",INDEX('Game Records'!$U:$U,$H113)&lt;&gt;"Free Game",INDEX('Game Records'!$U:$U,$H113)&lt;&gt;"Disqualified — Free Game",INDEX('Game Records'!$K:$K,$H113)=""),"Final Earned; ","")&amp;IF(AND(LOWER(INDEX('Game Records'!$D:$D,$H113)&amp;"")="finalized",INDEX('Game Records'!$U:$U,$H113)&lt;&gt;"Subscription",INDEX('Game Records'!$U:$U,$H113)&lt;&gt;"Free Game",INDEX('Game Records'!$U:$U,$H113)&lt;&gt;"Disqualified — Free Game",OR(INDEX('Game Records'!$L:$L,$H113)="",LOWER(INDEX('Game Records'!$L:$L,$H113)&amp;"")="n/a")),"Disqualified Status; ",""))</x:f>
        <x:v/>
      </x:c>
      <x:c r="G113" s="331" t="str">
        <x:f>IF($H113="","",IFERROR(INDEX('Game Records'!$M:$M,$H113),""))</x:f>
        <x:v/>
      </x:c>
      <x:c r="H113" s="104" t="str">
        <x:f>IF($H112="","",IFERROR(MATCH(1,INDEX((ROW('Game Records'!$U$5:$U$504)&gt;$H112)*(('Game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3" s="104"/>
      <x:c r="J113" s="104"/>
    </x:row>
    <x:row r="114" ht="24" hidden="0" customHeight="1">
      <x:c r="A114" s="332" t="str">
        <x:f>IF($H114="","",ROWS($A$5:A114))</x:f>
        <x:v/>
      </x:c>
      <x:c r="B114" s="332" t="str">
        <x:f>IF($H114="","","G-"&amp;TEXT($A114,"0000"))</x:f>
        <x:v/>
      </x:c>
      <x:c r="C114" s="331" t="str">
        <x:f>IF($H114="","",IFERROR(INDEX('Game Records'!$A:$A,$H114),""))</x:f>
        <x:v/>
      </x:c>
      <x:c r="D114" s="331" t="str">
        <x:f>IF($H114="","",IFERROR(INDEX('Game Records'!$U:$U,$H114),""))</x:f>
        <x:v/>
      </x:c>
      <x:c r="E114" s="331" t="str">
        <x:f>IF($H114="","",IF($F114="","No Highlighted Fields","Highlighted Fields Present"))</x:f>
        <x:v/>
      </x:c>
      <x:c r="F114" s="331" t="str">
        <x:f>IF($H114="","",IF(INDEX('Game Records'!$B:$B,$H114)="","Start Date; ","")&amp;IF(INDEX('Game Records'!$C:$C,$H114)="","End Date; ","")&amp;IF(AND(INDEX('Game Records'!$U:$U,$H114)&lt;&gt;"Subscription",INDEX('Game Records'!$U:$U,$H114)&lt;&gt;"Free Game",INDEX('Game Records'!$U:$U,$H114)&lt;&gt;"Disqualified — Free Game",OR(INDEX('Game Records'!$D:$D,$H114)="",LOWER(INDEX('Game Records'!$D:$D,$H114)&amp;"")="n/a")),"Entry Mode; ","")&amp;IF(AND(INDEX('Game Records'!$U:$U,$H114)&lt;&gt;"Subscription",INDEX('Game Records'!$U:$U,$H114)&lt;&gt;"Free Game",INDEX('Game Records'!$U:$U,$H114)&lt;&gt;"Disqualified — Free Game",OR(INDEX('Game Records'!$E:$E,$H114)="",LOWER(INDEX('Game Records'!$E:$E,$H114)&amp;"")="n/a")),"Game Type; ","")&amp;IF(INDEX('Game Records'!$F:$F,$H114)="","Payment Type; ","")&amp;IF(AND(INDEX('Game Records'!$U:$U,$H114)&lt;&gt;"Subscription",INDEX('Game Records'!$U:$U,$H114)&lt;&gt;"Free Game",INDEX('Game Records'!$U:$U,$H114)&lt;&gt;"Disqualified — Free Game",INDEX('Game Records'!$G:$G,$H114)=""),"Gross Pot; ","")&amp;IF(AND(INDEX('Game Records'!$U:$U,$H114)&lt;&gt;"Free Game",INDEX('Game Records'!$U:$U,$H114)&lt;&gt;"Disqualified — Free Game",INDEX('Game Records'!$H:$H,$H114)=""),"Entry Fee; ","")&amp;IF(AND(INDEX('Game Records'!$U:$U,$H114)&lt;&gt;"Subscription",INDEX('Game Records'!$U:$U,$H114)&lt;&gt;"Free Game",INDEX('Game Records'!$U:$U,$H114)&lt;&gt;"Disqualified — Free Game",INDEX('Game Records'!$I:$I,$H114)=""),"Eligible Players; ","")&amp;IF(AND(INDEX('Game Records'!$U:$U,$H114)&lt;&gt;"Subscription",INDEX('Game Records'!$U:$U,$H114)&lt;&gt;"Free Game",INDEX('Game Records'!$U:$U,$H114)&lt;&gt;"Disqualified — Free Game",INDEX('Game Records'!$J:$J,$H114)=""),"Total Players; ","")&amp;IF(AND(LOWER(INDEX('Game Records'!$D:$D,$H114)&amp;"")="finalized",LOWER(INDEX('Game Records'!$L:$L,$H114)&amp;"")&lt;&gt;"yes",INDEX('Game Records'!$U:$U,$H114)&lt;&gt;"Subscription",INDEX('Game Records'!$U:$U,$H114)&lt;&gt;"Free Game",INDEX('Game Records'!$U:$U,$H114)&lt;&gt;"Disqualified — Free Game",INDEX('Game Records'!$K:$K,$H114)=""),"Final Earned; ","")&amp;IF(AND(LOWER(INDEX('Game Records'!$D:$D,$H114)&amp;"")="finalized",INDEX('Game Records'!$U:$U,$H114)&lt;&gt;"Subscription",INDEX('Game Records'!$U:$U,$H114)&lt;&gt;"Free Game",INDEX('Game Records'!$U:$U,$H114)&lt;&gt;"Disqualified — Free Game",OR(INDEX('Game Records'!$L:$L,$H114)="",LOWER(INDEX('Game Records'!$L:$L,$H114)&amp;"")="n/a")),"Disqualified Status; ",""))</x:f>
        <x:v/>
      </x:c>
      <x:c r="G114" s="331" t="str">
        <x:f>IF($H114="","",IFERROR(INDEX('Game Records'!$M:$M,$H114),""))</x:f>
        <x:v/>
      </x:c>
      <x:c r="H114" s="104" t="str">
        <x:f>IF($H113="","",IFERROR(MATCH(1,INDEX((ROW('Game Records'!$U$5:$U$504)&gt;$H113)*(('Game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4" s="104"/>
      <x:c r="J114" s="104"/>
    </x:row>
    <x:row r="115" ht="24" hidden="0" customHeight="1">
      <x:c r="A115" s="332" t="str">
        <x:f>IF($H115="","",ROWS($A$5:A115))</x:f>
        <x:v/>
      </x:c>
      <x:c r="B115" s="332" t="str">
        <x:f>IF($H115="","","G-"&amp;TEXT($A115,"0000"))</x:f>
        <x:v/>
      </x:c>
      <x:c r="C115" s="331" t="str">
        <x:f>IF($H115="","",IFERROR(INDEX('Game Records'!$A:$A,$H115),""))</x:f>
        <x:v/>
      </x:c>
      <x:c r="D115" s="331" t="str">
        <x:f>IF($H115="","",IFERROR(INDEX('Game Records'!$U:$U,$H115),""))</x:f>
        <x:v/>
      </x:c>
      <x:c r="E115" s="331" t="str">
        <x:f>IF($H115="","",IF($F115="","No Highlighted Fields","Highlighted Fields Present"))</x:f>
        <x:v/>
      </x:c>
      <x:c r="F115" s="331" t="str">
        <x:f>IF($H115="","",IF(INDEX('Game Records'!$B:$B,$H115)="","Start Date; ","")&amp;IF(INDEX('Game Records'!$C:$C,$H115)="","End Date; ","")&amp;IF(AND(INDEX('Game Records'!$U:$U,$H115)&lt;&gt;"Subscription",INDEX('Game Records'!$U:$U,$H115)&lt;&gt;"Free Game",INDEX('Game Records'!$U:$U,$H115)&lt;&gt;"Disqualified — Free Game",OR(INDEX('Game Records'!$D:$D,$H115)="",LOWER(INDEX('Game Records'!$D:$D,$H115)&amp;"")="n/a")),"Entry Mode; ","")&amp;IF(AND(INDEX('Game Records'!$U:$U,$H115)&lt;&gt;"Subscription",INDEX('Game Records'!$U:$U,$H115)&lt;&gt;"Free Game",INDEX('Game Records'!$U:$U,$H115)&lt;&gt;"Disqualified — Free Game",OR(INDEX('Game Records'!$E:$E,$H115)="",LOWER(INDEX('Game Records'!$E:$E,$H115)&amp;"")="n/a")),"Game Type; ","")&amp;IF(INDEX('Game Records'!$F:$F,$H115)="","Payment Type; ","")&amp;IF(AND(INDEX('Game Records'!$U:$U,$H115)&lt;&gt;"Subscription",INDEX('Game Records'!$U:$U,$H115)&lt;&gt;"Free Game",INDEX('Game Records'!$U:$U,$H115)&lt;&gt;"Disqualified — Free Game",INDEX('Game Records'!$G:$G,$H115)=""),"Gross Pot; ","")&amp;IF(AND(INDEX('Game Records'!$U:$U,$H115)&lt;&gt;"Free Game",INDEX('Game Records'!$U:$U,$H115)&lt;&gt;"Disqualified — Free Game",INDEX('Game Records'!$H:$H,$H115)=""),"Entry Fee; ","")&amp;IF(AND(INDEX('Game Records'!$U:$U,$H115)&lt;&gt;"Subscription",INDEX('Game Records'!$U:$U,$H115)&lt;&gt;"Free Game",INDEX('Game Records'!$U:$U,$H115)&lt;&gt;"Disqualified — Free Game",INDEX('Game Records'!$I:$I,$H115)=""),"Eligible Players; ","")&amp;IF(AND(INDEX('Game Records'!$U:$U,$H115)&lt;&gt;"Subscription",INDEX('Game Records'!$U:$U,$H115)&lt;&gt;"Free Game",INDEX('Game Records'!$U:$U,$H115)&lt;&gt;"Disqualified — Free Game",INDEX('Game Records'!$J:$J,$H115)=""),"Total Players; ","")&amp;IF(AND(LOWER(INDEX('Game Records'!$D:$D,$H115)&amp;"")="finalized",LOWER(INDEX('Game Records'!$L:$L,$H115)&amp;"")&lt;&gt;"yes",INDEX('Game Records'!$U:$U,$H115)&lt;&gt;"Subscription",INDEX('Game Records'!$U:$U,$H115)&lt;&gt;"Free Game",INDEX('Game Records'!$U:$U,$H115)&lt;&gt;"Disqualified — Free Game",INDEX('Game Records'!$K:$K,$H115)=""),"Final Earned; ","")&amp;IF(AND(LOWER(INDEX('Game Records'!$D:$D,$H115)&amp;"")="finalized",INDEX('Game Records'!$U:$U,$H115)&lt;&gt;"Subscription",INDEX('Game Records'!$U:$U,$H115)&lt;&gt;"Free Game",INDEX('Game Records'!$U:$U,$H115)&lt;&gt;"Disqualified — Free Game",OR(INDEX('Game Records'!$L:$L,$H115)="",LOWER(INDEX('Game Records'!$L:$L,$H115)&amp;"")="n/a")),"Disqualified Status; ",""))</x:f>
        <x:v/>
      </x:c>
      <x:c r="G115" s="331" t="str">
        <x:f>IF($H115="","",IFERROR(INDEX('Game Records'!$M:$M,$H115),""))</x:f>
        <x:v/>
      </x:c>
      <x:c r="H115" s="104" t="str">
        <x:f>IF($H114="","",IFERROR(MATCH(1,INDEX((ROW('Game Records'!$U$5:$U$504)&gt;$H114)*(('Game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5" s="104"/>
      <x:c r="J115" s="104"/>
    </x:row>
    <x:row r="116" ht="24" hidden="0" customHeight="1">
      <x:c r="A116" s="332" t="str">
        <x:f>IF($H116="","",ROWS($A$5:A116))</x:f>
        <x:v/>
      </x:c>
      <x:c r="B116" s="332" t="str">
        <x:f>IF($H116="","","G-"&amp;TEXT($A116,"0000"))</x:f>
        <x:v/>
      </x:c>
      <x:c r="C116" s="331" t="str">
        <x:f>IF($H116="","",IFERROR(INDEX('Game Records'!$A:$A,$H116),""))</x:f>
        <x:v/>
      </x:c>
      <x:c r="D116" s="331" t="str">
        <x:f>IF($H116="","",IFERROR(INDEX('Game Records'!$U:$U,$H116),""))</x:f>
        <x:v/>
      </x:c>
      <x:c r="E116" s="331" t="str">
        <x:f>IF($H116="","",IF($F116="","No Highlighted Fields","Highlighted Fields Present"))</x:f>
        <x:v/>
      </x:c>
      <x:c r="F116" s="331" t="str">
        <x:f>IF($H116="","",IF(INDEX('Game Records'!$B:$B,$H116)="","Start Date; ","")&amp;IF(INDEX('Game Records'!$C:$C,$H116)="","End Date; ","")&amp;IF(AND(INDEX('Game Records'!$U:$U,$H116)&lt;&gt;"Subscription",INDEX('Game Records'!$U:$U,$H116)&lt;&gt;"Free Game",INDEX('Game Records'!$U:$U,$H116)&lt;&gt;"Disqualified — Free Game",OR(INDEX('Game Records'!$D:$D,$H116)="",LOWER(INDEX('Game Records'!$D:$D,$H116)&amp;"")="n/a")),"Entry Mode; ","")&amp;IF(AND(INDEX('Game Records'!$U:$U,$H116)&lt;&gt;"Subscription",INDEX('Game Records'!$U:$U,$H116)&lt;&gt;"Free Game",INDEX('Game Records'!$U:$U,$H116)&lt;&gt;"Disqualified — Free Game",OR(INDEX('Game Records'!$E:$E,$H116)="",LOWER(INDEX('Game Records'!$E:$E,$H116)&amp;"")="n/a")),"Game Type; ","")&amp;IF(INDEX('Game Records'!$F:$F,$H116)="","Payment Type; ","")&amp;IF(AND(INDEX('Game Records'!$U:$U,$H116)&lt;&gt;"Subscription",INDEX('Game Records'!$U:$U,$H116)&lt;&gt;"Free Game",INDEX('Game Records'!$U:$U,$H116)&lt;&gt;"Disqualified — Free Game",INDEX('Game Records'!$G:$G,$H116)=""),"Gross Pot; ","")&amp;IF(AND(INDEX('Game Records'!$U:$U,$H116)&lt;&gt;"Free Game",INDEX('Game Records'!$U:$U,$H116)&lt;&gt;"Disqualified — Free Game",INDEX('Game Records'!$H:$H,$H116)=""),"Entry Fee; ","")&amp;IF(AND(INDEX('Game Records'!$U:$U,$H116)&lt;&gt;"Subscription",INDEX('Game Records'!$U:$U,$H116)&lt;&gt;"Free Game",INDEX('Game Records'!$U:$U,$H116)&lt;&gt;"Disqualified — Free Game",INDEX('Game Records'!$I:$I,$H116)=""),"Eligible Players; ","")&amp;IF(AND(INDEX('Game Records'!$U:$U,$H116)&lt;&gt;"Subscription",INDEX('Game Records'!$U:$U,$H116)&lt;&gt;"Free Game",INDEX('Game Records'!$U:$U,$H116)&lt;&gt;"Disqualified — Free Game",INDEX('Game Records'!$J:$J,$H116)=""),"Total Players; ","")&amp;IF(AND(LOWER(INDEX('Game Records'!$D:$D,$H116)&amp;"")="finalized",LOWER(INDEX('Game Records'!$L:$L,$H116)&amp;"")&lt;&gt;"yes",INDEX('Game Records'!$U:$U,$H116)&lt;&gt;"Subscription",INDEX('Game Records'!$U:$U,$H116)&lt;&gt;"Free Game",INDEX('Game Records'!$U:$U,$H116)&lt;&gt;"Disqualified — Free Game",INDEX('Game Records'!$K:$K,$H116)=""),"Final Earned; ","")&amp;IF(AND(LOWER(INDEX('Game Records'!$D:$D,$H116)&amp;"")="finalized",INDEX('Game Records'!$U:$U,$H116)&lt;&gt;"Subscription",INDEX('Game Records'!$U:$U,$H116)&lt;&gt;"Free Game",INDEX('Game Records'!$U:$U,$H116)&lt;&gt;"Disqualified — Free Game",OR(INDEX('Game Records'!$L:$L,$H116)="",LOWER(INDEX('Game Records'!$L:$L,$H116)&amp;"")="n/a")),"Disqualified Status; ",""))</x:f>
        <x:v/>
      </x:c>
      <x:c r="G116" s="331" t="str">
        <x:f>IF($H116="","",IFERROR(INDEX('Game Records'!$M:$M,$H116),""))</x:f>
        <x:v/>
      </x:c>
      <x:c r="H116" s="104" t="str">
        <x:f>IF($H115="","",IFERROR(MATCH(1,INDEX((ROW('Game Records'!$U$5:$U$504)&gt;$H115)*(('Game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6" s="104"/>
      <x:c r="J116" s="104"/>
    </x:row>
    <x:row r="117" ht="24" hidden="0" customHeight="1">
      <x:c r="A117" s="332" t="str">
        <x:f>IF($H117="","",ROWS($A$5:A117))</x:f>
        <x:v/>
      </x:c>
      <x:c r="B117" s="332" t="str">
        <x:f>IF($H117="","","G-"&amp;TEXT($A117,"0000"))</x:f>
        <x:v/>
      </x:c>
      <x:c r="C117" s="331" t="str">
        <x:f>IF($H117="","",IFERROR(INDEX('Game Records'!$A:$A,$H117),""))</x:f>
        <x:v/>
      </x:c>
      <x:c r="D117" s="331" t="str">
        <x:f>IF($H117="","",IFERROR(INDEX('Game Records'!$U:$U,$H117),""))</x:f>
        <x:v/>
      </x:c>
      <x:c r="E117" s="331" t="str">
        <x:f>IF($H117="","",IF($F117="","No Highlighted Fields","Highlighted Fields Present"))</x:f>
        <x:v/>
      </x:c>
      <x:c r="F117" s="331" t="str">
        <x:f>IF($H117="","",IF(INDEX('Game Records'!$B:$B,$H117)="","Start Date; ","")&amp;IF(INDEX('Game Records'!$C:$C,$H117)="","End Date; ","")&amp;IF(AND(INDEX('Game Records'!$U:$U,$H117)&lt;&gt;"Subscription",INDEX('Game Records'!$U:$U,$H117)&lt;&gt;"Free Game",INDEX('Game Records'!$U:$U,$H117)&lt;&gt;"Disqualified — Free Game",OR(INDEX('Game Records'!$D:$D,$H117)="",LOWER(INDEX('Game Records'!$D:$D,$H117)&amp;"")="n/a")),"Entry Mode; ","")&amp;IF(AND(INDEX('Game Records'!$U:$U,$H117)&lt;&gt;"Subscription",INDEX('Game Records'!$U:$U,$H117)&lt;&gt;"Free Game",INDEX('Game Records'!$U:$U,$H117)&lt;&gt;"Disqualified — Free Game",OR(INDEX('Game Records'!$E:$E,$H117)="",LOWER(INDEX('Game Records'!$E:$E,$H117)&amp;"")="n/a")),"Game Type; ","")&amp;IF(INDEX('Game Records'!$F:$F,$H117)="","Payment Type; ","")&amp;IF(AND(INDEX('Game Records'!$U:$U,$H117)&lt;&gt;"Subscription",INDEX('Game Records'!$U:$U,$H117)&lt;&gt;"Free Game",INDEX('Game Records'!$U:$U,$H117)&lt;&gt;"Disqualified — Free Game",INDEX('Game Records'!$G:$G,$H117)=""),"Gross Pot; ","")&amp;IF(AND(INDEX('Game Records'!$U:$U,$H117)&lt;&gt;"Free Game",INDEX('Game Records'!$U:$U,$H117)&lt;&gt;"Disqualified — Free Game",INDEX('Game Records'!$H:$H,$H117)=""),"Entry Fee; ","")&amp;IF(AND(INDEX('Game Records'!$U:$U,$H117)&lt;&gt;"Subscription",INDEX('Game Records'!$U:$U,$H117)&lt;&gt;"Free Game",INDEX('Game Records'!$U:$U,$H117)&lt;&gt;"Disqualified — Free Game",INDEX('Game Records'!$I:$I,$H117)=""),"Eligible Players; ","")&amp;IF(AND(INDEX('Game Records'!$U:$U,$H117)&lt;&gt;"Subscription",INDEX('Game Records'!$U:$U,$H117)&lt;&gt;"Free Game",INDEX('Game Records'!$U:$U,$H117)&lt;&gt;"Disqualified — Free Game",INDEX('Game Records'!$J:$J,$H117)=""),"Total Players; ","")&amp;IF(AND(LOWER(INDEX('Game Records'!$D:$D,$H117)&amp;"")="finalized",LOWER(INDEX('Game Records'!$L:$L,$H117)&amp;"")&lt;&gt;"yes",INDEX('Game Records'!$U:$U,$H117)&lt;&gt;"Subscription",INDEX('Game Records'!$U:$U,$H117)&lt;&gt;"Free Game",INDEX('Game Records'!$U:$U,$H117)&lt;&gt;"Disqualified — Free Game",INDEX('Game Records'!$K:$K,$H117)=""),"Final Earned; ","")&amp;IF(AND(LOWER(INDEX('Game Records'!$D:$D,$H117)&amp;"")="finalized",INDEX('Game Records'!$U:$U,$H117)&lt;&gt;"Subscription",INDEX('Game Records'!$U:$U,$H117)&lt;&gt;"Free Game",INDEX('Game Records'!$U:$U,$H117)&lt;&gt;"Disqualified — Free Game",OR(INDEX('Game Records'!$L:$L,$H117)="",LOWER(INDEX('Game Records'!$L:$L,$H117)&amp;"")="n/a")),"Disqualified Status; ",""))</x:f>
        <x:v/>
      </x:c>
      <x:c r="G117" s="331" t="str">
        <x:f>IF($H117="","",IFERROR(INDEX('Game Records'!$M:$M,$H117),""))</x:f>
        <x:v/>
      </x:c>
      <x:c r="H117" s="104" t="str">
        <x:f>IF($H116="","",IFERROR(MATCH(1,INDEX((ROW('Game Records'!$U$5:$U$504)&gt;$H116)*(('Game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7" s="104"/>
      <x:c r="J117" s="104"/>
    </x:row>
    <x:row r="118" ht="24" hidden="0" customHeight="1">
      <x:c r="A118" s="332" t="str">
        <x:f>IF($H118="","",ROWS($A$5:A118))</x:f>
        <x:v/>
      </x:c>
      <x:c r="B118" s="332" t="str">
        <x:f>IF($H118="","","G-"&amp;TEXT($A118,"0000"))</x:f>
        <x:v/>
      </x:c>
      <x:c r="C118" s="331" t="str">
        <x:f>IF($H118="","",IFERROR(INDEX('Game Records'!$A:$A,$H118),""))</x:f>
        <x:v/>
      </x:c>
      <x:c r="D118" s="331" t="str">
        <x:f>IF($H118="","",IFERROR(INDEX('Game Records'!$U:$U,$H118),""))</x:f>
        <x:v/>
      </x:c>
      <x:c r="E118" s="331" t="str">
        <x:f>IF($H118="","",IF($F118="","No Highlighted Fields","Highlighted Fields Present"))</x:f>
        <x:v/>
      </x:c>
      <x:c r="F118" s="331" t="str">
        <x:f>IF($H118="","",IF(INDEX('Game Records'!$B:$B,$H118)="","Start Date; ","")&amp;IF(INDEX('Game Records'!$C:$C,$H118)="","End Date; ","")&amp;IF(AND(INDEX('Game Records'!$U:$U,$H118)&lt;&gt;"Subscription",INDEX('Game Records'!$U:$U,$H118)&lt;&gt;"Free Game",INDEX('Game Records'!$U:$U,$H118)&lt;&gt;"Disqualified — Free Game",OR(INDEX('Game Records'!$D:$D,$H118)="",LOWER(INDEX('Game Records'!$D:$D,$H118)&amp;"")="n/a")),"Entry Mode; ","")&amp;IF(AND(INDEX('Game Records'!$U:$U,$H118)&lt;&gt;"Subscription",INDEX('Game Records'!$U:$U,$H118)&lt;&gt;"Free Game",INDEX('Game Records'!$U:$U,$H118)&lt;&gt;"Disqualified — Free Game",OR(INDEX('Game Records'!$E:$E,$H118)="",LOWER(INDEX('Game Records'!$E:$E,$H118)&amp;"")="n/a")),"Game Type; ","")&amp;IF(INDEX('Game Records'!$F:$F,$H118)="","Payment Type; ","")&amp;IF(AND(INDEX('Game Records'!$U:$U,$H118)&lt;&gt;"Subscription",INDEX('Game Records'!$U:$U,$H118)&lt;&gt;"Free Game",INDEX('Game Records'!$U:$U,$H118)&lt;&gt;"Disqualified — Free Game",INDEX('Game Records'!$G:$G,$H118)=""),"Gross Pot; ","")&amp;IF(AND(INDEX('Game Records'!$U:$U,$H118)&lt;&gt;"Free Game",INDEX('Game Records'!$U:$U,$H118)&lt;&gt;"Disqualified — Free Game",INDEX('Game Records'!$H:$H,$H118)=""),"Entry Fee; ","")&amp;IF(AND(INDEX('Game Records'!$U:$U,$H118)&lt;&gt;"Subscription",INDEX('Game Records'!$U:$U,$H118)&lt;&gt;"Free Game",INDEX('Game Records'!$U:$U,$H118)&lt;&gt;"Disqualified — Free Game",INDEX('Game Records'!$I:$I,$H118)=""),"Eligible Players; ","")&amp;IF(AND(INDEX('Game Records'!$U:$U,$H118)&lt;&gt;"Subscription",INDEX('Game Records'!$U:$U,$H118)&lt;&gt;"Free Game",INDEX('Game Records'!$U:$U,$H118)&lt;&gt;"Disqualified — Free Game",INDEX('Game Records'!$J:$J,$H118)=""),"Total Players; ","")&amp;IF(AND(LOWER(INDEX('Game Records'!$D:$D,$H118)&amp;"")="finalized",LOWER(INDEX('Game Records'!$L:$L,$H118)&amp;"")&lt;&gt;"yes",INDEX('Game Records'!$U:$U,$H118)&lt;&gt;"Subscription",INDEX('Game Records'!$U:$U,$H118)&lt;&gt;"Free Game",INDEX('Game Records'!$U:$U,$H118)&lt;&gt;"Disqualified — Free Game",INDEX('Game Records'!$K:$K,$H118)=""),"Final Earned; ","")&amp;IF(AND(LOWER(INDEX('Game Records'!$D:$D,$H118)&amp;"")="finalized",INDEX('Game Records'!$U:$U,$H118)&lt;&gt;"Subscription",INDEX('Game Records'!$U:$U,$H118)&lt;&gt;"Free Game",INDEX('Game Records'!$U:$U,$H118)&lt;&gt;"Disqualified — Free Game",OR(INDEX('Game Records'!$L:$L,$H118)="",LOWER(INDEX('Game Records'!$L:$L,$H118)&amp;"")="n/a")),"Disqualified Status; ",""))</x:f>
        <x:v/>
      </x:c>
      <x:c r="G118" s="331" t="str">
        <x:f>IF($H118="","",IFERROR(INDEX('Game Records'!$M:$M,$H118),""))</x:f>
        <x:v/>
      </x:c>
      <x:c r="H118" s="104" t="str">
        <x:f>IF($H117="","",IFERROR(MATCH(1,INDEX((ROW('Game Records'!$U$5:$U$504)&gt;$H117)*(('Game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8" s="104"/>
      <x:c r="J118" s="104"/>
    </x:row>
    <x:row r="119" ht="24" hidden="0" customHeight="1">
      <x:c r="A119" s="332" t="str">
        <x:f>IF($H119="","",ROWS($A$5:A119))</x:f>
        <x:v/>
      </x:c>
      <x:c r="B119" s="332" t="str">
        <x:f>IF($H119="","","G-"&amp;TEXT($A119,"0000"))</x:f>
        <x:v/>
      </x:c>
      <x:c r="C119" s="331" t="str">
        <x:f>IF($H119="","",IFERROR(INDEX('Game Records'!$A:$A,$H119),""))</x:f>
        <x:v/>
      </x:c>
      <x:c r="D119" s="331" t="str">
        <x:f>IF($H119="","",IFERROR(INDEX('Game Records'!$U:$U,$H119),""))</x:f>
        <x:v/>
      </x:c>
      <x:c r="E119" s="331" t="str">
        <x:f>IF($H119="","",IF($F119="","No Highlighted Fields","Highlighted Fields Present"))</x:f>
        <x:v/>
      </x:c>
      <x:c r="F119" s="331" t="str">
        <x:f>IF($H119="","",IF(INDEX('Game Records'!$B:$B,$H119)="","Start Date; ","")&amp;IF(INDEX('Game Records'!$C:$C,$H119)="","End Date; ","")&amp;IF(AND(INDEX('Game Records'!$U:$U,$H119)&lt;&gt;"Subscription",INDEX('Game Records'!$U:$U,$H119)&lt;&gt;"Free Game",INDEX('Game Records'!$U:$U,$H119)&lt;&gt;"Disqualified — Free Game",OR(INDEX('Game Records'!$D:$D,$H119)="",LOWER(INDEX('Game Records'!$D:$D,$H119)&amp;"")="n/a")),"Entry Mode; ","")&amp;IF(AND(INDEX('Game Records'!$U:$U,$H119)&lt;&gt;"Subscription",INDEX('Game Records'!$U:$U,$H119)&lt;&gt;"Free Game",INDEX('Game Records'!$U:$U,$H119)&lt;&gt;"Disqualified — Free Game",OR(INDEX('Game Records'!$E:$E,$H119)="",LOWER(INDEX('Game Records'!$E:$E,$H119)&amp;"")="n/a")),"Game Type; ","")&amp;IF(INDEX('Game Records'!$F:$F,$H119)="","Payment Type; ","")&amp;IF(AND(INDEX('Game Records'!$U:$U,$H119)&lt;&gt;"Subscription",INDEX('Game Records'!$U:$U,$H119)&lt;&gt;"Free Game",INDEX('Game Records'!$U:$U,$H119)&lt;&gt;"Disqualified — Free Game",INDEX('Game Records'!$G:$G,$H119)=""),"Gross Pot; ","")&amp;IF(AND(INDEX('Game Records'!$U:$U,$H119)&lt;&gt;"Free Game",INDEX('Game Records'!$U:$U,$H119)&lt;&gt;"Disqualified — Free Game",INDEX('Game Records'!$H:$H,$H119)=""),"Entry Fee; ","")&amp;IF(AND(INDEX('Game Records'!$U:$U,$H119)&lt;&gt;"Subscription",INDEX('Game Records'!$U:$U,$H119)&lt;&gt;"Free Game",INDEX('Game Records'!$U:$U,$H119)&lt;&gt;"Disqualified — Free Game",INDEX('Game Records'!$I:$I,$H119)=""),"Eligible Players; ","")&amp;IF(AND(INDEX('Game Records'!$U:$U,$H119)&lt;&gt;"Subscription",INDEX('Game Records'!$U:$U,$H119)&lt;&gt;"Free Game",INDEX('Game Records'!$U:$U,$H119)&lt;&gt;"Disqualified — Free Game",INDEX('Game Records'!$J:$J,$H119)=""),"Total Players; ","")&amp;IF(AND(LOWER(INDEX('Game Records'!$D:$D,$H119)&amp;"")="finalized",LOWER(INDEX('Game Records'!$L:$L,$H119)&amp;"")&lt;&gt;"yes",INDEX('Game Records'!$U:$U,$H119)&lt;&gt;"Subscription",INDEX('Game Records'!$U:$U,$H119)&lt;&gt;"Free Game",INDEX('Game Records'!$U:$U,$H119)&lt;&gt;"Disqualified — Free Game",INDEX('Game Records'!$K:$K,$H119)=""),"Final Earned; ","")&amp;IF(AND(LOWER(INDEX('Game Records'!$D:$D,$H119)&amp;"")="finalized",INDEX('Game Records'!$U:$U,$H119)&lt;&gt;"Subscription",INDEX('Game Records'!$U:$U,$H119)&lt;&gt;"Free Game",INDEX('Game Records'!$U:$U,$H119)&lt;&gt;"Disqualified — Free Game",OR(INDEX('Game Records'!$L:$L,$H119)="",LOWER(INDEX('Game Records'!$L:$L,$H119)&amp;"")="n/a")),"Disqualified Status; ",""))</x:f>
        <x:v/>
      </x:c>
      <x:c r="G119" s="331" t="str">
        <x:f>IF($H119="","",IFERROR(INDEX('Game Records'!$M:$M,$H119),""))</x:f>
        <x:v/>
      </x:c>
      <x:c r="H119" s="104" t="str">
        <x:f>IF($H118="","",IFERROR(MATCH(1,INDEX((ROW('Game Records'!$U$5:$U$504)&gt;$H118)*(('Game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19" s="104"/>
      <x:c r="J119" s="104"/>
    </x:row>
    <x:row r="120" ht="24" hidden="0" customHeight="1">
      <x:c r="A120" s="332" t="str">
        <x:f>IF($H120="","",ROWS($A$5:A120))</x:f>
        <x:v/>
      </x:c>
      <x:c r="B120" s="332" t="str">
        <x:f>IF($H120="","","G-"&amp;TEXT($A120,"0000"))</x:f>
        <x:v/>
      </x:c>
      <x:c r="C120" s="331" t="str">
        <x:f>IF($H120="","",IFERROR(INDEX('Game Records'!$A:$A,$H120),""))</x:f>
        <x:v/>
      </x:c>
      <x:c r="D120" s="331" t="str">
        <x:f>IF($H120="","",IFERROR(INDEX('Game Records'!$U:$U,$H120),""))</x:f>
        <x:v/>
      </x:c>
      <x:c r="E120" s="331" t="str">
        <x:f>IF($H120="","",IF($F120="","No Highlighted Fields","Highlighted Fields Present"))</x:f>
        <x:v/>
      </x:c>
      <x:c r="F120" s="331" t="str">
        <x:f>IF($H120="","",IF(INDEX('Game Records'!$B:$B,$H120)="","Start Date; ","")&amp;IF(INDEX('Game Records'!$C:$C,$H120)="","End Date; ","")&amp;IF(AND(INDEX('Game Records'!$U:$U,$H120)&lt;&gt;"Subscription",INDEX('Game Records'!$U:$U,$H120)&lt;&gt;"Free Game",INDEX('Game Records'!$U:$U,$H120)&lt;&gt;"Disqualified — Free Game",OR(INDEX('Game Records'!$D:$D,$H120)="",LOWER(INDEX('Game Records'!$D:$D,$H120)&amp;"")="n/a")),"Entry Mode; ","")&amp;IF(AND(INDEX('Game Records'!$U:$U,$H120)&lt;&gt;"Subscription",INDEX('Game Records'!$U:$U,$H120)&lt;&gt;"Free Game",INDEX('Game Records'!$U:$U,$H120)&lt;&gt;"Disqualified — Free Game",OR(INDEX('Game Records'!$E:$E,$H120)="",LOWER(INDEX('Game Records'!$E:$E,$H120)&amp;"")="n/a")),"Game Type; ","")&amp;IF(INDEX('Game Records'!$F:$F,$H120)="","Payment Type; ","")&amp;IF(AND(INDEX('Game Records'!$U:$U,$H120)&lt;&gt;"Subscription",INDEX('Game Records'!$U:$U,$H120)&lt;&gt;"Free Game",INDEX('Game Records'!$U:$U,$H120)&lt;&gt;"Disqualified — Free Game",INDEX('Game Records'!$G:$G,$H120)=""),"Gross Pot; ","")&amp;IF(AND(INDEX('Game Records'!$U:$U,$H120)&lt;&gt;"Free Game",INDEX('Game Records'!$U:$U,$H120)&lt;&gt;"Disqualified — Free Game",INDEX('Game Records'!$H:$H,$H120)=""),"Entry Fee; ","")&amp;IF(AND(INDEX('Game Records'!$U:$U,$H120)&lt;&gt;"Subscription",INDEX('Game Records'!$U:$U,$H120)&lt;&gt;"Free Game",INDEX('Game Records'!$U:$U,$H120)&lt;&gt;"Disqualified — Free Game",INDEX('Game Records'!$I:$I,$H120)=""),"Eligible Players; ","")&amp;IF(AND(INDEX('Game Records'!$U:$U,$H120)&lt;&gt;"Subscription",INDEX('Game Records'!$U:$U,$H120)&lt;&gt;"Free Game",INDEX('Game Records'!$U:$U,$H120)&lt;&gt;"Disqualified — Free Game",INDEX('Game Records'!$J:$J,$H120)=""),"Total Players; ","")&amp;IF(AND(LOWER(INDEX('Game Records'!$D:$D,$H120)&amp;"")="finalized",LOWER(INDEX('Game Records'!$L:$L,$H120)&amp;"")&lt;&gt;"yes",INDEX('Game Records'!$U:$U,$H120)&lt;&gt;"Subscription",INDEX('Game Records'!$U:$U,$H120)&lt;&gt;"Free Game",INDEX('Game Records'!$U:$U,$H120)&lt;&gt;"Disqualified — Free Game",INDEX('Game Records'!$K:$K,$H120)=""),"Final Earned; ","")&amp;IF(AND(LOWER(INDEX('Game Records'!$D:$D,$H120)&amp;"")="finalized",INDEX('Game Records'!$U:$U,$H120)&lt;&gt;"Subscription",INDEX('Game Records'!$U:$U,$H120)&lt;&gt;"Free Game",INDEX('Game Records'!$U:$U,$H120)&lt;&gt;"Disqualified — Free Game",OR(INDEX('Game Records'!$L:$L,$H120)="",LOWER(INDEX('Game Records'!$L:$L,$H120)&amp;"")="n/a")),"Disqualified Status; ",""))</x:f>
        <x:v/>
      </x:c>
      <x:c r="G120" s="331" t="str">
        <x:f>IF($H120="","",IFERROR(INDEX('Game Records'!$M:$M,$H120),""))</x:f>
        <x:v/>
      </x:c>
      <x:c r="H120" s="104" t="str">
        <x:f>IF($H119="","",IFERROR(MATCH(1,INDEX((ROW('Game Records'!$U$5:$U$504)&gt;$H119)*(('Game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0" s="104"/>
      <x:c r="J120" s="104"/>
    </x:row>
    <x:row r="121" ht="24" hidden="0" customHeight="1">
      <x:c r="A121" s="332" t="str">
        <x:f>IF($H121="","",ROWS($A$5:A121))</x:f>
        <x:v/>
      </x:c>
      <x:c r="B121" s="332" t="str">
        <x:f>IF($H121="","","G-"&amp;TEXT($A121,"0000"))</x:f>
        <x:v/>
      </x:c>
      <x:c r="C121" s="331" t="str">
        <x:f>IF($H121="","",IFERROR(INDEX('Game Records'!$A:$A,$H121),""))</x:f>
        <x:v/>
      </x:c>
      <x:c r="D121" s="331" t="str">
        <x:f>IF($H121="","",IFERROR(INDEX('Game Records'!$U:$U,$H121),""))</x:f>
        <x:v/>
      </x:c>
      <x:c r="E121" s="331" t="str">
        <x:f>IF($H121="","",IF($F121="","No Highlighted Fields","Highlighted Fields Present"))</x:f>
        <x:v/>
      </x:c>
      <x:c r="F121" s="331" t="str">
        <x:f>IF($H121="","",IF(INDEX('Game Records'!$B:$B,$H121)="","Start Date; ","")&amp;IF(INDEX('Game Records'!$C:$C,$H121)="","End Date; ","")&amp;IF(AND(INDEX('Game Records'!$U:$U,$H121)&lt;&gt;"Subscription",INDEX('Game Records'!$U:$U,$H121)&lt;&gt;"Free Game",INDEX('Game Records'!$U:$U,$H121)&lt;&gt;"Disqualified — Free Game",OR(INDEX('Game Records'!$D:$D,$H121)="",LOWER(INDEX('Game Records'!$D:$D,$H121)&amp;"")="n/a")),"Entry Mode; ","")&amp;IF(AND(INDEX('Game Records'!$U:$U,$H121)&lt;&gt;"Subscription",INDEX('Game Records'!$U:$U,$H121)&lt;&gt;"Free Game",INDEX('Game Records'!$U:$U,$H121)&lt;&gt;"Disqualified — Free Game",OR(INDEX('Game Records'!$E:$E,$H121)="",LOWER(INDEX('Game Records'!$E:$E,$H121)&amp;"")="n/a")),"Game Type; ","")&amp;IF(INDEX('Game Records'!$F:$F,$H121)="","Payment Type; ","")&amp;IF(AND(INDEX('Game Records'!$U:$U,$H121)&lt;&gt;"Subscription",INDEX('Game Records'!$U:$U,$H121)&lt;&gt;"Free Game",INDEX('Game Records'!$U:$U,$H121)&lt;&gt;"Disqualified — Free Game",INDEX('Game Records'!$G:$G,$H121)=""),"Gross Pot; ","")&amp;IF(AND(INDEX('Game Records'!$U:$U,$H121)&lt;&gt;"Free Game",INDEX('Game Records'!$U:$U,$H121)&lt;&gt;"Disqualified — Free Game",INDEX('Game Records'!$H:$H,$H121)=""),"Entry Fee; ","")&amp;IF(AND(INDEX('Game Records'!$U:$U,$H121)&lt;&gt;"Subscription",INDEX('Game Records'!$U:$U,$H121)&lt;&gt;"Free Game",INDEX('Game Records'!$U:$U,$H121)&lt;&gt;"Disqualified — Free Game",INDEX('Game Records'!$I:$I,$H121)=""),"Eligible Players; ","")&amp;IF(AND(INDEX('Game Records'!$U:$U,$H121)&lt;&gt;"Subscription",INDEX('Game Records'!$U:$U,$H121)&lt;&gt;"Free Game",INDEX('Game Records'!$U:$U,$H121)&lt;&gt;"Disqualified — Free Game",INDEX('Game Records'!$J:$J,$H121)=""),"Total Players; ","")&amp;IF(AND(LOWER(INDEX('Game Records'!$D:$D,$H121)&amp;"")="finalized",LOWER(INDEX('Game Records'!$L:$L,$H121)&amp;"")&lt;&gt;"yes",INDEX('Game Records'!$U:$U,$H121)&lt;&gt;"Subscription",INDEX('Game Records'!$U:$U,$H121)&lt;&gt;"Free Game",INDEX('Game Records'!$U:$U,$H121)&lt;&gt;"Disqualified — Free Game",INDEX('Game Records'!$K:$K,$H121)=""),"Final Earned; ","")&amp;IF(AND(LOWER(INDEX('Game Records'!$D:$D,$H121)&amp;"")="finalized",INDEX('Game Records'!$U:$U,$H121)&lt;&gt;"Subscription",INDEX('Game Records'!$U:$U,$H121)&lt;&gt;"Free Game",INDEX('Game Records'!$U:$U,$H121)&lt;&gt;"Disqualified — Free Game",OR(INDEX('Game Records'!$L:$L,$H121)="",LOWER(INDEX('Game Records'!$L:$L,$H121)&amp;"")="n/a")),"Disqualified Status; ",""))</x:f>
        <x:v/>
      </x:c>
      <x:c r="G121" s="331" t="str">
        <x:f>IF($H121="","",IFERROR(INDEX('Game Records'!$M:$M,$H121),""))</x:f>
        <x:v/>
      </x:c>
      <x:c r="H121" s="104" t="str">
        <x:f>IF($H120="","",IFERROR(MATCH(1,INDEX((ROW('Game Records'!$U$5:$U$504)&gt;$H120)*(('Game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1" s="104"/>
      <x:c r="J121" s="104"/>
    </x:row>
    <x:row r="122" ht="24" hidden="0" customHeight="1">
      <x:c r="A122" s="332" t="str">
        <x:f>IF($H122="","",ROWS($A$5:A122))</x:f>
        <x:v/>
      </x:c>
      <x:c r="B122" s="332" t="str">
        <x:f>IF($H122="","","G-"&amp;TEXT($A122,"0000"))</x:f>
        <x:v/>
      </x:c>
      <x:c r="C122" s="331" t="str">
        <x:f>IF($H122="","",IFERROR(INDEX('Game Records'!$A:$A,$H122),""))</x:f>
        <x:v/>
      </x:c>
      <x:c r="D122" s="331" t="str">
        <x:f>IF($H122="","",IFERROR(INDEX('Game Records'!$U:$U,$H122),""))</x:f>
        <x:v/>
      </x:c>
      <x:c r="E122" s="331" t="str">
        <x:f>IF($H122="","",IF($F122="","No Highlighted Fields","Highlighted Fields Present"))</x:f>
        <x:v/>
      </x:c>
      <x:c r="F122" s="331" t="str">
        <x:f>IF($H122="","",IF(INDEX('Game Records'!$B:$B,$H122)="","Start Date; ","")&amp;IF(INDEX('Game Records'!$C:$C,$H122)="","End Date; ","")&amp;IF(AND(INDEX('Game Records'!$U:$U,$H122)&lt;&gt;"Subscription",INDEX('Game Records'!$U:$U,$H122)&lt;&gt;"Free Game",INDEX('Game Records'!$U:$U,$H122)&lt;&gt;"Disqualified — Free Game",OR(INDEX('Game Records'!$D:$D,$H122)="",LOWER(INDEX('Game Records'!$D:$D,$H122)&amp;"")="n/a")),"Entry Mode; ","")&amp;IF(AND(INDEX('Game Records'!$U:$U,$H122)&lt;&gt;"Subscription",INDEX('Game Records'!$U:$U,$H122)&lt;&gt;"Free Game",INDEX('Game Records'!$U:$U,$H122)&lt;&gt;"Disqualified — Free Game",OR(INDEX('Game Records'!$E:$E,$H122)="",LOWER(INDEX('Game Records'!$E:$E,$H122)&amp;"")="n/a")),"Game Type; ","")&amp;IF(INDEX('Game Records'!$F:$F,$H122)="","Payment Type; ","")&amp;IF(AND(INDEX('Game Records'!$U:$U,$H122)&lt;&gt;"Subscription",INDEX('Game Records'!$U:$U,$H122)&lt;&gt;"Free Game",INDEX('Game Records'!$U:$U,$H122)&lt;&gt;"Disqualified — Free Game",INDEX('Game Records'!$G:$G,$H122)=""),"Gross Pot; ","")&amp;IF(AND(INDEX('Game Records'!$U:$U,$H122)&lt;&gt;"Free Game",INDEX('Game Records'!$U:$U,$H122)&lt;&gt;"Disqualified — Free Game",INDEX('Game Records'!$H:$H,$H122)=""),"Entry Fee; ","")&amp;IF(AND(INDEX('Game Records'!$U:$U,$H122)&lt;&gt;"Subscription",INDEX('Game Records'!$U:$U,$H122)&lt;&gt;"Free Game",INDEX('Game Records'!$U:$U,$H122)&lt;&gt;"Disqualified — Free Game",INDEX('Game Records'!$I:$I,$H122)=""),"Eligible Players; ","")&amp;IF(AND(INDEX('Game Records'!$U:$U,$H122)&lt;&gt;"Subscription",INDEX('Game Records'!$U:$U,$H122)&lt;&gt;"Free Game",INDEX('Game Records'!$U:$U,$H122)&lt;&gt;"Disqualified — Free Game",INDEX('Game Records'!$J:$J,$H122)=""),"Total Players; ","")&amp;IF(AND(LOWER(INDEX('Game Records'!$D:$D,$H122)&amp;"")="finalized",LOWER(INDEX('Game Records'!$L:$L,$H122)&amp;"")&lt;&gt;"yes",INDEX('Game Records'!$U:$U,$H122)&lt;&gt;"Subscription",INDEX('Game Records'!$U:$U,$H122)&lt;&gt;"Free Game",INDEX('Game Records'!$U:$U,$H122)&lt;&gt;"Disqualified — Free Game",INDEX('Game Records'!$K:$K,$H122)=""),"Final Earned; ","")&amp;IF(AND(LOWER(INDEX('Game Records'!$D:$D,$H122)&amp;"")="finalized",INDEX('Game Records'!$U:$U,$H122)&lt;&gt;"Subscription",INDEX('Game Records'!$U:$U,$H122)&lt;&gt;"Free Game",INDEX('Game Records'!$U:$U,$H122)&lt;&gt;"Disqualified — Free Game",OR(INDEX('Game Records'!$L:$L,$H122)="",LOWER(INDEX('Game Records'!$L:$L,$H122)&amp;"")="n/a")),"Disqualified Status; ",""))</x:f>
        <x:v/>
      </x:c>
      <x:c r="G122" s="331" t="str">
        <x:f>IF($H122="","",IFERROR(INDEX('Game Records'!$M:$M,$H122),""))</x:f>
        <x:v/>
      </x:c>
      <x:c r="H122" s="104" t="str">
        <x:f>IF($H121="","",IFERROR(MATCH(1,INDEX((ROW('Game Records'!$U$5:$U$504)&gt;$H121)*(('Game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2" s="104"/>
      <x:c r="J122" s="104"/>
    </x:row>
    <x:row r="123" ht="24" hidden="0" customHeight="1">
      <x:c r="A123" s="332" t="str">
        <x:f>IF($H123="","",ROWS($A$5:A123))</x:f>
        <x:v/>
      </x:c>
      <x:c r="B123" s="332" t="str">
        <x:f>IF($H123="","","G-"&amp;TEXT($A123,"0000"))</x:f>
        <x:v/>
      </x:c>
      <x:c r="C123" s="331" t="str">
        <x:f>IF($H123="","",IFERROR(INDEX('Game Records'!$A:$A,$H123),""))</x:f>
        <x:v/>
      </x:c>
      <x:c r="D123" s="331" t="str">
        <x:f>IF($H123="","",IFERROR(INDEX('Game Records'!$U:$U,$H123),""))</x:f>
        <x:v/>
      </x:c>
      <x:c r="E123" s="331" t="str">
        <x:f>IF($H123="","",IF($F123="","No Highlighted Fields","Highlighted Fields Present"))</x:f>
        <x:v/>
      </x:c>
      <x:c r="F123" s="331" t="str">
        <x:f>IF($H123="","",IF(INDEX('Game Records'!$B:$B,$H123)="","Start Date; ","")&amp;IF(INDEX('Game Records'!$C:$C,$H123)="","End Date; ","")&amp;IF(AND(INDEX('Game Records'!$U:$U,$H123)&lt;&gt;"Subscription",INDEX('Game Records'!$U:$U,$H123)&lt;&gt;"Free Game",INDEX('Game Records'!$U:$U,$H123)&lt;&gt;"Disqualified — Free Game",OR(INDEX('Game Records'!$D:$D,$H123)="",LOWER(INDEX('Game Records'!$D:$D,$H123)&amp;"")="n/a")),"Entry Mode; ","")&amp;IF(AND(INDEX('Game Records'!$U:$U,$H123)&lt;&gt;"Subscription",INDEX('Game Records'!$U:$U,$H123)&lt;&gt;"Free Game",INDEX('Game Records'!$U:$U,$H123)&lt;&gt;"Disqualified — Free Game",OR(INDEX('Game Records'!$E:$E,$H123)="",LOWER(INDEX('Game Records'!$E:$E,$H123)&amp;"")="n/a")),"Game Type; ","")&amp;IF(INDEX('Game Records'!$F:$F,$H123)="","Payment Type; ","")&amp;IF(AND(INDEX('Game Records'!$U:$U,$H123)&lt;&gt;"Subscription",INDEX('Game Records'!$U:$U,$H123)&lt;&gt;"Free Game",INDEX('Game Records'!$U:$U,$H123)&lt;&gt;"Disqualified — Free Game",INDEX('Game Records'!$G:$G,$H123)=""),"Gross Pot; ","")&amp;IF(AND(INDEX('Game Records'!$U:$U,$H123)&lt;&gt;"Free Game",INDEX('Game Records'!$U:$U,$H123)&lt;&gt;"Disqualified — Free Game",INDEX('Game Records'!$H:$H,$H123)=""),"Entry Fee; ","")&amp;IF(AND(INDEX('Game Records'!$U:$U,$H123)&lt;&gt;"Subscription",INDEX('Game Records'!$U:$U,$H123)&lt;&gt;"Free Game",INDEX('Game Records'!$U:$U,$H123)&lt;&gt;"Disqualified — Free Game",INDEX('Game Records'!$I:$I,$H123)=""),"Eligible Players; ","")&amp;IF(AND(INDEX('Game Records'!$U:$U,$H123)&lt;&gt;"Subscription",INDEX('Game Records'!$U:$U,$H123)&lt;&gt;"Free Game",INDEX('Game Records'!$U:$U,$H123)&lt;&gt;"Disqualified — Free Game",INDEX('Game Records'!$J:$J,$H123)=""),"Total Players; ","")&amp;IF(AND(LOWER(INDEX('Game Records'!$D:$D,$H123)&amp;"")="finalized",LOWER(INDEX('Game Records'!$L:$L,$H123)&amp;"")&lt;&gt;"yes",INDEX('Game Records'!$U:$U,$H123)&lt;&gt;"Subscription",INDEX('Game Records'!$U:$U,$H123)&lt;&gt;"Free Game",INDEX('Game Records'!$U:$U,$H123)&lt;&gt;"Disqualified — Free Game",INDEX('Game Records'!$K:$K,$H123)=""),"Final Earned; ","")&amp;IF(AND(LOWER(INDEX('Game Records'!$D:$D,$H123)&amp;"")="finalized",INDEX('Game Records'!$U:$U,$H123)&lt;&gt;"Subscription",INDEX('Game Records'!$U:$U,$H123)&lt;&gt;"Free Game",INDEX('Game Records'!$U:$U,$H123)&lt;&gt;"Disqualified — Free Game",OR(INDEX('Game Records'!$L:$L,$H123)="",LOWER(INDEX('Game Records'!$L:$L,$H123)&amp;"")="n/a")),"Disqualified Status; ",""))</x:f>
        <x:v/>
      </x:c>
      <x:c r="G123" s="331" t="str">
        <x:f>IF($H123="","",IFERROR(INDEX('Game Records'!$M:$M,$H123),""))</x:f>
        <x:v/>
      </x:c>
      <x:c r="H123" s="104" t="str">
        <x:f>IF($H122="","",IFERROR(MATCH(1,INDEX((ROW('Game Records'!$U$5:$U$504)&gt;$H122)*(('Game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3" s="104"/>
      <x:c r="J123" s="104"/>
    </x:row>
    <x:row r="124" ht="24" hidden="0" customHeight="1">
      <x:c r="A124" s="332" t="str">
        <x:f>IF($H124="","",ROWS($A$5:A124))</x:f>
        <x:v/>
      </x:c>
      <x:c r="B124" s="332" t="str">
        <x:f>IF($H124="","","G-"&amp;TEXT($A124,"0000"))</x:f>
        <x:v/>
      </x:c>
      <x:c r="C124" s="331" t="str">
        <x:f>IF($H124="","",IFERROR(INDEX('Game Records'!$A:$A,$H124),""))</x:f>
        <x:v/>
      </x:c>
      <x:c r="D124" s="331" t="str">
        <x:f>IF($H124="","",IFERROR(INDEX('Game Records'!$U:$U,$H124),""))</x:f>
        <x:v/>
      </x:c>
      <x:c r="E124" s="331" t="str">
        <x:f>IF($H124="","",IF($F124="","No Highlighted Fields","Highlighted Fields Present"))</x:f>
        <x:v/>
      </x:c>
      <x:c r="F124" s="331" t="str">
        <x:f>IF($H124="","",IF(INDEX('Game Records'!$B:$B,$H124)="","Start Date; ","")&amp;IF(INDEX('Game Records'!$C:$C,$H124)="","End Date; ","")&amp;IF(AND(INDEX('Game Records'!$U:$U,$H124)&lt;&gt;"Subscription",INDEX('Game Records'!$U:$U,$H124)&lt;&gt;"Free Game",INDEX('Game Records'!$U:$U,$H124)&lt;&gt;"Disqualified — Free Game",OR(INDEX('Game Records'!$D:$D,$H124)="",LOWER(INDEX('Game Records'!$D:$D,$H124)&amp;"")="n/a")),"Entry Mode; ","")&amp;IF(AND(INDEX('Game Records'!$U:$U,$H124)&lt;&gt;"Subscription",INDEX('Game Records'!$U:$U,$H124)&lt;&gt;"Free Game",INDEX('Game Records'!$U:$U,$H124)&lt;&gt;"Disqualified — Free Game",OR(INDEX('Game Records'!$E:$E,$H124)="",LOWER(INDEX('Game Records'!$E:$E,$H124)&amp;"")="n/a")),"Game Type; ","")&amp;IF(INDEX('Game Records'!$F:$F,$H124)="","Payment Type; ","")&amp;IF(AND(INDEX('Game Records'!$U:$U,$H124)&lt;&gt;"Subscription",INDEX('Game Records'!$U:$U,$H124)&lt;&gt;"Free Game",INDEX('Game Records'!$U:$U,$H124)&lt;&gt;"Disqualified — Free Game",INDEX('Game Records'!$G:$G,$H124)=""),"Gross Pot; ","")&amp;IF(AND(INDEX('Game Records'!$U:$U,$H124)&lt;&gt;"Free Game",INDEX('Game Records'!$U:$U,$H124)&lt;&gt;"Disqualified — Free Game",INDEX('Game Records'!$H:$H,$H124)=""),"Entry Fee; ","")&amp;IF(AND(INDEX('Game Records'!$U:$U,$H124)&lt;&gt;"Subscription",INDEX('Game Records'!$U:$U,$H124)&lt;&gt;"Free Game",INDEX('Game Records'!$U:$U,$H124)&lt;&gt;"Disqualified — Free Game",INDEX('Game Records'!$I:$I,$H124)=""),"Eligible Players; ","")&amp;IF(AND(INDEX('Game Records'!$U:$U,$H124)&lt;&gt;"Subscription",INDEX('Game Records'!$U:$U,$H124)&lt;&gt;"Free Game",INDEX('Game Records'!$U:$U,$H124)&lt;&gt;"Disqualified — Free Game",INDEX('Game Records'!$J:$J,$H124)=""),"Total Players; ","")&amp;IF(AND(LOWER(INDEX('Game Records'!$D:$D,$H124)&amp;"")="finalized",LOWER(INDEX('Game Records'!$L:$L,$H124)&amp;"")&lt;&gt;"yes",INDEX('Game Records'!$U:$U,$H124)&lt;&gt;"Subscription",INDEX('Game Records'!$U:$U,$H124)&lt;&gt;"Free Game",INDEX('Game Records'!$U:$U,$H124)&lt;&gt;"Disqualified — Free Game",INDEX('Game Records'!$K:$K,$H124)=""),"Final Earned; ","")&amp;IF(AND(LOWER(INDEX('Game Records'!$D:$D,$H124)&amp;"")="finalized",INDEX('Game Records'!$U:$U,$H124)&lt;&gt;"Subscription",INDEX('Game Records'!$U:$U,$H124)&lt;&gt;"Free Game",INDEX('Game Records'!$U:$U,$H124)&lt;&gt;"Disqualified — Free Game",OR(INDEX('Game Records'!$L:$L,$H124)="",LOWER(INDEX('Game Records'!$L:$L,$H124)&amp;"")="n/a")),"Disqualified Status; ",""))</x:f>
        <x:v/>
      </x:c>
      <x:c r="G124" s="331" t="str">
        <x:f>IF($H124="","",IFERROR(INDEX('Game Records'!$M:$M,$H124),""))</x:f>
        <x:v/>
      </x:c>
      <x:c r="H124" s="104" t="str">
        <x:f>IF($H123="","",IFERROR(MATCH(1,INDEX((ROW('Game Records'!$U$5:$U$504)&gt;$H123)*(('Game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4" s="104"/>
      <x:c r="J124" s="104"/>
    </x:row>
    <x:row r="125" ht="24" hidden="0" customHeight="1">
      <x:c r="A125" s="332" t="str">
        <x:f>IF($H125="","",ROWS($A$5:A125))</x:f>
        <x:v/>
      </x:c>
      <x:c r="B125" s="332" t="str">
        <x:f>IF($H125="","","G-"&amp;TEXT($A125,"0000"))</x:f>
        <x:v/>
      </x:c>
      <x:c r="C125" s="331" t="str">
        <x:f>IF($H125="","",IFERROR(INDEX('Game Records'!$A:$A,$H125),""))</x:f>
        <x:v/>
      </x:c>
      <x:c r="D125" s="331" t="str">
        <x:f>IF($H125="","",IFERROR(INDEX('Game Records'!$U:$U,$H125),""))</x:f>
        <x:v/>
      </x:c>
      <x:c r="E125" s="331" t="str">
        <x:f>IF($H125="","",IF($F125="","No Highlighted Fields","Highlighted Fields Present"))</x:f>
        <x:v/>
      </x:c>
      <x:c r="F125" s="331" t="str">
        <x:f>IF($H125="","",IF(INDEX('Game Records'!$B:$B,$H125)="","Start Date; ","")&amp;IF(INDEX('Game Records'!$C:$C,$H125)="","End Date; ","")&amp;IF(AND(INDEX('Game Records'!$U:$U,$H125)&lt;&gt;"Subscription",INDEX('Game Records'!$U:$U,$H125)&lt;&gt;"Free Game",INDEX('Game Records'!$U:$U,$H125)&lt;&gt;"Disqualified — Free Game",OR(INDEX('Game Records'!$D:$D,$H125)="",LOWER(INDEX('Game Records'!$D:$D,$H125)&amp;"")="n/a")),"Entry Mode; ","")&amp;IF(AND(INDEX('Game Records'!$U:$U,$H125)&lt;&gt;"Subscription",INDEX('Game Records'!$U:$U,$H125)&lt;&gt;"Free Game",INDEX('Game Records'!$U:$U,$H125)&lt;&gt;"Disqualified — Free Game",OR(INDEX('Game Records'!$E:$E,$H125)="",LOWER(INDEX('Game Records'!$E:$E,$H125)&amp;"")="n/a")),"Game Type; ","")&amp;IF(INDEX('Game Records'!$F:$F,$H125)="","Payment Type; ","")&amp;IF(AND(INDEX('Game Records'!$U:$U,$H125)&lt;&gt;"Subscription",INDEX('Game Records'!$U:$U,$H125)&lt;&gt;"Free Game",INDEX('Game Records'!$U:$U,$H125)&lt;&gt;"Disqualified — Free Game",INDEX('Game Records'!$G:$G,$H125)=""),"Gross Pot; ","")&amp;IF(AND(INDEX('Game Records'!$U:$U,$H125)&lt;&gt;"Free Game",INDEX('Game Records'!$U:$U,$H125)&lt;&gt;"Disqualified — Free Game",INDEX('Game Records'!$H:$H,$H125)=""),"Entry Fee; ","")&amp;IF(AND(INDEX('Game Records'!$U:$U,$H125)&lt;&gt;"Subscription",INDEX('Game Records'!$U:$U,$H125)&lt;&gt;"Free Game",INDEX('Game Records'!$U:$U,$H125)&lt;&gt;"Disqualified — Free Game",INDEX('Game Records'!$I:$I,$H125)=""),"Eligible Players; ","")&amp;IF(AND(INDEX('Game Records'!$U:$U,$H125)&lt;&gt;"Subscription",INDEX('Game Records'!$U:$U,$H125)&lt;&gt;"Free Game",INDEX('Game Records'!$U:$U,$H125)&lt;&gt;"Disqualified — Free Game",INDEX('Game Records'!$J:$J,$H125)=""),"Total Players; ","")&amp;IF(AND(LOWER(INDEX('Game Records'!$D:$D,$H125)&amp;"")="finalized",LOWER(INDEX('Game Records'!$L:$L,$H125)&amp;"")&lt;&gt;"yes",INDEX('Game Records'!$U:$U,$H125)&lt;&gt;"Subscription",INDEX('Game Records'!$U:$U,$H125)&lt;&gt;"Free Game",INDEX('Game Records'!$U:$U,$H125)&lt;&gt;"Disqualified — Free Game",INDEX('Game Records'!$K:$K,$H125)=""),"Final Earned; ","")&amp;IF(AND(LOWER(INDEX('Game Records'!$D:$D,$H125)&amp;"")="finalized",INDEX('Game Records'!$U:$U,$H125)&lt;&gt;"Subscription",INDEX('Game Records'!$U:$U,$H125)&lt;&gt;"Free Game",INDEX('Game Records'!$U:$U,$H125)&lt;&gt;"Disqualified — Free Game",OR(INDEX('Game Records'!$L:$L,$H125)="",LOWER(INDEX('Game Records'!$L:$L,$H125)&amp;"")="n/a")),"Disqualified Status; ",""))</x:f>
        <x:v/>
      </x:c>
      <x:c r="G125" s="331" t="str">
        <x:f>IF($H125="","",IFERROR(INDEX('Game Records'!$M:$M,$H125),""))</x:f>
        <x:v/>
      </x:c>
      <x:c r="H125" s="104" t="str">
        <x:f>IF($H124="","",IFERROR(MATCH(1,INDEX((ROW('Game Records'!$U$5:$U$504)&gt;$H124)*(('Game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5" s="104"/>
      <x:c r="J125" s="104"/>
    </x:row>
    <x:row r="126" ht="24" hidden="0" customHeight="1">
      <x:c r="A126" s="332" t="str">
        <x:f>IF($H126="","",ROWS($A$5:A126))</x:f>
        <x:v/>
      </x:c>
      <x:c r="B126" s="332" t="str">
        <x:f>IF($H126="","","G-"&amp;TEXT($A126,"0000"))</x:f>
        <x:v/>
      </x:c>
      <x:c r="C126" s="331" t="str">
        <x:f>IF($H126="","",IFERROR(INDEX('Game Records'!$A:$A,$H126),""))</x:f>
        <x:v/>
      </x:c>
      <x:c r="D126" s="331" t="str">
        <x:f>IF($H126="","",IFERROR(INDEX('Game Records'!$U:$U,$H126),""))</x:f>
        <x:v/>
      </x:c>
      <x:c r="E126" s="331" t="str">
        <x:f>IF($H126="","",IF($F126="","No Highlighted Fields","Highlighted Fields Present"))</x:f>
        <x:v/>
      </x:c>
      <x:c r="F126" s="331" t="str">
        <x:f>IF($H126="","",IF(INDEX('Game Records'!$B:$B,$H126)="","Start Date; ","")&amp;IF(INDEX('Game Records'!$C:$C,$H126)="","End Date; ","")&amp;IF(AND(INDEX('Game Records'!$U:$U,$H126)&lt;&gt;"Subscription",INDEX('Game Records'!$U:$U,$H126)&lt;&gt;"Free Game",INDEX('Game Records'!$U:$U,$H126)&lt;&gt;"Disqualified — Free Game",OR(INDEX('Game Records'!$D:$D,$H126)="",LOWER(INDEX('Game Records'!$D:$D,$H126)&amp;"")="n/a")),"Entry Mode; ","")&amp;IF(AND(INDEX('Game Records'!$U:$U,$H126)&lt;&gt;"Subscription",INDEX('Game Records'!$U:$U,$H126)&lt;&gt;"Free Game",INDEX('Game Records'!$U:$U,$H126)&lt;&gt;"Disqualified — Free Game",OR(INDEX('Game Records'!$E:$E,$H126)="",LOWER(INDEX('Game Records'!$E:$E,$H126)&amp;"")="n/a")),"Game Type; ","")&amp;IF(INDEX('Game Records'!$F:$F,$H126)="","Payment Type; ","")&amp;IF(AND(INDEX('Game Records'!$U:$U,$H126)&lt;&gt;"Subscription",INDEX('Game Records'!$U:$U,$H126)&lt;&gt;"Free Game",INDEX('Game Records'!$U:$U,$H126)&lt;&gt;"Disqualified — Free Game",INDEX('Game Records'!$G:$G,$H126)=""),"Gross Pot; ","")&amp;IF(AND(INDEX('Game Records'!$U:$U,$H126)&lt;&gt;"Free Game",INDEX('Game Records'!$U:$U,$H126)&lt;&gt;"Disqualified — Free Game",INDEX('Game Records'!$H:$H,$H126)=""),"Entry Fee; ","")&amp;IF(AND(INDEX('Game Records'!$U:$U,$H126)&lt;&gt;"Subscription",INDEX('Game Records'!$U:$U,$H126)&lt;&gt;"Free Game",INDEX('Game Records'!$U:$U,$H126)&lt;&gt;"Disqualified — Free Game",INDEX('Game Records'!$I:$I,$H126)=""),"Eligible Players; ","")&amp;IF(AND(INDEX('Game Records'!$U:$U,$H126)&lt;&gt;"Subscription",INDEX('Game Records'!$U:$U,$H126)&lt;&gt;"Free Game",INDEX('Game Records'!$U:$U,$H126)&lt;&gt;"Disqualified — Free Game",INDEX('Game Records'!$J:$J,$H126)=""),"Total Players; ","")&amp;IF(AND(LOWER(INDEX('Game Records'!$D:$D,$H126)&amp;"")="finalized",LOWER(INDEX('Game Records'!$L:$L,$H126)&amp;"")&lt;&gt;"yes",INDEX('Game Records'!$U:$U,$H126)&lt;&gt;"Subscription",INDEX('Game Records'!$U:$U,$H126)&lt;&gt;"Free Game",INDEX('Game Records'!$U:$U,$H126)&lt;&gt;"Disqualified — Free Game",INDEX('Game Records'!$K:$K,$H126)=""),"Final Earned; ","")&amp;IF(AND(LOWER(INDEX('Game Records'!$D:$D,$H126)&amp;"")="finalized",INDEX('Game Records'!$U:$U,$H126)&lt;&gt;"Subscription",INDEX('Game Records'!$U:$U,$H126)&lt;&gt;"Free Game",INDEX('Game Records'!$U:$U,$H126)&lt;&gt;"Disqualified — Free Game",OR(INDEX('Game Records'!$L:$L,$H126)="",LOWER(INDEX('Game Records'!$L:$L,$H126)&amp;"")="n/a")),"Disqualified Status; ",""))</x:f>
        <x:v/>
      </x:c>
      <x:c r="G126" s="331" t="str">
        <x:f>IF($H126="","",IFERROR(INDEX('Game Records'!$M:$M,$H126),""))</x:f>
        <x:v/>
      </x:c>
      <x:c r="H126" s="104" t="str">
        <x:f>IF($H125="","",IFERROR(MATCH(1,INDEX((ROW('Game Records'!$U$5:$U$504)&gt;$H125)*(('Game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6" s="104"/>
      <x:c r="J126" s="104"/>
    </x:row>
    <x:row r="127" ht="24" hidden="0" customHeight="1">
      <x:c r="A127" s="332" t="str">
        <x:f>IF($H127="","",ROWS($A$5:A127))</x:f>
        <x:v/>
      </x:c>
      <x:c r="B127" s="332" t="str">
        <x:f>IF($H127="","","G-"&amp;TEXT($A127,"0000"))</x:f>
        <x:v/>
      </x:c>
      <x:c r="C127" s="331" t="str">
        <x:f>IF($H127="","",IFERROR(INDEX('Game Records'!$A:$A,$H127),""))</x:f>
        <x:v/>
      </x:c>
      <x:c r="D127" s="331" t="str">
        <x:f>IF($H127="","",IFERROR(INDEX('Game Records'!$U:$U,$H127),""))</x:f>
        <x:v/>
      </x:c>
      <x:c r="E127" s="331" t="str">
        <x:f>IF($H127="","",IF($F127="","No Highlighted Fields","Highlighted Fields Present"))</x:f>
        <x:v/>
      </x:c>
      <x:c r="F127" s="331" t="str">
        <x:f>IF($H127="","",IF(INDEX('Game Records'!$B:$B,$H127)="","Start Date; ","")&amp;IF(INDEX('Game Records'!$C:$C,$H127)="","End Date; ","")&amp;IF(AND(INDEX('Game Records'!$U:$U,$H127)&lt;&gt;"Subscription",INDEX('Game Records'!$U:$U,$H127)&lt;&gt;"Free Game",INDEX('Game Records'!$U:$U,$H127)&lt;&gt;"Disqualified — Free Game",OR(INDEX('Game Records'!$D:$D,$H127)="",LOWER(INDEX('Game Records'!$D:$D,$H127)&amp;"")="n/a")),"Entry Mode; ","")&amp;IF(AND(INDEX('Game Records'!$U:$U,$H127)&lt;&gt;"Subscription",INDEX('Game Records'!$U:$U,$H127)&lt;&gt;"Free Game",INDEX('Game Records'!$U:$U,$H127)&lt;&gt;"Disqualified — Free Game",OR(INDEX('Game Records'!$E:$E,$H127)="",LOWER(INDEX('Game Records'!$E:$E,$H127)&amp;"")="n/a")),"Game Type; ","")&amp;IF(INDEX('Game Records'!$F:$F,$H127)="","Payment Type; ","")&amp;IF(AND(INDEX('Game Records'!$U:$U,$H127)&lt;&gt;"Subscription",INDEX('Game Records'!$U:$U,$H127)&lt;&gt;"Free Game",INDEX('Game Records'!$U:$U,$H127)&lt;&gt;"Disqualified — Free Game",INDEX('Game Records'!$G:$G,$H127)=""),"Gross Pot; ","")&amp;IF(AND(INDEX('Game Records'!$U:$U,$H127)&lt;&gt;"Free Game",INDEX('Game Records'!$U:$U,$H127)&lt;&gt;"Disqualified — Free Game",INDEX('Game Records'!$H:$H,$H127)=""),"Entry Fee; ","")&amp;IF(AND(INDEX('Game Records'!$U:$U,$H127)&lt;&gt;"Subscription",INDEX('Game Records'!$U:$U,$H127)&lt;&gt;"Free Game",INDEX('Game Records'!$U:$U,$H127)&lt;&gt;"Disqualified — Free Game",INDEX('Game Records'!$I:$I,$H127)=""),"Eligible Players; ","")&amp;IF(AND(INDEX('Game Records'!$U:$U,$H127)&lt;&gt;"Subscription",INDEX('Game Records'!$U:$U,$H127)&lt;&gt;"Free Game",INDEX('Game Records'!$U:$U,$H127)&lt;&gt;"Disqualified — Free Game",INDEX('Game Records'!$J:$J,$H127)=""),"Total Players; ","")&amp;IF(AND(LOWER(INDEX('Game Records'!$D:$D,$H127)&amp;"")="finalized",LOWER(INDEX('Game Records'!$L:$L,$H127)&amp;"")&lt;&gt;"yes",INDEX('Game Records'!$U:$U,$H127)&lt;&gt;"Subscription",INDEX('Game Records'!$U:$U,$H127)&lt;&gt;"Free Game",INDEX('Game Records'!$U:$U,$H127)&lt;&gt;"Disqualified — Free Game",INDEX('Game Records'!$K:$K,$H127)=""),"Final Earned; ","")&amp;IF(AND(LOWER(INDEX('Game Records'!$D:$D,$H127)&amp;"")="finalized",INDEX('Game Records'!$U:$U,$H127)&lt;&gt;"Subscription",INDEX('Game Records'!$U:$U,$H127)&lt;&gt;"Free Game",INDEX('Game Records'!$U:$U,$H127)&lt;&gt;"Disqualified — Free Game",OR(INDEX('Game Records'!$L:$L,$H127)="",LOWER(INDEX('Game Records'!$L:$L,$H127)&amp;"")="n/a")),"Disqualified Status; ",""))</x:f>
        <x:v/>
      </x:c>
      <x:c r="G127" s="331" t="str">
        <x:f>IF($H127="","",IFERROR(INDEX('Game Records'!$M:$M,$H127),""))</x:f>
        <x:v/>
      </x:c>
      <x:c r="H127" s="104" t="str">
        <x:f>IF($H126="","",IFERROR(MATCH(1,INDEX((ROW('Game Records'!$U$5:$U$504)&gt;$H126)*(('Game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7" s="104"/>
      <x:c r="J127" s="104"/>
    </x:row>
    <x:row r="128" ht="24" hidden="0" customHeight="1">
      <x:c r="A128" s="332" t="str">
        <x:f>IF($H128="","",ROWS($A$5:A128))</x:f>
        <x:v/>
      </x:c>
      <x:c r="B128" s="332" t="str">
        <x:f>IF($H128="","","G-"&amp;TEXT($A128,"0000"))</x:f>
        <x:v/>
      </x:c>
      <x:c r="C128" s="331" t="str">
        <x:f>IF($H128="","",IFERROR(INDEX('Game Records'!$A:$A,$H128),""))</x:f>
        <x:v/>
      </x:c>
      <x:c r="D128" s="331" t="str">
        <x:f>IF($H128="","",IFERROR(INDEX('Game Records'!$U:$U,$H128),""))</x:f>
        <x:v/>
      </x:c>
      <x:c r="E128" s="331" t="str">
        <x:f>IF($H128="","",IF($F128="","No Highlighted Fields","Highlighted Fields Present"))</x:f>
        <x:v/>
      </x:c>
      <x:c r="F128" s="331" t="str">
        <x:f>IF($H128="","",IF(INDEX('Game Records'!$B:$B,$H128)="","Start Date; ","")&amp;IF(INDEX('Game Records'!$C:$C,$H128)="","End Date; ","")&amp;IF(AND(INDEX('Game Records'!$U:$U,$H128)&lt;&gt;"Subscription",INDEX('Game Records'!$U:$U,$H128)&lt;&gt;"Free Game",INDEX('Game Records'!$U:$U,$H128)&lt;&gt;"Disqualified — Free Game",OR(INDEX('Game Records'!$D:$D,$H128)="",LOWER(INDEX('Game Records'!$D:$D,$H128)&amp;"")="n/a")),"Entry Mode; ","")&amp;IF(AND(INDEX('Game Records'!$U:$U,$H128)&lt;&gt;"Subscription",INDEX('Game Records'!$U:$U,$H128)&lt;&gt;"Free Game",INDEX('Game Records'!$U:$U,$H128)&lt;&gt;"Disqualified — Free Game",OR(INDEX('Game Records'!$E:$E,$H128)="",LOWER(INDEX('Game Records'!$E:$E,$H128)&amp;"")="n/a")),"Game Type; ","")&amp;IF(INDEX('Game Records'!$F:$F,$H128)="","Payment Type; ","")&amp;IF(AND(INDEX('Game Records'!$U:$U,$H128)&lt;&gt;"Subscription",INDEX('Game Records'!$U:$U,$H128)&lt;&gt;"Free Game",INDEX('Game Records'!$U:$U,$H128)&lt;&gt;"Disqualified — Free Game",INDEX('Game Records'!$G:$G,$H128)=""),"Gross Pot; ","")&amp;IF(AND(INDEX('Game Records'!$U:$U,$H128)&lt;&gt;"Free Game",INDEX('Game Records'!$U:$U,$H128)&lt;&gt;"Disqualified — Free Game",INDEX('Game Records'!$H:$H,$H128)=""),"Entry Fee; ","")&amp;IF(AND(INDEX('Game Records'!$U:$U,$H128)&lt;&gt;"Subscription",INDEX('Game Records'!$U:$U,$H128)&lt;&gt;"Free Game",INDEX('Game Records'!$U:$U,$H128)&lt;&gt;"Disqualified — Free Game",INDEX('Game Records'!$I:$I,$H128)=""),"Eligible Players; ","")&amp;IF(AND(INDEX('Game Records'!$U:$U,$H128)&lt;&gt;"Subscription",INDEX('Game Records'!$U:$U,$H128)&lt;&gt;"Free Game",INDEX('Game Records'!$U:$U,$H128)&lt;&gt;"Disqualified — Free Game",INDEX('Game Records'!$J:$J,$H128)=""),"Total Players; ","")&amp;IF(AND(LOWER(INDEX('Game Records'!$D:$D,$H128)&amp;"")="finalized",LOWER(INDEX('Game Records'!$L:$L,$H128)&amp;"")&lt;&gt;"yes",INDEX('Game Records'!$U:$U,$H128)&lt;&gt;"Subscription",INDEX('Game Records'!$U:$U,$H128)&lt;&gt;"Free Game",INDEX('Game Records'!$U:$U,$H128)&lt;&gt;"Disqualified — Free Game",INDEX('Game Records'!$K:$K,$H128)=""),"Final Earned; ","")&amp;IF(AND(LOWER(INDEX('Game Records'!$D:$D,$H128)&amp;"")="finalized",INDEX('Game Records'!$U:$U,$H128)&lt;&gt;"Subscription",INDEX('Game Records'!$U:$U,$H128)&lt;&gt;"Free Game",INDEX('Game Records'!$U:$U,$H128)&lt;&gt;"Disqualified — Free Game",OR(INDEX('Game Records'!$L:$L,$H128)="",LOWER(INDEX('Game Records'!$L:$L,$H128)&amp;"")="n/a")),"Disqualified Status; ",""))</x:f>
        <x:v/>
      </x:c>
      <x:c r="G128" s="331" t="str">
        <x:f>IF($H128="","",IFERROR(INDEX('Game Records'!$M:$M,$H128),""))</x:f>
        <x:v/>
      </x:c>
      <x:c r="H128" s="104" t="str">
        <x:f>IF($H127="","",IFERROR(MATCH(1,INDEX((ROW('Game Records'!$U$5:$U$504)&gt;$H127)*(('Game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8" s="104"/>
      <x:c r="J128" s="104"/>
    </x:row>
    <x:row r="129" ht="24" hidden="0" customHeight="1">
      <x:c r="A129" s="332" t="str">
        <x:f>IF($H129="","",ROWS($A$5:A129))</x:f>
        <x:v/>
      </x:c>
      <x:c r="B129" s="332" t="str">
        <x:f>IF($H129="","","G-"&amp;TEXT($A129,"0000"))</x:f>
        <x:v/>
      </x:c>
      <x:c r="C129" s="331" t="str">
        <x:f>IF($H129="","",IFERROR(INDEX('Game Records'!$A:$A,$H129),""))</x:f>
        <x:v/>
      </x:c>
      <x:c r="D129" s="331" t="str">
        <x:f>IF($H129="","",IFERROR(INDEX('Game Records'!$U:$U,$H129),""))</x:f>
        <x:v/>
      </x:c>
      <x:c r="E129" s="331" t="str">
        <x:f>IF($H129="","",IF($F129="","No Highlighted Fields","Highlighted Fields Present"))</x:f>
        <x:v/>
      </x:c>
      <x:c r="F129" s="331" t="str">
        <x:f>IF($H129="","",IF(INDEX('Game Records'!$B:$B,$H129)="","Start Date; ","")&amp;IF(INDEX('Game Records'!$C:$C,$H129)="","End Date; ","")&amp;IF(AND(INDEX('Game Records'!$U:$U,$H129)&lt;&gt;"Subscription",INDEX('Game Records'!$U:$U,$H129)&lt;&gt;"Free Game",INDEX('Game Records'!$U:$U,$H129)&lt;&gt;"Disqualified — Free Game",OR(INDEX('Game Records'!$D:$D,$H129)="",LOWER(INDEX('Game Records'!$D:$D,$H129)&amp;"")="n/a")),"Entry Mode; ","")&amp;IF(AND(INDEX('Game Records'!$U:$U,$H129)&lt;&gt;"Subscription",INDEX('Game Records'!$U:$U,$H129)&lt;&gt;"Free Game",INDEX('Game Records'!$U:$U,$H129)&lt;&gt;"Disqualified — Free Game",OR(INDEX('Game Records'!$E:$E,$H129)="",LOWER(INDEX('Game Records'!$E:$E,$H129)&amp;"")="n/a")),"Game Type; ","")&amp;IF(INDEX('Game Records'!$F:$F,$H129)="","Payment Type; ","")&amp;IF(AND(INDEX('Game Records'!$U:$U,$H129)&lt;&gt;"Subscription",INDEX('Game Records'!$U:$U,$H129)&lt;&gt;"Free Game",INDEX('Game Records'!$U:$U,$H129)&lt;&gt;"Disqualified — Free Game",INDEX('Game Records'!$G:$G,$H129)=""),"Gross Pot; ","")&amp;IF(AND(INDEX('Game Records'!$U:$U,$H129)&lt;&gt;"Free Game",INDEX('Game Records'!$U:$U,$H129)&lt;&gt;"Disqualified — Free Game",INDEX('Game Records'!$H:$H,$H129)=""),"Entry Fee; ","")&amp;IF(AND(INDEX('Game Records'!$U:$U,$H129)&lt;&gt;"Subscription",INDEX('Game Records'!$U:$U,$H129)&lt;&gt;"Free Game",INDEX('Game Records'!$U:$U,$H129)&lt;&gt;"Disqualified — Free Game",INDEX('Game Records'!$I:$I,$H129)=""),"Eligible Players; ","")&amp;IF(AND(INDEX('Game Records'!$U:$U,$H129)&lt;&gt;"Subscription",INDEX('Game Records'!$U:$U,$H129)&lt;&gt;"Free Game",INDEX('Game Records'!$U:$U,$H129)&lt;&gt;"Disqualified — Free Game",INDEX('Game Records'!$J:$J,$H129)=""),"Total Players; ","")&amp;IF(AND(LOWER(INDEX('Game Records'!$D:$D,$H129)&amp;"")="finalized",LOWER(INDEX('Game Records'!$L:$L,$H129)&amp;"")&lt;&gt;"yes",INDEX('Game Records'!$U:$U,$H129)&lt;&gt;"Subscription",INDEX('Game Records'!$U:$U,$H129)&lt;&gt;"Free Game",INDEX('Game Records'!$U:$U,$H129)&lt;&gt;"Disqualified — Free Game",INDEX('Game Records'!$K:$K,$H129)=""),"Final Earned; ","")&amp;IF(AND(LOWER(INDEX('Game Records'!$D:$D,$H129)&amp;"")="finalized",INDEX('Game Records'!$U:$U,$H129)&lt;&gt;"Subscription",INDEX('Game Records'!$U:$U,$H129)&lt;&gt;"Free Game",INDEX('Game Records'!$U:$U,$H129)&lt;&gt;"Disqualified — Free Game",OR(INDEX('Game Records'!$L:$L,$H129)="",LOWER(INDEX('Game Records'!$L:$L,$H129)&amp;"")="n/a")),"Disqualified Status; ",""))</x:f>
        <x:v/>
      </x:c>
      <x:c r="G129" s="331" t="str">
        <x:f>IF($H129="","",IFERROR(INDEX('Game Records'!$M:$M,$H129),""))</x:f>
        <x:v/>
      </x:c>
      <x:c r="H129" s="104" t="str">
        <x:f>IF($H128="","",IFERROR(MATCH(1,INDEX((ROW('Game Records'!$U$5:$U$504)&gt;$H128)*(('Game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29" s="104"/>
      <x:c r="J129" s="104"/>
    </x:row>
    <x:row r="130" ht="24" hidden="0" customHeight="1">
      <x:c r="A130" s="332" t="str">
        <x:f>IF($H130="","",ROWS($A$5:A130))</x:f>
        <x:v/>
      </x:c>
      <x:c r="B130" s="332" t="str">
        <x:f>IF($H130="","","G-"&amp;TEXT($A130,"0000"))</x:f>
        <x:v/>
      </x:c>
      <x:c r="C130" s="331" t="str">
        <x:f>IF($H130="","",IFERROR(INDEX('Game Records'!$A:$A,$H130),""))</x:f>
        <x:v/>
      </x:c>
      <x:c r="D130" s="331" t="str">
        <x:f>IF($H130="","",IFERROR(INDEX('Game Records'!$U:$U,$H130),""))</x:f>
        <x:v/>
      </x:c>
      <x:c r="E130" s="331" t="str">
        <x:f>IF($H130="","",IF($F130="","No Highlighted Fields","Highlighted Fields Present"))</x:f>
        <x:v/>
      </x:c>
      <x:c r="F130" s="331" t="str">
        <x:f>IF($H130="","",IF(INDEX('Game Records'!$B:$B,$H130)="","Start Date; ","")&amp;IF(INDEX('Game Records'!$C:$C,$H130)="","End Date; ","")&amp;IF(AND(INDEX('Game Records'!$U:$U,$H130)&lt;&gt;"Subscription",INDEX('Game Records'!$U:$U,$H130)&lt;&gt;"Free Game",INDEX('Game Records'!$U:$U,$H130)&lt;&gt;"Disqualified — Free Game",OR(INDEX('Game Records'!$D:$D,$H130)="",LOWER(INDEX('Game Records'!$D:$D,$H130)&amp;"")="n/a")),"Entry Mode; ","")&amp;IF(AND(INDEX('Game Records'!$U:$U,$H130)&lt;&gt;"Subscription",INDEX('Game Records'!$U:$U,$H130)&lt;&gt;"Free Game",INDEX('Game Records'!$U:$U,$H130)&lt;&gt;"Disqualified — Free Game",OR(INDEX('Game Records'!$E:$E,$H130)="",LOWER(INDEX('Game Records'!$E:$E,$H130)&amp;"")="n/a")),"Game Type; ","")&amp;IF(INDEX('Game Records'!$F:$F,$H130)="","Payment Type; ","")&amp;IF(AND(INDEX('Game Records'!$U:$U,$H130)&lt;&gt;"Subscription",INDEX('Game Records'!$U:$U,$H130)&lt;&gt;"Free Game",INDEX('Game Records'!$U:$U,$H130)&lt;&gt;"Disqualified — Free Game",INDEX('Game Records'!$G:$G,$H130)=""),"Gross Pot; ","")&amp;IF(AND(INDEX('Game Records'!$U:$U,$H130)&lt;&gt;"Free Game",INDEX('Game Records'!$U:$U,$H130)&lt;&gt;"Disqualified — Free Game",INDEX('Game Records'!$H:$H,$H130)=""),"Entry Fee; ","")&amp;IF(AND(INDEX('Game Records'!$U:$U,$H130)&lt;&gt;"Subscription",INDEX('Game Records'!$U:$U,$H130)&lt;&gt;"Free Game",INDEX('Game Records'!$U:$U,$H130)&lt;&gt;"Disqualified — Free Game",INDEX('Game Records'!$I:$I,$H130)=""),"Eligible Players; ","")&amp;IF(AND(INDEX('Game Records'!$U:$U,$H130)&lt;&gt;"Subscription",INDEX('Game Records'!$U:$U,$H130)&lt;&gt;"Free Game",INDEX('Game Records'!$U:$U,$H130)&lt;&gt;"Disqualified — Free Game",INDEX('Game Records'!$J:$J,$H130)=""),"Total Players; ","")&amp;IF(AND(LOWER(INDEX('Game Records'!$D:$D,$H130)&amp;"")="finalized",LOWER(INDEX('Game Records'!$L:$L,$H130)&amp;"")&lt;&gt;"yes",INDEX('Game Records'!$U:$U,$H130)&lt;&gt;"Subscription",INDEX('Game Records'!$U:$U,$H130)&lt;&gt;"Free Game",INDEX('Game Records'!$U:$U,$H130)&lt;&gt;"Disqualified — Free Game",INDEX('Game Records'!$K:$K,$H130)=""),"Final Earned; ","")&amp;IF(AND(LOWER(INDEX('Game Records'!$D:$D,$H130)&amp;"")="finalized",INDEX('Game Records'!$U:$U,$H130)&lt;&gt;"Subscription",INDEX('Game Records'!$U:$U,$H130)&lt;&gt;"Free Game",INDEX('Game Records'!$U:$U,$H130)&lt;&gt;"Disqualified — Free Game",OR(INDEX('Game Records'!$L:$L,$H130)="",LOWER(INDEX('Game Records'!$L:$L,$H130)&amp;"")="n/a")),"Disqualified Status; ",""))</x:f>
        <x:v/>
      </x:c>
      <x:c r="G130" s="331" t="str">
        <x:f>IF($H130="","",IFERROR(INDEX('Game Records'!$M:$M,$H130),""))</x:f>
        <x:v/>
      </x:c>
      <x:c r="H130" s="104" t="str">
        <x:f>IF($H129="","",IFERROR(MATCH(1,INDEX((ROW('Game Records'!$U$5:$U$504)&gt;$H129)*(('Game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0" s="104"/>
      <x:c r="J130" s="104"/>
    </x:row>
    <x:row r="131" ht="24" hidden="0" customHeight="1">
      <x:c r="A131" s="332" t="str">
        <x:f>IF($H131="","",ROWS($A$5:A131))</x:f>
        <x:v/>
      </x:c>
      <x:c r="B131" s="332" t="str">
        <x:f>IF($H131="","","G-"&amp;TEXT($A131,"0000"))</x:f>
        <x:v/>
      </x:c>
      <x:c r="C131" s="331" t="str">
        <x:f>IF($H131="","",IFERROR(INDEX('Game Records'!$A:$A,$H131),""))</x:f>
        <x:v/>
      </x:c>
      <x:c r="D131" s="331" t="str">
        <x:f>IF($H131="","",IFERROR(INDEX('Game Records'!$U:$U,$H131),""))</x:f>
        <x:v/>
      </x:c>
      <x:c r="E131" s="331" t="str">
        <x:f>IF($H131="","",IF($F131="","No Highlighted Fields","Highlighted Fields Present"))</x:f>
        <x:v/>
      </x:c>
      <x:c r="F131" s="331" t="str">
        <x:f>IF($H131="","",IF(INDEX('Game Records'!$B:$B,$H131)="","Start Date; ","")&amp;IF(INDEX('Game Records'!$C:$C,$H131)="","End Date; ","")&amp;IF(AND(INDEX('Game Records'!$U:$U,$H131)&lt;&gt;"Subscription",INDEX('Game Records'!$U:$U,$H131)&lt;&gt;"Free Game",INDEX('Game Records'!$U:$U,$H131)&lt;&gt;"Disqualified — Free Game",OR(INDEX('Game Records'!$D:$D,$H131)="",LOWER(INDEX('Game Records'!$D:$D,$H131)&amp;"")="n/a")),"Entry Mode; ","")&amp;IF(AND(INDEX('Game Records'!$U:$U,$H131)&lt;&gt;"Subscription",INDEX('Game Records'!$U:$U,$H131)&lt;&gt;"Free Game",INDEX('Game Records'!$U:$U,$H131)&lt;&gt;"Disqualified — Free Game",OR(INDEX('Game Records'!$E:$E,$H131)="",LOWER(INDEX('Game Records'!$E:$E,$H131)&amp;"")="n/a")),"Game Type; ","")&amp;IF(INDEX('Game Records'!$F:$F,$H131)="","Payment Type; ","")&amp;IF(AND(INDEX('Game Records'!$U:$U,$H131)&lt;&gt;"Subscription",INDEX('Game Records'!$U:$U,$H131)&lt;&gt;"Free Game",INDEX('Game Records'!$U:$U,$H131)&lt;&gt;"Disqualified — Free Game",INDEX('Game Records'!$G:$G,$H131)=""),"Gross Pot; ","")&amp;IF(AND(INDEX('Game Records'!$U:$U,$H131)&lt;&gt;"Free Game",INDEX('Game Records'!$U:$U,$H131)&lt;&gt;"Disqualified — Free Game",INDEX('Game Records'!$H:$H,$H131)=""),"Entry Fee; ","")&amp;IF(AND(INDEX('Game Records'!$U:$U,$H131)&lt;&gt;"Subscription",INDEX('Game Records'!$U:$U,$H131)&lt;&gt;"Free Game",INDEX('Game Records'!$U:$U,$H131)&lt;&gt;"Disqualified — Free Game",INDEX('Game Records'!$I:$I,$H131)=""),"Eligible Players; ","")&amp;IF(AND(INDEX('Game Records'!$U:$U,$H131)&lt;&gt;"Subscription",INDEX('Game Records'!$U:$U,$H131)&lt;&gt;"Free Game",INDEX('Game Records'!$U:$U,$H131)&lt;&gt;"Disqualified — Free Game",INDEX('Game Records'!$J:$J,$H131)=""),"Total Players; ","")&amp;IF(AND(LOWER(INDEX('Game Records'!$D:$D,$H131)&amp;"")="finalized",LOWER(INDEX('Game Records'!$L:$L,$H131)&amp;"")&lt;&gt;"yes",INDEX('Game Records'!$U:$U,$H131)&lt;&gt;"Subscription",INDEX('Game Records'!$U:$U,$H131)&lt;&gt;"Free Game",INDEX('Game Records'!$U:$U,$H131)&lt;&gt;"Disqualified — Free Game",INDEX('Game Records'!$K:$K,$H131)=""),"Final Earned; ","")&amp;IF(AND(LOWER(INDEX('Game Records'!$D:$D,$H131)&amp;"")="finalized",INDEX('Game Records'!$U:$U,$H131)&lt;&gt;"Subscription",INDEX('Game Records'!$U:$U,$H131)&lt;&gt;"Free Game",INDEX('Game Records'!$U:$U,$H131)&lt;&gt;"Disqualified — Free Game",OR(INDEX('Game Records'!$L:$L,$H131)="",LOWER(INDEX('Game Records'!$L:$L,$H131)&amp;"")="n/a")),"Disqualified Status; ",""))</x:f>
        <x:v/>
      </x:c>
      <x:c r="G131" s="331" t="str">
        <x:f>IF($H131="","",IFERROR(INDEX('Game Records'!$M:$M,$H131),""))</x:f>
        <x:v/>
      </x:c>
      <x:c r="H131" s="104" t="str">
        <x:f>IF($H130="","",IFERROR(MATCH(1,INDEX((ROW('Game Records'!$U$5:$U$504)&gt;$H130)*(('Game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1" s="104"/>
      <x:c r="J131" s="104"/>
    </x:row>
    <x:row r="132" ht="24" hidden="0" customHeight="1">
      <x:c r="A132" s="332" t="str">
        <x:f>IF($H132="","",ROWS($A$5:A132))</x:f>
        <x:v/>
      </x:c>
      <x:c r="B132" s="332" t="str">
        <x:f>IF($H132="","","G-"&amp;TEXT($A132,"0000"))</x:f>
        <x:v/>
      </x:c>
      <x:c r="C132" s="331" t="str">
        <x:f>IF($H132="","",IFERROR(INDEX('Game Records'!$A:$A,$H132),""))</x:f>
        <x:v/>
      </x:c>
      <x:c r="D132" s="331" t="str">
        <x:f>IF($H132="","",IFERROR(INDEX('Game Records'!$U:$U,$H132),""))</x:f>
        <x:v/>
      </x:c>
      <x:c r="E132" s="331" t="str">
        <x:f>IF($H132="","",IF($F132="","No Highlighted Fields","Highlighted Fields Present"))</x:f>
        <x:v/>
      </x:c>
      <x:c r="F132" s="331" t="str">
        <x:f>IF($H132="","",IF(INDEX('Game Records'!$B:$B,$H132)="","Start Date; ","")&amp;IF(INDEX('Game Records'!$C:$C,$H132)="","End Date; ","")&amp;IF(AND(INDEX('Game Records'!$U:$U,$H132)&lt;&gt;"Subscription",INDEX('Game Records'!$U:$U,$H132)&lt;&gt;"Free Game",INDEX('Game Records'!$U:$U,$H132)&lt;&gt;"Disqualified — Free Game",OR(INDEX('Game Records'!$D:$D,$H132)="",LOWER(INDEX('Game Records'!$D:$D,$H132)&amp;"")="n/a")),"Entry Mode; ","")&amp;IF(AND(INDEX('Game Records'!$U:$U,$H132)&lt;&gt;"Subscription",INDEX('Game Records'!$U:$U,$H132)&lt;&gt;"Free Game",INDEX('Game Records'!$U:$U,$H132)&lt;&gt;"Disqualified — Free Game",OR(INDEX('Game Records'!$E:$E,$H132)="",LOWER(INDEX('Game Records'!$E:$E,$H132)&amp;"")="n/a")),"Game Type; ","")&amp;IF(INDEX('Game Records'!$F:$F,$H132)="","Payment Type; ","")&amp;IF(AND(INDEX('Game Records'!$U:$U,$H132)&lt;&gt;"Subscription",INDEX('Game Records'!$U:$U,$H132)&lt;&gt;"Free Game",INDEX('Game Records'!$U:$U,$H132)&lt;&gt;"Disqualified — Free Game",INDEX('Game Records'!$G:$G,$H132)=""),"Gross Pot; ","")&amp;IF(AND(INDEX('Game Records'!$U:$U,$H132)&lt;&gt;"Free Game",INDEX('Game Records'!$U:$U,$H132)&lt;&gt;"Disqualified — Free Game",INDEX('Game Records'!$H:$H,$H132)=""),"Entry Fee; ","")&amp;IF(AND(INDEX('Game Records'!$U:$U,$H132)&lt;&gt;"Subscription",INDEX('Game Records'!$U:$U,$H132)&lt;&gt;"Free Game",INDEX('Game Records'!$U:$U,$H132)&lt;&gt;"Disqualified — Free Game",INDEX('Game Records'!$I:$I,$H132)=""),"Eligible Players; ","")&amp;IF(AND(INDEX('Game Records'!$U:$U,$H132)&lt;&gt;"Subscription",INDEX('Game Records'!$U:$U,$H132)&lt;&gt;"Free Game",INDEX('Game Records'!$U:$U,$H132)&lt;&gt;"Disqualified — Free Game",INDEX('Game Records'!$J:$J,$H132)=""),"Total Players; ","")&amp;IF(AND(LOWER(INDEX('Game Records'!$D:$D,$H132)&amp;"")="finalized",LOWER(INDEX('Game Records'!$L:$L,$H132)&amp;"")&lt;&gt;"yes",INDEX('Game Records'!$U:$U,$H132)&lt;&gt;"Subscription",INDEX('Game Records'!$U:$U,$H132)&lt;&gt;"Free Game",INDEX('Game Records'!$U:$U,$H132)&lt;&gt;"Disqualified — Free Game",INDEX('Game Records'!$K:$K,$H132)=""),"Final Earned; ","")&amp;IF(AND(LOWER(INDEX('Game Records'!$D:$D,$H132)&amp;"")="finalized",INDEX('Game Records'!$U:$U,$H132)&lt;&gt;"Subscription",INDEX('Game Records'!$U:$U,$H132)&lt;&gt;"Free Game",INDEX('Game Records'!$U:$U,$H132)&lt;&gt;"Disqualified — Free Game",OR(INDEX('Game Records'!$L:$L,$H132)="",LOWER(INDEX('Game Records'!$L:$L,$H132)&amp;"")="n/a")),"Disqualified Status; ",""))</x:f>
        <x:v/>
      </x:c>
      <x:c r="G132" s="331" t="str">
        <x:f>IF($H132="","",IFERROR(INDEX('Game Records'!$M:$M,$H132),""))</x:f>
        <x:v/>
      </x:c>
      <x:c r="H132" s="104" t="str">
        <x:f>IF($H131="","",IFERROR(MATCH(1,INDEX((ROW('Game Records'!$U$5:$U$504)&gt;$H131)*(('Game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2" s="104"/>
      <x:c r="J132" s="104"/>
    </x:row>
    <x:row r="133" ht="24" hidden="0" customHeight="1">
      <x:c r="A133" s="332" t="str">
        <x:f>IF($H133="","",ROWS($A$5:A133))</x:f>
        <x:v/>
      </x:c>
      <x:c r="B133" s="332" t="str">
        <x:f>IF($H133="","","G-"&amp;TEXT($A133,"0000"))</x:f>
        <x:v/>
      </x:c>
      <x:c r="C133" s="331" t="str">
        <x:f>IF($H133="","",IFERROR(INDEX('Game Records'!$A:$A,$H133),""))</x:f>
        <x:v/>
      </x:c>
      <x:c r="D133" s="331" t="str">
        <x:f>IF($H133="","",IFERROR(INDEX('Game Records'!$U:$U,$H133),""))</x:f>
        <x:v/>
      </x:c>
      <x:c r="E133" s="331" t="str">
        <x:f>IF($H133="","",IF($F133="","No Highlighted Fields","Highlighted Fields Present"))</x:f>
        <x:v/>
      </x:c>
      <x:c r="F133" s="331" t="str">
        <x:f>IF($H133="","",IF(INDEX('Game Records'!$B:$B,$H133)="","Start Date; ","")&amp;IF(INDEX('Game Records'!$C:$C,$H133)="","End Date; ","")&amp;IF(AND(INDEX('Game Records'!$U:$U,$H133)&lt;&gt;"Subscription",INDEX('Game Records'!$U:$U,$H133)&lt;&gt;"Free Game",INDEX('Game Records'!$U:$U,$H133)&lt;&gt;"Disqualified — Free Game",OR(INDEX('Game Records'!$D:$D,$H133)="",LOWER(INDEX('Game Records'!$D:$D,$H133)&amp;"")="n/a")),"Entry Mode; ","")&amp;IF(AND(INDEX('Game Records'!$U:$U,$H133)&lt;&gt;"Subscription",INDEX('Game Records'!$U:$U,$H133)&lt;&gt;"Free Game",INDEX('Game Records'!$U:$U,$H133)&lt;&gt;"Disqualified — Free Game",OR(INDEX('Game Records'!$E:$E,$H133)="",LOWER(INDEX('Game Records'!$E:$E,$H133)&amp;"")="n/a")),"Game Type; ","")&amp;IF(INDEX('Game Records'!$F:$F,$H133)="","Payment Type; ","")&amp;IF(AND(INDEX('Game Records'!$U:$U,$H133)&lt;&gt;"Subscription",INDEX('Game Records'!$U:$U,$H133)&lt;&gt;"Free Game",INDEX('Game Records'!$U:$U,$H133)&lt;&gt;"Disqualified — Free Game",INDEX('Game Records'!$G:$G,$H133)=""),"Gross Pot; ","")&amp;IF(AND(INDEX('Game Records'!$U:$U,$H133)&lt;&gt;"Free Game",INDEX('Game Records'!$U:$U,$H133)&lt;&gt;"Disqualified — Free Game",INDEX('Game Records'!$H:$H,$H133)=""),"Entry Fee; ","")&amp;IF(AND(INDEX('Game Records'!$U:$U,$H133)&lt;&gt;"Subscription",INDEX('Game Records'!$U:$U,$H133)&lt;&gt;"Free Game",INDEX('Game Records'!$U:$U,$H133)&lt;&gt;"Disqualified — Free Game",INDEX('Game Records'!$I:$I,$H133)=""),"Eligible Players; ","")&amp;IF(AND(INDEX('Game Records'!$U:$U,$H133)&lt;&gt;"Subscription",INDEX('Game Records'!$U:$U,$H133)&lt;&gt;"Free Game",INDEX('Game Records'!$U:$U,$H133)&lt;&gt;"Disqualified — Free Game",INDEX('Game Records'!$J:$J,$H133)=""),"Total Players; ","")&amp;IF(AND(LOWER(INDEX('Game Records'!$D:$D,$H133)&amp;"")="finalized",LOWER(INDEX('Game Records'!$L:$L,$H133)&amp;"")&lt;&gt;"yes",INDEX('Game Records'!$U:$U,$H133)&lt;&gt;"Subscription",INDEX('Game Records'!$U:$U,$H133)&lt;&gt;"Free Game",INDEX('Game Records'!$U:$U,$H133)&lt;&gt;"Disqualified — Free Game",INDEX('Game Records'!$K:$K,$H133)=""),"Final Earned; ","")&amp;IF(AND(LOWER(INDEX('Game Records'!$D:$D,$H133)&amp;"")="finalized",INDEX('Game Records'!$U:$U,$H133)&lt;&gt;"Subscription",INDEX('Game Records'!$U:$U,$H133)&lt;&gt;"Free Game",INDEX('Game Records'!$U:$U,$H133)&lt;&gt;"Disqualified — Free Game",OR(INDEX('Game Records'!$L:$L,$H133)="",LOWER(INDEX('Game Records'!$L:$L,$H133)&amp;"")="n/a")),"Disqualified Status; ",""))</x:f>
        <x:v/>
      </x:c>
      <x:c r="G133" s="331" t="str">
        <x:f>IF($H133="","",IFERROR(INDEX('Game Records'!$M:$M,$H133),""))</x:f>
        <x:v/>
      </x:c>
      <x:c r="H133" s="104" t="str">
        <x:f>IF($H132="","",IFERROR(MATCH(1,INDEX((ROW('Game Records'!$U$5:$U$504)&gt;$H132)*(('Game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3" s="104"/>
      <x:c r="J133" s="104"/>
    </x:row>
    <x:row r="134" ht="24" hidden="0" customHeight="1">
      <x:c r="A134" s="332" t="str">
        <x:f>IF($H134="","",ROWS($A$5:A134))</x:f>
        <x:v/>
      </x:c>
      <x:c r="B134" s="332" t="str">
        <x:f>IF($H134="","","G-"&amp;TEXT($A134,"0000"))</x:f>
        <x:v/>
      </x:c>
      <x:c r="C134" s="331" t="str">
        <x:f>IF($H134="","",IFERROR(INDEX('Game Records'!$A:$A,$H134),""))</x:f>
        <x:v/>
      </x:c>
      <x:c r="D134" s="331" t="str">
        <x:f>IF($H134="","",IFERROR(INDEX('Game Records'!$U:$U,$H134),""))</x:f>
        <x:v/>
      </x:c>
      <x:c r="E134" s="331" t="str">
        <x:f>IF($H134="","",IF($F134="","No Highlighted Fields","Highlighted Fields Present"))</x:f>
        <x:v/>
      </x:c>
      <x:c r="F134" s="331" t="str">
        <x:f>IF($H134="","",IF(INDEX('Game Records'!$B:$B,$H134)="","Start Date; ","")&amp;IF(INDEX('Game Records'!$C:$C,$H134)="","End Date; ","")&amp;IF(AND(INDEX('Game Records'!$U:$U,$H134)&lt;&gt;"Subscription",INDEX('Game Records'!$U:$U,$H134)&lt;&gt;"Free Game",INDEX('Game Records'!$U:$U,$H134)&lt;&gt;"Disqualified — Free Game",OR(INDEX('Game Records'!$D:$D,$H134)="",LOWER(INDEX('Game Records'!$D:$D,$H134)&amp;"")="n/a")),"Entry Mode; ","")&amp;IF(AND(INDEX('Game Records'!$U:$U,$H134)&lt;&gt;"Subscription",INDEX('Game Records'!$U:$U,$H134)&lt;&gt;"Free Game",INDEX('Game Records'!$U:$U,$H134)&lt;&gt;"Disqualified — Free Game",OR(INDEX('Game Records'!$E:$E,$H134)="",LOWER(INDEX('Game Records'!$E:$E,$H134)&amp;"")="n/a")),"Game Type; ","")&amp;IF(INDEX('Game Records'!$F:$F,$H134)="","Payment Type; ","")&amp;IF(AND(INDEX('Game Records'!$U:$U,$H134)&lt;&gt;"Subscription",INDEX('Game Records'!$U:$U,$H134)&lt;&gt;"Free Game",INDEX('Game Records'!$U:$U,$H134)&lt;&gt;"Disqualified — Free Game",INDEX('Game Records'!$G:$G,$H134)=""),"Gross Pot; ","")&amp;IF(AND(INDEX('Game Records'!$U:$U,$H134)&lt;&gt;"Free Game",INDEX('Game Records'!$U:$U,$H134)&lt;&gt;"Disqualified — Free Game",INDEX('Game Records'!$H:$H,$H134)=""),"Entry Fee; ","")&amp;IF(AND(INDEX('Game Records'!$U:$U,$H134)&lt;&gt;"Subscription",INDEX('Game Records'!$U:$U,$H134)&lt;&gt;"Free Game",INDEX('Game Records'!$U:$U,$H134)&lt;&gt;"Disqualified — Free Game",INDEX('Game Records'!$I:$I,$H134)=""),"Eligible Players; ","")&amp;IF(AND(INDEX('Game Records'!$U:$U,$H134)&lt;&gt;"Subscription",INDEX('Game Records'!$U:$U,$H134)&lt;&gt;"Free Game",INDEX('Game Records'!$U:$U,$H134)&lt;&gt;"Disqualified — Free Game",INDEX('Game Records'!$J:$J,$H134)=""),"Total Players; ","")&amp;IF(AND(LOWER(INDEX('Game Records'!$D:$D,$H134)&amp;"")="finalized",LOWER(INDEX('Game Records'!$L:$L,$H134)&amp;"")&lt;&gt;"yes",INDEX('Game Records'!$U:$U,$H134)&lt;&gt;"Subscription",INDEX('Game Records'!$U:$U,$H134)&lt;&gt;"Free Game",INDEX('Game Records'!$U:$U,$H134)&lt;&gt;"Disqualified — Free Game",INDEX('Game Records'!$K:$K,$H134)=""),"Final Earned; ","")&amp;IF(AND(LOWER(INDEX('Game Records'!$D:$D,$H134)&amp;"")="finalized",INDEX('Game Records'!$U:$U,$H134)&lt;&gt;"Subscription",INDEX('Game Records'!$U:$U,$H134)&lt;&gt;"Free Game",INDEX('Game Records'!$U:$U,$H134)&lt;&gt;"Disqualified — Free Game",OR(INDEX('Game Records'!$L:$L,$H134)="",LOWER(INDEX('Game Records'!$L:$L,$H134)&amp;"")="n/a")),"Disqualified Status; ",""))</x:f>
        <x:v/>
      </x:c>
      <x:c r="G134" s="331" t="str">
        <x:f>IF($H134="","",IFERROR(INDEX('Game Records'!$M:$M,$H134),""))</x:f>
        <x:v/>
      </x:c>
      <x:c r="H134" s="104" t="str">
        <x:f>IF($H133="","",IFERROR(MATCH(1,INDEX((ROW('Game Records'!$U$5:$U$504)&gt;$H133)*(('Game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4" s="104"/>
      <x:c r="J134" s="104"/>
    </x:row>
    <x:row r="135" ht="24" hidden="0" customHeight="1">
      <x:c r="A135" s="332" t="str">
        <x:f>IF($H135="","",ROWS($A$5:A135))</x:f>
        <x:v/>
      </x:c>
      <x:c r="B135" s="332" t="str">
        <x:f>IF($H135="","","G-"&amp;TEXT($A135,"0000"))</x:f>
        <x:v/>
      </x:c>
      <x:c r="C135" s="331" t="str">
        <x:f>IF($H135="","",IFERROR(INDEX('Game Records'!$A:$A,$H135),""))</x:f>
        <x:v/>
      </x:c>
      <x:c r="D135" s="331" t="str">
        <x:f>IF($H135="","",IFERROR(INDEX('Game Records'!$U:$U,$H135),""))</x:f>
        <x:v/>
      </x:c>
      <x:c r="E135" s="331" t="str">
        <x:f>IF($H135="","",IF($F135="","No Highlighted Fields","Highlighted Fields Present"))</x:f>
        <x:v/>
      </x:c>
      <x:c r="F135" s="331" t="str">
        <x:f>IF($H135="","",IF(INDEX('Game Records'!$B:$B,$H135)="","Start Date; ","")&amp;IF(INDEX('Game Records'!$C:$C,$H135)="","End Date; ","")&amp;IF(AND(INDEX('Game Records'!$U:$U,$H135)&lt;&gt;"Subscription",INDEX('Game Records'!$U:$U,$H135)&lt;&gt;"Free Game",INDEX('Game Records'!$U:$U,$H135)&lt;&gt;"Disqualified — Free Game",OR(INDEX('Game Records'!$D:$D,$H135)="",LOWER(INDEX('Game Records'!$D:$D,$H135)&amp;"")="n/a")),"Entry Mode; ","")&amp;IF(AND(INDEX('Game Records'!$U:$U,$H135)&lt;&gt;"Subscription",INDEX('Game Records'!$U:$U,$H135)&lt;&gt;"Free Game",INDEX('Game Records'!$U:$U,$H135)&lt;&gt;"Disqualified — Free Game",OR(INDEX('Game Records'!$E:$E,$H135)="",LOWER(INDEX('Game Records'!$E:$E,$H135)&amp;"")="n/a")),"Game Type; ","")&amp;IF(INDEX('Game Records'!$F:$F,$H135)="","Payment Type; ","")&amp;IF(AND(INDEX('Game Records'!$U:$U,$H135)&lt;&gt;"Subscription",INDEX('Game Records'!$U:$U,$H135)&lt;&gt;"Free Game",INDEX('Game Records'!$U:$U,$H135)&lt;&gt;"Disqualified — Free Game",INDEX('Game Records'!$G:$G,$H135)=""),"Gross Pot; ","")&amp;IF(AND(INDEX('Game Records'!$U:$U,$H135)&lt;&gt;"Free Game",INDEX('Game Records'!$U:$U,$H135)&lt;&gt;"Disqualified — Free Game",INDEX('Game Records'!$H:$H,$H135)=""),"Entry Fee; ","")&amp;IF(AND(INDEX('Game Records'!$U:$U,$H135)&lt;&gt;"Subscription",INDEX('Game Records'!$U:$U,$H135)&lt;&gt;"Free Game",INDEX('Game Records'!$U:$U,$H135)&lt;&gt;"Disqualified — Free Game",INDEX('Game Records'!$I:$I,$H135)=""),"Eligible Players; ","")&amp;IF(AND(INDEX('Game Records'!$U:$U,$H135)&lt;&gt;"Subscription",INDEX('Game Records'!$U:$U,$H135)&lt;&gt;"Free Game",INDEX('Game Records'!$U:$U,$H135)&lt;&gt;"Disqualified — Free Game",INDEX('Game Records'!$J:$J,$H135)=""),"Total Players; ","")&amp;IF(AND(LOWER(INDEX('Game Records'!$D:$D,$H135)&amp;"")="finalized",LOWER(INDEX('Game Records'!$L:$L,$H135)&amp;"")&lt;&gt;"yes",INDEX('Game Records'!$U:$U,$H135)&lt;&gt;"Subscription",INDEX('Game Records'!$U:$U,$H135)&lt;&gt;"Free Game",INDEX('Game Records'!$U:$U,$H135)&lt;&gt;"Disqualified — Free Game",INDEX('Game Records'!$K:$K,$H135)=""),"Final Earned; ","")&amp;IF(AND(LOWER(INDEX('Game Records'!$D:$D,$H135)&amp;"")="finalized",INDEX('Game Records'!$U:$U,$H135)&lt;&gt;"Subscription",INDEX('Game Records'!$U:$U,$H135)&lt;&gt;"Free Game",INDEX('Game Records'!$U:$U,$H135)&lt;&gt;"Disqualified — Free Game",OR(INDEX('Game Records'!$L:$L,$H135)="",LOWER(INDEX('Game Records'!$L:$L,$H135)&amp;"")="n/a")),"Disqualified Status; ",""))</x:f>
        <x:v/>
      </x:c>
      <x:c r="G135" s="331" t="str">
        <x:f>IF($H135="","",IFERROR(INDEX('Game Records'!$M:$M,$H135),""))</x:f>
        <x:v/>
      </x:c>
      <x:c r="H135" s="104" t="str">
        <x:f>IF($H134="","",IFERROR(MATCH(1,INDEX((ROW('Game Records'!$U$5:$U$504)&gt;$H134)*(('Game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5" s="104"/>
      <x:c r="J135" s="104"/>
    </x:row>
    <x:row r="136" ht="24" hidden="0" customHeight="1">
      <x:c r="A136" s="332" t="str">
        <x:f>IF($H136="","",ROWS($A$5:A136))</x:f>
        <x:v/>
      </x:c>
      <x:c r="B136" s="332" t="str">
        <x:f>IF($H136="","","G-"&amp;TEXT($A136,"0000"))</x:f>
        <x:v/>
      </x:c>
      <x:c r="C136" s="331" t="str">
        <x:f>IF($H136="","",IFERROR(INDEX('Game Records'!$A:$A,$H136),""))</x:f>
        <x:v/>
      </x:c>
      <x:c r="D136" s="331" t="str">
        <x:f>IF($H136="","",IFERROR(INDEX('Game Records'!$U:$U,$H136),""))</x:f>
        <x:v/>
      </x:c>
      <x:c r="E136" s="331" t="str">
        <x:f>IF($H136="","",IF($F136="","No Highlighted Fields","Highlighted Fields Present"))</x:f>
        <x:v/>
      </x:c>
      <x:c r="F136" s="331" t="str">
        <x:f>IF($H136="","",IF(INDEX('Game Records'!$B:$B,$H136)="","Start Date; ","")&amp;IF(INDEX('Game Records'!$C:$C,$H136)="","End Date; ","")&amp;IF(AND(INDEX('Game Records'!$U:$U,$H136)&lt;&gt;"Subscription",INDEX('Game Records'!$U:$U,$H136)&lt;&gt;"Free Game",INDEX('Game Records'!$U:$U,$H136)&lt;&gt;"Disqualified — Free Game",OR(INDEX('Game Records'!$D:$D,$H136)="",LOWER(INDEX('Game Records'!$D:$D,$H136)&amp;"")="n/a")),"Entry Mode; ","")&amp;IF(AND(INDEX('Game Records'!$U:$U,$H136)&lt;&gt;"Subscription",INDEX('Game Records'!$U:$U,$H136)&lt;&gt;"Free Game",INDEX('Game Records'!$U:$U,$H136)&lt;&gt;"Disqualified — Free Game",OR(INDEX('Game Records'!$E:$E,$H136)="",LOWER(INDEX('Game Records'!$E:$E,$H136)&amp;"")="n/a")),"Game Type; ","")&amp;IF(INDEX('Game Records'!$F:$F,$H136)="","Payment Type; ","")&amp;IF(AND(INDEX('Game Records'!$U:$U,$H136)&lt;&gt;"Subscription",INDEX('Game Records'!$U:$U,$H136)&lt;&gt;"Free Game",INDEX('Game Records'!$U:$U,$H136)&lt;&gt;"Disqualified — Free Game",INDEX('Game Records'!$G:$G,$H136)=""),"Gross Pot; ","")&amp;IF(AND(INDEX('Game Records'!$U:$U,$H136)&lt;&gt;"Free Game",INDEX('Game Records'!$U:$U,$H136)&lt;&gt;"Disqualified — Free Game",INDEX('Game Records'!$H:$H,$H136)=""),"Entry Fee; ","")&amp;IF(AND(INDEX('Game Records'!$U:$U,$H136)&lt;&gt;"Subscription",INDEX('Game Records'!$U:$U,$H136)&lt;&gt;"Free Game",INDEX('Game Records'!$U:$U,$H136)&lt;&gt;"Disqualified — Free Game",INDEX('Game Records'!$I:$I,$H136)=""),"Eligible Players; ","")&amp;IF(AND(INDEX('Game Records'!$U:$U,$H136)&lt;&gt;"Subscription",INDEX('Game Records'!$U:$U,$H136)&lt;&gt;"Free Game",INDEX('Game Records'!$U:$U,$H136)&lt;&gt;"Disqualified — Free Game",INDEX('Game Records'!$J:$J,$H136)=""),"Total Players; ","")&amp;IF(AND(LOWER(INDEX('Game Records'!$D:$D,$H136)&amp;"")="finalized",LOWER(INDEX('Game Records'!$L:$L,$H136)&amp;"")&lt;&gt;"yes",INDEX('Game Records'!$U:$U,$H136)&lt;&gt;"Subscription",INDEX('Game Records'!$U:$U,$H136)&lt;&gt;"Free Game",INDEX('Game Records'!$U:$U,$H136)&lt;&gt;"Disqualified — Free Game",INDEX('Game Records'!$K:$K,$H136)=""),"Final Earned; ","")&amp;IF(AND(LOWER(INDEX('Game Records'!$D:$D,$H136)&amp;"")="finalized",INDEX('Game Records'!$U:$U,$H136)&lt;&gt;"Subscription",INDEX('Game Records'!$U:$U,$H136)&lt;&gt;"Free Game",INDEX('Game Records'!$U:$U,$H136)&lt;&gt;"Disqualified — Free Game",OR(INDEX('Game Records'!$L:$L,$H136)="",LOWER(INDEX('Game Records'!$L:$L,$H136)&amp;"")="n/a")),"Disqualified Status; ",""))</x:f>
        <x:v/>
      </x:c>
      <x:c r="G136" s="331" t="str">
        <x:f>IF($H136="","",IFERROR(INDEX('Game Records'!$M:$M,$H136),""))</x:f>
        <x:v/>
      </x:c>
      <x:c r="H136" s="104" t="str">
        <x:f>IF($H135="","",IFERROR(MATCH(1,INDEX((ROW('Game Records'!$U$5:$U$504)&gt;$H135)*(('Game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6" s="104"/>
      <x:c r="J136" s="104"/>
    </x:row>
    <x:row r="137" ht="24" hidden="0" customHeight="1">
      <x:c r="A137" s="332" t="str">
        <x:f>IF($H137="","",ROWS($A$5:A137))</x:f>
        <x:v/>
      </x:c>
      <x:c r="B137" s="332" t="str">
        <x:f>IF($H137="","","G-"&amp;TEXT($A137,"0000"))</x:f>
        <x:v/>
      </x:c>
      <x:c r="C137" s="331" t="str">
        <x:f>IF($H137="","",IFERROR(INDEX('Game Records'!$A:$A,$H137),""))</x:f>
        <x:v/>
      </x:c>
      <x:c r="D137" s="331" t="str">
        <x:f>IF($H137="","",IFERROR(INDEX('Game Records'!$U:$U,$H137),""))</x:f>
        <x:v/>
      </x:c>
      <x:c r="E137" s="331" t="str">
        <x:f>IF($H137="","",IF($F137="","No Highlighted Fields","Highlighted Fields Present"))</x:f>
        <x:v/>
      </x:c>
      <x:c r="F137" s="331" t="str">
        <x:f>IF($H137="","",IF(INDEX('Game Records'!$B:$B,$H137)="","Start Date; ","")&amp;IF(INDEX('Game Records'!$C:$C,$H137)="","End Date; ","")&amp;IF(AND(INDEX('Game Records'!$U:$U,$H137)&lt;&gt;"Subscription",INDEX('Game Records'!$U:$U,$H137)&lt;&gt;"Free Game",INDEX('Game Records'!$U:$U,$H137)&lt;&gt;"Disqualified — Free Game",OR(INDEX('Game Records'!$D:$D,$H137)="",LOWER(INDEX('Game Records'!$D:$D,$H137)&amp;"")="n/a")),"Entry Mode; ","")&amp;IF(AND(INDEX('Game Records'!$U:$U,$H137)&lt;&gt;"Subscription",INDEX('Game Records'!$U:$U,$H137)&lt;&gt;"Free Game",INDEX('Game Records'!$U:$U,$H137)&lt;&gt;"Disqualified — Free Game",OR(INDEX('Game Records'!$E:$E,$H137)="",LOWER(INDEX('Game Records'!$E:$E,$H137)&amp;"")="n/a")),"Game Type; ","")&amp;IF(INDEX('Game Records'!$F:$F,$H137)="","Payment Type; ","")&amp;IF(AND(INDEX('Game Records'!$U:$U,$H137)&lt;&gt;"Subscription",INDEX('Game Records'!$U:$U,$H137)&lt;&gt;"Free Game",INDEX('Game Records'!$U:$U,$H137)&lt;&gt;"Disqualified — Free Game",INDEX('Game Records'!$G:$G,$H137)=""),"Gross Pot; ","")&amp;IF(AND(INDEX('Game Records'!$U:$U,$H137)&lt;&gt;"Free Game",INDEX('Game Records'!$U:$U,$H137)&lt;&gt;"Disqualified — Free Game",INDEX('Game Records'!$H:$H,$H137)=""),"Entry Fee; ","")&amp;IF(AND(INDEX('Game Records'!$U:$U,$H137)&lt;&gt;"Subscription",INDEX('Game Records'!$U:$U,$H137)&lt;&gt;"Free Game",INDEX('Game Records'!$U:$U,$H137)&lt;&gt;"Disqualified — Free Game",INDEX('Game Records'!$I:$I,$H137)=""),"Eligible Players; ","")&amp;IF(AND(INDEX('Game Records'!$U:$U,$H137)&lt;&gt;"Subscription",INDEX('Game Records'!$U:$U,$H137)&lt;&gt;"Free Game",INDEX('Game Records'!$U:$U,$H137)&lt;&gt;"Disqualified — Free Game",INDEX('Game Records'!$J:$J,$H137)=""),"Total Players; ","")&amp;IF(AND(LOWER(INDEX('Game Records'!$D:$D,$H137)&amp;"")="finalized",LOWER(INDEX('Game Records'!$L:$L,$H137)&amp;"")&lt;&gt;"yes",INDEX('Game Records'!$U:$U,$H137)&lt;&gt;"Subscription",INDEX('Game Records'!$U:$U,$H137)&lt;&gt;"Free Game",INDEX('Game Records'!$U:$U,$H137)&lt;&gt;"Disqualified — Free Game",INDEX('Game Records'!$K:$K,$H137)=""),"Final Earned; ","")&amp;IF(AND(LOWER(INDEX('Game Records'!$D:$D,$H137)&amp;"")="finalized",INDEX('Game Records'!$U:$U,$H137)&lt;&gt;"Subscription",INDEX('Game Records'!$U:$U,$H137)&lt;&gt;"Free Game",INDEX('Game Records'!$U:$U,$H137)&lt;&gt;"Disqualified — Free Game",OR(INDEX('Game Records'!$L:$L,$H137)="",LOWER(INDEX('Game Records'!$L:$L,$H137)&amp;"")="n/a")),"Disqualified Status; ",""))</x:f>
        <x:v/>
      </x:c>
      <x:c r="G137" s="331" t="str">
        <x:f>IF($H137="","",IFERROR(INDEX('Game Records'!$M:$M,$H137),""))</x:f>
        <x:v/>
      </x:c>
      <x:c r="H137" s="104" t="str">
        <x:f>IF($H136="","",IFERROR(MATCH(1,INDEX((ROW('Game Records'!$U$5:$U$504)&gt;$H136)*(('Game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7" s="104"/>
      <x:c r="J137" s="104"/>
    </x:row>
    <x:row r="138" ht="24" hidden="0" customHeight="1">
      <x:c r="A138" s="332" t="str">
        <x:f>IF($H138="","",ROWS($A$5:A138))</x:f>
        <x:v/>
      </x:c>
      <x:c r="B138" s="332" t="str">
        <x:f>IF($H138="","","G-"&amp;TEXT($A138,"0000"))</x:f>
        <x:v/>
      </x:c>
      <x:c r="C138" s="331" t="str">
        <x:f>IF($H138="","",IFERROR(INDEX('Game Records'!$A:$A,$H138),""))</x:f>
        <x:v/>
      </x:c>
      <x:c r="D138" s="331" t="str">
        <x:f>IF($H138="","",IFERROR(INDEX('Game Records'!$U:$U,$H138),""))</x:f>
        <x:v/>
      </x:c>
      <x:c r="E138" s="331" t="str">
        <x:f>IF($H138="","",IF($F138="","No Highlighted Fields","Highlighted Fields Present"))</x:f>
        <x:v/>
      </x:c>
      <x:c r="F138" s="331" t="str">
        <x:f>IF($H138="","",IF(INDEX('Game Records'!$B:$B,$H138)="","Start Date; ","")&amp;IF(INDEX('Game Records'!$C:$C,$H138)="","End Date; ","")&amp;IF(AND(INDEX('Game Records'!$U:$U,$H138)&lt;&gt;"Subscription",INDEX('Game Records'!$U:$U,$H138)&lt;&gt;"Free Game",INDEX('Game Records'!$U:$U,$H138)&lt;&gt;"Disqualified — Free Game",OR(INDEX('Game Records'!$D:$D,$H138)="",LOWER(INDEX('Game Records'!$D:$D,$H138)&amp;"")="n/a")),"Entry Mode; ","")&amp;IF(AND(INDEX('Game Records'!$U:$U,$H138)&lt;&gt;"Subscription",INDEX('Game Records'!$U:$U,$H138)&lt;&gt;"Free Game",INDEX('Game Records'!$U:$U,$H138)&lt;&gt;"Disqualified — Free Game",OR(INDEX('Game Records'!$E:$E,$H138)="",LOWER(INDEX('Game Records'!$E:$E,$H138)&amp;"")="n/a")),"Game Type; ","")&amp;IF(INDEX('Game Records'!$F:$F,$H138)="","Payment Type; ","")&amp;IF(AND(INDEX('Game Records'!$U:$U,$H138)&lt;&gt;"Subscription",INDEX('Game Records'!$U:$U,$H138)&lt;&gt;"Free Game",INDEX('Game Records'!$U:$U,$H138)&lt;&gt;"Disqualified — Free Game",INDEX('Game Records'!$G:$G,$H138)=""),"Gross Pot; ","")&amp;IF(AND(INDEX('Game Records'!$U:$U,$H138)&lt;&gt;"Free Game",INDEX('Game Records'!$U:$U,$H138)&lt;&gt;"Disqualified — Free Game",INDEX('Game Records'!$H:$H,$H138)=""),"Entry Fee; ","")&amp;IF(AND(INDEX('Game Records'!$U:$U,$H138)&lt;&gt;"Subscription",INDEX('Game Records'!$U:$U,$H138)&lt;&gt;"Free Game",INDEX('Game Records'!$U:$U,$H138)&lt;&gt;"Disqualified — Free Game",INDEX('Game Records'!$I:$I,$H138)=""),"Eligible Players; ","")&amp;IF(AND(INDEX('Game Records'!$U:$U,$H138)&lt;&gt;"Subscription",INDEX('Game Records'!$U:$U,$H138)&lt;&gt;"Free Game",INDEX('Game Records'!$U:$U,$H138)&lt;&gt;"Disqualified — Free Game",INDEX('Game Records'!$J:$J,$H138)=""),"Total Players; ","")&amp;IF(AND(LOWER(INDEX('Game Records'!$D:$D,$H138)&amp;"")="finalized",LOWER(INDEX('Game Records'!$L:$L,$H138)&amp;"")&lt;&gt;"yes",INDEX('Game Records'!$U:$U,$H138)&lt;&gt;"Subscription",INDEX('Game Records'!$U:$U,$H138)&lt;&gt;"Free Game",INDEX('Game Records'!$U:$U,$H138)&lt;&gt;"Disqualified — Free Game",INDEX('Game Records'!$K:$K,$H138)=""),"Final Earned; ","")&amp;IF(AND(LOWER(INDEX('Game Records'!$D:$D,$H138)&amp;"")="finalized",INDEX('Game Records'!$U:$U,$H138)&lt;&gt;"Subscription",INDEX('Game Records'!$U:$U,$H138)&lt;&gt;"Free Game",INDEX('Game Records'!$U:$U,$H138)&lt;&gt;"Disqualified — Free Game",OR(INDEX('Game Records'!$L:$L,$H138)="",LOWER(INDEX('Game Records'!$L:$L,$H138)&amp;"")="n/a")),"Disqualified Status; ",""))</x:f>
        <x:v/>
      </x:c>
      <x:c r="G138" s="331" t="str">
        <x:f>IF($H138="","",IFERROR(INDEX('Game Records'!$M:$M,$H138),""))</x:f>
        <x:v/>
      </x:c>
      <x:c r="H138" s="104" t="str">
        <x:f>IF($H137="","",IFERROR(MATCH(1,INDEX((ROW('Game Records'!$U$5:$U$504)&gt;$H137)*(('Game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8" s="104"/>
      <x:c r="J138" s="104"/>
    </x:row>
    <x:row r="139" ht="24" hidden="0" customHeight="1">
      <x:c r="A139" s="332" t="str">
        <x:f>IF($H139="","",ROWS($A$5:A139))</x:f>
        <x:v/>
      </x:c>
      <x:c r="B139" s="332" t="str">
        <x:f>IF($H139="","","G-"&amp;TEXT($A139,"0000"))</x:f>
        <x:v/>
      </x:c>
      <x:c r="C139" s="331" t="str">
        <x:f>IF($H139="","",IFERROR(INDEX('Game Records'!$A:$A,$H139),""))</x:f>
        <x:v/>
      </x:c>
      <x:c r="D139" s="331" t="str">
        <x:f>IF($H139="","",IFERROR(INDEX('Game Records'!$U:$U,$H139),""))</x:f>
        <x:v/>
      </x:c>
      <x:c r="E139" s="331" t="str">
        <x:f>IF($H139="","",IF($F139="","No Highlighted Fields","Highlighted Fields Present"))</x:f>
        <x:v/>
      </x:c>
      <x:c r="F139" s="331" t="str">
        <x:f>IF($H139="","",IF(INDEX('Game Records'!$B:$B,$H139)="","Start Date; ","")&amp;IF(INDEX('Game Records'!$C:$C,$H139)="","End Date; ","")&amp;IF(AND(INDEX('Game Records'!$U:$U,$H139)&lt;&gt;"Subscription",INDEX('Game Records'!$U:$U,$H139)&lt;&gt;"Free Game",INDEX('Game Records'!$U:$U,$H139)&lt;&gt;"Disqualified — Free Game",OR(INDEX('Game Records'!$D:$D,$H139)="",LOWER(INDEX('Game Records'!$D:$D,$H139)&amp;"")="n/a")),"Entry Mode; ","")&amp;IF(AND(INDEX('Game Records'!$U:$U,$H139)&lt;&gt;"Subscription",INDEX('Game Records'!$U:$U,$H139)&lt;&gt;"Free Game",INDEX('Game Records'!$U:$U,$H139)&lt;&gt;"Disqualified — Free Game",OR(INDEX('Game Records'!$E:$E,$H139)="",LOWER(INDEX('Game Records'!$E:$E,$H139)&amp;"")="n/a")),"Game Type; ","")&amp;IF(INDEX('Game Records'!$F:$F,$H139)="","Payment Type; ","")&amp;IF(AND(INDEX('Game Records'!$U:$U,$H139)&lt;&gt;"Subscription",INDEX('Game Records'!$U:$U,$H139)&lt;&gt;"Free Game",INDEX('Game Records'!$U:$U,$H139)&lt;&gt;"Disqualified — Free Game",INDEX('Game Records'!$G:$G,$H139)=""),"Gross Pot; ","")&amp;IF(AND(INDEX('Game Records'!$U:$U,$H139)&lt;&gt;"Free Game",INDEX('Game Records'!$U:$U,$H139)&lt;&gt;"Disqualified — Free Game",INDEX('Game Records'!$H:$H,$H139)=""),"Entry Fee; ","")&amp;IF(AND(INDEX('Game Records'!$U:$U,$H139)&lt;&gt;"Subscription",INDEX('Game Records'!$U:$U,$H139)&lt;&gt;"Free Game",INDEX('Game Records'!$U:$U,$H139)&lt;&gt;"Disqualified — Free Game",INDEX('Game Records'!$I:$I,$H139)=""),"Eligible Players; ","")&amp;IF(AND(INDEX('Game Records'!$U:$U,$H139)&lt;&gt;"Subscription",INDEX('Game Records'!$U:$U,$H139)&lt;&gt;"Free Game",INDEX('Game Records'!$U:$U,$H139)&lt;&gt;"Disqualified — Free Game",INDEX('Game Records'!$J:$J,$H139)=""),"Total Players; ","")&amp;IF(AND(LOWER(INDEX('Game Records'!$D:$D,$H139)&amp;"")="finalized",LOWER(INDEX('Game Records'!$L:$L,$H139)&amp;"")&lt;&gt;"yes",INDEX('Game Records'!$U:$U,$H139)&lt;&gt;"Subscription",INDEX('Game Records'!$U:$U,$H139)&lt;&gt;"Free Game",INDEX('Game Records'!$U:$U,$H139)&lt;&gt;"Disqualified — Free Game",INDEX('Game Records'!$K:$K,$H139)=""),"Final Earned; ","")&amp;IF(AND(LOWER(INDEX('Game Records'!$D:$D,$H139)&amp;"")="finalized",INDEX('Game Records'!$U:$U,$H139)&lt;&gt;"Subscription",INDEX('Game Records'!$U:$U,$H139)&lt;&gt;"Free Game",INDEX('Game Records'!$U:$U,$H139)&lt;&gt;"Disqualified — Free Game",OR(INDEX('Game Records'!$L:$L,$H139)="",LOWER(INDEX('Game Records'!$L:$L,$H139)&amp;"")="n/a")),"Disqualified Status; ",""))</x:f>
        <x:v/>
      </x:c>
      <x:c r="G139" s="331" t="str">
        <x:f>IF($H139="","",IFERROR(INDEX('Game Records'!$M:$M,$H139),""))</x:f>
        <x:v/>
      </x:c>
      <x:c r="H139" s="104" t="str">
        <x:f>IF($H138="","",IFERROR(MATCH(1,INDEX((ROW('Game Records'!$U$5:$U$504)&gt;$H138)*(('Game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39" s="104"/>
      <x:c r="J139" s="104"/>
    </x:row>
    <x:row r="140" ht="24" hidden="0" customHeight="1">
      <x:c r="A140" s="332" t="str">
        <x:f>IF($H140="","",ROWS($A$5:A140))</x:f>
        <x:v/>
      </x:c>
      <x:c r="B140" s="332" t="str">
        <x:f>IF($H140="","","G-"&amp;TEXT($A140,"0000"))</x:f>
        <x:v/>
      </x:c>
      <x:c r="C140" s="331" t="str">
        <x:f>IF($H140="","",IFERROR(INDEX('Game Records'!$A:$A,$H140),""))</x:f>
        <x:v/>
      </x:c>
      <x:c r="D140" s="331" t="str">
        <x:f>IF($H140="","",IFERROR(INDEX('Game Records'!$U:$U,$H140),""))</x:f>
        <x:v/>
      </x:c>
      <x:c r="E140" s="331" t="str">
        <x:f>IF($H140="","",IF($F140="","No Highlighted Fields","Highlighted Fields Present"))</x:f>
        <x:v/>
      </x:c>
      <x:c r="F140" s="331" t="str">
        <x:f>IF($H140="","",IF(INDEX('Game Records'!$B:$B,$H140)="","Start Date; ","")&amp;IF(INDEX('Game Records'!$C:$C,$H140)="","End Date; ","")&amp;IF(AND(INDEX('Game Records'!$U:$U,$H140)&lt;&gt;"Subscription",INDEX('Game Records'!$U:$U,$H140)&lt;&gt;"Free Game",INDEX('Game Records'!$U:$U,$H140)&lt;&gt;"Disqualified — Free Game",OR(INDEX('Game Records'!$D:$D,$H140)="",LOWER(INDEX('Game Records'!$D:$D,$H140)&amp;"")="n/a")),"Entry Mode; ","")&amp;IF(AND(INDEX('Game Records'!$U:$U,$H140)&lt;&gt;"Subscription",INDEX('Game Records'!$U:$U,$H140)&lt;&gt;"Free Game",INDEX('Game Records'!$U:$U,$H140)&lt;&gt;"Disqualified — Free Game",OR(INDEX('Game Records'!$E:$E,$H140)="",LOWER(INDEX('Game Records'!$E:$E,$H140)&amp;"")="n/a")),"Game Type; ","")&amp;IF(INDEX('Game Records'!$F:$F,$H140)="","Payment Type; ","")&amp;IF(AND(INDEX('Game Records'!$U:$U,$H140)&lt;&gt;"Subscription",INDEX('Game Records'!$U:$U,$H140)&lt;&gt;"Free Game",INDEX('Game Records'!$U:$U,$H140)&lt;&gt;"Disqualified — Free Game",INDEX('Game Records'!$G:$G,$H140)=""),"Gross Pot; ","")&amp;IF(AND(INDEX('Game Records'!$U:$U,$H140)&lt;&gt;"Free Game",INDEX('Game Records'!$U:$U,$H140)&lt;&gt;"Disqualified — Free Game",INDEX('Game Records'!$H:$H,$H140)=""),"Entry Fee; ","")&amp;IF(AND(INDEX('Game Records'!$U:$U,$H140)&lt;&gt;"Subscription",INDEX('Game Records'!$U:$U,$H140)&lt;&gt;"Free Game",INDEX('Game Records'!$U:$U,$H140)&lt;&gt;"Disqualified — Free Game",INDEX('Game Records'!$I:$I,$H140)=""),"Eligible Players; ","")&amp;IF(AND(INDEX('Game Records'!$U:$U,$H140)&lt;&gt;"Subscription",INDEX('Game Records'!$U:$U,$H140)&lt;&gt;"Free Game",INDEX('Game Records'!$U:$U,$H140)&lt;&gt;"Disqualified — Free Game",INDEX('Game Records'!$J:$J,$H140)=""),"Total Players; ","")&amp;IF(AND(LOWER(INDEX('Game Records'!$D:$D,$H140)&amp;"")="finalized",LOWER(INDEX('Game Records'!$L:$L,$H140)&amp;"")&lt;&gt;"yes",INDEX('Game Records'!$U:$U,$H140)&lt;&gt;"Subscription",INDEX('Game Records'!$U:$U,$H140)&lt;&gt;"Free Game",INDEX('Game Records'!$U:$U,$H140)&lt;&gt;"Disqualified — Free Game",INDEX('Game Records'!$K:$K,$H140)=""),"Final Earned; ","")&amp;IF(AND(LOWER(INDEX('Game Records'!$D:$D,$H140)&amp;"")="finalized",INDEX('Game Records'!$U:$U,$H140)&lt;&gt;"Subscription",INDEX('Game Records'!$U:$U,$H140)&lt;&gt;"Free Game",INDEX('Game Records'!$U:$U,$H140)&lt;&gt;"Disqualified — Free Game",OR(INDEX('Game Records'!$L:$L,$H140)="",LOWER(INDEX('Game Records'!$L:$L,$H140)&amp;"")="n/a")),"Disqualified Status; ",""))</x:f>
        <x:v/>
      </x:c>
      <x:c r="G140" s="331" t="str">
        <x:f>IF($H140="","",IFERROR(INDEX('Game Records'!$M:$M,$H140),""))</x:f>
        <x:v/>
      </x:c>
      <x:c r="H140" s="104" t="str">
        <x:f>IF($H139="","",IFERROR(MATCH(1,INDEX((ROW('Game Records'!$U$5:$U$504)&gt;$H139)*(('Game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0" s="104"/>
      <x:c r="J140" s="104"/>
    </x:row>
    <x:row r="141" ht="24" hidden="0" customHeight="1">
      <x:c r="A141" s="332" t="str">
        <x:f>IF($H141="","",ROWS($A$5:A141))</x:f>
        <x:v/>
      </x:c>
      <x:c r="B141" s="332" t="str">
        <x:f>IF($H141="","","G-"&amp;TEXT($A141,"0000"))</x:f>
        <x:v/>
      </x:c>
      <x:c r="C141" s="331" t="str">
        <x:f>IF($H141="","",IFERROR(INDEX('Game Records'!$A:$A,$H141),""))</x:f>
        <x:v/>
      </x:c>
      <x:c r="D141" s="331" t="str">
        <x:f>IF($H141="","",IFERROR(INDEX('Game Records'!$U:$U,$H141),""))</x:f>
        <x:v/>
      </x:c>
      <x:c r="E141" s="331" t="str">
        <x:f>IF($H141="","",IF($F141="","No Highlighted Fields","Highlighted Fields Present"))</x:f>
        <x:v/>
      </x:c>
      <x:c r="F141" s="331" t="str">
        <x:f>IF($H141="","",IF(INDEX('Game Records'!$B:$B,$H141)="","Start Date; ","")&amp;IF(INDEX('Game Records'!$C:$C,$H141)="","End Date; ","")&amp;IF(AND(INDEX('Game Records'!$U:$U,$H141)&lt;&gt;"Subscription",INDEX('Game Records'!$U:$U,$H141)&lt;&gt;"Free Game",INDEX('Game Records'!$U:$U,$H141)&lt;&gt;"Disqualified — Free Game",OR(INDEX('Game Records'!$D:$D,$H141)="",LOWER(INDEX('Game Records'!$D:$D,$H141)&amp;"")="n/a")),"Entry Mode; ","")&amp;IF(AND(INDEX('Game Records'!$U:$U,$H141)&lt;&gt;"Subscription",INDEX('Game Records'!$U:$U,$H141)&lt;&gt;"Free Game",INDEX('Game Records'!$U:$U,$H141)&lt;&gt;"Disqualified — Free Game",OR(INDEX('Game Records'!$E:$E,$H141)="",LOWER(INDEX('Game Records'!$E:$E,$H141)&amp;"")="n/a")),"Game Type; ","")&amp;IF(INDEX('Game Records'!$F:$F,$H141)="","Payment Type; ","")&amp;IF(AND(INDEX('Game Records'!$U:$U,$H141)&lt;&gt;"Subscription",INDEX('Game Records'!$U:$U,$H141)&lt;&gt;"Free Game",INDEX('Game Records'!$U:$U,$H141)&lt;&gt;"Disqualified — Free Game",INDEX('Game Records'!$G:$G,$H141)=""),"Gross Pot; ","")&amp;IF(AND(INDEX('Game Records'!$U:$U,$H141)&lt;&gt;"Free Game",INDEX('Game Records'!$U:$U,$H141)&lt;&gt;"Disqualified — Free Game",INDEX('Game Records'!$H:$H,$H141)=""),"Entry Fee; ","")&amp;IF(AND(INDEX('Game Records'!$U:$U,$H141)&lt;&gt;"Subscription",INDEX('Game Records'!$U:$U,$H141)&lt;&gt;"Free Game",INDEX('Game Records'!$U:$U,$H141)&lt;&gt;"Disqualified — Free Game",INDEX('Game Records'!$I:$I,$H141)=""),"Eligible Players; ","")&amp;IF(AND(INDEX('Game Records'!$U:$U,$H141)&lt;&gt;"Subscription",INDEX('Game Records'!$U:$U,$H141)&lt;&gt;"Free Game",INDEX('Game Records'!$U:$U,$H141)&lt;&gt;"Disqualified — Free Game",INDEX('Game Records'!$J:$J,$H141)=""),"Total Players; ","")&amp;IF(AND(LOWER(INDEX('Game Records'!$D:$D,$H141)&amp;"")="finalized",LOWER(INDEX('Game Records'!$L:$L,$H141)&amp;"")&lt;&gt;"yes",INDEX('Game Records'!$U:$U,$H141)&lt;&gt;"Subscription",INDEX('Game Records'!$U:$U,$H141)&lt;&gt;"Free Game",INDEX('Game Records'!$U:$U,$H141)&lt;&gt;"Disqualified — Free Game",INDEX('Game Records'!$K:$K,$H141)=""),"Final Earned; ","")&amp;IF(AND(LOWER(INDEX('Game Records'!$D:$D,$H141)&amp;"")="finalized",INDEX('Game Records'!$U:$U,$H141)&lt;&gt;"Subscription",INDEX('Game Records'!$U:$U,$H141)&lt;&gt;"Free Game",INDEX('Game Records'!$U:$U,$H141)&lt;&gt;"Disqualified — Free Game",OR(INDEX('Game Records'!$L:$L,$H141)="",LOWER(INDEX('Game Records'!$L:$L,$H141)&amp;"")="n/a")),"Disqualified Status; ",""))</x:f>
        <x:v/>
      </x:c>
      <x:c r="G141" s="331" t="str">
        <x:f>IF($H141="","",IFERROR(INDEX('Game Records'!$M:$M,$H141),""))</x:f>
        <x:v/>
      </x:c>
      <x:c r="H141" s="104" t="str">
        <x:f>IF($H140="","",IFERROR(MATCH(1,INDEX((ROW('Game Records'!$U$5:$U$504)&gt;$H140)*(('Game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1" s="104"/>
      <x:c r="J141" s="104"/>
    </x:row>
    <x:row r="142" ht="24" hidden="0" customHeight="1">
      <x:c r="A142" s="332" t="str">
        <x:f>IF($H142="","",ROWS($A$5:A142))</x:f>
        <x:v/>
      </x:c>
      <x:c r="B142" s="332" t="str">
        <x:f>IF($H142="","","G-"&amp;TEXT($A142,"0000"))</x:f>
        <x:v/>
      </x:c>
      <x:c r="C142" s="331" t="str">
        <x:f>IF($H142="","",IFERROR(INDEX('Game Records'!$A:$A,$H142),""))</x:f>
        <x:v/>
      </x:c>
      <x:c r="D142" s="331" t="str">
        <x:f>IF($H142="","",IFERROR(INDEX('Game Records'!$U:$U,$H142),""))</x:f>
        <x:v/>
      </x:c>
      <x:c r="E142" s="331" t="str">
        <x:f>IF($H142="","",IF($F142="","No Highlighted Fields","Highlighted Fields Present"))</x:f>
        <x:v/>
      </x:c>
      <x:c r="F142" s="331" t="str">
        <x:f>IF($H142="","",IF(INDEX('Game Records'!$B:$B,$H142)="","Start Date; ","")&amp;IF(INDEX('Game Records'!$C:$C,$H142)="","End Date; ","")&amp;IF(AND(INDEX('Game Records'!$U:$U,$H142)&lt;&gt;"Subscription",INDEX('Game Records'!$U:$U,$H142)&lt;&gt;"Free Game",INDEX('Game Records'!$U:$U,$H142)&lt;&gt;"Disqualified — Free Game",OR(INDEX('Game Records'!$D:$D,$H142)="",LOWER(INDEX('Game Records'!$D:$D,$H142)&amp;"")="n/a")),"Entry Mode; ","")&amp;IF(AND(INDEX('Game Records'!$U:$U,$H142)&lt;&gt;"Subscription",INDEX('Game Records'!$U:$U,$H142)&lt;&gt;"Free Game",INDEX('Game Records'!$U:$U,$H142)&lt;&gt;"Disqualified — Free Game",OR(INDEX('Game Records'!$E:$E,$H142)="",LOWER(INDEX('Game Records'!$E:$E,$H142)&amp;"")="n/a")),"Game Type; ","")&amp;IF(INDEX('Game Records'!$F:$F,$H142)="","Payment Type; ","")&amp;IF(AND(INDEX('Game Records'!$U:$U,$H142)&lt;&gt;"Subscription",INDEX('Game Records'!$U:$U,$H142)&lt;&gt;"Free Game",INDEX('Game Records'!$U:$U,$H142)&lt;&gt;"Disqualified — Free Game",INDEX('Game Records'!$G:$G,$H142)=""),"Gross Pot; ","")&amp;IF(AND(INDEX('Game Records'!$U:$U,$H142)&lt;&gt;"Free Game",INDEX('Game Records'!$U:$U,$H142)&lt;&gt;"Disqualified — Free Game",INDEX('Game Records'!$H:$H,$H142)=""),"Entry Fee; ","")&amp;IF(AND(INDEX('Game Records'!$U:$U,$H142)&lt;&gt;"Subscription",INDEX('Game Records'!$U:$U,$H142)&lt;&gt;"Free Game",INDEX('Game Records'!$U:$U,$H142)&lt;&gt;"Disqualified — Free Game",INDEX('Game Records'!$I:$I,$H142)=""),"Eligible Players; ","")&amp;IF(AND(INDEX('Game Records'!$U:$U,$H142)&lt;&gt;"Subscription",INDEX('Game Records'!$U:$U,$H142)&lt;&gt;"Free Game",INDEX('Game Records'!$U:$U,$H142)&lt;&gt;"Disqualified — Free Game",INDEX('Game Records'!$J:$J,$H142)=""),"Total Players; ","")&amp;IF(AND(LOWER(INDEX('Game Records'!$D:$D,$H142)&amp;"")="finalized",LOWER(INDEX('Game Records'!$L:$L,$H142)&amp;"")&lt;&gt;"yes",INDEX('Game Records'!$U:$U,$H142)&lt;&gt;"Subscription",INDEX('Game Records'!$U:$U,$H142)&lt;&gt;"Free Game",INDEX('Game Records'!$U:$U,$H142)&lt;&gt;"Disqualified — Free Game",INDEX('Game Records'!$K:$K,$H142)=""),"Final Earned; ","")&amp;IF(AND(LOWER(INDEX('Game Records'!$D:$D,$H142)&amp;"")="finalized",INDEX('Game Records'!$U:$U,$H142)&lt;&gt;"Subscription",INDEX('Game Records'!$U:$U,$H142)&lt;&gt;"Free Game",INDEX('Game Records'!$U:$U,$H142)&lt;&gt;"Disqualified — Free Game",OR(INDEX('Game Records'!$L:$L,$H142)="",LOWER(INDEX('Game Records'!$L:$L,$H142)&amp;"")="n/a")),"Disqualified Status; ",""))</x:f>
        <x:v/>
      </x:c>
      <x:c r="G142" s="331" t="str">
        <x:f>IF($H142="","",IFERROR(INDEX('Game Records'!$M:$M,$H142),""))</x:f>
        <x:v/>
      </x:c>
      <x:c r="H142" s="104" t="str">
        <x:f>IF($H141="","",IFERROR(MATCH(1,INDEX((ROW('Game Records'!$U$5:$U$504)&gt;$H141)*(('Game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2" s="104"/>
      <x:c r="J142" s="104"/>
    </x:row>
    <x:row r="143" ht="24" hidden="0" customHeight="1">
      <x:c r="A143" s="332" t="str">
        <x:f>IF($H143="","",ROWS($A$5:A143))</x:f>
        <x:v/>
      </x:c>
      <x:c r="B143" s="332" t="str">
        <x:f>IF($H143="","","G-"&amp;TEXT($A143,"0000"))</x:f>
        <x:v/>
      </x:c>
      <x:c r="C143" s="331" t="str">
        <x:f>IF($H143="","",IFERROR(INDEX('Game Records'!$A:$A,$H143),""))</x:f>
        <x:v/>
      </x:c>
      <x:c r="D143" s="331" t="str">
        <x:f>IF($H143="","",IFERROR(INDEX('Game Records'!$U:$U,$H143),""))</x:f>
        <x:v/>
      </x:c>
      <x:c r="E143" s="331" t="str">
        <x:f>IF($H143="","",IF($F143="","No Highlighted Fields","Highlighted Fields Present"))</x:f>
        <x:v/>
      </x:c>
      <x:c r="F143" s="331" t="str">
        <x:f>IF($H143="","",IF(INDEX('Game Records'!$B:$B,$H143)="","Start Date; ","")&amp;IF(INDEX('Game Records'!$C:$C,$H143)="","End Date; ","")&amp;IF(AND(INDEX('Game Records'!$U:$U,$H143)&lt;&gt;"Subscription",INDEX('Game Records'!$U:$U,$H143)&lt;&gt;"Free Game",INDEX('Game Records'!$U:$U,$H143)&lt;&gt;"Disqualified — Free Game",OR(INDEX('Game Records'!$D:$D,$H143)="",LOWER(INDEX('Game Records'!$D:$D,$H143)&amp;"")="n/a")),"Entry Mode; ","")&amp;IF(AND(INDEX('Game Records'!$U:$U,$H143)&lt;&gt;"Subscription",INDEX('Game Records'!$U:$U,$H143)&lt;&gt;"Free Game",INDEX('Game Records'!$U:$U,$H143)&lt;&gt;"Disqualified — Free Game",OR(INDEX('Game Records'!$E:$E,$H143)="",LOWER(INDEX('Game Records'!$E:$E,$H143)&amp;"")="n/a")),"Game Type; ","")&amp;IF(INDEX('Game Records'!$F:$F,$H143)="","Payment Type; ","")&amp;IF(AND(INDEX('Game Records'!$U:$U,$H143)&lt;&gt;"Subscription",INDEX('Game Records'!$U:$U,$H143)&lt;&gt;"Free Game",INDEX('Game Records'!$U:$U,$H143)&lt;&gt;"Disqualified — Free Game",INDEX('Game Records'!$G:$G,$H143)=""),"Gross Pot; ","")&amp;IF(AND(INDEX('Game Records'!$U:$U,$H143)&lt;&gt;"Free Game",INDEX('Game Records'!$U:$U,$H143)&lt;&gt;"Disqualified — Free Game",INDEX('Game Records'!$H:$H,$H143)=""),"Entry Fee; ","")&amp;IF(AND(INDEX('Game Records'!$U:$U,$H143)&lt;&gt;"Subscription",INDEX('Game Records'!$U:$U,$H143)&lt;&gt;"Free Game",INDEX('Game Records'!$U:$U,$H143)&lt;&gt;"Disqualified — Free Game",INDEX('Game Records'!$I:$I,$H143)=""),"Eligible Players; ","")&amp;IF(AND(INDEX('Game Records'!$U:$U,$H143)&lt;&gt;"Subscription",INDEX('Game Records'!$U:$U,$H143)&lt;&gt;"Free Game",INDEX('Game Records'!$U:$U,$H143)&lt;&gt;"Disqualified — Free Game",INDEX('Game Records'!$J:$J,$H143)=""),"Total Players; ","")&amp;IF(AND(LOWER(INDEX('Game Records'!$D:$D,$H143)&amp;"")="finalized",LOWER(INDEX('Game Records'!$L:$L,$H143)&amp;"")&lt;&gt;"yes",INDEX('Game Records'!$U:$U,$H143)&lt;&gt;"Subscription",INDEX('Game Records'!$U:$U,$H143)&lt;&gt;"Free Game",INDEX('Game Records'!$U:$U,$H143)&lt;&gt;"Disqualified — Free Game",INDEX('Game Records'!$K:$K,$H143)=""),"Final Earned; ","")&amp;IF(AND(LOWER(INDEX('Game Records'!$D:$D,$H143)&amp;"")="finalized",INDEX('Game Records'!$U:$U,$H143)&lt;&gt;"Subscription",INDEX('Game Records'!$U:$U,$H143)&lt;&gt;"Free Game",INDEX('Game Records'!$U:$U,$H143)&lt;&gt;"Disqualified — Free Game",OR(INDEX('Game Records'!$L:$L,$H143)="",LOWER(INDEX('Game Records'!$L:$L,$H143)&amp;"")="n/a")),"Disqualified Status; ",""))</x:f>
        <x:v/>
      </x:c>
      <x:c r="G143" s="331" t="str">
        <x:f>IF($H143="","",IFERROR(INDEX('Game Records'!$M:$M,$H143),""))</x:f>
        <x:v/>
      </x:c>
      <x:c r="H143" s="104" t="str">
        <x:f>IF($H142="","",IFERROR(MATCH(1,INDEX((ROW('Game Records'!$U$5:$U$504)&gt;$H142)*(('Game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3" s="104"/>
      <x:c r="J143" s="104"/>
    </x:row>
    <x:row r="144" ht="24" hidden="0" customHeight="1">
      <x:c r="A144" s="332" t="str">
        <x:f>IF($H144="","",ROWS($A$5:A144))</x:f>
        <x:v/>
      </x:c>
      <x:c r="B144" s="332" t="str">
        <x:f>IF($H144="","","G-"&amp;TEXT($A144,"0000"))</x:f>
        <x:v/>
      </x:c>
      <x:c r="C144" s="331" t="str">
        <x:f>IF($H144="","",IFERROR(INDEX('Game Records'!$A:$A,$H144),""))</x:f>
        <x:v/>
      </x:c>
      <x:c r="D144" s="331" t="str">
        <x:f>IF($H144="","",IFERROR(INDEX('Game Records'!$U:$U,$H144),""))</x:f>
        <x:v/>
      </x:c>
      <x:c r="E144" s="331" t="str">
        <x:f>IF($H144="","",IF($F144="","No Highlighted Fields","Highlighted Fields Present"))</x:f>
        <x:v/>
      </x:c>
      <x:c r="F144" s="331" t="str">
        <x:f>IF($H144="","",IF(INDEX('Game Records'!$B:$B,$H144)="","Start Date; ","")&amp;IF(INDEX('Game Records'!$C:$C,$H144)="","End Date; ","")&amp;IF(AND(INDEX('Game Records'!$U:$U,$H144)&lt;&gt;"Subscription",INDEX('Game Records'!$U:$U,$H144)&lt;&gt;"Free Game",INDEX('Game Records'!$U:$U,$H144)&lt;&gt;"Disqualified — Free Game",OR(INDEX('Game Records'!$D:$D,$H144)="",LOWER(INDEX('Game Records'!$D:$D,$H144)&amp;"")="n/a")),"Entry Mode; ","")&amp;IF(AND(INDEX('Game Records'!$U:$U,$H144)&lt;&gt;"Subscription",INDEX('Game Records'!$U:$U,$H144)&lt;&gt;"Free Game",INDEX('Game Records'!$U:$U,$H144)&lt;&gt;"Disqualified — Free Game",OR(INDEX('Game Records'!$E:$E,$H144)="",LOWER(INDEX('Game Records'!$E:$E,$H144)&amp;"")="n/a")),"Game Type; ","")&amp;IF(INDEX('Game Records'!$F:$F,$H144)="","Payment Type; ","")&amp;IF(AND(INDEX('Game Records'!$U:$U,$H144)&lt;&gt;"Subscription",INDEX('Game Records'!$U:$U,$H144)&lt;&gt;"Free Game",INDEX('Game Records'!$U:$U,$H144)&lt;&gt;"Disqualified — Free Game",INDEX('Game Records'!$G:$G,$H144)=""),"Gross Pot; ","")&amp;IF(AND(INDEX('Game Records'!$U:$U,$H144)&lt;&gt;"Free Game",INDEX('Game Records'!$U:$U,$H144)&lt;&gt;"Disqualified — Free Game",INDEX('Game Records'!$H:$H,$H144)=""),"Entry Fee; ","")&amp;IF(AND(INDEX('Game Records'!$U:$U,$H144)&lt;&gt;"Subscription",INDEX('Game Records'!$U:$U,$H144)&lt;&gt;"Free Game",INDEX('Game Records'!$U:$U,$H144)&lt;&gt;"Disqualified — Free Game",INDEX('Game Records'!$I:$I,$H144)=""),"Eligible Players; ","")&amp;IF(AND(INDEX('Game Records'!$U:$U,$H144)&lt;&gt;"Subscription",INDEX('Game Records'!$U:$U,$H144)&lt;&gt;"Free Game",INDEX('Game Records'!$U:$U,$H144)&lt;&gt;"Disqualified — Free Game",INDEX('Game Records'!$J:$J,$H144)=""),"Total Players; ","")&amp;IF(AND(LOWER(INDEX('Game Records'!$D:$D,$H144)&amp;"")="finalized",LOWER(INDEX('Game Records'!$L:$L,$H144)&amp;"")&lt;&gt;"yes",INDEX('Game Records'!$U:$U,$H144)&lt;&gt;"Subscription",INDEX('Game Records'!$U:$U,$H144)&lt;&gt;"Free Game",INDEX('Game Records'!$U:$U,$H144)&lt;&gt;"Disqualified — Free Game",INDEX('Game Records'!$K:$K,$H144)=""),"Final Earned; ","")&amp;IF(AND(LOWER(INDEX('Game Records'!$D:$D,$H144)&amp;"")="finalized",INDEX('Game Records'!$U:$U,$H144)&lt;&gt;"Subscription",INDEX('Game Records'!$U:$U,$H144)&lt;&gt;"Free Game",INDEX('Game Records'!$U:$U,$H144)&lt;&gt;"Disqualified — Free Game",OR(INDEX('Game Records'!$L:$L,$H144)="",LOWER(INDEX('Game Records'!$L:$L,$H144)&amp;"")="n/a")),"Disqualified Status; ",""))</x:f>
        <x:v/>
      </x:c>
      <x:c r="G144" s="331" t="str">
        <x:f>IF($H144="","",IFERROR(INDEX('Game Records'!$M:$M,$H144),""))</x:f>
        <x:v/>
      </x:c>
      <x:c r="H144" s="104" t="str">
        <x:f>IF($H143="","",IFERROR(MATCH(1,INDEX((ROW('Game Records'!$U$5:$U$504)&gt;$H143)*(('Game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4" s="104"/>
      <x:c r="J144" s="104"/>
    </x:row>
    <x:row r="145" ht="24" hidden="0" customHeight="1">
      <x:c r="A145" s="332" t="str">
        <x:f>IF($H145="","",ROWS($A$5:A145))</x:f>
        <x:v/>
      </x:c>
      <x:c r="B145" s="332" t="str">
        <x:f>IF($H145="","","G-"&amp;TEXT($A145,"0000"))</x:f>
        <x:v/>
      </x:c>
      <x:c r="C145" s="331" t="str">
        <x:f>IF($H145="","",IFERROR(INDEX('Game Records'!$A:$A,$H145),""))</x:f>
        <x:v/>
      </x:c>
      <x:c r="D145" s="331" t="str">
        <x:f>IF($H145="","",IFERROR(INDEX('Game Records'!$U:$U,$H145),""))</x:f>
        <x:v/>
      </x:c>
      <x:c r="E145" s="331" t="str">
        <x:f>IF($H145="","",IF($F145="","No Highlighted Fields","Highlighted Fields Present"))</x:f>
        <x:v/>
      </x:c>
      <x:c r="F145" s="331" t="str">
        <x:f>IF($H145="","",IF(INDEX('Game Records'!$B:$B,$H145)="","Start Date; ","")&amp;IF(INDEX('Game Records'!$C:$C,$H145)="","End Date; ","")&amp;IF(AND(INDEX('Game Records'!$U:$U,$H145)&lt;&gt;"Subscription",INDEX('Game Records'!$U:$U,$H145)&lt;&gt;"Free Game",INDEX('Game Records'!$U:$U,$H145)&lt;&gt;"Disqualified — Free Game",OR(INDEX('Game Records'!$D:$D,$H145)="",LOWER(INDEX('Game Records'!$D:$D,$H145)&amp;"")="n/a")),"Entry Mode; ","")&amp;IF(AND(INDEX('Game Records'!$U:$U,$H145)&lt;&gt;"Subscription",INDEX('Game Records'!$U:$U,$H145)&lt;&gt;"Free Game",INDEX('Game Records'!$U:$U,$H145)&lt;&gt;"Disqualified — Free Game",OR(INDEX('Game Records'!$E:$E,$H145)="",LOWER(INDEX('Game Records'!$E:$E,$H145)&amp;"")="n/a")),"Game Type; ","")&amp;IF(INDEX('Game Records'!$F:$F,$H145)="","Payment Type; ","")&amp;IF(AND(INDEX('Game Records'!$U:$U,$H145)&lt;&gt;"Subscription",INDEX('Game Records'!$U:$U,$H145)&lt;&gt;"Free Game",INDEX('Game Records'!$U:$U,$H145)&lt;&gt;"Disqualified — Free Game",INDEX('Game Records'!$G:$G,$H145)=""),"Gross Pot; ","")&amp;IF(AND(INDEX('Game Records'!$U:$U,$H145)&lt;&gt;"Free Game",INDEX('Game Records'!$U:$U,$H145)&lt;&gt;"Disqualified — Free Game",INDEX('Game Records'!$H:$H,$H145)=""),"Entry Fee; ","")&amp;IF(AND(INDEX('Game Records'!$U:$U,$H145)&lt;&gt;"Subscription",INDEX('Game Records'!$U:$U,$H145)&lt;&gt;"Free Game",INDEX('Game Records'!$U:$U,$H145)&lt;&gt;"Disqualified — Free Game",INDEX('Game Records'!$I:$I,$H145)=""),"Eligible Players; ","")&amp;IF(AND(INDEX('Game Records'!$U:$U,$H145)&lt;&gt;"Subscription",INDEX('Game Records'!$U:$U,$H145)&lt;&gt;"Free Game",INDEX('Game Records'!$U:$U,$H145)&lt;&gt;"Disqualified — Free Game",INDEX('Game Records'!$J:$J,$H145)=""),"Total Players; ","")&amp;IF(AND(LOWER(INDEX('Game Records'!$D:$D,$H145)&amp;"")="finalized",LOWER(INDEX('Game Records'!$L:$L,$H145)&amp;"")&lt;&gt;"yes",INDEX('Game Records'!$U:$U,$H145)&lt;&gt;"Subscription",INDEX('Game Records'!$U:$U,$H145)&lt;&gt;"Free Game",INDEX('Game Records'!$U:$U,$H145)&lt;&gt;"Disqualified — Free Game",INDEX('Game Records'!$K:$K,$H145)=""),"Final Earned; ","")&amp;IF(AND(LOWER(INDEX('Game Records'!$D:$D,$H145)&amp;"")="finalized",INDEX('Game Records'!$U:$U,$H145)&lt;&gt;"Subscription",INDEX('Game Records'!$U:$U,$H145)&lt;&gt;"Free Game",INDEX('Game Records'!$U:$U,$H145)&lt;&gt;"Disqualified — Free Game",OR(INDEX('Game Records'!$L:$L,$H145)="",LOWER(INDEX('Game Records'!$L:$L,$H145)&amp;"")="n/a")),"Disqualified Status; ",""))</x:f>
        <x:v/>
      </x:c>
      <x:c r="G145" s="331" t="str">
        <x:f>IF($H145="","",IFERROR(INDEX('Game Records'!$M:$M,$H145),""))</x:f>
        <x:v/>
      </x:c>
      <x:c r="H145" s="104" t="str">
        <x:f>IF($H144="","",IFERROR(MATCH(1,INDEX((ROW('Game Records'!$U$5:$U$504)&gt;$H144)*(('Game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5" s="104"/>
      <x:c r="J145" s="104"/>
    </x:row>
    <x:row r="146" ht="24" hidden="0" customHeight="1">
      <x:c r="A146" s="332" t="str">
        <x:f>IF($H146="","",ROWS($A$5:A146))</x:f>
        <x:v/>
      </x:c>
      <x:c r="B146" s="332" t="str">
        <x:f>IF($H146="","","G-"&amp;TEXT($A146,"0000"))</x:f>
        <x:v/>
      </x:c>
      <x:c r="C146" s="331" t="str">
        <x:f>IF($H146="","",IFERROR(INDEX('Game Records'!$A:$A,$H146),""))</x:f>
        <x:v/>
      </x:c>
      <x:c r="D146" s="331" t="str">
        <x:f>IF($H146="","",IFERROR(INDEX('Game Records'!$U:$U,$H146),""))</x:f>
        <x:v/>
      </x:c>
      <x:c r="E146" s="331" t="str">
        <x:f>IF($H146="","",IF($F146="","No Highlighted Fields","Highlighted Fields Present"))</x:f>
        <x:v/>
      </x:c>
      <x:c r="F146" s="331" t="str">
        <x:f>IF($H146="","",IF(INDEX('Game Records'!$B:$B,$H146)="","Start Date; ","")&amp;IF(INDEX('Game Records'!$C:$C,$H146)="","End Date; ","")&amp;IF(AND(INDEX('Game Records'!$U:$U,$H146)&lt;&gt;"Subscription",INDEX('Game Records'!$U:$U,$H146)&lt;&gt;"Free Game",INDEX('Game Records'!$U:$U,$H146)&lt;&gt;"Disqualified — Free Game",OR(INDEX('Game Records'!$D:$D,$H146)="",LOWER(INDEX('Game Records'!$D:$D,$H146)&amp;"")="n/a")),"Entry Mode; ","")&amp;IF(AND(INDEX('Game Records'!$U:$U,$H146)&lt;&gt;"Subscription",INDEX('Game Records'!$U:$U,$H146)&lt;&gt;"Free Game",INDEX('Game Records'!$U:$U,$H146)&lt;&gt;"Disqualified — Free Game",OR(INDEX('Game Records'!$E:$E,$H146)="",LOWER(INDEX('Game Records'!$E:$E,$H146)&amp;"")="n/a")),"Game Type; ","")&amp;IF(INDEX('Game Records'!$F:$F,$H146)="","Payment Type; ","")&amp;IF(AND(INDEX('Game Records'!$U:$U,$H146)&lt;&gt;"Subscription",INDEX('Game Records'!$U:$U,$H146)&lt;&gt;"Free Game",INDEX('Game Records'!$U:$U,$H146)&lt;&gt;"Disqualified — Free Game",INDEX('Game Records'!$G:$G,$H146)=""),"Gross Pot; ","")&amp;IF(AND(INDEX('Game Records'!$U:$U,$H146)&lt;&gt;"Free Game",INDEX('Game Records'!$U:$U,$H146)&lt;&gt;"Disqualified — Free Game",INDEX('Game Records'!$H:$H,$H146)=""),"Entry Fee; ","")&amp;IF(AND(INDEX('Game Records'!$U:$U,$H146)&lt;&gt;"Subscription",INDEX('Game Records'!$U:$U,$H146)&lt;&gt;"Free Game",INDEX('Game Records'!$U:$U,$H146)&lt;&gt;"Disqualified — Free Game",INDEX('Game Records'!$I:$I,$H146)=""),"Eligible Players; ","")&amp;IF(AND(INDEX('Game Records'!$U:$U,$H146)&lt;&gt;"Subscription",INDEX('Game Records'!$U:$U,$H146)&lt;&gt;"Free Game",INDEX('Game Records'!$U:$U,$H146)&lt;&gt;"Disqualified — Free Game",INDEX('Game Records'!$J:$J,$H146)=""),"Total Players; ","")&amp;IF(AND(LOWER(INDEX('Game Records'!$D:$D,$H146)&amp;"")="finalized",LOWER(INDEX('Game Records'!$L:$L,$H146)&amp;"")&lt;&gt;"yes",INDEX('Game Records'!$U:$U,$H146)&lt;&gt;"Subscription",INDEX('Game Records'!$U:$U,$H146)&lt;&gt;"Free Game",INDEX('Game Records'!$U:$U,$H146)&lt;&gt;"Disqualified — Free Game",INDEX('Game Records'!$K:$K,$H146)=""),"Final Earned; ","")&amp;IF(AND(LOWER(INDEX('Game Records'!$D:$D,$H146)&amp;"")="finalized",INDEX('Game Records'!$U:$U,$H146)&lt;&gt;"Subscription",INDEX('Game Records'!$U:$U,$H146)&lt;&gt;"Free Game",INDEX('Game Records'!$U:$U,$H146)&lt;&gt;"Disqualified — Free Game",OR(INDEX('Game Records'!$L:$L,$H146)="",LOWER(INDEX('Game Records'!$L:$L,$H146)&amp;"")="n/a")),"Disqualified Status; ",""))</x:f>
        <x:v/>
      </x:c>
      <x:c r="G146" s="331" t="str">
        <x:f>IF($H146="","",IFERROR(INDEX('Game Records'!$M:$M,$H146),""))</x:f>
        <x:v/>
      </x:c>
      <x:c r="H146" s="104" t="str">
        <x:f>IF($H145="","",IFERROR(MATCH(1,INDEX((ROW('Game Records'!$U$5:$U$504)&gt;$H145)*(('Game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6" s="104"/>
      <x:c r="J146" s="104"/>
    </x:row>
    <x:row r="147" ht="24" hidden="0" customHeight="1">
      <x:c r="A147" s="332" t="str">
        <x:f>IF($H147="","",ROWS($A$5:A147))</x:f>
        <x:v/>
      </x:c>
      <x:c r="B147" s="332" t="str">
        <x:f>IF($H147="","","G-"&amp;TEXT($A147,"0000"))</x:f>
        <x:v/>
      </x:c>
      <x:c r="C147" s="331" t="str">
        <x:f>IF($H147="","",IFERROR(INDEX('Game Records'!$A:$A,$H147),""))</x:f>
        <x:v/>
      </x:c>
      <x:c r="D147" s="331" t="str">
        <x:f>IF($H147="","",IFERROR(INDEX('Game Records'!$U:$U,$H147),""))</x:f>
        <x:v/>
      </x:c>
      <x:c r="E147" s="331" t="str">
        <x:f>IF($H147="","",IF($F147="","No Highlighted Fields","Highlighted Fields Present"))</x:f>
        <x:v/>
      </x:c>
      <x:c r="F147" s="331" t="str">
        <x:f>IF($H147="","",IF(INDEX('Game Records'!$B:$B,$H147)="","Start Date; ","")&amp;IF(INDEX('Game Records'!$C:$C,$H147)="","End Date; ","")&amp;IF(AND(INDEX('Game Records'!$U:$U,$H147)&lt;&gt;"Subscription",INDEX('Game Records'!$U:$U,$H147)&lt;&gt;"Free Game",INDEX('Game Records'!$U:$U,$H147)&lt;&gt;"Disqualified — Free Game",OR(INDEX('Game Records'!$D:$D,$H147)="",LOWER(INDEX('Game Records'!$D:$D,$H147)&amp;"")="n/a")),"Entry Mode; ","")&amp;IF(AND(INDEX('Game Records'!$U:$U,$H147)&lt;&gt;"Subscription",INDEX('Game Records'!$U:$U,$H147)&lt;&gt;"Free Game",INDEX('Game Records'!$U:$U,$H147)&lt;&gt;"Disqualified — Free Game",OR(INDEX('Game Records'!$E:$E,$H147)="",LOWER(INDEX('Game Records'!$E:$E,$H147)&amp;"")="n/a")),"Game Type; ","")&amp;IF(INDEX('Game Records'!$F:$F,$H147)="","Payment Type; ","")&amp;IF(AND(INDEX('Game Records'!$U:$U,$H147)&lt;&gt;"Subscription",INDEX('Game Records'!$U:$U,$H147)&lt;&gt;"Free Game",INDEX('Game Records'!$U:$U,$H147)&lt;&gt;"Disqualified — Free Game",INDEX('Game Records'!$G:$G,$H147)=""),"Gross Pot; ","")&amp;IF(AND(INDEX('Game Records'!$U:$U,$H147)&lt;&gt;"Free Game",INDEX('Game Records'!$U:$U,$H147)&lt;&gt;"Disqualified — Free Game",INDEX('Game Records'!$H:$H,$H147)=""),"Entry Fee; ","")&amp;IF(AND(INDEX('Game Records'!$U:$U,$H147)&lt;&gt;"Subscription",INDEX('Game Records'!$U:$U,$H147)&lt;&gt;"Free Game",INDEX('Game Records'!$U:$U,$H147)&lt;&gt;"Disqualified — Free Game",INDEX('Game Records'!$I:$I,$H147)=""),"Eligible Players; ","")&amp;IF(AND(INDEX('Game Records'!$U:$U,$H147)&lt;&gt;"Subscription",INDEX('Game Records'!$U:$U,$H147)&lt;&gt;"Free Game",INDEX('Game Records'!$U:$U,$H147)&lt;&gt;"Disqualified — Free Game",INDEX('Game Records'!$J:$J,$H147)=""),"Total Players; ","")&amp;IF(AND(LOWER(INDEX('Game Records'!$D:$D,$H147)&amp;"")="finalized",LOWER(INDEX('Game Records'!$L:$L,$H147)&amp;"")&lt;&gt;"yes",INDEX('Game Records'!$U:$U,$H147)&lt;&gt;"Subscription",INDEX('Game Records'!$U:$U,$H147)&lt;&gt;"Free Game",INDEX('Game Records'!$U:$U,$H147)&lt;&gt;"Disqualified — Free Game",INDEX('Game Records'!$K:$K,$H147)=""),"Final Earned; ","")&amp;IF(AND(LOWER(INDEX('Game Records'!$D:$D,$H147)&amp;"")="finalized",INDEX('Game Records'!$U:$U,$H147)&lt;&gt;"Subscription",INDEX('Game Records'!$U:$U,$H147)&lt;&gt;"Free Game",INDEX('Game Records'!$U:$U,$H147)&lt;&gt;"Disqualified — Free Game",OR(INDEX('Game Records'!$L:$L,$H147)="",LOWER(INDEX('Game Records'!$L:$L,$H147)&amp;"")="n/a")),"Disqualified Status; ",""))</x:f>
        <x:v/>
      </x:c>
      <x:c r="G147" s="331" t="str">
        <x:f>IF($H147="","",IFERROR(INDEX('Game Records'!$M:$M,$H147),""))</x:f>
        <x:v/>
      </x:c>
      <x:c r="H147" s="104" t="str">
        <x:f>IF($H146="","",IFERROR(MATCH(1,INDEX((ROW('Game Records'!$U$5:$U$504)&gt;$H146)*(('Game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7" s="104"/>
      <x:c r="J147" s="104"/>
    </x:row>
    <x:row r="148" ht="24" hidden="0" customHeight="1">
      <x:c r="A148" s="332" t="str">
        <x:f>IF($H148="","",ROWS($A$5:A148))</x:f>
        <x:v/>
      </x:c>
      <x:c r="B148" s="332" t="str">
        <x:f>IF($H148="","","G-"&amp;TEXT($A148,"0000"))</x:f>
        <x:v/>
      </x:c>
      <x:c r="C148" s="331" t="str">
        <x:f>IF($H148="","",IFERROR(INDEX('Game Records'!$A:$A,$H148),""))</x:f>
        <x:v/>
      </x:c>
      <x:c r="D148" s="331" t="str">
        <x:f>IF($H148="","",IFERROR(INDEX('Game Records'!$U:$U,$H148),""))</x:f>
        <x:v/>
      </x:c>
      <x:c r="E148" s="331" t="str">
        <x:f>IF($H148="","",IF($F148="","No Highlighted Fields","Highlighted Fields Present"))</x:f>
        <x:v/>
      </x:c>
      <x:c r="F148" s="331" t="str">
        <x:f>IF($H148="","",IF(INDEX('Game Records'!$B:$B,$H148)="","Start Date; ","")&amp;IF(INDEX('Game Records'!$C:$C,$H148)="","End Date; ","")&amp;IF(AND(INDEX('Game Records'!$U:$U,$H148)&lt;&gt;"Subscription",INDEX('Game Records'!$U:$U,$H148)&lt;&gt;"Free Game",INDEX('Game Records'!$U:$U,$H148)&lt;&gt;"Disqualified — Free Game",OR(INDEX('Game Records'!$D:$D,$H148)="",LOWER(INDEX('Game Records'!$D:$D,$H148)&amp;"")="n/a")),"Entry Mode; ","")&amp;IF(AND(INDEX('Game Records'!$U:$U,$H148)&lt;&gt;"Subscription",INDEX('Game Records'!$U:$U,$H148)&lt;&gt;"Free Game",INDEX('Game Records'!$U:$U,$H148)&lt;&gt;"Disqualified — Free Game",OR(INDEX('Game Records'!$E:$E,$H148)="",LOWER(INDEX('Game Records'!$E:$E,$H148)&amp;"")="n/a")),"Game Type; ","")&amp;IF(INDEX('Game Records'!$F:$F,$H148)="","Payment Type; ","")&amp;IF(AND(INDEX('Game Records'!$U:$U,$H148)&lt;&gt;"Subscription",INDEX('Game Records'!$U:$U,$H148)&lt;&gt;"Free Game",INDEX('Game Records'!$U:$U,$H148)&lt;&gt;"Disqualified — Free Game",INDEX('Game Records'!$G:$G,$H148)=""),"Gross Pot; ","")&amp;IF(AND(INDEX('Game Records'!$U:$U,$H148)&lt;&gt;"Free Game",INDEX('Game Records'!$U:$U,$H148)&lt;&gt;"Disqualified — Free Game",INDEX('Game Records'!$H:$H,$H148)=""),"Entry Fee; ","")&amp;IF(AND(INDEX('Game Records'!$U:$U,$H148)&lt;&gt;"Subscription",INDEX('Game Records'!$U:$U,$H148)&lt;&gt;"Free Game",INDEX('Game Records'!$U:$U,$H148)&lt;&gt;"Disqualified — Free Game",INDEX('Game Records'!$I:$I,$H148)=""),"Eligible Players; ","")&amp;IF(AND(INDEX('Game Records'!$U:$U,$H148)&lt;&gt;"Subscription",INDEX('Game Records'!$U:$U,$H148)&lt;&gt;"Free Game",INDEX('Game Records'!$U:$U,$H148)&lt;&gt;"Disqualified — Free Game",INDEX('Game Records'!$J:$J,$H148)=""),"Total Players; ","")&amp;IF(AND(LOWER(INDEX('Game Records'!$D:$D,$H148)&amp;"")="finalized",LOWER(INDEX('Game Records'!$L:$L,$H148)&amp;"")&lt;&gt;"yes",INDEX('Game Records'!$U:$U,$H148)&lt;&gt;"Subscription",INDEX('Game Records'!$U:$U,$H148)&lt;&gt;"Free Game",INDEX('Game Records'!$U:$U,$H148)&lt;&gt;"Disqualified — Free Game",INDEX('Game Records'!$K:$K,$H148)=""),"Final Earned; ","")&amp;IF(AND(LOWER(INDEX('Game Records'!$D:$D,$H148)&amp;"")="finalized",INDEX('Game Records'!$U:$U,$H148)&lt;&gt;"Subscription",INDEX('Game Records'!$U:$U,$H148)&lt;&gt;"Free Game",INDEX('Game Records'!$U:$U,$H148)&lt;&gt;"Disqualified — Free Game",OR(INDEX('Game Records'!$L:$L,$H148)="",LOWER(INDEX('Game Records'!$L:$L,$H148)&amp;"")="n/a")),"Disqualified Status; ",""))</x:f>
        <x:v/>
      </x:c>
      <x:c r="G148" s="331" t="str">
        <x:f>IF($H148="","",IFERROR(INDEX('Game Records'!$M:$M,$H148),""))</x:f>
        <x:v/>
      </x:c>
      <x:c r="H148" s="104" t="str">
        <x:f>IF($H147="","",IFERROR(MATCH(1,INDEX((ROW('Game Records'!$U$5:$U$504)&gt;$H147)*(('Game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8" s="104"/>
      <x:c r="J148" s="104"/>
    </x:row>
    <x:row r="149" ht="24" hidden="0" customHeight="1">
      <x:c r="A149" s="332" t="str">
        <x:f>IF($H149="","",ROWS($A$5:A149))</x:f>
        <x:v/>
      </x:c>
      <x:c r="B149" s="332" t="str">
        <x:f>IF($H149="","","G-"&amp;TEXT($A149,"0000"))</x:f>
        <x:v/>
      </x:c>
      <x:c r="C149" s="331" t="str">
        <x:f>IF($H149="","",IFERROR(INDEX('Game Records'!$A:$A,$H149),""))</x:f>
        <x:v/>
      </x:c>
      <x:c r="D149" s="331" t="str">
        <x:f>IF($H149="","",IFERROR(INDEX('Game Records'!$U:$U,$H149),""))</x:f>
        <x:v/>
      </x:c>
      <x:c r="E149" s="331" t="str">
        <x:f>IF($H149="","",IF($F149="","No Highlighted Fields","Highlighted Fields Present"))</x:f>
        <x:v/>
      </x:c>
      <x:c r="F149" s="331" t="str">
        <x:f>IF($H149="","",IF(INDEX('Game Records'!$B:$B,$H149)="","Start Date; ","")&amp;IF(INDEX('Game Records'!$C:$C,$H149)="","End Date; ","")&amp;IF(AND(INDEX('Game Records'!$U:$U,$H149)&lt;&gt;"Subscription",INDEX('Game Records'!$U:$U,$H149)&lt;&gt;"Free Game",INDEX('Game Records'!$U:$U,$H149)&lt;&gt;"Disqualified — Free Game",OR(INDEX('Game Records'!$D:$D,$H149)="",LOWER(INDEX('Game Records'!$D:$D,$H149)&amp;"")="n/a")),"Entry Mode; ","")&amp;IF(AND(INDEX('Game Records'!$U:$U,$H149)&lt;&gt;"Subscription",INDEX('Game Records'!$U:$U,$H149)&lt;&gt;"Free Game",INDEX('Game Records'!$U:$U,$H149)&lt;&gt;"Disqualified — Free Game",OR(INDEX('Game Records'!$E:$E,$H149)="",LOWER(INDEX('Game Records'!$E:$E,$H149)&amp;"")="n/a")),"Game Type; ","")&amp;IF(INDEX('Game Records'!$F:$F,$H149)="","Payment Type; ","")&amp;IF(AND(INDEX('Game Records'!$U:$U,$H149)&lt;&gt;"Subscription",INDEX('Game Records'!$U:$U,$H149)&lt;&gt;"Free Game",INDEX('Game Records'!$U:$U,$H149)&lt;&gt;"Disqualified — Free Game",INDEX('Game Records'!$G:$G,$H149)=""),"Gross Pot; ","")&amp;IF(AND(INDEX('Game Records'!$U:$U,$H149)&lt;&gt;"Free Game",INDEX('Game Records'!$U:$U,$H149)&lt;&gt;"Disqualified — Free Game",INDEX('Game Records'!$H:$H,$H149)=""),"Entry Fee; ","")&amp;IF(AND(INDEX('Game Records'!$U:$U,$H149)&lt;&gt;"Subscription",INDEX('Game Records'!$U:$U,$H149)&lt;&gt;"Free Game",INDEX('Game Records'!$U:$U,$H149)&lt;&gt;"Disqualified — Free Game",INDEX('Game Records'!$I:$I,$H149)=""),"Eligible Players; ","")&amp;IF(AND(INDEX('Game Records'!$U:$U,$H149)&lt;&gt;"Subscription",INDEX('Game Records'!$U:$U,$H149)&lt;&gt;"Free Game",INDEX('Game Records'!$U:$U,$H149)&lt;&gt;"Disqualified — Free Game",INDEX('Game Records'!$J:$J,$H149)=""),"Total Players; ","")&amp;IF(AND(LOWER(INDEX('Game Records'!$D:$D,$H149)&amp;"")="finalized",LOWER(INDEX('Game Records'!$L:$L,$H149)&amp;"")&lt;&gt;"yes",INDEX('Game Records'!$U:$U,$H149)&lt;&gt;"Subscription",INDEX('Game Records'!$U:$U,$H149)&lt;&gt;"Free Game",INDEX('Game Records'!$U:$U,$H149)&lt;&gt;"Disqualified — Free Game",INDEX('Game Records'!$K:$K,$H149)=""),"Final Earned; ","")&amp;IF(AND(LOWER(INDEX('Game Records'!$D:$D,$H149)&amp;"")="finalized",INDEX('Game Records'!$U:$U,$H149)&lt;&gt;"Subscription",INDEX('Game Records'!$U:$U,$H149)&lt;&gt;"Free Game",INDEX('Game Records'!$U:$U,$H149)&lt;&gt;"Disqualified — Free Game",OR(INDEX('Game Records'!$L:$L,$H149)="",LOWER(INDEX('Game Records'!$L:$L,$H149)&amp;"")="n/a")),"Disqualified Status; ",""))</x:f>
        <x:v/>
      </x:c>
      <x:c r="G149" s="331" t="str">
        <x:f>IF($H149="","",IFERROR(INDEX('Game Records'!$M:$M,$H149),""))</x:f>
        <x:v/>
      </x:c>
      <x:c r="H149" s="104" t="str">
        <x:f>IF($H148="","",IFERROR(MATCH(1,INDEX((ROW('Game Records'!$U$5:$U$504)&gt;$H148)*(('Game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49" s="104"/>
      <x:c r="J149" s="104"/>
    </x:row>
    <x:row r="150" ht="24" hidden="0" customHeight="1">
      <x:c r="A150" s="332" t="str">
        <x:f>IF($H150="","",ROWS($A$5:A150))</x:f>
        <x:v/>
      </x:c>
      <x:c r="B150" s="332" t="str">
        <x:f>IF($H150="","","G-"&amp;TEXT($A150,"0000"))</x:f>
        <x:v/>
      </x:c>
      <x:c r="C150" s="331" t="str">
        <x:f>IF($H150="","",IFERROR(INDEX('Game Records'!$A:$A,$H150),""))</x:f>
        <x:v/>
      </x:c>
      <x:c r="D150" s="331" t="str">
        <x:f>IF($H150="","",IFERROR(INDEX('Game Records'!$U:$U,$H150),""))</x:f>
        <x:v/>
      </x:c>
      <x:c r="E150" s="331" t="str">
        <x:f>IF($H150="","",IF($F150="","No Highlighted Fields","Highlighted Fields Present"))</x:f>
        <x:v/>
      </x:c>
      <x:c r="F150" s="331" t="str">
        <x:f>IF($H150="","",IF(INDEX('Game Records'!$B:$B,$H150)="","Start Date; ","")&amp;IF(INDEX('Game Records'!$C:$C,$H150)="","End Date; ","")&amp;IF(AND(INDEX('Game Records'!$U:$U,$H150)&lt;&gt;"Subscription",INDEX('Game Records'!$U:$U,$H150)&lt;&gt;"Free Game",INDEX('Game Records'!$U:$U,$H150)&lt;&gt;"Disqualified — Free Game",OR(INDEX('Game Records'!$D:$D,$H150)="",LOWER(INDEX('Game Records'!$D:$D,$H150)&amp;"")="n/a")),"Entry Mode; ","")&amp;IF(AND(INDEX('Game Records'!$U:$U,$H150)&lt;&gt;"Subscription",INDEX('Game Records'!$U:$U,$H150)&lt;&gt;"Free Game",INDEX('Game Records'!$U:$U,$H150)&lt;&gt;"Disqualified — Free Game",OR(INDEX('Game Records'!$E:$E,$H150)="",LOWER(INDEX('Game Records'!$E:$E,$H150)&amp;"")="n/a")),"Game Type; ","")&amp;IF(INDEX('Game Records'!$F:$F,$H150)="","Payment Type; ","")&amp;IF(AND(INDEX('Game Records'!$U:$U,$H150)&lt;&gt;"Subscription",INDEX('Game Records'!$U:$U,$H150)&lt;&gt;"Free Game",INDEX('Game Records'!$U:$U,$H150)&lt;&gt;"Disqualified — Free Game",INDEX('Game Records'!$G:$G,$H150)=""),"Gross Pot; ","")&amp;IF(AND(INDEX('Game Records'!$U:$U,$H150)&lt;&gt;"Free Game",INDEX('Game Records'!$U:$U,$H150)&lt;&gt;"Disqualified — Free Game",INDEX('Game Records'!$H:$H,$H150)=""),"Entry Fee; ","")&amp;IF(AND(INDEX('Game Records'!$U:$U,$H150)&lt;&gt;"Subscription",INDEX('Game Records'!$U:$U,$H150)&lt;&gt;"Free Game",INDEX('Game Records'!$U:$U,$H150)&lt;&gt;"Disqualified — Free Game",INDEX('Game Records'!$I:$I,$H150)=""),"Eligible Players; ","")&amp;IF(AND(INDEX('Game Records'!$U:$U,$H150)&lt;&gt;"Subscription",INDEX('Game Records'!$U:$U,$H150)&lt;&gt;"Free Game",INDEX('Game Records'!$U:$U,$H150)&lt;&gt;"Disqualified — Free Game",INDEX('Game Records'!$J:$J,$H150)=""),"Total Players; ","")&amp;IF(AND(LOWER(INDEX('Game Records'!$D:$D,$H150)&amp;"")="finalized",LOWER(INDEX('Game Records'!$L:$L,$H150)&amp;"")&lt;&gt;"yes",INDEX('Game Records'!$U:$U,$H150)&lt;&gt;"Subscription",INDEX('Game Records'!$U:$U,$H150)&lt;&gt;"Free Game",INDEX('Game Records'!$U:$U,$H150)&lt;&gt;"Disqualified — Free Game",INDEX('Game Records'!$K:$K,$H150)=""),"Final Earned; ","")&amp;IF(AND(LOWER(INDEX('Game Records'!$D:$D,$H150)&amp;"")="finalized",INDEX('Game Records'!$U:$U,$H150)&lt;&gt;"Subscription",INDEX('Game Records'!$U:$U,$H150)&lt;&gt;"Free Game",INDEX('Game Records'!$U:$U,$H150)&lt;&gt;"Disqualified — Free Game",OR(INDEX('Game Records'!$L:$L,$H150)="",LOWER(INDEX('Game Records'!$L:$L,$H150)&amp;"")="n/a")),"Disqualified Status; ",""))</x:f>
        <x:v/>
      </x:c>
      <x:c r="G150" s="331" t="str">
        <x:f>IF($H150="","",IFERROR(INDEX('Game Records'!$M:$M,$H150),""))</x:f>
        <x:v/>
      </x:c>
      <x:c r="H150" s="104" t="str">
        <x:f>IF($H149="","",IFERROR(MATCH(1,INDEX((ROW('Game Records'!$U$5:$U$504)&gt;$H149)*(('Game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0" s="104"/>
      <x:c r="J150" s="104"/>
    </x:row>
    <x:row r="151" ht="24" hidden="0" customHeight="1">
      <x:c r="A151" s="332" t="str">
        <x:f>IF($H151="","",ROWS($A$5:A151))</x:f>
        <x:v/>
      </x:c>
      <x:c r="B151" s="332" t="str">
        <x:f>IF($H151="","","G-"&amp;TEXT($A151,"0000"))</x:f>
        <x:v/>
      </x:c>
      <x:c r="C151" s="331" t="str">
        <x:f>IF($H151="","",IFERROR(INDEX('Game Records'!$A:$A,$H151),""))</x:f>
        <x:v/>
      </x:c>
      <x:c r="D151" s="331" t="str">
        <x:f>IF($H151="","",IFERROR(INDEX('Game Records'!$U:$U,$H151),""))</x:f>
        <x:v/>
      </x:c>
      <x:c r="E151" s="331" t="str">
        <x:f>IF($H151="","",IF($F151="","No Highlighted Fields","Highlighted Fields Present"))</x:f>
        <x:v/>
      </x:c>
      <x:c r="F151" s="331" t="str">
        <x:f>IF($H151="","",IF(INDEX('Game Records'!$B:$B,$H151)="","Start Date; ","")&amp;IF(INDEX('Game Records'!$C:$C,$H151)="","End Date; ","")&amp;IF(AND(INDEX('Game Records'!$U:$U,$H151)&lt;&gt;"Subscription",INDEX('Game Records'!$U:$U,$H151)&lt;&gt;"Free Game",INDEX('Game Records'!$U:$U,$H151)&lt;&gt;"Disqualified — Free Game",OR(INDEX('Game Records'!$D:$D,$H151)="",LOWER(INDEX('Game Records'!$D:$D,$H151)&amp;"")="n/a")),"Entry Mode; ","")&amp;IF(AND(INDEX('Game Records'!$U:$U,$H151)&lt;&gt;"Subscription",INDEX('Game Records'!$U:$U,$H151)&lt;&gt;"Free Game",INDEX('Game Records'!$U:$U,$H151)&lt;&gt;"Disqualified — Free Game",OR(INDEX('Game Records'!$E:$E,$H151)="",LOWER(INDEX('Game Records'!$E:$E,$H151)&amp;"")="n/a")),"Game Type; ","")&amp;IF(INDEX('Game Records'!$F:$F,$H151)="","Payment Type; ","")&amp;IF(AND(INDEX('Game Records'!$U:$U,$H151)&lt;&gt;"Subscription",INDEX('Game Records'!$U:$U,$H151)&lt;&gt;"Free Game",INDEX('Game Records'!$U:$U,$H151)&lt;&gt;"Disqualified — Free Game",INDEX('Game Records'!$G:$G,$H151)=""),"Gross Pot; ","")&amp;IF(AND(INDEX('Game Records'!$U:$U,$H151)&lt;&gt;"Free Game",INDEX('Game Records'!$U:$U,$H151)&lt;&gt;"Disqualified — Free Game",INDEX('Game Records'!$H:$H,$H151)=""),"Entry Fee; ","")&amp;IF(AND(INDEX('Game Records'!$U:$U,$H151)&lt;&gt;"Subscription",INDEX('Game Records'!$U:$U,$H151)&lt;&gt;"Free Game",INDEX('Game Records'!$U:$U,$H151)&lt;&gt;"Disqualified — Free Game",INDEX('Game Records'!$I:$I,$H151)=""),"Eligible Players; ","")&amp;IF(AND(INDEX('Game Records'!$U:$U,$H151)&lt;&gt;"Subscription",INDEX('Game Records'!$U:$U,$H151)&lt;&gt;"Free Game",INDEX('Game Records'!$U:$U,$H151)&lt;&gt;"Disqualified — Free Game",INDEX('Game Records'!$J:$J,$H151)=""),"Total Players; ","")&amp;IF(AND(LOWER(INDEX('Game Records'!$D:$D,$H151)&amp;"")="finalized",LOWER(INDEX('Game Records'!$L:$L,$H151)&amp;"")&lt;&gt;"yes",INDEX('Game Records'!$U:$U,$H151)&lt;&gt;"Subscription",INDEX('Game Records'!$U:$U,$H151)&lt;&gt;"Free Game",INDEX('Game Records'!$U:$U,$H151)&lt;&gt;"Disqualified — Free Game",INDEX('Game Records'!$K:$K,$H151)=""),"Final Earned; ","")&amp;IF(AND(LOWER(INDEX('Game Records'!$D:$D,$H151)&amp;"")="finalized",INDEX('Game Records'!$U:$U,$H151)&lt;&gt;"Subscription",INDEX('Game Records'!$U:$U,$H151)&lt;&gt;"Free Game",INDEX('Game Records'!$U:$U,$H151)&lt;&gt;"Disqualified — Free Game",OR(INDEX('Game Records'!$L:$L,$H151)="",LOWER(INDEX('Game Records'!$L:$L,$H151)&amp;"")="n/a")),"Disqualified Status; ",""))</x:f>
        <x:v/>
      </x:c>
      <x:c r="G151" s="331" t="str">
        <x:f>IF($H151="","",IFERROR(INDEX('Game Records'!$M:$M,$H151),""))</x:f>
        <x:v/>
      </x:c>
      <x:c r="H151" s="104" t="str">
        <x:f>IF($H150="","",IFERROR(MATCH(1,INDEX((ROW('Game Records'!$U$5:$U$504)&gt;$H150)*(('Game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1" s="104"/>
      <x:c r="J151" s="104"/>
    </x:row>
    <x:row r="152" ht="24" hidden="0" customHeight="1">
      <x:c r="A152" s="332" t="str">
        <x:f>IF($H152="","",ROWS($A$5:A152))</x:f>
        <x:v/>
      </x:c>
      <x:c r="B152" s="332" t="str">
        <x:f>IF($H152="","","G-"&amp;TEXT($A152,"0000"))</x:f>
        <x:v/>
      </x:c>
      <x:c r="C152" s="331" t="str">
        <x:f>IF($H152="","",IFERROR(INDEX('Game Records'!$A:$A,$H152),""))</x:f>
        <x:v/>
      </x:c>
      <x:c r="D152" s="331" t="str">
        <x:f>IF($H152="","",IFERROR(INDEX('Game Records'!$U:$U,$H152),""))</x:f>
        <x:v/>
      </x:c>
      <x:c r="E152" s="331" t="str">
        <x:f>IF($H152="","",IF($F152="","No Highlighted Fields","Highlighted Fields Present"))</x:f>
        <x:v/>
      </x:c>
      <x:c r="F152" s="331" t="str">
        <x:f>IF($H152="","",IF(INDEX('Game Records'!$B:$B,$H152)="","Start Date; ","")&amp;IF(INDEX('Game Records'!$C:$C,$H152)="","End Date; ","")&amp;IF(AND(INDEX('Game Records'!$U:$U,$H152)&lt;&gt;"Subscription",INDEX('Game Records'!$U:$U,$H152)&lt;&gt;"Free Game",INDEX('Game Records'!$U:$U,$H152)&lt;&gt;"Disqualified — Free Game",OR(INDEX('Game Records'!$D:$D,$H152)="",LOWER(INDEX('Game Records'!$D:$D,$H152)&amp;"")="n/a")),"Entry Mode; ","")&amp;IF(AND(INDEX('Game Records'!$U:$U,$H152)&lt;&gt;"Subscription",INDEX('Game Records'!$U:$U,$H152)&lt;&gt;"Free Game",INDEX('Game Records'!$U:$U,$H152)&lt;&gt;"Disqualified — Free Game",OR(INDEX('Game Records'!$E:$E,$H152)="",LOWER(INDEX('Game Records'!$E:$E,$H152)&amp;"")="n/a")),"Game Type; ","")&amp;IF(INDEX('Game Records'!$F:$F,$H152)="","Payment Type; ","")&amp;IF(AND(INDEX('Game Records'!$U:$U,$H152)&lt;&gt;"Subscription",INDEX('Game Records'!$U:$U,$H152)&lt;&gt;"Free Game",INDEX('Game Records'!$U:$U,$H152)&lt;&gt;"Disqualified — Free Game",INDEX('Game Records'!$G:$G,$H152)=""),"Gross Pot; ","")&amp;IF(AND(INDEX('Game Records'!$U:$U,$H152)&lt;&gt;"Free Game",INDEX('Game Records'!$U:$U,$H152)&lt;&gt;"Disqualified — Free Game",INDEX('Game Records'!$H:$H,$H152)=""),"Entry Fee; ","")&amp;IF(AND(INDEX('Game Records'!$U:$U,$H152)&lt;&gt;"Subscription",INDEX('Game Records'!$U:$U,$H152)&lt;&gt;"Free Game",INDEX('Game Records'!$U:$U,$H152)&lt;&gt;"Disqualified — Free Game",INDEX('Game Records'!$I:$I,$H152)=""),"Eligible Players; ","")&amp;IF(AND(INDEX('Game Records'!$U:$U,$H152)&lt;&gt;"Subscription",INDEX('Game Records'!$U:$U,$H152)&lt;&gt;"Free Game",INDEX('Game Records'!$U:$U,$H152)&lt;&gt;"Disqualified — Free Game",INDEX('Game Records'!$J:$J,$H152)=""),"Total Players; ","")&amp;IF(AND(LOWER(INDEX('Game Records'!$D:$D,$H152)&amp;"")="finalized",LOWER(INDEX('Game Records'!$L:$L,$H152)&amp;"")&lt;&gt;"yes",INDEX('Game Records'!$U:$U,$H152)&lt;&gt;"Subscription",INDEX('Game Records'!$U:$U,$H152)&lt;&gt;"Free Game",INDEX('Game Records'!$U:$U,$H152)&lt;&gt;"Disqualified — Free Game",INDEX('Game Records'!$K:$K,$H152)=""),"Final Earned; ","")&amp;IF(AND(LOWER(INDEX('Game Records'!$D:$D,$H152)&amp;"")="finalized",INDEX('Game Records'!$U:$U,$H152)&lt;&gt;"Subscription",INDEX('Game Records'!$U:$U,$H152)&lt;&gt;"Free Game",INDEX('Game Records'!$U:$U,$H152)&lt;&gt;"Disqualified — Free Game",OR(INDEX('Game Records'!$L:$L,$H152)="",LOWER(INDEX('Game Records'!$L:$L,$H152)&amp;"")="n/a")),"Disqualified Status; ",""))</x:f>
        <x:v/>
      </x:c>
      <x:c r="G152" s="331" t="str">
        <x:f>IF($H152="","",IFERROR(INDEX('Game Records'!$M:$M,$H152),""))</x:f>
        <x:v/>
      </x:c>
      <x:c r="H152" s="104" t="str">
        <x:f>IF($H151="","",IFERROR(MATCH(1,INDEX((ROW('Game Records'!$U$5:$U$504)&gt;$H151)*(('Game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2" s="104"/>
      <x:c r="J152" s="104"/>
    </x:row>
    <x:row r="153" ht="24" hidden="0" customHeight="1">
      <x:c r="A153" s="332" t="str">
        <x:f>IF($H153="","",ROWS($A$5:A153))</x:f>
        <x:v/>
      </x:c>
      <x:c r="B153" s="332" t="str">
        <x:f>IF($H153="","","G-"&amp;TEXT($A153,"0000"))</x:f>
        <x:v/>
      </x:c>
      <x:c r="C153" s="331" t="str">
        <x:f>IF($H153="","",IFERROR(INDEX('Game Records'!$A:$A,$H153),""))</x:f>
        <x:v/>
      </x:c>
      <x:c r="D153" s="331" t="str">
        <x:f>IF($H153="","",IFERROR(INDEX('Game Records'!$U:$U,$H153),""))</x:f>
        <x:v/>
      </x:c>
      <x:c r="E153" s="331" t="str">
        <x:f>IF($H153="","",IF($F153="","No Highlighted Fields","Highlighted Fields Present"))</x:f>
        <x:v/>
      </x:c>
      <x:c r="F153" s="331" t="str">
        <x:f>IF($H153="","",IF(INDEX('Game Records'!$B:$B,$H153)="","Start Date; ","")&amp;IF(INDEX('Game Records'!$C:$C,$H153)="","End Date; ","")&amp;IF(AND(INDEX('Game Records'!$U:$U,$H153)&lt;&gt;"Subscription",INDEX('Game Records'!$U:$U,$H153)&lt;&gt;"Free Game",INDEX('Game Records'!$U:$U,$H153)&lt;&gt;"Disqualified — Free Game",OR(INDEX('Game Records'!$D:$D,$H153)="",LOWER(INDEX('Game Records'!$D:$D,$H153)&amp;"")="n/a")),"Entry Mode; ","")&amp;IF(AND(INDEX('Game Records'!$U:$U,$H153)&lt;&gt;"Subscription",INDEX('Game Records'!$U:$U,$H153)&lt;&gt;"Free Game",INDEX('Game Records'!$U:$U,$H153)&lt;&gt;"Disqualified — Free Game",OR(INDEX('Game Records'!$E:$E,$H153)="",LOWER(INDEX('Game Records'!$E:$E,$H153)&amp;"")="n/a")),"Game Type; ","")&amp;IF(INDEX('Game Records'!$F:$F,$H153)="","Payment Type; ","")&amp;IF(AND(INDEX('Game Records'!$U:$U,$H153)&lt;&gt;"Subscription",INDEX('Game Records'!$U:$U,$H153)&lt;&gt;"Free Game",INDEX('Game Records'!$U:$U,$H153)&lt;&gt;"Disqualified — Free Game",INDEX('Game Records'!$G:$G,$H153)=""),"Gross Pot; ","")&amp;IF(AND(INDEX('Game Records'!$U:$U,$H153)&lt;&gt;"Free Game",INDEX('Game Records'!$U:$U,$H153)&lt;&gt;"Disqualified — Free Game",INDEX('Game Records'!$H:$H,$H153)=""),"Entry Fee; ","")&amp;IF(AND(INDEX('Game Records'!$U:$U,$H153)&lt;&gt;"Subscription",INDEX('Game Records'!$U:$U,$H153)&lt;&gt;"Free Game",INDEX('Game Records'!$U:$U,$H153)&lt;&gt;"Disqualified — Free Game",INDEX('Game Records'!$I:$I,$H153)=""),"Eligible Players; ","")&amp;IF(AND(INDEX('Game Records'!$U:$U,$H153)&lt;&gt;"Subscription",INDEX('Game Records'!$U:$U,$H153)&lt;&gt;"Free Game",INDEX('Game Records'!$U:$U,$H153)&lt;&gt;"Disqualified — Free Game",INDEX('Game Records'!$J:$J,$H153)=""),"Total Players; ","")&amp;IF(AND(LOWER(INDEX('Game Records'!$D:$D,$H153)&amp;"")="finalized",LOWER(INDEX('Game Records'!$L:$L,$H153)&amp;"")&lt;&gt;"yes",INDEX('Game Records'!$U:$U,$H153)&lt;&gt;"Subscription",INDEX('Game Records'!$U:$U,$H153)&lt;&gt;"Free Game",INDEX('Game Records'!$U:$U,$H153)&lt;&gt;"Disqualified — Free Game",INDEX('Game Records'!$K:$K,$H153)=""),"Final Earned; ","")&amp;IF(AND(LOWER(INDEX('Game Records'!$D:$D,$H153)&amp;"")="finalized",INDEX('Game Records'!$U:$U,$H153)&lt;&gt;"Subscription",INDEX('Game Records'!$U:$U,$H153)&lt;&gt;"Free Game",INDEX('Game Records'!$U:$U,$H153)&lt;&gt;"Disqualified — Free Game",OR(INDEX('Game Records'!$L:$L,$H153)="",LOWER(INDEX('Game Records'!$L:$L,$H153)&amp;"")="n/a")),"Disqualified Status; ",""))</x:f>
        <x:v/>
      </x:c>
      <x:c r="G153" s="331" t="str">
        <x:f>IF($H153="","",IFERROR(INDEX('Game Records'!$M:$M,$H153),""))</x:f>
        <x:v/>
      </x:c>
      <x:c r="H153" s="104" t="str">
        <x:f>IF($H152="","",IFERROR(MATCH(1,INDEX((ROW('Game Records'!$U$5:$U$504)&gt;$H152)*(('Game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3" s="104"/>
      <x:c r="J153" s="104"/>
    </x:row>
    <x:row r="154" ht="24" hidden="0" customHeight="1">
      <x:c r="A154" s="332" t="str">
        <x:f>IF($H154="","",ROWS($A$5:A154))</x:f>
        <x:v/>
      </x:c>
      <x:c r="B154" s="332" t="str">
        <x:f>IF($H154="","","G-"&amp;TEXT($A154,"0000"))</x:f>
        <x:v/>
      </x:c>
      <x:c r="C154" s="331" t="str">
        <x:f>IF($H154="","",IFERROR(INDEX('Game Records'!$A:$A,$H154),""))</x:f>
        <x:v/>
      </x:c>
      <x:c r="D154" s="331" t="str">
        <x:f>IF($H154="","",IFERROR(INDEX('Game Records'!$U:$U,$H154),""))</x:f>
        <x:v/>
      </x:c>
      <x:c r="E154" s="331" t="str">
        <x:f>IF($H154="","",IF($F154="","No Highlighted Fields","Highlighted Fields Present"))</x:f>
        <x:v/>
      </x:c>
      <x:c r="F154" s="331" t="str">
        <x:f>IF($H154="","",IF(INDEX('Game Records'!$B:$B,$H154)="","Start Date; ","")&amp;IF(INDEX('Game Records'!$C:$C,$H154)="","End Date; ","")&amp;IF(AND(INDEX('Game Records'!$U:$U,$H154)&lt;&gt;"Subscription",INDEX('Game Records'!$U:$U,$H154)&lt;&gt;"Free Game",INDEX('Game Records'!$U:$U,$H154)&lt;&gt;"Disqualified — Free Game",OR(INDEX('Game Records'!$D:$D,$H154)="",LOWER(INDEX('Game Records'!$D:$D,$H154)&amp;"")="n/a")),"Entry Mode; ","")&amp;IF(AND(INDEX('Game Records'!$U:$U,$H154)&lt;&gt;"Subscription",INDEX('Game Records'!$U:$U,$H154)&lt;&gt;"Free Game",INDEX('Game Records'!$U:$U,$H154)&lt;&gt;"Disqualified — Free Game",OR(INDEX('Game Records'!$E:$E,$H154)="",LOWER(INDEX('Game Records'!$E:$E,$H154)&amp;"")="n/a")),"Game Type; ","")&amp;IF(INDEX('Game Records'!$F:$F,$H154)="","Payment Type; ","")&amp;IF(AND(INDEX('Game Records'!$U:$U,$H154)&lt;&gt;"Subscription",INDEX('Game Records'!$U:$U,$H154)&lt;&gt;"Free Game",INDEX('Game Records'!$U:$U,$H154)&lt;&gt;"Disqualified — Free Game",INDEX('Game Records'!$G:$G,$H154)=""),"Gross Pot; ","")&amp;IF(AND(INDEX('Game Records'!$U:$U,$H154)&lt;&gt;"Free Game",INDEX('Game Records'!$U:$U,$H154)&lt;&gt;"Disqualified — Free Game",INDEX('Game Records'!$H:$H,$H154)=""),"Entry Fee; ","")&amp;IF(AND(INDEX('Game Records'!$U:$U,$H154)&lt;&gt;"Subscription",INDEX('Game Records'!$U:$U,$H154)&lt;&gt;"Free Game",INDEX('Game Records'!$U:$U,$H154)&lt;&gt;"Disqualified — Free Game",INDEX('Game Records'!$I:$I,$H154)=""),"Eligible Players; ","")&amp;IF(AND(INDEX('Game Records'!$U:$U,$H154)&lt;&gt;"Subscription",INDEX('Game Records'!$U:$U,$H154)&lt;&gt;"Free Game",INDEX('Game Records'!$U:$U,$H154)&lt;&gt;"Disqualified — Free Game",INDEX('Game Records'!$J:$J,$H154)=""),"Total Players; ","")&amp;IF(AND(LOWER(INDEX('Game Records'!$D:$D,$H154)&amp;"")="finalized",LOWER(INDEX('Game Records'!$L:$L,$H154)&amp;"")&lt;&gt;"yes",INDEX('Game Records'!$U:$U,$H154)&lt;&gt;"Subscription",INDEX('Game Records'!$U:$U,$H154)&lt;&gt;"Free Game",INDEX('Game Records'!$U:$U,$H154)&lt;&gt;"Disqualified — Free Game",INDEX('Game Records'!$K:$K,$H154)=""),"Final Earned; ","")&amp;IF(AND(LOWER(INDEX('Game Records'!$D:$D,$H154)&amp;"")="finalized",INDEX('Game Records'!$U:$U,$H154)&lt;&gt;"Subscription",INDEX('Game Records'!$U:$U,$H154)&lt;&gt;"Free Game",INDEX('Game Records'!$U:$U,$H154)&lt;&gt;"Disqualified — Free Game",OR(INDEX('Game Records'!$L:$L,$H154)="",LOWER(INDEX('Game Records'!$L:$L,$H154)&amp;"")="n/a")),"Disqualified Status; ",""))</x:f>
        <x:v/>
      </x:c>
      <x:c r="G154" s="331" t="str">
        <x:f>IF($H154="","",IFERROR(INDEX('Game Records'!$M:$M,$H154),""))</x:f>
        <x:v/>
      </x:c>
      <x:c r="H154" s="104" t="str">
        <x:f>IF($H153="","",IFERROR(MATCH(1,INDEX((ROW('Game Records'!$U$5:$U$504)&gt;$H153)*(('Game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4" s="104"/>
      <x:c r="J154" s="104"/>
    </x:row>
    <x:row r="155" ht="24" hidden="0" customHeight="1">
      <x:c r="A155" s="332" t="str">
        <x:f>IF($H155="","",ROWS($A$5:A155))</x:f>
        <x:v/>
      </x:c>
      <x:c r="B155" s="332" t="str">
        <x:f>IF($H155="","","G-"&amp;TEXT($A155,"0000"))</x:f>
        <x:v/>
      </x:c>
      <x:c r="C155" s="331" t="str">
        <x:f>IF($H155="","",IFERROR(INDEX('Game Records'!$A:$A,$H155),""))</x:f>
        <x:v/>
      </x:c>
      <x:c r="D155" s="331" t="str">
        <x:f>IF($H155="","",IFERROR(INDEX('Game Records'!$U:$U,$H155),""))</x:f>
        <x:v/>
      </x:c>
      <x:c r="E155" s="331" t="str">
        <x:f>IF($H155="","",IF($F155="","No Highlighted Fields","Highlighted Fields Present"))</x:f>
        <x:v/>
      </x:c>
      <x:c r="F155" s="331" t="str">
        <x:f>IF($H155="","",IF(INDEX('Game Records'!$B:$B,$H155)="","Start Date; ","")&amp;IF(INDEX('Game Records'!$C:$C,$H155)="","End Date; ","")&amp;IF(AND(INDEX('Game Records'!$U:$U,$H155)&lt;&gt;"Subscription",INDEX('Game Records'!$U:$U,$H155)&lt;&gt;"Free Game",INDEX('Game Records'!$U:$U,$H155)&lt;&gt;"Disqualified — Free Game",OR(INDEX('Game Records'!$D:$D,$H155)="",LOWER(INDEX('Game Records'!$D:$D,$H155)&amp;"")="n/a")),"Entry Mode; ","")&amp;IF(AND(INDEX('Game Records'!$U:$U,$H155)&lt;&gt;"Subscription",INDEX('Game Records'!$U:$U,$H155)&lt;&gt;"Free Game",INDEX('Game Records'!$U:$U,$H155)&lt;&gt;"Disqualified — Free Game",OR(INDEX('Game Records'!$E:$E,$H155)="",LOWER(INDEX('Game Records'!$E:$E,$H155)&amp;"")="n/a")),"Game Type; ","")&amp;IF(INDEX('Game Records'!$F:$F,$H155)="","Payment Type; ","")&amp;IF(AND(INDEX('Game Records'!$U:$U,$H155)&lt;&gt;"Subscription",INDEX('Game Records'!$U:$U,$H155)&lt;&gt;"Free Game",INDEX('Game Records'!$U:$U,$H155)&lt;&gt;"Disqualified — Free Game",INDEX('Game Records'!$G:$G,$H155)=""),"Gross Pot; ","")&amp;IF(AND(INDEX('Game Records'!$U:$U,$H155)&lt;&gt;"Free Game",INDEX('Game Records'!$U:$U,$H155)&lt;&gt;"Disqualified — Free Game",INDEX('Game Records'!$H:$H,$H155)=""),"Entry Fee; ","")&amp;IF(AND(INDEX('Game Records'!$U:$U,$H155)&lt;&gt;"Subscription",INDEX('Game Records'!$U:$U,$H155)&lt;&gt;"Free Game",INDEX('Game Records'!$U:$U,$H155)&lt;&gt;"Disqualified — Free Game",INDEX('Game Records'!$I:$I,$H155)=""),"Eligible Players; ","")&amp;IF(AND(INDEX('Game Records'!$U:$U,$H155)&lt;&gt;"Subscription",INDEX('Game Records'!$U:$U,$H155)&lt;&gt;"Free Game",INDEX('Game Records'!$U:$U,$H155)&lt;&gt;"Disqualified — Free Game",INDEX('Game Records'!$J:$J,$H155)=""),"Total Players; ","")&amp;IF(AND(LOWER(INDEX('Game Records'!$D:$D,$H155)&amp;"")="finalized",LOWER(INDEX('Game Records'!$L:$L,$H155)&amp;"")&lt;&gt;"yes",INDEX('Game Records'!$U:$U,$H155)&lt;&gt;"Subscription",INDEX('Game Records'!$U:$U,$H155)&lt;&gt;"Free Game",INDEX('Game Records'!$U:$U,$H155)&lt;&gt;"Disqualified — Free Game",INDEX('Game Records'!$K:$K,$H155)=""),"Final Earned; ","")&amp;IF(AND(LOWER(INDEX('Game Records'!$D:$D,$H155)&amp;"")="finalized",INDEX('Game Records'!$U:$U,$H155)&lt;&gt;"Subscription",INDEX('Game Records'!$U:$U,$H155)&lt;&gt;"Free Game",INDEX('Game Records'!$U:$U,$H155)&lt;&gt;"Disqualified — Free Game",OR(INDEX('Game Records'!$L:$L,$H155)="",LOWER(INDEX('Game Records'!$L:$L,$H155)&amp;"")="n/a")),"Disqualified Status; ",""))</x:f>
        <x:v/>
      </x:c>
      <x:c r="G155" s="331" t="str">
        <x:f>IF($H155="","",IFERROR(INDEX('Game Records'!$M:$M,$H155),""))</x:f>
        <x:v/>
      </x:c>
      <x:c r="H155" s="104" t="str">
        <x:f>IF($H154="","",IFERROR(MATCH(1,INDEX((ROW('Game Records'!$U$5:$U$504)&gt;$H154)*(('Game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5" s="104"/>
      <x:c r="J155" s="104"/>
    </x:row>
    <x:row r="156" ht="24" hidden="0" customHeight="1">
      <x:c r="A156" s="332" t="str">
        <x:f>IF($H156="","",ROWS($A$5:A156))</x:f>
        <x:v/>
      </x:c>
      <x:c r="B156" s="332" t="str">
        <x:f>IF($H156="","","G-"&amp;TEXT($A156,"0000"))</x:f>
        <x:v/>
      </x:c>
      <x:c r="C156" s="331" t="str">
        <x:f>IF($H156="","",IFERROR(INDEX('Game Records'!$A:$A,$H156),""))</x:f>
        <x:v/>
      </x:c>
      <x:c r="D156" s="331" t="str">
        <x:f>IF($H156="","",IFERROR(INDEX('Game Records'!$U:$U,$H156),""))</x:f>
        <x:v/>
      </x:c>
      <x:c r="E156" s="331" t="str">
        <x:f>IF($H156="","",IF($F156="","No Highlighted Fields","Highlighted Fields Present"))</x:f>
        <x:v/>
      </x:c>
      <x:c r="F156" s="331" t="str">
        <x:f>IF($H156="","",IF(INDEX('Game Records'!$B:$B,$H156)="","Start Date; ","")&amp;IF(INDEX('Game Records'!$C:$C,$H156)="","End Date; ","")&amp;IF(AND(INDEX('Game Records'!$U:$U,$H156)&lt;&gt;"Subscription",INDEX('Game Records'!$U:$U,$H156)&lt;&gt;"Free Game",INDEX('Game Records'!$U:$U,$H156)&lt;&gt;"Disqualified — Free Game",OR(INDEX('Game Records'!$D:$D,$H156)="",LOWER(INDEX('Game Records'!$D:$D,$H156)&amp;"")="n/a")),"Entry Mode; ","")&amp;IF(AND(INDEX('Game Records'!$U:$U,$H156)&lt;&gt;"Subscription",INDEX('Game Records'!$U:$U,$H156)&lt;&gt;"Free Game",INDEX('Game Records'!$U:$U,$H156)&lt;&gt;"Disqualified — Free Game",OR(INDEX('Game Records'!$E:$E,$H156)="",LOWER(INDEX('Game Records'!$E:$E,$H156)&amp;"")="n/a")),"Game Type; ","")&amp;IF(INDEX('Game Records'!$F:$F,$H156)="","Payment Type; ","")&amp;IF(AND(INDEX('Game Records'!$U:$U,$H156)&lt;&gt;"Subscription",INDEX('Game Records'!$U:$U,$H156)&lt;&gt;"Free Game",INDEX('Game Records'!$U:$U,$H156)&lt;&gt;"Disqualified — Free Game",INDEX('Game Records'!$G:$G,$H156)=""),"Gross Pot; ","")&amp;IF(AND(INDEX('Game Records'!$U:$U,$H156)&lt;&gt;"Free Game",INDEX('Game Records'!$U:$U,$H156)&lt;&gt;"Disqualified — Free Game",INDEX('Game Records'!$H:$H,$H156)=""),"Entry Fee; ","")&amp;IF(AND(INDEX('Game Records'!$U:$U,$H156)&lt;&gt;"Subscription",INDEX('Game Records'!$U:$U,$H156)&lt;&gt;"Free Game",INDEX('Game Records'!$U:$U,$H156)&lt;&gt;"Disqualified — Free Game",INDEX('Game Records'!$I:$I,$H156)=""),"Eligible Players; ","")&amp;IF(AND(INDEX('Game Records'!$U:$U,$H156)&lt;&gt;"Subscription",INDEX('Game Records'!$U:$U,$H156)&lt;&gt;"Free Game",INDEX('Game Records'!$U:$U,$H156)&lt;&gt;"Disqualified — Free Game",INDEX('Game Records'!$J:$J,$H156)=""),"Total Players; ","")&amp;IF(AND(LOWER(INDEX('Game Records'!$D:$D,$H156)&amp;"")="finalized",LOWER(INDEX('Game Records'!$L:$L,$H156)&amp;"")&lt;&gt;"yes",INDEX('Game Records'!$U:$U,$H156)&lt;&gt;"Subscription",INDEX('Game Records'!$U:$U,$H156)&lt;&gt;"Free Game",INDEX('Game Records'!$U:$U,$H156)&lt;&gt;"Disqualified — Free Game",INDEX('Game Records'!$K:$K,$H156)=""),"Final Earned; ","")&amp;IF(AND(LOWER(INDEX('Game Records'!$D:$D,$H156)&amp;"")="finalized",INDEX('Game Records'!$U:$U,$H156)&lt;&gt;"Subscription",INDEX('Game Records'!$U:$U,$H156)&lt;&gt;"Free Game",INDEX('Game Records'!$U:$U,$H156)&lt;&gt;"Disqualified — Free Game",OR(INDEX('Game Records'!$L:$L,$H156)="",LOWER(INDEX('Game Records'!$L:$L,$H156)&amp;"")="n/a")),"Disqualified Status; ",""))</x:f>
        <x:v/>
      </x:c>
      <x:c r="G156" s="331" t="str">
        <x:f>IF($H156="","",IFERROR(INDEX('Game Records'!$M:$M,$H156),""))</x:f>
        <x:v/>
      </x:c>
      <x:c r="H156" s="104" t="str">
        <x:f>IF($H155="","",IFERROR(MATCH(1,INDEX((ROW('Game Records'!$U$5:$U$504)&gt;$H155)*(('Game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6" s="104"/>
      <x:c r="J156" s="104"/>
    </x:row>
    <x:row r="157" ht="24" hidden="0" customHeight="1">
      <x:c r="A157" s="332" t="str">
        <x:f>IF($H157="","",ROWS($A$5:A157))</x:f>
        <x:v/>
      </x:c>
      <x:c r="B157" s="332" t="str">
        <x:f>IF($H157="","","G-"&amp;TEXT($A157,"0000"))</x:f>
        <x:v/>
      </x:c>
      <x:c r="C157" s="331" t="str">
        <x:f>IF($H157="","",IFERROR(INDEX('Game Records'!$A:$A,$H157),""))</x:f>
        <x:v/>
      </x:c>
      <x:c r="D157" s="331" t="str">
        <x:f>IF($H157="","",IFERROR(INDEX('Game Records'!$U:$U,$H157),""))</x:f>
        <x:v/>
      </x:c>
      <x:c r="E157" s="331" t="str">
        <x:f>IF($H157="","",IF($F157="","No Highlighted Fields","Highlighted Fields Present"))</x:f>
        <x:v/>
      </x:c>
      <x:c r="F157" s="331" t="str">
        <x:f>IF($H157="","",IF(INDEX('Game Records'!$B:$B,$H157)="","Start Date; ","")&amp;IF(INDEX('Game Records'!$C:$C,$H157)="","End Date; ","")&amp;IF(AND(INDEX('Game Records'!$U:$U,$H157)&lt;&gt;"Subscription",INDEX('Game Records'!$U:$U,$H157)&lt;&gt;"Free Game",INDEX('Game Records'!$U:$U,$H157)&lt;&gt;"Disqualified — Free Game",OR(INDEX('Game Records'!$D:$D,$H157)="",LOWER(INDEX('Game Records'!$D:$D,$H157)&amp;"")="n/a")),"Entry Mode; ","")&amp;IF(AND(INDEX('Game Records'!$U:$U,$H157)&lt;&gt;"Subscription",INDEX('Game Records'!$U:$U,$H157)&lt;&gt;"Free Game",INDEX('Game Records'!$U:$U,$H157)&lt;&gt;"Disqualified — Free Game",OR(INDEX('Game Records'!$E:$E,$H157)="",LOWER(INDEX('Game Records'!$E:$E,$H157)&amp;"")="n/a")),"Game Type; ","")&amp;IF(INDEX('Game Records'!$F:$F,$H157)="","Payment Type; ","")&amp;IF(AND(INDEX('Game Records'!$U:$U,$H157)&lt;&gt;"Subscription",INDEX('Game Records'!$U:$U,$H157)&lt;&gt;"Free Game",INDEX('Game Records'!$U:$U,$H157)&lt;&gt;"Disqualified — Free Game",INDEX('Game Records'!$G:$G,$H157)=""),"Gross Pot; ","")&amp;IF(AND(INDEX('Game Records'!$U:$U,$H157)&lt;&gt;"Free Game",INDEX('Game Records'!$U:$U,$H157)&lt;&gt;"Disqualified — Free Game",INDEX('Game Records'!$H:$H,$H157)=""),"Entry Fee; ","")&amp;IF(AND(INDEX('Game Records'!$U:$U,$H157)&lt;&gt;"Subscription",INDEX('Game Records'!$U:$U,$H157)&lt;&gt;"Free Game",INDEX('Game Records'!$U:$U,$H157)&lt;&gt;"Disqualified — Free Game",INDEX('Game Records'!$I:$I,$H157)=""),"Eligible Players; ","")&amp;IF(AND(INDEX('Game Records'!$U:$U,$H157)&lt;&gt;"Subscription",INDEX('Game Records'!$U:$U,$H157)&lt;&gt;"Free Game",INDEX('Game Records'!$U:$U,$H157)&lt;&gt;"Disqualified — Free Game",INDEX('Game Records'!$J:$J,$H157)=""),"Total Players; ","")&amp;IF(AND(LOWER(INDEX('Game Records'!$D:$D,$H157)&amp;"")="finalized",LOWER(INDEX('Game Records'!$L:$L,$H157)&amp;"")&lt;&gt;"yes",INDEX('Game Records'!$U:$U,$H157)&lt;&gt;"Subscription",INDEX('Game Records'!$U:$U,$H157)&lt;&gt;"Free Game",INDEX('Game Records'!$U:$U,$H157)&lt;&gt;"Disqualified — Free Game",INDEX('Game Records'!$K:$K,$H157)=""),"Final Earned; ","")&amp;IF(AND(LOWER(INDEX('Game Records'!$D:$D,$H157)&amp;"")="finalized",INDEX('Game Records'!$U:$U,$H157)&lt;&gt;"Subscription",INDEX('Game Records'!$U:$U,$H157)&lt;&gt;"Free Game",INDEX('Game Records'!$U:$U,$H157)&lt;&gt;"Disqualified — Free Game",OR(INDEX('Game Records'!$L:$L,$H157)="",LOWER(INDEX('Game Records'!$L:$L,$H157)&amp;"")="n/a")),"Disqualified Status; ",""))</x:f>
        <x:v/>
      </x:c>
      <x:c r="G157" s="331" t="str">
        <x:f>IF($H157="","",IFERROR(INDEX('Game Records'!$M:$M,$H157),""))</x:f>
        <x:v/>
      </x:c>
      <x:c r="H157" s="104" t="str">
        <x:f>IF($H156="","",IFERROR(MATCH(1,INDEX((ROW('Game Records'!$U$5:$U$504)&gt;$H156)*(('Game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7" s="104"/>
      <x:c r="J157" s="104"/>
    </x:row>
    <x:row r="158" ht="24" hidden="0" customHeight="1">
      <x:c r="A158" s="332" t="str">
        <x:f>IF($H158="","",ROWS($A$5:A158))</x:f>
        <x:v/>
      </x:c>
      <x:c r="B158" s="332" t="str">
        <x:f>IF($H158="","","G-"&amp;TEXT($A158,"0000"))</x:f>
        <x:v/>
      </x:c>
      <x:c r="C158" s="331" t="str">
        <x:f>IF($H158="","",IFERROR(INDEX('Game Records'!$A:$A,$H158),""))</x:f>
        <x:v/>
      </x:c>
      <x:c r="D158" s="331" t="str">
        <x:f>IF($H158="","",IFERROR(INDEX('Game Records'!$U:$U,$H158),""))</x:f>
        <x:v/>
      </x:c>
      <x:c r="E158" s="331" t="str">
        <x:f>IF($H158="","",IF($F158="","No Highlighted Fields","Highlighted Fields Present"))</x:f>
        <x:v/>
      </x:c>
      <x:c r="F158" s="331" t="str">
        <x:f>IF($H158="","",IF(INDEX('Game Records'!$B:$B,$H158)="","Start Date; ","")&amp;IF(INDEX('Game Records'!$C:$C,$H158)="","End Date; ","")&amp;IF(AND(INDEX('Game Records'!$U:$U,$H158)&lt;&gt;"Subscription",INDEX('Game Records'!$U:$U,$H158)&lt;&gt;"Free Game",INDEX('Game Records'!$U:$U,$H158)&lt;&gt;"Disqualified — Free Game",OR(INDEX('Game Records'!$D:$D,$H158)="",LOWER(INDEX('Game Records'!$D:$D,$H158)&amp;"")="n/a")),"Entry Mode; ","")&amp;IF(AND(INDEX('Game Records'!$U:$U,$H158)&lt;&gt;"Subscription",INDEX('Game Records'!$U:$U,$H158)&lt;&gt;"Free Game",INDEX('Game Records'!$U:$U,$H158)&lt;&gt;"Disqualified — Free Game",OR(INDEX('Game Records'!$E:$E,$H158)="",LOWER(INDEX('Game Records'!$E:$E,$H158)&amp;"")="n/a")),"Game Type; ","")&amp;IF(INDEX('Game Records'!$F:$F,$H158)="","Payment Type; ","")&amp;IF(AND(INDEX('Game Records'!$U:$U,$H158)&lt;&gt;"Subscription",INDEX('Game Records'!$U:$U,$H158)&lt;&gt;"Free Game",INDEX('Game Records'!$U:$U,$H158)&lt;&gt;"Disqualified — Free Game",INDEX('Game Records'!$G:$G,$H158)=""),"Gross Pot; ","")&amp;IF(AND(INDEX('Game Records'!$U:$U,$H158)&lt;&gt;"Free Game",INDEX('Game Records'!$U:$U,$H158)&lt;&gt;"Disqualified — Free Game",INDEX('Game Records'!$H:$H,$H158)=""),"Entry Fee; ","")&amp;IF(AND(INDEX('Game Records'!$U:$U,$H158)&lt;&gt;"Subscription",INDEX('Game Records'!$U:$U,$H158)&lt;&gt;"Free Game",INDEX('Game Records'!$U:$U,$H158)&lt;&gt;"Disqualified — Free Game",INDEX('Game Records'!$I:$I,$H158)=""),"Eligible Players; ","")&amp;IF(AND(INDEX('Game Records'!$U:$U,$H158)&lt;&gt;"Subscription",INDEX('Game Records'!$U:$U,$H158)&lt;&gt;"Free Game",INDEX('Game Records'!$U:$U,$H158)&lt;&gt;"Disqualified — Free Game",INDEX('Game Records'!$J:$J,$H158)=""),"Total Players; ","")&amp;IF(AND(LOWER(INDEX('Game Records'!$D:$D,$H158)&amp;"")="finalized",LOWER(INDEX('Game Records'!$L:$L,$H158)&amp;"")&lt;&gt;"yes",INDEX('Game Records'!$U:$U,$H158)&lt;&gt;"Subscription",INDEX('Game Records'!$U:$U,$H158)&lt;&gt;"Free Game",INDEX('Game Records'!$U:$U,$H158)&lt;&gt;"Disqualified — Free Game",INDEX('Game Records'!$K:$K,$H158)=""),"Final Earned; ","")&amp;IF(AND(LOWER(INDEX('Game Records'!$D:$D,$H158)&amp;"")="finalized",INDEX('Game Records'!$U:$U,$H158)&lt;&gt;"Subscription",INDEX('Game Records'!$U:$U,$H158)&lt;&gt;"Free Game",INDEX('Game Records'!$U:$U,$H158)&lt;&gt;"Disqualified — Free Game",OR(INDEX('Game Records'!$L:$L,$H158)="",LOWER(INDEX('Game Records'!$L:$L,$H158)&amp;"")="n/a")),"Disqualified Status; ",""))</x:f>
        <x:v/>
      </x:c>
      <x:c r="G158" s="331" t="str">
        <x:f>IF($H158="","",IFERROR(INDEX('Game Records'!$M:$M,$H158),""))</x:f>
        <x:v/>
      </x:c>
      <x:c r="H158" s="104" t="str">
        <x:f>IF($H157="","",IFERROR(MATCH(1,INDEX((ROW('Game Records'!$U$5:$U$504)&gt;$H157)*(('Game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8" s="104"/>
      <x:c r="J158" s="104"/>
    </x:row>
    <x:row r="159" ht="24" hidden="0" customHeight="1">
      <x:c r="A159" s="332" t="str">
        <x:f>IF($H159="","",ROWS($A$5:A159))</x:f>
        <x:v/>
      </x:c>
      <x:c r="B159" s="332" t="str">
        <x:f>IF($H159="","","G-"&amp;TEXT($A159,"0000"))</x:f>
        <x:v/>
      </x:c>
      <x:c r="C159" s="331" t="str">
        <x:f>IF($H159="","",IFERROR(INDEX('Game Records'!$A:$A,$H159),""))</x:f>
        <x:v/>
      </x:c>
      <x:c r="D159" s="331" t="str">
        <x:f>IF($H159="","",IFERROR(INDEX('Game Records'!$U:$U,$H159),""))</x:f>
        <x:v/>
      </x:c>
      <x:c r="E159" s="331" t="str">
        <x:f>IF($H159="","",IF($F159="","No Highlighted Fields","Highlighted Fields Present"))</x:f>
        <x:v/>
      </x:c>
      <x:c r="F159" s="331" t="str">
        <x:f>IF($H159="","",IF(INDEX('Game Records'!$B:$B,$H159)="","Start Date; ","")&amp;IF(INDEX('Game Records'!$C:$C,$H159)="","End Date; ","")&amp;IF(AND(INDEX('Game Records'!$U:$U,$H159)&lt;&gt;"Subscription",INDEX('Game Records'!$U:$U,$H159)&lt;&gt;"Free Game",INDEX('Game Records'!$U:$U,$H159)&lt;&gt;"Disqualified — Free Game",OR(INDEX('Game Records'!$D:$D,$H159)="",LOWER(INDEX('Game Records'!$D:$D,$H159)&amp;"")="n/a")),"Entry Mode; ","")&amp;IF(AND(INDEX('Game Records'!$U:$U,$H159)&lt;&gt;"Subscription",INDEX('Game Records'!$U:$U,$H159)&lt;&gt;"Free Game",INDEX('Game Records'!$U:$U,$H159)&lt;&gt;"Disqualified — Free Game",OR(INDEX('Game Records'!$E:$E,$H159)="",LOWER(INDEX('Game Records'!$E:$E,$H159)&amp;"")="n/a")),"Game Type; ","")&amp;IF(INDEX('Game Records'!$F:$F,$H159)="","Payment Type; ","")&amp;IF(AND(INDEX('Game Records'!$U:$U,$H159)&lt;&gt;"Subscription",INDEX('Game Records'!$U:$U,$H159)&lt;&gt;"Free Game",INDEX('Game Records'!$U:$U,$H159)&lt;&gt;"Disqualified — Free Game",INDEX('Game Records'!$G:$G,$H159)=""),"Gross Pot; ","")&amp;IF(AND(INDEX('Game Records'!$U:$U,$H159)&lt;&gt;"Free Game",INDEX('Game Records'!$U:$U,$H159)&lt;&gt;"Disqualified — Free Game",INDEX('Game Records'!$H:$H,$H159)=""),"Entry Fee; ","")&amp;IF(AND(INDEX('Game Records'!$U:$U,$H159)&lt;&gt;"Subscription",INDEX('Game Records'!$U:$U,$H159)&lt;&gt;"Free Game",INDEX('Game Records'!$U:$U,$H159)&lt;&gt;"Disqualified — Free Game",INDEX('Game Records'!$I:$I,$H159)=""),"Eligible Players; ","")&amp;IF(AND(INDEX('Game Records'!$U:$U,$H159)&lt;&gt;"Subscription",INDEX('Game Records'!$U:$U,$H159)&lt;&gt;"Free Game",INDEX('Game Records'!$U:$U,$H159)&lt;&gt;"Disqualified — Free Game",INDEX('Game Records'!$J:$J,$H159)=""),"Total Players; ","")&amp;IF(AND(LOWER(INDEX('Game Records'!$D:$D,$H159)&amp;"")="finalized",LOWER(INDEX('Game Records'!$L:$L,$H159)&amp;"")&lt;&gt;"yes",INDEX('Game Records'!$U:$U,$H159)&lt;&gt;"Subscription",INDEX('Game Records'!$U:$U,$H159)&lt;&gt;"Free Game",INDEX('Game Records'!$U:$U,$H159)&lt;&gt;"Disqualified — Free Game",INDEX('Game Records'!$K:$K,$H159)=""),"Final Earned; ","")&amp;IF(AND(LOWER(INDEX('Game Records'!$D:$D,$H159)&amp;"")="finalized",INDEX('Game Records'!$U:$U,$H159)&lt;&gt;"Subscription",INDEX('Game Records'!$U:$U,$H159)&lt;&gt;"Free Game",INDEX('Game Records'!$U:$U,$H159)&lt;&gt;"Disqualified — Free Game",OR(INDEX('Game Records'!$L:$L,$H159)="",LOWER(INDEX('Game Records'!$L:$L,$H159)&amp;"")="n/a")),"Disqualified Status; ",""))</x:f>
        <x:v/>
      </x:c>
      <x:c r="G159" s="331" t="str">
        <x:f>IF($H159="","",IFERROR(INDEX('Game Records'!$M:$M,$H159),""))</x:f>
        <x:v/>
      </x:c>
      <x:c r="H159" s="104" t="str">
        <x:f>IF($H158="","",IFERROR(MATCH(1,INDEX((ROW('Game Records'!$U$5:$U$504)&gt;$H158)*(('Game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59" s="104"/>
      <x:c r="J159" s="104"/>
    </x:row>
    <x:row r="160" ht="24" hidden="0" customHeight="1">
      <x:c r="A160" s="332" t="str">
        <x:f>IF($H160="","",ROWS($A$5:A160))</x:f>
        <x:v/>
      </x:c>
      <x:c r="B160" s="332" t="str">
        <x:f>IF($H160="","","G-"&amp;TEXT($A160,"0000"))</x:f>
        <x:v/>
      </x:c>
      <x:c r="C160" s="331" t="str">
        <x:f>IF($H160="","",IFERROR(INDEX('Game Records'!$A:$A,$H160),""))</x:f>
        <x:v/>
      </x:c>
      <x:c r="D160" s="331" t="str">
        <x:f>IF($H160="","",IFERROR(INDEX('Game Records'!$U:$U,$H160),""))</x:f>
        <x:v/>
      </x:c>
      <x:c r="E160" s="331" t="str">
        <x:f>IF($H160="","",IF($F160="","No Highlighted Fields","Highlighted Fields Present"))</x:f>
        <x:v/>
      </x:c>
      <x:c r="F160" s="331" t="str">
        <x:f>IF($H160="","",IF(INDEX('Game Records'!$B:$B,$H160)="","Start Date; ","")&amp;IF(INDEX('Game Records'!$C:$C,$H160)="","End Date; ","")&amp;IF(AND(INDEX('Game Records'!$U:$U,$H160)&lt;&gt;"Subscription",INDEX('Game Records'!$U:$U,$H160)&lt;&gt;"Free Game",INDEX('Game Records'!$U:$U,$H160)&lt;&gt;"Disqualified — Free Game",OR(INDEX('Game Records'!$D:$D,$H160)="",LOWER(INDEX('Game Records'!$D:$D,$H160)&amp;"")="n/a")),"Entry Mode; ","")&amp;IF(AND(INDEX('Game Records'!$U:$U,$H160)&lt;&gt;"Subscription",INDEX('Game Records'!$U:$U,$H160)&lt;&gt;"Free Game",INDEX('Game Records'!$U:$U,$H160)&lt;&gt;"Disqualified — Free Game",OR(INDEX('Game Records'!$E:$E,$H160)="",LOWER(INDEX('Game Records'!$E:$E,$H160)&amp;"")="n/a")),"Game Type; ","")&amp;IF(INDEX('Game Records'!$F:$F,$H160)="","Payment Type; ","")&amp;IF(AND(INDEX('Game Records'!$U:$U,$H160)&lt;&gt;"Subscription",INDEX('Game Records'!$U:$U,$H160)&lt;&gt;"Free Game",INDEX('Game Records'!$U:$U,$H160)&lt;&gt;"Disqualified — Free Game",INDEX('Game Records'!$G:$G,$H160)=""),"Gross Pot; ","")&amp;IF(AND(INDEX('Game Records'!$U:$U,$H160)&lt;&gt;"Free Game",INDEX('Game Records'!$U:$U,$H160)&lt;&gt;"Disqualified — Free Game",INDEX('Game Records'!$H:$H,$H160)=""),"Entry Fee; ","")&amp;IF(AND(INDEX('Game Records'!$U:$U,$H160)&lt;&gt;"Subscription",INDEX('Game Records'!$U:$U,$H160)&lt;&gt;"Free Game",INDEX('Game Records'!$U:$U,$H160)&lt;&gt;"Disqualified — Free Game",INDEX('Game Records'!$I:$I,$H160)=""),"Eligible Players; ","")&amp;IF(AND(INDEX('Game Records'!$U:$U,$H160)&lt;&gt;"Subscription",INDEX('Game Records'!$U:$U,$H160)&lt;&gt;"Free Game",INDEX('Game Records'!$U:$U,$H160)&lt;&gt;"Disqualified — Free Game",INDEX('Game Records'!$J:$J,$H160)=""),"Total Players; ","")&amp;IF(AND(LOWER(INDEX('Game Records'!$D:$D,$H160)&amp;"")="finalized",LOWER(INDEX('Game Records'!$L:$L,$H160)&amp;"")&lt;&gt;"yes",INDEX('Game Records'!$U:$U,$H160)&lt;&gt;"Subscription",INDEX('Game Records'!$U:$U,$H160)&lt;&gt;"Free Game",INDEX('Game Records'!$U:$U,$H160)&lt;&gt;"Disqualified — Free Game",INDEX('Game Records'!$K:$K,$H160)=""),"Final Earned; ","")&amp;IF(AND(LOWER(INDEX('Game Records'!$D:$D,$H160)&amp;"")="finalized",INDEX('Game Records'!$U:$U,$H160)&lt;&gt;"Subscription",INDEX('Game Records'!$U:$U,$H160)&lt;&gt;"Free Game",INDEX('Game Records'!$U:$U,$H160)&lt;&gt;"Disqualified — Free Game",OR(INDEX('Game Records'!$L:$L,$H160)="",LOWER(INDEX('Game Records'!$L:$L,$H160)&amp;"")="n/a")),"Disqualified Status; ",""))</x:f>
        <x:v/>
      </x:c>
      <x:c r="G160" s="331" t="str">
        <x:f>IF($H160="","",IFERROR(INDEX('Game Records'!$M:$M,$H160),""))</x:f>
        <x:v/>
      </x:c>
      <x:c r="H160" s="104" t="str">
        <x:f>IF($H159="","",IFERROR(MATCH(1,INDEX((ROW('Game Records'!$U$5:$U$504)&gt;$H159)*(('Game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0" s="104"/>
      <x:c r="J160" s="104"/>
    </x:row>
    <x:row r="161" ht="24" hidden="0" customHeight="1">
      <x:c r="A161" s="332" t="str">
        <x:f>IF($H161="","",ROWS($A$5:A161))</x:f>
        <x:v/>
      </x:c>
      <x:c r="B161" s="332" t="str">
        <x:f>IF($H161="","","G-"&amp;TEXT($A161,"0000"))</x:f>
        <x:v/>
      </x:c>
      <x:c r="C161" s="331" t="str">
        <x:f>IF($H161="","",IFERROR(INDEX('Game Records'!$A:$A,$H161),""))</x:f>
        <x:v/>
      </x:c>
      <x:c r="D161" s="331" t="str">
        <x:f>IF($H161="","",IFERROR(INDEX('Game Records'!$U:$U,$H161),""))</x:f>
        <x:v/>
      </x:c>
      <x:c r="E161" s="331" t="str">
        <x:f>IF($H161="","",IF($F161="","No Highlighted Fields","Highlighted Fields Present"))</x:f>
        <x:v/>
      </x:c>
      <x:c r="F161" s="331" t="str">
        <x:f>IF($H161="","",IF(INDEX('Game Records'!$B:$B,$H161)="","Start Date; ","")&amp;IF(INDEX('Game Records'!$C:$C,$H161)="","End Date; ","")&amp;IF(AND(INDEX('Game Records'!$U:$U,$H161)&lt;&gt;"Subscription",INDEX('Game Records'!$U:$U,$H161)&lt;&gt;"Free Game",INDEX('Game Records'!$U:$U,$H161)&lt;&gt;"Disqualified — Free Game",OR(INDEX('Game Records'!$D:$D,$H161)="",LOWER(INDEX('Game Records'!$D:$D,$H161)&amp;"")="n/a")),"Entry Mode; ","")&amp;IF(AND(INDEX('Game Records'!$U:$U,$H161)&lt;&gt;"Subscription",INDEX('Game Records'!$U:$U,$H161)&lt;&gt;"Free Game",INDEX('Game Records'!$U:$U,$H161)&lt;&gt;"Disqualified — Free Game",OR(INDEX('Game Records'!$E:$E,$H161)="",LOWER(INDEX('Game Records'!$E:$E,$H161)&amp;"")="n/a")),"Game Type; ","")&amp;IF(INDEX('Game Records'!$F:$F,$H161)="","Payment Type; ","")&amp;IF(AND(INDEX('Game Records'!$U:$U,$H161)&lt;&gt;"Subscription",INDEX('Game Records'!$U:$U,$H161)&lt;&gt;"Free Game",INDEX('Game Records'!$U:$U,$H161)&lt;&gt;"Disqualified — Free Game",INDEX('Game Records'!$G:$G,$H161)=""),"Gross Pot; ","")&amp;IF(AND(INDEX('Game Records'!$U:$U,$H161)&lt;&gt;"Free Game",INDEX('Game Records'!$U:$U,$H161)&lt;&gt;"Disqualified — Free Game",INDEX('Game Records'!$H:$H,$H161)=""),"Entry Fee; ","")&amp;IF(AND(INDEX('Game Records'!$U:$U,$H161)&lt;&gt;"Subscription",INDEX('Game Records'!$U:$U,$H161)&lt;&gt;"Free Game",INDEX('Game Records'!$U:$U,$H161)&lt;&gt;"Disqualified — Free Game",INDEX('Game Records'!$I:$I,$H161)=""),"Eligible Players; ","")&amp;IF(AND(INDEX('Game Records'!$U:$U,$H161)&lt;&gt;"Subscription",INDEX('Game Records'!$U:$U,$H161)&lt;&gt;"Free Game",INDEX('Game Records'!$U:$U,$H161)&lt;&gt;"Disqualified — Free Game",INDEX('Game Records'!$J:$J,$H161)=""),"Total Players; ","")&amp;IF(AND(LOWER(INDEX('Game Records'!$D:$D,$H161)&amp;"")="finalized",LOWER(INDEX('Game Records'!$L:$L,$H161)&amp;"")&lt;&gt;"yes",INDEX('Game Records'!$U:$U,$H161)&lt;&gt;"Subscription",INDEX('Game Records'!$U:$U,$H161)&lt;&gt;"Free Game",INDEX('Game Records'!$U:$U,$H161)&lt;&gt;"Disqualified — Free Game",INDEX('Game Records'!$K:$K,$H161)=""),"Final Earned; ","")&amp;IF(AND(LOWER(INDEX('Game Records'!$D:$D,$H161)&amp;"")="finalized",INDEX('Game Records'!$U:$U,$H161)&lt;&gt;"Subscription",INDEX('Game Records'!$U:$U,$H161)&lt;&gt;"Free Game",INDEX('Game Records'!$U:$U,$H161)&lt;&gt;"Disqualified — Free Game",OR(INDEX('Game Records'!$L:$L,$H161)="",LOWER(INDEX('Game Records'!$L:$L,$H161)&amp;"")="n/a")),"Disqualified Status; ",""))</x:f>
        <x:v/>
      </x:c>
      <x:c r="G161" s="331" t="str">
        <x:f>IF($H161="","",IFERROR(INDEX('Game Records'!$M:$M,$H161),""))</x:f>
        <x:v/>
      </x:c>
      <x:c r="H161" s="104" t="str">
        <x:f>IF($H160="","",IFERROR(MATCH(1,INDEX((ROW('Game Records'!$U$5:$U$504)&gt;$H160)*(('Game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1" s="104"/>
      <x:c r="J161" s="104"/>
    </x:row>
    <x:row r="162" ht="24" hidden="0" customHeight="1">
      <x:c r="A162" s="332" t="str">
        <x:f>IF($H162="","",ROWS($A$5:A162))</x:f>
        <x:v/>
      </x:c>
      <x:c r="B162" s="332" t="str">
        <x:f>IF($H162="","","G-"&amp;TEXT($A162,"0000"))</x:f>
        <x:v/>
      </x:c>
      <x:c r="C162" s="331" t="str">
        <x:f>IF($H162="","",IFERROR(INDEX('Game Records'!$A:$A,$H162),""))</x:f>
        <x:v/>
      </x:c>
      <x:c r="D162" s="331" t="str">
        <x:f>IF($H162="","",IFERROR(INDEX('Game Records'!$U:$U,$H162),""))</x:f>
        <x:v/>
      </x:c>
      <x:c r="E162" s="331" t="str">
        <x:f>IF($H162="","",IF($F162="","No Highlighted Fields","Highlighted Fields Present"))</x:f>
        <x:v/>
      </x:c>
      <x:c r="F162" s="331" t="str">
        <x:f>IF($H162="","",IF(INDEX('Game Records'!$B:$B,$H162)="","Start Date; ","")&amp;IF(INDEX('Game Records'!$C:$C,$H162)="","End Date; ","")&amp;IF(AND(INDEX('Game Records'!$U:$U,$H162)&lt;&gt;"Subscription",INDEX('Game Records'!$U:$U,$H162)&lt;&gt;"Free Game",INDEX('Game Records'!$U:$U,$H162)&lt;&gt;"Disqualified — Free Game",OR(INDEX('Game Records'!$D:$D,$H162)="",LOWER(INDEX('Game Records'!$D:$D,$H162)&amp;"")="n/a")),"Entry Mode; ","")&amp;IF(AND(INDEX('Game Records'!$U:$U,$H162)&lt;&gt;"Subscription",INDEX('Game Records'!$U:$U,$H162)&lt;&gt;"Free Game",INDEX('Game Records'!$U:$U,$H162)&lt;&gt;"Disqualified — Free Game",OR(INDEX('Game Records'!$E:$E,$H162)="",LOWER(INDEX('Game Records'!$E:$E,$H162)&amp;"")="n/a")),"Game Type; ","")&amp;IF(INDEX('Game Records'!$F:$F,$H162)="","Payment Type; ","")&amp;IF(AND(INDEX('Game Records'!$U:$U,$H162)&lt;&gt;"Subscription",INDEX('Game Records'!$U:$U,$H162)&lt;&gt;"Free Game",INDEX('Game Records'!$U:$U,$H162)&lt;&gt;"Disqualified — Free Game",INDEX('Game Records'!$G:$G,$H162)=""),"Gross Pot; ","")&amp;IF(AND(INDEX('Game Records'!$U:$U,$H162)&lt;&gt;"Free Game",INDEX('Game Records'!$U:$U,$H162)&lt;&gt;"Disqualified — Free Game",INDEX('Game Records'!$H:$H,$H162)=""),"Entry Fee; ","")&amp;IF(AND(INDEX('Game Records'!$U:$U,$H162)&lt;&gt;"Subscription",INDEX('Game Records'!$U:$U,$H162)&lt;&gt;"Free Game",INDEX('Game Records'!$U:$U,$H162)&lt;&gt;"Disqualified — Free Game",INDEX('Game Records'!$I:$I,$H162)=""),"Eligible Players; ","")&amp;IF(AND(INDEX('Game Records'!$U:$U,$H162)&lt;&gt;"Subscription",INDEX('Game Records'!$U:$U,$H162)&lt;&gt;"Free Game",INDEX('Game Records'!$U:$U,$H162)&lt;&gt;"Disqualified — Free Game",INDEX('Game Records'!$J:$J,$H162)=""),"Total Players; ","")&amp;IF(AND(LOWER(INDEX('Game Records'!$D:$D,$H162)&amp;"")="finalized",LOWER(INDEX('Game Records'!$L:$L,$H162)&amp;"")&lt;&gt;"yes",INDEX('Game Records'!$U:$U,$H162)&lt;&gt;"Subscription",INDEX('Game Records'!$U:$U,$H162)&lt;&gt;"Free Game",INDEX('Game Records'!$U:$U,$H162)&lt;&gt;"Disqualified — Free Game",INDEX('Game Records'!$K:$K,$H162)=""),"Final Earned; ","")&amp;IF(AND(LOWER(INDEX('Game Records'!$D:$D,$H162)&amp;"")="finalized",INDEX('Game Records'!$U:$U,$H162)&lt;&gt;"Subscription",INDEX('Game Records'!$U:$U,$H162)&lt;&gt;"Free Game",INDEX('Game Records'!$U:$U,$H162)&lt;&gt;"Disqualified — Free Game",OR(INDEX('Game Records'!$L:$L,$H162)="",LOWER(INDEX('Game Records'!$L:$L,$H162)&amp;"")="n/a")),"Disqualified Status; ",""))</x:f>
        <x:v/>
      </x:c>
      <x:c r="G162" s="331" t="str">
        <x:f>IF($H162="","",IFERROR(INDEX('Game Records'!$M:$M,$H162),""))</x:f>
        <x:v/>
      </x:c>
      <x:c r="H162" s="104" t="str">
        <x:f>IF($H161="","",IFERROR(MATCH(1,INDEX((ROW('Game Records'!$U$5:$U$504)&gt;$H161)*(('Game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2" s="104"/>
      <x:c r="J162" s="104"/>
    </x:row>
    <x:row r="163" ht="24" hidden="0" customHeight="1">
      <x:c r="A163" s="332" t="str">
        <x:f>IF($H163="","",ROWS($A$5:A163))</x:f>
        <x:v/>
      </x:c>
      <x:c r="B163" s="332" t="str">
        <x:f>IF($H163="","","G-"&amp;TEXT($A163,"0000"))</x:f>
        <x:v/>
      </x:c>
      <x:c r="C163" s="331" t="str">
        <x:f>IF($H163="","",IFERROR(INDEX('Game Records'!$A:$A,$H163),""))</x:f>
        <x:v/>
      </x:c>
      <x:c r="D163" s="331" t="str">
        <x:f>IF($H163="","",IFERROR(INDEX('Game Records'!$U:$U,$H163),""))</x:f>
        <x:v/>
      </x:c>
      <x:c r="E163" s="331" t="str">
        <x:f>IF($H163="","",IF($F163="","No Highlighted Fields","Highlighted Fields Present"))</x:f>
        <x:v/>
      </x:c>
      <x:c r="F163" s="331" t="str">
        <x:f>IF($H163="","",IF(INDEX('Game Records'!$B:$B,$H163)="","Start Date; ","")&amp;IF(INDEX('Game Records'!$C:$C,$H163)="","End Date; ","")&amp;IF(AND(INDEX('Game Records'!$U:$U,$H163)&lt;&gt;"Subscription",INDEX('Game Records'!$U:$U,$H163)&lt;&gt;"Free Game",INDEX('Game Records'!$U:$U,$H163)&lt;&gt;"Disqualified — Free Game",OR(INDEX('Game Records'!$D:$D,$H163)="",LOWER(INDEX('Game Records'!$D:$D,$H163)&amp;"")="n/a")),"Entry Mode; ","")&amp;IF(AND(INDEX('Game Records'!$U:$U,$H163)&lt;&gt;"Subscription",INDEX('Game Records'!$U:$U,$H163)&lt;&gt;"Free Game",INDEX('Game Records'!$U:$U,$H163)&lt;&gt;"Disqualified — Free Game",OR(INDEX('Game Records'!$E:$E,$H163)="",LOWER(INDEX('Game Records'!$E:$E,$H163)&amp;"")="n/a")),"Game Type; ","")&amp;IF(INDEX('Game Records'!$F:$F,$H163)="","Payment Type; ","")&amp;IF(AND(INDEX('Game Records'!$U:$U,$H163)&lt;&gt;"Subscription",INDEX('Game Records'!$U:$U,$H163)&lt;&gt;"Free Game",INDEX('Game Records'!$U:$U,$H163)&lt;&gt;"Disqualified — Free Game",INDEX('Game Records'!$G:$G,$H163)=""),"Gross Pot; ","")&amp;IF(AND(INDEX('Game Records'!$U:$U,$H163)&lt;&gt;"Free Game",INDEX('Game Records'!$U:$U,$H163)&lt;&gt;"Disqualified — Free Game",INDEX('Game Records'!$H:$H,$H163)=""),"Entry Fee; ","")&amp;IF(AND(INDEX('Game Records'!$U:$U,$H163)&lt;&gt;"Subscription",INDEX('Game Records'!$U:$U,$H163)&lt;&gt;"Free Game",INDEX('Game Records'!$U:$U,$H163)&lt;&gt;"Disqualified — Free Game",INDEX('Game Records'!$I:$I,$H163)=""),"Eligible Players; ","")&amp;IF(AND(INDEX('Game Records'!$U:$U,$H163)&lt;&gt;"Subscription",INDEX('Game Records'!$U:$U,$H163)&lt;&gt;"Free Game",INDEX('Game Records'!$U:$U,$H163)&lt;&gt;"Disqualified — Free Game",INDEX('Game Records'!$J:$J,$H163)=""),"Total Players; ","")&amp;IF(AND(LOWER(INDEX('Game Records'!$D:$D,$H163)&amp;"")="finalized",LOWER(INDEX('Game Records'!$L:$L,$H163)&amp;"")&lt;&gt;"yes",INDEX('Game Records'!$U:$U,$H163)&lt;&gt;"Subscription",INDEX('Game Records'!$U:$U,$H163)&lt;&gt;"Free Game",INDEX('Game Records'!$U:$U,$H163)&lt;&gt;"Disqualified — Free Game",INDEX('Game Records'!$K:$K,$H163)=""),"Final Earned; ","")&amp;IF(AND(LOWER(INDEX('Game Records'!$D:$D,$H163)&amp;"")="finalized",INDEX('Game Records'!$U:$U,$H163)&lt;&gt;"Subscription",INDEX('Game Records'!$U:$U,$H163)&lt;&gt;"Free Game",INDEX('Game Records'!$U:$U,$H163)&lt;&gt;"Disqualified — Free Game",OR(INDEX('Game Records'!$L:$L,$H163)="",LOWER(INDEX('Game Records'!$L:$L,$H163)&amp;"")="n/a")),"Disqualified Status; ",""))</x:f>
        <x:v/>
      </x:c>
      <x:c r="G163" s="331" t="str">
        <x:f>IF($H163="","",IFERROR(INDEX('Game Records'!$M:$M,$H163),""))</x:f>
        <x:v/>
      </x:c>
      <x:c r="H163" s="104" t="str">
        <x:f>IF($H162="","",IFERROR(MATCH(1,INDEX((ROW('Game Records'!$U$5:$U$504)&gt;$H162)*(('Game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3" s="104"/>
      <x:c r="J163" s="104"/>
    </x:row>
    <x:row r="164" ht="24" hidden="0" customHeight="1">
      <x:c r="A164" s="332" t="str">
        <x:f>IF($H164="","",ROWS($A$5:A164))</x:f>
        <x:v/>
      </x:c>
      <x:c r="B164" s="332" t="str">
        <x:f>IF($H164="","","G-"&amp;TEXT($A164,"0000"))</x:f>
        <x:v/>
      </x:c>
      <x:c r="C164" s="331" t="str">
        <x:f>IF($H164="","",IFERROR(INDEX('Game Records'!$A:$A,$H164),""))</x:f>
        <x:v/>
      </x:c>
      <x:c r="D164" s="331" t="str">
        <x:f>IF($H164="","",IFERROR(INDEX('Game Records'!$U:$U,$H164),""))</x:f>
        <x:v/>
      </x:c>
      <x:c r="E164" s="331" t="str">
        <x:f>IF($H164="","",IF($F164="","No Highlighted Fields","Highlighted Fields Present"))</x:f>
        <x:v/>
      </x:c>
      <x:c r="F164" s="331" t="str">
        <x:f>IF($H164="","",IF(INDEX('Game Records'!$B:$B,$H164)="","Start Date; ","")&amp;IF(INDEX('Game Records'!$C:$C,$H164)="","End Date; ","")&amp;IF(AND(INDEX('Game Records'!$U:$U,$H164)&lt;&gt;"Subscription",INDEX('Game Records'!$U:$U,$H164)&lt;&gt;"Free Game",INDEX('Game Records'!$U:$U,$H164)&lt;&gt;"Disqualified — Free Game",OR(INDEX('Game Records'!$D:$D,$H164)="",LOWER(INDEX('Game Records'!$D:$D,$H164)&amp;"")="n/a")),"Entry Mode; ","")&amp;IF(AND(INDEX('Game Records'!$U:$U,$H164)&lt;&gt;"Subscription",INDEX('Game Records'!$U:$U,$H164)&lt;&gt;"Free Game",INDEX('Game Records'!$U:$U,$H164)&lt;&gt;"Disqualified — Free Game",OR(INDEX('Game Records'!$E:$E,$H164)="",LOWER(INDEX('Game Records'!$E:$E,$H164)&amp;"")="n/a")),"Game Type; ","")&amp;IF(INDEX('Game Records'!$F:$F,$H164)="","Payment Type; ","")&amp;IF(AND(INDEX('Game Records'!$U:$U,$H164)&lt;&gt;"Subscription",INDEX('Game Records'!$U:$U,$H164)&lt;&gt;"Free Game",INDEX('Game Records'!$U:$U,$H164)&lt;&gt;"Disqualified — Free Game",INDEX('Game Records'!$G:$G,$H164)=""),"Gross Pot; ","")&amp;IF(AND(INDEX('Game Records'!$U:$U,$H164)&lt;&gt;"Free Game",INDEX('Game Records'!$U:$U,$H164)&lt;&gt;"Disqualified — Free Game",INDEX('Game Records'!$H:$H,$H164)=""),"Entry Fee; ","")&amp;IF(AND(INDEX('Game Records'!$U:$U,$H164)&lt;&gt;"Subscription",INDEX('Game Records'!$U:$U,$H164)&lt;&gt;"Free Game",INDEX('Game Records'!$U:$U,$H164)&lt;&gt;"Disqualified — Free Game",INDEX('Game Records'!$I:$I,$H164)=""),"Eligible Players; ","")&amp;IF(AND(INDEX('Game Records'!$U:$U,$H164)&lt;&gt;"Subscription",INDEX('Game Records'!$U:$U,$H164)&lt;&gt;"Free Game",INDEX('Game Records'!$U:$U,$H164)&lt;&gt;"Disqualified — Free Game",INDEX('Game Records'!$J:$J,$H164)=""),"Total Players; ","")&amp;IF(AND(LOWER(INDEX('Game Records'!$D:$D,$H164)&amp;"")="finalized",LOWER(INDEX('Game Records'!$L:$L,$H164)&amp;"")&lt;&gt;"yes",INDEX('Game Records'!$U:$U,$H164)&lt;&gt;"Subscription",INDEX('Game Records'!$U:$U,$H164)&lt;&gt;"Free Game",INDEX('Game Records'!$U:$U,$H164)&lt;&gt;"Disqualified — Free Game",INDEX('Game Records'!$K:$K,$H164)=""),"Final Earned; ","")&amp;IF(AND(LOWER(INDEX('Game Records'!$D:$D,$H164)&amp;"")="finalized",INDEX('Game Records'!$U:$U,$H164)&lt;&gt;"Subscription",INDEX('Game Records'!$U:$U,$H164)&lt;&gt;"Free Game",INDEX('Game Records'!$U:$U,$H164)&lt;&gt;"Disqualified — Free Game",OR(INDEX('Game Records'!$L:$L,$H164)="",LOWER(INDEX('Game Records'!$L:$L,$H164)&amp;"")="n/a")),"Disqualified Status; ",""))</x:f>
        <x:v/>
      </x:c>
      <x:c r="G164" s="331" t="str">
        <x:f>IF($H164="","",IFERROR(INDEX('Game Records'!$M:$M,$H164),""))</x:f>
        <x:v/>
      </x:c>
      <x:c r="H164" s="104" t="str">
        <x:f>IF($H163="","",IFERROR(MATCH(1,INDEX((ROW('Game Records'!$U$5:$U$504)&gt;$H163)*(('Game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4" s="104"/>
      <x:c r="J164" s="104"/>
    </x:row>
    <x:row r="165" ht="24" hidden="0" customHeight="1">
      <x:c r="A165" s="332" t="str">
        <x:f>IF($H165="","",ROWS($A$5:A165))</x:f>
        <x:v/>
      </x:c>
      <x:c r="B165" s="332" t="str">
        <x:f>IF($H165="","","G-"&amp;TEXT($A165,"0000"))</x:f>
        <x:v/>
      </x:c>
      <x:c r="C165" s="331" t="str">
        <x:f>IF($H165="","",IFERROR(INDEX('Game Records'!$A:$A,$H165),""))</x:f>
        <x:v/>
      </x:c>
      <x:c r="D165" s="331" t="str">
        <x:f>IF($H165="","",IFERROR(INDEX('Game Records'!$U:$U,$H165),""))</x:f>
        <x:v/>
      </x:c>
      <x:c r="E165" s="331" t="str">
        <x:f>IF($H165="","",IF($F165="","No Highlighted Fields","Highlighted Fields Present"))</x:f>
        <x:v/>
      </x:c>
      <x:c r="F165" s="331" t="str">
        <x:f>IF($H165="","",IF(INDEX('Game Records'!$B:$B,$H165)="","Start Date; ","")&amp;IF(INDEX('Game Records'!$C:$C,$H165)="","End Date; ","")&amp;IF(AND(INDEX('Game Records'!$U:$U,$H165)&lt;&gt;"Subscription",INDEX('Game Records'!$U:$U,$H165)&lt;&gt;"Free Game",INDEX('Game Records'!$U:$U,$H165)&lt;&gt;"Disqualified — Free Game",OR(INDEX('Game Records'!$D:$D,$H165)="",LOWER(INDEX('Game Records'!$D:$D,$H165)&amp;"")="n/a")),"Entry Mode; ","")&amp;IF(AND(INDEX('Game Records'!$U:$U,$H165)&lt;&gt;"Subscription",INDEX('Game Records'!$U:$U,$H165)&lt;&gt;"Free Game",INDEX('Game Records'!$U:$U,$H165)&lt;&gt;"Disqualified — Free Game",OR(INDEX('Game Records'!$E:$E,$H165)="",LOWER(INDEX('Game Records'!$E:$E,$H165)&amp;"")="n/a")),"Game Type; ","")&amp;IF(INDEX('Game Records'!$F:$F,$H165)="","Payment Type; ","")&amp;IF(AND(INDEX('Game Records'!$U:$U,$H165)&lt;&gt;"Subscription",INDEX('Game Records'!$U:$U,$H165)&lt;&gt;"Free Game",INDEX('Game Records'!$U:$U,$H165)&lt;&gt;"Disqualified — Free Game",INDEX('Game Records'!$G:$G,$H165)=""),"Gross Pot; ","")&amp;IF(AND(INDEX('Game Records'!$U:$U,$H165)&lt;&gt;"Free Game",INDEX('Game Records'!$U:$U,$H165)&lt;&gt;"Disqualified — Free Game",INDEX('Game Records'!$H:$H,$H165)=""),"Entry Fee; ","")&amp;IF(AND(INDEX('Game Records'!$U:$U,$H165)&lt;&gt;"Subscription",INDEX('Game Records'!$U:$U,$H165)&lt;&gt;"Free Game",INDEX('Game Records'!$U:$U,$H165)&lt;&gt;"Disqualified — Free Game",INDEX('Game Records'!$I:$I,$H165)=""),"Eligible Players; ","")&amp;IF(AND(INDEX('Game Records'!$U:$U,$H165)&lt;&gt;"Subscription",INDEX('Game Records'!$U:$U,$H165)&lt;&gt;"Free Game",INDEX('Game Records'!$U:$U,$H165)&lt;&gt;"Disqualified — Free Game",INDEX('Game Records'!$J:$J,$H165)=""),"Total Players; ","")&amp;IF(AND(LOWER(INDEX('Game Records'!$D:$D,$H165)&amp;"")="finalized",LOWER(INDEX('Game Records'!$L:$L,$H165)&amp;"")&lt;&gt;"yes",INDEX('Game Records'!$U:$U,$H165)&lt;&gt;"Subscription",INDEX('Game Records'!$U:$U,$H165)&lt;&gt;"Free Game",INDEX('Game Records'!$U:$U,$H165)&lt;&gt;"Disqualified — Free Game",INDEX('Game Records'!$K:$K,$H165)=""),"Final Earned; ","")&amp;IF(AND(LOWER(INDEX('Game Records'!$D:$D,$H165)&amp;"")="finalized",INDEX('Game Records'!$U:$U,$H165)&lt;&gt;"Subscription",INDEX('Game Records'!$U:$U,$H165)&lt;&gt;"Free Game",INDEX('Game Records'!$U:$U,$H165)&lt;&gt;"Disqualified — Free Game",OR(INDEX('Game Records'!$L:$L,$H165)="",LOWER(INDEX('Game Records'!$L:$L,$H165)&amp;"")="n/a")),"Disqualified Status; ",""))</x:f>
        <x:v/>
      </x:c>
      <x:c r="G165" s="331" t="str">
        <x:f>IF($H165="","",IFERROR(INDEX('Game Records'!$M:$M,$H165),""))</x:f>
        <x:v/>
      </x:c>
      <x:c r="H165" s="104" t="str">
        <x:f>IF($H164="","",IFERROR(MATCH(1,INDEX((ROW('Game Records'!$U$5:$U$504)&gt;$H164)*(('Game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5" s="104"/>
      <x:c r="J165" s="104"/>
    </x:row>
    <x:row r="166" ht="24" hidden="0" customHeight="1">
      <x:c r="A166" s="332" t="str">
        <x:f>IF($H166="","",ROWS($A$5:A166))</x:f>
        <x:v/>
      </x:c>
      <x:c r="B166" s="332" t="str">
        <x:f>IF($H166="","","G-"&amp;TEXT($A166,"0000"))</x:f>
        <x:v/>
      </x:c>
      <x:c r="C166" s="331" t="str">
        <x:f>IF($H166="","",IFERROR(INDEX('Game Records'!$A:$A,$H166),""))</x:f>
        <x:v/>
      </x:c>
      <x:c r="D166" s="331" t="str">
        <x:f>IF($H166="","",IFERROR(INDEX('Game Records'!$U:$U,$H166),""))</x:f>
        <x:v/>
      </x:c>
      <x:c r="E166" s="331" t="str">
        <x:f>IF($H166="","",IF($F166="","No Highlighted Fields","Highlighted Fields Present"))</x:f>
        <x:v/>
      </x:c>
      <x:c r="F166" s="331" t="str">
        <x:f>IF($H166="","",IF(INDEX('Game Records'!$B:$B,$H166)="","Start Date; ","")&amp;IF(INDEX('Game Records'!$C:$C,$H166)="","End Date; ","")&amp;IF(AND(INDEX('Game Records'!$U:$U,$H166)&lt;&gt;"Subscription",INDEX('Game Records'!$U:$U,$H166)&lt;&gt;"Free Game",INDEX('Game Records'!$U:$U,$H166)&lt;&gt;"Disqualified — Free Game",OR(INDEX('Game Records'!$D:$D,$H166)="",LOWER(INDEX('Game Records'!$D:$D,$H166)&amp;"")="n/a")),"Entry Mode; ","")&amp;IF(AND(INDEX('Game Records'!$U:$U,$H166)&lt;&gt;"Subscription",INDEX('Game Records'!$U:$U,$H166)&lt;&gt;"Free Game",INDEX('Game Records'!$U:$U,$H166)&lt;&gt;"Disqualified — Free Game",OR(INDEX('Game Records'!$E:$E,$H166)="",LOWER(INDEX('Game Records'!$E:$E,$H166)&amp;"")="n/a")),"Game Type; ","")&amp;IF(INDEX('Game Records'!$F:$F,$H166)="","Payment Type; ","")&amp;IF(AND(INDEX('Game Records'!$U:$U,$H166)&lt;&gt;"Subscription",INDEX('Game Records'!$U:$U,$H166)&lt;&gt;"Free Game",INDEX('Game Records'!$U:$U,$H166)&lt;&gt;"Disqualified — Free Game",INDEX('Game Records'!$G:$G,$H166)=""),"Gross Pot; ","")&amp;IF(AND(INDEX('Game Records'!$U:$U,$H166)&lt;&gt;"Free Game",INDEX('Game Records'!$U:$U,$H166)&lt;&gt;"Disqualified — Free Game",INDEX('Game Records'!$H:$H,$H166)=""),"Entry Fee; ","")&amp;IF(AND(INDEX('Game Records'!$U:$U,$H166)&lt;&gt;"Subscription",INDEX('Game Records'!$U:$U,$H166)&lt;&gt;"Free Game",INDEX('Game Records'!$U:$U,$H166)&lt;&gt;"Disqualified — Free Game",INDEX('Game Records'!$I:$I,$H166)=""),"Eligible Players; ","")&amp;IF(AND(INDEX('Game Records'!$U:$U,$H166)&lt;&gt;"Subscription",INDEX('Game Records'!$U:$U,$H166)&lt;&gt;"Free Game",INDEX('Game Records'!$U:$U,$H166)&lt;&gt;"Disqualified — Free Game",INDEX('Game Records'!$J:$J,$H166)=""),"Total Players; ","")&amp;IF(AND(LOWER(INDEX('Game Records'!$D:$D,$H166)&amp;"")="finalized",LOWER(INDEX('Game Records'!$L:$L,$H166)&amp;"")&lt;&gt;"yes",INDEX('Game Records'!$U:$U,$H166)&lt;&gt;"Subscription",INDEX('Game Records'!$U:$U,$H166)&lt;&gt;"Free Game",INDEX('Game Records'!$U:$U,$H166)&lt;&gt;"Disqualified — Free Game",INDEX('Game Records'!$K:$K,$H166)=""),"Final Earned; ","")&amp;IF(AND(LOWER(INDEX('Game Records'!$D:$D,$H166)&amp;"")="finalized",INDEX('Game Records'!$U:$U,$H166)&lt;&gt;"Subscription",INDEX('Game Records'!$U:$U,$H166)&lt;&gt;"Free Game",INDEX('Game Records'!$U:$U,$H166)&lt;&gt;"Disqualified — Free Game",OR(INDEX('Game Records'!$L:$L,$H166)="",LOWER(INDEX('Game Records'!$L:$L,$H166)&amp;"")="n/a")),"Disqualified Status; ",""))</x:f>
        <x:v/>
      </x:c>
      <x:c r="G166" s="331" t="str">
        <x:f>IF($H166="","",IFERROR(INDEX('Game Records'!$M:$M,$H166),""))</x:f>
        <x:v/>
      </x:c>
      <x:c r="H166" s="104" t="str">
        <x:f>IF($H165="","",IFERROR(MATCH(1,INDEX((ROW('Game Records'!$U$5:$U$504)&gt;$H165)*(('Game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6" s="104"/>
      <x:c r="J166" s="104"/>
    </x:row>
    <x:row r="167" ht="24" hidden="0" customHeight="1">
      <x:c r="A167" s="332" t="str">
        <x:f>IF($H167="","",ROWS($A$5:A167))</x:f>
        <x:v/>
      </x:c>
      <x:c r="B167" s="332" t="str">
        <x:f>IF($H167="","","G-"&amp;TEXT($A167,"0000"))</x:f>
        <x:v/>
      </x:c>
      <x:c r="C167" s="331" t="str">
        <x:f>IF($H167="","",IFERROR(INDEX('Game Records'!$A:$A,$H167),""))</x:f>
        <x:v/>
      </x:c>
      <x:c r="D167" s="331" t="str">
        <x:f>IF($H167="","",IFERROR(INDEX('Game Records'!$U:$U,$H167),""))</x:f>
        <x:v/>
      </x:c>
      <x:c r="E167" s="331" t="str">
        <x:f>IF($H167="","",IF($F167="","No Highlighted Fields","Highlighted Fields Present"))</x:f>
        <x:v/>
      </x:c>
      <x:c r="F167" s="331" t="str">
        <x:f>IF($H167="","",IF(INDEX('Game Records'!$B:$B,$H167)="","Start Date; ","")&amp;IF(INDEX('Game Records'!$C:$C,$H167)="","End Date; ","")&amp;IF(AND(INDEX('Game Records'!$U:$U,$H167)&lt;&gt;"Subscription",INDEX('Game Records'!$U:$U,$H167)&lt;&gt;"Free Game",INDEX('Game Records'!$U:$U,$H167)&lt;&gt;"Disqualified — Free Game",OR(INDEX('Game Records'!$D:$D,$H167)="",LOWER(INDEX('Game Records'!$D:$D,$H167)&amp;"")="n/a")),"Entry Mode; ","")&amp;IF(AND(INDEX('Game Records'!$U:$U,$H167)&lt;&gt;"Subscription",INDEX('Game Records'!$U:$U,$H167)&lt;&gt;"Free Game",INDEX('Game Records'!$U:$U,$H167)&lt;&gt;"Disqualified — Free Game",OR(INDEX('Game Records'!$E:$E,$H167)="",LOWER(INDEX('Game Records'!$E:$E,$H167)&amp;"")="n/a")),"Game Type; ","")&amp;IF(INDEX('Game Records'!$F:$F,$H167)="","Payment Type; ","")&amp;IF(AND(INDEX('Game Records'!$U:$U,$H167)&lt;&gt;"Subscription",INDEX('Game Records'!$U:$U,$H167)&lt;&gt;"Free Game",INDEX('Game Records'!$U:$U,$H167)&lt;&gt;"Disqualified — Free Game",INDEX('Game Records'!$G:$G,$H167)=""),"Gross Pot; ","")&amp;IF(AND(INDEX('Game Records'!$U:$U,$H167)&lt;&gt;"Free Game",INDEX('Game Records'!$U:$U,$H167)&lt;&gt;"Disqualified — Free Game",INDEX('Game Records'!$H:$H,$H167)=""),"Entry Fee; ","")&amp;IF(AND(INDEX('Game Records'!$U:$U,$H167)&lt;&gt;"Subscription",INDEX('Game Records'!$U:$U,$H167)&lt;&gt;"Free Game",INDEX('Game Records'!$U:$U,$H167)&lt;&gt;"Disqualified — Free Game",INDEX('Game Records'!$I:$I,$H167)=""),"Eligible Players; ","")&amp;IF(AND(INDEX('Game Records'!$U:$U,$H167)&lt;&gt;"Subscription",INDEX('Game Records'!$U:$U,$H167)&lt;&gt;"Free Game",INDEX('Game Records'!$U:$U,$H167)&lt;&gt;"Disqualified — Free Game",INDEX('Game Records'!$J:$J,$H167)=""),"Total Players; ","")&amp;IF(AND(LOWER(INDEX('Game Records'!$D:$D,$H167)&amp;"")="finalized",LOWER(INDEX('Game Records'!$L:$L,$H167)&amp;"")&lt;&gt;"yes",INDEX('Game Records'!$U:$U,$H167)&lt;&gt;"Subscription",INDEX('Game Records'!$U:$U,$H167)&lt;&gt;"Free Game",INDEX('Game Records'!$U:$U,$H167)&lt;&gt;"Disqualified — Free Game",INDEX('Game Records'!$K:$K,$H167)=""),"Final Earned; ","")&amp;IF(AND(LOWER(INDEX('Game Records'!$D:$D,$H167)&amp;"")="finalized",INDEX('Game Records'!$U:$U,$H167)&lt;&gt;"Subscription",INDEX('Game Records'!$U:$U,$H167)&lt;&gt;"Free Game",INDEX('Game Records'!$U:$U,$H167)&lt;&gt;"Disqualified — Free Game",OR(INDEX('Game Records'!$L:$L,$H167)="",LOWER(INDEX('Game Records'!$L:$L,$H167)&amp;"")="n/a")),"Disqualified Status; ",""))</x:f>
        <x:v/>
      </x:c>
      <x:c r="G167" s="331" t="str">
        <x:f>IF($H167="","",IFERROR(INDEX('Game Records'!$M:$M,$H167),""))</x:f>
        <x:v/>
      </x:c>
      <x:c r="H167" s="104" t="str">
        <x:f>IF($H166="","",IFERROR(MATCH(1,INDEX((ROW('Game Records'!$U$5:$U$504)&gt;$H166)*(('Game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7" s="104"/>
      <x:c r="J167" s="104"/>
    </x:row>
    <x:row r="168" ht="24" hidden="0" customHeight="1">
      <x:c r="A168" s="332" t="str">
        <x:f>IF($H168="","",ROWS($A$5:A168))</x:f>
        <x:v/>
      </x:c>
      <x:c r="B168" s="332" t="str">
        <x:f>IF($H168="","","G-"&amp;TEXT($A168,"0000"))</x:f>
        <x:v/>
      </x:c>
      <x:c r="C168" s="331" t="str">
        <x:f>IF($H168="","",IFERROR(INDEX('Game Records'!$A:$A,$H168),""))</x:f>
        <x:v/>
      </x:c>
      <x:c r="D168" s="331" t="str">
        <x:f>IF($H168="","",IFERROR(INDEX('Game Records'!$U:$U,$H168),""))</x:f>
        <x:v/>
      </x:c>
      <x:c r="E168" s="331" t="str">
        <x:f>IF($H168="","",IF($F168="","No Highlighted Fields","Highlighted Fields Present"))</x:f>
        <x:v/>
      </x:c>
      <x:c r="F168" s="331" t="str">
        <x:f>IF($H168="","",IF(INDEX('Game Records'!$B:$B,$H168)="","Start Date; ","")&amp;IF(INDEX('Game Records'!$C:$C,$H168)="","End Date; ","")&amp;IF(AND(INDEX('Game Records'!$U:$U,$H168)&lt;&gt;"Subscription",INDEX('Game Records'!$U:$U,$H168)&lt;&gt;"Free Game",INDEX('Game Records'!$U:$U,$H168)&lt;&gt;"Disqualified — Free Game",OR(INDEX('Game Records'!$D:$D,$H168)="",LOWER(INDEX('Game Records'!$D:$D,$H168)&amp;"")="n/a")),"Entry Mode; ","")&amp;IF(AND(INDEX('Game Records'!$U:$U,$H168)&lt;&gt;"Subscription",INDEX('Game Records'!$U:$U,$H168)&lt;&gt;"Free Game",INDEX('Game Records'!$U:$U,$H168)&lt;&gt;"Disqualified — Free Game",OR(INDEX('Game Records'!$E:$E,$H168)="",LOWER(INDEX('Game Records'!$E:$E,$H168)&amp;"")="n/a")),"Game Type; ","")&amp;IF(INDEX('Game Records'!$F:$F,$H168)="","Payment Type; ","")&amp;IF(AND(INDEX('Game Records'!$U:$U,$H168)&lt;&gt;"Subscription",INDEX('Game Records'!$U:$U,$H168)&lt;&gt;"Free Game",INDEX('Game Records'!$U:$U,$H168)&lt;&gt;"Disqualified — Free Game",INDEX('Game Records'!$G:$G,$H168)=""),"Gross Pot; ","")&amp;IF(AND(INDEX('Game Records'!$U:$U,$H168)&lt;&gt;"Free Game",INDEX('Game Records'!$U:$U,$H168)&lt;&gt;"Disqualified — Free Game",INDEX('Game Records'!$H:$H,$H168)=""),"Entry Fee; ","")&amp;IF(AND(INDEX('Game Records'!$U:$U,$H168)&lt;&gt;"Subscription",INDEX('Game Records'!$U:$U,$H168)&lt;&gt;"Free Game",INDEX('Game Records'!$U:$U,$H168)&lt;&gt;"Disqualified — Free Game",INDEX('Game Records'!$I:$I,$H168)=""),"Eligible Players; ","")&amp;IF(AND(INDEX('Game Records'!$U:$U,$H168)&lt;&gt;"Subscription",INDEX('Game Records'!$U:$U,$H168)&lt;&gt;"Free Game",INDEX('Game Records'!$U:$U,$H168)&lt;&gt;"Disqualified — Free Game",INDEX('Game Records'!$J:$J,$H168)=""),"Total Players; ","")&amp;IF(AND(LOWER(INDEX('Game Records'!$D:$D,$H168)&amp;"")="finalized",LOWER(INDEX('Game Records'!$L:$L,$H168)&amp;"")&lt;&gt;"yes",INDEX('Game Records'!$U:$U,$H168)&lt;&gt;"Subscription",INDEX('Game Records'!$U:$U,$H168)&lt;&gt;"Free Game",INDEX('Game Records'!$U:$U,$H168)&lt;&gt;"Disqualified — Free Game",INDEX('Game Records'!$K:$K,$H168)=""),"Final Earned; ","")&amp;IF(AND(LOWER(INDEX('Game Records'!$D:$D,$H168)&amp;"")="finalized",INDEX('Game Records'!$U:$U,$H168)&lt;&gt;"Subscription",INDEX('Game Records'!$U:$U,$H168)&lt;&gt;"Free Game",INDEX('Game Records'!$U:$U,$H168)&lt;&gt;"Disqualified — Free Game",OR(INDEX('Game Records'!$L:$L,$H168)="",LOWER(INDEX('Game Records'!$L:$L,$H168)&amp;"")="n/a")),"Disqualified Status; ",""))</x:f>
        <x:v/>
      </x:c>
      <x:c r="G168" s="331" t="str">
        <x:f>IF($H168="","",IFERROR(INDEX('Game Records'!$M:$M,$H168),""))</x:f>
        <x:v/>
      </x:c>
      <x:c r="H168" s="104" t="str">
        <x:f>IF($H167="","",IFERROR(MATCH(1,INDEX((ROW('Game Records'!$U$5:$U$504)&gt;$H167)*(('Game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8" s="104"/>
      <x:c r="J168" s="104"/>
    </x:row>
    <x:row r="169" ht="24" hidden="0" customHeight="1">
      <x:c r="A169" s="332" t="str">
        <x:f>IF($H169="","",ROWS($A$5:A169))</x:f>
        <x:v/>
      </x:c>
      <x:c r="B169" s="332" t="str">
        <x:f>IF($H169="","","G-"&amp;TEXT($A169,"0000"))</x:f>
        <x:v/>
      </x:c>
      <x:c r="C169" s="331" t="str">
        <x:f>IF($H169="","",IFERROR(INDEX('Game Records'!$A:$A,$H169),""))</x:f>
        <x:v/>
      </x:c>
      <x:c r="D169" s="331" t="str">
        <x:f>IF($H169="","",IFERROR(INDEX('Game Records'!$U:$U,$H169),""))</x:f>
        <x:v/>
      </x:c>
      <x:c r="E169" s="331" t="str">
        <x:f>IF($H169="","",IF($F169="","No Highlighted Fields","Highlighted Fields Present"))</x:f>
        <x:v/>
      </x:c>
      <x:c r="F169" s="331" t="str">
        <x:f>IF($H169="","",IF(INDEX('Game Records'!$B:$B,$H169)="","Start Date; ","")&amp;IF(INDEX('Game Records'!$C:$C,$H169)="","End Date; ","")&amp;IF(AND(INDEX('Game Records'!$U:$U,$H169)&lt;&gt;"Subscription",INDEX('Game Records'!$U:$U,$H169)&lt;&gt;"Free Game",INDEX('Game Records'!$U:$U,$H169)&lt;&gt;"Disqualified — Free Game",OR(INDEX('Game Records'!$D:$D,$H169)="",LOWER(INDEX('Game Records'!$D:$D,$H169)&amp;"")="n/a")),"Entry Mode; ","")&amp;IF(AND(INDEX('Game Records'!$U:$U,$H169)&lt;&gt;"Subscription",INDEX('Game Records'!$U:$U,$H169)&lt;&gt;"Free Game",INDEX('Game Records'!$U:$U,$H169)&lt;&gt;"Disqualified — Free Game",OR(INDEX('Game Records'!$E:$E,$H169)="",LOWER(INDEX('Game Records'!$E:$E,$H169)&amp;"")="n/a")),"Game Type; ","")&amp;IF(INDEX('Game Records'!$F:$F,$H169)="","Payment Type; ","")&amp;IF(AND(INDEX('Game Records'!$U:$U,$H169)&lt;&gt;"Subscription",INDEX('Game Records'!$U:$U,$H169)&lt;&gt;"Free Game",INDEX('Game Records'!$U:$U,$H169)&lt;&gt;"Disqualified — Free Game",INDEX('Game Records'!$G:$G,$H169)=""),"Gross Pot; ","")&amp;IF(AND(INDEX('Game Records'!$U:$U,$H169)&lt;&gt;"Free Game",INDEX('Game Records'!$U:$U,$H169)&lt;&gt;"Disqualified — Free Game",INDEX('Game Records'!$H:$H,$H169)=""),"Entry Fee; ","")&amp;IF(AND(INDEX('Game Records'!$U:$U,$H169)&lt;&gt;"Subscription",INDEX('Game Records'!$U:$U,$H169)&lt;&gt;"Free Game",INDEX('Game Records'!$U:$U,$H169)&lt;&gt;"Disqualified — Free Game",INDEX('Game Records'!$I:$I,$H169)=""),"Eligible Players; ","")&amp;IF(AND(INDEX('Game Records'!$U:$U,$H169)&lt;&gt;"Subscription",INDEX('Game Records'!$U:$U,$H169)&lt;&gt;"Free Game",INDEX('Game Records'!$U:$U,$H169)&lt;&gt;"Disqualified — Free Game",INDEX('Game Records'!$J:$J,$H169)=""),"Total Players; ","")&amp;IF(AND(LOWER(INDEX('Game Records'!$D:$D,$H169)&amp;"")="finalized",LOWER(INDEX('Game Records'!$L:$L,$H169)&amp;"")&lt;&gt;"yes",INDEX('Game Records'!$U:$U,$H169)&lt;&gt;"Subscription",INDEX('Game Records'!$U:$U,$H169)&lt;&gt;"Free Game",INDEX('Game Records'!$U:$U,$H169)&lt;&gt;"Disqualified — Free Game",INDEX('Game Records'!$K:$K,$H169)=""),"Final Earned; ","")&amp;IF(AND(LOWER(INDEX('Game Records'!$D:$D,$H169)&amp;"")="finalized",INDEX('Game Records'!$U:$U,$H169)&lt;&gt;"Subscription",INDEX('Game Records'!$U:$U,$H169)&lt;&gt;"Free Game",INDEX('Game Records'!$U:$U,$H169)&lt;&gt;"Disqualified — Free Game",OR(INDEX('Game Records'!$L:$L,$H169)="",LOWER(INDEX('Game Records'!$L:$L,$H169)&amp;"")="n/a")),"Disqualified Status; ",""))</x:f>
        <x:v/>
      </x:c>
      <x:c r="G169" s="331" t="str">
        <x:f>IF($H169="","",IFERROR(INDEX('Game Records'!$M:$M,$H169),""))</x:f>
        <x:v/>
      </x:c>
      <x:c r="H169" s="104" t="str">
        <x:f>IF($H168="","",IFERROR(MATCH(1,INDEX((ROW('Game Records'!$U$5:$U$504)&gt;$H168)*(('Game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69" s="104"/>
      <x:c r="J169" s="104"/>
    </x:row>
    <x:row r="170" ht="24" hidden="0" customHeight="1">
      <x:c r="A170" s="332" t="str">
        <x:f>IF($H170="","",ROWS($A$5:A170))</x:f>
        <x:v/>
      </x:c>
      <x:c r="B170" s="332" t="str">
        <x:f>IF($H170="","","G-"&amp;TEXT($A170,"0000"))</x:f>
        <x:v/>
      </x:c>
      <x:c r="C170" s="331" t="str">
        <x:f>IF($H170="","",IFERROR(INDEX('Game Records'!$A:$A,$H170),""))</x:f>
        <x:v/>
      </x:c>
      <x:c r="D170" s="331" t="str">
        <x:f>IF($H170="","",IFERROR(INDEX('Game Records'!$U:$U,$H170),""))</x:f>
        <x:v/>
      </x:c>
      <x:c r="E170" s="331" t="str">
        <x:f>IF($H170="","",IF($F170="","No Highlighted Fields","Highlighted Fields Present"))</x:f>
        <x:v/>
      </x:c>
      <x:c r="F170" s="331" t="str">
        <x:f>IF($H170="","",IF(INDEX('Game Records'!$B:$B,$H170)="","Start Date; ","")&amp;IF(INDEX('Game Records'!$C:$C,$H170)="","End Date; ","")&amp;IF(AND(INDEX('Game Records'!$U:$U,$H170)&lt;&gt;"Subscription",INDEX('Game Records'!$U:$U,$H170)&lt;&gt;"Free Game",INDEX('Game Records'!$U:$U,$H170)&lt;&gt;"Disqualified — Free Game",OR(INDEX('Game Records'!$D:$D,$H170)="",LOWER(INDEX('Game Records'!$D:$D,$H170)&amp;"")="n/a")),"Entry Mode; ","")&amp;IF(AND(INDEX('Game Records'!$U:$U,$H170)&lt;&gt;"Subscription",INDEX('Game Records'!$U:$U,$H170)&lt;&gt;"Free Game",INDEX('Game Records'!$U:$U,$H170)&lt;&gt;"Disqualified — Free Game",OR(INDEX('Game Records'!$E:$E,$H170)="",LOWER(INDEX('Game Records'!$E:$E,$H170)&amp;"")="n/a")),"Game Type; ","")&amp;IF(INDEX('Game Records'!$F:$F,$H170)="","Payment Type; ","")&amp;IF(AND(INDEX('Game Records'!$U:$U,$H170)&lt;&gt;"Subscription",INDEX('Game Records'!$U:$U,$H170)&lt;&gt;"Free Game",INDEX('Game Records'!$U:$U,$H170)&lt;&gt;"Disqualified — Free Game",INDEX('Game Records'!$G:$G,$H170)=""),"Gross Pot; ","")&amp;IF(AND(INDEX('Game Records'!$U:$U,$H170)&lt;&gt;"Free Game",INDEX('Game Records'!$U:$U,$H170)&lt;&gt;"Disqualified — Free Game",INDEX('Game Records'!$H:$H,$H170)=""),"Entry Fee; ","")&amp;IF(AND(INDEX('Game Records'!$U:$U,$H170)&lt;&gt;"Subscription",INDEX('Game Records'!$U:$U,$H170)&lt;&gt;"Free Game",INDEX('Game Records'!$U:$U,$H170)&lt;&gt;"Disqualified — Free Game",INDEX('Game Records'!$I:$I,$H170)=""),"Eligible Players; ","")&amp;IF(AND(INDEX('Game Records'!$U:$U,$H170)&lt;&gt;"Subscription",INDEX('Game Records'!$U:$U,$H170)&lt;&gt;"Free Game",INDEX('Game Records'!$U:$U,$H170)&lt;&gt;"Disqualified — Free Game",INDEX('Game Records'!$J:$J,$H170)=""),"Total Players; ","")&amp;IF(AND(LOWER(INDEX('Game Records'!$D:$D,$H170)&amp;"")="finalized",LOWER(INDEX('Game Records'!$L:$L,$H170)&amp;"")&lt;&gt;"yes",INDEX('Game Records'!$U:$U,$H170)&lt;&gt;"Subscription",INDEX('Game Records'!$U:$U,$H170)&lt;&gt;"Free Game",INDEX('Game Records'!$U:$U,$H170)&lt;&gt;"Disqualified — Free Game",INDEX('Game Records'!$K:$K,$H170)=""),"Final Earned; ","")&amp;IF(AND(LOWER(INDEX('Game Records'!$D:$D,$H170)&amp;"")="finalized",INDEX('Game Records'!$U:$U,$H170)&lt;&gt;"Subscription",INDEX('Game Records'!$U:$U,$H170)&lt;&gt;"Free Game",INDEX('Game Records'!$U:$U,$H170)&lt;&gt;"Disqualified — Free Game",OR(INDEX('Game Records'!$L:$L,$H170)="",LOWER(INDEX('Game Records'!$L:$L,$H170)&amp;"")="n/a")),"Disqualified Status; ",""))</x:f>
        <x:v/>
      </x:c>
      <x:c r="G170" s="331" t="str">
        <x:f>IF($H170="","",IFERROR(INDEX('Game Records'!$M:$M,$H170),""))</x:f>
        <x:v/>
      </x:c>
      <x:c r="H170" s="104" t="str">
        <x:f>IF($H169="","",IFERROR(MATCH(1,INDEX((ROW('Game Records'!$U$5:$U$504)&gt;$H169)*(('Game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0" s="104"/>
      <x:c r="J170" s="104"/>
    </x:row>
    <x:row r="171" ht="24" hidden="0" customHeight="1">
      <x:c r="A171" s="332" t="str">
        <x:f>IF($H171="","",ROWS($A$5:A171))</x:f>
        <x:v/>
      </x:c>
      <x:c r="B171" s="332" t="str">
        <x:f>IF($H171="","","G-"&amp;TEXT($A171,"0000"))</x:f>
        <x:v/>
      </x:c>
      <x:c r="C171" s="331" t="str">
        <x:f>IF($H171="","",IFERROR(INDEX('Game Records'!$A:$A,$H171),""))</x:f>
        <x:v/>
      </x:c>
      <x:c r="D171" s="331" t="str">
        <x:f>IF($H171="","",IFERROR(INDEX('Game Records'!$U:$U,$H171),""))</x:f>
        <x:v/>
      </x:c>
      <x:c r="E171" s="331" t="str">
        <x:f>IF($H171="","",IF($F171="","No Highlighted Fields","Highlighted Fields Present"))</x:f>
        <x:v/>
      </x:c>
      <x:c r="F171" s="331" t="str">
        <x:f>IF($H171="","",IF(INDEX('Game Records'!$B:$B,$H171)="","Start Date; ","")&amp;IF(INDEX('Game Records'!$C:$C,$H171)="","End Date; ","")&amp;IF(AND(INDEX('Game Records'!$U:$U,$H171)&lt;&gt;"Subscription",INDEX('Game Records'!$U:$U,$H171)&lt;&gt;"Free Game",INDEX('Game Records'!$U:$U,$H171)&lt;&gt;"Disqualified — Free Game",OR(INDEX('Game Records'!$D:$D,$H171)="",LOWER(INDEX('Game Records'!$D:$D,$H171)&amp;"")="n/a")),"Entry Mode; ","")&amp;IF(AND(INDEX('Game Records'!$U:$U,$H171)&lt;&gt;"Subscription",INDEX('Game Records'!$U:$U,$H171)&lt;&gt;"Free Game",INDEX('Game Records'!$U:$U,$H171)&lt;&gt;"Disqualified — Free Game",OR(INDEX('Game Records'!$E:$E,$H171)="",LOWER(INDEX('Game Records'!$E:$E,$H171)&amp;"")="n/a")),"Game Type; ","")&amp;IF(INDEX('Game Records'!$F:$F,$H171)="","Payment Type; ","")&amp;IF(AND(INDEX('Game Records'!$U:$U,$H171)&lt;&gt;"Subscription",INDEX('Game Records'!$U:$U,$H171)&lt;&gt;"Free Game",INDEX('Game Records'!$U:$U,$H171)&lt;&gt;"Disqualified — Free Game",INDEX('Game Records'!$G:$G,$H171)=""),"Gross Pot; ","")&amp;IF(AND(INDEX('Game Records'!$U:$U,$H171)&lt;&gt;"Free Game",INDEX('Game Records'!$U:$U,$H171)&lt;&gt;"Disqualified — Free Game",INDEX('Game Records'!$H:$H,$H171)=""),"Entry Fee; ","")&amp;IF(AND(INDEX('Game Records'!$U:$U,$H171)&lt;&gt;"Subscription",INDEX('Game Records'!$U:$U,$H171)&lt;&gt;"Free Game",INDEX('Game Records'!$U:$U,$H171)&lt;&gt;"Disqualified — Free Game",INDEX('Game Records'!$I:$I,$H171)=""),"Eligible Players; ","")&amp;IF(AND(INDEX('Game Records'!$U:$U,$H171)&lt;&gt;"Subscription",INDEX('Game Records'!$U:$U,$H171)&lt;&gt;"Free Game",INDEX('Game Records'!$U:$U,$H171)&lt;&gt;"Disqualified — Free Game",INDEX('Game Records'!$J:$J,$H171)=""),"Total Players; ","")&amp;IF(AND(LOWER(INDEX('Game Records'!$D:$D,$H171)&amp;"")="finalized",LOWER(INDEX('Game Records'!$L:$L,$H171)&amp;"")&lt;&gt;"yes",INDEX('Game Records'!$U:$U,$H171)&lt;&gt;"Subscription",INDEX('Game Records'!$U:$U,$H171)&lt;&gt;"Free Game",INDEX('Game Records'!$U:$U,$H171)&lt;&gt;"Disqualified — Free Game",INDEX('Game Records'!$K:$K,$H171)=""),"Final Earned; ","")&amp;IF(AND(LOWER(INDEX('Game Records'!$D:$D,$H171)&amp;"")="finalized",INDEX('Game Records'!$U:$U,$H171)&lt;&gt;"Subscription",INDEX('Game Records'!$U:$U,$H171)&lt;&gt;"Free Game",INDEX('Game Records'!$U:$U,$H171)&lt;&gt;"Disqualified — Free Game",OR(INDEX('Game Records'!$L:$L,$H171)="",LOWER(INDEX('Game Records'!$L:$L,$H171)&amp;"")="n/a")),"Disqualified Status; ",""))</x:f>
        <x:v/>
      </x:c>
      <x:c r="G171" s="331" t="str">
        <x:f>IF($H171="","",IFERROR(INDEX('Game Records'!$M:$M,$H171),""))</x:f>
        <x:v/>
      </x:c>
      <x:c r="H171" s="104" t="str">
        <x:f>IF($H170="","",IFERROR(MATCH(1,INDEX((ROW('Game Records'!$U$5:$U$504)&gt;$H170)*(('Game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1" s="104"/>
      <x:c r="J171" s="104"/>
    </x:row>
    <x:row r="172" ht="24" hidden="0" customHeight="1">
      <x:c r="A172" s="332" t="str">
        <x:f>IF($H172="","",ROWS($A$5:A172))</x:f>
        <x:v/>
      </x:c>
      <x:c r="B172" s="332" t="str">
        <x:f>IF($H172="","","G-"&amp;TEXT($A172,"0000"))</x:f>
        <x:v/>
      </x:c>
      <x:c r="C172" s="331" t="str">
        <x:f>IF($H172="","",IFERROR(INDEX('Game Records'!$A:$A,$H172),""))</x:f>
        <x:v/>
      </x:c>
      <x:c r="D172" s="331" t="str">
        <x:f>IF($H172="","",IFERROR(INDEX('Game Records'!$U:$U,$H172),""))</x:f>
        <x:v/>
      </x:c>
      <x:c r="E172" s="331" t="str">
        <x:f>IF($H172="","",IF($F172="","No Highlighted Fields","Highlighted Fields Present"))</x:f>
        <x:v/>
      </x:c>
      <x:c r="F172" s="331" t="str">
        <x:f>IF($H172="","",IF(INDEX('Game Records'!$B:$B,$H172)="","Start Date; ","")&amp;IF(INDEX('Game Records'!$C:$C,$H172)="","End Date; ","")&amp;IF(AND(INDEX('Game Records'!$U:$U,$H172)&lt;&gt;"Subscription",INDEX('Game Records'!$U:$U,$H172)&lt;&gt;"Free Game",INDEX('Game Records'!$U:$U,$H172)&lt;&gt;"Disqualified — Free Game",OR(INDEX('Game Records'!$D:$D,$H172)="",LOWER(INDEX('Game Records'!$D:$D,$H172)&amp;"")="n/a")),"Entry Mode; ","")&amp;IF(AND(INDEX('Game Records'!$U:$U,$H172)&lt;&gt;"Subscription",INDEX('Game Records'!$U:$U,$H172)&lt;&gt;"Free Game",INDEX('Game Records'!$U:$U,$H172)&lt;&gt;"Disqualified — Free Game",OR(INDEX('Game Records'!$E:$E,$H172)="",LOWER(INDEX('Game Records'!$E:$E,$H172)&amp;"")="n/a")),"Game Type; ","")&amp;IF(INDEX('Game Records'!$F:$F,$H172)="","Payment Type; ","")&amp;IF(AND(INDEX('Game Records'!$U:$U,$H172)&lt;&gt;"Subscription",INDEX('Game Records'!$U:$U,$H172)&lt;&gt;"Free Game",INDEX('Game Records'!$U:$U,$H172)&lt;&gt;"Disqualified — Free Game",INDEX('Game Records'!$G:$G,$H172)=""),"Gross Pot; ","")&amp;IF(AND(INDEX('Game Records'!$U:$U,$H172)&lt;&gt;"Free Game",INDEX('Game Records'!$U:$U,$H172)&lt;&gt;"Disqualified — Free Game",INDEX('Game Records'!$H:$H,$H172)=""),"Entry Fee; ","")&amp;IF(AND(INDEX('Game Records'!$U:$U,$H172)&lt;&gt;"Subscription",INDEX('Game Records'!$U:$U,$H172)&lt;&gt;"Free Game",INDEX('Game Records'!$U:$U,$H172)&lt;&gt;"Disqualified — Free Game",INDEX('Game Records'!$I:$I,$H172)=""),"Eligible Players; ","")&amp;IF(AND(INDEX('Game Records'!$U:$U,$H172)&lt;&gt;"Subscription",INDEX('Game Records'!$U:$U,$H172)&lt;&gt;"Free Game",INDEX('Game Records'!$U:$U,$H172)&lt;&gt;"Disqualified — Free Game",INDEX('Game Records'!$J:$J,$H172)=""),"Total Players; ","")&amp;IF(AND(LOWER(INDEX('Game Records'!$D:$D,$H172)&amp;"")="finalized",LOWER(INDEX('Game Records'!$L:$L,$H172)&amp;"")&lt;&gt;"yes",INDEX('Game Records'!$U:$U,$H172)&lt;&gt;"Subscription",INDEX('Game Records'!$U:$U,$H172)&lt;&gt;"Free Game",INDEX('Game Records'!$U:$U,$H172)&lt;&gt;"Disqualified — Free Game",INDEX('Game Records'!$K:$K,$H172)=""),"Final Earned; ","")&amp;IF(AND(LOWER(INDEX('Game Records'!$D:$D,$H172)&amp;"")="finalized",INDEX('Game Records'!$U:$U,$H172)&lt;&gt;"Subscription",INDEX('Game Records'!$U:$U,$H172)&lt;&gt;"Free Game",INDEX('Game Records'!$U:$U,$H172)&lt;&gt;"Disqualified — Free Game",OR(INDEX('Game Records'!$L:$L,$H172)="",LOWER(INDEX('Game Records'!$L:$L,$H172)&amp;"")="n/a")),"Disqualified Status; ",""))</x:f>
        <x:v/>
      </x:c>
      <x:c r="G172" s="331" t="str">
        <x:f>IF($H172="","",IFERROR(INDEX('Game Records'!$M:$M,$H172),""))</x:f>
        <x:v/>
      </x:c>
      <x:c r="H172" s="104" t="str">
        <x:f>IF($H171="","",IFERROR(MATCH(1,INDEX((ROW('Game Records'!$U$5:$U$504)&gt;$H171)*(('Game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2" s="104"/>
      <x:c r="J172" s="104"/>
    </x:row>
    <x:row r="173" ht="24" hidden="0" customHeight="1">
      <x:c r="A173" s="332" t="str">
        <x:f>IF($H173="","",ROWS($A$5:A173))</x:f>
        <x:v/>
      </x:c>
      <x:c r="B173" s="332" t="str">
        <x:f>IF($H173="","","G-"&amp;TEXT($A173,"0000"))</x:f>
        <x:v/>
      </x:c>
      <x:c r="C173" s="331" t="str">
        <x:f>IF($H173="","",IFERROR(INDEX('Game Records'!$A:$A,$H173),""))</x:f>
        <x:v/>
      </x:c>
      <x:c r="D173" s="331" t="str">
        <x:f>IF($H173="","",IFERROR(INDEX('Game Records'!$U:$U,$H173),""))</x:f>
        <x:v/>
      </x:c>
      <x:c r="E173" s="331" t="str">
        <x:f>IF($H173="","",IF($F173="","No Highlighted Fields","Highlighted Fields Present"))</x:f>
        <x:v/>
      </x:c>
      <x:c r="F173" s="331" t="str">
        <x:f>IF($H173="","",IF(INDEX('Game Records'!$B:$B,$H173)="","Start Date; ","")&amp;IF(INDEX('Game Records'!$C:$C,$H173)="","End Date; ","")&amp;IF(AND(INDEX('Game Records'!$U:$U,$H173)&lt;&gt;"Subscription",INDEX('Game Records'!$U:$U,$H173)&lt;&gt;"Free Game",INDEX('Game Records'!$U:$U,$H173)&lt;&gt;"Disqualified — Free Game",OR(INDEX('Game Records'!$D:$D,$H173)="",LOWER(INDEX('Game Records'!$D:$D,$H173)&amp;"")="n/a")),"Entry Mode; ","")&amp;IF(AND(INDEX('Game Records'!$U:$U,$H173)&lt;&gt;"Subscription",INDEX('Game Records'!$U:$U,$H173)&lt;&gt;"Free Game",INDEX('Game Records'!$U:$U,$H173)&lt;&gt;"Disqualified — Free Game",OR(INDEX('Game Records'!$E:$E,$H173)="",LOWER(INDEX('Game Records'!$E:$E,$H173)&amp;"")="n/a")),"Game Type; ","")&amp;IF(INDEX('Game Records'!$F:$F,$H173)="","Payment Type; ","")&amp;IF(AND(INDEX('Game Records'!$U:$U,$H173)&lt;&gt;"Subscription",INDEX('Game Records'!$U:$U,$H173)&lt;&gt;"Free Game",INDEX('Game Records'!$U:$U,$H173)&lt;&gt;"Disqualified — Free Game",INDEX('Game Records'!$G:$G,$H173)=""),"Gross Pot; ","")&amp;IF(AND(INDEX('Game Records'!$U:$U,$H173)&lt;&gt;"Free Game",INDEX('Game Records'!$U:$U,$H173)&lt;&gt;"Disqualified — Free Game",INDEX('Game Records'!$H:$H,$H173)=""),"Entry Fee; ","")&amp;IF(AND(INDEX('Game Records'!$U:$U,$H173)&lt;&gt;"Subscription",INDEX('Game Records'!$U:$U,$H173)&lt;&gt;"Free Game",INDEX('Game Records'!$U:$U,$H173)&lt;&gt;"Disqualified — Free Game",INDEX('Game Records'!$I:$I,$H173)=""),"Eligible Players; ","")&amp;IF(AND(INDEX('Game Records'!$U:$U,$H173)&lt;&gt;"Subscription",INDEX('Game Records'!$U:$U,$H173)&lt;&gt;"Free Game",INDEX('Game Records'!$U:$U,$H173)&lt;&gt;"Disqualified — Free Game",INDEX('Game Records'!$J:$J,$H173)=""),"Total Players; ","")&amp;IF(AND(LOWER(INDEX('Game Records'!$D:$D,$H173)&amp;"")="finalized",LOWER(INDEX('Game Records'!$L:$L,$H173)&amp;"")&lt;&gt;"yes",INDEX('Game Records'!$U:$U,$H173)&lt;&gt;"Subscription",INDEX('Game Records'!$U:$U,$H173)&lt;&gt;"Free Game",INDEX('Game Records'!$U:$U,$H173)&lt;&gt;"Disqualified — Free Game",INDEX('Game Records'!$K:$K,$H173)=""),"Final Earned; ","")&amp;IF(AND(LOWER(INDEX('Game Records'!$D:$D,$H173)&amp;"")="finalized",INDEX('Game Records'!$U:$U,$H173)&lt;&gt;"Subscription",INDEX('Game Records'!$U:$U,$H173)&lt;&gt;"Free Game",INDEX('Game Records'!$U:$U,$H173)&lt;&gt;"Disqualified — Free Game",OR(INDEX('Game Records'!$L:$L,$H173)="",LOWER(INDEX('Game Records'!$L:$L,$H173)&amp;"")="n/a")),"Disqualified Status; ",""))</x:f>
        <x:v/>
      </x:c>
      <x:c r="G173" s="331" t="str">
        <x:f>IF($H173="","",IFERROR(INDEX('Game Records'!$M:$M,$H173),""))</x:f>
        <x:v/>
      </x:c>
      <x:c r="H173" s="104" t="str">
        <x:f>IF($H172="","",IFERROR(MATCH(1,INDEX((ROW('Game Records'!$U$5:$U$504)&gt;$H172)*(('Game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3" s="104"/>
      <x:c r="J173" s="104"/>
    </x:row>
    <x:row r="174" ht="24" hidden="0" customHeight="1">
      <x:c r="A174" s="332" t="str">
        <x:f>IF($H174="","",ROWS($A$5:A174))</x:f>
        <x:v/>
      </x:c>
      <x:c r="B174" s="332" t="str">
        <x:f>IF($H174="","","G-"&amp;TEXT($A174,"0000"))</x:f>
        <x:v/>
      </x:c>
      <x:c r="C174" s="331" t="str">
        <x:f>IF($H174="","",IFERROR(INDEX('Game Records'!$A:$A,$H174),""))</x:f>
        <x:v/>
      </x:c>
      <x:c r="D174" s="331" t="str">
        <x:f>IF($H174="","",IFERROR(INDEX('Game Records'!$U:$U,$H174),""))</x:f>
        <x:v/>
      </x:c>
      <x:c r="E174" s="331" t="str">
        <x:f>IF($H174="","",IF($F174="","No Highlighted Fields","Highlighted Fields Present"))</x:f>
        <x:v/>
      </x:c>
      <x:c r="F174" s="331" t="str">
        <x:f>IF($H174="","",IF(INDEX('Game Records'!$B:$B,$H174)="","Start Date; ","")&amp;IF(INDEX('Game Records'!$C:$C,$H174)="","End Date; ","")&amp;IF(AND(INDEX('Game Records'!$U:$U,$H174)&lt;&gt;"Subscription",INDEX('Game Records'!$U:$U,$H174)&lt;&gt;"Free Game",INDEX('Game Records'!$U:$U,$H174)&lt;&gt;"Disqualified — Free Game",OR(INDEX('Game Records'!$D:$D,$H174)="",LOWER(INDEX('Game Records'!$D:$D,$H174)&amp;"")="n/a")),"Entry Mode; ","")&amp;IF(AND(INDEX('Game Records'!$U:$U,$H174)&lt;&gt;"Subscription",INDEX('Game Records'!$U:$U,$H174)&lt;&gt;"Free Game",INDEX('Game Records'!$U:$U,$H174)&lt;&gt;"Disqualified — Free Game",OR(INDEX('Game Records'!$E:$E,$H174)="",LOWER(INDEX('Game Records'!$E:$E,$H174)&amp;"")="n/a")),"Game Type; ","")&amp;IF(INDEX('Game Records'!$F:$F,$H174)="","Payment Type; ","")&amp;IF(AND(INDEX('Game Records'!$U:$U,$H174)&lt;&gt;"Subscription",INDEX('Game Records'!$U:$U,$H174)&lt;&gt;"Free Game",INDEX('Game Records'!$U:$U,$H174)&lt;&gt;"Disqualified — Free Game",INDEX('Game Records'!$G:$G,$H174)=""),"Gross Pot; ","")&amp;IF(AND(INDEX('Game Records'!$U:$U,$H174)&lt;&gt;"Free Game",INDEX('Game Records'!$U:$U,$H174)&lt;&gt;"Disqualified — Free Game",INDEX('Game Records'!$H:$H,$H174)=""),"Entry Fee; ","")&amp;IF(AND(INDEX('Game Records'!$U:$U,$H174)&lt;&gt;"Subscription",INDEX('Game Records'!$U:$U,$H174)&lt;&gt;"Free Game",INDEX('Game Records'!$U:$U,$H174)&lt;&gt;"Disqualified — Free Game",INDEX('Game Records'!$I:$I,$H174)=""),"Eligible Players; ","")&amp;IF(AND(INDEX('Game Records'!$U:$U,$H174)&lt;&gt;"Subscription",INDEX('Game Records'!$U:$U,$H174)&lt;&gt;"Free Game",INDEX('Game Records'!$U:$U,$H174)&lt;&gt;"Disqualified — Free Game",INDEX('Game Records'!$J:$J,$H174)=""),"Total Players; ","")&amp;IF(AND(LOWER(INDEX('Game Records'!$D:$D,$H174)&amp;"")="finalized",LOWER(INDEX('Game Records'!$L:$L,$H174)&amp;"")&lt;&gt;"yes",INDEX('Game Records'!$U:$U,$H174)&lt;&gt;"Subscription",INDEX('Game Records'!$U:$U,$H174)&lt;&gt;"Free Game",INDEX('Game Records'!$U:$U,$H174)&lt;&gt;"Disqualified — Free Game",INDEX('Game Records'!$K:$K,$H174)=""),"Final Earned; ","")&amp;IF(AND(LOWER(INDEX('Game Records'!$D:$D,$H174)&amp;"")="finalized",INDEX('Game Records'!$U:$U,$H174)&lt;&gt;"Subscription",INDEX('Game Records'!$U:$U,$H174)&lt;&gt;"Free Game",INDEX('Game Records'!$U:$U,$H174)&lt;&gt;"Disqualified — Free Game",OR(INDEX('Game Records'!$L:$L,$H174)="",LOWER(INDEX('Game Records'!$L:$L,$H174)&amp;"")="n/a")),"Disqualified Status; ",""))</x:f>
        <x:v/>
      </x:c>
      <x:c r="G174" s="331" t="str">
        <x:f>IF($H174="","",IFERROR(INDEX('Game Records'!$M:$M,$H174),""))</x:f>
        <x:v/>
      </x:c>
      <x:c r="H174" s="104" t="str">
        <x:f>IF($H173="","",IFERROR(MATCH(1,INDEX((ROW('Game Records'!$U$5:$U$504)&gt;$H173)*(('Game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4" s="104"/>
      <x:c r="J174" s="104"/>
    </x:row>
    <x:row r="175" ht="24" hidden="0" customHeight="1">
      <x:c r="A175" s="332" t="str">
        <x:f>IF($H175="","",ROWS($A$5:A175))</x:f>
        <x:v/>
      </x:c>
      <x:c r="B175" s="332" t="str">
        <x:f>IF($H175="","","G-"&amp;TEXT($A175,"0000"))</x:f>
        <x:v/>
      </x:c>
      <x:c r="C175" s="331" t="str">
        <x:f>IF($H175="","",IFERROR(INDEX('Game Records'!$A:$A,$H175),""))</x:f>
        <x:v/>
      </x:c>
      <x:c r="D175" s="331" t="str">
        <x:f>IF($H175="","",IFERROR(INDEX('Game Records'!$U:$U,$H175),""))</x:f>
        <x:v/>
      </x:c>
      <x:c r="E175" s="331" t="str">
        <x:f>IF($H175="","",IF($F175="","No Highlighted Fields","Highlighted Fields Present"))</x:f>
        <x:v/>
      </x:c>
      <x:c r="F175" s="331" t="str">
        <x:f>IF($H175="","",IF(INDEX('Game Records'!$B:$B,$H175)="","Start Date; ","")&amp;IF(INDEX('Game Records'!$C:$C,$H175)="","End Date; ","")&amp;IF(AND(INDEX('Game Records'!$U:$U,$H175)&lt;&gt;"Subscription",INDEX('Game Records'!$U:$U,$H175)&lt;&gt;"Free Game",INDEX('Game Records'!$U:$U,$H175)&lt;&gt;"Disqualified — Free Game",OR(INDEX('Game Records'!$D:$D,$H175)="",LOWER(INDEX('Game Records'!$D:$D,$H175)&amp;"")="n/a")),"Entry Mode; ","")&amp;IF(AND(INDEX('Game Records'!$U:$U,$H175)&lt;&gt;"Subscription",INDEX('Game Records'!$U:$U,$H175)&lt;&gt;"Free Game",INDEX('Game Records'!$U:$U,$H175)&lt;&gt;"Disqualified — Free Game",OR(INDEX('Game Records'!$E:$E,$H175)="",LOWER(INDEX('Game Records'!$E:$E,$H175)&amp;"")="n/a")),"Game Type; ","")&amp;IF(INDEX('Game Records'!$F:$F,$H175)="","Payment Type; ","")&amp;IF(AND(INDEX('Game Records'!$U:$U,$H175)&lt;&gt;"Subscription",INDEX('Game Records'!$U:$U,$H175)&lt;&gt;"Free Game",INDEX('Game Records'!$U:$U,$H175)&lt;&gt;"Disqualified — Free Game",INDEX('Game Records'!$G:$G,$H175)=""),"Gross Pot; ","")&amp;IF(AND(INDEX('Game Records'!$U:$U,$H175)&lt;&gt;"Free Game",INDEX('Game Records'!$U:$U,$H175)&lt;&gt;"Disqualified — Free Game",INDEX('Game Records'!$H:$H,$H175)=""),"Entry Fee; ","")&amp;IF(AND(INDEX('Game Records'!$U:$U,$H175)&lt;&gt;"Subscription",INDEX('Game Records'!$U:$U,$H175)&lt;&gt;"Free Game",INDEX('Game Records'!$U:$U,$H175)&lt;&gt;"Disqualified — Free Game",INDEX('Game Records'!$I:$I,$H175)=""),"Eligible Players; ","")&amp;IF(AND(INDEX('Game Records'!$U:$U,$H175)&lt;&gt;"Subscription",INDEX('Game Records'!$U:$U,$H175)&lt;&gt;"Free Game",INDEX('Game Records'!$U:$U,$H175)&lt;&gt;"Disqualified — Free Game",INDEX('Game Records'!$J:$J,$H175)=""),"Total Players; ","")&amp;IF(AND(LOWER(INDEX('Game Records'!$D:$D,$H175)&amp;"")="finalized",LOWER(INDEX('Game Records'!$L:$L,$H175)&amp;"")&lt;&gt;"yes",INDEX('Game Records'!$U:$U,$H175)&lt;&gt;"Subscription",INDEX('Game Records'!$U:$U,$H175)&lt;&gt;"Free Game",INDEX('Game Records'!$U:$U,$H175)&lt;&gt;"Disqualified — Free Game",INDEX('Game Records'!$K:$K,$H175)=""),"Final Earned; ","")&amp;IF(AND(LOWER(INDEX('Game Records'!$D:$D,$H175)&amp;"")="finalized",INDEX('Game Records'!$U:$U,$H175)&lt;&gt;"Subscription",INDEX('Game Records'!$U:$U,$H175)&lt;&gt;"Free Game",INDEX('Game Records'!$U:$U,$H175)&lt;&gt;"Disqualified — Free Game",OR(INDEX('Game Records'!$L:$L,$H175)="",LOWER(INDEX('Game Records'!$L:$L,$H175)&amp;"")="n/a")),"Disqualified Status; ",""))</x:f>
        <x:v/>
      </x:c>
      <x:c r="G175" s="331" t="str">
        <x:f>IF($H175="","",IFERROR(INDEX('Game Records'!$M:$M,$H175),""))</x:f>
        <x:v/>
      </x:c>
      <x:c r="H175" s="104" t="str">
        <x:f>IF($H174="","",IFERROR(MATCH(1,INDEX((ROW('Game Records'!$U$5:$U$504)&gt;$H174)*(('Game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5" s="104"/>
      <x:c r="J175" s="104"/>
    </x:row>
    <x:row r="176" ht="24" hidden="0" customHeight="1">
      <x:c r="A176" s="332" t="str">
        <x:f>IF($H176="","",ROWS($A$5:A176))</x:f>
        <x:v/>
      </x:c>
      <x:c r="B176" s="332" t="str">
        <x:f>IF($H176="","","G-"&amp;TEXT($A176,"0000"))</x:f>
        <x:v/>
      </x:c>
      <x:c r="C176" s="331" t="str">
        <x:f>IF($H176="","",IFERROR(INDEX('Game Records'!$A:$A,$H176),""))</x:f>
        <x:v/>
      </x:c>
      <x:c r="D176" s="331" t="str">
        <x:f>IF($H176="","",IFERROR(INDEX('Game Records'!$U:$U,$H176),""))</x:f>
        <x:v/>
      </x:c>
      <x:c r="E176" s="331" t="str">
        <x:f>IF($H176="","",IF($F176="","No Highlighted Fields","Highlighted Fields Present"))</x:f>
        <x:v/>
      </x:c>
      <x:c r="F176" s="331" t="str">
        <x:f>IF($H176="","",IF(INDEX('Game Records'!$B:$B,$H176)="","Start Date; ","")&amp;IF(INDEX('Game Records'!$C:$C,$H176)="","End Date; ","")&amp;IF(AND(INDEX('Game Records'!$U:$U,$H176)&lt;&gt;"Subscription",INDEX('Game Records'!$U:$U,$H176)&lt;&gt;"Free Game",INDEX('Game Records'!$U:$U,$H176)&lt;&gt;"Disqualified — Free Game",OR(INDEX('Game Records'!$D:$D,$H176)="",LOWER(INDEX('Game Records'!$D:$D,$H176)&amp;"")="n/a")),"Entry Mode; ","")&amp;IF(AND(INDEX('Game Records'!$U:$U,$H176)&lt;&gt;"Subscription",INDEX('Game Records'!$U:$U,$H176)&lt;&gt;"Free Game",INDEX('Game Records'!$U:$U,$H176)&lt;&gt;"Disqualified — Free Game",OR(INDEX('Game Records'!$E:$E,$H176)="",LOWER(INDEX('Game Records'!$E:$E,$H176)&amp;"")="n/a")),"Game Type; ","")&amp;IF(INDEX('Game Records'!$F:$F,$H176)="","Payment Type; ","")&amp;IF(AND(INDEX('Game Records'!$U:$U,$H176)&lt;&gt;"Subscription",INDEX('Game Records'!$U:$U,$H176)&lt;&gt;"Free Game",INDEX('Game Records'!$U:$U,$H176)&lt;&gt;"Disqualified — Free Game",INDEX('Game Records'!$G:$G,$H176)=""),"Gross Pot; ","")&amp;IF(AND(INDEX('Game Records'!$U:$U,$H176)&lt;&gt;"Free Game",INDEX('Game Records'!$U:$U,$H176)&lt;&gt;"Disqualified — Free Game",INDEX('Game Records'!$H:$H,$H176)=""),"Entry Fee; ","")&amp;IF(AND(INDEX('Game Records'!$U:$U,$H176)&lt;&gt;"Subscription",INDEX('Game Records'!$U:$U,$H176)&lt;&gt;"Free Game",INDEX('Game Records'!$U:$U,$H176)&lt;&gt;"Disqualified — Free Game",INDEX('Game Records'!$I:$I,$H176)=""),"Eligible Players; ","")&amp;IF(AND(INDEX('Game Records'!$U:$U,$H176)&lt;&gt;"Subscription",INDEX('Game Records'!$U:$U,$H176)&lt;&gt;"Free Game",INDEX('Game Records'!$U:$U,$H176)&lt;&gt;"Disqualified — Free Game",INDEX('Game Records'!$J:$J,$H176)=""),"Total Players; ","")&amp;IF(AND(LOWER(INDEX('Game Records'!$D:$D,$H176)&amp;"")="finalized",LOWER(INDEX('Game Records'!$L:$L,$H176)&amp;"")&lt;&gt;"yes",INDEX('Game Records'!$U:$U,$H176)&lt;&gt;"Subscription",INDEX('Game Records'!$U:$U,$H176)&lt;&gt;"Free Game",INDEX('Game Records'!$U:$U,$H176)&lt;&gt;"Disqualified — Free Game",INDEX('Game Records'!$K:$K,$H176)=""),"Final Earned; ","")&amp;IF(AND(LOWER(INDEX('Game Records'!$D:$D,$H176)&amp;"")="finalized",INDEX('Game Records'!$U:$U,$H176)&lt;&gt;"Subscription",INDEX('Game Records'!$U:$U,$H176)&lt;&gt;"Free Game",INDEX('Game Records'!$U:$U,$H176)&lt;&gt;"Disqualified — Free Game",OR(INDEX('Game Records'!$L:$L,$H176)="",LOWER(INDEX('Game Records'!$L:$L,$H176)&amp;"")="n/a")),"Disqualified Status; ",""))</x:f>
        <x:v/>
      </x:c>
      <x:c r="G176" s="331" t="str">
        <x:f>IF($H176="","",IFERROR(INDEX('Game Records'!$M:$M,$H176),""))</x:f>
        <x:v/>
      </x:c>
      <x:c r="H176" s="104" t="str">
        <x:f>IF($H175="","",IFERROR(MATCH(1,INDEX((ROW('Game Records'!$U$5:$U$504)&gt;$H175)*(('Game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6" s="104"/>
      <x:c r="J176" s="104"/>
    </x:row>
    <x:row r="177" ht="24" hidden="0" customHeight="1">
      <x:c r="A177" s="332" t="str">
        <x:f>IF($H177="","",ROWS($A$5:A177))</x:f>
        <x:v/>
      </x:c>
      <x:c r="B177" s="332" t="str">
        <x:f>IF($H177="","","G-"&amp;TEXT($A177,"0000"))</x:f>
        <x:v/>
      </x:c>
      <x:c r="C177" s="331" t="str">
        <x:f>IF($H177="","",IFERROR(INDEX('Game Records'!$A:$A,$H177),""))</x:f>
        <x:v/>
      </x:c>
      <x:c r="D177" s="331" t="str">
        <x:f>IF($H177="","",IFERROR(INDEX('Game Records'!$U:$U,$H177),""))</x:f>
        <x:v/>
      </x:c>
      <x:c r="E177" s="331" t="str">
        <x:f>IF($H177="","",IF($F177="","No Highlighted Fields","Highlighted Fields Present"))</x:f>
        <x:v/>
      </x:c>
      <x:c r="F177" s="331" t="str">
        <x:f>IF($H177="","",IF(INDEX('Game Records'!$B:$B,$H177)="","Start Date; ","")&amp;IF(INDEX('Game Records'!$C:$C,$H177)="","End Date; ","")&amp;IF(AND(INDEX('Game Records'!$U:$U,$H177)&lt;&gt;"Subscription",INDEX('Game Records'!$U:$U,$H177)&lt;&gt;"Free Game",INDEX('Game Records'!$U:$U,$H177)&lt;&gt;"Disqualified — Free Game",OR(INDEX('Game Records'!$D:$D,$H177)="",LOWER(INDEX('Game Records'!$D:$D,$H177)&amp;"")="n/a")),"Entry Mode; ","")&amp;IF(AND(INDEX('Game Records'!$U:$U,$H177)&lt;&gt;"Subscription",INDEX('Game Records'!$U:$U,$H177)&lt;&gt;"Free Game",INDEX('Game Records'!$U:$U,$H177)&lt;&gt;"Disqualified — Free Game",OR(INDEX('Game Records'!$E:$E,$H177)="",LOWER(INDEX('Game Records'!$E:$E,$H177)&amp;"")="n/a")),"Game Type; ","")&amp;IF(INDEX('Game Records'!$F:$F,$H177)="","Payment Type; ","")&amp;IF(AND(INDEX('Game Records'!$U:$U,$H177)&lt;&gt;"Subscription",INDEX('Game Records'!$U:$U,$H177)&lt;&gt;"Free Game",INDEX('Game Records'!$U:$U,$H177)&lt;&gt;"Disqualified — Free Game",INDEX('Game Records'!$G:$G,$H177)=""),"Gross Pot; ","")&amp;IF(AND(INDEX('Game Records'!$U:$U,$H177)&lt;&gt;"Free Game",INDEX('Game Records'!$U:$U,$H177)&lt;&gt;"Disqualified — Free Game",INDEX('Game Records'!$H:$H,$H177)=""),"Entry Fee; ","")&amp;IF(AND(INDEX('Game Records'!$U:$U,$H177)&lt;&gt;"Subscription",INDEX('Game Records'!$U:$U,$H177)&lt;&gt;"Free Game",INDEX('Game Records'!$U:$U,$H177)&lt;&gt;"Disqualified — Free Game",INDEX('Game Records'!$I:$I,$H177)=""),"Eligible Players; ","")&amp;IF(AND(INDEX('Game Records'!$U:$U,$H177)&lt;&gt;"Subscription",INDEX('Game Records'!$U:$U,$H177)&lt;&gt;"Free Game",INDEX('Game Records'!$U:$U,$H177)&lt;&gt;"Disqualified — Free Game",INDEX('Game Records'!$J:$J,$H177)=""),"Total Players; ","")&amp;IF(AND(LOWER(INDEX('Game Records'!$D:$D,$H177)&amp;"")="finalized",LOWER(INDEX('Game Records'!$L:$L,$H177)&amp;"")&lt;&gt;"yes",INDEX('Game Records'!$U:$U,$H177)&lt;&gt;"Subscription",INDEX('Game Records'!$U:$U,$H177)&lt;&gt;"Free Game",INDEX('Game Records'!$U:$U,$H177)&lt;&gt;"Disqualified — Free Game",INDEX('Game Records'!$K:$K,$H177)=""),"Final Earned; ","")&amp;IF(AND(LOWER(INDEX('Game Records'!$D:$D,$H177)&amp;"")="finalized",INDEX('Game Records'!$U:$U,$H177)&lt;&gt;"Subscription",INDEX('Game Records'!$U:$U,$H177)&lt;&gt;"Free Game",INDEX('Game Records'!$U:$U,$H177)&lt;&gt;"Disqualified — Free Game",OR(INDEX('Game Records'!$L:$L,$H177)="",LOWER(INDEX('Game Records'!$L:$L,$H177)&amp;"")="n/a")),"Disqualified Status; ",""))</x:f>
        <x:v/>
      </x:c>
      <x:c r="G177" s="331" t="str">
        <x:f>IF($H177="","",IFERROR(INDEX('Game Records'!$M:$M,$H177),""))</x:f>
        <x:v/>
      </x:c>
      <x:c r="H177" s="104" t="str">
        <x:f>IF($H176="","",IFERROR(MATCH(1,INDEX((ROW('Game Records'!$U$5:$U$504)&gt;$H176)*(('Game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7" s="104"/>
      <x:c r="J177" s="104"/>
    </x:row>
    <x:row r="178" ht="24" hidden="0" customHeight="1">
      <x:c r="A178" s="332" t="str">
        <x:f>IF($H178="","",ROWS($A$5:A178))</x:f>
        <x:v/>
      </x:c>
      <x:c r="B178" s="332" t="str">
        <x:f>IF($H178="","","G-"&amp;TEXT($A178,"0000"))</x:f>
        <x:v/>
      </x:c>
      <x:c r="C178" s="331" t="str">
        <x:f>IF($H178="","",IFERROR(INDEX('Game Records'!$A:$A,$H178),""))</x:f>
        <x:v/>
      </x:c>
      <x:c r="D178" s="331" t="str">
        <x:f>IF($H178="","",IFERROR(INDEX('Game Records'!$U:$U,$H178),""))</x:f>
        <x:v/>
      </x:c>
      <x:c r="E178" s="331" t="str">
        <x:f>IF($H178="","",IF($F178="","No Highlighted Fields","Highlighted Fields Present"))</x:f>
        <x:v/>
      </x:c>
      <x:c r="F178" s="331" t="str">
        <x:f>IF($H178="","",IF(INDEX('Game Records'!$B:$B,$H178)="","Start Date; ","")&amp;IF(INDEX('Game Records'!$C:$C,$H178)="","End Date; ","")&amp;IF(AND(INDEX('Game Records'!$U:$U,$H178)&lt;&gt;"Subscription",INDEX('Game Records'!$U:$U,$H178)&lt;&gt;"Free Game",INDEX('Game Records'!$U:$U,$H178)&lt;&gt;"Disqualified — Free Game",OR(INDEX('Game Records'!$D:$D,$H178)="",LOWER(INDEX('Game Records'!$D:$D,$H178)&amp;"")="n/a")),"Entry Mode; ","")&amp;IF(AND(INDEX('Game Records'!$U:$U,$H178)&lt;&gt;"Subscription",INDEX('Game Records'!$U:$U,$H178)&lt;&gt;"Free Game",INDEX('Game Records'!$U:$U,$H178)&lt;&gt;"Disqualified — Free Game",OR(INDEX('Game Records'!$E:$E,$H178)="",LOWER(INDEX('Game Records'!$E:$E,$H178)&amp;"")="n/a")),"Game Type; ","")&amp;IF(INDEX('Game Records'!$F:$F,$H178)="","Payment Type; ","")&amp;IF(AND(INDEX('Game Records'!$U:$U,$H178)&lt;&gt;"Subscription",INDEX('Game Records'!$U:$U,$H178)&lt;&gt;"Free Game",INDEX('Game Records'!$U:$U,$H178)&lt;&gt;"Disqualified — Free Game",INDEX('Game Records'!$G:$G,$H178)=""),"Gross Pot; ","")&amp;IF(AND(INDEX('Game Records'!$U:$U,$H178)&lt;&gt;"Free Game",INDEX('Game Records'!$U:$U,$H178)&lt;&gt;"Disqualified — Free Game",INDEX('Game Records'!$H:$H,$H178)=""),"Entry Fee; ","")&amp;IF(AND(INDEX('Game Records'!$U:$U,$H178)&lt;&gt;"Subscription",INDEX('Game Records'!$U:$U,$H178)&lt;&gt;"Free Game",INDEX('Game Records'!$U:$U,$H178)&lt;&gt;"Disqualified — Free Game",INDEX('Game Records'!$I:$I,$H178)=""),"Eligible Players; ","")&amp;IF(AND(INDEX('Game Records'!$U:$U,$H178)&lt;&gt;"Subscription",INDEX('Game Records'!$U:$U,$H178)&lt;&gt;"Free Game",INDEX('Game Records'!$U:$U,$H178)&lt;&gt;"Disqualified — Free Game",INDEX('Game Records'!$J:$J,$H178)=""),"Total Players; ","")&amp;IF(AND(LOWER(INDEX('Game Records'!$D:$D,$H178)&amp;"")="finalized",LOWER(INDEX('Game Records'!$L:$L,$H178)&amp;"")&lt;&gt;"yes",INDEX('Game Records'!$U:$U,$H178)&lt;&gt;"Subscription",INDEX('Game Records'!$U:$U,$H178)&lt;&gt;"Free Game",INDEX('Game Records'!$U:$U,$H178)&lt;&gt;"Disqualified — Free Game",INDEX('Game Records'!$K:$K,$H178)=""),"Final Earned; ","")&amp;IF(AND(LOWER(INDEX('Game Records'!$D:$D,$H178)&amp;"")="finalized",INDEX('Game Records'!$U:$U,$H178)&lt;&gt;"Subscription",INDEX('Game Records'!$U:$U,$H178)&lt;&gt;"Free Game",INDEX('Game Records'!$U:$U,$H178)&lt;&gt;"Disqualified — Free Game",OR(INDEX('Game Records'!$L:$L,$H178)="",LOWER(INDEX('Game Records'!$L:$L,$H178)&amp;"")="n/a")),"Disqualified Status; ",""))</x:f>
        <x:v/>
      </x:c>
      <x:c r="G178" s="331" t="str">
        <x:f>IF($H178="","",IFERROR(INDEX('Game Records'!$M:$M,$H178),""))</x:f>
        <x:v/>
      </x:c>
      <x:c r="H178" s="104" t="str">
        <x:f>IF($H177="","",IFERROR(MATCH(1,INDEX((ROW('Game Records'!$U$5:$U$504)&gt;$H177)*(('Game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8" s="104"/>
      <x:c r="J178" s="104"/>
    </x:row>
    <x:row r="179" ht="24" hidden="0" customHeight="1">
      <x:c r="A179" s="332" t="str">
        <x:f>IF($H179="","",ROWS($A$5:A179))</x:f>
        <x:v/>
      </x:c>
      <x:c r="B179" s="332" t="str">
        <x:f>IF($H179="","","G-"&amp;TEXT($A179,"0000"))</x:f>
        <x:v/>
      </x:c>
      <x:c r="C179" s="331" t="str">
        <x:f>IF($H179="","",IFERROR(INDEX('Game Records'!$A:$A,$H179),""))</x:f>
        <x:v/>
      </x:c>
      <x:c r="D179" s="331" t="str">
        <x:f>IF($H179="","",IFERROR(INDEX('Game Records'!$U:$U,$H179),""))</x:f>
        <x:v/>
      </x:c>
      <x:c r="E179" s="331" t="str">
        <x:f>IF($H179="","",IF($F179="","No Highlighted Fields","Highlighted Fields Present"))</x:f>
        <x:v/>
      </x:c>
      <x:c r="F179" s="331" t="str">
        <x:f>IF($H179="","",IF(INDEX('Game Records'!$B:$B,$H179)="","Start Date; ","")&amp;IF(INDEX('Game Records'!$C:$C,$H179)="","End Date; ","")&amp;IF(AND(INDEX('Game Records'!$U:$U,$H179)&lt;&gt;"Subscription",INDEX('Game Records'!$U:$U,$H179)&lt;&gt;"Free Game",INDEX('Game Records'!$U:$U,$H179)&lt;&gt;"Disqualified — Free Game",OR(INDEX('Game Records'!$D:$D,$H179)="",LOWER(INDEX('Game Records'!$D:$D,$H179)&amp;"")="n/a")),"Entry Mode; ","")&amp;IF(AND(INDEX('Game Records'!$U:$U,$H179)&lt;&gt;"Subscription",INDEX('Game Records'!$U:$U,$H179)&lt;&gt;"Free Game",INDEX('Game Records'!$U:$U,$H179)&lt;&gt;"Disqualified — Free Game",OR(INDEX('Game Records'!$E:$E,$H179)="",LOWER(INDEX('Game Records'!$E:$E,$H179)&amp;"")="n/a")),"Game Type; ","")&amp;IF(INDEX('Game Records'!$F:$F,$H179)="","Payment Type; ","")&amp;IF(AND(INDEX('Game Records'!$U:$U,$H179)&lt;&gt;"Subscription",INDEX('Game Records'!$U:$U,$H179)&lt;&gt;"Free Game",INDEX('Game Records'!$U:$U,$H179)&lt;&gt;"Disqualified — Free Game",INDEX('Game Records'!$G:$G,$H179)=""),"Gross Pot; ","")&amp;IF(AND(INDEX('Game Records'!$U:$U,$H179)&lt;&gt;"Free Game",INDEX('Game Records'!$U:$U,$H179)&lt;&gt;"Disqualified — Free Game",INDEX('Game Records'!$H:$H,$H179)=""),"Entry Fee; ","")&amp;IF(AND(INDEX('Game Records'!$U:$U,$H179)&lt;&gt;"Subscription",INDEX('Game Records'!$U:$U,$H179)&lt;&gt;"Free Game",INDEX('Game Records'!$U:$U,$H179)&lt;&gt;"Disqualified — Free Game",INDEX('Game Records'!$I:$I,$H179)=""),"Eligible Players; ","")&amp;IF(AND(INDEX('Game Records'!$U:$U,$H179)&lt;&gt;"Subscription",INDEX('Game Records'!$U:$U,$H179)&lt;&gt;"Free Game",INDEX('Game Records'!$U:$U,$H179)&lt;&gt;"Disqualified — Free Game",INDEX('Game Records'!$J:$J,$H179)=""),"Total Players; ","")&amp;IF(AND(LOWER(INDEX('Game Records'!$D:$D,$H179)&amp;"")="finalized",LOWER(INDEX('Game Records'!$L:$L,$H179)&amp;"")&lt;&gt;"yes",INDEX('Game Records'!$U:$U,$H179)&lt;&gt;"Subscription",INDEX('Game Records'!$U:$U,$H179)&lt;&gt;"Free Game",INDEX('Game Records'!$U:$U,$H179)&lt;&gt;"Disqualified — Free Game",INDEX('Game Records'!$K:$K,$H179)=""),"Final Earned; ","")&amp;IF(AND(LOWER(INDEX('Game Records'!$D:$D,$H179)&amp;"")="finalized",INDEX('Game Records'!$U:$U,$H179)&lt;&gt;"Subscription",INDEX('Game Records'!$U:$U,$H179)&lt;&gt;"Free Game",INDEX('Game Records'!$U:$U,$H179)&lt;&gt;"Disqualified — Free Game",OR(INDEX('Game Records'!$L:$L,$H179)="",LOWER(INDEX('Game Records'!$L:$L,$H179)&amp;"")="n/a")),"Disqualified Status; ",""))</x:f>
        <x:v/>
      </x:c>
      <x:c r="G179" s="331" t="str">
        <x:f>IF($H179="","",IFERROR(INDEX('Game Records'!$M:$M,$H179),""))</x:f>
        <x:v/>
      </x:c>
      <x:c r="H179" s="104" t="str">
        <x:f>IF($H178="","",IFERROR(MATCH(1,INDEX((ROW('Game Records'!$U$5:$U$504)&gt;$H178)*(('Game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79" s="104"/>
      <x:c r="J179" s="104"/>
    </x:row>
    <x:row r="180" ht="24" hidden="0" customHeight="1">
      <x:c r="A180" s="332" t="str">
        <x:f>IF($H180="","",ROWS($A$5:A180))</x:f>
        <x:v/>
      </x:c>
      <x:c r="B180" s="332" t="str">
        <x:f>IF($H180="","","G-"&amp;TEXT($A180,"0000"))</x:f>
        <x:v/>
      </x:c>
      <x:c r="C180" s="331" t="str">
        <x:f>IF($H180="","",IFERROR(INDEX('Game Records'!$A:$A,$H180),""))</x:f>
        <x:v/>
      </x:c>
      <x:c r="D180" s="331" t="str">
        <x:f>IF($H180="","",IFERROR(INDEX('Game Records'!$U:$U,$H180),""))</x:f>
        <x:v/>
      </x:c>
      <x:c r="E180" s="331" t="str">
        <x:f>IF($H180="","",IF($F180="","No Highlighted Fields","Highlighted Fields Present"))</x:f>
        <x:v/>
      </x:c>
      <x:c r="F180" s="331" t="str">
        <x:f>IF($H180="","",IF(INDEX('Game Records'!$B:$B,$H180)="","Start Date; ","")&amp;IF(INDEX('Game Records'!$C:$C,$H180)="","End Date; ","")&amp;IF(AND(INDEX('Game Records'!$U:$U,$H180)&lt;&gt;"Subscription",INDEX('Game Records'!$U:$U,$H180)&lt;&gt;"Free Game",INDEX('Game Records'!$U:$U,$H180)&lt;&gt;"Disqualified — Free Game",OR(INDEX('Game Records'!$D:$D,$H180)="",LOWER(INDEX('Game Records'!$D:$D,$H180)&amp;"")="n/a")),"Entry Mode; ","")&amp;IF(AND(INDEX('Game Records'!$U:$U,$H180)&lt;&gt;"Subscription",INDEX('Game Records'!$U:$U,$H180)&lt;&gt;"Free Game",INDEX('Game Records'!$U:$U,$H180)&lt;&gt;"Disqualified — Free Game",OR(INDEX('Game Records'!$E:$E,$H180)="",LOWER(INDEX('Game Records'!$E:$E,$H180)&amp;"")="n/a")),"Game Type; ","")&amp;IF(INDEX('Game Records'!$F:$F,$H180)="","Payment Type; ","")&amp;IF(AND(INDEX('Game Records'!$U:$U,$H180)&lt;&gt;"Subscription",INDEX('Game Records'!$U:$U,$H180)&lt;&gt;"Free Game",INDEX('Game Records'!$U:$U,$H180)&lt;&gt;"Disqualified — Free Game",INDEX('Game Records'!$G:$G,$H180)=""),"Gross Pot; ","")&amp;IF(AND(INDEX('Game Records'!$U:$U,$H180)&lt;&gt;"Free Game",INDEX('Game Records'!$U:$U,$H180)&lt;&gt;"Disqualified — Free Game",INDEX('Game Records'!$H:$H,$H180)=""),"Entry Fee; ","")&amp;IF(AND(INDEX('Game Records'!$U:$U,$H180)&lt;&gt;"Subscription",INDEX('Game Records'!$U:$U,$H180)&lt;&gt;"Free Game",INDEX('Game Records'!$U:$U,$H180)&lt;&gt;"Disqualified — Free Game",INDEX('Game Records'!$I:$I,$H180)=""),"Eligible Players; ","")&amp;IF(AND(INDEX('Game Records'!$U:$U,$H180)&lt;&gt;"Subscription",INDEX('Game Records'!$U:$U,$H180)&lt;&gt;"Free Game",INDEX('Game Records'!$U:$U,$H180)&lt;&gt;"Disqualified — Free Game",INDEX('Game Records'!$J:$J,$H180)=""),"Total Players; ","")&amp;IF(AND(LOWER(INDEX('Game Records'!$D:$D,$H180)&amp;"")="finalized",LOWER(INDEX('Game Records'!$L:$L,$H180)&amp;"")&lt;&gt;"yes",INDEX('Game Records'!$U:$U,$H180)&lt;&gt;"Subscription",INDEX('Game Records'!$U:$U,$H180)&lt;&gt;"Free Game",INDEX('Game Records'!$U:$U,$H180)&lt;&gt;"Disqualified — Free Game",INDEX('Game Records'!$K:$K,$H180)=""),"Final Earned; ","")&amp;IF(AND(LOWER(INDEX('Game Records'!$D:$D,$H180)&amp;"")="finalized",INDEX('Game Records'!$U:$U,$H180)&lt;&gt;"Subscription",INDEX('Game Records'!$U:$U,$H180)&lt;&gt;"Free Game",INDEX('Game Records'!$U:$U,$H180)&lt;&gt;"Disqualified — Free Game",OR(INDEX('Game Records'!$L:$L,$H180)="",LOWER(INDEX('Game Records'!$L:$L,$H180)&amp;"")="n/a")),"Disqualified Status; ",""))</x:f>
        <x:v/>
      </x:c>
      <x:c r="G180" s="331" t="str">
        <x:f>IF($H180="","",IFERROR(INDEX('Game Records'!$M:$M,$H180),""))</x:f>
        <x:v/>
      </x:c>
      <x:c r="H180" s="104" t="str">
        <x:f>IF($H179="","",IFERROR(MATCH(1,INDEX((ROW('Game Records'!$U$5:$U$504)&gt;$H179)*(('Game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0" s="104"/>
      <x:c r="J180" s="104"/>
    </x:row>
    <x:row r="181" ht="24" hidden="0" customHeight="1">
      <x:c r="A181" s="332" t="str">
        <x:f>IF($H181="","",ROWS($A$5:A181))</x:f>
        <x:v/>
      </x:c>
      <x:c r="B181" s="332" t="str">
        <x:f>IF($H181="","","G-"&amp;TEXT($A181,"0000"))</x:f>
        <x:v/>
      </x:c>
      <x:c r="C181" s="331" t="str">
        <x:f>IF($H181="","",IFERROR(INDEX('Game Records'!$A:$A,$H181),""))</x:f>
        <x:v/>
      </x:c>
      <x:c r="D181" s="331" t="str">
        <x:f>IF($H181="","",IFERROR(INDEX('Game Records'!$U:$U,$H181),""))</x:f>
        <x:v/>
      </x:c>
      <x:c r="E181" s="331" t="str">
        <x:f>IF($H181="","",IF($F181="","No Highlighted Fields","Highlighted Fields Present"))</x:f>
        <x:v/>
      </x:c>
      <x:c r="F181" s="331" t="str">
        <x:f>IF($H181="","",IF(INDEX('Game Records'!$B:$B,$H181)="","Start Date; ","")&amp;IF(INDEX('Game Records'!$C:$C,$H181)="","End Date; ","")&amp;IF(AND(INDEX('Game Records'!$U:$U,$H181)&lt;&gt;"Subscription",INDEX('Game Records'!$U:$U,$H181)&lt;&gt;"Free Game",INDEX('Game Records'!$U:$U,$H181)&lt;&gt;"Disqualified — Free Game",OR(INDEX('Game Records'!$D:$D,$H181)="",LOWER(INDEX('Game Records'!$D:$D,$H181)&amp;"")="n/a")),"Entry Mode; ","")&amp;IF(AND(INDEX('Game Records'!$U:$U,$H181)&lt;&gt;"Subscription",INDEX('Game Records'!$U:$U,$H181)&lt;&gt;"Free Game",INDEX('Game Records'!$U:$U,$H181)&lt;&gt;"Disqualified — Free Game",OR(INDEX('Game Records'!$E:$E,$H181)="",LOWER(INDEX('Game Records'!$E:$E,$H181)&amp;"")="n/a")),"Game Type; ","")&amp;IF(INDEX('Game Records'!$F:$F,$H181)="","Payment Type; ","")&amp;IF(AND(INDEX('Game Records'!$U:$U,$H181)&lt;&gt;"Subscription",INDEX('Game Records'!$U:$U,$H181)&lt;&gt;"Free Game",INDEX('Game Records'!$U:$U,$H181)&lt;&gt;"Disqualified — Free Game",INDEX('Game Records'!$G:$G,$H181)=""),"Gross Pot; ","")&amp;IF(AND(INDEX('Game Records'!$U:$U,$H181)&lt;&gt;"Free Game",INDEX('Game Records'!$U:$U,$H181)&lt;&gt;"Disqualified — Free Game",INDEX('Game Records'!$H:$H,$H181)=""),"Entry Fee; ","")&amp;IF(AND(INDEX('Game Records'!$U:$U,$H181)&lt;&gt;"Subscription",INDEX('Game Records'!$U:$U,$H181)&lt;&gt;"Free Game",INDEX('Game Records'!$U:$U,$H181)&lt;&gt;"Disqualified — Free Game",INDEX('Game Records'!$I:$I,$H181)=""),"Eligible Players; ","")&amp;IF(AND(INDEX('Game Records'!$U:$U,$H181)&lt;&gt;"Subscription",INDEX('Game Records'!$U:$U,$H181)&lt;&gt;"Free Game",INDEX('Game Records'!$U:$U,$H181)&lt;&gt;"Disqualified — Free Game",INDEX('Game Records'!$J:$J,$H181)=""),"Total Players; ","")&amp;IF(AND(LOWER(INDEX('Game Records'!$D:$D,$H181)&amp;"")="finalized",LOWER(INDEX('Game Records'!$L:$L,$H181)&amp;"")&lt;&gt;"yes",INDEX('Game Records'!$U:$U,$H181)&lt;&gt;"Subscription",INDEX('Game Records'!$U:$U,$H181)&lt;&gt;"Free Game",INDEX('Game Records'!$U:$U,$H181)&lt;&gt;"Disqualified — Free Game",INDEX('Game Records'!$K:$K,$H181)=""),"Final Earned; ","")&amp;IF(AND(LOWER(INDEX('Game Records'!$D:$D,$H181)&amp;"")="finalized",INDEX('Game Records'!$U:$U,$H181)&lt;&gt;"Subscription",INDEX('Game Records'!$U:$U,$H181)&lt;&gt;"Free Game",INDEX('Game Records'!$U:$U,$H181)&lt;&gt;"Disqualified — Free Game",OR(INDEX('Game Records'!$L:$L,$H181)="",LOWER(INDEX('Game Records'!$L:$L,$H181)&amp;"")="n/a")),"Disqualified Status; ",""))</x:f>
        <x:v/>
      </x:c>
      <x:c r="G181" s="331" t="str">
        <x:f>IF($H181="","",IFERROR(INDEX('Game Records'!$M:$M,$H181),""))</x:f>
        <x:v/>
      </x:c>
      <x:c r="H181" s="104" t="str">
        <x:f>IF($H180="","",IFERROR(MATCH(1,INDEX((ROW('Game Records'!$U$5:$U$504)&gt;$H180)*(('Game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1" s="104"/>
      <x:c r="J181" s="104"/>
    </x:row>
    <x:row r="182" ht="24" hidden="0" customHeight="1">
      <x:c r="A182" s="332" t="str">
        <x:f>IF($H182="","",ROWS($A$5:A182))</x:f>
        <x:v/>
      </x:c>
      <x:c r="B182" s="332" t="str">
        <x:f>IF($H182="","","G-"&amp;TEXT($A182,"0000"))</x:f>
        <x:v/>
      </x:c>
      <x:c r="C182" s="331" t="str">
        <x:f>IF($H182="","",IFERROR(INDEX('Game Records'!$A:$A,$H182),""))</x:f>
        <x:v/>
      </x:c>
      <x:c r="D182" s="331" t="str">
        <x:f>IF($H182="","",IFERROR(INDEX('Game Records'!$U:$U,$H182),""))</x:f>
        <x:v/>
      </x:c>
      <x:c r="E182" s="331" t="str">
        <x:f>IF($H182="","",IF($F182="","No Highlighted Fields","Highlighted Fields Present"))</x:f>
        <x:v/>
      </x:c>
      <x:c r="F182" s="331" t="str">
        <x:f>IF($H182="","",IF(INDEX('Game Records'!$B:$B,$H182)="","Start Date; ","")&amp;IF(INDEX('Game Records'!$C:$C,$H182)="","End Date; ","")&amp;IF(AND(INDEX('Game Records'!$U:$U,$H182)&lt;&gt;"Subscription",INDEX('Game Records'!$U:$U,$H182)&lt;&gt;"Free Game",INDEX('Game Records'!$U:$U,$H182)&lt;&gt;"Disqualified — Free Game",OR(INDEX('Game Records'!$D:$D,$H182)="",LOWER(INDEX('Game Records'!$D:$D,$H182)&amp;"")="n/a")),"Entry Mode; ","")&amp;IF(AND(INDEX('Game Records'!$U:$U,$H182)&lt;&gt;"Subscription",INDEX('Game Records'!$U:$U,$H182)&lt;&gt;"Free Game",INDEX('Game Records'!$U:$U,$H182)&lt;&gt;"Disqualified — Free Game",OR(INDEX('Game Records'!$E:$E,$H182)="",LOWER(INDEX('Game Records'!$E:$E,$H182)&amp;"")="n/a")),"Game Type; ","")&amp;IF(INDEX('Game Records'!$F:$F,$H182)="","Payment Type; ","")&amp;IF(AND(INDEX('Game Records'!$U:$U,$H182)&lt;&gt;"Subscription",INDEX('Game Records'!$U:$U,$H182)&lt;&gt;"Free Game",INDEX('Game Records'!$U:$U,$H182)&lt;&gt;"Disqualified — Free Game",INDEX('Game Records'!$G:$G,$H182)=""),"Gross Pot; ","")&amp;IF(AND(INDEX('Game Records'!$U:$U,$H182)&lt;&gt;"Free Game",INDEX('Game Records'!$U:$U,$H182)&lt;&gt;"Disqualified — Free Game",INDEX('Game Records'!$H:$H,$H182)=""),"Entry Fee; ","")&amp;IF(AND(INDEX('Game Records'!$U:$U,$H182)&lt;&gt;"Subscription",INDEX('Game Records'!$U:$U,$H182)&lt;&gt;"Free Game",INDEX('Game Records'!$U:$U,$H182)&lt;&gt;"Disqualified — Free Game",INDEX('Game Records'!$I:$I,$H182)=""),"Eligible Players; ","")&amp;IF(AND(INDEX('Game Records'!$U:$U,$H182)&lt;&gt;"Subscription",INDEX('Game Records'!$U:$U,$H182)&lt;&gt;"Free Game",INDEX('Game Records'!$U:$U,$H182)&lt;&gt;"Disqualified — Free Game",INDEX('Game Records'!$J:$J,$H182)=""),"Total Players; ","")&amp;IF(AND(LOWER(INDEX('Game Records'!$D:$D,$H182)&amp;"")="finalized",LOWER(INDEX('Game Records'!$L:$L,$H182)&amp;"")&lt;&gt;"yes",INDEX('Game Records'!$U:$U,$H182)&lt;&gt;"Subscription",INDEX('Game Records'!$U:$U,$H182)&lt;&gt;"Free Game",INDEX('Game Records'!$U:$U,$H182)&lt;&gt;"Disqualified — Free Game",INDEX('Game Records'!$K:$K,$H182)=""),"Final Earned; ","")&amp;IF(AND(LOWER(INDEX('Game Records'!$D:$D,$H182)&amp;"")="finalized",INDEX('Game Records'!$U:$U,$H182)&lt;&gt;"Subscription",INDEX('Game Records'!$U:$U,$H182)&lt;&gt;"Free Game",INDEX('Game Records'!$U:$U,$H182)&lt;&gt;"Disqualified — Free Game",OR(INDEX('Game Records'!$L:$L,$H182)="",LOWER(INDEX('Game Records'!$L:$L,$H182)&amp;"")="n/a")),"Disqualified Status; ",""))</x:f>
        <x:v/>
      </x:c>
      <x:c r="G182" s="331" t="str">
        <x:f>IF($H182="","",IFERROR(INDEX('Game Records'!$M:$M,$H182),""))</x:f>
        <x:v/>
      </x:c>
      <x:c r="H182" s="104" t="str">
        <x:f>IF($H181="","",IFERROR(MATCH(1,INDEX((ROW('Game Records'!$U$5:$U$504)&gt;$H181)*(('Game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2" s="104"/>
      <x:c r="J182" s="104"/>
    </x:row>
    <x:row r="183" ht="24" hidden="0" customHeight="1">
      <x:c r="A183" s="332" t="str">
        <x:f>IF($H183="","",ROWS($A$5:A183))</x:f>
        <x:v/>
      </x:c>
      <x:c r="B183" s="332" t="str">
        <x:f>IF($H183="","","G-"&amp;TEXT($A183,"0000"))</x:f>
        <x:v/>
      </x:c>
      <x:c r="C183" s="331" t="str">
        <x:f>IF($H183="","",IFERROR(INDEX('Game Records'!$A:$A,$H183),""))</x:f>
        <x:v/>
      </x:c>
      <x:c r="D183" s="331" t="str">
        <x:f>IF($H183="","",IFERROR(INDEX('Game Records'!$U:$U,$H183),""))</x:f>
        <x:v/>
      </x:c>
      <x:c r="E183" s="331" t="str">
        <x:f>IF($H183="","",IF($F183="","No Highlighted Fields","Highlighted Fields Present"))</x:f>
        <x:v/>
      </x:c>
      <x:c r="F183" s="331" t="str">
        <x:f>IF($H183="","",IF(INDEX('Game Records'!$B:$B,$H183)="","Start Date; ","")&amp;IF(INDEX('Game Records'!$C:$C,$H183)="","End Date; ","")&amp;IF(AND(INDEX('Game Records'!$U:$U,$H183)&lt;&gt;"Subscription",INDEX('Game Records'!$U:$U,$H183)&lt;&gt;"Free Game",INDEX('Game Records'!$U:$U,$H183)&lt;&gt;"Disqualified — Free Game",OR(INDEX('Game Records'!$D:$D,$H183)="",LOWER(INDEX('Game Records'!$D:$D,$H183)&amp;"")="n/a")),"Entry Mode; ","")&amp;IF(AND(INDEX('Game Records'!$U:$U,$H183)&lt;&gt;"Subscription",INDEX('Game Records'!$U:$U,$H183)&lt;&gt;"Free Game",INDEX('Game Records'!$U:$U,$H183)&lt;&gt;"Disqualified — Free Game",OR(INDEX('Game Records'!$E:$E,$H183)="",LOWER(INDEX('Game Records'!$E:$E,$H183)&amp;"")="n/a")),"Game Type; ","")&amp;IF(INDEX('Game Records'!$F:$F,$H183)="","Payment Type; ","")&amp;IF(AND(INDEX('Game Records'!$U:$U,$H183)&lt;&gt;"Subscription",INDEX('Game Records'!$U:$U,$H183)&lt;&gt;"Free Game",INDEX('Game Records'!$U:$U,$H183)&lt;&gt;"Disqualified — Free Game",INDEX('Game Records'!$G:$G,$H183)=""),"Gross Pot; ","")&amp;IF(AND(INDEX('Game Records'!$U:$U,$H183)&lt;&gt;"Free Game",INDEX('Game Records'!$U:$U,$H183)&lt;&gt;"Disqualified — Free Game",INDEX('Game Records'!$H:$H,$H183)=""),"Entry Fee; ","")&amp;IF(AND(INDEX('Game Records'!$U:$U,$H183)&lt;&gt;"Subscription",INDEX('Game Records'!$U:$U,$H183)&lt;&gt;"Free Game",INDEX('Game Records'!$U:$U,$H183)&lt;&gt;"Disqualified — Free Game",INDEX('Game Records'!$I:$I,$H183)=""),"Eligible Players; ","")&amp;IF(AND(INDEX('Game Records'!$U:$U,$H183)&lt;&gt;"Subscription",INDEX('Game Records'!$U:$U,$H183)&lt;&gt;"Free Game",INDEX('Game Records'!$U:$U,$H183)&lt;&gt;"Disqualified — Free Game",INDEX('Game Records'!$J:$J,$H183)=""),"Total Players; ","")&amp;IF(AND(LOWER(INDEX('Game Records'!$D:$D,$H183)&amp;"")="finalized",LOWER(INDEX('Game Records'!$L:$L,$H183)&amp;"")&lt;&gt;"yes",INDEX('Game Records'!$U:$U,$H183)&lt;&gt;"Subscription",INDEX('Game Records'!$U:$U,$H183)&lt;&gt;"Free Game",INDEX('Game Records'!$U:$U,$H183)&lt;&gt;"Disqualified — Free Game",INDEX('Game Records'!$K:$K,$H183)=""),"Final Earned; ","")&amp;IF(AND(LOWER(INDEX('Game Records'!$D:$D,$H183)&amp;"")="finalized",INDEX('Game Records'!$U:$U,$H183)&lt;&gt;"Subscription",INDEX('Game Records'!$U:$U,$H183)&lt;&gt;"Free Game",INDEX('Game Records'!$U:$U,$H183)&lt;&gt;"Disqualified — Free Game",OR(INDEX('Game Records'!$L:$L,$H183)="",LOWER(INDEX('Game Records'!$L:$L,$H183)&amp;"")="n/a")),"Disqualified Status; ",""))</x:f>
        <x:v/>
      </x:c>
      <x:c r="G183" s="331" t="str">
        <x:f>IF($H183="","",IFERROR(INDEX('Game Records'!$M:$M,$H183),""))</x:f>
        <x:v/>
      </x:c>
      <x:c r="H183" s="104" t="str">
        <x:f>IF($H182="","",IFERROR(MATCH(1,INDEX((ROW('Game Records'!$U$5:$U$504)&gt;$H182)*(('Game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3" s="104"/>
      <x:c r="J183" s="104"/>
    </x:row>
    <x:row r="184" ht="24" hidden="0" customHeight="1">
      <x:c r="A184" s="332" t="str">
        <x:f>IF($H184="","",ROWS($A$5:A184))</x:f>
        <x:v/>
      </x:c>
      <x:c r="B184" s="332" t="str">
        <x:f>IF($H184="","","G-"&amp;TEXT($A184,"0000"))</x:f>
        <x:v/>
      </x:c>
      <x:c r="C184" s="331" t="str">
        <x:f>IF($H184="","",IFERROR(INDEX('Game Records'!$A:$A,$H184),""))</x:f>
        <x:v/>
      </x:c>
      <x:c r="D184" s="331" t="str">
        <x:f>IF($H184="","",IFERROR(INDEX('Game Records'!$U:$U,$H184),""))</x:f>
        <x:v/>
      </x:c>
      <x:c r="E184" s="331" t="str">
        <x:f>IF($H184="","",IF($F184="","No Highlighted Fields","Highlighted Fields Present"))</x:f>
        <x:v/>
      </x:c>
      <x:c r="F184" s="331" t="str">
        <x:f>IF($H184="","",IF(INDEX('Game Records'!$B:$B,$H184)="","Start Date; ","")&amp;IF(INDEX('Game Records'!$C:$C,$H184)="","End Date; ","")&amp;IF(AND(INDEX('Game Records'!$U:$U,$H184)&lt;&gt;"Subscription",INDEX('Game Records'!$U:$U,$H184)&lt;&gt;"Free Game",INDEX('Game Records'!$U:$U,$H184)&lt;&gt;"Disqualified — Free Game",OR(INDEX('Game Records'!$D:$D,$H184)="",LOWER(INDEX('Game Records'!$D:$D,$H184)&amp;"")="n/a")),"Entry Mode; ","")&amp;IF(AND(INDEX('Game Records'!$U:$U,$H184)&lt;&gt;"Subscription",INDEX('Game Records'!$U:$U,$H184)&lt;&gt;"Free Game",INDEX('Game Records'!$U:$U,$H184)&lt;&gt;"Disqualified — Free Game",OR(INDEX('Game Records'!$E:$E,$H184)="",LOWER(INDEX('Game Records'!$E:$E,$H184)&amp;"")="n/a")),"Game Type; ","")&amp;IF(INDEX('Game Records'!$F:$F,$H184)="","Payment Type; ","")&amp;IF(AND(INDEX('Game Records'!$U:$U,$H184)&lt;&gt;"Subscription",INDEX('Game Records'!$U:$U,$H184)&lt;&gt;"Free Game",INDEX('Game Records'!$U:$U,$H184)&lt;&gt;"Disqualified — Free Game",INDEX('Game Records'!$G:$G,$H184)=""),"Gross Pot; ","")&amp;IF(AND(INDEX('Game Records'!$U:$U,$H184)&lt;&gt;"Free Game",INDEX('Game Records'!$U:$U,$H184)&lt;&gt;"Disqualified — Free Game",INDEX('Game Records'!$H:$H,$H184)=""),"Entry Fee; ","")&amp;IF(AND(INDEX('Game Records'!$U:$U,$H184)&lt;&gt;"Subscription",INDEX('Game Records'!$U:$U,$H184)&lt;&gt;"Free Game",INDEX('Game Records'!$U:$U,$H184)&lt;&gt;"Disqualified — Free Game",INDEX('Game Records'!$I:$I,$H184)=""),"Eligible Players; ","")&amp;IF(AND(INDEX('Game Records'!$U:$U,$H184)&lt;&gt;"Subscription",INDEX('Game Records'!$U:$U,$H184)&lt;&gt;"Free Game",INDEX('Game Records'!$U:$U,$H184)&lt;&gt;"Disqualified — Free Game",INDEX('Game Records'!$J:$J,$H184)=""),"Total Players; ","")&amp;IF(AND(LOWER(INDEX('Game Records'!$D:$D,$H184)&amp;"")="finalized",LOWER(INDEX('Game Records'!$L:$L,$H184)&amp;"")&lt;&gt;"yes",INDEX('Game Records'!$U:$U,$H184)&lt;&gt;"Subscription",INDEX('Game Records'!$U:$U,$H184)&lt;&gt;"Free Game",INDEX('Game Records'!$U:$U,$H184)&lt;&gt;"Disqualified — Free Game",INDEX('Game Records'!$K:$K,$H184)=""),"Final Earned; ","")&amp;IF(AND(LOWER(INDEX('Game Records'!$D:$D,$H184)&amp;"")="finalized",INDEX('Game Records'!$U:$U,$H184)&lt;&gt;"Subscription",INDEX('Game Records'!$U:$U,$H184)&lt;&gt;"Free Game",INDEX('Game Records'!$U:$U,$H184)&lt;&gt;"Disqualified — Free Game",OR(INDEX('Game Records'!$L:$L,$H184)="",LOWER(INDEX('Game Records'!$L:$L,$H184)&amp;"")="n/a")),"Disqualified Status; ",""))</x:f>
        <x:v/>
      </x:c>
      <x:c r="G184" s="331" t="str">
        <x:f>IF($H184="","",IFERROR(INDEX('Game Records'!$M:$M,$H184),""))</x:f>
        <x:v/>
      </x:c>
      <x:c r="H184" s="104" t="str">
        <x:f>IF($H183="","",IFERROR(MATCH(1,INDEX((ROW('Game Records'!$U$5:$U$504)&gt;$H183)*(('Game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4" s="104"/>
      <x:c r="J184" s="104"/>
    </x:row>
    <x:row r="185" ht="24" hidden="0" customHeight="1">
      <x:c r="A185" s="332" t="str">
        <x:f>IF($H185="","",ROWS($A$5:A185))</x:f>
        <x:v/>
      </x:c>
      <x:c r="B185" s="332" t="str">
        <x:f>IF($H185="","","G-"&amp;TEXT($A185,"0000"))</x:f>
        <x:v/>
      </x:c>
      <x:c r="C185" s="331" t="str">
        <x:f>IF($H185="","",IFERROR(INDEX('Game Records'!$A:$A,$H185),""))</x:f>
        <x:v/>
      </x:c>
      <x:c r="D185" s="331" t="str">
        <x:f>IF($H185="","",IFERROR(INDEX('Game Records'!$U:$U,$H185),""))</x:f>
        <x:v/>
      </x:c>
      <x:c r="E185" s="331" t="str">
        <x:f>IF($H185="","",IF($F185="","No Highlighted Fields","Highlighted Fields Present"))</x:f>
        <x:v/>
      </x:c>
      <x:c r="F185" s="331" t="str">
        <x:f>IF($H185="","",IF(INDEX('Game Records'!$B:$B,$H185)="","Start Date; ","")&amp;IF(INDEX('Game Records'!$C:$C,$H185)="","End Date; ","")&amp;IF(AND(INDEX('Game Records'!$U:$U,$H185)&lt;&gt;"Subscription",INDEX('Game Records'!$U:$U,$H185)&lt;&gt;"Free Game",INDEX('Game Records'!$U:$U,$H185)&lt;&gt;"Disqualified — Free Game",OR(INDEX('Game Records'!$D:$D,$H185)="",LOWER(INDEX('Game Records'!$D:$D,$H185)&amp;"")="n/a")),"Entry Mode; ","")&amp;IF(AND(INDEX('Game Records'!$U:$U,$H185)&lt;&gt;"Subscription",INDEX('Game Records'!$U:$U,$H185)&lt;&gt;"Free Game",INDEX('Game Records'!$U:$U,$H185)&lt;&gt;"Disqualified — Free Game",OR(INDEX('Game Records'!$E:$E,$H185)="",LOWER(INDEX('Game Records'!$E:$E,$H185)&amp;"")="n/a")),"Game Type; ","")&amp;IF(INDEX('Game Records'!$F:$F,$H185)="","Payment Type; ","")&amp;IF(AND(INDEX('Game Records'!$U:$U,$H185)&lt;&gt;"Subscription",INDEX('Game Records'!$U:$U,$H185)&lt;&gt;"Free Game",INDEX('Game Records'!$U:$U,$H185)&lt;&gt;"Disqualified — Free Game",INDEX('Game Records'!$G:$G,$H185)=""),"Gross Pot; ","")&amp;IF(AND(INDEX('Game Records'!$U:$U,$H185)&lt;&gt;"Free Game",INDEX('Game Records'!$U:$U,$H185)&lt;&gt;"Disqualified — Free Game",INDEX('Game Records'!$H:$H,$H185)=""),"Entry Fee; ","")&amp;IF(AND(INDEX('Game Records'!$U:$U,$H185)&lt;&gt;"Subscription",INDEX('Game Records'!$U:$U,$H185)&lt;&gt;"Free Game",INDEX('Game Records'!$U:$U,$H185)&lt;&gt;"Disqualified — Free Game",INDEX('Game Records'!$I:$I,$H185)=""),"Eligible Players; ","")&amp;IF(AND(INDEX('Game Records'!$U:$U,$H185)&lt;&gt;"Subscription",INDEX('Game Records'!$U:$U,$H185)&lt;&gt;"Free Game",INDEX('Game Records'!$U:$U,$H185)&lt;&gt;"Disqualified — Free Game",INDEX('Game Records'!$J:$J,$H185)=""),"Total Players; ","")&amp;IF(AND(LOWER(INDEX('Game Records'!$D:$D,$H185)&amp;"")="finalized",LOWER(INDEX('Game Records'!$L:$L,$H185)&amp;"")&lt;&gt;"yes",INDEX('Game Records'!$U:$U,$H185)&lt;&gt;"Subscription",INDEX('Game Records'!$U:$U,$H185)&lt;&gt;"Free Game",INDEX('Game Records'!$U:$U,$H185)&lt;&gt;"Disqualified — Free Game",INDEX('Game Records'!$K:$K,$H185)=""),"Final Earned; ","")&amp;IF(AND(LOWER(INDEX('Game Records'!$D:$D,$H185)&amp;"")="finalized",INDEX('Game Records'!$U:$U,$H185)&lt;&gt;"Subscription",INDEX('Game Records'!$U:$U,$H185)&lt;&gt;"Free Game",INDEX('Game Records'!$U:$U,$H185)&lt;&gt;"Disqualified — Free Game",OR(INDEX('Game Records'!$L:$L,$H185)="",LOWER(INDEX('Game Records'!$L:$L,$H185)&amp;"")="n/a")),"Disqualified Status; ",""))</x:f>
        <x:v/>
      </x:c>
      <x:c r="G185" s="331" t="str">
        <x:f>IF($H185="","",IFERROR(INDEX('Game Records'!$M:$M,$H185),""))</x:f>
        <x:v/>
      </x:c>
      <x:c r="H185" s="104" t="str">
        <x:f>IF($H184="","",IFERROR(MATCH(1,INDEX((ROW('Game Records'!$U$5:$U$504)&gt;$H184)*(('Game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5" s="104"/>
      <x:c r="J185" s="104"/>
    </x:row>
    <x:row r="186" ht="24" hidden="0" customHeight="1">
      <x:c r="A186" s="332" t="str">
        <x:f>IF($H186="","",ROWS($A$5:A186))</x:f>
        <x:v/>
      </x:c>
      <x:c r="B186" s="332" t="str">
        <x:f>IF($H186="","","G-"&amp;TEXT($A186,"0000"))</x:f>
        <x:v/>
      </x:c>
      <x:c r="C186" s="331" t="str">
        <x:f>IF($H186="","",IFERROR(INDEX('Game Records'!$A:$A,$H186),""))</x:f>
        <x:v/>
      </x:c>
      <x:c r="D186" s="331" t="str">
        <x:f>IF($H186="","",IFERROR(INDEX('Game Records'!$U:$U,$H186),""))</x:f>
        <x:v/>
      </x:c>
      <x:c r="E186" s="331" t="str">
        <x:f>IF($H186="","",IF($F186="","No Highlighted Fields","Highlighted Fields Present"))</x:f>
        <x:v/>
      </x:c>
      <x:c r="F186" s="331" t="str">
        <x:f>IF($H186="","",IF(INDEX('Game Records'!$B:$B,$H186)="","Start Date; ","")&amp;IF(INDEX('Game Records'!$C:$C,$H186)="","End Date; ","")&amp;IF(AND(INDEX('Game Records'!$U:$U,$H186)&lt;&gt;"Subscription",INDEX('Game Records'!$U:$U,$H186)&lt;&gt;"Free Game",INDEX('Game Records'!$U:$U,$H186)&lt;&gt;"Disqualified — Free Game",OR(INDEX('Game Records'!$D:$D,$H186)="",LOWER(INDEX('Game Records'!$D:$D,$H186)&amp;"")="n/a")),"Entry Mode; ","")&amp;IF(AND(INDEX('Game Records'!$U:$U,$H186)&lt;&gt;"Subscription",INDEX('Game Records'!$U:$U,$H186)&lt;&gt;"Free Game",INDEX('Game Records'!$U:$U,$H186)&lt;&gt;"Disqualified — Free Game",OR(INDEX('Game Records'!$E:$E,$H186)="",LOWER(INDEX('Game Records'!$E:$E,$H186)&amp;"")="n/a")),"Game Type; ","")&amp;IF(INDEX('Game Records'!$F:$F,$H186)="","Payment Type; ","")&amp;IF(AND(INDEX('Game Records'!$U:$U,$H186)&lt;&gt;"Subscription",INDEX('Game Records'!$U:$U,$H186)&lt;&gt;"Free Game",INDEX('Game Records'!$U:$U,$H186)&lt;&gt;"Disqualified — Free Game",INDEX('Game Records'!$G:$G,$H186)=""),"Gross Pot; ","")&amp;IF(AND(INDEX('Game Records'!$U:$U,$H186)&lt;&gt;"Free Game",INDEX('Game Records'!$U:$U,$H186)&lt;&gt;"Disqualified — Free Game",INDEX('Game Records'!$H:$H,$H186)=""),"Entry Fee; ","")&amp;IF(AND(INDEX('Game Records'!$U:$U,$H186)&lt;&gt;"Subscription",INDEX('Game Records'!$U:$U,$H186)&lt;&gt;"Free Game",INDEX('Game Records'!$U:$U,$H186)&lt;&gt;"Disqualified — Free Game",INDEX('Game Records'!$I:$I,$H186)=""),"Eligible Players; ","")&amp;IF(AND(INDEX('Game Records'!$U:$U,$H186)&lt;&gt;"Subscription",INDEX('Game Records'!$U:$U,$H186)&lt;&gt;"Free Game",INDEX('Game Records'!$U:$U,$H186)&lt;&gt;"Disqualified — Free Game",INDEX('Game Records'!$J:$J,$H186)=""),"Total Players; ","")&amp;IF(AND(LOWER(INDEX('Game Records'!$D:$D,$H186)&amp;"")="finalized",LOWER(INDEX('Game Records'!$L:$L,$H186)&amp;"")&lt;&gt;"yes",INDEX('Game Records'!$U:$U,$H186)&lt;&gt;"Subscription",INDEX('Game Records'!$U:$U,$H186)&lt;&gt;"Free Game",INDEX('Game Records'!$U:$U,$H186)&lt;&gt;"Disqualified — Free Game",INDEX('Game Records'!$K:$K,$H186)=""),"Final Earned; ","")&amp;IF(AND(LOWER(INDEX('Game Records'!$D:$D,$H186)&amp;"")="finalized",INDEX('Game Records'!$U:$U,$H186)&lt;&gt;"Subscription",INDEX('Game Records'!$U:$U,$H186)&lt;&gt;"Free Game",INDEX('Game Records'!$U:$U,$H186)&lt;&gt;"Disqualified — Free Game",OR(INDEX('Game Records'!$L:$L,$H186)="",LOWER(INDEX('Game Records'!$L:$L,$H186)&amp;"")="n/a")),"Disqualified Status; ",""))</x:f>
        <x:v/>
      </x:c>
      <x:c r="G186" s="331" t="str">
        <x:f>IF($H186="","",IFERROR(INDEX('Game Records'!$M:$M,$H186),""))</x:f>
        <x:v/>
      </x:c>
      <x:c r="H186" s="104" t="str">
        <x:f>IF($H185="","",IFERROR(MATCH(1,INDEX((ROW('Game Records'!$U$5:$U$504)&gt;$H185)*(('Game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6" s="104"/>
      <x:c r="J186" s="104"/>
    </x:row>
    <x:row r="187" ht="24" hidden="0" customHeight="1">
      <x:c r="A187" s="332" t="str">
        <x:f>IF($H187="","",ROWS($A$5:A187))</x:f>
        <x:v/>
      </x:c>
      <x:c r="B187" s="332" t="str">
        <x:f>IF($H187="","","G-"&amp;TEXT($A187,"0000"))</x:f>
        <x:v/>
      </x:c>
      <x:c r="C187" s="331" t="str">
        <x:f>IF($H187="","",IFERROR(INDEX('Game Records'!$A:$A,$H187),""))</x:f>
        <x:v/>
      </x:c>
      <x:c r="D187" s="331" t="str">
        <x:f>IF($H187="","",IFERROR(INDEX('Game Records'!$U:$U,$H187),""))</x:f>
        <x:v/>
      </x:c>
      <x:c r="E187" s="331" t="str">
        <x:f>IF($H187="","",IF($F187="","No Highlighted Fields","Highlighted Fields Present"))</x:f>
        <x:v/>
      </x:c>
      <x:c r="F187" s="331" t="str">
        <x:f>IF($H187="","",IF(INDEX('Game Records'!$B:$B,$H187)="","Start Date; ","")&amp;IF(INDEX('Game Records'!$C:$C,$H187)="","End Date; ","")&amp;IF(AND(INDEX('Game Records'!$U:$U,$H187)&lt;&gt;"Subscription",INDEX('Game Records'!$U:$U,$H187)&lt;&gt;"Free Game",INDEX('Game Records'!$U:$U,$H187)&lt;&gt;"Disqualified — Free Game",OR(INDEX('Game Records'!$D:$D,$H187)="",LOWER(INDEX('Game Records'!$D:$D,$H187)&amp;"")="n/a")),"Entry Mode; ","")&amp;IF(AND(INDEX('Game Records'!$U:$U,$H187)&lt;&gt;"Subscription",INDEX('Game Records'!$U:$U,$H187)&lt;&gt;"Free Game",INDEX('Game Records'!$U:$U,$H187)&lt;&gt;"Disqualified — Free Game",OR(INDEX('Game Records'!$E:$E,$H187)="",LOWER(INDEX('Game Records'!$E:$E,$H187)&amp;"")="n/a")),"Game Type; ","")&amp;IF(INDEX('Game Records'!$F:$F,$H187)="","Payment Type; ","")&amp;IF(AND(INDEX('Game Records'!$U:$U,$H187)&lt;&gt;"Subscription",INDEX('Game Records'!$U:$U,$H187)&lt;&gt;"Free Game",INDEX('Game Records'!$U:$U,$H187)&lt;&gt;"Disqualified — Free Game",INDEX('Game Records'!$G:$G,$H187)=""),"Gross Pot; ","")&amp;IF(AND(INDEX('Game Records'!$U:$U,$H187)&lt;&gt;"Free Game",INDEX('Game Records'!$U:$U,$H187)&lt;&gt;"Disqualified — Free Game",INDEX('Game Records'!$H:$H,$H187)=""),"Entry Fee; ","")&amp;IF(AND(INDEX('Game Records'!$U:$U,$H187)&lt;&gt;"Subscription",INDEX('Game Records'!$U:$U,$H187)&lt;&gt;"Free Game",INDEX('Game Records'!$U:$U,$H187)&lt;&gt;"Disqualified — Free Game",INDEX('Game Records'!$I:$I,$H187)=""),"Eligible Players; ","")&amp;IF(AND(INDEX('Game Records'!$U:$U,$H187)&lt;&gt;"Subscription",INDEX('Game Records'!$U:$U,$H187)&lt;&gt;"Free Game",INDEX('Game Records'!$U:$U,$H187)&lt;&gt;"Disqualified — Free Game",INDEX('Game Records'!$J:$J,$H187)=""),"Total Players; ","")&amp;IF(AND(LOWER(INDEX('Game Records'!$D:$D,$H187)&amp;"")="finalized",LOWER(INDEX('Game Records'!$L:$L,$H187)&amp;"")&lt;&gt;"yes",INDEX('Game Records'!$U:$U,$H187)&lt;&gt;"Subscription",INDEX('Game Records'!$U:$U,$H187)&lt;&gt;"Free Game",INDEX('Game Records'!$U:$U,$H187)&lt;&gt;"Disqualified — Free Game",INDEX('Game Records'!$K:$K,$H187)=""),"Final Earned; ","")&amp;IF(AND(LOWER(INDEX('Game Records'!$D:$D,$H187)&amp;"")="finalized",INDEX('Game Records'!$U:$U,$H187)&lt;&gt;"Subscription",INDEX('Game Records'!$U:$U,$H187)&lt;&gt;"Free Game",INDEX('Game Records'!$U:$U,$H187)&lt;&gt;"Disqualified — Free Game",OR(INDEX('Game Records'!$L:$L,$H187)="",LOWER(INDEX('Game Records'!$L:$L,$H187)&amp;"")="n/a")),"Disqualified Status; ",""))</x:f>
        <x:v/>
      </x:c>
      <x:c r="G187" s="331" t="str">
        <x:f>IF($H187="","",IFERROR(INDEX('Game Records'!$M:$M,$H187),""))</x:f>
        <x:v/>
      </x:c>
      <x:c r="H187" s="104" t="str">
        <x:f>IF($H186="","",IFERROR(MATCH(1,INDEX((ROW('Game Records'!$U$5:$U$504)&gt;$H186)*(('Game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7" s="104"/>
      <x:c r="J187" s="104"/>
    </x:row>
    <x:row r="188" ht="24" hidden="0" customHeight="1">
      <x:c r="A188" s="332" t="str">
        <x:f>IF($H188="","",ROWS($A$5:A188))</x:f>
        <x:v/>
      </x:c>
      <x:c r="B188" s="332" t="str">
        <x:f>IF($H188="","","G-"&amp;TEXT($A188,"0000"))</x:f>
        <x:v/>
      </x:c>
      <x:c r="C188" s="331" t="str">
        <x:f>IF($H188="","",IFERROR(INDEX('Game Records'!$A:$A,$H188),""))</x:f>
        <x:v/>
      </x:c>
      <x:c r="D188" s="331" t="str">
        <x:f>IF($H188="","",IFERROR(INDEX('Game Records'!$U:$U,$H188),""))</x:f>
        <x:v/>
      </x:c>
      <x:c r="E188" s="331" t="str">
        <x:f>IF($H188="","",IF($F188="","No Highlighted Fields","Highlighted Fields Present"))</x:f>
        <x:v/>
      </x:c>
      <x:c r="F188" s="331" t="str">
        <x:f>IF($H188="","",IF(INDEX('Game Records'!$B:$B,$H188)="","Start Date; ","")&amp;IF(INDEX('Game Records'!$C:$C,$H188)="","End Date; ","")&amp;IF(AND(INDEX('Game Records'!$U:$U,$H188)&lt;&gt;"Subscription",INDEX('Game Records'!$U:$U,$H188)&lt;&gt;"Free Game",INDEX('Game Records'!$U:$U,$H188)&lt;&gt;"Disqualified — Free Game",OR(INDEX('Game Records'!$D:$D,$H188)="",LOWER(INDEX('Game Records'!$D:$D,$H188)&amp;"")="n/a")),"Entry Mode; ","")&amp;IF(AND(INDEX('Game Records'!$U:$U,$H188)&lt;&gt;"Subscription",INDEX('Game Records'!$U:$U,$H188)&lt;&gt;"Free Game",INDEX('Game Records'!$U:$U,$H188)&lt;&gt;"Disqualified — Free Game",OR(INDEX('Game Records'!$E:$E,$H188)="",LOWER(INDEX('Game Records'!$E:$E,$H188)&amp;"")="n/a")),"Game Type; ","")&amp;IF(INDEX('Game Records'!$F:$F,$H188)="","Payment Type; ","")&amp;IF(AND(INDEX('Game Records'!$U:$U,$H188)&lt;&gt;"Subscription",INDEX('Game Records'!$U:$U,$H188)&lt;&gt;"Free Game",INDEX('Game Records'!$U:$U,$H188)&lt;&gt;"Disqualified — Free Game",INDEX('Game Records'!$G:$G,$H188)=""),"Gross Pot; ","")&amp;IF(AND(INDEX('Game Records'!$U:$U,$H188)&lt;&gt;"Free Game",INDEX('Game Records'!$U:$U,$H188)&lt;&gt;"Disqualified — Free Game",INDEX('Game Records'!$H:$H,$H188)=""),"Entry Fee; ","")&amp;IF(AND(INDEX('Game Records'!$U:$U,$H188)&lt;&gt;"Subscription",INDEX('Game Records'!$U:$U,$H188)&lt;&gt;"Free Game",INDEX('Game Records'!$U:$U,$H188)&lt;&gt;"Disqualified — Free Game",INDEX('Game Records'!$I:$I,$H188)=""),"Eligible Players; ","")&amp;IF(AND(INDEX('Game Records'!$U:$U,$H188)&lt;&gt;"Subscription",INDEX('Game Records'!$U:$U,$H188)&lt;&gt;"Free Game",INDEX('Game Records'!$U:$U,$H188)&lt;&gt;"Disqualified — Free Game",INDEX('Game Records'!$J:$J,$H188)=""),"Total Players; ","")&amp;IF(AND(LOWER(INDEX('Game Records'!$D:$D,$H188)&amp;"")="finalized",LOWER(INDEX('Game Records'!$L:$L,$H188)&amp;"")&lt;&gt;"yes",INDEX('Game Records'!$U:$U,$H188)&lt;&gt;"Subscription",INDEX('Game Records'!$U:$U,$H188)&lt;&gt;"Free Game",INDEX('Game Records'!$U:$U,$H188)&lt;&gt;"Disqualified — Free Game",INDEX('Game Records'!$K:$K,$H188)=""),"Final Earned; ","")&amp;IF(AND(LOWER(INDEX('Game Records'!$D:$D,$H188)&amp;"")="finalized",INDEX('Game Records'!$U:$U,$H188)&lt;&gt;"Subscription",INDEX('Game Records'!$U:$U,$H188)&lt;&gt;"Free Game",INDEX('Game Records'!$U:$U,$H188)&lt;&gt;"Disqualified — Free Game",OR(INDEX('Game Records'!$L:$L,$H188)="",LOWER(INDEX('Game Records'!$L:$L,$H188)&amp;"")="n/a")),"Disqualified Status; ",""))</x:f>
        <x:v/>
      </x:c>
      <x:c r="G188" s="331" t="str">
        <x:f>IF($H188="","",IFERROR(INDEX('Game Records'!$M:$M,$H188),""))</x:f>
        <x:v/>
      </x:c>
      <x:c r="H188" s="104" t="str">
        <x:f>IF($H187="","",IFERROR(MATCH(1,INDEX((ROW('Game Records'!$U$5:$U$504)&gt;$H187)*(('Game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8" s="104"/>
      <x:c r="J188" s="104"/>
    </x:row>
    <x:row r="189" ht="24" hidden="0" customHeight="1">
      <x:c r="A189" s="332" t="str">
        <x:f>IF($H189="","",ROWS($A$5:A189))</x:f>
        <x:v/>
      </x:c>
      <x:c r="B189" s="332" t="str">
        <x:f>IF($H189="","","G-"&amp;TEXT($A189,"0000"))</x:f>
        <x:v/>
      </x:c>
      <x:c r="C189" s="331" t="str">
        <x:f>IF($H189="","",IFERROR(INDEX('Game Records'!$A:$A,$H189),""))</x:f>
        <x:v/>
      </x:c>
      <x:c r="D189" s="331" t="str">
        <x:f>IF($H189="","",IFERROR(INDEX('Game Records'!$U:$U,$H189),""))</x:f>
        <x:v/>
      </x:c>
      <x:c r="E189" s="331" t="str">
        <x:f>IF($H189="","",IF($F189="","No Highlighted Fields","Highlighted Fields Present"))</x:f>
        <x:v/>
      </x:c>
      <x:c r="F189" s="331" t="str">
        <x:f>IF($H189="","",IF(INDEX('Game Records'!$B:$B,$H189)="","Start Date; ","")&amp;IF(INDEX('Game Records'!$C:$C,$H189)="","End Date; ","")&amp;IF(AND(INDEX('Game Records'!$U:$U,$H189)&lt;&gt;"Subscription",INDEX('Game Records'!$U:$U,$H189)&lt;&gt;"Free Game",INDEX('Game Records'!$U:$U,$H189)&lt;&gt;"Disqualified — Free Game",OR(INDEX('Game Records'!$D:$D,$H189)="",LOWER(INDEX('Game Records'!$D:$D,$H189)&amp;"")="n/a")),"Entry Mode; ","")&amp;IF(AND(INDEX('Game Records'!$U:$U,$H189)&lt;&gt;"Subscription",INDEX('Game Records'!$U:$U,$H189)&lt;&gt;"Free Game",INDEX('Game Records'!$U:$U,$H189)&lt;&gt;"Disqualified — Free Game",OR(INDEX('Game Records'!$E:$E,$H189)="",LOWER(INDEX('Game Records'!$E:$E,$H189)&amp;"")="n/a")),"Game Type; ","")&amp;IF(INDEX('Game Records'!$F:$F,$H189)="","Payment Type; ","")&amp;IF(AND(INDEX('Game Records'!$U:$U,$H189)&lt;&gt;"Subscription",INDEX('Game Records'!$U:$U,$H189)&lt;&gt;"Free Game",INDEX('Game Records'!$U:$U,$H189)&lt;&gt;"Disqualified — Free Game",INDEX('Game Records'!$G:$G,$H189)=""),"Gross Pot; ","")&amp;IF(AND(INDEX('Game Records'!$U:$U,$H189)&lt;&gt;"Free Game",INDEX('Game Records'!$U:$U,$H189)&lt;&gt;"Disqualified — Free Game",INDEX('Game Records'!$H:$H,$H189)=""),"Entry Fee; ","")&amp;IF(AND(INDEX('Game Records'!$U:$U,$H189)&lt;&gt;"Subscription",INDEX('Game Records'!$U:$U,$H189)&lt;&gt;"Free Game",INDEX('Game Records'!$U:$U,$H189)&lt;&gt;"Disqualified — Free Game",INDEX('Game Records'!$I:$I,$H189)=""),"Eligible Players; ","")&amp;IF(AND(INDEX('Game Records'!$U:$U,$H189)&lt;&gt;"Subscription",INDEX('Game Records'!$U:$U,$H189)&lt;&gt;"Free Game",INDEX('Game Records'!$U:$U,$H189)&lt;&gt;"Disqualified — Free Game",INDEX('Game Records'!$J:$J,$H189)=""),"Total Players; ","")&amp;IF(AND(LOWER(INDEX('Game Records'!$D:$D,$H189)&amp;"")="finalized",LOWER(INDEX('Game Records'!$L:$L,$H189)&amp;"")&lt;&gt;"yes",INDEX('Game Records'!$U:$U,$H189)&lt;&gt;"Subscription",INDEX('Game Records'!$U:$U,$H189)&lt;&gt;"Free Game",INDEX('Game Records'!$U:$U,$H189)&lt;&gt;"Disqualified — Free Game",INDEX('Game Records'!$K:$K,$H189)=""),"Final Earned; ","")&amp;IF(AND(LOWER(INDEX('Game Records'!$D:$D,$H189)&amp;"")="finalized",INDEX('Game Records'!$U:$U,$H189)&lt;&gt;"Subscription",INDEX('Game Records'!$U:$U,$H189)&lt;&gt;"Free Game",INDEX('Game Records'!$U:$U,$H189)&lt;&gt;"Disqualified — Free Game",OR(INDEX('Game Records'!$L:$L,$H189)="",LOWER(INDEX('Game Records'!$L:$L,$H189)&amp;"")="n/a")),"Disqualified Status; ",""))</x:f>
        <x:v/>
      </x:c>
      <x:c r="G189" s="331" t="str">
        <x:f>IF($H189="","",IFERROR(INDEX('Game Records'!$M:$M,$H189),""))</x:f>
        <x:v/>
      </x:c>
      <x:c r="H189" s="104" t="str">
        <x:f>IF($H188="","",IFERROR(MATCH(1,INDEX((ROW('Game Records'!$U$5:$U$504)&gt;$H188)*(('Game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89" s="104"/>
      <x:c r="J189" s="104"/>
    </x:row>
    <x:row r="190" ht="24" hidden="0" customHeight="1">
      <x:c r="A190" s="332" t="str">
        <x:f>IF($H190="","",ROWS($A$5:A190))</x:f>
        <x:v/>
      </x:c>
      <x:c r="B190" s="332" t="str">
        <x:f>IF($H190="","","G-"&amp;TEXT($A190,"0000"))</x:f>
        <x:v/>
      </x:c>
      <x:c r="C190" s="331" t="str">
        <x:f>IF($H190="","",IFERROR(INDEX('Game Records'!$A:$A,$H190),""))</x:f>
        <x:v/>
      </x:c>
      <x:c r="D190" s="331" t="str">
        <x:f>IF($H190="","",IFERROR(INDEX('Game Records'!$U:$U,$H190),""))</x:f>
        <x:v/>
      </x:c>
      <x:c r="E190" s="331" t="str">
        <x:f>IF($H190="","",IF($F190="","No Highlighted Fields","Highlighted Fields Present"))</x:f>
        <x:v/>
      </x:c>
      <x:c r="F190" s="331" t="str">
        <x:f>IF($H190="","",IF(INDEX('Game Records'!$B:$B,$H190)="","Start Date; ","")&amp;IF(INDEX('Game Records'!$C:$C,$H190)="","End Date; ","")&amp;IF(AND(INDEX('Game Records'!$U:$U,$H190)&lt;&gt;"Subscription",INDEX('Game Records'!$U:$U,$H190)&lt;&gt;"Free Game",INDEX('Game Records'!$U:$U,$H190)&lt;&gt;"Disqualified — Free Game",OR(INDEX('Game Records'!$D:$D,$H190)="",LOWER(INDEX('Game Records'!$D:$D,$H190)&amp;"")="n/a")),"Entry Mode; ","")&amp;IF(AND(INDEX('Game Records'!$U:$U,$H190)&lt;&gt;"Subscription",INDEX('Game Records'!$U:$U,$H190)&lt;&gt;"Free Game",INDEX('Game Records'!$U:$U,$H190)&lt;&gt;"Disqualified — Free Game",OR(INDEX('Game Records'!$E:$E,$H190)="",LOWER(INDEX('Game Records'!$E:$E,$H190)&amp;"")="n/a")),"Game Type; ","")&amp;IF(INDEX('Game Records'!$F:$F,$H190)="","Payment Type; ","")&amp;IF(AND(INDEX('Game Records'!$U:$U,$H190)&lt;&gt;"Subscription",INDEX('Game Records'!$U:$U,$H190)&lt;&gt;"Free Game",INDEX('Game Records'!$U:$U,$H190)&lt;&gt;"Disqualified — Free Game",INDEX('Game Records'!$G:$G,$H190)=""),"Gross Pot; ","")&amp;IF(AND(INDEX('Game Records'!$U:$U,$H190)&lt;&gt;"Free Game",INDEX('Game Records'!$U:$U,$H190)&lt;&gt;"Disqualified — Free Game",INDEX('Game Records'!$H:$H,$H190)=""),"Entry Fee; ","")&amp;IF(AND(INDEX('Game Records'!$U:$U,$H190)&lt;&gt;"Subscription",INDEX('Game Records'!$U:$U,$H190)&lt;&gt;"Free Game",INDEX('Game Records'!$U:$U,$H190)&lt;&gt;"Disqualified — Free Game",INDEX('Game Records'!$I:$I,$H190)=""),"Eligible Players; ","")&amp;IF(AND(INDEX('Game Records'!$U:$U,$H190)&lt;&gt;"Subscription",INDEX('Game Records'!$U:$U,$H190)&lt;&gt;"Free Game",INDEX('Game Records'!$U:$U,$H190)&lt;&gt;"Disqualified — Free Game",INDEX('Game Records'!$J:$J,$H190)=""),"Total Players; ","")&amp;IF(AND(LOWER(INDEX('Game Records'!$D:$D,$H190)&amp;"")="finalized",LOWER(INDEX('Game Records'!$L:$L,$H190)&amp;"")&lt;&gt;"yes",INDEX('Game Records'!$U:$U,$H190)&lt;&gt;"Subscription",INDEX('Game Records'!$U:$U,$H190)&lt;&gt;"Free Game",INDEX('Game Records'!$U:$U,$H190)&lt;&gt;"Disqualified — Free Game",INDEX('Game Records'!$K:$K,$H190)=""),"Final Earned; ","")&amp;IF(AND(LOWER(INDEX('Game Records'!$D:$D,$H190)&amp;"")="finalized",INDEX('Game Records'!$U:$U,$H190)&lt;&gt;"Subscription",INDEX('Game Records'!$U:$U,$H190)&lt;&gt;"Free Game",INDEX('Game Records'!$U:$U,$H190)&lt;&gt;"Disqualified — Free Game",OR(INDEX('Game Records'!$L:$L,$H190)="",LOWER(INDEX('Game Records'!$L:$L,$H190)&amp;"")="n/a")),"Disqualified Status; ",""))</x:f>
        <x:v/>
      </x:c>
      <x:c r="G190" s="331" t="str">
        <x:f>IF($H190="","",IFERROR(INDEX('Game Records'!$M:$M,$H190),""))</x:f>
        <x:v/>
      </x:c>
      <x:c r="H190" s="104" t="str">
        <x:f>IF($H189="","",IFERROR(MATCH(1,INDEX((ROW('Game Records'!$U$5:$U$504)&gt;$H189)*(('Game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0" s="104"/>
      <x:c r="J190" s="104"/>
    </x:row>
    <x:row r="191" ht="24" hidden="0" customHeight="1">
      <x:c r="A191" s="332" t="str">
        <x:f>IF($H191="","",ROWS($A$5:A191))</x:f>
        <x:v/>
      </x:c>
      <x:c r="B191" s="332" t="str">
        <x:f>IF($H191="","","G-"&amp;TEXT($A191,"0000"))</x:f>
        <x:v/>
      </x:c>
      <x:c r="C191" s="331" t="str">
        <x:f>IF($H191="","",IFERROR(INDEX('Game Records'!$A:$A,$H191),""))</x:f>
        <x:v/>
      </x:c>
      <x:c r="D191" s="331" t="str">
        <x:f>IF($H191="","",IFERROR(INDEX('Game Records'!$U:$U,$H191),""))</x:f>
        <x:v/>
      </x:c>
      <x:c r="E191" s="331" t="str">
        <x:f>IF($H191="","",IF($F191="","No Highlighted Fields","Highlighted Fields Present"))</x:f>
        <x:v/>
      </x:c>
      <x:c r="F191" s="331" t="str">
        <x:f>IF($H191="","",IF(INDEX('Game Records'!$B:$B,$H191)="","Start Date; ","")&amp;IF(INDEX('Game Records'!$C:$C,$H191)="","End Date; ","")&amp;IF(AND(INDEX('Game Records'!$U:$U,$H191)&lt;&gt;"Subscription",INDEX('Game Records'!$U:$U,$H191)&lt;&gt;"Free Game",INDEX('Game Records'!$U:$U,$H191)&lt;&gt;"Disqualified — Free Game",OR(INDEX('Game Records'!$D:$D,$H191)="",LOWER(INDEX('Game Records'!$D:$D,$H191)&amp;"")="n/a")),"Entry Mode; ","")&amp;IF(AND(INDEX('Game Records'!$U:$U,$H191)&lt;&gt;"Subscription",INDEX('Game Records'!$U:$U,$H191)&lt;&gt;"Free Game",INDEX('Game Records'!$U:$U,$H191)&lt;&gt;"Disqualified — Free Game",OR(INDEX('Game Records'!$E:$E,$H191)="",LOWER(INDEX('Game Records'!$E:$E,$H191)&amp;"")="n/a")),"Game Type; ","")&amp;IF(INDEX('Game Records'!$F:$F,$H191)="","Payment Type; ","")&amp;IF(AND(INDEX('Game Records'!$U:$U,$H191)&lt;&gt;"Subscription",INDEX('Game Records'!$U:$U,$H191)&lt;&gt;"Free Game",INDEX('Game Records'!$U:$U,$H191)&lt;&gt;"Disqualified — Free Game",INDEX('Game Records'!$G:$G,$H191)=""),"Gross Pot; ","")&amp;IF(AND(INDEX('Game Records'!$U:$U,$H191)&lt;&gt;"Free Game",INDEX('Game Records'!$U:$U,$H191)&lt;&gt;"Disqualified — Free Game",INDEX('Game Records'!$H:$H,$H191)=""),"Entry Fee; ","")&amp;IF(AND(INDEX('Game Records'!$U:$U,$H191)&lt;&gt;"Subscription",INDEX('Game Records'!$U:$U,$H191)&lt;&gt;"Free Game",INDEX('Game Records'!$U:$U,$H191)&lt;&gt;"Disqualified — Free Game",INDEX('Game Records'!$I:$I,$H191)=""),"Eligible Players; ","")&amp;IF(AND(INDEX('Game Records'!$U:$U,$H191)&lt;&gt;"Subscription",INDEX('Game Records'!$U:$U,$H191)&lt;&gt;"Free Game",INDEX('Game Records'!$U:$U,$H191)&lt;&gt;"Disqualified — Free Game",INDEX('Game Records'!$J:$J,$H191)=""),"Total Players; ","")&amp;IF(AND(LOWER(INDEX('Game Records'!$D:$D,$H191)&amp;"")="finalized",LOWER(INDEX('Game Records'!$L:$L,$H191)&amp;"")&lt;&gt;"yes",INDEX('Game Records'!$U:$U,$H191)&lt;&gt;"Subscription",INDEX('Game Records'!$U:$U,$H191)&lt;&gt;"Free Game",INDEX('Game Records'!$U:$U,$H191)&lt;&gt;"Disqualified — Free Game",INDEX('Game Records'!$K:$K,$H191)=""),"Final Earned; ","")&amp;IF(AND(LOWER(INDEX('Game Records'!$D:$D,$H191)&amp;"")="finalized",INDEX('Game Records'!$U:$U,$H191)&lt;&gt;"Subscription",INDEX('Game Records'!$U:$U,$H191)&lt;&gt;"Free Game",INDEX('Game Records'!$U:$U,$H191)&lt;&gt;"Disqualified — Free Game",OR(INDEX('Game Records'!$L:$L,$H191)="",LOWER(INDEX('Game Records'!$L:$L,$H191)&amp;"")="n/a")),"Disqualified Status; ",""))</x:f>
        <x:v/>
      </x:c>
      <x:c r="G191" s="331" t="str">
        <x:f>IF($H191="","",IFERROR(INDEX('Game Records'!$M:$M,$H191),""))</x:f>
        <x:v/>
      </x:c>
      <x:c r="H191" s="104" t="str">
        <x:f>IF($H190="","",IFERROR(MATCH(1,INDEX((ROW('Game Records'!$U$5:$U$504)&gt;$H190)*(('Game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1" s="104"/>
      <x:c r="J191" s="104"/>
    </x:row>
    <x:row r="192" ht="24" hidden="0" customHeight="1">
      <x:c r="A192" s="332" t="str">
        <x:f>IF($H192="","",ROWS($A$5:A192))</x:f>
        <x:v/>
      </x:c>
      <x:c r="B192" s="332" t="str">
        <x:f>IF($H192="","","G-"&amp;TEXT($A192,"0000"))</x:f>
        <x:v/>
      </x:c>
      <x:c r="C192" s="331" t="str">
        <x:f>IF($H192="","",IFERROR(INDEX('Game Records'!$A:$A,$H192),""))</x:f>
        <x:v/>
      </x:c>
      <x:c r="D192" s="331" t="str">
        <x:f>IF($H192="","",IFERROR(INDEX('Game Records'!$U:$U,$H192),""))</x:f>
        <x:v/>
      </x:c>
      <x:c r="E192" s="331" t="str">
        <x:f>IF($H192="","",IF($F192="","No Highlighted Fields","Highlighted Fields Present"))</x:f>
        <x:v/>
      </x:c>
      <x:c r="F192" s="331" t="str">
        <x:f>IF($H192="","",IF(INDEX('Game Records'!$B:$B,$H192)="","Start Date; ","")&amp;IF(INDEX('Game Records'!$C:$C,$H192)="","End Date; ","")&amp;IF(AND(INDEX('Game Records'!$U:$U,$H192)&lt;&gt;"Subscription",INDEX('Game Records'!$U:$U,$H192)&lt;&gt;"Free Game",INDEX('Game Records'!$U:$U,$H192)&lt;&gt;"Disqualified — Free Game",OR(INDEX('Game Records'!$D:$D,$H192)="",LOWER(INDEX('Game Records'!$D:$D,$H192)&amp;"")="n/a")),"Entry Mode; ","")&amp;IF(AND(INDEX('Game Records'!$U:$U,$H192)&lt;&gt;"Subscription",INDEX('Game Records'!$U:$U,$H192)&lt;&gt;"Free Game",INDEX('Game Records'!$U:$U,$H192)&lt;&gt;"Disqualified — Free Game",OR(INDEX('Game Records'!$E:$E,$H192)="",LOWER(INDEX('Game Records'!$E:$E,$H192)&amp;"")="n/a")),"Game Type; ","")&amp;IF(INDEX('Game Records'!$F:$F,$H192)="","Payment Type; ","")&amp;IF(AND(INDEX('Game Records'!$U:$U,$H192)&lt;&gt;"Subscription",INDEX('Game Records'!$U:$U,$H192)&lt;&gt;"Free Game",INDEX('Game Records'!$U:$U,$H192)&lt;&gt;"Disqualified — Free Game",INDEX('Game Records'!$G:$G,$H192)=""),"Gross Pot; ","")&amp;IF(AND(INDEX('Game Records'!$U:$U,$H192)&lt;&gt;"Free Game",INDEX('Game Records'!$U:$U,$H192)&lt;&gt;"Disqualified — Free Game",INDEX('Game Records'!$H:$H,$H192)=""),"Entry Fee; ","")&amp;IF(AND(INDEX('Game Records'!$U:$U,$H192)&lt;&gt;"Subscription",INDEX('Game Records'!$U:$U,$H192)&lt;&gt;"Free Game",INDEX('Game Records'!$U:$U,$H192)&lt;&gt;"Disqualified — Free Game",INDEX('Game Records'!$I:$I,$H192)=""),"Eligible Players; ","")&amp;IF(AND(INDEX('Game Records'!$U:$U,$H192)&lt;&gt;"Subscription",INDEX('Game Records'!$U:$U,$H192)&lt;&gt;"Free Game",INDEX('Game Records'!$U:$U,$H192)&lt;&gt;"Disqualified — Free Game",INDEX('Game Records'!$J:$J,$H192)=""),"Total Players; ","")&amp;IF(AND(LOWER(INDEX('Game Records'!$D:$D,$H192)&amp;"")="finalized",LOWER(INDEX('Game Records'!$L:$L,$H192)&amp;"")&lt;&gt;"yes",INDEX('Game Records'!$U:$U,$H192)&lt;&gt;"Subscription",INDEX('Game Records'!$U:$U,$H192)&lt;&gt;"Free Game",INDEX('Game Records'!$U:$U,$H192)&lt;&gt;"Disqualified — Free Game",INDEX('Game Records'!$K:$K,$H192)=""),"Final Earned; ","")&amp;IF(AND(LOWER(INDEX('Game Records'!$D:$D,$H192)&amp;"")="finalized",INDEX('Game Records'!$U:$U,$H192)&lt;&gt;"Subscription",INDEX('Game Records'!$U:$U,$H192)&lt;&gt;"Free Game",INDEX('Game Records'!$U:$U,$H192)&lt;&gt;"Disqualified — Free Game",OR(INDEX('Game Records'!$L:$L,$H192)="",LOWER(INDEX('Game Records'!$L:$L,$H192)&amp;"")="n/a")),"Disqualified Status; ",""))</x:f>
        <x:v/>
      </x:c>
      <x:c r="G192" s="331" t="str">
        <x:f>IF($H192="","",IFERROR(INDEX('Game Records'!$M:$M,$H192),""))</x:f>
        <x:v/>
      </x:c>
      <x:c r="H192" s="104" t="str">
        <x:f>IF($H191="","",IFERROR(MATCH(1,INDEX((ROW('Game Records'!$U$5:$U$504)&gt;$H191)*(('Game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2" s="104"/>
      <x:c r="J192" s="104"/>
    </x:row>
    <x:row r="193" ht="24" hidden="0" customHeight="1">
      <x:c r="A193" s="332" t="str">
        <x:f>IF($H193="","",ROWS($A$5:A193))</x:f>
        <x:v/>
      </x:c>
      <x:c r="B193" s="332" t="str">
        <x:f>IF($H193="","","G-"&amp;TEXT($A193,"0000"))</x:f>
        <x:v/>
      </x:c>
      <x:c r="C193" s="331" t="str">
        <x:f>IF($H193="","",IFERROR(INDEX('Game Records'!$A:$A,$H193),""))</x:f>
        <x:v/>
      </x:c>
      <x:c r="D193" s="331" t="str">
        <x:f>IF($H193="","",IFERROR(INDEX('Game Records'!$U:$U,$H193),""))</x:f>
        <x:v/>
      </x:c>
      <x:c r="E193" s="331" t="str">
        <x:f>IF($H193="","",IF($F193="","No Highlighted Fields","Highlighted Fields Present"))</x:f>
        <x:v/>
      </x:c>
      <x:c r="F193" s="331" t="str">
        <x:f>IF($H193="","",IF(INDEX('Game Records'!$B:$B,$H193)="","Start Date; ","")&amp;IF(INDEX('Game Records'!$C:$C,$H193)="","End Date; ","")&amp;IF(AND(INDEX('Game Records'!$U:$U,$H193)&lt;&gt;"Subscription",INDEX('Game Records'!$U:$U,$H193)&lt;&gt;"Free Game",INDEX('Game Records'!$U:$U,$H193)&lt;&gt;"Disqualified — Free Game",OR(INDEX('Game Records'!$D:$D,$H193)="",LOWER(INDEX('Game Records'!$D:$D,$H193)&amp;"")="n/a")),"Entry Mode; ","")&amp;IF(AND(INDEX('Game Records'!$U:$U,$H193)&lt;&gt;"Subscription",INDEX('Game Records'!$U:$U,$H193)&lt;&gt;"Free Game",INDEX('Game Records'!$U:$U,$H193)&lt;&gt;"Disqualified — Free Game",OR(INDEX('Game Records'!$E:$E,$H193)="",LOWER(INDEX('Game Records'!$E:$E,$H193)&amp;"")="n/a")),"Game Type; ","")&amp;IF(INDEX('Game Records'!$F:$F,$H193)="","Payment Type; ","")&amp;IF(AND(INDEX('Game Records'!$U:$U,$H193)&lt;&gt;"Subscription",INDEX('Game Records'!$U:$U,$H193)&lt;&gt;"Free Game",INDEX('Game Records'!$U:$U,$H193)&lt;&gt;"Disqualified — Free Game",INDEX('Game Records'!$G:$G,$H193)=""),"Gross Pot; ","")&amp;IF(AND(INDEX('Game Records'!$U:$U,$H193)&lt;&gt;"Free Game",INDEX('Game Records'!$U:$U,$H193)&lt;&gt;"Disqualified — Free Game",INDEX('Game Records'!$H:$H,$H193)=""),"Entry Fee; ","")&amp;IF(AND(INDEX('Game Records'!$U:$U,$H193)&lt;&gt;"Subscription",INDEX('Game Records'!$U:$U,$H193)&lt;&gt;"Free Game",INDEX('Game Records'!$U:$U,$H193)&lt;&gt;"Disqualified — Free Game",INDEX('Game Records'!$I:$I,$H193)=""),"Eligible Players; ","")&amp;IF(AND(INDEX('Game Records'!$U:$U,$H193)&lt;&gt;"Subscription",INDEX('Game Records'!$U:$U,$H193)&lt;&gt;"Free Game",INDEX('Game Records'!$U:$U,$H193)&lt;&gt;"Disqualified — Free Game",INDEX('Game Records'!$J:$J,$H193)=""),"Total Players; ","")&amp;IF(AND(LOWER(INDEX('Game Records'!$D:$D,$H193)&amp;"")="finalized",LOWER(INDEX('Game Records'!$L:$L,$H193)&amp;"")&lt;&gt;"yes",INDEX('Game Records'!$U:$U,$H193)&lt;&gt;"Subscription",INDEX('Game Records'!$U:$U,$H193)&lt;&gt;"Free Game",INDEX('Game Records'!$U:$U,$H193)&lt;&gt;"Disqualified — Free Game",INDEX('Game Records'!$K:$K,$H193)=""),"Final Earned; ","")&amp;IF(AND(LOWER(INDEX('Game Records'!$D:$D,$H193)&amp;"")="finalized",INDEX('Game Records'!$U:$U,$H193)&lt;&gt;"Subscription",INDEX('Game Records'!$U:$U,$H193)&lt;&gt;"Free Game",INDEX('Game Records'!$U:$U,$H193)&lt;&gt;"Disqualified — Free Game",OR(INDEX('Game Records'!$L:$L,$H193)="",LOWER(INDEX('Game Records'!$L:$L,$H193)&amp;"")="n/a")),"Disqualified Status; ",""))</x:f>
        <x:v/>
      </x:c>
      <x:c r="G193" s="331" t="str">
        <x:f>IF($H193="","",IFERROR(INDEX('Game Records'!$M:$M,$H193),""))</x:f>
        <x:v/>
      </x:c>
      <x:c r="H193" s="104" t="str">
        <x:f>IF($H192="","",IFERROR(MATCH(1,INDEX((ROW('Game Records'!$U$5:$U$504)&gt;$H192)*(('Game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3" s="104"/>
      <x:c r="J193" s="104"/>
    </x:row>
    <x:row r="194" ht="24" hidden="0" customHeight="1">
      <x:c r="A194" s="332" t="str">
        <x:f>IF($H194="","",ROWS($A$5:A194))</x:f>
        <x:v/>
      </x:c>
      <x:c r="B194" s="332" t="str">
        <x:f>IF($H194="","","G-"&amp;TEXT($A194,"0000"))</x:f>
        <x:v/>
      </x:c>
      <x:c r="C194" s="331" t="str">
        <x:f>IF($H194="","",IFERROR(INDEX('Game Records'!$A:$A,$H194),""))</x:f>
        <x:v/>
      </x:c>
      <x:c r="D194" s="331" t="str">
        <x:f>IF($H194="","",IFERROR(INDEX('Game Records'!$U:$U,$H194),""))</x:f>
        <x:v/>
      </x:c>
      <x:c r="E194" s="331" t="str">
        <x:f>IF($H194="","",IF($F194="","No Highlighted Fields","Highlighted Fields Present"))</x:f>
        <x:v/>
      </x:c>
      <x:c r="F194" s="331" t="str">
        <x:f>IF($H194="","",IF(INDEX('Game Records'!$B:$B,$H194)="","Start Date; ","")&amp;IF(INDEX('Game Records'!$C:$C,$H194)="","End Date; ","")&amp;IF(AND(INDEX('Game Records'!$U:$U,$H194)&lt;&gt;"Subscription",INDEX('Game Records'!$U:$U,$H194)&lt;&gt;"Free Game",INDEX('Game Records'!$U:$U,$H194)&lt;&gt;"Disqualified — Free Game",OR(INDEX('Game Records'!$D:$D,$H194)="",LOWER(INDEX('Game Records'!$D:$D,$H194)&amp;"")="n/a")),"Entry Mode; ","")&amp;IF(AND(INDEX('Game Records'!$U:$U,$H194)&lt;&gt;"Subscription",INDEX('Game Records'!$U:$U,$H194)&lt;&gt;"Free Game",INDEX('Game Records'!$U:$U,$H194)&lt;&gt;"Disqualified — Free Game",OR(INDEX('Game Records'!$E:$E,$H194)="",LOWER(INDEX('Game Records'!$E:$E,$H194)&amp;"")="n/a")),"Game Type; ","")&amp;IF(INDEX('Game Records'!$F:$F,$H194)="","Payment Type; ","")&amp;IF(AND(INDEX('Game Records'!$U:$U,$H194)&lt;&gt;"Subscription",INDEX('Game Records'!$U:$U,$H194)&lt;&gt;"Free Game",INDEX('Game Records'!$U:$U,$H194)&lt;&gt;"Disqualified — Free Game",INDEX('Game Records'!$G:$G,$H194)=""),"Gross Pot; ","")&amp;IF(AND(INDEX('Game Records'!$U:$U,$H194)&lt;&gt;"Free Game",INDEX('Game Records'!$U:$U,$H194)&lt;&gt;"Disqualified — Free Game",INDEX('Game Records'!$H:$H,$H194)=""),"Entry Fee; ","")&amp;IF(AND(INDEX('Game Records'!$U:$U,$H194)&lt;&gt;"Subscription",INDEX('Game Records'!$U:$U,$H194)&lt;&gt;"Free Game",INDEX('Game Records'!$U:$U,$H194)&lt;&gt;"Disqualified — Free Game",INDEX('Game Records'!$I:$I,$H194)=""),"Eligible Players; ","")&amp;IF(AND(INDEX('Game Records'!$U:$U,$H194)&lt;&gt;"Subscription",INDEX('Game Records'!$U:$U,$H194)&lt;&gt;"Free Game",INDEX('Game Records'!$U:$U,$H194)&lt;&gt;"Disqualified — Free Game",INDEX('Game Records'!$J:$J,$H194)=""),"Total Players; ","")&amp;IF(AND(LOWER(INDEX('Game Records'!$D:$D,$H194)&amp;"")="finalized",LOWER(INDEX('Game Records'!$L:$L,$H194)&amp;"")&lt;&gt;"yes",INDEX('Game Records'!$U:$U,$H194)&lt;&gt;"Subscription",INDEX('Game Records'!$U:$U,$H194)&lt;&gt;"Free Game",INDEX('Game Records'!$U:$U,$H194)&lt;&gt;"Disqualified — Free Game",INDEX('Game Records'!$K:$K,$H194)=""),"Final Earned; ","")&amp;IF(AND(LOWER(INDEX('Game Records'!$D:$D,$H194)&amp;"")="finalized",INDEX('Game Records'!$U:$U,$H194)&lt;&gt;"Subscription",INDEX('Game Records'!$U:$U,$H194)&lt;&gt;"Free Game",INDEX('Game Records'!$U:$U,$H194)&lt;&gt;"Disqualified — Free Game",OR(INDEX('Game Records'!$L:$L,$H194)="",LOWER(INDEX('Game Records'!$L:$L,$H194)&amp;"")="n/a")),"Disqualified Status; ",""))</x:f>
        <x:v/>
      </x:c>
      <x:c r="G194" s="331" t="str">
        <x:f>IF($H194="","",IFERROR(INDEX('Game Records'!$M:$M,$H194),""))</x:f>
        <x:v/>
      </x:c>
      <x:c r="H194" s="104" t="str">
        <x:f>IF($H193="","",IFERROR(MATCH(1,INDEX((ROW('Game Records'!$U$5:$U$504)&gt;$H193)*(('Game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4" s="104"/>
      <x:c r="J194" s="104"/>
    </x:row>
    <x:row r="195" ht="24" hidden="0" customHeight="1">
      <x:c r="A195" s="332" t="str">
        <x:f>IF($H195="","",ROWS($A$5:A195))</x:f>
        <x:v/>
      </x:c>
      <x:c r="B195" s="332" t="str">
        <x:f>IF($H195="","","G-"&amp;TEXT($A195,"0000"))</x:f>
        <x:v/>
      </x:c>
      <x:c r="C195" s="331" t="str">
        <x:f>IF($H195="","",IFERROR(INDEX('Game Records'!$A:$A,$H195),""))</x:f>
        <x:v/>
      </x:c>
      <x:c r="D195" s="331" t="str">
        <x:f>IF($H195="","",IFERROR(INDEX('Game Records'!$U:$U,$H195),""))</x:f>
        <x:v/>
      </x:c>
      <x:c r="E195" s="331" t="str">
        <x:f>IF($H195="","",IF($F195="","No Highlighted Fields","Highlighted Fields Present"))</x:f>
        <x:v/>
      </x:c>
      <x:c r="F195" s="331" t="str">
        <x:f>IF($H195="","",IF(INDEX('Game Records'!$B:$B,$H195)="","Start Date; ","")&amp;IF(INDEX('Game Records'!$C:$C,$H195)="","End Date; ","")&amp;IF(AND(INDEX('Game Records'!$U:$U,$H195)&lt;&gt;"Subscription",INDEX('Game Records'!$U:$U,$H195)&lt;&gt;"Free Game",INDEX('Game Records'!$U:$U,$H195)&lt;&gt;"Disqualified — Free Game",OR(INDEX('Game Records'!$D:$D,$H195)="",LOWER(INDEX('Game Records'!$D:$D,$H195)&amp;"")="n/a")),"Entry Mode; ","")&amp;IF(AND(INDEX('Game Records'!$U:$U,$H195)&lt;&gt;"Subscription",INDEX('Game Records'!$U:$U,$H195)&lt;&gt;"Free Game",INDEX('Game Records'!$U:$U,$H195)&lt;&gt;"Disqualified — Free Game",OR(INDEX('Game Records'!$E:$E,$H195)="",LOWER(INDEX('Game Records'!$E:$E,$H195)&amp;"")="n/a")),"Game Type; ","")&amp;IF(INDEX('Game Records'!$F:$F,$H195)="","Payment Type; ","")&amp;IF(AND(INDEX('Game Records'!$U:$U,$H195)&lt;&gt;"Subscription",INDEX('Game Records'!$U:$U,$H195)&lt;&gt;"Free Game",INDEX('Game Records'!$U:$U,$H195)&lt;&gt;"Disqualified — Free Game",INDEX('Game Records'!$G:$G,$H195)=""),"Gross Pot; ","")&amp;IF(AND(INDEX('Game Records'!$U:$U,$H195)&lt;&gt;"Free Game",INDEX('Game Records'!$U:$U,$H195)&lt;&gt;"Disqualified — Free Game",INDEX('Game Records'!$H:$H,$H195)=""),"Entry Fee; ","")&amp;IF(AND(INDEX('Game Records'!$U:$U,$H195)&lt;&gt;"Subscription",INDEX('Game Records'!$U:$U,$H195)&lt;&gt;"Free Game",INDEX('Game Records'!$U:$U,$H195)&lt;&gt;"Disqualified — Free Game",INDEX('Game Records'!$I:$I,$H195)=""),"Eligible Players; ","")&amp;IF(AND(INDEX('Game Records'!$U:$U,$H195)&lt;&gt;"Subscription",INDEX('Game Records'!$U:$U,$H195)&lt;&gt;"Free Game",INDEX('Game Records'!$U:$U,$H195)&lt;&gt;"Disqualified — Free Game",INDEX('Game Records'!$J:$J,$H195)=""),"Total Players; ","")&amp;IF(AND(LOWER(INDEX('Game Records'!$D:$D,$H195)&amp;"")="finalized",LOWER(INDEX('Game Records'!$L:$L,$H195)&amp;"")&lt;&gt;"yes",INDEX('Game Records'!$U:$U,$H195)&lt;&gt;"Subscription",INDEX('Game Records'!$U:$U,$H195)&lt;&gt;"Free Game",INDEX('Game Records'!$U:$U,$H195)&lt;&gt;"Disqualified — Free Game",INDEX('Game Records'!$K:$K,$H195)=""),"Final Earned; ","")&amp;IF(AND(LOWER(INDEX('Game Records'!$D:$D,$H195)&amp;"")="finalized",INDEX('Game Records'!$U:$U,$H195)&lt;&gt;"Subscription",INDEX('Game Records'!$U:$U,$H195)&lt;&gt;"Free Game",INDEX('Game Records'!$U:$U,$H195)&lt;&gt;"Disqualified — Free Game",OR(INDEX('Game Records'!$L:$L,$H195)="",LOWER(INDEX('Game Records'!$L:$L,$H195)&amp;"")="n/a")),"Disqualified Status; ",""))</x:f>
        <x:v/>
      </x:c>
      <x:c r="G195" s="331" t="str">
        <x:f>IF($H195="","",IFERROR(INDEX('Game Records'!$M:$M,$H195),""))</x:f>
        <x:v/>
      </x:c>
      <x:c r="H195" s="104" t="str">
        <x:f>IF($H194="","",IFERROR(MATCH(1,INDEX((ROW('Game Records'!$U$5:$U$504)&gt;$H194)*(('Game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5" s="104"/>
      <x:c r="J195" s="104"/>
    </x:row>
    <x:row r="196" ht="24" hidden="0" customHeight="1">
      <x:c r="A196" s="332" t="str">
        <x:f>IF($H196="","",ROWS($A$5:A196))</x:f>
        <x:v/>
      </x:c>
      <x:c r="B196" s="332" t="str">
        <x:f>IF($H196="","","G-"&amp;TEXT($A196,"0000"))</x:f>
        <x:v/>
      </x:c>
      <x:c r="C196" s="331" t="str">
        <x:f>IF($H196="","",IFERROR(INDEX('Game Records'!$A:$A,$H196),""))</x:f>
        <x:v/>
      </x:c>
      <x:c r="D196" s="331" t="str">
        <x:f>IF($H196="","",IFERROR(INDEX('Game Records'!$U:$U,$H196),""))</x:f>
        <x:v/>
      </x:c>
      <x:c r="E196" s="331" t="str">
        <x:f>IF($H196="","",IF($F196="","No Highlighted Fields","Highlighted Fields Present"))</x:f>
        <x:v/>
      </x:c>
      <x:c r="F196" s="331" t="str">
        <x:f>IF($H196="","",IF(INDEX('Game Records'!$B:$B,$H196)="","Start Date; ","")&amp;IF(INDEX('Game Records'!$C:$C,$H196)="","End Date; ","")&amp;IF(AND(INDEX('Game Records'!$U:$U,$H196)&lt;&gt;"Subscription",INDEX('Game Records'!$U:$U,$H196)&lt;&gt;"Free Game",INDEX('Game Records'!$U:$U,$H196)&lt;&gt;"Disqualified — Free Game",OR(INDEX('Game Records'!$D:$D,$H196)="",LOWER(INDEX('Game Records'!$D:$D,$H196)&amp;"")="n/a")),"Entry Mode; ","")&amp;IF(AND(INDEX('Game Records'!$U:$U,$H196)&lt;&gt;"Subscription",INDEX('Game Records'!$U:$U,$H196)&lt;&gt;"Free Game",INDEX('Game Records'!$U:$U,$H196)&lt;&gt;"Disqualified — Free Game",OR(INDEX('Game Records'!$E:$E,$H196)="",LOWER(INDEX('Game Records'!$E:$E,$H196)&amp;"")="n/a")),"Game Type; ","")&amp;IF(INDEX('Game Records'!$F:$F,$H196)="","Payment Type; ","")&amp;IF(AND(INDEX('Game Records'!$U:$U,$H196)&lt;&gt;"Subscription",INDEX('Game Records'!$U:$U,$H196)&lt;&gt;"Free Game",INDEX('Game Records'!$U:$U,$H196)&lt;&gt;"Disqualified — Free Game",INDEX('Game Records'!$G:$G,$H196)=""),"Gross Pot; ","")&amp;IF(AND(INDEX('Game Records'!$U:$U,$H196)&lt;&gt;"Free Game",INDEX('Game Records'!$U:$U,$H196)&lt;&gt;"Disqualified — Free Game",INDEX('Game Records'!$H:$H,$H196)=""),"Entry Fee; ","")&amp;IF(AND(INDEX('Game Records'!$U:$U,$H196)&lt;&gt;"Subscription",INDEX('Game Records'!$U:$U,$H196)&lt;&gt;"Free Game",INDEX('Game Records'!$U:$U,$H196)&lt;&gt;"Disqualified — Free Game",INDEX('Game Records'!$I:$I,$H196)=""),"Eligible Players; ","")&amp;IF(AND(INDEX('Game Records'!$U:$U,$H196)&lt;&gt;"Subscription",INDEX('Game Records'!$U:$U,$H196)&lt;&gt;"Free Game",INDEX('Game Records'!$U:$U,$H196)&lt;&gt;"Disqualified — Free Game",INDEX('Game Records'!$J:$J,$H196)=""),"Total Players; ","")&amp;IF(AND(LOWER(INDEX('Game Records'!$D:$D,$H196)&amp;"")="finalized",LOWER(INDEX('Game Records'!$L:$L,$H196)&amp;"")&lt;&gt;"yes",INDEX('Game Records'!$U:$U,$H196)&lt;&gt;"Subscription",INDEX('Game Records'!$U:$U,$H196)&lt;&gt;"Free Game",INDEX('Game Records'!$U:$U,$H196)&lt;&gt;"Disqualified — Free Game",INDEX('Game Records'!$K:$K,$H196)=""),"Final Earned; ","")&amp;IF(AND(LOWER(INDEX('Game Records'!$D:$D,$H196)&amp;"")="finalized",INDEX('Game Records'!$U:$U,$H196)&lt;&gt;"Subscription",INDEX('Game Records'!$U:$U,$H196)&lt;&gt;"Free Game",INDEX('Game Records'!$U:$U,$H196)&lt;&gt;"Disqualified — Free Game",OR(INDEX('Game Records'!$L:$L,$H196)="",LOWER(INDEX('Game Records'!$L:$L,$H196)&amp;"")="n/a")),"Disqualified Status; ",""))</x:f>
        <x:v/>
      </x:c>
      <x:c r="G196" s="331" t="str">
        <x:f>IF($H196="","",IFERROR(INDEX('Game Records'!$M:$M,$H196),""))</x:f>
        <x:v/>
      </x:c>
      <x:c r="H196" s="104" t="str">
        <x:f>IF($H195="","",IFERROR(MATCH(1,INDEX((ROW('Game Records'!$U$5:$U$504)&gt;$H195)*(('Game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6" s="104"/>
      <x:c r="J196" s="104"/>
    </x:row>
    <x:row r="197" ht="24" hidden="0" customHeight="1">
      <x:c r="A197" s="332" t="str">
        <x:f>IF($H197="","",ROWS($A$5:A197))</x:f>
        <x:v/>
      </x:c>
      <x:c r="B197" s="332" t="str">
        <x:f>IF($H197="","","G-"&amp;TEXT($A197,"0000"))</x:f>
        <x:v/>
      </x:c>
      <x:c r="C197" s="331" t="str">
        <x:f>IF($H197="","",IFERROR(INDEX('Game Records'!$A:$A,$H197),""))</x:f>
        <x:v/>
      </x:c>
      <x:c r="D197" s="331" t="str">
        <x:f>IF($H197="","",IFERROR(INDEX('Game Records'!$U:$U,$H197),""))</x:f>
        <x:v/>
      </x:c>
      <x:c r="E197" s="331" t="str">
        <x:f>IF($H197="","",IF($F197="","No Highlighted Fields","Highlighted Fields Present"))</x:f>
        <x:v/>
      </x:c>
      <x:c r="F197" s="331" t="str">
        <x:f>IF($H197="","",IF(INDEX('Game Records'!$B:$B,$H197)="","Start Date; ","")&amp;IF(INDEX('Game Records'!$C:$C,$H197)="","End Date; ","")&amp;IF(AND(INDEX('Game Records'!$U:$U,$H197)&lt;&gt;"Subscription",INDEX('Game Records'!$U:$U,$H197)&lt;&gt;"Free Game",INDEX('Game Records'!$U:$U,$H197)&lt;&gt;"Disqualified — Free Game",OR(INDEX('Game Records'!$D:$D,$H197)="",LOWER(INDEX('Game Records'!$D:$D,$H197)&amp;"")="n/a")),"Entry Mode; ","")&amp;IF(AND(INDEX('Game Records'!$U:$U,$H197)&lt;&gt;"Subscription",INDEX('Game Records'!$U:$U,$H197)&lt;&gt;"Free Game",INDEX('Game Records'!$U:$U,$H197)&lt;&gt;"Disqualified — Free Game",OR(INDEX('Game Records'!$E:$E,$H197)="",LOWER(INDEX('Game Records'!$E:$E,$H197)&amp;"")="n/a")),"Game Type; ","")&amp;IF(INDEX('Game Records'!$F:$F,$H197)="","Payment Type; ","")&amp;IF(AND(INDEX('Game Records'!$U:$U,$H197)&lt;&gt;"Subscription",INDEX('Game Records'!$U:$U,$H197)&lt;&gt;"Free Game",INDEX('Game Records'!$U:$U,$H197)&lt;&gt;"Disqualified — Free Game",INDEX('Game Records'!$G:$G,$H197)=""),"Gross Pot; ","")&amp;IF(AND(INDEX('Game Records'!$U:$U,$H197)&lt;&gt;"Free Game",INDEX('Game Records'!$U:$U,$H197)&lt;&gt;"Disqualified — Free Game",INDEX('Game Records'!$H:$H,$H197)=""),"Entry Fee; ","")&amp;IF(AND(INDEX('Game Records'!$U:$U,$H197)&lt;&gt;"Subscription",INDEX('Game Records'!$U:$U,$H197)&lt;&gt;"Free Game",INDEX('Game Records'!$U:$U,$H197)&lt;&gt;"Disqualified — Free Game",INDEX('Game Records'!$I:$I,$H197)=""),"Eligible Players; ","")&amp;IF(AND(INDEX('Game Records'!$U:$U,$H197)&lt;&gt;"Subscription",INDEX('Game Records'!$U:$U,$H197)&lt;&gt;"Free Game",INDEX('Game Records'!$U:$U,$H197)&lt;&gt;"Disqualified — Free Game",INDEX('Game Records'!$J:$J,$H197)=""),"Total Players; ","")&amp;IF(AND(LOWER(INDEX('Game Records'!$D:$D,$H197)&amp;"")="finalized",LOWER(INDEX('Game Records'!$L:$L,$H197)&amp;"")&lt;&gt;"yes",INDEX('Game Records'!$U:$U,$H197)&lt;&gt;"Subscription",INDEX('Game Records'!$U:$U,$H197)&lt;&gt;"Free Game",INDEX('Game Records'!$U:$U,$H197)&lt;&gt;"Disqualified — Free Game",INDEX('Game Records'!$K:$K,$H197)=""),"Final Earned; ","")&amp;IF(AND(LOWER(INDEX('Game Records'!$D:$D,$H197)&amp;"")="finalized",INDEX('Game Records'!$U:$U,$H197)&lt;&gt;"Subscription",INDEX('Game Records'!$U:$U,$H197)&lt;&gt;"Free Game",INDEX('Game Records'!$U:$U,$H197)&lt;&gt;"Disqualified — Free Game",OR(INDEX('Game Records'!$L:$L,$H197)="",LOWER(INDEX('Game Records'!$L:$L,$H197)&amp;"")="n/a")),"Disqualified Status; ",""))</x:f>
        <x:v/>
      </x:c>
      <x:c r="G197" s="331" t="str">
        <x:f>IF($H197="","",IFERROR(INDEX('Game Records'!$M:$M,$H197),""))</x:f>
        <x:v/>
      </x:c>
      <x:c r="H197" s="104" t="str">
        <x:f>IF($H196="","",IFERROR(MATCH(1,INDEX((ROW('Game Records'!$U$5:$U$504)&gt;$H196)*(('Game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7" s="104"/>
      <x:c r="J197" s="104"/>
    </x:row>
    <x:row r="198" ht="24" hidden="0" customHeight="1">
      <x:c r="A198" s="332" t="str">
        <x:f>IF($H198="","",ROWS($A$5:A198))</x:f>
        <x:v/>
      </x:c>
      <x:c r="B198" s="332" t="str">
        <x:f>IF($H198="","","G-"&amp;TEXT($A198,"0000"))</x:f>
        <x:v/>
      </x:c>
      <x:c r="C198" s="331" t="str">
        <x:f>IF($H198="","",IFERROR(INDEX('Game Records'!$A:$A,$H198),""))</x:f>
        <x:v/>
      </x:c>
      <x:c r="D198" s="331" t="str">
        <x:f>IF($H198="","",IFERROR(INDEX('Game Records'!$U:$U,$H198),""))</x:f>
        <x:v/>
      </x:c>
      <x:c r="E198" s="331" t="str">
        <x:f>IF($H198="","",IF($F198="","No Highlighted Fields","Highlighted Fields Present"))</x:f>
        <x:v/>
      </x:c>
      <x:c r="F198" s="331" t="str">
        <x:f>IF($H198="","",IF(INDEX('Game Records'!$B:$B,$H198)="","Start Date; ","")&amp;IF(INDEX('Game Records'!$C:$C,$H198)="","End Date; ","")&amp;IF(AND(INDEX('Game Records'!$U:$U,$H198)&lt;&gt;"Subscription",INDEX('Game Records'!$U:$U,$H198)&lt;&gt;"Free Game",INDEX('Game Records'!$U:$U,$H198)&lt;&gt;"Disqualified — Free Game",OR(INDEX('Game Records'!$D:$D,$H198)="",LOWER(INDEX('Game Records'!$D:$D,$H198)&amp;"")="n/a")),"Entry Mode; ","")&amp;IF(AND(INDEX('Game Records'!$U:$U,$H198)&lt;&gt;"Subscription",INDEX('Game Records'!$U:$U,$H198)&lt;&gt;"Free Game",INDEX('Game Records'!$U:$U,$H198)&lt;&gt;"Disqualified — Free Game",OR(INDEX('Game Records'!$E:$E,$H198)="",LOWER(INDEX('Game Records'!$E:$E,$H198)&amp;"")="n/a")),"Game Type; ","")&amp;IF(INDEX('Game Records'!$F:$F,$H198)="","Payment Type; ","")&amp;IF(AND(INDEX('Game Records'!$U:$U,$H198)&lt;&gt;"Subscription",INDEX('Game Records'!$U:$U,$H198)&lt;&gt;"Free Game",INDEX('Game Records'!$U:$U,$H198)&lt;&gt;"Disqualified — Free Game",INDEX('Game Records'!$G:$G,$H198)=""),"Gross Pot; ","")&amp;IF(AND(INDEX('Game Records'!$U:$U,$H198)&lt;&gt;"Free Game",INDEX('Game Records'!$U:$U,$H198)&lt;&gt;"Disqualified — Free Game",INDEX('Game Records'!$H:$H,$H198)=""),"Entry Fee; ","")&amp;IF(AND(INDEX('Game Records'!$U:$U,$H198)&lt;&gt;"Subscription",INDEX('Game Records'!$U:$U,$H198)&lt;&gt;"Free Game",INDEX('Game Records'!$U:$U,$H198)&lt;&gt;"Disqualified — Free Game",INDEX('Game Records'!$I:$I,$H198)=""),"Eligible Players; ","")&amp;IF(AND(INDEX('Game Records'!$U:$U,$H198)&lt;&gt;"Subscription",INDEX('Game Records'!$U:$U,$H198)&lt;&gt;"Free Game",INDEX('Game Records'!$U:$U,$H198)&lt;&gt;"Disqualified — Free Game",INDEX('Game Records'!$J:$J,$H198)=""),"Total Players; ","")&amp;IF(AND(LOWER(INDEX('Game Records'!$D:$D,$H198)&amp;"")="finalized",LOWER(INDEX('Game Records'!$L:$L,$H198)&amp;"")&lt;&gt;"yes",INDEX('Game Records'!$U:$U,$H198)&lt;&gt;"Subscription",INDEX('Game Records'!$U:$U,$H198)&lt;&gt;"Free Game",INDEX('Game Records'!$U:$U,$H198)&lt;&gt;"Disqualified — Free Game",INDEX('Game Records'!$K:$K,$H198)=""),"Final Earned; ","")&amp;IF(AND(LOWER(INDEX('Game Records'!$D:$D,$H198)&amp;"")="finalized",INDEX('Game Records'!$U:$U,$H198)&lt;&gt;"Subscription",INDEX('Game Records'!$U:$U,$H198)&lt;&gt;"Free Game",INDEX('Game Records'!$U:$U,$H198)&lt;&gt;"Disqualified — Free Game",OR(INDEX('Game Records'!$L:$L,$H198)="",LOWER(INDEX('Game Records'!$L:$L,$H198)&amp;"")="n/a")),"Disqualified Status; ",""))</x:f>
        <x:v/>
      </x:c>
      <x:c r="G198" s="331" t="str">
        <x:f>IF($H198="","",IFERROR(INDEX('Game Records'!$M:$M,$H198),""))</x:f>
        <x:v/>
      </x:c>
      <x:c r="H198" s="104" t="str">
        <x:f>IF($H197="","",IFERROR(MATCH(1,INDEX((ROW('Game Records'!$U$5:$U$504)&gt;$H197)*(('Game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8" s="104"/>
      <x:c r="J198" s="104"/>
    </x:row>
    <x:row r="199" ht="24" hidden="0" customHeight="1">
      <x:c r="A199" s="332" t="str">
        <x:f>IF($H199="","",ROWS($A$5:A199))</x:f>
        <x:v/>
      </x:c>
      <x:c r="B199" s="332" t="str">
        <x:f>IF($H199="","","G-"&amp;TEXT($A199,"0000"))</x:f>
        <x:v/>
      </x:c>
      <x:c r="C199" s="331" t="str">
        <x:f>IF($H199="","",IFERROR(INDEX('Game Records'!$A:$A,$H199),""))</x:f>
        <x:v/>
      </x:c>
      <x:c r="D199" s="331" t="str">
        <x:f>IF($H199="","",IFERROR(INDEX('Game Records'!$U:$U,$H199),""))</x:f>
        <x:v/>
      </x:c>
      <x:c r="E199" s="331" t="str">
        <x:f>IF($H199="","",IF($F199="","No Highlighted Fields","Highlighted Fields Present"))</x:f>
        <x:v/>
      </x:c>
      <x:c r="F199" s="331" t="str">
        <x:f>IF($H199="","",IF(INDEX('Game Records'!$B:$B,$H199)="","Start Date; ","")&amp;IF(INDEX('Game Records'!$C:$C,$H199)="","End Date; ","")&amp;IF(AND(INDEX('Game Records'!$U:$U,$H199)&lt;&gt;"Subscription",INDEX('Game Records'!$U:$U,$H199)&lt;&gt;"Free Game",INDEX('Game Records'!$U:$U,$H199)&lt;&gt;"Disqualified — Free Game",OR(INDEX('Game Records'!$D:$D,$H199)="",LOWER(INDEX('Game Records'!$D:$D,$H199)&amp;"")="n/a")),"Entry Mode; ","")&amp;IF(AND(INDEX('Game Records'!$U:$U,$H199)&lt;&gt;"Subscription",INDEX('Game Records'!$U:$U,$H199)&lt;&gt;"Free Game",INDEX('Game Records'!$U:$U,$H199)&lt;&gt;"Disqualified — Free Game",OR(INDEX('Game Records'!$E:$E,$H199)="",LOWER(INDEX('Game Records'!$E:$E,$H199)&amp;"")="n/a")),"Game Type; ","")&amp;IF(INDEX('Game Records'!$F:$F,$H199)="","Payment Type; ","")&amp;IF(AND(INDEX('Game Records'!$U:$U,$H199)&lt;&gt;"Subscription",INDEX('Game Records'!$U:$U,$H199)&lt;&gt;"Free Game",INDEX('Game Records'!$U:$U,$H199)&lt;&gt;"Disqualified — Free Game",INDEX('Game Records'!$G:$G,$H199)=""),"Gross Pot; ","")&amp;IF(AND(INDEX('Game Records'!$U:$U,$H199)&lt;&gt;"Free Game",INDEX('Game Records'!$U:$U,$H199)&lt;&gt;"Disqualified — Free Game",INDEX('Game Records'!$H:$H,$H199)=""),"Entry Fee; ","")&amp;IF(AND(INDEX('Game Records'!$U:$U,$H199)&lt;&gt;"Subscription",INDEX('Game Records'!$U:$U,$H199)&lt;&gt;"Free Game",INDEX('Game Records'!$U:$U,$H199)&lt;&gt;"Disqualified — Free Game",INDEX('Game Records'!$I:$I,$H199)=""),"Eligible Players; ","")&amp;IF(AND(INDEX('Game Records'!$U:$U,$H199)&lt;&gt;"Subscription",INDEX('Game Records'!$U:$U,$H199)&lt;&gt;"Free Game",INDEX('Game Records'!$U:$U,$H199)&lt;&gt;"Disqualified — Free Game",INDEX('Game Records'!$J:$J,$H199)=""),"Total Players; ","")&amp;IF(AND(LOWER(INDEX('Game Records'!$D:$D,$H199)&amp;"")="finalized",LOWER(INDEX('Game Records'!$L:$L,$H199)&amp;"")&lt;&gt;"yes",INDEX('Game Records'!$U:$U,$H199)&lt;&gt;"Subscription",INDEX('Game Records'!$U:$U,$H199)&lt;&gt;"Free Game",INDEX('Game Records'!$U:$U,$H199)&lt;&gt;"Disqualified — Free Game",INDEX('Game Records'!$K:$K,$H199)=""),"Final Earned; ","")&amp;IF(AND(LOWER(INDEX('Game Records'!$D:$D,$H199)&amp;"")="finalized",INDEX('Game Records'!$U:$U,$H199)&lt;&gt;"Subscription",INDEX('Game Records'!$U:$U,$H199)&lt;&gt;"Free Game",INDEX('Game Records'!$U:$U,$H199)&lt;&gt;"Disqualified — Free Game",OR(INDEX('Game Records'!$L:$L,$H199)="",LOWER(INDEX('Game Records'!$L:$L,$H199)&amp;"")="n/a")),"Disqualified Status; ",""))</x:f>
        <x:v/>
      </x:c>
      <x:c r="G199" s="331" t="str">
        <x:f>IF($H199="","",IFERROR(INDEX('Game Records'!$M:$M,$H199),""))</x:f>
        <x:v/>
      </x:c>
      <x:c r="H199" s="104" t="str">
        <x:f>IF($H198="","",IFERROR(MATCH(1,INDEX((ROW('Game Records'!$U$5:$U$504)&gt;$H198)*(('Game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199" s="104"/>
      <x:c r="J199" s="104"/>
    </x:row>
    <x:row r="200" ht="24" hidden="0" customHeight="1">
      <x:c r="A200" s="332" t="str">
        <x:f>IF($H200="","",ROWS($A$5:A200))</x:f>
        <x:v/>
      </x:c>
      <x:c r="B200" s="332" t="str">
        <x:f>IF($H200="","","G-"&amp;TEXT($A200,"0000"))</x:f>
        <x:v/>
      </x:c>
      <x:c r="C200" s="331" t="str">
        <x:f>IF($H200="","",IFERROR(INDEX('Game Records'!$A:$A,$H200),""))</x:f>
        <x:v/>
      </x:c>
      <x:c r="D200" s="331" t="str">
        <x:f>IF($H200="","",IFERROR(INDEX('Game Records'!$U:$U,$H200),""))</x:f>
        <x:v/>
      </x:c>
      <x:c r="E200" s="331" t="str">
        <x:f>IF($H200="","",IF($F200="","No Highlighted Fields","Highlighted Fields Present"))</x:f>
        <x:v/>
      </x:c>
      <x:c r="F200" s="331" t="str">
        <x:f>IF($H200="","",IF(INDEX('Game Records'!$B:$B,$H200)="","Start Date; ","")&amp;IF(INDEX('Game Records'!$C:$C,$H200)="","End Date; ","")&amp;IF(AND(INDEX('Game Records'!$U:$U,$H200)&lt;&gt;"Subscription",INDEX('Game Records'!$U:$U,$H200)&lt;&gt;"Free Game",INDEX('Game Records'!$U:$U,$H200)&lt;&gt;"Disqualified — Free Game",OR(INDEX('Game Records'!$D:$D,$H200)="",LOWER(INDEX('Game Records'!$D:$D,$H200)&amp;"")="n/a")),"Entry Mode; ","")&amp;IF(AND(INDEX('Game Records'!$U:$U,$H200)&lt;&gt;"Subscription",INDEX('Game Records'!$U:$U,$H200)&lt;&gt;"Free Game",INDEX('Game Records'!$U:$U,$H200)&lt;&gt;"Disqualified — Free Game",OR(INDEX('Game Records'!$E:$E,$H200)="",LOWER(INDEX('Game Records'!$E:$E,$H200)&amp;"")="n/a")),"Game Type; ","")&amp;IF(INDEX('Game Records'!$F:$F,$H200)="","Payment Type; ","")&amp;IF(AND(INDEX('Game Records'!$U:$U,$H200)&lt;&gt;"Subscription",INDEX('Game Records'!$U:$U,$H200)&lt;&gt;"Free Game",INDEX('Game Records'!$U:$U,$H200)&lt;&gt;"Disqualified — Free Game",INDEX('Game Records'!$G:$G,$H200)=""),"Gross Pot; ","")&amp;IF(AND(INDEX('Game Records'!$U:$U,$H200)&lt;&gt;"Free Game",INDEX('Game Records'!$U:$U,$H200)&lt;&gt;"Disqualified — Free Game",INDEX('Game Records'!$H:$H,$H200)=""),"Entry Fee; ","")&amp;IF(AND(INDEX('Game Records'!$U:$U,$H200)&lt;&gt;"Subscription",INDEX('Game Records'!$U:$U,$H200)&lt;&gt;"Free Game",INDEX('Game Records'!$U:$U,$H200)&lt;&gt;"Disqualified — Free Game",INDEX('Game Records'!$I:$I,$H200)=""),"Eligible Players; ","")&amp;IF(AND(INDEX('Game Records'!$U:$U,$H200)&lt;&gt;"Subscription",INDEX('Game Records'!$U:$U,$H200)&lt;&gt;"Free Game",INDEX('Game Records'!$U:$U,$H200)&lt;&gt;"Disqualified — Free Game",INDEX('Game Records'!$J:$J,$H200)=""),"Total Players; ","")&amp;IF(AND(LOWER(INDEX('Game Records'!$D:$D,$H200)&amp;"")="finalized",LOWER(INDEX('Game Records'!$L:$L,$H200)&amp;"")&lt;&gt;"yes",INDEX('Game Records'!$U:$U,$H200)&lt;&gt;"Subscription",INDEX('Game Records'!$U:$U,$H200)&lt;&gt;"Free Game",INDEX('Game Records'!$U:$U,$H200)&lt;&gt;"Disqualified — Free Game",INDEX('Game Records'!$K:$K,$H200)=""),"Final Earned; ","")&amp;IF(AND(LOWER(INDEX('Game Records'!$D:$D,$H200)&amp;"")="finalized",INDEX('Game Records'!$U:$U,$H200)&lt;&gt;"Subscription",INDEX('Game Records'!$U:$U,$H200)&lt;&gt;"Free Game",INDEX('Game Records'!$U:$U,$H200)&lt;&gt;"Disqualified — Free Game",OR(INDEX('Game Records'!$L:$L,$H200)="",LOWER(INDEX('Game Records'!$L:$L,$H200)&amp;"")="n/a")),"Disqualified Status; ",""))</x:f>
        <x:v/>
      </x:c>
      <x:c r="G200" s="331" t="str">
        <x:f>IF($H200="","",IFERROR(INDEX('Game Records'!$M:$M,$H200),""))</x:f>
        <x:v/>
      </x:c>
      <x:c r="H200" s="104" t="str">
        <x:f>IF($H199="","",IFERROR(MATCH(1,INDEX((ROW('Game Records'!$U$5:$U$504)&gt;$H199)*(('Game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c r="I200" s="104"/>
      <x:c r="J200" s="104"/>
    </x:row>
    <x:row r="201" ht="24" customHeight="1">
      <x:c r="A201" s="332" t="str">
        <x:f>IF($H201="","",ROWS($A$5:A201))</x:f>
        <x:v/>
      </x:c>
      <x:c r="B201" s="332" t="str">
        <x:f>IF($H201="","","G-"&amp;TEXT($A201,"0000"))</x:f>
        <x:v/>
      </x:c>
      <x:c r="C201" s="331" t="str">
        <x:f>IF($H201="","",IFERROR(INDEX('Game Records'!$A:$A,$H201),""))</x:f>
        <x:v/>
      </x:c>
      <x:c r="D201" s="331" t="str">
        <x:f>IF($H201="","",IFERROR(INDEX('Game Records'!$U:$U,$H201),""))</x:f>
        <x:v/>
      </x:c>
      <x:c r="E201" s="331" t="str">
        <x:f>IF($H201="","",IF($F201="","No Highlighted Fields","Highlighted Fields Present"))</x:f>
        <x:v/>
      </x:c>
      <x:c r="F201" s="331" t="str">
        <x:f>IF($H201="","",IF(INDEX('Game Records'!$B:$B,$H201)="","Start Date; ","")&amp;IF(INDEX('Game Records'!$C:$C,$H201)="","End Date; ","")&amp;IF(AND(INDEX('Game Records'!$U:$U,$H201)&lt;&gt;"Subscription",INDEX('Game Records'!$U:$U,$H201)&lt;&gt;"Free Game",INDEX('Game Records'!$U:$U,$H201)&lt;&gt;"Disqualified — Free Game",OR(INDEX('Game Records'!$D:$D,$H201)="",LOWER(INDEX('Game Records'!$D:$D,$H201)&amp;"")="n/a")),"Entry Mode; ","")&amp;IF(AND(INDEX('Game Records'!$U:$U,$H201)&lt;&gt;"Subscription",INDEX('Game Records'!$U:$U,$H201)&lt;&gt;"Free Game",INDEX('Game Records'!$U:$U,$H201)&lt;&gt;"Disqualified — Free Game",OR(INDEX('Game Records'!$E:$E,$H201)="",LOWER(INDEX('Game Records'!$E:$E,$H201)&amp;"")="n/a")),"Game Type; ","")&amp;IF(INDEX('Game Records'!$F:$F,$H201)="","Payment Type; ","")&amp;IF(AND(INDEX('Game Records'!$U:$U,$H201)&lt;&gt;"Subscription",INDEX('Game Records'!$U:$U,$H201)&lt;&gt;"Free Game",INDEX('Game Records'!$U:$U,$H201)&lt;&gt;"Disqualified — Free Game",INDEX('Game Records'!$G:$G,$H201)=""),"Gross Pot; ","")&amp;IF(AND(INDEX('Game Records'!$U:$U,$H201)&lt;&gt;"Free Game",INDEX('Game Records'!$U:$U,$H201)&lt;&gt;"Disqualified — Free Game",INDEX('Game Records'!$H:$H,$H201)=""),"Entry Fee; ","")&amp;IF(AND(INDEX('Game Records'!$U:$U,$H201)&lt;&gt;"Subscription",INDEX('Game Records'!$U:$U,$H201)&lt;&gt;"Free Game",INDEX('Game Records'!$U:$U,$H201)&lt;&gt;"Disqualified — Free Game",INDEX('Game Records'!$I:$I,$H201)=""),"Eligible Players; ","")&amp;IF(AND(INDEX('Game Records'!$U:$U,$H201)&lt;&gt;"Subscription",INDEX('Game Records'!$U:$U,$H201)&lt;&gt;"Free Game",INDEX('Game Records'!$U:$U,$H201)&lt;&gt;"Disqualified — Free Game",INDEX('Game Records'!$J:$J,$H201)=""),"Total Players; ","")&amp;IF(AND(LOWER(INDEX('Game Records'!$D:$D,$H201)&amp;"")="finalized",LOWER(INDEX('Game Records'!$L:$L,$H201)&amp;"")&lt;&gt;"yes",INDEX('Game Records'!$U:$U,$H201)&lt;&gt;"Subscription",INDEX('Game Records'!$U:$U,$H201)&lt;&gt;"Free Game",INDEX('Game Records'!$U:$U,$H201)&lt;&gt;"Disqualified — Free Game",INDEX('Game Records'!$K:$K,$H201)=""),"Final Earned; ","")&amp;IF(AND(LOWER(INDEX('Game Records'!$D:$D,$H201)&amp;"")="finalized",INDEX('Game Records'!$U:$U,$H201)&lt;&gt;"Subscription",INDEX('Game Records'!$U:$U,$H201)&lt;&gt;"Free Game",INDEX('Game Records'!$U:$U,$H201)&lt;&gt;"Disqualified — Free Game",OR(INDEX('Game Records'!$L:$L,$H201)="",LOWER(INDEX('Game Records'!$L:$L,$H201)&amp;"")="n/a")),"Disqualified Status; ",""))</x:f>
        <x:v/>
      </x:c>
      <x:c r="G201" s="331" t="str">
        <x:f>IF($H201="","",IFERROR(INDEX('Game Records'!$M:$M,$H201),""))</x:f>
        <x:v/>
      </x:c>
      <x:c r="H201" s="104" t="str">
        <x:f>IF($H200="","",IFERROR(MATCH(1,INDEX((ROW('Game Records'!$U$5:$U$504)&gt;$H200)*(('Game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2" ht="24" customHeight="1">
      <x:c r="A202" s="332" t="str">
        <x:f>IF($H202="","",ROWS($A$5:A202))</x:f>
        <x:v/>
      </x:c>
      <x:c r="B202" s="332" t="str">
        <x:f>IF($H202="","","G-"&amp;TEXT($A202,"0000"))</x:f>
        <x:v/>
      </x:c>
      <x:c r="C202" s="331" t="str">
        <x:f>IF($H202="","",IFERROR(INDEX('Game Records'!$A:$A,$H202),""))</x:f>
        <x:v/>
      </x:c>
      <x:c r="D202" s="331" t="str">
        <x:f>IF($H202="","",IFERROR(INDEX('Game Records'!$U:$U,$H202),""))</x:f>
        <x:v/>
      </x:c>
      <x:c r="E202" s="331" t="str">
        <x:f>IF($H202="","",IF($F202="","No Highlighted Fields","Highlighted Fields Present"))</x:f>
        <x:v/>
      </x:c>
      <x:c r="F202" s="331" t="str">
        <x:f>IF($H202="","",IF(INDEX('Game Records'!$B:$B,$H202)="","Start Date; ","")&amp;IF(INDEX('Game Records'!$C:$C,$H202)="","End Date; ","")&amp;IF(AND(INDEX('Game Records'!$U:$U,$H202)&lt;&gt;"Subscription",INDEX('Game Records'!$U:$U,$H202)&lt;&gt;"Free Game",INDEX('Game Records'!$U:$U,$H202)&lt;&gt;"Disqualified — Free Game",OR(INDEX('Game Records'!$D:$D,$H202)="",LOWER(INDEX('Game Records'!$D:$D,$H202)&amp;"")="n/a")),"Entry Mode; ","")&amp;IF(AND(INDEX('Game Records'!$U:$U,$H202)&lt;&gt;"Subscription",INDEX('Game Records'!$U:$U,$H202)&lt;&gt;"Free Game",INDEX('Game Records'!$U:$U,$H202)&lt;&gt;"Disqualified — Free Game",OR(INDEX('Game Records'!$E:$E,$H202)="",LOWER(INDEX('Game Records'!$E:$E,$H202)&amp;"")="n/a")),"Game Type; ","")&amp;IF(INDEX('Game Records'!$F:$F,$H202)="","Payment Type; ","")&amp;IF(AND(INDEX('Game Records'!$U:$U,$H202)&lt;&gt;"Subscription",INDEX('Game Records'!$U:$U,$H202)&lt;&gt;"Free Game",INDEX('Game Records'!$U:$U,$H202)&lt;&gt;"Disqualified — Free Game",INDEX('Game Records'!$G:$G,$H202)=""),"Gross Pot; ","")&amp;IF(AND(INDEX('Game Records'!$U:$U,$H202)&lt;&gt;"Free Game",INDEX('Game Records'!$U:$U,$H202)&lt;&gt;"Disqualified — Free Game",INDEX('Game Records'!$H:$H,$H202)=""),"Entry Fee; ","")&amp;IF(AND(INDEX('Game Records'!$U:$U,$H202)&lt;&gt;"Subscription",INDEX('Game Records'!$U:$U,$H202)&lt;&gt;"Free Game",INDEX('Game Records'!$U:$U,$H202)&lt;&gt;"Disqualified — Free Game",INDEX('Game Records'!$I:$I,$H202)=""),"Eligible Players; ","")&amp;IF(AND(INDEX('Game Records'!$U:$U,$H202)&lt;&gt;"Subscription",INDEX('Game Records'!$U:$U,$H202)&lt;&gt;"Free Game",INDEX('Game Records'!$U:$U,$H202)&lt;&gt;"Disqualified — Free Game",INDEX('Game Records'!$J:$J,$H202)=""),"Total Players; ","")&amp;IF(AND(LOWER(INDEX('Game Records'!$D:$D,$H202)&amp;"")="finalized",LOWER(INDEX('Game Records'!$L:$L,$H202)&amp;"")&lt;&gt;"yes",INDEX('Game Records'!$U:$U,$H202)&lt;&gt;"Subscription",INDEX('Game Records'!$U:$U,$H202)&lt;&gt;"Free Game",INDEX('Game Records'!$U:$U,$H202)&lt;&gt;"Disqualified — Free Game",INDEX('Game Records'!$K:$K,$H202)=""),"Final Earned; ","")&amp;IF(AND(LOWER(INDEX('Game Records'!$D:$D,$H202)&amp;"")="finalized",INDEX('Game Records'!$U:$U,$H202)&lt;&gt;"Subscription",INDEX('Game Records'!$U:$U,$H202)&lt;&gt;"Free Game",INDEX('Game Records'!$U:$U,$H202)&lt;&gt;"Disqualified — Free Game",OR(INDEX('Game Records'!$L:$L,$H202)="",LOWER(INDEX('Game Records'!$L:$L,$H202)&amp;"")="n/a")),"Disqualified Status; ",""))</x:f>
        <x:v/>
      </x:c>
      <x:c r="G202" s="331" t="str">
        <x:f>IF($H202="","",IFERROR(INDEX('Game Records'!$M:$M,$H202),""))</x:f>
        <x:v/>
      </x:c>
      <x:c r="H202" s="104" t="str">
        <x:f>IF($H201="","",IFERROR(MATCH(1,INDEX((ROW('Game Records'!$U$5:$U$504)&gt;$H201)*(('Game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3" ht="24" customHeight="1">
      <x:c r="A203" s="332" t="str">
        <x:f>IF($H203="","",ROWS($A$5:A203))</x:f>
        <x:v/>
      </x:c>
      <x:c r="B203" s="332" t="str">
        <x:f>IF($H203="","","G-"&amp;TEXT($A203,"0000"))</x:f>
        <x:v/>
      </x:c>
      <x:c r="C203" s="331" t="str">
        <x:f>IF($H203="","",IFERROR(INDEX('Game Records'!$A:$A,$H203),""))</x:f>
        <x:v/>
      </x:c>
      <x:c r="D203" s="331" t="str">
        <x:f>IF($H203="","",IFERROR(INDEX('Game Records'!$U:$U,$H203),""))</x:f>
        <x:v/>
      </x:c>
      <x:c r="E203" s="331" t="str">
        <x:f>IF($H203="","",IF($F203="","No Highlighted Fields","Highlighted Fields Present"))</x:f>
        <x:v/>
      </x:c>
      <x:c r="F203" s="331" t="str">
        <x:f>IF($H203="","",IF(INDEX('Game Records'!$B:$B,$H203)="","Start Date; ","")&amp;IF(INDEX('Game Records'!$C:$C,$H203)="","End Date; ","")&amp;IF(AND(INDEX('Game Records'!$U:$U,$H203)&lt;&gt;"Subscription",INDEX('Game Records'!$U:$U,$H203)&lt;&gt;"Free Game",INDEX('Game Records'!$U:$U,$H203)&lt;&gt;"Disqualified — Free Game",OR(INDEX('Game Records'!$D:$D,$H203)="",LOWER(INDEX('Game Records'!$D:$D,$H203)&amp;"")="n/a")),"Entry Mode; ","")&amp;IF(AND(INDEX('Game Records'!$U:$U,$H203)&lt;&gt;"Subscription",INDEX('Game Records'!$U:$U,$H203)&lt;&gt;"Free Game",INDEX('Game Records'!$U:$U,$H203)&lt;&gt;"Disqualified — Free Game",OR(INDEX('Game Records'!$E:$E,$H203)="",LOWER(INDEX('Game Records'!$E:$E,$H203)&amp;"")="n/a")),"Game Type; ","")&amp;IF(INDEX('Game Records'!$F:$F,$H203)="","Payment Type; ","")&amp;IF(AND(INDEX('Game Records'!$U:$U,$H203)&lt;&gt;"Subscription",INDEX('Game Records'!$U:$U,$H203)&lt;&gt;"Free Game",INDEX('Game Records'!$U:$U,$H203)&lt;&gt;"Disqualified — Free Game",INDEX('Game Records'!$G:$G,$H203)=""),"Gross Pot; ","")&amp;IF(AND(INDEX('Game Records'!$U:$U,$H203)&lt;&gt;"Free Game",INDEX('Game Records'!$U:$U,$H203)&lt;&gt;"Disqualified — Free Game",INDEX('Game Records'!$H:$H,$H203)=""),"Entry Fee; ","")&amp;IF(AND(INDEX('Game Records'!$U:$U,$H203)&lt;&gt;"Subscription",INDEX('Game Records'!$U:$U,$H203)&lt;&gt;"Free Game",INDEX('Game Records'!$U:$U,$H203)&lt;&gt;"Disqualified — Free Game",INDEX('Game Records'!$I:$I,$H203)=""),"Eligible Players; ","")&amp;IF(AND(INDEX('Game Records'!$U:$U,$H203)&lt;&gt;"Subscription",INDEX('Game Records'!$U:$U,$H203)&lt;&gt;"Free Game",INDEX('Game Records'!$U:$U,$H203)&lt;&gt;"Disqualified — Free Game",INDEX('Game Records'!$J:$J,$H203)=""),"Total Players; ","")&amp;IF(AND(LOWER(INDEX('Game Records'!$D:$D,$H203)&amp;"")="finalized",LOWER(INDEX('Game Records'!$L:$L,$H203)&amp;"")&lt;&gt;"yes",INDEX('Game Records'!$U:$U,$H203)&lt;&gt;"Subscription",INDEX('Game Records'!$U:$U,$H203)&lt;&gt;"Free Game",INDEX('Game Records'!$U:$U,$H203)&lt;&gt;"Disqualified — Free Game",INDEX('Game Records'!$K:$K,$H203)=""),"Final Earned; ","")&amp;IF(AND(LOWER(INDEX('Game Records'!$D:$D,$H203)&amp;"")="finalized",INDEX('Game Records'!$U:$U,$H203)&lt;&gt;"Subscription",INDEX('Game Records'!$U:$U,$H203)&lt;&gt;"Free Game",INDEX('Game Records'!$U:$U,$H203)&lt;&gt;"Disqualified — Free Game",OR(INDEX('Game Records'!$L:$L,$H203)="",LOWER(INDEX('Game Records'!$L:$L,$H203)&amp;"")="n/a")),"Disqualified Status; ",""))</x:f>
        <x:v/>
      </x:c>
      <x:c r="G203" s="331" t="str">
        <x:f>IF($H203="","",IFERROR(INDEX('Game Records'!$M:$M,$H203),""))</x:f>
        <x:v/>
      </x:c>
      <x:c r="H203" s="104" t="str">
        <x:f>IF($H202="","",IFERROR(MATCH(1,INDEX((ROW('Game Records'!$U$5:$U$504)&gt;$H202)*(('Game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4" ht="24" customHeight="1">
      <x:c r="A204" s="332" t="str">
        <x:f>IF($H204="","",ROWS($A$5:A204))</x:f>
        <x:v/>
      </x:c>
      <x:c r="B204" s="332" t="str">
        <x:f>IF($H204="","","G-"&amp;TEXT($A204,"0000"))</x:f>
        <x:v/>
      </x:c>
      <x:c r="C204" s="331" t="str">
        <x:f>IF($H204="","",IFERROR(INDEX('Game Records'!$A:$A,$H204),""))</x:f>
        <x:v/>
      </x:c>
      <x:c r="D204" s="331" t="str">
        <x:f>IF($H204="","",IFERROR(INDEX('Game Records'!$U:$U,$H204),""))</x:f>
        <x:v/>
      </x:c>
      <x:c r="E204" s="331" t="str">
        <x:f>IF($H204="","",IF($F204="","No Highlighted Fields","Highlighted Fields Present"))</x:f>
        <x:v/>
      </x:c>
      <x:c r="F204" s="331" t="str">
        <x:f>IF($H204="","",IF(INDEX('Game Records'!$B:$B,$H204)="","Start Date; ","")&amp;IF(INDEX('Game Records'!$C:$C,$H204)="","End Date; ","")&amp;IF(AND(INDEX('Game Records'!$U:$U,$H204)&lt;&gt;"Subscription",INDEX('Game Records'!$U:$U,$H204)&lt;&gt;"Free Game",INDEX('Game Records'!$U:$U,$H204)&lt;&gt;"Disqualified — Free Game",OR(INDEX('Game Records'!$D:$D,$H204)="",LOWER(INDEX('Game Records'!$D:$D,$H204)&amp;"")="n/a")),"Entry Mode; ","")&amp;IF(AND(INDEX('Game Records'!$U:$U,$H204)&lt;&gt;"Subscription",INDEX('Game Records'!$U:$U,$H204)&lt;&gt;"Free Game",INDEX('Game Records'!$U:$U,$H204)&lt;&gt;"Disqualified — Free Game",OR(INDEX('Game Records'!$E:$E,$H204)="",LOWER(INDEX('Game Records'!$E:$E,$H204)&amp;"")="n/a")),"Game Type; ","")&amp;IF(INDEX('Game Records'!$F:$F,$H204)="","Payment Type; ","")&amp;IF(AND(INDEX('Game Records'!$U:$U,$H204)&lt;&gt;"Subscription",INDEX('Game Records'!$U:$U,$H204)&lt;&gt;"Free Game",INDEX('Game Records'!$U:$U,$H204)&lt;&gt;"Disqualified — Free Game",INDEX('Game Records'!$G:$G,$H204)=""),"Gross Pot; ","")&amp;IF(AND(INDEX('Game Records'!$U:$U,$H204)&lt;&gt;"Free Game",INDEX('Game Records'!$U:$U,$H204)&lt;&gt;"Disqualified — Free Game",INDEX('Game Records'!$H:$H,$H204)=""),"Entry Fee; ","")&amp;IF(AND(INDEX('Game Records'!$U:$U,$H204)&lt;&gt;"Subscription",INDEX('Game Records'!$U:$U,$H204)&lt;&gt;"Free Game",INDEX('Game Records'!$U:$U,$H204)&lt;&gt;"Disqualified — Free Game",INDEX('Game Records'!$I:$I,$H204)=""),"Eligible Players; ","")&amp;IF(AND(INDEX('Game Records'!$U:$U,$H204)&lt;&gt;"Subscription",INDEX('Game Records'!$U:$U,$H204)&lt;&gt;"Free Game",INDEX('Game Records'!$U:$U,$H204)&lt;&gt;"Disqualified — Free Game",INDEX('Game Records'!$J:$J,$H204)=""),"Total Players; ","")&amp;IF(AND(LOWER(INDEX('Game Records'!$D:$D,$H204)&amp;"")="finalized",LOWER(INDEX('Game Records'!$L:$L,$H204)&amp;"")&lt;&gt;"yes",INDEX('Game Records'!$U:$U,$H204)&lt;&gt;"Subscription",INDEX('Game Records'!$U:$U,$H204)&lt;&gt;"Free Game",INDEX('Game Records'!$U:$U,$H204)&lt;&gt;"Disqualified — Free Game",INDEX('Game Records'!$K:$K,$H204)=""),"Final Earned; ","")&amp;IF(AND(LOWER(INDEX('Game Records'!$D:$D,$H204)&amp;"")="finalized",INDEX('Game Records'!$U:$U,$H204)&lt;&gt;"Subscription",INDEX('Game Records'!$U:$U,$H204)&lt;&gt;"Free Game",INDEX('Game Records'!$U:$U,$H204)&lt;&gt;"Disqualified — Free Game",OR(INDEX('Game Records'!$L:$L,$H204)="",LOWER(INDEX('Game Records'!$L:$L,$H204)&amp;"")="n/a")),"Disqualified Status; ",""))</x:f>
        <x:v/>
      </x:c>
      <x:c r="G204" s="331" t="str">
        <x:f>IF($H204="","",IFERROR(INDEX('Game Records'!$M:$M,$H204),""))</x:f>
        <x:v/>
      </x:c>
      <x:c r="H204" s="104" t="str">
        <x:f>IF($H203="","",IFERROR(MATCH(1,INDEX((ROW('Game Records'!$U$5:$U$504)&gt;$H203)*(('Game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5" ht="24" customHeight="1">
      <x:c r="A205" s="332" t="str">
        <x:f>IF($H205="","",ROWS($A$5:A205))</x:f>
        <x:v/>
      </x:c>
      <x:c r="B205" s="332" t="str">
        <x:f>IF($H205="","","G-"&amp;TEXT($A205,"0000"))</x:f>
        <x:v/>
      </x:c>
      <x:c r="C205" s="331" t="str">
        <x:f>IF($H205="","",IFERROR(INDEX('Game Records'!$A:$A,$H205),""))</x:f>
        <x:v/>
      </x:c>
      <x:c r="D205" s="331" t="str">
        <x:f>IF($H205="","",IFERROR(INDEX('Game Records'!$U:$U,$H205),""))</x:f>
        <x:v/>
      </x:c>
      <x:c r="E205" s="331" t="str">
        <x:f>IF($H205="","",IF($F205="","No Highlighted Fields","Highlighted Fields Present"))</x:f>
        <x:v/>
      </x:c>
      <x:c r="F205" s="331" t="str">
        <x:f>IF($H205="","",IF(INDEX('Game Records'!$B:$B,$H205)="","Start Date; ","")&amp;IF(INDEX('Game Records'!$C:$C,$H205)="","End Date; ","")&amp;IF(AND(INDEX('Game Records'!$U:$U,$H205)&lt;&gt;"Subscription",INDEX('Game Records'!$U:$U,$H205)&lt;&gt;"Free Game",INDEX('Game Records'!$U:$U,$H205)&lt;&gt;"Disqualified — Free Game",OR(INDEX('Game Records'!$D:$D,$H205)="",LOWER(INDEX('Game Records'!$D:$D,$H205)&amp;"")="n/a")),"Entry Mode; ","")&amp;IF(AND(INDEX('Game Records'!$U:$U,$H205)&lt;&gt;"Subscription",INDEX('Game Records'!$U:$U,$H205)&lt;&gt;"Free Game",INDEX('Game Records'!$U:$U,$H205)&lt;&gt;"Disqualified — Free Game",OR(INDEX('Game Records'!$E:$E,$H205)="",LOWER(INDEX('Game Records'!$E:$E,$H205)&amp;"")="n/a")),"Game Type; ","")&amp;IF(INDEX('Game Records'!$F:$F,$H205)="","Payment Type; ","")&amp;IF(AND(INDEX('Game Records'!$U:$U,$H205)&lt;&gt;"Subscription",INDEX('Game Records'!$U:$U,$H205)&lt;&gt;"Free Game",INDEX('Game Records'!$U:$U,$H205)&lt;&gt;"Disqualified — Free Game",INDEX('Game Records'!$G:$G,$H205)=""),"Gross Pot; ","")&amp;IF(AND(INDEX('Game Records'!$U:$U,$H205)&lt;&gt;"Free Game",INDEX('Game Records'!$U:$U,$H205)&lt;&gt;"Disqualified — Free Game",INDEX('Game Records'!$H:$H,$H205)=""),"Entry Fee; ","")&amp;IF(AND(INDEX('Game Records'!$U:$U,$H205)&lt;&gt;"Subscription",INDEX('Game Records'!$U:$U,$H205)&lt;&gt;"Free Game",INDEX('Game Records'!$U:$U,$H205)&lt;&gt;"Disqualified — Free Game",INDEX('Game Records'!$I:$I,$H205)=""),"Eligible Players; ","")&amp;IF(AND(INDEX('Game Records'!$U:$U,$H205)&lt;&gt;"Subscription",INDEX('Game Records'!$U:$U,$H205)&lt;&gt;"Free Game",INDEX('Game Records'!$U:$U,$H205)&lt;&gt;"Disqualified — Free Game",INDEX('Game Records'!$J:$J,$H205)=""),"Total Players; ","")&amp;IF(AND(LOWER(INDEX('Game Records'!$D:$D,$H205)&amp;"")="finalized",LOWER(INDEX('Game Records'!$L:$L,$H205)&amp;"")&lt;&gt;"yes",INDEX('Game Records'!$U:$U,$H205)&lt;&gt;"Subscription",INDEX('Game Records'!$U:$U,$H205)&lt;&gt;"Free Game",INDEX('Game Records'!$U:$U,$H205)&lt;&gt;"Disqualified — Free Game",INDEX('Game Records'!$K:$K,$H205)=""),"Final Earned; ","")&amp;IF(AND(LOWER(INDEX('Game Records'!$D:$D,$H205)&amp;"")="finalized",INDEX('Game Records'!$U:$U,$H205)&lt;&gt;"Subscription",INDEX('Game Records'!$U:$U,$H205)&lt;&gt;"Free Game",INDEX('Game Records'!$U:$U,$H205)&lt;&gt;"Disqualified — Free Game",OR(INDEX('Game Records'!$L:$L,$H205)="",LOWER(INDEX('Game Records'!$L:$L,$H205)&amp;"")="n/a")),"Disqualified Status; ",""))</x:f>
        <x:v/>
      </x:c>
      <x:c r="G205" s="331" t="str">
        <x:f>IF($H205="","",IFERROR(INDEX('Game Records'!$M:$M,$H205),""))</x:f>
        <x:v/>
      </x:c>
      <x:c r="H205" s="104" t="str">
        <x:f>IF($H204="","",IFERROR(MATCH(1,INDEX((ROW('Game Records'!$U$5:$U$504)&gt;$H204)*(('Game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6" ht="24" customHeight="1">
      <x:c r="A206" s="332" t="str">
        <x:f>IF($H206="","",ROWS($A$5:A206))</x:f>
        <x:v/>
      </x:c>
      <x:c r="B206" s="332" t="str">
        <x:f>IF($H206="","","G-"&amp;TEXT($A206,"0000"))</x:f>
        <x:v/>
      </x:c>
      <x:c r="C206" s="331" t="str">
        <x:f>IF($H206="","",IFERROR(INDEX('Game Records'!$A:$A,$H206),""))</x:f>
        <x:v/>
      </x:c>
      <x:c r="D206" s="331" t="str">
        <x:f>IF($H206="","",IFERROR(INDEX('Game Records'!$U:$U,$H206),""))</x:f>
        <x:v/>
      </x:c>
      <x:c r="E206" s="331" t="str">
        <x:f>IF($H206="","",IF($F206="","No Highlighted Fields","Highlighted Fields Present"))</x:f>
        <x:v/>
      </x:c>
      <x:c r="F206" s="331" t="str">
        <x:f>IF($H206="","",IF(INDEX('Game Records'!$B:$B,$H206)="","Start Date; ","")&amp;IF(INDEX('Game Records'!$C:$C,$H206)="","End Date; ","")&amp;IF(AND(INDEX('Game Records'!$U:$U,$H206)&lt;&gt;"Subscription",INDEX('Game Records'!$U:$U,$H206)&lt;&gt;"Free Game",INDEX('Game Records'!$U:$U,$H206)&lt;&gt;"Disqualified — Free Game",OR(INDEX('Game Records'!$D:$D,$H206)="",LOWER(INDEX('Game Records'!$D:$D,$H206)&amp;"")="n/a")),"Entry Mode; ","")&amp;IF(AND(INDEX('Game Records'!$U:$U,$H206)&lt;&gt;"Subscription",INDEX('Game Records'!$U:$U,$H206)&lt;&gt;"Free Game",INDEX('Game Records'!$U:$U,$H206)&lt;&gt;"Disqualified — Free Game",OR(INDEX('Game Records'!$E:$E,$H206)="",LOWER(INDEX('Game Records'!$E:$E,$H206)&amp;"")="n/a")),"Game Type; ","")&amp;IF(INDEX('Game Records'!$F:$F,$H206)="","Payment Type; ","")&amp;IF(AND(INDEX('Game Records'!$U:$U,$H206)&lt;&gt;"Subscription",INDEX('Game Records'!$U:$U,$H206)&lt;&gt;"Free Game",INDEX('Game Records'!$U:$U,$H206)&lt;&gt;"Disqualified — Free Game",INDEX('Game Records'!$G:$G,$H206)=""),"Gross Pot; ","")&amp;IF(AND(INDEX('Game Records'!$U:$U,$H206)&lt;&gt;"Free Game",INDEX('Game Records'!$U:$U,$H206)&lt;&gt;"Disqualified — Free Game",INDEX('Game Records'!$H:$H,$H206)=""),"Entry Fee; ","")&amp;IF(AND(INDEX('Game Records'!$U:$U,$H206)&lt;&gt;"Subscription",INDEX('Game Records'!$U:$U,$H206)&lt;&gt;"Free Game",INDEX('Game Records'!$U:$U,$H206)&lt;&gt;"Disqualified — Free Game",INDEX('Game Records'!$I:$I,$H206)=""),"Eligible Players; ","")&amp;IF(AND(INDEX('Game Records'!$U:$U,$H206)&lt;&gt;"Subscription",INDEX('Game Records'!$U:$U,$H206)&lt;&gt;"Free Game",INDEX('Game Records'!$U:$U,$H206)&lt;&gt;"Disqualified — Free Game",INDEX('Game Records'!$J:$J,$H206)=""),"Total Players; ","")&amp;IF(AND(LOWER(INDEX('Game Records'!$D:$D,$H206)&amp;"")="finalized",LOWER(INDEX('Game Records'!$L:$L,$H206)&amp;"")&lt;&gt;"yes",INDEX('Game Records'!$U:$U,$H206)&lt;&gt;"Subscription",INDEX('Game Records'!$U:$U,$H206)&lt;&gt;"Free Game",INDEX('Game Records'!$U:$U,$H206)&lt;&gt;"Disqualified — Free Game",INDEX('Game Records'!$K:$K,$H206)=""),"Final Earned; ","")&amp;IF(AND(LOWER(INDEX('Game Records'!$D:$D,$H206)&amp;"")="finalized",INDEX('Game Records'!$U:$U,$H206)&lt;&gt;"Subscription",INDEX('Game Records'!$U:$U,$H206)&lt;&gt;"Free Game",INDEX('Game Records'!$U:$U,$H206)&lt;&gt;"Disqualified — Free Game",OR(INDEX('Game Records'!$L:$L,$H206)="",LOWER(INDEX('Game Records'!$L:$L,$H206)&amp;"")="n/a")),"Disqualified Status; ",""))</x:f>
        <x:v/>
      </x:c>
      <x:c r="G206" s="331" t="str">
        <x:f>IF($H206="","",IFERROR(INDEX('Game Records'!$M:$M,$H206),""))</x:f>
        <x:v/>
      </x:c>
      <x:c r="H206" s="104" t="str">
        <x:f>IF($H205="","",IFERROR(MATCH(1,INDEX((ROW('Game Records'!$U$5:$U$504)&gt;$H205)*(('Game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7" ht="24" customHeight="1">
      <x:c r="A207" s="332" t="str">
        <x:f>IF($H207="","",ROWS($A$5:A207))</x:f>
        <x:v/>
      </x:c>
      <x:c r="B207" s="332" t="str">
        <x:f>IF($H207="","","G-"&amp;TEXT($A207,"0000"))</x:f>
        <x:v/>
      </x:c>
      <x:c r="C207" s="331" t="str">
        <x:f>IF($H207="","",IFERROR(INDEX('Game Records'!$A:$A,$H207),""))</x:f>
        <x:v/>
      </x:c>
      <x:c r="D207" s="331" t="str">
        <x:f>IF($H207="","",IFERROR(INDEX('Game Records'!$U:$U,$H207),""))</x:f>
        <x:v/>
      </x:c>
      <x:c r="E207" s="331" t="str">
        <x:f>IF($H207="","",IF($F207="","No Highlighted Fields","Highlighted Fields Present"))</x:f>
        <x:v/>
      </x:c>
      <x:c r="F207" s="331" t="str">
        <x:f>IF($H207="","",IF(INDEX('Game Records'!$B:$B,$H207)="","Start Date; ","")&amp;IF(INDEX('Game Records'!$C:$C,$H207)="","End Date; ","")&amp;IF(AND(INDEX('Game Records'!$U:$U,$H207)&lt;&gt;"Subscription",INDEX('Game Records'!$U:$U,$H207)&lt;&gt;"Free Game",INDEX('Game Records'!$U:$U,$H207)&lt;&gt;"Disqualified — Free Game",OR(INDEX('Game Records'!$D:$D,$H207)="",LOWER(INDEX('Game Records'!$D:$D,$H207)&amp;"")="n/a")),"Entry Mode; ","")&amp;IF(AND(INDEX('Game Records'!$U:$U,$H207)&lt;&gt;"Subscription",INDEX('Game Records'!$U:$U,$H207)&lt;&gt;"Free Game",INDEX('Game Records'!$U:$U,$H207)&lt;&gt;"Disqualified — Free Game",OR(INDEX('Game Records'!$E:$E,$H207)="",LOWER(INDEX('Game Records'!$E:$E,$H207)&amp;"")="n/a")),"Game Type; ","")&amp;IF(INDEX('Game Records'!$F:$F,$H207)="","Payment Type; ","")&amp;IF(AND(INDEX('Game Records'!$U:$U,$H207)&lt;&gt;"Subscription",INDEX('Game Records'!$U:$U,$H207)&lt;&gt;"Free Game",INDEX('Game Records'!$U:$U,$H207)&lt;&gt;"Disqualified — Free Game",INDEX('Game Records'!$G:$G,$H207)=""),"Gross Pot; ","")&amp;IF(AND(INDEX('Game Records'!$U:$U,$H207)&lt;&gt;"Free Game",INDEX('Game Records'!$U:$U,$H207)&lt;&gt;"Disqualified — Free Game",INDEX('Game Records'!$H:$H,$H207)=""),"Entry Fee; ","")&amp;IF(AND(INDEX('Game Records'!$U:$U,$H207)&lt;&gt;"Subscription",INDEX('Game Records'!$U:$U,$H207)&lt;&gt;"Free Game",INDEX('Game Records'!$U:$U,$H207)&lt;&gt;"Disqualified — Free Game",INDEX('Game Records'!$I:$I,$H207)=""),"Eligible Players; ","")&amp;IF(AND(INDEX('Game Records'!$U:$U,$H207)&lt;&gt;"Subscription",INDEX('Game Records'!$U:$U,$H207)&lt;&gt;"Free Game",INDEX('Game Records'!$U:$U,$H207)&lt;&gt;"Disqualified — Free Game",INDEX('Game Records'!$J:$J,$H207)=""),"Total Players; ","")&amp;IF(AND(LOWER(INDEX('Game Records'!$D:$D,$H207)&amp;"")="finalized",LOWER(INDEX('Game Records'!$L:$L,$H207)&amp;"")&lt;&gt;"yes",INDEX('Game Records'!$U:$U,$H207)&lt;&gt;"Subscription",INDEX('Game Records'!$U:$U,$H207)&lt;&gt;"Free Game",INDEX('Game Records'!$U:$U,$H207)&lt;&gt;"Disqualified — Free Game",INDEX('Game Records'!$K:$K,$H207)=""),"Final Earned; ","")&amp;IF(AND(LOWER(INDEX('Game Records'!$D:$D,$H207)&amp;"")="finalized",INDEX('Game Records'!$U:$U,$H207)&lt;&gt;"Subscription",INDEX('Game Records'!$U:$U,$H207)&lt;&gt;"Free Game",INDEX('Game Records'!$U:$U,$H207)&lt;&gt;"Disqualified — Free Game",OR(INDEX('Game Records'!$L:$L,$H207)="",LOWER(INDEX('Game Records'!$L:$L,$H207)&amp;"")="n/a")),"Disqualified Status; ",""))</x:f>
        <x:v/>
      </x:c>
      <x:c r="G207" s="331" t="str">
        <x:f>IF($H207="","",IFERROR(INDEX('Game Records'!$M:$M,$H207),""))</x:f>
        <x:v/>
      </x:c>
      <x:c r="H207" s="104" t="str">
        <x:f>IF($H206="","",IFERROR(MATCH(1,INDEX((ROW('Game Records'!$U$5:$U$504)&gt;$H206)*(('Game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8" ht="24" customHeight="1">
      <x:c r="A208" s="332" t="str">
        <x:f>IF($H208="","",ROWS($A$5:A208))</x:f>
        <x:v/>
      </x:c>
      <x:c r="B208" s="332" t="str">
        <x:f>IF($H208="","","G-"&amp;TEXT($A208,"0000"))</x:f>
        <x:v/>
      </x:c>
      <x:c r="C208" s="331" t="str">
        <x:f>IF($H208="","",IFERROR(INDEX('Game Records'!$A:$A,$H208),""))</x:f>
        <x:v/>
      </x:c>
      <x:c r="D208" s="331" t="str">
        <x:f>IF($H208="","",IFERROR(INDEX('Game Records'!$U:$U,$H208),""))</x:f>
        <x:v/>
      </x:c>
      <x:c r="E208" s="331" t="str">
        <x:f>IF($H208="","",IF($F208="","No Highlighted Fields","Highlighted Fields Present"))</x:f>
        <x:v/>
      </x:c>
      <x:c r="F208" s="331" t="str">
        <x:f>IF($H208="","",IF(INDEX('Game Records'!$B:$B,$H208)="","Start Date; ","")&amp;IF(INDEX('Game Records'!$C:$C,$H208)="","End Date; ","")&amp;IF(AND(INDEX('Game Records'!$U:$U,$H208)&lt;&gt;"Subscription",INDEX('Game Records'!$U:$U,$H208)&lt;&gt;"Free Game",INDEX('Game Records'!$U:$U,$H208)&lt;&gt;"Disqualified — Free Game",OR(INDEX('Game Records'!$D:$D,$H208)="",LOWER(INDEX('Game Records'!$D:$D,$H208)&amp;"")="n/a")),"Entry Mode; ","")&amp;IF(AND(INDEX('Game Records'!$U:$U,$H208)&lt;&gt;"Subscription",INDEX('Game Records'!$U:$U,$H208)&lt;&gt;"Free Game",INDEX('Game Records'!$U:$U,$H208)&lt;&gt;"Disqualified — Free Game",OR(INDEX('Game Records'!$E:$E,$H208)="",LOWER(INDEX('Game Records'!$E:$E,$H208)&amp;"")="n/a")),"Game Type; ","")&amp;IF(INDEX('Game Records'!$F:$F,$H208)="","Payment Type; ","")&amp;IF(AND(INDEX('Game Records'!$U:$U,$H208)&lt;&gt;"Subscription",INDEX('Game Records'!$U:$U,$H208)&lt;&gt;"Free Game",INDEX('Game Records'!$U:$U,$H208)&lt;&gt;"Disqualified — Free Game",INDEX('Game Records'!$G:$G,$H208)=""),"Gross Pot; ","")&amp;IF(AND(INDEX('Game Records'!$U:$U,$H208)&lt;&gt;"Free Game",INDEX('Game Records'!$U:$U,$H208)&lt;&gt;"Disqualified — Free Game",INDEX('Game Records'!$H:$H,$H208)=""),"Entry Fee; ","")&amp;IF(AND(INDEX('Game Records'!$U:$U,$H208)&lt;&gt;"Subscription",INDEX('Game Records'!$U:$U,$H208)&lt;&gt;"Free Game",INDEX('Game Records'!$U:$U,$H208)&lt;&gt;"Disqualified — Free Game",INDEX('Game Records'!$I:$I,$H208)=""),"Eligible Players; ","")&amp;IF(AND(INDEX('Game Records'!$U:$U,$H208)&lt;&gt;"Subscription",INDEX('Game Records'!$U:$U,$H208)&lt;&gt;"Free Game",INDEX('Game Records'!$U:$U,$H208)&lt;&gt;"Disqualified — Free Game",INDEX('Game Records'!$J:$J,$H208)=""),"Total Players; ","")&amp;IF(AND(LOWER(INDEX('Game Records'!$D:$D,$H208)&amp;"")="finalized",LOWER(INDEX('Game Records'!$L:$L,$H208)&amp;"")&lt;&gt;"yes",INDEX('Game Records'!$U:$U,$H208)&lt;&gt;"Subscription",INDEX('Game Records'!$U:$U,$H208)&lt;&gt;"Free Game",INDEX('Game Records'!$U:$U,$H208)&lt;&gt;"Disqualified — Free Game",INDEX('Game Records'!$K:$K,$H208)=""),"Final Earned; ","")&amp;IF(AND(LOWER(INDEX('Game Records'!$D:$D,$H208)&amp;"")="finalized",INDEX('Game Records'!$U:$U,$H208)&lt;&gt;"Subscription",INDEX('Game Records'!$U:$U,$H208)&lt;&gt;"Free Game",INDEX('Game Records'!$U:$U,$H208)&lt;&gt;"Disqualified — Free Game",OR(INDEX('Game Records'!$L:$L,$H208)="",LOWER(INDEX('Game Records'!$L:$L,$H208)&amp;"")="n/a")),"Disqualified Status; ",""))</x:f>
        <x:v/>
      </x:c>
      <x:c r="G208" s="331" t="str">
        <x:f>IF($H208="","",IFERROR(INDEX('Game Records'!$M:$M,$H208),""))</x:f>
        <x:v/>
      </x:c>
      <x:c r="H208" s="104" t="str">
        <x:f>IF($H207="","",IFERROR(MATCH(1,INDEX((ROW('Game Records'!$U$5:$U$504)&gt;$H207)*(('Game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09" ht="24" customHeight="1">
      <x:c r="A209" s="332" t="str">
        <x:f>IF($H209="","",ROWS($A$5:A209))</x:f>
        <x:v/>
      </x:c>
      <x:c r="B209" s="332" t="str">
        <x:f>IF($H209="","","G-"&amp;TEXT($A209,"0000"))</x:f>
        <x:v/>
      </x:c>
      <x:c r="C209" s="331" t="str">
        <x:f>IF($H209="","",IFERROR(INDEX('Game Records'!$A:$A,$H209),""))</x:f>
        <x:v/>
      </x:c>
      <x:c r="D209" s="331" t="str">
        <x:f>IF($H209="","",IFERROR(INDEX('Game Records'!$U:$U,$H209),""))</x:f>
        <x:v/>
      </x:c>
      <x:c r="E209" s="331" t="str">
        <x:f>IF($H209="","",IF($F209="","No Highlighted Fields","Highlighted Fields Present"))</x:f>
        <x:v/>
      </x:c>
      <x:c r="F209" s="331" t="str">
        <x:f>IF($H209="","",IF(INDEX('Game Records'!$B:$B,$H209)="","Start Date; ","")&amp;IF(INDEX('Game Records'!$C:$C,$H209)="","End Date; ","")&amp;IF(AND(INDEX('Game Records'!$U:$U,$H209)&lt;&gt;"Subscription",INDEX('Game Records'!$U:$U,$H209)&lt;&gt;"Free Game",INDEX('Game Records'!$U:$U,$H209)&lt;&gt;"Disqualified — Free Game",OR(INDEX('Game Records'!$D:$D,$H209)="",LOWER(INDEX('Game Records'!$D:$D,$H209)&amp;"")="n/a")),"Entry Mode; ","")&amp;IF(AND(INDEX('Game Records'!$U:$U,$H209)&lt;&gt;"Subscription",INDEX('Game Records'!$U:$U,$H209)&lt;&gt;"Free Game",INDEX('Game Records'!$U:$U,$H209)&lt;&gt;"Disqualified — Free Game",OR(INDEX('Game Records'!$E:$E,$H209)="",LOWER(INDEX('Game Records'!$E:$E,$H209)&amp;"")="n/a")),"Game Type; ","")&amp;IF(INDEX('Game Records'!$F:$F,$H209)="","Payment Type; ","")&amp;IF(AND(INDEX('Game Records'!$U:$U,$H209)&lt;&gt;"Subscription",INDEX('Game Records'!$U:$U,$H209)&lt;&gt;"Free Game",INDEX('Game Records'!$U:$U,$H209)&lt;&gt;"Disqualified — Free Game",INDEX('Game Records'!$G:$G,$H209)=""),"Gross Pot; ","")&amp;IF(AND(INDEX('Game Records'!$U:$U,$H209)&lt;&gt;"Free Game",INDEX('Game Records'!$U:$U,$H209)&lt;&gt;"Disqualified — Free Game",INDEX('Game Records'!$H:$H,$H209)=""),"Entry Fee; ","")&amp;IF(AND(INDEX('Game Records'!$U:$U,$H209)&lt;&gt;"Subscription",INDEX('Game Records'!$U:$U,$H209)&lt;&gt;"Free Game",INDEX('Game Records'!$U:$U,$H209)&lt;&gt;"Disqualified — Free Game",INDEX('Game Records'!$I:$I,$H209)=""),"Eligible Players; ","")&amp;IF(AND(INDEX('Game Records'!$U:$U,$H209)&lt;&gt;"Subscription",INDEX('Game Records'!$U:$U,$H209)&lt;&gt;"Free Game",INDEX('Game Records'!$U:$U,$H209)&lt;&gt;"Disqualified — Free Game",INDEX('Game Records'!$J:$J,$H209)=""),"Total Players; ","")&amp;IF(AND(LOWER(INDEX('Game Records'!$D:$D,$H209)&amp;"")="finalized",LOWER(INDEX('Game Records'!$L:$L,$H209)&amp;"")&lt;&gt;"yes",INDEX('Game Records'!$U:$U,$H209)&lt;&gt;"Subscription",INDEX('Game Records'!$U:$U,$H209)&lt;&gt;"Free Game",INDEX('Game Records'!$U:$U,$H209)&lt;&gt;"Disqualified — Free Game",INDEX('Game Records'!$K:$K,$H209)=""),"Final Earned; ","")&amp;IF(AND(LOWER(INDEX('Game Records'!$D:$D,$H209)&amp;"")="finalized",INDEX('Game Records'!$U:$U,$H209)&lt;&gt;"Subscription",INDEX('Game Records'!$U:$U,$H209)&lt;&gt;"Free Game",INDEX('Game Records'!$U:$U,$H209)&lt;&gt;"Disqualified — Free Game",OR(INDEX('Game Records'!$L:$L,$H209)="",LOWER(INDEX('Game Records'!$L:$L,$H209)&amp;"")="n/a")),"Disqualified Status; ",""))</x:f>
        <x:v/>
      </x:c>
      <x:c r="G209" s="331" t="str">
        <x:f>IF($H209="","",IFERROR(INDEX('Game Records'!$M:$M,$H209),""))</x:f>
        <x:v/>
      </x:c>
      <x:c r="H209" s="104" t="str">
        <x:f>IF($H208="","",IFERROR(MATCH(1,INDEX((ROW('Game Records'!$U$5:$U$504)&gt;$H208)*(('Game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0" ht="24" customHeight="1">
      <x:c r="A210" s="332" t="str">
        <x:f>IF($H210="","",ROWS($A$5:A210))</x:f>
        <x:v/>
      </x:c>
      <x:c r="B210" s="332" t="str">
        <x:f>IF($H210="","","G-"&amp;TEXT($A210,"0000"))</x:f>
        <x:v/>
      </x:c>
      <x:c r="C210" s="331" t="str">
        <x:f>IF($H210="","",IFERROR(INDEX('Game Records'!$A:$A,$H210),""))</x:f>
        <x:v/>
      </x:c>
      <x:c r="D210" s="331" t="str">
        <x:f>IF($H210="","",IFERROR(INDEX('Game Records'!$U:$U,$H210),""))</x:f>
        <x:v/>
      </x:c>
      <x:c r="E210" s="331" t="str">
        <x:f>IF($H210="","",IF($F210="","No Highlighted Fields","Highlighted Fields Present"))</x:f>
        <x:v/>
      </x:c>
      <x:c r="F210" s="331" t="str">
        <x:f>IF($H210="","",IF(INDEX('Game Records'!$B:$B,$H210)="","Start Date; ","")&amp;IF(INDEX('Game Records'!$C:$C,$H210)="","End Date; ","")&amp;IF(AND(INDEX('Game Records'!$U:$U,$H210)&lt;&gt;"Subscription",INDEX('Game Records'!$U:$U,$H210)&lt;&gt;"Free Game",INDEX('Game Records'!$U:$U,$H210)&lt;&gt;"Disqualified — Free Game",OR(INDEX('Game Records'!$D:$D,$H210)="",LOWER(INDEX('Game Records'!$D:$D,$H210)&amp;"")="n/a")),"Entry Mode; ","")&amp;IF(AND(INDEX('Game Records'!$U:$U,$H210)&lt;&gt;"Subscription",INDEX('Game Records'!$U:$U,$H210)&lt;&gt;"Free Game",INDEX('Game Records'!$U:$U,$H210)&lt;&gt;"Disqualified — Free Game",OR(INDEX('Game Records'!$E:$E,$H210)="",LOWER(INDEX('Game Records'!$E:$E,$H210)&amp;"")="n/a")),"Game Type; ","")&amp;IF(INDEX('Game Records'!$F:$F,$H210)="","Payment Type; ","")&amp;IF(AND(INDEX('Game Records'!$U:$U,$H210)&lt;&gt;"Subscription",INDEX('Game Records'!$U:$U,$H210)&lt;&gt;"Free Game",INDEX('Game Records'!$U:$U,$H210)&lt;&gt;"Disqualified — Free Game",INDEX('Game Records'!$G:$G,$H210)=""),"Gross Pot; ","")&amp;IF(AND(INDEX('Game Records'!$U:$U,$H210)&lt;&gt;"Free Game",INDEX('Game Records'!$U:$U,$H210)&lt;&gt;"Disqualified — Free Game",INDEX('Game Records'!$H:$H,$H210)=""),"Entry Fee; ","")&amp;IF(AND(INDEX('Game Records'!$U:$U,$H210)&lt;&gt;"Subscription",INDEX('Game Records'!$U:$U,$H210)&lt;&gt;"Free Game",INDEX('Game Records'!$U:$U,$H210)&lt;&gt;"Disqualified — Free Game",INDEX('Game Records'!$I:$I,$H210)=""),"Eligible Players; ","")&amp;IF(AND(INDEX('Game Records'!$U:$U,$H210)&lt;&gt;"Subscription",INDEX('Game Records'!$U:$U,$H210)&lt;&gt;"Free Game",INDEX('Game Records'!$U:$U,$H210)&lt;&gt;"Disqualified — Free Game",INDEX('Game Records'!$J:$J,$H210)=""),"Total Players; ","")&amp;IF(AND(LOWER(INDEX('Game Records'!$D:$D,$H210)&amp;"")="finalized",LOWER(INDEX('Game Records'!$L:$L,$H210)&amp;"")&lt;&gt;"yes",INDEX('Game Records'!$U:$U,$H210)&lt;&gt;"Subscription",INDEX('Game Records'!$U:$U,$H210)&lt;&gt;"Free Game",INDEX('Game Records'!$U:$U,$H210)&lt;&gt;"Disqualified — Free Game",INDEX('Game Records'!$K:$K,$H210)=""),"Final Earned; ","")&amp;IF(AND(LOWER(INDEX('Game Records'!$D:$D,$H210)&amp;"")="finalized",INDEX('Game Records'!$U:$U,$H210)&lt;&gt;"Subscription",INDEX('Game Records'!$U:$U,$H210)&lt;&gt;"Free Game",INDEX('Game Records'!$U:$U,$H210)&lt;&gt;"Disqualified — Free Game",OR(INDEX('Game Records'!$L:$L,$H210)="",LOWER(INDEX('Game Records'!$L:$L,$H210)&amp;"")="n/a")),"Disqualified Status; ",""))</x:f>
        <x:v/>
      </x:c>
      <x:c r="G210" s="331" t="str">
        <x:f>IF($H210="","",IFERROR(INDEX('Game Records'!$M:$M,$H210),""))</x:f>
        <x:v/>
      </x:c>
      <x:c r="H210" s="104" t="str">
        <x:f>IF($H209="","",IFERROR(MATCH(1,INDEX((ROW('Game Records'!$U$5:$U$504)&gt;$H209)*(('Game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1" ht="24" customHeight="1">
      <x:c r="A211" s="332" t="str">
        <x:f>IF($H211="","",ROWS($A$5:A211))</x:f>
        <x:v/>
      </x:c>
      <x:c r="B211" s="332" t="str">
        <x:f>IF($H211="","","G-"&amp;TEXT($A211,"0000"))</x:f>
        <x:v/>
      </x:c>
      <x:c r="C211" s="331" t="str">
        <x:f>IF($H211="","",IFERROR(INDEX('Game Records'!$A:$A,$H211),""))</x:f>
        <x:v/>
      </x:c>
      <x:c r="D211" s="331" t="str">
        <x:f>IF($H211="","",IFERROR(INDEX('Game Records'!$U:$U,$H211),""))</x:f>
        <x:v/>
      </x:c>
      <x:c r="E211" s="331" t="str">
        <x:f>IF($H211="","",IF($F211="","No Highlighted Fields","Highlighted Fields Present"))</x:f>
        <x:v/>
      </x:c>
      <x:c r="F211" s="331" t="str">
        <x:f>IF($H211="","",IF(INDEX('Game Records'!$B:$B,$H211)="","Start Date; ","")&amp;IF(INDEX('Game Records'!$C:$C,$H211)="","End Date; ","")&amp;IF(AND(INDEX('Game Records'!$U:$U,$H211)&lt;&gt;"Subscription",INDEX('Game Records'!$U:$U,$H211)&lt;&gt;"Free Game",INDEX('Game Records'!$U:$U,$H211)&lt;&gt;"Disqualified — Free Game",OR(INDEX('Game Records'!$D:$D,$H211)="",LOWER(INDEX('Game Records'!$D:$D,$H211)&amp;"")="n/a")),"Entry Mode; ","")&amp;IF(AND(INDEX('Game Records'!$U:$U,$H211)&lt;&gt;"Subscription",INDEX('Game Records'!$U:$U,$H211)&lt;&gt;"Free Game",INDEX('Game Records'!$U:$U,$H211)&lt;&gt;"Disqualified — Free Game",OR(INDEX('Game Records'!$E:$E,$H211)="",LOWER(INDEX('Game Records'!$E:$E,$H211)&amp;"")="n/a")),"Game Type; ","")&amp;IF(INDEX('Game Records'!$F:$F,$H211)="","Payment Type; ","")&amp;IF(AND(INDEX('Game Records'!$U:$U,$H211)&lt;&gt;"Subscription",INDEX('Game Records'!$U:$U,$H211)&lt;&gt;"Free Game",INDEX('Game Records'!$U:$U,$H211)&lt;&gt;"Disqualified — Free Game",INDEX('Game Records'!$G:$G,$H211)=""),"Gross Pot; ","")&amp;IF(AND(INDEX('Game Records'!$U:$U,$H211)&lt;&gt;"Free Game",INDEX('Game Records'!$U:$U,$H211)&lt;&gt;"Disqualified — Free Game",INDEX('Game Records'!$H:$H,$H211)=""),"Entry Fee; ","")&amp;IF(AND(INDEX('Game Records'!$U:$U,$H211)&lt;&gt;"Subscription",INDEX('Game Records'!$U:$U,$H211)&lt;&gt;"Free Game",INDEX('Game Records'!$U:$U,$H211)&lt;&gt;"Disqualified — Free Game",INDEX('Game Records'!$I:$I,$H211)=""),"Eligible Players; ","")&amp;IF(AND(INDEX('Game Records'!$U:$U,$H211)&lt;&gt;"Subscription",INDEX('Game Records'!$U:$U,$H211)&lt;&gt;"Free Game",INDEX('Game Records'!$U:$U,$H211)&lt;&gt;"Disqualified — Free Game",INDEX('Game Records'!$J:$J,$H211)=""),"Total Players; ","")&amp;IF(AND(LOWER(INDEX('Game Records'!$D:$D,$H211)&amp;"")="finalized",LOWER(INDEX('Game Records'!$L:$L,$H211)&amp;"")&lt;&gt;"yes",INDEX('Game Records'!$U:$U,$H211)&lt;&gt;"Subscription",INDEX('Game Records'!$U:$U,$H211)&lt;&gt;"Free Game",INDEX('Game Records'!$U:$U,$H211)&lt;&gt;"Disqualified — Free Game",INDEX('Game Records'!$K:$K,$H211)=""),"Final Earned; ","")&amp;IF(AND(LOWER(INDEX('Game Records'!$D:$D,$H211)&amp;"")="finalized",INDEX('Game Records'!$U:$U,$H211)&lt;&gt;"Subscription",INDEX('Game Records'!$U:$U,$H211)&lt;&gt;"Free Game",INDEX('Game Records'!$U:$U,$H211)&lt;&gt;"Disqualified — Free Game",OR(INDEX('Game Records'!$L:$L,$H211)="",LOWER(INDEX('Game Records'!$L:$L,$H211)&amp;"")="n/a")),"Disqualified Status; ",""))</x:f>
        <x:v/>
      </x:c>
      <x:c r="G211" s="331" t="str">
        <x:f>IF($H211="","",IFERROR(INDEX('Game Records'!$M:$M,$H211),""))</x:f>
        <x:v/>
      </x:c>
      <x:c r="H211" s="104" t="str">
        <x:f>IF($H210="","",IFERROR(MATCH(1,INDEX((ROW('Game Records'!$U$5:$U$504)&gt;$H210)*(('Game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2" ht="24" customHeight="1">
      <x:c r="A212" s="332" t="str">
        <x:f>IF($H212="","",ROWS($A$5:A212))</x:f>
        <x:v/>
      </x:c>
      <x:c r="B212" s="332" t="str">
        <x:f>IF($H212="","","G-"&amp;TEXT($A212,"0000"))</x:f>
        <x:v/>
      </x:c>
      <x:c r="C212" s="331" t="str">
        <x:f>IF($H212="","",IFERROR(INDEX('Game Records'!$A:$A,$H212),""))</x:f>
        <x:v/>
      </x:c>
      <x:c r="D212" s="331" t="str">
        <x:f>IF($H212="","",IFERROR(INDEX('Game Records'!$U:$U,$H212),""))</x:f>
        <x:v/>
      </x:c>
      <x:c r="E212" s="331" t="str">
        <x:f>IF($H212="","",IF($F212="","No Highlighted Fields","Highlighted Fields Present"))</x:f>
        <x:v/>
      </x:c>
      <x:c r="F212" s="331" t="str">
        <x:f>IF($H212="","",IF(INDEX('Game Records'!$B:$B,$H212)="","Start Date; ","")&amp;IF(INDEX('Game Records'!$C:$C,$H212)="","End Date; ","")&amp;IF(AND(INDEX('Game Records'!$U:$U,$H212)&lt;&gt;"Subscription",INDEX('Game Records'!$U:$U,$H212)&lt;&gt;"Free Game",INDEX('Game Records'!$U:$U,$H212)&lt;&gt;"Disqualified — Free Game",OR(INDEX('Game Records'!$D:$D,$H212)="",LOWER(INDEX('Game Records'!$D:$D,$H212)&amp;"")="n/a")),"Entry Mode; ","")&amp;IF(AND(INDEX('Game Records'!$U:$U,$H212)&lt;&gt;"Subscription",INDEX('Game Records'!$U:$U,$H212)&lt;&gt;"Free Game",INDEX('Game Records'!$U:$U,$H212)&lt;&gt;"Disqualified — Free Game",OR(INDEX('Game Records'!$E:$E,$H212)="",LOWER(INDEX('Game Records'!$E:$E,$H212)&amp;"")="n/a")),"Game Type; ","")&amp;IF(INDEX('Game Records'!$F:$F,$H212)="","Payment Type; ","")&amp;IF(AND(INDEX('Game Records'!$U:$U,$H212)&lt;&gt;"Subscription",INDEX('Game Records'!$U:$U,$H212)&lt;&gt;"Free Game",INDEX('Game Records'!$U:$U,$H212)&lt;&gt;"Disqualified — Free Game",INDEX('Game Records'!$G:$G,$H212)=""),"Gross Pot; ","")&amp;IF(AND(INDEX('Game Records'!$U:$U,$H212)&lt;&gt;"Free Game",INDEX('Game Records'!$U:$U,$H212)&lt;&gt;"Disqualified — Free Game",INDEX('Game Records'!$H:$H,$H212)=""),"Entry Fee; ","")&amp;IF(AND(INDEX('Game Records'!$U:$U,$H212)&lt;&gt;"Subscription",INDEX('Game Records'!$U:$U,$H212)&lt;&gt;"Free Game",INDEX('Game Records'!$U:$U,$H212)&lt;&gt;"Disqualified — Free Game",INDEX('Game Records'!$I:$I,$H212)=""),"Eligible Players; ","")&amp;IF(AND(INDEX('Game Records'!$U:$U,$H212)&lt;&gt;"Subscription",INDEX('Game Records'!$U:$U,$H212)&lt;&gt;"Free Game",INDEX('Game Records'!$U:$U,$H212)&lt;&gt;"Disqualified — Free Game",INDEX('Game Records'!$J:$J,$H212)=""),"Total Players; ","")&amp;IF(AND(LOWER(INDEX('Game Records'!$D:$D,$H212)&amp;"")="finalized",LOWER(INDEX('Game Records'!$L:$L,$H212)&amp;"")&lt;&gt;"yes",INDEX('Game Records'!$U:$U,$H212)&lt;&gt;"Subscription",INDEX('Game Records'!$U:$U,$H212)&lt;&gt;"Free Game",INDEX('Game Records'!$U:$U,$H212)&lt;&gt;"Disqualified — Free Game",INDEX('Game Records'!$K:$K,$H212)=""),"Final Earned; ","")&amp;IF(AND(LOWER(INDEX('Game Records'!$D:$D,$H212)&amp;"")="finalized",INDEX('Game Records'!$U:$U,$H212)&lt;&gt;"Subscription",INDEX('Game Records'!$U:$U,$H212)&lt;&gt;"Free Game",INDEX('Game Records'!$U:$U,$H212)&lt;&gt;"Disqualified — Free Game",OR(INDEX('Game Records'!$L:$L,$H212)="",LOWER(INDEX('Game Records'!$L:$L,$H212)&amp;"")="n/a")),"Disqualified Status; ",""))</x:f>
        <x:v/>
      </x:c>
      <x:c r="G212" s="331" t="str">
        <x:f>IF($H212="","",IFERROR(INDEX('Game Records'!$M:$M,$H212),""))</x:f>
        <x:v/>
      </x:c>
      <x:c r="H212" s="104" t="str">
        <x:f>IF($H211="","",IFERROR(MATCH(1,INDEX((ROW('Game Records'!$U$5:$U$504)&gt;$H211)*(('Game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3" ht="24" customHeight="1">
      <x:c r="A213" s="332" t="str">
        <x:f>IF($H213="","",ROWS($A$5:A213))</x:f>
        <x:v/>
      </x:c>
      <x:c r="B213" s="332" t="str">
        <x:f>IF($H213="","","G-"&amp;TEXT($A213,"0000"))</x:f>
        <x:v/>
      </x:c>
      <x:c r="C213" s="331" t="str">
        <x:f>IF($H213="","",IFERROR(INDEX('Game Records'!$A:$A,$H213),""))</x:f>
        <x:v/>
      </x:c>
      <x:c r="D213" s="331" t="str">
        <x:f>IF($H213="","",IFERROR(INDEX('Game Records'!$U:$U,$H213),""))</x:f>
        <x:v/>
      </x:c>
      <x:c r="E213" s="331" t="str">
        <x:f>IF($H213="","",IF($F213="","No Highlighted Fields","Highlighted Fields Present"))</x:f>
        <x:v/>
      </x:c>
      <x:c r="F213" s="331" t="str">
        <x:f>IF($H213="","",IF(INDEX('Game Records'!$B:$B,$H213)="","Start Date; ","")&amp;IF(INDEX('Game Records'!$C:$C,$H213)="","End Date; ","")&amp;IF(AND(INDEX('Game Records'!$U:$U,$H213)&lt;&gt;"Subscription",INDEX('Game Records'!$U:$U,$H213)&lt;&gt;"Free Game",INDEX('Game Records'!$U:$U,$H213)&lt;&gt;"Disqualified — Free Game",OR(INDEX('Game Records'!$D:$D,$H213)="",LOWER(INDEX('Game Records'!$D:$D,$H213)&amp;"")="n/a")),"Entry Mode; ","")&amp;IF(AND(INDEX('Game Records'!$U:$U,$H213)&lt;&gt;"Subscription",INDEX('Game Records'!$U:$U,$H213)&lt;&gt;"Free Game",INDEX('Game Records'!$U:$U,$H213)&lt;&gt;"Disqualified — Free Game",OR(INDEX('Game Records'!$E:$E,$H213)="",LOWER(INDEX('Game Records'!$E:$E,$H213)&amp;"")="n/a")),"Game Type; ","")&amp;IF(INDEX('Game Records'!$F:$F,$H213)="","Payment Type; ","")&amp;IF(AND(INDEX('Game Records'!$U:$U,$H213)&lt;&gt;"Subscription",INDEX('Game Records'!$U:$U,$H213)&lt;&gt;"Free Game",INDEX('Game Records'!$U:$U,$H213)&lt;&gt;"Disqualified — Free Game",INDEX('Game Records'!$G:$G,$H213)=""),"Gross Pot; ","")&amp;IF(AND(INDEX('Game Records'!$U:$U,$H213)&lt;&gt;"Free Game",INDEX('Game Records'!$U:$U,$H213)&lt;&gt;"Disqualified — Free Game",INDEX('Game Records'!$H:$H,$H213)=""),"Entry Fee; ","")&amp;IF(AND(INDEX('Game Records'!$U:$U,$H213)&lt;&gt;"Subscription",INDEX('Game Records'!$U:$U,$H213)&lt;&gt;"Free Game",INDEX('Game Records'!$U:$U,$H213)&lt;&gt;"Disqualified — Free Game",INDEX('Game Records'!$I:$I,$H213)=""),"Eligible Players; ","")&amp;IF(AND(INDEX('Game Records'!$U:$U,$H213)&lt;&gt;"Subscription",INDEX('Game Records'!$U:$U,$H213)&lt;&gt;"Free Game",INDEX('Game Records'!$U:$U,$H213)&lt;&gt;"Disqualified — Free Game",INDEX('Game Records'!$J:$J,$H213)=""),"Total Players; ","")&amp;IF(AND(LOWER(INDEX('Game Records'!$D:$D,$H213)&amp;"")="finalized",LOWER(INDEX('Game Records'!$L:$L,$H213)&amp;"")&lt;&gt;"yes",INDEX('Game Records'!$U:$U,$H213)&lt;&gt;"Subscription",INDEX('Game Records'!$U:$U,$H213)&lt;&gt;"Free Game",INDEX('Game Records'!$U:$U,$H213)&lt;&gt;"Disqualified — Free Game",INDEX('Game Records'!$K:$K,$H213)=""),"Final Earned; ","")&amp;IF(AND(LOWER(INDEX('Game Records'!$D:$D,$H213)&amp;"")="finalized",INDEX('Game Records'!$U:$U,$H213)&lt;&gt;"Subscription",INDEX('Game Records'!$U:$U,$H213)&lt;&gt;"Free Game",INDEX('Game Records'!$U:$U,$H213)&lt;&gt;"Disqualified — Free Game",OR(INDEX('Game Records'!$L:$L,$H213)="",LOWER(INDEX('Game Records'!$L:$L,$H213)&amp;"")="n/a")),"Disqualified Status; ",""))</x:f>
        <x:v/>
      </x:c>
      <x:c r="G213" s="331" t="str">
        <x:f>IF($H213="","",IFERROR(INDEX('Game Records'!$M:$M,$H213),""))</x:f>
        <x:v/>
      </x:c>
      <x:c r="H213" s="104" t="str">
        <x:f>IF($H212="","",IFERROR(MATCH(1,INDEX((ROW('Game Records'!$U$5:$U$504)&gt;$H212)*(('Game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4" ht="24" customHeight="1">
      <x:c r="A214" s="332" t="str">
        <x:f>IF($H214="","",ROWS($A$5:A214))</x:f>
        <x:v/>
      </x:c>
      <x:c r="B214" s="332" t="str">
        <x:f>IF($H214="","","G-"&amp;TEXT($A214,"0000"))</x:f>
        <x:v/>
      </x:c>
      <x:c r="C214" s="331" t="str">
        <x:f>IF($H214="","",IFERROR(INDEX('Game Records'!$A:$A,$H214),""))</x:f>
        <x:v/>
      </x:c>
      <x:c r="D214" s="331" t="str">
        <x:f>IF($H214="","",IFERROR(INDEX('Game Records'!$U:$U,$H214),""))</x:f>
        <x:v/>
      </x:c>
      <x:c r="E214" s="331" t="str">
        <x:f>IF($H214="","",IF($F214="","No Highlighted Fields","Highlighted Fields Present"))</x:f>
        <x:v/>
      </x:c>
      <x:c r="F214" s="331" t="str">
        <x:f>IF($H214="","",IF(INDEX('Game Records'!$B:$B,$H214)="","Start Date; ","")&amp;IF(INDEX('Game Records'!$C:$C,$H214)="","End Date; ","")&amp;IF(AND(INDEX('Game Records'!$U:$U,$H214)&lt;&gt;"Subscription",INDEX('Game Records'!$U:$U,$H214)&lt;&gt;"Free Game",INDEX('Game Records'!$U:$U,$H214)&lt;&gt;"Disqualified — Free Game",OR(INDEX('Game Records'!$D:$D,$H214)="",LOWER(INDEX('Game Records'!$D:$D,$H214)&amp;"")="n/a")),"Entry Mode; ","")&amp;IF(AND(INDEX('Game Records'!$U:$U,$H214)&lt;&gt;"Subscription",INDEX('Game Records'!$U:$U,$H214)&lt;&gt;"Free Game",INDEX('Game Records'!$U:$U,$H214)&lt;&gt;"Disqualified — Free Game",OR(INDEX('Game Records'!$E:$E,$H214)="",LOWER(INDEX('Game Records'!$E:$E,$H214)&amp;"")="n/a")),"Game Type; ","")&amp;IF(INDEX('Game Records'!$F:$F,$H214)="","Payment Type; ","")&amp;IF(AND(INDEX('Game Records'!$U:$U,$H214)&lt;&gt;"Subscription",INDEX('Game Records'!$U:$U,$H214)&lt;&gt;"Free Game",INDEX('Game Records'!$U:$U,$H214)&lt;&gt;"Disqualified — Free Game",INDEX('Game Records'!$G:$G,$H214)=""),"Gross Pot; ","")&amp;IF(AND(INDEX('Game Records'!$U:$U,$H214)&lt;&gt;"Free Game",INDEX('Game Records'!$U:$U,$H214)&lt;&gt;"Disqualified — Free Game",INDEX('Game Records'!$H:$H,$H214)=""),"Entry Fee; ","")&amp;IF(AND(INDEX('Game Records'!$U:$U,$H214)&lt;&gt;"Subscription",INDEX('Game Records'!$U:$U,$H214)&lt;&gt;"Free Game",INDEX('Game Records'!$U:$U,$H214)&lt;&gt;"Disqualified — Free Game",INDEX('Game Records'!$I:$I,$H214)=""),"Eligible Players; ","")&amp;IF(AND(INDEX('Game Records'!$U:$U,$H214)&lt;&gt;"Subscription",INDEX('Game Records'!$U:$U,$H214)&lt;&gt;"Free Game",INDEX('Game Records'!$U:$U,$H214)&lt;&gt;"Disqualified — Free Game",INDEX('Game Records'!$J:$J,$H214)=""),"Total Players; ","")&amp;IF(AND(LOWER(INDEX('Game Records'!$D:$D,$H214)&amp;"")="finalized",LOWER(INDEX('Game Records'!$L:$L,$H214)&amp;"")&lt;&gt;"yes",INDEX('Game Records'!$U:$U,$H214)&lt;&gt;"Subscription",INDEX('Game Records'!$U:$U,$H214)&lt;&gt;"Free Game",INDEX('Game Records'!$U:$U,$H214)&lt;&gt;"Disqualified — Free Game",INDEX('Game Records'!$K:$K,$H214)=""),"Final Earned; ","")&amp;IF(AND(LOWER(INDEX('Game Records'!$D:$D,$H214)&amp;"")="finalized",INDEX('Game Records'!$U:$U,$H214)&lt;&gt;"Subscription",INDEX('Game Records'!$U:$U,$H214)&lt;&gt;"Free Game",INDEX('Game Records'!$U:$U,$H214)&lt;&gt;"Disqualified — Free Game",OR(INDEX('Game Records'!$L:$L,$H214)="",LOWER(INDEX('Game Records'!$L:$L,$H214)&amp;"")="n/a")),"Disqualified Status; ",""))</x:f>
        <x:v/>
      </x:c>
      <x:c r="G214" s="331" t="str">
        <x:f>IF($H214="","",IFERROR(INDEX('Game Records'!$M:$M,$H214),""))</x:f>
        <x:v/>
      </x:c>
      <x:c r="H214" s="104" t="str">
        <x:f>IF($H213="","",IFERROR(MATCH(1,INDEX((ROW('Game Records'!$U$5:$U$504)&gt;$H213)*(('Game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5" ht="24" customHeight="1">
      <x:c r="A215" s="332" t="str">
        <x:f>IF($H215="","",ROWS($A$5:A215))</x:f>
        <x:v/>
      </x:c>
      <x:c r="B215" s="332" t="str">
        <x:f>IF($H215="","","G-"&amp;TEXT($A215,"0000"))</x:f>
        <x:v/>
      </x:c>
      <x:c r="C215" s="331" t="str">
        <x:f>IF($H215="","",IFERROR(INDEX('Game Records'!$A:$A,$H215),""))</x:f>
        <x:v/>
      </x:c>
      <x:c r="D215" s="331" t="str">
        <x:f>IF($H215="","",IFERROR(INDEX('Game Records'!$U:$U,$H215),""))</x:f>
        <x:v/>
      </x:c>
      <x:c r="E215" s="331" t="str">
        <x:f>IF($H215="","",IF($F215="","No Highlighted Fields","Highlighted Fields Present"))</x:f>
        <x:v/>
      </x:c>
      <x:c r="F215" s="331" t="str">
        <x:f>IF($H215="","",IF(INDEX('Game Records'!$B:$B,$H215)="","Start Date; ","")&amp;IF(INDEX('Game Records'!$C:$C,$H215)="","End Date; ","")&amp;IF(AND(INDEX('Game Records'!$U:$U,$H215)&lt;&gt;"Subscription",INDEX('Game Records'!$U:$U,$H215)&lt;&gt;"Free Game",INDEX('Game Records'!$U:$U,$H215)&lt;&gt;"Disqualified — Free Game",OR(INDEX('Game Records'!$D:$D,$H215)="",LOWER(INDEX('Game Records'!$D:$D,$H215)&amp;"")="n/a")),"Entry Mode; ","")&amp;IF(AND(INDEX('Game Records'!$U:$U,$H215)&lt;&gt;"Subscription",INDEX('Game Records'!$U:$U,$H215)&lt;&gt;"Free Game",INDEX('Game Records'!$U:$U,$H215)&lt;&gt;"Disqualified — Free Game",OR(INDEX('Game Records'!$E:$E,$H215)="",LOWER(INDEX('Game Records'!$E:$E,$H215)&amp;"")="n/a")),"Game Type; ","")&amp;IF(INDEX('Game Records'!$F:$F,$H215)="","Payment Type; ","")&amp;IF(AND(INDEX('Game Records'!$U:$U,$H215)&lt;&gt;"Subscription",INDEX('Game Records'!$U:$U,$H215)&lt;&gt;"Free Game",INDEX('Game Records'!$U:$U,$H215)&lt;&gt;"Disqualified — Free Game",INDEX('Game Records'!$G:$G,$H215)=""),"Gross Pot; ","")&amp;IF(AND(INDEX('Game Records'!$U:$U,$H215)&lt;&gt;"Free Game",INDEX('Game Records'!$U:$U,$H215)&lt;&gt;"Disqualified — Free Game",INDEX('Game Records'!$H:$H,$H215)=""),"Entry Fee; ","")&amp;IF(AND(INDEX('Game Records'!$U:$U,$H215)&lt;&gt;"Subscription",INDEX('Game Records'!$U:$U,$H215)&lt;&gt;"Free Game",INDEX('Game Records'!$U:$U,$H215)&lt;&gt;"Disqualified — Free Game",INDEX('Game Records'!$I:$I,$H215)=""),"Eligible Players; ","")&amp;IF(AND(INDEX('Game Records'!$U:$U,$H215)&lt;&gt;"Subscription",INDEX('Game Records'!$U:$U,$H215)&lt;&gt;"Free Game",INDEX('Game Records'!$U:$U,$H215)&lt;&gt;"Disqualified — Free Game",INDEX('Game Records'!$J:$J,$H215)=""),"Total Players; ","")&amp;IF(AND(LOWER(INDEX('Game Records'!$D:$D,$H215)&amp;"")="finalized",LOWER(INDEX('Game Records'!$L:$L,$H215)&amp;"")&lt;&gt;"yes",INDEX('Game Records'!$U:$U,$H215)&lt;&gt;"Subscription",INDEX('Game Records'!$U:$U,$H215)&lt;&gt;"Free Game",INDEX('Game Records'!$U:$U,$H215)&lt;&gt;"Disqualified — Free Game",INDEX('Game Records'!$K:$K,$H215)=""),"Final Earned; ","")&amp;IF(AND(LOWER(INDEX('Game Records'!$D:$D,$H215)&amp;"")="finalized",INDEX('Game Records'!$U:$U,$H215)&lt;&gt;"Subscription",INDEX('Game Records'!$U:$U,$H215)&lt;&gt;"Free Game",INDEX('Game Records'!$U:$U,$H215)&lt;&gt;"Disqualified — Free Game",OR(INDEX('Game Records'!$L:$L,$H215)="",LOWER(INDEX('Game Records'!$L:$L,$H215)&amp;"")="n/a")),"Disqualified Status; ",""))</x:f>
        <x:v/>
      </x:c>
      <x:c r="G215" s="331" t="str">
        <x:f>IF($H215="","",IFERROR(INDEX('Game Records'!$M:$M,$H215),""))</x:f>
        <x:v/>
      </x:c>
      <x:c r="H215" s="104" t="str">
        <x:f>IF($H214="","",IFERROR(MATCH(1,INDEX((ROW('Game Records'!$U$5:$U$504)&gt;$H214)*(('Game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6" ht="24" customHeight="1">
      <x:c r="A216" s="332" t="str">
        <x:f>IF($H216="","",ROWS($A$5:A216))</x:f>
        <x:v/>
      </x:c>
      <x:c r="B216" s="332" t="str">
        <x:f>IF($H216="","","G-"&amp;TEXT($A216,"0000"))</x:f>
        <x:v/>
      </x:c>
      <x:c r="C216" s="331" t="str">
        <x:f>IF($H216="","",IFERROR(INDEX('Game Records'!$A:$A,$H216),""))</x:f>
        <x:v/>
      </x:c>
      <x:c r="D216" s="331" t="str">
        <x:f>IF($H216="","",IFERROR(INDEX('Game Records'!$U:$U,$H216),""))</x:f>
        <x:v/>
      </x:c>
      <x:c r="E216" s="331" t="str">
        <x:f>IF($H216="","",IF($F216="","No Highlighted Fields","Highlighted Fields Present"))</x:f>
        <x:v/>
      </x:c>
      <x:c r="F216" s="331" t="str">
        <x:f>IF($H216="","",IF(INDEX('Game Records'!$B:$B,$H216)="","Start Date; ","")&amp;IF(INDEX('Game Records'!$C:$C,$H216)="","End Date; ","")&amp;IF(AND(INDEX('Game Records'!$U:$U,$H216)&lt;&gt;"Subscription",INDEX('Game Records'!$U:$U,$H216)&lt;&gt;"Free Game",INDEX('Game Records'!$U:$U,$H216)&lt;&gt;"Disqualified — Free Game",OR(INDEX('Game Records'!$D:$D,$H216)="",LOWER(INDEX('Game Records'!$D:$D,$H216)&amp;"")="n/a")),"Entry Mode; ","")&amp;IF(AND(INDEX('Game Records'!$U:$U,$H216)&lt;&gt;"Subscription",INDEX('Game Records'!$U:$U,$H216)&lt;&gt;"Free Game",INDEX('Game Records'!$U:$U,$H216)&lt;&gt;"Disqualified — Free Game",OR(INDEX('Game Records'!$E:$E,$H216)="",LOWER(INDEX('Game Records'!$E:$E,$H216)&amp;"")="n/a")),"Game Type; ","")&amp;IF(INDEX('Game Records'!$F:$F,$H216)="","Payment Type; ","")&amp;IF(AND(INDEX('Game Records'!$U:$U,$H216)&lt;&gt;"Subscription",INDEX('Game Records'!$U:$U,$H216)&lt;&gt;"Free Game",INDEX('Game Records'!$U:$U,$H216)&lt;&gt;"Disqualified — Free Game",INDEX('Game Records'!$G:$G,$H216)=""),"Gross Pot; ","")&amp;IF(AND(INDEX('Game Records'!$U:$U,$H216)&lt;&gt;"Free Game",INDEX('Game Records'!$U:$U,$H216)&lt;&gt;"Disqualified — Free Game",INDEX('Game Records'!$H:$H,$H216)=""),"Entry Fee; ","")&amp;IF(AND(INDEX('Game Records'!$U:$U,$H216)&lt;&gt;"Subscription",INDEX('Game Records'!$U:$U,$H216)&lt;&gt;"Free Game",INDEX('Game Records'!$U:$U,$H216)&lt;&gt;"Disqualified — Free Game",INDEX('Game Records'!$I:$I,$H216)=""),"Eligible Players; ","")&amp;IF(AND(INDEX('Game Records'!$U:$U,$H216)&lt;&gt;"Subscription",INDEX('Game Records'!$U:$U,$H216)&lt;&gt;"Free Game",INDEX('Game Records'!$U:$U,$H216)&lt;&gt;"Disqualified — Free Game",INDEX('Game Records'!$J:$J,$H216)=""),"Total Players; ","")&amp;IF(AND(LOWER(INDEX('Game Records'!$D:$D,$H216)&amp;"")="finalized",LOWER(INDEX('Game Records'!$L:$L,$H216)&amp;"")&lt;&gt;"yes",INDEX('Game Records'!$U:$U,$H216)&lt;&gt;"Subscription",INDEX('Game Records'!$U:$U,$H216)&lt;&gt;"Free Game",INDEX('Game Records'!$U:$U,$H216)&lt;&gt;"Disqualified — Free Game",INDEX('Game Records'!$K:$K,$H216)=""),"Final Earned; ","")&amp;IF(AND(LOWER(INDEX('Game Records'!$D:$D,$H216)&amp;"")="finalized",INDEX('Game Records'!$U:$U,$H216)&lt;&gt;"Subscription",INDEX('Game Records'!$U:$U,$H216)&lt;&gt;"Free Game",INDEX('Game Records'!$U:$U,$H216)&lt;&gt;"Disqualified — Free Game",OR(INDEX('Game Records'!$L:$L,$H216)="",LOWER(INDEX('Game Records'!$L:$L,$H216)&amp;"")="n/a")),"Disqualified Status; ",""))</x:f>
        <x:v/>
      </x:c>
      <x:c r="G216" s="331" t="str">
        <x:f>IF($H216="","",IFERROR(INDEX('Game Records'!$M:$M,$H216),""))</x:f>
        <x:v/>
      </x:c>
      <x:c r="H216" s="104" t="str">
        <x:f>IF($H215="","",IFERROR(MATCH(1,INDEX((ROW('Game Records'!$U$5:$U$504)&gt;$H215)*(('Game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7" ht="24" customHeight="1">
      <x:c r="A217" s="332" t="str">
        <x:f>IF($H217="","",ROWS($A$5:A217))</x:f>
        <x:v/>
      </x:c>
      <x:c r="B217" s="332" t="str">
        <x:f>IF($H217="","","G-"&amp;TEXT($A217,"0000"))</x:f>
        <x:v/>
      </x:c>
      <x:c r="C217" s="331" t="str">
        <x:f>IF($H217="","",IFERROR(INDEX('Game Records'!$A:$A,$H217),""))</x:f>
        <x:v/>
      </x:c>
      <x:c r="D217" s="331" t="str">
        <x:f>IF($H217="","",IFERROR(INDEX('Game Records'!$U:$U,$H217),""))</x:f>
        <x:v/>
      </x:c>
      <x:c r="E217" s="331" t="str">
        <x:f>IF($H217="","",IF($F217="","No Highlighted Fields","Highlighted Fields Present"))</x:f>
        <x:v/>
      </x:c>
      <x:c r="F217" s="331" t="str">
        <x:f>IF($H217="","",IF(INDEX('Game Records'!$B:$B,$H217)="","Start Date; ","")&amp;IF(INDEX('Game Records'!$C:$C,$H217)="","End Date; ","")&amp;IF(AND(INDEX('Game Records'!$U:$U,$H217)&lt;&gt;"Subscription",INDEX('Game Records'!$U:$U,$H217)&lt;&gt;"Free Game",INDEX('Game Records'!$U:$U,$H217)&lt;&gt;"Disqualified — Free Game",OR(INDEX('Game Records'!$D:$D,$H217)="",LOWER(INDEX('Game Records'!$D:$D,$H217)&amp;"")="n/a")),"Entry Mode; ","")&amp;IF(AND(INDEX('Game Records'!$U:$U,$H217)&lt;&gt;"Subscription",INDEX('Game Records'!$U:$U,$H217)&lt;&gt;"Free Game",INDEX('Game Records'!$U:$U,$H217)&lt;&gt;"Disqualified — Free Game",OR(INDEX('Game Records'!$E:$E,$H217)="",LOWER(INDEX('Game Records'!$E:$E,$H217)&amp;"")="n/a")),"Game Type; ","")&amp;IF(INDEX('Game Records'!$F:$F,$H217)="","Payment Type; ","")&amp;IF(AND(INDEX('Game Records'!$U:$U,$H217)&lt;&gt;"Subscription",INDEX('Game Records'!$U:$U,$H217)&lt;&gt;"Free Game",INDEX('Game Records'!$U:$U,$H217)&lt;&gt;"Disqualified — Free Game",INDEX('Game Records'!$G:$G,$H217)=""),"Gross Pot; ","")&amp;IF(AND(INDEX('Game Records'!$U:$U,$H217)&lt;&gt;"Free Game",INDEX('Game Records'!$U:$U,$H217)&lt;&gt;"Disqualified — Free Game",INDEX('Game Records'!$H:$H,$H217)=""),"Entry Fee; ","")&amp;IF(AND(INDEX('Game Records'!$U:$U,$H217)&lt;&gt;"Subscription",INDEX('Game Records'!$U:$U,$H217)&lt;&gt;"Free Game",INDEX('Game Records'!$U:$U,$H217)&lt;&gt;"Disqualified — Free Game",INDEX('Game Records'!$I:$I,$H217)=""),"Eligible Players; ","")&amp;IF(AND(INDEX('Game Records'!$U:$U,$H217)&lt;&gt;"Subscription",INDEX('Game Records'!$U:$U,$H217)&lt;&gt;"Free Game",INDEX('Game Records'!$U:$U,$H217)&lt;&gt;"Disqualified — Free Game",INDEX('Game Records'!$J:$J,$H217)=""),"Total Players; ","")&amp;IF(AND(LOWER(INDEX('Game Records'!$D:$D,$H217)&amp;"")="finalized",LOWER(INDEX('Game Records'!$L:$L,$H217)&amp;"")&lt;&gt;"yes",INDEX('Game Records'!$U:$U,$H217)&lt;&gt;"Subscription",INDEX('Game Records'!$U:$U,$H217)&lt;&gt;"Free Game",INDEX('Game Records'!$U:$U,$H217)&lt;&gt;"Disqualified — Free Game",INDEX('Game Records'!$K:$K,$H217)=""),"Final Earned; ","")&amp;IF(AND(LOWER(INDEX('Game Records'!$D:$D,$H217)&amp;"")="finalized",INDEX('Game Records'!$U:$U,$H217)&lt;&gt;"Subscription",INDEX('Game Records'!$U:$U,$H217)&lt;&gt;"Free Game",INDEX('Game Records'!$U:$U,$H217)&lt;&gt;"Disqualified — Free Game",OR(INDEX('Game Records'!$L:$L,$H217)="",LOWER(INDEX('Game Records'!$L:$L,$H217)&amp;"")="n/a")),"Disqualified Status; ",""))</x:f>
        <x:v/>
      </x:c>
      <x:c r="G217" s="331" t="str">
        <x:f>IF($H217="","",IFERROR(INDEX('Game Records'!$M:$M,$H217),""))</x:f>
        <x:v/>
      </x:c>
      <x:c r="H217" s="104" t="str">
        <x:f>IF($H216="","",IFERROR(MATCH(1,INDEX((ROW('Game Records'!$U$5:$U$504)&gt;$H216)*(('Game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8" ht="24" customHeight="1">
      <x:c r="A218" s="332" t="str">
        <x:f>IF($H218="","",ROWS($A$5:A218))</x:f>
        <x:v/>
      </x:c>
      <x:c r="B218" s="332" t="str">
        <x:f>IF($H218="","","G-"&amp;TEXT($A218,"0000"))</x:f>
        <x:v/>
      </x:c>
      <x:c r="C218" s="331" t="str">
        <x:f>IF($H218="","",IFERROR(INDEX('Game Records'!$A:$A,$H218),""))</x:f>
        <x:v/>
      </x:c>
      <x:c r="D218" s="331" t="str">
        <x:f>IF($H218="","",IFERROR(INDEX('Game Records'!$U:$U,$H218),""))</x:f>
        <x:v/>
      </x:c>
      <x:c r="E218" s="331" t="str">
        <x:f>IF($H218="","",IF($F218="","No Highlighted Fields","Highlighted Fields Present"))</x:f>
        <x:v/>
      </x:c>
      <x:c r="F218" s="331" t="str">
        <x:f>IF($H218="","",IF(INDEX('Game Records'!$B:$B,$H218)="","Start Date; ","")&amp;IF(INDEX('Game Records'!$C:$C,$H218)="","End Date; ","")&amp;IF(AND(INDEX('Game Records'!$U:$U,$H218)&lt;&gt;"Subscription",INDEX('Game Records'!$U:$U,$H218)&lt;&gt;"Free Game",INDEX('Game Records'!$U:$U,$H218)&lt;&gt;"Disqualified — Free Game",OR(INDEX('Game Records'!$D:$D,$H218)="",LOWER(INDEX('Game Records'!$D:$D,$H218)&amp;"")="n/a")),"Entry Mode; ","")&amp;IF(AND(INDEX('Game Records'!$U:$U,$H218)&lt;&gt;"Subscription",INDEX('Game Records'!$U:$U,$H218)&lt;&gt;"Free Game",INDEX('Game Records'!$U:$U,$H218)&lt;&gt;"Disqualified — Free Game",OR(INDEX('Game Records'!$E:$E,$H218)="",LOWER(INDEX('Game Records'!$E:$E,$H218)&amp;"")="n/a")),"Game Type; ","")&amp;IF(INDEX('Game Records'!$F:$F,$H218)="","Payment Type; ","")&amp;IF(AND(INDEX('Game Records'!$U:$U,$H218)&lt;&gt;"Subscription",INDEX('Game Records'!$U:$U,$H218)&lt;&gt;"Free Game",INDEX('Game Records'!$U:$U,$H218)&lt;&gt;"Disqualified — Free Game",INDEX('Game Records'!$G:$G,$H218)=""),"Gross Pot; ","")&amp;IF(AND(INDEX('Game Records'!$U:$U,$H218)&lt;&gt;"Free Game",INDEX('Game Records'!$U:$U,$H218)&lt;&gt;"Disqualified — Free Game",INDEX('Game Records'!$H:$H,$H218)=""),"Entry Fee; ","")&amp;IF(AND(INDEX('Game Records'!$U:$U,$H218)&lt;&gt;"Subscription",INDEX('Game Records'!$U:$U,$H218)&lt;&gt;"Free Game",INDEX('Game Records'!$U:$U,$H218)&lt;&gt;"Disqualified — Free Game",INDEX('Game Records'!$I:$I,$H218)=""),"Eligible Players; ","")&amp;IF(AND(INDEX('Game Records'!$U:$U,$H218)&lt;&gt;"Subscription",INDEX('Game Records'!$U:$U,$H218)&lt;&gt;"Free Game",INDEX('Game Records'!$U:$U,$H218)&lt;&gt;"Disqualified — Free Game",INDEX('Game Records'!$J:$J,$H218)=""),"Total Players; ","")&amp;IF(AND(LOWER(INDEX('Game Records'!$D:$D,$H218)&amp;"")="finalized",LOWER(INDEX('Game Records'!$L:$L,$H218)&amp;"")&lt;&gt;"yes",INDEX('Game Records'!$U:$U,$H218)&lt;&gt;"Subscription",INDEX('Game Records'!$U:$U,$H218)&lt;&gt;"Free Game",INDEX('Game Records'!$U:$U,$H218)&lt;&gt;"Disqualified — Free Game",INDEX('Game Records'!$K:$K,$H218)=""),"Final Earned; ","")&amp;IF(AND(LOWER(INDEX('Game Records'!$D:$D,$H218)&amp;"")="finalized",INDEX('Game Records'!$U:$U,$H218)&lt;&gt;"Subscription",INDEX('Game Records'!$U:$U,$H218)&lt;&gt;"Free Game",INDEX('Game Records'!$U:$U,$H218)&lt;&gt;"Disqualified — Free Game",OR(INDEX('Game Records'!$L:$L,$H218)="",LOWER(INDEX('Game Records'!$L:$L,$H218)&amp;"")="n/a")),"Disqualified Status; ",""))</x:f>
        <x:v/>
      </x:c>
      <x:c r="G218" s="331" t="str">
        <x:f>IF($H218="","",IFERROR(INDEX('Game Records'!$M:$M,$H218),""))</x:f>
        <x:v/>
      </x:c>
      <x:c r="H218" s="104" t="str">
        <x:f>IF($H217="","",IFERROR(MATCH(1,INDEX((ROW('Game Records'!$U$5:$U$504)&gt;$H217)*(('Game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19" ht="24" customHeight="1">
      <x:c r="A219" s="332" t="str">
        <x:f>IF($H219="","",ROWS($A$5:A219))</x:f>
        <x:v/>
      </x:c>
      <x:c r="B219" s="332" t="str">
        <x:f>IF($H219="","","G-"&amp;TEXT($A219,"0000"))</x:f>
        <x:v/>
      </x:c>
      <x:c r="C219" s="331" t="str">
        <x:f>IF($H219="","",IFERROR(INDEX('Game Records'!$A:$A,$H219),""))</x:f>
        <x:v/>
      </x:c>
      <x:c r="D219" s="331" t="str">
        <x:f>IF($H219="","",IFERROR(INDEX('Game Records'!$U:$U,$H219),""))</x:f>
        <x:v/>
      </x:c>
      <x:c r="E219" s="331" t="str">
        <x:f>IF($H219="","",IF($F219="","No Highlighted Fields","Highlighted Fields Present"))</x:f>
        <x:v/>
      </x:c>
      <x:c r="F219" s="331" t="str">
        <x:f>IF($H219="","",IF(INDEX('Game Records'!$B:$B,$H219)="","Start Date; ","")&amp;IF(INDEX('Game Records'!$C:$C,$H219)="","End Date; ","")&amp;IF(AND(INDEX('Game Records'!$U:$U,$H219)&lt;&gt;"Subscription",INDEX('Game Records'!$U:$U,$H219)&lt;&gt;"Free Game",INDEX('Game Records'!$U:$U,$H219)&lt;&gt;"Disqualified — Free Game",OR(INDEX('Game Records'!$D:$D,$H219)="",LOWER(INDEX('Game Records'!$D:$D,$H219)&amp;"")="n/a")),"Entry Mode; ","")&amp;IF(AND(INDEX('Game Records'!$U:$U,$H219)&lt;&gt;"Subscription",INDEX('Game Records'!$U:$U,$H219)&lt;&gt;"Free Game",INDEX('Game Records'!$U:$U,$H219)&lt;&gt;"Disqualified — Free Game",OR(INDEX('Game Records'!$E:$E,$H219)="",LOWER(INDEX('Game Records'!$E:$E,$H219)&amp;"")="n/a")),"Game Type; ","")&amp;IF(INDEX('Game Records'!$F:$F,$H219)="","Payment Type; ","")&amp;IF(AND(INDEX('Game Records'!$U:$U,$H219)&lt;&gt;"Subscription",INDEX('Game Records'!$U:$U,$H219)&lt;&gt;"Free Game",INDEX('Game Records'!$U:$U,$H219)&lt;&gt;"Disqualified — Free Game",INDEX('Game Records'!$G:$G,$H219)=""),"Gross Pot; ","")&amp;IF(AND(INDEX('Game Records'!$U:$U,$H219)&lt;&gt;"Free Game",INDEX('Game Records'!$U:$U,$H219)&lt;&gt;"Disqualified — Free Game",INDEX('Game Records'!$H:$H,$H219)=""),"Entry Fee; ","")&amp;IF(AND(INDEX('Game Records'!$U:$U,$H219)&lt;&gt;"Subscription",INDEX('Game Records'!$U:$U,$H219)&lt;&gt;"Free Game",INDEX('Game Records'!$U:$U,$H219)&lt;&gt;"Disqualified — Free Game",INDEX('Game Records'!$I:$I,$H219)=""),"Eligible Players; ","")&amp;IF(AND(INDEX('Game Records'!$U:$U,$H219)&lt;&gt;"Subscription",INDEX('Game Records'!$U:$U,$H219)&lt;&gt;"Free Game",INDEX('Game Records'!$U:$U,$H219)&lt;&gt;"Disqualified — Free Game",INDEX('Game Records'!$J:$J,$H219)=""),"Total Players; ","")&amp;IF(AND(LOWER(INDEX('Game Records'!$D:$D,$H219)&amp;"")="finalized",LOWER(INDEX('Game Records'!$L:$L,$H219)&amp;"")&lt;&gt;"yes",INDEX('Game Records'!$U:$U,$H219)&lt;&gt;"Subscription",INDEX('Game Records'!$U:$U,$H219)&lt;&gt;"Free Game",INDEX('Game Records'!$U:$U,$H219)&lt;&gt;"Disqualified — Free Game",INDEX('Game Records'!$K:$K,$H219)=""),"Final Earned; ","")&amp;IF(AND(LOWER(INDEX('Game Records'!$D:$D,$H219)&amp;"")="finalized",INDEX('Game Records'!$U:$U,$H219)&lt;&gt;"Subscription",INDEX('Game Records'!$U:$U,$H219)&lt;&gt;"Free Game",INDEX('Game Records'!$U:$U,$H219)&lt;&gt;"Disqualified — Free Game",OR(INDEX('Game Records'!$L:$L,$H219)="",LOWER(INDEX('Game Records'!$L:$L,$H219)&amp;"")="n/a")),"Disqualified Status; ",""))</x:f>
        <x:v/>
      </x:c>
      <x:c r="G219" s="331" t="str">
        <x:f>IF($H219="","",IFERROR(INDEX('Game Records'!$M:$M,$H219),""))</x:f>
        <x:v/>
      </x:c>
      <x:c r="H219" s="104" t="str">
        <x:f>IF($H218="","",IFERROR(MATCH(1,INDEX((ROW('Game Records'!$U$5:$U$504)&gt;$H218)*(('Game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0" ht="24" customHeight="1">
      <x:c r="A220" s="332" t="str">
        <x:f>IF($H220="","",ROWS($A$5:A220))</x:f>
        <x:v/>
      </x:c>
      <x:c r="B220" s="332" t="str">
        <x:f>IF($H220="","","G-"&amp;TEXT($A220,"0000"))</x:f>
        <x:v/>
      </x:c>
      <x:c r="C220" s="331" t="str">
        <x:f>IF($H220="","",IFERROR(INDEX('Game Records'!$A:$A,$H220),""))</x:f>
        <x:v/>
      </x:c>
      <x:c r="D220" s="331" t="str">
        <x:f>IF($H220="","",IFERROR(INDEX('Game Records'!$U:$U,$H220),""))</x:f>
        <x:v/>
      </x:c>
      <x:c r="E220" s="331" t="str">
        <x:f>IF($H220="","",IF($F220="","No Highlighted Fields","Highlighted Fields Present"))</x:f>
        <x:v/>
      </x:c>
      <x:c r="F220" s="331" t="str">
        <x:f>IF($H220="","",IF(INDEX('Game Records'!$B:$B,$H220)="","Start Date; ","")&amp;IF(INDEX('Game Records'!$C:$C,$H220)="","End Date; ","")&amp;IF(AND(INDEX('Game Records'!$U:$U,$H220)&lt;&gt;"Subscription",INDEX('Game Records'!$U:$U,$H220)&lt;&gt;"Free Game",INDEX('Game Records'!$U:$U,$H220)&lt;&gt;"Disqualified — Free Game",OR(INDEX('Game Records'!$D:$D,$H220)="",LOWER(INDEX('Game Records'!$D:$D,$H220)&amp;"")="n/a")),"Entry Mode; ","")&amp;IF(AND(INDEX('Game Records'!$U:$U,$H220)&lt;&gt;"Subscription",INDEX('Game Records'!$U:$U,$H220)&lt;&gt;"Free Game",INDEX('Game Records'!$U:$U,$H220)&lt;&gt;"Disqualified — Free Game",OR(INDEX('Game Records'!$E:$E,$H220)="",LOWER(INDEX('Game Records'!$E:$E,$H220)&amp;"")="n/a")),"Game Type; ","")&amp;IF(INDEX('Game Records'!$F:$F,$H220)="","Payment Type; ","")&amp;IF(AND(INDEX('Game Records'!$U:$U,$H220)&lt;&gt;"Subscription",INDEX('Game Records'!$U:$U,$H220)&lt;&gt;"Free Game",INDEX('Game Records'!$U:$U,$H220)&lt;&gt;"Disqualified — Free Game",INDEX('Game Records'!$G:$G,$H220)=""),"Gross Pot; ","")&amp;IF(AND(INDEX('Game Records'!$U:$U,$H220)&lt;&gt;"Free Game",INDEX('Game Records'!$U:$U,$H220)&lt;&gt;"Disqualified — Free Game",INDEX('Game Records'!$H:$H,$H220)=""),"Entry Fee; ","")&amp;IF(AND(INDEX('Game Records'!$U:$U,$H220)&lt;&gt;"Subscription",INDEX('Game Records'!$U:$U,$H220)&lt;&gt;"Free Game",INDEX('Game Records'!$U:$U,$H220)&lt;&gt;"Disqualified — Free Game",INDEX('Game Records'!$I:$I,$H220)=""),"Eligible Players; ","")&amp;IF(AND(INDEX('Game Records'!$U:$U,$H220)&lt;&gt;"Subscription",INDEX('Game Records'!$U:$U,$H220)&lt;&gt;"Free Game",INDEX('Game Records'!$U:$U,$H220)&lt;&gt;"Disqualified — Free Game",INDEX('Game Records'!$J:$J,$H220)=""),"Total Players; ","")&amp;IF(AND(LOWER(INDEX('Game Records'!$D:$D,$H220)&amp;"")="finalized",LOWER(INDEX('Game Records'!$L:$L,$H220)&amp;"")&lt;&gt;"yes",INDEX('Game Records'!$U:$U,$H220)&lt;&gt;"Subscription",INDEX('Game Records'!$U:$U,$H220)&lt;&gt;"Free Game",INDEX('Game Records'!$U:$U,$H220)&lt;&gt;"Disqualified — Free Game",INDEX('Game Records'!$K:$K,$H220)=""),"Final Earned; ","")&amp;IF(AND(LOWER(INDEX('Game Records'!$D:$D,$H220)&amp;"")="finalized",INDEX('Game Records'!$U:$U,$H220)&lt;&gt;"Subscription",INDEX('Game Records'!$U:$U,$H220)&lt;&gt;"Free Game",INDEX('Game Records'!$U:$U,$H220)&lt;&gt;"Disqualified — Free Game",OR(INDEX('Game Records'!$L:$L,$H220)="",LOWER(INDEX('Game Records'!$L:$L,$H220)&amp;"")="n/a")),"Disqualified Status; ",""))</x:f>
        <x:v/>
      </x:c>
      <x:c r="G220" s="331" t="str">
        <x:f>IF($H220="","",IFERROR(INDEX('Game Records'!$M:$M,$H220),""))</x:f>
        <x:v/>
      </x:c>
      <x:c r="H220" s="104" t="str">
        <x:f>IF($H219="","",IFERROR(MATCH(1,INDEX((ROW('Game Records'!$U$5:$U$504)&gt;$H219)*(('Game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1" ht="24" customHeight="1">
      <x:c r="A221" s="332" t="str">
        <x:f>IF($H221="","",ROWS($A$5:A221))</x:f>
        <x:v/>
      </x:c>
      <x:c r="B221" s="332" t="str">
        <x:f>IF($H221="","","G-"&amp;TEXT($A221,"0000"))</x:f>
        <x:v/>
      </x:c>
      <x:c r="C221" s="331" t="str">
        <x:f>IF($H221="","",IFERROR(INDEX('Game Records'!$A:$A,$H221),""))</x:f>
        <x:v/>
      </x:c>
      <x:c r="D221" s="331" t="str">
        <x:f>IF($H221="","",IFERROR(INDEX('Game Records'!$U:$U,$H221),""))</x:f>
        <x:v/>
      </x:c>
      <x:c r="E221" s="331" t="str">
        <x:f>IF($H221="","",IF($F221="","No Highlighted Fields","Highlighted Fields Present"))</x:f>
        <x:v/>
      </x:c>
      <x:c r="F221" s="331" t="str">
        <x:f>IF($H221="","",IF(INDEX('Game Records'!$B:$B,$H221)="","Start Date; ","")&amp;IF(INDEX('Game Records'!$C:$C,$H221)="","End Date; ","")&amp;IF(AND(INDEX('Game Records'!$U:$U,$H221)&lt;&gt;"Subscription",INDEX('Game Records'!$U:$U,$H221)&lt;&gt;"Free Game",INDEX('Game Records'!$U:$U,$H221)&lt;&gt;"Disqualified — Free Game",OR(INDEX('Game Records'!$D:$D,$H221)="",LOWER(INDEX('Game Records'!$D:$D,$H221)&amp;"")="n/a")),"Entry Mode; ","")&amp;IF(AND(INDEX('Game Records'!$U:$U,$H221)&lt;&gt;"Subscription",INDEX('Game Records'!$U:$U,$H221)&lt;&gt;"Free Game",INDEX('Game Records'!$U:$U,$H221)&lt;&gt;"Disqualified — Free Game",OR(INDEX('Game Records'!$E:$E,$H221)="",LOWER(INDEX('Game Records'!$E:$E,$H221)&amp;"")="n/a")),"Game Type; ","")&amp;IF(INDEX('Game Records'!$F:$F,$H221)="","Payment Type; ","")&amp;IF(AND(INDEX('Game Records'!$U:$U,$H221)&lt;&gt;"Subscription",INDEX('Game Records'!$U:$U,$H221)&lt;&gt;"Free Game",INDEX('Game Records'!$U:$U,$H221)&lt;&gt;"Disqualified — Free Game",INDEX('Game Records'!$G:$G,$H221)=""),"Gross Pot; ","")&amp;IF(AND(INDEX('Game Records'!$U:$U,$H221)&lt;&gt;"Free Game",INDEX('Game Records'!$U:$U,$H221)&lt;&gt;"Disqualified — Free Game",INDEX('Game Records'!$H:$H,$H221)=""),"Entry Fee; ","")&amp;IF(AND(INDEX('Game Records'!$U:$U,$H221)&lt;&gt;"Subscription",INDEX('Game Records'!$U:$U,$H221)&lt;&gt;"Free Game",INDEX('Game Records'!$U:$U,$H221)&lt;&gt;"Disqualified — Free Game",INDEX('Game Records'!$I:$I,$H221)=""),"Eligible Players; ","")&amp;IF(AND(INDEX('Game Records'!$U:$U,$H221)&lt;&gt;"Subscription",INDEX('Game Records'!$U:$U,$H221)&lt;&gt;"Free Game",INDEX('Game Records'!$U:$U,$H221)&lt;&gt;"Disqualified — Free Game",INDEX('Game Records'!$J:$J,$H221)=""),"Total Players; ","")&amp;IF(AND(LOWER(INDEX('Game Records'!$D:$D,$H221)&amp;"")="finalized",LOWER(INDEX('Game Records'!$L:$L,$H221)&amp;"")&lt;&gt;"yes",INDEX('Game Records'!$U:$U,$H221)&lt;&gt;"Subscription",INDEX('Game Records'!$U:$U,$H221)&lt;&gt;"Free Game",INDEX('Game Records'!$U:$U,$H221)&lt;&gt;"Disqualified — Free Game",INDEX('Game Records'!$K:$K,$H221)=""),"Final Earned; ","")&amp;IF(AND(LOWER(INDEX('Game Records'!$D:$D,$H221)&amp;"")="finalized",INDEX('Game Records'!$U:$U,$H221)&lt;&gt;"Subscription",INDEX('Game Records'!$U:$U,$H221)&lt;&gt;"Free Game",INDEX('Game Records'!$U:$U,$H221)&lt;&gt;"Disqualified — Free Game",OR(INDEX('Game Records'!$L:$L,$H221)="",LOWER(INDEX('Game Records'!$L:$L,$H221)&amp;"")="n/a")),"Disqualified Status; ",""))</x:f>
        <x:v/>
      </x:c>
      <x:c r="G221" s="331" t="str">
        <x:f>IF($H221="","",IFERROR(INDEX('Game Records'!$M:$M,$H221),""))</x:f>
        <x:v/>
      </x:c>
      <x:c r="H221" s="104" t="str">
        <x:f>IF($H220="","",IFERROR(MATCH(1,INDEX((ROW('Game Records'!$U$5:$U$504)&gt;$H220)*(('Game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2" ht="24" customHeight="1">
      <x:c r="A222" s="332" t="str">
        <x:f>IF($H222="","",ROWS($A$5:A222))</x:f>
        <x:v/>
      </x:c>
      <x:c r="B222" s="332" t="str">
        <x:f>IF($H222="","","G-"&amp;TEXT($A222,"0000"))</x:f>
        <x:v/>
      </x:c>
      <x:c r="C222" s="331" t="str">
        <x:f>IF($H222="","",IFERROR(INDEX('Game Records'!$A:$A,$H222),""))</x:f>
        <x:v/>
      </x:c>
      <x:c r="D222" s="331" t="str">
        <x:f>IF($H222="","",IFERROR(INDEX('Game Records'!$U:$U,$H222),""))</x:f>
        <x:v/>
      </x:c>
      <x:c r="E222" s="331" t="str">
        <x:f>IF($H222="","",IF($F222="","No Highlighted Fields","Highlighted Fields Present"))</x:f>
        <x:v/>
      </x:c>
      <x:c r="F222" s="331" t="str">
        <x:f>IF($H222="","",IF(INDEX('Game Records'!$B:$B,$H222)="","Start Date; ","")&amp;IF(INDEX('Game Records'!$C:$C,$H222)="","End Date; ","")&amp;IF(AND(INDEX('Game Records'!$U:$U,$H222)&lt;&gt;"Subscription",INDEX('Game Records'!$U:$U,$H222)&lt;&gt;"Free Game",INDEX('Game Records'!$U:$U,$H222)&lt;&gt;"Disqualified — Free Game",OR(INDEX('Game Records'!$D:$D,$H222)="",LOWER(INDEX('Game Records'!$D:$D,$H222)&amp;"")="n/a")),"Entry Mode; ","")&amp;IF(AND(INDEX('Game Records'!$U:$U,$H222)&lt;&gt;"Subscription",INDEX('Game Records'!$U:$U,$H222)&lt;&gt;"Free Game",INDEX('Game Records'!$U:$U,$H222)&lt;&gt;"Disqualified — Free Game",OR(INDEX('Game Records'!$E:$E,$H222)="",LOWER(INDEX('Game Records'!$E:$E,$H222)&amp;"")="n/a")),"Game Type; ","")&amp;IF(INDEX('Game Records'!$F:$F,$H222)="","Payment Type; ","")&amp;IF(AND(INDEX('Game Records'!$U:$U,$H222)&lt;&gt;"Subscription",INDEX('Game Records'!$U:$U,$H222)&lt;&gt;"Free Game",INDEX('Game Records'!$U:$U,$H222)&lt;&gt;"Disqualified — Free Game",INDEX('Game Records'!$G:$G,$H222)=""),"Gross Pot; ","")&amp;IF(AND(INDEX('Game Records'!$U:$U,$H222)&lt;&gt;"Free Game",INDEX('Game Records'!$U:$U,$H222)&lt;&gt;"Disqualified — Free Game",INDEX('Game Records'!$H:$H,$H222)=""),"Entry Fee; ","")&amp;IF(AND(INDEX('Game Records'!$U:$U,$H222)&lt;&gt;"Subscription",INDEX('Game Records'!$U:$U,$H222)&lt;&gt;"Free Game",INDEX('Game Records'!$U:$U,$H222)&lt;&gt;"Disqualified — Free Game",INDEX('Game Records'!$I:$I,$H222)=""),"Eligible Players; ","")&amp;IF(AND(INDEX('Game Records'!$U:$U,$H222)&lt;&gt;"Subscription",INDEX('Game Records'!$U:$U,$H222)&lt;&gt;"Free Game",INDEX('Game Records'!$U:$U,$H222)&lt;&gt;"Disqualified — Free Game",INDEX('Game Records'!$J:$J,$H222)=""),"Total Players; ","")&amp;IF(AND(LOWER(INDEX('Game Records'!$D:$D,$H222)&amp;"")="finalized",LOWER(INDEX('Game Records'!$L:$L,$H222)&amp;"")&lt;&gt;"yes",INDEX('Game Records'!$U:$U,$H222)&lt;&gt;"Subscription",INDEX('Game Records'!$U:$U,$H222)&lt;&gt;"Free Game",INDEX('Game Records'!$U:$U,$H222)&lt;&gt;"Disqualified — Free Game",INDEX('Game Records'!$K:$K,$H222)=""),"Final Earned; ","")&amp;IF(AND(LOWER(INDEX('Game Records'!$D:$D,$H222)&amp;"")="finalized",INDEX('Game Records'!$U:$U,$H222)&lt;&gt;"Subscription",INDEX('Game Records'!$U:$U,$H222)&lt;&gt;"Free Game",INDEX('Game Records'!$U:$U,$H222)&lt;&gt;"Disqualified — Free Game",OR(INDEX('Game Records'!$L:$L,$H222)="",LOWER(INDEX('Game Records'!$L:$L,$H222)&amp;"")="n/a")),"Disqualified Status; ",""))</x:f>
        <x:v/>
      </x:c>
      <x:c r="G222" s="331" t="str">
        <x:f>IF($H222="","",IFERROR(INDEX('Game Records'!$M:$M,$H222),""))</x:f>
        <x:v/>
      </x:c>
      <x:c r="H222" s="104" t="str">
        <x:f>IF($H221="","",IFERROR(MATCH(1,INDEX((ROW('Game Records'!$U$5:$U$504)&gt;$H221)*(('Game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3" ht="24" customHeight="1">
      <x:c r="A223" s="332" t="str">
        <x:f>IF($H223="","",ROWS($A$5:A223))</x:f>
        <x:v/>
      </x:c>
      <x:c r="B223" s="332" t="str">
        <x:f>IF($H223="","","G-"&amp;TEXT($A223,"0000"))</x:f>
        <x:v/>
      </x:c>
      <x:c r="C223" s="331" t="str">
        <x:f>IF($H223="","",IFERROR(INDEX('Game Records'!$A:$A,$H223),""))</x:f>
        <x:v/>
      </x:c>
      <x:c r="D223" s="331" t="str">
        <x:f>IF($H223="","",IFERROR(INDEX('Game Records'!$U:$U,$H223),""))</x:f>
        <x:v/>
      </x:c>
      <x:c r="E223" s="331" t="str">
        <x:f>IF($H223="","",IF($F223="","No Highlighted Fields","Highlighted Fields Present"))</x:f>
        <x:v/>
      </x:c>
      <x:c r="F223" s="331" t="str">
        <x:f>IF($H223="","",IF(INDEX('Game Records'!$B:$B,$H223)="","Start Date; ","")&amp;IF(INDEX('Game Records'!$C:$C,$H223)="","End Date; ","")&amp;IF(AND(INDEX('Game Records'!$U:$U,$H223)&lt;&gt;"Subscription",INDEX('Game Records'!$U:$U,$H223)&lt;&gt;"Free Game",INDEX('Game Records'!$U:$U,$H223)&lt;&gt;"Disqualified — Free Game",OR(INDEX('Game Records'!$D:$D,$H223)="",LOWER(INDEX('Game Records'!$D:$D,$H223)&amp;"")="n/a")),"Entry Mode; ","")&amp;IF(AND(INDEX('Game Records'!$U:$U,$H223)&lt;&gt;"Subscription",INDEX('Game Records'!$U:$U,$H223)&lt;&gt;"Free Game",INDEX('Game Records'!$U:$U,$H223)&lt;&gt;"Disqualified — Free Game",OR(INDEX('Game Records'!$E:$E,$H223)="",LOWER(INDEX('Game Records'!$E:$E,$H223)&amp;"")="n/a")),"Game Type; ","")&amp;IF(INDEX('Game Records'!$F:$F,$H223)="","Payment Type; ","")&amp;IF(AND(INDEX('Game Records'!$U:$U,$H223)&lt;&gt;"Subscription",INDEX('Game Records'!$U:$U,$H223)&lt;&gt;"Free Game",INDEX('Game Records'!$U:$U,$H223)&lt;&gt;"Disqualified — Free Game",INDEX('Game Records'!$G:$G,$H223)=""),"Gross Pot; ","")&amp;IF(AND(INDEX('Game Records'!$U:$U,$H223)&lt;&gt;"Free Game",INDEX('Game Records'!$U:$U,$H223)&lt;&gt;"Disqualified — Free Game",INDEX('Game Records'!$H:$H,$H223)=""),"Entry Fee; ","")&amp;IF(AND(INDEX('Game Records'!$U:$U,$H223)&lt;&gt;"Subscription",INDEX('Game Records'!$U:$U,$H223)&lt;&gt;"Free Game",INDEX('Game Records'!$U:$U,$H223)&lt;&gt;"Disqualified — Free Game",INDEX('Game Records'!$I:$I,$H223)=""),"Eligible Players; ","")&amp;IF(AND(INDEX('Game Records'!$U:$U,$H223)&lt;&gt;"Subscription",INDEX('Game Records'!$U:$U,$H223)&lt;&gt;"Free Game",INDEX('Game Records'!$U:$U,$H223)&lt;&gt;"Disqualified — Free Game",INDEX('Game Records'!$J:$J,$H223)=""),"Total Players; ","")&amp;IF(AND(LOWER(INDEX('Game Records'!$D:$D,$H223)&amp;"")="finalized",LOWER(INDEX('Game Records'!$L:$L,$H223)&amp;"")&lt;&gt;"yes",INDEX('Game Records'!$U:$U,$H223)&lt;&gt;"Subscription",INDEX('Game Records'!$U:$U,$H223)&lt;&gt;"Free Game",INDEX('Game Records'!$U:$U,$H223)&lt;&gt;"Disqualified — Free Game",INDEX('Game Records'!$K:$K,$H223)=""),"Final Earned; ","")&amp;IF(AND(LOWER(INDEX('Game Records'!$D:$D,$H223)&amp;"")="finalized",INDEX('Game Records'!$U:$U,$H223)&lt;&gt;"Subscription",INDEX('Game Records'!$U:$U,$H223)&lt;&gt;"Free Game",INDEX('Game Records'!$U:$U,$H223)&lt;&gt;"Disqualified — Free Game",OR(INDEX('Game Records'!$L:$L,$H223)="",LOWER(INDEX('Game Records'!$L:$L,$H223)&amp;"")="n/a")),"Disqualified Status; ",""))</x:f>
        <x:v/>
      </x:c>
      <x:c r="G223" s="331" t="str">
        <x:f>IF($H223="","",IFERROR(INDEX('Game Records'!$M:$M,$H223),""))</x:f>
        <x:v/>
      </x:c>
      <x:c r="H223" s="104" t="str">
        <x:f>IF($H222="","",IFERROR(MATCH(1,INDEX((ROW('Game Records'!$U$5:$U$504)&gt;$H222)*(('Game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4" ht="24" customHeight="1">
      <x:c r="A224" s="332" t="str">
        <x:f>IF($H224="","",ROWS($A$5:A224))</x:f>
        <x:v/>
      </x:c>
      <x:c r="B224" s="332" t="str">
        <x:f>IF($H224="","","G-"&amp;TEXT($A224,"0000"))</x:f>
        <x:v/>
      </x:c>
      <x:c r="C224" s="331" t="str">
        <x:f>IF($H224="","",IFERROR(INDEX('Game Records'!$A:$A,$H224),""))</x:f>
        <x:v/>
      </x:c>
      <x:c r="D224" s="331" t="str">
        <x:f>IF($H224="","",IFERROR(INDEX('Game Records'!$U:$U,$H224),""))</x:f>
        <x:v/>
      </x:c>
      <x:c r="E224" s="331" t="str">
        <x:f>IF($H224="","",IF($F224="","No Highlighted Fields","Highlighted Fields Present"))</x:f>
        <x:v/>
      </x:c>
      <x:c r="F224" s="331" t="str">
        <x:f>IF($H224="","",IF(INDEX('Game Records'!$B:$B,$H224)="","Start Date; ","")&amp;IF(INDEX('Game Records'!$C:$C,$H224)="","End Date; ","")&amp;IF(AND(INDEX('Game Records'!$U:$U,$H224)&lt;&gt;"Subscription",INDEX('Game Records'!$U:$U,$H224)&lt;&gt;"Free Game",INDEX('Game Records'!$U:$U,$H224)&lt;&gt;"Disqualified — Free Game",OR(INDEX('Game Records'!$D:$D,$H224)="",LOWER(INDEX('Game Records'!$D:$D,$H224)&amp;"")="n/a")),"Entry Mode; ","")&amp;IF(AND(INDEX('Game Records'!$U:$U,$H224)&lt;&gt;"Subscription",INDEX('Game Records'!$U:$U,$H224)&lt;&gt;"Free Game",INDEX('Game Records'!$U:$U,$H224)&lt;&gt;"Disqualified — Free Game",OR(INDEX('Game Records'!$E:$E,$H224)="",LOWER(INDEX('Game Records'!$E:$E,$H224)&amp;"")="n/a")),"Game Type; ","")&amp;IF(INDEX('Game Records'!$F:$F,$H224)="","Payment Type; ","")&amp;IF(AND(INDEX('Game Records'!$U:$U,$H224)&lt;&gt;"Subscription",INDEX('Game Records'!$U:$U,$H224)&lt;&gt;"Free Game",INDEX('Game Records'!$U:$U,$H224)&lt;&gt;"Disqualified — Free Game",INDEX('Game Records'!$G:$G,$H224)=""),"Gross Pot; ","")&amp;IF(AND(INDEX('Game Records'!$U:$U,$H224)&lt;&gt;"Free Game",INDEX('Game Records'!$U:$U,$H224)&lt;&gt;"Disqualified — Free Game",INDEX('Game Records'!$H:$H,$H224)=""),"Entry Fee; ","")&amp;IF(AND(INDEX('Game Records'!$U:$U,$H224)&lt;&gt;"Subscription",INDEX('Game Records'!$U:$U,$H224)&lt;&gt;"Free Game",INDEX('Game Records'!$U:$U,$H224)&lt;&gt;"Disqualified — Free Game",INDEX('Game Records'!$I:$I,$H224)=""),"Eligible Players; ","")&amp;IF(AND(INDEX('Game Records'!$U:$U,$H224)&lt;&gt;"Subscription",INDEX('Game Records'!$U:$U,$H224)&lt;&gt;"Free Game",INDEX('Game Records'!$U:$U,$H224)&lt;&gt;"Disqualified — Free Game",INDEX('Game Records'!$J:$J,$H224)=""),"Total Players; ","")&amp;IF(AND(LOWER(INDEX('Game Records'!$D:$D,$H224)&amp;"")="finalized",LOWER(INDEX('Game Records'!$L:$L,$H224)&amp;"")&lt;&gt;"yes",INDEX('Game Records'!$U:$U,$H224)&lt;&gt;"Subscription",INDEX('Game Records'!$U:$U,$H224)&lt;&gt;"Free Game",INDEX('Game Records'!$U:$U,$H224)&lt;&gt;"Disqualified — Free Game",INDEX('Game Records'!$K:$K,$H224)=""),"Final Earned; ","")&amp;IF(AND(LOWER(INDEX('Game Records'!$D:$D,$H224)&amp;"")="finalized",INDEX('Game Records'!$U:$U,$H224)&lt;&gt;"Subscription",INDEX('Game Records'!$U:$U,$H224)&lt;&gt;"Free Game",INDEX('Game Records'!$U:$U,$H224)&lt;&gt;"Disqualified — Free Game",OR(INDEX('Game Records'!$L:$L,$H224)="",LOWER(INDEX('Game Records'!$L:$L,$H224)&amp;"")="n/a")),"Disqualified Status; ",""))</x:f>
        <x:v/>
      </x:c>
      <x:c r="G224" s="331" t="str">
        <x:f>IF($H224="","",IFERROR(INDEX('Game Records'!$M:$M,$H224),""))</x:f>
        <x:v/>
      </x:c>
      <x:c r="H224" s="104" t="str">
        <x:f>IF($H223="","",IFERROR(MATCH(1,INDEX((ROW('Game Records'!$U$5:$U$504)&gt;$H223)*(('Game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5" ht="24" customHeight="1">
      <x:c r="A225" s="332" t="str">
        <x:f>IF($H225="","",ROWS($A$5:A225))</x:f>
        <x:v/>
      </x:c>
      <x:c r="B225" s="332" t="str">
        <x:f>IF($H225="","","G-"&amp;TEXT($A225,"0000"))</x:f>
        <x:v/>
      </x:c>
      <x:c r="C225" s="331" t="str">
        <x:f>IF($H225="","",IFERROR(INDEX('Game Records'!$A:$A,$H225),""))</x:f>
        <x:v/>
      </x:c>
      <x:c r="D225" s="331" t="str">
        <x:f>IF($H225="","",IFERROR(INDEX('Game Records'!$U:$U,$H225),""))</x:f>
        <x:v/>
      </x:c>
      <x:c r="E225" s="331" t="str">
        <x:f>IF($H225="","",IF($F225="","No Highlighted Fields","Highlighted Fields Present"))</x:f>
        <x:v/>
      </x:c>
      <x:c r="F225" s="331" t="str">
        <x:f>IF($H225="","",IF(INDEX('Game Records'!$B:$B,$H225)="","Start Date; ","")&amp;IF(INDEX('Game Records'!$C:$C,$H225)="","End Date; ","")&amp;IF(AND(INDEX('Game Records'!$U:$U,$H225)&lt;&gt;"Subscription",INDEX('Game Records'!$U:$U,$H225)&lt;&gt;"Free Game",INDEX('Game Records'!$U:$U,$H225)&lt;&gt;"Disqualified — Free Game",OR(INDEX('Game Records'!$D:$D,$H225)="",LOWER(INDEX('Game Records'!$D:$D,$H225)&amp;"")="n/a")),"Entry Mode; ","")&amp;IF(AND(INDEX('Game Records'!$U:$U,$H225)&lt;&gt;"Subscription",INDEX('Game Records'!$U:$U,$H225)&lt;&gt;"Free Game",INDEX('Game Records'!$U:$U,$H225)&lt;&gt;"Disqualified — Free Game",OR(INDEX('Game Records'!$E:$E,$H225)="",LOWER(INDEX('Game Records'!$E:$E,$H225)&amp;"")="n/a")),"Game Type; ","")&amp;IF(INDEX('Game Records'!$F:$F,$H225)="","Payment Type; ","")&amp;IF(AND(INDEX('Game Records'!$U:$U,$H225)&lt;&gt;"Subscription",INDEX('Game Records'!$U:$U,$H225)&lt;&gt;"Free Game",INDEX('Game Records'!$U:$U,$H225)&lt;&gt;"Disqualified — Free Game",INDEX('Game Records'!$G:$G,$H225)=""),"Gross Pot; ","")&amp;IF(AND(INDEX('Game Records'!$U:$U,$H225)&lt;&gt;"Free Game",INDEX('Game Records'!$U:$U,$H225)&lt;&gt;"Disqualified — Free Game",INDEX('Game Records'!$H:$H,$H225)=""),"Entry Fee; ","")&amp;IF(AND(INDEX('Game Records'!$U:$U,$H225)&lt;&gt;"Subscription",INDEX('Game Records'!$U:$U,$H225)&lt;&gt;"Free Game",INDEX('Game Records'!$U:$U,$H225)&lt;&gt;"Disqualified — Free Game",INDEX('Game Records'!$I:$I,$H225)=""),"Eligible Players; ","")&amp;IF(AND(INDEX('Game Records'!$U:$U,$H225)&lt;&gt;"Subscription",INDEX('Game Records'!$U:$U,$H225)&lt;&gt;"Free Game",INDEX('Game Records'!$U:$U,$H225)&lt;&gt;"Disqualified — Free Game",INDEX('Game Records'!$J:$J,$H225)=""),"Total Players; ","")&amp;IF(AND(LOWER(INDEX('Game Records'!$D:$D,$H225)&amp;"")="finalized",LOWER(INDEX('Game Records'!$L:$L,$H225)&amp;"")&lt;&gt;"yes",INDEX('Game Records'!$U:$U,$H225)&lt;&gt;"Subscription",INDEX('Game Records'!$U:$U,$H225)&lt;&gt;"Free Game",INDEX('Game Records'!$U:$U,$H225)&lt;&gt;"Disqualified — Free Game",INDEX('Game Records'!$K:$K,$H225)=""),"Final Earned; ","")&amp;IF(AND(LOWER(INDEX('Game Records'!$D:$D,$H225)&amp;"")="finalized",INDEX('Game Records'!$U:$U,$H225)&lt;&gt;"Subscription",INDEX('Game Records'!$U:$U,$H225)&lt;&gt;"Free Game",INDEX('Game Records'!$U:$U,$H225)&lt;&gt;"Disqualified — Free Game",OR(INDEX('Game Records'!$L:$L,$H225)="",LOWER(INDEX('Game Records'!$L:$L,$H225)&amp;"")="n/a")),"Disqualified Status; ",""))</x:f>
        <x:v/>
      </x:c>
      <x:c r="G225" s="331" t="str">
        <x:f>IF($H225="","",IFERROR(INDEX('Game Records'!$M:$M,$H225),""))</x:f>
        <x:v/>
      </x:c>
      <x:c r="H225" s="104" t="str">
        <x:f>IF($H224="","",IFERROR(MATCH(1,INDEX((ROW('Game Records'!$U$5:$U$504)&gt;$H224)*(('Game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6" ht="24" customHeight="1">
      <x:c r="A226" s="332" t="str">
        <x:f>IF($H226="","",ROWS($A$5:A226))</x:f>
        <x:v/>
      </x:c>
      <x:c r="B226" s="332" t="str">
        <x:f>IF($H226="","","G-"&amp;TEXT($A226,"0000"))</x:f>
        <x:v/>
      </x:c>
      <x:c r="C226" s="331" t="str">
        <x:f>IF($H226="","",IFERROR(INDEX('Game Records'!$A:$A,$H226),""))</x:f>
        <x:v/>
      </x:c>
      <x:c r="D226" s="331" t="str">
        <x:f>IF($H226="","",IFERROR(INDEX('Game Records'!$U:$U,$H226),""))</x:f>
        <x:v/>
      </x:c>
      <x:c r="E226" s="331" t="str">
        <x:f>IF($H226="","",IF($F226="","No Highlighted Fields","Highlighted Fields Present"))</x:f>
        <x:v/>
      </x:c>
      <x:c r="F226" s="331" t="str">
        <x:f>IF($H226="","",IF(INDEX('Game Records'!$B:$B,$H226)="","Start Date; ","")&amp;IF(INDEX('Game Records'!$C:$C,$H226)="","End Date; ","")&amp;IF(AND(INDEX('Game Records'!$U:$U,$H226)&lt;&gt;"Subscription",INDEX('Game Records'!$U:$U,$H226)&lt;&gt;"Free Game",INDEX('Game Records'!$U:$U,$H226)&lt;&gt;"Disqualified — Free Game",OR(INDEX('Game Records'!$D:$D,$H226)="",LOWER(INDEX('Game Records'!$D:$D,$H226)&amp;"")="n/a")),"Entry Mode; ","")&amp;IF(AND(INDEX('Game Records'!$U:$U,$H226)&lt;&gt;"Subscription",INDEX('Game Records'!$U:$U,$H226)&lt;&gt;"Free Game",INDEX('Game Records'!$U:$U,$H226)&lt;&gt;"Disqualified — Free Game",OR(INDEX('Game Records'!$E:$E,$H226)="",LOWER(INDEX('Game Records'!$E:$E,$H226)&amp;"")="n/a")),"Game Type; ","")&amp;IF(INDEX('Game Records'!$F:$F,$H226)="","Payment Type; ","")&amp;IF(AND(INDEX('Game Records'!$U:$U,$H226)&lt;&gt;"Subscription",INDEX('Game Records'!$U:$U,$H226)&lt;&gt;"Free Game",INDEX('Game Records'!$U:$U,$H226)&lt;&gt;"Disqualified — Free Game",INDEX('Game Records'!$G:$G,$H226)=""),"Gross Pot; ","")&amp;IF(AND(INDEX('Game Records'!$U:$U,$H226)&lt;&gt;"Free Game",INDEX('Game Records'!$U:$U,$H226)&lt;&gt;"Disqualified — Free Game",INDEX('Game Records'!$H:$H,$H226)=""),"Entry Fee; ","")&amp;IF(AND(INDEX('Game Records'!$U:$U,$H226)&lt;&gt;"Subscription",INDEX('Game Records'!$U:$U,$H226)&lt;&gt;"Free Game",INDEX('Game Records'!$U:$U,$H226)&lt;&gt;"Disqualified — Free Game",INDEX('Game Records'!$I:$I,$H226)=""),"Eligible Players; ","")&amp;IF(AND(INDEX('Game Records'!$U:$U,$H226)&lt;&gt;"Subscription",INDEX('Game Records'!$U:$U,$H226)&lt;&gt;"Free Game",INDEX('Game Records'!$U:$U,$H226)&lt;&gt;"Disqualified — Free Game",INDEX('Game Records'!$J:$J,$H226)=""),"Total Players; ","")&amp;IF(AND(LOWER(INDEX('Game Records'!$D:$D,$H226)&amp;"")="finalized",LOWER(INDEX('Game Records'!$L:$L,$H226)&amp;"")&lt;&gt;"yes",INDEX('Game Records'!$U:$U,$H226)&lt;&gt;"Subscription",INDEX('Game Records'!$U:$U,$H226)&lt;&gt;"Free Game",INDEX('Game Records'!$U:$U,$H226)&lt;&gt;"Disqualified — Free Game",INDEX('Game Records'!$K:$K,$H226)=""),"Final Earned; ","")&amp;IF(AND(LOWER(INDEX('Game Records'!$D:$D,$H226)&amp;"")="finalized",INDEX('Game Records'!$U:$U,$H226)&lt;&gt;"Subscription",INDEX('Game Records'!$U:$U,$H226)&lt;&gt;"Free Game",INDEX('Game Records'!$U:$U,$H226)&lt;&gt;"Disqualified — Free Game",OR(INDEX('Game Records'!$L:$L,$H226)="",LOWER(INDEX('Game Records'!$L:$L,$H226)&amp;"")="n/a")),"Disqualified Status; ",""))</x:f>
        <x:v/>
      </x:c>
      <x:c r="G226" s="331" t="str">
        <x:f>IF($H226="","",IFERROR(INDEX('Game Records'!$M:$M,$H226),""))</x:f>
        <x:v/>
      </x:c>
      <x:c r="H226" s="104" t="str">
        <x:f>IF($H225="","",IFERROR(MATCH(1,INDEX((ROW('Game Records'!$U$5:$U$504)&gt;$H225)*(('Game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7" ht="24" customHeight="1">
      <x:c r="A227" s="332" t="str">
        <x:f>IF($H227="","",ROWS($A$5:A227))</x:f>
        <x:v/>
      </x:c>
      <x:c r="B227" s="332" t="str">
        <x:f>IF($H227="","","G-"&amp;TEXT($A227,"0000"))</x:f>
        <x:v/>
      </x:c>
      <x:c r="C227" s="331" t="str">
        <x:f>IF($H227="","",IFERROR(INDEX('Game Records'!$A:$A,$H227),""))</x:f>
        <x:v/>
      </x:c>
      <x:c r="D227" s="331" t="str">
        <x:f>IF($H227="","",IFERROR(INDEX('Game Records'!$U:$U,$H227),""))</x:f>
        <x:v/>
      </x:c>
      <x:c r="E227" s="331" t="str">
        <x:f>IF($H227="","",IF($F227="","No Highlighted Fields","Highlighted Fields Present"))</x:f>
        <x:v/>
      </x:c>
      <x:c r="F227" s="331" t="str">
        <x:f>IF($H227="","",IF(INDEX('Game Records'!$B:$B,$H227)="","Start Date; ","")&amp;IF(INDEX('Game Records'!$C:$C,$H227)="","End Date; ","")&amp;IF(AND(INDEX('Game Records'!$U:$U,$H227)&lt;&gt;"Subscription",INDEX('Game Records'!$U:$U,$H227)&lt;&gt;"Free Game",INDEX('Game Records'!$U:$U,$H227)&lt;&gt;"Disqualified — Free Game",OR(INDEX('Game Records'!$D:$D,$H227)="",LOWER(INDEX('Game Records'!$D:$D,$H227)&amp;"")="n/a")),"Entry Mode; ","")&amp;IF(AND(INDEX('Game Records'!$U:$U,$H227)&lt;&gt;"Subscription",INDEX('Game Records'!$U:$U,$H227)&lt;&gt;"Free Game",INDEX('Game Records'!$U:$U,$H227)&lt;&gt;"Disqualified — Free Game",OR(INDEX('Game Records'!$E:$E,$H227)="",LOWER(INDEX('Game Records'!$E:$E,$H227)&amp;"")="n/a")),"Game Type; ","")&amp;IF(INDEX('Game Records'!$F:$F,$H227)="","Payment Type; ","")&amp;IF(AND(INDEX('Game Records'!$U:$U,$H227)&lt;&gt;"Subscription",INDEX('Game Records'!$U:$U,$H227)&lt;&gt;"Free Game",INDEX('Game Records'!$U:$U,$H227)&lt;&gt;"Disqualified — Free Game",INDEX('Game Records'!$G:$G,$H227)=""),"Gross Pot; ","")&amp;IF(AND(INDEX('Game Records'!$U:$U,$H227)&lt;&gt;"Free Game",INDEX('Game Records'!$U:$U,$H227)&lt;&gt;"Disqualified — Free Game",INDEX('Game Records'!$H:$H,$H227)=""),"Entry Fee; ","")&amp;IF(AND(INDEX('Game Records'!$U:$U,$H227)&lt;&gt;"Subscription",INDEX('Game Records'!$U:$U,$H227)&lt;&gt;"Free Game",INDEX('Game Records'!$U:$U,$H227)&lt;&gt;"Disqualified — Free Game",INDEX('Game Records'!$I:$I,$H227)=""),"Eligible Players; ","")&amp;IF(AND(INDEX('Game Records'!$U:$U,$H227)&lt;&gt;"Subscription",INDEX('Game Records'!$U:$U,$H227)&lt;&gt;"Free Game",INDEX('Game Records'!$U:$U,$H227)&lt;&gt;"Disqualified — Free Game",INDEX('Game Records'!$J:$J,$H227)=""),"Total Players; ","")&amp;IF(AND(LOWER(INDEX('Game Records'!$D:$D,$H227)&amp;"")="finalized",LOWER(INDEX('Game Records'!$L:$L,$H227)&amp;"")&lt;&gt;"yes",INDEX('Game Records'!$U:$U,$H227)&lt;&gt;"Subscription",INDEX('Game Records'!$U:$U,$H227)&lt;&gt;"Free Game",INDEX('Game Records'!$U:$U,$H227)&lt;&gt;"Disqualified — Free Game",INDEX('Game Records'!$K:$K,$H227)=""),"Final Earned; ","")&amp;IF(AND(LOWER(INDEX('Game Records'!$D:$D,$H227)&amp;"")="finalized",INDEX('Game Records'!$U:$U,$H227)&lt;&gt;"Subscription",INDEX('Game Records'!$U:$U,$H227)&lt;&gt;"Free Game",INDEX('Game Records'!$U:$U,$H227)&lt;&gt;"Disqualified — Free Game",OR(INDEX('Game Records'!$L:$L,$H227)="",LOWER(INDEX('Game Records'!$L:$L,$H227)&amp;"")="n/a")),"Disqualified Status; ",""))</x:f>
        <x:v/>
      </x:c>
      <x:c r="G227" s="331" t="str">
        <x:f>IF($H227="","",IFERROR(INDEX('Game Records'!$M:$M,$H227),""))</x:f>
        <x:v/>
      </x:c>
      <x:c r="H227" s="104" t="str">
        <x:f>IF($H226="","",IFERROR(MATCH(1,INDEX((ROW('Game Records'!$U$5:$U$504)&gt;$H226)*(('Game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8" ht="24" customHeight="1">
      <x:c r="A228" s="332" t="str">
        <x:f>IF($H228="","",ROWS($A$5:A228))</x:f>
        <x:v/>
      </x:c>
      <x:c r="B228" s="332" t="str">
        <x:f>IF($H228="","","G-"&amp;TEXT($A228,"0000"))</x:f>
        <x:v/>
      </x:c>
      <x:c r="C228" s="331" t="str">
        <x:f>IF($H228="","",IFERROR(INDEX('Game Records'!$A:$A,$H228),""))</x:f>
        <x:v/>
      </x:c>
      <x:c r="D228" s="331" t="str">
        <x:f>IF($H228="","",IFERROR(INDEX('Game Records'!$U:$U,$H228),""))</x:f>
        <x:v/>
      </x:c>
      <x:c r="E228" s="331" t="str">
        <x:f>IF($H228="","",IF($F228="","No Highlighted Fields","Highlighted Fields Present"))</x:f>
        <x:v/>
      </x:c>
      <x:c r="F228" s="331" t="str">
        <x:f>IF($H228="","",IF(INDEX('Game Records'!$B:$B,$H228)="","Start Date; ","")&amp;IF(INDEX('Game Records'!$C:$C,$H228)="","End Date; ","")&amp;IF(AND(INDEX('Game Records'!$U:$U,$H228)&lt;&gt;"Subscription",INDEX('Game Records'!$U:$U,$H228)&lt;&gt;"Free Game",INDEX('Game Records'!$U:$U,$H228)&lt;&gt;"Disqualified — Free Game",OR(INDEX('Game Records'!$D:$D,$H228)="",LOWER(INDEX('Game Records'!$D:$D,$H228)&amp;"")="n/a")),"Entry Mode; ","")&amp;IF(AND(INDEX('Game Records'!$U:$U,$H228)&lt;&gt;"Subscription",INDEX('Game Records'!$U:$U,$H228)&lt;&gt;"Free Game",INDEX('Game Records'!$U:$U,$H228)&lt;&gt;"Disqualified — Free Game",OR(INDEX('Game Records'!$E:$E,$H228)="",LOWER(INDEX('Game Records'!$E:$E,$H228)&amp;"")="n/a")),"Game Type; ","")&amp;IF(INDEX('Game Records'!$F:$F,$H228)="","Payment Type; ","")&amp;IF(AND(INDEX('Game Records'!$U:$U,$H228)&lt;&gt;"Subscription",INDEX('Game Records'!$U:$U,$H228)&lt;&gt;"Free Game",INDEX('Game Records'!$U:$U,$H228)&lt;&gt;"Disqualified — Free Game",INDEX('Game Records'!$G:$G,$H228)=""),"Gross Pot; ","")&amp;IF(AND(INDEX('Game Records'!$U:$U,$H228)&lt;&gt;"Free Game",INDEX('Game Records'!$U:$U,$H228)&lt;&gt;"Disqualified — Free Game",INDEX('Game Records'!$H:$H,$H228)=""),"Entry Fee; ","")&amp;IF(AND(INDEX('Game Records'!$U:$U,$H228)&lt;&gt;"Subscription",INDEX('Game Records'!$U:$U,$H228)&lt;&gt;"Free Game",INDEX('Game Records'!$U:$U,$H228)&lt;&gt;"Disqualified — Free Game",INDEX('Game Records'!$I:$I,$H228)=""),"Eligible Players; ","")&amp;IF(AND(INDEX('Game Records'!$U:$U,$H228)&lt;&gt;"Subscription",INDEX('Game Records'!$U:$U,$H228)&lt;&gt;"Free Game",INDEX('Game Records'!$U:$U,$H228)&lt;&gt;"Disqualified — Free Game",INDEX('Game Records'!$J:$J,$H228)=""),"Total Players; ","")&amp;IF(AND(LOWER(INDEX('Game Records'!$D:$D,$H228)&amp;"")="finalized",LOWER(INDEX('Game Records'!$L:$L,$H228)&amp;"")&lt;&gt;"yes",INDEX('Game Records'!$U:$U,$H228)&lt;&gt;"Subscription",INDEX('Game Records'!$U:$U,$H228)&lt;&gt;"Free Game",INDEX('Game Records'!$U:$U,$H228)&lt;&gt;"Disqualified — Free Game",INDEX('Game Records'!$K:$K,$H228)=""),"Final Earned; ","")&amp;IF(AND(LOWER(INDEX('Game Records'!$D:$D,$H228)&amp;"")="finalized",INDEX('Game Records'!$U:$U,$H228)&lt;&gt;"Subscription",INDEX('Game Records'!$U:$U,$H228)&lt;&gt;"Free Game",INDEX('Game Records'!$U:$U,$H228)&lt;&gt;"Disqualified — Free Game",OR(INDEX('Game Records'!$L:$L,$H228)="",LOWER(INDEX('Game Records'!$L:$L,$H228)&amp;"")="n/a")),"Disqualified Status; ",""))</x:f>
        <x:v/>
      </x:c>
      <x:c r="G228" s="331" t="str">
        <x:f>IF($H228="","",IFERROR(INDEX('Game Records'!$M:$M,$H228),""))</x:f>
        <x:v/>
      </x:c>
      <x:c r="H228" s="104" t="str">
        <x:f>IF($H227="","",IFERROR(MATCH(1,INDEX((ROW('Game Records'!$U$5:$U$504)&gt;$H227)*(('Game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29" ht="24" customHeight="1">
      <x:c r="A229" s="332" t="str">
        <x:f>IF($H229="","",ROWS($A$5:A229))</x:f>
        <x:v/>
      </x:c>
      <x:c r="B229" s="332" t="str">
        <x:f>IF($H229="","","G-"&amp;TEXT($A229,"0000"))</x:f>
        <x:v/>
      </x:c>
      <x:c r="C229" s="331" t="str">
        <x:f>IF($H229="","",IFERROR(INDEX('Game Records'!$A:$A,$H229),""))</x:f>
        <x:v/>
      </x:c>
      <x:c r="D229" s="331" t="str">
        <x:f>IF($H229="","",IFERROR(INDEX('Game Records'!$U:$U,$H229),""))</x:f>
        <x:v/>
      </x:c>
      <x:c r="E229" s="331" t="str">
        <x:f>IF($H229="","",IF($F229="","No Highlighted Fields","Highlighted Fields Present"))</x:f>
        <x:v/>
      </x:c>
      <x:c r="F229" s="331" t="str">
        <x:f>IF($H229="","",IF(INDEX('Game Records'!$B:$B,$H229)="","Start Date; ","")&amp;IF(INDEX('Game Records'!$C:$C,$H229)="","End Date; ","")&amp;IF(AND(INDEX('Game Records'!$U:$U,$H229)&lt;&gt;"Subscription",INDEX('Game Records'!$U:$U,$H229)&lt;&gt;"Free Game",INDEX('Game Records'!$U:$U,$H229)&lt;&gt;"Disqualified — Free Game",OR(INDEX('Game Records'!$D:$D,$H229)="",LOWER(INDEX('Game Records'!$D:$D,$H229)&amp;"")="n/a")),"Entry Mode; ","")&amp;IF(AND(INDEX('Game Records'!$U:$U,$H229)&lt;&gt;"Subscription",INDEX('Game Records'!$U:$U,$H229)&lt;&gt;"Free Game",INDEX('Game Records'!$U:$U,$H229)&lt;&gt;"Disqualified — Free Game",OR(INDEX('Game Records'!$E:$E,$H229)="",LOWER(INDEX('Game Records'!$E:$E,$H229)&amp;"")="n/a")),"Game Type; ","")&amp;IF(INDEX('Game Records'!$F:$F,$H229)="","Payment Type; ","")&amp;IF(AND(INDEX('Game Records'!$U:$U,$H229)&lt;&gt;"Subscription",INDEX('Game Records'!$U:$U,$H229)&lt;&gt;"Free Game",INDEX('Game Records'!$U:$U,$H229)&lt;&gt;"Disqualified — Free Game",INDEX('Game Records'!$G:$G,$H229)=""),"Gross Pot; ","")&amp;IF(AND(INDEX('Game Records'!$U:$U,$H229)&lt;&gt;"Free Game",INDEX('Game Records'!$U:$U,$H229)&lt;&gt;"Disqualified — Free Game",INDEX('Game Records'!$H:$H,$H229)=""),"Entry Fee; ","")&amp;IF(AND(INDEX('Game Records'!$U:$U,$H229)&lt;&gt;"Subscription",INDEX('Game Records'!$U:$U,$H229)&lt;&gt;"Free Game",INDEX('Game Records'!$U:$U,$H229)&lt;&gt;"Disqualified — Free Game",INDEX('Game Records'!$I:$I,$H229)=""),"Eligible Players; ","")&amp;IF(AND(INDEX('Game Records'!$U:$U,$H229)&lt;&gt;"Subscription",INDEX('Game Records'!$U:$U,$H229)&lt;&gt;"Free Game",INDEX('Game Records'!$U:$U,$H229)&lt;&gt;"Disqualified — Free Game",INDEX('Game Records'!$J:$J,$H229)=""),"Total Players; ","")&amp;IF(AND(LOWER(INDEX('Game Records'!$D:$D,$H229)&amp;"")="finalized",LOWER(INDEX('Game Records'!$L:$L,$H229)&amp;"")&lt;&gt;"yes",INDEX('Game Records'!$U:$U,$H229)&lt;&gt;"Subscription",INDEX('Game Records'!$U:$U,$H229)&lt;&gt;"Free Game",INDEX('Game Records'!$U:$U,$H229)&lt;&gt;"Disqualified — Free Game",INDEX('Game Records'!$K:$K,$H229)=""),"Final Earned; ","")&amp;IF(AND(LOWER(INDEX('Game Records'!$D:$D,$H229)&amp;"")="finalized",INDEX('Game Records'!$U:$U,$H229)&lt;&gt;"Subscription",INDEX('Game Records'!$U:$U,$H229)&lt;&gt;"Free Game",INDEX('Game Records'!$U:$U,$H229)&lt;&gt;"Disqualified — Free Game",OR(INDEX('Game Records'!$L:$L,$H229)="",LOWER(INDEX('Game Records'!$L:$L,$H229)&amp;"")="n/a")),"Disqualified Status; ",""))</x:f>
        <x:v/>
      </x:c>
      <x:c r="G229" s="331" t="str">
        <x:f>IF($H229="","",IFERROR(INDEX('Game Records'!$M:$M,$H229),""))</x:f>
        <x:v/>
      </x:c>
      <x:c r="H229" s="104" t="str">
        <x:f>IF($H228="","",IFERROR(MATCH(1,INDEX((ROW('Game Records'!$U$5:$U$504)&gt;$H228)*(('Game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0" ht="24" customHeight="1">
      <x:c r="A230" s="332" t="str">
        <x:f>IF($H230="","",ROWS($A$5:A230))</x:f>
        <x:v/>
      </x:c>
      <x:c r="B230" s="332" t="str">
        <x:f>IF($H230="","","G-"&amp;TEXT($A230,"0000"))</x:f>
        <x:v/>
      </x:c>
      <x:c r="C230" s="331" t="str">
        <x:f>IF($H230="","",IFERROR(INDEX('Game Records'!$A:$A,$H230),""))</x:f>
        <x:v/>
      </x:c>
      <x:c r="D230" s="331" t="str">
        <x:f>IF($H230="","",IFERROR(INDEX('Game Records'!$U:$U,$H230),""))</x:f>
        <x:v/>
      </x:c>
      <x:c r="E230" s="331" t="str">
        <x:f>IF($H230="","",IF($F230="","No Highlighted Fields","Highlighted Fields Present"))</x:f>
        <x:v/>
      </x:c>
      <x:c r="F230" s="331" t="str">
        <x:f>IF($H230="","",IF(INDEX('Game Records'!$B:$B,$H230)="","Start Date; ","")&amp;IF(INDEX('Game Records'!$C:$C,$H230)="","End Date; ","")&amp;IF(AND(INDEX('Game Records'!$U:$U,$H230)&lt;&gt;"Subscription",INDEX('Game Records'!$U:$U,$H230)&lt;&gt;"Free Game",INDEX('Game Records'!$U:$U,$H230)&lt;&gt;"Disqualified — Free Game",OR(INDEX('Game Records'!$D:$D,$H230)="",LOWER(INDEX('Game Records'!$D:$D,$H230)&amp;"")="n/a")),"Entry Mode; ","")&amp;IF(AND(INDEX('Game Records'!$U:$U,$H230)&lt;&gt;"Subscription",INDEX('Game Records'!$U:$U,$H230)&lt;&gt;"Free Game",INDEX('Game Records'!$U:$U,$H230)&lt;&gt;"Disqualified — Free Game",OR(INDEX('Game Records'!$E:$E,$H230)="",LOWER(INDEX('Game Records'!$E:$E,$H230)&amp;"")="n/a")),"Game Type; ","")&amp;IF(INDEX('Game Records'!$F:$F,$H230)="","Payment Type; ","")&amp;IF(AND(INDEX('Game Records'!$U:$U,$H230)&lt;&gt;"Subscription",INDEX('Game Records'!$U:$U,$H230)&lt;&gt;"Free Game",INDEX('Game Records'!$U:$U,$H230)&lt;&gt;"Disqualified — Free Game",INDEX('Game Records'!$G:$G,$H230)=""),"Gross Pot; ","")&amp;IF(AND(INDEX('Game Records'!$U:$U,$H230)&lt;&gt;"Free Game",INDEX('Game Records'!$U:$U,$H230)&lt;&gt;"Disqualified — Free Game",INDEX('Game Records'!$H:$H,$H230)=""),"Entry Fee; ","")&amp;IF(AND(INDEX('Game Records'!$U:$U,$H230)&lt;&gt;"Subscription",INDEX('Game Records'!$U:$U,$H230)&lt;&gt;"Free Game",INDEX('Game Records'!$U:$U,$H230)&lt;&gt;"Disqualified — Free Game",INDEX('Game Records'!$I:$I,$H230)=""),"Eligible Players; ","")&amp;IF(AND(INDEX('Game Records'!$U:$U,$H230)&lt;&gt;"Subscription",INDEX('Game Records'!$U:$U,$H230)&lt;&gt;"Free Game",INDEX('Game Records'!$U:$U,$H230)&lt;&gt;"Disqualified — Free Game",INDEX('Game Records'!$J:$J,$H230)=""),"Total Players; ","")&amp;IF(AND(LOWER(INDEX('Game Records'!$D:$D,$H230)&amp;"")="finalized",LOWER(INDEX('Game Records'!$L:$L,$H230)&amp;"")&lt;&gt;"yes",INDEX('Game Records'!$U:$U,$H230)&lt;&gt;"Subscription",INDEX('Game Records'!$U:$U,$H230)&lt;&gt;"Free Game",INDEX('Game Records'!$U:$U,$H230)&lt;&gt;"Disqualified — Free Game",INDEX('Game Records'!$K:$K,$H230)=""),"Final Earned; ","")&amp;IF(AND(LOWER(INDEX('Game Records'!$D:$D,$H230)&amp;"")="finalized",INDEX('Game Records'!$U:$U,$H230)&lt;&gt;"Subscription",INDEX('Game Records'!$U:$U,$H230)&lt;&gt;"Free Game",INDEX('Game Records'!$U:$U,$H230)&lt;&gt;"Disqualified — Free Game",OR(INDEX('Game Records'!$L:$L,$H230)="",LOWER(INDEX('Game Records'!$L:$L,$H230)&amp;"")="n/a")),"Disqualified Status; ",""))</x:f>
        <x:v/>
      </x:c>
      <x:c r="G230" s="331" t="str">
        <x:f>IF($H230="","",IFERROR(INDEX('Game Records'!$M:$M,$H230),""))</x:f>
        <x:v/>
      </x:c>
      <x:c r="H230" s="104" t="str">
        <x:f>IF($H229="","",IFERROR(MATCH(1,INDEX((ROW('Game Records'!$U$5:$U$504)&gt;$H229)*(('Game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1" ht="24" customHeight="1">
      <x:c r="A231" s="332" t="str">
        <x:f>IF($H231="","",ROWS($A$5:A231))</x:f>
        <x:v/>
      </x:c>
      <x:c r="B231" s="332" t="str">
        <x:f>IF($H231="","","G-"&amp;TEXT($A231,"0000"))</x:f>
        <x:v/>
      </x:c>
      <x:c r="C231" s="331" t="str">
        <x:f>IF($H231="","",IFERROR(INDEX('Game Records'!$A:$A,$H231),""))</x:f>
        <x:v/>
      </x:c>
      <x:c r="D231" s="331" t="str">
        <x:f>IF($H231="","",IFERROR(INDEX('Game Records'!$U:$U,$H231),""))</x:f>
        <x:v/>
      </x:c>
      <x:c r="E231" s="331" t="str">
        <x:f>IF($H231="","",IF($F231="","No Highlighted Fields","Highlighted Fields Present"))</x:f>
        <x:v/>
      </x:c>
      <x:c r="F231" s="331" t="str">
        <x:f>IF($H231="","",IF(INDEX('Game Records'!$B:$B,$H231)="","Start Date; ","")&amp;IF(INDEX('Game Records'!$C:$C,$H231)="","End Date; ","")&amp;IF(AND(INDEX('Game Records'!$U:$U,$H231)&lt;&gt;"Subscription",INDEX('Game Records'!$U:$U,$H231)&lt;&gt;"Free Game",INDEX('Game Records'!$U:$U,$H231)&lt;&gt;"Disqualified — Free Game",OR(INDEX('Game Records'!$D:$D,$H231)="",LOWER(INDEX('Game Records'!$D:$D,$H231)&amp;"")="n/a")),"Entry Mode; ","")&amp;IF(AND(INDEX('Game Records'!$U:$U,$H231)&lt;&gt;"Subscription",INDEX('Game Records'!$U:$U,$H231)&lt;&gt;"Free Game",INDEX('Game Records'!$U:$U,$H231)&lt;&gt;"Disqualified — Free Game",OR(INDEX('Game Records'!$E:$E,$H231)="",LOWER(INDEX('Game Records'!$E:$E,$H231)&amp;"")="n/a")),"Game Type; ","")&amp;IF(INDEX('Game Records'!$F:$F,$H231)="","Payment Type; ","")&amp;IF(AND(INDEX('Game Records'!$U:$U,$H231)&lt;&gt;"Subscription",INDEX('Game Records'!$U:$U,$H231)&lt;&gt;"Free Game",INDEX('Game Records'!$U:$U,$H231)&lt;&gt;"Disqualified — Free Game",INDEX('Game Records'!$G:$G,$H231)=""),"Gross Pot; ","")&amp;IF(AND(INDEX('Game Records'!$U:$U,$H231)&lt;&gt;"Free Game",INDEX('Game Records'!$U:$U,$H231)&lt;&gt;"Disqualified — Free Game",INDEX('Game Records'!$H:$H,$H231)=""),"Entry Fee; ","")&amp;IF(AND(INDEX('Game Records'!$U:$U,$H231)&lt;&gt;"Subscription",INDEX('Game Records'!$U:$U,$H231)&lt;&gt;"Free Game",INDEX('Game Records'!$U:$U,$H231)&lt;&gt;"Disqualified — Free Game",INDEX('Game Records'!$I:$I,$H231)=""),"Eligible Players; ","")&amp;IF(AND(INDEX('Game Records'!$U:$U,$H231)&lt;&gt;"Subscription",INDEX('Game Records'!$U:$U,$H231)&lt;&gt;"Free Game",INDEX('Game Records'!$U:$U,$H231)&lt;&gt;"Disqualified — Free Game",INDEX('Game Records'!$J:$J,$H231)=""),"Total Players; ","")&amp;IF(AND(LOWER(INDEX('Game Records'!$D:$D,$H231)&amp;"")="finalized",LOWER(INDEX('Game Records'!$L:$L,$H231)&amp;"")&lt;&gt;"yes",INDEX('Game Records'!$U:$U,$H231)&lt;&gt;"Subscription",INDEX('Game Records'!$U:$U,$H231)&lt;&gt;"Free Game",INDEX('Game Records'!$U:$U,$H231)&lt;&gt;"Disqualified — Free Game",INDEX('Game Records'!$K:$K,$H231)=""),"Final Earned; ","")&amp;IF(AND(LOWER(INDEX('Game Records'!$D:$D,$H231)&amp;"")="finalized",INDEX('Game Records'!$U:$U,$H231)&lt;&gt;"Subscription",INDEX('Game Records'!$U:$U,$H231)&lt;&gt;"Free Game",INDEX('Game Records'!$U:$U,$H231)&lt;&gt;"Disqualified — Free Game",OR(INDEX('Game Records'!$L:$L,$H231)="",LOWER(INDEX('Game Records'!$L:$L,$H231)&amp;"")="n/a")),"Disqualified Status; ",""))</x:f>
        <x:v/>
      </x:c>
      <x:c r="G231" s="331" t="str">
        <x:f>IF($H231="","",IFERROR(INDEX('Game Records'!$M:$M,$H231),""))</x:f>
        <x:v/>
      </x:c>
      <x:c r="H231" s="104" t="str">
        <x:f>IF($H230="","",IFERROR(MATCH(1,INDEX((ROW('Game Records'!$U$5:$U$504)&gt;$H230)*(('Game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2" ht="24" customHeight="1">
      <x:c r="A232" s="332" t="str">
        <x:f>IF($H232="","",ROWS($A$5:A232))</x:f>
        <x:v/>
      </x:c>
      <x:c r="B232" s="332" t="str">
        <x:f>IF($H232="","","G-"&amp;TEXT($A232,"0000"))</x:f>
        <x:v/>
      </x:c>
      <x:c r="C232" s="331" t="str">
        <x:f>IF($H232="","",IFERROR(INDEX('Game Records'!$A:$A,$H232),""))</x:f>
        <x:v/>
      </x:c>
      <x:c r="D232" s="331" t="str">
        <x:f>IF($H232="","",IFERROR(INDEX('Game Records'!$U:$U,$H232),""))</x:f>
        <x:v/>
      </x:c>
      <x:c r="E232" s="331" t="str">
        <x:f>IF($H232="","",IF($F232="","No Highlighted Fields","Highlighted Fields Present"))</x:f>
        <x:v/>
      </x:c>
      <x:c r="F232" s="331" t="str">
        <x:f>IF($H232="","",IF(INDEX('Game Records'!$B:$B,$H232)="","Start Date; ","")&amp;IF(INDEX('Game Records'!$C:$C,$H232)="","End Date; ","")&amp;IF(AND(INDEX('Game Records'!$U:$U,$H232)&lt;&gt;"Subscription",INDEX('Game Records'!$U:$U,$H232)&lt;&gt;"Free Game",INDEX('Game Records'!$U:$U,$H232)&lt;&gt;"Disqualified — Free Game",OR(INDEX('Game Records'!$D:$D,$H232)="",LOWER(INDEX('Game Records'!$D:$D,$H232)&amp;"")="n/a")),"Entry Mode; ","")&amp;IF(AND(INDEX('Game Records'!$U:$U,$H232)&lt;&gt;"Subscription",INDEX('Game Records'!$U:$U,$H232)&lt;&gt;"Free Game",INDEX('Game Records'!$U:$U,$H232)&lt;&gt;"Disqualified — Free Game",OR(INDEX('Game Records'!$E:$E,$H232)="",LOWER(INDEX('Game Records'!$E:$E,$H232)&amp;"")="n/a")),"Game Type; ","")&amp;IF(INDEX('Game Records'!$F:$F,$H232)="","Payment Type; ","")&amp;IF(AND(INDEX('Game Records'!$U:$U,$H232)&lt;&gt;"Subscription",INDEX('Game Records'!$U:$U,$H232)&lt;&gt;"Free Game",INDEX('Game Records'!$U:$U,$H232)&lt;&gt;"Disqualified — Free Game",INDEX('Game Records'!$G:$G,$H232)=""),"Gross Pot; ","")&amp;IF(AND(INDEX('Game Records'!$U:$U,$H232)&lt;&gt;"Free Game",INDEX('Game Records'!$U:$U,$H232)&lt;&gt;"Disqualified — Free Game",INDEX('Game Records'!$H:$H,$H232)=""),"Entry Fee; ","")&amp;IF(AND(INDEX('Game Records'!$U:$U,$H232)&lt;&gt;"Subscription",INDEX('Game Records'!$U:$U,$H232)&lt;&gt;"Free Game",INDEX('Game Records'!$U:$U,$H232)&lt;&gt;"Disqualified — Free Game",INDEX('Game Records'!$I:$I,$H232)=""),"Eligible Players; ","")&amp;IF(AND(INDEX('Game Records'!$U:$U,$H232)&lt;&gt;"Subscription",INDEX('Game Records'!$U:$U,$H232)&lt;&gt;"Free Game",INDEX('Game Records'!$U:$U,$H232)&lt;&gt;"Disqualified — Free Game",INDEX('Game Records'!$J:$J,$H232)=""),"Total Players; ","")&amp;IF(AND(LOWER(INDEX('Game Records'!$D:$D,$H232)&amp;"")="finalized",LOWER(INDEX('Game Records'!$L:$L,$H232)&amp;"")&lt;&gt;"yes",INDEX('Game Records'!$U:$U,$H232)&lt;&gt;"Subscription",INDEX('Game Records'!$U:$U,$H232)&lt;&gt;"Free Game",INDEX('Game Records'!$U:$U,$H232)&lt;&gt;"Disqualified — Free Game",INDEX('Game Records'!$K:$K,$H232)=""),"Final Earned; ","")&amp;IF(AND(LOWER(INDEX('Game Records'!$D:$D,$H232)&amp;"")="finalized",INDEX('Game Records'!$U:$U,$H232)&lt;&gt;"Subscription",INDEX('Game Records'!$U:$U,$H232)&lt;&gt;"Free Game",INDEX('Game Records'!$U:$U,$H232)&lt;&gt;"Disqualified — Free Game",OR(INDEX('Game Records'!$L:$L,$H232)="",LOWER(INDEX('Game Records'!$L:$L,$H232)&amp;"")="n/a")),"Disqualified Status; ",""))</x:f>
        <x:v/>
      </x:c>
      <x:c r="G232" s="331" t="str">
        <x:f>IF($H232="","",IFERROR(INDEX('Game Records'!$M:$M,$H232),""))</x:f>
        <x:v/>
      </x:c>
      <x:c r="H232" s="104" t="str">
        <x:f>IF($H231="","",IFERROR(MATCH(1,INDEX((ROW('Game Records'!$U$5:$U$504)&gt;$H231)*(('Game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3" ht="24" customHeight="1">
      <x:c r="A233" s="332" t="str">
        <x:f>IF($H233="","",ROWS($A$5:A233))</x:f>
        <x:v/>
      </x:c>
      <x:c r="B233" s="332" t="str">
        <x:f>IF($H233="","","G-"&amp;TEXT($A233,"0000"))</x:f>
        <x:v/>
      </x:c>
      <x:c r="C233" s="331" t="str">
        <x:f>IF($H233="","",IFERROR(INDEX('Game Records'!$A:$A,$H233),""))</x:f>
        <x:v/>
      </x:c>
      <x:c r="D233" s="331" t="str">
        <x:f>IF($H233="","",IFERROR(INDEX('Game Records'!$U:$U,$H233),""))</x:f>
        <x:v/>
      </x:c>
      <x:c r="E233" s="331" t="str">
        <x:f>IF($H233="","",IF($F233="","No Highlighted Fields","Highlighted Fields Present"))</x:f>
        <x:v/>
      </x:c>
      <x:c r="F233" s="331" t="str">
        <x:f>IF($H233="","",IF(INDEX('Game Records'!$B:$B,$H233)="","Start Date; ","")&amp;IF(INDEX('Game Records'!$C:$C,$H233)="","End Date; ","")&amp;IF(AND(INDEX('Game Records'!$U:$U,$H233)&lt;&gt;"Subscription",INDEX('Game Records'!$U:$U,$H233)&lt;&gt;"Free Game",INDEX('Game Records'!$U:$U,$H233)&lt;&gt;"Disqualified — Free Game",OR(INDEX('Game Records'!$D:$D,$H233)="",LOWER(INDEX('Game Records'!$D:$D,$H233)&amp;"")="n/a")),"Entry Mode; ","")&amp;IF(AND(INDEX('Game Records'!$U:$U,$H233)&lt;&gt;"Subscription",INDEX('Game Records'!$U:$U,$H233)&lt;&gt;"Free Game",INDEX('Game Records'!$U:$U,$H233)&lt;&gt;"Disqualified — Free Game",OR(INDEX('Game Records'!$E:$E,$H233)="",LOWER(INDEX('Game Records'!$E:$E,$H233)&amp;"")="n/a")),"Game Type; ","")&amp;IF(INDEX('Game Records'!$F:$F,$H233)="","Payment Type; ","")&amp;IF(AND(INDEX('Game Records'!$U:$U,$H233)&lt;&gt;"Subscription",INDEX('Game Records'!$U:$U,$H233)&lt;&gt;"Free Game",INDEX('Game Records'!$U:$U,$H233)&lt;&gt;"Disqualified — Free Game",INDEX('Game Records'!$G:$G,$H233)=""),"Gross Pot; ","")&amp;IF(AND(INDEX('Game Records'!$U:$U,$H233)&lt;&gt;"Free Game",INDEX('Game Records'!$U:$U,$H233)&lt;&gt;"Disqualified — Free Game",INDEX('Game Records'!$H:$H,$H233)=""),"Entry Fee; ","")&amp;IF(AND(INDEX('Game Records'!$U:$U,$H233)&lt;&gt;"Subscription",INDEX('Game Records'!$U:$U,$H233)&lt;&gt;"Free Game",INDEX('Game Records'!$U:$U,$H233)&lt;&gt;"Disqualified — Free Game",INDEX('Game Records'!$I:$I,$H233)=""),"Eligible Players; ","")&amp;IF(AND(INDEX('Game Records'!$U:$U,$H233)&lt;&gt;"Subscription",INDEX('Game Records'!$U:$U,$H233)&lt;&gt;"Free Game",INDEX('Game Records'!$U:$U,$H233)&lt;&gt;"Disqualified — Free Game",INDEX('Game Records'!$J:$J,$H233)=""),"Total Players; ","")&amp;IF(AND(LOWER(INDEX('Game Records'!$D:$D,$H233)&amp;"")="finalized",LOWER(INDEX('Game Records'!$L:$L,$H233)&amp;"")&lt;&gt;"yes",INDEX('Game Records'!$U:$U,$H233)&lt;&gt;"Subscription",INDEX('Game Records'!$U:$U,$H233)&lt;&gt;"Free Game",INDEX('Game Records'!$U:$U,$H233)&lt;&gt;"Disqualified — Free Game",INDEX('Game Records'!$K:$K,$H233)=""),"Final Earned; ","")&amp;IF(AND(LOWER(INDEX('Game Records'!$D:$D,$H233)&amp;"")="finalized",INDEX('Game Records'!$U:$U,$H233)&lt;&gt;"Subscription",INDEX('Game Records'!$U:$U,$H233)&lt;&gt;"Free Game",INDEX('Game Records'!$U:$U,$H233)&lt;&gt;"Disqualified — Free Game",OR(INDEX('Game Records'!$L:$L,$H233)="",LOWER(INDEX('Game Records'!$L:$L,$H233)&amp;"")="n/a")),"Disqualified Status; ",""))</x:f>
        <x:v/>
      </x:c>
      <x:c r="G233" s="331" t="str">
        <x:f>IF($H233="","",IFERROR(INDEX('Game Records'!$M:$M,$H233),""))</x:f>
        <x:v/>
      </x:c>
      <x:c r="H233" s="104" t="str">
        <x:f>IF($H232="","",IFERROR(MATCH(1,INDEX((ROW('Game Records'!$U$5:$U$504)&gt;$H232)*(('Game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4" ht="24" customHeight="1">
      <x:c r="A234" s="332" t="str">
        <x:f>IF($H234="","",ROWS($A$5:A234))</x:f>
        <x:v/>
      </x:c>
      <x:c r="B234" s="332" t="str">
        <x:f>IF($H234="","","G-"&amp;TEXT($A234,"0000"))</x:f>
        <x:v/>
      </x:c>
      <x:c r="C234" s="331" t="str">
        <x:f>IF($H234="","",IFERROR(INDEX('Game Records'!$A:$A,$H234),""))</x:f>
        <x:v/>
      </x:c>
      <x:c r="D234" s="331" t="str">
        <x:f>IF($H234="","",IFERROR(INDEX('Game Records'!$U:$U,$H234),""))</x:f>
        <x:v/>
      </x:c>
      <x:c r="E234" s="331" t="str">
        <x:f>IF($H234="","",IF($F234="","No Highlighted Fields","Highlighted Fields Present"))</x:f>
        <x:v/>
      </x:c>
      <x:c r="F234" s="331" t="str">
        <x:f>IF($H234="","",IF(INDEX('Game Records'!$B:$B,$H234)="","Start Date; ","")&amp;IF(INDEX('Game Records'!$C:$C,$H234)="","End Date; ","")&amp;IF(AND(INDEX('Game Records'!$U:$U,$H234)&lt;&gt;"Subscription",INDEX('Game Records'!$U:$U,$H234)&lt;&gt;"Free Game",INDEX('Game Records'!$U:$U,$H234)&lt;&gt;"Disqualified — Free Game",OR(INDEX('Game Records'!$D:$D,$H234)="",LOWER(INDEX('Game Records'!$D:$D,$H234)&amp;"")="n/a")),"Entry Mode; ","")&amp;IF(AND(INDEX('Game Records'!$U:$U,$H234)&lt;&gt;"Subscription",INDEX('Game Records'!$U:$U,$H234)&lt;&gt;"Free Game",INDEX('Game Records'!$U:$U,$H234)&lt;&gt;"Disqualified — Free Game",OR(INDEX('Game Records'!$E:$E,$H234)="",LOWER(INDEX('Game Records'!$E:$E,$H234)&amp;"")="n/a")),"Game Type; ","")&amp;IF(INDEX('Game Records'!$F:$F,$H234)="","Payment Type; ","")&amp;IF(AND(INDEX('Game Records'!$U:$U,$H234)&lt;&gt;"Subscription",INDEX('Game Records'!$U:$U,$H234)&lt;&gt;"Free Game",INDEX('Game Records'!$U:$U,$H234)&lt;&gt;"Disqualified — Free Game",INDEX('Game Records'!$G:$G,$H234)=""),"Gross Pot; ","")&amp;IF(AND(INDEX('Game Records'!$U:$U,$H234)&lt;&gt;"Free Game",INDEX('Game Records'!$U:$U,$H234)&lt;&gt;"Disqualified — Free Game",INDEX('Game Records'!$H:$H,$H234)=""),"Entry Fee; ","")&amp;IF(AND(INDEX('Game Records'!$U:$U,$H234)&lt;&gt;"Subscription",INDEX('Game Records'!$U:$U,$H234)&lt;&gt;"Free Game",INDEX('Game Records'!$U:$U,$H234)&lt;&gt;"Disqualified — Free Game",INDEX('Game Records'!$I:$I,$H234)=""),"Eligible Players; ","")&amp;IF(AND(INDEX('Game Records'!$U:$U,$H234)&lt;&gt;"Subscription",INDEX('Game Records'!$U:$U,$H234)&lt;&gt;"Free Game",INDEX('Game Records'!$U:$U,$H234)&lt;&gt;"Disqualified — Free Game",INDEX('Game Records'!$J:$J,$H234)=""),"Total Players; ","")&amp;IF(AND(LOWER(INDEX('Game Records'!$D:$D,$H234)&amp;"")="finalized",LOWER(INDEX('Game Records'!$L:$L,$H234)&amp;"")&lt;&gt;"yes",INDEX('Game Records'!$U:$U,$H234)&lt;&gt;"Subscription",INDEX('Game Records'!$U:$U,$H234)&lt;&gt;"Free Game",INDEX('Game Records'!$U:$U,$H234)&lt;&gt;"Disqualified — Free Game",INDEX('Game Records'!$K:$K,$H234)=""),"Final Earned; ","")&amp;IF(AND(LOWER(INDEX('Game Records'!$D:$D,$H234)&amp;"")="finalized",INDEX('Game Records'!$U:$U,$H234)&lt;&gt;"Subscription",INDEX('Game Records'!$U:$U,$H234)&lt;&gt;"Free Game",INDEX('Game Records'!$U:$U,$H234)&lt;&gt;"Disqualified — Free Game",OR(INDEX('Game Records'!$L:$L,$H234)="",LOWER(INDEX('Game Records'!$L:$L,$H234)&amp;"")="n/a")),"Disqualified Status; ",""))</x:f>
        <x:v/>
      </x:c>
      <x:c r="G234" s="331" t="str">
        <x:f>IF($H234="","",IFERROR(INDEX('Game Records'!$M:$M,$H234),""))</x:f>
        <x:v/>
      </x:c>
      <x:c r="H234" s="104" t="str">
        <x:f>IF($H233="","",IFERROR(MATCH(1,INDEX((ROW('Game Records'!$U$5:$U$504)&gt;$H233)*(('Game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5" ht="24" customHeight="1">
      <x:c r="A235" s="332" t="str">
        <x:f>IF($H235="","",ROWS($A$5:A235))</x:f>
        <x:v/>
      </x:c>
      <x:c r="B235" s="332" t="str">
        <x:f>IF($H235="","","G-"&amp;TEXT($A235,"0000"))</x:f>
        <x:v/>
      </x:c>
      <x:c r="C235" s="331" t="str">
        <x:f>IF($H235="","",IFERROR(INDEX('Game Records'!$A:$A,$H235),""))</x:f>
        <x:v/>
      </x:c>
      <x:c r="D235" s="331" t="str">
        <x:f>IF($H235="","",IFERROR(INDEX('Game Records'!$U:$U,$H235),""))</x:f>
        <x:v/>
      </x:c>
      <x:c r="E235" s="331" t="str">
        <x:f>IF($H235="","",IF($F235="","No Highlighted Fields","Highlighted Fields Present"))</x:f>
        <x:v/>
      </x:c>
      <x:c r="F235" s="331" t="str">
        <x:f>IF($H235="","",IF(INDEX('Game Records'!$B:$B,$H235)="","Start Date; ","")&amp;IF(INDEX('Game Records'!$C:$C,$H235)="","End Date; ","")&amp;IF(AND(INDEX('Game Records'!$U:$U,$H235)&lt;&gt;"Subscription",INDEX('Game Records'!$U:$U,$H235)&lt;&gt;"Free Game",INDEX('Game Records'!$U:$U,$H235)&lt;&gt;"Disqualified — Free Game",OR(INDEX('Game Records'!$D:$D,$H235)="",LOWER(INDEX('Game Records'!$D:$D,$H235)&amp;"")="n/a")),"Entry Mode; ","")&amp;IF(AND(INDEX('Game Records'!$U:$U,$H235)&lt;&gt;"Subscription",INDEX('Game Records'!$U:$U,$H235)&lt;&gt;"Free Game",INDEX('Game Records'!$U:$U,$H235)&lt;&gt;"Disqualified — Free Game",OR(INDEX('Game Records'!$E:$E,$H235)="",LOWER(INDEX('Game Records'!$E:$E,$H235)&amp;"")="n/a")),"Game Type; ","")&amp;IF(INDEX('Game Records'!$F:$F,$H235)="","Payment Type; ","")&amp;IF(AND(INDEX('Game Records'!$U:$U,$H235)&lt;&gt;"Subscription",INDEX('Game Records'!$U:$U,$H235)&lt;&gt;"Free Game",INDEX('Game Records'!$U:$U,$H235)&lt;&gt;"Disqualified — Free Game",INDEX('Game Records'!$G:$G,$H235)=""),"Gross Pot; ","")&amp;IF(AND(INDEX('Game Records'!$U:$U,$H235)&lt;&gt;"Free Game",INDEX('Game Records'!$U:$U,$H235)&lt;&gt;"Disqualified — Free Game",INDEX('Game Records'!$H:$H,$H235)=""),"Entry Fee; ","")&amp;IF(AND(INDEX('Game Records'!$U:$U,$H235)&lt;&gt;"Subscription",INDEX('Game Records'!$U:$U,$H235)&lt;&gt;"Free Game",INDEX('Game Records'!$U:$U,$H235)&lt;&gt;"Disqualified — Free Game",INDEX('Game Records'!$I:$I,$H235)=""),"Eligible Players; ","")&amp;IF(AND(INDEX('Game Records'!$U:$U,$H235)&lt;&gt;"Subscription",INDEX('Game Records'!$U:$U,$H235)&lt;&gt;"Free Game",INDEX('Game Records'!$U:$U,$H235)&lt;&gt;"Disqualified — Free Game",INDEX('Game Records'!$J:$J,$H235)=""),"Total Players; ","")&amp;IF(AND(LOWER(INDEX('Game Records'!$D:$D,$H235)&amp;"")="finalized",LOWER(INDEX('Game Records'!$L:$L,$H235)&amp;"")&lt;&gt;"yes",INDEX('Game Records'!$U:$U,$H235)&lt;&gt;"Subscription",INDEX('Game Records'!$U:$U,$H235)&lt;&gt;"Free Game",INDEX('Game Records'!$U:$U,$H235)&lt;&gt;"Disqualified — Free Game",INDEX('Game Records'!$K:$K,$H235)=""),"Final Earned; ","")&amp;IF(AND(LOWER(INDEX('Game Records'!$D:$D,$H235)&amp;"")="finalized",INDEX('Game Records'!$U:$U,$H235)&lt;&gt;"Subscription",INDEX('Game Records'!$U:$U,$H235)&lt;&gt;"Free Game",INDEX('Game Records'!$U:$U,$H235)&lt;&gt;"Disqualified — Free Game",OR(INDEX('Game Records'!$L:$L,$H235)="",LOWER(INDEX('Game Records'!$L:$L,$H235)&amp;"")="n/a")),"Disqualified Status; ",""))</x:f>
        <x:v/>
      </x:c>
      <x:c r="G235" s="331" t="str">
        <x:f>IF($H235="","",IFERROR(INDEX('Game Records'!$M:$M,$H235),""))</x:f>
        <x:v/>
      </x:c>
      <x:c r="H235" s="104" t="str">
        <x:f>IF($H234="","",IFERROR(MATCH(1,INDEX((ROW('Game Records'!$U$5:$U$504)&gt;$H234)*(('Game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6" ht="24" customHeight="1">
      <x:c r="A236" s="332" t="str">
        <x:f>IF($H236="","",ROWS($A$5:A236))</x:f>
        <x:v/>
      </x:c>
      <x:c r="B236" s="332" t="str">
        <x:f>IF($H236="","","G-"&amp;TEXT($A236,"0000"))</x:f>
        <x:v/>
      </x:c>
      <x:c r="C236" s="331" t="str">
        <x:f>IF($H236="","",IFERROR(INDEX('Game Records'!$A:$A,$H236),""))</x:f>
        <x:v/>
      </x:c>
      <x:c r="D236" s="331" t="str">
        <x:f>IF($H236="","",IFERROR(INDEX('Game Records'!$U:$U,$H236),""))</x:f>
        <x:v/>
      </x:c>
      <x:c r="E236" s="331" t="str">
        <x:f>IF($H236="","",IF($F236="","No Highlighted Fields","Highlighted Fields Present"))</x:f>
        <x:v/>
      </x:c>
      <x:c r="F236" s="331" t="str">
        <x:f>IF($H236="","",IF(INDEX('Game Records'!$B:$B,$H236)="","Start Date; ","")&amp;IF(INDEX('Game Records'!$C:$C,$H236)="","End Date; ","")&amp;IF(AND(INDEX('Game Records'!$U:$U,$H236)&lt;&gt;"Subscription",INDEX('Game Records'!$U:$U,$H236)&lt;&gt;"Free Game",INDEX('Game Records'!$U:$U,$H236)&lt;&gt;"Disqualified — Free Game",OR(INDEX('Game Records'!$D:$D,$H236)="",LOWER(INDEX('Game Records'!$D:$D,$H236)&amp;"")="n/a")),"Entry Mode; ","")&amp;IF(AND(INDEX('Game Records'!$U:$U,$H236)&lt;&gt;"Subscription",INDEX('Game Records'!$U:$U,$H236)&lt;&gt;"Free Game",INDEX('Game Records'!$U:$U,$H236)&lt;&gt;"Disqualified — Free Game",OR(INDEX('Game Records'!$E:$E,$H236)="",LOWER(INDEX('Game Records'!$E:$E,$H236)&amp;"")="n/a")),"Game Type; ","")&amp;IF(INDEX('Game Records'!$F:$F,$H236)="","Payment Type; ","")&amp;IF(AND(INDEX('Game Records'!$U:$U,$H236)&lt;&gt;"Subscription",INDEX('Game Records'!$U:$U,$H236)&lt;&gt;"Free Game",INDEX('Game Records'!$U:$U,$H236)&lt;&gt;"Disqualified — Free Game",INDEX('Game Records'!$G:$G,$H236)=""),"Gross Pot; ","")&amp;IF(AND(INDEX('Game Records'!$U:$U,$H236)&lt;&gt;"Free Game",INDEX('Game Records'!$U:$U,$H236)&lt;&gt;"Disqualified — Free Game",INDEX('Game Records'!$H:$H,$H236)=""),"Entry Fee; ","")&amp;IF(AND(INDEX('Game Records'!$U:$U,$H236)&lt;&gt;"Subscription",INDEX('Game Records'!$U:$U,$H236)&lt;&gt;"Free Game",INDEX('Game Records'!$U:$U,$H236)&lt;&gt;"Disqualified — Free Game",INDEX('Game Records'!$I:$I,$H236)=""),"Eligible Players; ","")&amp;IF(AND(INDEX('Game Records'!$U:$U,$H236)&lt;&gt;"Subscription",INDEX('Game Records'!$U:$U,$H236)&lt;&gt;"Free Game",INDEX('Game Records'!$U:$U,$H236)&lt;&gt;"Disqualified — Free Game",INDEX('Game Records'!$J:$J,$H236)=""),"Total Players; ","")&amp;IF(AND(LOWER(INDEX('Game Records'!$D:$D,$H236)&amp;"")="finalized",LOWER(INDEX('Game Records'!$L:$L,$H236)&amp;"")&lt;&gt;"yes",INDEX('Game Records'!$U:$U,$H236)&lt;&gt;"Subscription",INDEX('Game Records'!$U:$U,$H236)&lt;&gt;"Free Game",INDEX('Game Records'!$U:$U,$H236)&lt;&gt;"Disqualified — Free Game",INDEX('Game Records'!$K:$K,$H236)=""),"Final Earned; ","")&amp;IF(AND(LOWER(INDEX('Game Records'!$D:$D,$H236)&amp;"")="finalized",INDEX('Game Records'!$U:$U,$H236)&lt;&gt;"Subscription",INDEX('Game Records'!$U:$U,$H236)&lt;&gt;"Free Game",INDEX('Game Records'!$U:$U,$H236)&lt;&gt;"Disqualified — Free Game",OR(INDEX('Game Records'!$L:$L,$H236)="",LOWER(INDEX('Game Records'!$L:$L,$H236)&amp;"")="n/a")),"Disqualified Status; ",""))</x:f>
        <x:v/>
      </x:c>
      <x:c r="G236" s="331" t="str">
        <x:f>IF($H236="","",IFERROR(INDEX('Game Records'!$M:$M,$H236),""))</x:f>
        <x:v/>
      </x:c>
      <x:c r="H236" s="104" t="str">
        <x:f>IF($H235="","",IFERROR(MATCH(1,INDEX((ROW('Game Records'!$U$5:$U$504)&gt;$H235)*(('Game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7" ht="24" customHeight="1">
      <x:c r="A237" s="332" t="str">
        <x:f>IF($H237="","",ROWS($A$5:A237))</x:f>
        <x:v/>
      </x:c>
      <x:c r="B237" s="332" t="str">
        <x:f>IF($H237="","","G-"&amp;TEXT($A237,"0000"))</x:f>
        <x:v/>
      </x:c>
      <x:c r="C237" s="331" t="str">
        <x:f>IF($H237="","",IFERROR(INDEX('Game Records'!$A:$A,$H237),""))</x:f>
        <x:v/>
      </x:c>
      <x:c r="D237" s="331" t="str">
        <x:f>IF($H237="","",IFERROR(INDEX('Game Records'!$U:$U,$H237),""))</x:f>
        <x:v/>
      </x:c>
      <x:c r="E237" s="331" t="str">
        <x:f>IF($H237="","",IF($F237="","No Highlighted Fields","Highlighted Fields Present"))</x:f>
        <x:v/>
      </x:c>
      <x:c r="F237" s="331" t="str">
        <x:f>IF($H237="","",IF(INDEX('Game Records'!$B:$B,$H237)="","Start Date; ","")&amp;IF(INDEX('Game Records'!$C:$C,$H237)="","End Date; ","")&amp;IF(AND(INDEX('Game Records'!$U:$U,$H237)&lt;&gt;"Subscription",INDEX('Game Records'!$U:$U,$H237)&lt;&gt;"Free Game",INDEX('Game Records'!$U:$U,$H237)&lt;&gt;"Disqualified — Free Game",OR(INDEX('Game Records'!$D:$D,$H237)="",LOWER(INDEX('Game Records'!$D:$D,$H237)&amp;"")="n/a")),"Entry Mode; ","")&amp;IF(AND(INDEX('Game Records'!$U:$U,$H237)&lt;&gt;"Subscription",INDEX('Game Records'!$U:$U,$H237)&lt;&gt;"Free Game",INDEX('Game Records'!$U:$U,$H237)&lt;&gt;"Disqualified — Free Game",OR(INDEX('Game Records'!$E:$E,$H237)="",LOWER(INDEX('Game Records'!$E:$E,$H237)&amp;"")="n/a")),"Game Type; ","")&amp;IF(INDEX('Game Records'!$F:$F,$H237)="","Payment Type; ","")&amp;IF(AND(INDEX('Game Records'!$U:$U,$H237)&lt;&gt;"Subscription",INDEX('Game Records'!$U:$U,$H237)&lt;&gt;"Free Game",INDEX('Game Records'!$U:$U,$H237)&lt;&gt;"Disqualified — Free Game",INDEX('Game Records'!$G:$G,$H237)=""),"Gross Pot; ","")&amp;IF(AND(INDEX('Game Records'!$U:$U,$H237)&lt;&gt;"Free Game",INDEX('Game Records'!$U:$U,$H237)&lt;&gt;"Disqualified — Free Game",INDEX('Game Records'!$H:$H,$H237)=""),"Entry Fee; ","")&amp;IF(AND(INDEX('Game Records'!$U:$U,$H237)&lt;&gt;"Subscription",INDEX('Game Records'!$U:$U,$H237)&lt;&gt;"Free Game",INDEX('Game Records'!$U:$U,$H237)&lt;&gt;"Disqualified — Free Game",INDEX('Game Records'!$I:$I,$H237)=""),"Eligible Players; ","")&amp;IF(AND(INDEX('Game Records'!$U:$U,$H237)&lt;&gt;"Subscription",INDEX('Game Records'!$U:$U,$H237)&lt;&gt;"Free Game",INDEX('Game Records'!$U:$U,$H237)&lt;&gt;"Disqualified — Free Game",INDEX('Game Records'!$J:$J,$H237)=""),"Total Players; ","")&amp;IF(AND(LOWER(INDEX('Game Records'!$D:$D,$H237)&amp;"")="finalized",LOWER(INDEX('Game Records'!$L:$L,$H237)&amp;"")&lt;&gt;"yes",INDEX('Game Records'!$U:$U,$H237)&lt;&gt;"Subscription",INDEX('Game Records'!$U:$U,$H237)&lt;&gt;"Free Game",INDEX('Game Records'!$U:$U,$H237)&lt;&gt;"Disqualified — Free Game",INDEX('Game Records'!$K:$K,$H237)=""),"Final Earned; ","")&amp;IF(AND(LOWER(INDEX('Game Records'!$D:$D,$H237)&amp;"")="finalized",INDEX('Game Records'!$U:$U,$H237)&lt;&gt;"Subscription",INDEX('Game Records'!$U:$U,$H237)&lt;&gt;"Free Game",INDEX('Game Records'!$U:$U,$H237)&lt;&gt;"Disqualified — Free Game",OR(INDEX('Game Records'!$L:$L,$H237)="",LOWER(INDEX('Game Records'!$L:$L,$H237)&amp;"")="n/a")),"Disqualified Status; ",""))</x:f>
        <x:v/>
      </x:c>
      <x:c r="G237" s="331" t="str">
        <x:f>IF($H237="","",IFERROR(INDEX('Game Records'!$M:$M,$H237),""))</x:f>
        <x:v/>
      </x:c>
      <x:c r="H237" s="104" t="str">
        <x:f>IF($H236="","",IFERROR(MATCH(1,INDEX((ROW('Game Records'!$U$5:$U$504)&gt;$H236)*(('Game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8" ht="24" customHeight="1">
      <x:c r="A238" s="332" t="str">
        <x:f>IF($H238="","",ROWS($A$5:A238))</x:f>
        <x:v/>
      </x:c>
      <x:c r="B238" s="332" t="str">
        <x:f>IF($H238="","","G-"&amp;TEXT($A238,"0000"))</x:f>
        <x:v/>
      </x:c>
      <x:c r="C238" s="331" t="str">
        <x:f>IF($H238="","",IFERROR(INDEX('Game Records'!$A:$A,$H238),""))</x:f>
        <x:v/>
      </x:c>
      <x:c r="D238" s="331" t="str">
        <x:f>IF($H238="","",IFERROR(INDEX('Game Records'!$U:$U,$H238),""))</x:f>
        <x:v/>
      </x:c>
      <x:c r="E238" s="331" t="str">
        <x:f>IF($H238="","",IF($F238="","No Highlighted Fields","Highlighted Fields Present"))</x:f>
        <x:v/>
      </x:c>
      <x:c r="F238" s="331" t="str">
        <x:f>IF($H238="","",IF(INDEX('Game Records'!$B:$B,$H238)="","Start Date; ","")&amp;IF(INDEX('Game Records'!$C:$C,$H238)="","End Date; ","")&amp;IF(AND(INDEX('Game Records'!$U:$U,$H238)&lt;&gt;"Subscription",INDEX('Game Records'!$U:$U,$H238)&lt;&gt;"Free Game",INDEX('Game Records'!$U:$U,$H238)&lt;&gt;"Disqualified — Free Game",OR(INDEX('Game Records'!$D:$D,$H238)="",LOWER(INDEX('Game Records'!$D:$D,$H238)&amp;"")="n/a")),"Entry Mode; ","")&amp;IF(AND(INDEX('Game Records'!$U:$U,$H238)&lt;&gt;"Subscription",INDEX('Game Records'!$U:$U,$H238)&lt;&gt;"Free Game",INDEX('Game Records'!$U:$U,$H238)&lt;&gt;"Disqualified — Free Game",OR(INDEX('Game Records'!$E:$E,$H238)="",LOWER(INDEX('Game Records'!$E:$E,$H238)&amp;"")="n/a")),"Game Type; ","")&amp;IF(INDEX('Game Records'!$F:$F,$H238)="","Payment Type; ","")&amp;IF(AND(INDEX('Game Records'!$U:$U,$H238)&lt;&gt;"Subscription",INDEX('Game Records'!$U:$U,$H238)&lt;&gt;"Free Game",INDEX('Game Records'!$U:$U,$H238)&lt;&gt;"Disqualified — Free Game",INDEX('Game Records'!$G:$G,$H238)=""),"Gross Pot; ","")&amp;IF(AND(INDEX('Game Records'!$U:$U,$H238)&lt;&gt;"Free Game",INDEX('Game Records'!$U:$U,$H238)&lt;&gt;"Disqualified — Free Game",INDEX('Game Records'!$H:$H,$H238)=""),"Entry Fee; ","")&amp;IF(AND(INDEX('Game Records'!$U:$U,$H238)&lt;&gt;"Subscription",INDEX('Game Records'!$U:$U,$H238)&lt;&gt;"Free Game",INDEX('Game Records'!$U:$U,$H238)&lt;&gt;"Disqualified — Free Game",INDEX('Game Records'!$I:$I,$H238)=""),"Eligible Players; ","")&amp;IF(AND(INDEX('Game Records'!$U:$U,$H238)&lt;&gt;"Subscription",INDEX('Game Records'!$U:$U,$H238)&lt;&gt;"Free Game",INDEX('Game Records'!$U:$U,$H238)&lt;&gt;"Disqualified — Free Game",INDEX('Game Records'!$J:$J,$H238)=""),"Total Players; ","")&amp;IF(AND(LOWER(INDEX('Game Records'!$D:$D,$H238)&amp;"")="finalized",LOWER(INDEX('Game Records'!$L:$L,$H238)&amp;"")&lt;&gt;"yes",INDEX('Game Records'!$U:$U,$H238)&lt;&gt;"Subscription",INDEX('Game Records'!$U:$U,$H238)&lt;&gt;"Free Game",INDEX('Game Records'!$U:$U,$H238)&lt;&gt;"Disqualified — Free Game",INDEX('Game Records'!$K:$K,$H238)=""),"Final Earned; ","")&amp;IF(AND(LOWER(INDEX('Game Records'!$D:$D,$H238)&amp;"")="finalized",INDEX('Game Records'!$U:$U,$H238)&lt;&gt;"Subscription",INDEX('Game Records'!$U:$U,$H238)&lt;&gt;"Free Game",INDEX('Game Records'!$U:$U,$H238)&lt;&gt;"Disqualified — Free Game",OR(INDEX('Game Records'!$L:$L,$H238)="",LOWER(INDEX('Game Records'!$L:$L,$H238)&amp;"")="n/a")),"Disqualified Status; ",""))</x:f>
        <x:v/>
      </x:c>
      <x:c r="G238" s="331" t="str">
        <x:f>IF($H238="","",IFERROR(INDEX('Game Records'!$M:$M,$H238),""))</x:f>
        <x:v/>
      </x:c>
      <x:c r="H238" s="104" t="str">
        <x:f>IF($H237="","",IFERROR(MATCH(1,INDEX((ROW('Game Records'!$U$5:$U$504)&gt;$H237)*(('Game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39" ht="24" customHeight="1">
      <x:c r="A239" s="332" t="str">
        <x:f>IF($H239="","",ROWS($A$5:A239))</x:f>
        <x:v/>
      </x:c>
      <x:c r="B239" s="332" t="str">
        <x:f>IF($H239="","","G-"&amp;TEXT($A239,"0000"))</x:f>
        <x:v/>
      </x:c>
      <x:c r="C239" s="331" t="str">
        <x:f>IF($H239="","",IFERROR(INDEX('Game Records'!$A:$A,$H239),""))</x:f>
        <x:v/>
      </x:c>
      <x:c r="D239" s="331" t="str">
        <x:f>IF($H239="","",IFERROR(INDEX('Game Records'!$U:$U,$H239),""))</x:f>
        <x:v/>
      </x:c>
      <x:c r="E239" s="331" t="str">
        <x:f>IF($H239="","",IF($F239="","No Highlighted Fields","Highlighted Fields Present"))</x:f>
        <x:v/>
      </x:c>
      <x:c r="F239" s="331" t="str">
        <x:f>IF($H239="","",IF(INDEX('Game Records'!$B:$B,$H239)="","Start Date; ","")&amp;IF(INDEX('Game Records'!$C:$C,$H239)="","End Date; ","")&amp;IF(AND(INDEX('Game Records'!$U:$U,$H239)&lt;&gt;"Subscription",INDEX('Game Records'!$U:$U,$H239)&lt;&gt;"Free Game",INDEX('Game Records'!$U:$U,$H239)&lt;&gt;"Disqualified — Free Game",OR(INDEX('Game Records'!$D:$D,$H239)="",LOWER(INDEX('Game Records'!$D:$D,$H239)&amp;"")="n/a")),"Entry Mode; ","")&amp;IF(AND(INDEX('Game Records'!$U:$U,$H239)&lt;&gt;"Subscription",INDEX('Game Records'!$U:$U,$H239)&lt;&gt;"Free Game",INDEX('Game Records'!$U:$U,$H239)&lt;&gt;"Disqualified — Free Game",OR(INDEX('Game Records'!$E:$E,$H239)="",LOWER(INDEX('Game Records'!$E:$E,$H239)&amp;"")="n/a")),"Game Type; ","")&amp;IF(INDEX('Game Records'!$F:$F,$H239)="","Payment Type; ","")&amp;IF(AND(INDEX('Game Records'!$U:$U,$H239)&lt;&gt;"Subscription",INDEX('Game Records'!$U:$U,$H239)&lt;&gt;"Free Game",INDEX('Game Records'!$U:$U,$H239)&lt;&gt;"Disqualified — Free Game",INDEX('Game Records'!$G:$G,$H239)=""),"Gross Pot; ","")&amp;IF(AND(INDEX('Game Records'!$U:$U,$H239)&lt;&gt;"Free Game",INDEX('Game Records'!$U:$U,$H239)&lt;&gt;"Disqualified — Free Game",INDEX('Game Records'!$H:$H,$H239)=""),"Entry Fee; ","")&amp;IF(AND(INDEX('Game Records'!$U:$U,$H239)&lt;&gt;"Subscription",INDEX('Game Records'!$U:$U,$H239)&lt;&gt;"Free Game",INDEX('Game Records'!$U:$U,$H239)&lt;&gt;"Disqualified — Free Game",INDEX('Game Records'!$I:$I,$H239)=""),"Eligible Players; ","")&amp;IF(AND(INDEX('Game Records'!$U:$U,$H239)&lt;&gt;"Subscription",INDEX('Game Records'!$U:$U,$H239)&lt;&gt;"Free Game",INDEX('Game Records'!$U:$U,$H239)&lt;&gt;"Disqualified — Free Game",INDEX('Game Records'!$J:$J,$H239)=""),"Total Players; ","")&amp;IF(AND(LOWER(INDEX('Game Records'!$D:$D,$H239)&amp;"")="finalized",LOWER(INDEX('Game Records'!$L:$L,$H239)&amp;"")&lt;&gt;"yes",INDEX('Game Records'!$U:$U,$H239)&lt;&gt;"Subscription",INDEX('Game Records'!$U:$U,$H239)&lt;&gt;"Free Game",INDEX('Game Records'!$U:$U,$H239)&lt;&gt;"Disqualified — Free Game",INDEX('Game Records'!$K:$K,$H239)=""),"Final Earned; ","")&amp;IF(AND(LOWER(INDEX('Game Records'!$D:$D,$H239)&amp;"")="finalized",INDEX('Game Records'!$U:$U,$H239)&lt;&gt;"Subscription",INDEX('Game Records'!$U:$U,$H239)&lt;&gt;"Free Game",INDEX('Game Records'!$U:$U,$H239)&lt;&gt;"Disqualified — Free Game",OR(INDEX('Game Records'!$L:$L,$H239)="",LOWER(INDEX('Game Records'!$L:$L,$H239)&amp;"")="n/a")),"Disqualified Status; ",""))</x:f>
        <x:v/>
      </x:c>
      <x:c r="G239" s="331" t="str">
        <x:f>IF($H239="","",IFERROR(INDEX('Game Records'!$M:$M,$H239),""))</x:f>
        <x:v/>
      </x:c>
      <x:c r="H239" s="104" t="str">
        <x:f>IF($H238="","",IFERROR(MATCH(1,INDEX((ROW('Game Records'!$U$5:$U$504)&gt;$H238)*(('Game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0" ht="24" customHeight="1">
      <x:c r="A240" s="332" t="str">
        <x:f>IF($H240="","",ROWS($A$5:A240))</x:f>
        <x:v/>
      </x:c>
      <x:c r="B240" s="332" t="str">
        <x:f>IF($H240="","","G-"&amp;TEXT($A240,"0000"))</x:f>
        <x:v/>
      </x:c>
      <x:c r="C240" s="331" t="str">
        <x:f>IF($H240="","",IFERROR(INDEX('Game Records'!$A:$A,$H240),""))</x:f>
        <x:v/>
      </x:c>
      <x:c r="D240" s="331" t="str">
        <x:f>IF($H240="","",IFERROR(INDEX('Game Records'!$U:$U,$H240),""))</x:f>
        <x:v/>
      </x:c>
      <x:c r="E240" s="331" t="str">
        <x:f>IF($H240="","",IF($F240="","No Highlighted Fields","Highlighted Fields Present"))</x:f>
        <x:v/>
      </x:c>
      <x:c r="F240" s="331" t="str">
        <x:f>IF($H240="","",IF(INDEX('Game Records'!$B:$B,$H240)="","Start Date; ","")&amp;IF(INDEX('Game Records'!$C:$C,$H240)="","End Date; ","")&amp;IF(AND(INDEX('Game Records'!$U:$U,$H240)&lt;&gt;"Subscription",INDEX('Game Records'!$U:$U,$H240)&lt;&gt;"Free Game",INDEX('Game Records'!$U:$U,$H240)&lt;&gt;"Disqualified — Free Game",OR(INDEX('Game Records'!$D:$D,$H240)="",LOWER(INDEX('Game Records'!$D:$D,$H240)&amp;"")="n/a")),"Entry Mode; ","")&amp;IF(AND(INDEX('Game Records'!$U:$U,$H240)&lt;&gt;"Subscription",INDEX('Game Records'!$U:$U,$H240)&lt;&gt;"Free Game",INDEX('Game Records'!$U:$U,$H240)&lt;&gt;"Disqualified — Free Game",OR(INDEX('Game Records'!$E:$E,$H240)="",LOWER(INDEX('Game Records'!$E:$E,$H240)&amp;"")="n/a")),"Game Type; ","")&amp;IF(INDEX('Game Records'!$F:$F,$H240)="","Payment Type; ","")&amp;IF(AND(INDEX('Game Records'!$U:$U,$H240)&lt;&gt;"Subscription",INDEX('Game Records'!$U:$U,$H240)&lt;&gt;"Free Game",INDEX('Game Records'!$U:$U,$H240)&lt;&gt;"Disqualified — Free Game",INDEX('Game Records'!$G:$G,$H240)=""),"Gross Pot; ","")&amp;IF(AND(INDEX('Game Records'!$U:$U,$H240)&lt;&gt;"Free Game",INDEX('Game Records'!$U:$U,$H240)&lt;&gt;"Disqualified — Free Game",INDEX('Game Records'!$H:$H,$H240)=""),"Entry Fee; ","")&amp;IF(AND(INDEX('Game Records'!$U:$U,$H240)&lt;&gt;"Subscription",INDEX('Game Records'!$U:$U,$H240)&lt;&gt;"Free Game",INDEX('Game Records'!$U:$U,$H240)&lt;&gt;"Disqualified — Free Game",INDEX('Game Records'!$I:$I,$H240)=""),"Eligible Players; ","")&amp;IF(AND(INDEX('Game Records'!$U:$U,$H240)&lt;&gt;"Subscription",INDEX('Game Records'!$U:$U,$H240)&lt;&gt;"Free Game",INDEX('Game Records'!$U:$U,$H240)&lt;&gt;"Disqualified — Free Game",INDEX('Game Records'!$J:$J,$H240)=""),"Total Players; ","")&amp;IF(AND(LOWER(INDEX('Game Records'!$D:$D,$H240)&amp;"")="finalized",LOWER(INDEX('Game Records'!$L:$L,$H240)&amp;"")&lt;&gt;"yes",INDEX('Game Records'!$U:$U,$H240)&lt;&gt;"Subscription",INDEX('Game Records'!$U:$U,$H240)&lt;&gt;"Free Game",INDEX('Game Records'!$U:$U,$H240)&lt;&gt;"Disqualified — Free Game",INDEX('Game Records'!$K:$K,$H240)=""),"Final Earned; ","")&amp;IF(AND(LOWER(INDEX('Game Records'!$D:$D,$H240)&amp;"")="finalized",INDEX('Game Records'!$U:$U,$H240)&lt;&gt;"Subscription",INDEX('Game Records'!$U:$U,$H240)&lt;&gt;"Free Game",INDEX('Game Records'!$U:$U,$H240)&lt;&gt;"Disqualified — Free Game",OR(INDEX('Game Records'!$L:$L,$H240)="",LOWER(INDEX('Game Records'!$L:$L,$H240)&amp;"")="n/a")),"Disqualified Status; ",""))</x:f>
        <x:v/>
      </x:c>
      <x:c r="G240" s="331" t="str">
        <x:f>IF($H240="","",IFERROR(INDEX('Game Records'!$M:$M,$H240),""))</x:f>
        <x:v/>
      </x:c>
      <x:c r="H240" s="104" t="str">
        <x:f>IF($H239="","",IFERROR(MATCH(1,INDEX((ROW('Game Records'!$U$5:$U$504)&gt;$H239)*(('Game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1" ht="24" customHeight="1">
      <x:c r="A241" s="332" t="str">
        <x:f>IF($H241="","",ROWS($A$5:A241))</x:f>
        <x:v/>
      </x:c>
      <x:c r="B241" s="332" t="str">
        <x:f>IF($H241="","","G-"&amp;TEXT($A241,"0000"))</x:f>
        <x:v/>
      </x:c>
      <x:c r="C241" s="331" t="str">
        <x:f>IF($H241="","",IFERROR(INDEX('Game Records'!$A:$A,$H241),""))</x:f>
        <x:v/>
      </x:c>
      <x:c r="D241" s="331" t="str">
        <x:f>IF($H241="","",IFERROR(INDEX('Game Records'!$U:$U,$H241),""))</x:f>
        <x:v/>
      </x:c>
      <x:c r="E241" s="331" t="str">
        <x:f>IF($H241="","",IF($F241="","No Highlighted Fields","Highlighted Fields Present"))</x:f>
        <x:v/>
      </x:c>
      <x:c r="F241" s="331" t="str">
        <x:f>IF($H241="","",IF(INDEX('Game Records'!$B:$B,$H241)="","Start Date; ","")&amp;IF(INDEX('Game Records'!$C:$C,$H241)="","End Date; ","")&amp;IF(AND(INDEX('Game Records'!$U:$U,$H241)&lt;&gt;"Subscription",INDEX('Game Records'!$U:$U,$H241)&lt;&gt;"Free Game",INDEX('Game Records'!$U:$U,$H241)&lt;&gt;"Disqualified — Free Game",OR(INDEX('Game Records'!$D:$D,$H241)="",LOWER(INDEX('Game Records'!$D:$D,$H241)&amp;"")="n/a")),"Entry Mode; ","")&amp;IF(AND(INDEX('Game Records'!$U:$U,$H241)&lt;&gt;"Subscription",INDEX('Game Records'!$U:$U,$H241)&lt;&gt;"Free Game",INDEX('Game Records'!$U:$U,$H241)&lt;&gt;"Disqualified — Free Game",OR(INDEX('Game Records'!$E:$E,$H241)="",LOWER(INDEX('Game Records'!$E:$E,$H241)&amp;"")="n/a")),"Game Type; ","")&amp;IF(INDEX('Game Records'!$F:$F,$H241)="","Payment Type; ","")&amp;IF(AND(INDEX('Game Records'!$U:$U,$H241)&lt;&gt;"Subscription",INDEX('Game Records'!$U:$U,$H241)&lt;&gt;"Free Game",INDEX('Game Records'!$U:$U,$H241)&lt;&gt;"Disqualified — Free Game",INDEX('Game Records'!$G:$G,$H241)=""),"Gross Pot; ","")&amp;IF(AND(INDEX('Game Records'!$U:$U,$H241)&lt;&gt;"Free Game",INDEX('Game Records'!$U:$U,$H241)&lt;&gt;"Disqualified — Free Game",INDEX('Game Records'!$H:$H,$H241)=""),"Entry Fee; ","")&amp;IF(AND(INDEX('Game Records'!$U:$U,$H241)&lt;&gt;"Subscription",INDEX('Game Records'!$U:$U,$H241)&lt;&gt;"Free Game",INDEX('Game Records'!$U:$U,$H241)&lt;&gt;"Disqualified — Free Game",INDEX('Game Records'!$I:$I,$H241)=""),"Eligible Players; ","")&amp;IF(AND(INDEX('Game Records'!$U:$U,$H241)&lt;&gt;"Subscription",INDEX('Game Records'!$U:$U,$H241)&lt;&gt;"Free Game",INDEX('Game Records'!$U:$U,$H241)&lt;&gt;"Disqualified — Free Game",INDEX('Game Records'!$J:$J,$H241)=""),"Total Players; ","")&amp;IF(AND(LOWER(INDEX('Game Records'!$D:$D,$H241)&amp;"")="finalized",LOWER(INDEX('Game Records'!$L:$L,$H241)&amp;"")&lt;&gt;"yes",INDEX('Game Records'!$U:$U,$H241)&lt;&gt;"Subscription",INDEX('Game Records'!$U:$U,$H241)&lt;&gt;"Free Game",INDEX('Game Records'!$U:$U,$H241)&lt;&gt;"Disqualified — Free Game",INDEX('Game Records'!$K:$K,$H241)=""),"Final Earned; ","")&amp;IF(AND(LOWER(INDEX('Game Records'!$D:$D,$H241)&amp;"")="finalized",INDEX('Game Records'!$U:$U,$H241)&lt;&gt;"Subscription",INDEX('Game Records'!$U:$U,$H241)&lt;&gt;"Free Game",INDEX('Game Records'!$U:$U,$H241)&lt;&gt;"Disqualified — Free Game",OR(INDEX('Game Records'!$L:$L,$H241)="",LOWER(INDEX('Game Records'!$L:$L,$H241)&amp;"")="n/a")),"Disqualified Status; ",""))</x:f>
        <x:v/>
      </x:c>
      <x:c r="G241" s="331" t="str">
        <x:f>IF($H241="","",IFERROR(INDEX('Game Records'!$M:$M,$H241),""))</x:f>
        <x:v/>
      </x:c>
      <x:c r="H241" s="104" t="str">
        <x:f>IF($H240="","",IFERROR(MATCH(1,INDEX((ROW('Game Records'!$U$5:$U$504)&gt;$H240)*(('Game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2" ht="24" customHeight="1">
      <x:c r="A242" s="332" t="str">
        <x:f>IF($H242="","",ROWS($A$5:A242))</x:f>
        <x:v/>
      </x:c>
      <x:c r="B242" s="332" t="str">
        <x:f>IF($H242="","","G-"&amp;TEXT($A242,"0000"))</x:f>
        <x:v/>
      </x:c>
      <x:c r="C242" s="331" t="str">
        <x:f>IF($H242="","",IFERROR(INDEX('Game Records'!$A:$A,$H242),""))</x:f>
        <x:v/>
      </x:c>
      <x:c r="D242" s="331" t="str">
        <x:f>IF($H242="","",IFERROR(INDEX('Game Records'!$U:$U,$H242),""))</x:f>
        <x:v/>
      </x:c>
      <x:c r="E242" s="331" t="str">
        <x:f>IF($H242="","",IF($F242="","No Highlighted Fields","Highlighted Fields Present"))</x:f>
        <x:v/>
      </x:c>
      <x:c r="F242" s="331" t="str">
        <x:f>IF($H242="","",IF(INDEX('Game Records'!$B:$B,$H242)="","Start Date; ","")&amp;IF(INDEX('Game Records'!$C:$C,$H242)="","End Date; ","")&amp;IF(AND(INDEX('Game Records'!$U:$U,$H242)&lt;&gt;"Subscription",INDEX('Game Records'!$U:$U,$H242)&lt;&gt;"Free Game",INDEX('Game Records'!$U:$U,$H242)&lt;&gt;"Disqualified — Free Game",OR(INDEX('Game Records'!$D:$D,$H242)="",LOWER(INDEX('Game Records'!$D:$D,$H242)&amp;"")="n/a")),"Entry Mode; ","")&amp;IF(AND(INDEX('Game Records'!$U:$U,$H242)&lt;&gt;"Subscription",INDEX('Game Records'!$U:$U,$H242)&lt;&gt;"Free Game",INDEX('Game Records'!$U:$U,$H242)&lt;&gt;"Disqualified — Free Game",OR(INDEX('Game Records'!$E:$E,$H242)="",LOWER(INDEX('Game Records'!$E:$E,$H242)&amp;"")="n/a")),"Game Type; ","")&amp;IF(INDEX('Game Records'!$F:$F,$H242)="","Payment Type; ","")&amp;IF(AND(INDEX('Game Records'!$U:$U,$H242)&lt;&gt;"Subscription",INDEX('Game Records'!$U:$U,$H242)&lt;&gt;"Free Game",INDEX('Game Records'!$U:$U,$H242)&lt;&gt;"Disqualified — Free Game",INDEX('Game Records'!$G:$G,$H242)=""),"Gross Pot; ","")&amp;IF(AND(INDEX('Game Records'!$U:$U,$H242)&lt;&gt;"Free Game",INDEX('Game Records'!$U:$U,$H242)&lt;&gt;"Disqualified — Free Game",INDEX('Game Records'!$H:$H,$H242)=""),"Entry Fee; ","")&amp;IF(AND(INDEX('Game Records'!$U:$U,$H242)&lt;&gt;"Subscription",INDEX('Game Records'!$U:$U,$H242)&lt;&gt;"Free Game",INDEX('Game Records'!$U:$U,$H242)&lt;&gt;"Disqualified — Free Game",INDEX('Game Records'!$I:$I,$H242)=""),"Eligible Players; ","")&amp;IF(AND(INDEX('Game Records'!$U:$U,$H242)&lt;&gt;"Subscription",INDEX('Game Records'!$U:$U,$H242)&lt;&gt;"Free Game",INDEX('Game Records'!$U:$U,$H242)&lt;&gt;"Disqualified — Free Game",INDEX('Game Records'!$J:$J,$H242)=""),"Total Players; ","")&amp;IF(AND(LOWER(INDEX('Game Records'!$D:$D,$H242)&amp;"")="finalized",LOWER(INDEX('Game Records'!$L:$L,$H242)&amp;"")&lt;&gt;"yes",INDEX('Game Records'!$U:$U,$H242)&lt;&gt;"Subscription",INDEX('Game Records'!$U:$U,$H242)&lt;&gt;"Free Game",INDEX('Game Records'!$U:$U,$H242)&lt;&gt;"Disqualified — Free Game",INDEX('Game Records'!$K:$K,$H242)=""),"Final Earned; ","")&amp;IF(AND(LOWER(INDEX('Game Records'!$D:$D,$H242)&amp;"")="finalized",INDEX('Game Records'!$U:$U,$H242)&lt;&gt;"Subscription",INDEX('Game Records'!$U:$U,$H242)&lt;&gt;"Free Game",INDEX('Game Records'!$U:$U,$H242)&lt;&gt;"Disqualified — Free Game",OR(INDEX('Game Records'!$L:$L,$H242)="",LOWER(INDEX('Game Records'!$L:$L,$H242)&amp;"")="n/a")),"Disqualified Status; ",""))</x:f>
        <x:v/>
      </x:c>
      <x:c r="G242" s="331" t="str">
        <x:f>IF($H242="","",IFERROR(INDEX('Game Records'!$M:$M,$H242),""))</x:f>
        <x:v/>
      </x:c>
      <x:c r="H242" s="104" t="str">
        <x:f>IF($H241="","",IFERROR(MATCH(1,INDEX((ROW('Game Records'!$U$5:$U$504)&gt;$H241)*(('Game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3" ht="24" customHeight="1">
      <x:c r="A243" s="332" t="str">
        <x:f>IF($H243="","",ROWS($A$5:A243))</x:f>
        <x:v/>
      </x:c>
      <x:c r="B243" s="332" t="str">
        <x:f>IF($H243="","","G-"&amp;TEXT($A243,"0000"))</x:f>
        <x:v/>
      </x:c>
      <x:c r="C243" s="331" t="str">
        <x:f>IF($H243="","",IFERROR(INDEX('Game Records'!$A:$A,$H243),""))</x:f>
        <x:v/>
      </x:c>
      <x:c r="D243" s="331" t="str">
        <x:f>IF($H243="","",IFERROR(INDEX('Game Records'!$U:$U,$H243),""))</x:f>
        <x:v/>
      </x:c>
      <x:c r="E243" s="331" t="str">
        <x:f>IF($H243="","",IF($F243="","No Highlighted Fields","Highlighted Fields Present"))</x:f>
        <x:v/>
      </x:c>
      <x:c r="F243" s="331" t="str">
        <x:f>IF($H243="","",IF(INDEX('Game Records'!$B:$B,$H243)="","Start Date; ","")&amp;IF(INDEX('Game Records'!$C:$C,$H243)="","End Date; ","")&amp;IF(AND(INDEX('Game Records'!$U:$U,$H243)&lt;&gt;"Subscription",INDEX('Game Records'!$U:$U,$H243)&lt;&gt;"Free Game",INDEX('Game Records'!$U:$U,$H243)&lt;&gt;"Disqualified — Free Game",OR(INDEX('Game Records'!$D:$D,$H243)="",LOWER(INDEX('Game Records'!$D:$D,$H243)&amp;"")="n/a")),"Entry Mode; ","")&amp;IF(AND(INDEX('Game Records'!$U:$U,$H243)&lt;&gt;"Subscription",INDEX('Game Records'!$U:$U,$H243)&lt;&gt;"Free Game",INDEX('Game Records'!$U:$U,$H243)&lt;&gt;"Disqualified — Free Game",OR(INDEX('Game Records'!$E:$E,$H243)="",LOWER(INDEX('Game Records'!$E:$E,$H243)&amp;"")="n/a")),"Game Type; ","")&amp;IF(INDEX('Game Records'!$F:$F,$H243)="","Payment Type; ","")&amp;IF(AND(INDEX('Game Records'!$U:$U,$H243)&lt;&gt;"Subscription",INDEX('Game Records'!$U:$U,$H243)&lt;&gt;"Free Game",INDEX('Game Records'!$U:$U,$H243)&lt;&gt;"Disqualified — Free Game",INDEX('Game Records'!$G:$G,$H243)=""),"Gross Pot; ","")&amp;IF(AND(INDEX('Game Records'!$U:$U,$H243)&lt;&gt;"Free Game",INDEX('Game Records'!$U:$U,$H243)&lt;&gt;"Disqualified — Free Game",INDEX('Game Records'!$H:$H,$H243)=""),"Entry Fee; ","")&amp;IF(AND(INDEX('Game Records'!$U:$U,$H243)&lt;&gt;"Subscription",INDEX('Game Records'!$U:$U,$H243)&lt;&gt;"Free Game",INDEX('Game Records'!$U:$U,$H243)&lt;&gt;"Disqualified — Free Game",INDEX('Game Records'!$I:$I,$H243)=""),"Eligible Players; ","")&amp;IF(AND(INDEX('Game Records'!$U:$U,$H243)&lt;&gt;"Subscription",INDEX('Game Records'!$U:$U,$H243)&lt;&gt;"Free Game",INDEX('Game Records'!$U:$U,$H243)&lt;&gt;"Disqualified — Free Game",INDEX('Game Records'!$J:$J,$H243)=""),"Total Players; ","")&amp;IF(AND(LOWER(INDEX('Game Records'!$D:$D,$H243)&amp;"")="finalized",LOWER(INDEX('Game Records'!$L:$L,$H243)&amp;"")&lt;&gt;"yes",INDEX('Game Records'!$U:$U,$H243)&lt;&gt;"Subscription",INDEX('Game Records'!$U:$U,$H243)&lt;&gt;"Free Game",INDEX('Game Records'!$U:$U,$H243)&lt;&gt;"Disqualified — Free Game",INDEX('Game Records'!$K:$K,$H243)=""),"Final Earned; ","")&amp;IF(AND(LOWER(INDEX('Game Records'!$D:$D,$H243)&amp;"")="finalized",INDEX('Game Records'!$U:$U,$H243)&lt;&gt;"Subscription",INDEX('Game Records'!$U:$U,$H243)&lt;&gt;"Free Game",INDEX('Game Records'!$U:$U,$H243)&lt;&gt;"Disqualified — Free Game",OR(INDEX('Game Records'!$L:$L,$H243)="",LOWER(INDEX('Game Records'!$L:$L,$H243)&amp;"")="n/a")),"Disqualified Status; ",""))</x:f>
        <x:v/>
      </x:c>
      <x:c r="G243" s="331" t="str">
        <x:f>IF($H243="","",IFERROR(INDEX('Game Records'!$M:$M,$H243),""))</x:f>
        <x:v/>
      </x:c>
      <x:c r="H243" s="104" t="str">
        <x:f>IF($H242="","",IFERROR(MATCH(1,INDEX((ROW('Game Records'!$U$5:$U$504)&gt;$H242)*(('Game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4" ht="24" customHeight="1">
      <x:c r="A244" s="332" t="str">
        <x:f>IF($H244="","",ROWS($A$5:A244))</x:f>
        <x:v/>
      </x:c>
      <x:c r="B244" s="332" t="str">
        <x:f>IF($H244="","","G-"&amp;TEXT($A244,"0000"))</x:f>
        <x:v/>
      </x:c>
      <x:c r="C244" s="331" t="str">
        <x:f>IF($H244="","",IFERROR(INDEX('Game Records'!$A:$A,$H244),""))</x:f>
        <x:v/>
      </x:c>
      <x:c r="D244" s="331" t="str">
        <x:f>IF($H244="","",IFERROR(INDEX('Game Records'!$U:$U,$H244),""))</x:f>
        <x:v/>
      </x:c>
      <x:c r="E244" s="331" t="str">
        <x:f>IF($H244="","",IF($F244="","No Highlighted Fields","Highlighted Fields Present"))</x:f>
        <x:v/>
      </x:c>
      <x:c r="F244" s="331" t="str">
        <x:f>IF($H244="","",IF(INDEX('Game Records'!$B:$B,$H244)="","Start Date; ","")&amp;IF(INDEX('Game Records'!$C:$C,$H244)="","End Date; ","")&amp;IF(AND(INDEX('Game Records'!$U:$U,$H244)&lt;&gt;"Subscription",INDEX('Game Records'!$U:$U,$H244)&lt;&gt;"Free Game",INDEX('Game Records'!$U:$U,$H244)&lt;&gt;"Disqualified — Free Game",OR(INDEX('Game Records'!$D:$D,$H244)="",LOWER(INDEX('Game Records'!$D:$D,$H244)&amp;"")="n/a")),"Entry Mode; ","")&amp;IF(AND(INDEX('Game Records'!$U:$U,$H244)&lt;&gt;"Subscription",INDEX('Game Records'!$U:$U,$H244)&lt;&gt;"Free Game",INDEX('Game Records'!$U:$U,$H244)&lt;&gt;"Disqualified — Free Game",OR(INDEX('Game Records'!$E:$E,$H244)="",LOWER(INDEX('Game Records'!$E:$E,$H244)&amp;"")="n/a")),"Game Type; ","")&amp;IF(INDEX('Game Records'!$F:$F,$H244)="","Payment Type; ","")&amp;IF(AND(INDEX('Game Records'!$U:$U,$H244)&lt;&gt;"Subscription",INDEX('Game Records'!$U:$U,$H244)&lt;&gt;"Free Game",INDEX('Game Records'!$U:$U,$H244)&lt;&gt;"Disqualified — Free Game",INDEX('Game Records'!$G:$G,$H244)=""),"Gross Pot; ","")&amp;IF(AND(INDEX('Game Records'!$U:$U,$H244)&lt;&gt;"Free Game",INDEX('Game Records'!$U:$U,$H244)&lt;&gt;"Disqualified — Free Game",INDEX('Game Records'!$H:$H,$H244)=""),"Entry Fee; ","")&amp;IF(AND(INDEX('Game Records'!$U:$U,$H244)&lt;&gt;"Subscription",INDEX('Game Records'!$U:$U,$H244)&lt;&gt;"Free Game",INDEX('Game Records'!$U:$U,$H244)&lt;&gt;"Disqualified — Free Game",INDEX('Game Records'!$I:$I,$H244)=""),"Eligible Players; ","")&amp;IF(AND(INDEX('Game Records'!$U:$U,$H244)&lt;&gt;"Subscription",INDEX('Game Records'!$U:$U,$H244)&lt;&gt;"Free Game",INDEX('Game Records'!$U:$U,$H244)&lt;&gt;"Disqualified — Free Game",INDEX('Game Records'!$J:$J,$H244)=""),"Total Players; ","")&amp;IF(AND(LOWER(INDEX('Game Records'!$D:$D,$H244)&amp;"")="finalized",LOWER(INDEX('Game Records'!$L:$L,$H244)&amp;"")&lt;&gt;"yes",INDEX('Game Records'!$U:$U,$H244)&lt;&gt;"Subscription",INDEX('Game Records'!$U:$U,$H244)&lt;&gt;"Free Game",INDEX('Game Records'!$U:$U,$H244)&lt;&gt;"Disqualified — Free Game",INDEX('Game Records'!$K:$K,$H244)=""),"Final Earned; ","")&amp;IF(AND(LOWER(INDEX('Game Records'!$D:$D,$H244)&amp;"")="finalized",INDEX('Game Records'!$U:$U,$H244)&lt;&gt;"Subscription",INDEX('Game Records'!$U:$U,$H244)&lt;&gt;"Free Game",INDEX('Game Records'!$U:$U,$H244)&lt;&gt;"Disqualified — Free Game",OR(INDEX('Game Records'!$L:$L,$H244)="",LOWER(INDEX('Game Records'!$L:$L,$H244)&amp;"")="n/a")),"Disqualified Status; ",""))</x:f>
        <x:v/>
      </x:c>
      <x:c r="G244" s="331" t="str">
        <x:f>IF($H244="","",IFERROR(INDEX('Game Records'!$M:$M,$H244),""))</x:f>
        <x:v/>
      </x:c>
      <x:c r="H244" s="104" t="str">
        <x:f>IF($H243="","",IFERROR(MATCH(1,INDEX((ROW('Game Records'!$U$5:$U$504)&gt;$H243)*(('Game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5" ht="24" customHeight="1">
      <x:c r="A245" s="332" t="str">
        <x:f>IF($H245="","",ROWS($A$5:A245))</x:f>
        <x:v/>
      </x:c>
      <x:c r="B245" s="332" t="str">
        <x:f>IF($H245="","","G-"&amp;TEXT($A245,"0000"))</x:f>
        <x:v/>
      </x:c>
      <x:c r="C245" s="331" t="str">
        <x:f>IF($H245="","",IFERROR(INDEX('Game Records'!$A:$A,$H245),""))</x:f>
        <x:v/>
      </x:c>
      <x:c r="D245" s="331" t="str">
        <x:f>IF($H245="","",IFERROR(INDEX('Game Records'!$U:$U,$H245),""))</x:f>
        <x:v/>
      </x:c>
      <x:c r="E245" s="331" t="str">
        <x:f>IF($H245="","",IF($F245="","No Highlighted Fields","Highlighted Fields Present"))</x:f>
        <x:v/>
      </x:c>
      <x:c r="F245" s="331" t="str">
        <x:f>IF($H245="","",IF(INDEX('Game Records'!$B:$B,$H245)="","Start Date; ","")&amp;IF(INDEX('Game Records'!$C:$C,$H245)="","End Date; ","")&amp;IF(AND(INDEX('Game Records'!$U:$U,$H245)&lt;&gt;"Subscription",INDEX('Game Records'!$U:$U,$H245)&lt;&gt;"Free Game",INDEX('Game Records'!$U:$U,$H245)&lt;&gt;"Disqualified — Free Game",OR(INDEX('Game Records'!$D:$D,$H245)="",LOWER(INDEX('Game Records'!$D:$D,$H245)&amp;"")="n/a")),"Entry Mode; ","")&amp;IF(AND(INDEX('Game Records'!$U:$U,$H245)&lt;&gt;"Subscription",INDEX('Game Records'!$U:$U,$H245)&lt;&gt;"Free Game",INDEX('Game Records'!$U:$U,$H245)&lt;&gt;"Disqualified — Free Game",OR(INDEX('Game Records'!$E:$E,$H245)="",LOWER(INDEX('Game Records'!$E:$E,$H245)&amp;"")="n/a")),"Game Type; ","")&amp;IF(INDEX('Game Records'!$F:$F,$H245)="","Payment Type; ","")&amp;IF(AND(INDEX('Game Records'!$U:$U,$H245)&lt;&gt;"Subscription",INDEX('Game Records'!$U:$U,$H245)&lt;&gt;"Free Game",INDEX('Game Records'!$U:$U,$H245)&lt;&gt;"Disqualified — Free Game",INDEX('Game Records'!$G:$G,$H245)=""),"Gross Pot; ","")&amp;IF(AND(INDEX('Game Records'!$U:$U,$H245)&lt;&gt;"Free Game",INDEX('Game Records'!$U:$U,$H245)&lt;&gt;"Disqualified — Free Game",INDEX('Game Records'!$H:$H,$H245)=""),"Entry Fee; ","")&amp;IF(AND(INDEX('Game Records'!$U:$U,$H245)&lt;&gt;"Subscription",INDEX('Game Records'!$U:$U,$H245)&lt;&gt;"Free Game",INDEX('Game Records'!$U:$U,$H245)&lt;&gt;"Disqualified — Free Game",INDEX('Game Records'!$I:$I,$H245)=""),"Eligible Players; ","")&amp;IF(AND(INDEX('Game Records'!$U:$U,$H245)&lt;&gt;"Subscription",INDEX('Game Records'!$U:$U,$H245)&lt;&gt;"Free Game",INDEX('Game Records'!$U:$U,$H245)&lt;&gt;"Disqualified — Free Game",INDEX('Game Records'!$J:$J,$H245)=""),"Total Players; ","")&amp;IF(AND(LOWER(INDEX('Game Records'!$D:$D,$H245)&amp;"")="finalized",LOWER(INDEX('Game Records'!$L:$L,$H245)&amp;"")&lt;&gt;"yes",INDEX('Game Records'!$U:$U,$H245)&lt;&gt;"Subscription",INDEX('Game Records'!$U:$U,$H245)&lt;&gt;"Free Game",INDEX('Game Records'!$U:$U,$H245)&lt;&gt;"Disqualified — Free Game",INDEX('Game Records'!$K:$K,$H245)=""),"Final Earned; ","")&amp;IF(AND(LOWER(INDEX('Game Records'!$D:$D,$H245)&amp;"")="finalized",INDEX('Game Records'!$U:$U,$H245)&lt;&gt;"Subscription",INDEX('Game Records'!$U:$U,$H245)&lt;&gt;"Free Game",INDEX('Game Records'!$U:$U,$H245)&lt;&gt;"Disqualified — Free Game",OR(INDEX('Game Records'!$L:$L,$H245)="",LOWER(INDEX('Game Records'!$L:$L,$H245)&amp;"")="n/a")),"Disqualified Status; ",""))</x:f>
        <x:v/>
      </x:c>
      <x:c r="G245" s="331" t="str">
        <x:f>IF($H245="","",IFERROR(INDEX('Game Records'!$M:$M,$H245),""))</x:f>
        <x:v/>
      </x:c>
      <x:c r="H245" s="104" t="str">
        <x:f>IF($H244="","",IFERROR(MATCH(1,INDEX((ROW('Game Records'!$U$5:$U$504)&gt;$H244)*(('Game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6" ht="24" customHeight="1">
      <x:c r="A246" s="332" t="str">
        <x:f>IF($H246="","",ROWS($A$5:A246))</x:f>
        <x:v/>
      </x:c>
      <x:c r="B246" s="332" t="str">
        <x:f>IF($H246="","","G-"&amp;TEXT($A246,"0000"))</x:f>
        <x:v/>
      </x:c>
      <x:c r="C246" s="331" t="str">
        <x:f>IF($H246="","",IFERROR(INDEX('Game Records'!$A:$A,$H246),""))</x:f>
        <x:v/>
      </x:c>
      <x:c r="D246" s="331" t="str">
        <x:f>IF($H246="","",IFERROR(INDEX('Game Records'!$U:$U,$H246),""))</x:f>
        <x:v/>
      </x:c>
      <x:c r="E246" s="331" t="str">
        <x:f>IF($H246="","",IF($F246="","No Highlighted Fields","Highlighted Fields Present"))</x:f>
        <x:v/>
      </x:c>
      <x:c r="F246" s="331" t="str">
        <x:f>IF($H246="","",IF(INDEX('Game Records'!$B:$B,$H246)="","Start Date; ","")&amp;IF(INDEX('Game Records'!$C:$C,$H246)="","End Date; ","")&amp;IF(AND(INDEX('Game Records'!$U:$U,$H246)&lt;&gt;"Subscription",INDEX('Game Records'!$U:$U,$H246)&lt;&gt;"Free Game",INDEX('Game Records'!$U:$U,$H246)&lt;&gt;"Disqualified — Free Game",OR(INDEX('Game Records'!$D:$D,$H246)="",LOWER(INDEX('Game Records'!$D:$D,$H246)&amp;"")="n/a")),"Entry Mode; ","")&amp;IF(AND(INDEX('Game Records'!$U:$U,$H246)&lt;&gt;"Subscription",INDEX('Game Records'!$U:$U,$H246)&lt;&gt;"Free Game",INDEX('Game Records'!$U:$U,$H246)&lt;&gt;"Disqualified — Free Game",OR(INDEX('Game Records'!$E:$E,$H246)="",LOWER(INDEX('Game Records'!$E:$E,$H246)&amp;"")="n/a")),"Game Type; ","")&amp;IF(INDEX('Game Records'!$F:$F,$H246)="","Payment Type; ","")&amp;IF(AND(INDEX('Game Records'!$U:$U,$H246)&lt;&gt;"Subscription",INDEX('Game Records'!$U:$U,$H246)&lt;&gt;"Free Game",INDEX('Game Records'!$U:$U,$H246)&lt;&gt;"Disqualified — Free Game",INDEX('Game Records'!$G:$G,$H246)=""),"Gross Pot; ","")&amp;IF(AND(INDEX('Game Records'!$U:$U,$H246)&lt;&gt;"Free Game",INDEX('Game Records'!$U:$U,$H246)&lt;&gt;"Disqualified — Free Game",INDEX('Game Records'!$H:$H,$H246)=""),"Entry Fee; ","")&amp;IF(AND(INDEX('Game Records'!$U:$U,$H246)&lt;&gt;"Subscription",INDEX('Game Records'!$U:$U,$H246)&lt;&gt;"Free Game",INDEX('Game Records'!$U:$U,$H246)&lt;&gt;"Disqualified — Free Game",INDEX('Game Records'!$I:$I,$H246)=""),"Eligible Players; ","")&amp;IF(AND(INDEX('Game Records'!$U:$U,$H246)&lt;&gt;"Subscription",INDEX('Game Records'!$U:$U,$H246)&lt;&gt;"Free Game",INDEX('Game Records'!$U:$U,$H246)&lt;&gt;"Disqualified — Free Game",INDEX('Game Records'!$J:$J,$H246)=""),"Total Players; ","")&amp;IF(AND(LOWER(INDEX('Game Records'!$D:$D,$H246)&amp;"")="finalized",LOWER(INDEX('Game Records'!$L:$L,$H246)&amp;"")&lt;&gt;"yes",INDEX('Game Records'!$U:$U,$H246)&lt;&gt;"Subscription",INDEX('Game Records'!$U:$U,$H246)&lt;&gt;"Free Game",INDEX('Game Records'!$U:$U,$H246)&lt;&gt;"Disqualified — Free Game",INDEX('Game Records'!$K:$K,$H246)=""),"Final Earned; ","")&amp;IF(AND(LOWER(INDEX('Game Records'!$D:$D,$H246)&amp;"")="finalized",INDEX('Game Records'!$U:$U,$H246)&lt;&gt;"Subscription",INDEX('Game Records'!$U:$U,$H246)&lt;&gt;"Free Game",INDEX('Game Records'!$U:$U,$H246)&lt;&gt;"Disqualified — Free Game",OR(INDEX('Game Records'!$L:$L,$H246)="",LOWER(INDEX('Game Records'!$L:$L,$H246)&amp;"")="n/a")),"Disqualified Status; ",""))</x:f>
        <x:v/>
      </x:c>
      <x:c r="G246" s="331" t="str">
        <x:f>IF($H246="","",IFERROR(INDEX('Game Records'!$M:$M,$H246),""))</x:f>
        <x:v/>
      </x:c>
      <x:c r="H246" s="104" t="str">
        <x:f>IF($H245="","",IFERROR(MATCH(1,INDEX((ROW('Game Records'!$U$5:$U$504)&gt;$H245)*(('Game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7" ht="24" customHeight="1">
      <x:c r="A247" s="332" t="str">
        <x:f>IF($H247="","",ROWS($A$5:A247))</x:f>
        <x:v/>
      </x:c>
      <x:c r="B247" s="332" t="str">
        <x:f>IF($H247="","","G-"&amp;TEXT($A247,"0000"))</x:f>
        <x:v/>
      </x:c>
      <x:c r="C247" s="331" t="str">
        <x:f>IF($H247="","",IFERROR(INDEX('Game Records'!$A:$A,$H247),""))</x:f>
        <x:v/>
      </x:c>
      <x:c r="D247" s="331" t="str">
        <x:f>IF($H247="","",IFERROR(INDEX('Game Records'!$U:$U,$H247),""))</x:f>
        <x:v/>
      </x:c>
      <x:c r="E247" s="331" t="str">
        <x:f>IF($H247="","",IF($F247="","No Highlighted Fields","Highlighted Fields Present"))</x:f>
        <x:v/>
      </x:c>
      <x:c r="F247" s="331" t="str">
        <x:f>IF($H247="","",IF(INDEX('Game Records'!$B:$B,$H247)="","Start Date; ","")&amp;IF(INDEX('Game Records'!$C:$C,$H247)="","End Date; ","")&amp;IF(AND(INDEX('Game Records'!$U:$U,$H247)&lt;&gt;"Subscription",INDEX('Game Records'!$U:$U,$H247)&lt;&gt;"Free Game",INDEX('Game Records'!$U:$U,$H247)&lt;&gt;"Disqualified — Free Game",OR(INDEX('Game Records'!$D:$D,$H247)="",LOWER(INDEX('Game Records'!$D:$D,$H247)&amp;"")="n/a")),"Entry Mode; ","")&amp;IF(AND(INDEX('Game Records'!$U:$U,$H247)&lt;&gt;"Subscription",INDEX('Game Records'!$U:$U,$H247)&lt;&gt;"Free Game",INDEX('Game Records'!$U:$U,$H247)&lt;&gt;"Disqualified — Free Game",OR(INDEX('Game Records'!$E:$E,$H247)="",LOWER(INDEX('Game Records'!$E:$E,$H247)&amp;"")="n/a")),"Game Type; ","")&amp;IF(INDEX('Game Records'!$F:$F,$H247)="","Payment Type; ","")&amp;IF(AND(INDEX('Game Records'!$U:$U,$H247)&lt;&gt;"Subscription",INDEX('Game Records'!$U:$U,$H247)&lt;&gt;"Free Game",INDEX('Game Records'!$U:$U,$H247)&lt;&gt;"Disqualified — Free Game",INDEX('Game Records'!$G:$G,$H247)=""),"Gross Pot; ","")&amp;IF(AND(INDEX('Game Records'!$U:$U,$H247)&lt;&gt;"Free Game",INDEX('Game Records'!$U:$U,$H247)&lt;&gt;"Disqualified — Free Game",INDEX('Game Records'!$H:$H,$H247)=""),"Entry Fee; ","")&amp;IF(AND(INDEX('Game Records'!$U:$U,$H247)&lt;&gt;"Subscription",INDEX('Game Records'!$U:$U,$H247)&lt;&gt;"Free Game",INDEX('Game Records'!$U:$U,$H247)&lt;&gt;"Disqualified — Free Game",INDEX('Game Records'!$I:$I,$H247)=""),"Eligible Players; ","")&amp;IF(AND(INDEX('Game Records'!$U:$U,$H247)&lt;&gt;"Subscription",INDEX('Game Records'!$U:$U,$H247)&lt;&gt;"Free Game",INDEX('Game Records'!$U:$U,$H247)&lt;&gt;"Disqualified — Free Game",INDEX('Game Records'!$J:$J,$H247)=""),"Total Players; ","")&amp;IF(AND(LOWER(INDEX('Game Records'!$D:$D,$H247)&amp;"")="finalized",LOWER(INDEX('Game Records'!$L:$L,$H247)&amp;"")&lt;&gt;"yes",INDEX('Game Records'!$U:$U,$H247)&lt;&gt;"Subscription",INDEX('Game Records'!$U:$U,$H247)&lt;&gt;"Free Game",INDEX('Game Records'!$U:$U,$H247)&lt;&gt;"Disqualified — Free Game",INDEX('Game Records'!$K:$K,$H247)=""),"Final Earned; ","")&amp;IF(AND(LOWER(INDEX('Game Records'!$D:$D,$H247)&amp;"")="finalized",INDEX('Game Records'!$U:$U,$H247)&lt;&gt;"Subscription",INDEX('Game Records'!$U:$U,$H247)&lt;&gt;"Free Game",INDEX('Game Records'!$U:$U,$H247)&lt;&gt;"Disqualified — Free Game",OR(INDEX('Game Records'!$L:$L,$H247)="",LOWER(INDEX('Game Records'!$L:$L,$H247)&amp;"")="n/a")),"Disqualified Status; ",""))</x:f>
        <x:v/>
      </x:c>
      <x:c r="G247" s="331" t="str">
        <x:f>IF($H247="","",IFERROR(INDEX('Game Records'!$M:$M,$H247),""))</x:f>
        <x:v/>
      </x:c>
      <x:c r="H247" s="104" t="str">
        <x:f>IF($H246="","",IFERROR(MATCH(1,INDEX((ROW('Game Records'!$U$5:$U$504)&gt;$H246)*(('Game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8" ht="24" customHeight="1">
      <x:c r="A248" s="332" t="str">
        <x:f>IF($H248="","",ROWS($A$5:A248))</x:f>
        <x:v/>
      </x:c>
      <x:c r="B248" s="332" t="str">
        <x:f>IF($H248="","","G-"&amp;TEXT($A248,"0000"))</x:f>
        <x:v/>
      </x:c>
      <x:c r="C248" s="331" t="str">
        <x:f>IF($H248="","",IFERROR(INDEX('Game Records'!$A:$A,$H248),""))</x:f>
        <x:v/>
      </x:c>
      <x:c r="D248" s="331" t="str">
        <x:f>IF($H248="","",IFERROR(INDEX('Game Records'!$U:$U,$H248),""))</x:f>
        <x:v/>
      </x:c>
      <x:c r="E248" s="331" t="str">
        <x:f>IF($H248="","",IF($F248="","No Highlighted Fields","Highlighted Fields Present"))</x:f>
        <x:v/>
      </x:c>
      <x:c r="F248" s="331" t="str">
        <x:f>IF($H248="","",IF(INDEX('Game Records'!$B:$B,$H248)="","Start Date; ","")&amp;IF(INDEX('Game Records'!$C:$C,$H248)="","End Date; ","")&amp;IF(AND(INDEX('Game Records'!$U:$U,$H248)&lt;&gt;"Subscription",INDEX('Game Records'!$U:$U,$H248)&lt;&gt;"Free Game",INDEX('Game Records'!$U:$U,$H248)&lt;&gt;"Disqualified — Free Game",OR(INDEX('Game Records'!$D:$D,$H248)="",LOWER(INDEX('Game Records'!$D:$D,$H248)&amp;"")="n/a")),"Entry Mode; ","")&amp;IF(AND(INDEX('Game Records'!$U:$U,$H248)&lt;&gt;"Subscription",INDEX('Game Records'!$U:$U,$H248)&lt;&gt;"Free Game",INDEX('Game Records'!$U:$U,$H248)&lt;&gt;"Disqualified — Free Game",OR(INDEX('Game Records'!$E:$E,$H248)="",LOWER(INDEX('Game Records'!$E:$E,$H248)&amp;"")="n/a")),"Game Type; ","")&amp;IF(INDEX('Game Records'!$F:$F,$H248)="","Payment Type; ","")&amp;IF(AND(INDEX('Game Records'!$U:$U,$H248)&lt;&gt;"Subscription",INDEX('Game Records'!$U:$U,$H248)&lt;&gt;"Free Game",INDEX('Game Records'!$U:$U,$H248)&lt;&gt;"Disqualified — Free Game",INDEX('Game Records'!$G:$G,$H248)=""),"Gross Pot; ","")&amp;IF(AND(INDEX('Game Records'!$U:$U,$H248)&lt;&gt;"Free Game",INDEX('Game Records'!$U:$U,$H248)&lt;&gt;"Disqualified — Free Game",INDEX('Game Records'!$H:$H,$H248)=""),"Entry Fee; ","")&amp;IF(AND(INDEX('Game Records'!$U:$U,$H248)&lt;&gt;"Subscription",INDEX('Game Records'!$U:$U,$H248)&lt;&gt;"Free Game",INDEX('Game Records'!$U:$U,$H248)&lt;&gt;"Disqualified — Free Game",INDEX('Game Records'!$I:$I,$H248)=""),"Eligible Players; ","")&amp;IF(AND(INDEX('Game Records'!$U:$U,$H248)&lt;&gt;"Subscription",INDEX('Game Records'!$U:$U,$H248)&lt;&gt;"Free Game",INDEX('Game Records'!$U:$U,$H248)&lt;&gt;"Disqualified — Free Game",INDEX('Game Records'!$J:$J,$H248)=""),"Total Players; ","")&amp;IF(AND(LOWER(INDEX('Game Records'!$D:$D,$H248)&amp;"")="finalized",LOWER(INDEX('Game Records'!$L:$L,$H248)&amp;"")&lt;&gt;"yes",INDEX('Game Records'!$U:$U,$H248)&lt;&gt;"Subscription",INDEX('Game Records'!$U:$U,$H248)&lt;&gt;"Free Game",INDEX('Game Records'!$U:$U,$H248)&lt;&gt;"Disqualified — Free Game",INDEX('Game Records'!$K:$K,$H248)=""),"Final Earned; ","")&amp;IF(AND(LOWER(INDEX('Game Records'!$D:$D,$H248)&amp;"")="finalized",INDEX('Game Records'!$U:$U,$H248)&lt;&gt;"Subscription",INDEX('Game Records'!$U:$U,$H248)&lt;&gt;"Free Game",INDEX('Game Records'!$U:$U,$H248)&lt;&gt;"Disqualified — Free Game",OR(INDEX('Game Records'!$L:$L,$H248)="",LOWER(INDEX('Game Records'!$L:$L,$H248)&amp;"")="n/a")),"Disqualified Status; ",""))</x:f>
        <x:v/>
      </x:c>
      <x:c r="G248" s="331" t="str">
        <x:f>IF($H248="","",IFERROR(INDEX('Game Records'!$M:$M,$H248),""))</x:f>
        <x:v/>
      </x:c>
      <x:c r="H248" s="104" t="str">
        <x:f>IF($H247="","",IFERROR(MATCH(1,INDEX((ROW('Game Records'!$U$5:$U$504)&gt;$H247)*(('Game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49" ht="24" customHeight="1">
      <x:c r="A249" s="332" t="str">
        <x:f>IF($H249="","",ROWS($A$5:A249))</x:f>
        <x:v/>
      </x:c>
      <x:c r="B249" s="332" t="str">
        <x:f>IF($H249="","","G-"&amp;TEXT($A249,"0000"))</x:f>
        <x:v/>
      </x:c>
      <x:c r="C249" s="331" t="str">
        <x:f>IF($H249="","",IFERROR(INDEX('Game Records'!$A:$A,$H249),""))</x:f>
        <x:v/>
      </x:c>
      <x:c r="D249" s="331" t="str">
        <x:f>IF($H249="","",IFERROR(INDEX('Game Records'!$U:$U,$H249),""))</x:f>
        <x:v/>
      </x:c>
      <x:c r="E249" s="331" t="str">
        <x:f>IF($H249="","",IF($F249="","No Highlighted Fields","Highlighted Fields Present"))</x:f>
        <x:v/>
      </x:c>
      <x:c r="F249" s="331" t="str">
        <x:f>IF($H249="","",IF(INDEX('Game Records'!$B:$B,$H249)="","Start Date; ","")&amp;IF(INDEX('Game Records'!$C:$C,$H249)="","End Date; ","")&amp;IF(AND(INDEX('Game Records'!$U:$U,$H249)&lt;&gt;"Subscription",INDEX('Game Records'!$U:$U,$H249)&lt;&gt;"Free Game",INDEX('Game Records'!$U:$U,$H249)&lt;&gt;"Disqualified — Free Game",OR(INDEX('Game Records'!$D:$D,$H249)="",LOWER(INDEX('Game Records'!$D:$D,$H249)&amp;"")="n/a")),"Entry Mode; ","")&amp;IF(AND(INDEX('Game Records'!$U:$U,$H249)&lt;&gt;"Subscription",INDEX('Game Records'!$U:$U,$H249)&lt;&gt;"Free Game",INDEX('Game Records'!$U:$U,$H249)&lt;&gt;"Disqualified — Free Game",OR(INDEX('Game Records'!$E:$E,$H249)="",LOWER(INDEX('Game Records'!$E:$E,$H249)&amp;"")="n/a")),"Game Type; ","")&amp;IF(INDEX('Game Records'!$F:$F,$H249)="","Payment Type; ","")&amp;IF(AND(INDEX('Game Records'!$U:$U,$H249)&lt;&gt;"Subscription",INDEX('Game Records'!$U:$U,$H249)&lt;&gt;"Free Game",INDEX('Game Records'!$U:$U,$H249)&lt;&gt;"Disqualified — Free Game",INDEX('Game Records'!$G:$G,$H249)=""),"Gross Pot; ","")&amp;IF(AND(INDEX('Game Records'!$U:$U,$H249)&lt;&gt;"Free Game",INDEX('Game Records'!$U:$U,$H249)&lt;&gt;"Disqualified — Free Game",INDEX('Game Records'!$H:$H,$H249)=""),"Entry Fee; ","")&amp;IF(AND(INDEX('Game Records'!$U:$U,$H249)&lt;&gt;"Subscription",INDEX('Game Records'!$U:$U,$H249)&lt;&gt;"Free Game",INDEX('Game Records'!$U:$U,$H249)&lt;&gt;"Disqualified — Free Game",INDEX('Game Records'!$I:$I,$H249)=""),"Eligible Players; ","")&amp;IF(AND(INDEX('Game Records'!$U:$U,$H249)&lt;&gt;"Subscription",INDEX('Game Records'!$U:$U,$H249)&lt;&gt;"Free Game",INDEX('Game Records'!$U:$U,$H249)&lt;&gt;"Disqualified — Free Game",INDEX('Game Records'!$J:$J,$H249)=""),"Total Players; ","")&amp;IF(AND(LOWER(INDEX('Game Records'!$D:$D,$H249)&amp;"")="finalized",LOWER(INDEX('Game Records'!$L:$L,$H249)&amp;"")&lt;&gt;"yes",INDEX('Game Records'!$U:$U,$H249)&lt;&gt;"Subscription",INDEX('Game Records'!$U:$U,$H249)&lt;&gt;"Free Game",INDEX('Game Records'!$U:$U,$H249)&lt;&gt;"Disqualified — Free Game",INDEX('Game Records'!$K:$K,$H249)=""),"Final Earned; ","")&amp;IF(AND(LOWER(INDEX('Game Records'!$D:$D,$H249)&amp;"")="finalized",INDEX('Game Records'!$U:$U,$H249)&lt;&gt;"Subscription",INDEX('Game Records'!$U:$U,$H249)&lt;&gt;"Free Game",INDEX('Game Records'!$U:$U,$H249)&lt;&gt;"Disqualified — Free Game",OR(INDEX('Game Records'!$L:$L,$H249)="",LOWER(INDEX('Game Records'!$L:$L,$H249)&amp;"")="n/a")),"Disqualified Status; ",""))</x:f>
        <x:v/>
      </x:c>
      <x:c r="G249" s="331" t="str">
        <x:f>IF($H249="","",IFERROR(INDEX('Game Records'!$M:$M,$H249),""))</x:f>
        <x:v/>
      </x:c>
      <x:c r="H249" s="104" t="str">
        <x:f>IF($H248="","",IFERROR(MATCH(1,INDEX((ROW('Game Records'!$U$5:$U$504)&gt;$H248)*(('Game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0" ht="24" customHeight="1">
      <x:c r="A250" s="332" t="str">
        <x:f>IF($H250="","",ROWS($A$5:A250))</x:f>
        <x:v/>
      </x:c>
      <x:c r="B250" s="332" t="str">
        <x:f>IF($H250="","","G-"&amp;TEXT($A250,"0000"))</x:f>
        <x:v/>
      </x:c>
      <x:c r="C250" s="331" t="str">
        <x:f>IF($H250="","",IFERROR(INDEX('Game Records'!$A:$A,$H250),""))</x:f>
        <x:v/>
      </x:c>
      <x:c r="D250" s="331" t="str">
        <x:f>IF($H250="","",IFERROR(INDEX('Game Records'!$U:$U,$H250),""))</x:f>
        <x:v/>
      </x:c>
      <x:c r="E250" s="331" t="str">
        <x:f>IF($H250="","",IF($F250="","No Highlighted Fields","Highlighted Fields Present"))</x:f>
        <x:v/>
      </x:c>
      <x:c r="F250" s="331" t="str">
        <x:f>IF($H250="","",IF(INDEX('Game Records'!$B:$B,$H250)="","Start Date; ","")&amp;IF(INDEX('Game Records'!$C:$C,$H250)="","End Date; ","")&amp;IF(AND(INDEX('Game Records'!$U:$U,$H250)&lt;&gt;"Subscription",INDEX('Game Records'!$U:$U,$H250)&lt;&gt;"Free Game",INDEX('Game Records'!$U:$U,$H250)&lt;&gt;"Disqualified — Free Game",OR(INDEX('Game Records'!$D:$D,$H250)="",LOWER(INDEX('Game Records'!$D:$D,$H250)&amp;"")="n/a")),"Entry Mode; ","")&amp;IF(AND(INDEX('Game Records'!$U:$U,$H250)&lt;&gt;"Subscription",INDEX('Game Records'!$U:$U,$H250)&lt;&gt;"Free Game",INDEX('Game Records'!$U:$U,$H250)&lt;&gt;"Disqualified — Free Game",OR(INDEX('Game Records'!$E:$E,$H250)="",LOWER(INDEX('Game Records'!$E:$E,$H250)&amp;"")="n/a")),"Game Type; ","")&amp;IF(INDEX('Game Records'!$F:$F,$H250)="","Payment Type; ","")&amp;IF(AND(INDEX('Game Records'!$U:$U,$H250)&lt;&gt;"Subscription",INDEX('Game Records'!$U:$U,$H250)&lt;&gt;"Free Game",INDEX('Game Records'!$U:$U,$H250)&lt;&gt;"Disqualified — Free Game",INDEX('Game Records'!$G:$G,$H250)=""),"Gross Pot; ","")&amp;IF(AND(INDEX('Game Records'!$U:$U,$H250)&lt;&gt;"Free Game",INDEX('Game Records'!$U:$U,$H250)&lt;&gt;"Disqualified — Free Game",INDEX('Game Records'!$H:$H,$H250)=""),"Entry Fee; ","")&amp;IF(AND(INDEX('Game Records'!$U:$U,$H250)&lt;&gt;"Subscription",INDEX('Game Records'!$U:$U,$H250)&lt;&gt;"Free Game",INDEX('Game Records'!$U:$U,$H250)&lt;&gt;"Disqualified — Free Game",INDEX('Game Records'!$I:$I,$H250)=""),"Eligible Players; ","")&amp;IF(AND(INDEX('Game Records'!$U:$U,$H250)&lt;&gt;"Subscription",INDEX('Game Records'!$U:$U,$H250)&lt;&gt;"Free Game",INDEX('Game Records'!$U:$U,$H250)&lt;&gt;"Disqualified — Free Game",INDEX('Game Records'!$J:$J,$H250)=""),"Total Players; ","")&amp;IF(AND(LOWER(INDEX('Game Records'!$D:$D,$H250)&amp;"")="finalized",LOWER(INDEX('Game Records'!$L:$L,$H250)&amp;"")&lt;&gt;"yes",INDEX('Game Records'!$U:$U,$H250)&lt;&gt;"Subscription",INDEX('Game Records'!$U:$U,$H250)&lt;&gt;"Free Game",INDEX('Game Records'!$U:$U,$H250)&lt;&gt;"Disqualified — Free Game",INDEX('Game Records'!$K:$K,$H250)=""),"Final Earned; ","")&amp;IF(AND(LOWER(INDEX('Game Records'!$D:$D,$H250)&amp;"")="finalized",INDEX('Game Records'!$U:$U,$H250)&lt;&gt;"Subscription",INDEX('Game Records'!$U:$U,$H250)&lt;&gt;"Free Game",INDEX('Game Records'!$U:$U,$H250)&lt;&gt;"Disqualified — Free Game",OR(INDEX('Game Records'!$L:$L,$H250)="",LOWER(INDEX('Game Records'!$L:$L,$H250)&amp;"")="n/a")),"Disqualified Status; ",""))</x:f>
        <x:v/>
      </x:c>
      <x:c r="G250" s="331" t="str">
        <x:f>IF($H250="","",IFERROR(INDEX('Game Records'!$M:$M,$H250),""))</x:f>
        <x:v/>
      </x:c>
      <x:c r="H250" s="104" t="str">
        <x:f>IF($H249="","",IFERROR(MATCH(1,INDEX((ROW('Game Records'!$U$5:$U$504)&gt;$H249)*(('Game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1" ht="24" customHeight="1">
      <x:c r="A251" s="332" t="str">
        <x:f>IF($H251="","",ROWS($A$5:A251))</x:f>
        <x:v/>
      </x:c>
      <x:c r="B251" s="332" t="str">
        <x:f>IF($H251="","","G-"&amp;TEXT($A251,"0000"))</x:f>
        <x:v/>
      </x:c>
      <x:c r="C251" s="331" t="str">
        <x:f>IF($H251="","",IFERROR(INDEX('Game Records'!$A:$A,$H251),""))</x:f>
        <x:v/>
      </x:c>
      <x:c r="D251" s="331" t="str">
        <x:f>IF($H251="","",IFERROR(INDEX('Game Records'!$U:$U,$H251),""))</x:f>
        <x:v/>
      </x:c>
      <x:c r="E251" s="331" t="str">
        <x:f>IF($H251="","",IF($F251="","No Highlighted Fields","Highlighted Fields Present"))</x:f>
        <x:v/>
      </x:c>
      <x:c r="F251" s="331" t="str">
        <x:f>IF($H251="","",IF(INDEX('Game Records'!$B:$B,$H251)="","Start Date; ","")&amp;IF(INDEX('Game Records'!$C:$C,$H251)="","End Date; ","")&amp;IF(AND(INDEX('Game Records'!$U:$U,$H251)&lt;&gt;"Subscription",INDEX('Game Records'!$U:$U,$H251)&lt;&gt;"Free Game",INDEX('Game Records'!$U:$U,$H251)&lt;&gt;"Disqualified — Free Game",OR(INDEX('Game Records'!$D:$D,$H251)="",LOWER(INDEX('Game Records'!$D:$D,$H251)&amp;"")="n/a")),"Entry Mode; ","")&amp;IF(AND(INDEX('Game Records'!$U:$U,$H251)&lt;&gt;"Subscription",INDEX('Game Records'!$U:$U,$H251)&lt;&gt;"Free Game",INDEX('Game Records'!$U:$U,$H251)&lt;&gt;"Disqualified — Free Game",OR(INDEX('Game Records'!$E:$E,$H251)="",LOWER(INDEX('Game Records'!$E:$E,$H251)&amp;"")="n/a")),"Game Type; ","")&amp;IF(INDEX('Game Records'!$F:$F,$H251)="","Payment Type; ","")&amp;IF(AND(INDEX('Game Records'!$U:$U,$H251)&lt;&gt;"Subscription",INDEX('Game Records'!$U:$U,$H251)&lt;&gt;"Free Game",INDEX('Game Records'!$U:$U,$H251)&lt;&gt;"Disqualified — Free Game",INDEX('Game Records'!$G:$G,$H251)=""),"Gross Pot; ","")&amp;IF(AND(INDEX('Game Records'!$U:$U,$H251)&lt;&gt;"Free Game",INDEX('Game Records'!$U:$U,$H251)&lt;&gt;"Disqualified — Free Game",INDEX('Game Records'!$H:$H,$H251)=""),"Entry Fee; ","")&amp;IF(AND(INDEX('Game Records'!$U:$U,$H251)&lt;&gt;"Subscription",INDEX('Game Records'!$U:$U,$H251)&lt;&gt;"Free Game",INDEX('Game Records'!$U:$U,$H251)&lt;&gt;"Disqualified — Free Game",INDEX('Game Records'!$I:$I,$H251)=""),"Eligible Players; ","")&amp;IF(AND(INDEX('Game Records'!$U:$U,$H251)&lt;&gt;"Subscription",INDEX('Game Records'!$U:$U,$H251)&lt;&gt;"Free Game",INDEX('Game Records'!$U:$U,$H251)&lt;&gt;"Disqualified — Free Game",INDEX('Game Records'!$J:$J,$H251)=""),"Total Players; ","")&amp;IF(AND(LOWER(INDEX('Game Records'!$D:$D,$H251)&amp;"")="finalized",LOWER(INDEX('Game Records'!$L:$L,$H251)&amp;"")&lt;&gt;"yes",INDEX('Game Records'!$U:$U,$H251)&lt;&gt;"Subscription",INDEX('Game Records'!$U:$U,$H251)&lt;&gt;"Free Game",INDEX('Game Records'!$U:$U,$H251)&lt;&gt;"Disqualified — Free Game",INDEX('Game Records'!$K:$K,$H251)=""),"Final Earned; ","")&amp;IF(AND(LOWER(INDEX('Game Records'!$D:$D,$H251)&amp;"")="finalized",INDEX('Game Records'!$U:$U,$H251)&lt;&gt;"Subscription",INDEX('Game Records'!$U:$U,$H251)&lt;&gt;"Free Game",INDEX('Game Records'!$U:$U,$H251)&lt;&gt;"Disqualified — Free Game",OR(INDEX('Game Records'!$L:$L,$H251)="",LOWER(INDEX('Game Records'!$L:$L,$H251)&amp;"")="n/a")),"Disqualified Status; ",""))</x:f>
        <x:v/>
      </x:c>
      <x:c r="G251" s="331" t="str">
        <x:f>IF($H251="","",IFERROR(INDEX('Game Records'!$M:$M,$H251),""))</x:f>
        <x:v/>
      </x:c>
      <x:c r="H251" s="104" t="str">
        <x:f>IF($H250="","",IFERROR(MATCH(1,INDEX((ROW('Game Records'!$U$5:$U$504)&gt;$H250)*(('Game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2" ht="24" customHeight="1">
      <x:c r="A252" s="332" t="str">
        <x:f>IF($H252="","",ROWS($A$5:A252))</x:f>
        <x:v/>
      </x:c>
      <x:c r="B252" s="332" t="str">
        <x:f>IF($H252="","","G-"&amp;TEXT($A252,"0000"))</x:f>
        <x:v/>
      </x:c>
      <x:c r="C252" s="331" t="str">
        <x:f>IF($H252="","",IFERROR(INDEX('Game Records'!$A:$A,$H252),""))</x:f>
        <x:v/>
      </x:c>
      <x:c r="D252" s="331" t="str">
        <x:f>IF($H252="","",IFERROR(INDEX('Game Records'!$U:$U,$H252),""))</x:f>
        <x:v/>
      </x:c>
      <x:c r="E252" s="331" t="str">
        <x:f>IF($H252="","",IF($F252="","No Highlighted Fields","Highlighted Fields Present"))</x:f>
        <x:v/>
      </x:c>
      <x:c r="F252" s="331" t="str">
        <x:f>IF($H252="","",IF(INDEX('Game Records'!$B:$B,$H252)="","Start Date; ","")&amp;IF(INDEX('Game Records'!$C:$C,$H252)="","End Date; ","")&amp;IF(AND(INDEX('Game Records'!$U:$U,$H252)&lt;&gt;"Subscription",INDEX('Game Records'!$U:$U,$H252)&lt;&gt;"Free Game",INDEX('Game Records'!$U:$U,$H252)&lt;&gt;"Disqualified — Free Game",OR(INDEX('Game Records'!$D:$D,$H252)="",LOWER(INDEX('Game Records'!$D:$D,$H252)&amp;"")="n/a")),"Entry Mode; ","")&amp;IF(AND(INDEX('Game Records'!$U:$U,$H252)&lt;&gt;"Subscription",INDEX('Game Records'!$U:$U,$H252)&lt;&gt;"Free Game",INDEX('Game Records'!$U:$U,$H252)&lt;&gt;"Disqualified — Free Game",OR(INDEX('Game Records'!$E:$E,$H252)="",LOWER(INDEX('Game Records'!$E:$E,$H252)&amp;"")="n/a")),"Game Type; ","")&amp;IF(INDEX('Game Records'!$F:$F,$H252)="","Payment Type; ","")&amp;IF(AND(INDEX('Game Records'!$U:$U,$H252)&lt;&gt;"Subscription",INDEX('Game Records'!$U:$U,$H252)&lt;&gt;"Free Game",INDEX('Game Records'!$U:$U,$H252)&lt;&gt;"Disqualified — Free Game",INDEX('Game Records'!$G:$G,$H252)=""),"Gross Pot; ","")&amp;IF(AND(INDEX('Game Records'!$U:$U,$H252)&lt;&gt;"Free Game",INDEX('Game Records'!$U:$U,$H252)&lt;&gt;"Disqualified — Free Game",INDEX('Game Records'!$H:$H,$H252)=""),"Entry Fee; ","")&amp;IF(AND(INDEX('Game Records'!$U:$U,$H252)&lt;&gt;"Subscription",INDEX('Game Records'!$U:$U,$H252)&lt;&gt;"Free Game",INDEX('Game Records'!$U:$U,$H252)&lt;&gt;"Disqualified — Free Game",INDEX('Game Records'!$I:$I,$H252)=""),"Eligible Players; ","")&amp;IF(AND(INDEX('Game Records'!$U:$U,$H252)&lt;&gt;"Subscription",INDEX('Game Records'!$U:$U,$H252)&lt;&gt;"Free Game",INDEX('Game Records'!$U:$U,$H252)&lt;&gt;"Disqualified — Free Game",INDEX('Game Records'!$J:$J,$H252)=""),"Total Players; ","")&amp;IF(AND(LOWER(INDEX('Game Records'!$D:$D,$H252)&amp;"")="finalized",LOWER(INDEX('Game Records'!$L:$L,$H252)&amp;"")&lt;&gt;"yes",INDEX('Game Records'!$U:$U,$H252)&lt;&gt;"Subscription",INDEX('Game Records'!$U:$U,$H252)&lt;&gt;"Free Game",INDEX('Game Records'!$U:$U,$H252)&lt;&gt;"Disqualified — Free Game",INDEX('Game Records'!$K:$K,$H252)=""),"Final Earned; ","")&amp;IF(AND(LOWER(INDEX('Game Records'!$D:$D,$H252)&amp;"")="finalized",INDEX('Game Records'!$U:$U,$H252)&lt;&gt;"Subscription",INDEX('Game Records'!$U:$U,$H252)&lt;&gt;"Free Game",INDEX('Game Records'!$U:$U,$H252)&lt;&gt;"Disqualified — Free Game",OR(INDEX('Game Records'!$L:$L,$H252)="",LOWER(INDEX('Game Records'!$L:$L,$H252)&amp;"")="n/a")),"Disqualified Status; ",""))</x:f>
        <x:v/>
      </x:c>
      <x:c r="G252" s="331" t="str">
        <x:f>IF($H252="","",IFERROR(INDEX('Game Records'!$M:$M,$H252),""))</x:f>
        <x:v/>
      </x:c>
      <x:c r="H252" s="104" t="str">
        <x:f>IF($H251="","",IFERROR(MATCH(1,INDEX((ROW('Game Records'!$U$5:$U$504)&gt;$H251)*(('Game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3" ht="24" customHeight="1">
      <x:c r="A253" s="332" t="str">
        <x:f>IF($H253="","",ROWS($A$5:A253))</x:f>
        <x:v/>
      </x:c>
      <x:c r="B253" s="332" t="str">
        <x:f>IF($H253="","","G-"&amp;TEXT($A253,"0000"))</x:f>
        <x:v/>
      </x:c>
      <x:c r="C253" s="331" t="str">
        <x:f>IF($H253="","",IFERROR(INDEX('Game Records'!$A:$A,$H253),""))</x:f>
        <x:v/>
      </x:c>
      <x:c r="D253" s="331" t="str">
        <x:f>IF($H253="","",IFERROR(INDEX('Game Records'!$U:$U,$H253),""))</x:f>
        <x:v/>
      </x:c>
      <x:c r="E253" s="331" t="str">
        <x:f>IF($H253="","",IF($F253="","No Highlighted Fields","Highlighted Fields Present"))</x:f>
        <x:v/>
      </x:c>
      <x:c r="F253" s="331" t="str">
        <x:f>IF($H253="","",IF(INDEX('Game Records'!$B:$B,$H253)="","Start Date; ","")&amp;IF(INDEX('Game Records'!$C:$C,$H253)="","End Date; ","")&amp;IF(AND(INDEX('Game Records'!$U:$U,$H253)&lt;&gt;"Subscription",INDEX('Game Records'!$U:$U,$H253)&lt;&gt;"Free Game",INDEX('Game Records'!$U:$U,$H253)&lt;&gt;"Disqualified — Free Game",OR(INDEX('Game Records'!$D:$D,$H253)="",LOWER(INDEX('Game Records'!$D:$D,$H253)&amp;"")="n/a")),"Entry Mode; ","")&amp;IF(AND(INDEX('Game Records'!$U:$U,$H253)&lt;&gt;"Subscription",INDEX('Game Records'!$U:$U,$H253)&lt;&gt;"Free Game",INDEX('Game Records'!$U:$U,$H253)&lt;&gt;"Disqualified — Free Game",OR(INDEX('Game Records'!$E:$E,$H253)="",LOWER(INDEX('Game Records'!$E:$E,$H253)&amp;"")="n/a")),"Game Type; ","")&amp;IF(INDEX('Game Records'!$F:$F,$H253)="","Payment Type; ","")&amp;IF(AND(INDEX('Game Records'!$U:$U,$H253)&lt;&gt;"Subscription",INDEX('Game Records'!$U:$U,$H253)&lt;&gt;"Free Game",INDEX('Game Records'!$U:$U,$H253)&lt;&gt;"Disqualified — Free Game",INDEX('Game Records'!$G:$G,$H253)=""),"Gross Pot; ","")&amp;IF(AND(INDEX('Game Records'!$U:$U,$H253)&lt;&gt;"Free Game",INDEX('Game Records'!$U:$U,$H253)&lt;&gt;"Disqualified — Free Game",INDEX('Game Records'!$H:$H,$H253)=""),"Entry Fee; ","")&amp;IF(AND(INDEX('Game Records'!$U:$U,$H253)&lt;&gt;"Subscription",INDEX('Game Records'!$U:$U,$H253)&lt;&gt;"Free Game",INDEX('Game Records'!$U:$U,$H253)&lt;&gt;"Disqualified — Free Game",INDEX('Game Records'!$I:$I,$H253)=""),"Eligible Players; ","")&amp;IF(AND(INDEX('Game Records'!$U:$U,$H253)&lt;&gt;"Subscription",INDEX('Game Records'!$U:$U,$H253)&lt;&gt;"Free Game",INDEX('Game Records'!$U:$U,$H253)&lt;&gt;"Disqualified — Free Game",INDEX('Game Records'!$J:$J,$H253)=""),"Total Players; ","")&amp;IF(AND(LOWER(INDEX('Game Records'!$D:$D,$H253)&amp;"")="finalized",LOWER(INDEX('Game Records'!$L:$L,$H253)&amp;"")&lt;&gt;"yes",INDEX('Game Records'!$U:$U,$H253)&lt;&gt;"Subscription",INDEX('Game Records'!$U:$U,$H253)&lt;&gt;"Free Game",INDEX('Game Records'!$U:$U,$H253)&lt;&gt;"Disqualified — Free Game",INDEX('Game Records'!$K:$K,$H253)=""),"Final Earned; ","")&amp;IF(AND(LOWER(INDEX('Game Records'!$D:$D,$H253)&amp;"")="finalized",INDEX('Game Records'!$U:$U,$H253)&lt;&gt;"Subscription",INDEX('Game Records'!$U:$U,$H253)&lt;&gt;"Free Game",INDEX('Game Records'!$U:$U,$H253)&lt;&gt;"Disqualified — Free Game",OR(INDEX('Game Records'!$L:$L,$H253)="",LOWER(INDEX('Game Records'!$L:$L,$H253)&amp;"")="n/a")),"Disqualified Status; ",""))</x:f>
        <x:v/>
      </x:c>
      <x:c r="G253" s="331" t="str">
        <x:f>IF($H253="","",IFERROR(INDEX('Game Records'!$M:$M,$H253),""))</x:f>
        <x:v/>
      </x:c>
      <x:c r="H253" s="104" t="str">
        <x:f>IF($H252="","",IFERROR(MATCH(1,INDEX((ROW('Game Records'!$U$5:$U$504)&gt;$H252)*(('Game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4" ht="24" customHeight="1">
      <x:c r="A254" s="332" t="str">
        <x:f>IF($H254="","",ROWS($A$5:A254))</x:f>
        <x:v/>
      </x:c>
      <x:c r="B254" s="332" t="str">
        <x:f>IF($H254="","","G-"&amp;TEXT($A254,"0000"))</x:f>
        <x:v/>
      </x:c>
      <x:c r="C254" s="331" t="str">
        <x:f>IF($H254="","",IFERROR(INDEX('Game Records'!$A:$A,$H254),""))</x:f>
        <x:v/>
      </x:c>
      <x:c r="D254" s="331" t="str">
        <x:f>IF($H254="","",IFERROR(INDEX('Game Records'!$U:$U,$H254),""))</x:f>
        <x:v/>
      </x:c>
      <x:c r="E254" s="331" t="str">
        <x:f>IF($H254="","",IF($F254="","No Highlighted Fields","Highlighted Fields Present"))</x:f>
        <x:v/>
      </x:c>
      <x:c r="F254" s="331" t="str">
        <x:f>IF($H254="","",IF(INDEX('Game Records'!$B:$B,$H254)="","Start Date; ","")&amp;IF(INDEX('Game Records'!$C:$C,$H254)="","End Date; ","")&amp;IF(AND(INDEX('Game Records'!$U:$U,$H254)&lt;&gt;"Subscription",INDEX('Game Records'!$U:$U,$H254)&lt;&gt;"Free Game",INDEX('Game Records'!$U:$U,$H254)&lt;&gt;"Disqualified — Free Game",OR(INDEX('Game Records'!$D:$D,$H254)="",LOWER(INDEX('Game Records'!$D:$D,$H254)&amp;"")="n/a")),"Entry Mode; ","")&amp;IF(AND(INDEX('Game Records'!$U:$U,$H254)&lt;&gt;"Subscription",INDEX('Game Records'!$U:$U,$H254)&lt;&gt;"Free Game",INDEX('Game Records'!$U:$U,$H254)&lt;&gt;"Disqualified — Free Game",OR(INDEX('Game Records'!$E:$E,$H254)="",LOWER(INDEX('Game Records'!$E:$E,$H254)&amp;"")="n/a")),"Game Type; ","")&amp;IF(INDEX('Game Records'!$F:$F,$H254)="","Payment Type; ","")&amp;IF(AND(INDEX('Game Records'!$U:$U,$H254)&lt;&gt;"Subscription",INDEX('Game Records'!$U:$U,$H254)&lt;&gt;"Free Game",INDEX('Game Records'!$U:$U,$H254)&lt;&gt;"Disqualified — Free Game",INDEX('Game Records'!$G:$G,$H254)=""),"Gross Pot; ","")&amp;IF(AND(INDEX('Game Records'!$U:$U,$H254)&lt;&gt;"Free Game",INDEX('Game Records'!$U:$U,$H254)&lt;&gt;"Disqualified — Free Game",INDEX('Game Records'!$H:$H,$H254)=""),"Entry Fee; ","")&amp;IF(AND(INDEX('Game Records'!$U:$U,$H254)&lt;&gt;"Subscription",INDEX('Game Records'!$U:$U,$H254)&lt;&gt;"Free Game",INDEX('Game Records'!$U:$U,$H254)&lt;&gt;"Disqualified — Free Game",INDEX('Game Records'!$I:$I,$H254)=""),"Eligible Players; ","")&amp;IF(AND(INDEX('Game Records'!$U:$U,$H254)&lt;&gt;"Subscription",INDEX('Game Records'!$U:$U,$H254)&lt;&gt;"Free Game",INDEX('Game Records'!$U:$U,$H254)&lt;&gt;"Disqualified — Free Game",INDEX('Game Records'!$J:$J,$H254)=""),"Total Players; ","")&amp;IF(AND(LOWER(INDEX('Game Records'!$D:$D,$H254)&amp;"")="finalized",LOWER(INDEX('Game Records'!$L:$L,$H254)&amp;"")&lt;&gt;"yes",INDEX('Game Records'!$U:$U,$H254)&lt;&gt;"Subscription",INDEX('Game Records'!$U:$U,$H254)&lt;&gt;"Free Game",INDEX('Game Records'!$U:$U,$H254)&lt;&gt;"Disqualified — Free Game",INDEX('Game Records'!$K:$K,$H254)=""),"Final Earned; ","")&amp;IF(AND(LOWER(INDEX('Game Records'!$D:$D,$H254)&amp;"")="finalized",INDEX('Game Records'!$U:$U,$H254)&lt;&gt;"Subscription",INDEX('Game Records'!$U:$U,$H254)&lt;&gt;"Free Game",INDEX('Game Records'!$U:$U,$H254)&lt;&gt;"Disqualified — Free Game",OR(INDEX('Game Records'!$L:$L,$H254)="",LOWER(INDEX('Game Records'!$L:$L,$H254)&amp;"")="n/a")),"Disqualified Status; ",""))</x:f>
        <x:v/>
      </x:c>
      <x:c r="G254" s="331" t="str">
        <x:f>IF($H254="","",IFERROR(INDEX('Game Records'!$M:$M,$H254),""))</x:f>
        <x:v/>
      </x:c>
      <x:c r="H254" s="104" t="str">
        <x:f>IF($H253="","",IFERROR(MATCH(1,INDEX((ROW('Game Records'!$U$5:$U$504)&gt;$H253)*(('Game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5" ht="24" customHeight="1">
      <x:c r="A255" s="332" t="str">
        <x:f>IF($H255="","",ROWS($A$5:A255))</x:f>
        <x:v/>
      </x:c>
      <x:c r="B255" s="332" t="str">
        <x:f>IF($H255="","","G-"&amp;TEXT($A255,"0000"))</x:f>
        <x:v/>
      </x:c>
      <x:c r="C255" s="331" t="str">
        <x:f>IF($H255="","",IFERROR(INDEX('Game Records'!$A:$A,$H255),""))</x:f>
        <x:v/>
      </x:c>
      <x:c r="D255" s="331" t="str">
        <x:f>IF($H255="","",IFERROR(INDEX('Game Records'!$U:$U,$H255),""))</x:f>
        <x:v/>
      </x:c>
      <x:c r="E255" s="331" t="str">
        <x:f>IF($H255="","",IF($F255="","No Highlighted Fields","Highlighted Fields Present"))</x:f>
        <x:v/>
      </x:c>
      <x:c r="F255" s="331" t="str">
        <x:f>IF($H255="","",IF(INDEX('Game Records'!$B:$B,$H255)="","Start Date; ","")&amp;IF(INDEX('Game Records'!$C:$C,$H255)="","End Date; ","")&amp;IF(AND(INDEX('Game Records'!$U:$U,$H255)&lt;&gt;"Subscription",INDEX('Game Records'!$U:$U,$H255)&lt;&gt;"Free Game",INDEX('Game Records'!$U:$U,$H255)&lt;&gt;"Disqualified — Free Game",OR(INDEX('Game Records'!$D:$D,$H255)="",LOWER(INDEX('Game Records'!$D:$D,$H255)&amp;"")="n/a")),"Entry Mode; ","")&amp;IF(AND(INDEX('Game Records'!$U:$U,$H255)&lt;&gt;"Subscription",INDEX('Game Records'!$U:$U,$H255)&lt;&gt;"Free Game",INDEX('Game Records'!$U:$U,$H255)&lt;&gt;"Disqualified — Free Game",OR(INDEX('Game Records'!$E:$E,$H255)="",LOWER(INDEX('Game Records'!$E:$E,$H255)&amp;"")="n/a")),"Game Type; ","")&amp;IF(INDEX('Game Records'!$F:$F,$H255)="","Payment Type; ","")&amp;IF(AND(INDEX('Game Records'!$U:$U,$H255)&lt;&gt;"Subscription",INDEX('Game Records'!$U:$U,$H255)&lt;&gt;"Free Game",INDEX('Game Records'!$U:$U,$H255)&lt;&gt;"Disqualified — Free Game",INDEX('Game Records'!$G:$G,$H255)=""),"Gross Pot; ","")&amp;IF(AND(INDEX('Game Records'!$U:$U,$H255)&lt;&gt;"Free Game",INDEX('Game Records'!$U:$U,$H255)&lt;&gt;"Disqualified — Free Game",INDEX('Game Records'!$H:$H,$H255)=""),"Entry Fee; ","")&amp;IF(AND(INDEX('Game Records'!$U:$U,$H255)&lt;&gt;"Subscription",INDEX('Game Records'!$U:$U,$H255)&lt;&gt;"Free Game",INDEX('Game Records'!$U:$U,$H255)&lt;&gt;"Disqualified — Free Game",INDEX('Game Records'!$I:$I,$H255)=""),"Eligible Players; ","")&amp;IF(AND(INDEX('Game Records'!$U:$U,$H255)&lt;&gt;"Subscription",INDEX('Game Records'!$U:$U,$H255)&lt;&gt;"Free Game",INDEX('Game Records'!$U:$U,$H255)&lt;&gt;"Disqualified — Free Game",INDEX('Game Records'!$J:$J,$H255)=""),"Total Players; ","")&amp;IF(AND(LOWER(INDEX('Game Records'!$D:$D,$H255)&amp;"")="finalized",LOWER(INDEX('Game Records'!$L:$L,$H255)&amp;"")&lt;&gt;"yes",INDEX('Game Records'!$U:$U,$H255)&lt;&gt;"Subscription",INDEX('Game Records'!$U:$U,$H255)&lt;&gt;"Free Game",INDEX('Game Records'!$U:$U,$H255)&lt;&gt;"Disqualified — Free Game",INDEX('Game Records'!$K:$K,$H255)=""),"Final Earned; ","")&amp;IF(AND(LOWER(INDEX('Game Records'!$D:$D,$H255)&amp;"")="finalized",INDEX('Game Records'!$U:$U,$H255)&lt;&gt;"Subscription",INDEX('Game Records'!$U:$U,$H255)&lt;&gt;"Free Game",INDEX('Game Records'!$U:$U,$H255)&lt;&gt;"Disqualified — Free Game",OR(INDEX('Game Records'!$L:$L,$H255)="",LOWER(INDEX('Game Records'!$L:$L,$H255)&amp;"")="n/a")),"Disqualified Status; ",""))</x:f>
        <x:v/>
      </x:c>
      <x:c r="G255" s="331" t="str">
        <x:f>IF($H255="","",IFERROR(INDEX('Game Records'!$M:$M,$H255),""))</x:f>
        <x:v/>
      </x:c>
      <x:c r="H255" s="104" t="str">
        <x:f>IF($H254="","",IFERROR(MATCH(1,INDEX((ROW('Game Records'!$U$5:$U$504)&gt;$H254)*(('Game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6" ht="24" customHeight="1">
      <x:c r="A256" s="332" t="str">
        <x:f>IF($H256="","",ROWS($A$5:A256))</x:f>
        <x:v/>
      </x:c>
      <x:c r="B256" s="332" t="str">
        <x:f>IF($H256="","","G-"&amp;TEXT($A256,"0000"))</x:f>
        <x:v/>
      </x:c>
      <x:c r="C256" s="331" t="str">
        <x:f>IF($H256="","",IFERROR(INDEX('Game Records'!$A:$A,$H256),""))</x:f>
        <x:v/>
      </x:c>
      <x:c r="D256" s="331" t="str">
        <x:f>IF($H256="","",IFERROR(INDEX('Game Records'!$U:$U,$H256),""))</x:f>
        <x:v/>
      </x:c>
      <x:c r="E256" s="331" t="str">
        <x:f>IF($H256="","",IF($F256="","No Highlighted Fields","Highlighted Fields Present"))</x:f>
        <x:v/>
      </x:c>
      <x:c r="F256" s="331" t="str">
        <x:f>IF($H256="","",IF(INDEX('Game Records'!$B:$B,$H256)="","Start Date; ","")&amp;IF(INDEX('Game Records'!$C:$C,$H256)="","End Date; ","")&amp;IF(AND(INDEX('Game Records'!$U:$U,$H256)&lt;&gt;"Subscription",INDEX('Game Records'!$U:$U,$H256)&lt;&gt;"Free Game",INDEX('Game Records'!$U:$U,$H256)&lt;&gt;"Disqualified — Free Game",OR(INDEX('Game Records'!$D:$D,$H256)="",LOWER(INDEX('Game Records'!$D:$D,$H256)&amp;"")="n/a")),"Entry Mode; ","")&amp;IF(AND(INDEX('Game Records'!$U:$U,$H256)&lt;&gt;"Subscription",INDEX('Game Records'!$U:$U,$H256)&lt;&gt;"Free Game",INDEX('Game Records'!$U:$U,$H256)&lt;&gt;"Disqualified — Free Game",OR(INDEX('Game Records'!$E:$E,$H256)="",LOWER(INDEX('Game Records'!$E:$E,$H256)&amp;"")="n/a")),"Game Type; ","")&amp;IF(INDEX('Game Records'!$F:$F,$H256)="","Payment Type; ","")&amp;IF(AND(INDEX('Game Records'!$U:$U,$H256)&lt;&gt;"Subscription",INDEX('Game Records'!$U:$U,$H256)&lt;&gt;"Free Game",INDEX('Game Records'!$U:$U,$H256)&lt;&gt;"Disqualified — Free Game",INDEX('Game Records'!$G:$G,$H256)=""),"Gross Pot; ","")&amp;IF(AND(INDEX('Game Records'!$U:$U,$H256)&lt;&gt;"Free Game",INDEX('Game Records'!$U:$U,$H256)&lt;&gt;"Disqualified — Free Game",INDEX('Game Records'!$H:$H,$H256)=""),"Entry Fee; ","")&amp;IF(AND(INDEX('Game Records'!$U:$U,$H256)&lt;&gt;"Subscription",INDEX('Game Records'!$U:$U,$H256)&lt;&gt;"Free Game",INDEX('Game Records'!$U:$U,$H256)&lt;&gt;"Disqualified — Free Game",INDEX('Game Records'!$I:$I,$H256)=""),"Eligible Players; ","")&amp;IF(AND(INDEX('Game Records'!$U:$U,$H256)&lt;&gt;"Subscription",INDEX('Game Records'!$U:$U,$H256)&lt;&gt;"Free Game",INDEX('Game Records'!$U:$U,$H256)&lt;&gt;"Disqualified — Free Game",INDEX('Game Records'!$J:$J,$H256)=""),"Total Players; ","")&amp;IF(AND(LOWER(INDEX('Game Records'!$D:$D,$H256)&amp;"")="finalized",LOWER(INDEX('Game Records'!$L:$L,$H256)&amp;"")&lt;&gt;"yes",INDEX('Game Records'!$U:$U,$H256)&lt;&gt;"Subscription",INDEX('Game Records'!$U:$U,$H256)&lt;&gt;"Free Game",INDEX('Game Records'!$U:$U,$H256)&lt;&gt;"Disqualified — Free Game",INDEX('Game Records'!$K:$K,$H256)=""),"Final Earned; ","")&amp;IF(AND(LOWER(INDEX('Game Records'!$D:$D,$H256)&amp;"")="finalized",INDEX('Game Records'!$U:$U,$H256)&lt;&gt;"Subscription",INDEX('Game Records'!$U:$U,$H256)&lt;&gt;"Free Game",INDEX('Game Records'!$U:$U,$H256)&lt;&gt;"Disqualified — Free Game",OR(INDEX('Game Records'!$L:$L,$H256)="",LOWER(INDEX('Game Records'!$L:$L,$H256)&amp;"")="n/a")),"Disqualified Status; ",""))</x:f>
        <x:v/>
      </x:c>
      <x:c r="G256" s="331" t="str">
        <x:f>IF($H256="","",IFERROR(INDEX('Game Records'!$M:$M,$H256),""))</x:f>
        <x:v/>
      </x:c>
      <x:c r="H256" s="104" t="str">
        <x:f>IF($H255="","",IFERROR(MATCH(1,INDEX((ROW('Game Records'!$U$5:$U$504)&gt;$H255)*(('Game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7" ht="24" customHeight="1">
      <x:c r="A257" s="332" t="str">
        <x:f>IF($H257="","",ROWS($A$5:A257))</x:f>
        <x:v/>
      </x:c>
      <x:c r="B257" s="332" t="str">
        <x:f>IF($H257="","","G-"&amp;TEXT($A257,"0000"))</x:f>
        <x:v/>
      </x:c>
      <x:c r="C257" s="331" t="str">
        <x:f>IF($H257="","",IFERROR(INDEX('Game Records'!$A:$A,$H257),""))</x:f>
        <x:v/>
      </x:c>
      <x:c r="D257" s="331" t="str">
        <x:f>IF($H257="","",IFERROR(INDEX('Game Records'!$U:$U,$H257),""))</x:f>
        <x:v/>
      </x:c>
      <x:c r="E257" s="331" t="str">
        <x:f>IF($H257="","",IF($F257="","No Highlighted Fields","Highlighted Fields Present"))</x:f>
        <x:v/>
      </x:c>
      <x:c r="F257" s="331" t="str">
        <x:f>IF($H257="","",IF(INDEX('Game Records'!$B:$B,$H257)="","Start Date; ","")&amp;IF(INDEX('Game Records'!$C:$C,$H257)="","End Date; ","")&amp;IF(AND(INDEX('Game Records'!$U:$U,$H257)&lt;&gt;"Subscription",INDEX('Game Records'!$U:$U,$H257)&lt;&gt;"Free Game",INDEX('Game Records'!$U:$U,$H257)&lt;&gt;"Disqualified — Free Game",OR(INDEX('Game Records'!$D:$D,$H257)="",LOWER(INDEX('Game Records'!$D:$D,$H257)&amp;"")="n/a")),"Entry Mode; ","")&amp;IF(AND(INDEX('Game Records'!$U:$U,$H257)&lt;&gt;"Subscription",INDEX('Game Records'!$U:$U,$H257)&lt;&gt;"Free Game",INDEX('Game Records'!$U:$U,$H257)&lt;&gt;"Disqualified — Free Game",OR(INDEX('Game Records'!$E:$E,$H257)="",LOWER(INDEX('Game Records'!$E:$E,$H257)&amp;"")="n/a")),"Game Type; ","")&amp;IF(INDEX('Game Records'!$F:$F,$H257)="","Payment Type; ","")&amp;IF(AND(INDEX('Game Records'!$U:$U,$H257)&lt;&gt;"Subscription",INDEX('Game Records'!$U:$U,$H257)&lt;&gt;"Free Game",INDEX('Game Records'!$U:$U,$H257)&lt;&gt;"Disqualified — Free Game",INDEX('Game Records'!$G:$G,$H257)=""),"Gross Pot; ","")&amp;IF(AND(INDEX('Game Records'!$U:$U,$H257)&lt;&gt;"Free Game",INDEX('Game Records'!$U:$U,$H257)&lt;&gt;"Disqualified — Free Game",INDEX('Game Records'!$H:$H,$H257)=""),"Entry Fee; ","")&amp;IF(AND(INDEX('Game Records'!$U:$U,$H257)&lt;&gt;"Subscription",INDEX('Game Records'!$U:$U,$H257)&lt;&gt;"Free Game",INDEX('Game Records'!$U:$U,$H257)&lt;&gt;"Disqualified — Free Game",INDEX('Game Records'!$I:$I,$H257)=""),"Eligible Players; ","")&amp;IF(AND(INDEX('Game Records'!$U:$U,$H257)&lt;&gt;"Subscription",INDEX('Game Records'!$U:$U,$H257)&lt;&gt;"Free Game",INDEX('Game Records'!$U:$U,$H257)&lt;&gt;"Disqualified — Free Game",INDEX('Game Records'!$J:$J,$H257)=""),"Total Players; ","")&amp;IF(AND(LOWER(INDEX('Game Records'!$D:$D,$H257)&amp;"")="finalized",LOWER(INDEX('Game Records'!$L:$L,$H257)&amp;"")&lt;&gt;"yes",INDEX('Game Records'!$U:$U,$H257)&lt;&gt;"Subscription",INDEX('Game Records'!$U:$U,$H257)&lt;&gt;"Free Game",INDEX('Game Records'!$U:$U,$H257)&lt;&gt;"Disqualified — Free Game",INDEX('Game Records'!$K:$K,$H257)=""),"Final Earned; ","")&amp;IF(AND(LOWER(INDEX('Game Records'!$D:$D,$H257)&amp;"")="finalized",INDEX('Game Records'!$U:$U,$H257)&lt;&gt;"Subscription",INDEX('Game Records'!$U:$U,$H257)&lt;&gt;"Free Game",INDEX('Game Records'!$U:$U,$H257)&lt;&gt;"Disqualified — Free Game",OR(INDEX('Game Records'!$L:$L,$H257)="",LOWER(INDEX('Game Records'!$L:$L,$H257)&amp;"")="n/a")),"Disqualified Status; ",""))</x:f>
        <x:v/>
      </x:c>
      <x:c r="G257" s="331" t="str">
        <x:f>IF($H257="","",IFERROR(INDEX('Game Records'!$M:$M,$H257),""))</x:f>
        <x:v/>
      </x:c>
      <x:c r="H257" s="104" t="str">
        <x:f>IF($H256="","",IFERROR(MATCH(1,INDEX((ROW('Game Records'!$U$5:$U$504)&gt;$H256)*(('Game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8" ht="24" customHeight="1">
      <x:c r="A258" s="332" t="str">
        <x:f>IF($H258="","",ROWS($A$5:A258))</x:f>
        <x:v/>
      </x:c>
      <x:c r="B258" s="332" t="str">
        <x:f>IF($H258="","","G-"&amp;TEXT($A258,"0000"))</x:f>
        <x:v/>
      </x:c>
      <x:c r="C258" s="331" t="str">
        <x:f>IF($H258="","",IFERROR(INDEX('Game Records'!$A:$A,$H258),""))</x:f>
        <x:v/>
      </x:c>
      <x:c r="D258" s="331" t="str">
        <x:f>IF($H258="","",IFERROR(INDEX('Game Records'!$U:$U,$H258),""))</x:f>
        <x:v/>
      </x:c>
      <x:c r="E258" s="331" t="str">
        <x:f>IF($H258="","",IF($F258="","No Highlighted Fields","Highlighted Fields Present"))</x:f>
        <x:v/>
      </x:c>
      <x:c r="F258" s="331" t="str">
        <x:f>IF($H258="","",IF(INDEX('Game Records'!$B:$B,$H258)="","Start Date; ","")&amp;IF(INDEX('Game Records'!$C:$C,$H258)="","End Date; ","")&amp;IF(AND(INDEX('Game Records'!$U:$U,$H258)&lt;&gt;"Subscription",INDEX('Game Records'!$U:$U,$H258)&lt;&gt;"Free Game",INDEX('Game Records'!$U:$U,$H258)&lt;&gt;"Disqualified — Free Game",OR(INDEX('Game Records'!$D:$D,$H258)="",LOWER(INDEX('Game Records'!$D:$D,$H258)&amp;"")="n/a")),"Entry Mode; ","")&amp;IF(AND(INDEX('Game Records'!$U:$U,$H258)&lt;&gt;"Subscription",INDEX('Game Records'!$U:$U,$H258)&lt;&gt;"Free Game",INDEX('Game Records'!$U:$U,$H258)&lt;&gt;"Disqualified — Free Game",OR(INDEX('Game Records'!$E:$E,$H258)="",LOWER(INDEX('Game Records'!$E:$E,$H258)&amp;"")="n/a")),"Game Type; ","")&amp;IF(INDEX('Game Records'!$F:$F,$H258)="","Payment Type; ","")&amp;IF(AND(INDEX('Game Records'!$U:$U,$H258)&lt;&gt;"Subscription",INDEX('Game Records'!$U:$U,$H258)&lt;&gt;"Free Game",INDEX('Game Records'!$U:$U,$H258)&lt;&gt;"Disqualified — Free Game",INDEX('Game Records'!$G:$G,$H258)=""),"Gross Pot; ","")&amp;IF(AND(INDEX('Game Records'!$U:$U,$H258)&lt;&gt;"Free Game",INDEX('Game Records'!$U:$U,$H258)&lt;&gt;"Disqualified — Free Game",INDEX('Game Records'!$H:$H,$H258)=""),"Entry Fee; ","")&amp;IF(AND(INDEX('Game Records'!$U:$U,$H258)&lt;&gt;"Subscription",INDEX('Game Records'!$U:$U,$H258)&lt;&gt;"Free Game",INDEX('Game Records'!$U:$U,$H258)&lt;&gt;"Disqualified — Free Game",INDEX('Game Records'!$I:$I,$H258)=""),"Eligible Players; ","")&amp;IF(AND(INDEX('Game Records'!$U:$U,$H258)&lt;&gt;"Subscription",INDEX('Game Records'!$U:$U,$H258)&lt;&gt;"Free Game",INDEX('Game Records'!$U:$U,$H258)&lt;&gt;"Disqualified — Free Game",INDEX('Game Records'!$J:$J,$H258)=""),"Total Players; ","")&amp;IF(AND(LOWER(INDEX('Game Records'!$D:$D,$H258)&amp;"")="finalized",LOWER(INDEX('Game Records'!$L:$L,$H258)&amp;"")&lt;&gt;"yes",INDEX('Game Records'!$U:$U,$H258)&lt;&gt;"Subscription",INDEX('Game Records'!$U:$U,$H258)&lt;&gt;"Free Game",INDEX('Game Records'!$U:$U,$H258)&lt;&gt;"Disqualified — Free Game",INDEX('Game Records'!$K:$K,$H258)=""),"Final Earned; ","")&amp;IF(AND(LOWER(INDEX('Game Records'!$D:$D,$H258)&amp;"")="finalized",INDEX('Game Records'!$U:$U,$H258)&lt;&gt;"Subscription",INDEX('Game Records'!$U:$U,$H258)&lt;&gt;"Free Game",INDEX('Game Records'!$U:$U,$H258)&lt;&gt;"Disqualified — Free Game",OR(INDEX('Game Records'!$L:$L,$H258)="",LOWER(INDEX('Game Records'!$L:$L,$H258)&amp;"")="n/a")),"Disqualified Status; ",""))</x:f>
        <x:v/>
      </x:c>
      <x:c r="G258" s="331" t="str">
        <x:f>IF($H258="","",IFERROR(INDEX('Game Records'!$M:$M,$H258),""))</x:f>
        <x:v/>
      </x:c>
      <x:c r="H258" s="104" t="str">
        <x:f>IF($H257="","",IFERROR(MATCH(1,INDEX((ROW('Game Records'!$U$5:$U$504)&gt;$H257)*(('Game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59" ht="24" customHeight="1">
      <x:c r="A259" s="332" t="str">
        <x:f>IF($H259="","",ROWS($A$5:A259))</x:f>
        <x:v/>
      </x:c>
      <x:c r="B259" s="332" t="str">
        <x:f>IF($H259="","","G-"&amp;TEXT($A259,"0000"))</x:f>
        <x:v/>
      </x:c>
      <x:c r="C259" s="331" t="str">
        <x:f>IF($H259="","",IFERROR(INDEX('Game Records'!$A:$A,$H259),""))</x:f>
        <x:v/>
      </x:c>
      <x:c r="D259" s="331" t="str">
        <x:f>IF($H259="","",IFERROR(INDEX('Game Records'!$U:$U,$H259),""))</x:f>
        <x:v/>
      </x:c>
      <x:c r="E259" s="331" t="str">
        <x:f>IF($H259="","",IF($F259="","No Highlighted Fields","Highlighted Fields Present"))</x:f>
        <x:v/>
      </x:c>
      <x:c r="F259" s="331" t="str">
        <x:f>IF($H259="","",IF(INDEX('Game Records'!$B:$B,$H259)="","Start Date; ","")&amp;IF(INDEX('Game Records'!$C:$C,$H259)="","End Date; ","")&amp;IF(AND(INDEX('Game Records'!$U:$U,$H259)&lt;&gt;"Subscription",INDEX('Game Records'!$U:$U,$H259)&lt;&gt;"Free Game",INDEX('Game Records'!$U:$U,$H259)&lt;&gt;"Disqualified — Free Game",OR(INDEX('Game Records'!$D:$D,$H259)="",LOWER(INDEX('Game Records'!$D:$D,$H259)&amp;"")="n/a")),"Entry Mode; ","")&amp;IF(AND(INDEX('Game Records'!$U:$U,$H259)&lt;&gt;"Subscription",INDEX('Game Records'!$U:$U,$H259)&lt;&gt;"Free Game",INDEX('Game Records'!$U:$U,$H259)&lt;&gt;"Disqualified — Free Game",OR(INDEX('Game Records'!$E:$E,$H259)="",LOWER(INDEX('Game Records'!$E:$E,$H259)&amp;"")="n/a")),"Game Type; ","")&amp;IF(INDEX('Game Records'!$F:$F,$H259)="","Payment Type; ","")&amp;IF(AND(INDEX('Game Records'!$U:$U,$H259)&lt;&gt;"Subscription",INDEX('Game Records'!$U:$U,$H259)&lt;&gt;"Free Game",INDEX('Game Records'!$U:$U,$H259)&lt;&gt;"Disqualified — Free Game",INDEX('Game Records'!$G:$G,$H259)=""),"Gross Pot; ","")&amp;IF(AND(INDEX('Game Records'!$U:$U,$H259)&lt;&gt;"Free Game",INDEX('Game Records'!$U:$U,$H259)&lt;&gt;"Disqualified — Free Game",INDEX('Game Records'!$H:$H,$H259)=""),"Entry Fee; ","")&amp;IF(AND(INDEX('Game Records'!$U:$U,$H259)&lt;&gt;"Subscription",INDEX('Game Records'!$U:$U,$H259)&lt;&gt;"Free Game",INDEX('Game Records'!$U:$U,$H259)&lt;&gt;"Disqualified — Free Game",INDEX('Game Records'!$I:$I,$H259)=""),"Eligible Players; ","")&amp;IF(AND(INDEX('Game Records'!$U:$U,$H259)&lt;&gt;"Subscription",INDEX('Game Records'!$U:$U,$H259)&lt;&gt;"Free Game",INDEX('Game Records'!$U:$U,$H259)&lt;&gt;"Disqualified — Free Game",INDEX('Game Records'!$J:$J,$H259)=""),"Total Players; ","")&amp;IF(AND(LOWER(INDEX('Game Records'!$D:$D,$H259)&amp;"")="finalized",LOWER(INDEX('Game Records'!$L:$L,$H259)&amp;"")&lt;&gt;"yes",INDEX('Game Records'!$U:$U,$H259)&lt;&gt;"Subscription",INDEX('Game Records'!$U:$U,$H259)&lt;&gt;"Free Game",INDEX('Game Records'!$U:$U,$H259)&lt;&gt;"Disqualified — Free Game",INDEX('Game Records'!$K:$K,$H259)=""),"Final Earned; ","")&amp;IF(AND(LOWER(INDEX('Game Records'!$D:$D,$H259)&amp;"")="finalized",INDEX('Game Records'!$U:$U,$H259)&lt;&gt;"Subscription",INDEX('Game Records'!$U:$U,$H259)&lt;&gt;"Free Game",INDEX('Game Records'!$U:$U,$H259)&lt;&gt;"Disqualified — Free Game",OR(INDEX('Game Records'!$L:$L,$H259)="",LOWER(INDEX('Game Records'!$L:$L,$H259)&amp;"")="n/a")),"Disqualified Status; ",""))</x:f>
        <x:v/>
      </x:c>
      <x:c r="G259" s="331" t="str">
        <x:f>IF($H259="","",IFERROR(INDEX('Game Records'!$M:$M,$H259),""))</x:f>
        <x:v/>
      </x:c>
      <x:c r="H259" s="104" t="str">
        <x:f>IF($H258="","",IFERROR(MATCH(1,INDEX((ROW('Game Records'!$U$5:$U$504)&gt;$H258)*(('Game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0" ht="24" customHeight="1">
      <x:c r="A260" s="332" t="str">
        <x:f>IF($H260="","",ROWS($A$5:A260))</x:f>
        <x:v/>
      </x:c>
      <x:c r="B260" s="332" t="str">
        <x:f>IF($H260="","","G-"&amp;TEXT($A260,"0000"))</x:f>
        <x:v/>
      </x:c>
      <x:c r="C260" s="331" t="str">
        <x:f>IF($H260="","",IFERROR(INDEX('Game Records'!$A:$A,$H260),""))</x:f>
        <x:v/>
      </x:c>
      <x:c r="D260" s="331" t="str">
        <x:f>IF($H260="","",IFERROR(INDEX('Game Records'!$U:$U,$H260),""))</x:f>
        <x:v/>
      </x:c>
      <x:c r="E260" s="331" t="str">
        <x:f>IF($H260="","",IF($F260="","No Highlighted Fields","Highlighted Fields Present"))</x:f>
        <x:v/>
      </x:c>
      <x:c r="F260" s="331" t="str">
        <x:f>IF($H260="","",IF(INDEX('Game Records'!$B:$B,$H260)="","Start Date; ","")&amp;IF(INDEX('Game Records'!$C:$C,$H260)="","End Date; ","")&amp;IF(AND(INDEX('Game Records'!$U:$U,$H260)&lt;&gt;"Subscription",INDEX('Game Records'!$U:$U,$H260)&lt;&gt;"Free Game",INDEX('Game Records'!$U:$U,$H260)&lt;&gt;"Disqualified — Free Game",OR(INDEX('Game Records'!$D:$D,$H260)="",LOWER(INDEX('Game Records'!$D:$D,$H260)&amp;"")="n/a")),"Entry Mode; ","")&amp;IF(AND(INDEX('Game Records'!$U:$U,$H260)&lt;&gt;"Subscription",INDEX('Game Records'!$U:$U,$H260)&lt;&gt;"Free Game",INDEX('Game Records'!$U:$U,$H260)&lt;&gt;"Disqualified — Free Game",OR(INDEX('Game Records'!$E:$E,$H260)="",LOWER(INDEX('Game Records'!$E:$E,$H260)&amp;"")="n/a")),"Game Type; ","")&amp;IF(INDEX('Game Records'!$F:$F,$H260)="","Payment Type; ","")&amp;IF(AND(INDEX('Game Records'!$U:$U,$H260)&lt;&gt;"Subscription",INDEX('Game Records'!$U:$U,$H260)&lt;&gt;"Free Game",INDEX('Game Records'!$U:$U,$H260)&lt;&gt;"Disqualified — Free Game",INDEX('Game Records'!$G:$G,$H260)=""),"Gross Pot; ","")&amp;IF(AND(INDEX('Game Records'!$U:$U,$H260)&lt;&gt;"Free Game",INDEX('Game Records'!$U:$U,$H260)&lt;&gt;"Disqualified — Free Game",INDEX('Game Records'!$H:$H,$H260)=""),"Entry Fee; ","")&amp;IF(AND(INDEX('Game Records'!$U:$U,$H260)&lt;&gt;"Subscription",INDEX('Game Records'!$U:$U,$H260)&lt;&gt;"Free Game",INDEX('Game Records'!$U:$U,$H260)&lt;&gt;"Disqualified — Free Game",INDEX('Game Records'!$I:$I,$H260)=""),"Eligible Players; ","")&amp;IF(AND(INDEX('Game Records'!$U:$U,$H260)&lt;&gt;"Subscription",INDEX('Game Records'!$U:$U,$H260)&lt;&gt;"Free Game",INDEX('Game Records'!$U:$U,$H260)&lt;&gt;"Disqualified — Free Game",INDEX('Game Records'!$J:$J,$H260)=""),"Total Players; ","")&amp;IF(AND(LOWER(INDEX('Game Records'!$D:$D,$H260)&amp;"")="finalized",LOWER(INDEX('Game Records'!$L:$L,$H260)&amp;"")&lt;&gt;"yes",INDEX('Game Records'!$U:$U,$H260)&lt;&gt;"Subscription",INDEX('Game Records'!$U:$U,$H260)&lt;&gt;"Free Game",INDEX('Game Records'!$U:$U,$H260)&lt;&gt;"Disqualified — Free Game",INDEX('Game Records'!$K:$K,$H260)=""),"Final Earned; ","")&amp;IF(AND(LOWER(INDEX('Game Records'!$D:$D,$H260)&amp;"")="finalized",INDEX('Game Records'!$U:$U,$H260)&lt;&gt;"Subscription",INDEX('Game Records'!$U:$U,$H260)&lt;&gt;"Free Game",INDEX('Game Records'!$U:$U,$H260)&lt;&gt;"Disqualified — Free Game",OR(INDEX('Game Records'!$L:$L,$H260)="",LOWER(INDEX('Game Records'!$L:$L,$H260)&amp;"")="n/a")),"Disqualified Status; ",""))</x:f>
        <x:v/>
      </x:c>
      <x:c r="G260" s="331" t="str">
        <x:f>IF($H260="","",IFERROR(INDEX('Game Records'!$M:$M,$H260),""))</x:f>
        <x:v/>
      </x:c>
      <x:c r="H260" s="104" t="str">
        <x:f>IF($H259="","",IFERROR(MATCH(1,INDEX((ROW('Game Records'!$U$5:$U$504)&gt;$H259)*(('Game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1" ht="24" customHeight="1">
      <x:c r="A261" s="332" t="str">
        <x:f>IF($H261="","",ROWS($A$5:A261))</x:f>
        <x:v/>
      </x:c>
      <x:c r="B261" s="332" t="str">
        <x:f>IF($H261="","","G-"&amp;TEXT($A261,"0000"))</x:f>
        <x:v/>
      </x:c>
      <x:c r="C261" s="331" t="str">
        <x:f>IF($H261="","",IFERROR(INDEX('Game Records'!$A:$A,$H261),""))</x:f>
        <x:v/>
      </x:c>
      <x:c r="D261" s="331" t="str">
        <x:f>IF($H261="","",IFERROR(INDEX('Game Records'!$U:$U,$H261),""))</x:f>
        <x:v/>
      </x:c>
      <x:c r="E261" s="331" t="str">
        <x:f>IF($H261="","",IF($F261="","No Highlighted Fields","Highlighted Fields Present"))</x:f>
        <x:v/>
      </x:c>
      <x:c r="F261" s="331" t="str">
        <x:f>IF($H261="","",IF(INDEX('Game Records'!$B:$B,$H261)="","Start Date; ","")&amp;IF(INDEX('Game Records'!$C:$C,$H261)="","End Date; ","")&amp;IF(AND(INDEX('Game Records'!$U:$U,$H261)&lt;&gt;"Subscription",INDEX('Game Records'!$U:$U,$H261)&lt;&gt;"Free Game",INDEX('Game Records'!$U:$U,$H261)&lt;&gt;"Disqualified — Free Game",OR(INDEX('Game Records'!$D:$D,$H261)="",LOWER(INDEX('Game Records'!$D:$D,$H261)&amp;"")="n/a")),"Entry Mode; ","")&amp;IF(AND(INDEX('Game Records'!$U:$U,$H261)&lt;&gt;"Subscription",INDEX('Game Records'!$U:$U,$H261)&lt;&gt;"Free Game",INDEX('Game Records'!$U:$U,$H261)&lt;&gt;"Disqualified — Free Game",OR(INDEX('Game Records'!$E:$E,$H261)="",LOWER(INDEX('Game Records'!$E:$E,$H261)&amp;"")="n/a")),"Game Type; ","")&amp;IF(INDEX('Game Records'!$F:$F,$H261)="","Payment Type; ","")&amp;IF(AND(INDEX('Game Records'!$U:$U,$H261)&lt;&gt;"Subscription",INDEX('Game Records'!$U:$U,$H261)&lt;&gt;"Free Game",INDEX('Game Records'!$U:$U,$H261)&lt;&gt;"Disqualified — Free Game",INDEX('Game Records'!$G:$G,$H261)=""),"Gross Pot; ","")&amp;IF(AND(INDEX('Game Records'!$U:$U,$H261)&lt;&gt;"Free Game",INDEX('Game Records'!$U:$U,$H261)&lt;&gt;"Disqualified — Free Game",INDEX('Game Records'!$H:$H,$H261)=""),"Entry Fee; ","")&amp;IF(AND(INDEX('Game Records'!$U:$U,$H261)&lt;&gt;"Subscription",INDEX('Game Records'!$U:$U,$H261)&lt;&gt;"Free Game",INDEX('Game Records'!$U:$U,$H261)&lt;&gt;"Disqualified — Free Game",INDEX('Game Records'!$I:$I,$H261)=""),"Eligible Players; ","")&amp;IF(AND(INDEX('Game Records'!$U:$U,$H261)&lt;&gt;"Subscription",INDEX('Game Records'!$U:$U,$H261)&lt;&gt;"Free Game",INDEX('Game Records'!$U:$U,$H261)&lt;&gt;"Disqualified — Free Game",INDEX('Game Records'!$J:$J,$H261)=""),"Total Players; ","")&amp;IF(AND(LOWER(INDEX('Game Records'!$D:$D,$H261)&amp;"")="finalized",LOWER(INDEX('Game Records'!$L:$L,$H261)&amp;"")&lt;&gt;"yes",INDEX('Game Records'!$U:$U,$H261)&lt;&gt;"Subscription",INDEX('Game Records'!$U:$U,$H261)&lt;&gt;"Free Game",INDEX('Game Records'!$U:$U,$H261)&lt;&gt;"Disqualified — Free Game",INDEX('Game Records'!$K:$K,$H261)=""),"Final Earned; ","")&amp;IF(AND(LOWER(INDEX('Game Records'!$D:$D,$H261)&amp;"")="finalized",INDEX('Game Records'!$U:$U,$H261)&lt;&gt;"Subscription",INDEX('Game Records'!$U:$U,$H261)&lt;&gt;"Free Game",INDEX('Game Records'!$U:$U,$H261)&lt;&gt;"Disqualified — Free Game",OR(INDEX('Game Records'!$L:$L,$H261)="",LOWER(INDEX('Game Records'!$L:$L,$H261)&amp;"")="n/a")),"Disqualified Status; ",""))</x:f>
        <x:v/>
      </x:c>
      <x:c r="G261" s="331" t="str">
        <x:f>IF($H261="","",IFERROR(INDEX('Game Records'!$M:$M,$H261),""))</x:f>
        <x:v/>
      </x:c>
      <x:c r="H261" s="104" t="str">
        <x:f>IF($H260="","",IFERROR(MATCH(1,INDEX((ROW('Game Records'!$U$5:$U$504)&gt;$H260)*(('Game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2" ht="24" customHeight="1">
      <x:c r="A262" s="332" t="str">
        <x:f>IF($H262="","",ROWS($A$5:A262))</x:f>
        <x:v/>
      </x:c>
      <x:c r="B262" s="332" t="str">
        <x:f>IF($H262="","","G-"&amp;TEXT($A262,"0000"))</x:f>
        <x:v/>
      </x:c>
      <x:c r="C262" s="331" t="str">
        <x:f>IF($H262="","",IFERROR(INDEX('Game Records'!$A:$A,$H262),""))</x:f>
        <x:v/>
      </x:c>
      <x:c r="D262" s="331" t="str">
        <x:f>IF($H262="","",IFERROR(INDEX('Game Records'!$U:$U,$H262),""))</x:f>
        <x:v/>
      </x:c>
      <x:c r="E262" s="331" t="str">
        <x:f>IF($H262="","",IF($F262="","No Highlighted Fields","Highlighted Fields Present"))</x:f>
        <x:v/>
      </x:c>
      <x:c r="F262" s="331" t="str">
        <x:f>IF($H262="","",IF(INDEX('Game Records'!$B:$B,$H262)="","Start Date; ","")&amp;IF(INDEX('Game Records'!$C:$C,$H262)="","End Date; ","")&amp;IF(AND(INDEX('Game Records'!$U:$U,$H262)&lt;&gt;"Subscription",INDEX('Game Records'!$U:$U,$H262)&lt;&gt;"Free Game",INDEX('Game Records'!$U:$U,$H262)&lt;&gt;"Disqualified — Free Game",OR(INDEX('Game Records'!$D:$D,$H262)="",LOWER(INDEX('Game Records'!$D:$D,$H262)&amp;"")="n/a")),"Entry Mode; ","")&amp;IF(AND(INDEX('Game Records'!$U:$U,$H262)&lt;&gt;"Subscription",INDEX('Game Records'!$U:$U,$H262)&lt;&gt;"Free Game",INDEX('Game Records'!$U:$U,$H262)&lt;&gt;"Disqualified — Free Game",OR(INDEX('Game Records'!$E:$E,$H262)="",LOWER(INDEX('Game Records'!$E:$E,$H262)&amp;"")="n/a")),"Game Type; ","")&amp;IF(INDEX('Game Records'!$F:$F,$H262)="","Payment Type; ","")&amp;IF(AND(INDEX('Game Records'!$U:$U,$H262)&lt;&gt;"Subscription",INDEX('Game Records'!$U:$U,$H262)&lt;&gt;"Free Game",INDEX('Game Records'!$U:$U,$H262)&lt;&gt;"Disqualified — Free Game",INDEX('Game Records'!$G:$G,$H262)=""),"Gross Pot; ","")&amp;IF(AND(INDEX('Game Records'!$U:$U,$H262)&lt;&gt;"Free Game",INDEX('Game Records'!$U:$U,$H262)&lt;&gt;"Disqualified — Free Game",INDEX('Game Records'!$H:$H,$H262)=""),"Entry Fee; ","")&amp;IF(AND(INDEX('Game Records'!$U:$U,$H262)&lt;&gt;"Subscription",INDEX('Game Records'!$U:$U,$H262)&lt;&gt;"Free Game",INDEX('Game Records'!$U:$U,$H262)&lt;&gt;"Disqualified — Free Game",INDEX('Game Records'!$I:$I,$H262)=""),"Eligible Players; ","")&amp;IF(AND(INDEX('Game Records'!$U:$U,$H262)&lt;&gt;"Subscription",INDEX('Game Records'!$U:$U,$H262)&lt;&gt;"Free Game",INDEX('Game Records'!$U:$U,$H262)&lt;&gt;"Disqualified — Free Game",INDEX('Game Records'!$J:$J,$H262)=""),"Total Players; ","")&amp;IF(AND(LOWER(INDEX('Game Records'!$D:$D,$H262)&amp;"")="finalized",LOWER(INDEX('Game Records'!$L:$L,$H262)&amp;"")&lt;&gt;"yes",INDEX('Game Records'!$U:$U,$H262)&lt;&gt;"Subscription",INDEX('Game Records'!$U:$U,$H262)&lt;&gt;"Free Game",INDEX('Game Records'!$U:$U,$H262)&lt;&gt;"Disqualified — Free Game",INDEX('Game Records'!$K:$K,$H262)=""),"Final Earned; ","")&amp;IF(AND(LOWER(INDEX('Game Records'!$D:$D,$H262)&amp;"")="finalized",INDEX('Game Records'!$U:$U,$H262)&lt;&gt;"Subscription",INDEX('Game Records'!$U:$U,$H262)&lt;&gt;"Free Game",INDEX('Game Records'!$U:$U,$H262)&lt;&gt;"Disqualified — Free Game",OR(INDEX('Game Records'!$L:$L,$H262)="",LOWER(INDEX('Game Records'!$L:$L,$H262)&amp;"")="n/a")),"Disqualified Status; ",""))</x:f>
        <x:v/>
      </x:c>
      <x:c r="G262" s="331" t="str">
        <x:f>IF($H262="","",IFERROR(INDEX('Game Records'!$M:$M,$H262),""))</x:f>
        <x:v/>
      </x:c>
      <x:c r="H262" s="104" t="str">
        <x:f>IF($H261="","",IFERROR(MATCH(1,INDEX((ROW('Game Records'!$U$5:$U$504)&gt;$H261)*(('Game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3" ht="24" customHeight="1">
      <x:c r="A263" s="332" t="str">
        <x:f>IF($H263="","",ROWS($A$5:A263))</x:f>
        <x:v/>
      </x:c>
      <x:c r="B263" s="332" t="str">
        <x:f>IF($H263="","","G-"&amp;TEXT($A263,"0000"))</x:f>
        <x:v/>
      </x:c>
      <x:c r="C263" s="331" t="str">
        <x:f>IF($H263="","",IFERROR(INDEX('Game Records'!$A:$A,$H263),""))</x:f>
        <x:v/>
      </x:c>
      <x:c r="D263" s="331" t="str">
        <x:f>IF($H263="","",IFERROR(INDEX('Game Records'!$U:$U,$H263),""))</x:f>
        <x:v/>
      </x:c>
      <x:c r="E263" s="331" t="str">
        <x:f>IF($H263="","",IF($F263="","No Highlighted Fields","Highlighted Fields Present"))</x:f>
        <x:v/>
      </x:c>
      <x:c r="F263" s="331" t="str">
        <x:f>IF($H263="","",IF(INDEX('Game Records'!$B:$B,$H263)="","Start Date; ","")&amp;IF(INDEX('Game Records'!$C:$C,$H263)="","End Date; ","")&amp;IF(AND(INDEX('Game Records'!$U:$U,$H263)&lt;&gt;"Subscription",INDEX('Game Records'!$U:$U,$H263)&lt;&gt;"Free Game",INDEX('Game Records'!$U:$U,$H263)&lt;&gt;"Disqualified — Free Game",OR(INDEX('Game Records'!$D:$D,$H263)="",LOWER(INDEX('Game Records'!$D:$D,$H263)&amp;"")="n/a")),"Entry Mode; ","")&amp;IF(AND(INDEX('Game Records'!$U:$U,$H263)&lt;&gt;"Subscription",INDEX('Game Records'!$U:$U,$H263)&lt;&gt;"Free Game",INDEX('Game Records'!$U:$U,$H263)&lt;&gt;"Disqualified — Free Game",OR(INDEX('Game Records'!$E:$E,$H263)="",LOWER(INDEX('Game Records'!$E:$E,$H263)&amp;"")="n/a")),"Game Type; ","")&amp;IF(INDEX('Game Records'!$F:$F,$H263)="","Payment Type; ","")&amp;IF(AND(INDEX('Game Records'!$U:$U,$H263)&lt;&gt;"Subscription",INDEX('Game Records'!$U:$U,$H263)&lt;&gt;"Free Game",INDEX('Game Records'!$U:$U,$H263)&lt;&gt;"Disqualified — Free Game",INDEX('Game Records'!$G:$G,$H263)=""),"Gross Pot; ","")&amp;IF(AND(INDEX('Game Records'!$U:$U,$H263)&lt;&gt;"Free Game",INDEX('Game Records'!$U:$U,$H263)&lt;&gt;"Disqualified — Free Game",INDEX('Game Records'!$H:$H,$H263)=""),"Entry Fee; ","")&amp;IF(AND(INDEX('Game Records'!$U:$U,$H263)&lt;&gt;"Subscription",INDEX('Game Records'!$U:$U,$H263)&lt;&gt;"Free Game",INDEX('Game Records'!$U:$U,$H263)&lt;&gt;"Disqualified — Free Game",INDEX('Game Records'!$I:$I,$H263)=""),"Eligible Players; ","")&amp;IF(AND(INDEX('Game Records'!$U:$U,$H263)&lt;&gt;"Subscription",INDEX('Game Records'!$U:$U,$H263)&lt;&gt;"Free Game",INDEX('Game Records'!$U:$U,$H263)&lt;&gt;"Disqualified — Free Game",INDEX('Game Records'!$J:$J,$H263)=""),"Total Players; ","")&amp;IF(AND(LOWER(INDEX('Game Records'!$D:$D,$H263)&amp;"")="finalized",LOWER(INDEX('Game Records'!$L:$L,$H263)&amp;"")&lt;&gt;"yes",INDEX('Game Records'!$U:$U,$H263)&lt;&gt;"Subscription",INDEX('Game Records'!$U:$U,$H263)&lt;&gt;"Free Game",INDEX('Game Records'!$U:$U,$H263)&lt;&gt;"Disqualified — Free Game",INDEX('Game Records'!$K:$K,$H263)=""),"Final Earned; ","")&amp;IF(AND(LOWER(INDEX('Game Records'!$D:$D,$H263)&amp;"")="finalized",INDEX('Game Records'!$U:$U,$H263)&lt;&gt;"Subscription",INDEX('Game Records'!$U:$U,$H263)&lt;&gt;"Free Game",INDEX('Game Records'!$U:$U,$H263)&lt;&gt;"Disqualified — Free Game",OR(INDEX('Game Records'!$L:$L,$H263)="",LOWER(INDEX('Game Records'!$L:$L,$H263)&amp;"")="n/a")),"Disqualified Status; ",""))</x:f>
        <x:v/>
      </x:c>
      <x:c r="G263" s="331" t="str">
        <x:f>IF($H263="","",IFERROR(INDEX('Game Records'!$M:$M,$H263),""))</x:f>
        <x:v/>
      </x:c>
      <x:c r="H263" s="104" t="str">
        <x:f>IF($H262="","",IFERROR(MATCH(1,INDEX((ROW('Game Records'!$U$5:$U$504)&gt;$H262)*(('Game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4" ht="24" customHeight="1">
      <x:c r="A264" s="332" t="str">
        <x:f>IF($H264="","",ROWS($A$5:A264))</x:f>
        <x:v/>
      </x:c>
      <x:c r="B264" s="332" t="str">
        <x:f>IF($H264="","","G-"&amp;TEXT($A264,"0000"))</x:f>
        <x:v/>
      </x:c>
      <x:c r="C264" s="331" t="str">
        <x:f>IF($H264="","",IFERROR(INDEX('Game Records'!$A:$A,$H264),""))</x:f>
        <x:v/>
      </x:c>
      <x:c r="D264" s="331" t="str">
        <x:f>IF($H264="","",IFERROR(INDEX('Game Records'!$U:$U,$H264),""))</x:f>
        <x:v/>
      </x:c>
      <x:c r="E264" s="331" t="str">
        <x:f>IF($H264="","",IF($F264="","No Highlighted Fields","Highlighted Fields Present"))</x:f>
        <x:v/>
      </x:c>
      <x:c r="F264" s="331" t="str">
        <x:f>IF($H264="","",IF(INDEX('Game Records'!$B:$B,$H264)="","Start Date; ","")&amp;IF(INDEX('Game Records'!$C:$C,$H264)="","End Date; ","")&amp;IF(AND(INDEX('Game Records'!$U:$U,$H264)&lt;&gt;"Subscription",INDEX('Game Records'!$U:$U,$H264)&lt;&gt;"Free Game",INDEX('Game Records'!$U:$U,$H264)&lt;&gt;"Disqualified — Free Game",OR(INDEX('Game Records'!$D:$D,$H264)="",LOWER(INDEX('Game Records'!$D:$D,$H264)&amp;"")="n/a")),"Entry Mode; ","")&amp;IF(AND(INDEX('Game Records'!$U:$U,$H264)&lt;&gt;"Subscription",INDEX('Game Records'!$U:$U,$H264)&lt;&gt;"Free Game",INDEX('Game Records'!$U:$U,$H264)&lt;&gt;"Disqualified — Free Game",OR(INDEX('Game Records'!$E:$E,$H264)="",LOWER(INDEX('Game Records'!$E:$E,$H264)&amp;"")="n/a")),"Game Type; ","")&amp;IF(INDEX('Game Records'!$F:$F,$H264)="","Payment Type; ","")&amp;IF(AND(INDEX('Game Records'!$U:$U,$H264)&lt;&gt;"Subscription",INDEX('Game Records'!$U:$U,$H264)&lt;&gt;"Free Game",INDEX('Game Records'!$U:$U,$H264)&lt;&gt;"Disqualified — Free Game",INDEX('Game Records'!$G:$G,$H264)=""),"Gross Pot; ","")&amp;IF(AND(INDEX('Game Records'!$U:$U,$H264)&lt;&gt;"Free Game",INDEX('Game Records'!$U:$U,$H264)&lt;&gt;"Disqualified — Free Game",INDEX('Game Records'!$H:$H,$H264)=""),"Entry Fee; ","")&amp;IF(AND(INDEX('Game Records'!$U:$U,$H264)&lt;&gt;"Subscription",INDEX('Game Records'!$U:$U,$H264)&lt;&gt;"Free Game",INDEX('Game Records'!$U:$U,$H264)&lt;&gt;"Disqualified — Free Game",INDEX('Game Records'!$I:$I,$H264)=""),"Eligible Players; ","")&amp;IF(AND(INDEX('Game Records'!$U:$U,$H264)&lt;&gt;"Subscription",INDEX('Game Records'!$U:$U,$H264)&lt;&gt;"Free Game",INDEX('Game Records'!$U:$U,$H264)&lt;&gt;"Disqualified — Free Game",INDEX('Game Records'!$J:$J,$H264)=""),"Total Players; ","")&amp;IF(AND(LOWER(INDEX('Game Records'!$D:$D,$H264)&amp;"")="finalized",LOWER(INDEX('Game Records'!$L:$L,$H264)&amp;"")&lt;&gt;"yes",INDEX('Game Records'!$U:$U,$H264)&lt;&gt;"Subscription",INDEX('Game Records'!$U:$U,$H264)&lt;&gt;"Free Game",INDEX('Game Records'!$U:$U,$H264)&lt;&gt;"Disqualified — Free Game",INDEX('Game Records'!$K:$K,$H264)=""),"Final Earned; ","")&amp;IF(AND(LOWER(INDEX('Game Records'!$D:$D,$H264)&amp;"")="finalized",INDEX('Game Records'!$U:$U,$H264)&lt;&gt;"Subscription",INDEX('Game Records'!$U:$U,$H264)&lt;&gt;"Free Game",INDEX('Game Records'!$U:$U,$H264)&lt;&gt;"Disqualified — Free Game",OR(INDEX('Game Records'!$L:$L,$H264)="",LOWER(INDEX('Game Records'!$L:$L,$H264)&amp;"")="n/a")),"Disqualified Status; ",""))</x:f>
        <x:v/>
      </x:c>
      <x:c r="G264" s="331" t="str">
        <x:f>IF($H264="","",IFERROR(INDEX('Game Records'!$M:$M,$H264),""))</x:f>
        <x:v/>
      </x:c>
      <x:c r="H264" s="104" t="str">
        <x:f>IF($H263="","",IFERROR(MATCH(1,INDEX((ROW('Game Records'!$U$5:$U$504)&gt;$H263)*(('Game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5" ht="24" customHeight="1">
      <x:c r="A265" s="332" t="str">
        <x:f>IF($H265="","",ROWS($A$5:A265))</x:f>
        <x:v/>
      </x:c>
      <x:c r="B265" s="332" t="str">
        <x:f>IF($H265="","","G-"&amp;TEXT($A265,"0000"))</x:f>
        <x:v/>
      </x:c>
      <x:c r="C265" s="331" t="str">
        <x:f>IF($H265="","",IFERROR(INDEX('Game Records'!$A:$A,$H265),""))</x:f>
        <x:v/>
      </x:c>
      <x:c r="D265" s="331" t="str">
        <x:f>IF($H265="","",IFERROR(INDEX('Game Records'!$U:$U,$H265),""))</x:f>
        <x:v/>
      </x:c>
      <x:c r="E265" s="331" t="str">
        <x:f>IF($H265="","",IF($F265="","No Highlighted Fields","Highlighted Fields Present"))</x:f>
        <x:v/>
      </x:c>
      <x:c r="F265" s="331" t="str">
        <x:f>IF($H265="","",IF(INDEX('Game Records'!$B:$B,$H265)="","Start Date; ","")&amp;IF(INDEX('Game Records'!$C:$C,$H265)="","End Date; ","")&amp;IF(AND(INDEX('Game Records'!$U:$U,$H265)&lt;&gt;"Subscription",INDEX('Game Records'!$U:$U,$H265)&lt;&gt;"Free Game",INDEX('Game Records'!$U:$U,$H265)&lt;&gt;"Disqualified — Free Game",OR(INDEX('Game Records'!$D:$D,$H265)="",LOWER(INDEX('Game Records'!$D:$D,$H265)&amp;"")="n/a")),"Entry Mode; ","")&amp;IF(AND(INDEX('Game Records'!$U:$U,$H265)&lt;&gt;"Subscription",INDEX('Game Records'!$U:$U,$H265)&lt;&gt;"Free Game",INDEX('Game Records'!$U:$U,$H265)&lt;&gt;"Disqualified — Free Game",OR(INDEX('Game Records'!$E:$E,$H265)="",LOWER(INDEX('Game Records'!$E:$E,$H265)&amp;"")="n/a")),"Game Type; ","")&amp;IF(INDEX('Game Records'!$F:$F,$H265)="","Payment Type; ","")&amp;IF(AND(INDEX('Game Records'!$U:$U,$H265)&lt;&gt;"Subscription",INDEX('Game Records'!$U:$U,$H265)&lt;&gt;"Free Game",INDEX('Game Records'!$U:$U,$H265)&lt;&gt;"Disqualified — Free Game",INDEX('Game Records'!$G:$G,$H265)=""),"Gross Pot; ","")&amp;IF(AND(INDEX('Game Records'!$U:$U,$H265)&lt;&gt;"Free Game",INDEX('Game Records'!$U:$U,$H265)&lt;&gt;"Disqualified — Free Game",INDEX('Game Records'!$H:$H,$H265)=""),"Entry Fee; ","")&amp;IF(AND(INDEX('Game Records'!$U:$U,$H265)&lt;&gt;"Subscription",INDEX('Game Records'!$U:$U,$H265)&lt;&gt;"Free Game",INDEX('Game Records'!$U:$U,$H265)&lt;&gt;"Disqualified — Free Game",INDEX('Game Records'!$I:$I,$H265)=""),"Eligible Players; ","")&amp;IF(AND(INDEX('Game Records'!$U:$U,$H265)&lt;&gt;"Subscription",INDEX('Game Records'!$U:$U,$H265)&lt;&gt;"Free Game",INDEX('Game Records'!$U:$U,$H265)&lt;&gt;"Disqualified — Free Game",INDEX('Game Records'!$J:$J,$H265)=""),"Total Players; ","")&amp;IF(AND(LOWER(INDEX('Game Records'!$D:$D,$H265)&amp;"")="finalized",LOWER(INDEX('Game Records'!$L:$L,$H265)&amp;"")&lt;&gt;"yes",INDEX('Game Records'!$U:$U,$H265)&lt;&gt;"Subscription",INDEX('Game Records'!$U:$U,$H265)&lt;&gt;"Free Game",INDEX('Game Records'!$U:$U,$H265)&lt;&gt;"Disqualified — Free Game",INDEX('Game Records'!$K:$K,$H265)=""),"Final Earned; ","")&amp;IF(AND(LOWER(INDEX('Game Records'!$D:$D,$H265)&amp;"")="finalized",INDEX('Game Records'!$U:$U,$H265)&lt;&gt;"Subscription",INDEX('Game Records'!$U:$U,$H265)&lt;&gt;"Free Game",INDEX('Game Records'!$U:$U,$H265)&lt;&gt;"Disqualified — Free Game",OR(INDEX('Game Records'!$L:$L,$H265)="",LOWER(INDEX('Game Records'!$L:$L,$H265)&amp;"")="n/a")),"Disqualified Status; ",""))</x:f>
        <x:v/>
      </x:c>
      <x:c r="G265" s="331" t="str">
        <x:f>IF($H265="","",IFERROR(INDEX('Game Records'!$M:$M,$H265),""))</x:f>
        <x:v/>
      </x:c>
      <x:c r="H265" s="104" t="str">
        <x:f>IF($H264="","",IFERROR(MATCH(1,INDEX((ROW('Game Records'!$U$5:$U$504)&gt;$H264)*(('Game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6" ht="24" customHeight="1">
      <x:c r="A266" s="332" t="str">
        <x:f>IF($H266="","",ROWS($A$5:A266))</x:f>
        <x:v/>
      </x:c>
      <x:c r="B266" s="332" t="str">
        <x:f>IF($H266="","","G-"&amp;TEXT($A266,"0000"))</x:f>
        <x:v/>
      </x:c>
      <x:c r="C266" s="331" t="str">
        <x:f>IF($H266="","",IFERROR(INDEX('Game Records'!$A:$A,$H266),""))</x:f>
        <x:v/>
      </x:c>
      <x:c r="D266" s="331" t="str">
        <x:f>IF($H266="","",IFERROR(INDEX('Game Records'!$U:$U,$H266),""))</x:f>
        <x:v/>
      </x:c>
      <x:c r="E266" s="331" t="str">
        <x:f>IF($H266="","",IF($F266="","No Highlighted Fields","Highlighted Fields Present"))</x:f>
        <x:v/>
      </x:c>
      <x:c r="F266" s="331" t="str">
        <x:f>IF($H266="","",IF(INDEX('Game Records'!$B:$B,$H266)="","Start Date; ","")&amp;IF(INDEX('Game Records'!$C:$C,$H266)="","End Date; ","")&amp;IF(AND(INDEX('Game Records'!$U:$U,$H266)&lt;&gt;"Subscription",INDEX('Game Records'!$U:$U,$H266)&lt;&gt;"Free Game",INDEX('Game Records'!$U:$U,$H266)&lt;&gt;"Disqualified — Free Game",OR(INDEX('Game Records'!$D:$D,$H266)="",LOWER(INDEX('Game Records'!$D:$D,$H266)&amp;"")="n/a")),"Entry Mode; ","")&amp;IF(AND(INDEX('Game Records'!$U:$U,$H266)&lt;&gt;"Subscription",INDEX('Game Records'!$U:$U,$H266)&lt;&gt;"Free Game",INDEX('Game Records'!$U:$U,$H266)&lt;&gt;"Disqualified — Free Game",OR(INDEX('Game Records'!$E:$E,$H266)="",LOWER(INDEX('Game Records'!$E:$E,$H266)&amp;"")="n/a")),"Game Type; ","")&amp;IF(INDEX('Game Records'!$F:$F,$H266)="","Payment Type; ","")&amp;IF(AND(INDEX('Game Records'!$U:$U,$H266)&lt;&gt;"Subscription",INDEX('Game Records'!$U:$U,$H266)&lt;&gt;"Free Game",INDEX('Game Records'!$U:$U,$H266)&lt;&gt;"Disqualified — Free Game",INDEX('Game Records'!$G:$G,$H266)=""),"Gross Pot; ","")&amp;IF(AND(INDEX('Game Records'!$U:$U,$H266)&lt;&gt;"Free Game",INDEX('Game Records'!$U:$U,$H266)&lt;&gt;"Disqualified — Free Game",INDEX('Game Records'!$H:$H,$H266)=""),"Entry Fee; ","")&amp;IF(AND(INDEX('Game Records'!$U:$U,$H266)&lt;&gt;"Subscription",INDEX('Game Records'!$U:$U,$H266)&lt;&gt;"Free Game",INDEX('Game Records'!$U:$U,$H266)&lt;&gt;"Disqualified — Free Game",INDEX('Game Records'!$I:$I,$H266)=""),"Eligible Players; ","")&amp;IF(AND(INDEX('Game Records'!$U:$U,$H266)&lt;&gt;"Subscription",INDEX('Game Records'!$U:$U,$H266)&lt;&gt;"Free Game",INDEX('Game Records'!$U:$U,$H266)&lt;&gt;"Disqualified — Free Game",INDEX('Game Records'!$J:$J,$H266)=""),"Total Players; ","")&amp;IF(AND(LOWER(INDEX('Game Records'!$D:$D,$H266)&amp;"")="finalized",LOWER(INDEX('Game Records'!$L:$L,$H266)&amp;"")&lt;&gt;"yes",INDEX('Game Records'!$U:$U,$H266)&lt;&gt;"Subscription",INDEX('Game Records'!$U:$U,$H266)&lt;&gt;"Free Game",INDEX('Game Records'!$U:$U,$H266)&lt;&gt;"Disqualified — Free Game",INDEX('Game Records'!$K:$K,$H266)=""),"Final Earned; ","")&amp;IF(AND(LOWER(INDEX('Game Records'!$D:$D,$H266)&amp;"")="finalized",INDEX('Game Records'!$U:$U,$H266)&lt;&gt;"Subscription",INDEX('Game Records'!$U:$U,$H266)&lt;&gt;"Free Game",INDEX('Game Records'!$U:$U,$H266)&lt;&gt;"Disqualified — Free Game",OR(INDEX('Game Records'!$L:$L,$H266)="",LOWER(INDEX('Game Records'!$L:$L,$H266)&amp;"")="n/a")),"Disqualified Status; ",""))</x:f>
        <x:v/>
      </x:c>
      <x:c r="G266" s="331" t="str">
        <x:f>IF($H266="","",IFERROR(INDEX('Game Records'!$M:$M,$H266),""))</x:f>
        <x:v/>
      </x:c>
      <x:c r="H266" s="104" t="str">
        <x:f>IF($H265="","",IFERROR(MATCH(1,INDEX((ROW('Game Records'!$U$5:$U$504)&gt;$H265)*(('Game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7" ht="24" customHeight="1">
      <x:c r="A267" s="332" t="str">
        <x:f>IF($H267="","",ROWS($A$5:A267))</x:f>
        <x:v/>
      </x:c>
      <x:c r="B267" s="332" t="str">
        <x:f>IF($H267="","","G-"&amp;TEXT($A267,"0000"))</x:f>
        <x:v/>
      </x:c>
      <x:c r="C267" s="331" t="str">
        <x:f>IF($H267="","",IFERROR(INDEX('Game Records'!$A:$A,$H267),""))</x:f>
        <x:v/>
      </x:c>
      <x:c r="D267" s="331" t="str">
        <x:f>IF($H267="","",IFERROR(INDEX('Game Records'!$U:$U,$H267),""))</x:f>
        <x:v/>
      </x:c>
      <x:c r="E267" s="331" t="str">
        <x:f>IF($H267="","",IF($F267="","No Highlighted Fields","Highlighted Fields Present"))</x:f>
        <x:v/>
      </x:c>
      <x:c r="F267" s="331" t="str">
        <x:f>IF($H267="","",IF(INDEX('Game Records'!$B:$B,$H267)="","Start Date; ","")&amp;IF(INDEX('Game Records'!$C:$C,$H267)="","End Date; ","")&amp;IF(AND(INDEX('Game Records'!$U:$U,$H267)&lt;&gt;"Subscription",INDEX('Game Records'!$U:$U,$H267)&lt;&gt;"Free Game",INDEX('Game Records'!$U:$U,$H267)&lt;&gt;"Disqualified — Free Game",OR(INDEX('Game Records'!$D:$D,$H267)="",LOWER(INDEX('Game Records'!$D:$D,$H267)&amp;"")="n/a")),"Entry Mode; ","")&amp;IF(AND(INDEX('Game Records'!$U:$U,$H267)&lt;&gt;"Subscription",INDEX('Game Records'!$U:$U,$H267)&lt;&gt;"Free Game",INDEX('Game Records'!$U:$U,$H267)&lt;&gt;"Disqualified — Free Game",OR(INDEX('Game Records'!$E:$E,$H267)="",LOWER(INDEX('Game Records'!$E:$E,$H267)&amp;"")="n/a")),"Game Type; ","")&amp;IF(INDEX('Game Records'!$F:$F,$H267)="","Payment Type; ","")&amp;IF(AND(INDEX('Game Records'!$U:$U,$H267)&lt;&gt;"Subscription",INDEX('Game Records'!$U:$U,$H267)&lt;&gt;"Free Game",INDEX('Game Records'!$U:$U,$H267)&lt;&gt;"Disqualified — Free Game",INDEX('Game Records'!$G:$G,$H267)=""),"Gross Pot; ","")&amp;IF(AND(INDEX('Game Records'!$U:$U,$H267)&lt;&gt;"Free Game",INDEX('Game Records'!$U:$U,$H267)&lt;&gt;"Disqualified — Free Game",INDEX('Game Records'!$H:$H,$H267)=""),"Entry Fee; ","")&amp;IF(AND(INDEX('Game Records'!$U:$U,$H267)&lt;&gt;"Subscription",INDEX('Game Records'!$U:$U,$H267)&lt;&gt;"Free Game",INDEX('Game Records'!$U:$U,$H267)&lt;&gt;"Disqualified — Free Game",INDEX('Game Records'!$I:$I,$H267)=""),"Eligible Players; ","")&amp;IF(AND(INDEX('Game Records'!$U:$U,$H267)&lt;&gt;"Subscription",INDEX('Game Records'!$U:$U,$H267)&lt;&gt;"Free Game",INDEX('Game Records'!$U:$U,$H267)&lt;&gt;"Disqualified — Free Game",INDEX('Game Records'!$J:$J,$H267)=""),"Total Players; ","")&amp;IF(AND(LOWER(INDEX('Game Records'!$D:$D,$H267)&amp;"")="finalized",LOWER(INDEX('Game Records'!$L:$L,$H267)&amp;"")&lt;&gt;"yes",INDEX('Game Records'!$U:$U,$H267)&lt;&gt;"Subscription",INDEX('Game Records'!$U:$U,$H267)&lt;&gt;"Free Game",INDEX('Game Records'!$U:$U,$H267)&lt;&gt;"Disqualified — Free Game",INDEX('Game Records'!$K:$K,$H267)=""),"Final Earned; ","")&amp;IF(AND(LOWER(INDEX('Game Records'!$D:$D,$H267)&amp;"")="finalized",INDEX('Game Records'!$U:$U,$H267)&lt;&gt;"Subscription",INDEX('Game Records'!$U:$U,$H267)&lt;&gt;"Free Game",INDEX('Game Records'!$U:$U,$H267)&lt;&gt;"Disqualified — Free Game",OR(INDEX('Game Records'!$L:$L,$H267)="",LOWER(INDEX('Game Records'!$L:$L,$H267)&amp;"")="n/a")),"Disqualified Status; ",""))</x:f>
        <x:v/>
      </x:c>
      <x:c r="G267" s="331" t="str">
        <x:f>IF($H267="","",IFERROR(INDEX('Game Records'!$M:$M,$H267),""))</x:f>
        <x:v/>
      </x:c>
      <x:c r="H267" s="104" t="str">
        <x:f>IF($H266="","",IFERROR(MATCH(1,INDEX((ROW('Game Records'!$U$5:$U$504)&gt;$H266)*(('Game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8" ht="24" customHeight="1">
      <x:c r="A268" s="332" t="str">
        <x:f>IF($H268="","",ROWS($A$5:A268))</x:f>
        <x:v/>
      </x:c>
      <x:c r="B268" s="332" t="str">
        <x:f>IF($H268="","","G-"&amp;TEXT($A268,"0000"))</x:f>
        <x:v/>
      </x:c>
      <x:c r="C268" s="331" t="str">
        <x:f>IF($H268="","",IFERROR(INDEX('Game Records'!$A:$A,$H268),""))</x:f>
        <x:v/>
      </x:c>
      <x:c r="D268" s="331" t="str">
        <x:f>IF($H268="","",IFERROR(INDEX('Game Records'!$U:$U,$H268),""))</x:f>
        <x:v/>
      </x:c>
      <x:c r="E268" s="331" t="str">
        <x:f>IF($H268="","",IF($F268="","No Highlighted Fields","Highlighted Fields Present"))</x:f>
        <x:v/>
      </x:c>
      <x:c r="F268" s="331" t="str">
        <x:f>IF($H268="","",IF(INDEX('Game Records'!$B:$B,$H268)="","Start Date; ","")&amp;IF(INDEX('Game Records'!$C:$C,$H268)="","End Date; ","")&amp;IF(AND(INDEX('Game Records'!$U:$U,$H268)&lt;&gt;"Subscription",INDEX('Game Records'!$U:$U,$H268)&lt;&gt;"Free Game",INDEX('Game Records'!$U:$U,$H268)&lt;&gt;"Disqualified — Free Game",OR(INDEX('Game Records'!$D:$D,$H268)="",LOWER(INDEX('Game Records'!$D:$D,$H268)&amp;"")="n/a")),"Entry Mode; ","")&amp;IF(AND(INDEX('Game Records'!$U:$U,$H268)&lt;&gt;"Subscription",INDEX('Game Records'!$U:$U,$H268)&lt;&gt;"Free Game",INDEX('Game Records'!$U:$U,$H268)&lt;&gt;"Disqualified — Free Game",OR(INDEX('Game Records'!$E:$E,$H268)="",LOWER(INDEX('Game Records'!$E:$E,$H268)&amp;"")="n/a")),"Game Type; ","")&amp;IF(INDEX('Game Records'!$F:$F,$H268)="","Payment Type; ","")&amp;IF(AND(INDEX('Game Records'!$U:$U,$H268)&lt;&gt;"Subscription",INDEX('Game Records'!$U:$U,$H268)&lt;&gt;"Free Game",INDEX('Game Records'!$U:$U,$H268)&lt;&gt;"Disqualified — Free Game",INDEX('Game Records'!$G:$G,$H268)=""),"Gross Pot; ","")&amp;IF(AND(INDEX('Game Records'!$U:$U,$H268)&lt;&gt;"Free Game",INDEX('Game Records'!$U:$U,$H268)&lt;&gt;"Disqualified — Free Game",INDEX('Game Records'!$H:$H,$H268)=""),"Entry Fee; ","")&amp;IF(AND(INDEX('Game Records'!$U:$U,$H268)&lt;&gt;"Subscription",INDEX('Game Records'!$U:$U,$H268)&lt;&gt;"Free Game",INDEX('Game Records'!$U:$U,$H268)&lt;&gt;"Disqualified — Free Game",INDEX('Game Records'!$I:$I,$H268)=""),"Eligible Players; ","")&amp;IF(AND(INDEX('Game Records'!$U:$U,$H268)&lt;&gt;"Subscription",INDEX('Game Records'!$U:$U,$H268)&lt;&gt;"Free Game",INDEX('Game Records'!$U:$U,$H268)&lt;&gt;"Disqualified — Free Game",INDEX('Game Records'!$J:$J,$H268)=""),"Total Players; ","")&amp;IF(AND(LOWER(INDEX('Game Records'!$D:$D,$H268)&amp;"")="finalized",LOWER(INDEX('Game Records'!$L:$L,$H268)&amp;"")&lt;&gt;"yes",INDEX('Game Records'!$U:$U,$H268)&lt;&gt;"Subscription",INDEX('Game Records'!$U:$U,$H268)&lt;&gt;"Free Game",INDEX('Game Records'!$U:$U,$H268)&lt;&gt;"Disqualified — Free Game",INDEX('Game Records'!$K:$K,$H268)=""),"Final Earned; ","")&amp;IF(AND(LOWER(INDEX('Game Records'!$D:$D,$H268)&amp;"")="finalized",INDEX('Game Records'!$U:$U,$H268)&lt;&gt;"Subscription",INDEX('Game Records'!$U:$U,$H268)&lt;&gt;"Free Game",INDEX('Game Records'!$U:$U,$H268)&lt;&gt;"Disqualified — Free Game",OR(INDEX('Game Records'!$L:$L,$H268)="",LOWER(INDEX('Game Records'!$L:$L,$H268)&amp;"")="n/a")),"Disqualified Status; ",""))</x:f>
        <x:v/>
      </x:c>
      <x:c r="G268" s="331" t="str">
        <x:f>IF($H268="","",IFERROR(INDEX('Game Records'!$M:$M,$H268),""))</x:f>
        <x:v/>
      </x:c>
      <x:c r="H268" s="104" t="str">
        <x:f>IF($H267="","",IFERROR(MATCH(1,INDEX((ROW('Game Records'!$U$5:$U$504)&gt;$H267)*(('Game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69" ht="24" customHeight="1">
      <x:c r="A269" s="332" t="str">
        <x:f>IF($H269="","",ROWS($A$5:A269))</x:f>
        <x:v/>
      </x:c>
      <x:c r="B269" s="332" t="str">
        <x:f>IF($H269="","","G-"&amp;TEXT($A269,"0000"))</x:f>
        <x:v/>
      </x:c>
      <x:c r="C269" s="331" t="str">
        <x:f>IF($H269="","",IFERROR(INDEX('Game Records'!$A:$A,$H269),""))</x:f>
        <x:v/>
      </x:c>
      <x:c r="D269" s="331" t="str">
        <x:f>IF($H269="","",IFERROR(INDEX('Game Records'!$U:$U,$H269),""))</x:f>
        <x:v/>
      </x:c>
      <x:c r="E269" s="331" t="str">
        <x:f>IF($H269="","",IF($F269="","No Highlighted Fields","Highlighted Fields Present"))</x:f>
        <x:v/>
      </x:c>
      <x:c r="F269" s="331" t="str">
        <x:f>IF($H269="","",IF(INDEX('Game Records'!$B:$B,$H269)="","Start Date; ","")&amp;IF(INDEX('Game Records'!$C:$C,$H269)="","End Date; ","")&amp;IF(AND(INDEX('Game Records'!$U:$U,$H269)&lt;&gt;"Subscription",INDEX('Game Records'!$U:$U,$H269)&lt;&gt;"Free Game",INDEX('Game Records'!$U:$U,$H269)&lt;&gt;"Disqualified — Free Game",OR(INDEX('Game Records'!$D:$D,$H269)="",LOWER(INDEX('Game Records'!$D:$D,$H269)&amp;"")="n/a")),"Entry Mode; ","")&amp;IF(AND(INDEX('Game Records'!$U:$U,$H269)&lt;&gt;"Subscription",INDEX('Game Records'!$U:$U,$H269)&lt;&gt;"Free Game",INDEX('Game Records'!$U:$U,$H269)&lt;&gt;"Disqualified — Free Game",OR(INDEX('Game Records'!$E:$E,$H269)="",LOWER(INDEX('Game Records'!$E:$E,$H269)&amp;"")="n/a")),"Game Type; ","")&amp;IF(INDEX('Game Records'!$F:$F,$H269)="","Payment Type; ","")&amp;IF(AND(INDEX('Game Records'!$U:$U,$H269)&lt;&gt;"Subscription",INDEX('Game Records'!$U:$U,$H269)&lt;&gt;"Free Game",INDEX('Game Records'!$U:$U,$H269)&lt;&gt;"Disqualified — Free Game",INDEX('Game Records'!$G:$G,$H269)=""),"Gross Pot; ","")&amp;IF(AND(INDEX('Game Records'!$U:$U,$H269)&lt;&gt;"Free Game",INDEX('Game Records'!$U:$U,$H269)&lt;&gt;"Disqualified — Free Game",INDEX('Game Records'!$H:$H,$H269)=""),"Entry Fee; ","")&amp;IF(AND(INDEX('Game Records'!$U:$U,$H269)&lt;&gt;"Subscription",INDEX('Game Records'!$U:$U,$H269)&lt;&gt;"Free Game",INDEX('Game Records'!$U:$U,$H269)&lt;&gt;"Disqualified — Free Game",INDEX('Game Records'!$I:$I,$H269)=""),"Eligible Players; ","")&amp;IF(AND(INDEX('Game Records'!$U:$U,$H269)&lt;&gt;"Subscription",INDEX('Game Records'!$U:$U,$H269)&lt;&gt;"Free Game",INDEX('Game Records'!$U:$U,$H269)&lt;&gt;"Disqualified — Free Game",INDEX('Game Records'!$J:$J,$H269)=""),"Total Players; ","")&amp;IF(AND(LOWER(INDEX('Game Records'!$D:$D,$H269)&amp;"")="finalized",LOWER(INDEX('Game Records'!$L:$L,$H269)&amp;"")&lt;&gt;"yes",INDEX('Game Records'!$U:$U,$H269)&lt;&gt;"Subscription",INDEX('Game Records'!$U:$U,$H269)&lt;&gt;"Free Game",INDEX('Game Records'!$U:$U,$H269)&lt;&gt;"Disqualified — Free Game",INDEX('Game Records'!$K:$K,$H269)=""),"Final Earned; ","")&amp;IF(AND(LOWER(INDEX('Game Records'!$D:$D,$H269)&amp;"")="finalized",INDEX('Game Records'!$U:$U,$H269)&lt;&gt;"Subscription",INDEX('Game Records'!$U:$U,$H269)&lt;&gt;"Free Game",INDEX('Game Records'!$U:$U,$H269)&lt;&gt;"Disqualified — Free Game",OR(INDEX('Game Records'!$L:$L,$H269)="",LOWER(INDEX('Game Records'!$L:$L,$H269)&amp;"")="n/a")),"Disqualified Status; ",""))</x:f>
        <x:v/>
      </x:c>
      <x:c r="G269" s="331" t="str">
        <x:f>IF($H269="","",IFERROR(INDEX('Game Records'!$M:$M,$H269),""))</x:f>
        <x:v/>
      </x:c>
      <x:c r="H269" s="104" t="str">
        <x:f>IF($H268="","",IFERROR(MATCH(1,INDEX((ROW('Game Records'!$U$5:$U$504)&gt;$H268)*(('Game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0" ht="24" customHeight="1">
      <x:c r="A270" s="332" t="str">
        <x:f>IF($H270="","",ROWS($A$5:A270))</x:f>
        <x:v/>
      </x:c>
      <x:c r="B270" s="332" t="str">
        <x:f>IF($H270="","","G-"&amp;TEXT($A270,"0000"))</x:f>
        <x:v/>
      </x:c>
      <x:c r="C270" s="331" t="str">
        <x:f>IF($H270="","",IFERROR(INDEX('Game Records'!$A:$A,$H270),""))</x:f>
        <x:v/>
      </x:c>
      <x:c r="D270" s="331" t="str">
        <x:f>IF($H270="","",IFERROR(INDEX('Game Records'!$U:$U,$H270),""))</x:f>
        <x:v/>
      </x:c>
      <x:c r="E270" s="331" t="str">
        <x:f>IF($H270="","",IF($F270="","No Highlighted Fields","Highlighted Fields Present"))</x:f>
        <x:v/>
      </x:c>
      <x:c r="F270" s="331" t="str">
        <x:f>IF($H270="","",IF(INDEX('Game Records'!$B:$B,$H270)="","Start Date; ","")&amp;IF(INDEX('Game Records'!$C:$C,$H270)="","End Date; ","")&amp;IF(AND(INDEX('Game Records'!$U:$U,$H270)&lt;&gt;"Subscription",INDEX('Game Records'!$U:$U,$H270)&lt;&gt;"Free Game",INDEX('Game Records'!$U:$U,$H270)&lt;&gt;"Disqualified — Free Game",OR(INDEX('Game Records'!$D:$D,$H270)="",LOWER(INDEX('Game Records'!$D:$D,$H270)&amp;"")="n/a")),"Entry Mode; ","")&amp;IF(AND(INDEX('Game Records'!$U:$U,$H270)&lt;&gt;"Subscription",INDEX('Game Records'!$U:$U,$H270)&lt;&gt;"Free Game",INDEX('Game Records'!$U:$U,$H270)&lt;&gt;"Disqualified — Free Game",OR(INDEX('Game Records'!$E:$E,$H270)="",LOWER(INDEX('Game Records'!$E:$E,$H270)&amp;"")="n/a")),"Game Type; ","")&amp;IF(INDEX('Game Records'!$F:$F,$H270)="","Payment Type; ","")&amp;IF(AND(INDEX('Game Records'!$U:$U,$H270)&lt;&gt;"Subscription",INDEX('Game Records'!$U:$U,$H270)&lt;&gt;"Free Game",INDEX('Game Records'!$U:$U,$H270)&lt;&gt;"Disqualified — Free Game",INDEX('Game Records'!$G:$G,$H270)=""),"Gross Pot; ","")&amp;IF(AND(INDEX('Game Records'!$U:$U,$H270)&lt;&gt;"Free Game",INDEX('Game Records'!$U:$U,$H270)&lt;&gt;"Disqualified — Free Game",INDEX('Game Records'!$H:$H,$H270)=""),"Entry Fee; ","")&amp;IF(AND(INDEX('Game Records'!$U:$U,$H270)&lt;&gt;"Subscription",INDEX('Game Records'!$U:$U,$H270)&lt;&gt;"Free Game",INDEX('Game Records'!$U:$U,$H270)&lt;&gt;"Disqualified — Free Game",INDEX('Game Records'!$I:$I,$H270)=""),"Eligible Players; ","")&amp;IF(AND(INDEX('Game Records'!$U:$U,$H270)&lt;&gt;"Subscription",INDEX('Game Records'!$U:$U,$H270)&lt;&gt;"Free Game",INDEX('Game Records'!$U:$U,$H270)&lt;&gt;"Disqualified — Free Game",INDEX('Game Records'!$J:$J,$H270)=""),"Total Players; ","")&amp;IF(AND(LOWER(INDEX('Game Records'!$D:$D,$H270)&amp;"")="finalized",LOWER(INDEX('Game Records'!$L:$L,$H270)&amp;"")&lt;&gt;"yes",INDEX('Game Records'!$U:$U,$H270)&lt;&gt;"Subscription",INDEX('Game Records'!$U:$U,$H270)&lt;&gt;"Free Game",INDEX('Game Records'!$U:$U,$H270)&lt;&gt;"Disqualified — Free Game",INDEX('Game Records'!$K:$K,$H270)=""),"Final Earned; ","")&amp;IF(AND(LOWER(INDEX('Game Records'!$D:$D,$H270)&amp;"")="finalized",INDEX('Game Records'!$U:$U,$H270)&lt;&gt;"Subscription",INDEX('Game Records'!$U:$U,$H270)&lt;&gt;"Free Game",INDEX('Game Records'!$U:$U,$H270)&lt;&gt;"Disqualified — Free Game",OR(INDEX('Game Records'!$L:$L,$H270)="",LOWER(INDEX('Game Records'!$L:$L,$H270)&amp;"")="n/a")),"Disqualified Status; ",""))</x:f>
        <x:v/>
      </x:c>
      <x:c r="G270" s="331" t="str">
        <x:f>IF($H270="","",IFERROR(INDEX('Game Records'!$M:$M,$H270),""))</x:f>
        <x:v/>
      </x:c>
      <x:c r="H270" s="104" t="str">
        <x:f>IF($H269="","",IFERROR(MATCH(1,INDEX((ROW('Game Records'!$U$5:$U$504)&gt;$H269)*(('Game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1" ht="24" customHeight="1">
      <x:c r="A271" s="332" t="str">
        <x:f>IF($H271="","",ROWS($A$5:A271))</x:f>
        <x:v/>
      </x:c>
      <x:c r="B271" s="332" t="str">
        <x:f>IF($H271="","","G-"&amp;TEXT($A271,"0000"))</x:f>
        <x:v/>
      </x:c>
      <x:c r="C271" s="331" t="str">
        <x:f>IF($H271="","",IFERROR(INDEX('Game Records'!$A:$A,$H271),""))</x:f>
        <x:v/>
      </x:c>
      <x:c r="D271" s="331" t="str">
        <x:f>IF($H271="","",IFERROR(INDEX('Game Records'!$U:$U,$H271),""))</x:f>
        <x:v/>
      </x:c>
      <x:c r="E271" s="331" t="str">
        <x:f>IF($H271="","",IF($F271="","No Highlighted Fields","Highlighted Fields Present"))</x:f>
        <x:v/>
      </x:c>
      <x:c r="F271" s="331" t="str">
        <x:f>IF($H271="","",IF(INDEX('Game Records'!$B:$B,$H271)="","Start Date; ","")&amp;IF(INDEX('Game Records'!$C:$C,$H271)="","End Date; ","")&amp;IF(AND(INDEX('Game Records'!$U:$U,$H271)&lt;&gt;"Subscription",INDEX('Game Records'!$U:$U,$H271)&lt;&gt;"Free Game",INDEX('Game Records'!$U:$U,$H271)&lt;&gt;"Disqualified — Free Game",OR(INDEX('Game Records'!$D:$D,$H271)="",LOWER(INDEX('Game Records'!$D:$D,$H271)&amp;"")="n/a")),"Entry Mode; ","")&amp;IF(AND(INDEX('Game Records'!$U:$U,$H271)&lt;&gt;"Subscription",INDEX('Game Records'!$U:$U,$H271)&lt;&gt;"Free Game",INDEX('Game Records'!$U:$U,$H271)&lt;&gt;"Disqualified — Free Game",OR(INDEX('Game Records'!$E:$E,$H271)="",LOWER(INDEX('Game Records'!$E:$E,$H271)&amp;"")="n/a")),"Game Type; ","")&amp;IF(INDEX('Game Records'!$F:$F,$H271)="","Payment Type; ","")&amp;IF(AND(INDEX('Game Records'!$U:$U,$H271)&lt;&gt;"Subscription",INDEX('Game Records'!$U:$U,$H271)&lt;&gt;"Free Game",INDEX('Game Records'!$U:$U,$H271)&lt;&gt;"Disqualified — Free Game",INDEX('Game Records'!$G:$G,$H271)=""),"Gross Pot; ","")&amp;IF(AND(INDEX('Game Records'!$U:$U,$H271)&lt;&gt;"Free Game",INDEX('Game Records'!$U:$U,$H271)&lt;&gt;"Disqualified — Free Game",INDEX('Game Records'!$H:$H,$H271)=""),"Entry Fee; ","")&amp;IF(AND(INDEX('Game Records'!$U:$U,$H271)&lt;&gt;"Subscription",INDEX('Game Records'!$U:$U,$H271)&lt;&gt;"Free Game",INDEX('Game Records'!$U:$U,$H271)&lt;&gt;"Disqualified — Free Game",INDEX('Game Records'!$I:$I,$H271)=""),"Eligible Players; ","")&amp;IF(AND(INDEX('Game Records'!$U:$U,$H271)&lt;&gt;"Subscription",INDEX('Game Records'!$U:$U,$H271)&lt;&gt;"Free Game",INDEX('Game Records'!$U:$U,$H271)&lt;&gt;"Disqualified — Free Game",INDEX('Game Records'!$J:$J,$H271)=""),"Total Players; ","")&amp;IF(AND(LOWER(INDEX('Game Records'!$D:$D,$H271)&amp;"")="finalized",LOWER(INDEX('Game Records'!$L:$L,$H271)&amp;"")&lt;&gt;"yes",INDEX('Game Records'!$U:$U,$H271)&lt;&gt;"Subscription",INDEX('Game Records'!$U:$U,$H271)&lt;&gt;"Free Game",INDEX('Game Records'!$U:$U,$H271)&lt;&gt;"Disqualified — Free Game",INDEX('Game Records'!$K:$K,$H271)=""),"Final Earned; ","")&amp;IF(AND(LOWER(INDEX('Game Records'!$D:$D,$H271)&amp;"")="finalized",INDEX('Game Records'!$U:$U,$H271)&lt;&gt;"Subscription",INDEX('Game Records'!$U:$U,$H271)&lt;&gt;"Free Game",INDEX('Game Records'!$U:$U,$H271)&lt;&gt;"Disqualified — Free Game",OR(INDEX('Game Records'!$L:$L,$H271)="",LOWER(INDEX('Game Records'!$L:$L,$H271)&amp;"")="n/a")),"Disqualified Status; ",""))</x:f>
        <x:v/>
      </x:c>
      <x:c r="G271" s="331" t="str">
        <x:f>IF($H271="","",IFERROR(INDEX('Game Records'!$M:$M,$H271),""))</x:f>
        <x:v/>
      </x:c>
      <x:c r="H271" s="104" t="str">
        <x:f>IF($H270="","",IFERROR(MATCH(1,INDEX((ROW('Game Records'!$U$5:$U$504)&gt;$H270)*(('Game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2" ht="24" customHeight="1">
      <x:c r="A272" s="332" t="str">
        <x:f>IF($H272="","",ROWS($A$5:A272))</x:f>
        <x:v/>
      </x:c>
      <x:c r="B272" s="332" t="str">
        <x:f>IF($H272="","","G-"&amp;TEXT($A272,"0000"))</x:f>
        <x:v/>
      </x:c>
      <x:c r="C272" s="331" t="str">
        <x:f>IF($H272="","",IFERROR(INDEX('Game Records'!$A:$A,$H272),""))</x:f>
        <x:v/>
      </x:c>
      <x:c r="D272" s="331" t="str">
        <x:f>IF($H272="","",IFERROR(INDEX('Game Records'!$U:$U,$H272),""))</x:f>
        <x:v/>
      </x:c>
      <x:c r="E272" s="331" t="str">
        <x:f>IF($H272="","",IF($F272="","No Highlighted Fields","Highlighted Fields Present"))</x:f>
        <x:v/>
      </x:c>
      <x:c r="F272" s="331" t="str">
        <x:f>IF($H272="","",IF(INDEX('Game Records'!$B:$B,$H272)="","Start Date; ","")&amp;IF(INDEX('Game Records'!$C:$C,$H272)="","End Date; ","")&amp;IF(AND(INDEX('Game Records'!$U:$U,$H272)&lt;&gt;"Subscription",INDEX('Game Records'!$U:$U,$H272)&lt;&gt;"Free Game",INDEX('Game Records'!$U:$U,$H272)&lt;&gt;"Disqualified — Free Game",OR(INDEX('Game Records'!$D:$D,$H272)="",LOWER(INDEX('Game Records'!$D:$D,$H272)&amp;"")="n/a")),"Entry Mode; ","")&amp;IF(AND(INDEX('Game Records'!$U:$U,$H272)&lt;&gt;"Subscription",INDEX('Game Records'!$U:$U,$H272)&lt;&gt;"Free Game",INDEX('Game Records'!$U:$U,$H272)&lt;&gt;"Disqualified — Free Game",OR(INDEX('Game Records'!$E:$E,$H272)="",LOWER(INDEX('Game Records'!$E:$E,$H272)&amp;"")="n/a")),"Game Type; ","")&amp;IF(INDEX('Game Records'!$F:$F,$H272)="","Payment Type; ","")&amp;IF(AND(INDEX('Game Records'!$U:$U,$H272)&lt;&gt;"Subscription",INDEX('Game Records'!$U:$U,$H272)&lt;&gt;"Free Game",INDEX('Game Records'!$U:$U,$H272)&lt;&gt;"Disqualified — Free Game",INDEX('Game Records'!$G:$G,$H272)=""),"Gross Pot; ","")&amp;IF(AND(INDEX('Game Records'!$U:$U,$H272)&lt;&gt;"Free Game",INDEX('Game Records'!$U:$U,$H272)&lt;&gt;"Disqualified — Free Game",INDEX('Game Records'!$H:$H,$H272)=""),"Entry Fee; ","")&amp;IF(AND(INDEX('Game Records'!$U:$U,$H272)&lt;&gt;"Subscription",INDEX('Game Records'!$U:$U,$H272)&lt;&gt;"Free Game",INDEX('Game Records'!$U:$U,$H272)&lt;&gt;"Disqualified — Free Game",INDEX('Game Records'!$I:$I,$H272)=""),"Eligible Players; ","")&amp;IF(AND(INDEX('Game Records'!$U:$U,$H272)&lt;&gt;"Subscription",INDEX('Game Records'!$U:$U,$H272)&lt;&gt;"Free Game",INDEX('Game Records'!$U:$U,$H272)&lt;&gt;"Disqualified — Free Game",INDEX('Game Records'!$J:$J,$H272)=""),"Total Players; ","")&amp;IF(AND(LOWER(INDEX('Game Records'!$D:$D,$H272)&amp;"")="finalized",LOWER(INDEX('Game Records'!$L:$L,$H272)&amp;"")&lt;&gt;"yes",INDEX('Game Records'!$U:$U,$H272)&lt;&gt;"Subscription",INDEX('Game Records'!$U:$U,$H272)&lt;&gt;"Free Game",INDEX('Game Records'!$U:$U,$H272)&lt;&gt;"Disqualified — Free Game",INDEX('Game Records'!$K:$K,$H272)=""),"Final Earned; ","")&amp;IF(AND(LOWER(INDEX('Game Records'!$D:$D,$H272)&amp;"")="finalized",INDEX('Game Records'!$U:$U,$H272)&lt;&gt;"Subscription",INDEX('Game Records'!$U:$U,$H272)&lt;&gt;"Free Game",INDEX('Game Records'!$U:$U,$H272)&lt;&gt;"Disqualified — Free Game",OR(INDEX('Game Records'!$L:$L,$H272)="",LOWER(INDEX('Game Records'!$L:$L,$H272)&amp;"")="n/a")),"Disqualified Status; ",""))</x:f>
        <x:v/>
      </x:c>
      <x:c r="G272" s="331" t="str">
        <x:f>IF($H272="","",IFERROR(INDEX('Game Records'!$M:$M,$H272),""))</x:f>
        <x:v/>
      </x:c>
      <x:c r="H272" s="104" t="str">
        <x:f>IF($H271="","",IFERROR(MATCH(1,INDEX((ROW('Game Records'!$U$5:$U$504)&gt;$H271)*(('Game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3" ht="24" customHeight="1">
      <x:c r="A273" s="332" t="str">
        <x:f>IF($H273="","",ROWS($A$5:A273))</x:f>
        <x:v/>
      </x:c>
      <x:c r="B273" s="332" t="str">
        <x:f>IF($H273="","","G-"&amp;TEXT($A273,"0000"))</x:f>
        <x:v/>
      </x:c>
      <x:c r="C273" s="331" t="str">
        <x:f>IF($H273="","",IFERROR(INDEX('Game Records'!$A:$A,$H273),""))</x:f>
        <x:v/>
      </x:c>
      <x:c r="D273" s="331" t="str">
        <x:f>IF($H273="","",IFERROR(INDEX('Game Records'!$U:$U,$H273),""))</x:f>
        <x:v/>
      </x:c>
      <x:c r="E273" s="331" t="str">
        <x:f>IF($H273="","",IF($F273="","No Highlighted Fields","Highlighted Fields Present"))</x:f>
        <x:v/>
      </x:c>
      <x:c r="F273" s="331" t="str">
        <x:f>IF($H273="","",IF(INDEX('Game Records'!$B:$B,$H273)="","Start Date; ","")&amp;IF(INDEX('Game Records'!$C:$C,$H273)="","End Date; ","")&amp;IF(AND(INDEX('Game Records'!$U:$U,$H273)&lt;&gt;"Subscription",INDEX('Game Records'!$U:$U,$H273)&lt;&gt;"Free Game",INDEX('Game Records'!$U:$U,$H273)&lt;&gt;"Disqualified — Free Game",OR(INDEX('Game Records'!$D:$D,$H273)="",LOWER(INDEX('Game Records'!$D:$D,$H273)&amp;"")="n/a")),"Entry Mode; ","")&amp;IF(AND(INDEX('Game Records'!$U:$U,$H273)&lt;&gt;"Subscription",INDEX('Game Records'!$U:$U,$H273)&lt;&gt;"Free Game",INDEX('Game Records'!$U:$U,$H273)&lt;&gt;"Disqualified — Free Game",OR(INDEX('Game Records'!$E:$E,$H273)="",LOWER(INDEX('Game Records'!$E:$E,$H273)&amp;"")="n/a")),"Game Type; ","")&amp;IF(INDEX('Game Records'!$F:$F,$H273)="","Payment Type; ","")&amp;IF(AND(INDEX('Game Records'!$U:$U,$H273)&lt;&gt;"Subscription",INDEX('Game Records'!$U:$U,$H273)&lt;&gt;"Free Game",INDEX('Game Records'!$U:$U,$H273)&lt;&gt;"Disqualified — Free Game",INDEX('Game Records'!$G:$G,$H273)=""),"Gross Pot; ","")&amp;IF(AND(INDEX('Game Records'!$U:$U,$H273)&lt;&gt;"Free Game",INDEX('Game Records'!$U:$U,$H273)&lt;&gt;"Disqualified — Free Game",INDEX('Game Records'!$H:$H,$H273)=""),"Entry Fee; ","")&amp;IF(AND(INDEX('Game Records'!$U:$U,$H273)&lt;&gt;"Subscription",INDEX('Game Records'!$U:$U,$H273)&lt;&gt;"Free Game",INDEX('Game Records'!$U:$U,$H273)&lt;&gt;"Disqualified — Free Game",INDEX('Game Records'!$I:$I,$H273)=""),"Eligible Players; ","")&amp;IF(AND(INDEX('Game Records'!$U:$U,$H273)&lt;&gt;"Subscription",INDEX('Game Records'!$U:$U,$H273)&lt;&gt;"Free Game",INDEX('Game Records'!$U:$U,$H273)&lt;&gt;"Disqualified — Free Game",INDEX('Game Records'!$J:$J,$H273)=""),"Total Players; ","")&amp;IF(AND(LOWER(INDEX('Game Records'!$D:$D,$H273)&amp;"")="finalized",LOWER(INDEX('Game Records'!$L:$L,$H273)&amp;"")&lt;&gt;"yes",INDEX('Game Records'!$U:$U,$H273)&lt;&gt;"Subscription",INDEX('Game Records'!$U:$U,$H273)&lt;&gt;"Free Game",INDEX('Game Records'!$U:$U,$H273)&lt;&gt;"Disqualified — Free Game",INDEX('Game Records'!$K:$K,$H273)=""),"Final Earned; ","")&amp;IF(AND(LOWER(INDEX('Game Records'!$D:$D,$H273)&amp;"")="finalized",INDEX('Game Records'!$U:$U,$H273)&lt;&gt;"Subscription",INDEX('Game Records'!$U:$U,$H273)&lt;&gt;"Free Game",INDEX('Game Records'!$U:$U,$H273)&lt;&gt;"Disqualified — Free Game",OR(INDEX('Game Records'!$L:$L,$H273)="",LOWER(INDEX('Game Records'!$L:$L,$H273)&amp;"")="n/a")),"Disqualified Status; ",""))</x:f>
        <x:v/>
      </x:c>
      <x:c r="G273" s="331" t="str">
        <x:f>IF($H273="","",IFERROR(INDEX('Game Records'!$M:$M,$H273),""))</x:f>
        <x:v/>
      </x:c>
      <x:c r="H273" s="104" t="str">
        <x:f>IF($H272="","",IFERROR(MATCH(1,INDEX((ROW('Game Records'!$U$5:$U$504)&gt;$H272)*(('Game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4" ht="24" customHeight="1">
      <x:c r="A274" s="332" t="str">
        <x:f>IF($H274="","",ROWS($A$5:A274))</x:f>
        <x:v/>
      </x:c>
      <x:c r="B274" s="332" t="str">
        <x:f>IF($H274="","","G-"&amp;TEXT($A274,"0000"))</x:f>
        <x:v/>
      </x:c>
      <x:c r="C274" s="331" t="str">
        <x:f>IF($H274="","",IFERROR(INDEX('Game Records'!$A:$A,$H274),""))</x:f>
        <x:v/>
      </x:c>
      <x:c r="D274" s="331" t="str">
        <x:f>IF($H274="","",IFERROR(INDEX('Game Records'!$U:$U,$H274),""))</x:f>
        <x:v/>
      </x:c>
      <x:c r="E274" s="331" t="str">
        <x:f>IF($H274="","",IF($F274="","No Highlighted Fields","Highlighted Fields Present"))</x:f>
        <x:v/>
      </x:c>
      <x:c r="F274" s="331" t="str">
        <x:f>IF($H274="","",IF(INDEX('Game Records'!$B:$B,$H274)="","Start Date; ","")&amp;IF(INDEX('Game Records'!$C:$C,$H274)="","End Date; ","")&amp;IF(AND(INDEX('Game Records'!$U:$U,$H274)&lt;&gt;"Subscription",INDEX('Game Records'!$U:$U,$H274)&lt;&gt;"Free Game",INDEX('Game Records'!$U:$U,$H274)&lt;&gt;"Disqualified — Free Game",OR(INDEX('Game Records'!$D:$D,$H274)="",LOWER(INDEX('Game Records'!$D:$D,$H274)&amp;"")="n/a")),"Entry Mode; ","")&amp;IF(AND(INDEX('Game Records'!$U:$U,$H274)&lt;&gt;"Subscription",INDEX('Game Records'!$U:$U,$H274)&lt;&gt;"Free Game",INDEX('Game Records'!$U:$U,$H274)&lt;&gt;"Disqualified — Free Game",OR(INDEX('Game Records'!$E:$E,$H274)="",LOWER(INDEX('Game Records'!$E:$E,$H274)&amp;"")="n/a")),"Game Type; ","")&amp;IF(INDEX('Game Records'!$F:$F,$H274)="","Payment Type; ","")&amp;IF(AND(INDEX('Game Records'!$U:$U,$H274)&lt;&gt;"Subscription",INDEX('Game Records'!$U:$U,$H274)&lt;&gt;"Free Game",INDEX('Game Records'!$U:$U,$H274)&lt;&gt;"Disqualified — Free Game",INDEX('Game Records'!$G:$G,$H274)=""),"Gross Pot; ","")&amp;IF(AND(INDEX('Game Records'!$U:$U,$H274)&lt;&gt;"Free Game",INDEX('Game Records'!$U:$U,$H274)&lt;&gt;"Disqualified — Free Game",INDEX('Game Records'!$H:$H,$H274)=""),"Entry Fee; ","")&amp;IF(AND(INDEX('Game Records'!$U:$U,$H274)&lt;&gt;"Subscription",INDEX('Game Records'!$U:$U,$H274)&lt;&gt;"Free Game",INDEX('Game Records'!$U:$U,$H274)&lt;&gt;"Disqualified — Free Game",INDEX('Game Records'!$I:$I,$H274)=""),"Eligible Players; ","")&amp;IF(AND(INDEX('Game Records'!$U:$U,$H274)&lt;&gt;"Subscription",INDEX('Game Records'!$U:$U,$H274)&lt;&gt;"Free Game",INDEX('Game Records'!$U:$U,$H274)&lt;&gt;"Disqualified — Free Game",INDEX('Game Records'!$J:$J,$H274)=""),"Total Players; ","")&amp;IF(AND(LOWER(INDEX('Game Records'!$D:$D,$H274)&amp;"")="finalized",LOWER(INDEX('Game Records'!$L:$L,$H274)&amp;"")&lt;&gt;"yes",INDEX('Game Records'!$U:$U,$H274)&lt;&gt;"Subscription",INDEX('Game Records'!$U:$U,$H274)&lt;&gt;"Free Game",INDEX('Game Records'!$U:$U,$H274)&lt;&gt;"Disqualified — Free Game",INDEX('Game Records'!$K:$K,$H274)=""),"Final Earned; ","")&amp;IF(AND(LOWER(INDEX('Game Records'!$D:$D,$H274)&amp;"")="finalized",INDEX('Game Records'!$U:$U,$H274)&lt;&gt;"Subscription",INDEX('Game Records'!$U:$U,$H274)&lt;&gt;"Free Game",INDEX('Game Records'!$U:$U,$H274)&lt;&gt;"Disqualified — Free Game",OR(INDEX('Game Records'!$L:$L,$H274)="",LOWER(INDEX('Game Records'!$L:$L,$H274)&amp;"")="n/a")),"Disqualified Status; ",""))</x:f>
        <x:v/>
      </x:c>
      <x:c r="G274" s="331" t="str">
        <x:f>IF($H274="","",IFERROR(INDEX('Game Records'!$M:$M,$H274),""))</x:f>
        <x:v/>
      </x:c>
      <x:c r="H274" s="104" t="str">
        <x:f>IF($H273="","",IFERROR(MATCH(1,INDEX((ROW('Game Records'!$U$5:$U$504)&gt;$H273)*(('Game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5" ht="24" customHeight="1">
      <x:c r="A275" s="332" t="str">
        <x:f>IF($H275="","",ROWS($A$5:A275))</x:f>
        <x:v/>
      </x:c>
      <x:c r="B275" s="332" t="str">
        <x:f>IF($H275="","","G-"&amp;TEXT($A275,"0000"))</x:f>
        <x:v/>
      </x:c>
      <x:c r="C275" s="331" t="str">
        <x:f>IF($H275="","",IFERROR(INDEX('Game Records'!$A:$A,$H275),""))</x:f>
        <x:v/>
      </x:c>
      <x:c r="D275" s="331" t="str">
        <x:f>IF($H275="","",IFERROR(INDEX('Game Records'!$U:$U,$H275),""))</x:f>
        <x:v/>
      </x:c>
      <x:c r="E275" s="331" t="str">
        <x:f>IF($H275="","",IF($F275="","No Highlighted Fields","Highlighted Fields Present"))</x:f>
        <x:v/>
      </x:c>
      <x:c r="F275" s="331" t="str">
        <x:f>IF($H275="","",IF(INDEX('Game Records'!$B:$B,$H275)="","Start Date; ","")&amp;IF(INDEX('Game Records'!$C:$C,$H275)="","End Date; ","")&amp;IF(AND(INDEX('Game Records'!$U:$U,$H275)&lt;&gt;"Subscription",INDEX('Game Records'!$U:$U,$H275)&lt;&gt;"Free Game",INDEX('Game Records'!$U:$U,$H275)&lt;&gt;"Disqualified — Free Game",OR(INDEX('Game Records'!$D:$D,$H275)="",LOWER(INDEX('Game Records'!$D:$D,$H275)&amp;"")="n/a")),"Entry Mode; ","")&amp;IF(AND(INDEX('Game Records'!$U:$U,$H275)&lt;&gt;"Subscription",INDEX('Game Records'!$U:$U,$H275)&lt;&gt;"Free Game",INDEX('Game Records'!$U:$U,$H275)&lt;&gt;"Disqualified — Free Game",OR(INDEX('Game Records'!$E:$E,$H275)="",LOWER(INDEX('Game Records'!$E:$E,$H275)&amp;"")="n/a")),"Game Type; ","")&amp;IF(INDEX('Game Records'!$F:$F,$H275)="","Payment Type; ","")&amp;IF(AND(INDEX('Game Records'!$U:$U,$H275)&lt;&gt;"Subscription",INDEX('Game Records'!$U:$U,$H275)&lt;&gt;"Free Game",INDEX('Game Records'!$U:$U,$H275)&lt;&gt;"Disqualified — Free Game",INDEX('Game Records'!$G:$G,$H275)=""),"Gross Pot; ","")&amp;IF(AND(INDEX('Game Records'!$U:$U,$H275)&lt;&gt;"Free Game",INDEX('Game Records'!$U:$U,$H275)&lt;&gt;"Disqualified — Free Game",INDEX('Game Records'!$H:$H,$H275)=""),"Entry Fee; ","")&amp;IF(AND(INDEX('Game Records'!$U:$U,$H275)&lt;&gt;"Subscription",INDEX('Game Records'!$U:$U,$H275)&lt;&gt;"Free Game",INDEX('Game Records'!$U:$U,$H275)&lt;&gt;"Disqualified — Free Game",INDEX('Game Records'!$I:$I,$H275)=""),"Eligible Players; ","")&amp;IF(AND(INDEX('Game Records'!$U:$U,$H275)&lt;&gt;"Subscription",INDEX('Game Records'!$U:$U,$H275)&lt;&gt;"Free Game",INDEX('Game Records'!$U:$U,$H275)&lt;&gt;"Disqualified — Free Game",INDEX('Game Records'!$J:$J,$H275)=""),"Total Players; ","")&amp;IF(AND(LOWER(INDEX('Game Records'!$D:$D,$H275)&amp;"")="finalized",LOWER(INDEX('Game Records'!$L:$L,$H275)&amp;"")&lt;&gt;"yes",INDEX('Game Records'!$U:$U,$H275)&lt;&gt;"Subscription",INDEX('Game Records'!$U:$U,$H275)&lt;&gt;"Free Game",INDEX('Game Records'!$U:$U,$H275)&lt;&gt;"Disqualified — Free Game",INDEX('Game Records'!$K:$K,$H275)=""),"Final Earned; ","")&amp;IF(AND(LOWER(INDEX('Game Records'!$D:$D,$H275)&amp;"")="finalized",INDEX('Game Records'!$U:$U,$H275)&lt;&gt;"Subscription",INDEX('Game Records'!$U:$U,$H275)&lt;&gt;"Free Game",INDEX('Game Records'!$U:$U,$H275)&lt;&gt;"Disqualified — Free Game",OR(INDEX('Game Records'!$L:$L,$H275)="",LOWER(INDEX('Game Records'!$L:$L,$H275)&amp;"")="n/a")),"Disqualified Status; ",""))</x:f>
        <x:v/>
      </x:c>
      <x:c r="G275" s="331" t="str">
        <x:f>IF($H275="","",IFERROR(INDEX('Game Records'!$M:$M,$H275),""))</x:f>
        <x:v/>
      </x:c>
      <x:c r="H275" s="104" t="str">
        <x:f>IF($H274="","",IFERROR(MATCH(1,INDEX((ROW('Game Records'!$U$5:$U$504)&gt;$H274)*(('Game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6" ht="24" customHeight="1">
      <x:c r="A276" s="332" t="str">
        <x:f>IF($H276="","",ROWS($A$5:A276))</x:f>
        <x:v/>
      </x:c>
      <x:c r="B276" s="332" t="str">
        <x:f>IF($H276="","","G-"&amp;TEXT($A276,"0000"))</x:f>
        <x:v/>
      </x:c>
      <x:c r="C276" s="331" t="str">
        <x:f>IF($H276="","",IFERROR(INDEX('Game Records'!$A:$A,$H276),""))</x:f>
        <x:v/>
      </x:c>
      <x:c r="D276" s="331" t="str">
        <x:f>IF($H276="","",IFERROR(INDEX('Game Records'!$U:$U,$H276),""))</x:f>
        <x:v/>
      </x:c>
      <x:c r="E276" s="331" t="str">
        <x:f>IF($H276="","",IF($F276="","No Highlighted Fields","Highlighted Fields Present"))</x:f>
        <x:v/>
      </x:c>
      <x:c r="F276" s="331" t="str">
        <x:f>IF($H276="","",IF(INDEX('Game Records'!$B:$B,$H276)="","Start Date; ","")&amp;IF(INDEX('Game Records'!$C:$C,$H276)="","End Date; ","")&amp;IF(AND(INDEX('Game Records'!$U:$U,$H276)&lt;&gt;"Subscription",INDEX('Game Records'!$U:$U,$H276)&lt;&gt;"Free Game",INDEX('Game Records'!$U:$U,$H276)&lt;&gt;"Disqualified — Free Game",OR(INDEX('Game Records'!$D:$D,$H276)="",LOWER(INDEX('Game Records'!$D:$D,$H276)&amp;"")="n/a")),"Entry Mode; ","")&amp;IF(AND(INDEX('Game Records'!$U:$U,$H276)&lt;&gt;"Subscription",INDEX('Game Records'!$U:$U,$H276)&lt;&gt;"Free Game",INDEX('Game Records'!$U:$U,$H276)&lt;&gt;"Disqualified — Free Game",OR(INDEX('Game Records'!$E:$E,$H276)="",LOWER(INDEX('Game Records'!$E:$E,$H276)&amp;"")="n/a")),"Game Type; ","")&amp;IF(INDEX('Game Records'!$F:$F,$H276)="","Payment Type; ","")&amp;IF(AND(INDEX('Game Records'!$U:$U,$H276)&lt;&gt;"Subscription",INDEX('Game Records'!$U:$U,$H276)&lt;&gt;"Free Game",INDEX('Game Records'!$U:$U,$H276)&lt;&gt;"Disqualified — Free Game",INDEX('Game Records'!$G:$G,$H276)=""),"Gross Pot; ","")&amp;IF(AND(INDEX('Game Records'!$U:$U,$H276)&lt;&gt;"Free Game",INDEX('Game Records'!$U:$U,$H276)&lt;&gt;"Disqualified — Free Game",INDEX('Game Records'!$H:$H,$H276)=""),"Entry Fee; ","")&amp;IF(AND(INDEX('Game Records'!$U:$U,$H276)&lt;&gt;"Subscription",INDEX('Game Records'!$U:$U,$H276)&lt;&gt;"Free Game",INDEX('Game Records'!$U:$U,$H276)&lt;&gt;"Disqualified — Free Game",INDEX('Game Records'!$I:$I,$H276)=""),"Eligible Players; ","")&amp;IF(AND(INDEX('Game Records'!$U:$U,$H276)&lt;&gt;"Subscription",INDEX('Game Records'!$U:$U,$H276)&lt;&gt;"Free Game",INDEX('Game Records'!$U:$U,$H276)&lt;&gt;"Disqualified — Free Game",INDEX('Game Records'!$J:$J,$H276)=""),"Total Players; ","")&amp;IF(AND(LOWER(INDEX('Game Records'!$D:$D,$H276)&amp;"")="finalized",LOWER(INDEX('Game Records'!$L:$L,$H276)&amp;"")&lt;&gt;"yes",INDEX('Game Records'!$U:$U,$H276)&lt;&gt;"Subscription",INDEX('Game Records'!$U:$U,$H276)&lt;&gt;"Free Game",INDEX('Game Records'!$U:$U,$H276)&lt;&gt;"Disqualified — Free Game",INDEX('Game Records'!$K:$K,$H276)=""),"Final Earned; ","")&amp;IF(AND(LOWER(INDEX('Game Records'!$D:$D,$H276)&amp;"")="finalized",INDEX('Game Records'!$U:$U,$H276)&lt;&gt;"Subscription",INDEX('Game Records'!$U:$U,$H276)&lt;&gt;"Free Game",INDEX('Game Records'!$U:$U,$H276)&lt;&gt;"Disqualified — Free Game",OR(INDEX('Game Records'!$L:$L,$H276)="",LOWER(INDEX('Game Records'!$L:$L,$H276)&amp;"")="n/a")),"Disqualified Status; ",""))</x:f>
        <x:v/>
      </x:c>
      <x:c r="G276" s="331" t="str">
        <x:f>IF($H276="","",IFERROR(INDEX('Game Records'!$M:$M,$H276),""))</x:f>
        <x:v/>
      </x:c>
      <x:c r="H276" s="104" t="str">
        <x:f>IF($H275="","",IFERROR(MATCH(1,INDEX((ROW('Game Records'!$U$5:$U$504)&gt;$H275)*(('Game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7" ht="24" customHeight="1">
      <x:c r="A277" s="332" t="str">
        <x:f>IF($H277="","",ROWS($A$5:A277))</x:f>
        <x:v/>
      </x:c>
      <x:c r="B277" s="332" t="str">
        <x:f>IF($H277="","","G-"&amp;TEXT($A277,"0000"))</x:f>
        <x:v/>
      </x:c>
      <x:c r="C277" s="331" t="str">
        <x:f>IF($H277="","",IFERROR(INDEX('Game Records'!$A:$A,$H277),""))</x:f>
        <x:v/>
      </x:c>
      <x:c r="D277" s="331" t="str">
        <x:f>IF($H277="","",IFERROR(INDEX('Game Records'!$U:$U,$H277),""))</x:f>
        <x:v/>
      </x:c>
      <x:c r="E277" s="331" t="str">
        <x:f>IF($H277="","",IF($F277="","No Highlighted Fields","Highlighted Fields Present"))</x:f>
        <x:v/>
      </x:c>
      <x:c r="F277" s="331" t="str">
        <x:f>IF($H277="","",IF(INDEX('Game Records'!$B:$B,$H277)="","Start Date; ","")&amp;IF(INDEX('Game Records'!$C:$C,$H277)="","End Date; ","")&amp;IF(AND(INDEX('Game Records'!$U:$U,$H277)&lt;&gt;"Subscription",INDEX('Game Records'!$U:$U,$H277)&lt;&gt;"Free Game",INDEX('Game Records'!$U:$U,$H277)&lt;&gt;"Disqualified — Free Game",OR(INDEX('Game Records'!$D:$D,$H277)="",LOWER(INDEX('Game Records'!$D:$D,$H277)&amp;"")="n/a")),"Entry Mode; ","")&amp;IF(AND(INDEX('Game Records'!$U:$U,$H277)&lt;&gt;"Subscription",INDEX('Game Records'!$U:$U,$H277)&lt;&gt;"Free Game",INDEX('Game Records'!$U:$U,$H277)&lt;&gt;"Disqualified — Free Game",OR(INDEX('Game Records'!$E:$E,$H277)="",LOWER(INDEX('Game Records'!$E:$E,$H277)&amp;"")="n/a")),"Game Type; ","")&amp;IF(INDEX('Game Records'!$F:$F,$H277)="","Payment Type; ","")&amp;IF(AND(INDEX('Game Records'!$U:$U,$H277)&lt;&gt;"Subscription",INDEX('Game Records'!$U:$U,$H277)&lt;&gt;"Free Game",INDEX('Game Records'!$U:$U,$H277)&lt;&gt;"Disqualified — Free Game",INDEX('Game Records'!$G:$G,$H277)=""),"Gross Pot; ","")&amp;IF(AND(INDEX('Game Records'!$U:$U,$H277)&lt;&gt;"Free Game",INDEX('Game Records'!$U:$U,$H277)&lt;&gt;"Disqualified — Free Game",INDEX('Game Records'!$H:$H,$H277)=""),"Entry Fee; ","")&amp;IF(AND(INDEX('Game Records'!$U:$U,$H277)&lt;&gt;"Subscription",INDEX('Game Records'!$U:$U,$H277)&lt;&gt;"Free Game",INDEX('Game Records'!$U:$U,$H277)&lt;&gt;"Disqualified — Free Game",INDEX('Game Records'!$I:$I,$H277)=""),"Eligible Players; ","")&amp;IF(AND(INDEX('Game Records'!$U:$U,$H277)&lt;&gt;"Subscription",INDEX('Game Records'!$U:$U,$H277)&lt;&gt;"Free Game",INDEX('Game Records'!$U:$U,$H277)&lt;&gt;"Disqualified — Free Game",INDEX('Game Records'!$J:$J,$H277)=""),"Total Players; ","")&amp;IF(AND(LOWER(INDEX('Game Records'!$D:$D,$H277)&amp;"")="finalized",LOWER(INDEX('Game Records'!$L:$L,$H277)&amp;"")&lt;&gt;"yes",INDEX('Game Records'!$U:$U,$H277)&lt;&gt;"Subscription",INDEX('Game Records'!$U:$U,$H277)&lt;&gt;"Free Game",INDEX('Game Records'!$U:$U,$H277)&lt;&gt;"Disqualified — Free Game",INDEX('Game Records'!$K:$K,$H277)=""),"Final Earned; ","")&amp;IF(AND(LOWER(INDEX('Game Records'!$D:$D,$H277)&amp;"")="finalized",INDEX('Game Records'!$U:$U,$H277)&lt;&gt;"Subscription",INDEX('Game Records'!$U:$U,$H277)&lt;&gt;"Free Game",INDEX('Game Records'!$U:$U,$H277)&lt;&gt;"Disqualified — Free Game",OR(INDEX('Game Records'!$L:$L,$H277)="",LOWER(INDEX('Game Records'!$L:$L,$H277)&amp;"")="n/a")),"Disqualified Status; ",""))</x:f>
        <x:v/>
      </x:c>
      <x:c r="G277" s="331" t="str">
        <x:f>IF($H277="","",IFERROR(INDEX('Game Records'!$M:$M,$H277),""))</x:f>
        <x:v/>
      </x:c>
      <x:c r="H277" s="104" t="str">
        <x:f>IF($H276="","",IFERROR(MATCH(1,INDEX((ROW('Game Records'!$U$5:$U$504)&gt;$H276)*(('Game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8" ht="24" customHeight="1">
      <x:c r="A278" s="332" t="str">
        <x:f>IF($H278="","",ROWS($A$5:A278))</x:f>
        <x:v/>
      </x:c>
      <x:c r="B278" s="332" t="str">
        <x:f>IF($H278="","","G-"&amp;TEXT($A278,"0000"))</x:f>
        <x:v/>
      </x:c>
      <x:c r="C278" s="331" t="str">
        <x:f>IF($H278="","",IFERROR(INDEX('Game Records'!$A:$A,$H278),""))</x:f>
        <x:v/>
      </x:c>
      <x:c r="D278" s="331" t="str">
        <x:f>IF($H278="","",IFERROR(INDEX('Game Records'!$U:$U,$H278),""))</x:f>
        <x:v/>
      </x:c>
      <x:c r="E278" s="331" t="str">
        <x:f>IF($H278="","",IF($F278="","No Highlighted Fields","Highlighted Fields Present"))</x:f>
        <x:v/>
      </x:c>
      <x:c r="F278" s="331" t="str">
        <x:f>IF($H278="","",IF(INDEX('Game Records'!$B:$B,$H278)="","Start Date; ","")&amp;IF(INDEX('Game Records'!$C:$C,$H278)="","End Date; ","")&amp;IF(AND(INDEX('Game Records'!$U:$U,$H278)&lt;&gt;"Subscription",INDEX('Game Records'!$U:$U,$H278)&lt;&gt;"Free Game",INDEX('Game Records'!$U:$U,$H278)&lt;&gt;"Disqualified — Free Game",OR(INDEX('Game Records'!$D:$D,$H278)="",LOWER(INDEX('Game Records'!$D:$D,$H278)&amp;"")="n/a")),"Entry Mode; ","")&amp;IF(AND(INDEX('Game Records'!$U:$U,$H278)&lt;&gt;"Subscription",INDEX('Game Records'!$U:$U,$H278)&lt;&gt;"Free Game",INDEX('Game Records'!$U:$U,$H278)&lt;&gt;"Disqualified — Free Game",OR(INDEX('Game Records'!$E:$E,$H278)="",LOWER(INDEX('Game Records'!$E:$E,$H278)&amp;"")="n/a")),"Game Type; ","")&amp;IF(INDEX('Game Records'!$F:$F,$H278)="","Payment Type; ","")&amp;IF(AND(INDEX('Game Records'!$U:$U,$H278)&lt;&gt;"Subscription",INDEX('Game Records'!$U:$U,$H278)&lt;&gt;"Free Game",INDEX('Game Records'!$U:$U,$H278)&lt;&gt;"Disqualified — Free Game",INDEX('Game Records'!$G:$G,$H278)=""),"Gross Pot; ","")&amp;IF(AND(INDEX('Game Records'!$U:$U,$H278)&lt;&gt;"Free Game",INDEX('Game Records'!$U:$U,$H278)&lt;&gt;"Disqualified — Free Game",INDEX('Game Records'!$H:$H,$H278)=""),"Entry Fee; ","")&amp;IF(AND(INDEX('Game Records'!$U:$U,$H278)&lt;&gt;"Subscription",INDEX('Game Records'!$U:$U,$H278)&lt;&gt;"Free Game",INDEX('Game Records'!$U:$U,$H278)&lt;&gt;"Disqualified — Free Game",INDEX('Game Records'!$I:$I,$H278)=""),"Eligible Players; ","")&amp;IF(AND(INDEX('Game Records'!$U:$U,$H278)&lt;&gt;"Subscription",INDEX('Game Records'!$U:$U,$H278)&lt;&gt;"Free Game",INDEX('Game Records'!$U:$U,$H278)&lt;&gt;"Disqualified — Free Game",INDEX('Game Records'!$J:$J,$H278)=""),"Total Players; ","")&amp;IF(AND(LOWER(INDEX('Game Records'!$D:$D,$H278)&amp;"")="finalized",LOWER(INDEX('Game Records'!$L:$L,$H278)&amp;"")&lt;&gt;"yes",INDEX('Game Records'!$U:$U,$H278)&lt;&gt;"Subscription",INDEX('Game Records'!$U:$U,$H278)&lt;&gt;"Free Game",INDEX('Game Records'!$U:$U,$H278)&lt;&gt;"Disqualified — Free Game",INDEX('Game Records'!$K:$K,$H278)=""),"Final Earned; ","")&amp;IF(AND(LOWER(INDEX('Game Records'!$D:$D,$H278)&amp;"")="finalized",INDEX('Game Records'!$U:$U,$H278)&lt;&gt;"Subscription",INDEX('Game Records'!$U:$U,$H278)&lt;&gt;"Free Game",INDEX('Game Records'!$U:$U,$H278)&lt;&gt;"Disqualified — Free Game",OR(INDEX('Game Records'!$L:$L,$H278)="",LOWER(INDEX('Game Records'!$L:$L,$H278)&amp;"")="n/a")),"Disqualified Status; ",""))</x:f>
        <x:v/>
      </x:c>
      <x:c r="G278" s="331" t="str">
        <x:f>IF($H278="","",IFERROR(INDEX('Game Records'!$M:$M,$H278),""))</x:f>
        <x:v/>
      </x:c>
      <x:c r="H278" s="104" t="str">
        <x:f>IF($H277="","",IFERROR(MATCH(1,INDEX((ROW('Game Records'!$U$5:$U$504)&gt;$H277)*(('Game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79" ht="24" customHeight="1">
      <x:c r="A279" s="332" t="str">
        <x:f>IF($H279="","",ROWS($A$5:A279))</x:f>
        <x:v/>
      </x:c>
      <x:c r="B279" s="332" t="str">
        <x:f>IF($H279="","","G-"&amp;TEXT($A279,"0000"))</x:f>
        <x:v/>
      </x:c>
      <x:c r="C279" s="331" t="str">
        <x:f>IF($H279="","",IFERROR(INDEX('Game Records'!$A:$A,$H279),""))</x:f>
        <x:v/>
      </x:c>
      <x:c r="D279" s="331" t="str">
        <x:f>IF($H279="","",IFERROR(INDEX('Game Records'!$U:$U,$H279),""))</x:f>
        <x:v/>
      </x:c>
      <x:c r="E279" s="331" t="str">
        <x:f>IF($H279="","",IF($F279="","No Highlighted Fields","Highlighted Fields Present"))</x:f>
        <x:v/>
      </x:c>
      <x:c r="F279" s="331" t="str">
        <x:f>IF($H279="","",IF(INDEX('Game Records'!$B:$B,$H279)="","Start Date; ","")&amp;IF(INDEX('Game Records'!$C:$C,$H279)="","End Date; ","")&amp;IF(AND(INDEX('Game Records'!$U:$U,$H279)&lt;&gt;"Subscription",INDEX('Game Records'!$U:$U,$H279)&lt;&gt;"Free Game",INDEX('Game Records'!$U:$U,$H279)&lt;&gt;"Disqualified — Free Game",OR(INDEX('Game Records'!$D:$D,$H279)="",LOWER(INDEX('Game Records'!$D:$D,$H279)&amp;"")="n/a")),"Entry Mode; ","")&amp;IF(AND(INDEX('Game Records'!$U:$U,$H279)&lt;&gt;"Subscription",INDEX('Game Records'!$U:$U,$H279)&lt;&gt;"Free Game",INDEX('Game Records'!$U:$U,$H279)&lt;&gt;"Disqualified — Free Game",OR(INDEX('Game Records'!$E:$E,$H279)="",LOWER(INDEX('Game Records'!$E:$E,$H279)&amp;"")="n/a")),"Game Type; ","")&amp;IF(INDEX('Game Records'!$F:$F,$H279)="","Payment Type; ","")&amp;IF(AND(INDEX('Game Records'!$U:$U,$H279)&lt;&gt;"Subscription",INDEX('Game Records'!$U:$U,$H279)&lt;&gt;"Free Game",INDEX('Game Records'!$U:$U,$H279)&lt;&gt;"Disqualified — Free Game",INDEX('Game Records'!$G:$G,$H279)=""),"Gross Pot; ","")&amp;IF(AND(INDEX('Game Records'!$U:$U,$H279)&lt;&gt;"Free Game",INDEX('Game Records'!$U:$U,$H279)&lt;&gt;"Disqualified — Free Game",INDEX('Game Records'!$H:$H,$H279)=""),"Entry Fee; ","")&amp;IF(AND(INDEX('Game Records'!$U:$U,$H279)&lt;&gt;"Subscription",INDEX('Game Records'!$U:$U,$H279)&lt;&gt;"Free Game",INDEX('Game Records'!$U:$U,$H279)&lt;&gt;"Disqualified — Free Game",INDEX('Game Records'!$I:$I,$H279)=""),"Eligible Players; ","")&amp;IF(AND(INDEX('Game Records'!$U:$U,$H279)&lt;&gt;"Subscription",INDEX('Game Records'!$U:$U,$H279)&lt;&gt;"Free Game",INDEX('Game Records'!$U:$U,$H279)&lt;&gt;"Disqualified — Free Game",INDEX('Game Records'!$J:$J,$H279)=""),"Total Players; ","")&amp;IF(AND(LOWER(INDEX('Game Records'!$D:$D,$H279)&amp;"")="finalized",LOWER(INDEX('Game Records'!$L:$L,$H279)&amp;"")&lt;&gt;"yes",INDEX('Game Records'!$U:$U,$H279)&lt;&gt;"Subscription",INDEX('Game Records'!$U:$U,$H279)&lt;&gt;"Free Game",INDEX('Game Records'!$U:$U,$H279)&lt;&gt;"Disqualified — Free Game",INDEX('Game Records'!$K:$K,$H279)=""),"Final Earned; ","")&amp;IF(AND(LOWER(INDEX('Game Records'!$D:$D,$H279)&amp;"")="finalized",INDEX('Game Records'!$U:$U,$H279)&lt;&gt;"Subscription",INDEX('Game Records'!$U:$U,$H279)&lt;&gt;"Free Game",INDEX('Game Records'!$U:$U,$H279)&lt;&gt;"Disqualified — Free Game",OR(INDEX('Game Records'!$L:$L,$H279)="",LOWER(INDEX('Game Records'!$L:$L,$H279)&amp;"")="n/a")),"Disqualified Status; ",""))</x:f>
        <x:v/>
      </x:c>
      <x:c r="G279" s="331" t="str">
        <x:f>IF($H279="","",IFERROR(INDEX('Game Records'!$M:$M,$H279),""))</x:f>
        <x:v/>
      </x:c>
      <x:c r="H279" s="104" t="str">
        <x:f>IF($H278="","",IFERROR(MATCH(1,INDEX((ROW('Game Records'!$U$5:$U$504)&gt;$H278)*(('Game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0" ht="24" customHeight="1">
      <x:c r="A280" s="332" t="str">
        <x:f>IF($H280="","",ROWS($A$5:A280))</x:f>
        <x:v/>
      </x:c>
      <x:c r="B280" s="332" t="str">
        <x:f>IF($H280="","","G-"&amp;TEXT($A280,"0000"))</x:f>
        <x:v/>
      </x:c>
      <x:c r="C280" s="331" t="str">
        <x:f>IF($H280="","",IFERROR(INDEX('Game Records'!$A:$A,$H280),""))</x:f>
        <x:v/>
      </x:c>
      <x:c r="D280" s="331" t="str">
        <x:f>IF($H280="","",IFERROR(INDEX('Game Records'!$U:$U,$H280),""))</x:f>
        <x:v/>
      </x:c>
      <x:c r="E280" s="331" t="str">
        <x:f>IF($H280="","",IF($F280="","No Highlighted Fields","Highlighted Fields Present"))</x:f>
        <x:v/>
      </x:c>
      <x:c r="F280" s="331" t="str">
        <x:f>IF($H280="","",IF(INDEX('Game Records'!$B:$B,$H280)="","Start Date; ","")&amp;IF(INDEX('Game Records'!$C:$C,$H280)="","End Date; ","")&amp;IF(AND(INDEX('Game Records'!$U:$U,$H280)&lt;&gt;"Subscription",INDEX('Game Records'!$U:$U,$H280)&lt;&gt;"Free Game",INDEX('Game Records'!$U:$U,$H280)&lt;&gt;"Disqualified — Free Game",OR(INDEX('Game Records'!$D:$D,$H280)="",LOWER(INDEX('Game Records'!$D:$D,$H280)&amp;"")="n/a")),"Entry Mode; ","")&amp;IF(AND(INDEX('Game Records'!$U:$U,$H280)&lt;&gt;"Subscription",INDEX('Game Records'!$U:$U,$H280)&lt;&gt;"Free Game",INDEX('Game Records'!$U:$U,$H280)&lt;&gt;"Disqualified — Free Game",OR(INDEX('Game Records'!$E:$E,$H280)="",LOWER(INDEX('Game Records'!$E:$E,$H280)&amp;"")="n/a")),"Game Type; ","")&amp;IF(INDEX('Game Records'!$F:$F,$H280)="","Payment Type; ","")&amp;IF(AND(INDEX('Game Records'!$U:$U,$H280)&lt;&gt;"Subscription",INDEX('Game Records'!$U:$U,$H280)&lt;&gt;"Free Game",INDEX('Game Records'!$U:$U,$H280)&lt;&gt;"Disqualified — Free Game",INDEX('Game Records'!$G:$G,$H280)=""),"Gross Pot; ","")&amp;IF(AND(INDEX('Game Records'!$U:$U,$H280)&lt;&gt;"Free Game",INDEX('Game Records'!$U:$U,$H280)&lt;&gt;"Disqualified — Free Game",INDEX('Game Records'!$H:$H,$H280)=""),"Entry Fee; ","")&amp;IF(AND(INDEX('Game Records'!$U:$U,$H280)&lt;&gt;"Subscription",INDEX('Game Records'!$U:$U,$H280)&lt;&gt;"Free Game",INDEX('Game Records'!$U:$U,$H280)&lt;&gt;"Disqualified — Free Game",INDEX('Game Records'!$I:$I,$H280)=""),"Eligible Players; ","")&amp;IF(AND(INDEX('Game Records'!$U:$U,$H280)&lt;&gt;"Subscription",INDEX('Game Records'!$U:$U,$H280)&lt;&gt;"Free Game",INDEX('Game Records'!$U:$U,$H280)&lt;&gt;"Disqualified — Free Game",INDEX('Game Records'!$J:$J,$H280)=""),"Total Players; ","")&amp;IF(AND(LOWER(INDEX('Game Records'!$D:$D,$H280)&amp;"")="finalized",LOWER(INDEX('Game Records'!$L:$L,$H280)&amp;"")&lt;&gt;"yes",INDEX('Game Records'!$U:$U,$H280)&lt;&gt;"Subscription",INDEX('Game Records'!$U:$U,$H280)&lt;&gt;"Free Game",INDEX('Game Records'!$U:$U,$H280)&lt;&gt;"Disqualified — Free Game",INDEX('Game Records'!$K:$K,$H280)=""),"Final Earned; ","")&amp;IF(AND(LOWER(INDEX('Game Records'!$D:$D,$H280)&amp;"")="finalized",INDEX('Game Records'!$U:$U,$H280)&lt;&gt;"Subscription",INDEX('Game Records'!$U:$U,$H280)&lt;&gt;"Free Game",INDEX('Game Records'!$U:$U,$H280)&lt;&gt;"Disqualified — Free Game",OR(INDEX('Game Records'!$L:$L,$H280)="",LOWER(INDEX('Game Records'!$L:$L,$H280)&amp;"")="n/a")),"Disqualified Status; ",""))</x:f>
        <x:v/>
      </x:c>
      <x:c r="G280" s="331" t="str">
        <x:f>IF($H280="","",IFERROR(INDEX('Game Records'!$M:$M,$H280),""))</x:f>
        <x:v/>
      </x:c>
      <x:c r="H280" s="104" t="str">
        <x:f>IF($H279="","",IFERROR(MATCH(1,INDEX((ROW('Game Records'!$U$5:$U$504)&gt;$H279)*(('Game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1" ht="24" customHeight="1">
      <x:c r="A281" s="332" t="str">
        <x:f>IF($H281="","",ROWS($A$5:A281))</x:f>
        <x:v/>
      </x:c>
      <x:c r="B281" s="332" t="str">
        <x:f>IF($H281="","","G-"&amp;TEXT($A281,"0000"))</x:f>
        <x:v/>
      </x:c>
      <x:c r="C281" s="331" t="str">
        <x:f>IF($H281="","",IFERROR(INDEX('Game Records'!$A:$A,$H281),""))</x:f>
        <x:v/>
      </x:c>
      <x:c r="D281" s="331" t="str">
        <x:f>IF($H281="","",IFERROR(INDEX('Game Records'!$U:$U,$H281),""))</x:f>
        <x:v/>
      </x:c>
      <x:c r="E281" s="331" t="str">
        <x:f>IF($H281="","",IF($F281="","No Highlighted Fields","Highlighted Fields Present"))</x:f>
        <x:v/>
      </x:c>
      <x:c r="F281" s="331" t="str">
        <x:f>IF($H281="","",IF(INDEX('Game Records'!$B:$B,$H281)="","Start Date; ","")&amp;IF(INDEX('Game Records'!$C:$C,$H281)="","End Date; ","")&amp;IF(AND(INDEX('Game Records'!$U:$U,$H281)&lt;&gt;"Subscription",INDEX('Game Records'!$U:$U,$H281)&lt;&gt;"Free Game",INDEX('Game Records'!$U:$U,$H281)&lt;&gt;"Disqualified — Free Game",OR(INDEX('Game Records'!$D:$D,$H281)="",LOWER(INDEX('Game Records'!$D:$D,$H281)&amp;"")="n/a")),"Entry Mode; ","")&amp;IF(AND(INDEX('Game Records'!$U:$U,$H281)&lt;&gt;"Subscription",INDEX('Game Records'!$U:$U,$H281)&lt;&gt;"Free Game",INDEX('Game Records'!$U:$U,$H281)&lt;&gt;"Disqualified — Free Game",OR(INDEX('Game Records'!$E:$E,$H281)="",LOWER(INDEX('Game Records'!$E:$E,$H281)&amp;"")="n/a")),"Game Type; ","")&amp;IF(INDEX('Game Records'!$F:$F,$H281)="","Payment Type; ","")&amp;IF(AND(INDEX('Game Records'!$U:$U,$H281)&lt;&gt;"Subscription",INDEX('Game Records'!$U:$U,$H281)&lt;&gt;"Free Game",INDEX('Game Records'!$U:$U,$H281)&lt;&gt;"Disqualified — Free Game",INDEX('Game Records'!$G:$G,$H281)=""),"Gross Pot; ","")&amp;IF(AND(INDEX('Game Records'!$U:$U,$H281)&lt;&gt;"Free Game",INDEX('Game Records'!$U:$U,$H281)&lt;&gt;"Disqualified — Free Game",INDEX('Game Records'!$H:$H,$H281)=""),"Entry Fee; ","")&amp;IF(AND(INDEX('Game Records'!$U:$U,$H281)&lt;&gt;"Subscription",INDEX('Game Records'!$U:$U,$H281)&lt;&gt;"Free Game",INDEX('Game Records'!$U:$U,$H281)&lt;&gt;"Disqualified — Free Game",INDEX('Game Records'!$I:$I,$H281)=""),"Eligible Players; ","")&amp;IF(AND(INDEX('Game Records'!$U:$U,$H281)&lt;&gt;"Subscription",INDEX('Game Records'!$U:$U,$H281)&lt;&gt;"Free Game",INDEX('Game Records'!$U:$U,$H281)&lt;&gt;"Disqualified — Free Game",INDEX('Game Records'!$J:$J,$H281)=""),"Total Players; ","")&amp;IF(AND(LOWER(INDEX('Game Records'!$D:$D,$H281)&amp;"")="finalized",LOWER(INDEX('Game Records'!$L:$L,$H281)&amp;"")&lt;&gt;"yes",INDEX('Game Records'!$U:$U,$H281)&lt;&gt;"Subscription",INDEX('Game Records'!$U:$U,$H281)&lt;&gt;"Free Game",INDEX('Game Records'!$U:$U,$H281)&lt;&gt;"Disqualified — Free Game",INDEX('Game Records'!$K:$K,$H281)=""),"Final Earned; ","")&amp;IF(AND(LOWER(INDEX('Game Records'!$D:$D,$H281)&amp;"")="finalized",INDEX('Game Records'!$U:$U,$H281)&lt;&gt;"Subscription",INDEX('Game Records'!$U:$U,$H281)&lt;&gt;"Free Game",INDEX('Game Records'!$U:$U,$H281)&lt;&gt;"Disqualified — Free Game",OR(INDEX('Game Records'!$L:$L,$H281)="",LOWER(INDEX('Game Records'!$L:$L,$H281)&amp;"")="n/a")),"Disqualified Status; ",""))</x:f>
        <x:v/>
      </x:c>
      <x:c r="G281" s="331" t="str">
        <x:f>IF($H281="","",IFERROR(INDEX('Game Records'!$M:$M,$H281),""))</x:f>
        <x:v/>
      </x:c>
      <x:c r="H281" s="104" t="str">
        <x:f>IF($H280="","",IFERROR(MATCH(1,INDEX((ROW('Game Records'!$U$5:$U$504)&gt;$H280)*(('Game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2" ht="24" customHeight="1">
      <x:c r="A282" s="332" t="str">
        <x:f>IF($H282="","",ROWS($A$5:A282))</x:f>
        <x:v/>
      </x:c>
      <x:c r="B282" s="332" t="str">
        <x:f>IF($H282="","","G-"&amp;TEXT($A282,"0000"))</x:f>
        <x:v/>
      </x:c>
      <x:c r="C282" s="331" t="str">
        <x:f>IF($H282="","",IFERROR(INDEX('Game Records'!$A:$A,$H282),""))</x:f>
        <x:v/>
      </x:c>
      <x:c r="D282" s="331" t="str">
        <x:f>IF($H282="","",IFERROR(INDEX('Game Records'!$U:$U,$H282),""))</x:f>
        <x:v/>
      </x:c>
      <x:c r="E282" s="331" t="str">
        <x:f>IF($H282="","",IF($F282="","No Highlighted Fields","Highlighted Fields Present"))</x:f>
        <x:v/>
      </x:c>
      <x:c r="F282" s="331" t="str">
        <x:f>IF($H282="","",IF(INDEX('Game Records'!$B:$B,$H282)="","Start Date; ","")&amp;IF(INDEX('Game Records'!$C:$C,$H282)="","End Date; ","")&amp;IF(AND(INDEX('Game Records'!$U:$U,$H282)&lt;&gt;"Subscription",INDEX('Game Records'!$U:$U,$H282)&lt;&gt;"Free Game",INDEX('Game Records'!$U:$U,$H282)&lt;&gt;"Disqualified — Free Game",OR(INDEX('Game Records'!$D:$D,$H282)="",LOWER(INDEX('Game Records'!$D:$D,$H282)&amp;"")="n/a")),"Entry Mode; ","")&amp;IF(AND(INDEX('Game Records'!$U:$U,$H282)&lt;&gt;"Subscription",INDEX('Game Records'!$U:$U,$H282)&lt;&gt;"Free Game",INDEX('Game Records'!$U:$U,$H282)&lt;&gt;"Disqualified — Free Game",OR(INDEX('Game Records'!$E:$E,$H282)="",LOWER(INDEX('Game Records'!$E:$E,$H282)&amp;"")="n/a")),"Game Type; ","")&amp;IF(INDEX('Game Records'!$F:$F,$H282)="","Payment Type; ","")&amp;IF(AND(INDEX('Game Records'!$U:$U,$H282)&lt;&gt;"Subscription",INDEX('Game Records'!$U:$U,$H282)&lt;&gt;"Free Game",INDEX('Game Records'!$U:$U,$H282)&lt;&gt;"Disqualified — Free Game",INDEX('Game Records'!$G:$G,$H282)=""),"Gross Pot; ","")&amp;IF(AND(INDEX('Game Records'!$U:$U,$H282)&lt;&gt;"Free Game",INDEX('Game Records'!$U:$U,$H282)&lt;&gt;"Disqualified — Free Game",INDEX('Game Records'!$H:$H,$H282)=""),"Entry Fee; ","")&amp;IF(AND(INDEX('Game Records'!$U:$U,$H282)&lt;&gt;"Subscription",INDEX('Game Records'!$U:$U,$H282)&lt;&gt;"Free Game",INDEX('Game Records'!$U:$U,$H282)&lt;&gt;"Disqualified — Free Game",INDEX('Game Records'!$I:$I,$H282)=""),"Eligible Players; ","")&amp;IF(AND(INDEX('Game Records'!$U:$U,$H282)&lt;&gt;"Subscription",INDEX('Game Records'!$U:$U,$H282)&lt;&gt;"Free Game",INDEX('Game Records'!$U:$U,$H282)&lt;&gt;"Disqualified — Free Game",INDEX('Game Records'!$J:$J,$H282)=""),"Total Players; ","")&amp;IF(AND(LOWER(INDEX('Game Records'!$D:$D,$H282)&amp;"")="finalized",LOWER(INDEX('Game Records'!$L:$L,$H282)&amp;"")&lt;&gt;"yes",INDEX('Game Records'!$U:$U,$H282)&lt;&gt;"Subscription",INDEX('Game Records'!$U:$U,$H282)&lt;&gt;"Free Game",INDEX('Game Records'!$U:$U,$H282)&lt;&gt;"Disqualified — Free Game",INDEX('Game Records'!$K:$K,$H282)=""),"Final Earned; ","")&amp;IF(AND(LOWER(INDEX('Game Records'!$D:$D,$H282)&amp;"")="finalized",INDEX('Game Records'!$U:$U,$H282)&lt;&gt;"Subscription",INDEX('Game Records'!$U:$U,$H282)&lt;&gt;"Free Game",INDEX('Game Records'!$U:$U,$H282)&lt;&gt;"Disqualified — Free Game",OR(INDEX('Game Records'!$L:$L,$H282)="",LOWER(INDEX('Game Records'!$L:$L,$H282)&amp;"")="n/a")),"Disqualified Status; ",""))</x:f>
        <x:v/>
      </x:c>
      <x:c r="G282" s="331" t="str">
        <x:f>IF($H282="","",IFERROR(INDEX('Game Records'!$M:$M,$H282),""))</x:f>
        <x:v/>
      </x:c>
      <x:c r="H282" s="104" t="str">
        <x:f>IF($H281="","",IFERROR(MATCH(1,INDEX((ROW('Game Records'!$U$5:$U$504)&gt;$H281)*(('Game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3" ht="24" customHeight="1">
      <x:c r="A283" s="332" t="str">
        <x:f>IF($H283="","",ROWS($A$5:A283))</x:f>
        <x:v/>
      </x:c>
      <x:c r="B283" s="332" t="str">
        <x:f>IF($H283="","","G-"&amp;TEXT($A283,"0000"))</x:f>
        <x:v/>
      </x:c>
      <x:c r="C283" s="331" t="str">
        <x:f>IF($H283="","",IFERROR(INDEX('Game Records'!$A:$A,$H283),""))</x:f>
        <x:v/>
      </x:c>
      <x:c r="D283" s="331" t="str">
        <x:f>IF($H283="","",IFERROR(INDEX('Game Records'!$U:$U,$H283),""))</x:f>
        <x:v/>
      </x:c>
      <x:c r="E283" s="331" t="str">
        <x:f>IF($H283="","",IF($F283="","No Highlighted Fields","Highlighted Fields Present"))</x:f>
        <x:v/>
      </x:c>
      <x:c r="F283" s="331" t="str">
        <x:f>IF($H283="","",IF(INDEX('Game Records'!$B:$B,$H283)="","Start Date; ","")&amp;IF(INDEX('Game Records'!$C:$C,$H283)="","End Date; ","")&amp;IF(AND(INDEX('Game Records'!$U:$U,$H283)&lt;&gt;"Subscription",INDEX('Game Records'!$U:$U,$H283)&lt;&gt;"Free Game",INDEX('Game Records'!$U:$U,$H283)&lt;&gt;"Disqualified — Free Game",OR(INDEX('Game Records'!$D:$D,$H283)="",LOWER(INDEX('Game Records'!$D:$D,$H283)&amp;"")="n/a")),"Entry Mode; ","")&amp;IF(AND(INDEX('Game Records'!$U:$U,$H283)&lt;&gt;"Subscription",INDEX('Game Records'!$U:$U,$H283)&lt;&gt;"Free Game",INDEX('Game Records'!$U:$U,$H283)&lt;&gt;"Disqualified — Free Game",OR(INDEX('Game Records'!$E:$E,$H283)="",LOWER(INDEX('Game Records'!$E:$E,$H283)&amp;"")="n/a")),"Game Type; ","")&amp;IF(INDEX('Game Records'!$F:$F,$H283)="","Payment Type; ","")&amp;IF(AND(INDEX('Game Records'!$U:$U,$H283)&lt;&gt;"Subscription",INDEX('Game Records'!$U:$U,$H283)&lt;&gt;"Free Game",INDEX('Game Records'!$U:$U,$H283)&lt;&gt;"Disqualified — Free Game",INDEX('Game Records'!$G:$G,$H283)=""),"Gross Pot; ","")&amp;IF(AND(INDEX('Game Records'!$U:$U,$H283)&lt;&gt;"Free Game",INDEX('Game Records'!$U:$U,$H283)&lt;&gt;"Disqualified — Free Game",INDEX('Game Records'!$H:$H,$H283)=""),"Entry Fee; ","")&amp;IF(AND(INDEX('Game Records'!$U:$U,$H283)&lt;&gt;"Subscription",INDEX('Game Records'!$U:$U,$H283)&lt;&gt;"Free Game",INDEX('Game Records'!$U:$U,$H283)&lt;&gt;"Disqualified — Free Game",INDEX('Game Records'!$I:$I,$H283)=""),"Eligible Players; ","")&amp;IF(AND(INDEX('Game Records'!$U:$U,$H283)&lt;&gt;"Subscription",INDEX('Game Records'!$U:$U,$H283)&lt;&gt;"Free Game",INDEX('Game Records'!$U:$U,$H283)&lt;&gt;"Disqualified — Free Game",INDEX('Game Records'!$J:$J,$H283)=""),"Total Players; ","")&amp;IF(AND(LOWER(INDEX('Game Records'!$D:$D,$H283)&amp;"")="finalized",LOWER(INDEX('Game Records'!$L:$L,$H283)&amp;"")&lt;&gt;"yes",INDEX('Game Records'!$U:$U,$H283)&lt;&gt;"Subscription",INDEX('Game Records'!$U:$U,$H283)&lt;&gt;"Free Game",INDEX('Game Records'!$U:$U,$H283)&lt;&gt;"Disqualified — Free Game",INDEX('Game Records'!$K:$K,$H283)=""),"Final Earned; ","")&amp;IF(AND(LOWER(INDEX('Game Records'!$D:$D,$H283)&amp;"")="finalized",INDEX('Game Records'!$U:$U,$H283)&lt;&gt;"Subscription",INDEX('Game Records'!$U:$U,$H283)&lt;&gt;"Free Game",INDEX('Game Records'!$U:$U,$H283)&lt;&gt;"Disqualified — Free Game",OR(INDEX('Game Records'!$L:$L,$H283)="",LOWER(INDEX('Game Records'!$L:$L,$H283)&amp;"")="n/a")),"Disqualified Status; ",""))</x:f>
        <x:v/>
      </x:c>
      <x:c r="G283" s="331" t="str">
        <x:f>IF($H283="","",IFERROR(INDEX('Game Records'!$M:$M,$H283),""))</x:f>
        <x:v/>
      </x:c>
      <x:c r="H283" s="104" t="str">
        <x:f>IF($H282="","",IFERROR(MATCH(1,INDEX((ROW('Game Records'!$U$5:$U$504)&gt;$H282)*(('Game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4" ht="24" customHeight="1">
      <x:c r="A284" s="332" t="str">
        <x:f>IF($H284="","",ROWS($A$5:A284))</x:f>
        <x:v/>
      </x:c>
      <x:c r="B284" s="332" t="str">
        <x:f>IF($H284="","","G-"&amp;TEXT($A284,"0000"))</x:f>
        <x:v/>
      </x:c>
      <x:c r="C284" s="331" t="str">
        <x:f>IF($H284="","",IFERROR(INDEX('Game Records'!$A:$A,$H284),""))</x:f>
        <x:v/>
      </x:c>
      <x:c r="D284" s="331" t="str">
        <x:f>IF($H284="","",IFERROR(INDEX('Game Records'!$U:$U,$H284),""))</x:f>
        <x:v/>
      </x:c>
      <x:c r="E284" s="331" t="str">
        <x:f>IF($H284="","",IF($F284="","No Highlighted Fields","Highlighted Fields Present"))</x:f>
        <x:v/>
      </x:c>
      <x:c r="F284" s="331" t="str">
        <x:f>IF($H284="","",IF(INDEX('Game Records'!$B:$B,$H284)="","Start Date; ","")&amp;IF(INDEX('Game Records'!$C:$C,$H284)="","End Date; ","")&amp;IF(AND(INDEX('Game Records'!$U:$U,$H284)&lt;&gt;"Subscription",INDEX('Game Records'!$U:$U,$H284)&lt;&gt;"Free Game",INDEX('Game Records'!$U:$U,$H284)&lt;&gt;"Disqualified — Free Game",OR(INDEX('Game Records'!$D:$D,$H284)="",LOWER(INDEX('Game Records'!$D:$D,$H284)&amp;"")="n/a")),"Entry Mode; ","")&amp;IF(AND(INDEX('Game Records'!$U:$U,$H284)&lt;&gt;"Subscription",INDEX('Game Records'!$U:$U,$H284)&lt;&gt;"Free Game",INDEX('Game Records'!$U:$U,$H284)&lt;&gt;"Disqualified — Free Game",OR(INDEX('Game Records'!$E:$E,$H284)="",LOWER(INDEX('Game Records'!$E:$E,$H284)&amp;"")="n/a")),"Game Type; ","")&amp;IF(INDEX('Game Records'!$F:$F,$H284)="","Payment Type; ","")&amp;IF(AND(INDEX('Game Records'!$U:$U,$H284)&lt;&gt;"Subscription",INDEX('Game Records'!$U:$U,$H284)&lt;&gt;"Free Game",INDEX('Game Records'!$U:$U,$H284)&lt;&gt;"Disqualified — Free Game",INDEX('Game Records'!$G:$G,$H284)=""),"Gross Pot; ","")&amp;IF(AND(INDEX('Game Records'!$U:$U,$H284)&lt;&gt;"Free Game",INDEX('Game Records'!$U:$U,$H284)&lt;&gt;"Disqualified — Free Game",INDEX('Game Records'!$H:$H,$H284)=""),"Entry Fee; ","")&amp;IF(AND(INDEX('Game Records'!$U:$U,$H284)&lt;&gt;"Subscription",INDEX('Game Records'!$U:$U,$H284)&lt;&gt;"Free Game",INDEX('Game Records'!$U:$U,$H284)&lt;&gt;"Disqualified — Free Game",INDEX('Game Records'!$I:$I,$H284)=""),"Eligible Players; ","")&amp;IF(AND(INDEX('Game Records'!$U:$U,$H284)&lt;&gt;"Subscription",INDEX('Game Records'!$U:$U,$H284)&lt;&gt;"Free Game",INDEX('Game Records'!$U:$U,$H284)&lt;&gt;"Disqualified — Free Game",INDEX('Game Records'!$J:$J,$H284)=""),"Total Players; ","")&amp;IF(AND(LOWER(INDEX('Game Records'!$D:$D,$H284)&amp;"")="finalized",LOWER(INDEX('Game Records'!$L:$L,$H284)&amp;"")&lt;&gt;"yes",INDEX('Game Records'!$U:$U,$H284)&lt;&gt;"Subscription",INDEX('Game Records'!$U:$U,$H284)&lt;&gt;"Free Game",INDEX('Game Records'!$U:$U,$H284)&lt;&gt;"Disqualified — Free Game",INDEX('Game Records'!$K:$K,$H284)=""),"Final Earned; ","")&amp;IF(AND(LOWER(INDEX('Game Records'!$D:$D,$H284)&amp;"")="finalized",INDEX('Game Records'!$U:$U,$H284)&lt;&gt;"Subscription",INDEX('Game Records'!$U:$U,$H284)&lt;&gt;"Free Game",INDEX('Game Records'!$U:$U,$H284)&lt;&gt;"Disqualified — Free Game",OR(INDEX('Game Records'!$L:$L,$H284)="",LOWER(INDEX('Game Records'!$L:$L,$H284)&amp;"")="n/a")),"Disqualified Status; ",""))</x:f>
        <x:v/>
      </x:c>
      <x:c r="G284" s="331" t="str">
        <x:f>IF($H284="","",IFERROR(INDEX('Game Records'!$M:$M,$H284),""))</x:f>
        <x:v/>
      </x:c>
      <x:c r="H284" s="104" t="str">
        <x:f>IF($H283="","",IFERROR(MATCH(1,INDEX((ROW('Game Records'!$U$5:$U$504)&gt;$H283)*(('Game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5" ht="24" customHeight="1">
      <x:c r="A285" s="332" t="str">
        <x:f>IF($H285="","",ROWS($A$5:A285))</x:f>
        <x:v/>
      </x:c>
      <x:c r="B285" s="332" t="str">
        <x:f>IF($H285="","","G-"&amp;TEXT($A285,"0000"))</x:f>
        <x:v/>
      </x:c>
      <x:c r="C285" s="331" t="str">
        <x:f>IF($H285="","",IFERROR(INDEX('Game Records'!$A:$A,$H285),""))</x:f>
        <x:v/>
      </x:c>
      <x:c r="D285" s="331" t="str">
        <x:f>IF($H285="","",IFERROR(INDEX('Game Records'!$U:$U,$H285),""))</x:f>
        <x:v/>
      </x:c>
      <x:c r="E285" s="331" t="str">
        <x:f>IF($H285="","",IF($F285="","No Highlighted Fields","Highlighted Fields Present"))</x:f>
        <x:v/>
      </x:c>
      <x:c r="F285" s="331" t="str">
        <x:f>IF($H285="","",IF(INDEX('Game Records'!$B:$B,$H285)="","Start Date; ","")&amp;IF(INDEX('Game Records'!$C:$C,$H285)="","End Date; ","")&amp;IF(AND(INDEX('Game Records'!$U:$U,$H285)&lt;&gt;"Subscription",INDEX('Game Records'!$U:$U,$H285)&lt;&gt;"Free Game",INDEX('Game Records'!$U:$U,$H285)&lt;&gt;"Disqualified — Free Game",OR(INDEX('Game Records'!$D:$D,$H285)="",LOWER(INDEX('Game Records'!$D:$D,$H285)&amp;"")="n/a")),"Entry Mode; ","")&amp;IF(AND(INDEX('Game Records'!$U:$U,$H285)&lt;&gt;"Subscription",INDEX('Game Records'!$U:$U,$H285)&lt;&gt;"Free Game",INDEX('Game Records'!$U:$U,$H285)&lt;&gt;"Disqualified — Free Game",OR(INDEX('Game Records'!$E:$E,$H285)="",LOWER(INDEX('Game Records'!$E:$E,$H285)&amp;"")="n/a")),"Game Type; ","")&amp;IF(INDEX('Game Records'!$F:$F,$H285)="","Payment Type; ","")&amp;IF(AND(INDEX('Game Records'!$U:$U,$H285)&lt;&gt;"Subscription",INDEX('Game Records'!$U:$U,$H285)&lt;&gt;"Free Game",INDEX('Game Records'!$U:$U,$H285)&lt;&gt;"Disqualified — Free Game",INDEX('Game Records'!$G:$G,$H285)=""),"Gross Pot; ","")&amp;IF(AND(INDEX('Game Records'!$U:$U,$H285)&lt;&gt;"Free Game",INDEX('Game Records'!$U:$U,$H285)&lt;&gt;"Disqualified — Free Game",INDEX('Game Records'!$H:$H,$H285)=""),"Entry Fee; ","")&amp;IF(AND(INDEX('Game Records'!$U:$U,$H285)&lt;&gt;"Subscription",INDEX('Game Records'!$U:$U,$H285)&lt;&gt;"Free Game",INDEX('Game Records'!$U:$U,$H285)&lt;&gt;"Disqualified — Free Game",INDEX('Game Records'!$I:$I,$H285)=""),"Eligible Players; ","")&amp;IF(AND(INDEX('Game Records'!$U:$U,$H285)&lt;&gt;"Subscription",INDEX('Game Records'!$U:$U,$H285)&lt;&gt;"Free Game",INDEX('Game Records'!$U:$U,$H285)&lt;&gt;"Disqualified — Free Game",INDEX('Game Records'!$J:$J,$H285)=""),"Total Players; ","")&amp;IF(AND(LOWER(INDEX('Game Records'!$D:$D,$H285)&amp;"")="finalized",LOWER(INDEX('Game Records'!$L:$L,$H285)&amp;"")&lt;&gt;"yes",INDEX('Game Records'!$U:$U,$H285)&lt;&gt;"Subscription",INDEX('Game Records'!$U:$U,$H285)&lt;&gt;"Free Game",INDEX('Game Records'!$U:$U,$H285)&lt;&gt;"Disqualified — Free Game",INDEX('Game Records'!$K:$K,$H285)=""),"Final Earned; ","")&amp;IF(AND(LOWER(INDEX('Game Records'!$D:$D,$H285)&amp;"")="finalized",INDEX('Game Records'!$U:$U,$H285)&lt;&gt;"Subscription",INDEX('Game Records'!$U:$U,$H285)&lt;&gt;"Free Game",INDEX('Game Records'!$U:$U,$H285)&lt;&gt;"Disqualified — Free Game",OR(INDEX('Game Records'!$L:$L,$H285)="",LOWER(INDEX('Game Records'!$L:$L,$H285)&amp;"")="n/a")),"Disqualified Status; ",""))</x:f>
        <x:v/>
      </x:c>
      <x:c r="G285" s="331" t="str">
        <x:f>IF($H285="","",IFERROR(INDEX('Game Records'!$M:$M,$H285),""))</x:f>
        <x:v/>
      </x:c>
      <x:c r="H285" s="104" t="str">
        <x:f>IF($H284="","",IFERROR(MATCH(1,INDEX((ROW('Game Records'!$U$5:$U$504)&gt;$H284)*(('Game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6" ht="24" customHeight="1">
      <x:c r="A286" s="332" t="str">
        <x:f>IF($H286="","",ROWS($A$5:A286))</x:f>
        <x:v/>
      </x:c>
      <x:c r="B286" s="332" t="str">
        <x:f>IF($H286="","","G-"&amp;TEXT($A286,"0000"))</x:f>
        <x:v/>
      </x:c>
      <x:c r="C286" s="331" t="str">
        <x:f>IF($H286="","",IFERROR(INDEX('Game Records'!$A:$A,$H286),""))</x:f>
        <x:v/>
      </x:c>
      <x:c r="D286" s="331" t="str">
        <x:f>IF($H286="","",IFERROR(INDEX('Game Records'!$U:$U,$H286),""))</x:f>
        <x:v/>
      </x:c>
      <x:c r="E286" s="331" t="str">
        <x:f>IF($H286="","",IF($F286="","No Highlighted Fields","Highlighted Fields Present"))</x:f>
        <x:v/>
      </x:c>
      <x:c r="F286" s="331" t="str">
        <x:f>IF($H286="","",IF(INDEX('Game Records'!$B:$B,$H286)="","Start Date; ","")&amp;IF(INDEX('Game Records'!$C:$C,$H286)="","End Date; ","")&amp;IF(AND(INDEX('Game Records'!$U:$U,$H286)&lt;&gt;"Subscription",INDEX('Game Records'!$U:$U,$H286)&lt;&gt;"Free Game",INDEX('Game Records'!$U:$U,$H286)&lt;&gt;"Disqualified — Free Game",OR(INDEX('Game Records'!$D:$D,$H286)="",LOWER(INDEX('Game Records'!$D:$D,$H286)&amp;"")="n/a")),"Entry Mode; ","")&amp;IF(AND(INDEX('Game Records'!$U:$U,$H286)&lt;&gt;"Subscription",INDEX('Game Records'!$U:$U,$H286)&lt;&gt;"Free Game",INDEX('Game Records'!$U:$U,$H286)&lt;&gt;"Disqualified — Free Game",OR(INDEX('Game Records'!$E:$E,$H286)="",LOWER(INDEX('Game Records'!$E:$E,$H286)&amp;"")="n/a")),"Game Type; ","")&amp;IF(INDEX('Game Records'!$F:$F,$H286)="","Payment Type; ","")&amp;IF(AND(INDEX('Game Records'!$U:$U,$H286)&lt;&gt;"Subscription",INDEX('Game Records'!$U:$U,$H286)&lt;&gt;"Free Game",INDEX('Game Records'!$U:$U,$H286)&lt;&gt;"Disqualified — Free Game",INDEX('Game Records'!$G:$G,$H286)=""),"Gross Pot; ","")&amp;IF(AND(INDEX('Game Records'!$U:$U,$H286)&lt;&gt;"Free Game",INDEX('Game Records'!$U:$U,$H286)&lt;&gt;"Disqualified — Free Game",INDEX('Game Records'!$H:$H,$H286)=""),"Entry Fee; ","")&amp;IF(AND(INDEX('Game Records'!$U:$U,$H286)&lt;&gt;"Subscription",INDEX('Game Records'!$U:$U,$H286)&lt;&gt;"Free Game",INDEX('Game Records'!$U:$U,$H286)&lt;&gt;"Disqualified — Free Game",INDEX('Game Records'!$I:$I,$H286)=""),"Eligible Players; ","")&amp;IF(AND(INDEX('Game Records'!$U:$U,$H286)&lt;&gt;"Subscription",INDEX('Game Records'!$U:$U,$H286)&lt;&gt;"Free Game",INDEX('Game Records'!$U:$U,$H286)&lt;&gt;"Disqualified — Free Game",INDEX('Game Records'!$J:$J,$H286)=""),"Total Players; ","")&amp;IF(AND(LOWER(INDEX('Game Records'!$D:$D,$H286)&amp;"")="finalized",LOWER(INDEX('Game Records'!$L:$L,$H286)&amp;"")&lt;&gt;"yes",INDEX('Game Records'!$U:$U,$H286)&lt;&gt;"Subscription",INDEX('Game Records'!$U:$U,$H286)&lt;&gt;"Free Game",INDEX('Game Records'!$U:$U,$H286)&lt;&gt;"Disqualified — Free Game",INDEX('Game Records'!$K:$K,$H286)=""),"Final Earned; ","")&amp;IF(AND(LOWER(INDEX('Game Records'!$D:$D,$H286)&amp;"")="finalized",INDEX('Game Records'!$U:$U,$H286)&lt;&gt;"Subscription",INDEX('Game Records'!$U:$U,$H286)&lt;&gt;"Free Game",INDEX('Game Records'!$U:$U,$H286)&lt;&gt;"Disqualified — Free Game",OR(INDEX('Game Records'!$L:$L,$H286)="",LOWER(INDEX('Game Records'!$L:$L,$H286)&amp;"")="n/a")),"Disqualified Status; ",""))</x:f>
        <x:v/>
      </x:c>
      <x:c r="G286" s="331" t="str">
        <x:f>IF($H286="","",IFERROR(INDEX('Game Records'!$M:$M,$H286),""))</x:f>
        <x:v/>
      </x:c>
      <x:c r="H286" s="104" t="str">
        <x:f>IF($H285="","",IFERROR(MATCH(1,INDEX((ROW('Game Records'!$U$5:$U$504)&gt;$H285)*(('Game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7" ht="24" customHeight="1">
      <x:c r="A287" s="332" t="str">
        <x:f>IF($H287="","",ROWS($A$5:A287))</x:f>
        <x:v/>
      </x:c>
      <x:c r="B287" s="332" t="str">
        <x:f>IF($H287="","","G-"&amp;TEXT($A287,"0000"))</x:f>
        <x:v/>
      </x:c>
      <x:c r="C287" s="331" t="str">
        <x:f>IF($H287="","",IFERROR(INDEX('Game Records'!$A:$A,$H287),""))</x:f>
        <x:v/>
      </x:c>
      <x:c r="D287" s="331" t="str">
        <x:f>IF($H287="","",IFERROR(INDEX('Game Records'!$U:$U,$H287),""))</x:f>
        <x:v/>
      </x:c>
      <x:c r="E287" s="331" t="str">
        <x:f>IF($H287="","",IF($F287="","No Highlighted Fields","Highlighted Fields Present"))</x:f>
        <x:v/>
      </x:c>
      <x:c r="F287" s="331" t="str">
        <x:f>IF($H287="","",IF(INDEX('Game Records'!$B:$B,$H287)="","Start Date; ","")&amp;IF(INDEX('Game Records'!$C:$C,$H287)="","End Date; ","")&amp;IF(AND(INDEX('Game Records'!$U:$U,$H287)&lt;&gt;"Subscription",INDEX('Game Records'!$U:$U,$H287)&lt;&gt;"Free Game",INDEX('Game Records'!$U:$U,$H287)&lt;&gt;"Disqualified — Free Game",OR(INDEX('Game Records'!$D:$D,$H287)="",LOWER(INDEX('Game Records'!$D:$D,$H287)&amp;"")="n/a")),"Entry Mode; ","")&amp;IF(AND(INDEX('Game Records'!$U:$U,$H287)&lt;&gt;"Subscription",INDEX('Game Records'!$U:$U,$H287)&lt;&gt;"Free Game",INDEX('Game Records'!$U:$U,$H287)&lt;&gt;"Disqualified — Free Game",OR(INDEX('Game Records'!$E:$E,$H287)="",LOWER(INDEX('Game Records'!$E:$E,$H287)&amp;"")="n/a")),"Game Type; ","")&amp;IF(INDEX('Game Records'!$F:$F,$H287)="","Payment Type; ","")&amp;IF(AND(INDEX('Game Records'!$U:$U,$H287)&lt;&gt;"Subscription",INDEX('Game Records'!$U:$U,$H287)&lt;&gt;"Free Game",INDEX('Game Records'!$U:$U,$H287)&lt;&gt;"Disqualified — Free Game",INDEX('Game Records'!$G:$G,$H287)=""),"Gross Pot; ","")&amp;IF(AND(INDEX('Game Records'!$U:$U,$H287)&lt;&gt;"Free Game",INDEX('Game Records'!$U:$U,$H287)&lt;&gt;"Disqualified — Free Game",INDEX('Game Records'!$H:$H,$H287)=""),"Entry Fee; ","")&amp;IF(AND(INDEX('Game Records'!$U:$U,$H287)&lt;&gt;"Subscription",INDEX('Game Records'!$U:$U,$H287)&lt;&gt;"Free Game",INDEX('Game Records'!$U:$U,$H287)&lt;&gt;"Disqualified — Free Game",INDEX('Game Records'!$I:$I,$H287)=""),"Eligible Players; ","")&amp;IF(AND(INDEX('Game Records'!$U:$U,$H287)&lt;&gt;"Subscription",INDEX('Game Records'!$U:$U,$H287)&lt;&gt;"Free Game",INDEX('Game Records'!$U:$U,$H287)&lt;&gt;"Disqualified — Free Game",INDEX('Game Records'!$J:$J,$H287)=""),"Total Players; ","")&amp;IF(AND(LOWER(INDEX('Game Records'!$D:$D,$H287)&amp;"")="finalized",LOWER(INDEX('Game Records'!$L:$L,$H287)&amp;"")&lt;&gt;"yes",INDEX('Game Records'!$U:$U,$H287)&lt;&gt;"Subscription",INDEX('Game Records'!$U:$U,$H287)&lt;&gt;"Free Game",INDEX('Game Records'!$U:$U,$H287)&lt;&gt;"Disqualified — Free Game",INDEX('Game Records'!$K:$K,$H287)=""),"Final Earned; ","")&amp;IF(AND(LOWER(INDEX('Game Records'!$D:$D,$H287)&amp;"")="finalized",INDEX('Game Records'!$U:$U,$H287)&lt;&gt;"Subscription",INDEX('Game Records'!$U:$U,$H287)&lt;&gt;"Free Game",INDEX('Game Records'!$U:$U,$H287)&lt;&gt;"Disqualified — Free Game",OR(INDEX('Game Records'!$L:$L,$H287)="",LOWER(INDEX('Game Records'!$L:$L,$H287)&amp;"")="n/a")),"Disqualified Status; ",""))</x:f>
        <x:v/>
      </x:c>
      <x:c r="G287" s="331" t="str">
        <x:f>IF($H287="","",IFERROR(INDEX('Game Records'!$M:$M,$H287),""))</x:f>
        <x:v/>
      </x:c>
      <x:c r="H287" s="104" t="str">
        <x:f>IF($H286="","",IFERROR(MATCH(1,INDEX((ROW('Game Records'!$U$5:$U$504)&gt;$H286)*(('Game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8" ht="24" customHeight="1">
      <x:c r="A288" s="332" t="str">
        <x:f>IF($H288="","",ROWS($A$5:A288))</x:f>
        <x:v/>
      </x:c>
      <x:c r="B288" s="332" t="str">
        <x:f>IF($H288="","","G-"&amp;TEXT($A288,"0000"))</x:f>
        <x:v/>
      </x:c>
      <x:c r="C288" s="331" t="str">
        <x:f>IF($H288="","",IFERROR(INDEX('Game Records'!$A:$A,$H288),""))</x:f>
        <x:v/>
      </x:c>
      <x:c r="D288" s="331" t="str">
        <x:f>IF($H288="","",IFERROR(INDEX('Game Records'!$U:$U,$H288),""))</x:f>
        <x:v/>
      </x:c>
      <x:c r="E288" s="331" t="str">
        <x:f>IF($H288="","",IF($F288="","No Highlighted Fields","Highlighted Fields Present"))</x:f>
        <x:v/>
      </x:c>
      <x:c r="F288" s="331" t="str">
        <x:f>IF($H288="","",IF(INDEX('Game Records'!$B:$B,$H288)="","Start Date; ","")&amp;IF(INDEX('Game Records'!$C:$C,$H288)="","End Date; ","")&amp;IF(AND(INDEX('Game Records'!$U:$U,$H288)&lt;&gt;"Subscription",INDEX('Game Records'!$U:$U,$H288)&lt;&gt;"Free Game",INDEX('Game Records'!$U:$U,$H288)&lt;&gt;"Disqualified — Free Game",OR(INDEX('Game Records'!$D:$D,$H288)="",LOWER(INDEX('Game Records'!$D:$D,$H288)&amp;"")="n/a")),"Entry Mode; ","")&amp;IF(AND(INDEX('Game Records'!$U:$U,$H288)&lt;&gt;"Subscription",INDEX('Game Records'!$U:$U,$H288)&lt;&gt;"Free Game",INDEX('Game Records'!$U:$U,$H288)&lt;&gt;"Disqualified — Free Game",OR(INDEX('Game Records'!$E:$E,$H288)="",LOWER(INDEX('Game Records'!$E:$E,$H288)&amp;"")="n/a")),"Game Type; ","")&amp;IF(INDEX('Game Records'!$F:$F,$H288)="","Payment Type; ","")&amp;IF(AND(INDEX('Game Records'!$U:$U,$H288)&lt;&gt;"Subscription",INDEX('Game Records'!$U:$U,$H288)&lt;&gt;"Free Game",INDEX('Game Records'!$U:$U,$H288)&lt;&gt;"Disqualified — Free Game",INDEX('Game Records'!$G:$G,$H288)=""),"Gross Pot; ","")&amp;IF(AND(INDEX('Game Records'!$U:$U,$H288)&lt;&gt;"Free Game",INDEX('Game Records'!$U:$U,$H288)&lt;&gt;"Disqualified — Free Game",INDEX('Game Records'!$H:$H,$H288)=""),"Entry Fee; ","")&amp;IF(AND(INDEX('Game Records'!$U:$U,$H288)&lt;&gt;"Subscription",INDEX('Game Records'!$U:$U,$H288)&lt;&gt;"Free Game",INDEX('Game Records'!$U:$U,$H288)&lt;&gt;"Disqualified — Free Game",INDEX('Game Records'!$I:$I,$H288)=""),"Eligible Players; ","")&amp;IF(AND(INDEX('Game Records'!$U:$U,$H288)&lt;&gt;"Subscription",INDEX('Game Records'!$U:$U,$H288)&lt;&gt;"Free Game",INDEX('Game Records'!$U:$U,$H288)&lt;&gt;"Disqualified — Free Game",INDEX('Game Records'!$J:$J,$H288)=""),"Total Players; ","")&amp;IF(AND(LOWER(INDEX('Game Records'!$D:$D,$H288)&amp;"")="finalized",LOWER(INDEX('Game Records'!$L:$L,$H288)&amp;"")&lt;&gt;"yes",INDEX('Game Records'!$U:$U,$H288)&lt;&gt;"Subscription",INDEX('Game Records'!$U:$U,$H288)&lt;&gt;"Free Game",INDEX('Game Records'!$U:$U,$H288)&lt;&gt;"Disqualified — Free Game",INDEX('Game Records'!$K:$K,$H288)=""),"Final Earned; ","")&amp;IF(AND(LOWER(INDEX('Game Records'!$D:$D,$H288)&amp;"")="finalized",INDEX('Game Records'!$U:$U,$H288)&lt;&gt;"Subscription",INDEX('Game Records'!$U:$U,$H288)&lt;&gt;"Free Game",INDEX('Game Records'!$U:$U,$H288)&lt;&gt;"Disqualified — Free Game",OR(INDEX('Game Records'!$L:$L,$H288)="",LOWER(INDEX('Game Records'!$L:$L,$H288)&amp;"")="n/a")),"Disqualified Status; ",""))</x:f>
        <x:v/>
      </x:c>
      <x:c r="G288" s="331" t="str">
        <x:f>IF($H288="","",IFERROR(INDEX('Game Records'!$M:$M,$H288),""))</x:f>
        <x:v/>
      </x:c>
      <x:c r="H288" s="104" t="str">
        <x:f>IF($H287="","",IFERROR(MATCH(1,INDEX((ROW('Game Records'!$U$5:$U$504)&gt;$H287)*(('Game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89" ht="24" customHeight="1">
      <x:c r="A289" s="332" t="str">
        <x:f>IF($H289="","",ROWS($A$5:A289))</x:f>
        <x:v/>
      </x:c>
      <x:c r="B289" s="332" t="str">
        <x:f>IF($H289="","","G-"&amp;TEXT($A289,"0000"))</x:f>
        <x:v/>
      </x:c>
      <x:c r="C289" s="331" t="str">
        <x:f>IF($H289="","",IFERROR(INDEX('Game Records'!$A:$A,$H289),""))</x:f>
        <x:v/>
      </x:c>
      <x:c r="D289" s="331" t="str">
        <x:f>IF($H289="","",IFERROR(INDEX('Game Records'!$U:$U,$H289),""))</x:f>
        <x:v/>
      </x:c>
      <x:c r="E289" s="331" t="str">
        <x:f>IF($H289="","",IF($F289="","No Highlighted Fields","Highlighted Fields Present"))</x:f>
        <x:v/>
      </x:c>
      <x:c r="F289" s="331" t="str">
        <x:f>IF($H289="","",IF(INDEX('Game Records'!$B:$B,$H289)="","Start Date; ","")&amp;IF(INDEX('Game Records'!$C:$C,$H289)="","End Date; ","")&amp;IF(AND(INDEX('Game Records'!$U:$U,$H289)&lt;&gt;"Subscription",INDEX('Game Records'!$U:$U,$H289)&lt;&gt;"Free Game",INDEX('Game Records'!$U:$U,$H289)&lt;&gt;"Disqualified — Free Game",OR(INDEX('Game Records'!$D:$D,$H289)="",LOWER(INDEX('Game Records'!$D:$D,$H289)&amp;"")="n/a")),"Entry Mode; ","")&amp;IF(AND(INDEX('Game Records'!$U:$U,$H289)&lt;&gt;"Subscription",INDEX('Game Records'!$U:$U,$H289)&lt;&gt;"Free Game",INDEX('Game Records'!$U:$U,$H289)&lt;&gt;"Disqualified — Free Game",OR(INDEX('Game Records'!$E:$E,$H289)="",LOWER(INDEX('Game Records'!$E:$E,$H289)&amp;"")="n/a")),"Game Type; ","")&amp;IF(INDEX('Game Records'!$F:$F,$H289)="","Payment Type; ","")&amp;IF(AND(INDEX('Game Records'!$U:$U,$H289)&lt;&gt;"Subscription",INDEX('Game Records'!$U:$U,$H289)&lt;&gt;"Free Game",INDEX('Game Records'!$U:$U,$H289)&lt;&gt;"Disqualified — Free Game",INDEX('Game Records'!$G:$G,$H289)=""),"Gross Pot; ","")&amp;IF(AND(INDEX('Game Records'!$U:$U,$H289)&lt;&gt;"Free Game",INDEX('Game Records'!$U:$U,$H289)&lt;&gt;"Disqualified — Free Game",INDEX('Game Records'!$H:$H,$H289)=""),"Entry Fee; ","")&amp;IF(AND(INDEX('Game Records'!$U:$U,$H289)&lt;&gt;"Subscription",INDEX('Game Records'!$U:$U,$H289)&lt;&gt;"Free Game",INDEX('Game Records'!$U:$U,$H289)&lt;&gt;"Disqualified — Free Game",INDEX('Game Records'!$I:$I,$H289)=""),"Eligible Players; ","")&amp;IF(AND(INDEX('Game Records'!$U:$U,$H289)&lt;&gt;"Subscription",INDEX('Game Records'!$U:$U,$H289)&lt;&gt;"Free Game",INDEX('Game Records'!$U:$U,$H289)&lt;&gt;"Disqualified — Free Game",INDEX('Game Records'!$J:$J,$H289)=""),"Total Players; ","")&amp;IF(AND(LOWER(INDEX('Game Records'!$D:$D,$H289)&amp;"")="finalized",LOWER(INDEX('Game Records'!$L:$L,$H289)&amp;"")&lt;&gt;"yes",INDEX('Game Records'!$U:$U,$H289)&lt;&gt;"Subscription",INDEX('Game Records'!$U:$U,$H289)&lt;&gt;"Free Game",INDEX('Game Records'!$U:$U,$H289)&lt;&gt;"Disqualified — Free Game",INDEX('Game Records'!$K:$K,$H289)=""),"Final Earned; ","")&amp;IF(AND(LOWER(INDEX('Game Records'!$D:$D,$H289)&amp;"")="finalized",INDEX('Game Records'!$U:$U,$H289)&lt;&gt;"Subscription",INDEX('Game Records'!$U:$U,$H289)&lt;&gt;"Free Game",INDEX('Game Records'!$U:$U,$H289)&lt;&gt;"Disqualified — Free Game",OR(INDEX('Game Records'!$L:$L,$H289)="",LOWER(INDEX('Game Records'!$L:$L,$H289)&amp;"")="n/a")),"Disqualified Status; ",""))</x:f>
        <x:v/>
      </x:c>
      <x:c r="G289" s="331" t="str">
        <x:f>IF($H289="","",IFERROR(INDEX('Game Records'!$M:$M,$H289),""))</x:f>
        <x:v/>
      </x:c>
      <x:c r="H289" s="104" t="str">
        <x:f>IF($H288="","",IFERROR(MATCH(1,INDEX((ROW('Game Records'!$U$5:$U$504)&gt;$H288)*(('Game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0" ht="24" customHeight="1">
      <x:c r="A290" s="332" t="str">
        <x:f>IF($H290="","",ROWS($A$5:A290))</x:f>
        <x:v/>
      </x:c>
      <x:c r="B290" s="332" t="str">
        <x:f>IF($H290="","","G-"&amp;TEXT($A290,"0000"))</x:f>
        <x:v/>
      </x:c>
      <x:c r="C290" s="331" t="str">
        <x:f>IF($H290="","",IFERROR(INDEX('Game Records'!$A:$A,$H290),""))</x:f>
        <x:v/>
      </x:c>
      <x:c r="D290" s="331" t="str">
        <x:f>IF($H290="","",IFERROR(INDEX('Game Records'!$U:$U,$H290),""))</x:f>
        <x:v/>
      </x:c>
      <x:c r="E290" s="331" t="str">
        <x:f>IF($H290="","",IF($F290="","No Highlighted Fields","Highlighted Fields Present"))</x:f>
        <x:v/>
      </x:c>
      <x:c r="F290" s="331" t="str">
        <x:f>IF($H290="","",IF(INDEX('Game Records'!$B:$B,$H290)="","Start Date; ","")&amp;IF(INDEX('Game Records'!$C:$C,$H290)="","End Date; ","")&amp;IF(AND(INDEX('Game Records'!$U:$U,$H290)&lt;&gt;"Subscription",INDEX('Game Records'!$U:$U,$H290)&lt;&gt;"Free Game",INDEX('Game Records'!$U:$U,$H290)&lt;&gt;"Disqualified — Free Game",OR(INDEX('Game Records'!$D:$D,$H290)="",LOWER(INDEX('Game Records'!$D:$D,$H290)&amp;"")="n/a")),"Entry Mode; ","")&amp;IF(AND(INDEX('Game Records'!$U:$U,$H290)&lt;&gt;"Subscription",INDEX('Game Records'!$U:$U,$H290)&lt;&gt;"Free Game",INDEX('Game Records'!$U:$U,$H290)&lt;&gt;"Disqualified — Free Game",OR(INDEX('Game Records'!$E:$E,$H290)="",LOWER(INDEX('Game Records'!$E:$E,$H290)&amp;"")="n/a")),"Game Type; ","")&amp;IF(INDEX('Game Records'!$F:$F,$H290)="","Payment Type; ","")&amp;IF(AND(INDEX('Game Records'!$U:$U,$H290)&lt;&gt;"Subscription",INDEX('Game Records'!$U:$U,$H290)&lt;&gt;"Free Game",INDEX('Game Records'!$U:$U,$H290)&lt;&gt;"Disqualified — Free Game",INDEX('Game Records'!$G:$G,$H290)=""),"Gross Pot; ","")&amp;IF(AND(INDEX('Game Records'!$U:$U,$H290)&lt;&gt;"Free Game",INDEX('Game Records'!$U:$U,$H290)&lt;&gt;"Disqualified — Free Game",INDEX('Game Records'!$H:$H,$H290)=""),"Entry Fee; ","")&amp;IF(AND(INDEX('Game Records'!$U:$U,$H290)&lt;&gt;"Subscription",INDEX('Game Records'!$U:$U,$H290)&lt;&gt;"Free Game",INDEX('Game Records'!$U:$U,$H290)&lt;&gt;"Disqualified — Free Game",INDEX('Game Records'!$I:$I,$H290)=""),"Eligible Players; ","")&amp;IF(AND(INDEX('Game Records'!$U:$U,$H290)&lt;&gt;"Subscription",INDEX('Game Records'!$U:$U,$H290)&lt;&gt;"Free Game",INDEX('Game Records'!$U:$U,$H290)&lt;&gt;"Disqualified — Free Game",INDEX('Game Records'!$J:$J,$H290)=""),"Total Players; ","")&amp;IF(AND(LOWER(INDEX('Game Records'!$D:$D,$H290)&amp;"")="finalized",LOWER(INDEX('Game Records'!$L:$L,$H290)&amp;"")&lt;&gt;"yes",INDEX('Game Records'!$U:$U,$H290)&lt;&gt;"Subscription",INDEX('Game Records'!$U:$U,$H290)&lt;&gt;"Free Game",INDEX('Game Records'!$U:$U,$H290)&lt;&gt;"Disqualified — Free Game",INDEX('Game Records'!$K:$K,$H290)=""),"Final Earned; ","")&amp;IF(AND(LOWER(INDEX('Game Records'!$D:$D,$H290)&amp;"")="finalized",INDEX('Game Records'!$U:$U,$H290)&lt;&gt;"Subscription",INDEX('Game Records'!$U:$U,$H290)&lt;&gt;"Free Game",INDEX('Game Records'!$U:$U,$H290)&lt;&gt;"Disqualified — Free Game",OR(INDEX('Game Records'!$L:$L,$H290)="",LOWER(INDEX('Game Records'!$L:$L,$H290)&amp;"")="n/a")),"Disqualified Status; ",""))</x:f>
        <x:v/>
      </x:c>
      <x:c r="G290" s="331" t="str">
        <x:f>IF($H290="","",IFERROR(INDEX('Game Records'!$M:$M,$H290),""))</x:f>
        <x:v/>
      </x:c>
      <x:c r="H290" s="104" t="str">
        <x:f>IF($H289="","",IFERROR(MATCH(1,INDEX((ROW('Game Records'!$U$5:$U$504)&gt;$H289)*(('Game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1" ht="24" customHeight="1">
      <x:c r="A291" s="332" t="str">
        <x:f>IF($H291="","",ROWS($A$5:A291))</x:f>
        <x:v/>
      </x:c>
      <x:c r="B291" s="332" t="str">
        <x:f>IF($H291="","","G-"&amp;TEXT($A291,"0000"))</x:f>
        <x:v/>
      </x:c>
      <x:c r="C291" s="331" t="str">
        <x:f>IF($H291="","",IFERROR(INDEX('Game Records'!$A:$A,$H291),""))</x:f>
        <x:v/>
      </x:c>
      <x:c r="D291" s="331" t="str">
        <x:f>IF($H291="","",IFERROR(INDEX('Game Records'!$U:$U,$H291),""))</x:f>
        <x:v/>
      </x:c>
      <x:c r="E291" s="331" t="str">
        <x:f>IF($H291="","",IF($F291="","No Highlighted Fields","Highlighted Fields Present"))</x:f>
        <x:v/>
      </x:c>
      <x:c r="F291" s="331" t="str">
        <x:f>IF($H291="","",IF(INDEX('Game Records'!$B:$B,$H291)="","Start Date; ","")&amp;IF(INDEX('Game Records'!$C:$C,$H291)="","End Date; ","")&amp;IF(AND(INDEX('Game Records'!$U:$U,$H291)&lt;&gt;"Subscription",INDEX('Game Records'!$U:$U,$H291)&lt;&gt;"Free Game",INDEX('Game Records'!$U:$U,$H291)&lt;&gt;"Disqualified — Free Game",OR(INDEX('Game Records'!$D:$D,$H291)="",LOWER(INDEX('Game Records'!$D:$D,$H291)&amp;"")="n/a")),"Entry Mode; ","")&amp;IF(AND(INDEX('Game Records'!$U:$U,$H291)&lt;&gt;"Subscription",INDEX('Game Records'!$U:$U,$H291)&lt;&gt;"Free Game",INDEX('Game Records'!$U:$U,$H291)&lt;&gt;"Disqualified — Free Game",OR(INDEX('Game Records'!$E:$E,$H291)="",LOWER(INDEX('Game Records'!$E:$E,$H291)&amp;"")="n/a")),"Game Type; ","")&amp;IF(INDEX('Game Records'!$F:$F,$H291)="","Payment Type; ","")&amp;IF(AND(INDEX('Game Records'!$U:$U,$H291)&lt;&gt;"Subscription",INDEX('Game Records'!$U:$U,$H291)&lt;&gt;"Free Game",INDEX('Game Records'!$U:$U,$H291)&lt;&gt;"Disqualified — Free Game",INDEX('Game Records'!$G:$G,$H291)=""),"Gross Pot; ","")&amp;IF(AND(INDEX('Game Records'!$U:$U,$H291)&lt;&gt;"Free Game",INDEX('Game Records'!$U:$U,$H291)&lt;&gt;"Disqualified — Free Game",INDEX('Game Records'!$H:$H,$H291)=""),"Entry Fee; ","")&amp;IF(AND(INDEX('Game Records'!$U:$U,$H291)&lt;&gt;"Subscription",INDEX('Game Records'!$U:$U,$H291)&lt;&gt;"Free Game",INDEX('Game Records'!$U:$U,$H291)&lt;&gt;"Disqualified — Free Game",INDEX('Game Records'!$I:$I,$H291)=""),"Eligible Players; ","")&amp;IF(AND(INDEX('Game Records'!$U:$U,$H291)&lt;&gt;"Subscription",INDEX('Game Records'!$U:$U,$H291)&lt;&gt;"Free Game",INDEX('Game Records'!$U:$U,$H291)&lt;&gt;"Disqualified — Free Game",INDEX('Game Records'!$J:$J,$H291)=""),"Total Players; ","")&amp;IF(AND(LOWER(INDEX('Game Records'!$D:$D,$H291)&amp;"")="finalized",LOWER(INDEX('Game Records'!$L:$L,$H291)&amp;"")&lt;&gt;"yes",INDEX('Game Records'!$U:$U,$H291)&lt;&gt;"Subscription",INDEX('Game Records'!$U:$U,$H291)&lt;&gt;"Free Game",INDEX('Game Records'!$U:$U,$H291)&lt;&gt;"Disqualified — Free Game",INDEX('Game Records'!$K:$K,$H291)=""),"Final Earned; ","")&amp;IF(AND(LOWER(INDEX('Game Records'!$D:$D,$H291)&amp;"")="finalized",INDEX('Game Records'!$U:$U,$H291)&lt;&gt;"Subscription",INDEX('Game Records'!$U:$U,$H291)&lt;&gt;"Free Game",INDEX('Game Records'!$U:$U,$H291)&lt;&gt;"Disqualified — Free Game",OR(INDEX('Game Records'!$L:$L,$H291)="",LOWER(INDEX('Game Records'!$L:$L,$H291)&amp;"")="n/a")),"Disqualified Status; ",""))</x:f>
        <x:v/>
      </x:c>
      <x:c r="G291" s="331" t="str">
        <x:f>IF($H291="","",IFERROR(INDEX('Game Records'!$M:$M,$H291),""))</x:f>
        <x:v/>
      </x:c>
      <x:c r="H291" s="104" t="str">
        <x:f>IF($H290="","",IFERROR(MATCH(1,INDEX((ROW('Game Records'!$U$5:$U$504)&gt;$H290)*(('Game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2" ht="24" customHeight="1">
      <x:c r="A292" s="332" t="str">
        <x:f>IF($H292="","",ROWS($A$5:A292))</x:f>
        <x:v/>
      </x:c>
      <x:c r="B292" s="332" t="str">
        <x:f>IF($H292="","","G-"&amp;TEXT($A292,"0000"))</x:f>
        <x:v/>
      </x:c>
      <x:c r="C292" s="331" t="str">
        <x:f>IF($H292="","",IFERROR(INDEX('Game Records'!$A:$A,$H292),""))</x:f>
        <x:v/>
      </x:c>
      <x:c r="D292" s="331" t="str">
        <x:f>IF($H292="","",IFERROR(INDEX('Game Records'!$U:$U,$H292),""))</x:f>
        <x:v/>
      </x:c>
      <x:c r="E292" s="331" t="str">
        <x:f>IF($H292="","",IF($F292="","No Highlighted Fields","Highlighted Fields Present"))</x:f>
        <x:v/>
      </x:c>
      <x:c r="F292" s="331" t="str">
        <x:f>IF($H292="","",IF(INDEX('Game Records'!$B:$B,$H292)="","Start Date; ","")&amp;IF(INDEX('Game Records'!$C:$C,$H292)="","End Date; ","")&amp;IF(AND(INDEX('Game Records'!$U:$U,$H292)&lt;&gt;"Subscription",INDEX('Game Records'!$U:$U,$H292)&lt;&gt;"Free Game",INDEX('Game Records'!$U:$U,$H292)&lt;&gt;"Disqualified — Free Game",OR(INDEX('Game Records'!$D:$D,$H292)="",LOWER(INDEX('Game Records'!$D:$D,$H292)&amp;"")="n/a")),"Entry Mode; ","")&amp;IF(AND(INDEX('Game Records'!$U:$U,$H292)&lt;&gt;"Subscription",INDEX('Game Records'!$U:$U,$H292)&lt;&gt;"Free Game",INDEX('Game Records'!$U:$U,$H292)&lt;&gt;"Disqualified — Free Game",OR(INDEX('Game Records'!$E:$E,$H292)="",LOWER(INDEX('Game Records'!$E:$E,$H292)&amp;"")="n/a")),"Game Type; ","")&amp;IF(INDEX('Game Records'!$F:$F,$H292)="","Payment Type; ","")&amp;IF(AND(INDEX('Game Records'!$U:$U,$H292)&lt;&gt;"Subscription",INDEX('Game Records'!$U:$U,$H292)&lt;&gt;"Free Game",INDEX('Game Records'!$U:$U,$H292)&lt;&gt;"Disqualified — Free Game",INDEX('Game Records'!$G:$G,$H292)=""),"Gross Pot; ","")&amp;IF(AND(INDEX('Game Records'!$U:$U,$H292)&lt;&gt;"Free Game",INDEX('Game Records'!$U:$U,$H292)&lt;&gt;"Disqualified — Free Game",INDEX('Game Records'!$H:$H,$H292)=""),"Entry Fee; ","")&amp;IF(AND(INDEX('Game Records'!$U:$U,$H292)&lt;&gt;"Subscription",INDEX('Game Records'!$U:$U,$H292)&lt;&gt;"Free Game",INDEX('Game Records'!$U:$U,$H292)&lt;&gt;"Disqualified — Free Game",INDEX('Game Records'!$I:$I,$H292)=""),"Eligible Players; ","")&amp;IF(AND(INDEX('Game Records'!$U:$U,$H292)&lt;&gt;"Subscription",INDEX('Game Records'!$U:$U,$H292)&lt;&gt;"Free Game",INDEX('Game Records'!$U:$U,$H292)&lt;&gt;"Disqualified — Free Game",INDEX('Game Records'!$J:$J,$H292)=""),"Total Players; ","")&amp;IF(AND(LOWER(INDEX('Game Records'!$D:$D,$H292)&amp;"")="finalized",LOWER(INDEX('Game Records'!$L:$L,$H292)&amp;"")&lt;&gt;"yes",INDEX('Game Records'!$U:$U,$H292)&lt;&gt;"Subscription",INDEX('Game Records'!$U:$U,$H292)&lt;&gt;"Free Game",INDEX('Game Records'!$U:$U,$H292)&lt;&gt;"Disqualified — Free Game",INDEX('Game Records'!$K:$K,$H292)=""),"Final Earned; ","")&amp;IF(AND(LOWER(INDEX('Game Records'!$D:$D,$H292)&amp;"")="finalized",INDEX('Game Records'!$U:$U,$H292)&lt;&gt;"Subscription",INDEX('Game Records'!$U:$U,$H292)&lt;&gt;"Free Game",INDEX('Game Records'!$U:$U,$H292)&lt;&gt;"Disqualified — Free Game",OR(INDEX('Game Records'!$L:$L,$H292)="",LOWER(INDEX('Game Records'!$L:$L,$H292)&amp;"")="n/a")),"Disqualified Status; ",""))</x:f>
        <x:v/>
      </x:c>
      <x:c r="G292" s="331" t="str">
        <x:f>IF($H292="","",IFERROR(INDEX('Game Records'!$M:$M,$H292),""))</x:f>
        <x:v/>
      </x:c>
      <x:c r="H292" s="104" t="str">
        <x:f>IF($H291="","",IFERROR(MATCH(1,INDEX((ROW('Game Records'!$U$5:$U$504)&gt;$H291)*(('Game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3" ht="24" customHeight="1">
      <x:c r="A293" s="332" t="str">
        <x:f>IF($H293="","",ROWS($A$5:A293))</x:f>
        <x:v/>
      </x:c>
      <x:c r="B293" s="332" t="str">
        <x:f>IF($H293="","","G-"&amp;TEXT($A293,"0000"))</x:f>
        <x:v/>
      </x:c>
      <x:c r="C293" s="331" t="str">
        <x:f>IF($H293="","",IFERROR(INDEX('Game Records'!$A:$A,$H293),""))</x:f>
        <x:v/>
      </x:c>
      <x:c r="D293" s="331" t="str">
        <x:f>IF($H293="","",IFERROR(INDEX('Game Records'!$U:$U,$H293),""))</x:f>
        <x:v/>
      </x:c>
      <x:c r="E293" s="331" t="str">
        <x:f>IF($H293="","",IF($F293="","No Highlighted Fields","Highlighted Fields Present"))</x:f>
        <x:v/>
      </x:c>
      <x:c r="F293" s="331" t="str">
        <x:f>IF($H293="","",IF(INDEX('Game Records'!$B:$B,$H293)="","Start Date; ","")&amp;IF(INDEX('Game Records'!$C:$C,$H293)="","End Date; ","")&amp;IF(AND(INDEX('Game Records'!$U:$U,$H293)&lt;&gt;"Subscription",INDEX('Game Records'!$U:$U,$H293)&lt;&gt;"Free Game",INDEX('Game Records'!$U:$U,$H293)&lt;&gt;"Disqualified — Free Game",OR(INDEX('Game Records'!$D:$D,$H293)="",LOWER(INDEX('Game Records'!$D:$D,$H293)&amp;"")="n/a")),"Entry Mode; ","")&amp;IF(AND(INDEX('Game Records'!$U:$U,$H293)&lt;&gt;"Subscription",INDEX('Game Records'!$U:$U,$H293)&lt;&gt;"Free Game",INDEX('Game Records'!$U:$U,$H293)&lt;&gt;"Disqualified — Free Game",OR(INDEX('Game Records'!$E:$E,$H293)="",LOWER(INDEX('Game Records'!$E:$E,$H293)&amp;"")="n/a")),"Game Type; ","")&amp;IF(INDEX('Game Records'!$F:$F,$H293)="","Payment Type; ","")&amp;IF(AND(INDEX('Game Records'!$U:$U,$H293)&lt;&gt;"Subscription",INDEX('Game Records'!$U:$U,$H293)&lt;&gt;"Free Game",INDEX('Game Records'!$U:$U,$H293)&lt;&gt;"Disqualified — Free Game",INDEX('Game Records'!$G:$G,$H293)=""),"Gross Pot; ","")&amp;IF(AND(INDEX('Game Records'!$U:$U,$H293)&lt;&gt;"Free Game",INDEX('Game Records'!$U:$U,$H293)&lt;&gt;"Disqualified — Free Game",INDEX('Game Records'!$H:$H,$H293)=""),"Entry Fee; ","")&amp;IF(AND(INDEX('Game Records'!$U:$U,$H293)&lt;&gt;"Subscription",INDEX('Game Records'!$U:$U,$H293)&lt;&gt;"Free Game",INDEX('Game Records'!$U:$U,$H293)&lt;&gt;"Disqualified — Free Game",INDEX('Game Records'!$I:$I,$H293)=""),"Eligible Players; ","")&amp;IF(AND(INDEX('Game Records'!$U:$U,$H293)&lt;&gt;"Subscription",INDEX('Game Records'!$U:$U,$H293)&lt;&gt;"Free Game",INDEX('Game Records'!$U:$U,$H293)&lt;&gt;"Disqualified — Free Game",INDEX('Game Records'!$J:$J,$H293)=""),"Total Players; ","")&amp;IF(AND(LOWER(INDEX('Game Records'!$D:$D,$H293)&amp;"")="finalized",LOWER(INDEX('Game Records'!$L:$L,$H293)&amp;"")&lt;&gt;"yes",INDEX('Game Records'!$U:$U,$H293)&lt;&gt;"Subscription",INDEX('Game Records'!$U:$U,$H293)&lt;&gt;"Free Game",INDEX('Game Records'!$U:$U,$H293)&lt;&gt;"Disqualified — Free Game",INDEX('Game Records'!$K:$K,$H293)=""),"Final Earned; ","")&amp;IF(AND(LOWER(INDEX('Game Records'!$D:$D,$H293)&amp;"")="finalized",INDEX('Game Records'!$U:$U,$H293)&lt;&gt;"Subscription",INDEX('Game Records'!$U:$U,$H293)&lt;&gt;"Free Game",INDEX('Game Records'!$U:$U,$H293)&lt;&gt;"Disqualified — Free Game",OR(INDEX('Game Records'!$L:$L,$H293)="",LOWER(INDEX('Game Records'!$L:$L,$H293)&amp;"")="n/a")),"Disqualified Status; ",""))</x:f>
        <x:v/>
      </x:c>
      <x:c r="G293" s="331" t="str">
        <x:f>IF($H293="","",IFERROR(INDEX('Game Records'!$M:$M,$H293),""))</x:f>
        <x:v/>
      </x:c>
      <x:c r="H293" s="104" t="str">
        <x:f>IF($H292="","",IFERROR(MATCH(1,INDEX((ROW('Game Records'!$U$5:$U$504)&gt;$H292)*(('Game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4" ht="24" customHeight="1">
      <x:c r="A294" s="332" t="str">
        <x:f>IF($H294="","",ROWS($A$5:A294))</x:f>
        <x:v/>
      </x:c>
      <x:c r="B294" s="332" t="str">
        <x:f>IF($H294="","","G-"&amp;TEXT($A294,"0000"))</x:f>
        <x:v/>
      </x:c>
      <x:c r="C294" s="331" t="str">
        <x:f>IF($H294="","",IFERROR(INDEX('Game Records'!$A:$A,$H294),""))</x:f>
        <x:v/>
      </x:c>
      <x:c r="D294" s="331" t="str">
        <x:f>IF($H294="","",IFERROR(INDEX('Game Records'!$U:$U,$H294),""))</x:f>
        <x:v/>
      </x:c>
      <x:c r="E294" s="331" t="str">
        <x:f>IF($H294="","",IF($F294="","No Highlighted Fields","Highlighted Fields Present"))</x:f>
        <x:v/>
      </x:c>
      <x:c r="F294" s="331" t="str">
        <x:f>IF($H294="","",IF(INDEX('Game Records'!$B:$B,$H294)="","Start Date; ","")&amp;IF(INDEX('Game Records'!$C:$C,$H294)="","End Date; ","")&amp;IF(AND(INDEX('Game Records'!$U:$U,$H294)&lt;&gt;"Subscription",INDEX('Game Records'!$U:$U,$H294)&lt;&gt;"Free Game",INDEX('Game Records'!$U:$U,$H294)&lt;&gt;"Disqualified — Free Game",OR(INDEX('Game Records'!$D:$D,$H294)="",LOWER(INDEX('Game Records'!$D:$D,$H294)&amp;"")="n/a")),"Entry Mode; ","")&amp;IF(AND(INDEX('Game Records'!$U:$U,$H294)&lt;&gt;"Subscription",INDEX('Game Records'!$U:$U,$H294)&lt;&gt;"Free Game",INDEX('Game Records'!$U:$U,$H294)&lt;&gt;"Disqualified — Free Game",OR(INDEX('Game Records'!$E:$E,$H294)="",LOWER(INDEX('Game Records'!$E:$E,$H294)&amp;"")="n/a")),"Game Type; ","")&amp;IF(INDEX('Game Records'!$F:$F,$H294)="","Payment Type; ","")&amp;IF(AND(INDEX('Game Records'!$U:$U,$H294)&lt;&gt;"Subscription",INDEX('Game Records'!$U:$U,$H294)&lt;&gt;"Free Game",INDEX('Game Records'!$U:$U,$H294)&lt;&gt;"Disqualified — Free Game",INDEX('Game Records'!$G:$G,$H294)=""),"Gross Pot; ","")&amp;IF(AND(INDEX('Game Records'!$U:$U,$H294)&lt;&gt;"Free Game",INDEX('Game Records'!$U:$U,$H294)&lt;&gt;"Disqualified — Free Game",INDEX('Game Records'!$H:$H,$H294)=""),"Entry Fee; ","")&amp;IF(AND(INDEX('Game Records'!$U:$U,$H294)&lt;&gt;"Subscription",INDEX('Game Records'!$U:$U,$H294)&lt;&gt;"Free Game",INDEX('Game Records'!$U:$U,$H294)&lt;&gt;"Disqualified — Free Game",INDEX('Game Records'!$I:$I,$H294)=""),"Eligible Players; ","")&amp;IF(AND(INDEX('Game Records'!$U:$U,$H294)&lt;&gt;"Subscription",INDEX('Game Records'!$U:$U,$H294)&lt;&gt;"Free Game",INDEX('Game Records'!$U:$U,$H294)&lt;&gt;"Disqualified — Free Game",INDEX('Game Records'!$J:$J,$H294)=""),"Total Players; ","")&amp;IF(AND(LOWER(INDEX('Game Records'!$D:$D,$H294)&amp;"")="finalized",LOWER(INDEX('Game Records'!$L:$L,$H294)&amp;"")&lt;&gt;"yes",INDEX('Game Records'!$U:$U,$H294)&lt;&gt;"Subscription",INDEX('Game Records'!$U:$U,$H294)&lt;&gt;"Free Game",INDEX('Game Records'!$U:$U,$H294)&lt;&gt;"Disqualified — Free Game",INDEX('Game Records'!$K:$K,$H294)=""),"Final Earned; ","")&amp;IF(AND(LOWER(INDEX('Game Records'!$D:$D,$H294)&amp;"")="finalized",INDEX('Game Records'!$U:$U,$H294)&lt;&gt;"Subscription",INDEX('Game Records'!$U:$U,$H294)&lt;&gt;"Free Game",INDEX('Game Records'!$U:$U,$H294)&lt;&gt;"Disqualified — Free Game",OR(INDEX('Game Records'!$L:$L,$H294)="",LOWER(INDEX('Game Records'!$L:$L,$H294)&amp;"")="n/a")),"Disqualified Status; ",""))</x:f>
        <x:v/>
      </x:c>
      <x:c r="G294" s="331" t="str">
        <x:f>IF($H294="","",IFERROR(INDEX('Game Records'!$M:$M,$H294),""))</x:f>
        <x:v/>
      </x:c>
      <x:c r="H294" s="104" t="str">
        <x:f>IF($H293="","",IFERROR(MATCH(1,INDEX((ROW('Game Records'!$U$5:$U$504)&gt;$H293)*(('Game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5" ht="24" customHeight="1">
      <x:c r="A295" s="332" t="str">
        <x:f>IF($H295="","",ROWS($A$5:A295))</x:f>
        <x:v/>
      </x:c>
      <x:c r="B295" s="332" t="str">
        <x:f>IF($H295="","","G-"&amp;TEXT($A295,"0000"))</x:f>
        <x:v/>
      </x:c>
      <x:c r="C295" s="331" t="str">
        <x:f>IF($H295="","",IFERROR(INDEX('Game Records'!$A:$A,$H295),""))</x:f>
        <x:v/>
      </x:c>
      <x:c r="D295" s="331" t="str">
        <x:f>IF($H295="","",IFERROR(INDEX('Game Records'!$U:$U,$H295),""))</x:f>
        <x:v/>
      </x:c>
      <x:c r="E295" s="331" t="str">
        <x:f>IF($H295="","",IF($F295="","No Highlighted Fields","Highlighted Fields Present"))</x:f>
        <x:v/>
      </x:c>
      <x:c r="F295" s="331" t="str">
        <x:f>IF($H295="","",IF(INDEX('Game Records'!$B:$B,$H295)="","Start Date; ","")&amp;IF(INDEX('Game Records'!$C:$C,$H295)="","End Date; ","")&amp;IF(AND(INDEX('Game Records'!$U:$U,$H295)&lt;&gt;"Subscription",INDEX('Game Records'!$U:$U,$H295)&lt;&gt;"Free Game",INDEX('Game Records'!$U:$U,$H295)&lt;&gt;"Disqualified — Free Game",OR(INDEX('Game Records'!$D:$D,$H295)="",LOWER(INDEX('Game Records'!$D:$D,$H295)&amp;"")="n/a")),"Entry Mode; ","")&amp;IF(AND(INDEX('Game Records'!$U:$U,$H295)&lt;&gt;"Subscription",INDEX('Game Records'!$U:$U,$H295)&lt;&gt;"Free Game",INDEX('Game Records'!$U:$U,$H295)&lt;&gt;"Disqualified — Free Game",OR(INDEX('Game Records'!$E:$E,$H295)="",LOWER(INDEX('Game Records'!$E:$E,$H295)&amp;"")="n/a")),"Game Type; ","")&amp;IF(INDEX('Game Records'!$F:$F,$H295)="","Payment Type; ","")&amp;IF(AND(INDEX('Game Records'!$U:$U,$H295)&lt;&gt;"Subscription",INDEX('Game Records'!$U:$U,$H295)&lt;&gt;"Free Game",INDEX('Game Records'!$U:$U,$H295)&lt;&gt;"Disqualified — Free Game",INDEX('Game Records'!$G:$G,$H295)=""),"Gross Pot; ","")&amp;IF(AND(INDEX('Game Records'!$U:$U,$H295)&lt;&gt;"Free Game",INDEX('Game Records'!$U:$U,$H295)&lt;&gt;"Disqualified — Free Game",INDEX('Game Records'!$H:$H,$H295)=""),"Entry Fee; ","")&amp;IF(AND(INDEX('Game Records'!$U:$U,$H295)&lt;&gt;"Subscription",INDEX('Game Records'!$U:$U,$H295)&lt;&gt;"Free Game",INDEX('Game Records'!$U:$U,$H295)&lt;&gt;"Disqualified — Free Game",INDEX('Game Records'!$I:$I,$H295)=""),"Eligible Players; ","")&amp;IF(AND(INDEX('Game Records'!$U:$U,$H295)&lt;&gt;"Subscription",INDEX('Game Records'!$U:$U,$H295)&lt;&gt;"Free Game",INDEX('Game Records'!$U:$U,$H295)&lt;&gt;"Disqualified — Free Game",INDEX('Game Records'!$J:$J,$H295)=""),"Total Players; ","")&amp;IF(AND(LOWER(INDEX('Game Records'!$D:$D,$H295)&amp;"")="finalized",LOWER(INDEX('Game Records'!$L:$L,$H295)&amp;"")&lt;&gt;"yes",INDEX('Game Records'!$U:$U,$H295)&lt;&gt;"Subscription",INDEX('Game Records'!$U:$U,$H295)&lt;&gt;"Free Game",INDEX('Game Records'!$U:$U,$H295)&lt;&gt;"Disqualified — Free Game",INDEX('Game Records'!$K:$K,$H295)=""),"Final Earned; ","")&amp;IF(AND(LOWER(INDEX('Game Records'!$D:$D,$H295)&amp;"")="finalized",INDEX('Game Records'!$U:$U,$H295)&lt;&gt;"Subscription",INDEX('Game Records'!$U:$U,$H295)&lt;&gt;"Free Game",INDEX('Game Records'!$U:$U,$H295)&lt;&gt;"Disqualified — Free Game",OR(INDEX('Game Records'!$L:$L,$H295)="",LOWER(INDEX('Game Records'!$L:$L,$H295)&amp;"")="n/a")),"Disqualified Status; ",""))</x:f>
        <x:v/>
      </x:c>
      <x:c r="G295" s="331" t="str">
        <x:f>IF($H295="","",IFERROR(INDEX('Game Records'!$M:$M,$H295),""))</x:f>
        <x:v/>
      </x:c>
      <x:c r="H295" s="104" t="str">
        <x:f>IF($H294="","",IFERROR(MATCH(1,INDEX((ROW('Game Records'!$U$5:$U$504)&gt;$H294)*(('Game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6" ht="24" customHeight="1">
      <x:c r="A296" s="332" t="str">
        <x:f>IF($H296="","",ROWS($A$5:A296))</x:f>
        <x:v/>
      </x:c>
      <x:c r="B296" s="332" t="str">
        <x:f>IF($H296="","","G-"&amp;TEXT($A296,"0000"))</x:f>
        <x:v/>
      </x:c>
      <x:c r="C296" s="331" t="str">
        <x:f>IF($H296="","",IFERROR(INDEX('Game Records'!$A:$A,$H296),""))</x:f>
        <x:v/>
      </x:c>
      <x:c r="D296" s="331" t="str">
        <x:f>IF($H296="","",IFERROR(INDEX('Game Records'!$U:$U,$H296),""))</x:f>
        <x:v/>
      </x:c>
      <x:c r="E296" s="331" t="str">
        <x:f>IF($H296="","",IF($F296="","No Highlighted Fields","Highlighted Fields Present"))</x:f>
        <x:v/>
      </x:c>
      <x:c r="F296" s="331" t="str">
        <x:f>IF($H296="","",IF(INDEX('Game Records'!$B:$B,$H296)="","Start Date; ","")&amp;IF(INDEX('Game Records'!$C:$C,$H296)="","End Date; ","")&amp;IF(AND(INDEX('Game Records'!$U:$U,$H296)&lt;&gt;"Subscription",INDEX('Game Records'!$U:$U,$H296)&lt;&gt;"Free Game",INDEX('Game Records'!$U:$U,$H296)&lt;&gt;"Disqualified — Free Game",OR(INDEX('Game Records'!$D:$D,$H296)="",LOWER(INDEX('Game Records'!$D:$D,$H296)&amp;"")="n/a")),"Entry Mode; ","")&amp;IF(AND(INDEX('Game Records'!$U:$U,$H296)&lt;&gt;"Subscription",INDEX('Game Records'!$U:$U,$H296)&lt;&gt;"Free Game",INDEX('Game Records'!$U:$U,$H296)&lt;&gt;"Disqualified — Free Game",OR(INDEX('Game Records'!$E:$E,$H296)="",LOWER(INDEX('Game Records'!$E:$E,$H296)&amp;"")="n/a")),"Game Type; ","")&amp;IF(INDEX('Game Records'!$F:$F,$H296)="","Payment Type; ","")&amp;IF(AND(INDEX('Game Records'!$U:$U,$H296)&lt;&gt;"Subscription",INDEX('Game Records'!$U:$U,$H296)&lt;&gt;"Free Game",INDEX('Game Records'!$U:$U,$H296)&lt;&gt;"Disqualified — Free Game",INDEX('Game Records'!$G:$G,$H296)=""),"Gross Pot; ","")&amp;IF(AND(INDEX('Game Records'!$U:$U,$H296)&lt;&gt;"Free Game",INDEX('Game Records'!$U:$U,$H296)&lt;&gt;"Disqualified — Free Game",INDEX('Game Records'!$H:$H,$H296)=""),"Entry Fee; ","")&amp;IF(AND(INDEX('Game Records'!$U:$U,$H296)&lt;&gt;"Subscription",INDEX('Game Records'!$U:$U,$H296)&lt;&gt;"Free Game",INDEX('Game Records'!$U:$U,$H296)&lt;&gt;"Disqualified — Free Game",INDEX('Game Records'!$I:$I,$H296)=""),"Eligible Players; ","")&amp;IF(AND(INDEX('Game Records'!$U:$U,$H296)&lt;&gt;"Subscription",INDEX('Game Records'!$U:$U,$H296)&lt;&gt;"Free Game",INDEX('Game Records'!$U:$U,$H296)&lt;&gt;"Disqualified — Free Game",INDEX('Game Records'!$J:$J,$H296)=""),"Total Players; ","")&amp;IF(AND(LOWER(INDEX('Game Records'!$D:$D,$H296)&amp;"")="finalized",LOWER(INDEX('Game Records'!$L:$L,$H296)&amp;"")&lt;&gt;"yes",INDEX('Game Records'!$U:$U,$H296)&lt;&gt;"Subscription",INDEX('Game Records'!$U:$U,$H296)&lt;&gt;"Free Game",INDEX('Game Records'!$U:$U,$H296)&lt;&gt;"Disqualified — Free Game",INDEX('Game Records'!$K:$K,$H296)=""),"Final Earned; ","")&amp;IF(AND(LOWER(INDEX('Game Records'!$D:$D,$H296)&amp;"")="finalized",INDEX('Game Records'!$U:$U,$H296)&lt;&gt;"Subscription",INDEX('Game Records'!$U:$U,$H296)&lt;&gt;"Free Game",INDEX('Game Records'!$U:$U,$H296)&lt;&gt;"Disqualified — Free Game",OR(INDEX('Game Records'!$L:$L,$H296)="",LOWER(INDEX('Game Records'!$L:$L,$H296)&amp;"")="n/a")),"Disqualified Status; ",""))</x:f>
        <x:v/>
      </x:c>
      <x:c r="G296" s="331" t="str">
        <x:f>IF($H296="","",IFERROR(INDEX('Game Records'!$M:$M,$H296),""))</x:f>
        <x:v/>
      </x:c>
      <x:c r="H296" s="104" t="str">
        <x:f>IF($H295="","",IFERROR(MATCH(1,INDEX((ROW('Game Records'!$U$5:$U$504)&gt;$H295)*(('Game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7" ht="24" customHeight="1">
      <x:c r="A297" s="332" t="str">
        <x:f>IF($H297="","",ROWS($A$5:A297))</x:f>
        <x:v/>
      </x:c>
      <x:c r="B297" s="332" t="str">
        <x:f>IF($H297="","","G-"&amp;TEXT($A297,"0000"))</x:f>
        <x:v/>
      </x:c>
      <x:c r="C297" s="331" t="str">
        <x:f>IF($H297="","",IFERROR(INDEX('Game Records'!$A:$A,$H297),""))</x:f>
        <x:v/>
      </x:c>
      <x:c r="D297" s="331" t="str">
        <x:f>IF($H297="","",IFERROR(INDEX('Game Records'!$U:$U,$H297),""))</x:f>
        <x:v/>
      </x:c>
      <x:c r="E297" s="331" t="str">
        <x:f>IF($H297="","",IF($F297="","No Highlighted Fields","Highlighted Fields Present"))</x:f>
        <x:v/>
      </x:c>
      <x:c r="F297" s="331" t="str">
        <x:f>IF($H297="","",IF(INDEX('Game Records'!$B:$B,$H297)="","Start Date; ","")&amp;IF(INDEX('Game Records'!$C:$C,$H297)="","End Date; ","")&amp;IF(AND(INDEX('Game Records'!$U:$U,$H297)&lt;&gt;"Subscription",INDEX('Game Records'!$U:$U,$H297)&lt;&gt;"Free Game",INDEX('Game Records'!$U:$U,$H297)&lt;&gt;"Disqualified — Free Game",OR(INDEX('Game Records'!$D:$D,$H297)="",LOWER(INDEX('Game Records'!$D:$D,$H297)&amp;"")="n/a")),"Entry Mode; ","")&amp;IF(AND(INDEX('Game Records'!$U:$U,$H297)&lt;&gt;"Subscription",INDEX('Game Records'!$U:$U,$H297)&lt;&gt;"Free Game",INDEX('Game Records'!$U:$U,$H297)&lt;&gt;"Disqualified — Free Game",OR(INDEX('Game Records'!$E:$E,$H297)="",LOWER(INDEX('Game Records'!$E:$E,$H297)&amp;"")="n/a")),"Game Type; ","")&amp;IF(INDEX('Game Records'!$F:$F,$H297)="","Payment Type; ","")&amp;IF(AND(INDEX('Game Records'!$U:$U,$H297)&lt;&gt;"Subscription",INDEX('Game Records'!$U:$U,$H297)&lt;&gt;"Free Game",INDEX('Game Records'!$U:$U,$H297)&lt;&gt;"Disqualified — Free Game",INDEX('Game Records'!$G:$G,$H297)=""),"Gross Pot; ","")&amp;IF(AND(INDEX('Game Records'!$U:$U,$H297)&lt;&gt;"Free Game",INDEX('Game Records'!$U:$U,$H297)&lt;&gt;"Disqualified — Free Game",INDEX('Game Records'!$H:$H,$H297)=""),"Entry Fee; ","")&amp;IF(AND(INDEX('Game Records'!$U:$U,$H297)&lt;&gt;"Subscription",INDEX('Game Records'!$U:$U,$H297)&lt;&gt;"Free Game",INDEX('Game Records'!$U:$U,$H297)&lt;&gt;"Disqualified — Free Game",INDEX('Game Records'!$I:$I,$H297)=""),"Eligible Players; ","")&amp;IF(AND(INDEX('Game Records'!$U:$U,$H297)&lt;&gt;"Subscription",INDEX('Game Records'!$U:$U,$H297)&lt;&gt;"Free Game",INDEX('Game Records'!$U:$U,$H297)&lt;&gt;"Disqualified — Free Game",INDEX('Game Records'!$J:$J,$H297)=""),"Total Players; ","")&amp;IF(AND(LOWER(INDEX('Game Records'!$D:$D,$H297)&amp;"")="finalized",LOWER(INDEX('Game Records'!$L:$L,$H297)&amp;"")&lt;&gt;"yes",INDEX('Game Records'!$U:$U,$H297)&lt;&gt;"Subscription",INDEX('Game Records'!$U:$U,$H297)&lt;&gt;"Free Game",INDEX('Game Records'!$U:$U,$H297)&lt;&gt;"Disqualified — Free Game",INDEX('Game Records'!$K:$K,$H297)=""),"Final Earned; ","")&amp;IF(AND(LOWER(INDEX('Game Records'!$D:$D,$H297)&amp;"")="finalized",INDEX('Game Records'!$U:$U,$H297)&lt;&gt;"Subscription",INDEX('Game Records'!$U:$U,$H297)&lt;&gt;"Free Game",INDEX('Game Records'!$U:$U,$H297)&lt;&gt;"Disqualified — Free Game",OR(INDEX('Game Records'!$L:$L,$H297)="",LOWER(INDEX('Game Records'!$L:$L,$H297)&amp;"")="n/a")),"Disqualified Status; ",""))</x:f>
        <x:v/>
      </x:c>
      <x:c r="G297" s="331" t="str">
        <x:f>IF($H297="","",IFERROR(INDEX('Game Records'!$M:$M,$H297),""))</x:f>
        <x:v/>
      </x:c>
      <x:c r="H297" s="104" t="str">
        <x:f>IF($H296="","",IFERROR(MATCH(1,INDEX((ROW('Game Records'!$U$5:$U$504)&gt;$H296)*(('Game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8" ht="24" customHeight="1">
      <x:c r="A298" s="332" t="str">
        <x:f>IF($H298="","",ROWS($A$5:A298))</x:f>
        <x:v/>
      </x:c>
      <x:c r="B298" s="332" t="str">
        <x:f>IF($H298="","","G-"&amp;TEXT($A298,"0000"))</x:f>
        <x:v/>
      </x:c>
      <x:c r="C298" s="331" t="str">
        <x:f>IF($H298="","",IFERROR(INDEX('Game Records'!$A:$A,$H298),""))</x:f>
        <x:v/>
      </x:c>
      <x:c r="D298" s="331" t="str">
        <x:f>IF($H298="","",IFERROR(INDEX('Game Records'!$U:$U,$H298),""))</x:f>
        <x:v/>
      </x:c>
      <x:c r="E298" s="331" t="str">
        <x:f>IF($H298="","",IF($F298="","No Highlighted Fields","Highlighted Fields Present"))</x:f>
        <x:v/>
      </x:c>
      <x:c r="F298" s="331" t="str">
        <x:f>IF($H298="","",IF(INDEX('Game Records'!$B:$B,$H298)="","Start Date; ","")&amp;IF(INDEX('Game Records'!$C:$C,$H298)="","End Date; ","")&amp;IF(AND(INDEX('Game Records'!$U:$U,$H298)&lt;&gt;"Subscription",INDEX('Game Records'!$U:$U,$H298)&lt;&gt;"Free Game",INDEX('Game Records'!$U:$U,$H298)&lt;&gt;"Disqualified — Free Game",OR(INDEX('Game Records'!$D:$D,$H298)="",LOWER(INDEX('Game Records'!$D:$D,$H298)&amp;"")="n/a")),"Entry Mode; ","")&amp;IF(AND(INDEX('Game Records'!$U:$U,$H298)&lt;&gt;"Subscription",INDEX('Game Records'!$U:$U,$H298)&lt;&gt;"Free Game",INDEX('Game Records'!$U:$U,$H298)&lt;&gt;"Disqualified — Free Game",OR(INDEX('Game Records'!$E:$E,$H298)="",LOWER(INDEX('Game Records'!$E:$E,$H298)&amp;"")="n/a")),"Game Type; ","")&amp;IF(INDEX('Game Records'!$F:$F,$H298)="","Payment Type; ","")&amp;IF(AND(INDEX('Game Records'!$U:$U,$H298)&lt;&gt;"Subscription",INDEX('Game Records'!$U:$U,$H298)&lt;&gt;"Free Game",INDEX('Game Records'!$U:$U,$H298)&lt;&gt;"Disqualified — Free Game",INDEX('Game Records'!$G:$G,$H298)=""),"Gross Pot; ","")&amp;IF(AND(INDEX('Game Records'!$U:$U,$H298)&lt;&gt;"Free Game",INDEX('Game Records'!$U:$U,$H298)&lt;&gt;"Disqualified — Free Game",INDEX('Game Records'!$H:$H,$H298)=""),"Entry Fee; ","")&amp;IF(AND(INDEX('Game Records'!$U:$U,$H298)&lt;&gt;"Subscription",INDEX('Game Records'!$U:$U,$H298)&lt;&gt;"Free Game",INDEX('Game Records'!$U:$U,$H298)&lt;&gt;"Disqualified — Free Game",INDEX('Game Records'!$I:$I,$H298)=""),"Eligible Players; ","")&amp;IF(AND(INDEX('Game Records'!$U:$U,$H298)&lt;&gt;"Subscription",INDEX('Game Records'!$U:$U,$H298)&lt;&gt;"Free Game",INDEX('Game Records'!$U:$U,$H298)&lt;&gt;"Disqualified — Free Game",INDEX('Game Records'!$J:$J,$H298)=""),"Total Players; ","")&amp;IF(AND(LOWER(INDEX('Game Records'!$D:$D,$H298)&amp;"")="finalized",LOWER(INDEX('Game Records'!$L:$L,$H298)&amp;"")&lt;&gt;"yes",INDEX('Game Records'!$U:$U,$H298)&lt;&gt;"Subscription",INDEX('Game Records'!$U:$U,$H298)&lt;&gt;"Free Game",INDEX('Game Records'!$U:$U,$H298)&lt;&gt;"Disqualified — Free Game",INDEX('Game Records'!$K:$K,$H298)=""),"Final Earned; ","")&amp;IF(AND(LOWER(INDEX('Game Records'!$D:$D,$H298)&amp;"")="finalized",INDEX('Game Records'!$U:$U,$H298)&lt;&gt;"Subscription",INDEX('Game Records'!$U:$U,$H298)&lt;&gt;"Free Game",INDEX('Game Records'!$U:$U,$H298)&lt;&gt;"Disqualified — Free Game",OR(INDEX('Game Records'!$L:$L,$H298)="",LOWER(INDEX('Game Records'!$L:$L,$H298)&amp;"")="n/a")),"Disqualified Status; ",""))</x:f>
        <x:v/>
      </x:c>
      <x:c r="G298" s="331" t="str">
        <x:f>IF($H298="","",IFERROR(INDEX('Game Records'!$M:$M,$H298),""))</x:f>
        <x:v/>
      </x:c>
      <x:c r="H298" s="104" t="str">
        <x:f>IF($H297="","",IFERROR(MATCH(1,INDEX((ROW('Game Records'!$U$5:$U$504)&gt;$H297)*(('Game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299" ht="24" customHeight="1">
      <x:c r="A299" s="332" t="str">
        <x:f>IF($H299="","",ROWS($A$5:A299))</x:f>
        <x:v/>
      </x:c>
      <x:c r="B299" s="332" t="str">
        <x:f>IF($H299="","","G-"&amp;TEXT($A299,"0000"))</x:f>
        <x:v/>
      </x:c>
      <x:c r="C299" s="331" t="str">
        <x:f>IF($H299="","",IFERROR(INDEX('Game Records'!$A:$A,$H299),""))</x:f>
        <x:v/>
      </x:c>
      <x:c r="D299" s="331" t="str">
        <x:f>IF($H299="","",IFERROR(INDEX('Game Records'!$U:$U,$H299),""))</x:f>
        <x:v/>
      </x:c>
      <x:c r="E299" s="331" t="str">
        <x:f>IF($H299="","",IF($F299="","No Highlighted Fields","Highlighted Fields Present"))</x:f>
        <x:v/>
      </x:c>
      <x:c r="F299" s="331" t="str">
        <x:f>IF($H299="","",IF(INDEX('Game Records'!$B:$B,$H299)="","Start Date; ","")&amp;IF(INDEX('Game Records'!$C:$C,$H299)="","End Date; ","")&amp;IF(AND(INDEX('Game Records'!$U:$U,$H299)&lt;&gt;"Subscription",INDEX('Game Records'!$U:$U,$H299)&lt;&gt;"Free Game",INDEX('Game Records'!$U:$U,$H299)&lt;&gt;"Disqualified — Free Game",OR(INDEX('Game Records'!$D:$D,$H299)="",LOWER(INDEX('Game Records'!$D:$D,$H299)&amp;"")="n/a")),"Entry Mode; ","")&amp;IF(AND(INDEX('Game Records'!$U:$U,$H299)&lt;&gt;"Subscription",INDEX('Game Records'!$U:$U,$H299)&lt;&gt;"Free Game",INDEX('Game Records'!$U:$U,$H299)&lt;&gt;"Disqualified — Free Game",OR(INDEX('Game Records'!$E:$E,$H299)="",LOWER(INDEX('Game Records'!$E:$E,$H299)&amp;"")="n/a")),"Game Type; ","")&amp;IF(INDEX('Game Records'!$F:$F,$H299)="","Payment Type; ","")&amp;IF(AND(INDEX('Game Records'!$U:$U,$H299)&lt;&gt;"Subscription",INDEX('Game Records'!$U:$U,$H299)&lt;&gt;"Free Game",INDEX('Game Records'!$U:$U,$H299)&lt;&gt;"Disqualified — Free Game",INDEX('Game Records'!$G:$G,$H299)=""),"Gross Pot; ","")&amp;IF(AND(INDEX('Game Records'!$U:$U,$H299)&lt;&gt;"Free Game",INDEX('Game Records'!$U:$U,$H299)&lt;&gt;"Disqualified — Free Game",INDEX('Game Records'!$H:$H,$H299)=""),"Entry Fee; ","")&amp;IF(AND(INDEX('Game Records'!$U:$U,$H299)&lt;&gt;"Subscription",INDEX('Game Records'!$U:$U,$H299)&lt;&gt;"Free Game",INDEX('Game Records'!$U:$U,$H299)&lt;&gt;"Disqualified — Free Game",INDEX('Game Records'!$I:$I,$H299)=""),"Eligible Players; ","")&amp;IF(AND(INDEX('Game Records'!$U:$U,$H299)&lt;&gt;"Subscription",INDEX('Game Records'!$U:$U,$H299)&lt;&gt;"Free Game",INDEX('Game Records'!$U:$U,$H299)&lt;&gt;"Disqualified — Free Game",INDEX('Game Records'!$J:$J,$H299)=""),"Total Players; ","")&amp;IF(AND(LOWER(INDEX('Game Records'!$D:$D,$H299)&amp;"")="finalized",LOWER(INDEX('Game Records'!$L:$L,$H299)&amp;"")&lt;&gt;"yes",INDEX('Game Records'!$U:$U,$H299)&lt;&gt;"Subscription",INDEX('Game Records'!$U:$U,$H299)&lt;&gt;"Free Game",INDEX('Game Records'!$U:$U,$H299)&lt;&gt;"Disqualified — Free Game",INDEX('Game Records'!$K:$K,$H299)=""),"Final Earned; ","")&amp;IF(AND(LOWER(INDEX('Game Records'!$D:$D,$H299)&amp;"")="finalized",INDEX('Game Records'!$U:$U,$H299)&lt;&gt;"Subscription",INDEX('Game Records'!$U:$U,$H299)&lt;&gt;"Free Game",INDEX('Game Records'!$U:$U,$H299)&lt;&gt;"Disqualified — Free Game",OR(INDEX('Game Records'!$L:$L,$H299)="",LOWER(INDEX('Game Records'!$L:$L,$H299)&amp;"")="n/a")),"Disqualified Status; ",""))</x:f>
        <x:v/>
      </x:c>
      <x:c r="G299" s="331" t="str">
        <x:f>IF($H299="","",IFERROR(INDEX('Game Records'!$M:$M,$H299),""))</x:f>
        <x:v/>
      </x:c>
      <x:c r="H299" s="104" t="str">
        <x:f>IF($H298="","",IFERROR(MATCH(1,INDEX((ROW('Game Records'!$U$5:$U$504)&gt;$H298)*(('Game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0" ht="24" customHeight="1">
      <x:c r="A300" s="332" t="str">
        <x:f>IF($H300="","",ROWS($A$5:A300))</x:f>
        <x:v/>
      </x:c>
      <x:c r="B300" s="332" t="str">
        <x:f>IF($H300="","","G-"&amp;TEXT($A300,"0000"))</x:f>
        <x:v/>
      </x:c>
      <x:c r="C300" s="331" t="str">
        <x:f>IF($H300="","",IFERROR(INDEX('Game Records'!$A:$A,$H300),""))</x:f>
        <x:v/>
      </x:c>
      <x:c r="D300" s="331" t="str">
        <x:f>IF($H300="","",IFERROR(INDEX('Game Records'!$U:$U,$H300),""))</x:f>
        <x:v/>
      </x:c>
      <x:c r="E300" s="331" t="str">
        <x:f>IF($H300="","",IF($F300="","No Highlighted Fields","Highlighted Fields Present"))</x:f>
        <x:v/>
      </x:c>
      <x:c r="F300" s="331" t="str">
        <x:f>IF($H300="","",IF(INDEX('Game Records'!$B:$B,$H300)="","Start Date; ","")&amp;IF(INDEX('Game Records'!$C:$C,$H300)="","End Date; ","")&amp;IF(AND(INDEX('Game Records'!$U:$U,$H300)&lt;&gt;"Subscription",INDEX('Game Records'!$U:$U,$H300)&lt;&gt;"Free Game",INDEX('Game Records'!$U:$U,$H300)&lt;&gt;"Disqualified — Free Game",OR(INDEX('Game Records'!$D:$D,$H300)="",LOWER(INDEX('Game Records'!$D:$D,$H300)&amp;"")="n/a")),"Entry Mode; ","")&amp;IF(AND(INDEX('Game Records'!$U:$U,$H300)&lt;&gt;"Subscription",INDEX('Game Records'!$U:$U,$H300)&lt;&gt;"Free Game",INDEX('Game Records'!$U:$U,$H300)&lt;&gt;"Disqualified — Free Game",OR(INDEX('Game Records'!$E:$E,$H300)="",LOWER(INDEX('Game Records'!$E:$E,$H300)&amp;"")="n/a")),"Game Type; ","")&amp;IF(INDEX('Game Records'!$F:$F,$H300)="","Payment Type; ","")&amp;IF(AND(INDEX('Game Records'!$U:$U,$H300)&lt;&gt;"Subscription",INDEX('Game Records'!$U:$U,$H300)&lt;&gt;"Free Game",INDEX('Game Records'!$U:$U,$H300)&lt;&gt;"Disqualified — Free Game",INDEX('Game Records'!$G:$G,$H300)=""),"Gross Pot; ","")&amp;IF(AND(INDEX('Game Records'!$U:$U,$H300)&lt;&gt;"Free Game",INDEX('Game Records'!$U:$U,$H300)&lt;&gt;"Disqualified — Free Game",INDEX('Game Records'!$H:$H,$H300)=""),"Entry Fee; ","")&amp;IF(AND(INDEX('Game Records'!$U:$U,$H300)&lt;&gt;"Subscription",INDEX('Game Records'!$U:$U,$H300)&lt;&gt;"Free Game",INDEX('Game Records'!$U:$U,$H300)&lt;&gt;"Disqualified — Free Game",INDEX('Game Records'!$I:$I,$H300)=""),"Eligible Players; ","")&amp;IF(AND(INDEX('Game Records'!$U:$U,$H300)&lt;&gt;"Subscription",INDEX('Game Records'!$U:$U,$H300)&lt;&gt;"Free Game",INDEX('Game Records'!$U:$U,$H300)&lt;&gt;"Disqualified — Free Game",INDEX('Game Records'!$J:$J,$H300)=""),"Total Players; ","")&amp;IF(AND(LOWER(INDEX('Game Records'!$D:$D,$H300)&amp;"")="finalized",LOWER(INDEX('Game Records'!$L:$L,$H300)&amp;"")&lt;&gt;"yes",INDEX('Game Records'!$U:$U,$H300)&lt;&gt;"Subscription",INDEX('Game Records'!$U:$U,$H300)&lt;&gt;"Free Game",INDEX('Game Records'!$U:$U,$H300)&lt;&gt;"Disqualified — Free Game",INDEX('Game Records'!$K:$K,$H300)=""),"Final Earned; ","")&amp;IF(AND(LOWER(INDEX('Game Records'!$D:$D,$H300)&amp;"")="finalized",INDEX('Game Records'!$U:$U,$H300)&lt;&gt;"Subscription",INDEX('Game Records'!$U:$U,$H300)&lt;&gt;"Free Game",INDEX('Game Records'!$U:$U,$H300)&lt;&gt;"Disqualified — Free Game",OR(INDEX('Game Records'!$L:$L,$H300)="",LOWER(INDEX('Game Records'!$L:$L,$H300)&amp;"")="n/a")),"Disqualified Status; ",""))</x:f>
        <x:v/>
      </x:c>
      <x:c r="G300" s="331" t="str">
        <x:f>IF($H300="","",IFERROR(INDEX('Game Records'!$M:$M,$H300),""))</x:f>
        <x:v/>
      </x:c>
      <x:c r="H300" s="104" t="str">
        <x:f>IF($H299="","",IFERROR(MATCH(1,INDEX((ROW('Game Records'!$U$5:$U$504)&gt;$H299)*(('Game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1" ht="24" customHeight="1">
      <x:c r="A301" s="332" t="str">
        <x:f>IF($H301="","",ROWS($A$5:A301))</x:f>
        <x:v/>
      </x:c>
      <x:c r="B301" s="332" t="str">
        <x:f>IF($H301="","","G-"&amp;TEXT($A301,"0000"))</x:f>
        <x:v/>
      </x:c>
      <x:c r="C301" s="331" t="str">
        <x:f>IF($H301="","",IFERROR(INDEX('Game Records'!$A:$A,$H301),""))</x:f>
        <x:v/>
      </x:c>
      <x:c r="D301" s="331" t="str">
        <x:f>IF($H301="","",IFERROR(INDEX('Game Records'!$U:$U,$H301),""))</x:f>
        <x:v/>
      </x:c>
      <x:c r="E301" s="331" t="str">
        <x:f>IF($H301="","",IF($F301="","No Highlighted Fields","Highlighted Fields Present"))</x:f>
        <x:v/>
      </x:c>
      <x:c r="F301" s="331" t="str">
        <x:f>IF($H301="","",IF(INDEX('Game Records'!$B:$B,$H301)="","Start Date; ","")&amp;IF(INDEX('Game Records'!$C:$C,$H301)="","End Date; ","")&amp;IF(AND(INDEX('Game Records'!$U:$U,$H301)&lt;&gt;"Subscription",INDEX('Game Records'!$U:$U,$H301)&lt;&gt;"Free Game",INDEX('Game Records'!$U:$U,$H301)&lt;&gt;"Disqualified — Free Game",OR(INDEX('Game Records'!$D:$D,$H301)="",LOWER(INDEX('Game Records'!$D:$D,$H301)&amp;"")="n/a")),"Entry Mode; ","")&amp;IF(AND(INDEX('Game Records'!$U:$U,$H301)&lt;&gt;"Subscription",INDEX('Game Records'!$U:$U,$H301)&lt;&gt;"Free Game",INDEX('Game Records'!$U:$U,$H301)&lt;&gt;"Disqualified — Free Game",OR(INDEX('Game Records'!$E:$E,$H301)="",LOWER(INDEX('Game Records'!$E:$E,$H301)&amp;"")="n/a")),"Game Type; ","")&amp;IF(INDEX('Game Records'!$F:$F,$H301)="","Payment Type; ","")&amp;IF(AND(INDEX('Game Records'!$U:$U,$H301)&lt;&gt;"Subscription",INDEX('Game Records'!$U:$U,$H301)&lt;&gt;"Free Game",INDEX('Game Records'!$U:$U,$H301)&lt;&gt;"Disqualified — Free Game",INDEX('Game Records'!$G:$G,$H301)=""),"Gross Pot; ","")&amp;IF(AND(INDEX('Game Records'!$U:$U,$H301)&lt;&gt;"Free Game",INDEX('Game Records'!$U:$U,$H301)&lt;&gt;"Disqualified — Free Game",INDEX('Game Records'!$H:$H,$H301)=""),"Entry Fee; ","")&amp;IF(AND(INDEX('Game Records'!$U:$U,$H301)&lt;&gt;"Subscription",INDEX('Game Records'!$U:$U,$H301)&lt;&gt;"Free Game",INDEX('Game Records'!$U:$U,$H301)&lt;&gt;"Disqualified — Free Game",INDEX('Game Records'!$I:$I,$H301)=""),"Eligible Players; ","")&amp;IF(AND(INDEX('Game Records'!$U:$U,$H301)&lt;&gt;"Subscription",INDEX('Game Records'!$U:$U,$H301)&lt;&gt;"Free Game",INDEX('Game Records'!$U:$U,$H301)&lt;&gt;"Disqualified — Free Game",INDEX('Game Records'!$J:$J,$H301)=""),"Total Players; ","")&amp;IF(AND(LOWER(INDEX('Game Records'!$D:$D,$H301)&amp;"")="finalized",LOWER(INDEX('Game Records'!$L:$L,$H301)&amp;"")&lt;&gt;"yes",INDEX('Game Records'!$U:$U,$H301)&lt;&gt;"Subscription",INDEX('Game Records'!$U:$U,$H301)&lt;&gt;"Free Game",INDEX('Game Records'!$U:$U,$H301)&lt;&gt;"Disqualified — Free Game",INDEX('Game Records'!$K:$K,$H301)=""),"Final Earned; ","")&amp;IF(AND(LOWER(INDEX('Game Records'!$D:$D,$H301)&amp;"")="finalized",INDEX('Game Records'!$U:$U,$H301)&lt;&gt;"Subscription",INDEX('Game Records'!$U:$U,$H301)&lt;&gt;"Free Game",INDEX('Game Records'!$U:$U,$H301)&lt;&gt;"Disqualified — Free Game",OR(INDEX('Game Records'!$L:$L,$H301)="",LOWER(INDEX('Game Records'!$L:$L,$H301)&amp;"")="n/a")),"Disqualified Status; ",""))</x:f>
        <x:v/>
      </x:c>
      <x:c r="G301" s="331" t="str">
        <x:f>IF($H301="","",IFERROR(INDEX('Game Records'!$M:$M,$H301),""))</x:f>
        <x:v/>
      </x:c>
      <x:c r="H301" s="104" t="str">
        <x:f>IF($H300="","",IFERROR(MATCH(1,INDEX((ROW('Game Records'!$U$5:$U$504)&gt;$H300)*(('Game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2" ht="24" customHeight="1">
      <x:c r="A302" s="332" t="str">
        <x:f>IF($H302="","",ROWS($A$5:A302))</x:f>
        <x:v/>
      </x:c>
      <x:c r="B302" s="332" t="str">
        <x:f>IF($H302="","","G-"&amp;TEXT($A302,"0000"))</x:f>
        <x:v/>
      </x:c>
      <x:c r="C302" s="331" t="str">
        <x:f>IF($H302="","",IFERROR(INDEX('Game Records'!$A:$A,$H302),""))</x:f>
        <x:v/>
      </x:c>
      <x:c r="D302" s="331" t="str">
        <x:f>IF($H302="","",IFERROR(INDEX('Game Records'!$U:$U,$H302),""))</x:f>
        <x:v/>
      </x:c>
      <x:c r="E302" s="331" t="str">
        <x:f>IF($H302="","",IF($F302="","No Highlighted Fields","Highlighted Fields Present"))</x:f>
        <x:v/>
      </x:c>
      <x:c r="F302" s="331" t="str">
        <x:f>IF($H302="","",IF(INDEX('Game Records'!$B:$B,$H302)="","Start Date; ","")&amp;IF(INDEX('Game Records'!$C:$C,$H302)="","End Date; ","")&amp;IF(AND(INDEX('Game Records'!$U:$U,$H302)&lt;&gt;"Subscription",INDEX('Game Records'!$U:$U,$H302)&lt;&gt;"Free Game",INDEX('Game Records'!$U:$U,$H302)&lt;&gt;"Disqualified — Free Game",OR(INDEX('Game Records'!$D:$D,$H302)="",LOWER(INDEX('Game Records'!$D:$D,$H302)&amp;"")="n/a")),"Entry Mode; ","")&amp;IF(AND(INDEX('Game Records'!$U:$U,$H302)&lt;&gt;"Subscription",INDEX('Game Records'!$U:$U,$H302)&lt;&gt;"Free Game",INDEX('Game Records'!$U:$U,$H302)&lt;&gt;"Disqualified — Free Game",OR(INDEX('Game Records'!$E:$E,$H302)="",LOWER(INDEX('Game Records'!$E:$E,$H302)&amp;"")="n/a")),"Game Type; ","")&amp;IF(INDEX('Game Records'!$F:$F,$H302)="","Payment Type; ","")&amp;IF(AND(INDEX('Game Records'!$U:$U,$H302)&lt;&gt;"Subscription",INDEX('Game Records'!$U:$U,$H302)&lt;&gt;"Free Game",INDEX('Game Records'!$U:$U,$H302)&lt;&gt;"Disqualified — Free Game",INDEX('Game Records'!$G:$G,$H302)=""),"Gross Pot; ","")&amp;IF(AND(INDEX('Game Records'!$U:$U,$H302)&lt;&gt;"Free Game",INDEX('Game Records'!$U:$U,$H302)&lt;&gt;"Disqualified — Free Game",INDEX('Game Records'!$H:$H,$H302)=""),"Entry Fee; ","")&amp;IF(AND(INDEX('Game Records'!$U:$U,$H302)&lt;&gt;"Subscription",INDEX('Game Records'!$U:$U,$H302)&lt;&gt;"Free Game",INDEX('Game Records'!$U:$U,$H302)&lt;&gt;"Disqualified — Free Game",INDEX('Game Records'!$I:$I,$H302)=""),"Eligible Players; ","")&amp;IF(AND(INDEX('Game Records'!$U:$U,$H302)&lt;&gt;"Subscription",INDEX('Game Records'!$U:$U,$H302)&lt;&gt;"Free Game",INDEX('Game Records'!$U:$U,$H302)&lt;&gt;"Disqualified — Free Game",INDEX('Game Records'!$J:$J,$H302)=""),"Total Players; ","")&amp;IF(AND(LOWER(INDEX('Game Records'!$D:$D,$H302)&amp;"")="finalized",LOWER(INDEX('Game Records'!$L:$L,$H302)&amp;"")&lt;&gt;"yes",INDEX('Game Records'!$U:$U,$H302)&lt;&gt;"Subscription",INDEX('Game Records'!$U:$U,$H302)&lt;&gt;"Free Game",INDEX('Game Records'!$U:$U,$H302)&lt;&gt;"Disqualified — Free Game",INDEX('Game Records'!$K:$K,$H302)=""),"Final Earned; ","")&amp;IF(AND(LOWER(INDEX('Game Records'!$D:$D,$H302)&amp;"")="finalized",INDEX('Game Records'!$U:$U,$H302)&lt;&gt;"Subscription",INDEX('Game Records'!$U:$U,$H302)&lt;&gt;"Free Game",INDEX('Game Records'!$U:$U,$H302)&lt;&gt;"Disqualified — Free Game",OR(INDEX('Game Records'!$L:$L,$H302)="",LOWER(INDEX('Game Records'!$L:$L,$H302)&amp;"")="n/a")),"Disqualified Status; ",""))</x:f>
        <x:v/>
      </x:c>
      <x:c r="G302" s="331" t="str">
        <x:f>IF($H302="","",IFERROR(INDEX('Game Records'!$M:$M,$H302),""))</x:f>
        <x:v/>
      </x:c>
      <x:c r="H302" s="104" t="str">
        <x:f>IF($H301="","",IFERROR(MATCH(1,INDEX((ROW('Game Records'!$U$5:$U$504)&gt;$H301)*(('Game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3" ht="24" customHeight="1">
      <x:c r="A303" s="332" t="str">
        <x:f>IF($H303="","",ROWS($A$5:A303))</x:f>
        <x:v/>
      </x:c>
      <x:c r="B303" s="332" t="str">
        <x:f>IF($H303="","","G-"&amp;TEXT($A303,"0000"))</x:f>
        <x:v/>
      </x:c>
      <x:c r="C303" s="331" t="str">
        <x:f>IF($H303="","",IFERROR(INDEX('Game Records'!$A:$A,$H303),""))</x:f>
        <x:v/>
      </x:c>
      <x:c r="D303" s="331" t="str">
        <x:f>IF($H303="","",IFERROR(INDEX('Game Records'!$U:$U,$H303),""))</x:f>
        <x:v/>
      </x:c>
      <x:c r="E303" s="331" t="str">
        <x:f>IF($H303="","",IF($F303="","No Highlighted Fields","Highlighted Fields Present"))</x:f>
        <x:v/>
      </x:c>
      <x:c r="F303" s="331" t="str">
        <x:f>IF($H303="","",IF(INDEX('Game Records'!$B:$B,$H303)="","Start Date; ","")&amp;IF(INDEX('Game Records'!$C:$C,$H303)="","End Date; ","")&amp;IF(AND(INDEX('Game Records'!$U:$U,$H303)&lt;&gt;"Subscription",INDEX('Game Records'!$U:$U,$H303)&lt;&gt;"Free Game",INDEX('Game Records'!$U:$U,$H303)&lt;&gt;"Disqualified — Free Game",OR(INDEX('Game Records'!$D:$D,$H303)="",LOWER(INDEX('Game Records'!$D:$D,$H303)&amp;"")="n/a")),"Entry Mode; ","")&amp;IF(AND(INDEX('Game Records'!$U:$U,$H303)&lt;&gt;"Subscription",INDEX('Game Records'!$U:$U,$H303)&lt;&gt;"Free Game",INDEX('Game Records'!$U:$U,$H303)&lt;&gt;"Disqualified — Free Game",OR(INDEX('Game Records'!$E:$E,$H303)="",LOWER(INDEX('Game Records'!$E:$E,$H303)&amp;"")="n/a")),"Game Type; ","")&amp;IF(INDEX('Game Records'!$F:$F,$H303)="","Payment Type; ","")&amp;IF(AND(INDEX('Game Records'!$U:$U,$H303)&lt;&gt;"Subscription",INDEX('Game Records'!$U:$U,$H303)&lt;&gt;"Free Game",INDEX('Game Records'!$U:$U,$H303)&lt;&gt;"Disqualified — Free Game",INDEX('Game Records'!$G:$G,$H303)=""),"Gross Pot; ","")&amp;IF(AND(INDEX('Game Records'!$U:$U,$H303)&lt;&gt;"Free Game",INDEX('Game Records'!$U:$U,$H303)&lt;&gt;"Disqualified — Free Game",INDEX('Game Records'!$H:$H,$H303)=""),"Entry Fee; ","")&amp;IF(AND(INDEX('Game Records'!$U:$U,$H303)&lt;&gt;"Subscription",INDEX('Game Records'!$U:$U,$H303)&lt;&gt;"Free Game",INDEX('Game Records'!$U:$U,$H303)&lt;&gt;"Disqualified — Free Game",INDEX('Game Records'!$I:$I,$H303)=""),"Eligible Players; ","")&amp;IF(AND(INDEX('Game Records'!$U:$U,$H303)&lt;&gt;"Subscription",INDEX('Game Records'!$U:$U,$H303)&lt;&gt;"Free Game",INDEX('Game Records'!$U:$U,$H303)&lt;&gt;"Disqualified — Free Game",INDEX('Game Records'!$J:$J,$H303)=""),"Total Players; ","")&amp;IF(AND(LOWER(INDEX('Game Records'!$D:$D,$H303)&amp;"")="finalized",LOWER(INDEX('Game Records'!$L:$L,$H303)&amp;"")&lt;&gt;"yes",INDEX('Game Records'!$U:$U,$H303)&lt;&gt;"Subscription",INDEX('Game Records'!$U:$U,$H303)&lt;&gt;"Free Game",INDEX('Game Records'!$U:$U,$H303)&lt;&gt;"Disqualified — Free Game",INDEX('Game Records'!$K:$K,$H303)=""),"Final Earned; ","")&amp;IF(AND(LOWER(INDEX('Game Records'!$D:$D,$H303)&amp;"")="finalized",INDEX('Game Records'!$U:$U,$H303)&lt;&gt;"Subscription",INDEX('Game Records'!$U:$U,$H303)&lt;&gt;"Free Game",INDEX('Game Records'!$U:$U,$H303)&lt;&gt;"Disqualified — Free Game",OR(INDEX('Game Records'!$L:$L,$H303)="",LOWER(INDEX('Game Records'!$L:$L,$H303)&amp;"")="n/a")),"Disqualified Status; ",""))</x:f>
        <x:v/>
      </x:c>
      <x:c r="G303" s="331" t="str">
        <x:f>IF($H303="","",IFERROR(INDEX('Game Records'!$M:$M,$H303),""))</x:f>
        <x:v/>
      </x:c>
      <x:c r="H303" s="104" t="str">
        <x:f>IF($H302="","",IFERROR(MATCH(1,INDEX((ROW('Game Records'!$U$5:$U$504)&gt;$H302)*(('Game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4" ht="24" customHeight="1">
      <x:c r="A304" s="332" t="str">
        <x:f>IF($H304="","",ROWS($A$5:A304))</x:f>
        <x:v/>
      </x:c>
      <x:c r="B304" s="332" t="str">
        <x:f>IF($H304="","","G-"&amp;TEXT($A304,"0000"))</x:f>
        <x:v/>
      </x:c>
      <x:c r="C304" s="331" t="str">
        <x:f>IF($H304="","",IFERROR(INDEX('Game Records'!$A:$A,$H304),""))</x:f>
        <x:v/>
      </x:c>
      <x:c r="D304" s="331" t="str">
        <x:f>IF($H304="","",IFERROR(INDEX('Game Records'!$U:$U,$H304),""))</x:f>
        <x:v/>
      </x:c>
      <x:c r="E304" s="331" t="str">
        <x:f>IF($H304="","",IF($F304="","No Highlighted Fields","Highlighted Fields Present"))</x:f>
        <x:v/>
      </x:c>
      <x:c r="F304" s="331" t="str">
        <x:f>IF($H304="","",IF(INDEX('Game Records'!$B:$B,$H304)="","Start Date; ","")&amp;IF(INDEX('Game Records'!$C:$C,$H304)="","End Date; ","")&amp;IF(AND(INDEX('Game Records'!$U:$U,$H304)&lt;&gt;"Subscription",INDEX('Game Records'!$U:$U,$H304)&lt;&gt;"Free Game",INDEX('Game Records'!$U:$U,$H304)&lt;&gt;"Disqualified — Free Game",OR(INDEX('Game Records'!$D:$D,$H304)="",LOWER(INDEX('Game Records'!$D:$D,$H304)&amp;"")="n/a")),"Entry Mode; ","")&amp;IF(AND(INDEX('Game Records'!$U:$U,$H304)&lt;&gt;"Subscription",INDEX('Game Records'!$U:$U,$H304)&lt;&gt;"Free Game",INDEX('Game Records'!$U:$U,$H304)&lt;&gt;"Disqualified — Free Game",OR(INDEX('Game Records'!$E:$E,$H304)="",LOWER(INDEX('Game Records'!$E:$E,$H304)&amp;"")="n/a")),"Game Type; ","")&amp;IF(INDEX('Game Records'!$F:$F,$H304)="","Payment Type; ","")&amp;IF(AND(INDEX('Game Records'!$U:$U,$H304)&lt;&gt;"Subscription",INDEX('Game Records'!$U:$U,$H304)&lt;&gt;"Free Game",INDEX('Game Records'!$U:$U,$H304)&lt;&gt;"Disqualified — Free Game",INDEX('Game Records'!$G:$G,$H304)=""),"Gross Pot; ","")&amp;IF(AND(INDEX('Game Records'!$U:$U,$H304)&lt;&gt;"Free Game",INDEX('Game Records'!$U:$U,$H304)&lt;&gt;"Disqualified — Free Game",INDEX('Game Records'!$H:$H,$H304)=""),"Entry Fee; ","")&amp;IF(AND(INDEX('Game Records'!$U:$U,$H304)&lt;&gt;"Subscription",INDEX('Game Records'!$U:$U,$H304)&lt;&gt;"Free Game",INDEX('Game Records'!$U:$U,$H304)&lt;&gt;"Disqualified — Free Game",INDEX('Game Records'!$I:$I,$H304)=""),"Eligible Players; ","")&amp;IF(AND(INDEX('Game Records'!$U:$U,$H304)&lt;&gt;"Subscription",INDEX('Game Records'!$U:$U,$H304)&lt;&gt;"Free Game",INDEX('Game Records'!$U:$U,$H304)&lt;&gt;"Disqualified — Free Game",INDEX('Game Records'!$J:$J,$H304)=""),"Total Players; ","")&amp;IF(AND(LOWER(INDEX('Game Records'!$D:$D,$H304)&amp;"")="finalized",LOWER(INDEX('Game Records'!$L:$L,$H304)&amp;"")&lt;&gt;"yes",INDEX('Game Records'!$U:$U,$H304)&lt;&gt;"Subscription",INDEX('Game Records'!$U:$U,$H304)&lt;&gt;"Free Game",INDEX('Game Records'!$U:$U,$H304)&lt;&gt;"Disqualified — Free Game",INDEX('Game Records'!$K:$K,$H304)=""),"Final Earned; ","")&amp;IF(AND(LOWER(INDEX('Game Records'!$D:$D,$H304)&amp;"")="finalized",INDEX('Game Records'!$U:$U,$H304)&lt;&gt;"Subscription",INDEX('Game Records'!$U:$U,$H304)&lt;&gt;"Free Game",INDEX('Game Records'!$U:$U,$H304)&lt;&gt;"Disqualified — Free Game",OR(INDEX('Game Records'!$L:$L,$H304)="",LOWER(INDEX('Game Records'!$L:$L,$H304)&amp;"")="n/a")),"Disqualified Status; ",""))</x:f>
        <x:v/>
      </x:c>
      <x:c r="G304" s="331" t="str">
        <x:f>IF($H304="","",IFERROR(INDEX('Game Records'!$M:$M,$H304),""))</x:f>
        <x:v/>
      </x:c>
      <x:c r="H304" s="104" t="str">
        <x:f>IF($H303="","",IFERROR(MATCH(1,INDEX((ROW('Game Records'!$U$5:$U$504)&gt;$H303)*(('Game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5" ht="24" customHeight="1">
      <x:c r="A305" s="332" t="str">
        <x:f>IF($H305="","",ROWS($A$5:A305))</x:f>
        <x:v/>
      </x:c>
      <x:c r="B305" s="332" t="str">
        <x:f>IF($H305="","","G-"&amp;TEXT($A305,"0000"))</x:f>
        <x:v/>
      </x:c>
      <x:c r="C305" s="331" t="str">
        <x:f>IF($H305="","",IFERROR(INDEX('Game Records'!$A:$A,$H305),""))</x:f>
        <x:v/>
      </x:c>
      <x:c r="D305" s="331" t="str">
        <x:f>IF($H305="","",IFERROR(INDEX('Game Records'!$U:$U,$H305),""))</x:f>
        <x:v/>
      </x:c>
      <x:c r="E305" s="331" t="str">
        <x:f>IF($H305="","",IF($F305="","No Highlighted Fields","Highlighted Fields Present"))</x:f>
        <x:v/>
      </x:c>
      <x:c r="F305" s="331" t="str">
        <x:f>IF($H305="","",IF(INDEX('Game Records'!$B:$B,$H305)="","Start Date; ","")&amp;IF(INDEX('Game Records'!$C:$C,$H305)="","End Date; ","")&amp;IF(AND(INDEX('Game Records'!$U:$U,$H305)&lt;&gt;"Subscription",INDEX('Game Records'!$U:$U,$H305)&lt;&gt;"Free Game",INDEX('Game Records'!$U:$U,$H305)&lt;&gt;"Disqualified — Free Game",OR(INDEX('Game Records'!$D:$D,$H305)="",LOWER(INDEX('Game Records'!$D:$D,$H305)&amp;"")="n/a")),"Entry Mode; ","")&amp;IF(AND(INDEX('Game Records'!$U:$U,$H305)&lt;&gt;"Subscription",INDEX('Game Records'!$U:$U,$H305)&lt;&gt;"Free Game",INDEX('Game Records'!$U:$U,$H305)&lt;&gt;"Disqualified — Free Game",OR(INDEX('Game Records'!$E:$E,$H305)="",LOWER(INDEX('Game Records'!$E:$E,$H305)&amp;"")="n/a")),"Game Type; ","")&amp;IF(INDEX('Game Records'!$F:$F,$H305)="","Payment Type; ","")&amp;IF(AND(INDEX('Game Records'!$U:$U,$H305)&lt;&gt;"Subscription",INDEX('Game Records'!$U:$U,$H305)&lt;&gt;"Free Game",INDEX('Game Records'!$U:$U,$H305)&lt;&gt;"Disqualified — Free Game",INDEX('Game Records'!$G:$G,$H305)=""),"Gross Pot; ","")&amp;IF(AND(INDEX('Game Records'!$U:$U,$H305)&lt;&gt;"Free Game",INDEX('Game Records'!$U:$U,$H305)&lt;&gt;"Disqualified — Free Game",INDEX('Game Records'!$H:$H,$H305)=""),"Entry Fee; ","")&amp;IF(AND(INDEX('Game Records'!$U:$U,$H305)&lt;&gt;"Subscription",INDEX('Game Records'!$U:$U,$H305)&lt;&gt;"Free Game",INDEX('Game Records'!$U:$U,$H305)&lt;&gt;"Disqualified — Free Game",INDEX('Game Records'!$I:$I,$H305)=""),"Eligible Players; ","")&amp;IF(AND(INDEX('Game Records'!$U:$U,$H305)&lt;&gt;"Subscription",INDEX('Game Records'!$U:$U,$H305)&lt;&gt;"Free Game",INDEX('Game Records'!$U:$U,$H305)&lt;&gt;"Disqualified — Free Game",INDEX('Game Records'!$J:$J,$H305)=""),"Total Players; ","")&amp;IF(AND(LOWER(INDEX('Game Records'!$D:$D,$H305)&amp;"")="finalized",LOWER(INDEX('Game Records'!$L:$L,$H305)&amp;"")&lt;&gt;"yes",INDEX('Game Records'!$U:$U,$H305)&lt;&gt;"Subscription",INDEX('Game Records'!$U:$U,$H305)&lt;&gt;"Free Game",INDEX('Game Records'!$U:$U,$H305)&lt;&gt;"Disqualified — Free Game",INDEX('Game Records'!$K:$K,$H305)=""),"Final Earned; ","")&amp;IF(AND(LOWER(INDEX('Game Records'!$D:$D,$H305)&amp;"")="finalized",INDEX('Game Records'!$U:$U,$H305)&lt;&gt;"Subscription",INDEX('Game Records'!$U:$U,$H305)&lt;&gt;"Free Game",INDEX('Game Records'!$U:$U,$H305)&lt;&gt;"Disqualified — Free Game",OR(INDEX('Game Records'!$L:$L,$H305)="",LOWER(INDEX('Game Records'!$L:$L,$H305)&amp;"")="n/a")),"Disqualified Status; ",""))</x:f>
        <x:v/>
      </x:c>
      <x:c r="G305" s="331" t="str">
        <x:f>IF($H305="","",IFERROR(INDEX('Game Records'!$M:$M,$H305),""))</x:f>
        <x:v/>
      </x:c>
      <x:c r="H305" s="104" t="str">
        <x:f>IF($H304="","",IFERROR(MATCH(1,INDEX((ROW('Game Records'!$U$5:$U$504)&gt;$H304)*(('Game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6" ht="24" customHeight="1">
      <x:c r="A306" s="332" t="str">
        <x:f>IF($H306="","",ROWS($A$5:A306))</x:f>
        <x:v/>
      </x:c>
      <x:c r="B306" s="332" t="str">
        <x:f>IF($H306="","","G-"&amp;TEXT($A306,"0000"))</x:f>
        <x:v/>
      </x:c>
      <x:c r="C306" s="331" t="str">
        <x:f>IF($H306="","",IFERROR(INDEX('Game Records'!$A:$A,$H306),""))</x:f>
        <x:v/>
      </x:c>
      <x:c r="D306" s="331" t="str">
        <x:f>IF($H306="","",IFERROR(INDEX('Game Records'!$U:$U,$H306),""))</x:f>
        <x:v/>
      </x:c>
      <x:c r="E306" s="331" t="str">
        <x:f>IF($H306="","",IF($F306="","No Highlighted Fields","Highlighted Fields Present"))</x:f>
        <x:v/>
      </x:c>
      <x:c r="F306" s="331" t="str">
        <x:f>IF($H306="","",IF(INDEX('Game Records'!$B:$B,$H306)="","Start Date; ","")&amp;IF(INDEX('Game Records'!$C:$C,$H306)="","End Date; ","")&amp;IF(AND(INDEX('Game Records'!$U:$U,$H306)&lt;&gt;"Subscription",INDEX('Game Records'!$U:$U,$H306)&lt;&gt;"Free Game",INDEX('Game Records'!$U:$U,$H306)&lt;&gt;"Disqualified — Free Game",OR(INDEX('Game Records'!$D:$D,$H306)="",LOWER(INDEX('Game Records'!$D:$D,$H306)&amp;"")="n/a")),"Entry Mode; ","")&amp;IF(AND(INDEX('Game Records'!$U:$U,$H306)&lt;&gt;"Subscription",INDEX('Game Records'!$U:$U,$H306)&lt;&gt;"Free Game",INDEX('Game Records'!$U:$U,$H306)&lt;&gt;"Disqualified — Free Game",OR(INDEX('Game Records'!$E:$E,$H306)="",LOWER(INDEX('Game Records'!$E:$E,$H306)&amp;"")="n/a")),"Game Type; ","")&amp;IF(INDEX('Game Records'!$F:$F,$H306)="","Payment Type; ","")&amp;IF(AND(INDEX('Game Records'!$U:$U,$H306)&lt;&gt;"Subscription",INDEX('Game Records'!$U:$U,$H306)&lt;&gt;"Free Game",INDEX('Game Records'!$U:$U,$H306)&lt;&gt;"Disqualified — Free Game",INDEX('Game Records'!$G:$G,$H306)=""),"Gross Pot; ","")&amp;IF(AND(INDEX('Game Records'!$U:$U,$H306)&lt;&gt;"Free Game",INDEX('Game Records'!$U:$U,$H306)&lt;&gt;"Disqualified — Free Game",INDEX('Game Records'!$H:$H,$H306)=""),"Entry Fee; ","")&amp;IF(AND(INDEX('Game Records'!$U:$U,$H306)&lt;&gt;"Subscription",INDEX('Game Records'!$U:$U,$H306)&lt;&gt;"Free Game",INDEX('Game Records'!$U:$U,$H306)&lt;&gt;"Disqualified — Free Game",INDEX('Game Records'!$I:$I,$H306)=""),"Eligible Players; ","")&amp;IF(AND(INDEX('Game Records'!$U:$U,$H306)&lt;&gt;"Subscription",INDEX('Game Records'!$U:$U,$H306)&lt;&gt;"Free Game",INDEX('Game Records'!$U:$U,$H306)&lt;&gt;"Disqualified — Free Game",INDEX('Game Records'!$J:$J,$H306)=""),"Total Players; ","")&amp;IF(AND(LOWER(INDEX('Game Records'!$D:$D,$H306)&amp;"")="finalized",LOWER(INDEX('Game Records'!$L:$L,$H306)&amp;"")&lt;&gt;"yes",INDEX('Game Records'!$U:$U,$H306)&lt;&gt;"Subscription",INDEX('Game Records'!$U:$U,$H306)&lt;&gt;"Free Game",INDEX('Game Records'!$U:$U,$H306)&lt;&gt;"Disqualified — Free Game",INDEX('Game Records'!$K:$K,$H306)=""),"Final Earned; ","")&amp;IF(AND(LOWER(INDEX('Game Records'!$D:$D,$H306)&amp;"")="finalized",INDEX('Game Records'!$U:$U,$H306)&lt;&gt;"Subscription",INDEX('Game Records'!$U:$U,$H306)&lt;&gt;"Free Game",INDEX('Game Records'!$U:$U,$H306)&lt;&gt;"Disqualified — Free Game",OR(INDEX('Game Records'!$L:$L,$H306)="",LOWER(INDEX('Game Records'!$L:$L,$H306)&amp;"")="n/a")),"Disqualified Status; ",""))</x:f>
        <x:v/>
      </x:c>
      <x:c r="G306" s="331" t="str">
        <x:f>IF($H306="","",IFERROR(INDEX('Game Records'!$M:$M,$H306),""))</x:f>
        <x:v/>
      </x:c>
      <x:c r="H306" s="104" t="str">
        <x:f>IF($H305="","",IFERROR(MATCH(1,INDEX((ROW('Game Records'!$U$5:$U$504)&gt;$H305)*(('Game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7" ht="24" customHeight="1">
      <x:c r="A307" s="332" t="str">
        <x:f>IF($H307="","",ROWS($A$5:A307))</x:f>
        <x:v/>
      </x:c>
      <x:c r="B307" s="332" t="str">
        <x:f>IF($H307="","","G-"&amp;TEXT($A307,"0000"))</x:f>
        <x:v/>
      </x:c>
      <x:c r="C307" s="331" t="str">
        <x:f>IF($H307="","",IFERROR(INDEX('Game Records'!$A:$A,$H307),""))</x:f>
        <x:v/>
      </x:c>
      <x:c r="D307" s="331" t="str">
        <x:f>IF($H307="","",IFERROR(INDEX('Game Records'!$U:$U,$H307),""))</x:f>
        <x:v/>
      </x:c>
      <x:c r="E307" s="331" t="str">
        <x:f>IF($H307="","",IF($F307="","No Highlighted Fields","Highlighted Fields Present"))</x:f>
        <x:v/>
      </x:c>
      <x:c r="F307" s="331" t="str">
        <x:f>IF($H307="","",IF(INDEX('Game Records'!$B:$B,$H307)="","Start Date; ","")&amp;IF(INDEX('Game Records'!$C:$C,$H307)="","End Date; ","")&amp;IF(AND(INDEX('Game Records'!$U:$U,$H307)&lt;&gt;"Subscription",INDEX('Game Records'!$U:$U,$H307)&lt;&gt;"Free Game",INDEX('Game Records'!$U:$U,$H307)&lt;&gt;"Disqualified — Free Game",OR(INDEX('Game Records'!$D:$D,$H307)="",LOWER(INDEX('Game Records'!$D:$D,$H307)&amp;"")="n/a")),"Entry Mode; ","")&amp;IF(AND(INDEX('Game Records'!$U:$U,$H307)&lt;&gt;"Subscription",INDEX('Game Records'!$U:$U,$H307)&lt;&gt;"Free Game",INDEX('Game Records'!$U:$U,$H307)&lt;&gt;"Disqualified — Free Game",OR(INDEX('Game Records'!$E:$E,$H307)="",LOWER(INDEX('Game Records'!$E:$E,$H307)&amp;"")="n/a")),"Game Type; ","")&amp;IF(INDEX('Game Records'!$F:$F,$H307)="","Payment Type; ","")&amp;IF(AND(INDEX('Game Records'!$U:$U,$H307)&lt;&gt;"Subscription",INDEX('Game Records'!$U:$U,$H307)&lt;&gt;"Free Game",INDEX('Game Records'!$U:$U,$H307)&lt;&gt;"Disqualified — Free Game",INDEX('Game Records'!$G:$G,$H307)=""),"Gross Pot; ","")&amp;IF(AND(INDEX('Game Records'!$U:$U,$H307)&lt;&gt;"Free Game",INDEX('Game Records'!$U:$U,$H307)&lt;&gt;"Disqualified — Free Game",INDEX('Game Records'!$H:$H,$H307)=""),"Entry Fee; ","")&amp;IF(AND(INDEX('Game Records'!$U:$U,$H307)&lt;&gt;"Subscription",INDEX('Game Records'!$U:$U,$H307)&lt;&gt;"Free Game",INDEX('Game Records'!$U:$U,$H307)&lt;&gt;"Disqualified — Free Game",INDEX('Game Records'!$I:$I,$H307)=""),"Eligible Players; ","")&amp;IF(AND(INDEX('Game Records'!$U:$U,$H307)&lt;&gt;"Subscription",INDEX('Game Records'!$U:$U,$H307)&lt;&gt;"Free Game",INDEX('Game Records'!$U:$U,$H307)&lt;&gt;"Disqualified — Free Game",INDEX('Game Records'!$J:$J,$H307)=""),"Total Players; ","")&amp;IF(AND(LOWER(INDEX('Game Records'!$D:$D,$H307)&amp;"")="finalized",LOWER(INDEX('Game Records'!$L:$L,$H307)&amp;"")&lt;&gt;"yes",INDEX('Game Records'!$U:$U,$H307)&lt;&gt;"Subscription",INDEX('Game Records'!$U:$U,$H307)&lt;&gt;"Free Game",INDEX('Game Records'!$U:$U,$H307)&lt;&gt;"Disqualified — Free Game",INDEX('Game Records'!$K:$K,$H307)=""),"Final Earned; ","")&amp;IF(AND(LOWER(INDEX('Game Records'!$D:$D,$H307)&amp;"")="finalized",INDEX('Game Records'!$U:$U,$H307)&lt;&gt;"Subscription",INDEX('Game Records'!$U:$U,$H307)&lt;&gt;"Free Game",INDEX('Game Records'!$U:$U,$H307)&lt;&gt;"Disqualified — Free Game",OR(INDEX('Game Records'!$L:$L,$H307)="",LOWER(INDEX('Game Records'!$L:$L,$H307)&amp;"")="n/a")),"Disqualified Status; ",""))</x:f>
        <x:v/>
      </x:c>
      <x:c r="G307" s="331" t="str">
        <x:f>IF($H307="","",IFERROR(INDEX('Game Records'!$M:$M,$H307),""))</x:f>
        <x:v/>
      </x:c>
      <x:c r="H307" s="104" t="str">
        <x:f>IF($H306="","",IFERROR(MATCH(1,INDEX((ROW('Game Records'!$U$5:$U$504)&gt;$H306)*(('Game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8" ht="24" customHeight="1">
      <x:c r="A308" s="332" t="str">
        <x:f>IF($H308="","",ROWS($A$5:A308))</x:f>
        <x:v/>
      </x:c>
      <x:c r="B308" s="332" t="str">
        <x:f>IF($H308="","","G-"&amp;TEXT($A308,"0000"))</x:f>
        <x:v/>
      </x:c>
      <x:c r="C308" s="331" t="str">
        <x:f>IF($H308="","",IFERROR(INDEX('Game Records'!$A:$A,$H308),""))</x:f>
        <x:v/>
      </x:c>
      <x:c r="D308" s="331" t="str">
        <x:f>IF($H308="","",IFERROR(INDEX('Game Records'!$U:$U,$H308),""))</x:f>
        <x:v/>
      </x:c>
      <x:c r="E308" s="331" t="str">
        <x:f>IF($H308="","",IF($F308="","No Highlighted Fields","Highlighted Fields Present"))</x:f>
        <x:v/>
      </x:c>
      <x:c r="F308" s="331" t="str">
        <x:f>IF($H308="","",IF(INDEX('Game Records'!$B:$B,$H308)="","Start Date; ","")&amp;IF(INDEX('Game Records'!$C:$C,$H308)="","End Date; ","")&amp;IF(AND(INDEX('Game Records'!$U:$U,$H308)&lt;&gt;"Subscription",INDEX('Game Records'!$U:$U,$H308)&lt;&gt;"Free Game",INDEX('Game Records'!$U:$U,$H308)&lt;&gt;"Disqualified — Free Game",OR(INDEX('Game Records'!$D:$D,$H308)="",LOWER(INDEX('Game Records'!$D:$D,$H308)&amp;"")="n/a")),"Entry Mode; ","")&amp;IF(AND(INDEX('Game Records'!$U:$U,$H308)&lt;&gt;"Subscription",INDEX('Game Records'!$U:$U,$H308)&lt;&gt;"Free Game",INDEX('Game Records'!$U:$U,$H308)&lt;&gt;"Disqualified — Free Game",OR(INDEX('Game Records'!$E:$E,$H308)="",LOWER(INDEX('Game Records'!$E:$E,$H308)&amp;"")="n/a")),"Game Type; ","")&amp;IF(INDEX('Game Records'!$F:$F,$H308)="","Payment Type; ","")&amp;IF(AND(INDEX('Game Records'!$U:$U,$H308)&lt;&gt;"Subscription",INDEX('Game Records'!$U:$U,$H308)&lt;&gt;"Free Game",INDEX('Game Records'!$U:$U,$H308)&lt;&gt;"Disqualified — Free Game",INDEX('Game Records'!$G:$G,$H308)=""),"Gross Pot; ","")&amp;IF(AND(INDEX('Game Records'!$U:$U,$H308)&lt;&gt;"Free Game",INDEX('Game Records'!$U:$U,$H308)&lt;&gt;"Disqualified — Free Game",INDEX('Game Records'!$H:$H,$H308)=""),"Entry Fee; ","")&amp;IF(AND(INDEX('Game Records'!$U:$U,$H308)&lt;&gt;"Subscription",INDEX('Game Records'!$U:$U,$H308)&lt;&gt;"Free Game",INDEX('Game Records'!$U:$U,$H308)&lt;&gt;"Disqualified — Free Game",INDEX('Game Records'!$I:$I,$H308)=""),"Eligible Players; ","")&amp;IF(AND(INDEX('Game Records'!$U:$U,$H308)&lt;&gt;"Subscription",INDEX('Game Records'!$U:$U,$H308)&lt;&gt;"Free Game",INDEX('Game Records'!$U:$U,$H308)&lt;&gt;"Disqualified — Free Game",INDEX('Game Records'!$J:$J,$H308)=""),"Total Players; ","")&amp;IF(AND(LOWER(INDEX('Game Records'!$D:$D,$H308)&amp;"")="finalized",LOWER(INDEX('Game Records'!$L:$L,$H308)&amp;"")&lt;&gt;"yes",INDEX('Game Records'!$U:$U,$H308)&lt;&gt;"Subscription",INDEX('Game Records'!$U:$U,$H308)&lt;&gt;"Free Game",INDEX('Game Records'!$U:$U,$H308)&lt;&gt;"Disqualified — Free Game",INDEX('Game Records'!$K:$K,$H308)=""),"Final Earned; ","")&amp;IF(AND(LOWER(INDEX('Game Records'!$D:$D,$H308)&amp;"")="finalized",INDEX('Game Records'!$U:$U,$H308)&lt;&gt;"Subscription",INDEX('Game Records'!$U:$U,$H308)&lt;&gt;"Free Game",INDEX('Game Records'!$U:$U,$H308)&lt;&gt;"Disqualified — Free Game",OR(INDEX('Game Records'!$L:$L,$H308)="",LOWER(INDEX('Game Records'!$L:$L,$H308)&amp;"")="n/a")),"Disqualified Status; ",""))</x:f>
        <x:v/>
      </x:c>
      <x:c r="G308" s="331" t="str">
        <x:f>IF($H308="","",IFERROR(INDEX('Game Records'!$M:$M,$H308),""))</x:f>
        <x:v/>
      </x:c>
      <x:c r="H308" s="104" t="str">
        <x:f>IF($H307="","",IFERROR(MATCH(1,INDEX((ROW('Game Records'!$U$5:$U$504)&gt;$H307)*(('Game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09" ht="24" customHeight="1">
      <x:c r="A309" s="332" t="str">
        <x:f>IF($H309="","",ROWS($A$5:A309))</x:f>
        <x:v/>
      </x:c>
      <x:c r="B309" s="332" t="str">
        <x:f>IF($H309="","","G-"&amp;TEXT($A309,"0000"))</x:f>
        <x:v/>
      </x:c>
      <x:c r="C309" s="331" t="str">
        <x:f>IF($H309="","",IFERROR(INDEX('Game Records'!$A:$A,$H309),""))</x:f>
        <x:v/>
      </x:c>
      <x:c r="D309" s="331" t="str">
        <x:f>IF($H309="","",IFERROR(INDEX('Game Records'!$U:$U,$H309),""))</x:f>
        <x:v/>
      </x:c>
      <x:c r="E309" s="331" t="str">
        <x:f>IF($H309="","",IF($F309="","No Highlighted Fields","Highlighted Fields Present"))</x:f>
        <x:v/>
      </x:c>
      <x:c r="F309" s="331" t="str">
        <x:f>IF($H309="","",IF(INDEX('Game Records'!$B:$B,$H309)="","Start Date; ","")&amp;IF(INDEX('Game Records'!$C:$C,$H309)="","End Date; ","")&amp;IF(AND(INDEX('Game Records'!$U:$U,$H309)&lt;&gt;"Subscription",INDEX('Game Records'!$U:$U,$H309)&lt;&gt;"Free Game",INDEX('Game Records'!$U:$U,$H309)&lt;&gt;"Disqualified — Free Game",OR(INDEX('Game Records'!$D:$D,$H309)="",LOWER(INDEX('Game Records'!$D:$D,$H309)&amp;"")="n/a")),"Entry Mode; ","")&amp;IF(AND(INDEX('Game Records'!$U:$U,$H309)&lt;&gt;"Subscription",INDEX('Game Records'!$U:$U,$H309)&lt;&gt;"Free Game",INDEX('Game Records'!$U:$U,$H309)&lt;&gt;"Disqualified — Free Game",OR(INDEX('Game Records'!$E:$E,$H309)="",LOWER(INDEX('Game Records'!$E:$E,$H309)&amp;"")="n/a")),"Game Type; ","")&amp;IF(INDEX('Game Records'!$F:$F,$H309)="","Payment Type; ","")&amp;IF(AND(INDEX('Game Records'!$U:$U,$H309)&lt;&gt;"Subscription",INDEX('Game Records'!$U:$U,$H309)&lt;&gt;"Free Game",INDEX('Game Records'!$U:$U,$H309)&lt;&gt;"Disqualified — Free Game",INDEX('Game Records'!$G:$G,$H309)=""),"Gross Pot; ","")&amp;IF(AND(INDEX('Game Records'!$U:$U,$H309)&lt;&gt;"Free Game",INDEX('Game Records'!$U:$U,$H309)&lt;&gt;"Disqualified — Free Game",INDEX('Game Records'!$H:$H,$H309)=""),"Entry Fee; ","")&amp;IF(AND(INDEX('Game Records'!$U:$U,$H309)&lt;&gt;"Subscription",INDEX('Game Records'!$U:$U,$H309)&lt;&gt;"Free Game",INDEX('Game Records'!$U:$U,$H309)&lt;&gt;"Disqualified — Free Game",INDEX('Game Records'!$I:$I,$H309)=""),"Eligible Players; ","")&amp;IF(AND(INDEX('Game Records'!$U:$U,$H309)&lt;&gt;"Subscription",INDEX('Game Records'!$U:$U,$H309)&lt;&gt;"Free Game",INDEX('Game Records'!$U:$U,$H309)&lt;&gt;"Disqualified — Free Game",INDEX('Game Records'!$J:$J,$H309)=""),"Total Players; ","")&amp;IF(AND(LOWER(INDEX('Game Records'!$D:$D,$H309)&amp;"")="finalized",LOWER(INDEX('Game Records'!$L:$L,$H309)&amp;"")&lt;&gt;"yes",INDEX('Game Records'!$U:$U,$H309)&lt;&gt;"Subscription",INDEX('Game Records'!$U:$U,$H309)&lt;&gt;"Free Game",INDEX('Game Records'!$U:$U,$H309)&lt;&gt;"Disqualified — Free Game",INDEX('Game Records'!$K:$K,$H309)=""),"Final Earned; ","")&amp;IF(AND(LOWER(INDEX('Game Records'!$D:$D,$H309)&amp;"")="finalized",INDEX('Game Records'!$U:$U,$H309)&lt;&gt;"Subscription",INDEX('Game Records'!$U:$U,$H309)&lt;&gt;"Free Game",INDEX('Game Records'!$U:$U,$H309)&lt;&gt;"Disqualified — Free Game",OR(INDEX('Game Records'!$L:$L,$H309)="",LOWER(INDEX('Game Records'!$L:$L,$H309)&amp;"")="n/a")),"Disqualified Status; ",""))</x:f>
        <x:v/>
      </x:c>
      <x:c r="G309" s="331" t="str">
        <x:f>IF($H309="","",IFERROR(INDEX('Game Records'!$M:$M,$H309),""))</x:f>
        <x:v/>
      </x:c>
      <x:c r="H309" s="104" t="str">
        <x:f>IF($H308="","",IFERROR(MATCH(1,INDEX((ROW('Game Records'!$U$5:$U$504)&gt;$H308)*(('Game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0" ht="24" customHeight="1">
      <x:c r="A310" s="332" t="str">
        <x:f>IF($H310="","",ROWS($A$5:A310))</x:f>
        <x:v/>
      </x:c>
      <x:c r="B310" s="332" t="str">
        <x:f>IF($H310="","","G-"&amp;TEXT($A310,"0000"))</x:f>
        <x:v/>
      </x:c>
      <x:c r="C310" s="331" t="str">
        <x:f>IF($H310="","",IFERROR(INDEX('Game Records'!$A:$A,$H310),""))</x:f>
        <x:v/>
      </x:c>
      <x:c r="D310" s="331" t="str">
        <x:f>IF($H310="","",IFERROR(INDEX('Game Records'!$U:$U,$H310),""))</x:f>
        <x:v/>
      </x:c>
      <x:c r="E310" s="331" t="str">
        <x:f>IF($H310="","",IF($F310="","No Highlighted Fields","Highlighted Fields Present"))</x:f>
        <x:v/>
      </x:c>
      <x:c r="F310" s="331" t="str">
        <x:f>IF($H310="","",IF(INDEX('Game Records'!$B:$B,$H310)="","Start Date; ","")&amp;IF(INDEX('Game Records'!$C:$C,$H310)="","End Date; ","")&amp;IF(AND(INDEX('Game Records'!$U:$U,$H310)&lt;&gt;"Subscription",INDEX('Game Records'!$U:$U,$H310)&lt;&gt;"Free Game",INDEX('Game Records'!$U:$U,$H310)&lt;&gt;"Disqualified — Free Game",OR(INDEX('Game Records'!$D:$D,$H310)="",LOWER(INDEX('Game Records'!$D:$D,$H310)&amp;"")="n/a")),"Entry Mode; ","")&amp;IF(AND(INDEX('Game Records'!$U:$U,$H310)&lt;&gt;"Subscription",INDEX('Game Records'!$U:$U,$H310)&lt;&gt;"Free Game",INDEX('Game Records'!$U:$U,$H310)&lt;&gt;"Disqualified — Free Game",OR(INDEX('Game Records'!$E:$E,$H310)="",LOWER(INDEX('Game Records'!$E:$E,$H310)&amp;"")="n/a")),"Game Type; ","")&amp;IF(INDEX('Game Records'!$F:$F,$H310)="","Payment Type; ","")&amp;IF(AND(INDEX('Game Records'!$U:$U,$H310)&lt;&gt;"Subscription",INDEX('Game Records'!$U:$U,$H310)&lt;&gt;"Free Game",INDEX('Game Records'!$U:$U,$H310)&lt;&gt;"Disqualified — Free Game",INDEX('Game Records'!$G:$G,$H310)=""),"Gross Pot; ","")&amp;IF(AND(INDEX('Game Records'!$U:$U,$H310)&lt;&gt;"Free Game",INDEX('Game Records'!$U:$U,$H310)&lt;&gt;"Disqualified — Free Game",INDEX('Game Records'!$H:$H,$H310)=""),"Entry Fee; ","")&amp;IF(AND(INDEX('Game Records'!$U:$U,$H310)&lt;&gt;"Subscription",INDEX('Game Records'!$U:$U,$H310)&lt;&gt;"Free Game",INDEX('Game Records'!$U:$U,$H310)&lt;&gt;"Disqualified — Free Game",INDEX('Game Records'!$I:$I,$H310)=""),"Eligible Players; ","")&amp;IF(AND(INDEX('Game Records'!$U:$U,$H310)&lt;&gt;"Subscription",INDEX('Game Records'!$U:$U,$H310)&lt;&gt;"Free Game",INDEX('Game Records'!$U:$U,$H310)&lt;&gt;"Disqualified — Free Game",INDEX('Game Records'!$J:$J,$H310)=""),"Total Players; ","")&amp;IF(AND(LOWER(INDEX('Game Records'!$D:$D,$H310)&amp;"")="finalized",LOWER(INDEX('Game Records'!$L:$L,$H310)&amp;"")&lt;&gt;"yes",INDEX('Game Records'!$U:$U,$H310)&lt;&gt;"Subscription",INDEX('Game Records'!$U:$U,$H310)&lt;&gt;"Free Game",INDEX('Game Records'!$U:$U,$H310)&lt;&gt;"Disqualified — Free Game",INDEX('Game Records'!$K:$K,$H310)=""),"Final Earned; ","")&amp;IF(AND(LOWER(INDEX('Game Records'!$D:$D,$H310)&amp;"")="finalized",INDEX('Game Records'!$U:$U,$H310)&lt;&gt;"Subscription",INDEX('Game Records'!$U:$U,$H310)&lt;&gt;"Free Game",INDEX('Game Records'!$U:$U,$H310)&lt;&gt;"Disqualified — Free Game",OR(INDEX('Game Records'!$L:$L,$H310)="",LOWER(INDEX('Game Records'!$L:$L,$H310)&amp;"")="n/a")),"Disqualified Status; ",""))</x:f>
        <x:v/>
      </x:c>
      <x:c r="G310" s="331" t="str">
        <x:f>IF($H310="","",IFERROR(INDEX('Game Records'!$M:$M,$H310),""))</x:f>
        <x:v/>
      </x:c>
      <x:c r="H310" s="104" t="str">
        <x:f>IF($H309="","",IFERROR(MATCH(1,INDEX((ROW('Game Records'!$U$5:$U$504)&gt;$H309)*(('Game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1" ht="24" customHeight="1">
      <x:c r="A311" s="332" t="str">
        <x:f>IF($H311="","",ROWS($A$5:A311))</x:f>
        <x:v/>
      </x:c>
      <x:c r="B311" s="332" t="str">
        <x:f>IF($H311="","","G-"&amp;TEXT($A311,"0000"))</x:f>
        <x:v/>
      </x:c>
      <x:c r="C311" s="331" t="str">
        <x:f>IF($H311="","",IFERROR(INDEX('Game Records'!$A:$A,$H311),""))</x:f>
        <x:v/>
      </x:c>
      <x:c r="D311" s="331" t="str">
        <x:f>IF($H311="","",IFERROR(INDEX('Game Records'!$U:$U,$H311),""))</x:f>
        <x:v/>
      </x:c>
      <x:c r="E311" s="331" t="str">
        <x:f>IF($H311="","",IF($F311="","No Highlighted Fields","Highlighted Fields Present"))</x:f>
        <x:v/>
      </x:c>
      <x:c r="F311" s="331" t="str">
        <x:f>IF($H311="","",IF(INDEX('Game Records'!$B:$B,$H311)="","Start Date; ","")&amp;IF(INDEX('Game Records'!$C:$C,$H311)="","End Date; ","")&amp;IF(AND(INDEX('Game Records'!$U:$U,$H311)&lt;&gt;"Subscription",INDEX('Game Records'!$U:$U,$H311)&lt;&gt;"Free Game",INDEX('Game Records'!$U:$U,$H311)&lt;&gt;"Disqualified — Free Game",OR(INDEX('Game Records'!$D:$D,$H311)="",LOWER(INDEX('Game Records'!$D:$D,$H311)&amp;"")="n/a")),"Entry Mode; ","")&amp;IF(AND(INDEX('Game Records'!$U:$U,$H311)&lt;&gt;"Subscription",INDEX('Game Records'!$U:$U,$H311)&lt;&gt;"Free Game",INDEX('Game Records'!$U:$U,$H311)&lt;&gt;"Disqualified — Free Game",OR(INDEX('Game Records'!$E:$E,$H311)="",LOWER(INDEX('Game Records'!$E:$E,$H311)&amp;"")="n/a")),"Game Type; ","")&amp;IF(INDEX('Game Records'!$F:$F,$H311)="","Payment Type; ","")&amp;IF(AND(INDEX('Game Records'!$U:$U,$H311)&lt;&gt;"Subscription",INDEX('Game Records'!$U:$U,$H311)&lt;&gt;"Free Game",INDEX('Game Records'!$U:$U,$H311)&lt;&gt;"Disqualified — Free Game",INDEX('Game Records'!$G:$G,$H311)=""),"Gross Pot; ","")&amp;IF(AND(INDEX('Game Records'!$U:$U,$H311)&lt;&gt;"Free Game",INDEX('Game Records'!$U:$U,$H311)&lt;&gt;"Disqualified — Free Game",INDEX('Game Records'!$H:$H,$H311)=""),"Entry Fee; ","")&amp;IF(AND(INDEX('Game Records'!$U:$U,$H311)&lt;&gt;"Subscription",INDEX('Game Records'!$U:$U,$H311)&lt;&gt;"Free Game",INDEX('Game Records'!$U:$U,$H311)&lt;&gt;"Disqualified — Free Game",INDEX('Game Records'!$I:$I,$H311)=""),"Eligible Players; ","")&amp;IF(AND(INDEX('Game Records'!$U:$U,$H311)&lt;&gt;"Subscription",INDEX('Game Records'!$U:$U,$H311)&lt;&gt;"Free Game",INDEX('Game Records'!$U:$U,$H311)&lt;&gt;"Disqualified — Free Game",INDEX('Game Records'!$J:$J,$H311)=""),"Total Players; ","")&amp;IF(AND(LOWER(INDEX('Game Records'!$D:$D,$H311)&amp;"")="finalized",LOWER(INDEX('Game Records'!$L:$L,$H311)&amp;"")&lt;&gt;"yes",INDEX('Game Records'!$U:$U,$H311)&lt;&gt;"Subscription",INDEX('Game Records'!$U:$U,$H311)&lt;&gt;"Free Game",INDEX('Game Records'!$U:$U,$H311)&lt;&gt;"Disqualified — Free Game",INDEX('Game Records'!$K:$K,$H311)=""),"Final Earned; ","")&amp;IF(AND(LOWER(INDEX('Game Records'!$D:$D,$H311)&amp;"")="finalized",INDEX('Game Records'!$U:$U,$H311)&lt;&gt;"Subscription",INDEX('Game Records'!$U:$U,$H311)&lt;&gt;"Free Game",INDEX('Game Records'!$U:$U,$H311)&lt;&gt;"Disqualified — Free Game",OR(INDEX('Game Records'!$L:$L,$H311)="",LOWER(INDEX('Game Records'!$L:$L,$H311)&amp;"")="n/a")),"Disqualified Status; ",""))</x:f>
        <x:v/>
      </x:c>
      <x:c r="G311" s="331" t="str">
        <x:f>IF($H311="","",IFERROR(INDEX('Game Records'!$M:$M,$H311),""))</x:f>
        <x:v/>
      </x:c>
      <x:c r="H311" s="104" t="str">
        <x:f>IF($H310="","",IFERROR(MATCH(1,INDEX((ROW('Game Records'!$U$5:$U$504)&gt;$H310)*(('Game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2" ht="24" customHeight="1">
      <x:c r="A312" s="332" t="str">
        <x:f>IF($H312="","",ROWS($A$5:A312))</x:f>
        <x:v/>
      </x:c>
      <x:c r="B312" s="332" t="str">
        <x:f>IF($H312="","","G-"&amp;TEXT($A312,"0000"))</x:f>
        <x:v/>
      </x:c>
      <x:c r="C312" s="331" t="str">
        <x:f>IF($H312="","",IFERROR(INDEX('Game Records'!$A:$A,$H312),""))</x:f>
        <x:v/>
      </x:c>
      <x:c r="D312" s="331" t="str">
        <x:f>IF($H312="","",IFERROR(INDEX('Game Records'!$U:$U,$H312),""))</x:f>
        <x:v/>
      </x:c>
      <x:c r="E312" s="331" t="str">
        <x:f>IF($H312="","",IF($F312="","No Highlighted Fields","Highlighted Fields Present"))</x:f>
        <x:v/>
      </x:c>
      <x:c r="F312" s="331" t="str">
        <x:f>IF($H312="","",IF(INDEX('Game Records'!$B:$B,$H312)="","Start Date; ","")&amp;IF(INDEX('Game Records'!$C:$C,$H312)="","End Date; ","")&amp;IF(AND(INDEX('Game Records'!$U:$U,$H312)&lt;&gt;"Subscription",INDEX('Game Records'!$U:$U,$H312)&lt;&gt;"Free Game",INDEX('Game Records'!$U:$U,$H312)&lt;&gt;"Disqualified — Free Game",OR(INDEX('Game Records'!$D:$D,$H312)="",LOWER(INDEX('Game Records'!$D:$D,$H312)&amp;"")="n/a")),"Entry Mode; ","")&amp;IF(AND(INDEX('Game Records'!$U:$U,$H312)&lt;&gt;"Subscription",INDEX('Game Records'!$U:$U,$H312)&lt;&gt;"Free Game",INDEX('Game Records'!$U:$U,$H312)&lt;&gt;"Disqualified — Free Game",OR(INDEX('Game Records'!$E:$E,$H312)="",LOWER(INDEX('Game Records'!$E:$E,$H312)&amp;"")="n/a")),"Game Type; ","")&amp;IF(INDEX('Game Records'!$F:$F,$H312)="","Payment Type; ","")&amp;IF(AND(INDEX('Game Records'!$U:$U,$H312)&lt;&gt;"Subscription",INDEX('Game Records'!$U:$U,$H312)&lt;&gt;"Free Game",INDEX('Game Records'!$U:$U,$H312)&lt;&gt;"Disqualified — Free Game",INDEX('Game Records'!$G:$G,$H312)=""),"Gross Pot; ","")&amp;IF(AND(INDEX('Game Records'!$U:$U,$H312)&lt;&gt;"Free Game",INDEX('Game Records'!$U:$U,$H312)&lt;&gt;"Disqualified — Free Game",INDEX('Game Records'!$H:$H,$H312)=""),"Entry Fee; ","")&amp;IF(AND(INDEX('Game Records'!$U:$U,$H312)&lt;&gt;"Subscription",INDEX('Game Records'!$U:$U,$H312)&lt;&gt;"Free Game",INDEX('Game Records'!$U:$U,$H312)&lt;&gt;"Disqualified — Free Game",INDEX('Game Records'!$I:$I,$H312)=""),"Eligible Players; ","")&amp;IF(AND(INDEX('Game Records'!$U:$U,$H312)&lt;&gt;"Subscription",INDEX('Game Records'!$U:$U,$H312)&lt;&gt;"Free Game",INDEX('Game Records'!$U:$U,$H312)&lt;&gt;"Disqualified — Free Game",INDEX('Game Records'!$J:$J,$H312)=""),"Total Players; ","")&amp;IF(AND(LOWER(INDEX('Game Records'!$D:$D,$H312)&amp;"")="finalized",LOWER(INDEX('Game Records'!$L:$L,$H312)&amp;"")&lt;&gt;"yes",INDEX('Game Records'!$U:$U,$H312)&lt;&gt;"Subscription",INDEX('Game Records'!$U:$U,$H312)&lt;&gt;"Free Game",INDEX('Game Records'!$U:$U,$H312)&lt;&gt;"Disqualified — Free Game",INDEX('Game Records'!$K:$K,$H312)=""),"Final Earned; ","")&amp;IF(AND(LOWER(INDEX('Game Records'!$D:$D,$H312)&amp;"")="finalized",INDEX('Game Records'!$U:$U,$H312)&lt;&gt;"Subscription",INDEX('Game Records'!$U:$U,$H312)&lt;&gt;"Free Game",INDEX('Game Records'!$U:$U,$H312)&lt;&gt;"Disqualified — Free Game",OR(INDEX('Game Records'!$L:$L,$H312)="",LOWER(INDEX('Game Records'!$L:$L,$H312)&amp;"")="n/a")),"Disqualified Status; ",""))</x:f>
        <x:v/>
      </x:c>
      <x:c r="G312" s="331" t="str">
        <x:f>IF($H312="","",IFERROR(INDEX('Game Records'!$M:$M,$H312),""))</x:f>
        <x:v/>
      </x:c>
      <x:c r="H312" s="104" t="str">
        <x:f>IF($H311="","",IFERROR(MATCH(1,INDEX((ROW('Game Records'!$U$5:$U$504)&gt;$H311)*(('Game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3" ht="24" customHeight="1">
      <x:c r="A313" s="332" t="str">
        <x:f>IF($H313="","",ROWS($A$5:A313))</x:f>
        <x:v/>
      </x:c>
      <x:c r="B313" s="332" t="str">
        <x:f>IF($H313="","","G-"&amp;TEXT($A313,"0000"))</x:f>
        <x:v/>
      </x:c>
      <x:c r="C313" s="331" t="str">
        <x:f>IF($H313="","",IFERROR(INDEX('Game Records'!$A:$A,$H313),""))</x:f>
        <x:v/>
      </x:c>
      <x:c r="D313" s="331" t="str">
        <x:f>IF($H313="","",IFERROR(INDEX('Game Records'!$U:$U,$H313),""))</x:f>
        <x:v/>
      </x:c>
      <x:c r="E313" s="331" t="str">
        <x:f>IF($H313="","",IF($F313="","No Highlighted Fields","Highlighted Fields Present"))</x:f>
        <x:v/>
      </x:c>
      <x:c r="F313" s="331" t="str">
        <x:f>IF($H313="","",IF(INDEX('Game Records'!$B:$B,$H313)="","Start Date; ","")&amp;IF(INDEX('Game Records'!$C:$C,$H313)="","End Date; ","")&amp;IF(AND(INDEX('Game Records'!$U:$U,$H313)&lt;&gt;"Subscription",INDEX('Game Records'!$U:$U,$H313)&lt;&gt;"Free Game",INDEX('Game Records'!$U:$U,$H313)&lt;&gt;"Disqualified — Free Game",OR(INDEX('Game Records'!$D:$D,$H313)="",LOWER(INDEX('Game Records'!$D:$D,$H313)&amp;"")="n/a")),"Entry Mode; ","")&amp;IF(AND(INDEX('Game Records'!$U:$U,$H313)&lt;&gt;"Subscription",INDEX('Game Records'!$U:$U,$H313)&lt;&gt;"Free Game",INDEX('Game Records'!$U:$U,$H313)&lt;&gt;"Disqualified — Free Game",OR(INDEX('Game Records'!$E:$E,$H313)="",LOWER(INDEX('Game Records'!$E:$E,$H313)&amp;"")="n/a")),"Game Type; ","")&amp;IF(INDEX('Game Records'!$F:$F,$H313)="","Payment Type; ","")&amp;IF(AND(INDEX('Game Records'!$U:$U,$H313)&lt;&gt;"Subscription",INDEX('Game Records'!$U:$U,$H313)&lt;&gt;"Free Game",INDEX('Game Records'!$U:$U,$H313)&lt;&gt;"Disqualified — Free Game",INDEX('Game Records'!$G:$G,$H313)=""),"Gross Pot; ","")&amp;IF(AND(INDEX('Game Records'!$U:$U,$H313)&lt;&gt;"Free Game",INDEX('Game Records'!$U:$U,$H313)&lt;&gt;"Disqualified — Free Game",INDEX('Game Records'!$H:$H,$H313)=""),"Entry Fee; ","")&amp;IF(AND(INDEX('Game Records'!$U:$U,$H313)&lt;&gt;"Subscription",INDEX('Game Records'!$U:$U,$H313)&lt;&gt;"Free Game",INDEX('Game Records'!$U:$U,$H313)&lt;&gt;"Disqualified — Free Game",INDEX('Game Records'!$I:$I,$H313)=""),"Eligible Players; ","")&amp;IF(AND(INDEX('Game Records'!$U:$U,$H313)&lt;&gt;"Subscription",INDEX('Game Records'!$U:$U,$H313)&lt;&gt;"Free Game",INDEX('Game Records'!$U:$U,$H313)&lt;&gt;"Disqualified — Free Game",INDEX('Game Records'!$J:$J,$H313)=""),"Total Players; ","")&amp;IF(AND(LOWER(INDEX('Game Records'!$D:$D,$H313)&amp;"")="finalized",LOWER(INDEX('Game Records'!$L:$L,$H313)&amp;"")&lt;&gt;"yes",INDEX('Game Records'!$U:$U,$H313)&lt;&gt;"Subscription",INDEX('Game Records'!$U:$U,$H313)&lt;&gt;"Free Game",INDEX('Game Records'!$U:$U,$H313)&lt;&gt;"Disqualified — Free Game",INDEX('Game Records'!$K:$K,$H313)=""),"Final Earned; ","")&amp;IF(AND(LOWER(INDEX('Game Records'!$D:$D,$H313)&amp;"")="finalized",INDEX('Game Records'!$U:$U,$H313)&lt;&gt;"Subscription",INDEX('Game Records'!$U:$U,$H313)&lt;&gt;"Free Game",INDEX('Game Records'!$U:$U,$H313)&lt;&gt;"Disqualified — Free Game",OR(INDEX('Game Records'!$L:$L,$H313)="",LOWER(INDEX('Game Records'!$L:$L,$H313)&amp;"")="n/a")),"Disqualified Status; ",""))</x:f>
        <x:v/>
      </x:c>
      <x:c r="G313" s="331" t="str">
        <x:f>IF($H313="","",IFERROR(INDEX('Game Records'!$M:$M,$H313),""))</x:f>
        <x:v/>
      </x:c>
      <x:c r="H313" s="104" t="str">
        <x:f>IF($H312="","",IFERROR(MATCH(1,INDEX((ROW('Game Records'!$U$5:$U$504)&gt;$H312)*(('Game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4" ht="24" customHeight="1">
      <x:c r="A314" s="332" t="str">
        <x:f>IF($H314="","",ROWS($A$5:A314))</x:f>
        <x:v/>
      </x:c>
      <x:c r="B314" s="332" t="str">
        <x:f>IF($H314="","","G-"&amp;TEXT($A314,"0000"))</x:f>
        <x:v/>
      </x:c>
      <x:c r="C314" s="331" t="str">
        <x:f>IF($H314="","",IFERROR(INDEX('Game Records'!$A:$A,$H314),""))</x:f>
        <x:v/>
      </x:c>
      <x:c r="D314" s="331" t="str">
        <x:f>IF($H314="","",IFERROR(INDEX('Game Records'!$U:$U,$H314),""))</x:f>
        <x:v/>
      </x:c>
      <x:c r="E314" s="331" t="str">
        <x:f>IF($H314="","",IF($F314="","No Highlighted Fields","Highlighted Fields Present"))</x:f>
        <x:v/>
      </x:c>
      <x:c r="F314" s="331" t="str">
        <x:f>IF($H314="","",IF(INDEX('Game Records'!$B:$B,$H314)="","Start Date; ","")&amp;IF(INDEX('Game Records'!$C:$C,$H314)="","End Date; ","")&amp;IF(AND(INDEX('Game Records'!$U:$U,$H314)&lt;&gt;"Subscription",INDEX('Game Records'!$U:$U,$H314)&lt;&gt;"Free Game",INDEX('Game Records'!$U:$U,$H314)&lt;&gt;"Disqualified — Free Game",OR(INDEX('Game Records'!$D:$D,$H314)="",LOWER(INDEX('Game Records'!$D:$D,$H314)&amp;"")="n/a")),"Entry Mode; ","")&amp;IF(AND(INDEX('Game Records'!$U:$U,$H314)&lt;&gt;"Subscription",INDEX('Game Records'!$U:$U,$H314)&lt;&gt;"Free Game",INDEX('Game Records'!$U:$U,$H314)&lt;&gt;"Disqualified — Free Game",OR(INDEX('Game Records'!$E:$E,$H314)="",LOWER(INDEX('Game Records'!$E:$E,$H314)&amp;"")="n/a")),"Game Type; ","")&amp;IF(INDEX('Game Records'!$F:$F,$H314)="","Payment Type; ","")&amp;IF(AND(INDEX('Game Records'!$U:$U,$H314)&lt;&gt;"Subscription",INDEX('Game Records'!$U:$U,$H314)&lt;&gt;"Free Game",INDEX('Game Records'!$U:$U,$H314)&lt;&gt;"Disqualified — Free Game",INDEX('Game Records'!$G:$G,$H314)=""),"Gross Pot; ","")&amp;IF(AND(INDEX('Game Records'!$U:$U,$H314)&lt;&gt;"Free Game",INDEX('Game Records'!$U:$U,$H314)&lt;&gt;"Disqualified — Free Game",INDEX('Game Records'!$H:$H,$H314)=""),"Entry Fee; ","")&amp;IF(AND(INDEX('Game Records'!$U:$U,$H314)&lt;&gt;"Subscription",INDEX('Game Records'!$U:$U,$H314)&lt;&gt;"Free Game",INDEX('Game Records'!$U:$U,$H314)&lt;&gt;"Disqualified — Free Game",INDEX('Game Records'!$I:$I,$H314)=""),"Eligible Players; ","")&amp;IF(AND(INDEX('Game Records'!$U:$U,$H314)&lt;&gt;"Subscription",INDEX('Game Records'!$U:$U,$H314)&lt;&gt;"Free Game",INDEX('Game Records'!$U:$U,$H314)&lt;&gt;"Disqualified — Free Game",INDEX('Game Records'!$J:$J,$H314)=""),"Total Players; ","")&amp;IF(AND(LOWER(INDEX('Game Records'!$D:$D,$H314)&amp;"")="finalized",LOWER(INDEX('Game Records'!$L:$L,$H314)&amp;"")&lt;&gt;"yes",INDEX('Game Records'!$U:$U,$H314)&lt;&gt;"Subscription",INDEX('Game Records'!$U:$U,$H314)&lt;&gt;"Free Game",INDEX('Game Records'!$U:$U,$H314)&lt;&gt;"Disqualified — Free Game",INDEX('Game Records'!$K:$K,$H314)=""),"Final Earned; ","")&amp;IF(AND(LOWER(INDEX('Game Records'!$D:$D,$H314)&amp;"")="finalized",INDEX('Game Records'!$U:$U,$H314)&lt;&gt;"Subscription",INDEX('Game Records'!$U:$U,$H314)&lt;&gt;"Free Game",INDEX('Game Records'!$U:$U,$H314)&lt;&gt;"Disqualified — Free Game",OR(INDEX('Game Records'!$L:$L,$H314)="",LOWER(INDEX('Game Records'!$L:$L,$H314)&amp;"")="n/a")),"Disqualified Status; ",""))</x:f>
        <x:v/>
      </x:c>
      <x:c r="G314" s="331" t="str">
        <x:f>IF($H314="","",IFERROR(INDEX('Game Records'!$M:$M,$H314),""))</x:f>
        <x:v/>
      </x:c>
      <x:c r="H314" s="104" t="str">
        <x:f>IF($H313="","",IFERROR(MATCH(1,INDEX((ROW('Game Records'!$U$5:$U$504)&gt;$H313)*(('Game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5" ht="24" customHeight="1">
      <x:c r="A315" s="332" t="str">
        <x:f>IF($H315="","",ROWS($A$5:A315))</x:f>
        <x:v/>
      </x:c>
      <x:c r="B315" s="332" t="str">
        <x:f>IF($H315="","","G-"&amp;TEXT($A315,"0000"))</x:f>
        <x:v/>
      </x:c>
      <x:c r="C315" s="331" t="str">
        <x:f>IF($H315="","",IFERROR(INDEX('Game Records'!$A:$A,$H315),""))</x:f>
        <x:v/>
      </x:c>
      <x:c r="D315" s="331" t="str">
        <x:f>IF($H315="","",IFERROR(INDEX('Game Records'!$U:$U,$H315),""))</x:f>
        <x:v/>
      </x:c>
      <x:c r="E315" s="331" t="str">
        <x:f>IF($H315="","",IF($F315="","No Highlighted Fields","Highlighted Fields Present"))</x:f>
        <x:v/>
      </x:c>
      <x:c r="F315" s="331" t="str">
        <x:f>IF($H315="","",IF(INDEX('Game Records'!$B:$B,$H315)="","Start Date; ","")&amp;IF(INDEX('Game Records'!$C:$C,$H315)="","End Date; ","")&amp;IF(AND(INDEX('Game Records'!$U:$U,$H315)&lt;&gt;"Subscription",INDEX('Game Records'!$U:$U,$H315)&lt;&gt;"Free Game",INDEX('Game Records'!$U:$U,$H315)&lt;&gt;"Disqualified — Free Game",OR(INDEX('Game Records'!$D:$D,$H315)="",LOWER(INDEX('Game Records'!$D:$D,$H315)&amp;"")="n/a")),"Entry Mode; ","")&amp;IF(AND(INDEX('Game Records'!$U:$U,$H315)&lt;&gt;"Subscription",INDEX('Game Records'!$U:$U,$H315)&lt;&gt;"Free Game",INDEX('Game Records'!$U:$U,$H315)&lt;&gt;"Disqualified — Free Game",OR(INDEX('Game Records'!$E:$E,$H315)="",LOWER(INDEX('Game Records'!$E:$E,$H315)&amp;"")="n/a")),"Game Type; ","")&amp;IF(INDEX('Game Records'!$F:$F,$H315)="","Payment Type; ","")&amp;IF(AND(INDEX('Game Records'!$U:$U,$H315)&lt;&gt;"Subscription",INDEX('Game Records'!$U:$U,$H315)&lt;&gt;"Free Game",INDEX('Game Records'!$U:$U,$H315)&lt;&gt;"Disqualified — Free Game",INDEX('Game Records'!$G:$G,$H315)=""),"Gross Pot; ","")&amp;IF(AND(INDEX('Game Records'!$U:$U,$H315)&lt;&gt;"Free Game",INDEX('Game Records'!$U:$U,$H315)&lt;&gt;"Disqualified — Free Game",INDEX('Game Records'!$H:$H,$H315)=""),"Entry Fee; ","")&amp;IF(AND(INDEX('Game Records'!$U:$U,$H315)&lt;&gt;"Subscription",INDEX('Game Records'!$U:$U,$H315)&lt;&gt;"Free Game",INDEX('Game Records'!$U:$U,$H315)&lt;&gt;"Disqualified — Free Game",INDEX('Game Records'!$I:$I,$H315)=""),"Eligible Players; ","")&amp;IF(AND(INDEX('Game Records'!$U:$U,$H315)&lt;&gt;"Subscription",INDEX('Game Records'!$U:$U,$H315)&lt;&gt;"Free Game",INDEX('Game Records'!$U:$U,$H315)&lt;&gt;"Disqualified — Free Game",INDEX('Game Records'!$J:$J,$H315)=""),"Total Players; ","")&amp;IF(AND(LOWER(INDEX('Game Records'!$D:$D,$H315)&amp;"")="finalized",LOWER(INDEX('Game Records'!$L:$L,$H315)&amp;"")&lt;&gt;"yes",INDEX('Game Records'!$U:$U,$H315)&lt;&gt;"Subscription",INDEX('Game Records'!$U:$U,$H315)&lt;&gt;"Free Game",INDEX('Game Records'!$U:$U,$H315)&lt;&gt;"Disqualified — Free Game",INDEX('Game Records'!$K:$K,$H315)=""),"Final Earned; ","")&amp;IF(AND(LOWER(INDEX('Game Records'!$D:$D,$H315)&amp;"")="finalized",INDEX('Game Records'!$U:$U,$H315)&lt;&gt;"Subscription",INDEX('Game Records'!$U:$U,$H315)&lt;&gt;"Free Game",INDEX('Game Records'!$U:$U,$H315)&lt;&gt;"Disqualified — Free Game",OR(INDEX('Game Records'!$L:$L,$H315)="",LOWER(INDEX('Game Records'!$L:$L,$H315)&amp;"")="n/a")),"Disqualified Status; ",""))</x:f>
        <x:v/>
      </x:c>
      <x:c r="G315" s="331" t="str">
        <x:f>IF($H315="","",IFERROR(INDEX('Game Records'!$M:$M,$H315),""))</x:f>
        <x:v/>
      </x:c>
      <x:c r="H315" s="104" t="str">
        <x:f>IF($H314="","",IFERROR(MATCH(1,INDEX((ROW('Game Records'!$U$5:$U$504)&gt;$H314)*(('Game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6" ht="24" customHeight="1">
      <x:c r="A316" s="332" t="str">
        <x:f>IF($H316="","",ROWS($A$5:A316))</x:f>
        <x:v/>
      </x:c>
      <x:c r="B316" s="332" t="str">
        <x:f>IF($H316="","","G-"&amp;TEXT($A316,"0000"))</x:f>
        <x:v/>
      </x:c>
      <x:c r="C316" s="331" t="str">
        <x:f>IF($H316="","",IFERROR(INDEX('Game Records'!$A:$A,$H316),""))</x:f>
        <x:v/>
      </x:c>
      <x:c r="D316" s="331" t="str">
        <x:f>IF($H316="","",IFERROR(INDEX('Game Records'!$U:$U,$H316),""))</x:f>
        <x:v/>
      </x:c>
      <x:c r="E316" s="331" t="str">
        <x:f>IF($H316="","",IF($F316="","No Highlighted Fields","Highlighted Fields Present"))</x:f>
        <x:v/>
      </x:c>
      <x:c r="F316" s="331" t="str">
        <x:f>IF($H316="","",IF(INDEX('Game Records'!$B:$B,$H316)="","Start Date; ","")&amp;IF(INDEX('Game Records'!$C:$C,$H316)="","End Date; ","")&amp;IF(AND(INDEX('Game Records'!$U:$U,$H316)&lt;&gt;"Subscription",INDEX('Game Records'!$U:$U,$H316)&lt;&gt;"Free Game",INDEX('Game Records'!$U:$U,$H316)&lt;&gt;"Disqualified — Free Game",OR(INDEX('Game Records'!$D:$D,$H316)="",LOWER(INDEX('Game Records'!$D:$D,$H316)&amp;"")="n/a")),"Entry Mode; ","")&amp;IF(AND(INDEX('Game Records'!$U:$U,$H316)&lt;&gt;"Subscription",INDEX('Game Records'!$U:$U,$H316)&lt;&gt;"Free Game",INDEX('Game Records'!$U:$U,$H316)&lt;&gt;"Disqualified — Free Game",OR(INDEX('Game Records'!$E:$E,$H316)="",LOWER(INDEX('Game Records'!$E:$E,$H316)&amp;"")="n/a")),"Game Type; ","")&amp;IF(INDEX('Game Records'!$F:$F,$H316)="","Payment Type; ","")&amp;IF(AND(INDEX('Game Records'!$U:$U,$H316)&lt;&gt;"Subscription",INDEX('Game Records'!$U:$U,$H316)&lt;&gt;"Free Game",INDEX('Game Records'!$U:$U,$H316)&lt;&gt;"Disqualified — Free Game",INDEX('Game Records'!$G:$G,$H316)=""),"Gross Pot; ","")&amp;IF(AND(INDEX('Game Records'!$U:$U,$H316)&lt;&gt;"Free Game",INDEX('Game Records'!$U:$U,$H316)&lt;&gt;"Disqualified — Free Game",INDEX('Game Records'!$H:$H,$H316)=""),"Entry Fee; ","")&amp;IF(AND(INDEX('Game Records'!$U:$U,$H316)&lt;&gt;"Subscription",INDEX('Game Records'!$U:$U,$H316)&lt;&gt;"Free Game",INDEX('Game Records'!$U:$U,$H316)&lt;&gt;"Disqualified — Free Game",INDEX('Game Records'!$I:$I,$H316)=""),"Eligible Players; ","")&amp;IF(AND(INDEX('Game Records'!$U:$U,$H316)&lt;&gt;"Subscription",INDEX('Game Records'!$U:$U,$H316)&lt;&gt;"Free Game",INDEX('Game Records'!$U:$U,$H316)&lt;&gt;"Disqualified — Free Game",INDEX('Game Records'!$J:$J,$H316)=""),"Total Players; ","")&amp;IF(AND(LOWER(INDEX('Game Records'!$D:$D,$H316)&amp;"")="finalized",LOWER(INDEX('Game Records'!$L:$L,$H316)&amp;"")&lt;&gt;"yes",INDEX('Game Records'!$U:$U,$H316)&lt;&gt;"Subscription",INDEX('Game Records'!$U:$U,$H316)&lt;&gt;"Free Game",INDEX('Game Records'!$U:$U,$H316)&lt;&gt;"Disqualified — Free Game",INDEX('Game Records'!$K:$K,$H316)=""),"Final Earned; ","")&amp;IF(AND(LOWER(INDEX('Game Records'!$D:$D,$H316)&amp;"")="finalized",INDEX('Game Records'!$U:$U,$H316)&lt;&gt;"Subscription",INDEX('Game Records'!$U:$U,$H316)&lt;&gt;"Free Game",INDEX('Game Records'!$U:$U,$H316)&lt;&gt;"Disqualified — Free Game",OR(INDEX('Game Records'!$L:$L,$H316)="",LOWER(INDEX('Game Records'!$L:$L,$H316)&amp;"")="n/a")),"Disqualified Status; ",""))</x:f>
        <x:v/>
      </x:c>
      <x:c r="G316" s="331" t="str">
        <x:f>IF($H316="","",IFERROR(INDEX('Game Records'!$M:$M,$H316),""))</x:f>
        <x:v/>
      </x:c>
      <x:c r="H316" s="104" t="str">
        <x:f>IF($H315="","",IFERROR(MATCH(1,INDEX((ROW('Game Records'!$U$5:$U$504)&gt;$H315)*(('Game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7" ht="24" customHeight="1">
      <x:c r="A317" s="332" t="str">
        <x:f>IF($H317="","",ROWS($A$5:A317))</x:f>
        <x:v/>
      </x:c>
      <x:c r="B317" s="332" t="str">
        <x:f>IF($H317="","","G-"&amp;TEXT($A317,"0000"))</x:f>
        <x:v/>
      </x:c>
      <x:c r="C317" s="331" t="str">
        <x:f>IF($H317="","",IFERROR(INDEX('Game Records'!$A:$A,$H317),""))</x:f>
        <x:v/>
      </x:c>
      <x:c r="D317" s="331" t="str">
        <x:f>IF($H317="","",IFERROR(INDEX('Game Records'!$U:$U,$H317),""))</x:f>
        <x:v/>
      </x:c>
      <x:c r="E317" s="331" t="str">
        <x:f>IF($H317="","",IF($F317="","No Highlighted Fields","Highlighted Fields Present"))</x:f>
        <x:v/>
      </x:c>
      <x:c r="F317" s="331" t="str">
        <x:f>IF($H317="","",IF(INDEX('Game Records'!$B:$B,$H317)="","Start Date; ","")&amp;IF(INDEX('Game Records'!$C:$C,$H317)="","End Date; ","")&amp;IF(AND(INDEX('Game Records'!$U:$U,$H317)&lt;&gt;"Subscription",INDEX('Game Records'!$U:$U,$H317)&lt;&gt;"Free Game",INDEX('Game Records'!$U:$U,$H317)&lt;&gt;"Disqualified — Free Game",OR(INDEX('Game Records'!$D:$D,$H317)="",LOWER(INDEX('Game Records'!$D:$D,$H317)&amp;"")="n/a")),"Entry Mode; ","")&amp;IF(AND(INDEX('Game Records'!$U:$U,$H317)&lt;&gt;"Subscription",INDEX('Game Records'!$U:$U,$H317)&lt;&gt;"Free Game",INDEX('Game Records'!$U:$U,$H317)&lt;&gt;"Disqualified — Free Game",OR(INDEX('Game Records'!$E:$E,$H317)="",LOWER(INDEX('Game Records'!$E:$E,$H317)&amp;"")="n/a")),"Game Type; ","")&amp;IF(INDEX('Game Records'!$F:$F,$H317)="","Payment Type; ","")&amp;IF(AND(INDEX('Game Records'!$U:$U,$H317)&lt;&gt;"Subscription",INDEX('Game Records'!$U:$U,$H317)&lt;&gt;"Free Game",INDEX('Game Records'!$U:$U,$H317)&lt;&gt;"Disqualified — Free Game",INDEX('Game Records'!$G:$G,$H317)=""),"Gross Pot; ","")&amp;IF(AND(INDEX('Game Records'!$U:$U,$H317)&lt;&gt;"Free Game",INDEX('Game Records'!$U:$U,$H317)&lt;&gt;"Disqualified — Free Game",INDEX('Game Records'!$H:$H,$H317)=""),"Entry Fee; ","")&amp;IF(AND(INDEX('Game Records'!$U:$U,$H317)&lt;&gt;"Subscription",INDEX('Game Records'!$U:$U,$H317)&lt;&gt;"Free Game",INDEX('Game Records'!$U:$U,$H317)&lt;&gt;"Disqualified — Free Game",INDEX('Game Records'!$I:$I,$H317)=""),"Eligible Players; ","")&amp;IF(AND(INDEX('Game Records'!$U:$U,$H317)&lt;&gt;"Subscription",INDEX('Game Records'!$U:$U,$H317)&lt;&gt;"Free Game",INDEX('Game Records'!$U:$U,$H317)&lt;&gt;"Disqualified — Free Game",INDEX('Game Records'!$J:$J,$H317)=""),"Total Players; ","")&amp;IF(AND(LOWER(INDEX('Game Records'!$D:$D,$H317)&amp;"")="finalized",LOWER(INDEX('Game Records'!$L:$L,$H317)&amp;"")&lt;&gt;"yes",INDEX('Game Records'!$U:$U,$H317)&lt;&gt;"Subscription",INDEX('Game Records'!$U:$U,$H317)&lt;&gt;"Free Game",INDEX('Game Records'!$U:$U,$H317)&lt;&gt;"Disqualified — Free Game",INDEX('Game Records'!$K:$K,$H317)=""),"Final Earned; ","")&amp;IF(AND(LOWER(INDEX('Game Records'!$D:$D,$H317)&amp;"")="finalized",INDEX('Game Records'!$U:$U,$H317)&lt;&gt;"Subscription",INDEX('Game Records'!$U:$U,$H317)&lt;&gt;"Free Game",INDEX('Game Records'!$U:$U,$H317)&lt;&gt;"Disqualified — Free Game",OR(INDEX('Game Records'!$L:$L,$H317)="",LOWER(INDEX('Game Records'!$L:$L,$H317)&amp;"")="n/a")),"Disqualified Status; ",""))</x:f>
        <x:v/>
      </x:c>
      <x:c r="G317" s="331" t="str">
        <x:f>IF($H317="","",IFERROR(INDEX('Game Records'!$M:$M,$H317),""))</x:f>
        <x:v/>
      </x:c>
      <x:c r="H317" s="104" t="str">
        <x:f>IF($H316="","",IFERROR(MATCH(1,INDEX((ROW('Game Records'!$U$5:$U$504)&gt;$H316)*(('Game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8" ht="24" customHeight="1">
      <x:c r="A318" s="332" t="str">
        <x:f>IF($H318="","",ROWS($A$5:A318))</x:f>
        <x:v/>
      </x:c>
      <x:c r="B318" s="332" t="str">
        <x:f>IF($H318="","","G-"&amp;TEXT($A318,"0000"))</x:f>
        <x:v/>
      </x:c>
      <x:c r="C318" s="331" t="str">
        <x:f>IF($H318="","",IFERROR(INDEX('Game Records'!$A:$A,$H318),""))</x:f>
        <x:v/>
      </x:c>
      <x:c r="D318" s="331" t="str">
        <x:f>IF($H318="","",IFERROR(INDEX('Game Records'!$U:$U,$H318),""))</x:f>
        <x:v/>
      </x:c>
      <x:c r="E318" s="331" t="str">
        <x:f>IF($H318="","",IF($F318="","No Highlighted Fields","Highlighted Fields Present"))</x:f>
        <x:v/>
      </x:c>
      <x:c r="F318" s="331" t="str">
        <x:f>IF($H318="","",IF(INDEX('Game Records'!$B:$B,$H318)="","Start Date; ","")&amp;IF(INDEX('Game Records'!$C:$C,$H318)="","End Date; ","")&amp;IF(AND(INDEX('Game Records'!$U:$U,$H318)&lt;&gt;"Subscription",INDEX('Game Records'!$U:$U,$H318)&lt;&gt;"Free Game",INDEX('Game Records'!$U:$U,$H318)&lt;&gt;"Disqualified — Free Game",OR(INDEX('Game Records'!$D:$D,$H318)="",LOWER(INDEX('Game Records'!$D:$D,$H318)&amp;"")="n/a")),"Entry Mode; ","")&amp;IF(AND(INDEX('Game Records'!$U:$U,$H318)&lt;&gt;"Subscription",INDEX('Game Records'!$U:$U,$H318)&lt;&gt;"Free Game",INDEX('Game Records'!$U:$U,$H318)&lt;&gt;"Disqualified — Free Game",OR(INDEX('Game Records'!$E:$E,$H318)="",LOWER(INDEX('Game Records'!$E:$E,$H318)&amp;"")="n/a")),"Game Type; ","")&amp;IF(INDEX('Game Records'!$F:$F,$H318)="","Payment Type; ","")&amp;IF(AND(INDEX('Game Records'!$U:$U,$H318)&lt;&gt;"Subscription",INDEX('Game Records'!$U:$U,$H318)&lt;&gt;"Free Game",INDEX('Game Records'!$U:$U,$H318)&lt;&gt;"Disqualified — Free Game",INDEX('Game Records'!$G:$G,$H318)=""),"Gross Pot; ","")&amp;IF(AND(INDEX('Game Records'!$U:$U,$H318)&lt;&gt;"Free Game",INDEX('Game Records'!$U:$U,$H318)&lt;&gt;"Disqualified — Free Game",INDEX('Game Records'!$H:$H,$H318)=""),"Entry Fee; ","")&amp;IF(AND(INDEX('Game Records'!$U:$U,$H318)&lt;&gt;"Subscription",INDEX('Game Records'!$U:$U,$H318)&lt;&gt;"Free Game",INDEX('Game Records'!$U:$U,$H318)&lt;&gt;"Disqualified — Free Game",INDEX('Game Records'!$I:$I,$H318)=""),"Eligible Players; ","")&amp;IF(AND(INDEX('Game Records'!$U:$U,$H318)&lt;&gt;"Subscription",INDEX('Game Records'!$U:$U,$H318)&lt;&gt;"Free Game",INDEX('Game Records'!$U:$U,$H318)&lt;&gt;"Disqualified — Free Game",INDEX('Game Records'!$J:$J,$H318)=""),"Total Players; ","")&amp;IF(AND(LOWER(INDEX('Game Records'!$D:$D,$H318)&amp;"")="finalized",LOWER(INDEX('Game Records'!$L:$L,$H318)&amp;"")&lt;&gt;"yes",INDEX('Game Records'!$U:$U,$H318)&lt;&gt;"Subscription",INDEX('Game Records'!$U:$U,$H318)&lt;&gt;"Free Game",INDEX('Game Records'!$U:$U,$H318)&lt;&gt;"Disqualified — Free Game",INDEX('Game Records'!$K:$K,$H318)=""),"Final Earned; ","")&amp;IF(AND(LOWER(INDEX('Game Records'!$D:$D,$H318)&amp;"")="finalized",INDEX('Game Records'!$U:$U,$H318)&lt;&gt;"Subscription",INDEX('Game Records'!$U:$U,$H318)&lt;&gt;"Free Game",INDEX('Game Records'!$U:$U,$H318)&lt;&gt;"Disqualified — Free Game",OR(INDEX('Game Records'!$L:$L,$H318)="",LOWER(INDEX('Game Records'!$L:$L,$H318)&amp;"")="n/a")),"Disqualified Status; ",""))</x:f>
        <x:v/>
      </x:c>
      <x:c r="G318" s="331" t="str">
        <x:f>IF($H318="","",IFERROR(INDEX('Game Records'!$M:$M,$H318),""))</x:f>
        <x:v/>
      </x:c>
      <x:c r="H318" s="104" t="str">
        <x:f>IF($H317="","",IFERROR(MATCH(1,INDEX((ROW('Game Records'!$U$5:$U$504)&gt;$H317)*(('Game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19" ht="24" customHeight="1">
      <x:c r="A319" s="332" t="str">
        <x:f>IF($H319="","",ROWS($A$5:A319))</x:f>
        <x:v/>
      </x:c>
      <x:c r="B319" s="332" t="str">
        <x:f>IF($H319="","","G-"&amp;TEXT($A319,"0000"))</x:f>
        <x:v/>
      </x:c>
      <x:c r="C319" s="331" t="str">
        <x:f>IF($H319="","",IFERROR(INDEX('Game Records'!$A:$A,$H319),""))</x:f>
        <x:v/>
      </x:c>
      <x:c r="D319" s="331" t="str">
        <x:f>IF($H319="","",IFERROR(INDEX('Game Records'!$U:$U,$H319),""))</x:f>
        <x:v/>
      </x:c>
      <x:c r="E319" s="331" t="str">
        <x:f>IF($H319="","",IF($F319="","No Highlighted Fields","Highlighted Fields Present"))</x:f>
        <x:v/>
      </x:c>
      <x:c r="F319" s="331" t="str">
        <x:f>IF($H319="","",IF(INDEX('Game Records'!$B:$B,$H319)="","Start Date; ","")&amp;IF(INDEX('Game Records'!$C:$C,$H319)="","End Date; ","")&amp;IF(AND(INDEX('Game Records'!$U:$U,$H319)&lt;&gt;"Subscription",INDEX('Game Records'!$U:$U,$H319)&lt;&gt;"Free Game",INDEX('Game Records'!$U:$U,$H319)&lt;&gt;"Disqualified — Free Game",OR(INDEX('Game Records'!$D:$D,$H319)="",LOWER(INDEX('Game Records'!$D:$D,$H319)&amp;"")="n/a")),"Entry Mode; ","")&amp;IF(AND(INDEX('Game Records'!$U:$U,$H319)&lt;&gt;"Subscription",INDEX('Game Records'!$U:$U,$H319)&lt;&gt;"Free Game",INDEX('Game Records'!$U:$U,$H319)&lt;&gt;"Disqualified — Free Game",OR(INDEX('Game Records'!$E:$E,$H319)="",LOWER(INDEX('Game Records'!$E:$E,$H319)&amp;"")="n/a")),"Game Type; ","")&amp;IF(INDEX('Game Records'!$F:$F,$H319)="","Payment Type; ","")&amp;IF(AND(INDEX('Game Records'!$U:$U,$H319)&lt;&gt;"Subscription",INDEX('Game Records'!$U:$U,$H319)&lt;&gt;"Free Game",INDEX('Game Records'!$U:$U,$H319)&lt;&gt;"Disqualified — Free Game",INDEX('Game Records'!$G:$G,$H319)=""),"Gross Pot; ","")&amp;IF(AND(INDEX('Game Records'!$U:$U,$H319)&lt;&gt;"Free Game",INDEX('Game Records'!$U:$U,$H319)&lt;&gt;"Disqualified — Free Game",INDEX('Game Records'!$H:$H,$H319)=""),"Entry Fee; ","")&amp;IF(AND(INDEX('Game Records'!$U:$U,$H319)&lt;&gt;"Subscription",INDEX('Game Records'!$U:$U,$H319)&lt;&gt;"Free Game",INDEX('Game Records'!$U:$U,$H319)&lt;&gt;"Disqualified — Free Game",INDEX('Game Records'!$I:$I,$H319)=""),"Eligible Players; ","")&amp;IF(AND(INDEX('Game Records'!$U:$U,$H319)&lt;&gt;"Subscription",INDEX('Game Records'!$U:$U,$H319)&lt;&gt;"Free Game",INDEX('Game Records'!$U:$U,$H319)&lt;&gt;"Disqualified — Free Game",INDEX('Game Records'!$J:$J,$H319)=""),"Total Players; ","")&amp;IF(AND(LOWER(INDEX('Game Records'!$D:$D,$H319)&amp;"")="finalized",LOWER(INDEX('Game Records'!$L:$L,$H319)&amp;"")&lt;&gt;"yes",INDEX('Game Records'!$U:$U,$H319)&lt;&gt;"Subscription",INDEX('Game Records'!$U:$U,$H319)&lt;&gt;"Free Game",INDEX('Game Records'!$U:$U,$H319)&lt;&gt;"Disqualified — Free Game",INDEX('Game Records'!$K:$K,$H319)=""),"Final Earned; ","")&amp;IF(AND(LOWER(INDEX('Game Records'!$D:$D,$H319)&amp;"")="finalized",INDEX('Game Records'!$U:$U,$H319)&lt;&gt;"Subscription",INDEX('Game Records'!$U:$U,$H319)&lt;&gt;"Free Game",INDEX('Game Records'!$U:$U,$H319)&lt;&gt;"Disqualified — Free Game",OR(INDEX('Game Records'!$L:$L,$H319)="",LOWER(INDEX('Game Records'!$L:$L,$H319)&amp;"")="n/a")),"Disqualified Status; ",""))</x:f>
        <x:v/>
      </x:c>
      <x:c r="G319" s="331" t="str">
        <x:f>IF($H319="","",IFERROR(INDEX('Game Records'!$M:$M,$H319),""))</x:f>
        <x:v/>
      </x:c>
      <x:c r="H319" s="104" t="str">
        <x:f>IF($H318="","",IFERROR(MATCH(1,INDEX((ROW('Game Records'!$U$5:$U$504)&gt;$H318)*(('Game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0" ht="24" customHeight="1">
      <x:c r="A320" s="332" t="str">
        <x:f>IF($H320="","",ROWS($A$5:A320))</x:f>
        <x:v/>
      </x:c>
      <x:c r="B320" s="332" t="str">
        <x:f>IF($H320="","","G-"&amp;TEXT($A320,"0000"))</x:f>
        <x:v/>
      </x:c>
      <x:c r="C320" s="331" t="str">
        <x:f>IF($H320="","",IFERROR(INDEX('Game Records'!$A:$A,$H320),""))</x:f>
        <x:v/>
      </x:c>
      <x:c r="D320" s="331" t="str">
        <x:f>IF($H320="","",IFERROR(INDEX('Game Records'!$U:$U,$H320),""))</x:f>
        <x:v/>
      </x:c>
      <x:c r="E320" s="331" t="str">
        <x:f>IF($H320="","",IF($F320="","No Highlighted Fields","Highlighted Fields Present"))</x:f>
        <x:v/>
      </x:c>
      <x:c r="F320" s="331" t="str">
        <x:f>IF($H320="","",IF(INDEX('Game Records'!$B:$B,$H320)="","Start Date; ","")&amp;IF(INDEX('Game Records'!$C:$C,$H320)="","End Date; ","")&amp;IF(AND(INDEX('Game Records'!$U:$U,$H320)&lt;&gt;"Subscription",INDEX('Game Records'!$U:$U,$H320)&lt;&gt;"Free Game",INDEX('Game Records'!$U:$U,$H320)&lt;&gt;"Disqualified — Free Game",OR(INDEX('Game Records'!$D:$D,$H320)="",LOWER(INDEX('Game Records'!$D:$D,$H320)&amp;"")="n/a")),"Entry Mode; ","")&amp;IF(AND(INDEX('Game Records'!$U:$U,$H320)&lt;&gt;"Subscription",INDEX('Game Records'!$U:$U,$H320)&lt;&gt;"Free Game",INDEX('Game Records'!$U:$U,$H320)&lt;&gt;"Disqualified — Free Game",OR(INDEX('Game Records'!$E:$E,$H320)="",LOWER(INDEX('Game Records'!$E:$E,$H320)&amp;"")="n/a")),"Game Type; ","")&amp;IF(INDEX('Game Records'!$F:$F,$H320)="","Payment Type; ","")&amp;IF(AND(INDEX('Game Records'!$U:$U,$H320)&lt;&gt;"Subscription",INDEX('Game Records'!$U:$U,$H320)&lt;&gt;"Free Game",INDEX('Game Records'!$U:$U,$H320)&lt;&gt;"Disqualified — Free Game",INDEX('Game Records'!$G:$G,$H320)=""),"Gross Pot; ","")&amp;IF(AND(INDEX('Game Records'!$U:$U,$H320)&lt;&gt;"Free Game",INDEX('Game Records'!$U:$U,$H320)&lt;&gt;"Disqualified — Free Game",INDEX('Game Records'!$H:$H,$H320)=""),"Entry Fee; ","")&amp;IF(AND(INDEX('Game Records'!$U:$U,$H320)&lt;&gt;"Subscription",INDEX('Game Records'!$U:$U,$H320)&lt;&gt;"Free Game",INDEX('Game Records'!$U:$U,$H320)&lt;&gt;"Disqualified — Free Game",INDEX('Game Records'!$I:$I,$H320)=""),"Eligible Players; ","")&amp;IF(AND(INDEX('Game Records'!$U:$U,$H320)&lt;&gt;"Subscription",INDEX('Game Records'!$U:$U,$H320)&lt;&gt;"Free Game",INDEX('Game Records'!$U:$U,$H320)&lt;&gt;"Disqualified — Free Game",INDEX('Game Records'!$J:$J,$H320)=""),"Total Players; ","")&amp;IF(AND(LOWER(INDEX('Game Records'!$D:$D,$H320)&amp;"")="finalized",LOWER(INDEX('Game Records'!$L:$L,$H320)&amp;"")&lt;&gt;"yes",INDEX('Game Records'!$U:$U,$H320)&lt;&gt;"Subscription",INDEX('Game Records'!$U:$U,$H320)&lt;&gt;"Free Game",INDEX('Game Records'!$U:$U,$H320)&lt;&gt;"Disqualified — Free Game",INDEX('Game Records'!$K:$K,$H320)=""),"Final Earned; ","")&amp;IF(AND(LOWER(INDEX('Game Records'!$D:$D,$H320)&amp;"")="finalized",INDEX('Game Records'!$U:$U,$H320)&lt;&gt;"Subscription",INDEX('Game Records'!$U:$U,$H320)&lt;&gt;"Free Game",INDEX('Game Records'!$U:$U,$H320)&lt;&gt;"Disqualified — Free Game",OR(INDEX('Game Records'!$L:$L,$H320)="",LOWER(INDEX('Game Records'!$L:$L,$H320)&amp;"")="n/a")),"Disqualified Status; ",""))</x:f>
        <x:v/>
      </x:c>
      <x:c r="G320" s="331" t="str">
        <x:f>IF($H320="","",IFERROR(INDEX('Game Records'!$M:$M,$H320),""))</x:f>
        <x:v/>
      </x:c>
      <x:c r="H320" s="104" t="str">
        <x:f>IF($H319="","",IFERROR(MATCH(1,INDEX((ROW('Game Records'!$U$5:$U$504)&gt;$H319)*(('Game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1" ht="24" customHeight="1">
      <x:c r="A321" s="332" t="str">
        <x:f>IF($H321="","",ROWS($A$5:A321))</x:f>
        <x:v/>
      </x:c>
      <x:c r="B321" s="332" t="str">
        <x:f>IF($H321="","","G-"&amp;TEXT($A321,"0000"))</x:f>
        <x:v/>
      </x:c>
      <x:c r="C321" s="331" t="str">
        <x:f>IF($H321="","",IFERROR(INDEX('Game Records'!$A:$A,$H321),""))</x:f>
        <x:v/>
      </x:c>
      <x:c r="D321" s="331" t="str">
        <x:f>IF($H321="","",IFERROR(INDEX('Game Records'!$U:$U,$H321),""))</x:f>
        <x:v/>
      </x:c>
      <x:c r="E321" s="331" t="str">
        <x:f>IF($H321="","",IF($F321="","No Highlighted Fields","Highlighted Fields Present"))</x:f>
        <x:v/>
      </x:c>
      <x:c r="F321" s="331" t="str">
        <x:f>IF($H321="","",IF(INDEX('Game Records'!$B:$B,$H321)="","Start Date; ","")&amp;IF(INDEX('Game Records'!$C:$C,$H321)="","End Date; ","")&amp;IF(AND(INDEX('Game Records'!$U:$U,$H321)&lt;&gt;"Subscription",INDEX('Game Records'!$U:$U,$H321)&lt;&gt;"Free Game",INDEX('Game Records'!$U:$U,$H321)&lt;&gt;"Disqualified — Free Game",OR(INDEX('Game Records'!$D:$D,$H321)="",LOWER(INDEX('Game Records'!$D:$D,$H321)&amp;"")="n/a")),"Entry Mode; ","")&amp;IF(AND(INDEX('Game Records'!$U:$U,$H321)&lt;&gt;"Subscription",INDEX('Game Records'!$U:$U,$H321)&lt;&gt;"Free Game",INDEX('Game Records'!$U:$U,$H321)&lt;&gt;"Disqualified — Free Game",OR(INDEX('Game Records'!$E:$E,$H321)="",LOWER(INDEX('Game Records'!$E:$E,$H321)&amp;"")="n/a")),"Game Type; ","")&amp;IF(INDEX('Game Records'!$F:$F,$H321)="","Payment Type; ","")&amp;IF(AND(INDEX('Game Records'!$U:$U,$H321)&lt;&gt;"Subscription",INDEX('Game Records'!$U:$U,$H321)&lt;&gt;"Free Game",INDEX('Game Records'!$U:$U,$H321)&lt;&gt;"Disqualified — Free Game",INDEX('Game Records'!$G:$G,$H321)=""),"Gross Pot; ","")&amp;IF(AND(INDEX('Game Records'!$U:$U,$H321)&lt;&gt;"Free Game",INDEX('Game Records'!$U:$U,$H321)&lt;&gt;"Disqualified — Free Game",INDEX('Game Records'!$H:$H,$H321)=""),"Entry Fee; ","")&amp;IF(AND(INDEX('Game Records'!$U:$U,$H321)&lt;&gt;"Subscription",INDEX('Game Records'!$U:$U,$H321)&lt;&gt;"Free Game",INDEX('Game Records'!$U:$U,$H321)&lt;&gt;"Disqualified — Free Game",INDEX('Game Records'!$I:$I,$H321)=""),"Eligible Players; ","")&amp;IF(AND(INDEX('Game Records'!$U:$U,$H321)&lt;&gt;"Subscription",INDEX('Game Records'!$U:$U,$H321)&lt;&gt;"Free Game",INDEX('Game Records'!$U:$U,$H321)&lt;&gt;"Disqualified — Free Game",INDEX('Game Records'!$J:$J,$H321)=""),"Total Players; ","")&amp;IF(AND(LOWER(INDEX('Game Records'!$D:$D,$H321)&amp;"")="finalized",LOWER(INDEX('Game Records'!$L:$L,$H321)&amp;"")&lt;&gt;"yes",INDEX('Game Records'!$U:$U,$H321)&lt;&gt;"Subscription",INDEX('Game Records'!$U:$U,$H321)&lt;&gt;"Free Game",INDEX('Game Records'!$U:$U,$H321)&lt;&gt;"Disqualified — Free Game",INDEX('Game Records'!$K:$K,$H321)=""),"Final Earned; ","")&amp;IF(AND(LOWER(INDEX('Game Records'!$D:$D,$H321)&amp;"")="finalized",INDEX('Game Records'!$U:$U,$H321)&lt;&gt;"Subscription",INDEX('Game Records'!$U:$U,$H321)&lt;&gt;"Free Game",INDEX('Game Records'!$U:$U,$H321)&lt;&gt;"Disqualified — Free Game",OR(INDEX('Game Records'!$L:$L,$H321)="",LOWER(INDEX('Game Records'!$L:$L,$H321)&amp;"")="n/a")),"Disqualified Status; ",""))</x:f>
        <x:v/>
      </x:c>
      <x:c r="G321" s="331" t="str">
        <x:f>IF($H321="","",IFERROR(INDEX('Game Records'!$M:$M,$H321),""))</x:f>
        <x:v/>
      </x:c>
      <x:c r="H321" s="104" t="str">
        <x:f>IF($H320="","",IFERROR(MATCH(1,INDEX((ROW('Game Records'!$U$5:$U$504)&gt;$H320)*(('Game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2" ht="24" customHeight="1">
      <x:c r="A322" s="332" t="str">
        <x:f>IF($H322="","",ROWS($A$5:A322))</x:f>
        <x:v/>
      </x:c>
      <x:c r="B322" s="332" t="str">
        <x:f>IF($H322="","","G-"&amp;TEXT($A322,"0000"))</x:f>
        <x:v/>
      </x:c>
      <x:c r="C322" s="331" t="str">
        <x:f>IF($H322="","",IFERROR(INDEX('Game Records'!$A:$A,$H322),""))</x:f>
        <x:v/>
      </x:c>
      <x:c r="D322" s="331" t="str">
        <x:f>IF($H322="","",IFERROR(INDEX('Game Records'!$U:$U,$H322),""))</x:f>
        <x:v/>
      </x:c>
      <x:c r="E322" s="331" t="str">
        <x:f>IF($H322="","",IF($F322="","No Highlighted Fields","Highlighted Fields Present"))</x:f>
        <x:v/>
      </x:c>
      <x:c r="F322" s="331" t="str">
        <x:f>IF($H322="","",IF(INDEX('Game Records'!$B:$B,$H322)="","Start Date; ","")&amp;IF(INDEX('Game Records'!$C:$C,$H322)="","End Date; ","")&amp;IF(AND(INDEX('Game Records'!$U:$U,$H322)&lt;&gt;"Subscription",INDEX('Game Records'!$U:$U,$H322)&lt;&gt;"Free Game",INDEX('Game Records'!$U:$U,$H322)&lt;&gt;"Disqualified — Free Game",OR(INDEX('Game Records'!$D:$D,$H322)="",LOWER(INDEX('Game Records'!$D:$D,$H322)&amp;"")="n/a")),"Entry Mode; ","")&amp;IF(AND(INDEX('Game Records'!$U:$U,$H322)&lt;&gt;"Subscription",INDEX('Game Records'!$U:$U,$H322)&lt;&gt;"Free Game",INDEX('Game Records'!$U:$U,$H322)&lt;&gt;"Disqualified — Free Game",OR(INDEX('Game Records'!$E:$E,$H322)="",LOWER(INDEX('Game Records'!$E:$E,$H322)&amp;"")="n/a")),"Game Type; ","")&amp;IF(INDEX('Game Records'!$F:$F,$H322)="","Payment Type; ","")&amp;IF(AND(INDEX('Game Records'!$U:$U,$H322)&lt;&gt;"Subscription",INDEX('Game Records'!$U:$U,$H322)&lt;&gt;"Free Game",INDEX('Game Records'!$U:$U,$H322)&lt;&gt;"Disqualified — Free Game",INDEX('Game Records'!$G:$G,$H322)=""),"Gross Pot; ","")&amp;IF(AND(INDEX('Game Records'!$U:$U,$H322)&lt;&gt;"Free Game",INDEX('Game Records'!$U:$U,$H322)&lt;&gt;"Disqualified — Free Game",INDEX('Game Records'!$H:$H,$H322)=""),"Entry Fee; ","")&amp;IF(AND(INDEX('Game Records'!$U:$U,$H322)&lt;&gt;"Subscription",INDEX('Game Records'!$U:$U,$H322)&lt;&gt;"Free Game",INDEX('Game Records'!$U:$U,$H322)&lt;&gt;"Disqualified — Free Game",INDEX('Game Records'!$I:$I,$H322)=""),"Eligible Players; ","")&amp;IF(AND(INDEX('Game Records'!$U:$U,$H322)&lt;&gt;"Subscription",INDEX('Game Records'!$U:$U,$H322)&lt;&gt;"Free Game",INDEX('Game Records'!$U:$U,$H322)&lt;&gt;"Disqualified — Free Game",INDEX('Game Records'!$J:$J,$H322)=""),"Total Players; ","")&amp;IF(AND(LOWER(INDEX('Game Records'!$D:$D,$H322)&amp;"")="finalized",LOWER(INDEX('Game Records'!$L:$L,$H322)&amp;"")&lt;&gt;"yes",INDEX('Game Records'!$U:$U,$H322)&lt;&gt;"Subscription",INDEX('Game Records'!$U:$U,$H322)&lt;&gt;"Free Game",INDEX('Game Records'!$U:$U,$H322)&lt;&gt;"Disqualified — Free Game",INDEX('Game Records'!$K:$K,$H322)=""),"Final Earned; ","")&amp;IF(AND(LOWER(INDEX('Game Records'!$D:$D,$H322)&amp;"")="finalized",INDEX('Game Records'!$U:$U,$H322)&lt;&gt;"Subscription",INDEX('Game Records'!$U:$U,$H322)&lt;&gt;"Free Game",INDEX('Game Records'!$U:$U,$H322)&lt;&gt;"Disqualified — Free Game",OR(INDEX('Game Records'!$L:$L,$H322)="",LOWER(INDEX('Game Records'!$L:$L,$H322)&amp;"")="n/a")),"Disqualified Status; ",""))</x:f>
        <x:v/>
      </x:c>
      <x:c r="G322" s="331" t="str">
        <x:f>IF($H322="","",IFERROR(INDEX('Game Records'!$M:$M,$H322),""))</x:f>
        <x:v/>
      </x:c>
      <x:c r="H322" s="104" t="str">
        <x:f>IF($H321="","",IFERROR(MATCH(1,INDEX((ROW('Game Records'!$U$5:$U$504)&gt;$H321)*(('Game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3" ht="24" customHeight="1">
      <x:c r="A323" s="332" t="str">
        <x:f>IF($H323="","",ROWS($A$5:A323))</x:f>
        <x:v/>
      </x:c>
      <x:c r="B323" s="332" t="str">
        <x:f>IF($H323="","","G-"&amp;TEXT($A323,"0000"))</x:f>
        <x:v/>
      </x:c>
      <x:c r="C323" s="331" t="str">
        <x:f>IF($H323="","",IFERROR(INDEX('Game Records'!$A:$A,$H323),""))</x:f>
        <x:v/>
      </x:c>
      <x:c r="D323" s="331" t="str">
        <x:f>IF($H323="","",IFERROR(INDEX('Game Records'!$U:$U,$H323),""))</x:f>
        <x:v/>
      </x:c>
      <x:c r="E323" s="331" t="str">
        <x:f>IF($H323="","",IF($F323="","No Highlighted Fields","Highlighted Fields Present"))</x:f>
        <x:v/>
      </x:c>
      <x:c r="F323" s="331" t="str">
        <x:f>IF($H323="","",IF(INDEX('Game Records'!$B:$B,$H323)="","Start Date; ","")&amp;IF(INDEX('Game Records'!$C:$C,$H323)="","End Date; ","")&amp;IF(AND(INDEX('Game Records'!$U:$U,$H323)&lt;&gt;"Subscription",INDEX('Game Records'!$U:$U,$H323)&lt;&gt;"Free Game",INDEX('Game Records'!$U:$U,$H323)&lt;&gt;"Disqualified — Free Game",OR(INDEX('Game Records'!$D:$D,$H323)="",LOWER(INDEX('Game Records'!$D:$D,$H323)&amp;"")="n/a")),"Entry Mode; ","")&amp;IF(AND(INDEX('Game Records'!$U:$U,$H323)&lt;&gt;"Subscription",INDEX('Game Records'!$U:$U,$H323)&lt;&gt;"Free Game",INDEX('Game Records'!$U:$U,$H323)&lt;&gt;"Disqualified — Free Game",OR(INDEX('Game Records'!$E:$E,$H323)="",LOWER(INDEX('Game Records'!$E:$E,$H323)&amp;"")="n/a")),"Game Type; ","")&amp;IF(INDEX('Game Records'!$F:$F,$H323)="","Payment Type; ","")&amp;IF(AND(INDEX('Game Records'!$U:$U,$H323)&lt;&gt;"Subscription",INDEX('Game Records'!$U:$U,$H323)&lt;&gt;"Free Game",INDEX('Game Records'!$U:$U,$H323)&lt;&gt;"Disqualified — Free Game",INDEX('Game Records'!$G:$G,$H323)=""),"Gross Pot; ","")&amp;IF(AND(INDEX('Game Records'!$U:$U,$H323)&lt;&gt;"Free Game",INDEX('Game Records'!$U:$U,$H323)&lt;&gt;"Disqualified — Free Game",INDEX('Game Records'!$H:$H,$H323)=""),"Entry Fee; ","")&amp;IF(AND(INDEX('Game Records'!$U:$U,$H323)&lt;&gt;"Subscription",INDEX('Game Records'!$U:$U,$H323)&lt;&gt;"Free Game",INDEX('Game Records'!$U:$U,$H323)&lt;&gt;"Disqualified — Free Game",INDEX('Game Records'!$I:$I,$H323)=""),"Eligible Players; ","")&amp;IF(AND(INDEX('Game Records'!$U:$U,$H323)&lt;&gt;"Subscription",INDEX('Game Records'!$U:$U,$H323)&lt;&gt;"Free Game",INDEX('Game Records'!$U:$U,$H323)&lt;&gt;"Disqualified — Free Game",INDEX('Game Records'!$J:$J,$H323)=""),"Total Players; ","")&amp;IF(AND(LOWER(INDEX('Game Records'!$D:$D,$H323)&amp;"")="finalized",LOWER(INDEX('Game Records'!$L:$L,$H323)&amp;"")&lt;&gt;"yes",INDEX('Game Records'!$U:$U,$H323)&lt;&gt;"Subscription",INDEX('Game Records'!$U:$U,$H323)&lt;&gt;"Free Game",INDEX('Game Records'!$U:$U,$H323)&lt;&gt;"Disqualified — Free Game",INDEX('Game Records'!$K:$K,$H323)=""),"Final Earned; ","")&amp;IF(AND(LOWER(INDEX('Game Records'!$D:$D,$H323)&amp;"")="finalized",INDEX('Game Records'!$U:$U,$H323)&lt;&gt;"Subscription",INDEX('Game Records'!$U:$U,$H323)&lt;&gt;"Free Game",INDEX('Game Records'!$U:$U,$H323)&lt;&gt;"Disqualified — Free Game",OR(INDEX('Game Records'!$L:$L,$H323)="",LOWER(INDEX('Game Records'!$L:$L,$H323)&amp;"")="n/a")),"Disqualified Status; ",""))</x:f>
        <x:v/>
      </x:c>
      <x:c r="G323" s="331" t="str">
        <x:f>IF($H323="","",IFERROR(INDEX('Game Records'!$M:$M,$H323),""))</x:f>
        <x:v/>
      </x:c>
      <x:c r="H323" s="104" t="str">
        <x:f>IF($H322="","",IFERROR(MATCH(1,INDEX((ROW('Game Records'!$U$5:$U$504)&gt;$H322)*(('Game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4" ht="24" customHeight="1">
      <x:c r="A324" s="332" t="str">
        <x:f>IF($H324="","",ROWS($A$5:A324))</x:f>
        <x:v/>
      </x:c>
      <x:c r="B324" s="332" t="str">
        <x:f>IF($H324="","","G-"&amp;TEXT($A324,"0000"))</x:f>
        <x:v/>
      </x:c>
      <x:c r="C324" s="331" t="str">
        <x:f>IF($H324="","",IFERROR(INDEX('Game Records'!$A:$A,$H324),""))</x:f>
        <x:v/>
      </x:c>
      <x:c r="D324" s="331" t="str">
        <x:f>IF($H324="","",IFERROR(INDEX('Game Records'!$U:$U,$H324),""))</x:f>
        <x:v/>
      </x:c>
      <x:c r="E324" s="331" t="str">
        <x:f>IF($H324="","",IF($F324="","No Highlighted Fields","Highlighted Fields Present"))</x:f>
        <x:v/>
      </x:c>
      <x:c r="F324" s="331" t="str">
        <x:f>IF($H324="","",IF(INDEX('Game Records'!$B:$B,$H324)="","Start Date; ","")&amp;IF(INDEX('Game Records'!$C:$C,$H324)="","End Date; ","")&amp;IF(AND(INDEX('Game Records'!$U:$U,$H324)&lt;&gt;"Subscription",INDEX('Game Records'!$U:$U,$H324)&lt;&gt;"Free Game",INDEX('Game Records'!$U:$U,$H324)&lt;&gt;"Disqualified — Free Game",OR(INDEX('Game Records'!$D:$D,$H324)="",LOWER(INDEX('Game Records'!$D:$D,$H324)&amp;"")="n/a")),"Entry Mode; ","")&amp;IF(AND(INDEX('Game Records'!$U:$U,$H324)&lt;&gt;"Subscription",INDEX('Game Records'!$U:$U,$H324)&lt;&gt;"Free Game",INDEX('Game Records'!$U:$U,$H324)&lt;&gt;"Disqualified — Free Game",OR(INDEX('Game Records'!$E:$E,$H324)="",LOWER(INDEX('Game Records'!$E:$E,$H324)&amp;"")="n/a")),"Game Type; ","")&amp;IF(INDEX('Game Records'!$F:$F,$H324)="","Payment Type; ","")&amp;IF(AND(INDEX('Game Records'!$U:$U,$H324)&lt;&gt;"Subscription",INDEX('Game Records'!$U:$U,$H324)&lt;&gt;"Free Game",INDEX('Game Records'!$U:$U,$H324)&lt;&gt;"Disqualified — Free Game",INDEX('Game Records'!$G:$G,$H324)=""),"Gross Pot; ","")&amp;IF(AND(INDEX('Game Records'!$U:$U,$H324)&lt;&gt;"Free Game",INDEX('Game Records'!$U:$U,$H324)&lt;&gt;"Disqualified — Free Game",INDEX('Game Records'!$H:$H,$H324)=""),"Entry Fee; ","")&amp;IF(AND(INDEX('Game Records'!$U:$U,$H324)&lt;&gt;"Subscription",INDEX('Game Records'!$U:$U,$H324)&lt;&gt;"Free Game",INDEX('Game Records'!$U:$U,$H324)&lt;&gt;"Disqualified — Free Game",INDEX('Game Records'!$I:$I,$H324)=""),"Eligible Players; ","")&amp;IF(AND(INDEX('Game Records'!$U:$U,$H324)&lt;&gt;"Subscription",INDEX('Game Records'!$U:$U,$H324)&lt;&gt;"Free Game",INDEX('Game Records'!$U:$U,$H324)&lt;&gt;"Disqualified — Free Game",INDEX('Game Records'!$J:$J,$H324)=""),"Total Players; ","")&amp;IF(AND(LOWER(INDEX('Game Records'!$D:$D,$H324)&amp;"")="finalized",LOWER(INDEX('Game Records'!$L:$L,$H324)&amp;"")&lt;&gt;"yes",INDEX('Game Records'!$U:$U,$H324)&lt;&gt;"Subscription",INDEX('Game Records'!$U:$U,$H324)&lt;&gt;"Free Game",INDEX('Game Records'!$U:$U,$H324)&lt;&gt;"Disqualified — Free Game",INDEX('Game Records'!$K:$K,$H324)=""),"Final Earned; ","")&amp;IF(AND(LOWER(INDEX('Game Records'!$D:$D,$H324)&amp;"")="finalized",INDEX('Game Records'!$U:$U,$H324)&lt;&gt;"Subscription",INDEX('Game Records'!$U:$U,$H324)&lt;&gt;"Free Game",INDEX('Game Records'!$U:$U,$H324)&lt;&gt;"Disqualified — Free Game",OR(INDEX('Game Records'!$L:$L,$H324)="",LOWER(INDEX('Game Records'!$L:$L,$H324)&amp;"")="n/a")),"Disqualified Status; ",""))</x:f>
        <x:v/>
      </x:c>
      <x:c r="G324" s="331" t="str">
        <x:f>IF($H324="","",IFERROR(INDEX('Game Records'!$M:$M,$H324),""))</x:f>
        <x:v/>
      </x:c>
      <x:c r="H324" s="104" t="str">
        <x:f>IF($H323="","",IFERROR(MATCH(1,INDEX((ROW('Game Records'!$U$5:$U$504)&gt;$H323)*(('Game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5" ht="24" customHeight="1">
      <x:c r="A325" s="332" t="str">
        <x:f>IF($H325="","",ROWS($A$5:A325))</x:f>
        <x:v/>
      </x:c>
      <x:c r="B325" s="332" t="str">
        <x:f>IF($H325="","","G-"&amp;TEXT($A325,"0000"))</x:f>
        <x:v/>
      </x:c>
      <x:c r="C325" s="331" t="str">
        <x:f>IF($H325="","",IFERROR(INDEX('Game Records'!$A:$A,$H325),""))</x:f>
        <x:v/>
      </x:c>
      <x:c r="D325" s="331" t="str">
        <x:f>IF($H325="","",IFERROR(INDEX('Game Records'!$U:$U,$H325),""))</x:f>
        <x:v/>
      </x:c>
      <x:c r="E325" s="331" t="str">
        <x:f>IF($H325="","",IF($F325="","No Highlighted Fields","Highlighted Fields Present"))</x:f>
        <x:v/>
      </x:c>
      <x:c r="F325" s="331" t="str">
        <x:f>IF($H325="","",IF(INDEX('Game Records'!$B:$B,$H325)="","Start Date; ","")&amp;IF(INDEX('Game Records'!$C:$C,$H325)="","End Date; ","")&amp;IF(AND(INDEX('Game Records'!$U:$U,$H325)&lt;&gt;"Subscription",INDEX('Game Records'!$U:$U,$H325)&lt;&gt;"Free Game",INDEX('Game Records'!$U:$U,$H325)&lt;&gt;"Disqualified — Free Game",OR(INDEX('Game Records'!$D:$D,$H325)="",LOWER(INDEX('Game Records'!$D:$D,$H325)&amp;"")="n/a")),"Entry Mode; ","")&amp;IF(AND(INDEX('Game Records'!$U:$U,$H325)&lt;&gt;"Subscription",INDEX('Game Records'!$U:$U,$H325)&lt;&gt;"Free Game",INDEX('Game Records'!$U:$U,$H325)&lt;&gt;"Disqualified — Free Game",OR(INDEX('Game Records'!$E:$E,$H325)="",LOWER(INDEX('Game Records'!$E:$E,$H325)&amp;"")="n/a")),"Game Type; ","")&amp;IF(INDEX('Game Records'!$F:$F,$H325)="","Payment Type; ","")&amp;IF(AND(INDEX('Game Records'!$U:$U,$H325)&lt;&gt;"Subscription",INDEX('Game Records'!$U:$U,$H325)&lt;&gt;"Free Game",INDEX('Game Records'!$U:$U,$H325)&lt;&gt;"Disqualified — Free Game",INDEX('Game Records'!$G:$G,$H325)=""),"Gross Pot; ","")&amp;IF(AND(INDEX('Game Records'!$U:$U,$H325)&lt;&gt;"Free Game",INDEX('Game Records'!$U:$U,$H325)&lt;&gt;"Disqualified — Free Game",INDEX('Game Records'!$H:$H,$H325)=""),"Entry Fee; ","")&amp;IF(AND(INDEX('Game Records'!$U:$U,$H325)&lt;&gt;"Subscription",INDEX('Game Records'!$U:$U,$H325)&lt;&gt;"Free Game",INDEX('Game Records'!$U:$U,$H325)&lt;&gt;"Disqualified — Free Game",INDEX('Game Records'!$I:$I,$H325)=""),"Eligible Players; ","")&amp;IF(AND(INDEX('Game Records'!$U:$U,$H325)&lt;&gt;"Subscription",INDEX('Game Records'!$U:$U,$H325)&lt;&gt;"Free Game",INDEX('Game Records'!$U:$U,$H325)&lt;&gt;"Disqualified — Free Game",INDEX('Game Records'!$J:$J,$H325)=""),"Total Players; ","")&amp;IF(AND(LOWER(INDEX('Game Records'!$D:$D,$H325)&amp;"")="finalized",LOWER(INDEX('Game Records'!$L:$L,$H325)&amp;"")&lt;&gt;"yes",INDEX('Game Records'!$U:$U,$H325)&lt;&gt;"Subscription",INDEX('Game Records'!$U:$U,$H325)&lt;&gt;"Free Game",INDEX('Game Records'!$U:$U,$H325)&lt;&gt;"Disqualified — Free Game",INDEX('Game Records'!$K:$K,$H325)=""),"Final Earned; ","")&amp;IF(AND(LOWER(INDEX('Game Records'!$D:$D,$H325)&amp;"")="finalized",INDEX('Game Records'!$U:$U,$H325)&lt;&gt;"Subscription",INDEX('Game Records'!$U:$U,$H325)&lt;&gt;"Free Game",INDEX('Game Records'!$U:$U,$H325)&lt;&gt;"Disqualified — Free Game",OR(INDEX('Game Records'!$L:$L,$H325)="",LOWER(INDEX('Game Records'!$L:$L,$H325)&amp;"")="n/a")),"Disqualified Status; ",""))</x:f>
        <x:v/>
      </x:c>
      <x:c r="G325" s="331" t="str">
        <x:f>IF($H325="","",IFERROR(INDEX('Game Records'!$M:$M,$H325),""))</x:f>
        <x:v/>
      </x:c>
      <x:c r="H325" s="104" t="str">
        <x:f>IF($H324="","",IFERROR(MATCH(1,INDEX((ROW('Game Records'!$U$5:$U$504)&gt;$H324)*(('Game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6" ht="24" customHeight="1">
      <x:c r="A326" s="332" t="str">
        <x:f>IF($H326="","",ROWS($A$5:A326))</x:f>
        <x:v/>
      </x:c>
      <x:c r="B326" s="332" t="str">
        <x:f>IF($H326="","","G-"&amp;TEXT($A326,"0000"))</x:f>
        <x:v/>
      </x:c>
      <x:c r="C326" s="331" t="str">
        <x:f>IF($H326="","",IFERROR(INDEX('Game Records'!$A:$A,$H326),""))</x:f>
        <x:v/>
      </x:c>
      <x:c r="D326" s="331" t="str">
        <x:f>IF($H326="","",IFERROR(INDEX('Game Records'!$U:$U,$H326),""))</x:f>
        <x:v/>
      </x:c>
      <x:c r="E326" s="331" t="str">
        <x:f>IF($H326="","",IF($F326="","No Highlighted Fields","Highlighted Fields Present"))</x:f>
        <x:v/>
      </x:c>
      <x:c r="F326" s="331" t="str">
        <x:f>IF($H326="","",IF(INDEX('Game Records'!$B:$B,$H326)="","Start Date; ","")&amp;IF(INDEX('Game Records'!$C:$C,$H326)="","End Date; ","")&amp;IF(AND(INDEX('Game Records'!$U:$U,$H326)&lt;&gt;"Subscription",INDEX('Game Records'!$U:$U,$H326)&lt;&gt;"Free Game",INDEX('Game Records'!$U:$U,$H326)&lt;&gt;"Disqualified — Free Game",OR(INDEX('Game Records'!$D:$D,$H326)="",LOWER(INDEX('Game Records'!$D:$D,$H326)&amp;"")="n/a")),"Entry Mode; ","")&amp;IF(AND(INDEX('Game Records'!$U:$U,$H326)&lt;&gt;"Subscription",INDEX('Game Records'!$U:$U,$H326)&lt;&gt;"Free Game",INDEX('Game Records'!$U:$U,$H326)&lt;&gt;"Disqualified — Free Game",OR(INDEX('Game Records'!$E:$E,$H326)="",LOWER(INDEX('Game Records'!$E:$E,$H326)&amp;"")="n/a")),"Game Type; ","")&amp;IF(INDEX('Game Records'!$F:$F,$H326)="","Payment Type; ","")&amp;IF(AND(INDEX('Game Records'!$U:$U,$H326)&lt;&gt;"Subscription",INDEX('Game Records'!$U:$U,$H326)&lt;&gt;"Free Game",INDEX('Game Records'!$U:$U,$H326)&lt;&gt;"Disqualified — Free Game",INDEX('Game Records'!$G:$G,$H326)=""),"Gross Pot; ","")&amp;IF(AND(INDEX('Game Records'!$U:$U,$H326)&lt;&gt;"Free Game",INDEX('Game Records'!$U:$U,$H326)&lt;&gt;"Disqualified — Free Game",INDEX('Game Records'!$H:$H,$H326)=""),"Entry Fee; ","")&amp;IF(AND(INDEX('Game Records'!$U:$U,$H326)&lt;&gt;"Subscription",INDEX('Game Records'!$U:$U,$H326)&lt;&gt;"Free Game",INDEX('Game Records'!$U:$U,$H326)&lt;&gt;"Disqualified — Free Game",INDEX('Game Records'!$I:$I,$H326)=""),"Eligible Players; ","")&amp;IF(AND(INDEX('Game Records'!$U:$U,$H326)&lt;&gt;"Subscription",INDEX('Game Records'!$U:$U,$H326)&lt;&gt;"Free Game",INDEX('Game Records'!$U:$U,$H326)&lt;&gt;"Disqualified — Free Game",INDEX('Game Records'!$J:$J,$H326)=""),"Total Players; ","")&amp;IF(AND(LOWER(INDEX('Game Records'!$D:$D,$H326)&amp;"")="finalized",LOWER(INDEX('Game Records'!$L:$L,$H326)&amp;"")&lt;&gt;"yes",INDEX('Game Records'!$U:$U,$H326)&lt;&gt;"Subscription",INDEX('Game Records'!$U:$U,$H326)&lt;&gt;"Free Game",INDEX('Game Records'!$U:$U,$H326)&lt;&gt;"Disqualified — Free Game",INDEX('Game Records'!$K:$K,$H326)=""),"Final Earned; ","")&amp;IF(AND(LOWER(INDEX('Game Records'!$D:$D,$H326)&amp;"")="finalized",INDEX('Game Records'!$U:$U,$H326)&lt;&gt;"Subscription",INDEX('Game Records'!$U:$U,$H326)&lt;&gt;"Free Game",INDEX('Game Records'!$U:$U,$H326)&lt;&gt;"Disqualified — Free Game",OR(INDEX('Game Records'!$L:$L,$H326)="",LOWER(INDEX('Game Records'!$L:$L,$H326)&amp;"")="n/a")),"Disqualified Status; ",""))</x:f>
        <x:v/>
      </x:c>
      <x:c r="G326" s="331" t="str">
        <x:f>IF($H326="","",IFERROR(INDEX('Game Records'!$M:$M,$H326),""))</x:f>
        <x:v/>
      </x:c>
      <x:c r="H326" s="104" t="str">
        <x:f>IF($H325="","",IFERROR(MATCH(1,INDEX((ROW('Game Records'!$U$5:$U$504)&gt;$H325)*(('Game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7" ht="24" customHeight="1">
      <x:c r="A327" s="332" t="str">
        <x:f>IF($H327="","",ROWS($A$5:A327))</x:f>
        <x:v/>
      </x:c>
      <x:c r="B327" s="332" t="str">
        <x:f>IF($H327="","","G-"&amp;TEXT($A327,"0000"))</x:f>
        <x:v/>
      </x:c>
      <x:c r="C327" s="331" t="str">
        <x:f>IF($H327="","",IFERROR(INDEX('Game Records'!$A:$A,$H327),""))</x:f>
        <x:v/>
      </x:c>
      <x:c r="D327" s="331" t="str">
        <x:f>IF($H327="","",IFERROR(INDEX('Game Records'!$U:$U,$H327),""))</x:f>
        <x:v/>
      </x:c>
      <x:c r="E327" s="331" t="str">
        <x:f>IF($H327="","",IF($F327="","No Highlighted Fields","Highlighted Fields Present"))</x:f>
        <x:v/>
      </x:c>
      <x:c r="F327" s="331" t="str">
        <x:f>IF($H327="","",IF(INDEX('Game Records'!$B:$B,$H327)="","Start Date; ","")&amp;IF(INDEX('Game Records'!$C:$C,$H327)="","End Date; ","")&amp;IF(AND(INDEX('Game Records'!$U:$U,$H327)&lt;&gt;"Subscription",INDEX('Game Records'!$U:$U,$H327)&lt;&gt;"Free Game",INDEX('Game Records'!$U:$U,$H327)&lt;&gt;"Disqualified — Free Game",OR(INDEX('Game Records'!$D:$D,$H327)="",LOWER(INDEX('Game Records'!$D:$D,$H327)&amp;"")="n/a")),"Entry Mode; ","")&amp;IF(AND(INDEX('Game Records'!$U:$U,$H327)&lt;&gt;"Subscription",INDEX('Game Records'!$U:$U,$H327)&lt;&gt;"Free Game",INDEX('Game Records'!$U:$U,$H327)&lt;&gt;"Disqualified — Free Game",OR(INDEX('Game Records'!$E:$E,$H327)="",LOWER(INDEX('Game Records'!$E:$E,$H327)&amp;"")="n/a")),"Game Type; ","")&amp;IF(INDEX('Game Records'!$F:$F,$H327)="","Payment Type; ","")&amp;IF(AND(INDEX('Game Records'!$U:$U,$H327)&lt;&gt;"Subscription",INDEX('Game Records'!$U:$U,$H327)&lt;&gt;"Free Game",INDEX('Game Records'!$U:$U,$H327)&lt;&gt;"Disqualified — Free Game",INDEX('Game Records'!$G:$G,$H327)=""),"Gross Pot; ","")&amp;IF(AND(INDEX('Game Records'!$U:$U,$H327)&lt;&gt;"Free Game",INDEX('Game Records'!$U:$U,$H327)&lt;&gt;"Disqualified — Free Game",INDEX('Game Records'!$H:$H,$H327)=""),"Entry Fee; ","")&amp;IF(AND(INDEX('Game Records'!$U:$U,$H327)&lt;&gt;"Subscription",INDEX('Game Records'!$U:$U,$H327)&lt;&gt;"Free Game",INDEX('Game Records'!$U:$U,$H327)&lt;&gt;"Disqualified — Free Game",INDEX('Game Records'!$I:$I,$H327)=""),"Eligible Players; ","")&amp;IF(AND(INDEX('Game Records'!$U:$U,$H327)&lt;&gt;"Subscription",INDEX('Game Records'!$U:$U,$H327)&lt;&gt;"Free Game",INDEX('Game Records'!$U:$U,$H327)&lt;&gt;"Disqualified — Free Game",INDEX('Game Records'!$J:$J,$H327)=""),"Total Players; ","")&amp;IF(AND(LOWER(INDEX('Game Records'!$D:$D,$H327)&amp;"")="finalized",LOWER(INDEX('Game Records'!$L:$L,$H327)&amp;"")&lt;&gt;"yes",INDEX('Game Records'!$U:$U,$H327)&lt;&gt;"Subscription",INDEX('Game Records'!$U:$U,$H327)&lt;&gt;"Free Game",INDEX('Game Records'!$U:$U,$H327)&lt;&gt;"Disqualified — Free Game",INDEX('Game Records'!$K:$K,$H327)=""),"Final Earned; ","")&amp;IF(AND(LOWER(INDEX('Game Records'!$D:$D,$H327)&amp;"")="finalized",INDEX('Game Records'!$U:$U,$H327)&lt;&gt;"Subscription",INDEX('Game Records'!$U:$U,$H327)&lt;&gt;"Free Game",INDEX('Game Records'!$U:$U,$H327)&lt;&gt;"Disqualified — Free Game",OR(INDEX('Game Records'!$L:$L,$H327)="",LOWER(INDEX('Game Records'!$L:$L,$H327)&amp;"")="n/a")),"Disqualified Status; ",""))</x:f>
        <x:v/>
      </x:c>
      <x:c r="G327" s="331" t="str">
        <x:f>IF($H327="","",IFERROR(INDEX('Game Records'!$M:$M,$H327),""))</x:f>
        <x:v/>
      </x:c>
      <x:c r="H327" s="104" t="str">
        <x:f>IF($H326="","",IFERROR(MATCH(1,INDEX((ROW('Game Records'!$U$5:$U$504)&gt;$H326)*(('Game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8" ht="24" customHeight="1">
      <x:c r="A328" s="332" t="str">
        <x:f>IF($H328="","",ROWS($A$5:A328))</x:f>
        <x:v/>
      </x:c>
      <x:c r="B328" s="332" t="str">
        <x:f>IF($H328="","","G-"&amp;TEXT($A328,"0000"))</x:f>
        <x:v/>
      </x:c>
      <x:c r="C328" s="331" t="str">
        <x:f>IF($H328="","",IFERROR(INDEX('Game Records'!$A:$A,$H328),""))</x:f>
        <x:v/>
      </x:c>
      <x:c r="D328" s="331" t="str">
        <x:f>IF($H328="","",IFERROR(INDEX('Game Records'!$U:$U,$H328),""))</x:f>
        <x:v/>
      </x:c>
      <x:c r="E328" s="331" t="str">
        <x:f>IF($H328="","",IF($F328="","No Highlighted Fields","Highlighted Fields Present"))</x:f>
        <x:v/>
      </x:c>
      <x:c r="F328" s="331" t="str">
        <x:f>IF($H328="","",IF(INDEX('Game Records'!$B:$B,$H328)="","Start Date; ","")&amp;IF(INDEX('Game Records'!$C:$C,$H328)="","End Date; ","")&amp;IF(AND(INDEX('Game Records'!$U:$U,$H328)&lt;&gt;"Subscription",INDEX('Game Records'!$U:$U,$H328)&lt;&gt;"Free Game",INDEX('Game Records'!$U:$U,$H328)&lt;&gt;"Disqualified — Free Game",OR(INDEX('Game Records'!$D:$D,$H328)="",LOWER(INDEX('Game Records'!$D:$D,$H328)&amp;"")="n/a")),"Entry Mode; ","")&amp;IF(AND(INDEX('Game Records'!$U:$U,$H328)&lt;&gt;"Subscription",INDEX('Game Records'!$U:$U,$H328)&lt;&gt;"Free Game",INDEX('Game Records'!$U:$U,$H328)&lt;&gt;"Disqualified — Free Game",OR(INDEX('Game Records'!$E:$E,$H328)="",LOWER(INDEX('Game Records'!$E:$E,$H328)&amp;"")="n/a")),"Game Type; ","")&amp;IF(INDEX('Game Records'!$F:$F,$H328)="","Payment Type; ","")&amp;IF(AND(INDEX('Game Records'!$U:$U,$H328)&lt;&gt;"Subscription",INDEX('Game Records'!$U:$U,$H328)&lt;&gt;"Free Game",INDEX('Game Records'!$U:$U,$H328)&lt;&gt;"Disqualified — Free Game",INDEX('Game Records'!$G:$G,$H328)=""),"Gross Pot; ","")&amp;IF(AND(INDEX('Game Records'!$U:$U,$H328)&lt;&gt;"Free Game",INDEX('Game Records'!$U:$U,$H328)&lt;&gt;"Disqualified — Free Game",INDEX('Game Records'!$H:$H,$H328)=""),"Entry Fee; ","")&amp;IF(AND(INDEX('Game Records'!$U:$U,$H328)&lt;&gt;"Subscription",INDEX('Game Records'!$U:$U,$H328)&lt;&gt;"Free Game",INDEX('Game Records'!$U:$U,$H328)&lt;&gt;"Disqualified — Free Game",INDEX('Game Records'!$I:$I,$H328)=""),"Eligible Players; ","")&amp;IF(AND(INDEX('Game Records'!$U:$U,$H328)&lt;&gt;"Subscription",INDEX('Game Records'!$U:$U,$H328)&lt;&gt;"Free Game",INDEX('Game Records'!$U:$U,$H328)&lt;&gt;"Disqualified — Free Game",INDEX('Game Records'!$J:$J,$H328)=""),"Total Players; ","")&amp;IF(AND(LOWER(INDEX('Game Records'!$D:$D,$H328)&amp;"")="finalized",LOWER(INDEX('Game Records'!$L:$L,$H328)&amp;"")&lt;&gt;"yes",INDEX('Game Records'!$U:$U,$H328)&lt;&gt;"Subscription",INDEX('Game Records'!$U:$U,$H328)&lt;&gt;"Free Game",INDEX('Game Records'!$U:$U,$H328)&lt;&gt;"Disqualified — Free Game",INDEX('Game Records'!$K:$K,$H328)=""),"Final Earned; ","")&amp;IF(AND(LOWER(INDEX('Game Records'!$D:$D,$H328)&amp;"")="finalized",INDEX('Game Records'!$U:$U,$H328)&lt;&gt;"Subscription",INDEX('Game Records'!$U:$U,$H328)&lt;&gt;"Free Game",INDEX('Game Records'!$U:$U,$H328)&lt;&gt;"Disqualified — Free Game",OR(INDEX('Game Records'!$L:$L,$H328)="",LOWER(INDEX('Game Records'!$L:$L,$H328)&amp;"")="n/a")),"Disqualified Status; ",""))</x:f>
        <x:v/>
      </x:c>
      <x:c r="G328" s="331" t="str">
        <x:f>IF($H328="","",IFERROR(INDEX('Game Records'!$M:$M,$H328),""))</x:f>
        <x:v/>
      </x:c>
      <x:c r="H328" s="104" t="str">
        <x:f>IF($H327="","",IFERROR(MATCH(1,INDEX((ROW('Game Records'!$U$5:$U$504)&gt;$H327)*(('Game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29" ht="24" customHeight="1">
      <x:c r="A329" s="332" t="str">
        <x:f>IF($H329="","",ROWS($A$5:A329))</x:f>
        <x:v/>
      </x:c>
      <x:c r="B329" s="332" t="str">
        <x:f>IF($H329="","","G-"&amp;TEXT($A329,"0000"))</x:f>
        <x:v/>
      </x:c>
      <x:c r="C329" s="331" t="str">
        <x:f>IF($H329="","",IFERROR(INDEX('Game Records'!$A:$A,$H329),""))</x:f>
        <x:v/>
      </x:c>
      <x:c r="D329" s="331" t="str">
        <x:f>IF($H329="","",IFERROR(INDEX('Game Records'!$U:$U,$H329),""))</x:f>
        <x:v/>
      </x:c>
      <x:c r="E329" s="331" t="str">
        <x:f>IF($H329="","",IF($F329="","No Highlighted Fields","Highlighted Fields Present"))</x:f>
        <x:v/>
      </x:c>
      <x:c r="F329" s="331" t="str">
        <x:f>IF($H329="","",IF(INDEX('Game Records'!$B:$B,$H329)="","Start Date; ","")&amp;IF(INDEX('Game Records'!$C:$C,$H329)="","End Date; ","")&amp;IF(AND(INDEX('Game Records'!$U:$U,$H329)&lt;&gt;"Subscription",INDEX('Game Records'!$U:$U,$H329)&lt;&gt;"Free Game",INDEX('Game Records'!$U:$U,$H329)&lt;&gt;"Disqualified — Free Game",OR(INDEX('Game Records'!$D:$D,$H329)="",LOWER(INDEX('Game Records'!$D:$D,$H329)&amp;"")="n/a")),"Entry Mode; ","")&amp;IF(AND(INDEX('Game Records'!$U:$U,$H329)&lt;&gt;"Subscription",INDEX('Game Records'!$U:$U,$H329)&lt;&gt;"Free Game",INDEX('Game Records'!$U:$U,$H329)&lt;&gt;"Disqualified — Free Game",OR(INDEX('Game Records'!$E:$E,$H329)="",LOWER(INDEX('Game Records'!$E:$E,$H329)&amp;"")="n/a")),"Game Type; ","")&amp;IF(INDEX('Game Records'!$F:$F,$H329)="","Payment Type; ","")&amp;IF(AND(INDEX('Game Records'!$U:$U,$H329)&lt;&gt;"Subscription",INDEX('Game Records'!$U:$U,$H329)&lt;&gt;"Free Game",INDEX('Game Records'!$U:$U,$H329)&lt;&gt;"Disqualified — Free Game",INDEX('Game Records'!$G:$G,$H329)=""),"Gross Pot; ","")&amp;IF(AND(INDEX('Game Records'!$U:$U,$H329)&lt;&gt;"Free Game",INDEX('Game Records'!$U:$U,$H329)&lt;&gt;"Disqualified — Free Game",INDEX('Game Records'!$H:$H,$H329)=""),"Entry Fee; ","")&amp;IF(AND(INDEX('Game Records'!$U:$U,$H329)&lt;&gt;"Subscription",INDEX('Game Records'!$U:$U,$H329)&lt;&gt;"Free Game",INDEX('Game Records'!$U:$U,$H329)&lt;&gt;"Disqualified — Free Game",INDEX('Game Records'!$I:$I,$H329)=""),"Eligible Players; ","")&amp;IF(AND(INDEX('Game Records'!$U:$U,$H329)&lt;&gt;"Subscription",INDEX('Game Records'!$U:$U,$H329)&lt;&gt;"Free Game",INDEX('Game Records'!$U:$U,$H329)&lt;&gt;"Disqualified — Free Game",INDEX('Game Records'!$J:$J,$H329)=""),"Total Players; ","")&amp;IF(AND(LOWER(INDEX('Game Records'!$D:$D,$H329)&amp;"")="finalized",LOWER(INDEX('Game Records'!$L:$L,$H329)&amp;"")&lt;&gt;"yes",INDEX('Game Records'!$U:$U,$H329)&lt;&gt;"Subscription",INDEX('Game Records'!$U:$U,$H329)&lt;&gt;"Free Game",INDEX('Game Records'!$U:$U,$H329)&lt;&gt;"Disqualified — Free Game",INDEX('Game Records'!$K:$K,$H329)=""),"Final Earned; ","")&amp;IF(AND(LOWER(INDEX('Game Records'!$D:$D,$H329)&amp;"")="finalized",INDEX('Game Records'!$U:$U,$H329)&lt;&gt;"Subscription",INDEX('Game Records'!$U:$U,$H329)&lt;&gt;"Free Game",INDEX('Game Records'!$U:$U,$H329)&lt;&gt;"Disqualified — Free Game",OR(INDEX('Game Records'!$L:$L,$H329)="",LOWER(INDEX('Game Records'!$L:$L,$H329)&amp;"")="n/a")),"Disqualified Status; ",""))</x:f>
        <x:v/>
      </x:c>
      <x:c r="G329" s="331" t="str">
        <x:f>IF($H329="","",IFERROR(INDEX('Game Records'!$M:$M,$H329),""))</x:f>
        <x:v/>
      </x:c>
      <x:c r="H329" s="104" t="str">
        <x:f>IF($H328="","",IFERROR(MATCH(1,INDEX((ROW('Game Records'!$U$5:$U$504)&gt;$H328)*(('Game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0" ht="24" customHeight="1">
      <x:c r="A330" s="332" t="str">
        <x:f>IF($H330="","",ROWS($A$5:A330))</x:f>
        <x:v/>
      </x:c>
      <x:c r="B330" s="332" t="str">
        <x:f>IF($H330="","","G-"&amp;TEXT($A330,"0000"))</x:f>
        <x:v/>
      </x:c>
      <x:c r="C330" s="331" t="str">
        <x:f>IF($H330="","",IFERROR(INDEX('Game Records'!$A:$A,$H330),""))</x:f>
        <x:v/>
      </x:c>
      <x:c r="D330" s="331" t="str">
        <x:f>IF($H330="","",IFERROR(INDEX('Game Records'!$U:$U,$H330),""))</x:f>
        <x:v/>
      </x:c>
      <x:c r="E330" s="331" t="str">
        <x:f>IF($H330="","",IF($F330="","No Highlighted Fields","Highlighted Fields Present"))</x:f>
        <x:v/>
      </x:c>
      <x:c r="F330" s="331" t="str">
        <x:f>IF($H330="","",IF(INDEX('Game Records'!$B:$B,$H330)="","Start Date; ","")&amp;IF(INDEX('Game Records'!$C:$C,$H330)="","End Date; ","")&amp;IF(AND(INDEX('Game Records'!$U:$U,$H330)&lt;&gt;"Subscription",INDEX('Game Records'!$U:$U,$H330)&lt;&gt;"Free Game",INDEX('Game Records'!$U:$U,$H330)&lt;&gt;"Disqualified — Free Game",OR(INDEX('Game Records'!$D:$D,$H330)="",LOWER(INDEX('Game Records'!$D:$D,$H330)&amp;"")="n/a")),"Entry Mode; ","")&amp;IF(AND(INDEX('Game Records'!$U:$U,$H330)&lt;&gt;"Subscription",INDEX('Game Records'!$U:$U,$H330)&lt;&gt;"Free Game",INDEX('Game Records'!$U:$U,$H330)&lt;&gt;"Disqualified — Free Game",OR(INDEX('Game Records'!$E:$E,$H330)="",LOWER(INDEX('Game Records'!$E:$E,$H330)&amp;"")="n/a")),"Game Type; ","")&amp;IF(INDEX('Game Records'!$F:$F,$H330)="","Payment Type; ","")&amp;IF(AND(INDEX('Game Records'!$U:$U,$H330)&lt;&gt;"Subscription",INDEX('Game Records'!$U:$U,$H330)&lt;&gt;"Free Game",INDEX('Game Records'!$U:$U,$H330)&lt;&gt;"Disqualified — Free Game",INDEX('Game Records'!$G:$G,$H330)=""),"Gross Pot; ","")&amp;IF(AND(INDEX('Game Records'!$U:$U,$H330)&lt;&gt;"Free Game",INDEX('Game Records'!$U:$U,$H330)&lt;&gt;"Disqualified — Free Game",INDEX('Game Records'!$H:$H,$H330)=""),"Entry Fee; ","")&amp;IF(AND(INDEX('Game Records'!$U:$U,$H330)&lt;&gt;"Subscription",INDEX('Game Records'!$U:$U,$H330)&lt;&gt;"Free Game",INDEX('Game Records'!$U:$U,$H330)&lt;&gt;"Disqualified — Free Game",INDEX('Game Records'!$I:$I,$H330)=""),"Eligible Players; ","")&amp;IF(AND(INDEX('Game Records'!$U:$U,$H330)&lt;&gt;"Subscription",INDEX('Game Records'!$U:$U,$H330)&lt;&gt;"Free Game",INDEX('Game Records'!$U:$U,$H330)&lt;&gt;"Disqualified — Free Game",INDEX('Game Records'!$J:$J,$H330)=""),"Total Players; ","")&amp;IF(AND(LOWER(INDEX('Game Records'!$D:$D,$H330)&amp;"")="finalized",LOWER(INDEX('Game Records'!$L:$L,$H330)&amp;"")&lt;&gt;"yes",INDEX('Game Records'!$U:$U,$H330)&lt;&gt;"Subscription",INDEX('Game Records'!$U:$U,$H330)&lt;&gt;"Free Game",INDEX('Game Records'!$U:$U,$H330)&lt;&gt;"Disqualified — Free Game",INDEX('Game Records'!$K:$K,$H330)=""),"Final Earned; ","")&amp;IF(AND(LOWER(INDEX('Game Records'!$D:$D,$H330)&amp;"")="finalized",INDEX('Game Records'!$U:$U,$H330)&lt;&gt;"Subscription",INDEX('Game Records'!$U:$U,$H330)&lt;&gt;"Free Game",INDEX('Game Records'!$U:$U,$H330)&lt;&gt;"Disqualified — Free Game",OR(INDEX('Game Records'!$L:$L,$H330)="",LOWER(INDEX('Game Records'!$L:$L,$H330)&amp;"")="n/a")),"Disqualified Status; ",""))</x:f>
        <x:v/>
      </x:c>
      <x:c r="G330" s="331" t="str">
        <x:f>IF($H330="","",IFERROR(INDEX('Game Records'!$M:$M,$H330),""))</x:f>
        <x:v/>
      </x:c>
      <x:c r="H330" s="104" t="str">
        <x:f>IF($H329="","",IFERROR(MATCH(1,INDEX((ROW('Game Records'!$U$5:$U$504)&gt;$H329)*(('Game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1" ht="24" customHeight="1">
      <x:c r="A331" s="332" t="str">
        <x:f>IF($H331="","",ROWS($A$5:A331))</x:f>
        <x:v/>
      </x:c>
      <x:c r="B331" s="332" t="str">
        <x:f>IF($H331="","","G-"&amp;TEXT($A331,"0000"))</x:f>
        <x:v/>
      </x:c>
      <x:c r="C331" s="331" t="str">
        <x:f>IF($H331="","",IFERROR(INDEX('Game Records'!$A:$A,$H331),""))</x:f>
        <x:v/>
      </x:c>
      <x:c r="D331" s="331" t="str">
        <x:f>IF($H331="","",IFERROR(INDEX('Game Records'!$U:$U,$H331),""))</x:f>
        <x:v/>
      </x:c>
      <x:c r="E331" s="331" t="str">
        <x:f>IF($H331="","",IF($F331="","No Highlighted Fields","Highlighted Fields Present"))</x:f>
        <x:v/>
      </x:c>
      <x:c r="F331" s="331" t="str">
        <x:f>IF($H331="","",IF(INDEX('Game Records'!$B:$B,$H331)="","Start Date; ","")&amp;IF(INDEX('Game Records'!$C:$C,$H331)="","End Date; ","")&amp;IF(AND(INDEX('Game Records'!$U:$U,$H331)&lt;&gt;"Subscription",INDEX('Game Records'!$U:$U,$H331)&lt;&gt;"Free Game",INDEX('Game Records'!$U:$U,$H331)&lt;&gt;"Disqualified — Free Game",OR(INDEX('Game Records'!$D:$D,$H331)="",LOWER(INDEX('Game Records'!$D:$D,$H331)&amp;"")="n/a")),"Entry Mode; ","")&amp;IF(AND(INDEX('Game Records'!$U:$U,$H331)&lt;&gt;"Subscription",INDEX('Game Records'!$U:$U,$H331)&lt;&gt;"Free Game",INDEX('Game Records'!$U:$U,$H331)&lt;&gt;"Disqualified — Free Game",OR(INDEX('Game Records'!$E:$E,$H331)="",LOWER(INDEX('Game Records'!$E:$E,$H331)&amp;"")="n/a")),"Game Type; ","")&amp;IF(INDEX('Game Records'!$F:$F,$H331)="","Payment Type; ","")&amp;IF(AND(INDEX('Game Records'!$U:$U,$H331)&lt;&gt;"Subscription",INDEX('Game Records'!$U:$U,$H331)&lt;&gt;"Free Game",INDEX('Game Records'!$U:$U,$H331)&lt;&gt;"Disqualified — Free Game",INDEX('Game Records'!$G:$G,$H331)=""),"Gross Pot; ","")&amp;IF(AND(INDEX('Game Records'!$U:$U,$H331)&lt;&gt;"Free Game",INDEX('Game Records'!$U:$U,$H331)&lt;&gt;"Disqualified — Free Game",INDEX('Game Records'!$H:$H,$H331)=""),"Entry Fee; ","")&amp;IF(AND(INDEX('Game Records'!$U:$U,$H331)&lt;&gt;"Subscription",INDEX('Game Records'!$U:$U,$H331)&lt;&gt;"Free Game",INDEX('Game Records'!$U:$U,$H331)&lt;&gt;"Disqualified — Free Game",INDEX('Game Records'!$I:$I,$H331)=""),"Eligible Players; ","")&amp;IF(AND(INDEX('Game Records'!$U:$U,$H331)&lt;&gt;"Subscription",INDEX('Game Records'!$U:$U,$H331)&lt;&gt;"Free Game",INDEX('Game Records'!$U:$U,$H331)&lt;&gt;"Disqualified — Free Game",INDEX('Game Records'!$J:$J,$H331)=""),"Total Players; ","")&amp;IF(AND(LOWER(INDEX('Game Records'!$D:$D,$H331)&amp;"")="finalized",LOWER(INDEX('Game Records'!$L:$L,$H331)&amp;"")&lt;&gt;"yes",INDEX('Game Records'!$U:$U,$H331)&lt;&gt;"Subscription",INDEX('Game Records'!$U:$U,$H331)&lt;&gt;"Free Game",INDEX('Game Records'!$U:$U,$H331)&lt;&gt;"Disqualified — Free Game",INDEX('Game Records'!$K:$K,$H331)=""),"Final Earned; ","")&amp;IF(AND(LOWER(INDEX('Game Records'!$D:$D,$H331)&amp;"")="finalized",INDEX('Game Records'!$U:$U,$H331)&lt;&gt;"Subscription",INDEX('Game Records'!$U:$U,$H331)&lt;&gt;"Free Game",INDEX('Game Records'!$U:$U,$H331)&lt;&gt;"Disqualified — Free Game",OR(INDEX('Game Records'!$L:$L,$H331)="",LOWER(INDEX('Game Records'!$L:$L,$H331)&amp;"")="n/a")),"Disqualified Status; ",""))</x:f>
        <x:v/>
      </x:c>
      <x:c r="G331" s="331" t="str">
        <x:f>IF($H331="","",IFERROR(INDEX('Game Records'!$M:$M,$H331),""))</x:f>
        <x:v/>
      </x:c>
      <x:c r="H331" s="104" t="str">
        <x:f>IF($H330="","",IFERROR(MATCH(1,INDEX((ROW('Game Records'!$U$5:$U$504)&gt;$H330)*(('Game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2" ht="24" customHeight="1">
      <x:c r="A332" s="332" t="str">
        <x:f>IF($H332="","",ROWS($A$5:A332))</x:f>
        <x:v/>
      </x:c>
      <x:c r="B332" s="332" t="str">
        <x:f>IF($H332="","","G-"&amp;TEXT($A332,"0000"))</x:f>
        <x:v/>
      </x:c>
      <x:c r="C332" s="331" t="str">
        <x:f>IF($H332="","",IFERROR(INDEX('Game Records'!$A:$A,$H332),""))</x:f>
        <x:v/>
      </x:c>
      <x:c r="D332" s="331" t="str">
        <x:f>IF($H332="","",IFERROR(INDEX('Game Records'!$U:$U,$H332),""))</x:f>
        <x:v/>
      </x:c>
      <x:c r="E332" s="331" t="str">
        <x:f>IF($H332="","",IF($F332="","No Highlighted Fields","Highlighted Fields Present"))</x:f>
        <x:v/>
      </x:c>
      <x:c r="F332" s="331" t="str">
        <x:f>IF($H332="","",IF(INDEX('Game Records'!$B:$B,$H332)="","Start Date; ","")&amp;IF(INDEX('Game Records'!$C:$C,$H332)="","End Date; ","")&amp;IF(AND(INDEX('Game Records'!$U:$U,$H332)&lt;&gt;"Subscription",INDEX('Game Records'!$U:$U,$H332)&lt;&gt;"Free Game",INDEX('Game Records'!$U:$U,$H332)&lt;&gt;"Disqualified — Free Game",OR(INDEX('Game Records'!$D:$D,$H332)="",LOWER(INDEX('Game Records'!$D:$D,$H332)&amp;"")="n/a")),"Entry Mode; ","")&amp;IF(AND(INDEX('Game Records'!$U:$U,$H332)&lt;&gt;"Subscription",INDEX('Game Records'!$U:$U,$H332)&lt;&gt;"Free Game",INDEX('Game Records'!$U:$U,$H332)&lt;&gt;"Disqualified — Free Game",OR(INDEX('Game Records'!$E:$E,$H332)="",LOWER(INDEX('Game Records'!$E:$E,$H332)&amp;"")="n/a")),"Game Type; ","")&amp;IF(INDEX('Game Records'!$F:$F,$H332)="","Payment Type; ","")&amp;IF(AND(INDEX('Game Records'!$U:$U,$H332)&lt;&gt;"Subscription",INDEX('Game Records'!$U:$U,$H332)&lt;&gt;"Free Game",INDEX('Game Records'!$U:$U,$H332)&lt;&gt;"Disqualified — Free Game",INDEX('Game Records'!$G:$G,$H332)=""),"Gross Pot; ","")&amp;IF(AND(INDEX('Game Records'!$U:$U,$H332)&lt;&gt;"Free Game",INDEX('Game Records'!$U:$U,$H332)&lt;&gt;"Disqualified — Free Game",INDEX('Game Records'!$H:$H,$H332)=""),"Entry Fee; ","")&amp;IF(AND(INDEX('Game Records'!$U:$U,$H332)&lt;&gt;"Subscription",INDEX('Game Records'!$U:$U,$H332)&lt;&gt;"Free Game",INDEX('Game Records'!$U:$U,$H332)&lt;&gt;"Disqualified — Free Game",INDEX('Game Records'!$I:$I,$H332)=""),"Eligible Players; ","")&amp;IF(AND(INDEX('Game Records'!$U:$U,$H332)&lt;&gt;"Subscription",INDEX('Game Records'!$U:$U,$H332)&lt;&gt;"Free Game",INDEX('Game Records'!$U:$U,$H332)&lt;&gt;"Disqualified — Free Game",INDEX('Game Records'!$J:$J,$H332)=""),"Total Players; ","")&amp;IF(AND(LOWER(INDEX('Game Records'!$D:$D,$H332)&amp;"")="finalized",LOWER(INDEX('Game Records'!$L:$L,$H332)&amp;"")&lt;&gt;"yes",INDEX('Game Records'!$U:$U,$H332)&lt;&gt;"Subscription",INDEX('Game Records'!$U:$U,$H332)&lt;&gt;"Free Game",INDEX('Game Records'!$U:$U,$H332)&lt;&gt;"Disqualified — Free Game",INDEX('Game Records'!$K:$K,$H332)=""),"Final Earned; ","")&amp;IF(AND(LOWER(INDEX('Game Records'!$D:$D,$H332)&amp;"")="finalized",INDEX('Game Records'!$U:$U,$H332)&lt;&gt;"Subscription",INDEX('Game Records'!$U:$U,$H332)&lt;&gt;"Free Game",INDEX('Game Records'!$U:$U,$H332)&lt;&gt;"Disqualified — Free Game",OR(INDEX('Game Records'!$L:$L,$H332)="",LOWER(INDEX('Game Records'!$L:$L,$H332)&amp;"")="n/a")),"Disqualified Status; ",""))</x:f>
        <x:v/>
      </x:c>
      <x:c r="G332" s="331" t="str">
        <x:f>IF($H332="","",IFERROR(INDEX('Game Records'!$M:$M,$H332),""))</x:f>
        <x:v/>
      </x:c>
      <x:c r="H332" s="104" t="str">
        <x:f>IF($H331="","",IFERROR(MATCH(1,INDEX((ROW('Game Records'!$U$5:$U$504)&gt;$H331)*(('Game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3" ht="24" customHeight="1">
      <x:c r="A333" s="332" t="str">
        <x:f>IF($H333="","",ROWS($A$5:A333))</x:f>
        <x:v/>
      </x:c>
      <x:c r="B333" s="332" t="str">
        <x:f>IF($H333="","","G-"&amp;TEXT($A333,"0000"))</x:f>
        <x:v/>
      </x:c>
      <x:c r="C333" s="331" t="str">
        <x:f>IF($H333="","",IFERROR(INDEX('Game Records'!$A:$A,$H333),""))</x:f>
        <x:v/>
      </x:c>
      <x:c r="D333" s="331" t="str">
        <x:f>IF($H333="","",IFERROR(INDEX('Game Records'!$U:$U,$H333),""))</x:f>
        <x:v/>
      </x:c>
      <x:c r="E333" s="331" t="str">
        <x:f>IF($H333="","",IF($F333="","No Highlighted Fields","Highlighted Fields Present"))</x:f>
        <x:v/>
      </x:c>
      <x:c r="F333" s="331" t="str">
        <x:f>IF($H333="","",IF(INDEX('Game Records'!$B:$B,$H333)="","Start Date; ","")&amp;IF(INDEX('Game Records'!$C:$C,$H333)="","End Date; ","")&amp;IF(AND(INDEX('Game Records'!$U:$U,$H333)&lt;&gt;"Subscription",INDEX('Game Records'!$U:$U,$H333)&lt;&gt;"Free Game",INDEX('Game Records'!$U:$U,$H333)&lt;&gt;"Disqualified — Free Game",OR(INDEX('Game Records'!$D:$D,$H333)="",LOWER(INDEX('Game Records'!$D:$D,$H333)&amp;"")="n/a")),"Entry Mode; ","")&amp;IF(AND(INDEX('Game Records'!$U:$U,$H333)&lt;&gt;"Subscription",INDEX('Game Records'!$U:$U,$H333)&lt;&gt;"Free Game",INDEX('Game Records'!$U:$U,$H333)&lt;&gt;"Disqualified — Free Game",OR(INDEX('Game Records'!$E:$E,$H333)="",LOWER(INDEX('Game Records'!$E:$E,$H333)&amp;"")="n/a")),"Game Type; ","")&amp;IF(INDEX('Game Records'!$F:$F,$H333)="","Payment Type; ","")&amp;IF(AND(INDEX('Game Records'!$U:$U,$H333)&lt;&gt;"Subscription",INDEX('Game Records'!$U:$U,$H333)&lt;&gt;"Free Game",INDEX('Game Records'!$U:$U,$H333)&lt;&gt;"Disqualified — Free Game",INDEX('Game Records'!$G:$G,$H333)=""),"Gross Pot; ","")&amp;IF(AND(INDEX('Game Records'!$U:$U,$H333)&lt;&gt;"Free Game",INDEX('Game Records'!$U:$U,$H333)&lt;&gt;"Disqualified — Free Game",INDEX('Game Records'!$H:$H,$H333)=""),"Entry Fee; ","")&amp;IF(AND(INDEX('Game Records'!$U:$U,$H333)&lt;&gt;"Subscription",INDEX('Game Records'!$U:$U,$H333)&lt;&gt;"Free Game",INDEX('Game Records'!$U:$U,$H333)&lt;&gt;"Disqualified — Free Game",INDEX('Game Records'!$I:$I,$H333)=""),"Eligible Players; ","")&amp;IF(AND(INDEX('Game Records'!$U:$U,$H333)&lt;&gt;"Subscription",INDEX('Game Records'!$U:$U,$H333)&lt;&gt;"Free Game",INDEX('Game Records'!$U:$U,$H333)&lt;&gt;"Disqualified — Free Game",INDEX('Game Records'!$J:$J,$H333)=""),"Total Players; ","")&amp;IF(AND(LOWER(INDEX('Game Records'!$D:$D,$H333)&amp;"")="finalized",LOWER(INDEX('Game Records'!$L:$L,$H333)&amp;"")&lt;&gt;"yes",INDEX('Game Records'!$U:$U,$H333)&lt;&gt;"Subscription",INDEX('Game Records'!$U:$U,$H333)&lt;&gt;"Free Game",INDEX('Game Records'!$U:$U,$H333)&lt;&gt;"Disqualified — Free Game",INDEX('Game Records'!$K:$K,$H333)=""),"Final Earned; ","")&amp;IF(AND(LOWER(INDEX('Game Records'!$D:$D,$H333)&amp;"")="finalized",INDEX('Game Records'!$U:$U,$H333)&lt;&gt;"Subscription",INDEX('Game Records'!$U:$U,$H333)&lt;&gt;"Free Game",INDEX('Game Records'!$U:$U,$H333)&lt;&gt;"Disqualified — Free Game",OR(INDEX('Game Records'!$L:$L,$H333)="",LOWER(INDEX('Game Records'!$L:$L,$H333)&amp;"")="n/a")),"Disqualified Status; ",""))</x:f>
        <x:v/>
      </x:c>
      <x:c r="G333" s="331" t="str">
        <x:f>IF($H333="","",IFERROR(INDEX('Game Records'!$M:$M,$H333),""))</x:f>
        <x:v/>
      </x:c>
      <x:c r="H333" s="104" t="str">
        <x:f>IF($H332="","",IFERROR(MATCH(1,INDEX((ROW('Game Records'!$U$5:$U$504)&gt;$H332)*(('Game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4" ht="24" customHeight="1">
      <x:c r="A334" s="332" t="str">
        <x:f>IF($H334="","",ROWS($A$5:A334))</x:f>
        <x:v/>
      </x:c>
      <x:c r="B334" s="332" t="str">
        <x:f>IF($H334="","","G-"&amp;TEXT($A334,"0000"))</x:f>
        <x:v/>
      </x:c>
      <x:c r="C334" s="331" t="str">
        <x:f>IF($H334="","",IFERROR(INDEX('Game Records'!$A:$A,$H334),""))</x:f>
        <x:v/>
      </x:c>
      <x:c r="D334" s="331" t="str">
        <x:f>IF($H334="","",IFERROR(INDEX('Game Records'!$U:$U,$H334),""))</x:f>
        <x:v/>
      </x:c>
      <x:c r="E334" s="331" t="str">
        <x:f>IF($H334="","",IF($F334="","No Highlighted Fields","Highlighted Fields Present"))</x:f>
        <x:v/>
      </x:c>
      <x:c r="F334" s="331" t="str">
        <x:f>IF($H334="","",IF(INDEX('Game Records'!$B:$B,$H334)="","Start Date; ","")&amp;IF(INDEX('Game Records'!$C:$C,$H334)="","End Date; ","")&amp;IF(AND(INDEX('Game Records'!$U:$U,$H334)&lt;&gt;"Subscription",INDEX('Game Records'!$U:$U,$H334)&lt;&gt;"Free Game",INDEX('Game Records'!$U:$U,$H334)&lt;&gt;"Disqualified — Free Game",OR(INDEX('Game Records'!$D:$D,$H334)="",LOWER(INDEX('Game Records'!$D:$D,$H334)&amp;"")="n/a")),"Entry Mode; ","")&amp;IF(AND(INDEX('Game Records'!$U:$U,$H334)&lt;&gt;"Subscription",INDEX('Game Records'!$U:$U,$H334)&lt;&gt;"Free Game",INDEX('Game Records'!$U:$U,$H334)&lt;&gt;"Disqualified — Free Game",OR(INDEX('Game Records'!$E:$E,$H334)="",LOWER(INDEX('Game Records'!$E:$E,$H334)&amp;"")="n/a")),"Game Type; ","")&amp;IF(INDEX('Game Records'!$F:$F,$H334)="","Payment Type; ","")&amp;IF(AND(INDEX('Game Records'!$U:$U,$H334)&lt;&gt;"Subscription",INDEX('Game Records'!$U:$U,$H334)&lt;&gt;"Free Game",INDEX('Game Records'!$U:$U,$H334)&lt;&gt;"Disqualified — Free Game",INDEX('Game Records'!$G:$G,$H334)=""),"Gross Pot; ","")&amp;IF(AND(INDEX('Game Records'!$U:$U,$H334)&lt;&gt;"Free Game",INDEX('Game Records'!$U:$U,$H334)&lt;&gt;"Disqualified — Free Game",INDEX('Game Records'!$H:$H,$H334)=""),"Entry Fee; ","")&amp;IF(AND(INDEX('Game Records'!$U:$U,$H334)&lt;&gt;"Subscription",INDEX('Game Records'!$U:$U,$H334)&lt;&gt;"Free Game",INDEX('Game Records'!$U:$U,$H334)&lt;&gt;"Disqualified — Free Game",INDEX('Game Records'!$I:$I,$H334)=""),"Eligible Players; ","")&amp;IF(AND(INDEX('Game Records'!$U:$U,$H334)&lt;&gt;"Subscription",INDEX('Game Records'!$U:$U,$H334)&lt;&gt;"Free Game",INDEX('Game Records'!$U:$U,$H334)&lt;&gt;"Disqualified — Free Game",INDEX('Game Records'!$J:$J,$H334)=""),"Total Players; ","")&amp;IF(AND(LOWER(INDEX('Game Records'!$D:$D,$H334)&amp;"")="finalized",LOWER(INDEX('Game Records'!$L:$L,$H334)&amp;"")&lt;&gt;"yes",INDEX('Game Records'!$U:$U,$H334)&lt;&gt;"Subscription",INDEX('Game Records'!$U:$U,$H334)&lt;&gt;"Free Game",INDEX('Game Records'!$U:$U,$H334)&lt;&gt;"Disqualified — Free Game",INDEX('Game Records'!$K:$K,$H334)=""),"Final Earned; ","")&amp;IF(AND(LOWER(INDEX('Game Records'!$D:$D,$H334)&amp;"")="finalized",INDEX('Game Records'!$U:$U,$H334)&lt;&gt;"Subscription",INDEX('Game Records'!$U:$U,$H334)&lt;&gt;"Free Game",INDEX('Game Records'!$U:$U,$H334)&lt;&gt;"Disqualified — Free Game",OR(INDEX('Game Records'!$L:$L,$H334)="",LOWER(INDEX('Game Records'!$L:$L,$H334)&amp;"")="n/a")),"Disqualified Status; ",""))</x:f>
        <x:v/>
      </x:c>
      <x:c r="G334" s="331" t="str">
        <x:f>IF($H334="","",IFERROR(INDEX('Game Records'!$M:$M,$H334),""))</x:f>
        <x:v/>
      </x:c>
      <x:c r="H334" s="104" t="str">
        <x:f>IF($H333="","",IFERROR(MATCH(1,INDEX((ROW('Game Records'!$U$5:$U$504)&gt;$H333)*(('Game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5" ht="24" customHeight="1">
      <x:c r="A335" s="332" t="str">
        <x:f>IF($H335="","",ROWS($A$5:A335))</x:f>
        <x:v/>
      </x:c>
      <x:c r="B335" s="332" t="str">
        <x:f>IF($H335="","","G-"&amp;TEXT($A335,"0000"))</x:f>
        <x:v/>
      </x:c>
      <x:c r="C335" s="331" t="str">
        <x:f>IF($H335="","",IFERROR(INDEX('Game Records'!$A:$A,$H335),""))</x:f>
        <x:v/>
      </x:c>
      <x:c r="D335" s="331" t="str">
        <x:f>IF($H335="","",IFERROR(INDEX('Game Records'!$U:$U,$H335),""))</x:f>
        <x:v/>
      </x:c>
      <x:c r="E335" s="331" t="str">
        <x:f>IF($H335="","",IF($F335="","No Highlighted Fields","Highlighted Fields Present"))</x:f>
        <x:v/>
      </x:c>
      <x:c r="F335" s="331" t="str">
        <x:f>IF($H335="","",IF(INDEX('Game Records'!$B:$B,$H335)="","Start Date; ","")&amp;IF(INDEX('Game Records'!$C:$C,$H335)="","End Date; ","")&amp;IF(AND(INDEX('Game Records'!$U:$U,$H335)&lt;&gt;"Subscription",INDEX('Game Records'!$U:$U,$H335)&lt;&gt;"Free Game",INDEX('Game Records'!$U:$U,$H335)&lt;&gt;"Disqualified — Free Game",OR(INDEX('Game Records'!$D:$D,$H335)="",LOWER(INDEX('Game Records'!$D:$D,$H335)&amp;"")="n/a")),"Entry Mode; ","")&amp;IF(AND(INDEX('Game Records'!$U:$U,$H335)&lt;&gt;"Subscription",INDEX('Game Records'!$U:$U,$H335)&lt;&gt;"Free Game",INDEX('Game Records'!$U:$U,$H335)&lt;&gt;"Disqualified — Free Game",OR(INDEX('Game Records'!$E:$E,$H335)="",LOWER(INDEX('Game Records'!$E:$E,$H335)&amp;"")="n/a")),"Game Type; ","")&amp;IF(INDEX('Game Records'!$F:$F,$H335)="","Payment Type; ","")&amp;IF(AND(INDEX('Game Records'!$U:$U,$H335)&lt;&gt;"Subscription",INDEX('Game Records'!$U:$U,$H335)&lt;&gt;"Free Game",INDEX('Game Records'!$U:$U,$H335)&lt;&gt;"Disqualified — Free Game",INDEX('Game Records'!$G:$G,$H335)=""),"Gross Pot; ","")&amp;IF(AND(INDEX('Game Records'!$U:$U,$H335)&lt;&gt;"Free Game",INDEX('Game Records'!$U:$U,$H335)&lt;&gt;"Disqualified — Free Game",INDEX('Game Records'!$H:$H,$H335)=""),"Entry Fee; ","")&amp;IF(AND(INDEX('Game Records'!$U:$U,$H335)&lt;&gt;"Subscription",INDEX('Game Records'!$U:$U,$H335)&lt;&gt;"Free Game",INDEX('Game Records'!$U:$U,$H335)&lt;&gt;"Disqualified — Free Game",INDEX('Game Records'!$I:$I,$H335)=""),"Eligible Players; ","")&amp;IF(AND(INDEX('Game Records'!$U:$U,$H335)&lt;&gt;"Subscription",INDEX('Game Records'!$U:$U,$H335)&lt;&gt;"Free Game",INDEX('Game Records'!$U:$U,$H335)&lt;&gt;"Disqualified — Free Game",INDEX('Game Records'!$J:$J,$H335)=""),"Total Players; ","")&amp;IF(AND(LOWER(INDEX('Game Records'!$D:$D,$H335)&amp;"")="finalized",LOWER(INDEX('Game Records'!$L:$L,$H335)&amp;"")&lt;&gt;"yes",INDEX('Game Records'!$U:$U,$H335)&lt;&gt;"Subscription",INDEX('Game Records'!$U:$U,$H335)&lt;&gt;"Free Game",INDEX('Game Records'!$U:$U,$H335)&lt;&gt;"Disqualified — Free Game",INDEX('Game Records'!$K:$K,$H335)=""),"Final Earned; ","")&amp;IF(AND(LOWER(INDEX('Game Records'!$D:$D,$H335)&amp;"")="finalized",INDEX('Game Records'!$U:$U,$H335)&lt;&gt;"Subscription",INDEX('Game Records'!$U:$U,$H335)&lt;&gt;"Free Game",INDEX('Game Records'!$U:$U,$H335)&lt;&gt;"Disqualified — Free Game",OR(INDEX('Game Records'!$L:$L,$H335)="",LOWER(INDEX('Game Records'!$L:$L,$H335)&amp;"")="n/a")),"Disqualified Status; ",""))</x:f>
        <x:v/>
      </x:c>
      <x:c r="G335" s="331" t="str">
        <x:f>IF($H335="","",IFERROR(INDEX('Game Records'!$M:$M,$H335),""))</x:f>
        <x:v/>
      </x:c>
      <x:c r="H335" s="104" t="str">
        <x:f>IF($H334="","",IFERROR(MATCH(1,INDEX((ROW('Game Records'!$U$5:$U$504)&gt;$H334)*(('Game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6" ht="24" customHeight="1">
      <x:c r="A336" s="332" t="str">
        <x:f>IF($H336="","",ROWS($A$5:A336))</x:f>
        <x:v/>
      </x:c>
      <x:c r="B336" s="332" t="str">
        <x:f>IF($H336="","","G-"&amp;TEXT($A336,"0000"))</x:f>
        <x:v/>
      </x:c>
      <x:c r="C336" s="331" t="str">
        <x:f>IF($H336="","",IFERROR(INDEX('Game Records'!$A:$A,$H336),""))</x:f>
        <x:v/>
      </x:c>
      <x:c r="D336" s="331" t="str">
        <x:f>IF($H336="","",IFERROR(INDEX('Game Records'!$U:$U,$H336),""))</x:f>
        <x:v/>
      </x:c>
      <x:c r="E336" s="331" t="str">
        <x:f>IF($H336="","",IF($F336="","No Highlighted Fields","Highlighted Fields Present"))</x:f>
        <x:v/>
      </x:c>
      <x:c r="F336" s="331" t="str">
        <x:f>IF($H336="","",IF(INDEX('Game Records'!$B:$B,$H336)="","Start Date; ","")&amp;IF(INDEX('Game Records'!$C:$C,$H336)="","End Date; ","")&amp;IF(AND(INDEX('Game Records'!$U:$U,$H336)&lt;&gt;"Subscription",INDEX('Game Records'!$U:$U,$H336)&lt;&gt;"Free Game",INDEX('Game Records'!$U:$U,$H336)&lt;&gt;"Disqualified — Free Game",OR(INDEX('Game Records'!$D:$D,$H336)="",LOWER(INDEX('Game Records'!$D:$D,$H336)&amp;"")="n/a")),"Entry Mode; ","")&amp;IF(AND(INDEX('Game Records'!$U:$U,$H336)&lt;&gt;"Subscription",INDEX('Game Records'!$U:$U,$H336)&lt;&gt;"Free Game",INDEX('Game Records'!$U:$U,$H336)&lt;&gt;"Disqualified — Free Game",OR(INDEX('Game Records'!$E:$E,$H336)="",LOWER(INDEX('Game Records'!$E:$E,$H336)&amp;"")="n/a")),"Game Type; ","")&amp;IF(INDEX('Game Records'!$F:$F,$H336)="","Payment Type; ","")&amp;IF(AND(INDEX('Game Records'!$U:$U,$H336)&lt;&gt;"Subscription",INDEX('Game Records'!$U:$U,$H336)&lt;&gt;"Free Game",INDEX('Game Records'!$U:$U,$H336)&lt;&gt;"Disqualified — Free Game",INDEX('Game Records'!$G:$G,$H336)=""),"Gross Pot; ","")&amp;IF(AND(INDEX('Game Records'!$U:$U,$H336)&lt;&gt;"Free Game",INDEX('Game Records'!$U:$U,$H336)&lt;&gt;"Disqualified — Free Game",INDEX('Game Records'!$H:$H,$H336)=""),"Entry Fee; ","")&amp;IF(AND(INDEX('Game Records'!$U:$U,$H336)&lt;&gt;"Subscription",INDEX('Game Records'!$U:$U,$H336)&lt;&gt;"Free Game",INDEX('Game Records'!$U:$U,$H336)&lt;&gt;"Disqualified — Free Game",INDEX('Game Records'!$I:$I,$H336)=""),"Eligible Players; ","")&amp;IF(AND(INDEX('Game Records'!$U:$U,$H336)&lt;&gt;"Subscription",INDEX('Game Records'!$U:$U,$H336)&lt;&gt;"Free Game",INDEX('Game Records'!$U:$U,$H336)&lt;&gt;"Disqualified — Free Game",INDEX('Game Records'!$J:$J,$H336)=""),"Total Players; ","")&amp;IF(AND(LOWER(INDEX('Game Records'!$D:$D,$H336)&amp;"")="finalized",LOWER(INDEX('Game Records'!$L:$L,$H336)&amp;"")&lt;&gt;"yes",INDEX('Game Records'!$U:$U,$H336)&lt;&gt;"Subscription",INDEX('Game Records'!$U:$U,$H336)&lt;&gt;"Free Game",INDEX('Game Records'!$U:$U,$H336)&lt;&gt;"Disqualified — Free Game",INDEX('Game Records'!$K:$K,$H336)=""),"Final Earned; ","")&amp;IF(AND(LOWER(INDEX('Game Records'!$D:$D,$H336)&amp;"")="finalized",INDEX('Game Records'!$U:$U,$H336)&lt;&gt;"Subscription",INDEX('Game Records'!$U:$U,$H336)&lt;&gt;"Free Game",INDEX('Game Records'!$U:$U,$H336)&lt;&gt;"Disqualified — Free Game",OR(INDEX('Game Records'!$L:$L,$H336)="",LOWER(INDEX('Game Records'!$L:$L,$H336)&amp;"")="n/a")),"Disqualified Status; ",""))</x:f>
        <x:v/>
      </x:c>
      <x:c r="G336" s="331" t="str">
        <x:f>IF($H336="","",IFERROR(INDEX('Game Records'!$M:$M,$H336),""))</x:f>
        <x:v/>
      </x:c>
      <x:c r="H336" s="104" t="str">
        <x:f>IF($H335="","",IFERROR(MATCH(1,INDEX((ROW('Game Records'!$U$5:$U$504)&gt;$H335)*(('Game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7" ht="24" customHeight="1">
      <x:c r="A337" s="332" t="str">
        <x:f>IF($H337="","",ROWS($A$5:A337))</x:f>
        <x:v/>
      </x:c>
      <x:c r="B337" s="332" t="str">
        <x:f>IF($H337="","","G-"&amp;TEXT($A337,"0000"))</x:f>
        <x:v/>
      </x:c>
      <x:c r="C337" s="331" t="str">
        <x:f>IF($H337="","",IFERROR(INDEX('Game Records'!$A:$A,$H337),""))</x:f>
        <x:v/>
      </x:c>
      <x:c r="D337" s="331" t="str">
        <x:f>IF($H337="","",IFERROR(INDEX('Game Records'!$U:$U,$H337),""))</x:f>
        <x:v/>
      </x:c>
      <x:c r="E337" s="331" t="str">
        <x:f>IF($H337="","",IF($F337="","No Highlighted Fields","Highlighted Fields Present"))</x:f>
        <x:v/>
      </x:c>
      <x:c r="F337" s="331" t="str">
        <x:f>IF($H337="","",IF(INDEX('Game Records'!$B:$B,$H337)="","Start Date; ","")&amp;IF(INDEX('Game Records'!$C:$C,$H337)="","End Date; ","")&amp;IF(AND(INDEX('Game Records'!$U:$U,$H337)&lt;&gt;"Subscription",INDEX('Game Records'!$U:$U,$H337)&lt;&gt;"Free Game",INDEX('Game Records'!$U:$U,$H337)&lt;&gt;"Disqualified — Free Game",OR(INDEX('Game Records'!$D:$D,$H337)="",LOWER(INDEX('Game Records'!$D:$D,$H337)&amp;"")="n/a")),"Entry Mode; ","")&amp;IF(AND(INDEX('Game Records'!$U:$U,$H337)&lt;&gt;"Subscription",INDEX('Game Records'!$U:$U,$H337)&lt;&gt;"Free Game",INDEX('Game Records'!$U:$U,$H337)&lt;&gt;"Disqualified — Free Game",OR(INDEX('Game Records'!$E:$E,$H337)="",LOWER(INDEX('Game Records'!$E:$E,$H337)&amp;"")="n/a")),"Game Type; ","")&amp;IF(INDEX('Game Records'!$F:$F,$H337)="","Payment Type; ","")&amp;IF(AND(INDEX('Game Records'!$U:$U,$H337)&lt;&gt;"Subscription",INDEX('Game Records'!$U:$U,$H337)&lt;&gt;"Free Game",INDEX('Game Records'!$U:$U,$H337)&lt;&gt;"Disqualified — Free Game",INDEX('Game Records'!$G:$G,$H337)=""),"Gross Pot; ","")&amp;IF(AND(INDEX('Game Records'!$U:$U,$H337)&lt;&gt;"Free Game",INDEX('Game Records'!$U:$U,$H337)&lt;&gt;"Disqualified — Free Game",INDEX('Game Records'!$H:$H,$H337)=""),"Entry Fee; ","")&amp;IF(AND(INDEX('Game Records'!$U:$U,$H337)&lt;&gt;"Subscription",INDEX('Game Records'!$U:$U,$H337)&lt;&gt;"Free Game",INDEX('Game Records'!$U:$U,$H337)&lt;&gt;"Disqualified — Free Game",INDEX('Game Records'!$I:$I,$H337)=""),"Eligible Players; ","")&amp;IF(AND(INDEX('Game Records'!$U:$U,$H337)&lt;&gt;"Subscription",INDEX('Game Records'!$U:$U,$H337)&lt;&gt;"Free Game",INDEX('Game Records'!$U:$U,$H337)&lt;&gt;"Disqualified — Free Game",INDEX('Game Records'!$J:$J,$H337)=""),"Total Players; ","")&amp;IF(AND(LOWER(INDEX('Game Records'!$D:$D,$H337)&amp;"")="finalized",LOWER(INDEX('Game Records'!$L:$L,$H337)&amp;"")&lt;&gt;"yes",INDEX('Game Records'!$U:$U,$H337)&lt;&gt;"Subscription",INDEX('Game Records'!$U:$U,$H337)&lt;&gt;"Free Game",INDEX('Game Records'!$U:$U,$H337)&lt;&gt;"Disqualified — Free Game",INDEX('Game Records'!$K:$K,$H337)=""),"Final Earned; ","")&amp;IF(AND(LOWER(INDEX('Game Records'!$D:$D,$H337)&amp;"")="finalized",INDEX('Game Records'!$U:$U,$H337)&lt;&gt;"Subscription",INDEX('Game Records'!$U:$U,$H337)&lt;&gt;"Free Game",INDEX('Game Records'!$U:$U,$H337)&lt;&gt;"Disqualified — Free Game",OR(INDEX('Game Records'!$L:$L,$H337)="",LOWER(INDEX('Game Records'!$L:$L,$H337)&amp;"")="n/a")),"Disqualified Status; ",""))</x:f>
        <x:v/>
      </x:c>
      <x:c r="G337" s="331" t="str">
        <x:f>IF($H337="","",IFERROR(INDEX('Game Records'!$M:$M,$H337),""))</x:f>
        <x:v/>
      </x:c>
      <x:c r="H337" s="104" t="str">
        <x:f>IF($H336="","",IFERROR(MATCH(1,INDEX((ROW('Game Records'!$U$5:$U$504)&gt;$H336)*(('Game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8" ht="24" customHeight="1">
      <x:c r="A338" s="332" t="str">
        <x:f>IF($H338="","",ROWS($A$5:A338))</x:f>
        <x:v/>
      </x:c>
      <x:c r="B338" s="332" t="str">
        <x:f>IF($H338="","","G-"&amp;TEXT($A338,"0000"))</x:f>
        <x:v/>
      </x:c>
      <x:c r="C338" s="331" t="str">
        <x:f>IF($H338="","",IFERROR(INDEX('Game Records'!$A:$A,$H338),""))</x:f>
        <x:v/>
      </x:c>
      <x:c r="D338" s="331" t="str">
        <x:f>IF($H338="","",IFERROR(INDEX('Game Records'!$U:$U,$H338),""))</x:f>
        <x:v/>
      </x:c>
      <x:c r="E338" s="331" t="str">
        <x:f>IF($H338="","",IF($F338="","No Highlighted Fields","Highlighted Fields Present"))</x:f>
        <x:v/>
      </x:c>
      <x:c r="F338" s="331" t="str">
        <x:f>IF($H338="","",IF(INDEX('Game Records'!$B:$B,$H338)="","Start Date; ","")&amp;IF(INDEX('Game Records'!$C:$C,$H338)="","End Date; ","")&amp;IF(AND(INDEX('Game Records'!$U:$U,$H338)&lt;&gt;"Subscription",INDEX('Game Records'!$U:$U,$H338)&lt;&gt;"Free Game",INDEX('Game Records'!$U:$U,$H338)&lt;&gt;"Disqualified — Free Game",OR(INDEX('Game Records'!$D:$D,$H338)="",LOWER(INDEX('Game Records'!$D:$D,$H338)&amp;"")="n/a")),"Entry Mode; ","")&amp;IF(AND(INDEX('Game Records'!$U:$U,$H338)&lt;&gt;"Subscription",INDEX('Game Records'!$U:$U,$H338)&lt;&gt;"Free Game",INDEX('Game Records'!$U:$U,$H338)&lt;&gt;"Disqualified — Free Game",OR(INDEX('Game Records'!$E:$E,$H338)="",LOWER(INDEX('Game Records'!$E:$E,$H338)&amp;"")="n/a")),"Game Type; ","")&amp;IF(INDEX('Game Records'!$F:$F,$H338)="","Payment Type; ","")&amp;IF(AND(INDEX('Game Records'!$U:$U,$H338)&lt;&gt;"Subscription",INDEX('Game Records'!$U:$U,$H338)&lt;&gt;"Free Game",INDEX('Game Records'!$U:$U,$H338)&lt;&gt;"Disqualified — Free Game",INDEX('Game Records'!$G:$G,$H338)=""),"Gross Pot; ","")&amp;IF(AND(INDEX('Game Records'!$U:$U,$H338)&lt;&gt;"Free Game",INDEX('Game Records'!$U:$U,$H338)&lt;&gt;"Disqualified — Free Game",INDEX('Game Records'!$H:$H,$H338)=""),"Entry Fee; ","")&amp;IF(AND(INDEX('Game Records'!$U:$U,$H338)&lt;&gt;"Subscription",INDEX('Game Records'!$U:$U,$H338)&lt;&gt;"Free Game",INDEX('Game Records'!$U:$U,$H338)&lt;&gt;"Disqualified — Free Game",INDEX('Game Records'!$I:$I,$H338)=""),"Eligible Players; ","")&amp;IF(AND(INDEX('Game Records'!$U:$U,$H338)&lt;&gt;"Subscription",INDEX('Game Records'!$U:$U,$H338)&lt;&gt;"Free Game",INDEX('Game Records'!$U:$U,$H338)&lt;&gt;"Disqualified — Free Game",INDEX('Game Records'!$J:$J,$H338)=""),"Total Players; ","")&amp;IF(AND(LOWER(INDEX('Game Records'!$D:$D,$H338)&amp;"")="finalized",LOWER(INDEX('Game Records'!$L:$L,$H338)&amp;"")&lt;&gt;"yes",INDEX('Game Records'!$U:$U,$H338)&lt;&gt;"Subscription",INDEX('Game Records'!$U:$U,$H338)&lt;&gt;"Free Game",INDEX('Game Records'!$U:$U,$H338)&lt;&gt;"Disqualified — Free Game",INDEX('Game Records'!$K:$K,$H338)=""),"Final Earned; ","")&amp;IF(AND(LOWER(INDEX('Game Records'!$D:$D,$H338)&amp;"")="finalized",INDEX('Game Records'!$U:$U,$H338)&lt;&gt;"Subscription",INDEX('Game Records'!$U:$U,$H338)&lt;&gt;"Free Game",INDEX('Game Records'!$U:$U,$H338)&lt;&gt;"Disqualified — Free Game",OR(INDEX('Game Records'!$L:$L,$H338)="",LOWER(INDEX('Game Records'!$L:$L,$H338)&amp;"")="n/a")),"Disqualified Status; ",""))</x:f>
        <x:v/>
      </x:c>
      <x:c r="G338" s="331" t="str">
        <x:f>IF($H338="","",IFERROR(INDEX('Game Records'!$M:$M,$H338),""))</x:f>
        <x:v/>
      </x:c>
      <x:c r="H338" s="104" t="str">
        <x:f>IF($H337="","",IFERROR(MATCH(1,INDEX((ROW('Game Records'!$U$5:$U$504)&gt;$H337)*(('Game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39" ht="24" customHeight="1">
      <x:c r="A339" s="332" t="str">
        <x:f>IF($H339="","",ROWS($A$5:A339))</x:f>
        <x:v/>
      </x:c>
      <x:c r="B339" s="332" t="str">
        <x:f>IF($H339="","","G-"&amp;TEXT($A339,"0000"))</x:f>
        <x:v/>
      </x:c>
      <x:c r="C339" s="331" t="str">
        <x:f>IF($H339="","",IFERROR(INDEX('Game Records'!$A:$A,$H339),""))</x:f>
        <x:v/>
      </x:c>
      <x:c r="D339" s="331" t="str">
        <x:f>IF($H339="","",IFERROR(INDEX('Game Records'!$U:$U,$H339),""))</x:f>
        <x:v/>
      </x:c>
      <x:c r="E339" s="331" t="str">
        <x:f>IF($H339="","",IF($F339="","No Highlighted Fields","Highlighted Fields Present"))</x:f>
        <x:v/>
      </x:c>
      <x:c r="F339" s="331" t="str">
        <x:f>IF($H339="","",IF(INDEX('Game Records'!$B:$B,$H339)="","Start Date; ","")&amp;IF(INDEX('Game Records'!$C:$C,$H339)="","End Date; ","")&amp;IF(AND(INDEX('Game Records'!$U:$U,$H339)&lt;&gt;"Subscription",INDEX('Game Records'!$U:$U,$H339)&lt;&gt;"Free Game",INDEX('Game Records'!$U:$U,$H339)&lt;&gt;"Disqualified — Free Game",OR(INDEX('Game Records'!$D:$D,$H339)="",LOWER(INDEX('Game Records'!$D:$D,$H339)&amp;"")="n/a")),"Entry Mode; ","")&amp;IF(AND(INDEX('Game Records'!$U:$U,$H339)&lt;&gt;"Subscription",INDEX('Game Records'!$U:$U,$H339)&lt;&gt;"Free Game",INDEX('Game Records'!$U:$U,$H339)&lt;&gt;"Disqualified — Free Game",OR(INDEX('Game Records'!$E:$E,$H339)="",LOWER(INDEX('Game Records'!$E:$E,$H339)&amp;"")="n/a")),"Game Type; ","")&amp;IF(INDEX('Game Records'!$F:$F,$H339)="","Payment Type; ","")&amp;IF(AND(INDEX('Game Records'!$U:$U,$H339)&lt;&gt;"Subscription",INDEX('Game Records'!$U:$U,$H339)&lt;&gt;"Free Game",INDEX('Game Records'!$U:$U,$H339)&lt;&gt;"Disqualified — Free Game",INDEX('Game Records'!$G:$G,$H339)=""),"Gross Pot; ","")&amp;IF(AND(INDEX('Game Records'!$U:$U,$H339)&lt;&gt;"Free Game",INDEX('Game Records'!$U:$U,$H339)&lt;&gt;"Disqualified — Free Game",INDEX('Game Records'!$H:$H,$H339)=""),"Entry Fee; ","")&amp;IF(AND(INDEX('Game Records'!$U:$U,$H339)&lt;&gt;"Subscription",INDEX('Game Records'!$U:$U,$H339)&lt;&gt;"Free Game",INDEX('Game Records'!$U:$U,$H339)&lt;&gt;"Disqualified — Free Game",INDEX('Game Records'!$I:$I,$H339)=""),"Eligible Players; ","")&amp;IF(AND(INDEX('Game Records'!$U:$U,$H339)&lt;&gt;"Subscription",INDEX('Game Records'!$U:$U,$H339)&lt;&gt;"Free Game",INDEX('Game Records'!$U:$U,$H339)&lt;&gt;"Disqualified — Free Game",INDEX('Game Records'!$J:$J,$H339)=""),"Total Players; ","")&amp;IF(AND(LOWER(INDEX('Game Records'!$D:$D,$H339)&amp;"")="finalized",LOWER(INDEX('Game Records'!$L:$L,$H339)&amp;"")&lt;&gt;"yes",INDEX('Game Records'!$U:$U,$H339)&lt;&gt;"Subscription",INDEX('Game Records'!$U:$U,$H339)&lt;&gt;"Free Game",INDEX('Game Records'!$U:$U,$H339)&lt;&gt;"Disqualified — Free Game",INDEX('Game Records'!$K:$K,$H339)=""),"Final Earned; ","")&amp;IF(AND(LOWER(INDEX('Game Records'!$D:$D,$H339)&amp;"")="finalized",INDEX('Game Records'!$U:$U,$H339)&lt;&gt;"Subscription",INDEX('Game Records'!$U:$U,$H339)&lt;&gt;"Free Game",INDEX('Game Records'!$U:$U,$H339)&lt;&gt;"Disqualified — Free Game",OR(INDEX('Game Records'!$L:$L,$H339)="",LOWER(INDEX('Game Records'!$L:$L,$H339)&amp;"")="n/a")),"Disqualified Status; ",""))</x:f>
        <x:v/>
      </x:c>
      <x:c r="G339" s="331" t="str">
        <x:f>IF($H339="","",IFERROR(INDEX('Game Records'!$M:$M,$H339),""))</x:f>
        <x:v/>
      </x:c>
      <x:c r="H339" s="104" t="str">
        <x:f>IF($H338="","",IFERROR(MATCH(1,INDEX((ROW('Game Records'!$U$5:$U$504)&gt;$H338)*(('Game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0" ht="24" customHeight="1">
      <x:c r="A340" s="332" t="str">
        <x:f>IF($H340="","",ROWS($A$5:A340))</x:f>
        <x:v/>
      </x:c>
      <x:c r="B340" s="332" t="str">
        <x:f>IF($H340="","","G-"&amp;TEXT($A340,"0000"))</x:f>
        <x:v/>
      </x:c>
      <x:c r="C340" s="331" t="str">
        <x:f>IF($H340="","",IFERROR(INDEX('Game Records'!$A:$A,$H340),""))</x:f>
        <x:v/>
      </x:c>
      <x:c r="D340" s="331" t="str">
        <x:f>IF($H340="","",IFERROR(INDEX('Game Records'!$U:$U,$H340),""))</x:f>
        <x:v/>
      </x:c>
      <x:c r="E340" s="331" t="str">
        <x:f>IF($H340="","",IF($F340="","No Highlighted Fields","Highlighted Fields Present"))</x:f>
        <x:v/>
      </x:c>
      <x:c r="F340" s="331" t="str">
        <x:f>IF($H340="","",IF(INDEX('Game Records'!$B:$B,$H340)="","Start Date; ","")&amp;IF(INDEX('Game Records'!$C:$C,$H340)="","End Date; ","")&amp;IF(AND(INDEX('Game Records'!$U:$U,$H340)&lt;&gt;"Subscription",INDEX('Game Records'!$U:$U,$H340)&lt;&gt;"Free Game",INDEX('Game Records'!$U:$U,$H340)&lt;&gt;"Disqualified — Free Game",OR(INDEX('Game Records'!$D:$D,$H340)="",LOWER(INDEX('Game Records'!$D:$D,$H340)&amp;"")="n/a")),"Entry Mode; ","")&amp;IF(AND(INDEX('Game Records'!$U:$U,$H340)&lt;&gt;"Subscription",INDEX('Game Records'!$U:$U,$H340)&lt;&gt;"Free Game",INDEX('Game Records'!$U:$U,$H340)&lt;&gt;"Disqualified — Free Game",OR(INDEX('Game Records'!$E:$E,$H340)="",LOWER(INDEX('Game Records'!$E:$E,$H340)&amp;"")="n/a")),"Game Type; ","")&amp;IF(INDEX('Game Records'!$F:$F,$H340)="","Payment Type; ","")&amp;IF(AND(INDEX('Game Records'!$U:$U,$H340)&lt;&gt;"Subscription",INDEX('Game Records'!$U:$U,$H340)&lt;&gt;"Free Game",INDEX('Game Records'!$U:$U,$H340)&lt;&gt;"Disqualified — Free Game",INDEX('Game Records'!$G:$G,$H340)=""),"Gross Pot; ","")&amp;IF(AND(INDEX('Game Records'!$U:$U,$H340)&lt;&gt;"Free Game",INDEX('Game Records'!$U:$U,$H340)&lt;&gt;"Disqualified — Free Game",INDEX('Game Records'!$H:$H,$H340)=""),"Entry Fee; ","")&amp;IF(AND(INDEX('Game Records'!$U:$U,$H340)&lt;&gt;"Subscription",INDEX('Game Records'!$U:$U,$H340)&lt;&gt;"Free Game",INDEX('Game Records'!$U:$U,$H340)&lt;&gt;"Disqualified — Free Game",INDEX('Game Records'!$I:$I,$H340)=""),"Eligible Players; ","")&amp;IF(AND(INDEX('Game Records'!$U:$U,$H340)&lt;&gt;"Subscription",INDEX('Game Records'!$U:$U,$H340)&lt;&gt;"Free Game",INDEX('Game Records'!$U:$U,$H340)&lt;&gt;"Disqualified — Free Game",INDEX('Game Records'!$J:$J,$H340)=""),"Total Players; ","")&amp;IF(AND(LOWER(INDEX('Game Records'!$D:$D,$H340)&amp;"")="finalized",LOWER(INDEX('Game Records'!$L:$L,$H340)&amp;"")&lt;&gt;"yes",INDEX('Game Records'!$U:$U,$H340)&lt;&gt;"Subscription",INDEX('Game Records'!$U:$U,$H340)&lt;&gt;"Free Game",INDEX('Game Records'!$U:$U,$H340)&lt;&gt;"Disqualified — Free Game",INDEX('Game Records'!$K:$K,$H340)=""),"Final Earned; ","")&amp;IF(AND(LOWER(INDEX('Game Records'!$D:$D,$H340)&amp;"")="finalized",INDEX('Game Records'!$U:$U,$H340)&lt;&gt;"Subscription",INDEX('Game Records'!$U:$U,$H340)&lt;&gt;"Free Game",INDEX('Game Records'!$U:$U,$H340)&lt;&gt;"Disqualified — Free Game",OR(INDEX('Game Records'!$L:$L,$H340)="",LOWER(INDEX('Game Records'!$L:$L,$H340)&amp;"")="n/a")),"Disqualified Status; ",""))</x:f>
        <x:v/>
      </x:c>
      <x:c r="G340" s="331" t="str">
        <x:f>IF($H340="","",IFERROR(INDEX('Game Records'!$M:$M,$H340),""))</x:f>
        <x:v/>
      </x:c>
      <x:c r="H340" s="104" t="str">
        <x:f>IF($H339="","",IFERROR(MATCH(1,INDEX((ROW('Game Records'!$U$5:$U$504)&gt;$H339)*(('Game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1" ht="24" customHeight="1">
      <x:c r="A341" s="332" t="str">
        <x:f>IF($H341="","",ROWS($A$5:A341))</x:f>
        <x:v/>
      </x:c>
      <x:c r="B341" s="332" t="str">
        <x:f>IF($H341="","","G-"&amp;TEXT($A341,"0000"))</x:f>
        <x:v/>
      </x:c>
      <x:c r="C341" s="331" t="str">
        <x:f>IF($H341="","",IFERROR(INDEX('Game Records'!$A:$A,$H341),""))</x:f>
        <x:v/>
      </x:c>
      <x:c r="D341" s="331" t="str">
        <x:f>IF($H341="","",IFERROR(INDEX('Game Records'!$U:$U,$H341),""))</x:f>
        <x:v/>
      </x:c>
      <x:c r="E341" s="331" t="str">
        <x:f>IF($H341="","",IF($F341="","No Highlighted Fields","Highlighted Fields Present"))</x:f>
        <x:v/>
      </x:c>
      <x:c r="F341" s="331" t="str">
        <x:f>IF($H341="","",IF(INDEX('Game Records'!$B:$B,$H341)="","Start Date; ","")&amp;IF(INDEX('Game Records'!$C:$C,$H341)="","End Date; ","")&amp;IF(AND(INDEX('Game Records'!$U:$U,$H341)&lt;&gt;"Subscription",INDEX('Game Records'!$U:$U,$H341)&lt;&gt;"Free Game",INDEX('Game Records'!$U:$U,$H341)&lt;&gt;"Disqualified — Free Game",OR(INDEX('Game Records'!$D:$D,$H341)="",LOWER(INDEX('Game Records'!$D:$D,$H341)&amp;"")="n/a")),"Entry Mode; ","")&amp;IF(AND(INDEX('Game Records'!$U:$U,$H341)&lt;&gt;"Subscription",INDEX('Game Records'!$U:$U,$H341)&lt;&gt;"Free Game",INDEX('Game Records'!$U:$U,$H341)&lt;&gt;"Disqualified — Free Game",OR(INDEX('Game Records'!$E:$E,$H341)="",LOWER(INDEX('Game Records'!$E:$E,$H341)&amp;"")="n/a")),"Game Type; ","")&amp;IF(INDEX('Game Records'!$F:$F,$H341)="","Payment Type; ","")&amp;IF(AND(INDEX('Game Records'!$U:$U,$H341)&lt;&gt;"Subscription",INDEX('Game Records'!$U:$U,$H341)&lt;&gt;"Free Game",INDEX('Game Records'!$U:$U,$H341)&lt;&gt;"Disqualified — Free Game",INDEX('Game Records'!$G:$G,$H341)=""),"Gross Pot; ","")&amp;IF(AND(INDEX('Game Records'!$U:$U,$H341)&lt;&gt;"Free Game",INDEX('Game Records'!$U:$U,$H341)&lt;&gt;"Disqualified — Free Game",INDEX('Game Records'!$H:$H,$H341)=""),"Entry Fee; ","")&amp;IF(AND(INDEX('Game Records'!$U:$U,$H341)&lt;&gt;"Subscription",INDEX('Game Records'!$U:$U,$H341)&lt;&gt;"Free Game",INDEX('Game Records'!$U:$U,$H341)&lt;&gt;"Disqualified — Free Game",INDEX('Game Records'!$I:$I,$H341)=""),"Eligible Players; ","")&amp;IF(AND(INDEX('Game Records'!$U:$U,$H341)&lt;&gt;"Subscription",INDEX('Game Records'!$U:$U,$H341)&lt;&gt;"Free Game",INDEX('Game Records'!$U:$U,$H341)&lt;&gt;"Disqualified — Free Game",INDEX('Game Records'!$J:$J,$H341)=""),"Total Players; ","")&amp;IF(AND(LOWER(INDEX('Game Records'!$D:$D,$H341)&amp;"")="finalized",LOWER(INDEX('Game Records'!$L:$L,$H341)&amp;"")&lt;&gt;"yes",INDEX('Game Records'!$U:$U,$H341)&lt;&gt;"Subscription",INDEX('Game Records'!$U:$U,$H341)&lt;&gt;"Free Game",INDEX('Game Records'!$U:$U,$H341)&lt;&gt;"Disqualified — Free Game",INDEX('Game Records'!$K:$K,$H341)=""),"Final Earned; ","")&amp;IF(AND(LOWER(INDEX('Game Records'!$D:$D,$H341)&amp;"")="finalized",INDEX('Game Records'!$U:$U,$H341)&lt;&gt;"Subscription",INDEX('Game Records'!$U:$U,$H341)&lt;&gt;"Free Game",INDEX('Game Records'!$U:$U,$H341)&lt;&gt;"Disqualified — Free Game",OR(INDEX('Game Records'!$L:$L,$H341)="",LOWER(INDEX('Game Records'!$L:$L,$H341)&amp;"")="n/a")),"Disqualified Status; ",""))</x:f>
        <x:v/>
      </x:c>
      <x:c r="G341" s="331" t="str">
        <x:f>IF($H341="","",IFERROR(INDEX('Game Records'!$M:$M,$H341),""))</x:f>
        <x:v/>
      </x:c>
      <x:c r="H341" s="104" t="str">
        <x:f>IF($H340="","",IFERROR(MATCH(1,INDEX((ROW('Game Records'!$U$5:$U$504)&gt;$H340)*(('Game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2" ht="24" customHeight="1">
      <x:c r="A342" s="332" t="str">
        <x:f>IF($H342="","",ROWS($A$5:A342))</x:f>
        <x:v/>
      </x:c>
      <x:c r="B342" s="332" t="str">
        <x:f>IF($H342="","","G-"&amp;TEXT($A342,"0000"))</x:f>
        <x:v/>
      </x:c>
      <x:c r="C342" s="331" t="str">
        <x:f>IF($H342="","",IFERROR(INDEX('Game Records'!$A:$A,$H342),""))</x:f>
        <x:v/>
      </x:c>
      <x:c r="D342" s="331" t="str">
        <x:f>IF($H342="","",IFERROR(INDEX('Game Records'!$U:$U,$H342),""))</x:f>
        <x:v/>
      </x:c>
      <x:c r="E342" s="331" t="str">
        <x:f>IF($H342="","",IF($F342="","No Highlighted Fields","Highlighted Fields Present"))</x:f>
        <x:v/>
      </x:c>
      <x:c r="F342" s="331" t="str">
        <x:f>IF($H342="","",IF(INDEX('Game Records'!$B:$B,$H342)="","Start Date; ","")&amp;IF(INDEX('Game Records'!$C:$C,$H342)="","End Date; ","")&amp;IF(AND(INDEX('Game Records'!$U:$U,$H342)&lt;&gt;"Subscription",INDEX('Game Records'!$U:$U,$H342)&lt;&gt;"Free Game",INDEX('Game Records'!$U:$U,$H342)&lt;&gt;"Disqualified — Free Game",OR(INDEX('Game Records'!$D:$D,$H342)="",LOWER(INDEX('Game Records'!$D:$D,$H342)&amp;"")="n/a")),"Entry Mode; ","")&amp;IF(AND(INDEX('Game Records'!$U:$U,$H342)&lt;&gt;"Subscription",INDEX('Game Records'!$U:$U,$H342)&lt;&gt;"Free Game",INDEX('Game Records'!$U:$U,$H342)&lt;&gt;"Disqualified — Free Game",OR(INDEX('Game Records'!$E:$E,$H342)="",LOWER(INDEX('Game Records'!$E:$E,$H342)&amp;"")="n/a")),"Game Type; ","")&amp;IF(INDEX('Game Records'!$F:$F,$H342)="","Payment Type; ","")&amp;IF(AND(INDEX('Game Records'!$U:$U,$H342)&lt;&gt;"Subscription",INDEX('Game Records'!$U:$U,$H342)&lt;&gt;"Free Game",INDEX('Game Records'!$U:$U,$H342)&lt;&gt;"Disqualified — Free Game",INDEX('Game Records'!$G:$G,$H342)=""),"Gross Pot; ","")&amp;IF(AND(INDEX('Game Records'!$U:$U,$H342)&lt;&gt;"Free Game",INDEX('Game Records'!$U:$U,$H342)&lt;&gt;"Disqualified — Free Game",INDEX('Game Records'!$H:$H,$H342)=""),"Entry Fee; ","")&amp;IF(AND(INDEX('Game Records'!$U:$U,$H342)&lt;&gt;"Subscription",INDEX('Game Records'!$U:$U,$H342)&lt;&gt;"Free Game",INDEX('Game Records'!$U:$U,$H342)&lt;&gt;"Disqualified — Free Game",INDEX('Game Records'!$I:$I,$H342)=""),"Eligible Players; ","")&amp;IF(AND(INDEX('Game Records'!$U:$U,$H342)&lt;&gt;"Subscription",INDEX('Game Records'!$U:$U,$H342)&lt;&gt;"Free Game",INDEX('Game Records'!$U:$U,$H342)&lt;&gt;"Disqualified — Free Game",INDEX('Game Records'!$J:$J,$H342)=""),"Total Players; ","")&amp;IF(AND(LOWER(INDEX('Game Records'!$D:$D,$H342)&amp;"")="finalized",LOWER(INDEX('Game Records'!$L:$L,$H342)&amp;"")&lt;&gt;"yes",INDEX('Game Records'!$U:$U,$H342)&lt;&gt;"Subscription",INDEX('Game Records'!$U:$U,$H342)&lt;&gt;"Free Game",INDEX('Game Records'!$U:$U,$H342)&lt;&gt;"Disqualified — Free Game",INDEX('Game Records'!$K:$K,$H342)=""),"Final Earned; ","")&amp;IF(AND(LOWER(INDEX('Game Records'!$D:$D,$H342)&amp;"")="finalized",INDEX('Game Records'!$U:$U,$H342)&lt;&gt;"Subscription",INDEX('Game Records'!$U:$U,$H342)&lt;&gt;"Free Game",INDEX('Game Records'!$U:$U,$H342)&lt;&gt;"Disqualified — Free Game",OR(INDEX('Game Records'!$L:$L,$H342)="",LOWER(INDEX('Game Records'!$L:$L,$H342)&amp;"")="n/a")),"Disqualified Status; ",""))</x:f>
        <x:v/>
      </x:c>
      <x:c r="G342" s="331" t="str">
        <x:f>IF($H342="","",IFERROR(INDEX('Game Records'!$M:$M,$H342),""))</x:f>
        <x:v/>
      </x:c>
      <x:c r="H342" s="104" t="str">
        <x:f>IF($H341="","",IFERROR(MATCH(1,INDEX((ROW('Game Records'!$U$5:$U$504)&gt;$H341)*(('Game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3" ht="24" customHeight="1">
      <x:c r="A343" s="332" t="str">
        <x:f>IF($H343="","",ROWS($A$5:A343))</x:f>
        <x:v/>
      </x:c>
      <x:c r="B343" s="332" t="str">
        <x:f>IF($H343="","","G-"&amp;TEXT($A343,"0000"))</x:f>
        <x:v/>
      </x:c>
      <x:c r="C343" s="331" t="str">
        <x:f>IF($H343="","",IFERROR(INDEX('Game Records'!$A:$A,$H343),""))</x:f>
        <x:v/>
      </x:c>
      <x:c r="D343" s="331" t="str">
        <x:f>IF($H343="","",IFERROR(INDEX('Game Records'!$U:$U,$H343),""))</x:f>
        <x:v/>
      </x:c>
      <x:c r="E343" s="331" t="str">
        <x:f>IF($H343="","",IF($F343="","No Highlighted Fields","Highlighted Fields Present"))</x:f>
        <x:v/>
      </x:c>
      <x:c r="F343" s="331" t="str">
        <x:f>IF($H343="","",IF(INDEX('Game Records'!$B:$B,$H343)="","Start Date; ","")&amp;IF(INDEX('Game Records'!$C:$C,$H343)="","End Date; ","")&amp;IF(AND(INDEX('Game Records'!$U:$U,$H343)&lt;&gt;"Subscription",INDEX('Game Records'!$U:$U,$H343)&lt;&gt;"Free Game",INDEX('Game Records'!$U:$U,$H343)&lt;&gt;"Disqualified — Free Game",OR(INDEX('Game Records'!$D:$D,$H343)="",LOWER(INDEX('Game Records'!$D:$D,$H343)&amp;"")="n/a")),"Entry Mode; ","")&amp;IF(AND(INDEX('Game Records'!$U:$U,$H343)&lt;&gt;"Subscription",INDEX('Game Records'!$U:$U,$H343)&lt;&gt;"Free Game",INDEX('Game Records'!$U:$U,$H343)&lt;&gt;"Disqualified — Free Game",OR(INDEX('Game Records'!$E:$E,$H343)="",LOWER(INDEX('Game Records'!$E:$E,$H343)&amp;"")="n/a")),"Game Type; ","")&amp;IF(INDEX('Game Records'!$F:$F,$H343)="","Payment Type; ","")&amp;IF(AND(INDEX('Game Records'!$U:$U,$H343)&lt;&gt;"Subscription",INDEX('Game Records'!$U:$U,$H343)&lt;&gt;"Free Game",INDEX('Game Records'!$U:$U,$H343)&lt;&gt;"Disqualified — Free Game",INDEX('Game Records'!$G:$G,$H343)=""),"Gross Pot; ","")&amp;IF(AND(INDEX('Game Records'!$U:$U,$H343)&lt;&gt;"Free Game",INDEX('Game Records'!$U:$U,$H343)&lt;&gt;"Disqualified — Free Game",INDEX('Game Records'!$H:$H,$H343)=""),"Entry Fee; ","")&amp;IF(AND(INDEX('Game Records'!$U:$U,$H343)&lt;&gt;"Subscription",INDEX('Game Records'!$U:$U,$H343)&lt;&gt;"Free Game",INDEX('Game Records'!$U:$U,$H343)&lt;&gt;"Disqualified — Free Game",INDEX('Game Records'!$I:$I,$H343)=""),"Eligible Players; ","")&amp;IF(AND(INDEX('Game Records'!$U:$U,$H343)&lt;&gt;"Subscription",INDEX('Game Records'!$U:$U,$H343)&lt;&gt;"Free Game",INDEX('Game Records'!$U:$U,$H343)&lt;&gt;"Disqualified — Free Game",INDEX('Game Records'!$J:$J,$H343)=""),"Total Players; ","")&amp;IF(AND(LOWER(INDEX('Game Records'!$D:$D,$H343)&amp;"")="finalized",LOWER(INDEX('Game Records'!$L:$L,$H343)&amp;"")&lt;&gt;"yes",INDEX('Game Records'!$U:$U,$H343)&lt;&gt;"Subscription",INDEX('Game Records'!$U:$U,$H343)&lt;&gt;"Free Game",INDEX('Game Records'!$U:$U,$H343)&lt;&gt;"Disqualified — Free Game",INDEX('Game Records'!$K:$K,$H343)=""),"Final Earned; ","")&amp;IF(AND(LOWER(INDEX('Game Records'!$D:$D,$H343)&amp;"")="finalized",INDEX('Game Records'!$U:$U,$H343)&lt;&gt;"Subscription",INDEX('Game Records'!$U:$U,$H343)&lt;&gt;"Free Game",INDEX('Game Records'!$U:$U,$H343)&lt;&gt;"Disqualified — Free Game",OR(INDEX('Game Records'!$L:$L,$H343)="",LOWER(INDEX('Game Records'!$L:$L,$H343)&amp;"")="n/a")),"Disqualified Status; ",""))</x:f>
        <x:v/>
      </x:c>
      <x:c r="G343" s="331" t="str">
        <x:f>IF($H343="","",IFERROR(INDEX('Game Records'!$M:$M,$H343),""))</x:f>
        <x:v/>
      </x:c>
      <x:c r="H343" s="104" t="str">
        <x:f>IF($H342="","",IFERROR(MATCH(1,INDEX((ROW('Game Records'!$U$5:$U$504)&gt;$H342)*(('Game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4" ht="24" customHeight="1">
      <x:c r="A344" s="332" t="str">
        <x:f>IF($H344="","",ROWS($A$5:A344))</x:f>
        <x:v/>
      </x:c>
      <x:c r="B344" s="332" t="str">
        <x:f>IF($H344="","","G-"&amp;TEXT($A344,"0000"))</x:f>
        <x:v/>
      </x:c>
      <x:c r="C344" s="331" t="str">
        <x:f>IF($H344="","",IFERROR(INDEX('Game Records'!$A:$A,$H344),""))</x:f>
        <x:v/>
      </x:c>
      <x:c r="D344" s="331" t="str">
        <x:f>IF($H344="","",IFERROR(INDEX('Game Records'!$U:$U,$H344),""))</x:f>
        <x:v/>
      </x:c>
      <x:c r="E344" s="331" t="str">
        <x:f>IF($H344="","",IF($F344="","No Highlighted Fields","Highlighted Fields Present"))</x:f>
        <x:v/>
      </x:c>
      <x:c r="F344" s="331" t="str">
        <x:f>IF($H344="","",IF(INDEX('Game Records'!$B:$B,$H344)="","Start Date; ","")&amp;IF(INDEX('Game Records'!$C:$C,$H344)="","End Date; ","")&amp;IF(AND(INDEX('Game Records'!$U:$U,$H344)&lt;&gt;"Subscription",INDEX('Game Records'!$U:$U,$H344)&lt;&gt;"Free Game",INDEX('Game Records'!$U:$U,$H344)&lt;&gt;"Disqualified — Free Game",OR(INDEX('Game Records'!$D:$D,$H344)="",LOWER(INDEX('Game Records'!$D:$D,$H344)&amp;"")="n/a")),"Entry Mode; ","")&amp;IF(AND(INDEX('Game Records'!$U:$U,$H344)&lt;&gt;"Subscription",INDEX('Game Records'!$U:$U,$H344)&lt;&gt;"Free Game",INDEX('Game Records'!$U:$U,$H344)&lt;&gt;"Disqualified — Free Game",OR(INDEX('Game Records'!$E:$E,$H344)="",LOWER(INDEX('Game Records'!$E:$E,$H344)&amp;"")="n/a")),"Game Type; ","")&amp;IF(INDEX('Game Records'!$F:$F,$H344)="","Payment Type; ","")&amp;IF(AND(INDEX('Game Records'!$U:$U,$H344)&lt;&gt;"Subscription",INDEX('Game Records'!$U:$U,$H344)&lt;&gt;"Free Game",INDEX('Game Records'!$U:$U,$H344)&lt;&gt;"Disqualified — Free Game",INDEX('Game Records'!$G:$G,$H344)=""),"Gross Pot; ","")&amp;IF(AND(INDEX('Game Records'!$U:$U,$H344)&lt;&gt;"Free Game",INDEX('Game Records'!$U:$U,$H344)&lt;&gt;"Disqualified — Free Game",INDEX('Game Records'!$H:$H,$H344)=""),"Entry Fee; ","")&amp;IF(AND(INDEX('Game Records'!$U:$U,$H344)&lt;&gt;"Subscription",INDEX('Game Records'!$U:$U,$H344)&lt;&gt;"Free Game",INDEX('Game Records'!$U:$U,$H344)&lt;&gt;"Disqualified — Free Game",INDEX('Game Records'!$I:$I,$H344)=""),"Eligible Players; ","")&amp;IF(AND(INDEX('Game Records'!$U:$U,$H344)&lt;&gt;"Subscription",INDEX('Game Records'!$U:$U,$H344)&lt;&gt;"Free Game",INDEX('Game Records'!$U:$U,$H344)&lt;&gt;"Disqualified — Free Game",INDEX('Game Records'!$J:$J,$H344)=""),"Total Players; ","")&amp;IF(AND(LOWER(INDEX('Game Records'!$D:$D,$H344)&amp;"")="finalized",LOWER(INDEX('Game Records'!$L:$L,$H344)&amp;"")&lt;&gt;"yes",INDEX('Game Records'!$U:$U,$H344)&lt;&gt;"Subscription",INDEX('Game Records'!$U:$U,$H344)&lt;&gt;"Free Game",INDEX('Game Records'!$U:$U,$H344)&lt;&gt;"Disqualified — Free Game",INDEX('Game Records'!$K:$K,$H344)=""),"Final Earned; ","")&amp;IF(AND(LOWER(INDEX('Game Records'!$D:$D,$H344)&amp;"")="finalized",INDEX('Game Records'!$U:$U,$H344)&lt;&gt;"Subscription",INDEX('Game Records'!$U:$U,$H344)&lt;&gt;"Free Game",INDEX('Game Records'!$U:$U,$H344)&lt;&gt;"Disqualified — Free Game",OR(INDEX('Game Records'!$L:$L,$H344)="",LOWER(INDEX('Game Records'!$L:$L,$H344)&amp;"")="n/a")),"Disqualified Status; ",""))</x:f>
        <x:v/>
      </x:c>
      <x:c r="G344" s="331" t="str">
        <x:f>IF($H344="","",IFERROR(INDEX('Game Records'!$M:$M,$H344),""))</x:f>
        <x:v/>
      </x:c>
      <x:c r="H344" s="104" t="str">
        <x:f>IF($H343="","",IFERROR(MATCH(1,INDEX((ROW('Game Records'!$U$5:$U$504)&gt;$H343)*(('Game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5" ht="24" customHeight="1">
      <x:c r="A345" s="332" t="str">
        <x:f>IF($H345="","",ROWS($A$5:A345))</x:f>
        <x:v/>
      </x:c>
      <x:c r="B345" s="332" t="str">
        <x:f>IF($H345="","","G-"&amp;TEXT($A345,"0000"))</x:f>
        <x:v/>
      </x:c>
      <x:c r="C345" s="331" t="str">
        <x:f>IF($H345="","",IFERROR(INDEX('Game Records'!$A:$A,$H345),""))</x:f>
        <x:v/>
      </x:c>
      <x:c r="D345" s="331" t="str">
        <x:f>IF($H345="","",IFERROR(INDEX('Game Records'!$U:$U,$H345),""))</x:f>
        <x:v/>
      </x:c>
      <x:c r="E345" s="331" t="str">
        <x:f>IF($H345="","",IF($F345="","No Highlighted Fields","Highlighted Fields Present"))</x:f>
        <x:v/>
      </x:c>
      <x:c r="F345" s="331" t="str">
        <x:f>IF($H345="","",IF(INDEX('Game Records'!$B:$B,$H345)="","Start Date; ","")&amp;IF(INDEX('Game Records'!$C:$C,$H345)="","End Date; ","")&amp;IF(AND(INDEX('Game Records'!$U:$U,$H345)&lt;&gt;"Subscription",INDEX('Game Records'!$U:$U,$H345)&lt;&gt;"Free Game",INDEX('Game Records'!$U:$U,$H345)&lt;&gt;"Disqualified — Free Game",OR(INDEX('Game Records'!$D:$D,$H345)="",LOWER(INDEX('Game Records'!$D:$D,$H345)&amp;"")="n/a")),"Entry Mode; ","")&amp;IF(AND(INDEX('Game Records'!$U:$U,$H345)&lt;&gt;"Subscription",INDEX('Game Records'!$U:$U,$H345)&lt;&gt;"Free Game",INDEX('Game Records'!$U:$U,$H345)&lt;&gt;"Disqualified — Free Game",OR(INDEX('Game Records'!$E:$E,$H345)="",LOWER(INDEX('Game Records'!$E:$E,$H345)&amp;"")="n/a")),"Game Type; ","")&amp;IF(INDEX('Game Records'!$F:$F,$H345)="","Payment Type; ","")&amp;IF(AND(INDEX('Game Records'!$U:$U,$H345)&lt;&gt;"Subscription",INDEX('Game Records'!$U:$U,$H345)&lt;&gt;"Free Game",INDEX('Game Records'!$U:$U,$H345)&lt;&gt;"Disqualified — Free Game",INDEX('Game Records'!$G:$G,$H345)=""),"Gross Pot; ","")&amp;IF(AND(INDEX('Game Records'!$U:$U,$H345)&lt;&gt;"Free Game",INDEX('Game Records'!$U:$U,$H345)&lt;&gt;"Disqualified — Free Game",INDEX('Game Records'!$H:$H,$H345)=""),"Entry Fee; ","")&amp;IF(AND(INDEX('Game Records'!$U:$U,$H345)&lt;&gt;"Subscription",INDEX('Game Records'!$U:$U,$H345)&lt;&gt;"Free Game",INDEX('Game Records'!$U:$U,$H345)&lt;&gt;"Disqualified — Free Game",INDEX('Game Records'!$I:$I,$H345)=""),"Eligible Players; ","")&amp;IF(AND(INDEX('Game Records'!$U:$U,$H345)&lt;&gt;"Subscription",INDEX('Game Records'!$U:$U,$H345)&lt;&gt;"Free Game",INDEX('Game Records'!$U:$U,$H345)&lt;&gt;"Disqualified — Free Game",INDEX('Game Records'!$J:$J,$H345)=""),"Total Players; ","")&amp;IF(AND(LOWER(INDEX('Game Records'!$D:$D,$H345)&amp;"")="finalized",LOWER(INDEX('Game Records'!$L:$L,$H345)&amp;"")&lt;&gt;"yes",INDEX('Game Records'!$U:$U,$H345)&lt;&gt;"Subscription",INDEX('Game Records'!$U:$U,$H345)&lt;&gt;"Free Game",INDEX('Game Records'!$U:$U,$H345)&lt;&gt;"Disqualified — Free Game",INDEX('Game Records'!$K:$K,$H345)=""),"Final Earned; ","")&amp;IF(AND(LOWER(INDEX('Game Records'!$D:$D,$H345)&amp;"")="finalized",INDEX('Game Records'!$U:$U,$H345)&lt;&gt;"Subscription",INDEX('Game Records'!$U:$U,$H345)&lt;&gt;"Free Game",INDEX('Game Records'!$U:$U,$H345)&lt;&gt;"Disqualified — Free Game",OR(INDEX('Game Records'!$L:$L,$H345)="",LOWER(INDEX('Game Records'!$L:$L,$H345)&amp;"")="n/a")),"Disqualified Status; ",""))</x:f>
        <x:v/>
      </x:c>
      <x:c r="G345" s="331" t="str">
        <x:f>IF($H345="","",IFERROR(INDEX('Game Records'!$M:$M,$H345),""))</x:f>
        <x:v/>
      </x:c>
      <x:c r="H345" s="104" t="str">
        <x:f>IF($H344="","",IFERROR(MATCH(1,INDEX((ROW('Game Records'!$U$5:$U$504)&gt;$H344)*(('Game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6" ht="24" customHeight="1">
      <x:c r="A346" s="332" t="str">
        <x:f>IF($H346="","",ROWS($A$5:A346))</x:f>
        <x:v/>
      </x:c>
      <x:c r="B346" s="332" t="str">
        <x:f>IF($H346="","","G-"&amp;TEXT($A346,"0000"))</x:f>
        <x:v/>
      </x:c>
      <x:c r="C346" s="331" t="str">
        <x:f>IF($H346="","",IFERROR(INDEX('Game Records'!$A:$A,$H346),""))</x:f>
        <x:v/>
      </x:c>
      <x:c r="D346" s="331" t="str">
        <x:f>IF($H346="","",IFERROR(INDEX('Game Records'!$U:$U,$H346),""))</x:f>
        <x:v/>
      </x:c>
      <x:c r="E346" s="331" t="str">
        <x:f>IF($H346="","",IF($F346="","No Highlighted Fields","Highlighted Fields Present"))</x:f>
        <x:v/>
      </x:c>
      <x:c r="F346" s="331" t="str">
        <x:f>IF($H346="","",IF(INDEX('Game Records'!$B:$B,$H346)="","Start Date; ","")&amp;IF(INDEX('Game Records'!$C:$C,$H346)="","End Date; ","")&amp;IF(AND(INDEX('Game Records'!$U:$U,$H346)&lt;&gt;"Subscription",INDEX('Game Records'!$U:$U,$H346)&lt;&gt;"Free Game",INDEX('Game Records'!$U:$U,$H346)&lt;&gt;"Disqualified — Free Game",OR(INDEX('Game Records'!$D:$D,$H346)="",LOWER(INDEX('Game Records'!$D:$D,$H346)&amp;"")="n/a")),"Entry Mode; ","")&amp;IF(AND(INDEX('Game Records'!$U:$U,$H346)&lt;&gt;"Subscription",INDEX('Game Records'!$U:$U,$H346)&lt;&gt;"Free Game",INDEX('Game Records'!$U:$U,$H346)&lt;&gt;"Disqualified — Free Game",OR(INDEX('Game Records'!$E:$E,$H346)="",LOWER(INDEX('Game Records'!$E:$E,$H346)&amp;"")="n/a")),"Game Type; ","")&amp;IF(INDEX('Game Records'!$F:$F,$H346)="","Payment Type; ","")&amp;IF(AND(INDEX('Game Records'!$U:$U,$H346)&lt;&gt;"Subscription",INDEX('Game Records'!$U:$U,$H346)&lt;&gt;"Free Game",INDEX('Game Records'!$U:$U,$H346)&lt;&gt;"Disqualified — Free Game",INDEX('Game Records'!$G:$G,$H346)=""),"Gross Pot; ","")&amp;IF(AND(INDEX('Game Records'!$U:$U,$H346)&lt;&gt;"Free Game",INDEX('Game Records'!$U:$U,$H346)&lt;&gt;"Disqualified — Free Game",INDEX('Game Records'!$H:$H,$H346)=""),"Entry Fee; ","")&amp;IF(AND(INDEX('Game Records'!$U:$U,$H346)&lt;&gt;"Subscription",INDEX('Game Records'!$U:$U,$H346)&lt;&gt;"Free Game",INDEX('Game Records'!$U:$U,$H346)&lt;&gt;"Disqualified — Free Game",INDEX('Game Records'!$I:$I,$H346)=""),"Eligible Players; ","")&amp;IF(AND(INDEX('Game Records'!$U:$U,$H346)&lt;&gt;"Subscription",INDEX('Game Records'!$U:$U,$H346)&lt;&gt;"Free Game",INDEX('Game Records'!$U:$U,$H346)&lt;&gt;"Disqualified — Free Game",INDEX('Game Records'!$J:$J,$H346)=""),"Total Players; ","")&amp;IF(AND(LOWER(INDEX('Game Records'!$D:$D,$H346)&amp;"")="finalized",LOWER(INDEX('Game Records'!$L:$L,$H346)&amp;"")&lt;&gt;"yes",INDEX('Game Records'!$U:$U,$H346)&lt;&gt;"Subscription",INDEX('Game Records'!$U:$U,$H346)&lt;&gt;"Free Game",INDEX('Game Records'!$U:$U,$H346)&lt;&gt;"Disqualified — Free Game",INDEX('Game Records'!$K:$K,$H346)=""),"Final Earned; ","")&amp;IF(AND(LOWER(INDEX('Game Records'!$D:$D,$H346)&amp;"")="finalized",INDEX('Game Records'!$U:$U,$H346)&lt;&gt;"Subscription",INDEX('Game Records'!$U:$U,$H346)&lt;&gt;"Free Game",INDEX('Game Records'!$U:$U,$H346)&lt;&gt;"Disqualified — Free Game",OR(INDEX('Game Records'!$L:$L,$H346)="",LOWER(INDEX('Game Records'!$L:$L,$H346)&amp;"")="n/a")),"Disqualified Status; ",""))</x:f>
        <x:v/>
      </x:c>
      <x:c r="G346" s="331" t="str">
        <x:f>IF($H346="","",IFERROR(INDEX('Game Records'!$M:$M,$H346),""))</x:f>
        <x:v/>
      </x:c>
      <x:c r="H346" s="104" t="str">
        <x:f>IF($H345="","",IFERROR(MATCH(1,INDEX((ROW('Game Records'!$U$5:$U$504)&gt;$H345)*(('Game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7" ht="24" customHeight="1">
      <x:c r="A347" s="332" t="str">
        <x:f>IF($H347="","",ROWS($A$5:A347))</x:f>
        <x:v/>
      </x:c>
      <x:c r="B347" s="332" t="str">
        <x:f>IF($H347="","","G-"&amp;TEXT($A347,"0000"))</x:f>
        <x:v/>
      </x:c>
      <x:c r="C347" s="331" t="str">
        <x:f>IF($H347="","",IFERROR(INDEX('Game Records'!$A:$A,$H347),""))</x:f>
        <x:v/>
      </x:c>
      <x:c r="D347" s="331" t="str">
        <x:f>IF($H347="","",IFERROR(INDEX('Game Records'!$U:$U,$H347),""))</x:f>
        <x:v/>
      </x:c>
      <x:c r="E347" s="331" t="str">
        <x:f>IF($H347="","",IF($F347="","No Highlighted Fields","Highlighted Fields Present"))</x:f>
        <x:v/>
      </x:c>
      <x:c r="F347" s="331" t="str">
        <x:f>IF($H347="","",IF(INDEX('Game Records'!$B:$B,$H347)="","Start Date; ","")&amp;IF(INDEX('Game Records'!$C:$C,$H347)="","End Date; ","")&amp;IF(AND(INDEX('Game Records'!$U:$U,$H347)&lt;&gt;"Subscription",INDEX('Game Records'!$U:$U,$H347)&lt;&gt;"Free Game",INDEX('Game Records'!$U:$U,$H347)&lt;&gt;"Disqualified — Free Game",OR(INDEX('Game Records'!$D:$D,$H347)="",LOWER(INDEX('Game Records'!$D:$D,$H347)&amp;"")="n/a")),"Entry Mode; ","")&amp;IF(AND(INDEX('Game Records'!$U:$U,$H347)&lt;&gt;"Subscription",INDEX('Game Records'!$U:$U,$H347)&lt;&gt;"Free Game",INDEX('Game Records'!$U:$U,$H347)&lt;&gt;"Disqualified — Free Game",OR(INDEX('Game Records'!$E:$E,$H347)="",LOWER(INDEX('Game Records'!$E:$E,$H347)&amp;"")="n/a")),"Game Type; ","")&amp;IF(INDEX('Game Records'!$F:$F,$H347)="","Payment Type; ","")&amp;IF(AND(INDEX('Game Records'!$U:$U,$H347)&lt;&gt;"Subscription",INDEX('Game Records'!$U:$U,$H347)&lt;&gt;"Free Game",INDEX('Game Records'!$U:$U,$H347)&lt;&gt;"Disqualified — Free Game",INDEX('Game Records'!$G:$G,$H347)=""),"Gross Pot; ","")&amp;IF(AND(INDEX('Game Records'!$U:$U,$H347)&lt;&gt;"Free Game",INDEX('Game Records'!$U:$U,$H347)&lt;&gt;"Disqualified — Free Game",INDEX('Game Records'!$H:$H,$H347)=""),"Entry Fee; ","")&amp;IF(AND(INDEX('Game Records'!$U:$U,$H347)&lt;&gt;"Subscription",INDEX('Game Records'!$U:$U,$H347)&lt;&gt;"Free Game",INDEX('Game Records'!$U:$U,$H347)&lt;&gt;"Disqualified — Free Game",INDEX('Game Records'!$I:$I,$H347)=""),"Eligible Players; ","")&amp;IF(AND(INDEX('Game Records'!$U:$U,$H347)&lt;&gt;"Subscription",INDEX('Game Records'!$U:$U,$H347)&lt;&gt;"Free Game",INDEX('Game Records'!$U:$U,$H347)&lt;&gt;"Disqualified — Free Game",INDEX('Game Records'!$J:$J,$H347)=""),"Total Players; ","")&amp;IF(AND(LOWER(INDEX('Game Records'!$D:$D,$H347)&amp;"")="finalized",LOWER(INDEX('Game Records'!$L:$L,$H347)&amp;"")&lt;&gt;"yes",INDEX('Game Records'!$U:$U,$H347)&lt;&gt;"Subscription",INDEX('Game Records'!$U:$U,$H347)&lt;&gt;"Free Game",INDEX('Game Records'!$U:$U,$H347)&lt;&gt;"Disqualified — Free Game",INDEX('Game Records'!$K:$K,$H347)=""),"Final Earned; ","")&amp;IF(AND(LOWER(INDEX('Game Records'!$D:$D,$H347)&amp;"")="finalized",INDEX('Game Records'!$U:$U,$H347)&lt;&gt;"Subscription",INDEX('Game Records'!$U:$U,$H347)&lt;&gt;"Free Game",INDEX('Game Records'!$U:$U,$H347)&lt;&gt;"Disqualified — Free Game",OR(INDEX('Game Records'!$L:$L,$H347)="",LOWER(INDEX('Game Records'!$L:$L,$H347)&amp;"")="n/a")),"Disqualified Status; ",""))</x:f>
        <x:v/>
      </x:c>
      <x:c r="G347" s="331" t="str">
        <x:f>IF($H347="","",IFERROR(INDEX('Game Records'!$M:$M,$H347),""))</x:f>
        <x:v/>
      </x:c>
      <x:c r="H347" s="104" t="str">
        <x:f>IF($H346="","",IFERROR(MATCH(1,INDEX((ROW('Game Records'!$U$5:$U$504)&gt;$H346)*(('Game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8" ht="24" customHeight="1">
      <x:c r="A348" s="332" t="str">
        <x:f>IF($H348="","",ROWS($A$5:A348))</x:f>
        <x:v/>
      </x:c>
      <x:c r="B348" s="332" t="str">
        <x:f>IF($H348="","","G-"&amp;TEXT($A348,"0000"))</x:f>
        <x:v/>
      </x:c>
      <x:c r="C348" s="331" t="str">
        <x:f>IF($H348="","",IFERROR(INDEX('Game Records'!$A:$A,$H348),""))</x:f>
        <x:v/>
      </x:c>
      <x:c r="D348" s="331" t="str">
        <x:f>IF($H348="","",IFERROR(INDEX('Game Records'!$U:$U,$H348),""))</x:f>
        <x:v/>
      </x:c>
      <x:c r="E348" s="331" t="str">
        <x:f>IF($H348="","",IF($F348="","No Highlighted Fields","Highlighted Fields Present"))</x:f>
        <x:v/>
      </x:c>
      <x:c r="F348" s="331" t="str">
        <x:f>IF($H348="","",IF(INDEX('Game Records'!$B:$B,$H348)="","Start Date; ","")&amp;IF(INDEX('Game Records'!$C:$C,$H348)="","End Date; ","")&amp;IF(AND(INDEX('Game Records'!$U:$U,$H348)&lt;&gt;"Subscription",INDEX('Game Records'!$U:$U,$H348)&lt;&gt;"Free Game",INDEX('Game Records'!$U:$U,$H348)&lt;&gt;"Disqualified — Free Game",OR(INDEX('Game Records'!$D:$D,$H348)="",LOWER(INDEX('Game Records'!$D:$D,$H348)&amp;"")="n/a")),"Entry Mode; ","")&amp;IF(AND(INDEX('Game Records'!$U:$U,$H348)&lt;&gt;"Subscription",INDEX('Game Records'!$U:$U,$H348)&lt;&gt;"Free Game",INDEX('Game Records'!$U:$U,$H348)&lt;&gt;"Disqualified — Free Game",OR(INDEX('Game Records'!$E:$E,$H348)="",LOWER(INDEX('Game Records'!$E:$E,$H348)&amp;"")="n/a")),"Game Type; ","")&amp;IF(INDEX('Game Records'!$F:$F,$H348)="","Payment Type; ","")&amp;IF(AND(INDEX('Game Records'!$U:$U,$H348)&lt;&gt;"Subscription",INDEX('Game Records'!$U:$U,$H348)&lt;&gt;"Free Game",INDEX('Game Records'!$U:$U,$H348)&lt;&gt;"Disqualified — Free Game",INDEX('Game Records'!$G:$G,$H348)=""),"Gross Pot; ","")&amp;IF(AND(INDEX('Game Records'!$U:$U,$H348)&lt;&gt;"Free Game",INDEX('Game Records'!$U:$U,$H348)&lt;&gt;"Disqualified — Free Game",INDEX('Game Records'!$H:$H,$H348)=""),"Entry Fee; ","")&amp;IF(AND(INDEX('Game Records'!$U:$U,$H348)&lt;&gt;"Subscription",INDEX('Game Records'!$U:$U,$H348)&lt;&gt;"Free Game",INDEX('Game Records'!$U:$U,$H348)&lt;&gt;"Disqualified — Free Game",INDEX('Game Records'!$I:$I,$H348)=""),"Eligible Players; ","")&amp;IF(AND(INDEX('Game Records'!$U:$U,$H348)&lt;&gt;"Subscription",INDEX('Game Records'!$U:$U,$H348)&lt;&gt;"Free Game",INDEX('Game Records'!$U:$U,$H348)&lt;&gt;"Disqualified — Free Game",INDEX('Game Records'!$J:$J,$H348)=""),"Total Players; ","")&amp;IF(AND(LOWER(INDEX('Game Records'!$D:$D,$H348)&amp;"")="finalized",LOWER(INDEX('Game Records'!$L:$L,$H348)&amp;"")&lt;&gt;"yes",INDEX('Game Records'!$U:$U,$H348)&lt;&gt;"Subscription",INDEX('Game Records'!$U:$U,$H348)&lt;&gt;"Free Game",INDEX('Game Records'!$U:$U,$H348)&lt;&gt;"Disqualified — Free Game",INDEX('Game Records'!$K:$K,$H348)=""),"Final Earned; ","")&amp;IF(AND(LOWER(INDEX('Game Records'!$D:$D,$H348)&amp;"")="finalized",INDEX('Game Records'!$U:$U,$H348)&lt;&gt;"Subscription",INDEX('Game Records'!$U:$U,$H348)&lt;&gt;"Free Game",INDEX('Game Records'!$U:$U,$H348)&lt;&gt;"Disqualified — Free Game",OR(INDEX('Game Records'!$L:$L,$H348)="",LOWER(INDEX('Game Records'!$L:$L,$H348)&amp;"")="n/a")),"Disqualified Status; ",""))</x:f>
        <x:v/>
      </x:c>
      <x:c r="G348" s="331" t="str">
        <x:f>IF($H348="","",IFERROR(INDEX('Game Records'!$M:$M,$H348),""))</x:f>
        <x:v/>
      </x:c>
      <x:c r="H348" s="104" t="str">
        <x:f>IF($H347="","",IFERROR(MATCH(1,INDEX((ROW('Game Records'!$U$5:$U$504)&gt;$H347)*(('Game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49" ht="24" customHeight="1">
      <x:c r="A349" s="332" t="str">
        <x:f>IF($H349="","",ROWS($A$5:A349))</x:f>
        <x:v/>
      </x:c>
      <x:c r="B349" s="332" t="str">
        <x:f>IF($H349="","","G-"&amp;TEXT($A349,"0000"))</x:f>
        <x:v/>
      </x:c>
      <x:c r="C349" s="331" t="str">
        <x:f>IF($H349="","",IFERROR(INDEX('Game Records'!$A:$A,$H349),""))</x:f>
        <x:v/>
      </x:c>
      <x:c r="D349" s="331" t="str">
        <x:f>IF($H349="","",IFERROR(INDEX('Game Records'!$U:$U,$H349),""))</x:f>
        <x:v/>
      </x:c>
      <x:c r="E349" s="331" t="str">
        <x:f>IF($H349="","",IF($F349="","No Highlighted Fields","Highlighted Fields Present"))</x:f>
        <x:v/>
      </x:c>
      <x:c r="F349" s="331" t="str">
        <x:f>IF($H349="","",IF(INDEX('Game Records'!$B:$B,$H349)="","Start Date; ","")&amp;IF(INDEX('Game Records'!$C:$C,$H349)="","End Date; ","")&amp;IF(AND(INDEX('Game Records'!$U:$U,$H349)&lt;&gt;"Subscription",INDEX('Game Records'!$U:$U,$H349)&lt;&gt;"Free Game",INDEX('Game Records'!$U:$U,$H349)&lt;&gt;"Disqualified — Free Game",OR(INDEX('Game Records'!$D:$D,$H349)="",LOWER(INDEX('Game Records'!$D:$D,$H349)&amp;"")="n/a")),"Entry Mode; ","")&amp;IF(AND(INDEX('Game Records'!$U:$U,$H349)&lt;&gt;"Subscription",INDEX('Game Records'!$U:$U,$H349)&lt;&gt;"Free Game",INDEX('Game Records'!$U:$U,$H349)&lt;&gt;"Disqualified — Free Game",OR(INDEX('Game Records'!$E:$E,$H349)="",LOWER(INDEX('Game Records'!$E:$E,$H349)&amp;"")="n/a")),"Game Type; ","")&amp;IF(INDEX('Game Records'!$F:$F,$H349)="","Payment Type; ","")&amp;IF(AND(INDEX('Game Records'!$U:$U,$H349)&lt;&gt;"Subscription",INDEX('Game Records'!$U:$U,$H349)&lt;&gt;"Free Game",INDEX('Game Records'!$U:$U,$H349)&lt;&gt;"Disqualified — Free Game",INDEX('Game Records'!$G:$G,$H349)=""),"Gross Pot; ","")&amp;IF(AND(INDEX('Game Records'!$U:$U,$H349)&lt;&gt;"Free Game",INDEX('Game Records'!$U:$U,$H349)&lt;&gt;"Disqualified — Free Game",INDEX('Game Records'!$H:$H,$H349)=""),"Entry Fee; ","")&amp;IF(AND(INDEX('Game Records'!$U:$U,$H349)&lt;&gt;"Subscription",INDEX('Game Records'!$U:$U,$H349)&lt;&gt;"Free Game",INDEX('Game Records'!$U:$U,$H349)&lt;&gt;"Disqualified — Free Game",INDEX('Game Records'!$I:$I,$H349)=""),"Eligible Players; ","")&amp;IF(AND(INDEX('Game Records'!$U:$U,$H349)&lt;&gt;"Subscription",INDEX('Game Records'!$U:$U,$H349)&lt;&gt;"Free Game",INDEX('Game Records'!$U:$U,$H349)&lt;&gt;"Disqualified — Free Game",INDEX('Game Records'!$J:$J,$H349)=""),"Total Players; ","")&amp;IF(AND(LOWER(INDEX('Game Records'!$D:$D,$H349)&amp;"")="finalized",LOWER(INDEX('Game Records'!$L:$L,$H349)&amp;"")&lt;&gt;"yes",INDEX('Game Records'!$U:$U,$H349)&lt;&gt;"Subscription",INDEX('Game Records'!$U:$U,$H349)&lt;&gt;"Free Game",INDEX('Game Records'!$U:$U,$H349)&lt;&gt;"Disqualified — Free Game",INDEX('Game Records'!$K:$K,$H349)=""),"Final Earned; ","")&amp;IF(AND(LOWER(INDEX('Game Records'!$D:$D,$H349)&amp;"")="finalized",INDEX('Game Records'!$U:$U,$H349)&lt;&gt;"Subscription",INDEX('Game Records'!$U:$U,$H349)&lt;&gt;"Free Game",INDEX('Game Records'!$U:$U,$H349)&lt;&gt;"Disqualified — Free Game",OR(INDEX('Game Records'!$L:$L,$H349)="",LOWER(INDEX('Game Records'!$L:$L,$H349)&amp;"")="n/a")),"Disqualified Status; ",""))</x:f>
        <x:v/>
      </x:c>
      <x:c r="G349" s="331" t="str">
        <x:f>IF($H349="","",IFERROR(INDEX('Game Records'!$M:$M,$H349),""))</x:f>
        <x:v/>
      </x:c>
      <x:c r="H349" s="104" t="str">
        <x:f>IF($H348="","",IFERROR(MATCH(1,INDEX((ROW('Game Records'!$U$5:$U$504)&gt;$H348)*(('Game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0" ht="24" customHeight="1">
      <x:c r="A350" s="332" t="str">
        <x:f>IF($H350="","",ROWS($A$5:A350))</x:f>
        <x:v/>
      </x:c>
      <x:c r="B350" s="332" t="str">
        <x:f>IF($H350="","","G-"&amp;TEXT($A350,"0000"))</x:f>
        <x:v/>
      </x:c>
      <x:c r="C350" s="331" t="str">
        <x:f>IF($H350="","",IFERROR(INDEX('Game Records'!$A:$A,$H350),""))</x:f>
        <x:v/>
      </x:c>
      <x:c r="D350" s="331" t="str">
        <x:f>IF($H350="","",IFERROR(INDEX('Game Records'!$U:$U,$H350),""))</x:f>
        <x:v/>
      </x:c>
      <x:c r="E350" s="331" t="str">
        <x:f>IF($H350="","",IF($F350="","No Highlighted Fields","Highlighted Fields Present"))</x:f>
        <x:v/>
      </x:c>
      <x:c r="F350" s="331" t="str">
        <x:f>IF($H350="","",IF(INDEX('Game Records'!$B:$B,$H350)="","Start Date; ","")&amp;IF(INDEX('Game Records'!$C:$C,$H350)="","End Date; ","")&amp;IF(AND(INDEX('Game Records'!$U:$U,$H350)&lt;&gt;"Subscription",INDEX('Game Records'!$U:$U,$H350)&lt;&gt;"Free Game",INDEX('Game Records'!$U:$U,$H350)&lt;&gt;"Disqualified — Free Game",OR(INDEX('Game Records'!$D:$D,$H350)="",LOWER(INDEX('Game Records'!$D:$D,$H350)&amp;"")="n/a")),"Entry Mode; ","")&amp;IF(AND(INDEX('Game Records'!$U:$U,$H350)&lt;&gt;"Subscription",INDEX('Game Records'!$U:$U,$H350)&lt;&gt;"Free Game",INDEX('Game Records'!$U:$U,$H350)&lt;&gt;"Disqualified — Free Game",OR(INDEX('Game Records'!$E:$E,$H350)="",LOWER(INDEX('Game Records'!$E:$E,$H350)&amp;"")="n/a")),"Game Type; ","")&amp;IF(INDEX('Game Records'!$F:$F,$H350)="","Payment Type; ","")&amp;IF(AND(INDEX('Game Records'!$U:$U,$H350)&lt;&gt;"Subscription",INDEX('Game Records'!$U:$U,$H350)&lt;&gt;"Free Game",INDEX('Game Records'!$U:$U,$H350)&lt;&gt;"Disqualified — Free Game",INDEX('Game Records'!$G:$G,$H350)=""),"Gross Pot; ","")&amp;IF(AND(INDEX('Game Records'!$U:$U,$H350)&lt;&gt;"Free Game",INDEX('Game Records'!$U:$U,$H350)&lt;&gt;"Disqualified — Free Game",INDEX('Game Records'!$H:$H,$H350)=""),"Entry Fee; ","")&amp;IF(AND(INDEX('Game Records'!$U:$U,$H350)&lt;&gt;"Subscription",INDEX('Game Records'!$U:$U,$H350)&lt;&gt;"Free Game",INDEX('Game Records'!$U:$U,$H350)&lt;&gt;"Disqualified — Free Game",INDEX('Game Records'!$I:$I,$H350)=""),"Eligible Players; ","")&amp;IF(AND(INDEX('Game Records'!$U:$U,$H350)&lt;&gt;"Subscription",INDEX('Game Records'!$U:$U,$H350)&lt;&gt;"Free Game",INDEX('Game Records'!$U:$U,$H350)&lt;&gt;"Disqualified — Free Game",INDEX('Game Records'!$J:$J,$H350)=""),"Total Players; ","")&amp;IF(AND(LOWER(INDEX('Game Records'!$D:$D,$H350)&amp;"")="finalized",LOWER(INDEX('Game Records'!$L:$L,$H350)&amp;"")&lt;&gt;"yes",INDEX('Game Records'!$U:$U,$H350)&lt;&gt;"Subscription",INDEX('Game Records'!$U:$U,$H350)&lt;&gt;"Free Game",INDEX('Game Records'!$U:$U,$H350)&lt;&gt;"Disqualified — Free Game",INDEX('Game Records'!$K:$K,$H350)=""),"Final Earned; ","")&amp;IF(AND(LOWER(INDEX('Game Records'!$D:$D,$H350)&amp;"")="finalized",INDEX('Game Records'!$U:$U,$H350)&lt;&gt;"Subscription",INDEX('Game Records'!$U:$U,$H350)&lt;&gt;"Free Game",INDEX('Game Records'!$U:$U,$H350)&lt;&gt;"Disqualified — Free Game",OR(INDEX('Game Records'!$L:$L,$H350)="",LOWER(INDEX('Game Records'!$L:$L,$H350)&amp;"")="n/a")),"Disqualified Status; ",""))</x:f>
        <x:v/>
      </x:c>
      <x:c r="G350" s="331" t="str">
        <x:f>IF($H350="","",IFERROR(INDEX('Game Records'!$M:$M,$H350),""))</x:f>
        <x:v/>
      </x:c>
      <x:c r="H350" s="104" t="str">
        <x:f>IF($H349="","",IFERROR(MATCH(1,INDEX((ROW('Game Records'!$U$5:$U$504)&gt;$H349)*(('Game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1" ht="24" customHeight="1">
      <x:c r="A351" s="332" t="str">
        <x:f>IF($H351="","",ROWS($A$5:A351))</x:f>
        <x:v/>
      </x:c>
      <x:c r="B351" s="332" t="str">
        <x:f>IF($H351="","","G-"&amp;TEXT($A351,"0000"))</x:f>
        <x:v/>
      </x:c>
      <x:c r="C351" s="331" t="str">
        <x:f>IF($H351="","",IFERROR(INDEX('Game Records'!$A:$A,$H351),""))</x:f>
        <x:v/>
      </x:c>
      <x:c r="D351" s="331" t="str">
        <x:f>IF($H351="","",IFERROR(INDEX('Game Records'!$U:$U,$H351),""))</x:f>
        <x:v/>
      </x:c>
      <x:c r="E351" s="331" t="str">
        <x:f>IF($H351="","",IF($F351="","No Highlighted Fields","Highlighted Fields Present"))</x:f>
        <x:v/>
      </x:c>
      <x:c r="F351" s="331" t="str">
        <x:f>IF($H351="","",IF(INDEX('Game Records'!$B:$B,$H351)="","Start Date; ","")&amp;IF(INDEX('Game Records'!$C:$C,$H351)="","End Date; ","")&amp;IF(AND(INDEX('Game Records'!$U:$U,$H351)&lt;&gt;"Subscription",INDEX('Game Records'!$U:$U,$H351)&lt;&gt;"Free Game",INDEX('Game Records'!$U:$U,$H351)&lt;&gt;"Disqualified — Free Game",OR(INDEX('Game Records'!$D:$D,$H351)="",LOWER(INDEX('Game Records'!$D:$D,$H351)&amp;"")="n/a")),"Entry Mode; ","")&amp;IF(AND(INDEX('Game Records'!$U:$U,$H351)&lt;&gt;"Subscription",INDEX('Game Records'!$U:$U,$H351)&lt;&gt;"Free Game",INDEX('Game Records'!$U:$U,$H351)&lt;&gt;"Disqualified — Free Game",OR(INDEX('Game Records'!$E:$E,$H351)="",LOWER(INDEX('Game Records'!$E:$E,$H351)&amp;"")="n/a")),"Game Type; ","")&amp;IF(INDEX('Game Records'!$F:$F,$H351)="","Payment Type; ","")&amp;IF(AND(INDEX('Game Records'!$U:$U,$H351)&lt;&gt;"Subscription",INDEX('Game Records'!$U:$U,$H351)&lt;&gt;"Free Game",INDEX('Game Records'!$U:$U,$H351)&lt;&gt;"Disqualified — Free Game",INDEX('Game Records'!$G:$G,$H351)=""),"Gross Pot; ","")&amp;IF(AND(INDEX('Game Records'!$U:$U,$H351)&lt;&gt;"Free Game",INDEX('Game Records'!$U:$U,$H351)&lt;&gt;"Disqualified — Free Game",INDEX('Game Records'!$H:$H,$H351)=""),"Entry Fee; ","")&amp;IF(AND(INDEX('Game Records'!$U:$U,$H351)&lt;&gt;"Subscription",INDEX('Game Records'!$U:$U,$H351)&lt;&gt;"Free Game",INDEX('Game Records'!$U:$U,$H351)&lt;&gt;"Disqualified — Free Game",INDEX('Game Records'!$I:$I,$H351)=""),"Eligible Players; ","")&amp;IF(AND(INDEX('Game Records'!$U:$U,$H351)&lt;&gt;"Subscription",INDEX('Game Records'!$U:$U,$H351)&lt;&gt;"Free Game",INDEX('Game Records'!$U:$U,$H351)&lt;&gt;"Disqualified — Free Game",INDEX('Game Records'!$J:$J,$H351)=""),"Total Players; ","")&amp;IF(AND(LOWER(INDEX('Game Records'!$D:$D,$H351)&amp;"")="finalized",LOWER(INDEX('Game Records'!$L:$L,$H351)&amp;"")&lt;&gt;"yes",INDEX('Game Records'!$U:$U,$H351)&lt;&gt;"Subscription",INDEX('Game Records'!$U:$U,$H351)&lt;&gt;"Free Game",INDEX('Game Records'!$U:$U,$H351)&lt;&gt;"Disqualified — Free Game",INDEX('Game Records'!$K:$K,$H351)=""),"Final Earned; ","")&amp;IF(AND(LOWER(INDEX('Game Records'!$D:$D,$H351)&amp;"")="finalized",INDEX('Game Records'!$U:$U,$H351)&lt;&gt;"Subscription",INDEX('Game Records'!$U:$U,$H351)&lt;&gt;"Free Game",INDEX('Game Records'!$U:$U,$H351)&lt;&gt;"Disqualified — Free Game",OR(INDEX('Game Records'!$L:$L,$H351)="",LOWER(INDEX('Game Records'!$L:$L,$H351)&amp;"")="n/a")),"Disqualified Status; ",""))</x:f>
        <x:v/>
      </x:c>
      <x:c r="G351" s="331" t="str">
        <x:f>IF($H351="","",IFERROR(INDEX('Game Records'!$M:$M,$H351),""))</x:f>
        <x:v/>
      </x:c>
      <x:c r="H351" s="104" t="str">
        <x:f>IF($H350="","",IFERROR(MATCH(1,INDEX((ROW('Game Records'!$U$5:$U$504)&gt;$H350)*(('Game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2" ht="24" customHeight="1">
      <x:c r="A352" s="332" t="str">
        <x:f>IF($H352="","",ROWS($A$5:A352))</x:f>
        <x:v/>
      </x:c>
      <x:c r="B352" s="332" t="str">
        <x:f>IF($H352="","","G-"&amp;TEXT($A352,"0000"))</x:f>
        <x:v/>
      </x:c>
      <x:c r="C352" s="331" t="str">
        <x:f>IF($H352="","",IFERROR(INDEX('Game Records'!$A:$A,$H352),""))</x:f>
        <x:v/>
      </x:c>
      <x:c r="D352" s="331" t="str">
        <x:f>IF($H352="","",IFERROR(INDEX('Game Records'!$U:$U,$H352),""))</x:f>
        <x:v/>
      </x:c>
      <x:c r="E352" s="331" t="str">
        <x:f>IF($H352="","",IF($F352="","No Highlighted Fields","Highlighted Fields Present"))</x:f>
        <x:v/>
      </x:c>
      <x:c r="F352" s="331" t="str">
        <x:f>IF($H352="","",IF(INDEX('Game Records'!$B:$B,$H352)="","Start Date; ","")&amp;IF(INDEX('Game Records'!$C:$C,$H352)="","End Date; ","")&amp;IF(AND(INDEX('Game Records'!$U:$U,$H352)&lt;&gt;"Subscription",INDEX('Game Records'!$U:$U,$H352)&lt;&gt;"Free Game",INDEX('Game Records'!$U:$U,$H352)&lt;&gt;"Disqualified — Free Game",OR(INDEX('Game Records'!$D:$D,$H352)="",LOWER(INDEX('Game Records'!$D:$D,$H352)&amp;"")="n/a")),"Entry Mode; ","")&amp;IF(AND(INDEX('Game Records'!$U:$U,$H352)&lt;&gt;"Subscription",INDEX('Game Records'!$U:$U,$H352)&lt;&gt;"Free Game",INDEX('Game Records'!$U:$U,$H352)&lt;&gt;"Disqualified — Free Game",OR(INDEX('Game Records'!$E:$E,$H352)="",LOWER(INDEX('Game Records'!$E:$E,$H352)&amp;"")="n/a")),"Game Type; ","")&amp;IF(INDEX('Game Records'!$F:$F,$H352)="","Payment Type; ","")&amp;IF(AND(INDEX('Game Records'!$U:$U,$H352)&lt;&gt;"Subscription",INDEX('Game Records'!$U:$U,$H352)&lt;&gt;"Free Game",INDEX('Game Records'!$U:$U,$H352)&lt;&gt;"Disqualified — Free Game",INDEX('Game Records'!$G:$G,$H352)=""),"Gross Pot; ","")&amp;IF(AND(INDEX('Game Records'!$U:$U,$H352)&lt;&gt;"Free Game",INDEX('Game Records'!$U:$U,$H352)&lt;&gt;"Disqualified — Free Game",INDEX('Game Records'!$H:$H,$H352)=""),"Entry Fee; ","")&amp;IF(AND(INDEX('Game Records'!$U:$U,$H352)&lt;&gt;"Subscription",INDEX('Game Records'!$U:$U,$H352)&lt;&gt;"Free Game",INDEX('Game Records'!$U:$U,$H352)&lt;&gt;"Disqualified — Free Game",INDEX('Game Records'!$I:$I,$H352)=""),"Eligible Players; ","")&amp;IF(AND(INDEX('Game Records'!$U:$U,$H352)&lt;&gt;"Subscription",INDEX('Game Records'!$U:$U,$H352)&lt;&gt;"Free Game",INDEX('Game Records'!$U:$U,$H352)&lt;&gt;"Disqualified — Free Game",INDEX('Game Records'!$J:$J,$H352)=""),"Total Players; ","")&amp;IF(AND(LOWER(INDEX('Game Records'!$D:$D,$H352)&amp;"")="finalized",LOWER(INDEX('Game Records'!$L:$L,$H352)&amp;"")&lt;&gt;"yes",INDEX('Game Records'!$U:$U,$H352)&lt;&gt;"Subscription",INDEX('Game Records'!$U:$U,$H352)&lt;&gt;"Free Game",INDEX('Game Records'!$U:$U,$H352)&lt;&gt;"Disqualified — Free Game",INDEX('Game Records'!$K:$K,$H352)=""),"Final Earned; ","")&amp;IF(AND(LOWER(INDEX('Game Records'!$D:$D,$H352)&amp;"")="finalized",INDEX('Game Records'!$U:$U,$H352)&lt;&gt;"Subscription",INDEX('Game Records'!$U:$U,$H352)&lt;&gt;"Free Game",INDEX('Game Records'!$U:$U,$H352)&lt;&gt;"Disqualified — Free Game",OR(INDEX('Game Records'!$L:$L,$H352)="",LOWER(INDEX('Game Records'!$L:$L,$H352)&amp;"")="n/a")),"Disqualified Status; ",""))</x:f>
        <x:v/>
      </x:c>
      <x:c r="G352" s="331" t="str">
        <x:f>IF($H352="","",IFERROR(INDEX('Game Records'!$M:$M,$H352),""))</x:f>
        <x:v/>
      </x:c>
      <x:c r="H352" s="104" t="str">
        <x:f>IF($H351="","",IFERROR(MATCH(1,INDEX((ROW('Game Records'!$U$5:$U$504)&gt;$H351)*(('Game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3" ht="24" customHeight="1">
      <x:c r="A353" s="332" t="str">
        <x:f>IF($H353="","",ROWS($A$5:A353))</x:f>
        <x:v/>
      </x:c>
      <x:c r="B353" s="332" t="str">
        <x:f>IF($H353="","","G-"&amp;TEXT($A353,"0000"))</x:f>
        <x:v/>
      </x:c>
      <x:c r="C353" s="331" t="str">
        <x:f>IF($H353="","",IFERROR(INDEX('Game Records'!$A:$A,$H353),""))</x:f>
        <x:v/>
      </x:c>
      <x:c r="D353" s="331" t="str">
        <x:f>IF($H353="","",IFERROR(INDEX('Game Records'!$U:$U,$H353),""))</x:f>
        <x:v/>
      </x:c>
      <x:c r="E353" s="331" t="str">
        <x:f>IF($H353="","",IF($F353="","No Highlighted Fields","Highlighted Fields Present"))</x:f>
        <x:v/>
      </x:c>
      <x:c r="F353" s="331" t="str">
        <x:f>IF($H353="","",IF(INDEX('Game Records'!$B:$B,$H353)="","Start Date; ","")&amp;IF(INDEX('Game Records'!$C:$C,$H353)="","End Date; ","")&amp;IF(AND(INDEX('Game Records'!$U:$U,$H353)&lt;&gt;"Subscription",INDEX('Game Records'!$U:$U,$H353)&lt;&gt;"Free Game",INDEX('Game Records'!$U:$U,$H353)&lt;&gt;"Disqualified — Free Game",OR(INDEX('Game Records'!$D:$D,$H353)="",LOWER(INDEX('Game Records'!$D:$D,$H353)&amp;"")="n/a")),"Entry Mode; ","")&amp;IF(AND(INDEX('Game Records'!$U:$U,$H353)&lt;&gt;"Subscription",INDEX('Game Records'!$U:$U,$H353)&lt;&gt;"Free Game",INDEX('Game Records'!$U:$U,$H353)&lt;&gt;"Disqualified — Free Game",OR(INDEX('Game Records'!$E:$E,$H353)="",LOWER(INDEX('Game Records'!$E:$E,$H353)&amp;"")="n/a")),"Game Type; ","")&amp;IF(INDEX('Game Records'!$F:$F,$H353)="","Payment Type; ","")&amp;IF(AND(INDEX('Game Records'!$U:$U,$H353)&lt;&gt;"Subscription",INDEX('Game Records'!$U:$U,$H353)&lt;&gt;"Free Game",INDEX('Game Records'!$U:$U,$H353)&lt;&gt;"Disqualified — Free Game",INDEX('Game Records'!$G:$G,$H353)=""),"Gross Pot; ","")&amp;IF(AND(INDEX('Game Records'!$U:$U,$H353)&lt;&gt;"Free Game",INDEX('Game Records'!$U:$U,$H353)&lt;&gt;"Disqualified — Free Game",INDEX('Game Records'!$H:$H,$H353)=""),"Entry Fee; ","")&amp;IF(AND(INDEX('Game Records'!$U:$U,$H353)&lt;&gt;"Subscription",INDEX('Game Records'!$U:$U,$H353)&lt;&gt;"Free Game",INDEX('Game Records'!$U:$U,$H353)&lt;&gt;"Disqualified — Free Game",INDEX('Game Records'!$I:$I,$H353)=""),"Eligible Players; ","")&amp;IF(AND(INDEX('Game Records'!$U:$U,$H353)&lt;&gt;"Subscription",INDEX('Game Records'!$U:$U,$H353)&lt;&gt;"Free Game",INDEX('Game Records'!$U:$U,$H353)&lt;&gt;"Disqualified — Free Game",INDEX('Game Records'!$J:$J,$H353)=""),"Total Players; ","")&amp;IF(AND(LOWER(INDEX('Game Records'!$D:$D,$H353)&amp;"")="finalized",LOWER(INDEX('Game Records'!$L:$L,$H353)&amp;"")&lt;&gt;"yes",INDEX('Game Records'!$U:$U,$H353)&lt;&gt;"Subscription",INDEX('Game Records'!$U:$U,$H353)&lt;&gt;"Free Game",INDEX('Game Records'!$U:$U,$H353)&lt;&gt;"Disqualified — Free Game",INDEX('Game Records'!$K:$K,$H353)=""),"Final Earned; ","")&amp;IF(AND(LOWER(INDEX('Game Records'!$D:$D,$H353)&amp;"")="finalized",INDEX('Game Records'!$U:$U,$H353)&lt;&gt;"Subscription",INDEX('Game Records'!$U:$U,$H353)&lt;&gt;"Free Game",INDEX('Game Records'!$U:$U,$H353)&lt;&gt;"Disqualified — Free Game",OR(INDEX('Game Records'!$L:$L,$H353)="",LOWER(INDEX('Game Records'!$L:$L,$H353)&amp;"")="n/a")),"Disqualified Status; ",""))</x:f>
        <x:v/>
      </x:c>
      <x:c r="G353" s="331" t="str">
        <x:f>IF($H353="","",IFERROR(INDEX('Game Records'!$M:$M,$H353),""))</x:f>
        <x:v/>
      </x:c>
      <x:c r="H353" s="104" t="str">
        <x:f>IF($H352="","",IFERROR(MATCH(1,INDEX((ROW('Game Records'!$U$5:$U$504)&gt;$H352)*(('Game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4" ht="24" customHeight="1">
      <x:c r="A354" s="332" t="str">
        <x:f>IF($H354="","",ROWS($A$5:A354))</x:f>
        <x:v/>
      </x:c>
      <x:c r="B354" s="332" t="str">
        <x:f>IF($H354="","","G-"&amp;TEXT($A354,"0000"))</x:f>
        <x:v/>
      </x:c>
      <x:c r="C354" s="331" t="str">
        <x:f>IF($H354="","",IFERROR(INDEX('Game Records'!$A:$A,$H354),""))</x:f>
        <x:v/>
      </x:c>
      <x:c r="D354" s="331" t="str">
        <x:f>IF($H354="","",IFERROR(INDEX('Game Records'!$U:$U,$H354),""))</x:f>
        <x:v/>
      </x:c>
      <x:c r="E354" s="331" t="str">
        <x:f>IF($H354="","",IF($F354="","No Highlighted Fields","Highlighted Fields Present"))</x:f>
        <x:v/>
      </x:c>
      <x:c r="F354" s="331" t="str">
        <x:f>IF($H354="","",IF(INDEX('Game Records'!$B:$B,$H354)="","Start Date; ","")&amp;IF(INDEX('Game Records'!$C:$C,$H354)="","End Date; ","")&amp;IF(AND(INDEX('Game Records'!$U:$U,$H354)&lt;&gt;"Subscription",INDEX('Game Records'!$U:$U,$H354)&lt;&gt;"Free Game",INDEX('Game Records'!$U:$U,$H354)&lt;&gt;"Disqualified — Free Game",OR(INDEX('Game Records'!$D:$D,$H354)="",LOWER(INDEX('Game Records'!$D:$D,$H354)&amp;"")="n/a")),"Entry Mode; ","")&amp;IF(AND(INDEX('Game Records'!$U:$U,$H354)&lt;&gt;"Subscription",INDEX('Game Records'!$U:$U,$H354)&lt;&gt;"Free Game",INDEX('Game Records'!$U:$U,$H354)&lt;&gt;"Disqualified — Free Game",OR(INDEX('Game Records'!$E:$E,$H354)="",LOWER(INDEX('Game Records'!$E:$E,$H354)&amp;"")="n/a")),"Game Type; ","")&amp;IF(INDEX('Game Records'!$F:$F,$H354)="","Payment Type; ","")&amp;IF(AND(INDEX('Game Records'!$U:$U,$H354)&lt;&gt;"Subscription",INDEX('Game Records'!$U:$U,$H354)&lt;&gt;"Free Game",INDEX('Game Records'!$U:$U,$H354)&lt;&gt;"Disqualified — Free Game",INDEX('Game Records'!$G:$G,$H354)=""),"Gross Pot; ","")&amp;IF(AND(INDEX('Game Records'!$U:$U,$H354)&lt;&gt;"Free Game",INDEX('Game Records'!$U:$U,$H354)&lt;&gt;"Disqualified — Free Game",INDEX('Game Records'!$H:$H,$H354)=""),"Entry Fee; ","")&amp;IF(AND(INDEX('Game Records'!$U:$U,$H354)&lt;&gt;"Subscription",INDEX('Game Records'!$U:$U,$H354)&lt;&gt;"Free Game",INDEX('Game Records'!$U:$U,$H354)&lt;&gt;"Disqualified — Free Game",INDEX('Game Records'!$I:$I,$H354)=""),"Eligible Players; ","")&amp;IF(AND(INDEX('Game Records'!$U:$U,$H354)&lt;&gt;"Subscription",INDEX('Game Records'!$U:$U,$H354)&lt;&gt;"Free Game",INDEX('Game Records'!$U:$U,$H354)&lt;&gt;"Disqualified — Free Game",INDEX('Game Records'!$J:$J,$H354)=""),"Total Players; ","")&amp;IF(AND(LOWER(INDEX('Game Records'!$D:$D,$H354)&amp;"")="finalized",LOWER(INDEX('Game Records'!$L:$L,$H354)&amp;"")&lt;&gt;"yes",INDEX('Game Records'!$U:$U,$H354)&lt;&gt;"Subscription",INDEX('Game Records'!$U:$U,$H354)&lt;&gt;"Free Game",INDEX('Game Records'!$U:$U,$H354)&lt;&gt;"Disqualified — Free Game",INDEX('Game Records'!$K:$K,$H354)=""),"Final Earned; ","")&amp;IF(AND(LOWER(INDEX('Game Records'!$D:$D,$H354)&amp;"")="finalized",INDEX('Game Records'!$U:$U,$H354)&lt;&gt;"Subscription",INDEX('Game Records'!$U:$U,$H354)&lt;&gt;"Free Game",INDEX('Game Records'!$U:$U,$H354)&lt;&gt;"Disqualified — Free Game",OR(INDEX('Game Records'!$L:$L,$H354)="",LOWER(INDEX('Game Records'!$L:$L,$H354)&amp;"")="n/a")),"Disqualified Status; ",""))</x:f>
        <x:v/>
      </x:c>
      <x:c r="G354" s="331" t="str">
        <x:f>IF($H354="","",IFERROR(INDEX('Game Records'!$M:$M,$H354),""))</x:f>
        <x:v/>
      </x:c>
      <x:c r="H354" s="104" t="str">
        <x:f>IF($H353="","",IFERROR(MATCH(1,INDEX((ROW('Game Records'!$U$5:$U$504)&gt;$H353)*(('Game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5" ht="24" customHeight="1">
      <x:c r="A355" s="332" t="str">
        <x:f>IF($H355="","",ROWS($A$5:A355))</x:f>
        <x:v/>
      </x:c>
      <x:c r="B355" s="332" t="str">
        <x:f>IF($H355="","","G-"&amp;TEXT($A355,"0000"))</x:f>
        <x:v/>
      </x:c>
      <x:c r="C355" s="331" t="str">
        <x:f>IF($H355="","",IFERROR(INDEX('Game Records'!$A:$A,$H355),""))</x:f>
        <x:v/>
      </x:c>
      <x:c r="D355" s="331" t="str">
        <x:f>IF($H355="","",IFERROR(INDEX('Game Records'!$U:$U,$H355),""))</x:f>
        <x:v/>
      </x:c>
      <x:c r="E355" s="331" t="str">
        <x:f>IF($H355="","",IF($F355="","No Highlighted Fields","Highlighted Fields Present"))</x:f>
        <x:v/>
      </x:c>
      <x:c r="F355" s="331" t="str">
        <x:f>IF($H355="","",IF(INDEX('Game Records'!$B:$B,$H355)="","Start Date; ","")&amp;IF(INDEX('Game Records'!$C:$C,$H355)="","End Date; ","")&amp;IF(AND(INDEX('Game Records'!$U:$U,$H355)&lt;&gt;"Subscription",INDEX('Game Records'!$U:$U,$H355)&lt;&gt;"Free Game",INDEX('Game Records'!$U:$U,$H355)&lt;&gt;"Disqualified — Free Game",OR(INDEX('Game Records'!$D:$D,$H355)="",LOWER(INDEX('Game Records'!$D:$D,$H355)&amp;"")="n/a")),"Entry Mode; ","")&amp;IF(AND(INDEX('Game Records'!$U:$U,$H355)&lt;&gt;"Subscription",INDEX('Game Records'!$U:$U,$H355)&lt;&gt;"Free Game",INDEX('Game Records'!$U:$U,$H355)&lt;&gt;"Disqualified — Free Game",OR(INDEX('Game Records'!$E:$E,$H355)="",LOWER(INDEX('Game Records'!$E:$E,$H355)&amp;"")="n/a")),"Game Type; ","")&amp;IF(INDEX('Game Records'!$F:$F,$H355)="","Payment Type; ","")&amp;IF(AND(INDEX('Game Records'!$U:$U,$H355)&lt;&gt;"Subscription",INDEX('Game Records'!$U:$U,$H355)&lt;&gt;"Free Game",INDEX('Game Records'!$U:$U,$H355)&lt;&gt;"Disqualified — Free Game",INDEX('Game Records'!$G:$G,$H355)=""),"Gross Pot; ","")&amp;IF(AND(INDEX('Game Records'!$U:$U,$H355)&lt;&gt;"Free Game",INDEX('Game Records'!$U:$U,$H355)&lt;&gt;"Disqualified — Free Game",INDEX('Game Records'!$H:$H,$H355)=""),"Entry Fee; ","")&amp;IF(AND(INDEX('Game Records'!$U:$U,$H355)&lt;&gt;"Subscription",INDEX('Game Records'!$U:$U,$H355)&lt;&gt;"Free Game",INDEX('Game Records'!$U:$U,$H355)&lt;&gt;"Disqualified — Free Game",INDEX('Game Records'!$I:$I,$H355)=""),"Eligible Players; ","")&amp;IF(AND(INDEX('Game Records'!$U:$U,$H355)&lt;&gt;"Subscription",INDEX('Game Records'!$U:$U,$H355)&lt;&gt;"Free Game",INDEX('Game Records'!$U:$U,$H355)&lt;&gt;"Disqualified — Free Game",INDEX('Game Records'!$J:$J,$H355)=""),"Total Players; ","")&amp;IF(AND(LOWER(INDEX('Game Records'!$D:$D,$H355)&amp;"")="finalized",LOWER(INDEX('Game Records'!$L:$L,$H355)&amp;"")&lt;&gt;"yes",INDEX('Game Records'!$U:$U,$H355)&lt;&gt;"Subscription",INDEX('Game Records'!$U:$U,$H355)&lt;&gt;"Free Game",INDEX('Game Records'!$U:$U,$H355)&lt;&gt;"Disqualified — Free Game",INDEX('Game Records'!$K:$K,$H355)=""),"Final Earned; ","")&amp;IF(AND(LOWER(INDEX('Game Records'!$D:$D,$H355)&amp;"")="finalized",INDEX('Game Records'!$U:$U,$H355)&lt;&gt;"Subscription",INDEX('Game Records'!$U:$U,$H355)&lt;&gt;"Free Game",INDEX('Game Records'!$U:$U,$H355)&lt;&gt;"Disqualified — Free Game",OR(INDEX('Game Records'!$L:$L,$H355)="",LOWER(INDEX('Game Records'!$L:$L,$H355)&amp;"")="n/a")),"Disqualified Status; ",""))</x:f>
        <x:v/>
      </x:c>
      <x:c r="G355" s="331" t="str">
        <x:f>IF($H355="","",IFERROR(INDEX('Game Records'!$M:$M,$H355),""))</x:f>
        <x:v/>
      </x:c>
      <x:c r="H355" s="104" t="str">
        <x:f>IF($H354="","",IFERROR(MATCH(1,INDEX((ROW('Game Records'!$U$5:$U$504)&gt;$H354)*(('Game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6" ht="24" customHeight="1">
      <x:c r="A356" s="332" t="str">
        <x:f>IF($H356="","",ROWS($A$5:A356))</x:f>
        <x:v/>
      </x:c>
      <x:c r="B356" s="332" t="str">
        <x:f>IF($H356="","","G-"&amp;TEXT($A356,"0000"))</x:f>
        <x:v/>
      </x:c>
      <x:c r="C356" s="331" t="str">
        <x:f>IF($H356="","",IFERROR(INDEX('Game Records'!$A:$A,$H356),""))</x:f>
        <x:v/>
      </x:c>
      <x:c r="D356" s="331" t="str">
        <x:f>IF($H356="","",IFERROR(INDEX('Game Records'!$U:$U,$H356),""))</x:f>
        <x:v/>
      </x:c>
      <x:c r="E356" s="331" t="str">
        <x:f>IF($H356="","",IF($F356="","No Highlighted Fields","Highlighted Fields Present"))</x:f>
        <x:v/>
      </x:c>
      <x:c r="F356" s="331" t="str">
        <x:f>IF($H356="","",IF(INDEX('Game Records'!$B:$B,$H356)="","Start Date; ","")&amp;IF(INDEX('Game Records'!$C:$C,$H356)="","End Date; ","")&amp;IF(AND(INDEX('Game Records'!$U:$U,$H356)&lt;&gt;"Subscription",INDEX('Game Records'!$U:$U,$H356)&lt;&gt;"Free Game",INDEX('Game Records'!$U:$U,$H356)&lt;&gt;"Disqualified — Free Game",OR(INDEX('Game Records'!$D:$D,$H356)="",LOWER(INDEX('Game Records'!$D:$D,$H356)&amp;"")="n/a")),"Entry Mode; ","")&amp;IF(AND(INDEX('Game Records'!$U:$U,$H356)&lt;&gt;"Subscription",INDEX('Game Records'!$U:$U,$H356)&lt;&gt;"Free Game",INDEX('Game Records'!$U:$U,$H356)&lt;&gt;"Disqualified — Free Game",OR(INDEX('Game Records'!$E:$E,$H356)="",LOWER(INDEX('Game Records'!$E:$E,$H356)&amp;"")="n/a")),"Game Type; ","")&amp;IF(INDEX('Game Records'!$F:$F,$H356)="","Payment Type; ","")&amp;IF(AND(INDEX('Game Records'!$U:$U,$H356)&lt;&gt;"Subscription",INDEX('Game Records'!$U:$U,$H356)&lt;&gt;"Free Game",INDEX('Game Records'!$U:$U,$H356)&lt;&gt;"Disqualified — Free Game",INDEX('Game Records'!$G:$G,$H356)=""),"Gross Pot; ","")&amp;IF(AND(INDEX('Game Records'!$U:$U,$H356)&lt;&gt;"Free Game",INDEX('Game Records'!$U:$U,$H356)&lt;&gt;"Disqualified — Free Game",INDEX('Game Records'!$H:$H,$H356)=""),"Entry Fee; ","")&amp;IF(AND(INDEX('Game Records'!$U:$U,$H356)&lt;&gt;"Subscription",INDEX('Game Records'!$U:$U,$H356)&lt;&gt;"Free Game",INDEX('Game Records'!$U:$U,$H356)&lt;&gt;"Disqualified — Free Game",INDEX('Game Records'!$I:$I,$H356)=""),"Eligible Players; ","")&amp;IF(AND(INDEX('Game Records'!$U:$U,$H356)&lt;&gt;"Subscription",INDEX('Game Records'!$U:$U,$H356)&lt;&gt;"Free Game",INDEX('Game Records'!$U:$U,$H356)&lt;&gt;"Disqualified — Free Game",INDEX('Game Records'!$J:$J,$H356)=""),"Total Players; ","")&amp;IF(AND(LOWER(INDEX('Game Records'!$D:$D,$H356)&amp;"")="finalized",LOWER(INDEX('Game Records'!$L:$L,$H356)&amp;"")&lt;&gt;"yes",INDEX('Game Records'!$U:$U,$H356)&lt;&gt;"Subscription",INDEX('Game Records'!$U:$U,$H356)&lt;&gt;"Free Game",INDEX('Game Records'!$U:$U,$H356)&lt;&gt;"Disqualified — Free Game",INDEX('Game Records'!$K:$K,$H356)=""),"Final Earned; ","")&amp;IF(AND(LOWER(INDEX('Game Records'!$D:$D,$H356)&amp;"")="finalized",INDEX('Game Records'!$U:$U,$H356)&lt;&gt;"Subscription",INDEX('Game Records'!$U:$U,$H356)&lt;&gt;"Free Game",INDEX('Game Records'!$U:$U,$H356)&lt;&gt;"Disqualified — Free Game",OR(INDEX('Game Records'!$L:$L,$H356)="",LOWER(INDEX('Game Records'!$L:$L,$H356)&amp;"")="n/a")),"Disqualified Status; ",""))</x:f>
        <x:v/>
      </x:c>
      <x:c r="G356" s="331" t="str">
        <x:f>IF($H356="","",IFERROR(INDEX('Game Records'!$M:$M,$H356),""))</x:f>
        <x:v/>
      </x:c>
      <x:c r="H356" s="104" t="str">
        <x:f>IF($H355="","",IFERROR(MATCH(1,INDEX((ROW('Game Records'!$U$5:$U$504)&gt;$H355)*(('Game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7" ht="24" customHeight="1">
      <x:c r="A357" s="332" t="str">
        <x:f>IF($H357="","",ROWS($A$5:A357))</x:f>
        <x:v/>
      </x:c>
      <x:c r="B357" s="332" t="str">
        <x:f>IF($H357="","","G-"&amp;TEXT($A357,"0000"))</x:f>
        <x:v/>
      </x:c>
      <x:c r="C357" s="331" t="str">
        <x:f>IF($H357="","",IFERROR(INDEX('Game Records'!$A:$A,$H357),""))</x:f>
        <x:v/>
      </x:c>
      <x:c r="D357" s="331" t="str">
        <x:f>IF($H357="","",IFERROR(INDEX('Game Records'!$U:$U,$H357),""))</x:f>
        <x:v/>
      </x:c>
      <x:c r="E357" s="331" t="str">
        <x:f>IF($H357="","",IF($F357="","No Highlighted Fields","Highlighted Fields Present"))</x:f>
        <x:v/>
      </x:c>
      <x:c r="F357" s="331" t="str">
        <x:f>IF($H357="","",IF(INDEX('Game Records'!$B:$B,$H357)="","Start Date; ","")&amp;IF(INDEX('Game Records'!$C:$C,$H357)="","End Date; ","")&amp;IF(AND(INDEX('Game Records'!$U:$U,$H357)&lt;&gt;"Subscription",INDEX('Game Records'!$U:$U,$H357)&lt;&gt;"Free Game",INDEX('Game Records'!$U:$U,$H357)&lt;&gt;"Disqualified — Free Game",OR(INDEX('Game Records'!$D:$D,$H357)="",LOWER(INDEX('Game Records'!$D:$D,$H357)&amp;"")="n/a")),"Entry Mode; ","")&amp;IF(AND(INDEX('Game Records'!$U:$U,$H357)&lt;&gt;"Subscription",INDEX('Game Records'!$U:$U,$H357)&lt;&gt;"Free Game",INDEX('Game Records'!$U:$U,$H357)&lt;&gt;"Disqualified — Free Game",OR(INDEX('Game Records'!$E:$E,$H357)="",LOWER(INDEX('Game Records'!$E:$E,$H357)&amp;"")="n/a")),"Game Type; ","")&amp;IF(INDEX('Game Records'!$F:$F,$H357)="","Payment Type; ","")&amp;IF(AND(INDEX('Game Records'!$U:$U,$H357)&lt;&gt;"Subscription",INDEX('Game Records'!$U:$U,$H357)&lt;&gt;"Free Game",INDEX('Game Records'!$U:$U,$H357)&lt;&gt;"Disqualified — Free Game",INDEX('Game Records'!$G:$G,$H357)=""),"Gross Pot; ","")&amp;IF(AND(INDEX('Game Records'!$U:$U,$H357)&lt;&gt;"Free Game",INDEX('Game Records'!$U:$U,$H357)&lt;&gt;"Disqualified — Free Game",INDEX('Game Records'!$H:$H,$H357)=""),"Entry Fee; ","")&amp;IF(AND(INDEX('Game Records'!$U:$U,$H357)&lt;&gt;"Subscription",INDEX('Game Records'!$U:$U,$H357)&lt;&gt;"Free Game",INDEX('Game Records'!$U:$U,$H357)&lt;&gt;"Disqualified — Free Game",INDEX('Game Records'!$I:$I,$H357)=""),"Eligible Players; ","")&amp;IF(AND(INDEX('Game Records'!$U:$U,$H357)&lt;&gt;"Subscription",INDEX('Game Records'!$U:$U,$H357)&lt;&gt;"Free Game",INDEX('Game Records'!$U:$U,$H357)&lt;&gt;"Disqualified — Free Game",INDEX('Game Records'!$J:$J,$H357)=""),"Total Players; ","")&amp;IF(AND(LOWER(INDEX('Game Records'!$D:$D,$H357)&amp;"")="finalized",LOWER(INDEX('Game Records'!$L:$L,$H357)&amp;"")&lt;&gt;"yes",INDEX('Game Records'!$U:$U,$H357)&lt;&gt;"Subscription",INDEX('Game Records'!$U:$U,$H357)&lt;&gt;"Free Game",INDEX('Game Records'!$U:$U,$H357)&lt;&gt;"Disqualified — Free Game",INDEX('Game Records'!$K:$K,$H357)=""),"Final Earned; ","")&amp;IF(AND(LOWER(INDEX('Game Records'!$D:$D,$H357)&amp;"")="finalized",INDEX('Game Records'!$U:$U,$H357)&lt;&gt;"Subscription",INDEX('Game Records'!$U:$U,$H357)&lt;&gt;"Free Game",INDEX('Game Records'!$U:$U,$H357)&lt;&gt;"Disqualified — Free Game",OR(INDEX('Game Records'!$L:$L,$H357)="",LOWER(INDEX('Game Records'!$L:$L,$H357)&amp;"")="n/a")),"Disqualified Status; ",""))</x:f>
        <x:v/>
      </x:c>
      <x:c r="G357" s="331" t="str">
        <x:f>IF($H357="","",IFERROR(INDEX('Game Records'!$M:$M,$H357),""))</x:f>
        <x:v/>
      </x:c>
      <x:c r="H357" s="104" t="str">
        <x:f>IF($H356="","",IFERROR(MATCH(1,INDEX((ROW('Game Records'!$U$5:$U$504)&gt;$H356)*(('Game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8" ht="24" customHeight="1">
      <x:c r="A358" s="332" t="str">
        <x:f>IF($H358="","",ROWS($A$5:A358))</x:f>
        <x:v/>
      </x:c>
      <x:c r="B358" s="332" t="str">
        <x:f>IF($H358="","","G-"&amp;TEXT($A358,"0000"))</x:f>
        <x:v/>
      </x:c>
      <x:c r="C358" s="331" t="str">
        <x:f>IF($H358="","",IFERROR(INDEX('Game Records'!$A:$A,$H358),""))</x:f>
        <x:v/>
      </x:c>
      <x:c r="D358" s="331" t="str">
        <x:f>IF($H358="","",IFERROR(INDEX('Game Records'!$U:$U,$H358),""))</x:f>
        <x:v/>
      </x:c>
      <x:c r="E358" s="331" t="str">
        <x:f>IF($H358="","",IF($F358="","No Highlighted Fields","Highlighted Fields Present"))</x:f>
        <x:v/>
      </x:c>
      <x:c r="F358" s="331" t="str">
        <x:f>IF($H358="","",IF(INDEX('Game Records'!$B:$B,$H358)="","Start Date; ","")&amp;IF(INDEX('Game Records'!$C:$C,$H358)="","End Date; ","")&amp;IF(AND(INDEX('Game Records'!$U:$U,$H358)&lt;&gt;"Subscription",INDEX('Game Records'!$U:$U,$H358)&lt;&gt;"Free Game",INDEX('Game Records'!$U:$U,$H358)&lt;&gt;"Disqualified — Free Game",OR(INDEX('Game Records'!$D:$D,$H358)="",LOWER(INDEX('Game Records'!$D:$D,$H358)&amp;"")="n/a")),"Entry Mode; ","")&amp;IF(AND(INDEX('Game Records'!$U:$U,$H358)&lt;&gt;"Subscription",INDEX('Game Records'!$U:$U,$H358)&lt;&gt;"Free Game",INDEX('Game Records'!$U:$U,$H358)&lt;&gt;"Disqualified — Free Game",OR(INDEX('Game Records'!$E:$E,$H358)="",LOWER(INDEX('Game Records'!$E:$E,$H358)&amp;"")="n/a")),"Game Type; ","")&amp;IF(INDEX('Game Records'!$F:$F,$H358)="","Payment Type; ","")&amp;IF(AND(INDEX('Game Records'!$U:$U,$H358)&lt;&gt;"Subscription",INDEX('Game Records'!$U:$U,$H358)&lt;&gt;"Free Game",INDEX('Game Records'!$U:$U,$H358)&lt;&gt;"Disqualified — Free Game",INDEX('Game Records'!$G:$G,$H358)=""),"Gross Pot; ","")&amp;IF(AND(INDEX('Game Records'!$U:$U,$H358)&lt;&gt;"Free Game",INDEX('Game Records'!$U:$U,$H358)&lt;&gt;"Disqualified — Free Game",INDEX('Game Records'!$H:$H,$H358)=""),"Entry Fee; ","")&amp;IF(AND(INDEX('Game Records'!$U:$U,$H358)&lt;&gt;"Subscription",INDEX('Game Records'!$U:$U,$H358)&lt;&gt;"Free Game",INDEX('Game Records'!$U:$U,$H358)&lt;&gt;"Disqualified — Free Game",INDEX('Game Records'!$I:$I,$H358)=""),"Eligible Players; ","")&amp;IF(AND(INDEX('Game Records'!$U:$U,$H358)&lt;&gt;"Subscription",INDEX('Game Records'!$U:$U,$H358)&lt;&gt;"Free Game",INDEX('Game Records'!$U:$U,$H358)&lt;&gt;"Disqualified — Free Game",INDEX('Game Records'!$J:$J,$H358)=""),"Total Players; ","")&amp;IF(AND(LOWER(INDEX('Game Records'!$D:$D,$H358)&amp;"")="finalized",LOWER(INDEX('Game Records'!$L:$L,$H358)&amp;"")&lt;&gt;"yes",INDEX('Game Records'!$U:$U,$H358)&lt;&gt;"Subscription",INDEX('Game Records'!$U:$U,$H358)&lt;&gt;"Free Game",INDEX('Game Records'!$U:$U,$H358)&lt;&gt;"Disqualified — Free Game",INDEX('Game Records'!$K:$K,$H358)=""),"Final Earned; ","")&amp;IF(AND(LOWER(INDEX('Game Records'!$D:$D,$H358)&amp;"")="finalized",INDEX('Game Records'!$U:$U,$H358)&lt;&gt;"Subscription",INDEX('Game Records'!$U:$U,$H358)&lt;&gt;"Free Game",INDEX('Game Records'!$U:$U,$H358)&lt;&gt;"Disqualified — Free Game",OR(INDEX('Game Records'!$L:$L,$H358)="",LOWER(INDEX('Game Records'!$L:$L,$H358)&amp;"")="n/a")),"Disqualified Status; ",""))</x:f>
        <x:v/>
      </x:c>
      <x:c r="G358" s="331" t="str">
        <x:f>IF($H358="","",IFERROR(INDEX('Game Records'!$M:$M,$H358),""))</x:f>
        <x:v/>
      </x:c>
      <x:c r="H358" s="104" t="str">
        <x:f>IF($H357="","",IFERROR(MATCH(1,INDEX((ROW('Game Records'!$U$5:$U$504)&gt;$H357)*(('Game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59" ht="24" customHeight="1">
      <x:c r="A359" s="332" t="str">
        <x:f>IF($H359="","",ROWS($A$5:A359))</x:f>
        <x:v/>
      </x:c>
      <x:c r="B359" s="332" t="str">
        <x:f>IF($H359="","","G-"&amp;TEXT($A359,"0000"))</x:f>
        <x:v/>
      </x:c>
      <x:c r="C359" s="331" t="str">
        <x:f>IF($H359="","",IFERROR(INDEX('Game Records'!$A:$A,$H359),""))</x:f>
        <x:v/>
      </x:c>
      <x:c r="D359" s="331" t="str">
        <x:f>IF($H359="","",IFERROR(INDEX('Game Records'!$U:$U,$H359),""))</x:f>
        <x:v/>
      </x:c>
      <x:c r="E359" s="331" t="str">
        <x:f>IF($H359="","",IF($F359="","No Highlighted Fields","Highlighted Fields Present"))</x:f>
        <x:v/>
      </x:c>
      <x:c r="F359" s="331" t="str">
        <x:f>IF($H359="","",IF(INDEX('Game Records'!$B:$B,$H359)="","Start Date; ","")&amp;IF(INDEX('Game Records'!$C:$C,$H359)="","End Date; ","")&amp;IF(AND(INDEX('Game Records'!$U:$U,$H359)&lt;&gt;"Subscription",INDEX('Game Records'!$U:$U,$H359)&lt;&gt;"Free Game",INDEX('Game Records'!$U:$U,$H359)&lt;&gt;"Disqualified — Free Game",OR(INDEX('Game Records'!$D:$D,$H359)="",LOWER(INDEX('Game Records'!$D:$D,$H359)&amp;"")="n/a")),"Entry Mode; ","")&amp;IF(AND(INDEX('Game Records'!$U:$U,$H359)&lt;&gt;"Subscription",INDEX('Game Records'!$U:$U,$H359)&lt;&gt;"Free Game",INDEX('Game Records'!$U:$U,$H359)&lt;&gt;"Disqualified — Free Game",OR(INDEX('Game Records'!$E:$E,$H359)="",LOWER(INDEX('Game Records'!$E:$E,$H359)&amp;"")="n/a")),"Game Type; ","")&amp;IF(INDEX('Game Records'!$F:$F,$H359)="","Payment Type; ","")&amp;IF(AND(INDEX('Game Records'!$U:$U,$H359)&lt;&gt;"Subscription",INDEX('Game Records'!$U:$U,$H359)&lt;&gt;"Free Game",INDEX('Game Records'!$U:$U,$H359)&lt;&gt;"Disqualified — Free Game",INDEX('Game Records'!$G:$G,$H359)=""),"Gross Pot; ","")&amp;IF(AND(INDEX('Game Records'!$U:$U,$H359)&lt;&gt;"Free Game",INDEX('Game Records'!$U:$U,$H359)&lt;&gt;"Disqualified — Free Game",INDEX('Game Records'!$H:$H,$H359)=""),"Entry Fee; ","")&amp;IF(AND(INDEX('Game Records'!$U:$U,$H359)&lt;&gt;"Subscription",INDEX('Game Records'!$U:$U,$H359)&lt;&gt;"Free Game",INDEX('Game Records'!$U:$U,$H359)&lt;&gt;"Disqualified — Free Game",INDEX('Game Records'!$I:$I,$H359)=""),"Eligible Players; ","")&amp;IF(AND(INDEX('Game Records'!$U:$U,$H359)&lt;&gt;"Subscription",INDEX('Game Records'!$U:$U,$H359)&lt;&gt;"Free Game",INDEX('Game Records'!$U:$U,$H359)&lt;&gt;"Disqualified — Free Game",INDEX('Game Records'!$J:$J,$H359)=""),"Total Players; ","")&amp;IF(AND(LOWER(INDEX('Game Records'!$D:$D,$H359)&amp;"")="finalized",LOWER(INDEX('Game Records'!$L:$L,$H359)&amp;"")&lt;&gt;"yes",INDEX('Game Records'!$U:$U,$H359)&lt;&gt;"Subscription",INDEX('Game Records'!$U:$U,$H359)&lt;&gt;"Free Game",INDEX('Game Records'!$U:$U,$H359)&lt;&gt;"Disqualified — Free Game",INDEX('Game Records'!$K:$K,$H359)=""),"Final Earned; ","")&amp;IF(AND(LOWER(INDEX('Game Records'!$D:$D,$H359)&amp;"")="finalized",INDEX('Game Records'!$U:$U,$H359)&lt;&gt;"Subscription",INDEX('Game Records'!$U:$U,$H359)&lt;&gt;"Free Game",INDEX('Game Records'!$U:$U,$H359)&lt;&gt;"Disqualified — Free Game",OR(INDEX('Game Records'!$L:$L,$H359)="",LOWER(INDEX('Game Records'!$L:$L,$H359)&amp;"")="n/a")),"Disqualified Status; ",""))</x:f>
        <x:v/>
      </x:c>
      <x:c r="G359" s="331" t="str">
        <x:f>IF($H359="","",IFERROR(INDEX('Game Records'!$M:$M,$H359),""))</x:f>
        <x:v/>
      </x:c>
      <x:c r="H359" s="104" t="str">
        <x:f>IF($H358="","",IFERROR(MATCH(1,INDEX((ROW('Game Records'!$U$5:$U$504)&gt;$H358)*(('Game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0" ht="24" customHeight="1">
      <x:c r="A360" s="332" t="str">
        <x:f>IF($H360="","",ROWS($A$5:A360))</x:f>
        <x:v/>
      </x:c>
      <x:c r="B360" s="332" t="str">
        <x:f>IF($H360="","","G-"&amp;TEXT($A360,"0000"))</x:f>
        <x:v/>
      </x:c>
      <x:c r="C360" s="331" t="str">
        <x:f>IF($H360="","",IFERROR(INDEX('Game Records'!$A:$A,$H360),""))</x:f>
        <x:v/>
      </x:c>
      <x:c r="D360" s="331" t="str">
        <x:f>IF($H360="","",IFERROR(INDEX('Game Records'!$U:$U,$H360),""))</x:f>
        <x:v/>
      </x:c>
      <x:c r="E360" s="331" t="str">
        <x:f>IF($H360="","",IF($F360="","No Highlighted Fields","Highlighted Fields Present"))</x:f>
        <x:v/>
      </x:c>
      <x:c r="F360" s="331" t="str">
        <x:f>IF($H360="","",IF(INDEX('Game Records'!$B:$B,$H360)="","Start Date; ","")&amp;IF(INDEX('Game Records'!$C:$C,$H360)="","End Date; ","")&amp;IF(AND(INDEX('Game Records'!$U:$U,$H360)&lt;&gt;"Subscription",INDEX('Game Records'!$U:$U,$H360)&lt;&gt;"Free Game",INDEX('Game Records'!$U:$U,$H360)&lt;&gt;"Disqualified — Free Game",OR(INDEX('Game Records'!$D:$D,$H360)="",LOWER(INDEX('Game Records'!$D:$D,$H360)&amp;"")="n/a")),"Entry Mode; ","")&amp;IF(AND(INDEX('Game Records'!$U:$U,$H360)&lt;&gt;"Subscription",INDEX('Game Records'!$U:$U,$H360)&lt;&gt;"Free Game",INDEX('Game Records'!$U:$U,$H360)&lt;&gt;"Disqualified — Free Game",OR(INDEX('Game Records'!$E:$E,$H360)="",LOWER(INDEX('Game Records'!$E:$E,$H360)&amp;"")="n/a")),"Game Type; ","")&amp;IF(INDEX('Game Records'!$F:$F,$H360)="","Payment Type; ","")&amp;IF(AND(INDEX('Game Records'!$U:$U,$H360)&lt;&gt;"Subscription",INDEX('Game Records'!$U:$U,$H360)&lt;&gt;"Free Game",INDEX('Game Records'!$U:$U,$H360)&lt;&gt;"Disqualified — Free Game",INDEX('Game Records'!$G:$G,$H360)=""),"Gross Pot; ","")&amp;IF(AND(INDEX('Game Records'!$U:$U,$H360)&lt;&gt;"Free Game",INDEX('Game Records'!$U:$U,$H360)&lt;&gt;"Disqualified — Free Game",INDEX('Game Records'!$H:$H,$H360)=""),"Entry Fee; ","")&amp;IF(AND(INDEX('Game Records'!$U:$U,$H360)&lt;&gt;"Subscription",INDEX('Game Records'!$U:$U,$H360)&lt;&gt;"Free Game",INDEX('Game Records'!$U:$U,$H360)&lt;&gt;"Disqualified — Free Game",INDEX('Game Records'!$I:$I,$H360)=""),"Eligible Players; ","")&amp;IF(AND(INDEX('Game Records'!$U:$U,$H360)&lt;&gt;"Subscription",INDEX('Game Records'!$U:$U,$H360)&lt;&gt;"Free Game",INDEX('Game Records'!$U:$U,$H360)&lt;&gt;"Disqualified — Free Game",INDEX('Game Records'!$J:$J,$H360)=""),"Total Players; ","")&amp;IF(AND(LOWER(INDEX('Game Records'!$D:$D,$H360)&amp;"")="finalized",LOWER(INDEX('Game Records'!$L:$L,$H360)&amp;"")&lt;&gt;"yes",INDEX('Game Records'!$U:$U,$H360)&lt;&gt;"Subscription",INDEX('Game Records'!$U:$U,$H360)&lt;&gt;"Free Game",INDEX('Game Records'!$U:$U,$H360)&lt;&gt;"Disqualified — Free Game",INDEX('Game Records'!$K:$K,$H360)=""),"Final Earned; ","")&amp;IF(AND(LOWER(INDEX('Game Records'!$D:$D,$H360)&amp;"")="finalized",INDEX('Game Records'!$U:$U,$H360)&lt;&gt;"Subscription",INDEX('Game Records'!$U:$U,$H360)&lt;&gt;"Free Game",INDEX('Game Records'!$U:$U,$H360)&lt;&gt;"Disqualified — Free Game",OR(INDEX('Game Records'!$L:$L,$H360)="",LOWER(INDEX('Game Records'!$L:$L,$H360)&amp;"")="n/a")),"Disqualified Status; ",""))</x:f>
        <x:v/>
      </x:c>
      <x:c r="G360" s="331" t="str">
        <x:f>IF($H360="","",IFERROR(INDEX('Game Records'!$M:$M,$H360),""))</x:f>
        <x:v/>
      </x:c>
      <x:c r="H360" s="104" t="str">
        <x:f>IF($H359="","",IFERROR(MATCH(1,INDEX((ROW('Game Records'!$U$5:$U$504)&gt;$H359)*(('Game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1" ht="24" customHeight="1">
      <x:c r="A361" s="332" t="str">
        <x:f>IF($H361="","",ROWS($A$5:A361))</x:f>
        <x:v/>
      </x:c>
      <x:c r="B361" s="332" t="str">
        <x:f>IF($H361="","","G-"&amp;TEXT($A361,"0000"))</x:f>
        <x:v/>
      </x:c>
      <x:c r="C361" s="331" t="str">
        <x:f>IF($H361="","",IFERROR(INDEX('Game Records'!$A:$A,$H361),""))</x:f>
        <x:v/>
      </x:c>
      <x:c r="D361" s="331" t="str">
        <x:f>IF($H361="","",IFERROR(INDEX('Game Records'!$U:$U,$H361),""))</x:f>
        <x:v/>
      </x:c>
      <x:c r="E361" s="331" t="str">
        <x:f>IF($H361="","",IF($F361="","No Highlighted Fields","Highlighted Fields Present"))</x:f>
        <x:v/>
      </x:c>
      <x:c r="F361" s="331" t="str">
        <x:f>IF($H361="","",IF(INDEX('Game Records'!$B:$B,$H361)="","Start Date; ","")&amp;IF(INDEX('Game Records'!$C:$C,$H361)="","End Date; ","")&amp;IF(AND(INDEX('Game Records'!$U:$U,$H361)&lt;&gt;"Subscription",INDEX('Game Records'!$U:$U,$H361)&lt;&gt;"Free Game",INDEX('Game Records'!$U:$U,$H361)&lt;&gt;"Disqualified — Free Game",OR(INDEX('Game Records'!$D:$D,$H361)="",LOWER(INDEX('Game Records'!$D:$D,$H361)&amp;"")="n/a")),"Entry Mode; ","")&amp;IF(AND(INDEX('Game Records'!$U:$U,$H361)&lt;&gt;"Subscription",INDEX('Game Records'!$U:$U,$H361)&lt;&gt;"Free Game",INDEX('Game Records'!$U:$U,$H361)&lt;&gt;"Disqualified — Free Game",OR(INDEX('Game Records'!$E:$E,$H361)="",LOWER(INDEX('Game Records'!$E:$E,$H361)&amp;"")="n/a")),"Game Type; ","")&amp;IF(INDEX('Game Records'!$F:$F,$H361)="","Payment Type; ","")&amp;IF(AND(INDEX('Game Records'!$U:$U,$H361)&lt;&gt;"Subscription",INDEX('Game Records'!$U:$U,$H361)&lt;&gt;"Free Game",INDEX('Game Records'!$U:$U,$H361)&lt;&gt;"Disqualified — Free Game",INDEX('Game Records'!$G:$G,$H361)=""),"Gross Pot; ","")&amp;IF(AND(INDEX('Game Records'!$U:$U,$H361)&lt;&gt;"Free Game",INDEX('Game Records'!$U:$U,$H361)&lt;&gt;"Disqualified — Free Game",INDEX('Game Records'!$H:$H,$H361)=""),"Entry Fee; ","")&amp;IF(AND(INDEX('Game Records'!$U:$U,$H361)&lt;&gt;"Subscription",INDEX('Game Records'!$U:$U,$H361)&lt;&gt;"Free Game",INDEX('Game Records'!$U:$U,$H361)&lt;&gt;"Disqualified — Free Game",INDEX('Game Records'!$I:$I,$H361)=""),"Eligible Players; ","")&amp;IF(AND(INDEX('Game Records'!$U:$U,$H361)&lt;&gt;"Subscription",INDEX('Game Records'!$U:$U,$H361)&lt;&gt;"Free Game",INDEX('Game Records'!$U:$U,$H361)&lt;&gt;"Disqualified — Free Game",INDEX('Game Records'!$J:$J,$H361)=""),"Total Players; ","")&amp;IF(AND(LOWER(INDEX('Game Records'!$D:$D,$H361)&amp;"")="finalized",LOWER(INDEX('Game Records'!$L:$L,$H361)&amp;"")&lt;&gt;"yes",INDEX('Game Records'!$U:$U,$H361)&lt;&gt;"Subscription",INDEX('Game Records'!$U:$U,$H361)&lt;&gt;"Free Game",INDEX('Game Records'!$U:$U,$H361)&lt;&gt;"Disqualified — Free Game",INDEX('Game Records'!$K:$K,$H361)=""),"Final Earned; ","")&amp;IF(AND(LOWER(INDEX('Game Records'!$D:$D,$H361)&amp;"")="finalized",INDEX('Game Records'!$U:$U,$H361)&lt;&gt;"Subscription",INDEX('Game Records'!$U:$U,$H361)&lt;&gt;"Free Game",INDEX('Game Records'!$U:$U,$H361)&lt;&gt;"Disqualified — Free Game",OR(INDEX('Game Records'!$L:$L,$H361)="",LOWER(INDEX('Game Records'!$L:$L,$H361)&amp;"")="n/a")),"Disqualified Status; ",""))</x:f>
        <x:v/>
      </x:c>
      <x:c r="G361" s="331" t="str">
        <x:f>IF($H361="","",IFERROR(INDEX('Game Records'!$M:$M,$H361),""))</x:f>
        <x:v/>
      </x:c>
      <x:c r="H361" s="104" t="str">
        <x:f>IF($H360="","",IFERROR(MATCH(1,INDEX((ROW('Game Records'!$U$5:$U$504)&gt;$H360)*(('Game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2" ht="24" customHeight="1">
      <x:c r="A362" s="332" t="str">
        <x:f>IF($H362="","",ROWS($A$5:A362))</x:f>
        <x:v/>
      </x:c>
      <x:c r="B362" s="332" t="str">
        <x:f>IF($H362="","","G-"&amp;TEXT($A362,"0000"))</x:f>
        <x:v/>
      </x:c>
      <x:c r="C362" s="331" t="str">
        <x:f>IF($H362="","",IFERROR(INDEX('Game Records'!$A:$A,$H362),""))</x:f>
        <x:v/>
      </x:c>
      <x:c r="D362" s="331" t="str">
        <x:f>IF($H362="","",IFERROR(INDEX('Game Records'!$U:$U,$H362),""))</x:f>
        <x:v/>
      </x:c>
      <x:c r="E362" s="331" t="str">
        <x:f>IF($H362="","",IF($F362="","No Highlighted Fields","Highlighted Fields Present"))</x:f>
        <x:v/>
      </x:c>
      <x:c r="F362" s="331" t="str">
        <x:f>IF($H362="","",IF(INDEX('Game Records'!$B:$B,$H362)="","Start Date; ","")&amp;IF(INDEX('Game Records'!$C:$C,$H362)="","End Date; ","")&amp;IF(AND(INDEX('Game Records'!$U:$U,$H362)&lt;&gt;"Subscription",INDEX('Game Records'!$U:$U,$H362)&lt;&gt;"Free Game",INDEX('Game Records'!$U:$U,$H362)&lt;&gt;"Disqualified — Free Game",OR(INDEX('Game Records'!$D:$D,$H362)="",LOWER(INDEX('Game Records'!$D:$D,$H362)&amp;"")="n/a")),"Entry Mode; ","")&amp;IF(AND(INDEX('Game Records'!$U:$U,$H362)&lt;&gt;"Subscription",INDEX('Game Records'!$U:$U,$H362)&lt;&gt;"Free Game",INDEX('Game Records'!$U:$U,$H362)&lt;&gt;"Disqualified — Free Game",OR(INDEX('Game Records'!$E:$E,$H362)="",LOWER(INDEX('Game Records'!$E:$E,$H362)&amp;"")="n/a")),"Game Type; ","")&amp;IF(INDEX('Game Records'!$F:$F,$H362)="","Payment Type; ","")&amp;IF(AND(INDEX('Game Records'!$U:$U,$H362)&lt;&gt;"Subscription",INDEX('Game Records'!$U:$U,$H362)&lt;&gt;"Free Game",INDEX('Game Records'!$U:$U,$H362)&lt;&gt;"Disqualified — Free Game",INDEX('Game Records'!$G:$G,$H362)=""),"Gross Pot; ","")&amp;IF(AND(INDEX('Game Records'!$U:$U,$H362)&lt;&gt;"Free Game",INDEX('Game Records'!$U:$U,$H362)&lt;&gt;"Disqualified — Free Game",INDEX('Game Records'!$H:$H,$H362)=""),"Entry Fee; ","")&amp;IF(AND(INDEX('Game Records'!$U:$U,$H362)&lt;&gt;"Subscription",INDEX('Game Records'!$U:$U,$H362)&lt;&gt;"Free Game",INDEX('Game Records'!$U:$U,$H362)&lt;&gt;"Disqualified — Free Game",INDEX('Game Records'!$I:$I,$H362)=""),"Eligible Players; ","")&amp;IF(AND(INDEX('Game Records'!$U:$U,$H362)&lt;&gt;"Subscription",INDEX('Game Records'!$U:$U,$H362)&lt;&gt;"Free Game",INDEX('Game Records'!$U:$U,$H362)&lt;&gt;"Disqualified — Free Game",INDEX('Game Records'!$J:$J,$H362)=""),"Total Players; ","")&amp;IF(AND(LOWER(INDEX('Game Records'!$D:$D,$H362)&amp;"")="finalized",LOWER(INDEX('Game Records'!$L:$L,$H362)&amp;"")&lt;&gt;"yes",INDEX('Game Records'!$U:$U,$H362)&lt;&gt;"Subscription",INDEX('Game Records'!$U:$U,$H362)&lt;&gt;"Free Game",INDEX('Game Records'!$U:$U,$H362)&lt;&gt;"Disqualified — Free Game",INDEX('Game Records'!$K:$K,$H362)=""),"Final Earned; ","")&amp;IF(AND(LOWER(INDEX('Game Records'!$D:$D,$H362)&amp;"")="finalized",INDEX('Game Records'!$U:$U,$H362)&lt;&gt;"Subscription",INDEX('Game Records'!$U:$U,$H362)&lt;&gt;"Free Game",INDEX('Game Records'!$U:$U,$H362)&lt;&gt;"Disqualified — Free Game",OR(INDEX('Game Records'!$L:$L,$H362)="",LOWER(INDEX('Game Records'!$L:$L,$H362)&amp;"")="n/a")),"Disqualified Status; ",""))</x:f>
        <x:v/>
      </x:c>
      <x:c r="G362" s="331" t="str">
        <x:f>IF($H362="","",IFERROR(INDEX('Game Records'!$M:$M,$H362),""))</x:f>
        <x:v/>
      </x:c>
      <x:c r="H362" s="104" t="str">
        <x:f>IF($H361="","",IFERROR(MATCH(1,INDEX((ROW('Game Records'!$U$5:$U$504)&gt;$H361)*(('Game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3" ht="24" customHeight="1">
      <x:c r="A363" s="332" t="str">
        <x:f>IF($H363="","",ROWS($A$5:A363))</x:f>
        <x:v/>
      </x:c>
      <x:c r="B363" s="332" t="str">
        <x:f>IF($H363="","","G-"&amp;TEXT($A363,"0000"))</x:f>
        <x:v/>
      </x:c>
      <x:c r="C363" s="331" t="str">
        <x:f>IF($H363="","",IFERROR(INDEX('Game Records'!$A:$A,$H363),""))</x:f>
        <x:v/>
      </x:c>
      <x:c r="D363" s="331" t="str">
        <x:f>IF($H363="","",IFERROR(INDEX('Game Records'!$U:$U,$H363),""))</x:f>
        <x:v/>
      </x:c>
      <x:c r="E363" s="331" t="str">
        <x:f>IF($H363="","",IF($F363="","No Highlighted Fields","Highlighted Fields Present"))</x:f>
        <x:v/>
      </x:c>
      <x:c r="F363" s="331" t="str">
        <x:f>IF($H363="","",IF(INDEX('Game Records'!$B:$B,$H363)="","Start Date; ","")&amp;IF(INDEX('Game Records'!$C:$C,$H363)="","End Date; ","")&amp;IF(AND(INDEX('Game Records'!$U:$U,$H363)&lt;&gt;"Subscription",INDEX('Game Records'!$U:$U,$H363)&lt;&gt;"Free Game",INDEX('Game Records'!$U:$U,$H363)&lt;&gt;"Disqualified — Free Game",OR(INDEX('Game Records'!$D:$D,$H363)="",LOWER(INDEX('Game Records'!$D:$D,$H363)&amp;"")="n/a")),"Entry Mode; ","")&amp;IF(AND(INDEX('Game Records'!$U:$U,$H363)&lt;&gt;"Subscription",INDEX('Game Records'!$U:$U,$H363)&lt;&gt;"Free Game",INDEX('Game Records'!$U:$U,$H363)&lt;&gt;"Disqualified — Free Game",OR(INDEX('Game Records'!$E:$E,$H363)="",LOWER(INDEX('Game Records'!$E:$E,$H363)&amp;"")="n/a")),"Game Type; ","")&amp;IF(INDEX('Game Records'!$F:$F,$H363)="","Payment Type; ","")&amp;IF(AND(INDEX('Game Records'!$U:$U,$H363)&lt;&gt;"Subscription",INDEX('Game Records'!$U:$U,$H363)&lt;&gt;"Free Game",INDEX('Game Records'!$U:$U,$H363)&lt;&gt;"Disqualified — Free Game",INDEX('Game Records'!$G:$G,$H363)=""),"Gross Pot; ","")&amp;IF(AND(INDEX('Game Records'!$U:$U,$H363)&lt;&gt;"Free Game",INDEX('Game Records'!$U:$U,$H363)&lt;&gt;"Disqualified — Free Game",INDEX('Game Records'!$H:$H,$H363)=""),"Entry Fee; ","")&amp;IF(AND(INDEX('Game Records'!$U:$U,$H363)&lt;&gt;"Subscription",INDEX('Game Records'!$U:$U,$H363)&lt;&gt;"Free Game",INDEX('Game Records'!$U:$U,$H363)&lt;&gt;"Disqualified — Free Game",INDEX('Game Records'!$I:$I,$H363)=""),"Eligible Players; ","")&amp;IF(AND(INDEX('Game Records'!$U:$U,$H363)&lt;&gt;"Subscription",INDEX('Game Records'!$U:$U,$H363)&lt;&gt;"Free Game",INDEX('Game Records'!$U:$U,$H363)&lt;&gt;"Disqualified — Free Game",INDEX('Game Records'!$J:$J,$H363)=""),"Total Players; ","")&amp;IF(AND(LOWER(INDEX('Game Records'!$D:$D,$H363)&amp;"")="finalized",LOWER(INDEX('Game Records'!$L:$L,$H363)&amp;"")&lt;&gt;"yes",INDEX('Game Records'!$U:$U,$H363)&lt;&gt;"Subscription",INDEX('Game Records'!$U:$U,$H363)&lt;&gt;"Free Game",INDEX('Game Records'!$U:$U,$H363)&lt;&gt;"Disqualified — Free Game",INDEX('Game Records'!$K:$K,$H363)=""),"Final Earned; ","")&amp;IF(AND(LOWER(INDEX('Game Records'!$D:$D,$H363)&amp;"")="finalized",INDEX('Game Records'!$U:$U,$H363)&lt;&gt;"Subscription",INDEX('Game Records'!$U:$U,$H363)&lt;&gt;"Free Game",INDEX('Game Records'!$U:$U,$H363)&lt;&gt;"Disqualified — Free Game",OR(INDEX('Game Records'!$L:$L,$H363)="",LOWER(INDEX('Game Records'!$L:$L,$H363)&amp;"")="n/a")),"Disqualified Status; ",""))</x:f>
        <x:v/>
      </x:c>
      <x:c r="G363" s="331" t="str">
        <x:f>IF($H363="","",IFERROR(INDEX('Game Records'!$M:$M,$H363),""))</x:f>
        <x:v/>
      </x:c>
      <x:c r="H363" s="104" t="str">
        <x:f>IF($H362="","",IFERROR(MATCH(1,INDEX((ROW('Game Records'!$U$5:$U$504)&gt;$H362)*(('Game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4" ht="24" customHeight="1">
      <x:c r="A364" s="332" t="str">
        <x:f>IF($H364="","",ROWS($A$5:A364))</x:f>
        <x:v/>
      </x:c>
      <x:c r="B364" s="332" t="str">
        <x:f>IF($H364="","","G-"&amp;TEXT($A364,"0000"))</x:f>
        <x:v/>
      </x:c>
      <x:c r="C364" s="331" t="str">
        <x:f>IF($H364="","",IFERROR(INDEX('Game Records'!$A:$A,$H364),""))</x:f>
        <x:v/>
      </x:c>
      <x:c r="D364" s="331" t="str">
        <x:f>IF($H364="","",IFERROR(INDEX('Game Records'!$U:$U,$H364),""))</x:f>
        <x:v/>
      </x:c>
      <x:c r="E364" s="331" t="str">
        <x:f>IF($H364="","",IF($F364="","No Highlighted Fields","Highlighted Fields Present"))</x:f>
        <x:v/>
      </x:c>
      <x:c r="F364" s="331" t="str">
        <x:f>IF($H364="","",IF(INDEX('Game Records'!$B:$B,$H364)="","Start Date; ","")&amp;IF(INDEX('Game Records'!$C:$C,$H364)="","End Date; ","")&amp;IF(AND(INDEX('Game Records'!$U:$U,$H364)&lt;&gt;"Subscription",INDEX('Game Records'!$U:$U,$H364)&lt;&gt;"Free Game",INDEX('Game Records'!$U:$U,$H364)&lt;&gt;"Disqualified — Free Game",OR(INDEX('Game Records'!$D:$D,$H364)="",LOWER(INDEX('Game Records'!$D:$D,$H364)&amp;"")="n/a")),"Entry Mode; ","")&amp;IF(AND(INDEX('Game Records'!$U:$U,$H364)&lt;&gt;"Subscription",INDEX('Game Records'!$U:$U,$H364)&lt;&gt;"Free Game",INDEX('Game Records'!$U:$U,$H364)&lt;&gt;"Disqualified — Free Game",OR(INDEX('Game Records'!$E:$E,$H364)="",LOWER(INDEX('Game Records'!$E:$E,$H364)&amp;"")="n/a")),"Game Type; ","")&amp;IF(INDEX('Game Records'!$F:$F,$H364)="","Payment Type; ","")&amp;IF(AND(INDEX('Game Records'!$U:$U,$H364)&lt;&gt;"Subscription",INDEX('Game Records'!$U:$U,$H364)&lt;&gt;"Free Game",INDEX('Game Records'!$U:$U,$H364)&lt;&gt;"Disqualified — Free Game",INDEX('Game Records'!$G:$G,$H364)=""),"Gross Pot; ","")&amp;IF(AND(INDEX('Game Records'!$U:$U,$H364)&lt;&gt;"Free Game",INDEX('Game Records'!$U:$U,$H364)&lt;&gt;"Disqualified — Free Game",INDEX('Game Records'!$H:$H,$H364)=""),"Entry Fee; ","")&amp;IF(AND(INDEX('Game Records'!$U:$U,$H364)&lt;&gt;"Subscription",INDEX('Game Records'!$U:$U,$H364)&lt;&gt;"Free Game",INDEX('Game Records'!$U:$U,$H364)&lt;&gt;"Disqualified — Free Game",INDEX('Game Records'!$I:$I,$H364)=""),"Eligible Players; ","")&amp;IF(AND(INDEX('Game Records'!$U:$U,$H364)&lt;&gt;"Subscription",INDEX('Game Records'!$U:$U,$H364)&lt;&gt;"Free Game",INDEX('Game Records'!$U:$U,$H364)&lt;&gt;"Disqualified — Free Game",INDEX('Game Records'!$J:$J,$H364)=""),"Total Players; ","")&amp;IF(AND(LOWER(INDEX('Game Records'!$D:$D,$H364)&amp;"")="finalized",LOWER(INDEX('Game Records'!$L:$L,$H364)&amp;"")&lt;&gt;"yes",INDEX('Game Records'!$U:$U,$H364)&lt;&gt;"Subscription",INDEX('Game Records'!$U:$U,$H364)&lt;&gt;"Free Game",INDEX('Game Records'!$U:$U,$H364)&lt;&gt;"Disqualified — Free Game",INDEX('Game Records'!$K:$K,$H364)=""),"Final Earned; ","")&amp;IF(AND(LOWER(INDEX('Game Records'!$D:$D,$H364)&amp;"")="finalized",INDEX('Game Records'!$U:$U,$H364)&lt;&gt;"Subscription",INDEX('Game Records'!$U:$U,$H364)&lt;&gt;"Free Game",INDEX('Game Records'!$U:$U,$H364)&lt;&gt;"Disqualified — Free Game",OR(INDEX('Game Records'!$L:$L,$H364)="",LOWER(INDEX('Game Records'!$L:$L,$H364)&amp;"")="n/a")),"Disqualified Status; ",""))</x:f>
        <x:v/>
      </x:c>
      <x:c r="G364" s="331" t="str">
        <x:f>IF($H364="","",IFERROR(INDEX('Game Records'!$M:$M,$H364),""))</x:f>
        <x:v/>
      </x:c>
      <x:c r="H364" s="104" t="str">
        <x:f>IF($H363="","",IFERROR(MATCH(1,INDEX((ROW('Game Records'!$U$5:$U$504)&gt;$H363)*(('Game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5" ht="24" customHeight="1">
      <x:c r="A365" s="332" t="str">
        <x:f>IF($H365="","",ROWS($A$5:A365))</x:f>
        <x:v/>
      </x:c>
      <x:c r="B365" s="332" t="str">
        <x:f>IF($H365="","","G-"&amp;TEXT($A365,"0000"))</x:f>
        <x:v/>
      </x:c>
      <x:c r="C365" s="331" t="str">
        <x:f>IF($H365="","",IFERROR(INDEX('Game Records'!$A:$A,$H365),""))</x:f>
        <x:v/>
      </x:c>
      <x:c r="D365" s="331" t="str">
        <x:f>IF($H365="","",IFERROR(INDEX('Game Records'!$U:$U,$H365),""))</x:f>
        <x:v/>
      </x:c>
      <x:c r="E365" s="331" t="str">
        <x:f>IF($H365="","",IF($F365="","No Highlighted Fields","Highlighted Fields Present"))</x:f>
        <x:v/>
      </x:c>
      <x:c r="F365" s="331" t="str">
        <x:f>IF($H365="","",IF(INDEX('Game Records'!$B:$B,$H365)="","Start Date; ","")&amp;IF(INDEX('Game Records'!$C:$C,$H365)="","End Date; ","")&amp;IF(AND(INDEX('Game Records'!$U:$U,$H365)&lt;&gt;"Subscription",INDEX('Game Records'!$U:$U,$H365)&lt;&gt;"Free Game",INDEX('Game Records'!$U:$U,$H365)&lt;&gt;"Disqualified — Free Game",OR(INDEX('Game Records'!$D:$D,$H365)="",LOWER(INDEX('Game Records'!$D:$D,$H365)&amp;"")="n/a")),"Entry Mode; ","")&amp;IF(AND(INDEX('Game Records'!$U:$U,$H365)&lt;&gt;"Subscription",INDEX('Game Records'!$U:$U,$H365)&lt;&gt;"Free Game",INDEX('Game Records'!$U:$U,$H365)&lt;&gt;"Disqualified — Free Game",OR(INDEX('Game Records'!$E:$E,$H365)="",LOWER(INDEX('Game Records'!$E:$E,$H365)&amp;"")="n/a")),"Game Type; ","")&amp;IF(INDEX('Game Records'!$F:$F,$H365)="","Payment Type; ","")&amp;IF(AND(INDEX('Game Records'!$U:$U,$H365)&lt;&gt;"Subscription",INDEX('Game Records'!$U:$U,$H365)&lt;&gt;"Free Game",INDEX('Game Records'!$U:$U,$H365)&lt;&gt;"Disqualified — Free Game",INDEX('Game Records'!$G:$G,$H365)=""),"Gross Pot; ","")&amp;IF(AND(INDEX('Game Records'!$U:$U,$H365)&lt;&gt;"Free Game",INDEX('Game Records'!$U:$U,$H365)&lt;&gt;"Disqualified — Free Game",INDEX('Game Records'!$H:$H,$H365)=""),"Entry Fee; ","")&amp;IF(AND(INDEX('Game Records'!$U:$U,$H365)&lt;&gt;"Subscription",INDEX('Game Records'!$U:$U,$H365)&lt;&gt;"Free Game",INDEX('Game Records'!$U:$U,$H365)&lt;&gt;"Disqualified — Free Game",INDEX('Game Records'!$I:$I,$H365)=""),"Eligible Players; ","")&amp;IF(AND(INDEX('Game Records'!$U:$U,$H365)&lt;&gt;"Subscription",INDEX('Game Records'!$U:$U,$H365)&lt;&gt;"Free Game",INDEX('Game Records'!$U:$U,$H365)&lt;&gt;"Disqualified — Free Game",INDEX('Game Records'!$J:$J,$H365)=""),"Total Players; ","")&amp;IF(AND(LOWER(INDEX('Game Records'!$D:$D,$H365)&amp;"")="finalized",LOWER(INDEX('Game Records'!$L:$L,$H365)&amp;"")&lt;&gt;"yes",INDEX('Game Records'!$U:$U,$H365)&lt;&gt;"Subscription",INDEX('Game Records'!$U:$U,$H365)&lt;&gt;"Free Game",INDEX('Game Records'!$U:$U,$H365)&lt;&gt;"Disqualified — Free Game",INDEX('Game Records'!$K:$K,$H365)=""),"Final Earned; ","")&amp;IF(AND(LOWER(INDEX('Game Records'!$D:$D,$H365)&amp;"")="finalized",INDEX('Game Records'!$U:$U,$H365)&lt;&gt;"Subscription",INDEX('Game Records'!$U:$U,$H365)&lt;&gt;"Free Game",INDEX('Game Records'!$U:$U,$H365)&lt;&gt;"Disqualified — Free Game",OR(INDEX('Game Records'!$L:$L,$H365)="",LOWER(INDEX('Game Records'!$L:$L,$H365)&amp;"")="n/a")),"Disqualified Status; ",""))</x:f>
        <x:v/>
      </x:c>
      <x:c r="G365" s="331" t="str">
        <x:f>IF($H365="","",IFERROR(INDEX('Game Records'!$M:$M,$H365),""))</x:f>
        <x:v/>
      </x:c>
      <x:c r="H365" s="104" t="str">
        <x:f>IF($H364="","",IFERROR(MATCH(1,INDEX((ROW('Game Records'!$U$5:$U$504)&gt;$H364)*(('Game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6" ht="24" customHeight="1">
      <x:c r="A366" s="332" t="str">
        <x:f>IF($H366="","",ROWS($A$5:A366))</x:f>
        <x:v/>
      </x:c>
      <x:c r="B366" s="332" t="str">
        <x:f>IF($H366="","","G-"&amp;TEXT($A366,"0000"))</x:f>
        <x:v/>
      </x:c>
      <x:c r="C366" s="331" t="str">
        <x:f>IF($H366="","",IFERROR(INDEX('Game Records'!$A:$A,$H366),""))</x:f>
        <x:v/>
      </x:c>
      <x:c r="D366" s="331" t="str">
        <x:f>IF($H366="","",IFERROR(INDEX('Game Records'!$U:$U,$H366),""))</x:f>
        <x:v/>
      </x:c>
      <x:c r="E366" s="331" t="str">
        <x:f>IF($H366="","",IF($F366="","No Highlighted Fields","Highlighted Fields Present"))</x:f>
        <x:v/>
      </x:c>
      <x:c r="F366" s="331" t="str">
        <x:f>IF($H366="","",IF(INDEX('Game Records'!$B:$B,$H366)="","Start Date; ","")&amp;IF(INDEX('Game Records'!$C:$C,$H366)="","End Date; ","")&amp;IF(AND(INDEX('Game Records'!$U:$U,$H366)&lt;&gt;"Subscription",INDEX('Game Records'!$U:$U,$H366)&lt;&gt;"Free Game",INDEX('Game Records'!$U:$U,$H366)&lt;&gt;"Disqualified — Free Game",OR(INDEX('Game Records'!$D:$D,$H366)="",LOWER(INDEX('Game Records'!$D:$D,$H366)&amp;"")="n/a")),"Entry Mode; ","")&amp;IF(AND(INDEX('Game Records'!$U:$U,$H366)&lt;&gt;"Subscription",INDEX('Game Records'!$U:$U,$H366)&lt;&gt;"Free Game",INDEX('Game Records'!$U:$U,$H366)&lt;&gt;"Disqualified — Free Game",OR(INDEX('Game Records'!$E:$E,$H366)="",LOWER(INDEX('Game Records'!$E:$E,$H366)&amp;"")="n/a")),"Game Type; ","")&amp;IF(INDEX('Game Records'!$F:$F,$H366)="","Payment Type; ","")&amp;IF(AND(INDEX('Game Records'!$U:$U,$H366)&lt;&gt;"Subscription",INDEX('Game Records'!$U:$U,$H366)&lt;&gt;"Free Game",INDEX('Game Records'!$U:$U,$H366)&lt;&gt;"Disqualified — Free Game",INDEX('Game Records'!$G:$G,$H366)=""),"Gross Pot; ","")&amp;IF(AND(INDEX('Game Records'!$U:$U,$H366)&lt;&gt;"Free Game",INDEX('Game Records'!$U:$U,$H366)&lt;&gt;"Disqualified — Free Game",INDEX('Game Records'!$H:$H,$H366)=""),"Entry Fee; ","")&amp;IF(AND(INDEX('Game Records'!$U:$U,$H366)&lt;&gt;"Subscription",INDEX('Game Records'!$U:$U,$H366)&lt;&gt;"Free Game",INDEX('Game Records'!$U:$U,$H366)&lt;&gt;"Disqualified — Free Game",INDEX('Game Records'!$I:$I,$H366)=""),"Eligible Players; ","")&amp;IF(AND(INDEX('Game Records'!$U:$U,$H366)&lt;&gt;"Subscription",INDEX('Game Records'!$U:$U,$H366)&lt;&gt;"Free Game",INDEX('Game Records'!$U:$U,$H366)&lt;&gt;"Disqualified — Free Game",INDEX('Game Records'!$J:$J,$H366)=""),"Total Players; ","")&amp;IF(AND(LOWER(INDEX('Game Records'!$D:$D,$H366)&amp;"")="finalized",LOWER(INDEX('Game Records'!$L:$L,$H366)&amp;"")&lt;&gt;"yes",INDEX('Game Records'!$U:$U,$H366)&lt;&gt;"Subscription",INDEX('Game Records'!$U:$U,$H366)&lt;&gt;"Free Game",INDEX('Game Records'!$U:$U,$H366)&lt;&gt;"Disqualified — Free Game",INDEX('Game Records'!$K:$K,$H366)=""),"Final Earned; ","")&amp;IF(AND(LOWER(INDEX('Game Records'!$D:$D,$H366)&amp;"")="finalized",INDEX('Game Records'!$U:$U,$H366)&lt;&gt;"Subscription",INDEX('Game Records'!$U:$U,$H366)&lt;&gt;"Free Game",INDEX('Game Records'!$U:$U,$H366)&lt;&gt;"Disqualified — Free Game",OR(INDEX('Game Records'!$L:$L,$H366)="",LOWER(INDEX('Game Records'!$L:$L,$H366)&amp;"")="n/a")),"Disqualified Status; ",""))</x:f>
        <x:v/>
      </x:c>
      <x:c r="G366" s="331" t="str">
        <x:f>IF($H366="","",IFERROR(INDEX('Game Records'!$M:$M,$H366),""))</x:f>
        <x:v/>
      </x:c>
      <x:c r="H366" s="104" t="str">
        <x:f>IF($H365="","",IFERROR(MATCH(1,INDEX((ROW('Game Records'!$U$5:$U$504)&gt;$H365)*(('Game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7" ht="24" customHeight="1">
      <x:c r="A367" s="332" t="str">
        <x:f>IF($H367="","",ROWS($A$5:A367))</x:f>
        <x:v/>
      </x:c>
      <x:c r="B367" s="332" t="str">
        <x:f>IF($H367="","","G-"&amp;TEXT($A367,"0000"))</x:f>
        <x:v/>
      </x:c>
      <x:c r="C367" s="331" t="str">
        <x:f>IF($H367="","",IFERROR(INDEX('Game Records'!$A:$A,$H367),""))</x:f>
        <x:v/>
      </x:c>
      <x:c r="D367" s="331" t="str">
        <x:f>IF($H367="","",IFERROR(INDEX('Game Records'!$U:$U,$H367),""))</x:f>
        <x:v/>
      </x:c>
      <x:c r="E367" s="331" t="str">
        <x:f>IF($H367="","",IF($F367="","No Highlighted Fields","Highlighted Fields Present"))</x:f>
        <x:v/>
      </x:c>
      <x:c r="F367" s="331" t="str">
        <x:f>IF($H367="","",IF(INDEX('Game Records'!$B:$B,$H367)="","Start Date; ","")&amp;IF(INDEX('Game Records'!$C:$C,$H367)="","End Date; ","")&amp;IF(AND(INDEX('Game Records'!$U:$U,$H367)&lt;&gt;"Subscription",INDEX('Game Records'!$U:$U,$H367)&lt;&gt;"Free Game",INDEX('Game Records'!$U:$U,$H367)&lt;&gt;"Disqualified — Free Game",OR(INDEX('Game Records'!$D:$D,$H367)="",LOWER(INDEX('Game Records'!$D:$D,$H367)&amp;"")="n/a")),"Entry Mode; ","")&amp;IF(AND(INDEX('Game Records'!$U:$U,$H367)&lt;&gt;"Subscription",INDEX('Game Records'!$U:$U,$H367)&lt;&gt;"Free Game",INDEX('Game Records'!$U:$U,$H367)&lt;&gt;"Disqualified — Free Game",OR(INDEX('Game Records'!$E:$E,$H367)="",LOWER(INDEX('Game Records'!$E:$E,$H367)&amp;"")="n/a")),"Game Type; ","")&amp;IF(INDEX('Game Records'!$F:$F,$H367)="","Payment Type; ","")&amp;IF(AND(INDEX('Game Records'!$U:$U,$H367)&lt;&gt;"Subscription",INDEX('Game Records'!$U:$U,$H367)&lt;&gt;"Free Game",INDEX('Game Records'!$U:$U,$H367)&lt;&gt;"Disqualified — Free Game",INDEX('Game Records'!$G:$G,$H367)=""),"Gross Pot; ","")&amp;IF(AND(INDEX('Game Records'!$U:$U,$H367)&lt;&gt;"Free Game",INDEX('Game Records'!$U:$U,$H367)&lt;&gt;"Disqualified — Free Game",INDEX('Game Records'!$H:$H,$H367)=""),"Entry Fee; ","")&amp;IF(AND(INDEX('Game Records'!$U:$U,$H367)&lt;&gt;"Subscription",INDEX('Game Records'!$U:$U,$H367)&lt;&gt;"Free Game",INDEX('Game Records'!$U:$U,$H367)&lt;&gt;"Disqualified — Free Game",INDEX('Game Records'!$I:$I,$H367)=""),"Eligible Players; ","")&amp;IF(AND(INDEX('Game Records'!$U:$U,$H367)&lt;&gt;"Subscription",INDEX('Game Records'!$U:$U,$H367)&lt;&gt;"Free Game",INDEX('Game Records'!$U:$U,$H367)&lt;&gt;"Disqualified — Free Game",INDEX('Game Records'!$J:$J,$H367)=""),"Total Players; ","")&amp;IF(AND(LOWER(INDEX('Game Records'!$D:$D,$H367)&amp;"")="finalized",LOWER(INDEX('Game Records'!$L:$L,$H367)&amp;"")&lt;&gt;"yes",INDEX('Game Records'!$U:$U,$H367)&lt;&gt;"Subscription",INDEX('Game Records'!$U:$U,$H367)&lt;&gt;"Free Game",INDEX('Game Records'!$U:$U,$H367)&lt;&gt;"Disqualified — Free Game",INDEX('Game Records'!$K:$K,$H367)=""),"Final Earned; ","")&amp;IF(AND(LOWER(INDEX('Game Records'!$D:$D,$H367)&amp;"")="finalized",INDEX('Game Records'!$U:$U,$H367)&lt;&gt;"Subscription",INDEX('Game Records'!$U:$U,$H367)&lt;&gt;"Free Game",INDEX('Game Records'!$U:$U,$H367)&lt;&gt;"Disqualified — Free Game",OR(INDEX('Game Records'!$L:$L,$H367)="",LOWER(INDEX('Game Records'!$L:$L,$H367)&amp;"")="n/a")),"Disqualified Status; ",""))</x:f>
        <x:v/>
      </x:c>
      <x:c r="G367" s="331" t="str">
        <x:f>IF($H367="","",IFERROR(INDEX('Game Records'!$M:$M,$H367),""))</x:f>
        <x:v/>
      </x:c>
      <x:c r="H367" s="104" t="str">
        <x:f>IF($H366="","",IFERROR(MATCH(1,INDEX((ROW('Game Records'!$U$5:$U$504)&gt;$H366)*(('Game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8" ht="24" customHeight="1">
      <x:c r="A368" s="332" t="str">
        <x:f>IF($H368="","",ROWS($A$5:A368))</x:f>
        <x:v/>
      </x:c>
      <x:c r="B368" s="332" t="str">
        <x:f>IF($H368="","","G-"&amp;TEXT($A368,"0000"))</x:f>
        <x:v/>
      </x:c>
      <x:c r="C368" s="331" t="str">
        <x:f>IF($H368="","",IFERROR(INDEX('Game Records'!$A:$A,$H368),""))</x:f>
        <x:v/>
      </x:c>
      <x:c r="D368" s="331" t="str">
        <x:f>IF($H368="","",IFERROR(INDEX('Game Records'!$U:$U,$H368),""))</x:f>
        <x:v/>
      </x:c>
      <x:c r="E368" s="331" t="str">
        <x:f>IF($H368="","",IF($F368="","No Highlighted Fields","Highlighted Fields Present"))</x:f>
        <x:v/>
      </x:c>
      <x:c r="F368" s="331" t="str">
        <x:f>IF($H368="","",IF(INDEX('Game Records'!$B:$B,$H368)="","Start Date; ","")&amp;IF(INDEX('Game Records'!$C:$C,$H368)="","End Date; ","")&amp;IF(AND(INDEX('Game Records'!$U:$U,$H368)&lt;&gt;"Subscription",INDEX('Game Records'!$U:$U,$H368)&lt;&gt;"Free Game",INDEX('Game Records'!$U:$U,$H368)&lt;&gt;"Disqualified — Free Game",OR(INDEX('Game Records'!$D:$D,$H368)="",LOWER(INDEX('Game Records'!$D:$D,$H368)&amp;"")="n/a")),"Entry Mode; ","")&amp;IF(AND(INDEX('Game Records'!$U:$U,$H368)&lt;&gt;"Subscription",INDEX('Game Records'!$U:$U,$H368)&lt;&gt;"Free Game",INDEX('Game Records'!$U:$U,$H368)&lt;&gt;"Disqualified — Free Game",OR(INDEX('Game Records'!$E:$E,$H368)="",LOWER(INDEX('Game Records'!$E:$E,$H368)&amp;"")="n/a")),"Game Type; ","")&amp;IF(INDEX('Game Records'!$F:$F,$H368)="","Payment Type; ","")&amp;IF(AND(INDEX('Game Records'!$U:$U,$H368)&lt;&gt;"Subscription",INDEX('Game Records'!$U:$U,$H368)&lt;&gt;"Free Game",INDEX('Game Records'!$U:$U,$H368)&lt;&gt;"Disqualified — Free Game",INDEX('Game Records'!$G:$G,$H368)=""),"Gross Pot; ","")&amp;IF(AND(INDEX('Game Records'!$U:$U,$H368)&lt;&gt;"Free Game",INDEX('Game Records'!$U:$U,$H368)&lt;&gt;"Disqualified — Free Game",INDEX('Game Records'!$H:$H,$H368)=""),"Entry Fee; ","")&amp;IF(AND(INDEX('Game Records'!$U:$U,$H368)&lt;&gt;"Subscription",INDEX('Game Records'!$U:$U,$H368)&lt;&gt;"Free Game",INDEX('Game Records'!$U:$U,$H368)&lt;&gt;"Disqualified — Free Game",INDEX('Game Records'!$I:$I,$H368)=""),"Eligible Players; ","")&amp;IF(AND(INDEX('Game Records'!$U:$U,$H368)&lt;&gt;"Subscription",INDEX('Game Records'!$U:$U,$H368)&lt;&gt;"Free Game",INDEX('Game Records'!$U:$U,$H368)&lt;&gt;"Disqualified — Free Game",INDEX('Game Records'!$J:$J,$H368)=""),"Total Players; ","")&amp;IF(AND(LOWER(INDEX('Game Records'!$D:$D,$H368)&amp;"")="finalized",LOWER(INDEX('Game Records'!$L:$L,$H368)&amp;"")&lt;&gt;"yes",INDEX('Game Records'!$U:$U,$H368)&lt;&gt;"Subscription",INDEX('Game Records'!$U:$U,$H368)&lt;&gt;"Free Game",INDEX('Game Records'!$U:$U,$H368)&lt;&gt;"Disqualified — Free Game",INDEX('Game Records'!$K:$K,$H368)=""),"Final Earned; ","")&amp;IF(AND(LOWER(INDEX('Game Records'!$D:$D,$H368)&amp;"")="finalized",INDEX('Game Records'!$U:$U,$H368)&lt;&gt;"Subscription",INDEX('Game Records'!$U:$U,$H368)&lt;&gt;"Free Game",INDEX('Game Records'!$U:$U,$H368)&lt;&gt;"Disqualified — Free Game",OR(INDEX('Game Records'!$L:$L,$H368)="",LOWER(INDEX('Game Records'!$L:$L,$H368)&amp;"")="n/a")),"Disqualified Status; ",""))</x:f>
        <x:v/>
      </x:c>
      <x:c r="G368" s="331" t="str">
        <x:f>IF($H368="","",IFERROR(INDEX('Game Records'!$M:$M,$H368),""))</x:f>
        <x:v/>
      </x:c>
      <x:c r="H368" s="104" t="str">
        <x:f>IF($H367="","",IFERROR(MATCH(1,INDEX((ROW('Game Records'!$U$5:$U$504)&gt;$H367)*(('Game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69" ht="24" customHeight="1">
      <x:c r="A369" s="332" t="str">
        <x:f>IF($H369="","",ROWS($A$5:A369))</x:f>
        <x:v/>
      </x:c>
      <x:c r="B369" s="332" t="str">
        <x:f>IF($H369="","","G-"&amp;TEXT($A369,"0000"))</x:f>
        <x:v/>
      </x:c>
      <x:c r="C369" s="331" t="str">
        <x:f>IF($H369="","",IFERROR(INDEX('Game Records'!$A:$A,$H369),""))</x:f>
        <x:v/>
      </x:c>
      <x:c r="D369" s="331" t="str">
        <x:f>IF($H369="","",IFERROR(INDEX('Game Records'!$U:$U,$H369),""))</x:f>
        <x:v/>
      </x:c>
      <x:c r="E369" s="331" t="str">
        <x:f>IF($H369="","",IF($F369="","No Highlighted Fields","Highlighted Fields Present"))</x:f>
        <x:v/>
      </x:c>
      <x:c r="F369" s="331" t="str">
        <x:f>IF($H369="","",IF(INDEX('Game Records'!$B:$B,$H369)="","Start Date; ","")&amp;IF(INDEX('Game Records'!$C:$C,$H369)="","End Date; ","")&amp;IF(AND(INDEX('Game Records'!$U:$U,$H369)&lt;&gt;"Subscription",INDEX('Game Records'!$U:$U,$H369)&lt;&gt;"Free Game",INDEX('Game Records'!$U:$U,$H369)&lt;&gt;"Disqualified — Free Game",OR(INDEX('Game Records'!$D:$D,$H369)="",LOWER(INDEX('Game Records'!$D:$D,$H369)&amp;"")="n/a")),"Entry Mode; ","")&amp;IF(AND(INDEX('Game Records'!$U:$U,$H369)&lt;&gt;"Subscription",INDEX('Game Records'!$U:$U,$H369)&lt;&gt;"Free Game",INDEX('Game Records'!$U:$U,$H369)&lt;&gt;"Disqualified — Free Game",OR(INDEX('Game Records'!$E:$E,$H369)="",LOWER(INDEX('Game Records'!$E:$E,$H369)&amp;"")="n/a")),"Game Type; ","")&amp;IF(INDEX('Game Records'!$F:$F,$H369)="","Payment Type; ","")&amp;IF(AND(INDEX('Game Records'!$U:$U,$H369)&lt;&gt;"Subscription",INDEX('Game Records'!$U:$U,$H369)&lt;&gt;"Free Game",INDEX('Game Records'!$U:$U,$H369)&lt;&gt;"Disqualified — Free Game",INDEX('Game Records'!$G:$G,$H369)=""),"Gross Pot; ","")&amp;IF(AND(INDEX('Game Records'!$U:$U,$H369)&lt;&gt;"Free Game",INDEX('Game Records'!$U:$U,$H369)&lt;&gt;"Disqualified — Free Game",INDEX('Game Records'!$H:$H,$H369)=""),"Entry Fee; ","")&amp;IF(AND(INDEX('Game Records'!$U:$U,$H369)&lt;&gt;"Subscription",INDEX('Game Records'!$U:$U,$H369)&lt;&gt;"Free Game",INDEX('Game Records'!$U:$U,$H369)&lt;&gt;"Disqualified — Free Game",INDEX('Game Records'!$I:$I,$H369)=""),"Eligible Players; ","")&amp;IF(AND(INDEX('Game Records'!$U:$U,$H369)&lt;&gt;"Subscription",INDEX('Game Records'!$U:$U,$H369)&lt;&gt;"Free Game",INDEX('Game Records'!$U:$U,$H369)&lt;&gt;"Disqualified — Free Game",INDEX('Game Records'!$J:$J,$H369)=""),"Total Players; ","")&amp;IF(AND(LOWER(INDEX('Game Records'!$D:$D,$H369)&amp;"")="finalized",LOWER(INDEX('Game Records'!$L:$L,$H369)&amp;"")&lt;&gt;"yes",INDEX('Game Records'!$U:$U,$H369)&lt;&gt;"Subscription",INDEX('Game Records'!$U:$U,$H369)&lt;&gt;"Free Game",INDEX('Game Records'!$U:$U,$H369)&lt;&gt;"Disqualified — Free Game",INDEX('Game Records'!$K:$K,$H369)=""),"Final Earned; ","")&amp;IF(AND(LOWER(INDEX('Game Records'!$D:$D,$H369)&amp;"")="finalized",INDEX('Game Records'!$U:$U,$H369)&lt;&gt;"Subscription",INDEX('Game Records'!$U:$U,$H369)&lt;&gt;"Free Game",INDEX('Game Records'!$U:$U,$H369)&lt;&gt;"Disqualified — Free Game",OR(INDEX('Game Records'!$L:$L,$H369)="",LOWER(INDEX('Game Records'!$L:$L,$H369)&amp;"")="n/a")),"Disqualified Status; ",""))</x:f>
        <x:v/>
      </x:c>
      <x:c r="G369" s="331" t="str">
        <x:f>IF($H369="","",IFERROR(INDEX('Game Records'!$M:$M,$H369),""))</x:f>
        <x:v/>
      </x:c>
      <x:c r="H369" s="104" t="str">
        <x:f>IF($H368="","",IFERROR(MATCH(1,INDEX((ROW('Game Records'!$U$5:$U$504)&gt;$H368)*(('Game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0" ht="24" customHeight="1">
      <x:c r="A370" s="332" t="str">
        <x:f>IF($H370="","",ROWS($A$5:A370))</x:f>
        <x:v/>
      </x:c>
      <x:c r="B370" s="332" t="str">
        <x:f>IF($H370="","","G-"&amp;TEXT($A370,"0000"))</x:f>
        <x:v/>
      </x:c>
      <x:c r="C370" s="331" t="str">
        <x:f>IF($H370="","",IFERROR(INDEX('Game Records'!$A:$A,$H370),""))</x:f>
        <x:v/>
      </x:c>
      <x:c r="D370" s="331" t="str">
        <x:f>IF($H370="","",IFERROR(INDEX('Game Records'!$U:$U,$H370),""))</x:f>
        <x:v/>
      </x:c>
      <x:c r="E370" s="331" t="str">
        <x:f>IF($H370="","",IF($F370="","No Highlighted Fields","Highlighted Fields Present"))</x:f>
        <x:v/>
      </x:c>
      <x:c r="F370" s="331" t="str">
        <x:f>IF($H370="","",IF(INDEX('Game Records'!$B:$B,$H370)="","Start Date; ","")&amp;IF(INDEX('Game Records'!$C:$C,$H370)="","End Date; ","")&amp;IF(AND(INDEX('Game Records'!$U:$U,$H370)&lt;&gt;"Subscription",INDEX('Game Records'!$U:$U,$H370)&lt;&gt;"Free Game",INDEX('Game Records'!$U:$U,$H370)&lt;&gt;"Disqualified — Free Game",OR(INDEX('Game Records'!$D:$D,$H370)="",LOWER(INDEX('Game Records'!$D:$D,$H370)&amp;"")="n/a")),"Entry Mode; ","")&amp;IF(AND(INDEX('Game Records'!$U:$U,$H370)&lt;&gt;"Subscription",INDEX('Game Records'!$U:$U,$H370)&lt;&gt;"Free Game",INDEX('Game Records'!$U:$U,$H370)&lt;&gt;"Disqualified — Free Game",OR(INDEX('Game Records'!$E:$E,$H370)="",LOWER(INDEX('Game Records'!$E:$E,$H370)&amp;"")="n/a")),"Game Type; ","")&amp;IF(INDEX('Game Records'!$F:$F,$H370)="","Payment Type; ","")&amp;IF(AND(INDEX('Game Records'!$U:$U,$H370)&lt;&gt;"Subscription",INDEX('Game Records'!$U:$U,$H370)&lt;&gt;"Free Game",INDEX('Game Records'!$U:$U,$H370)&lt;&gt;"Disqualified — Free Game",INDEX('Game Records'!$G:$G,$H370)=""),"Gross Pot; ","")&amp;IF(AND(INDEX('Game Records'!$U:$U,$H370)&lt;&gt;"Free Game",INDEX('Game Records'!$U:$U,$H370)&lt;&gt;"Disqualified — Free Game",INDEX('Game Records'!$H:$H,$H370)=""),"Entry Fee; ","")&amp;IF(AND(INDEX('Game Records'!$U:$U,$H370)&lt;&gt;"Subscription",INDEX('Game Records'!$U:$U,$H370)&lt;&gt;"Free Game",INDEX('Game Records'!$U:$U,$H370)&lt;&gt;"Disqualified — Free Game",INDEX('Game Records'!$I:$I,$H370)=""),"Eligible Players; ","")&amp;IF(AND(INDEX('Game Records'!$U:$U,$H370)&lt;&gt;"Subscription",INDEX('Game Records'!$U:$U,$H370)&lt;&gt;"Free Game",INDEX('Game Records'!$U:$U,$H370)&lt;&gt;"Disqualified — Free Game",INDEX('Game Records'!$J:$J,$H370)=""),"Total Players; ","")&amp;IF(AND(LOWER(INDEX('Game Records'!$D:$D,$H370)&amp;"")="finalized",LOWER(INDEX('Game Records'!$L:$L,$H370)&amp;"")&lt;&gt;"yes",INDEX('Game Records'!$U:$U,$H370)&lt;&gt;"Subscription",INDEX('Game Records'!$U:$U,$H370)&lt;&gt;"Free Game",INDEX('Game Records'!$U:$U,$H370)&lt;&gt;"Disqualified — Free Game",INDEX('Game Records'!$K:$K,$H370)=""),"Final Earned; ","")&amp;IF(AND(LOWER(INDEX('Game Records'!$D:$D,$H370)&amp;"")="finalized",INDEX('Game Records'!$U:$U,$H370)&lt;&gt;"Subscription",INDEX('Game Records'!$U:$U,$H370)&lt;&gt;"Free Game",INDEX('Game Records'!$U:$U,$H370)&lt;&gt;"Disqualified — Free Game",OR(INDEX('Game Records'!$L:$L,$H370)="",LOWER(INDEX('Game Records'!$L:$L,$H370)&amp;"")="n/a")),"Disqualified Status; ",""))</x:f>
        <x:v/>
      </x:c>
      <x:c r="G370" s="331" t="str">
        <x:f>IF($H370="","",IFERROR(INDEX('Game Records'!$M:$M,$H370),""))</x:f>
        <x:v/>
      </x:c>
      <x:c r="H370" s="104" t="str">
        <x:f>IF($H369="","",IFERROR(MATCH(1,INDEX((ROW('Game Records'!$U$5:$U$504)&gt;$H369)*(('Game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1" ht="24" customHeight="1">
      <x:c r="A371" s="332" t="str">
        <x:f>IF($H371="","",ROWS($A$5:A371))</x:f>
        <x:v/>
      </x:c>
      <x:c r="B371" s="332" t="str">
        <x:f>IF($H371="","","G-"&amp;TEXT($A371,"0000"))</x:f>
        <x:v/>
      </x:c>
      <x:c r="C371" s="331" t="str">
        <x:f>IF($H371="","",IFERROR(INDEX('Game Records'!$A:$A,$H371),""))</x:f>
        <x:v/>
      </x:c>
      <x:c r="D371" s="331" t="str">
        <x:f>IF($H371="","",IFERROR(INDEX('Game Records'!$U:$U,$H371),""))</x:f>
        <x:v/>
      </x:c>
      <x:c r="E371" s="331" t="str">
        <x:f>IF($H371="","",IF($F371="","No Highlighted Fields","Highlighted Fields Present"))</x:f>
        <x:v/>
      </x:c>
      <x:c r="F371" s="331" t="str">
        <x:f>IF($H371="","",IF(INDEX('Game Records'!$B:$B,$H371)="","Start Date; ","")&amp;IF(INDEX('Game Records'!$C:$C,$H371)="","End Date; ","")&amp;IF(AND(INDEX('Game Records'!$U:$U,$H371)&lt;&gt;"Subscription",INDEX('Game Records'!$U:$U,$H371)&lt;&gt;"Free Game",INDEX('Game Records'!$U:$U,$H371)&lt;&gt;"Disqualified — Free Game",OR(INDEX('Game Records'!$D:$D,$H371)="",LOWER(INDEX('Game Records'!$D:$D,$H371)&amp;"")="n/a")),"Entry Mode; ","")&amp;IF(AND(INDEX('Game Records'!$U:$U,$H371)&lt;&gt;"Subscription",INDEX('Game Records'!$U:$U,$H371)&lt;&gt;"Free Game",INDEX('Game Records'!$U:$U,$H371)&lt;&gt;"Disqualified — Free Game",OR(INDEX('Game Records'!$E:$E,$H371)="",LOWER(INDEX('Game Records'!$E:$E,$H371)&amp;"")="n/a")),"Game Type; ","")&amp;IF(INDEX('Game Records'!$F:$F,$H371)="","Payment Type; ","")&amp;IF(AND(INDEX('Game Records'!$U:$U,$H371)&lt;&gt;"Subscription",INDEX('Game Records'!$U:$U,$H371)&lt;&gt;"Free Game",INDEX('Game Records'!$U:$U,$H371)&lt;&gt;"Disqualified — Free Game",INDEX('Game Records'!$G:$G,$H371)=""),"Gross Pot; ","")&amp;IF(AND(INDEX('Game Records'!$U:$U,$H371)&lt;&gt;"Free Game",INDEX('Game Records'!$U:$U,$H371)&lt;&gt;"Disqualified — Free Game",INDEX('Game Records'!$H:$H,$H371)=""),"Entry Fee; ","")&amp;IF(AND(INDEX('Game Records'!$U:$U,$H371)&lt;&gt;"Subscription",INDEX('Game Records'!$U:$U,$H371)&lt;&gt;"Free Game",INDEX('Game Records'!$U:$U,$H371)&lt;&gt;"Disqualified — Free Game",INDEX('Game Records'!$I:$I,$H371)=""),"Eligible Players; ","")&amp;IF(AND(INDEX('Game Records'!$U:$U,$H371)&lt;&gt;"Subscription",INDEX('Game Records'!$U:$U,$H371)&lt;&gt;"Free Game",INDEX('Game Records'!$U:$U,$H371)&lt;&gt;"Disqualified — Free Game",INDEX('Game Records'!$J:$J,$H371)=""),"Total Players; ","")&amp;IF(AND(LOWER(INDEX('Game Records'!$D:$D,$H371)&amp;"")="finalized",LOWER(INDEX('Game Records'!$L:$L,$H371)&amp;"")&lt;&gt;"yes",INDEX('Game Records'!$U:$U,$H371)&lt;&gt;"Subscription",INDEX('Game Records'!$U:$U,$H371)&lt;&gt;"Free Game",INDEX('Game Records'!$U:$U,$H371)&lt;&gt;"Disqualified — Free Game",INDEX('Game Records'!$K:$K,$H371)=""),"Final Earned; ","")&amp;IF(AND(LOWER(INDEX('Game Records'!$D:$D,$H371)&amp;"")="finalized",INDEX('Game Records'!$U:$U,$H371)&lt;&gt;"Subscription",INDEX('Game Records'!$U:$U,$H371)&lt;&gt;"Free Game",INDEX('Game Records'!$U:$U,$H371)&lt;&gt;"Disqualified — Free Game",OR(INDEX('Game Records'!$L:$L,$H371)="",LOWER(INDEX('Game Records'!$L:$L,$H371)&amp;"")="n/a")),"Disqualified Status; ",""))</x:f>
        <x:v/>
      </x:c>
      <x:c r="G371" s="331" t="str">
        <x:f>IF($H371="","",IFERROR(INDEX('Game Records'!$M:$M,$H371),""))</x:f>
        <x:v/>
      </x:c>
      <x:c r="H371" s="104" t="str">
        <x:f>IF($H370="","",IFERROR(MATCH(1,INDEX((ROW('Game Records'!$U$5:$U$504)&gt;$H370)*(('Game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2" ht="24" customHeight="1">
      <x:c r="A372" s="332" t="str">
        <x:f>IF($H372="","",ROWS($A$5:A372))</x:f>
        <x:v/>
      </x:c>
      <x:c r="B372" s="332" t="str">
        <x:f>IF($H372="","","G-"&amp;TEXT($A372,"0000"))</x:f>
        <x:v/>
      </x:c>
      <x:c r="C372" s="331" t="str">
        <x:f>IF($H372="","",IFERROR(INDEX('Game Records'!$A:$A,$H372),""))</x:f>
        <x:v/>
      </x:c>
      <x:c r="D372" s="331" t="str">
        <x:f>IF($H372="","",IFERROR(INDEX('Game Records'!$U:$U,$H372),""))</x:f>
        <x:v/>
      </x:c>
      <x:c r="E372" s="331" t="str">
        <x:f>IF($H372="","",IF($F372="","No Highlighted Fields","Highlighted Fields Present"))</x:f>
        <x:v/>
      </x:c>
      <x:c r="F372" s="331" t="str">
        <x:f>IF($H372="","",IF(INDEX('Game Records'!$B:$B,$H372)="","Start Date; ","")&amp;IF(INDEX('Game Records'!$C:$C,$H372)="","End Date; ","")&amp;IF(AND(INDEX('Game Records'!$U:$U,$H372)&lt;&gt;"Subscription",INDEX('Game Records'!$U:$U,$H372)&lt;&gt;"Free Game",INDEX('Game Records'!$U:$U,$H372)&lt;&gt;"Disqualified — Free Game",OR(INDEX('Game Records'!$D:$D,$H372)="",LOWER(INDEX('Game Records'!$D:$D,$H372)&amp;"")="n/a")),"Entry Mode; ","")&amp;IF(AND(INDEX('Game Records'!$U:$U,$H372)&lt;&gt;"Subscription",INDEX('Game Records'!$U:$U,$H372)&lt;&gt;"Free Game",INDEX('Game Records'!$U:$U,$H372)&lt;&gt;"Disqualified — Free Game",OR(INDEX('Game Records'!$E:$E,$H372)="",LOWER(INDEX('Game Records'!$E:$E,$H372)&amp;"")="n/a")),"Game Type; ","")&amp;IF(INDEX('Game Records'!$F:$F,$H372)="","Payment Type; ","")&amp;IF(AND(INDEX('Game Records'!$U:$U,$H372)&lt;&gt;"Subscription",INDEX('Game Records'!$U:$U,$H372)&lt;&gt;"Free Game",INDEX('Game Records'!$U:$U,$H372)&lt;&gt;"Disqualified — Free Game",INDEX('Game Records'!$G:$G,$H372)=""),"Gross Pot; ","")&amp;IF(AND(INDEX('Game Records'!$U:$U,$H372)&lt;&gt;"Free Game",INDEX('Game Records'!$U:$U,$H372)&lt;&gt;"Disqualified — Free Game",INDEX('Game Records'!$H:$H,$H372)=""),"Entry Fee; ","")&amp;IF(AND(INDEX('Game Records'!$U:$U,$H372)&lt;&gt;"Subscription",INDEX('Game Records'!$U:$U,$H372)&lt;&gt;"Free Game",INDEX('Game Records'!$U:$U,$H372)&lt;&gt;"Disqualified — Free Game",INDEX('Game Records'!$I:$I,$H372)=""),"Eligible Players; ","")&amp;IF(AND(INDEX('Game Records'!$U:$U,$H372)&lt;&gt;"Subscription",INDEX('Game Records'!$U:$U,$H372)&lt;&gt;"Free Game",INDEX('Game Records'!$U:$U,$H372)&lt;&gt;"Disqualified — Free Game",INDEX('Game Records'!$J:$J,$H372)=""),"Total Players; ","")&amp;IF(AND(LOWER(INDEX('Game Records'!$D:$D,$H372)&amp;"")="finalized",LOWER(INDEX('Game Records'!$L:$L,$H372)&amp;"")&lt;&gt;"yes",INDEX('Game Records'!$U:$U,$H372)&lt;&gt;"Subscription",INDEX('Game Records'!$U:$U,$H372)&lt;&gt;"Free Game",INDEX('Game Records'!$U:$U,$H372)&lt;&gt;"Disqualified — Free Game",INDEX('Game Records'!$K:$K,$H372)=""),"Final Earned; ","")&amp;IF(AND(LOWER(INDEX('Game Records'!$D:$D,$H372)&amp;"")="finalized",INDEX('Game Records'!$U:$U,$H372)&lt;&gt;"Subscription",INDEX('Game Records'!$U:$U,$H372)&lt;&gt;"Free Game",INDEX('Game Records'!$U:$U,$H372)&lt;&gt;"Disqualified — Free Game",OR(INDEX('Game Records'!$L:$L,$H372)="",LOWER(INDEX('Game Records'!$L:$L,$H372)&amp;"")="n/a")),"Disqualified Status; ",""))</x:f>
        <x:v/>
      </x:c>
      <x:c r="G372" s="331" t="str">
        <x:f>IF($H372="","",IFERROR(INDEX('Game Records'!$M:$M,$H372),""))</x:f>
        <x:v/>
      </x:c>
      <x:c r="H372" s="104" t="str">
        <x:f>IF($H371="","",IFERROR(MATCH(1,INDEX((ROW('Game Records'!$U$5:$U$504)&gt;$H371)*(('Game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3" ht="24" customHeight="1">
      <x:c r="A373" s="332" t="str">
        <x:f>IF($H373="","",ROWS($A$5:A373))</x:f>
        <x:v/>
      </x:c>
      <x:c r="B373" s="332" t="str">
        <x:f>IF($H373="","","G-"&amp;TEXT($A373,"0000"))</x:f>
        <x:v/>
      </x:c>
      <x:c r="C373" s="331" t="str">
        <x:f>IF($H373="","",IFERROR(INDEX('Game Records'!$A:$A,$H373),""))</x:f>
        <x:v/>
      </x:c>
      <x:c r="D373" s="331" t="str">
        <x:f>IF($H373="","",IFERROR(INDEX('Game Records'!$U:$U,$H373),""))</x:f>
        <x:v/>
      </x:c>
      <x:c r="E373" s="331" t="str">
        <x:f>IF($H373="","",IF($F373="","No Highlighted Fields","Highlighted Fields Present"))</x:f>
        <x:v/>
      </x:c>
      <x:c r="F373" s="331" t="str">
        <x:f>IF($H373="","",IF(INDEX('Game Records'!$B:$B,$H373)="","Start Date; ","")&amp;IF(INDEX('Game Records'!$C:$C,$H373)="","End Date; ","")&amp;IF(AND(INDEX('Game Records'!$U:$U,$H373)&lt;&gt;"Subscription",INDEX('Game Records'!$U:$U,$H373)&lt;&gt;"Free Game",INDEX('Game Records'!$U:$U,$H373)&lt;&gt;"Disqualified — Free Game",OR(INDEX('Game Records'!$D:$D,$H373)="",LOWER(INDEX('Game Records'!$D:$D,$H373)&amp;"")="n/a")),"Entry Mode; ","")&amp;IF(AND(INDEX('Game Records'!$U:$U,$H373)&lt;&gt;"Subscription",INDEX('Game Records'!$U:$U,$H373)&lt;&gt;"Free Game",INDEX('Game Records'!$U:$U,$H373)&lt;&gt;"Disqualified — Free Game",OR(INDEX('Game Records'!$E:$E,$H373)="",LOWER(INDEX('Game Records'!$E:$E,$H373)&amp;"")="n/a")),"Game Type; ","")&amp;IF(INDEX('Game Records'!$F:$F,$H373)="","Payment Type; ","")&amp;IF(AND(INDEX('Game Records'!$U:$U,$H373)&lt;&gt;"Subscription",INDEX('Game Records'!$U:$U,$H373)&lt;&gt;"Free Game",INDEX('Game Records'!$U:$U,$H373)&lt;&gt;"Disqualified — Free Game",INDEX('Game Records'!$G:$G,$H373)=""),"Gross Pot; ","")&amp;IF(AND(INDEX('Game Records'!$U:$U,$H373)&lt;&gt;"Free Game",INDEX('Game Records'!$U:$U,$H373)&lt;&gt;"Disqualified — Free Game",INDEX('Game Records'!$H:$H,$H373)=""),"Entry Fee; ","")&amp;IF(AND(INDEX('Game Records'!$U:$U,$H373)&lt;&gt;"Subscription",INDEX('Game Records'!$U:$U,$H373)&lt;&gt;"Free Game",INDEX('Game Records'!$U:$U,$H373)&lt;&gt;"Disqualified — Free Game",INDEX('Game Records'!$I:$I,$H373)=""),"Eligible Players; ","")&amp;IF(AND(INDEX('Game Records'!$U:$U,$H373)&lt;&gt;"Subscription",INDEX('Game Records'!$U:$U,$H373)&lt;&gt;"Free Game",INDEX('Game Records'!$U:$U,$H373)&lt;&gt;"Disqualified — Free Game",INDEX('Game Records'!$J:$J,$H373)=""),"Total Players; ","")&amp;IF(AND(LOWER(INDEX('Game Records'!$D:$D,$H373)&amp;"")="finalized",LOWER(INDEX('Game Records'!$L:$L,$H373)&amp;"")&lt;&gt;"yes",INDEX('Game Records'!$U:$U,$H373)&lt;&gt;"Subscription",INDEX('Game Records'!$U:$U,$H373)&lt;&gt;"Free Game",INDEX('Game Records'!$U:$U,$H373)&lt;&gt;"Disqualified — Free Game",INDEX('Game Records'!$K:$K,$H373)=""),"Final Earned; ","")&amp;IF(AND(LOWER(INDEX('Game Records'!$D:$D,$H373)&amp;"")="finalized",INDEX('Game Records'!$U:$U,$H373)&lt;&gt;"Subscription",INDEX('Game Records'!$U:$U,$H373)&lt;&gt;"Free Game",INDEX('Game Records'!$U:$U,$H373)&lt;&gt;"Disqualified — Free Game",OR(INDEX('Game Records'!$L:$L,$H373)="",LOWER(INDEX('Game Records'!$L:$L,$H373)&amp;"")="n/a")),"Disqualified Status; ",""))</x:f>
        <x:v/>
      </x:c>
      <x:c r="G373" s="331" t="str">
        <x:f>IF($H373="","",IFERROR(INDEX('Game Records'!$M:$M,$H373),""))</x:f>
        <x:v/>
      </x:c>
      <x:c r="H373" s="104" t="str">
        <x:f>IF($H372="","",IFERROR(MATCH(1,INDEX((ROW('Game Records'!$U$5:$U$504)&gt;$H372)*(('Game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4" ht="24" customHeight="1">
      <x:c r="A374" s="332" t="str">
        <x:f>IF($H374="","",ROWS($A$5:A374))</x:f>
        <x:v/>
      </x:c>
      <x:c r="B374" s="332" t="str">
        <x:f>IF($H374="","","G-"&amp;TEXT($A374,"0000"))</x:f>
        <x:v/>
      </x:c>
      <x:c r="C374" s="331" t="str">
        <x:f>IF($H374="","",IFERROR(INDEX('Game Records'!$A:$A,$H374),""))</x:f>
        <x:v/>
      </x:c>
      <x:c r="D374" s="331" t="str">
        <x:f>IF($H374="","",IFERROR(INDEX('Game Records'!$U:$U,$H374),""))</x:f>
        <x:v/>
      </x:c>
      <x:c r="E374" s="331" t="str">
        <x:f>IF($H374="","",IF($F374="","No Highlighted Fields","Highlighted Fields Present"))</x:f>
        <x:v/>
      </x:c>
      <x:c r="F374" s="331" t="str">
        <x:f>IF($H374="","",IF(INDEX('Game Records'!$B:$B,$H374)="","Start Date; ","")&amp;IF(INDEX('Game Records'!$C:$C,$H374)="","End Date; ","")&amp;IF(AND(INDEX('Game Records'!$U:$U,$H374)&lt;&gt;"Subscription",INDEX('Game Records'!$U:$U,$H374)&lt;&gt;"Free Game",INDEX('Game Records'!$U:$U,$H374)&lt;&gt;"Disqualified — Free Game",OR(INDEX('Game Records'!$D:$D,$H374)="",LOWER(INDEX('Game Records'!$D:$D,$H374)&amp;"")="n/a")),"Entry Mode; ","")&amp;IF(AND(INDEX('Game Records'!$U:$U,$H374)&lt;&gt;"Subscription",INDEX('Game Records'!$U:$U,$H374)&lt;&gt;"Free Game",INDEX('Game Records'!$U:$U,$H374)&lt;&gt;"Disqualified — Free Game",OR(INDEX('Game Records'!$E:$E,$H374)="",LOWER(INDEX('Game Records'!$E:$E,$H374)&amp;"")="n/a")),"Game Type; ","")&amp;IF(INDEX('Game Records'!$F:$F,$H374)="","Payment Type; ","")&amp;IF(AND(INDEX('Game Records'!$U:$U,$H374)&lt;&gt;"Subscription",INDEX('Game Records'!$U:$U,$H374)&lt;&gt;"Free Game",INDEX('Game Records'!$U:$U,$H374)&lt;&gt;"Disqualified — Free Game",INDEX('Game Records'!$G:$G,$H374)=""),"Gross Pot; ","")&amp;IF(AND(INDEX('Game Records'!$U:$U,$H374)&lt;&gt;"Free Game",INDEX('Game Records'!$U:$U,$H374)&lt;&gt;"Disqualified — Free Game",INDEX('Game Records'!$H:$H,$H374)=""),"Entry Fee; ","")&amp;IF(AND(INDEX('Game Records'!$U:$U,$H374)&lt;&gt;"Subscription",INDEX('Game Records'!$U:$U,$H374)&lt;&gt;"Free Game",INDEX('Game Records'!$U:$U,$H374)&lt;&gt;"Disqualified — Free Game",INDEX('Game Records'!$I:$I,$H374)=""),"Eligible Players; ","")&amp;IF(AND(INDEX('Game Records'!$U:$U,$H374)&lt;&gt;"Subscription",INDEX('Game Records'!$U:$U,$H374)&lt;&gt;"Free Game",INDEX('Game Records'!$U:$U,$H374)&lt;&gt;"Disqualified — Free Game",INDEX('Game Records'!$J:$J,$H374)=""),"Total Players; ","")&amp;IF(AND(LOWER(INDEX('Game Records'!$D:$D,$H374)&amp;"")="finalized",LOWER(INDEX('Game Records'!$L:$L,$H374)&amp;"")&lt;&gt;"yes",INDEX('Game Records'!$U:$U,$H374)&lt;&gt;"Subscription",INDEX('Game Records'!$U:$U,$H374)&lt;&gt;"Free Game",INDEX('Game Records'!$U:$U,$H374)&lt;&gt;"Disqualified — Free Game",INDEX('Game Records'!$K:$K,$H374)=""),"Final Earned; ","")&amp;IF(AND(LOWER(INDEX('Game Records'!$D:$D,$H374)&amp;"")="finalized",INDEX('Game Records'!$U:$U,$H374)&lt;&gt;"Subscription",INDEX('Game Records'!$U:$U,$H374)&lt;&gt;"Free Game",INDEX('Game Records'!$U:$U,$H374)&lt;&gt;"Disqualified — Free Game",OR(INDEX('Game Records'!$L:$L,$H374)="",LOWER(INDEX('Game Records'!$L:$L,$H374)&amp;"")="n/a")),"Disqualified Status; ",""))</x:f>
        <x:v/>
      </x:c>
      <x:c r="G374" s="331" t="str">
        <x:f>IF($H374="","",IFERROR(INDEX('Game Records'!$M:$M,$H374),""))</x:f>
        <x:v/>
      </x:c>
      <x:c r="H374" s="104" t="str">
        <x:f>IF($H373="","",IFERROR(MATCH(1,INDEX((ROW('Game Records'!$U$5:$U$504)&gt;$H373)*(('Game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5" ht="24" customHeight="1">
      <x:c r="A375" s="332" t="str">
        <x:f>IF($H375="","",ROWS($A$5:A375))</x:f>
        <x:v/>
      </x:c>
      <x:c r="B375" s="332" t="str">
        <x:f>IF($H375="","","G-"&amp;TEXT($A375,"0000"))</x:f>
        <x:v/>
      </x:c>
      <x:c r="C375" s="331" t="str">
        <x:f>IF($H375="","",IFERROR(INDEX('Game Records'!$A:$A,$H375),""))</x:f>
        <x:v/>
      </x:c>
      <x:c r="D375" s="331" t="str">
        <x:f>IF($H375="","",IFERROR(INDEX('Game Records'!$U:$U,$H375),""))</x:f>
        <x:v/>
      </x:c>
      <x:c r="E375" s="331" t="str">
        <x:f>IF($H375="","",IF($F375="","No Highlighted Fields","Highlighted Fields Present"))</x:f>
        <x:v/>
      </x:c>
      <x:c r="F375" s="331" t="str">
        <x:f>IF($H375="","",IF(INDEX('Game Records'!$B:$B,$H375)="","Start Date; ","")&amp;IF(INDEX('Game Records'!$C:$C,$H375)="","End Date; ","")&amp;IF(AND(INDEX('Game Records'!$U:$U,$H375)&lt;&gt;"Subscription",INDEX('Game Records'!$U:$U,$H375)&lt;&gt;"Free Game",INDEX('Game Records'!$U:$U,$H375)&lt;&gt;"Disqualified — Free Game",OR(INDEX('Game Records'!$D:$D,$H375)="",LOWER(INDEX('Game Records'!$D:$D,$H375)&amp;"")="n/a")),"Entry Mode; ","")&amp;IF(AND(INDEX('Game Records'!$U:$U,$H375)&lt;&gt;"Subscription",INDEX('Game Records'!$U:$U,$H375)&lt;&gt;"Free Game",INDEX('Game Records'!$U:$U,$H375)&lt;&gt;"Disqualified — Free Game",OR(INDEX('Game Records'!$E:$E,$H375)="",LOWER(INDEX('Game Records'!$E:$E,$H375)&amp;"")="n/a")),"Game Type; ","")&amp;IF(INDEX('Game Records'!$F:$F,$H375)="","Payment Type; ","")&amp;IF(AND(INDEX('Game Records'!$U:$U,$H375)&lt;&gt;"Subscription",INDEX('Game Records'!$U:$U,$H375)&lt;&gt;"Free Game",INDEX('Game Records'!$U:$U,$H375)&lt;&gt;"Disqualified — Free Game",INDEX('Game Records'!$G:$G,$H375)=""),"Gross Pot; ","")&amp;IF(AND(INDEX('Game Records'!$U:$U,$H375)&lt;&gt;"Free Game",INDEX('Game Records'!$U:$U,$H375)&lt;&gt;"Disqualified — Free Game",INDEX('Game Records'!$H:$H,$H375)=""),"Entry Fee; ","")&amp;IF(AND(INDEX('Game Records'!$U:$U,$H375)&lt;&gt;"Subscription",INDEX('Game Records'!$U:$U,$H375)&lt;&gt;"Free Game",INDEX('Game Records'!$U:$U,$H375)&lt;&gt;"Disqualified — Free Game",INDEX('Game Records'!$I:$I,$H375)=""),"Eligible Players; ","")&amp;IF(AND(INDEX('Game Records'!$U:$U,$H375)&lt;&gt;"Subscription",INDEX('Game Records'!$U:$U,$H375)&lt;&gt;"Free Game",INDEX('Game Records'!$U:$U,$H375)&lt;&gt;"Disqualified — Free Game",INDEX('Game Records'!$J:$J,$H375)=""),"Total Players; ","")&amp;IF(AND(LOWER(INDEX('Game Records'!$D:$D,$H375)&amp;"")="finalized",LOWER(INDEX('Game Records'!$L:$L,$H375)&amp;"")&lt;&gt;"yes",INDEX('Game Records'!$U:$U,$H375)&lt;&gt;"Subscription",INDEX('Game Records'!$U:$U,$H375)&lt;&gt;"Free Game",INDEX('Game Records'!$U:$U,$H375)&lt;&gt;"Disqualified — Free Game",INDEX('Game Records'!$K:$K,$H375)=""),"Final Earned; ","")&amp;IF(AND(LOWER(INDEX('Game Records'!$D:$D,$H375)&amp;"")="finalized",INDEX('Game Records'!$U:$U,$H375)&lt;&gt;"Subscription",INDEX('Game Records'!$U:$U,$H375)&lt;&gt;"Free Game",INDEX('Game Records'!$U:$U,$H375)&lt;&gt;"Disqualified — Free Game",OR(INDEX('Game Records'!$L:$L,$H375)="",LOWER(INDEX('Game Records'!$L:$L,$H375)&amp;"")="n/a")),"Disqualified Status; ",""))</x:f>
        <x:v/>
      </x:c>
      <x:c r="G375" s="331" t="str">
        <x:f>IF($H375="","",IFERROR(INDEX('Game Records'!$M:$M,$H375),""))</x:f>
        <x:v/>
      </x:c>
      <x:c r="H375" s="104" t="str">
        <x:f>IF($H374="","",IFERROR(MATCH(1,INDEX((ROW('Game Records'!$U$5:$U$504)&gt;$H374)*(('Game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6" ht="24" customHeight="1">
      <x:c r="A376" s="332" t="str">
        <x:f>IF($H376="","",ROWS($A$5:A376))</x:f>
        <x:v/>
      </x:c>
      <x:c r="B376" s="332" t="str">
        <x:f>IF($H376="","","G-"&amp;TEXT($A376,"0000"))</x:f>
        <x:v/>
      </x:c>
      <x:c r="C376" s="331" t="str">
        <x:f>IF($H376="","",IFERROR(INDEX('Game Records'!$A:$A,$H376),""))</x:f>
        <x:v/>
      </x:c>
      <x:c r="D376" s="331" t="str">
        <x:f>IF($H376="","",IFERROR(INDEX('Game Records'!$U:$U,$H376),""))</x:f>
        <x:v/>
      </x:c>
      <x:c r="E376" s="331" t="str">
        <x:f>IF($H376="","",IF($F376="","No Highlighted Fields","Highlighted Fields Present"))</x:f>
        <x:v/>
      </x:c>
      <x:c r="F376" s="331" t="str">
        <x:f>IF($H376="","",IF(INDEX('Game Records'!$B:$B,$H376)="","Start Date; ","")&amp;IF(INDEX('Game Records'!$C:$C,$H376)="","End Date; ","")&amp;IF(AND(INDEX('Game Records'!$U:$U,$H376)&lt;&gt;"Subscription",INDEX('Game Records'!$U:$U,$H376)&lt;&gt;"Free Game",INDEX('Game Records'!$U:$U,$H376)&lt;&gt;"Disqualified — Free Game",OR(INDEX('Game Records'!$D:$D,$H376)="",LOWER(INDEX('Game Records'!$D:$D,$H376)&amp;"")="n/a")),"Entry Mode; ","")&amp;IF(AND(INDEX('Game Records'!$U:$U,$H376)&lt;&gt;"Subscription",INDEX('Game Records'!$U:$U,$H376)&lt;&gt;"Free Game",INDEX('Game Records'!$U:$U,$H376)&lt;&gt;"Disqualified — Free Game",OR(INDEX('Game Records'!$E:$E,$H376)="",LOWER(INDEX('Game Records'!$E:$E,$H376)&amp;"")="n/a")),"Game Type; ","")&amp;IF(INDEX('Game Records'!$F:$F,$H376)="","Payment Type; ","")&amp;IF(AND(INDEX('Game Records'!$U:$U,$H376)&lt;&gt;"Subscription",INDEX('Game Records'!$U:$U,$H376)&lt;&gt;"Free Game",INDEX('Game Records'!$U:$U,$H376)&lt;&gt;"Disqualified — Free Game",INDEX('Game Records'!$G:$G,$H376)=""),"Gross Pot; ","")&amp;IF(AND(INDEX('Game Records'!$U:$U,$H376)&lt;&gt;"Free Game",INDEX('Game Records'!$U:$U,$H376)&lt;&gt;"Disqualified — Free Game",INDEX('Game Records'!$H:$H,$H376)=""),"Entry Fee; ","")&amp;IF(AND(INDEX('Game Records'!$U:$U,$H376)&lt;&gt;"Subscription",INDEX('Game Records'!$U:$U,$H376)&lt;&gt;"Free Game",INDEX('Game Records'!$U:$U,$H376)&lt;&gt;"Disqualified — Free Game",INDEX('Game Records'!$I:$I,$H376)=""),"Eligible Players; ","")&amp;IF(AND(INDEX('Game Records'!$U:$U,$H376)&lt;&gt;"Subscription",INDEX('Game Records'!$U:$U,$H376)&lt;&gt;"Free Game",INDEX('Game Records'!$U:$U,$H376)&lt;&gt;"Disqualified — Free Game",INDEX('Game Records'!$J:$J,$H376)=""),"Total Players; ","")&amp;IF(AND(LOWER(INDEX('Game Records'!$D:$D,$H376)&amp;"")="finalized",LOWER(INDEX('Game Records'!$L:$L,$H376)&amp;"")&lt;&gt;"yes",INDEX('Game Records'!$U:$U,$H376)&lt;&gt;"Subscription",INDEX('Game Records'!$U:$U,$H376)&lt;&gt;"Free Game",INDEX('Game Records'!$U:$U,$H376)&lt;&gt;"Disqualified — Free Game",INDEX('Game Records'!$K:$K,$H376)=""),"Final Earned; ","")&amp;IF(AND(LOWER(INDEX('Game Records'!$D:$D,$H376)&amp;"")="finalized",INDEX('Game Records'!$U:$U,$H376)&lt;&gt;"Subscription",INDEX('Game Records'!$U:$U,$H376)&lt;&gt;"Free Game",INDEX('Game Records'!$U:$U,$H376)&lt;&gt;"Disqualified — Free Game",OR(INDEX('Game Records'!$L:$L,$H376)="",LOWER(INDEX('Game Records'!$L:$L,$H376)&amp;"")="n/a")),"Disqualified Status; ",""))</x:f>
        <x:v/>
      </x:c>
      <x:c r="G376" s="331" t="str">
        <x:f>IF($H376="","",IFERROR(INDEX('Game Records'!$M:$M,$H376),""))</x:f>
        <x:v/>
      </x:c>
      <x:c r="H376" s="104" t="str">
        <x:f>IF($H375="","",IFERROR(MATCH(1,INDEX((ROW('Game Records'!$U$5:$U$504)&gt;$H375)*(('Game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7" ht="24" customHeight="1">
      <x:c r="A377" s="332" t="str">
        <x:f>IF($H377="","",ROWS($A$5:A377))</x:f>
        <x:v/>
      </x:c>
      <x:c r="B377" s="332" t="str">
        <x:f>IF($H377="","","G-"&amp;TEXT($A377,"0000"))</x:f>
        <x:v/>
      </x:c>
      <x:c r="C377" s="331" t="str">
        <x:f>IF($H377="","",IFERROR(INDEX('Game Records'!$A:$A,$H377),""))</x:f>
        <x:v/>
      </x:c>
      <x:c r="D377" s="331" t="str">
        <x:f>IF($H377="","",IFERROR(INDEX('Game Records'!$U:$U,$H377),""))</x:f>
        <x:v/>
      </x:c>
      <x:c r="E377" s="331" t="str">
        <x:f>IF($H377="","",IF($F377="","No Highlighted Fields","Highlighted Fields Present"))</x:f>
        <x:v/>
      </x:c>
      <x:c r="F377" s="331" t="str">
        <x:f>IF($H377="","",IF(INDEX('Game Records'!$B:$B,$H377)="","Start Date; ","")&amp;IF(INDEX('Game Records'!$C:$C,$H377)="","End Date; ","")&amp;IF(AND(INDEX('Game Records'!$U:$U,$H377)&lt;&gt;"Subscription",INDEX('Game Records'!$U:$U,$H377)&lt;&gt;"Free Game",INDEX('Game Records'!$U:$U,$H377)&lt;&gt;"Disqualified — Free Game",OR(INDEX('Game Records'!$D:$D,$H377)="",LOWER(INDEX('Game Records'!$D:$D,$H377)&amp;"")="n/a")),"Entry Mode; ","")&amp;IF(AND(INDEX('Game Records'!$U:$U,$H377)&lt;&gt;"Subscription",INDEX('Game Records'!$U:$U,$H377)&lt;&gt;"Free Game",INDEX('Game Records'!$U:$U,$H377)&lt;&gt;"Disqualified — Free Game",OR(INDEX('Game Records'!$E:$E,$H377)="",LOWER(INDEX('Game Records'!$E:$E,$H377)&amp;"")="n/a")),"Game Type; ","")&amp;IF(INDEX('Game Records'!$F:$F,$H377)="","Payment Type; ","")&amp;IF(AND(INDEX('Game Records'!$U:$U,$H377)&lt;&gt;"Subscription",INDEX('Game Records'!$U:$U,$H377)&lt;&gt;"Free Game",INDEX('Game Records'!$U:$U,$H377)&lt;&gt;"Disqualified — Free Game",INDEX('Game Records'!$G:$G,$H377)=""),"Gross Pot; ","")&amp;IF(AND(INDEX('Game Records'!$U:$U,$H377)&lt;&gt;"Free Game",INDEX('Game Records'!$U:$U,$H377)&lt;&gt;"Disqualified — Free Game",INDEX('Game Records'!$H:$H,$H377)=""),"Entry Fee; ","")&amp;IF(AND(INDEX('Game Records'!$U:$U,$H377)&lt;&gt;"Subscription",INDEX('Game Records'!$U:$U,$H377)&lt;&gt;"Free Game",INDEX('Game Records'!$U:$U,$H377)&lt;&gt;"Disqualified — Free Game",INDEX('Game Records'!$I:$I,$H377)=""),"Eligible Players; ","")&amp;IF(AND(INDEX('Game Records'!$U:$U,$H377)&lt;&gt;"Subscription",INDEX('Game Records'!$U:$U,$H377)&lt;&gt;"Free Game",INDEX('Game Records'!$U:$U,$H377)&lt;&gt;"Disqualified — Free Game",INDEX('Game Records'!$J:$J,$H377)=""),"Total Players; ","")&amp;IF(AND(LOWER(INDEX('Game Records'!$D:$D,$H377)&amp;"")="finalized",LOWER(INDEX('Game Records'!$L:$L,$H377)&amp;"")&lt;&gt;"yes",INDEX('Game Records'!$U:$U,$H377)&lt;&gt;"Subscription",INDEX('Game Records'!$U:$U,$H377)&lt;&gt;"Free Game",INDEX('Game Records'!$U:$U,$H377)&lt;&gt;"Disqualified — Free Game",INDEX('Game Records'!$K:$K,$H377)=""),"Final Earned; ","")&amp;IF(AND(LOWER(INDEX('Game Records'!$D:$D,$H377)&amp;"")="finalized",INDEX('Game Records'!$U:$U,$H377)&lt;&gt;"Subscription",INDEX('Game Records'!$U:$U,$H377)&lt;&gt;"Free Game",INDEX('Game Records'!$U:$U,$H377)&lt;&gt;"Disqualified — Free Game",OR(INDEX('Game Records'!$L:$L,$H377)="",LOWER(INDEX('Game Records'!$L:$L,$H377)&amp;"")="n/a")),"Disqualified Status; ",""))</x:f>
        <x:v/>
      </x:c>
      <x:c r="G377" s="331" t="str">
        <x:f>IF($H377="","",IFERROR(INDEX('Game Records'!$M:$M,$H377),""))</x:f>
        <x:v/>
      </x:c>
      <x:c r="H377" s="104" t="str">
        <x:f>IF($H376="","",IFERROR(MATCH(1,INDEX((ROW('Game Records'!$U$5:$U$504)&gt;$H376)*(('Game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8" ht="24" customHeight="1">
      <x:c r="A378" s="332" t="str">
        <x:f>IF($H378="","",ROWS($A$5:A378))</x:f>
        <x:v/>
      </x:c>
      <x:c r="B378" s="332" t="str">
        <x:f>IF($H378="","","G-"&amp;TEXT($A378,"0000"))</x:f>
        <x:v/>
      </x:c>
      <x:c r="C378" s="331" t="str">
        <x:f>IF($H378="","",IFERROR(INDEX('Game Records'!$A:$A,$H378),""))</x:f>
        <x:v/>
      </x:c>
      <x:c r="D378" s="331" t="str">
        <x:f>IF($H378="","",IFERROR(INDEX('Game Records'!$U:$U,$H378),""))</x:f>
        <x:v/>
      </x:c>
      <x:c r="E378" s="331" t="str">
        <x:f>IF($H378="","",IF($F378="","No Highlighted Fields","Highlighted Fields Present"))</x:f>
        <x:v/>
      </x:c>
      <x:c r="F378" s="331" t="str">
        <x:f>IF($H378="","",IF(INDEX('Game Records'!$B:$B,$H378)="","Start Date; ","")&amp;IF(INDEX('Game Records'!$C:$C,$H378)="","End Date; ","")&amp;IF(AND(INDEX('Game Records'!$U:$U,$H378)&lt;&gt;"Subscription",INDEX('Game Records'!$U:$U,$H378)&lt;&gt;"Free Game",INDEX('Game Records'!$U:$U,$H378)&lt;&gt;"Disqualified — Free Game",OR(INDEX('Game Records'!$D:$D,$H378)="",LOWER(INDEX('Game Records'!$D:$D,$H378)&amp;"")="n/a")),"Entry Mode; ","")&amp;IF(AND(INDEX('Game Records'!$U:$U,$H378)&lt;&gt;"Subscription",INDEX('Game Records'!$U:$U,$H378)&lt;&gt;"Free Game",INDEX('Game Records'!$U:$U,$H378)&lt;&gt;"Disqualified — Free Game",OR(INDEX('Game Records'!$E:$E,$H378)="",LOWER(INDEX('Game Records'!$E:$E,$H378)&amp;"")="n/a")),"Game Type; ","")&amp;IF(INDEX('Game Records'!$F:$F,$H378)="","Payment Type; ","")&amp;IF(AND(INDEX('Game Records'!$U:$U,$H378)&lt;&gt;"Subscription",INDEX('Game Records'!$U:$U,$H378)&lt;&gt;"Free Game",INDEX('Game Records'!$U:$U,$H378)&lt;&gt;"Disqualified — Free Game",INDEX('Game Records'!$G:$G,$H378)=""),"Gross Pot; ","")&amp;IF(AND(INDEX('Game Records'!$U:$U,$H378)&lt;&gt;"Free Game",INDEX('Game Records'!$U:$U,$H378)&lt;&gt;"Disqualified — Free Game",INDEX('Game Records'!$H:$H,$H378)=""),"Entry Fee; ","")&amp;IF(AND(INDEX('Game Records'!$U:$U,$H378)&lt;&gt;"Subscription",INDEX('Game Records'!$U:$U,$H378)&lt;&gt;"Free Game",INDEX('Game Records'!$U:$U,$H378)&lt;&gt;"Disqualified — Free Game",INDEX('Game Records'!$I:$I,$H378)=""),"Eligible Players; ","")&amp;IF(AND(INDEX('Game Records'!$U:$U,$H378)&lt;&gt;"Subscription",INDEX('Game Records'!$U:$U,$H378)&lt;&gt;"Free Game",INDEX('Game Records'!$U:$U,$H378)&lt;&gt;"Disqualified — Free Game",INDEX('Game Records'!$J:$J,$H378)=""),"Total Players; ","")&amp;IF(AND(LOWER(INDEX('Game Records'!$D:$D,$H378)&amp;"")="finalized",LOWER(INDEX('Game Records'!$L:$L,$H378)&amp;"")&lt;&gt;"yes",INDEX('Game Records'!$U:$U,$H378)&lt;&gt;"Subscription",INDEX('Game Records'!$U:$U,$H378)&lt;&gt;"Free Game",INDEX('Game Records'!$U:$U,$H378)&lt;&gt;"Disqualified — Free Game",INDEX('Game Records'!$K:$K,$H378)=""),"Final Earned; ","")&amp;IF(AND(LOWER(INDEX('Game Records'!$D:$D,$H378)&amp;"")="finalized",INDEX('Game Records'!$U:$U,$H378)&lt;&gt;"Subscription",INDEX('Game Records'!$U:$U,$H378)&lt;&gt;"Free Game",INDEX('Game Records'!$U:$U,$H378)&lt;&gt;"Disqualified — Free Game",OR(INDEX('Game Records'!$L:$L,$H378)="",LOWER(INDEX('Game Records'!$L:$L,$H378)&amp;"")="n/a")),"Disqualified Status; ",""))</x:f>
        <x:v/>
      </x:c>
      <x:c r="G378" s="331" t="str">
        <x:f>IF($H378="","",IFERROR(INDEX('Game Records'!$M:$M,$H378),""))</x:f>
        <x:v/>
      </x:c>
      <x:c r="H378" s="104" t="str">
        <x:f>IF($H377="","",IFERROR(MATCH(1,INDEX((ROW('Game Records'!$U$5:$U$504)&gt;$H377)*(('Game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79" ht="24" customHeight="1">
      <x:c r="A379" s="332" t="str">
        <x:f>IF($H379="","",ROWS($A$5:A379))</x:f>
        <x:v/>
      </x:c>
      <x:c r="B379" s="332" t="str">
        <x:f>IF($H379="","","G-"&amp;TEXT($A379,"0000"))</x:f>
        <x:v/>
      </x:c>
      <x:c r="C379" s="331" t="str">
        <x:f>IF($H379="","",IFERROR(INDEX('Game Records'!$A:$A,$H379),""))</x:f>
        <x:v/>
      </x:c>
      <x:c r="D379" s="331" t="str">
        <x:f>IF($H379="","",IFERROR(INDEX('Game Records'!$U:$U,$H379),""))</x:f>
        <x:v/>
      </x:c>
      <x:c r="E379" s="331" t="str">
        <x:f>IF($H379="","",IF($F379="","No Highlighted Fields","Highlighted Fields Present"))</x:f>
        <x:v/>
      </x:c>
      <x:c r="F379" s="331" t="str">
        <x:f>IF($H379="","",IF(INDEX('Game Records'!$B:$B,$H379)="","Start Date; ","")&amp;IF(INDEX('Game Records'!$C:$C,$H379)="","End Date; ","")&amp;IF(AND(INDEX('Game Records'!$U:$U,$H379)&lt;&gt;"Subscription",INDEX('Game Records'!$U:$U,$H379)&lt;&gt;"Free Game",INDEX('Game Records'!$U:$U,$H379)&lt;&gt;"Disqualified — Free Game",OR(INDEX('Game Records'!$D:$D,$H379)="",LOWER(INDEX('Game Records'!$D:$D,$H379)&amp;"")="n/a")),"Entry Mode; ","")&amp;IF(AND(INDEX('Game Records'!$U:$U,$H379)&lt;&gt;"Subscription",INDEX('Game Records'!$U:$U,$H379)&lt;&gt;"Free Game",INDEX('Game Records'!$U:$U,$H379)&lt;&gt;"Disqualified — Free Game",OR(INDEX('Game Records'!$E:$E,$H379)="",LOWER(INDEX('Game Records'!$E:$E,$H379)&amp;"")="n/a")),"Game Type; ","")&amp;IF(INDEX('Game Records'!$F:$F,$H379)="","Payment Type; ","")&amp;IF(AND(INDEX('Game Records'!$U:$U,$H379)&lt;&gt;"Subscription",INDEX('Game Records'!$U:$U,$H379)&lt;&gt;"Free Game",INDEX('Game Records'!$U:$U,$H379)&lt;&gt;"Disqualified — Free Game",INDEX('Game Records'!$G:$G,$H379)=""),"Gross Pot; ","")&amp;IF(AND(INDEX('Game Records'!$U:$U,$H379)&lt;&gt;"Free Game",INDEX('Game Records'!$U:$U,$H379)&lt;&gt;"Disqualified — Free Game",INDEX('Game Records'!$H:$H,$H379)=""),"Entry Fee; ","")&amp;IF(AND(INDEX('Game Records'!$U:$U,$H379)&lt;&gt;"Subscription",INDEX('Game Records'!$U:$U,$H379)&lt;&gt;"Free Game",INDEX('Game Records'!$U:$U,$H379)&lt;&gt;"Disqualified — Free Game",INDEX('Game Records'!$I:$I,$H379)=""),"Eligible Players; ","")&amp;IF(AND(INDEX('Game Records'!$U:$U,$H379)&lt;&gt;"Subscription",INDEX('Game Records'!$U:$U,$H379)&lt;&gt;"Free Game",INDEX('Game Records'!$U:$U,$H379)&lt;&gt;"Disqualified — Free Game",INDEX('Game Records'!$J:$J,$H379)=""),"Total Players; ","")&amp;IF(AND(LOWER(INDEX('Game Records'!$D:$D,$H379)&amp;"")="finalized",LOWER(INDEX('Game Records'!$L:$L,$H379)&amp;"")&lt;&gt;"yes",INDEX('Game Records'!$U:$U,$H379)&lt;&gt;"Subscription",INDEX('Game Records'!$U:$U,$H379)&lt;&gt;"Free Game",INDEX('Game Records'!$U:$U,$H379)&lt;&gt;"Disqualified — Free Game",INDEX('Game Records'!$K:$K,$H379)=""),"Final Earned; ","")&amp;IF(AND(LOWER(INDEX('Game Records'!$D:$D,$H379)&amp;"")="finalized",INDEX('Game Records'!$U:$U,$H379)&lt;&gt;"Subscription",INDEX('Game Records'!$U:$U,$H379)&lt;&gt;"Free Game",INDEX('Game Records'!$U:$U,$H379)&lt;&gt;"Disqualified — Free Game",OR(INDEX('Game Records'!$L:$L,$H379)="",LOWER(INDEX('Game Records'!$L:$L,$H379)&amp;"")="n/a")),"Disqualified Status; ",""))</x:f>
        <x:v/>
      </x:c>
      <x:c r="G379" s="331" t="str">
        <x:f>IF($H379="","",IFERROR(INDEX('Game Records'!$M:$M,$H379),""))</x:f>
        <x:v/>
      </x:c>
      <x:c r="H379" s="104" t="str">
        <x:f>IF($H378="","",IFERROR(MATCH(1,INDEX((ROW('Game Records'!$U$5:$U$504)&gt;$H378)*(('Game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0" ht="24" customHeight="1">
      <x:c r="A380" s="332" t="str">
        <x:f>IF($H380="","",ROWS($A$5:A380))</x:f>
        <x:v/>
      </x:c>
      <x:c r="B380" s="332" t="str">
        <x:f>IF($H380="","","G-"&amp;TEXT($A380,"0000"))</x:f>
        <x:v/>
      </x:c>
      <x:c r="C380" s="331" t="str">
        <x:f>IF($H380="","",IFERROR(INDEX('Game Records'!$A:$A,$H380),""))</x:f>
        <x:v/>
      </x:c>
      <x:c r="D380" s="331" t="str">
        <x:f>IF($H380="","",IFERROR(INDEX('Game Records'!$U:$U,$H380),""))</x:f>
        <x:v/>
      </x:c>
      <x:c r="E380" s="331" t="str">
        <x:f>IF($H380="","",IF($F380="","No Highlighted Fields","Highlighted Fields Present"))</x:f>
        <x:v/>
      </x:c>
      <x:c r="F380" s="331" t="str">
        <x:f>IF($H380="","",IF(INDEX('Game Records'!$B:$B,$H380)="","Start Date; ","")&amp;IF(INDEX('Game Records'!$C:$C,$H380)="","End Date; ","")&amp;IF(AND(INDEX('Game Records'!$U:$U,$H380)&lt;&gt;"Subscription",INDEX('Game Records'!$U:$U,$H380)&lt;&gt;"Free Game",INDEX('Game Records'!$U:$U,$H380)&lt;&gt;"Disqualified — Free Game",OR(INDEX('Game Records'!$D:$D,$H380)="",LOWER(INDEX('Game Records'!$D:$D,$H380)&amp;"")="n/a")),"Entry Mode; ","")&amp;IF(AND(INDEX('Game Records'!$U:$U,$H380)&lt;&gt;"Subscription",INDEX('Game Records'!$U:$U,$H380)&lt;&gt;"Free Game",INDEX('Game Records'!$U:$U,$H380)&lt;&gt;"Disqualified — Free Game",OR(INDEX('Game Records'!$E:$E,$H380)="",LOWER(INDEX('Game Records'!$E:$E,$H380)&amp;"")="n/a")),"Game Type; ","")&amp;IF(INDEX('Game Records'!$F:$F,$H380)="","Payment Type; ","")&amp;IF(AND(INDEX('Game Records'!$U:$U,$H380)&lt;&gt;"Subscription",INDEX('Game Records'!$U:$U,$H380)&lt;&gt;"Free Game",INDEX('Game Records'!$U:$U,$H380)&lt;&gt;"Disqualified — Free Game",INDEX('Game Records'!$G:$G,$H380)=""),"Gross Pot; ","")&amp;IF(AND(INDEX('Game Records'!$U:$U,$H380)&lt;&gt;"Free Game",INDEX('Game Records'!$U:$U,$H380)&lt;&gt;"Disqualified — Free Game",INDEX('Game Records'!$H:$H,$H380)=""),"Entry Fee; ","")&amp;IF(AND(INDEX('Game Records'!$U:$U,$H380)&lt;&gt;"Subscription",INDEX('Game Records'!$U:$U,$H380)&lt;&gt;"Free Game",INDEX('Game Records'!$U:$U,$H380)&lt;&gt;"Disqualified — Free Game",INDEX('Game Records'!$I:$I,$H380)=""),"Eligible Players; ","")&amp;IF(AND(INDEX('Game Records'!$U:$U,$H380)&lt;&gt;"Subscription",INDEX('Game Records'!$U:$U,$H380)&lt;&gt;"Free Game",INDEX('Game Records'!$U:$U,$H380)&lt;&gt;"Disqualified — Free Game",INDEX('Game Records'!$J:$J,$H380)=""),"Total Players; ","")&amp;IF(AND(LOWER(INDEX('Game Records'!$D:$D,$H380)&amp;"")="finalized",LOWER(INDEX('Game Records'!$L:$L,$H380)&amp;"")&lt;&gt;"yes",INDEX('Game Records'!$U:$U,$H380)&lt;&gt;"Subscription",INDEX('Game Records'!$U:$U,$H380)&lt;&gt;"Free Game",INDEX('Game Records'!$U:$U,$H380)&lt;&gt;"Disqualified — Free Game",INDEX('Game Records'!$K:$K,$H380)=""),"Final Earned; ","")&amp;IF(AND(LOWER(INDEX('Game Records'!$D:$D,$H380)&amp;"")="finalized",INDEX('Game Records'!$U:$U,$H380)&lt;&gt;"Subscription",INDEX('Game Records'!$U:$U,$H380)&lt;&gt;"Free Game",INDEX('Game Records'!$U:$U,$H380)&lt;&gt;"Disqualified — Free Game",OR(INDEX('Game Records'!$L:$L,$H380)="",LOWER(INDEX('Game Records'!$L:$L,$H380)&amp;"")="n/a")),"Disqualified Status; ",""))</x:f>
        <x:v/>
      </x:c>
      <x:c r="G380" s="331" t="str">
        <x:f>IF($H380="","",IFERROR(INDEX('Game Records'!$M:$M,$H380),""))</x:f>
        <x:v/>
      </x:c>
      <x:c r="H380" s="104" t="str">
        <x:f>IF($H379="","",IFERROR(MATCH(1,INDEX((ROW('Game Records'!$U$5:$U$504)&gt;$H379)*(('Game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1" ht="24" customHeight="1">
      <x:c r="A381" s="332" t="str">
        <x:f>IF($H381="","",ROWS($A$5:A381))</x:f>
        <x:v/>
      </x:c>
      <x:c r="B381" s="332" t="str">
        <x:f>IF($H381="","","G-"&amp;TEXT($A381,"0000"))</x:f>
        <x:v/>
      </x:c>
      <x:c r="C381" s="331" t="str">
        <x:f>IF($H381="","",IFERROR(INDEX('Game Records'!$A:$A,$H381),""))</x:f>
        <x:v/>
      </x:c>
      <x:c r="D381" s="331" t="str">
        <x:f>IF($H381="","",IFERROR(INDEX('Game Records'!$U:$U,$H381),""))</x:f>
        <x:v/>
      </x:c>
      <x:c r="E381" s="331" t="str">
        <x:f>IF($H381="","",IF($F381="","No Highlighted Fields","Highlighted Fields Present"))</x:f>
        <x:v/>
      </x:c>
      <x:c r="F381" s="331" t="str">
        <x:f>IF($H381="","",IF(INDEX('Game Records'!$B:$B,$H381)="","Start Date; ","")&amp;IF(INDEX('Game Records'!$C:$C,$H381)="","End Date; ","")&amp;IF(AND(INDEX('Game Records'!$U:$U,$H381)&lt;&gt;"Subscription",INDEX('Game Records'!$U:$U,$H381)&lt;&gt;"Free Game",INDEX('Game Records'!$U:$U,$H381)&lt;&gt;"Disqualified — Free Game",OR(INDEX('Game Records'!$D:$D,$H381)="",LOWER(INDEX('Game Records'!$D:$D,$H381)&amp;"")="n/a")),"Entry Mode; ","")&amp;IF(AND(INDEX('Game Records'!$U:$U,$H381)&lt;&gt;"Subscription",INDEX('Game Records'!$U:$U,$H381)&lt;&gt;"Free Game",INDEX('Game Records'!$U:$U,$H381)&lt;&gt;"Disqualified — Free Game",OR(INDEX('Game Records'!$E:$E,$H381)="",LOWER(INDEX('Game Records'!$E:$E,$H381)&amp;"")="n/a")),"Game Type; ","")&amp;IF(INDEX('Game Records'!$F:$F,$H381)="","Payment Type; ","")&amp;IF(AND(INDEX('Game Records'!$U:$U,$H381)&lt;&gt;"Subscription",INDEX('Game Records'!$U:$U,$H381)&lt;&gt;"Free Game",INDEX('Game Records'!$U:$U,$H381)&lt;&gt;"Disqualified — Free Game",INDEX('Game Records'!$G:$G,$H381)=""),"Gross Pot; ","")&amp;IF(AND(INDEX('Game Records'!$U:$U,$H381)&lt;&gt;"Free Game",INDEX('Game Records'!$U:$U,$H381)&lt;&gt;"Disqualified — Free Game",INDEX('Game Records'!$H:$H,$H381)=""),"Entry Fee; ","")&amp;IF(AND(INDEX('Game Records'!$U:$U,$H381)&lt;&gt;"Subscription",INDEX('Game Records'!$U:$U,$H381)&lt;&gt;"Free Game",INDEX('Game Records'!$U:$U,$H381)&lt;&gt;"Disqualified — Free Game",INDEX('Game Records'!$I:$I,$H381)=""),"Eligible Players; ","")&amp;IF(AND(INDEX('Game Records'!$U:$U,$H381)&lt;&gt;"Subscription",INDEX('Game Records'!$U:$U,$H381)&lt;&gt;"Free Game",INDEX('Game Records'!$U:$U,$H381)&lt;&gt;"Disqualified — Free Game",INDEX('Game Records'!$J:$J,$H381)=""),"Total Players; ","")&amp;IF(AND(LOWER(INDEX('Game Records'!$D:$D,$H381)&amp;"")="finalized",LOWER(INDEX('Game Records'!$L:$L,$H381)&amp;"")&lt;&gt;"yes",INDEX('Game Records'!$U:$U,$H381)&lt;&gt;"Subscription",INDEX('Game Records'!$U:$U,$H381)&lt;&gt;"Free Game",INDEX('Game Records'!$U:$U,$H381)&lt;&gt;"Disqualified — Free Game",INDEX('Game Records'!$K:$K,$H381)=""),"Final Earned; ","")&amp;IF(AND(LOWER(INDEX('Game Records'!$D:$D,$H381)&amp;"")="finalized",INDEX('Game Records'!$U:$U,$H381)&lt;&gt;"Subscription",INDEX('Game Records'!$U:$U,$H381)&lt;&gt;"Free Game",INDEX('Game Records'!$U:$U,$H381)&lt;&gt;"Disqualified — Free Game",OR(INDEX('Game Records'!$L:$L,$H381)="",LOWER(INDEX('Game Records'!$L:$L,$H381)&amp;"")="n/a")),"Disqualified Status; ",""))</x:f>
        <x:v/>
      </x:c>
      <x:c r="G381" s="331" t="str">
        <x:f>IF($H381="","",IFERROR(INDEX('Game Records'!$M:$M,$H381),""))</x:f>
        <x:v/>
      </x:c>
      <x:c r="H381" s="104" t="str">
        <x:f>IF($H380="","",IFERROR(MATCH(1,INDEX((ROW('Game Records'!$U$5:$U$504)&gt;$H380)*(('Game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2" ht="24" customHeight="1">
      <x:c r="A382" s="332" t="str">
        <x:f>IF($H382="","",ROWS($A$5:A382))</x:f>
        <x:v/>
      </x:c>
      <x:c r="B382" s="332" t="str">
        <x:f>IF($H382="","","G-"&amp;TEXT($A382,"0000"))</x:f>
        <x:v/>
      </x:c>
      <x:c r="C382" s="331" t="str">
        <x:f>IF($H382="","",IFERROR(INDEX('Game Records'!$A:$A,$H382),""))</x:f>
        <x:v/>
      </x:c>
      <x:c r="D382" s="331" t="str">
        <x:f>IF($H382="","",IFERROR(INDEX('Game Records'!$U:$U,$H382),""))</x:f>
        <x:v/>
      </x:c>
      <x:c r="E382" s="331" t="str">
        <x:f>IF($H382="","",IF($F382="","No Highlighted Fields","Highlighted Fields Present"))</x:f>
        <x:v/>
      </x:c>
      <x:c r="F382" s="331" t="str">
        <x:f>IF($H382="","",IF(INDEX('Game Records'!$B:$B,$H382)="","Start Date; ","")&amp;IF(INDEX('Game Records'!$C:$C,$H382)="","End Date; ","")&amp;IF(AND(INDEX('Game Records'!$U:$U,$H382)&lt;&gt;"Subscription",INDEX('Game Records'!$U:$U,$H382)&lt;&gt;"Free Game",INDEX('Game Records'!$U:$U,$H382)&lt;&gt;"Disqualified — Free Game",OR(INDEX('Game Records'!$D:$D,$H382)="",LOWER(INDEX('Game Records'!$D:$D,$H382)&amp;"")="n/a")),"Entry Mode; ","")&amp;IF(AND(INDEX('Game Records'!$U:$U,$H382)&lt;&gt;"Subscription",INDEX('Game Records'!$U:$U,$H382)&lt;&gt;"Free Game",INDEX('Game Records'!$U:$U,$H382)&lt;&gt;"Disqualified — Free Game",OR(INDEX('Game Records'!$E:$E,$H382)="",LOWER(INDEX('Game Records'!$E:$E,$H382)&amp;"")="n/a")),"Game Type; ","")&amp;IF(INDEX('Game Records'!$F:$F,$H382)="","Payment Type; ","")&amp;IF(AND(INDEX('Game Records'!$U:$U,$H382)&lt;&gt;"Subscription",INDEX('Game Records'!$U:$U,$H382)&lt;&gt;"Free Game",INDEX('Game Records'!$U:$U,$H382)&lt;&gt;"Disqualified — Free Game",INDEX('Game Records'!$G:$G,$H382)=""),"Gross Pot; ","")&amp;IF(AND(INDEX('Game Records'!$U:$U,$H382)&lt;&gt;"Free Game",INDEX('Game Records'!$U:$U,$H382)&lt;&gt;"Disqualified — Free Game",INDEX('Game Records'!$H:$H,$H382)=""),"Entry Fee; ","")&amp;IF(AND(INDEX('Game Records'!$U:$U,$H382)&lt;&gt;"Subscription",INDEX('Game Records'!$U:$U,$H382)&lt;&gt;"Free Game",INDEX('Game Records'!$U:$U,$H382)&lt;&gt;"Disqualified — Free Game",INDEX('Game Records'!$I:$I,$H382)=""),"Eligible Players; ","")&amp;IF(AND(INDEX('Game Records'!$U:$U,$H382)&lt;&gt;"Subscription",INDEX('Game Records'!$U:$U,$H382)&lt;&gt;"Free Game",INDEX('Game Records'!$U:$U,$H382)&lt;&gt;"Disqualified — Free Game",INDEX('Game Records'!$J:$J,$H382)=""),"Total Players; ","")&amp;IF(AND(LOWER(INDEX('Game Records'!$D:$D,$H382)&amp;"")="finalized",LOWER(INDEX('Game Records'!$L:$L,$H382)&amp;"")&lt;&gt;"yes",INDEX('Game Records'!$U:$U,$H382)&lt;&gt;"Subscription",INDEX('Game Records'!$U:$U,$H382)&lt;&gt;"Free Game",INDEX('Game Records'!$U:$U,$H382)&lt;&gt;"Disqualified — Free Game",INDEX('Game Records'!$K:$K,$H382)=""),"Final Earned; ","")&amp;IF(AND(LOWER(INDEX('Game Records'!$D:$D,$H382)&amp;"")="finalized",INDEX('Game Records'!$U:$U,$H382)&lt;&gt;"Subscription",INDEX('Game Records'!$U:$U,$H382)&lt;&gt;"Free Game",INDEX('Game Records'!$U:$U,$H382)&lt;&gt;"Disqualified — Free Game",OR(INDEX('Game Records'!$L:$L,$H382)="",LOWER(INDEX('Game Records'!$L:$L,$H382)&amp;"")="n/a")),"Disqualified Status; ",""))</x:f>
        <x:v/>
      </x:c>
      <x:c r="G382" s="331" t="str">
        <x:f>IF($H382="","",IFERROR(INDEX('Game Records'!$M:$M,$H382),""))</x:f>
        <x:v/>
      </x:c>
      <x:c r="H382" s="104" t="str">
        <x:f>IF($H381="","",IFERROR(MATCH(1,INDEX((ROW('Game Records'!$U$5:$U$504)&gt;$H381)*(('Game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3" ht="24" customHeight="1">
      <x:c r="A383" s="332" t="str">
        <x:f>IF($H383="","",ROWS($A$5:A383))</x:f>
        <x:v/>
      </x:c>
      <x:c r="B383" s="332" t="str">
        <x:f>IF($H383="","","G-"&amp;TEXT($A383,"0000"))</x:f>
        <x:v/>
      </x:c>
      <x:c r="C383" s="331" t="str">
        <x:f>IF($H383="","",IFERROR(INDEX('Game Records'!$A:$A,$H383),""))</x:f>
        <x:v/>
      </x:c>
      <x:c r="D383" s="331" t="str">
        <x:f>IF($H383="","",IFERROR(INDEX('Game Records'!$U:$U,$H383),""))</x:f>
        <x:v/>
      </x:c>
      <x:c r="E383" s="331" t="str">
        <x:f>IF($H383="","",IF($F383="","No Highlighted Fields","Highlighted Fields Present"))</x:f>
        <x:v/>
      </x:c>
      <x:c r="F383" s="331" t="str">
        <x:f>IF($H383="","",IF(INDEX('Game Records'!$B:$B,$H383)="","Start Date; ","")&amp;IF(INDEX('Game Records'!$C:$C,$H383)="","End Date; ","")&amp;IF(AND(INDEX('Game Records'!$U:$U,$H383)&lt;&gt;"Subscription",INDEX('Game Records'!$U:$U,$H383)&lt;&gt;"Free Game",INDEX('Game Records'!$U:$U,$H383)&lt;&gt;"Disqualified — Free Game",OR(INDEX('Game Records'!$D:$D,$H383)="",LOWER(INDEX('Game Records'!$D:$D,$H383)&amp;"")="n/a")),"Entry Mode; ","")&amp;IF(AND(INDEX('Game Records'!$U:$U,$H383)&lt;&gt;"Subscription",INDEX('Game Records'!$U:$U,$H383)&lt;&gt;"Free Game",INDEX('Game Records'!$U:$U,$H383)&lt;&gt;"Disqualified — Free Game",OR(INDEX('Game Records'!$E:$E,$H383)="",LOWER(INDEX('Game Records'!$E:$E,$H383)&amp;"")="n/a")),"Game Type; ","")&amp;IF(INDEX('Game Records'!$F:$F,$H383)="","Payment Type; ","")&amp;IF(AND(INDEX('Game Records'!$U:$U,$H383)&lt;&gt;"Subscription",INDEX('Game Records'!$U:$U,$H383)&lt;&gt;"Free Game",INDEX('Game Records'!$U:$U,$H383)&lt;&gt;"Disqualified — Free Game",INDEX('Game Records'!$G:$G,$H383)=""),"Gross Pot; ","")&amp;IF(AND(INDEX('Game Records'!$U:$U,$H383)&lt;&gt;"Free Game",INDEX('Game Records'!$U:$U,$H383)&lt;&gt;"Disqualified — Free Game",INDEX('Game Records'!$H:$H,$H383)=""),"Entry Fee; ","")&amp;IF(AND(INDEX('Game Records'!$U:$U,$H383)&lt;&gt;"Subscription",INDEX('Game Records'!$U:$U,$H383)&lt;&gt;"Free Game",INDEX('Game Records'!$U:$U,$H383)&lt;&gt;"Disqualified — Free Game",INDEX('Game Records'!$I:$I,$H383)=""),"Eligible Players; ","")&amp;IF(AND(INDEX('Game Records'!$U:$U,$H383)&lt;&gt;"Subscription",INDEX('Game Records'!$U:$U,$H383)&lt;&gt;"Free Game",INDEX('Game Records'!$U:$U,$H383)&lt;&gt;"Disqualified — Free Game",INDEX('Game Records'!$J:$J,$H383)=""),"Total Players; ","")&amp;IF(AND(LOWER(INDEX('Game Records'!$D:$D,$H383)&amp;"")="finalized",LOWER(INDEX('Game Records'!$L:$L,$H383)&amp;"")&lt;&gt;"yes",INDEX('Game Records'!$U:$U,$H383)&lt;&gt;"Subscription",INDEX('Game Records'!$U:$U,$H383)&lt;&gt;"Free Game",INDEX('Game Records'!$U:$U,$H383)&lt;&gt;"Disqualified — Free Game",INDEX('Game Records'!$K:$K,$H383)=""),"Final Earned; ","")&amp;IF(AND(LOWER(INDEX('Game Records'!$D:$D,$H383)&amp;"")="finalized",INDEX('Game Records'!$U:$U,$H383)&lt;&gt;"Subscription",INDEX('Game Records'!$U:$U,$H383)&lt;&gt;"Free Game",INDEX('Game Records'!$U:$U,$H383)&lt;&gt;"Disqualified — Free Game",OR(INDEX('Game Records'!$L:$L,$H383)="",LOWER(INDEX('Game Records'!$L:$L,$H383)&amp;"")="n/a")),"Disqualified Status; ",""))</x:f>
        <x:v/>
      </x:c>
      <x:c r="G383" s="331" t="str">
        <x:f>IF($H383="","",IFERROR(INDEX('Game Records'!$M:$M,$H383),""))</x:f>
        <x:v/>
      </x:c>
      <x:c r="H383" s="104" t="str">
        <x:f>IF($H382="","",IFERROR(MATCH(1,INDEX((ROW('Game Records'!$U$5:$U$504)&gt;$H382)*(('Game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4" ht="24" customHeight="1">
      <x:c r="A384" s="332" t="str">
        <x:f>IF($H384="","",ROWS($A$5:A384))</x:f>
        <x:v/>
      </x:c>
      <x:c r="B384" s="332" t="str">
        <x:f>IF($H384="","","G-"&amp;TEXT($A384,"0000"))</x:f>
        <x:v/>
      </x:c>
      <x:c r="C384" s="331" t="str">
        <x:f>IF($H384="","",IFERROR(INDEX('Game Records'!$A:$A,$H384),""))</x:f>
        <x:v/>
      </x:c>
      <x:c r="D384" s="331" t="str">
        <x:f>IF($H384="","",IFERROR(INDEX('Game Records'!$U:$U,$H384),""))</x:f>
        <x:v/>
      </x:c>
      <x:c r="E384" s="331" t="str">
        <x:f>IF($H384="","",IF($F384="","No Highlighted Fields","Highlighted Fields Present"))</x:f>
        <x:v/>
      </x:c>
      <x:c r="F384" s="331" t="str">
        <x:f>IF($H384="","",IF(INDEX('Game Records'!$B:$B,$H384)="","Start Date; ","")&amp;IF(INDEX('Game Records'!$C:$C,$H384)="","End Date; ","")&amp;IF(AND(INDEX('Game Records'!$U:$U,$H384)&lt;&gt;"Subscription",INDEX('Game Records'!$U:$U,$H384)&lt;&gt;"Free Game",INDEX('Game Records'!$U:$U,$H384)&lt;&gt;"Disqualified — Free Game",OR(INDEX('Game Records'!$D:$D,$H384)="",LOWER(INDEX('Game Records'!$D:$D,$H384)&amp;"")="n/a")),"Entry Mode; ","")&amp;IF(AND(INDEX('Game Records'!$U:$U,$H384)&lt;&gt;"Subscription",INDEX('Game Records'!$U:$U,$H384)&lt;&gt;"Free Game",INDEX('Game Records'!$U:$U,$H384)&lt;&gt;"Disqualified — Free Game",OR(INDEX('Game Records'!$E:$E,$H384)="",LOWER(INDEX('Game Records'!$E:$E,$H384)&amp;"")="n/a")),"Game Type; ","")&amp;IF(INDEX('Game Records'!$F:$F,$H384)="","Payment Type; ","")&amp;IF(AND(INDEX('Game Records'!$U:$U,$H384)&lt;&gt;"Subscription",INDEX('Game Records'!$U:$U,$H384)&lt;&gt;"Free Game",INDEX('Game Records'!$U:$U,$H384)&lt;&gt;"Disqualified — Free Game",INDEX('Game Records'!$G:$G,$H384)=""),"Gross Pot; ","")&amp;IF(AND(INDEX('Game Records'!$U:$U,$H384)&lt;&gt;"Free Game",INDEX('Game Records'!$U:$U,$H384)&lt;&gt;"Disqualified — Free Game",INDEX('Game Records'!$H:$H,$H384)=""),"Entry Fee; ","")&amp;IF(AND(INDEX('Game Records'!$U:$U,$H384)&lt;&gt;"Subscription",INDEX('Game Records'!$U:$U,$H384)&lt;&gt;"Free Game",INDEX('Game Records'!$U:$U,$H384)&lt;&gt;"Disqualified — Free Game",INDEX('Game Records'!$I:$I,$H384)=""),"Eligible Players; ","")&amp;IF(AND(INDEX('Game Records'!$U:$U,$H384)&lt;&gt;"Subscription",INDEX('Game Records'!$U:$U,$H384)&lt;&gt;"Free Game",INDEX('Game Records'!$U:$U,$H384)&lt;&gt;"Disqualified — Free Game",INDEX('Game Records'!$J:$J,$H384)=""),"Total Players; ","")&amp;IF(AND(LOWER(INDEX('Game Records'!$D:$D,$H384)&amp;"")="finalized",LOWER(INDEX('Game Records'!$L:$L,$H384)&amp;"")&lt;&gt;"yes",INDEX('Game Records'!$U:$U,$H384)&lt;&gt;"Subscription",INDEX('Game Records'!$U:$U,$H384)&lt;&gt;"Free Game",INDEX('Game Records'!$U:$U,$H384)&lt;&gt;"Disqualified — Free Game",INDEX('Game Records'!$K:$K,$H384)=""),"Final Earned; ","")&amp;IF(AND(LOWER(INDEX('Game Records'!$D:$D,$H384)&amp;"")="finalized",INDEX('Game Records'!$U:$U,$H384)&lt;&gt;"Subscription",INDEX('Game Records'!$U:$U,$H384)&lt;&gt;"Free Game",INDEX('Game Records'!$U:$U,$H384)&lt;&gt;"Disqualified — Free Game",OR(INDEX('Game Records'!$L:$L,$H384)="",LOWER(INDEX('Game Records'!$L:$L,$H384)&amp;"")="n/a")),"Disqualified Status; ",""))</x:f>
        <x:v/>
      </x:c>
      <x:c r="G384" s="331" t="str">
        <x:f>IF($H384="","",IFERROR(INDEX('Game Records'!$M:$M,$H384),""))</x:f>
        <x:v/>
      </x:c>
      <x:c r="H384" s="104" t="str">
        <x:f>IF($H383="","",IFERROR(MATCH(1,INDEX((ROW('Game Records'!$U$5:$U$504)&gt;$H383)*(('Game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5" ht="24" customHeight="1">
      <x:c r="A385" s="332" t="str">
        <x:f>IF($H385="","",ROWS($A$5:A385))</x:f>
        <x:v/>
      </x:c>
      <x:c r="B385" s="332" t="str">
        <x:f>IF($H385="","","G-"&amp;TEXT($A385,"0000"))</x:f>
        <x:v/>
      </x:c>
      <x:c r="C385" s="331" t="str">
        <x:f>IF($H385="","",IFERROR(INDEX('Game Records'!$A:$A,$H385),""))</x:f>
        <x:v/>
      </x:c>
      <x:c r="D385" s="331" t="str">
        <x:f>IF($H385="","",IFERROR(INDEX('Game Records'!$U:$U,$H385),""))</x:f>
        <x:v/>
      </x:c>
      <x:c r="E385" s="331" t="str">
        <x:f>IF($H385="","",IF($F385="","No Highlighted Fields","Highlighted Fields Present"))</x:f>
        <x:v/>
      </x:c>
      <x:c r="F385" s="331" t="str">
        <x:f>IF($H385="","",IF(INDEX('Game Records'!$B:$B,$H385)="","Start Date; ","")&amp;IF(INDEX('Game Records'!$C:$C,$H385)="","End Date; ","")&amp;IF(AND(INDEX('Game Records'!$U:$U,$H385)&lt;&gt;"Subscription",INDEX('Game Records'!$U:$U,$H385)&lt;&gt;"Free Game",INDEX('Game Records'!$U:$U,$H385)&lt;&gt;"Disqualified — Free Game",OR(INDEX('Game Records'!$D:$D,$H385)="",LOWER(INDEX('Game Records'!$D:$D,$H385)&amp;"")="n/a")),"Entry Mode; ","")&amp;IF(AND(INDEX('Game Records'!$U:$U,$H385)&lt;&gt;"Subscription",INDEX('Game Records'!$U:$U,$H385)&lt;&gt;"Free Game",INDEX('Game Records'!$U:$U,$H385)&lt;&gt;"Disqualified — Free Game",OR(INDEX('Game Records'!$E:$E,$H385)="",LOWER(INDEX('Game Records'!$E:$E,$H385)&amp;"")="n/a")),"Game Type; ","")&amp;IF(INDEX('Game Records'!$F:$F,$H385)="","Payment Type; ","")&amp;IF(AND(INDEX('Game Records'!$U:$U,$H385)&lt;&gt;"Subscription",INDEX('Game Records'!$U:$U,$H385)&lt;&gt;"Free Game",INDEX('Game Records'!$U:$U,$H385)&lt;&gt;"Disqualified — Free Game",INDEX('Game Records'!$G:$G,$H385)=""),"Gross Pot; ","")&amp;IF(AND(INDEX('Game Records'!$U:$U,$H385)&lt;&gt;"Free Game",INDEX('Game Records'!$U:$U,$H385)&lt;&gt;"Disqualified — Free Game",INDEX('Game Records'!$H:$H,$H385)=""),"Entry Fee; ","")&amp;IF(AND(INDEX('Game Records'!$U:$U,$H385)&lt;&gt;"Subscription",INDEX('Game Records'!$U:$U,$H385)&lt;&gt;"Free Game",INDEX('Game Records'!$U:$U,$H385)&lt;&gt;"Disqualified — Free Game",INDEX('Game Records'!$I:$I,$H385)=""),"Eligible Players; ","")&amp;IF(AND(INDEX('Game Records'!$U:$U,$H385)&lt;&gt;"Subscription",INDEX('Game Records'!$U:$U,$H385)&lt;&gt;"Free Game",INDEX('Game Records'!$U:$U,$H385)&lt;&gt;"Disqualified — Free Game",INDEX('Game Records'!$J:$J,$H385)=""),"Total Players; ","")&amp;IF(AND(LOWER(INDEX('Game Records'!$D:$D,$H385)&amp;"")="finalized",LOWER(INDEX('Game Records'!$L:$L,$H385)&amp;"")&lt;&gt;"yes",INDEX('Game Records'!$U:$U,$H385)&lt;&gt;"Subscription",INDEX('Game Records'!$U:$U,$H385)&lt;&gt;"Free Game",INDEX('Game Records'!$U:$U,$H385)&lt;&gt;"Disqualified — Free Game",INDEX('Game Records'!$K:$K,$H385)=""),"Final Earned; ","")&amp;IF(AND(LOWER(INDEX('Game Records'!$D:$D,$H385)&amp;"")="finalized",INDEX('Game Records'!$U:$U,$H385)&lt;&gt;"Subscription",INDEX('Game Records'!$U:$U,$H385)&lt;&gt;"Free Game",INDEX('Game Records'!$U:$U,$H385)&lt;&gt;"Disqualified — Free Game",OR(INDEX('Game Records'!$L:$L,$H385)="",LOWER(INDEX('Game Records'!$L:$L,$H385)&amp;"")="n/a")),"Disqualified Status; ",""))</x:f>
        <x:v/>
      </x:c>
      <x:c r="G385" s="331" t="str">
        <x:f>IF($H385="","",IFERROR(INDEX('Game Records'!$M:$M,$H385),""))</x:f>
        <x:v/>
      </x:c>
      <x:c r="H385" s="104" t="str">
        <x:f>IF($H384="","",IFERROR(MATCH(1,INDEX((ROW('Game Records'!$U$5:$U$504)&gt;$H384)*(('Game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6" ht="24" customHeight="1">
      <x:c r="A386" s="332" t="str">
        <x:f>IF($H386="","",ROWS($A$5:A386))</x:f>
        <x:v/>
      </x:c>
      <x:c r="B386" s="332" t="str">
        <x:f>IF($H386="","","G-"&amp;TEXT($A386,"0000"))</x:f>
        <x:v/>
      </x:c>
      <x:c r="C386" s="331" t="str">
        <x:f>IF($H386="","",IFERROR(INDEX('Game Records'!$A:$A,$H386),""))</x:f>
        <x:v/>
      </x:c>
      <x:c r="D386" s="331" t="str">
        <x:f>IF($H386="","",IFERROR(INDEX('Game Records'!$U:$U,$H386),""))</x:f>
        <x:v/>
      </x:c>
      <x:c r="E386" s="331" t="str">
        <x:f>IF($H386="","",IF($F386="","No Highlighted Fields","Highlighted Fields Present"))</x:f>
        <x:v/>
      </x:c>
      <x:c r="F386" s="331" t="str">
        <x:f>IF($H386="","",IF(INDEX('Game Records'!$B:$B,$H386)="","Start Date; ","")&amp;IF(INDEX('Game Records'!$C:$C,$H386)="","End Date; ","")&amp;IF(AND(INDEX('Game Records'!$U:$U,$H386)&lt;&gt;"Subscription",INDEX('Game Records'!$U:$U,$H386)&lt;&gt;"Free Game",INDEX('Game Records'!$U:$U,$H386)&lt;&gt;"Disqualified — Free Game",OR(INDEX('Game Records'!$D:$D,$H386)="",LOWER(INDEX('Game Records'!$D:$D,$H386)&amp;"")="n/a")),"Entry Mode; ","")&amp;IF(AND(INDEX('Game Records'!$U:$U,$H386)&lt;&gt;"Subscription",INDEX('Game Records'!$U:$U,$H386)&lt;&gt;"Free Game",INDEX('Game Records'!$U:$U,$H386)&lt;&gt;"Disqualified — Free Game",OR(INDEX('Game Records'!$E:$E,$H386)="",LOWER(INDEX('Game Records'!$E:$E,$H386)&amp;"")="n/a")),"Game Type; ","")&amp;IF(INDEX('Game Records'!$F:$F,$H386)="","Payment Type; ","")&amp;IF(AND(INDEX('Game Records'!$U:$U,$H386)&lt;&gt;"Subscription",INDEX('Game Records'!$U:$U,$H386)&lt;&gt;"Free Game",INDEX('Game Records'!$U:$U,$H386)&lt;&gt;"Disqualified — Free Game",INDEX('Game Records'!$G:$G,$H386)=""),"Gross Pot; ","")&amp;IF(AND(INDEX('Game Records'!$U:$U,$H386)&lt;&gt;"Free Game",INDEX('Game Records'!$U:$U,$H386)&lt;&gt;"Disqualified — Free Game",INDEX('Game Records'!$H:$H,$H386)=""),"Entry Fee; ","")&amp;IF(AND(INDEX('Game Records'!$U:$U,$H386)&lt;&gt;"Subscription",INDEX('Game Records'!$U:$U,$H386)&lt;&gt;"Free Game",INDEX('Game Records'!$U:$U,$H386)&lt;&gt;"Disqualified — Free Game",INDEX('Game Records'!$I:$I,$H386)=""),"Eligible Players; ","")&amp;IF(AND(INDEX('Game Records'!$U:$U,$H386)&lt;&gt;"Subscription",INDEX('Game Records'!$U:$U,$H386)&lt;&gt;"Free Game",INDEX('Game Records'!$U:$U,$H386)&lt;&gt;"Disqualified — Free Game",INDEX('Game Records'!$J:$J,$H386)=""),"Total Players; ","")&amp;IF(AND(LOWER(INDEX('Game Records'!$D:$D,$H386)&amp;"")="finalized",LOWER(INDEX('Game Records'!$L:$L,$H386)&amp;"")&lt;&gt;"yes",INDEX('Game Records'!$U:$U,$H386)&lt;&gt;"Subscription",INDEX('Game Records'!$U:$U,$H386)&lt;&gt;"Free Game",INDEX('Game Records'!$U:$U,$H386)&lt;&gt;"Disqualified — Free Game",INDEX('Game Records'!$K:$K,$H386)=""),"Final Earned; ","")&amp;IF(AND(LOWER(INDEX('Game Records'!$D:$D,$H386)&amp;"")="finalized",INDEX('Game Records'!$U:$U,$H386)&lt;&gt;"Subscription",INDEX('Game Records'!$U:$U,$H386)&lt;&gt;"Free Game",INDEX('Game Records'!$U:$U,$H386)&lt;&gt;"Disqualified — Free Game",OR(INDEX('Game Records'!$L:$L,$H386)="",LOWER(INDEX('Game Records'!$L:$L,$H386)&amp;"")="n/a")),"Disqualified Status; ",""))</x:f>
        <x:v/>
      </x:c>
      <x:c r="G386" s="331" t="str">
        <x:f>IF($H386="","",IFERROR(INDEX('Game Records'!$M:$M,$H386),""))</x:f>
        <x:v/>
      </x:c>
      <x:c r="H386" s="104" t="str">
        <x:f>IF($H385="","",IFERROR(MATCH(1,INDEX((ROW('Game Records'!$U$5:$U$504)&gt;$H385)*(('Game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7" ht="24" customHeight="1">
      <x:c r="A387" s="332" t="str">
        <x:f>IF($H387="","",ROWS($A$5:A387))</x:f>
        <x:v/>
      </x:c>
      <x:c r="B387" s="332" t="str">
        <x:f>IF($H387="","","G-"&amp;TEXT($A387,"0000"))</x:f>
        <x:v/>
      </x:c>
      <x:c r="C387" s="331" t="str">
        <x:f>IF($H387="","",IFERROR(INDEX('Game Records'!$A:$A,$H387),""))</x:f>
        <x:v/>
      </x:c>
      <x:c r="D387" s="331" t="str">
        <x:f>IF($H387="","",IFERROR(INDEX('Game Records'!$U:$U,$H387),""))</x:f>
        <x:v/>
      </x:c>
      <x:c r="E387" s="331" t="str">
        <x:f>IF($H387="","",IF($F387="","No Highlighted Fields","Highlighted Fields Present"))</x:f>
        <x:v/>
      </x:c>
      <x:c r="F387" s="331" t="str">
        <x:f>IF($H387="","",IF(INDEX('Game Records'!$B:$B,$H387)="","Start Date; ","")&amp;IF(INDEX('Game Records'!$C:$C,$H387)="","End Date; ","")&amp;IF(AND(INDEX('Game Records'!$U:$U,$H387)&lt;&gt;"Subscription",INDEX('Game Records'!$U:$U,$H387)&lt;&gt;"Free Game",INDEX('Game Records'!$U:$U,$H387)&lt;&gt;"Disqualified — Free Game",OR(INDEX('Game Records'!$D:$D,$H387)="",LOWER(INDEX('Game Records'!$D:$D,$H387)&amp;"")="n/a")),"Entry Mode; ","")&amp;IF(AND(INDEX('Game Records'!$U:$U,$H387)&lt;&gt;"Subscription",INDEX('Game Records'!$U:$U,$H387)&lt;&gt;"Free Game",INDEX('Game Records'!$U:$U,$H387)&lt;&gt;"Disqualified — Free Game",OR(INDEX('Game Records'!$E:$E,$H387)="",LOWER(INDEX('Game Records'!$E:$E,$H387)&amp;"")="n/a")),"Game Type; ","")&amp;IF(INDEX('Game Records'!$F:$F,$H387)="","Payment Type; ","")&amp;IF(AND(INDEX('Game Records'!$U:$U,$H387)&lt;&gt;"Subscription",INDEX('Game Records'!$U:$U,$H387)&lt;&gt;"Free Game",INDEX('Game Records'!$U:$U,$H387)&lt;&gt;"Disqualified — Free Game",INDEX('Game Records'!$G:$G,$H387)=""),"Gross Pot; ","")&amp;IF(AND(INDEX('Game Records'!$U:$U,$H387)&lt;&gt;"Free Game",INDEX('Game Records'!$U:$U,$H387)&lt;&gt;"Disqualified — Free Game",INDEX('Game Records'!$H:$H,$H387)=""),"Entry Fee; ","")&amp;IF(AND(INDEX('Game Records'!$U:$U,$H387)&lt;&gt;"Subscription",INDEX('Game Records'!$U:$U,$H387)&lt;&gt;"Free Game",INDEX('Game Records'!$U:$U,$H387)&lt;&gt;"Disqualified — Free Game",INDEX('Game Records'!$I:$I,$H387)=""),"Eligible Players; ","")&amp;IF(AND(INDEX('Game Records'!$U:$U,$H387)&lt;&gt;"Subscription",INDEX('Game Records'!$U:$U,$H387)&lt;&gt;"Free Game",INDEX('Game Records'!$U:$U,$H387)&lt;&gt;"Disqualified — Free Game",INDEX('Game Records'!$J:$J,$H387)=""),"Total Players; ","")&amp;IF(AND(LOWER(INDEX('Game Records'!$D:$D,$H387)&amp;"")="finalized",LOWER(INDEX('Game Records'!$L:$L,$H387)&amp;"")&lt;&gt;"yes",INDEX('Game Records'!$U:$U,$H387)&lt;&gt;"Subscription",INDEX('Game Records'!$U:$U,$H387)&lt;&gt;"Free Game",INDEX('Game Records'!$U:$U,$H387)&lt;&gt;"Disqualified — Free Game",INDEX('Game Records'!$K:$K,$H387)=""),"Final Earned; ","")&amp;IF(AND(LOWER(INDEX('Game Records'!$D:$D,$H387)&amp;"")="finalized",INDEX('Game Records'!$U:$U,$H387)&lt;&gt;"Subscription",INDEX('Game Records'!$U:$U,$H387)&lt;&gt;"Free Game",INDEX('Game Records'!$U:$U,$H387)&lt;&gt;"Disqualified — Free Game",OR(INDEX('Game Records'!$L:$L,$H387)="",LOWER(INDEX('Game Records'!$L:$L,$H387)&amp;"")="n/a")),"Disqualified Status; ",""))</x:f>
        <x:v/>
      </x:c>
      <x:c r="G387" s="331" t="str">
        <x:f>IF($H387="","",IFERROR(INDEX('Game Records'!$M:$M,$H387),""))</x:f>
        <x:v/>
      </x:c>
      <x:c r="H387" s="104" t="str">
        <x:f>IF($H386="","",IFERROR(MATCH(1,INDEX((ROW('Game Records'!$U$5:$U$504)&gt;$H386)*(('Game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8" ht="24" customHeight="1">
      <x:c r="A388" s="332" t="str">
        <x:f>IF($H388="","",ROWS($A$5:A388))</x:f>
        <x:v/>
      </x:c>
      <x:c r="B388" s="332" t="str">
        <x:f>IF($H388="","","G-"&amp;TEXT($A388,"0000"))</x:f>
        <x:v/>
      </x:c>
      <x:c r="C388" s="331" t="str">
        <x:f>IF($H388="","",IFERROR(INDEX('Game Records'!$A:$A,$H388),""))</x:f>
        <x:v/>
      </x:c>
      <x:c r="D388" s="331" t="str">
        <x:f>IF($H388="","",IFERROR(INDEX('Game Records'!$U:$U,$H388),""))</x:f>
        <x:v/>
      </x:c>
      <x:c r="E388" s="331" t="str">
        <x:f>IF($H388="","",IF($F388="","No Highlighted Fields","Highlighted Fields Present"))</x:f>
        <x:v/>
      </x:c>
      <x:c r="F388" s="331" t="str">
        <x:f>IF($H388="","",IF(INDEX('Game Records'!$B:$B,$H388)="","Start Date; ","")&amp;IF(INDEX('Game Records'!$C:$C,$H388)="","End Date; ","")&amp;IF(AND(INDEX('Game Records'!$U:$U,$H388)&lt;&gt;"Subscription",INDEX('Game Records'!$U:$U,$H388)&lt;&gt;"Free Game",INDEX('Game Records'!$U:$U,$H388)&lt;&gt;"Disqualified — Free Game",OR(INDEX('Game Records'!$D:$D,$H388)="",LOWER(INDEX('Game Records'!$D:$D,$H388)&amp;"")="n/a")),"Entry Mode; ","")&amp;IF(AND(INDEX('Game Records'!$U:$U,$H388)&lt;&gt;"Subscription",INDEX('Game Records'!$U:$U,$H388)&lt;&gt;"Free Game",INDEX('Game Records'!$U:$U,$H388)&lt;&gt;"Disqualified — Free Game",OR(INDEX('Game Records'!$E:$E,$H388)="",LOWER(INDEX('Game Records'!$E:$E,$H388)&amp;"")="n/a")),"Game Type; ","")&amp;IF(INDEX('Game Records'!$F:$F,$H388)="","Payment Type; ","")&amp;IF(AND(INDEX('Game Records'!$U:$U,$H388)&lt;&gt;"Subscription",INDEX('Game Records'!$U:$U,$H388)&lt;&gt;"Free Game",INDEX('Game Records'!$U:$U,$H388)&lt;&gt;"Disqualified — Free Game",INDEX('Game Records'!$G:$G,$H388)=""),"Gross Pot; ","")&amp;IF(AND(INDEX('Game Records'!$U:$U,$H388)&lt;&gt;"Free Game",INDEX('Game Records'!$U:$U,$H388)&lt;&gt;"Disqualified — Free Game",INDEX('Game Records'!$H:$H,$H388)=""),"Entry Fee; ","")&amp;IF(AND(INDEX('Game Records'!$U:$U,$H388)&lt;&gt;"Subscription",INDEX('Game Records'!$U:$U,$H388)&lt;&gt;"Free Game",INDEX('Game Records'!$U:$U,$H388)&lt;&gt;"Disqualified — Free Game",INDEX('Game Records'!$I:$I,$H388)=""),"Eligible Players; ","")&amp;IF(AND(INDEX('Game Records'!$U:$U,$H388)&lt;&gt;"Subscription",INDEX('Game Records'!$U:$U,$H388)&lt;&gt;"Free Game",INDEX('Game Records'!$U:$U,$H388)&lt;&gt;"Disqualified — Free Game",INDEX('Game Records'!$J:$J,$H388)=""),"Total Players; ","")&amp;IF(AND(LOWER(INDEX('Game Records'!$D:$D,$H388)&amp;"")="finalized",LOWER(INDEX('Game Records'!$L:$L,$H388)&amp;"")&lt;&gt;"yes",INDEX('Game Records'!$U:$U,$H388)&lt;&gt;"Subscription",INDEX('Game Records'!$U:$U,$H388)&lt;&gt;"Free Game",INDEX('Game Records'!$U:$U,$H388)&lt;&gt;"Disqualified — Free Game",INDEX('Game Records'!$K:$K,$H388)=""),"Final Earned; ","")&amp;IF(AND(LOWER(INDEX('Game Records'!$D:$D,$H388)&amp;"")="finalized",INDEX('Game Records'!$U:$U,$H388)&lt;&gt;"Subscription",INDEX('Game Records'!$U:$U,$H388)&lt;&gt;"Free Game",INDEX('Game Records'!$U:$U,$H388)&lt;&gt;"Disqualified — Free Game",OR(INDEX('Game Records'!$L:$L,$H388)="",LOWER(INDEX('Game Records'!$L:$L,$H388)&amp;"")="n/a")),"Disqualified Status; ",""))</x:f>
        <x:v/>
      </x:c>
      <x:c r="G388" s="331" t="str">
        <x:f>IF($H388="","",IFERROR(INDEX('Game Records'!$M:$M,$H388),""))</x:f>
        <x:v/>
      </x:c>
      <x:c r="H388" s="104" t="str">
        <x:f>IF($H387="","",IFERROR(MATCH(1,INDEX((ROW('Game Records'!$U$5:$U$504)&gt;$H387)*(('Game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89" ht="24" customHeight="1">
      <x:c r="A389" s="332" t="str">
        <x:f>IF($H389="","",ROWS($A$5:A389))</x:f>
        <x:v/>
      </x:c>
      <x:c r="B389" s="332" t="str">
        <x:f>IF($H389="","","G-"&amp;TEXT($A389,"0000"))</x:f>
        <x:v/>
      </x:c>
      <x:c r="C389" s="331" t="str">
        <x:f>IF($H389="","",IFERROR(INDEX('Game Records'!$A:$A,$H389),""))</x:f>
        <x:v/>
      </x:c>
      <x:c r="D389" s="331" t="str">
        <x:f>IF($H389="","",IFERROR(INDEX('Game Records'!$U:$U,$H389),""))</x:f>
        <x:v/>
      </x:c>
      <x:c r="E389" s="331" t="str">
        <x:f>IF($H389="","",IF($F389="","No Highlighted Fields","Highlighted Fields Present"))</x:f>
        <x:v/>
      </x:c>
      <x:c r="F389" s="331" t="str">
        <x:f>IF($H389="","",IF(INDEX('Game Records'!$B:$B,$H389)="","Start Date; ","")&amp;IF(INDEX('Game Records'!$C:$C,$H389)="","End Date; ","")&amp;IF(AND(INDEX('Game Records'!$U:$U,$H389)&lt;&gt;"Subscription",INDEX('Game Records'!$U:$U,$H389)&lt;&gt;"Free Game",INDEX('Game Records'!$U:$U,$H389)&lt;&gt;"Disqualified — Free Game",OR(INDEX('Game Records'!$D:$D,$H389)="",LOWER(INDEX('Game Records'!$D:$D,$H389)&amp;"")="n/a")),"Entry Mode; ","")&amp;IF(AND(INDEX('Game Records'!$U:$U,$H389)&lt;&gt;"Subscription",INDEX('Game Records'!$U:$U,$H389)&lt;&gt;"Free Game",INDEX('Game Records'!$U:$U,$H389)&lt;&gt;"Disqualified — Free Game",OR(INDEX('Game Records'!$E:$E,$H389)="",LOWER(INDEX('Game Records'!$E:$E,$H389)&amp;"")="n/a")),"Game Type; ","")&amp;IF(INDEX('Game Records'!$F:$F,$H389)="","Payment Type; ","")&amp;IF(AND(INDEX('Game Records'!$U:$U,$H389)&lt;&gt;"Subscription",INDEX('Game Records'!$U:$U,$H389)&lt;&gt;"Free Game",INDEX('Game Records'!$U:$U,$H389)&lt;&gt;"Disqualified — Free Game",INDEX('Game Records'!$G:$G,$H389)=""),"Gross Pot; ","")&amp;IF(AND(INDEX('Game Records'!$U:$U,$H389)&lt;&gt;"Free Game",INDEX('Game Records'!$U:$U,$H389)&lt;&gt;"Disqualified — Free Game",INDEX('Game Records'!$H:$H,$H389)=""),"Entry Fee; ","")&amp;IF(AND(INDEX('Game Records'!$U:$U,$H389)&lt;&gt;"Subscription",INDEX('Game Records'!$U:$U,$H389)&lt;&gt;"Free Game",INDEX('Game Records'!$U:$U,$H389)&lt;&gt;"Disqualified — Free Game",INDEX('Game Records'!$I:$I,$H389)=""),"Eligible Players; ","")&amp;IF(AND(INDEX('Game Records'!$U:$U,$H389)&lt;&gt;"Subscription",INDEX('Game Records'!$U:$U,$H389)&lt;&gt;"Free Game",INDEX('Game Records'!$U:$U,$H389)&lt;&gt;"Disqualified — Free Game",INDEX('Game Records'!$J:$J,$H389)=""),"Total Players; ","")&amp;IF(AND(LOWER(INDEX('Game Records'!$D:$D,$H389)&amp;"")="finalized",LOWER(INDEX('Game Records'!$L:$L,$H389)&amp;"")&lt;&gt;"yes",INDEX('Game Records'!$U:$U,$H389)&lt;&gt;"Subscription",INDEX('Game Records'!$U:$U,$H389)&lt;&gt;"Free Game",INDEX('Game Records'!$U:$U,$H389)&lt;&gt;"Disqualified — Free Game",INDEX('Game Records'!$K:$K,$H389)=""),"Final Earned; ","")&amp;IF(AND(LOWER(INDEX('Game Records'!$D:$D,$H389)&amp;"")="finalized",INDEX('Game Records'!$U:$U,$H389)&lt;&gt;"Subscription",INDEX('Game Records'!$U:$U,$H389)&lt;&gt;"Free Game",INDEX('Game Records'!$U:$U,$H389)&lt;&gt;"Disqualified — Free Game",OR(INDEX('Game Records'!$L:$L,$H389)="",LOWER(INDEX('Game Records'!$L:$L,$H389)&amp;"")="n/a")),"Disqualified Status; ",""))</x:f>
        <x:v/>
      </x:c>
      <x:c r="G389" s="331" t="str">
        <x:f>IF($H389="","",IFERROR(INDEX('Game Records'!$M:$M,$H389),""))</x:f>
        <x:v/>
      </x:c>
      <x:c r="H389" s="104" t="str">
        <x:f>IF($H388="","",IFERROR(MATCH(1,INDEX((ROW('Game Records'!$U$5:$U$504)&gt;$H388)*(('Game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0" ht="24" customHeight="1">
      <x:c r="A390" s="332" t="str">
        <x:f>IF($H390="","",ROWS($A$5:A390))</x:f>
        <x:v/>
      </x:c>
      <x:c r="B390" s="332" t="str">
        <x:f>IF($H390="","","G-"&amp;TEXT($A390,"0000"))</x:f>
        <x:v/>
      </x:c>
      <x:c r="C390" s="331" t="str">
        <x:f>IF($H390="","",IFERROR(INDEX('Game Records'!$A:$A,$H390),""))</x:f>
        <x:v/>
      </x:c>
      <x:c r="D390" s="331" t="str">
        <x:f>IF($H390="","",IFERROR(INDEX('Game Records'!$U:$U,$H390),""))</x:f>
        <x:v/>
      </x:c>
      <x:c r="E390" s="331" t="str">
        <x:f>IF($H390="","",IF($F390="","No Highlighted Fields","Highlighted Fields Present"))</x:f>
        <x:v/>
      </x:c>
      <x:c r="F390" s="331" t="str">
        <x:f>IF($H390="","",IF(INDEX('Game Records'!$B:$B,$H390)="","Start Date; ","")&amp;IF(INDEX('Game Records'!$C:$C,$H390)="","End Date; ","")&amp;IF(AND(INDEX('Game Records'!$U:$U,$H390)&lt;&gt;"Subscription",INDEX('Game Records'!$U:$U,$H390)&lt;&gt;"Free Game",INDEX('Game Records'!$U:$U,$H390)&lt;&gt;"Disqualified — Free Game",OR(INDEX('Game Records'!$D:$D,$H390)="",LOWER(INDEX('Game Records'!$D:$D,$H390)&amp;"")="n/a")),"Entry Mode; ","")&amp;IF(AND(INDEX('Game Records'!$U:$U,$H390)&lt;&gt;"Subscription",INDEX('Game Records'!$U:$U,$H390)&lt;&gt;"Free Game",INDEX('Game Records'!$U:$U,$H390)&lt;&gt;"Disqualified — Free Game",OR(INDEX('Game Records'!$E:$E,$H390)="",LOWER(INDEX('Game Records'!$E:$E,$H390)&amp;"")="n/a")),"Game Type; ","")&amp;IF(INDEX('Game Records'!$F:$F,$H390)="","Payment Type; ","")&amp;IF(AND(INDEX('Game Records'!$U:$U,$H390)&lt;&gt;"Subscription",INDEX('Game Records'!$U:$U,$H390)&lt;&gt;"Free Game",INDEX('Game Records'!$U:$U,$H390)&lt;&gt;"Disqualified — Free Game",INDEX('Game Records'!$G:$G,$H390)=""),"Gross Pot; ","")&amp;IF(AND(INDEX('Game Records'!$U:$U,$H390)&lt;&gt;"Free Game",INDEX('Game Records'!$U:$U,$H390)&lt;&gt;"Disqualified — Free Game",INDEX('Game Records'!$H:$H,$H390)=""),"Entry Fee; ","")&amp;IF(AND(INDEX('Game Records'!$U:$U,$H390)&lt;&gt;"Subscription",INDEX('Game Records'!$U:$U,$H390)&lt;&gt;"Free Game",INDEX('Game Records'!$U:$U,$H390)&lt;&gt;"Disqualified — Free Game",INDEX('Game Records'!$I:$I,$H390)=""),"Eligible Players; ","")&amp;IF(AND(INDEX('Game Records'!$U:$U,$H390)&lt;&gt;"Subscription",INDEX('Game Records'!$U:$U,$H390)&lt;&gt;"Free Game",INDEX('Game Records'!$U:$U,$H390)&lt;&gt;"Disqualified — Free Game",INDEX('Game Records'!$J:$J,$H390)=""),"Total Players; ","")&amp;IF(AND(LOWER(INDEX('Game Records'!$D:$D,$H390)&amp;"")="finalized",LOWER(INDEX('Game Records'!$L:$L,$H390)&amp;"")&lt;&gt;"yes",INDEX('Game Records'!$U:$U,$H390)&lt;&gt;"Subscription",INDEX('Game Records'!$U:$U,$H390)&lt;&gt;"Free Game",INDEX('Game Records'!$U:$U,$H390)&lt;&gt;"Disqualified — Free Game",INDEX('Game Records'!$K:$K,$H390)=""),"Final Earned; ","")&amp;IF(AND(LOWER(INDEX('Game Records'!$D:$D,$H390)&amp;"")="finalized",INDEX('Game Records'!$U:$U,$H390)&lt;&gt;"Subscription",INDEX('Game Records'!$U:$U,$H390)&lt;&gt;"Free Game",INDEX('Game Records'!$U:$U,$H390)&lt;&gt;"Disqualified — Free Game",OR(INDEX('Game Records'!$L:$L,$H390)="",LOWER(INDEX('Game Records'!$L:$L,$H390)&amp;"")="n/a")),"Disqualified Status; ",""))</x:f>
        <x:v/>
      </x:c>
      <x:c r="G390" s="331" t="str">
        <x:f>IF($H390="","",IFERROR(INDEX('Game Records'!$M:$M,$H390),""))</x:f>
        <x:v/>
      </x:c>
      <x:c r="H390" s="104" t="str">
        <x:f>IF($H389="","",IFERROR(MATCH(1,INDEX((ROW('Game Records'!$U$5:$U$504)&gt;$H389)*(('Game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1" ht="24" customHeight="1">
      <x:c r="A391" s="332" t="str">
        <x:f>IF($H391="","",ROWS($A$5:A391))</x:f>
        <x:v/>
      </x:c>
      <x:c r="B391" s="332" t="str">
        <x:f>IF($H391="","","G-"&amp;TEXT($A391,"0000"))</x:f>
        <x:v/>
      </x:c>
      <x:c r="C391" s="331" t="str">
        <x:f>IF($H391="","",IFERROR(INDEX('Game Records'!$A:$A,$H391),""))</x:f>
        <x:v/>
      </x:c>
      <x:c r="D391" s="331" t="str">
        <x:f>IF($H391="","",IFERROR(INDEX('Game Records'!$U:$U,$H391),""))</x:f>
        <x:v/>
      </x:c>
      <x:c r="E391" s="331" t="str">
        <x:f>IF($H391="","",IF($F391="","No Highlighted Fields","Highlighted Fields Present"))</x:f>
        <x:v/>
      </x:c>
      <x:c r="F391" s="331" t="str">
        <x:f>IF($H391="","",IF(INDEX('Game Records'!$B:$B,$H391)="","Start Date; ","")&amp;IF(INDEX('Game Records'!$C:$C,$H391)="","End Date; ","")&amp;IF(AND(INDEX('Game Records'!$U:$U,$H391)&lt;&gt;"Subscription",INDEX('Game Records'!$U:$U,$H391)&lt;&gt;"Free Game",INDEX('Game Records'!$U:$U,$H391)&lt;&gt;"Disqualified — Free Game",OR(INDEX('Game Records'!$D:$D,$H391)="",LOWER(INDEX('Game Records'!$D:$D,$H391)&amp;"")="n/a")),"Entry Mode; ","")&amp;IF(AND(INDEX('Game Records'!$U:$U,$H391)&lt;&gt;"Subscription",INDEX('Game Records'!$U:$U,$H391)&lt;&gt;"Free Game",INDEX('Game Records'!$U:$U,$H391)&lt;&gt;"Disqualified — Free Game",OR(INDEX('Game Records'!$E:$E,$H391)="",LOWER(INDEX('Game Records'!$E:$E,$H391)&amp;"")="n/a")),"Game Type; ","")&amp;IF(INDEX('Game Records'!$F:$F,$H391)="","Payment Type; ","")&amp;IF(AND(INDEX('Game Records'!$U:$U,$H391)&lt;&gt;"Subscription",INDEX('Game Records'!$U:$U,$H391)&lt;&gt;"Free Game",INDEX('Game Records'!$U:$U,$H391)&lt;&gt;"Disqualified — Free Game",INDEX('Game Records'!$G:$G,$H391)=""),"Gross Pot; ","")&amp;IF(AND(INDEX('Game Records'!$U:$U,$H391)&lt;&gt;"Free Game",INDEX('Game Records'!$U:$U,$H391)&lt;&gt;"Disqualified — Free Game",INDEX('Game Records'!$H:$H,$H391)=""),"Entry Fee; ","")&amp;IF(AND(INDEX('Game Records'!$U:$U,$H391)&lt;&gt;"Subscription",INDEX('Game Records'!$U:$U,$H391)&lt;&gt;"Free Game",INDEX('Game Records'!$U:$U,$H391)&lt;&gt;"Disqualified — Free Game",INDEX('Game Records'!$I:$I,$H391)=""),"Eligible Players; ","")&amp;IF(AND(INDEX('Game Records'!$U:$U,$H391)&lt;&gt;"Subscription",INDEX('Game Records'!$U:$U,$H391)&lt;&gt;"Free Game",INDEX('Game Records'!$U:$U,$H391)&lt;&gt;"Disqualified — Free Game",INDEX('Game Records'!$J:$J,$H391)=""),"Total Players; ","")&amp;IF(AND(LOWER(INDEX('Game Records'!$D:$D,$H391)&amp;"")="finalized",LOWER(INDEX('Game Records'!$L:$L,$H391)&amp;"")&lt;&gt;"yes",INDEX('Game Records'!$U:$U,$H391)&lt;&gt;"Subscription",INDEX('Game Records'!$U:$U,$H391)&lt;&gt;"Free Game",INDEX('Game Records'!$U:$U,$H391)&lt;&gt;"Disqualified — Free Game",INDEX('Game Records'!$K:$K,$H391)=""),"Final Earned; ","")&amp;IF(AND(LOWER(INDEX('Game Records'!$D:$D,$H391)&amp;"")="finalized",INDEX('Game Records'!$U:$U,$H391)&lt;&gt;"Subscription",INDEX('Game Records'!$U:$U,$H391)&lt;&gt;"Free Game",INDEX('Game Records'!$U:$U,$H391)&lt;&gt;"Disqualified — Free Game",OR(INDEX('Game Records'!$L:$L,$H391)="",LOWER(INDEX('Game Records'!$L:$L,$H391)&amp;"")="n/a")),"Disqualified Status; ",""))</x:f>
        <x:v/>
      </x:c>
      <x:c r="G391" s="331" t="str">
        <x:f>IF($H391="","",IFERROR(INDEX('Game Records'!$M:$M,$H391),""))</x:f>
        <x:v/>
      </x:c>
      <x:c r="H391" s="104" t="str">
        <x:f>IF($H390="","",IFERROR(MATCH(1,INDEX((ROW('Game Records'!$U$5:$U$504)&gt;$H390)*(('Game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2" ht="24" customHeight="1">
      <x:c r="A392" s="332" t="str">
        <x:f>IF($H392="","",ROWS($A$5:A392))</x:f>
        <x:v/>
      </x:c>
      <x:c r="B392" s="332" t="str">
        <x:f>IF($H392="","","G-"&amp;TEXT($A392,"0000"))</x:f>
        <x:v/>
      </x:c>
      <x:c r="C392" s="331" t="str">
        <x:f>IF($H392="","",IFERROR(INDEX('Game Records'!$A:$A,$H392),""))</x:f>
        <x:v/>
      </x:c>
      <x:c r="D392" s="331" t="str">
        <x:f>IF($H392="","",IFERROR(INDEX('Game Records'!$U:$U,$H392),""))</x:f>
        <x:v/>
      </x:c>
      <x:c r="E392" s="331" t="str">
        <x:f>IF($H392="","",IF($F392="","No Highlighted Fields","Highlighted Fields Present"))</x:f>
        <x:v/>
      </x:c>
      <x:c r="F392" s="331" t="str">
        <x:f>IF($H392="","",IF(INDEX('Game Records'!$B:$B,$H392)="","Start Date; ","")&amp;IF(INDEX('Game Records'!$C:$C,$H392)="","End Date; ","")&amp;IF(AND(INDEX('Game Records'!$U:$U,$H392)&lt;&gt;"Subscription",INDEX('Game Records'!$U:$U,$H392)&lt;&gt;"Free Game",INDEX('Game Records'!$U:$U,$H392)&lt;&gt;"Disqualified — Free Game",OR(INDEX('Game Records'!$D:$D,$H392)="",LOWER(INDEX('Game Records'!$D:$D,$H392)&amp;"")="n/a")),"Entry Mode; ","")&amp;IF(AND(INDEX('Game Records'!$U:$U,$H392)&lt;&gt;"Subscription",INDEX('Game Records'!$U:$U,$H392)&lt;&gt;"Free Game",INDEX('Game Records'!$U:$U,$H392)&lt;&gt;"Disqualified — Free Game",OR(INDEX('Game Records'!$E:$E,$H392)="",LOWER(INDEX('Game Records'!$E:$E,$H392)&amp;"")="n/a")),"Game Type; ","")&amp;IF(INDEX('Game Records'!$F:$F,$H392)="","Payment Type; ","")&amp;IF(AND(INDEX('Game Records'!$U:$U,$H392)&lt;&gt;"Subscription",INDEX('Game Records'!$U:$U,$H392)&lt;&gt;"Free Game",INDEX('Game Records'!$U:$U,$H392)&lt;&gt;"Disqualified — Free Game",INDEX('Game Records'!$G:$G,$H392)=""),"Gross Pot; ","")&amp;IF(AND(INDEX('Game Records'!$U:$U,$H392)&lt;&gt;"Free Game",INDEX('Game Records'!$U:$U,$H392)&lt;&gt;"Disqualified — Free Game",INDEX('Game Records'!$H:$H,$H392)=""),"Entry Fee; ","")&amp;IF(AND(INDEX('Game Records'!$U:$U,$H392)&lt;&gt;"Subscription",INDEX('Game Records'!$U:$U,$H392)&lt;&gt;"Free Game",INDEX('Game Records'!$U:$U,$H392)&lt;&gt;"Disqualified — Free Game",INDEX('Game Records'!$I:$I,$H392)=""),"Eligible Players; ","")&amp;IF(AND(INDEX('Game Records'!$U:$U,$H392)&lt;&gt;"Subscription",INDEX('Game Records'!$U:$U,$H392)&lt;&gt;"Free Game",INDEX('Game Records'!$U:$U,$H392)&lt;&gt;"Disqualified — Free Game",INDEX('Game Records'!$J:$J,$H392)=""),"Total Players; ","")&amp;IF(AND(LOWER(INDEX('Game Records'!$D:$D,$H392)&amp;"")="finalized",LOWER(INDEX('Game Records'!$L:$L,$H392)&amp;"")&lt;&gt;"yes",INDEX('Game Records'!$U:$U,$H392)&lt;&gt;"Subscription",INDEX('Game Records'!$U:$U,$H392)&lt;&gt;"Free Game",INDEX('Game Records'!$U:$U,$H392)&lt;&gt;"Disqualified — Free Game",INDEX('Game Records'!$K:$K,$H392)=""),"Final Earned; ","")&amp;IF(AND(LOWER(INDEX('Game Records'!$D:$D,$H392)&amp;"")="finalized",INDEX('Game Records'!$U:$U,$H392)&lt;&gt;"Subscription",INDEX('Game Records'!$U:$U,$H392)&lt;&gt;"Free Game",INDEX('Game Records'!$U:$U,$H392)&lt;&gt;"Disqualified — Free Game",OR(INDEX('Game Records'!$L:$L,$H392)="",LOWER(INDEX('Game Records'!$L:$L,$H392)&amp;"")="n/a")),"Disqualified Status; ",""))</x:f>
        <x:v/>
      </x:c>
      <x:c r="G392" s="331" t="str">
        <x:f>IF($H392="","",IFERROR(INDEX('Game Records'!$M:$M,$H392),""))</x:f>
        <x:v/>
      </x:c>
      <x:c r="H392" s="104" t="str">
        <x:f>IF($H391="","",IFERROR(MATCH(1,INDEX((ROW('Game Records'!$U$5:$U$504)&gt;$H391)*(('Game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3" ht="24" customHeight="1">
      <x:c r="A393" s="332" t="str">
        <x:f>IF($H393="","",ROWS($A$5:A393))</x:f>
        <x:v/>
      </x:c>
      <x:c r="B393" s="332" t="str">
        <x:f>IF($H393="","","G-"&amp;TEXT($A393,"0000"))</x:f>
        <x:v/>
      </x:c>
      <x:c r="C393" s="331" t="str">
        <x:f>IF($H393="","",IFERROR(INDEX('Game Records'!$A:$A,$H393),""))</x:f>
        <x:v/>
      </x:c>
      <x:c r="D393" s="331" t="str">
        <x:f>IF($H393="","",IFERROR(INDEX('Game Records'!$U:$U,$H393),""))</x:f>
        <x:v/>
      </x:c>
      <x:c r="E393" s="331" t="str">
        <x:f>IF($H393="","",IF($F393="","No Highlighted Fields","Highlighted Fields Present"))</x:f>
        <x:v/>
      </x:c>
      <x:c r="F393" s="331" t="str">
        <x:f>IF($H393="","",IF(INDEX('Game Records'!$B:$B,$H393)="","Start Date; ","")&amp;IF(INDEX('Game Records'!$C:$C,$H393)="","End Date; ","")&amp;IF(AND(INDEX('Game Records'!$U:$U,$H393)&lt;&gt;"Subscription",INDEX('Game Records'!$U:$U,$H393)&lt;&gt;"Free Game",INDEX('Game Records'!$U:$U,$H393)&lt;&gt;"Disqualified — Free Game",OR(INDEX('Game Records'!$D:$D,$H393)="",LOWER(INDEX('Game Records'!$D:$D,$H393)&amp;"")="n/a")),"Entry Mode; ","")&amp;IF(AND(INDEX('Game Records'!$U:$U,$H393)&lt;&gt;"Subscription",INDEX('Game Records'!$U:$U,$H393)&lt;&gt;"Free Game",INDEX('Game Records'!$U:$U,$H393)&lt;&gt;"Disqualified — Free Game",OR(INDEX('Game Records'!$E:$E,$H393)="",LOWER(INDEX('Game Records'!$E:$E,$H393)&amp;"")="n/a")),"Game Type; ","")&amp;IF(INDEX('Game Records'!$F:$F,$H393)="","Payment Type; ","")&amp;IF(AND(INDEX('Game Records'!$U:$U,$H393)&lt;&gt;"Subscription",INDEX('Game Records'!$U:$U,$H393)&lt;&gt;"Free Game",INDEX('Game Records'!$U:$U,$H393)&lt;&gt;"Disqualified — Free Game",INDEX('Game Records'!$G:$G,$H393)=""),"Gross Pot; ","")&amp;IF(AND(INDEX('Game Records'!$U:$U,$H393)&lt;&gt;"Free Game",INDEX('Game Records'!$U:$U,$H393)&lt;&gt;"Disqualified — Free Game",INDEX('Game Records'!$H:$H,$H393)=""),"Entry Fee; ","")&amp;IF(AND(INDEX('Game Records'!$U:$U,$H393)&lt;&gt;"Subscription",INDEX('Game Records'!$U:$U,$H393)&lt;&gt;"Free Game",INDEX('Game Records'!$U:$U,$H393)&lt;&gt;"Disqualified — Free Game",INDEX('Game Records'!$I:$I,$H393)=""),"Eligible Players; ","")&amp;IF(AND(INDEX('Game Records'!$U:$U,$H393)&lt;&gt;"Subscription",INDEX('Game Records'!$U:$U,$H393)&lt;&gt;"Free Game",INDEX('Game Records'!$U:$U,$H393)&lt;&gt;"Disqualified — Free Game",INDEX('Game Records'!$J:$J,$H393)=""),"Total Players; ","")&amp;IF(AND(LOWER(INDEX('Game Records'!$D:$D,$H393)&amp;"")="finalized",LOWER(INDEX('Game Records'!$L:$L,$H393)&amp;"")&lt;&gt;"yes",INDEX('Game Records'!$U:$U,$H393)&lt;&gt;"Subscription",INDEX('Game Records'!$U:$U,$H393)&lt;&gt;"Free Game",INDEX('Game Records'!$U:$U,$H393)&lt;&gt;"Disqualified — Free Game",INDEX('Game Records'!$K:$K,$H393)=""),"Final Earned; ","")&amp;IF(AND(LOWER(INDEX('Game Records'!$D:$D,$H393)&amp;"")="finalized",INDEX('Game Records'!$U:$U,$H393)&lt;&gt;"Subscription",INDEX('Game Records'!$U:$U,$H393)&lt;&gt;"Free Game",INDEX('Game Records'!$U:$U,$H393)&lt;&gt;"Disqualified — Free Game",OR(INDEX('Game Records'!$L:$L,$H393)="",LOWER(INDEX('Game Records'!$L:$L,$H393)&amp;"")="n/a")),"Disqualified Status; ",""))</x:f>
        <x:v/>
      </x:c>
      <x:c r="G393" s="331" t="str">
        <x:f>IF($H393="","",IFERROR(INDEX('Game Records'!$M:$M,$H393),""))</x:f>
        <x:v/>
      </x:c>
      <x:c r="H393" s="104" t="str">
        <x:f>IF($H392="","",IFERROR(MATCH(1,INDEX((ROW('Game Records'!$U$5:$U$504)&gt;$H392)*(('Game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4" ht="24" customHeight="1">
      <x:c r="A394" s="332" t="str">
        <x:f>IF($H394="","",ROWS($A$5:A394))</x:f>
        <x:v/>
      </x:c>
      <x:c r="B394" s="332" t="str">
        <x:f>IF($H394="","","G-"&amp;TEXT($A394,"0000"))</x:f>
        <x:v/>
      </x:c>
      <x:c r="C394" s="331" t="str">
        <x:f>IF($H394="","",IFERROR(INDEX('Game Records'!$A:$A,$H394),""))</x:f>
        <x:v/>
      </x:c>
      <x:c r="D394" s="331" t="str">
        <x:f>IF($H394="","",IFERROR(INDEX('Game Records'!$U:$U,$H394),""))</x:f>
        <x:v/>
      </x:c>
      <x:c r="E394" s="331" t="str">
        <x:f>IF($H394="","",IF($F394="","No Highlighted Fields","Highlighted Fields Present"))</x:f>
        <x:v/>
      </x:c>
      <x:c r="F394" s="331" t="str">
        <x:f>IF($H394="","",IF(INDEX('Game Records'!$B:$B,$H394)="","Start Date; ","")&amp;IF(INDEX('Game Records'!$C:$C,$H394)="","End Date; ","")&amp;IF(AND(INDEX('Game Records'!$U:$U,$H394)&lt;&gt;"Subscription",INDEX('Game Records'!$U:$U,$H394)&lt;&gt;"Free Game",INDEX('Game Records'!$U:$U,$H394)&lt;&gt;"Disqualified — Free Game",OR(INDEX('Game Records'!$D:$D,$H394)="",LOWER(INDEX('Game Records'!$D:$D,$H394)&amp;"")="n/a")),"Entry Mode; ","")&amp;IF(AND(INDEX('Game Records'!$U:$U,$H394)&lt;&gt;"Subscription",INDEX('Game Records'!$U:$U,$H394)&lt;&gt;"Free Game",INDEX('Game Records'!$U:$U,$H394)&lt;&gt;"Disqualified — Free Game",OR(INDEX('Game Records'!$E:$E,$H394)="",LOWER(INDEX('Game Records'!$E:$E,$H394)&amp;"")="n/a")),"Game Type; ","")&amp;IF(INDEX('Game Records'!$F:$F,$H394)="","Payment Type; ","")&amp;IF(AND(INDEX('Game Records'!$U:$U,$H394)&lt;&gt;"Subscription",INDEX('Game Records'!$U:$U,$H394)&lt;&gt;"Free Game",INDEX('Game Records'!$U:$U,$H394)&lt;&gt;"Disqualified — Free Game",INDEX('Game Records'!$G:$G,$H394)=""),"Gross Pot; ","")&amp;IF(AND(INDEX('Game Records'!$U:$U,$H394)&lt;&gt;"Free Game",INDEX('Game Records'!$U:$U,$H394)&lt;&gt;"Disqualified — Free Game",INDEX('Game Records'!$H:$H,$H394)=""),"Entry Fee; ","")&amp;IF(AND(INDEX('Game Records'!$U:$U,$H394)&lt;&gt;"Subscription",INDEX('Game Records'!$U:$U,$H394)&lt;&gt;"Free Game",INDEX('Game Records'!$U:$U,$H394)&lt;&gt;"Disqualified — Free Game",INDEX('Game Records'!$I:$I,$H394)=""),"Eligible Players; ","")&amp;IF(AND(INDEX('Game Records'!$U:$U,$H394)&lt;&gt;"Subscription",INDEX('Game Records'!$U:$U,$H394)&lt;&gt;"Free Game",INDEX('Game Records'!$U:$U,$H394)&lt;&gt;"Disqualified — Free Game",INDEX('Game Records'!$J:$J,$H394)=""),"Total Players; ","")&amp;IF(AND(LOWER(INDEX('Game Records'!$D:$D,$H394)&amp;"")="finalized",LOWER(INDEX('Game Records'!$L:$L,$H394)&amp;"")&lt;&gt;"yes",INDEX('Game Records'!$U:$U,$H394)&lt;&gt;"Subscription",INDEX('Game Records'!$U:$U,$H394)&lt;&gt;"Free Game",INDEX('Game Records'!$U:$U,$H394)&lt;&gt;"Disqualified — Free Game",INDEX('Game Records'!$K:$K,$H394)=""),"Final Earned; ","")&amp;IF(AND(LOWER(INDEX('Game Records'!$D:$D,$H394)&amp;"")="finalized",INDEX('Game Records'!$U:$U,$H394)&lt;&gt;"Subscription",INDEX('Game Records'!$U:$U,$H394)&lt;&gt;"Free Game",INDEX('Game Records'!$U:$U,$H394)&lt;&gt;"Disqualified — Free Game",OR(INDEX('Game Records'!$L:$L,$H394)="",LOWER(INDEX('Game Records'!$L:$L,$H394)&amp;"")="n/a")),"Disqualified Status; ",""))</x:f>
        <x:v/>
      </x:c>
      <x:c r="G394" s="331" t="str">
        <x:f>IF($H394="","",IFERROR(INDEX('Game Records'!$M:$M,$H394),""))</x:f>
        <x:v/>
      </x:c>
      <x:c r="H394" s="104" t="str">
        <x:f>IF($H393="","",IFERROR(MATCH(1,INDEX((ROW('Game Records'!$U$5:$U$504)&gt;$H393)*(('Game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5" ht="24" customHeight="1">
      <x:c r="A395" s="332" t="str">
        <x:f>IF($H395="","",ROWS($A$5:A395))</x:f>
        <x:v/>
      </x:c>
      <x:c r="B395" s="332" t="str">
        <x:f>IF($H395="","","G-"&amp;TEXT($A395,"0000"))</x:f>
        <x:v/>
      </x:c>
      <x:c r="C395" s="331" t="str">
        <x:f>IF($H395="","",IFERROR(INDEX('Game Records'!$A:$A,$H395),""))</x:f>
        <x:v/>
      </x:c>
      <x:c r="D395" s="331" t="str">
        <x:f>IF($H395="","",IFERROR(INDEX('Game Records'!$U:$U,$H395),""))</x:f>
        <x:v/>
      </x:c>
      <x:c r="E395" s="331" t="str">
        <x:f>IF($H395="","",IF($F395="","No Highlighted Fields","Highlighted Fields Present"))</x:f>
        <x:v/>
      </x:c>
      <x:c r="F395" s="331" t="str">
        <x:f>IF($H395="","",IF(INDEX('Game Records'!$B:$B,$H395)="","Start Date; ","")&amp;IF(INDEX('Game Records'!$C:$C,$H395)="","End Date; ","")&amp;IF(AND(INDEX('Game Records'!$U:$U,$H395)&lt;&gt;"Subscription",INDEX('Game Records'!$U:$U,$H395)&lt;&gt;"Free Game",INDEX('Game Records'!$U:$U,$H395)&lt;&gt;"Disqualified — Free Game",OR(INDEX('Game Records'!$D:$D,$H395)="",LOWER(INDEX('Game Records'!$D:$D,$H395)&amp;"")="n/a")),"Entry Mode; ","")&amp;IF(AND(INDEX('Game Records'!$U:$U,$H395)&lt;&gt;"Subscription",INDEX('Game Records'!$U:$U,$H395)&lt;&gt;"Free Game",INDEX('Game Records'!$U:$U,$H395)&lt;&gt;"Disqualified — Free Game",OR(INDEX('Game Records'!$E:$E,$H395)="",LOWER(INDEX('Game Records'!$E:$E,$H395)&amp;"")="n/a")),"Game Type; ","")&amp;IF(INDEX('Game Records'!$F:$F,$H395)="","Payment Type; ","")&amp;IF(AND(INDEX('Game Records'!$U:$U,$H395)&lt;&gt;"Subscription",INDEX('Game Records'!$U:$U,$H395)&lt;&gt;"Free Game",INDEX('Game Records'!$U:$U,$H395)&lt;&gt;"Disqualified — Free Game",INDEX('Game Records'!$G:$G,$H395)=""),"Gross Pot; ","")&amp;IF(AND(INDEX('Game Records'!$U:$U,$H395)&lt;&gt;"Free Game",INDEX('Game Records'!$U:$U,$H395)&lt;&gt;"Disqualified — Free Game",INDEX('Game Records'!$H:$H,$H395)=""),"Entry Fee; ","")&amp;IF(AND(INDEX('Game Records'!$U:$U,$H395)&lt;&gt;"Subscription",INDEX('Game Records'!$U:$U,$H395)&lt;&gt;"Free Game",INDEX('Game Records'!$U:$U,$H395)&lt;&gt;"Disqualified — Free Game",INDEX('Game Records'!$I:$I,$H395)=""),"Eligible Players; ","")&amp;IF(AND(INDEX('Game Records'!$U:$U,$H395)&lt;&gt;"Subscription",INDEX('Game Records'!$U:$U,$H395)&lt;&gt;"Free Game",INDEX('Game Records'!$U:$U,$H395)&lt;&gt;"Disqualified — Free Game",INDEX('Game Records'!$J:$J,$H395)=""),"Total Players; ","")&amp;IF(AND(LOWER(INDEX('Game Records'!$D:$D,$H395)&amp;"")="finalized",LOWER(INDEX('Game Records'!$L:$L,$H395)&amp;"")&lt;&gt;"yes",INDEX('Game Records'!$U:$U,$H395)&lt;&gt;"Subscription",INDEX('Game Records'!$U:$U,$H395)&lt;&gt;"Free Game",INDEX('Game Records'!$U:$U,$H395)&lt;&gt;"Disqualified — Free Game",INDEX('Game Records'!$K:$K,$H395)=""),"Final Earned; ","")&amp;IF(AND(LOWER(INDEX('Game Records'!$D:$D,$H395)&amp;"")="finalized",INDEX('Game Records'!$U:$U,$H395)&lt;&gt;"Subscription",INDEX('Game Records'!$U:$U,$H395)&lt;&gt;"Free Game",INDEX('Game Records'!$U:$U,$H395)&lt;&gt;"Disqualified — Free Game",OR(INDEX('Game Records'!$L:$L,$H395)="",LOWER(INDEX('Game Records'!$L:$L,$H395)&amp;"")="n/a")),"Disqualified Status; ",""))</x:f>
        <x:v/>
      </x:c>
      <x:c r="G395" s="331" t="str">
        <x:f>IF($H395="","",IFERROR(INDEX('Game Records'!$M:$M,$H395),""))</x:f>
        <x:v/>
      </x:c>
      <x:c r="H395" s="104" t="str">
        <x:f>IF($H394="","",IFERROR(MATCH(1,INDEX((ROW('Game Records'!$U$5:$U$504)&gt;$H394)*(('Game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6" ht="24" customHeight="1">
      <x:c r="A396" s="332" t="str">
        <x:f>IF($H396="","",ROWS($A$5:A396))</x:f>
        <x:v/>
      </x:c>
      <x:c r="B396" s="332" t="str">
        <x:f>IF($H396="","","G-"&amp;TEXT($A396,"0000"))</x:f>
        <x:v/>
      </x:c>
      <x:c r="C396" s="331" t="str">
        <x:f>IF($H396="","",IFERROR(INDEX('Game Records'!$A:$A,$H396),""))</x:f>
        <x:v/>
      </x:c>
      <x:c r="D396" s="331" t="str">
        <x:f>IF($H396="","",IFERROR(INDEX('Game Records'!$U:$U,$H396),""))</x:f>
        <x:v/>
      </x:c>
      <x:c r="E396" s="331" t="str">
        <x:f>IF($H396="","",IF($F396="","No Highlighted Fields","Highlighted Fields Present"))</x:f>
        <x:v/>
      </x:c>
      <x:c r="F396" s="331" t="str">
        <x:f>IF($H396="","",IF(INDEX('Game Records'!$B:$B,$H396)="","Start Date; ","")&amp;IF(INDEX('Game Records'!$C:$C,$H396)="","End Date; ","")&amp;IF(AND(INDEX('Game Records'!$U:$U,$H396)&lt;&gt;"Subscription",INDEX('Game Records'!$U:$U,$H396)&lt;&gt;"Free Game",INDEX('Game Records'!$U:$U,$H396)&lt;&gt;"Disqualified — Free Game",OR(INDEX('Game Records'!$D:$D,$H396)="",LOWER(INDEX('Game Records'!$D:$D,$H396)&amp;"")="n/a")),"Entry Mode; ","")&amp;IF(AND(INDEX('Game Records'!$U:$U,$H396)&lt;&gt;"Subscription",INDEX('Game Records'!$U:$U,$H396)&lt;&gt;"Free Game",INDEX('Game Records'!$U:$U,$H396)&lt;&gt;"Disqualified — Free Game",OR(INDEX('Game Records'!$E:$E,$H396)="",LOWER(INDEX('Game Records'!$E:$E,$H396)&amp;"")="n/a")),"Game Type; ","")&amp;IF(INDEX('Game Records'!$F:$F,$H396)="","Payment Type; ","")&amp;IF(AND(INDEX('Game Records'!$U:$U,$H396)&lt;&gt;"Subscription",INDEX('Game Records'!$U:$U,$H396)&lt;&gt;"Free Game",INDEX('Game Records'!$U:$U,$H396)&lt;&gt;"Disqualified — Free Game",INDEX('Game Records'!$G:$G,$H396)=""),"Gross Pot; ","")&amp;IF(AND(INDEX('Game Records'!$U:$U,$H396)&lt;&gt;"Free Game",INDEX('Game Records'!$U:$U,$H396)&lt;&gt;"Disqualified — Free Game",INDEX('Game Records'!$H:$H,$H396)=""),"Entry Fee; ","")&amp;IF(AND(INDEX('Game Records'!$U:$U,$H396)&lt;&gt;"Subscription",INDEX('Game Records'!$U:$U,$H396)&lt;&gt;"Free Game",INDEX('Game Records'!$U:$U,$H396)&lt;&gt;"Disqualified — Free Game",INDEX('Game Records'!$I:$I,$H396)=""),"Eligible Players; ","")&amp;IF(AND(INDEX('Game Records'!$U:$U,$H396)&lt;&gt;"Subscription",INDEX('Game Records'!$U:$U,$H396)&lt;&gt;"Free Game",INDEX('Game Records'!$U:$U,$H396)&lt;&gt;"Disqualified — Free Game",INDEX('Game Records'!$J:$J,$H396)=""),"Total Players; ","")&amp;IF(AND(LOWER(INDEX('Game Records'!$D:$D,$H396)&amp;"")="finalized",LOWER(INDEX('Game Records'!$L:$L,$H396)&amp;"")&lt;&gt;"yes",INDEX('Game Records'!$U:$U,$H396)&lt;&gt;"Subscription",INDEX('Game Records'!$U:$U,$H396)&lt;&gt;"Free Game",INDEX('Game Records'!$U:$U,$H396)&lt;&gt;"Disqualified — Free Game",INDEX('Game Records'!$K:$K,$H396)=""),"Final Earned; ","")&amp;IF(AND(LOWER(INDEX('Game Records'!$D:$D,$H396)&amp;"")="finalized",INDEX('Game Records'!$U:$U,$H396)&lt;&gt;"Subscription",INDEX('Game Records'!$U:$U,$H396)&lt;&gt;"Free Game",INDEX('Game Records'!$U:$U,$H396)&lt;&gt;"Disqualified — Free Game",OR(INDEX('Game Records'!$L:$L,$H396)="",LOWER(INDEX('Game Records'!$L:$L,$H396)&amp;"")="n/a")),"Disqualified Status; ",""))</x:f>
        <x:v/>
      </x:c>
      <x:c r="G396" s="331" t="str">
        <x:f>IF($H396="","",IFERROR(INDEX('Game Records'!$M:$M,$H396),""))</x:f>
        <x:v/>
      </x:c>
      <x:c r="H396" s="104" t="str">
        <x:f>IF($H395="","",IFERROR(MATCH(1,INDEX((ROW('Game Records'!$U$5:$U$504)&gt;$H395)*(('Game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7" ht="24" customHeight="1">
      <x:c r="A397" s="332" t="str">
        <x:f>IF($H397="","",ROWS($A$5:A397))</x:f>
        <x:v/>
      </x:c>
      <x:c r="B397" s="332" t="str">
        <x:f>IF($H397="","","G-"&amp;TEXT($A397,"0000"))</x:f>
        <x:v/>
      </x:c>
      <x:c r="C397" s="331" t="str">
        <x:f>IF($H397="","",IFERROR(INDEX('Game Records'!$A:$A,$H397),""))</x:f>
        <x:v/>
      </x:c>
      <x:c r="D397" s="331" t="str">
        <x:f>IF($H397="","",IFERROR(INDEX('Game Records'!$U:$U,$H397),""))</x:f>
        <x:v/>
      </x:c>
      <x:c r="E397" s="331" t="str">
        <x:f>IF($H397="","",IF($F397="","No Highlighted Fields","Highlighted Fields Present"))</x:f>
        <x:v/>
      </x:c>
      <x:c r="F397" s="331" t="str">
        <x:f>IF($H397="","",IF(INDEX('Game Records'!$B:$B,$H397)="","Start Date; ","")&amp;IF(INDEX('Game Records'!$C:$C,$H397)="","End Date; ","")&amp;IF(AND(INDEX('Game Records'!$U:$U,$H397)&lt;&gt;"Subscription",INDEX('Game Records'!$U:$U,$H397)&lt;&gt;"Free Game",INDEX('Game Records'!$U:$U,$H397)&lt;&gt;"Disqualified — Free Game",OR(INDEX('Game Records'!$D:$D,$H397)="",LOWER(INDEX('Game Records'!$D:$D,$H397)&amp;"")="n/a")),"Entry Mode; ","")&amp;IF(AND(INDEX('Game Records'!$U:$U,$H397)&lt;&gt;"Subscription",INDEX('Game Records'!$U:$U,$H397)&lt;&gt;"Free Game",INDEX('Game Records'!$U:$U,$H397)&lt;&gt;"Disqualified — Free Game",OR(INDEX('Game Records'!$E:$E,$H397)="",LOWER(INDEX('Game Records'!$E:$E,$H397)&amp;"")="n/a")),"Game Type; ","")&amp;IF(INDEX('Game Records'!$F:$F,$H397)="","Payment Type; ","")&amp;IF(AND(INDEX('Game Records'!$U:$U,$H397)&lt;&gt;"Subscription",INDEX('Game Records'!$U:$U,$H397)&lt;&gt;"Free Game",INDEX('Game Records'!$U:$U,$H397)&lt;&gt;"Disqualified — Free Game",INDEX('Game Records'!$G:$G,$H397)=""),"Gross Pot; ","")&amp;IF(AND(INDEX('Game Records'!$U:$U,$H397)&lt;&gt;"Free Game",INDEX('Game Records'!$U:$U,$H397)&lt;&gt;"Disqualified — Free Game",INDEX('Game Records'!$H:$H,$H397)=""),"Entry Fee; ","")&amp;IF(AND(INDEX('Game Records'!$U:$U,$H397)&lt;&gt;"Subscription",INDEX('Game Records'!$U:$U,$H397)&lt;&gt;"Free Game",INDEX('Game Records'!$U:$U,$H397)&lt;&gt;"Disqualified — Free Game",INDEX('Game Records'!$I:$I,$H397)=""),"Eligible Players; ","")&amp;IF(AND(INDEX('Game Records'!$U:$U,$H397)&lt;&gt;"Subscription",INDEX('Game Records'!$U:$U,$H397)&lt;&gt;"Free Game",INDEX('Game Records'!$U:$U,$H397)&lt;&gt;"Disqualified — Free Game",INDEX('Game Records'!$J:$J,$H397)=""),"Total Players; ","")&amp;IF(AND(LOWER(INDEX('Game Records'!$D:$D,$H397)&amp;"")="finalized",LOWER(INDEX('Game Records'!$L:$L,$H397)&amp;"")&lt;&gt;"yes",INDEX('Game Records'!$U:$U,$H397)&lt;&gt;"Subscription",INDEX('Game Records'!$U:$U,$H397)&lt;&gt;"Free Game",INDEX('Game Records'!$U:$U,$H397)&lt;&gt;"Disqualified — Free Game",INDEX('Game Records'!$K:$K,$H397)=""),"Final Earned; ","")&amp;IF(AND(LOWER(INDEX('Game Records'!$D:$D,$H397)&amp;"")="finalized",INDEX('Game Records'!$U:$U,$H397)&lt;&gt;"Subscription",INDEX('Game Records'!$U:$U,$H397)&lt;&gt;"Free Game",INDEX('Game Records'!$U:$U,$H397)&lt;&gt;"Disqualified — Free Game",OR(INDEX('Game Records'!$L:$L,$H397)="",LOWER(INDEX('Game Records'!$L:$L,$H397)&amp;"")="n/a")),"Disqualified Status; ",""))</x:f>
        <x:v/>
      </x:c>
      <x:c r="G397" s="331" t="str">
        <x:f>IF($H397="","",IFERROR(INDEX('Game Records'!$M:$M,$H397),""))</x:f>
        <x:v/>
      </x:c>
      <x:c r="H397" s="104" t="str">
        <x:f>IF($H396="","",IFERROR(MATCH(1,INDEX((ROW('Game Records'!$U$5:$U$504)&gt;$H396)*(('Game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8" ht="24" customHeight="1">
      <x:c r="A398" s="332" t="str">
        <x:f>IF($H398="","",ROWS($A$5:A398))</x:f>
        <x:v/>
      </x:c>
      <x:c r="B398" s="332" t="str">
        <x:f>IF($H398="","","G-"&amp;TEXT($A398,"0000"))</x:f>
        <x:v/>
      </x:c>
      <x:c r="C398" s="331" t="str">
        <x:f>IF($H398="","",IFERROR(INDEX('Game Records'!$A:$A,$H398),""))</x:f>
        <x:v/>
      </x:c>
      <x:c r="D398" s="331" t="str">
        <x:f>IF($H398="","",IFERROR(INDEX('Game Records'!$U:$U,$H398),""))</x:f>
        <x:v/>
      </x:c>
      <x:c r="E398" s="331" t="str">
        <x:f>IF($H398="","",IF($F398="","No Highlighted Fields","Highlighted Fields Present"))</x:f>
        <x:v/>
      </x:c>
      <x:c r="F398" s="331" t="str">
        <x:f>IF($H398="","",IF(INDEX('Game Records'!$B:$B,$H398)="","Start Date; ","")&amp;IF(INDEX('Game Records'!$C:$C,$H398)="","End Date; ","")&amp;IF(AND(INDEX('Game Records'!$U:$U,$H398)&lt;&gt;"Subscription",INDEX('Game Records'!$U:$U,$H398)&lt;&gt;"Free Game",INDEX('Game Records'!$U:$U,$H398)&lt;&gt;"Disqualified — Free Game",OR(INDEX('Game Records'!$D:$D,$H398)="",LOWER(INDEX('Game Records'!$D:$D,$H398)&amp;"")="n/a")),"Entry Mode; ","")&amp;IF(AND(INDEX('Game Records'!$U:$U,$H398)&lt;&gt;"Subscription",INDEX('Game Records'!$U:$U,$H398)&lt;&gt;"Free Game",INDEX('Game Records'!$U:$U,$H398)&lt;&gt;"Disqualified — Free Game",OR(INDEX('Game Records'!$E:$E,$H398)="",LOWER(INDEX('Game Records'!$E:$E,$H398)&amp;"")="n/a")),"Game Type; ","")&amp;IF(INDEX('Game Records'!$F:$F,$H398)="","Payment Type; ","")&amp;IF(AND(INDEX('Game Records'!$U:$U,$H398)&lt;&gt;"Subscription",INDEX('Game Records'!$U:$U,$H398)&lt;&gt;"Free Game",INDEX('Game Records'!$U:$U,$H398)&lt;&gt;"Disqualified — Free Game",INDEX('Game Records'!$G:$G,$H398)=""),"Gross Pot; ","")&amp;IF(AND(INDEX('Game Records'!$U:$U,$H398)&lt;&gt;"Free Game",INDEX('Game Records'!$U:$U,$H398)&lt;&gt;"Disqualified — Free Game",INDEX('Game Records'!$H:$H,$H398)=""),"Entry Fee; ","")&amp;IF(AND(INDEX('Game Records'!$U:$U,$H398)&lt;&gt;"Subscription",INDEX('Game Records'!$U:$U,$H398)&lt;&gt;"Free Game",INDEX('Game Records'!$U:$U,$H398)&lt;&gt;"Disqualified — Free Game",INDEX('Game Records'!$I:$I,$H398)=""),"Eligible Players; ","")&amp;IF(AND(INDEX('Game Records'!$U:$U,$H398)&lt;&gt;"Subscription",INDEX('Game Records'!$U:$U,$H398)&lt;&gt;"Free Game",INDEX('Game Records'!$U:$U,$H398)&lt;&gt;"Disqualified — Free Game",INDEX('Game Records'!$J:$J,$H398)=""),"Total Players; ","")&amp;IF(AND(LOWER(INDEX('Game Records'!$D:$D,$H398)&amp;"")="finalized",LOWER(INDEX('Game Records'!$L:$L,$H398)&amp;"")&lt;&gt;"yes",INDEX('Game Records'!$U:$U,$H398)&lt;&gt;"Subscription",INDEX('Game Records'!$U:$U,$H398)&lt;&gt;"Free Game",INDEX('Game Records'!$U:$U,$H398)&lt;&gt;"Disqualified — Free Game",INDEX('Game Records'!$K:$K,$H398)=""),"Final Earned; ","")&amp;IF(AND(LOWER(INDEX('Game Records'!$D:$D,$H398)&amp;"")="finalized",INDEX('Game Records'!$U:$U,$H398)&lt;&gt;"Subscription",INDEX('Game Records'!$U:$U,$H398)&lt;&gt;"Free Game",INDEX('Game Records'!$U:$U,$H398)&lt;&gt;"Disqualified — Free Game",OR(INDEX('Game Records'!$L:$L,$H398)="",LOWER(INDEX('Game Records'!$L:$L,$H398)&amp;"")="n/a")),"Disqualified Status; ",""))</x:f>
        <x:v/>
      </x:c>
      <x:c r="G398" s="331" t="str">
        <x:f>IF($H398="","",IFERROR(INDEX('Game Records'!$M:$M,$H398),""))</x:f>
        <x:v/>
      </x:c>
      <x:c r="H398" s="104" t="str">
        <x:f>IF($H397="","",IFERROR(MATCH(1,INDEX((ROW('Game Records'!$U$5:$U$504)&gt;$H397)*(('Game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399" ht="24" customHeight="1">
      <x:c r="A399" s="332" t="str">
        <x:f>IF($H399="","",ROWS($A$5:A399))</x:f>
        <x:v/>
      </x:c>
      <x:c r="B399" s="332" t="str">
        <x:f>IF($H399="","","G-"&amp;TEXT($A399,"0000"))</x:f>
        <x:v/>
      </x:c>
      <x:c r="C399" s="331" t="str">
        <x:f>IF($H399="","",IFERROR(INDEX('Game Records'!$A:$A,$H399),""))</x:f>
        <x:v/>
      </x:c>
      <x:c r="D399" s="331" t="str">
        <x:f>IF($H399="","",IFERROR(INDEX('Game Records'!$U:$U,$H399),""))</x:f>
        <x:v/>
      </x:c>
      <x:c r="E399" s="331" t="str">
        <x:f>IF($H399="","",IF($F399="","No Highlighted Fields","Highlighted Fields Present"))</x:f>
        <x:v/>
      </x:c>
      <x:c r="F399" s="331" t="str">
        <x:f>IF($H399="","",IF(INDEX('Game Records'!$B:$B,$H399)="","Start Date; ","")&amp;IF(INDEX('Game Records'!$C:$C,$H399)="","End Date; ","")&amp;IF(AND(INDEX('Game Records'!$U:$U,$H399)&lt;&gt;"Subscription",INDEX('Game Records'!$U:$U,$H399)&lt;&gt;"Free Game",INDEX('Game Records'!$U:$U,$H399)&lt;&gt;"Disqualified — Free Game",OR(INDEX('Game Records'!$D:$D,$H399)="",LOWER(INDEX('Game Records'!$D:$D,$H399)&amp;"")="n/a")),"Entry Mode; ","")&amp;IF(AND(INDEX('Game Records'!$U:$U,$H399)&lt;&gt;"Subscription",INDEX('Game Records'!$U:$U,$H399)&lt;&gt;"Free Game",INDEX('Game Records'!$U:$U,$H399)&lt;&gt;"Disqualified — Free Game",OR(INDEX('Game Records'!$E:$E,$H399)="",LOWER(INDEX('Game Records'!$E:$E,$H399)&amp;"")="n/a")),"Game Type; ","")&amp;IF(INDEX('Game Records'!$F:$F,$H399)="","Payment Type; ","")&amp;IF(AND(INDEX('Game Records'!$U:$U,$H399)&lt;&gt;"Subscription",INDEX('Game Records'!$U:$U,$H399)&lt;&gt;"Free Game",INDEX('Game Records'!$U:$U,$H399)&lt;&gt;"Disqualified — Free Game",INDEX('Game Records'!$G:$G,$H399)=""),"Gross Pot; ","")&amp;IF(AND(INDEX('Game Records'!$U:$U,$H399)&lt;&gt;"Free Game",INDEX('Game Records'!$U:$U,$H399)&lt;&gt;"Disqualified — Free Game",INDEX('Game Records'!$H:$H,$H399)=""),"Entry Fee; ","")&amp;IF(AND(INDEX('Game Records'!$U:$U,$H399)&lt;&gt;"Subscription",INDEX('Game Records'!$U:$U,$H399)&lt;&gt;"Free Game",INDEX('Game Records'!$U:$U,$H399)&lt;&gt;"Disqualified — Free Game",INDEX('Game Records'!$I:$I,$H399)=""),"Eligible Players; ","")&amp;IF(AND(INDEX('Game Records'!$U:$U,$H399)&lt;&gt;"Subscription",INDEX('Game Records'!$U:$U,$H399)&lt;&gt;"Free Game",INDEX('Game Records'!$U:$U,$H399)&lt;&gt;"Disqualified — Free Game",INDEX('Game Records'!$J:$J,$H399)=""),"Total Players; ","")&amp;IF(AND(LOWER(INDEX('Game Records'!$D:$D,$H399)&amp;"")="finalized",LOWER(INDEX('Game Records'!$L:$L,$H399)&amp;"")&lt;&gt;"yes",INDEX('Game Records'!$U:$U,$H399)&lt;&gt;"Subscription",INDEX('Game Records'!$U:$U,$H399)&lt;&gt;"Free Game",INDEX('Game Records'!$U:$U,$H399)&lt;&gt;"Disqualified — Free Game",INDEX('Game Records'!$K:$K,$H399)=""),"Final Earned; ","")&amp;IF(AND(LOWER(INDEX('Game Records'!$D:$D,$H399)&amp;"")="finalized",INDEX('Game Records'!$U:$U,$H399)&lt;&gt;"Subscription",INDEX('Game Records'!$U:$U,$H399)&lt;&gt;"Free Game",INDEX('Game Records'!$U:$U,$H399)&lt;&gt;"Disqualified — Free Game",OR(INDEX('Game Records'!$L:$L,$H399)="",LOWER(INDEX('Game Records'!$L:$L,$H399)&amp;"")="n/a")),"Disqualified Status; ",""))</x:f>
        <x:v/>
      </x:c>
      <x:c r="G399" s="331" t="str">
        <x:f>IF($H399="","",IFERROR(INDEX('Game Records'!$M:$M,$H399),""))</x:f>
        <x:v/>
      </x:c>
      <x:c r="H399" s="104" t="str">
        <x:f>IF($H398="","",IFERROR(MATCH(1,INDEX((ROW('Game Records'!$U$5:$U$504)&gt;$H398)*(('Game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0" ht="24" customHeight="1">
      <x:c r="A400" s="332" t="str">
        <x:f>IF($H400="","",ROWS($A$5:A400))</x:f>
        <x:v/>
      </x:c>
      <x:c r="B400" s="332" t="str">
        <x:f>IF($H400="","","G-"&amp;TEXT($A400,"0000"))</x:f>
        <x:v/>
      </x:c>
      <x:c r="C400" s="331" t="str">
        <x:f>IF($H400="","",IFERROR(INDEX('Game Records'!$A:$A,$H400),""))</x:f>
        <x:v/>
      </x:c>
      <x:c r="D400" s="331" t="str">
        <x:f>IF($H400="","",IFERROR(INDEX('Game Records'!$U:$U,$H400),""))</x:f>
        <x:v/>
      </x:c>
      <x:c r="E400" s="331" t="str">
        <x:f>IF($H400="","",IF($F400="","No Highlighted Fields","Highlighted Fields Present"))</x:f>
        <x:v/>
      </x:c>
      <x:c r="F400" s="331" t="str">
        <x:f>IF($H400="","",IF(INDEX('Game Records'!$B:$B,$H400)="","Start Date; ","")&amp;IF(INDEX('Game Records'!$C:$C,$H400)="","End Date; ","")&amp;IF(AND(INDEX('Game Records'!$U:$U,$H400)&lt;&gt;"Subscription",INDEX('Game Records'!$U:$U,$H400)&lt;&gt;"Free Game",INDEX('Game Records'!$U:$U,$H400)&lt;&gt;"Disqualified — Free Game",OR(INDEX('Game Records'!$D:$D,$H400)="",LOWER(INDEX('Game Records'!$D:$D,$H400)&amp;"")="n/a")),"Entry Mode; ","")&amp;IF(AND(INDEX('Game Records'!$U:$U,$H400)&lt;&gt;"Subscription",INDEX('Game Records'!$U:$U,$H400)&lt;&gt;"Free Game",INDEX('Game Records'!$U:$U,$H400)&lt;&gt;"Disqualified — Free Game",OR(INDEX('Game Records'!$E:$E,$H400)="",LOWER(INDEX('Game Records'!$E:$E,$H400)&amp;"")="n/a")),"Game Type; ","")&amp;IF(INDEX('Game Records'!$F:$F,$H400)="","Payment Type; ","")&amp;IF(AND(INDEX('Game Records'!$U:$U,$H400)&lt;&gt;"Subscription",INDEX('Game Records'!$U:$U,$H400)&lt;&gt;"Free Game",INDEX('Game Records'!$U:$U,$H400)&lt;&gt;"Disqualified — Free Game",INDEX('Game Records'!$G:$G,$H400)=""),"Gross Pot; ","")&amp;IF(AND(INDEX('Game Records'!$U:$U,$H400)&lt;&gt;"Free Game",INDEX('Game Records'!$U:$U,$H400)&lt;&gt;"Disqualified — Free Game",INDEX('Game Records'!$H:$H,$H400)=""),"Entry Fee; ","")&amp;IF(AND(INDEX('Game Records'!$U:$U,$H400)&lt;&gt;"Subscription",INDEX('Game Records'!$U:$U,$H400)&lt;&gt;"Free Game",INDEX('Game Records'!$U:$U,$H400)&lt;&gt;"Disqualified — Free Game",INDEX('Game Records'!$I:$I,$H400)=""),"Eligible Players; ","")&amp;IF(AND(INDEX('Game Records'!$U:$U,$H400)&lt;&gt;"Subscription",INDEX('Game Records'!$U:$U,$H400)&lt;&gt;"Free Game",INDEX('Game Records'!$U:$U,$H400)&lt;&gt;"Disqualified — Free Game",INDEX('Game Records'!$J:$J,$H400)=""),"Total Players; ","")&amp;IF(AND(LOWER(INDEX('Game Records'!$D:$D,$H400)&amp;"")="finalized",LOWER(INDEX('Game Records'!$L:$L,$H400)&amp;"")&lt;&gt;"yes",INDEX('Game Records'!$U:$U,$H400)&lt;&gt;"Subscription",INDEX('Game Records'!$U:$U,$H400)&lt;&gt;"Free Game",INDEX('Game Records'!$U:$U,$H400)&lt;&gt;"Disqualified — Free Game",INDEX('Game Records'!$K:$K,$H400)=""),"Final Earned; ","")&amp;IF(AND(LOWER(INDEX('Game Records'!$D:$D,$H400)&amp;"")="finalized",INDEX('Game Records'!$U:$U,$H400)&lt;&gt;"Subscription",INDEX('Game Records'!$U:$U,$H400)&lt;&gt;"Free Game",INDEX('Game Records'!$U:$U,$H400)&lt;&gt;"Disqualified — Free Game",OR(INDEX('Game Records'!$L:$L,$H400)="",LOWER(INDEX('Game Records'!$L:$L,$H400)&amp;"")="n/a")),"Disqualified Status; ",""))</x:f>
        <x:v/>
      </x:c>
      <x:c r="G400" s="331" t="str">
        <x:f>IF($H400="","",IFERROR(INDEX('Game Records'!$M:$M,$H400),""))</x:f>
        <x:v/>
      </x:c>
      <x:c r="H400" s="104" t="str">
        <x:f>IF($H399="","",IFERROR(MATCH(1,INDEX((ROW('Game Records'!$U$5:$U$504)&gt;$H399)*(('Game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1" ht="24" customHeight="1">
      <x:c r="A401" s="332" t="str">
        <x:f>IF($H401="","",ROWS($A$5:A401))</x:f>
        <x:v/>
      </x:c>
      <x:c r="B401" s="332" t="str">
        <x:f>IF($H401="","","G-"&amp;TEXT($A401,"0000"))</x:f>
        <x:v/>
      </x:c>
      <x:c r="C401" s="331" t="str">
        <x:f>IF($H401="","",IFERROR(INDEX('Game Records'!$A:$A,$H401),""))</x:f>
        <x:v/>
      </x:c>
      <x:c r="D401" s="331" t="str">
        <x:f>IF($H401="","",IFERROR(INDEX('Game Records'!$U:$U,$H401),""))</x:f>
        <x:v/>
      </x:c>
      <x:c r="E401" s="331" t="str">
        <x:f>IF($H401="","",IF($F401="","No Highlighted Fields","Highlighted Fields Present"))</x:f>
        <x:v/>
      </x:c>
      <x:c r="F401" s="331" t="str">
        <x:f>IF($H401="","",IF(INDEX('Game Records'!$B:$B,$H401)="","Start Date; ","")&amp;IF(INDEX('Game Records'!$C:$C,$H401)="","End Date; ","")&amp;IF(AND(INDEX('Game Records'!$U:$U,$H401)&lt;&gt;"Subscription",INDEX('Game Records'!$U:$U,$H401)&lt;&gt;"Free Game",INDEX('Game Records'!$U:$U,$H401)&lt;&gt;"Disqualified — Free Game",OR(INDEX('Game Records'!$D:$D,$H401)="",LOWER(INDEX('Game Records'!$D:$D,$H401)&amp;"")="n/a")),"Entry Mode; ","")&amp;IF(AND(INDEX('Game Records'!$U:$U,$H401)&lt;&gt;"Subscription",INDEX('Game Records'!$U:$U,$H401)&lt;&gt;"Free Game",INDEX('Game Records'!$U:$U,$H401)&lt;&gt;"Disqualified — Free Game",OR(INDEX('Game Records'!$E:$E,$H401)="",LOWER(INDEX('Game Records'!$E:$E,$H401)&amp;"")="n/a")),"Game Type; ","")&amp;IF(INDEX('Game Records'!$F:$F,$H401)="","Payment Type; ","")&amp;IF(AND(INDEX('Game Records'!$U:$U,$H401)&lt;&gt;"Subscription",INDEX('Game Records'!$U:$U,$H401)&lt;&gt;"Free Game",INDEX('Game Records'!$U:$U,$H401)&lt;&gt;"Disqualified — Free Game",INDEX('Game Records'!$G:$G,$H401)=""),"Gross Pot; ","")&amp;IF(AND(INDEX('Game Records'!$U:$U,$H401)&lt;&gt;"Free Game",INDEX('Game Records'!$U:$U,$H401)&lt;&gt;"Disqualified — Free Game",INDEX('Game Records'!$H:$H,$H401)=""),"Entry Fee; ","")&amp;IF(AND(INDEX('Game Records'!$U:$U,$H401)&lt;&gt;"Subscription",INDEX('Game Records'!$U:$U,$H401)&lt;&gt;"Free Game",INDEX('Game Records'!$U:$U,$H401)&lt;&gt;"Disqualified — Free Game",INDEX('Game Records'!$I:$I,$H401)=""),"Eligible Players; ","")&amp;IF(AND(INDEX('Game Records'!$U:$U,$H401)&lt;&gt;"Subscription",INDEX('Game Records'!$U:$U,$H401)&lt;&gt;"Free Game",INDEX('Game Records'!$U:$U,$H401)&lt;&gt;"Disqualified — Free Game",INDEX('Game Records'!$J:$J,$H401)=""),"Total Players; ","")&amp;IF(AND(LOWER(INDEX('Game Records'!$D:$D,$H401)&amp;"")="finalized",LOWER(INDEX('Game Records'!$L:$L,$H401)&amp;"")&lt;&gt;"yes",INDEX('Game Records'!$U:$U,$H401)&lt;&gt;"Subscription",INDEX('Game Records'!$U:$U,$H401)&lt;&gt;"Free Game",INDEX('Game Records'!$U:$U,$H401)&lt;&gt;"Disqualified — Free Game",INDEX('Game Records'!$K:$K,$H401)=""),"Final Earned; ","")&amp;IF(AND(LOWER(INDEX('Game Records'!$D:$D,$H401)&amp;"")="finalized",INDEX('Game Records'!$U:$U,$H401)&lt;&gt;"Subscription",INDEX('Game Records'!$U:$U,$H401)&lt;&gt;"Free Game",INDEX('Game Records'!$U:$U,$H401)&lt;&gt;"Disqualified — Free Game",OR(INDEX('Game Records'!$L:$L,$H401)="",LOWER(INDEX('Game Records'!$L:$L,$H401)&amp;"")="n/a")),"Disqualified Status; ",""))</x:f>
        <x:v/>
      </x:c>
      <x:c r="G401" s="331" t="str">
        <x:f>IF($H401="","",IFERROR(INDEX('Game Records'!$M:$M,$H401),""))</x:f>
        <x:v/>
      </x:c>
      <x:c r="H401" s="104" t="str">
        <x:f>IF($H400="","",IFERROR(MATCH(1,INDEX((ROW('Game Records'!$U$5:$U$504)&gt;$H400)*(('Game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2" ht="24" customHeight="1">
      <x:c r="A402" s="332" t="str">
        <x:f>IF($H402="","",ROWS($A$5:A402))</x:f>
        <x:v/>
      </x:c>
      <x:c r="B402" s="332" t="str">
        <x:f>IF($H402="","","G-"&amp;TEXT($A402,"0000"))</x:f>
        <x:v/>
      </x:c>
      <x:c r="C402" s="331" t="str">
        <x:f>IF($H402="","",IFERROR(INDEX('Game Records'!$A:$A,$H402),""))</x:f>
        <x:v/>
      </x:c>
      <x:c r="D402" s="331" t="str">
        <x:f>IF($H402="","",IFERROR(INDEX('Game Records'!$U:$U,$H402),""))</x:f>
        <x:v/>
      </x:c>
      <x:c r="E402" s="331" t="str">
        <x:f>IF($H402="","",IF($F402="","No Highlighted Fields","Highlighted Fields Present"))</x:f>
        <x:v/>
      </x:c>
      <x:c r="F402" s="331" t="str">
        <x:f>IF($H402="","",IF(INDEX('Game Records'!$B:$B,$H402)="","Start Date; ","")&amp;IF(INDEX('Game Records'!$C:$C,$H402)="","End Date; ","")&amp;IF(AND(INDEX('Game Records'!$U:$U,$H402)&lt;&gt;"Subscription",INDEX('Game Records'!$U:$U,$H402)&lt;&gt;"Free Game",INDEX('Game Records'!$U:$U,$H402)&lt;&gt;"Disqualified — Free Game",OR(INDEX('Game Records'!$D:$D,$H402)="",LOWER(INDEX('Game Records'!$D:$D,$H402)&amp;"")="n/a")),"Entry Mode; ","")&amp;IF(AND(INDEX('Game Records'!$U:$U,$H402)&lt;&gt;"Subscription",INDEX('Game Records'!$U:$U,$H402)&lt;&gt;"Free Game",INDEX('Game Records'!$U:$U,$H402)&lt;&gt;"Disqualified — Free Game",OR(INDEX('Game Records'!$E:$E,$H402)="",LOWER(INDEX('Game Records'!$E:$E,$H402)&amp;"")="n/a")),"Game Type; ","")&amp;IF(INDEX('Game Records'!$F:$F,$H402)="","Payment Type; ","")&amp;IF(AND(INDEX('Game Records'!$U:$U,$H402)&lt;&gt;"Subscription",INDEX('Game Records'!$U:$U,$H402)&lt;&gt;"Free Game",INDEX('Game Records'!$U:$U,$H402)&lt;&gt;"Disqualified — Free Game",INDEX('Game Records'!$G:$G,$H402)=""),"Gross Pot; ","")&amp;IF(AND(INDEX('Game Records'!$U:$U,$H402)&lt;&gt;"Free Game",INDEX('Game Records'!$U:$U,$H402)&lt;&gt;"Disqualified — Free Game",INDEX('Game Records'!$H:$H,$H402)=""),"Entry Fee; ","")&amp;IF(AND(INDEX('Game Records'!$U:$U,$H402)&lt;&gt;"Subscription",INDEX('Game Records'!$U:$U,$H402)&lt;&gt;"Free Game",INDEX('Game Records'!$U:$U,$H402)&lt;&gt;"Disqualified — Free Game",INDEX('Game Records'!$I:$I,$H402)=""),"Eligible Players; ","")&amp;IF(AND(INDEX('Game Records'!$U:$U,$H402)&lt;&gt;"Subscription",INDEX('Game Records'!$U:$U,$H402)&lt;&gt;"Free Game",INDEX('Game Records'!$U:$U,$H402)&lt;&gt;"Disqualified — Free Game",INDEX('Game Records'!$J:$J,$H402)=""),"Total Players; ","")&amp;IF(AND(LOWER(INDEX('Game Records'!$D:$D,$H402)&amp;"")="finalized",LOWER(INDEX('Game Records'!$L:$L,$H402)&amp;"")&lt;&gt;"yes",INDEX('Game Records'!$U:$U,$H402)&lt;&gt;"Subscription",INDEX('Game Records'!$U:$U,$H402)&lt;&gt;"Free Game",INDEX('Game Records'!$U:$U,$H402)&lt;&gt;"Disqualified — Free Game",INDEX('Game Records'!$K:$K,$H402)=""),"Final Earned; ","")&amp;IF(AND(LOWER(INDEX('Game Records'!$D:$D,$H402)&amp;"")="finalized",INDEX('Game Records'!$U:$U,$H402)&lt;&gt;"Subscription",INDEX('Game Records'!$U:$U,$H402)&lt;&gt;"Free Game",INDEX('Game Records'!$U:$U,$H402)&lt;&gt;"Disqualified — Free Game",OR(INDEX('Game Records'!$L:$L,$H402)="",LOWER(INDEX('Game Records'!$L:$L,$H402)&amp;"")="n/a")),"Disqualified Status; ",""))</x:f>
        <x:v/>
      </x:c>
      <x:c r="G402" s="331" t="str">
        <x:f>IF($H402="","",IFERROR(INDEX('Game Records'!$M:$M,$H402),""))</x:f>
        <x:v/>
      </x:c>
      <x:c r="H402" s="104" t="str">
        <x:f>IF($H401="","",IFERROR(MATCH(1,INDEX((ROW('Game Records'!$U$5:$U$504)&gt;$H401)*(('Game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3" ht="24" customHeight="1">
      <x:c r="A403" s="332" t="str">
        <x:f>IF($H403="","",ROWS($A$5:A403))</x:f>
        <x:v/>
      </x:c>
      <x:c r="B403" s="332" t="str">
        <x:f>IF($H403="","","G-"&amp;TEXT($A403,"0000"))</x:f>
        <x:v/>
      </x:c>
      <x:c r="C403" s="331" t="str">
        <x:f>IF($H403="","",IFERROR(INDEX('Game Records'!$A:$A,$H403),""))</x:f>
        <x:v/>
      </x:c>
      <x:c r="D403" s="331" t="str">
        <x:f>IF($H403="","",IFERROR(INDEX('Game Records'!$U:$U,$H403),""))</x:f>
        <x:v/>
      </x:c>
      <x:c r="E403" s="331" t="str">
        <x:f>IF($H403="","",IF($F403="","No Highlighted Fields","Highlighted Fields Present"))</x:f>
        <x:v/>
      </x:c>
      <x:c r="F403" s="331" t="str">
        <x:f>IF($H403="","",IF(INDEX('Game Records'!$B:$B,$H403)="","Start Date; ","")&amp;IF(INDEX('Game Records'!$C:$C,$H403)="","End Date; ","")&amp;IF(AND(INDEX('Game Records'!$U:$U,$H403)&lt;&gt;"Subscription",INDEX('Game Records'!$U:$U,$H403)&lt;&gt;"Free Game",INDEX('Game Records'!$U:$U,$H403)&lt;&gt;"Disqualified — Free Game",OR(INDEX('Game Records'!$D:$D,$H403)="",LOWER(INDEX('Game Records'!$D:$D,$H403)&amp;"")="n/a")),"Entry Mode; ","")&amp;IF(AND(INDEX('Game Records'!$U:$U,$H403)&lt;&gt;"Subscription",INDEX('Game Records'!$U:$U,$H403)&lt;&gt;"Free Game",INDEX('Game Records'!$U:$U,$H403)&lt;&gt;"Disqualified — Free Game",OR(INDEX('Game Records'!$E:$E,$H403)="",LOWER(INDEX('Game Records'!$E:$E,$H403)&amp;"")="n/a")),"Game Type; ","")&amp;IF(INDEX('Game Records'!$F:$F,$H403)="","Payment Type; ","")&amp;IF(AND(INDEX('Game Records'!$U:$U,$H403)&lt;&gt;"Subscription",INDEX('Game Records'!$U:$U,$H403)&lt;&gt;"Free Game",INDEX('Game Records'!$U:$U,$H403)&lt;&gt;"Disqualified — Free Game",INDEX('Game Records'!$G:$G,$H403)=""),"Gross Pot; ","")&amp;IF(AND(INDEX('Game Records'!$U:$U,$H403)&lt;&gt;"Free Game",INDEX('Game Records'!$U:$U,$H403)&lt;&gt;"Disqualified — Free Game",INDEX('Game Records'!$H:$H,$H403)=""),"Entry Fee; ","")&amp;IF(AND(INDEX('Game Records'!$U:$U,$H403)&lt;&gt;"Subscription",INDEX('Game Records'!$U:$U,$H403)&lt;&gt;"Free Game",INDEX('Game Records'!$U:$U,$H403)&lt;&gt;"Disqualified — Free Game",INDEX('Game Records'!$I:$I,$H403)=""),"Eligible Players; ","")&amp;IF(AND(INDEX('Game Records'!$U:$U,$H403)&lt;&gt;"Subscription",INDEX('Game Records'!$U:$U,$H403)&lt;&gt;"Free Game",INDEX('Game Records'!$U:$U,$H403)&lt;&gt;"Disqualified — Free Game",INDEX('Game Records'!$J:$J,$H403)=""),"Total Players; ","")&amp;IF(AND(LOWER(INDEX('Game Records'!$D:$D,$H403)&amp;"")="finalized",LOWER(INDEX('Game Records'!$L:$L,$H403)&amp;"")&lt;&gt;"yes",INDEX('Game Records'!$U:$U,$H403)&lt;&gt;"Subscription",INDEX('Game Records'!$U:$U,$H403)&lt;&gt;"Free Game",INDEX('Game Records'!$U:$U,$H403)&lt;&gt;"Disqualified — Free Game",INDEX('Game Records'!$K:$K,$H403)=""),"Final Earned; ","")&amp;IF(AND(LOWER(INDEX('Game Records'!$D:$D,$H403)&amp;"")="finalized",INDEX('Game Records'!$U:$U,$H403)&lt;&gt;"Subscription",INDEX('Game Records'!$U:$U,$H403)&lt;&gt;"Free Game",INDEX('Game Records'!$U:$U,$H403)&lt;&gt;"Disqualified — Free Game",OR(INDEX('Game Records'!$L:$L,$H403)="",LOWER(INDEX('Game Records'!$L:$L,$H403)&amp;"")="n/a")),"Disqualified Status; ",""))</x:f>
        <x:v/>
      </x:c>
      <x:c r="G403" s="331" t="str">
        <x:f>IF($H403="","",IFERROR(INDEX('Game Records'!$M:$M,$H403),""))</x:f>
        <x:v/>
      </x:c>
      <x:c r="H403" s="104" t="str">
        <x:f>IF($H402="","",IFERROR(MATCH(1,INDEX((ROW('Game Records'!$U$5:$U$504)&gt;$H402)*(('Game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4" ht="24" customHeight="1">
      <x:c r="A404" s="332" t="str">
        <x:f>IF($H404="","",ROWS($A$5:A404))</x:f>
        <x:v/>
      </x:c>
      <x:c r="B404" s="332" t="str">
        <x:f>IF($H404="","","G-"&amp;TEXT($A404,"0000"))</x:f>
        <x:v/>
      </x:c>
      <x:c r="C404" s="331" t="str">
        <x:f>IF($H404="","",IFERROR(INDEX('Game Records'!$A:$A,$H404),""))</x:f>
        <x:v/>
      </x:c>
      <x:c r="D404" s="331" t="str">
        <x:f>IF($H404="","",IFERROR(INDEX('Game Records'!$U:$U,$H404),""))</x:f>
        <x:v/>
      </x:c>
      <x:c r="E404" s="331" t="str">
        <x:f>IF($H404="","",IF($F404="","No Highlighted Fields","Highlighted Fields Present"))</x:f>
        <x:v/>
      </x:c>
      <x:c r="F404" s="331" t="str">
        <x:f>IF($H404="","",IF(INDEX('Game Records'!$B:$B,$H404)="","Start Date; ","")&amp;IF(INDEX('Game Records'!$C:$C,$H404)="","End Date; ","")&amp;IF(AND(INDEX('Game Records'!$U:$U,$H404)&lt;&gt;"Subscription",INDEX('Game Records'!$U:$U,$H404)&lt;&gt;"Free Game",INDEX('Game Records'!$U:$U,$H404)&lt;&gt;"Disqualified — Free Game",OR(INDEX('Game Records'!$D:$D,$H404)="",LOWER(INDEX('Game Records'!$D:$D,$H404)&amp;"")="n/a")),"Entry Mode; ","")&amp;IF(AND(INDEX('Game Records'!$U:$U,$H404)&lt;&gt;"Subscription",INDEX('Game Records'!$U:$U,$H404)&lt;&gt;"Free Game",INDEX('Game Records'!$U:$U,$H404)&lt;&gt;"Disqualified — Free Game",OR(INDEX('Game Records'!$E:$E,$H404)="",LOWER(INDEX('Game Records'!$E:$E,$H404)&amp;"")="n/a")),"Game Type; ","")&amp;IF(INDEX('Game Records'!$F:$F,$H404)="","Payment Type; ","")&amp;IF(AND(INDEX('Game Records'!$U:$U,$H404)&lt;&gt;"Subscription",INDEX('Game Records'!$U:$U,$H404)&lt;&gt;"Free Game",INDEX('Game Records'!$U:$U,$H404)&lt;&gt;"Disqualified — Free Game",INDEX('Game Records'!$G:$G,$H404)=""),"Gross Pot; ","")&amp;IF(AND(INDEX('Game Records'!$U:$U,$H404)&lt;&gt;"Free Game",INDEX('Game Records'!$U:$U,$H404)&lt;&gt;"Disqualified — Free Game",INDEX('Game Records'!$H:$H,$H404)=""),"Entry Fee; ","")&amp;IF(AND(INDEX('Game Records'!$U:$U,$H404)&lt;&gt;"Subscription",INDEX('Game Records'!$U:$U,$H404)&lt;&gt;"Free Game",INDEX('Game Records'!$U:$U,$H404)&lt;&gt;"Disqualified — Free Game",INDEX('Game Records'!$I:$I,$H404)=""),"Eligible Players; ","")&amp;IF(AND(INDEX('Game Records'!$U:$U,$H404)&lt;&gt;"Subscription",INDEX('Game Records'!$U:$U,$H404)&lt;&gt;"Free Game",INDEX('Game Records'!$U:$U,$H404)&lt;&gt;"Disqualified — Free Game",INDEX('Game Records'!$J:$J,$H404)=""),"Total Players; ","")&amp;IF(AND(LOWER(INDEX('Game Records'!$D:$D,$H404)&amp;"")="finalized",LOWER(INDEX('Game Records'!$L:$L,$H404)&amp;"")&lt;&gt;"yes",INDEX('Game Records'!$U:$U,$H404)&lt;&gt;"Subscription",INDEX('Game Records'!$U:$U,$H404)&lt;&gt;"Free Game",INDEX('Game Records'!$U:$U,$H404)&lt;&gt;"Disqualified — Free Game",INDEX('Game Records'!$K:$K,$H404)=""),"Final Earned; ","")&amp;IF(AND(LOWER(INDEX('Game Records'!$D:$D,$H404)&amp;"")="finalized",INDEX('Game Records'!$U:$U,$H404)&lt;&gt;"Subscription",INDEX('Game Records'!$U:$U,$H404)&lt;&gt;"Free Game",INDEX('Game Records'!$U:$U,$H404)&lt;&gt;"Disqualified — Free Game",OR(INDEX('Game Records'!$L:$L,$H404)="",LOWER(INDEX('Game Records'!$L:$L,$H404)&amp;"")="n/a")),"Disqualified Status; ",""))</x:f>
        <x:v/>
      </x:c>
      <x:c r="G404" s="331" t="str">
        <x:f>IF($H404="","",IFERROR(INDEX('Game Records'!$M:$M,$H404),""))</x:f>
        <x:v/>
      </x:c>
      <x:c r="H404" s="104" t="str">
        <x:f>IF($H403="","",IFERROR(MATCH(1,INDEX((ROW('Game Records'!$U$5:$U$504)&gt;$H403)*(('Game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5" ht="24" customHeight="1">
      <x:c r="A405" s="332" t="str">
        <x:f>IF($H405="","",ROWS($A$5:A405))</x:f>
        <x:v/>
      </x:c>
      <x:c r="B405" s="332" t="str">
        <x:f>IF($H405="","","G-"&amp;TEXT($A405,"0000"))</x:f>
        <x:v/>
      </x:c>
      <x:c r="C405" s="331" t="str">
        <x:f>IF($H405="","",IFERROR(INDEX('Game Records'!$A:$A,$H405),""))</x:f>
        <x:v/>
      </x:c>
      <x:c r="D405" s="331" t="str">
        <x:f>IF($H405="","",IFERROR(INDEX('Game Records'!$U:$U,$H405),""))</x:f>
        <x:v/>
      </x:c>
      <x:c r="E405" s="331" t="str">
        <x:f>IF($H405="","",IF($F405="","No Highlighted Fields","Highlighted Fields Present"))</x:f>
        <x:v/>
      </x:c>
      <x:c r="F405" s="331" t="str">
        <x:f>IF($H405="","",IF(INDEX('Game Records'!$B:$B,$H405)="","Start Date; ","")&amp;IF(INDEX('Game Records'!$C:$C,$H405)="","End Date; ","")&amp;IF(AND(INDEX('Game Records'!$U:$U,$H405)&lt;&gt;"Subscription",INDEX('Game Records'!$U:$U,$H405)&lt;&gt;"Free Game",INDEX('Game Records'!$U:$U,$H405)&lt;&gt;"Disqualified — Free Game",OR(INDEX('Game Records'!$D:$D,$H405)="",LOWER(INDEX('Game Records'!$D:$D,$H405)&amp;"")="n/a")),"Entry Mode; ","")&amp;IF(AND(INDEX('Game Records'!$U:$U,$H405)&lt;&gt;"Subscription",INDEX('Game Records'!$U:$U,$H405)&lt;&gt;"Free Game",INDEX('Game Records'!$U:$U,$H405)&lt;&gt;"Disqualified — Free Game",OR(INDEX('Game Records'!$E:$E,$H405)="",LOWER(INDEX('Game Records'!$E:$E,$H405)&amp;"")="n/a")),"Game Type; ","")&amp;IF(INDEX('Game Records'!$F:$F,$H405)="","Payment Type; ","")&amp;IF(AND(INDEX('Game Records'!$U:$U,$H405)&lt;&gt;"Subscription",INDEX('Game Records'!$U:$U,$H405)&lt;&gt;"Free Game",INDEX('Game Records'!$U:$U,$H405)&lt;&gt;"Disqualified — Free Game",INDEX('Game Records'!$G:$G,$H405)=""),"Gross Pot; ","")&amp;IF(AND(INDEX('Game Records'!$U:$U,$H405)&lt;&gt;"Free Game",INDEX('Game Records'!$U:$U,$H405)&lt;&gt;"Disqualified — Free Game",INDEX('Game Records'!$H:$H,$H405)=""),"Entry Fee; ","")&amp;IF(AND(INDEX('Game Records'!$U:$U,$H405)&lt;&gt;"Subscription",INDEX('Game Records'!$U:$U,$H405)&lt;&gt;"Free Game",INDEX('Game Records'!$U:$U,$H405)&lt;&gt;"Disqualified — Free Game",INDEX('Game Records'!$I:$I,$H405)=""),"Eligible Players; ","")&amp;IF(AND(INDEX('Game Records'!$U:$U,$H405)&lt;&gt;"Subscription",INDEX('Game Records'!$U:$U,$H405)&lt;&gt;"Free Game",INDEX('Game Records'!$U:$U,$H405)&lt;&gt;"Disqualified — Free Game",INDEX('Game Records'!$J:$J,$H405)=""),"Total Players; ","")&amp;IF(AND(LOWER(INDEX('Game Records'!$D:$D,$H405)&amp;"")="finalized",LOWER(INDEX('Game Records'!$L:$L,$H405)&amp;"")&lt;&gt;"yes",INDEX('Game Records'!$U:$U,$H405)&lt;&gt;"Subscription",INDEX('Game Records'!$U:$U,$H405)&lt;&gt;"Free Game",INDEX('Game Records'!$U:$U,$H405)&lt;&gt;"Disqualified — Free Game",INDEX('Game Records'!$K:$K,$H405)=""),"Final Earned; ","")&amp;IF(AND(LOWER(INDEX('Game Records'!$D:$D,$H405)&amp;"")="finalized",INDEX('Game Records'!$U:$U,$H405)&lt;&gt;"Subscription",INDEX('Game Records'!$U:$U,$H405)&lt;&gt;"Free Game",INDEX('Game Records'!$U:$U,$H405)&lt;&gt;"Disqualified — Free Game",OR(INDEX('Game Records'!$L:$L,$H405)="",LOWER(INDEX('Game Records'!$L:$L,$H405)&amp;"")="n/a")),"Disqualified Status; ",""))</x:f>
        <x:v/>
      </x:c>
      <x:c r="G405" s="331" t="str">
        <x:f>IF($H405="","",IFERROR(INDEX('Game Records'!$M:$M,$H405),""))</x:f>
        <x:v/>
      </x:c>
      <x:c r="H405" s="104" t="str">
        <x:f>IF($H404="","",IFERROR(MATCH(1,INDEX((ROW('Game Records'!$U$5:$U$504)&gt;$H404)*(('Game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6" ht="24" customHeight="1">
      <x:c r="A406" s="332" t="str">
        <x:f>IF($H406="","",ROWS($A$5:A406))</x:f>
        <x:v/>
      </x:c>
      <x:c r="B406" s="332" t="str">
        <x:f>IF($H406="","","G-"&amp;TEXT($A406,"0000"))</x:f>
        <x:v/>
      </x:c>
      <x:c r="C406" s="331" t="str">
        <x:f>IF($H406="","",IFERROR(INDEX('Game Records'!$A:$A,$H406),""))</x:f>
        <x:v/>
      </x:c>
      <x:c r="D406" s="331" t="str">
        <x:f>IF($H406="","",IFERROR(INDEX('Game Records'!$U:$U,$H406),""))</x:f>
        <x:v/>
      </x:c>
      <x:c r="E406" s="331" t="str">
        <x:f>IF($H406="","",IF($F406="","No Highlighted Fields","Highlighted Fields Present"))</x:f>
        <x:v/>
      </x:c>
      <x:c r="F406" s="331" t="str">
        <x:f>IF($H406="","",IF(INDEX('Game Records'!$B:$B,$H406)="","Start Date; ","")&amp;IF(INDEX('Game Records'!$C:$C,$H406)="","End Date; ","")&amp;IF(AND(INDEX('Game Records'!$U:$U,$H406)&lt;&gt;"Subscription",INDEX('Game Records'!$U:$U,$H406)&lt;&gt;"Free Game",INDEX('Game Records'!$U:$U,$H406)&lt;&gt;"Disqualified — Free Game",OR(INDEX('Game Records'!$D:$D,$H406)="",LOWER(INDEX('Game Records'!$D:$D,$H406)&amp;"")="n/a")),"Entry Mode; ","")&amp;IF(AND(INDEX('Game Records'!$U:$U,$H406)&lt;&gt;"Subscription",INDEX('Game Records'!$U:$U,$H406)&lt;&gt;"Free Game",INDEX('Game Records'!$U:$U,$H406)&lt;&gt;"Disqualified — Free Game",OR(INDEX('Game Records'!$E:$E,$H406)="",LOWER(INDEX('Game Records'!$E:$E,$H406)&amp;"")="n/a")),"Game Type; ","")&amp;IF(INDEX('Game Records'!$F:$F,$H406)="","Payment Type; ","")&amp;IF(AND(INDEX('Game Records'!$U:$U,$H406)&lt;&gt;"Subscription",INDEX('Game Records'!$U:$U,$H406)&lt;&gt;"Free Game",INDEX('Game Records'!$U:$U,$H406)&lt;&gt;"Disqualified — Free Game",INDEX('Game Records'!$G:$G,$H406)=""),"Gross Pot; ","")&amp;IF(AND(INDEX('Game Records'!$U:$U,$H406)&lt;&gt;"Free Game",INDEX('Game Records'!$U:$U,$H406)&lt;&gt;"Disqualified — Free Game",INDEX('Game Records'!$H:$H,$H406)=""),"Entry Fee; ","")&amp;IF(AND(INDEX('Game Records'!$U:$U,$H406)&lt;&gt;"Subscription",INDEX('Game Records'!$U:$U,$H406)&lt;&gt;"Free Game",INDEX('Game Records'!$U:$U,$H406)&lt;&gt;"Disqualified — Free Game",INDEX('Game Records'!$I:$I,$H406)=""),"Eligible Players; ","")&amp;IF(AND(INDEX('Game Records'!$U:$U,$H406)&lt;&gt;"Subscription",INDEX('Game Records'!$U:$U,$H406)&lt;&gt;"Free Game",INDEX('Game Records'!$U:$U,$H406)&lt;&gt;"Disqualified — Free Game",INDEX('Game Records'!$J:$J,$H406)=""),"Total Players; ","")&amp;IF(AND(LOWER(INDEX('Game Records'!$D:$D,$H406)&amp;"")="finalized",LOWER(INDEX('Game Records'!$L:$L,$H406)&amp;"")&lt;&gt;"yes",INDEX('Game Records'!$U:$U,$H406)&lt;&gt;"Subscription",INDEX('Game Records'!$U:$U,$H406)&lt;&gt;"Free Game",INDEX('Game Records'!$U:$U,$H406)&lt;&gt;"Disqualified — Free Game",INDEX('Game Records'!$K:$K,$H406)=""),"Final Earned; ","")&amp;IF(AND(LOWER(INDEX('Game Records'!$D:$D,$H406)&amp;"")="finalized",INDEX('Game Records'!$U:$U,$H406)&lt;&gt;"Subscription",INDEX('Game Records'!$U:$U,$H406)&lt;&gt;"Free Game",INDEX('Game Records'!$U:$U,$H406)&lt;&gt;"Disqualified — Free Game",OR(INDEX('Game Records'!$L:$L,$H406)="",LOWER(INDEX('Game Records'!$L:$L,$H406)&amp;"")="n/a")),"Disqualified Status; ",""))</x:f>
        <x:v/>
      </x:c>
      <x:c r="G406" s="331" t="str">
        <x:f>IF($H406="","",IFERROR(INDEX('Game Records'!$M:$M,$H406),""))</x:f>
        <x:v/>
      </x:c>
      <x:c r="H406" s="104" t="str">
        <x:f>IF($H405="","",IFERROR(MATCH(1,INDEX((ROW('Game Records'!$U$5:$U$504)&gt;$H405)*(('Game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7" ht="24" customHeight="1">
      <x:c r="A407" s="332" t="str">
        <x:f>IF($H407="","",ROWS($A$5:A407))</x:f>
        <x:v/>
      </x:c>
      <x:c r="B407" s="332" t="str">
        <x:f>IF($H407="","","G-"&amp;TEXT($A407,"0000"))</x:f>
        <x:v/>
      </x:c>
      <x:c r="C407" s="331" t="str">
        <x:f>IF($H407="","",IFERROR(INDEX('Game Records'!$A:$A,$H407),""))</x:f>
        <x:v/>
      </x:c>
      <x:c r="D407" s="331" t="str">
        <x:f>IF($H407="","",IFERROR(INDEX('Game Records'!$U:$U,$H407),""))</x:f>
        <x:v/>
      </x:c>
      <x:c r="E407" s="331" t="str">
        <x:f>IF($H407="","",IF($F407="","No Highlighted Fields","Highlighted Fields Present"))</x:f>
        <x:v/>
      </x:c>
      <x:c r="F407" s="331" t="str">
        <x:f>IF($H407="","",IF(INDEX('Game Records'!$B:$B,$H407)="","Start Date; ","")&amp;IF(INDEX('Game Records'!$C:$C,$H407)="","End Date; ","")&amp;IF(AND(INDEX('Game Records'!$U:$U,$H407)&lt;&gt;"Subscription",INDEX('Game Records'!$U:$U,$H407)&lt;&gt;"Free Game",INDEX('Game Records'!$U:$U,$H407)&lt;&gt;"Disqualified — Free Game",OR(INDEX('Game Records'!$D:$D,$H407)="",LOWER(INDEX('Game Records'!$D:$D,$H407)&amp;"")="n/a")),"Entry Mode; ","")&amp;IF(AND(INDEX('Game Records'!$U:$U,$H407)&lt;&gt;"Subscription",INDEX('Game Records'!$U:$U,$H407)&lt;&gt;"Free Game",INDEX('Game Records'!$U:$U,$H407)&lt;&gt;"Disqualified — Free Game",OR(INDEX('Game Records'!$E:$E,$H407)="",LOWER(INDEX('Game Records'!$E:$E,$H407)&amp;"")="n/a")),"Game Type; ","")&amp;IF(INDEX('Game Records'!$F:$F,$H407)="","Payment Type; ","")&amp;IF(AND(INDEX('Game Records'!$U:$U,$H407)&lt;&gt;"Subscription",INDEX('Game Records'!$U:$U,$H407)&lt;&gt;"Free Game",INDEX('Game Records'!$U:$U,$H407)&lt;&gt;"Disqualified — Free Game",INDEX('Game Records'!$G:$G,$H407)=""),"Gross Pot; ","")&amp;IF(AND(INDEX('Game Records'!$U:$U,$H407)&lt;&gt;"Free Game",INDEX('Game Records'!$U:$U,$H407)&lt;&gt;"Disqualified — Free Game",INDEX('Game Records'!$H:$H,$H407)=""),"Entry Fee; ","")&amp;IF(AND(INDEX('Game Records'!$U:$U,$H407)&lt;&gt;"Subscription",INDEX('Game Records'!$U:$U,$H407)&lt;&gt;"Free Game",INDEX('Game Records'!$U:$U,$H407)&lt;&gt;"Disqualified — Free Game",INDEX('Game Records'!$I:$I,$H407)=""),"Eligible Players; ","")&amp;IF(AND(INDEX('Game Records'!$U:$U,$H407)&lt;&gt;"Subscription",INDEX('Game Records'!$U:$U,$H407)&lt;&gt;"Free Game",INDEX('Game Records'!$U:$U,$H407)&lt;&gt;"Disqualified — Free Game",INDEX('Game Records'!$J:$J,$H407)=""),"Total Players; ","")&amp;IF(AND(LOWER(INDEX('Game Records'!$D:$D,$H407)&amp;"")="finalized",LOWER(INDEX('Game Records'!$L:$L,$H407)&amp;"")&lt;&gt;"yes",INDEX('Game Records'!$U:$U,$H407)&lt;&gt;"Subscription",INDEX('Game Records'!$U:$U,$H407)&lt;&gt;"Free Game",INDEX('Game Records'!$U:$U,$H407)&lt;&gt;"Disqualified — Free Game",INDEX('Game Records'!$K:$K,$H407)=""),"Final Earned; ","")&amp;IF(AND(LOWER(INDEX('Game Records'!$D:$D,$H407)&amp;"")="finalized",INDEX('Game Records'!$U:$U,$H407)&lt;&gt;"Subscription",INDEX('Game Records'!$U:$U,$H407)&lt;&gt;"Free Game",INDEX('Game Records'!$U:$U,$H407)&lt;&gt;"Disqualified — Free Game",OR(INDEX('Game Records'!$L:$L,$H407)="",LOWER(INDEX('Game Records'!$L:$L,$H407)&amp;"")="n/a")),"Disqualified Status; ",""))</x:f>
        <x:v/>
      </x:c>
      <x:c r="G407" s="331" t="str">
        <x:f>IF($H407="","",IFERROR(INDEX('Game Records'!$M:$M,$H407),""))</x:f>
        <x:v/>
      </x:c>
      <x:c r="H407" s="104" t="str">
        <x:f>IF($H406="","",IFERROR(MATCH(1,INDEX((ROW('Game Records'!$U$5:$U$504)&gt;$H406)*(('Game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8" ht="24" customHeight="1">
      <x:c r="A408" s="332" t="str">
        <x:f>IF($H408="","",ROWS($A$5:A408))</x:f>
        <x:v/>
      </x:c>
      <x:c r="B408" s="332" t="str">
        <x:f>IF($H408="","","G-"&amp;TEXT($A408,"0000"))</x:f>
        <x:v/>
      </x:c>
      <x:c r="C408" s="331" t="str">
        <x:f>IF($H408="","",IFERROR(INDEX('Game Records'!$A:$A,$H408),""))</x:f>
        <x:v/>
      </x:c>
      <x:c r="D408" s="331" t="str">
        <x:f>IF($H408="","",IFERROR(INDEX('Game Records'!$U:$U,$H408),""))</x:f>
        <x:v/>
      </x:c>
      <x:c r="E408" s="331" t="str">
        <x:f>IF($H408="","",IF($F408="","No Highlighted Fields","Highlighted Fields Present"))</x:f>
        <x:v/>
      </x:c>
      <x:c r="F408" s="331" t="str">
        <x:f>IF($H408="","",IF(INDEX('Game Records'!$B:$B,$H408)="","Start Date; ","")&amp;IF(INDEX('Game Records'!$C:$C,$H408)="","End Date; ","")&amp;IF(AND(INDEX('Game Records'!$U:$U,$H408)&lt;&gt;"Subscription",INDEX('Game Records'!$U:$U,$H408)&lt;&gt;"Free Game",INDEX('Game Records'!$U:$U,$H408)&lt;&gt;"Disqualified — Free Game",OR(INDEX('Game Records'!$D:$D,$H408)="",LOWER(INDEX('Game Records'!$D:$D,$H408)&amp;"")="n/a")),"Entry Mode; ","")&amp;IF(AND(INDEX('Game Records'!$U:$U,$H408)&lt;&gt;"Subscription",INDEX('Game Records'!$U:$U,$H408)&lt;&gt;"Free Game",INDEX('Game Records'!$U:$U,$H408)&lt;&gt;"Disqualified — Free Game",OR(INDEX('Game Records'!$E:$E,$H408)="",LOWER(INDEX('Game Records'!$E:$E,$H408)&amp;"")="n/a")),"Game Type; ","")&amp;IF(INDEX('Game Records'!$F:$F,$H408)="","Payment Type; ","")&amp;IF(AND(INDEX('Game Records'!$U:$U,$H408)&lt;&gt;"Subscription",INDEX('Game Records'!$U:$U,$H408)&lt;&gt;"Free Game",INDEX('Game Records'!$U:$U,$H408)&lt;&gt;"Disqualified — Free Game",INDEX('Game Records'!$G:$G,$H408)=""),"Gross Pot; ","")&amp;IF(AND(INDEX('Game Records'!$U:$U,$H408)&lt;&gt;"Free Game",INDEX('Game Records'!$U:$U,$H408)&lt;&gt;"Disqualified — Free Game",INDEX('Game Records'!$H:$H,$H408)=""),"Entry Fee; ","")&amp;IF(AND(INDEX('Game Records'!$U:$U,$H408)&lt;&gt;"Subscription",INDEX('Game Records'!$U:$U,$H408)&lt;&gt;"Free Game",INDEX('Game Records'!$U:$U,$H408)&lt;&gt;"Disqualified — Free Game",INDEX('Game Records'!$I:$I,$H408)=""),"Eligible Players; ","")&amp;IF(AND(INDEX('Game Records'!$U:$U,$H408)&lt;&gt;"Subscription",INDEX('Game Records'!$U:$U,$H408)&lt;&gt;"Free Game",INDEX('Game Records'!$U:$U,$H408)&lt;&gt;"Disqualified — Free Game",INDEX('Game Records'!$J:$J,$H408)=""),"Total Players; ","")&amp;IF(AND(LOWER(INDEX('Game Records'!$D:$D,$H408)&amp;"")="finalized",LOWER(INDEX('Game Records'!$L:$L,$H408)&amp;"")&lt;&gt;"yes",INDEX('Game Records'!$U:$U,$H408)&lt;&gt;"Subscription",INDEX('Game Records'!$U:$U,$H408)&lt;&gt;"Free Game",INDEX('Game Records'!$U:$U,$H408)&lt;&gt;"Disqualified — Free Game",INDEX('Game Records'!$K:$K,$H408)=""),"Final Earned; ","")&amp;IF(AND(LOWER(INDEX('Game Records'!$D:$D,$H408)&amp;"")="finalized",INDEX('Game Records'!$U:$U,$H408)&lt;&gt;"Subscription",INDEX('Game Records'!$U:$U,$H408)&lt;&gt;"Free Game",INDEX('Game Records'!$U:$U,$H408)&lt;&gt;"Disqualified — Free Game",OR(INDEX('Game Records'!$L:$L,$H408)="",LOWER(INDEX('Game Records'!$L:$L,$H408)&amp;"")="n/a")),"Disqualified Status; ",""))</x:f>
        <x:v/>
      </x:c>
      <x:c r="G408" s="331" t="str">
        <x:f>IF($H408="","",IFERROR(INDEX('Game Records'!$M:$M,$H408),""))</x:f>
        <x:v/>
      </x:c>
      <x:c r="H408" s="104" t="str">
        <x:f>IF($H407="","",IFERROR(MATCH(1,INDEX((ROW('Game Records'!$U$5:$U$504)&gt;$H407)*(('Game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09" ht="24" customHeight="1">
      <x:c r="A409" s="332" t="str">
        <x:f>IF($H409="","",ROWS($A$5:A409))</x:f>
        <x:v/>
      </x:c>
      <x:c r="B409" s="332" t="str">
        <x:f>IF($H409="","","G-"&amp;TEXT($A409,"0000"))</x:f>
        <x:v/>
      </x:c>
      <x:c r="C409" s="331" t="str">
        <x:f>IF($H409="","",IFERROR(INDEX('Game Records'!$A:$A,$H409),""))</x:f>
        <x:v/>
      </x:c>
      <x:c r="D409" s="331" t="str">
        <x:f>IF($H409="","",IFERROR(INDEX('Game Records'!$U:$U,$H409),""))</x:f>
        <x:v/>
      </x:c>
      <x:c r="E409" s="331" t="str">
        <x:f>IF($H409="","",IF($F409="","No Highlighted Fields","Highlighted Fields Present"))</x:f>
        <x:v/>
      </x:c>
      <x:c r="F409" s="331" t="str">
        <x:f>IF($H409="","",IF(INDEX('Game Records'!$B:$B,$H409)="","Start Date; ","")&amp;IF(INDEX('Game Records'!$C:$C,$H409)="","End Date; ","")&amp;IF(AND(INDEX('Game Records'!$U:$U,$H409)&lt;&gt;"Subscription",INDEX('Game Records'!$U:$U,$H409)&lt;&gt;"Free Game",INDEX('Game Records'!$U:$U,$H409)&lt;&gt;"Disqualified — Free Game",OR(INDEX('Game Records'!$D:$D,$H409)="",LOWER(INDEX('Game Records'!$D:$D,$H409)&amp;"")="n/a")),"Entry Mode; ","")&amp;IF(AND(INDEX('Game Records'!$U:$U,$H409)&lt;&gt;"Subscription",INDEX('Game Records'!$U:$U,$H409)&lt;&gt;"Free Game",INDEX('Game Records'!$U:$U,$H409)&lt;&gt;"Disqualified — Free Game",OR(INDEX('Game Records'!$E:$E,$H409)="",LOWER(INDEX('Game Records'!$E:$E,$H409)&amp;"")="n/a")),"Game Type; ","")&amp;IF(INDEX('Game Records'!$F:$F,$H409)="","Payment Type; ","")&amp;IF(AND(INDEX('Game Records'!$U:$U,$H409)&lt;&gt;"Subscription",INDEX('Game Records'!$U:$U,$H409)&lt;&gt;"Free Game",INDEX('Game Records'!$U:$U,$H409)&lt;&gt;"Disqualified — Free Game",INDEX('Game Records'!$G:$G,$H409)=""),"Gross Pot; ","")&amp;IF(AND(INDEX('Game Records'!$U:$U,$H409)&lt;&gt;"Free Game",INDEX('Game Records'!$U:$U,$H409)&lt;&gt;"Disqualified — Free Game",INDEX('Game Records'!$H:$H,$H409)=""),"Entry Fee; ","")&amp;IF(AND(INDEX('Game Records'!$U:$U,$H409)&lt;&gt;"Subscription",INDEX('Game Records'!$U:$U,$H409)&lt;&gt;"Free Game",INDEX('Game Records'!$U:$U,$H409)&lt;&gt;"Disqualified — Free Game",INDEX('Game Records'!$I:$I,$H409)=""),"Eligible Players; ","")&amp;IF(AND(INDEX('Game Records'!$U:$U,$H409)&lt;&gt;"Subscription",INDEX('Game Records'!$U:$U,$H409)&lt;&gt;"Free Game",INDEX('Game Records'!$U:$U,$H409)&lt;&gt;"Disqualified — Free Game",INDEX('Game Records'!$J:$J,$H409)=""),"Total Players; ","")&amp;IF(AND(LOWER(INDEX('Game Records'!$D:$D,$H409)&amp;"")="finalized",LOWER(INDEX('Game Records'!$L:$L,$H409)&amp;"")&lt;&gt;"yes",INDEX('Game Records'!$U:$U,$H409)&lt;&gt;"Subscription",INDEX('Game Records'!$U:$U,$H409)&lt;&gt;"Free Game",INDEX('Game Records'!$U:$U,$H409)&lt;&gt;"Disqualified — Free Game",INDEX('Game Records'!$K:$K,$H409)=""),"Final Earned; ","")&amp;IF(AND(LOWER(INDEX('Game Records'!$D:$D,$H409)&amp;"")="finalized",INDEX('Game Records'!$U:$U,$H409)&lt;&gt;"Subscription",INDEX('Game Records'!$U:$U,$H409)&lt;&gt;"Free Game",INDEX('Game Records'!$U:$U,$H409)&lt;&gt;"Disqualified — Free Game",OR(INDEX('Game Records'!$L:$L,$H409)="",LOWER(INDEX('Game Records'!$L:$L,$H409)&amp;"")="n/a")),"Disqualified Status; ",""))</x:f>
        <x:v/>
      </x:c>
      <x:c r="G409" s="331" t="str">
        <x:f>IF($H409="","",IFERROR(INDEX('Game Records'!$M:$M,$H409),""))</x:f>
        <x:v/>
      </x:c>
      <x:c r="H409" s="104" t="str">
        <x:f>IF($H408="","",IFERROR(MATCH(1,INDEX((ROW('Game Records'!$U$5:$U$504)&gt;$H408)*(('Game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0" ht="24" customHeight="1">
      <x:c r="A410" s="332" t="str">
        <x:f>IF($H410="","",ROWS($A$5:A410))</x:f>
        <x:v/>
      </x:c>
      <x:c r="B410" s="332" t="str">
        <x:f>IF($H410="","","G-"&amp;TEXT($A410,"0000"))</x:f>
        <x:v/>
      </x:c>
      <x:c r="C410" s="331" t="str">
        <x:f>IF($H410="","",IFERROR(INDEX('Game Records'!$A:$A,$H410),""))</x:f>
        <x:v/>
      </x:c>
      <x:c r="D410" s="331" t="str">
        <x:f>IF($H410="","",IFERROR(INDEX('Game Records'!$U:$U,$H410),""))</x:f>
        <x:v/>
      </x:c>
      <x:c r="E410" s="331" t="str">
        <x:f>IF($H410="","",IF($F410="","No Highlighted Fields","Highlighted Fields Present"))</x:f>
        <x:v/>
      </x:c>
      <x:c r="F410" s="331" t="str">
        <x:f>IF($H410="","",IF(INDEX('Game Records'!$B:$B,$H410)="","Start Date; ","")&amp;IF(INDEX('Game Records'!$C:$C,$H410)="","End Date; ","")&amp;IF(AND(INDEX('Game Records'!$U:$U,$H410)&lt;&gt;"Subscription",INDEX('Game Records'!$U:$U,$H410)&lt;&gt;"Free Game",INDEX('Game Records'!$U:$U,$H410)&lt;&gt;"Disqualified — Free Game",OR(INDEX('Game Records'!$D:$D,$H410)="",LOWER(INDEX('Game Records'!$D:$D,$H410)&amp;"")="n/a")),"Entry Mode; ","")&amp;IF(AND(INDEX('Game Records'!$U:$U,$H410)&lt;&gt;"Subscription",INDEX('Game Records'!$U:$U,$H410)&lt;&gt;"Free Game",INDEX('Game Records'!$U:$U,$H410)&lt;&gt;"Disqualified — Free Game",OR(INDEX('Game Records'!$E:$E,$H410)="",LOWER(INDEX('Game Records'!$E:$E,$H410)&amp;"")="n/a")),"Game Type; ","")&amp;IF(INDEX('Game Records'!$F:$F,$H410)="","Payment Type; ","")&amp;IF(AND(INDEX('Game Records'!$U:$U,$H410)&lt;&gt;"Subscription",INDEX('Game Records'!$U:$U,$H410)&lt;&gt;"Free Game",INDEX('Game Records'!$U:$U,$H410)&lt;&gt;"Disqualified — Free Game",INDEX('Game Records'!$G:$G,$H410)=""),"Gross Pot; ","")&amp;IF(AND(INDEX('Game Records'!$U:$U,$H410)&lt;&gt;"Free Game",INDEX('Game Records'!$U:$U,$H410)&lt;&gt;"Disqualified — Free Game",INDEX('Game Records'!$H:$H,$H410)=""),"Entry Fee; ","")&amp;IF(AND(INDEX('Game Records'!$U:$U,$H410)&lt;&gt;"Subscription",INDEX('Game Records'!$U:$U,$H410)&lt;&gt;"Free Game",INDEX('Game Records'!$U:$U,$H410)&lt;&gt;"Disqualified — Free Game",INDEX('Game Records'!$I:$I,$H410)=""),"Eligible Players; ","")&amp;IF(AND(INDEX('Game Records'!$U:$U,$H410)&lt;&gt;"Subscription",INDEX('Game Records'!$U:$U,$H410)&lt;&gt;"Free Game",INDEX('Game Records'!$U:$U,$H410)&lt;&gt;"Disqualified — Free Game",INDEX('Game Records'!$J:$J,$H410)=""),"Total Players; ","")&amp;IF(AND(LOWER(INDEX('Game Records'!$D:$D,$H410)&amp;"")="finalized",LOWER(INDEX('Game Records'!$L:$L,$H410)&amp;"")&lt;&gt;"yes",INDEX('Game Records'!$U:$U,$H410)&lt;&gt;"Subscription",INDEX('Game Records'!$U:$U,$H410)&lt;&gt;"Free Game",INDEX('Game Records'!$U:$U,$H410)&lt;&gt;"Disqualified — Free Game",INDEX('Game Records'!$K:$K,$H410)=""),"Final Earned; ","")&amp;IF(AND(LOWER(INDEX('Game Records'!$D:$D,$H410)&amp;"")="finalized",INDEX('Game Records'!$U:$U,$H410)&lt;&gt;"Subscription",INDEX('Game Records'!$U:$U,$H410)&lt;&gt;"Free Game",INDEX('Game Records'!$U:$U,$H410)&lt;&gt;"Disqualified — Free Game",OR(INDEX('Game Records'!$L:$L,$H410)="",LOWER(INDEX('Game Records'!$L:$L,$H410)&amp;"")="n/a")),"Disqualified Status; ",""))</x:f>
        <x:v/>
      </x:c>
      <x:c r="G410" s="331" t="str">
        <x:f>IF($H410="","",IFERROR(INDEX('Game Records'!$M:$M,$H410),""))</x:f>
        <x:v/>
      </x:c>
      <x:c r="H410" s="104" t="str">
        <x:f>IF($H409="","",IFERROR(MATCH(1,INDEX((ROW('Game Records'!$U$5:$U$504)&gt;$H409)*(('Game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1" ht="24" customHeight="1">
      <x:c r="A411" s="332" t="str">
        <x:f>IF($H411="","",ROWS($A$5:A411))</x:f>
        <x:v/>
      </x:c>
      <x:c r="B411" s="332" t="str">
        <x:f>IF($H411="","","G-"&amp;TEXT($A411,"0000"))</x:f>
        <x:v/>
      </x:c>
      <x:c r="C411" s="331" t="str">
        <x:f>IF($H411="","",IFERROR(INDEX('Game Records'!$A:$A,$H411),""))</x:f>
        <x:v/>
      </x:c>
      <x:c r="D411" s="331" t="str">
        <x:f>IF($H411="","",IFERROR(INDEX('Game Records'!$U:$U,$H411),""))</x:f>
        <x:v/>
      </x:c>
      <x:c r="E411" s="331" t="str">
        <x:f>IF($H411="","",IF($F411="","No Highlighted Fields","Highlighted Fields Present"))</x:f>
        <x:v/>
      </x:c>
      <x:c r="F411" s="331" t="str">
        <x:f>IF($H411="","",IF(INDEX('Game Records'!$B:$B,$H411)="","Start Date; ","")&amp;IF(INDEX('Game Records'!$C:$C,$H411)="","End Date; ","")&amp;IF(AND(INDEX('Game Records'!$U:$U,$H411)&lt;&gt;"Subscription",INDEX('Game Records'!$U:$U,$H411)&lt;&gt;"Free Game",INDEX('Game Records'!$U:$U,$H411)&lt;&gt;"Disqualified — Free Game",OR(INDEX('Game Records'!$D:$D,$H411)="",LOWER(INDEX('Game Records'!$D:$D,$H411)&amp;"")="n/a")),"Entry Mode; ","")&amp;IF(AND(INDEX('Game Records'!$U:$U,$H411)&lt;&gt;"Subscription",INDEX('Game Records'!$U:$U,$H411)&lt;&gt;"Free Game",INDEX('Game Records'!$U:$U,$H411)&lt;&gt;"Disqualified — Free Game",OR(INDEX('Game Records'!$E:$E,$H411)="",LOWER(INDEX('Game Records'!$E:$E,$H411)&amp;"")="n/a")),"Game Type; ","")&amp;IF(INDEX('Game Records'!$F:$F,$H411)="","Payment Type; ","")&amp;IF(AND(INDEX('Game Records'!$U:$U,$H411)&lt;&gt;"Subscription",INDEX('Game Records'!$U:$U,$H411)&lt;&gt;"Free Game",INDEX('Game Records'!$U:$U,$H411)&lt;&gt;"Disqualified — Free Game",INDEX('Game Records'!$G:$G,$H411)=""),"Gross Pot; ","")&amp;IF(AND(INDEX('Game Records'!$U:$U,$H411)&lt;&gt;"Free Game",INDEX('Game Records'!$U:$U,$H411)&lt;&gt;"Disqualified — Free Game",INDEX('Game Records'!$H:$H,$H411)=""),"Entry Fee; ","")&amp;IF(AND(INDEX('Game Records'!$U:$U,$H411)&lt;&gt;"Subscription",INDEX('Game Records'!$U:$U,$H411)&lt;&gt;"Free Game",INDEX('Game Records'!$U:$U,$H411)&lt;&gt;"Disqualified — Free Game",INDEX('Game Records'!$I:$I,$H411)=""),"Eligible Players; ","")&amp;IF(AND(INDEX('Game Records'!$U:$U,$H411)&lt;&gt;"Subscription",INDEX('Game Records'!$U:$U,$H411)&lt;&gt;"Free Game",INDEX('Game Records'!$U:$U,$H411)&lt;&gt;"Disqualified — Free Game",INDEX('Game Records'!$J:$J,$H411)=""),"Total Players; ","")&amp;IF(AND(LOWER(INDEX('Game Records'!$D:$D,$H411)&amp;"")="finalized",LOWER(INDEX('Game Records'!$L:$L,$H411)&amp;"")&lt;&gt;"yes",INDEX('Game Records'!$U:$U,$H411)&lt;&gt;"Subscription",INDEX('Game Records'!$U:$U,$H411)&lt;&gt;"Free Game",INDEX('Game Records'!$U:$U,$H411)&lt;&gt;"Disqualified — Free Game",INDEX('Game Records'!$K:$K,$H411)=""),"Final Earned; ","")&amp;IF(AND(LOWER(INDEX('Game Records'!$D:$D,$H411)&amp;"")="finalized",INDEX('Game Records'!$U:$U,$H411)&lt;&gt;"Subscription",INDEX('Game Records'!$U:$U,$H411)&lt;&gt;"Free Game",INDEX('Game Records'!$U:$U,$H411)&lt;&gt;"Disqualified — Free Game",OR(INDEX('Game Records'!$L:$L,$H411)="",LOWER(INDEX('Game Records'!$L:$L,$H411)&amp;"")="n/a")),"Disqualified Status; ",""))</x:f>
        <x:v/>
      </x:c>
      <x:c r="G411" s="331" t="str">
        <x:f>IF($H411="","",IFERROR(INDEX('Game Records'!$M:$M,$H411),""))</x:f>
        <x:v/>
      </x:c>
      <x:c r="H411" s="104" t="str">
        <x:f>IF($H410="","",IFERROR(MATCH(1,INDEX((ROW('Game Records'!$U$5:$U$504)&gt;$H410)*(('Game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2" ht="24" customHeight="1">
      <x:c r="A412" s="332" t="str">
        <x:f>IF($H412="","",ROWS($A$5:A412))</x:f>
        <x:v/>
      </x:c>
      <x:c r="B412" s="332" t="str">
        <x:f>IF($H412="","","G-"&amp;TEXT($A412,"0000"))</x:f>
        <x:v/>
      </x:c>
      <x:c r="C412" s="331" t="str">
        <x:f>IF($H412="","",IFERROR(INDEX('Game Records'!$A:$A,$H412),""))</x:f>
        <x:v/>
      </x:c>
      <x:c r="D412" s="331" t="str">
        <x:f>IF($H412="","",IFERROR(INDEX('Game Records'!$U:$U,$H412),""))</x:f>
        <x:v/>
      </x:c>
      <x:c r="E412" s="331" t="str">
        <x:f>IF($H412="","",IF($F412="","No Highlighted Fields","Highlighted Fields Present"))</x:f>
        <x:v/>
      </x:c>
      <x:c r="F412" s="331" t="str">
        <x:f>IF($H412="","",IF(INDEX('Game Records'!$B:$B,$H412)="","Start Date; ","")&amp;IF(INDEX('Game Records'!$C:$C,$H412)="","End Date; ","")&amp;IF(AND(INDEX('Game Records'!$U:$U,$H412)&lt;&gt;"Subscription",INDEX('Game Records'!$U:$U,$H412)&lt;&gt;"Free Game",INDEX('Game Records'!$U:$U,$H412)&lt;&gt;"Disqualified — Free Game",OR(INDEX('Game Records'!$D:$D,$H412)="",LOWER(INDEX('Game Records'!$D:$D,$H412)&amp;"")="n/a")),"Entry Mode; ","")&amp;IF(AND(INDEX('Game Records'!$U:$U,$H412)&lt;&gt;"Subscription",INDEX('Game Records'!$U:$U,$H412)&lt;&gt;"Free Game",INDEX('Game Records'!$U:$U,$H412)&lt;&gt;"Disqualified — Free Game",OR(INDEX('Game Records'!$E:$E,$H412)="",LOWER(INDEX('Game Records'!$E:$E,$H412)&amp;"")="n/a")),"Game Type; ","")&amp;IF(INDEX('Game Records'!$F:$F,$H412)="","Payment Type; ","")&amp;IF(AND(INDEX('Game Records'!$U:$U,$H412)&lt;&gt;"Subscription",INDEX('Game Records'!$U:$U,$H412)&lt;&gt;"Free Game",INDEX('Game Records'!$U:$U,$H412)&lt;&gt;"Disqualified — Free Game",INDEX('Game Records'!$G:$G,$H412)=""),"Gross Pot; ","")&amp;IF(AND(INDEX('Game Records'!$U:$U,$H412)&lt;&gt;"Free Game",INDEX('Game Records'!$U:$U,$H412)&lt;&gt;"Disqualified — Free Game",INDEX('Game Records'!$H:$H,$H412)=""),"Entry Fee; ","")&amp;IF(AND(INDEX('Game Records'!$U:$U,$H412)&lt;&gt;"Subscription",INDEX('Game Records'!$U:$U,$H412)&lt;&gt;"Free Game",INDEX('Game Records'!$U:$U,$H412)&lt;&gt;"Disqualified — Free Game",INDEX('Game Records'!$I:$I,$H412)=""),"Eligible Players; ","")&amp;IF(AND(INDEX('Game Records'!$U:$U,$H412)&lt;&gt;"Subscription",INDEX('Game Records'!$U:$U,$H412)&lt;&gt;"Free Game",INDEX('Game Records'!$U:$U,$H412)&lt;&gt;"Disqualified — Free Game",INDEX('Game Records'!$J:$J,$H412)=""),"Total Players; ","")&amp;IF(AND(LOWER(INDEX('Game Records'!$D:$D,$H412)&amp;"")="finalized",LOWER(INDEX('Game Records'!$L:$L,$H412)&amp;"")&lt;&gt;"yes",INDEX('Game Records'!$U:$U,$H412)&lt;&gt;"Subscription",INDEX('Game Records'!$U:$U,$H412)&lt;&gt;"Free Game",INDEX('Game Records'!$U:$U,$H412)&lt;&gt;"Disqualified — Free Game",INDEX('Game Records'!$K:$K,$H412)=""),"Final Earned; ","")&amp;IF(AND(LOWER(INDEX('Game Records'!$D:$D,$H412)&amp;"")="finalized",INDEX('Game Records'!$U:$U,$H412)&lt;&gt;"Subscription",INDEX('Game Records'!$U:$U,$H412)&lt;&gt;"Free Game",INDEX('Game Records'!$U:$U,$H412)&lt;&gt;"Disqualified — Free Game",OR(INDEX('Game Records'!$L:$L,$H412)="",LOWER(INDEX('Game Records'!$L:$L,$H412)&amp;"")="n/a")),"Disqualified Status; ",""))</x:f>
        <x:v/>
      </x:c>
      <x:c r="G412" s="331" t="str">
        <x:f>IF($H412="","",IFERROR(INDEX('Game Records'!$M:$M,$H412),""))</x:f>
        <x:v/>
      </x:c>
      <x:c r="H412" s="104" t="str">
        <x:f>IF($H411="","",IFERROR(MATCH(1,INDEX((ROW('Game Records'!$U$5:$U$504)&gt;$H411)*(('Game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3" ht="24" customHeight="1">
      <x:c r="A413" s="332" t="str">
        <x:f>IF($H413="","",ROWS($A$5:A413))</x:f>
        <x:v/>
      </x:c>
      <x:c r="B413" s="332" t="str">
        <x:f>IF($H413="","","G-"&amp;TEXT($A413,"0000"))</x:f>
        <x:v/>
      </x:c>
      <x:c r="C413" s="331" t="str">
        <x:f>IF($H413="","",IFERROR(INDEX('Game Records'!$A:$A,$H413),""))</x:f>
        <x:v/>
      </x:c>
      <x:c r="D413" s="331" t="str">
        <x:f>IF($H413="","",IFERROR(INDEX('Game Records'!$U:$U,$H413),""))</x:f>
        <x:v/>
      </x:c>
      <x:c r="E413" s="331" t="str">
        <x:f>IF($H413="","",IF($F413="","No Highlighted Fields","Highlighted Fields Present"))</x:f>
        <x:v/>
      </x:c>
      <x:c r="F413" s="331" t="str">
        <x:f>IF($H413="","",IF(INDEX('Game Records'!$B:$B,$H413)="","Start Date; ","")&amp;IF(INDEX('Game Records'!$C:$C,$H413)="","End Date; ","")&amp;IF(AND(INDEX('Game Records'!$U:$U,$H413)&lt;&gt;"Subscription",INDEX('Game Records'!$U:$U,$H413)&lt;&gt;"Free Game",INDEX('Game Records'!$U:$U,$H413)&lt;&gt;"Disqualified — Free Game",OR(INDEX('Game Records'!$D:$D,$H413)="",LOWER(INDEX('Game Records'!$D:$D,$H413)&amp;"")="n/a")),"Entry Mode; ","")&amp;IF(AND(INDEX('Game Records'!$U:$U,$H413)&lt;&gt;"Subscription",INDEX('Game Records'!$U:$U,$H413)&lt;&gt;"Free Game",INDEX('Game Records'!$U:$U,$H413)&lt;&gt;"Disqualified — Free Game",OR(INDEX('Game Records'!$E:$E,$H413)="",LOWER(INDEX('Game Records'!$E:$E,$H413)&amp;"")="n/a")),"Game Type; ","")&amp;IF(INDEX('Game Records'!$F:$F,$H413)="","Payment Type; ","")&amp;IF(AND(INDEX('Game Records'!$U:$U,$H413)&lt;&gt;"Subscription",INDEX('Game Records'!$U:$U,$H413)&lt;&gt;"Free Game",INDEX('Game Records'!$U:$U,$H413)&lt;&gt;"Disqualified — Free Game",INDEX('Game Records'!$G:$G,$H413)=""),"Gross Pot; ","")&amp;IF(AND(INDEX('Game Records'!$U:$U,$H413)&lt;&gt;"Free Game",INDEX('Game Records'!$U:$U,$H413)&lt;&gt;"Disqualified — Free Game",INDEX('Game Records'!$H:$H,$H413)=""),"Entry Fee; ","")&amp;IF(AND(INDEX('Game Records'!$U:$U,$H413)&lt;&gt;"Subscription",INDEX('Game Records'!$U:$U,$H413)&lt;&gt;"Free Game",INDEX('Game Records'!$U:$U,$H413)&lt;&gt;"Disqualified — Free Game",INDEX('Game Records'!$I:$I,$H413)=""),"Eligible Players; ","")&amp;IF(AND(INDEX('Game Records'!$U:$U,$H413)&lt;&gt;"Subscription",INDEX('Game Records'!$U:$U,$H413)&lt;&gt;"Free Game",INDEX('Game Records'!$U:$U,$H413)&lt;&gt;"Disqualified — Free Game",INDEX('Game Records'!$J:$J,$H413)=""),"Total Players; ","")&amp;IF(AND(LOWER(INDEX('Game Records'!$D:$D,$H413)&amp;"")="finalized",LOWER(INDEX('Game Records'!$L:$L,$H413)&amp;"")&lt;&gt;"yes",INDEX('Game Records'!$U:$U,$H413)&lt;&gt;"Subscription",INDEX('Game Records'!$U:$U,$H413)&lt;&gt;"Free Game",INDEX('Game Records'!$U:$U,$H413)&lt;&gt;"Disqualified — Free Game",INDEX('Game Records'!$K:$K,$H413)=""),"Final Earned; ","")&amp;IF(AND(LOWER(INDEX('Game Records'!$D:$D,$H413)&amp;"")="finalized",INDEX('Game Records'!$U:$U,$H413)&lt;&gt;"Subscription",INDEX('Game Records'!$U:$U,$H413)&lt;&gt;"Free Game",INDEX('Game Records'!$U:$U,$H413)&lt;&gt;"Disqualified — Free Game",OR(INDEX('Game Records'!$L:$L,$H413)="",LOWER(INDEX('Game Records'!$L:$L,$H413)&amp;"")="n/a")),"Disqualified Status; ",""))</x:f>
        <x:v/>
      </x:c>
      <x:c r="G413" s="331" t="str">
        <x:f>IF($H413="","",IFERROR(INDEX('Game Records'!$M:$M,$H413),""))</x:f>
        <x:v/>
      </x:c>
      <x:c r="H413" s="104" t="str">
        <x:f>IF($H412="","",IFERROR(MATCH(1,INDEX((ROW('Game Records'!$U$5:$U$504)&gt;$H412)*(('Game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4" ht="24" customHeight="1">
      <x:c r="A414" s="332" t="str">
        <x:f>IF($H414="","",ROWS($A$5:A414))</x:f>
        <x:v/>
      </x:c>
      <x:c r="B414" s="332" t="str">
        <x:f>IF($H414="","","G-"&amp;TEXT($A414,"0000"))</x:f>
        <x:v/>
      </x:c>
      <x:c r="C414" s="331" t="str">
        <x:f>IF($H414="","",IFERROR(INDEX('Game Records'!$A:$A,$H414),""))</x:f>
        <x:v/>
      </x:c>
      <x:c r="D414" s="331" t="str">
        <x:f>IF($H414="","",IFERROR(INDEX('Game Records'!$U:$U,$H414),""))</x:f>
        <x:v/>
      </x:c>
      <x:c r="E414" s="331" t="str">
        <x:f>IF($H414="","",IF($F414="","No Highlighted Fields","Highlighted Fields Present"))</x:f>
        <x:v/>
      </x:c>
      <x:c r="F414" s="331" t="str">
        <x:f>IF($H414="","",IF(INDEX('Game Records'!$B:$B,$H414)="","Start Date; ","")&amp;IF(INDEX('Game Records'!$C:$C,$H414)="","End Date; ","")&amp;IF(AND(INDEX('Game Records'!$U:$U,$H414)&lt;&gt;"Subscription",INDEX('Game Records'!$U:$U,$H414)&lt;&gt;"Free Game",INDEX('Game Records'!$U:$U,$H414)&lt;&gt;"Disqualified — Free Game",OR(INDEX('Game Records'!$D:$D,$H414)="",LOWER(INDEX('Game Records'!$D:$D,$H414)&amp;"")="n/a")),"Entry Mode; ","")&amp;IF(AND(INDEX('Game Records'!$U:$U,$H414)&lt;&gt;"Subscription",INDEX('Game Records'!$U:$U,$H414)&lt;&gt;"Free Game",INDEX('Game Records'!$U:$U,$H414)&lt;&gt;"Disqualified — Free Game",OR(INDEX('Game Records'!$E:$E,$H414)="",LOWER(INDEX('Game Records'!$E:$E,$H414)&amp;"")="n/a")),"Game Type; ","")&amp;IF(INDEX('Game Records'!$F:$F,$H414)="","Payment Type; ","")&amp;IF(AND(INDEX('Game Records'!$U:$U,$H414)&lt;&gt;"Subscription",INDEX('Game Records'!$U:$U,$H414)&lt;&gt;"Free Game",INDEX('Game Records'!$U:$U,$H414)&lt;&gt;"Disqualified — Free Game",INDEX('Game Records'!$G:$G,$H414)=""),"Gross Pot; ","")&amp;IF(AND(INDEX('Game Records'!$U:$U,$H414)&lt;&gt;"Free Game",INDEX('Game Records'!$U:$U,$H414)&lt;&gt;"Disqualified — Free Game",INDEX('Game Records'!$H:$H,$H414)=""),"Entry Fee; ","")&amp;IF(AND(INDEX('Game Records'!$U:$U,$H414)&lt;&gt;"Subscription",INDEX('Game Records'!$U:$U,$H414)&lt;&gt;"Free Game",INDEX('Game Records'!$U:$U,$H414)&lt;&gt;"Disqualified — Free Game",INDEX('Game Records'!$I:$I,$H414)=""),"Eligible Players; ","")&amp;IF(AND(INDEX('Game Records'!$U:$U,$H414)&lt;&gt;"Subscription",INDEX('Game Records'!$U:$U,$H414)&lt;&gt;"Free Game",INDEX('Game Records'!$U:$U,$H414)&lt;&gt;"Disqualified — Free Game",INDEX('Game Records'!$J:$J,$H414)=""),"Total Players; ","")&amp;IF(AND(LOWER(INDEX('Game Records'!$D:$D,$H414)&amp;"")="finalized",LOWER(INDEX('Game Records'!$L:$L,$H414)&amp;"")&lt;&gt;"yes",INDEX('Game Records'!$U:$U,$H414)&lt;&gt;"Subscription",INDEX('Game Records'!$U:$U,$H414)&lt;&gt;"Free Game",INDEX('Game Records'!$U:$U,$H414)&lt;&gt;"Disqualified — Free Game",INDEX('Game Records'!$K:$K,$H414)=""),"Final Earned; ","")&amp;IF(AND(LOWER(INDEX('Game Records'!$D:$D,$H414)&amp;"")="finalized",INDEX('Game Records'!$U:$U,$H414)&lt;&gt;"Subscription",INDEX('Game Records'!$U:$U,$H414)&lt;&gt;"Free Game",INDEX('Game Records'!$U:$U,$H414)&lt;&gt;"Disqualified — Free Game",OR(INDEX('Game Records'!$L:$L,$H414)="",LOWER(INDEX('Game Records'!$L:$L,$H414)&amp;"")="n/a")),"Disqualified Status; ",""))</x:f>
        <x:v/>
      </x:c>
      <x:c r="G414" s="331" t="str">
        <x:f>IF($H414="","",IFERROR(INDEX('Game Records'!$M:$M,$H414),""))</x:f>
        <x:v/>
      </x:c>
      <x:c r="H414" s="104" t="str">
        <x:f>IF($H413="","",IFERROR(MATCH(1,INDEX((ROW('Game Records'!$U$5:$U$504)&gt;$H413)*(('Game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5" ht="24" customHeight="1">
      <x:c r="A415" s="332" t="str">
        <x:f>IF($H415="","",ROWS($A$5:A415))</x:f>
        <x:v/>
      </x:c>
      <x:c r="B415" s="332" t="str">
        <x:f>IF($H415="","","G-"&amp;TEXT($A415,"0000"))</x:f>
        <x:v/>
      </x:c>
      <x:c r="C415" s="331" t="str">
        <x:f>IF($H415="","",IFERROR(INDEX('Game Records'!$A:$A,$H415),""))</x:f>
        <x:v/>
      </x:c>
      <x:c r="D415" s="331" t="str">
        <x:f>IF($H415="","",IFERROR(INDEX('Game Records'!$U:$U,$H415),""))</x:f>
        <x:v/>
      </x:c>
      <x:c r="E415" s="331" t="str">
        <x:f>IF($H415="","",IF($F415="","No Highlighted Fields","Highlighted Fields Present"))</x:f>
        <x:v/>
      </x:c>
      <x:c r="F415" s="331" t="str">
        <x:f>IF($H415="","",IF(INDEX('Game Records'!$B:$B,$H415)="","Start Date; ","")&amp;IF(INDEX('Game Records'!$C:$C,$H415)="","End Date; ","")&amp;IF(AND(INDEX('Game Records'!$U:$U,$H415)&lt;&gt;"Subscription",INDEX('Game Records'!$U:$U,$H415)&lt;&gt;"Free Game",INDEX('Game Records'!$U:$U,$H415)&lt;&gt;"Disqualified — Free Game",OR(INDEX('Game Records'!$D:$D,$H415)="",LOWER(INDEX('Game Records'!$D:$D,$H415)&amp;"")="n/a")),"Entry Mode; ","")&amp;IF(AND(INDEX('Game Records'!$U:$U,$H415)&lt;&gt;"Subscription",INDEX('Game Records'!$U:$U,$H415)&lt;&gt;"Free Game",INDEX('Game Records'!$U:$U,$H415)&lt;&gt;"Disqualified — Free Game",OR(INDEX('Game Records'!$E:$E,$H415)="",LOWER(INDEX('Game Records'!$E:$E,$H415)&amp;"")="n/a")),"Game Type; ","")&amp;IF(INDEX('Game Records'!$F:$F,$H415)="","Payment Type; ","")&amp;IF(AND(INDEX('Game Records'!$U:$U,$H415)&lt;&gt;"Subscription",INDEX('Game Records'!$U:$U,$H415)&lt;&gt;"Free Game",INDEX('Game Records'!$U:$U,$H415)&lt;&gt;"Disqualified — Free Game",INDEX('Game Records'!$G:$G,$H415)=""),"Gross Pot; ","")&amp;IF(AND(INDEX('Game Records'!$U:$U,$H415)&lt;&gt;"Free Game",INDEX('Game Records'!$U:$U,$H415)&lt;&gt;"Disqualified — Free Game",INDEX('Game Records'!$H:$H,$H415)=""),"Entry Fee; ","")&amp;IF(AND(INDEX('Game Records'!$U:$U,$H415)&lt;&gt;"Subscription",INDEX('Game Records'!$U:$U,$H415)&lt;&gt;"Free Game",INDEX('Game Records'!$U:$U,$H415)&lt;&gt;"Disqualified — Free Game",INDEX('Game Records'!$I:$I,$H415)=""),"Eligible Players; ","")&amp;IF(AND(INDEX('Game Records'!$U:$U,$H415)&lt;&gt;"Subscription",INDEX('Game Records'!$U:$U,$H415)&lt;&gt;"Free Game",INDEX('Game Records'!$U:$U,$H415)&lt;&gt;"Disqualified — Free Game",INDEX('Game Records'!$J:$J,$H415)=""),"Total Players; ","")&amp;IF(AND(LOWER(INDEX('Game Records'!$D:$D,$H415)&amp;"")="finalized",LOWER(INDEX('Game Records'!$L:$L,$H415)&amp;"")&lt;&gt;"yes",INDEX('Game Records'!$U:$U,$H415)&lt;&gt;"Subscription",INDEX('Game Records'!$U:$U,$H415)&lt;&gt;"Free Game",INDEX('Game Records'!$U:$U,$H415)&lt;&gt;"Disqualified — Free Game",INDEX('Game Records'!$K:$K,$H415)=""),"Final Earned; ","")&amp;IF(AND(LOWER(INDEX('Game Records'!$D:$D,$H415)&amp;"")="finalized",INDEX('Game Records'!$U:$U,$H415)&lt;&gt;"Subscription",INDEX('Game Records'!$U:$U,$H415)&lt;&gt;"Free Game",INDEX('Game Records'!$U:$U,$H415)&lt;&gt;"Disqualified — Free Game",OR(INDEX('Game Records'!$L:$L,$H415)="",LOWER(INDEX('Game Records'!$L:$L,$H415)&amp;"")="n/a")),"Disqualified Status; ",""))</x:f>
        <x:v/>
      </x:c>
      <x:c r="G415" s="331" t="str">
        <x:f>IF($H415="","",IFERROR(INDEX('Game Records'!$M:$M,$H415),""))</x:f>
        <x:v/>
      </x:c>
      <x:c r="H415" s="104" t="str">
        <x:f>IF($H414="","",IFERROR(MATCH(1,INDEX((ROW('Game Records'!$U$5:$U$504)&gt;$H414)*(('Game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6" ht="24" customHeight="1">
      <x:c r="A416" s="332" t="str">
        <x:f>IF($H416="","",ROWS($A$5:A416))</x:f>
        <x:v/>
      </x:c>
      <x:c r="B416" s="332" t="str">
        <x:f>IF($H416="","","G-"&amp;TEXT($A416,"0000"))</x:f>
        <x:v/>
      </x:c>
      <x:c r="C416" s="331" t="str">
        <x:f>IF($H416="","",IFERROR(INDEX('Game Records'!$A:$A,$H416),""))</x:f>
        <x:v/>
      </x:c>
      <x:c r="D416" s="331" t="str">
        <x:f>IF($H416="","",IFERROR(INDEX('Game Records'!$U:$U,$H416),""))</x:f>
        <x:v/>
      </x:c>
      <x:c r="E416" s="331" t="str">
        <x:f>IF($H416="","",IF($F416="","No Highlighted Fields","Highlighted Fields Present"))</x:f>
        <x:v/>
      </x:c>
      <x:c r="F416" s="331" t="str">
        <x:f>IF($H416="","",IF(INDEX('Game Records'!$B:$B,$H416)="","Start Date; ","")&amp;IF(INDEX('Game Records'!$C:$C,$H416)="","End Date; ","")&amp;IF(AND(INDEX('Game Records'!$U:$U,$H416)&lt;&gt;"Subscription",INDEX('Game Records'!$U:$U,$H416)&lt;&gt;"Free Game",INDEX('Game Records'!$U:$U,$H416)&lt;&gt;"Disqualified — Free Game",OR(INDEX('Game Records'!$D:$D,$H416)="",LOWER(INDEX('Game Records'!$D:$D,$H416)&amp;"")="n/a")),"Entry Mode; ","")&amp;IF(AND(INDEX('Game Records'!$U:$U,$H416)&lt;&gt;"Subscription",INDEX('Game Records'!$U:$U,$H416)&lt;&gt;"Free Game",INDEX('Game Records'!$U:$U,$H416)&lt;&gt;"Disqualified — Free Game",OR(INDEX('Game Records'!$E:$E,$H416)="",LOWER(INDEX('Game Records'!$E:$E,$H416)&amp;"")="n/a")),"Game Type; ","")&amp;IF(INDEX('Game Records'!$F:$F,$H416)="","Payment Type; ","")&amp;IF(AND(INDEX('Game Records'!$U:$U,$H416)&lt;&gt;"Subscription",INDEX('Game Records'!$U:$U,$H416)&lt;&gt;"Free Game",INDEX('Game Records'!$U:$U,$H416)&lt;&gt;"Disqualified — Free Game",INDEX('Game Records'!$G:$G,$H416)=""),"Gross Pot; ","")&amp;IF(AND(INDEX('Game Records'!$U:$U,$H416)&lt;&gt;"Free Game",INDEX('Game Records'!$U:$U,$H416)&lt;&gt;"Disqualified — Free Game",INDEX('Game Records'!$H:$H,$H416)=""),"Entry Fee; ","")&amp;IF(AND(INDEX('Game Records'!$U:$U,$H416)&lt;&gt;"Subscription",INDEX('Game Records'!$U:$U,$H416)&lt;&gt;"Free Game",INDEX('Game Records'!$U:$U,$H416)&lt;&gt;"Disqualified — Free Game",INDEX('Game Records'!$I:$I,$H416)=""),"Eligible Players; ","")&amp;IF(AND(INDEX('Game Records'!$U:$U,$H416)&lt;&gt;"Subscription",INDEX('Game Records'!$U:$U,$H416)&lt;&gt;"Free Game",INDEX('Game Records'!$U:$U,$H416)&lt;&gt;"Disqualified — Free Game",INDEX('Game Records'!$J:$J,$H416)=""),"Total Players; ","")&amp;IF(AND(LOWER(INDEX('Game Records'!$D:$D,$H416)&amp;"")="finalized",LOWER(INDEX('Game Records'!$L:$L,$H416)&amp;"")&lt;&gt;"yes",INDEX('Game Records'!$U:$U,$H416)&lt;&gt;"Subscription",INDEX('Game Records'!$U:$U,$H416)&lt;&gt;"Free Game",INDEX('Game Records'!$U:$U,$H416)&lt;&gt;"Disqualified — Free Game",INDEX('Game Records'!$K:$K,$H416)=""),"Final Earned; ","")&amp;IF(AND(LOWER(INDEX('Game Records'!$D:$D,$H416)&amp;"")="finalized",INDEX('Game Records'!$U:$U,$H416)&lt;&gt;"Subscription",INDEX('Game Records'!$U:$U,$H416)&lt;&gt;"Free Game",INDEX('Game Records'!$U:$U,$H416)&lt;&gt;"Disqualified — Free Game",OR(INDEX('Game Records'!$L:$L,$H416)="",LOWER(INDEX('Game Records'!$L:$L,$H416)&amp;"")="n/a")),"Disqualified Status; ",""))</x:f>
        <x:v/>
      </x:c>
      <x:c r="G416" s="331" t="str">
        <x:f>IF($H416="","",IFERROR(INDEX('Game Records'!$M:$M,$H416),""))</x:f>
        <x:v/>
      </x:c>
      <x:c r="H416" s="104" t="str">
        <x:f>IF($H415="","",IFERROR(MATCH(1,INDEX((ROW('Game Records'!$U$5:$U$504)&gt;$H415)*(('Game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7" ht="24" customHeight="1">
      <x:c r="A417" s="332" t="str">
        <x:f>IF($H417="","",ROWS($A$5:A417))</x:f>
        <x:v/>
      </x:c>
      <x:c r="B417" s="332" t="str">
        <x:f>IF($H417="","","G-"&amp;TEXT($A417,"0000"))</x:f>
        <x:v/>
      </x:c>
      <x:c r="C417" s="331" t="str">
        <x:f>IF($H417="","",IFERROR(INDEX('Game Records'!$A:$A,$H417),""))</x:f>
        <x:v/>
      </x:c>
      <x:c r="D417" s="331" t="str">
        <x:f>IF($H417="","",IFERROR(INDEX('Game Records'!$U:$U,$H417),""))</x:f>
        <x:v/>
      </x:c>
      <x:c r="E417" s="331" t="str">
        <x:f>IF($H417="","",IF($F417="","No Highlighted Fields","Highlighted Fields Present"))</x:f>
        <x:v/>
      </x:c>
      <x:c r="F417" s="331" t="str">
        <x:f>IF($H417="","",IF(INDEX('Game Records'!$B:$B,$H417)="","Start Date; ","")&amp;IF(INDEX('Game Records'!$C:$C,$H417)="","End Date; ","")&amp;IF(AND(INDEX('Game Records'!$U:$U,$H417)&lt;&gt;"Subscription",INDEX('Game Records'!$U:$U,$H417)&lt;&gt;"Free Game",INDEX('Game Records'!$U:$U,$H417)&lt;&gt;"Disqualified — Free Game",OR(INDEX('Game Records'!$D:$D,$H417)="",LOWER(INDEX('Game Records'!$D:$D,$H417)&amp;"")="n/a")),"Entry Mode; ","")&amp;IF(AND(INDEX('Game Records'!$U:$U,$H417)&lt;&gt;"Subscription",INDEX('Game Records'!$U:$U,$H417)&lt;&gt;"Free Game",INDEX('Game Records'!$U:$U,$H417)&lt;&gt;"Disqualified — Free Game",OR(INDEX('Game Records'!$E:$E,$H417)="",LOWER(INDEX('Game Records'!$E:$E,$H417)&amp;"")="n/a")),"Game Type; ","")&amp;IF(INDEX('Game Records'!$F:$F,$H417)="","Payment Type; ","")&amp;IF(AND(INDEX('Game Records'!$U:$U,$H417)&lt;&gt;"Subscription",INDEX('Game Records'!$U:$U,$H417)&lt;&gt;"Free Game",INDEX('Game Records'!$U:$U,$H417)&lt;&gt;"Disqualified — Free Game",INDEX('Game Records'!$G:$G,$H417)=""),"Gross Pot; ","")&amp;IF(AND(INDEX('Game Records'!$U:$U,$H417)&lt;&gt;"Free Game",INDEX('Game Records'!$U:$U,$H417)&lt;&gt;"Disqualified — Free Game",INDEX('Game Records'!$H:$H,$H417)=""),"Entry Fee; ","")&amp;IF(AND(INDEX('Game Records'!$U:$U,$H417)&lt;&gt;"Subscription",INDEX('Game Records'!$U:$U,$H417)&lt;&gt;"Free Game",INDEX('Game Records'!$U:$U,$H417)&lt;&gt;"Disqualified — Free Game",INDEX('Game Records'!$I:$I,$H417)=""),"Eligible Players; ","")&amp;IF(AND(INDEX('Game Records'!$U:$U,$H417)&lt;&gt;"Subscription",INDEX('Game Records'!$U:$U,$H417)&lt;&gt;"Free Game",INDEX('Game Records'!$U:$U,$H417)&lt;&gt;"Disqualified — Free Game",INDEX('Game Records'!$J:$J,$H417)=""),"Total Players; ","")&amp;IF(AND(LOWER(INDEX('Game Records'!$D:$D,$H417)&amp;"")="finalized",LOWER(INDEX('Game Records'!$L:$L,$H417)&amp;"")&lt;&gt;"yes",INDEX('Game Records'!$U:$U,$H417)&lt;&gt;"Subscription",INDEX('Game Records'!$U:$U,$H417)&lt;&gt;"Free Game",INDEX('Game Records'!$U:$U,$H417)&lt;&gt;"Disqualified — Free Game",INDEX('Game Records'!$K:$K,$H417)=""),"Final Earned; ","")&amp;IF(AND(LOWER(INDEX('Game Records'!$D:$D,$H417)&amp;"")="finalized",INDEX('Game Records'!$U:$U,$H417)&lt;&gt;"Subscription",INDEX('Game Records'!$U:$U,$H417)&lt;&gt;"Free Game",INDEX('Game Records'!$U:$U,$H417)&lt;&gt;"Disqualified — Free Game",OR(INDEX('Game Records'!$L:$L,$H417)="",LOWER(INDEX('Game Records'!$L:$L,$H417)&amp;"")="n/a")),"Disqualified Status; ",""))</x:f>
        <x:v/>
      </x:c>
      <x:c r="G417" s="331" t="str">
        <x:f>IF($H417="","",IFERROR(INDEX('Game Records'!$M:$M,$H417),""))</x:f>
        <x:v/>
      </x:c>
      <x:c r="H417" s="104" t="str">
        <x:f>IF($H416="","",IFERROR(MATCH(1,INDEX((ROW('Game Records'!$U$5:$U$504)&gt;$H416)*(('Game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8" ht="24" customHeight="1">
      <x:c r="A418" s="332" t="str">
        <x:f>IF($H418="","",ROWS($A$5:A418))</x:f>
        <x:v/>
      </x:c>
      <x:c r="B418" s="332" t="str">
        <x:f>IF($H418="","","G-"&amp;TEXT($A418,"0000"))</x:f>
        <x:v/>
      </x:c>
      <x:c r="C418" s="331" t="str">
        <x:f>IF($H418="","",IFERROR(INDEX('Game Records'!$A:$A,$H418),""))</x:f>
        <x:v/>
      </x:c>
      <x:c r="D418" s="331" t="str">
        <x:f>IF($H418="","",IFERROR(INDEX('Game Records'!$U:$U,$H418),""))</x:f>
        <x:v/>
      </x:c>
      <x:c r="E418" s="331" t="str">
        <x:f>IF($H418="","",IF($F418="","No Highlighted Fields","Highlighted Fields Present"))</x:f>
        <x:v/>
      </x:c>
      <x:c r="F418" s="331" t="str">
        <x:f>IF($H418="","",IF(INDEX('Game Records'!$B:$B,$H418)="","Start Date; ","")&amp;IF(INDEX('Game Records'!$C:$C,$H418)="","End Date; ","")&amp;IF(AND(INDEX('Game Records'!$U:$U,$H418)&lt;&gt;"Subscription",INDEX('Game Records'!$U:$U,$H418)&lt;&gt;"Free Game",INDEX('Game Records'!$U:$U,$H418)&lt;&gt;"Disqualified — Free Game",OR(INDEX('Game Records'!$D:$D,$H418)="",LOWER(INDEX('Game Records'!$D:$D,$H418)&amp;"")="n/a")),"Entry Mode; ","")&amp;IF(AND(INDEX('Game Records'!$U:$U,$H418)&lt;&gt;"Subscription",INDEX('Game Records'!$U:$U,$H418)&lt;&gt;"Free Game",INDEX('Game Records'!$U:$U,$H418)&lt;&gt;"Disqualified — Free Game",OR(INDEX('Game Records'!$E:$E,$H418)="",LOWER(INDEX('Game Records'!$E:$E,$H418)&amp;"")="n/a")),"Game Type; ","")&amp;IF(INDEX('Game Records'!$F:$F,$H418)="","Payment Type; ","")&amp;IF(AND(INDEX('Game Records'!$U:$U,$H418)&lt;&gt;"Subscription",INDEX('Game Records'!$U:$U,$H418)&lt;&gt;"Free Game",INDEX('Game Records'!$U:$U,$H418)&lt;&gt;"Disqualified — Free Game",INDEX('Game Records'!$G:$G,$H418)=""),"Gross Pot; ","")&amp;IF(AND(INDEX('Game Records'!$U:$U,$H418)&lt;&gt;"Free Game",INDEX('Game Records'!$U:$U,$H418)&lt;&gt;"Disqualified — Free Game",INDEX('Game Records'!$H:$H,$H418)=""),"Entry Fee; ","")&amp;IF(AND(INDEX('Game Records'!$U:$U,$H418)&lt;&gt;"Subscription",INDEX('Game Records'!$U:$U,$H418)&lt;&gt;"Free Game",INDEX('Game Records'!$U:$U,$H418)&lt;&gt;"Disqualified — Free Game",INDEX('Game Records'!$I:$I,$H418)=""),"Eligible Players; ","")&amp;IF(AND(INDEX('Game Records'!$U:$U,$H418)&lt;&gt;"Subscription",INDEX('Game Records'!$U:$U,$H418)&lt;&gt;"Free Game",INDEX('Game Records'!$U:$U,$H418)&lt;&gt;"Disqualified — Free Game",INDEX('Game Records'!$J:$J,$H418)=""),"Total Players; ","")&amp;IF(AND(LOWER(INDEX('Game Records'!$D:$D,$H418)&amp;"")="finalized",LOWER(INDEX('Game Records'!$L:$L,$H418)&amp;"")&lt;&gt;"yes",INDEX('Game Records'!$U:$U,$H418)&lt;&gt;"Subscription",INDEX('Game Records'!$U:$U,$H418)&lt;&gt;"Free Game",INDEX('Game Records'!$U:$U,$H418)&lt;&gt;"Disqualified — Free Game",INDEX('Game Records'!$K:$K,$H418)=""),"Final Earned; ","")&amp;IF(AND(LOWER(INDEX('Game Records'!$D:$D,$H418)&amp;"")="finalized",INDEX('Game Records'!$U:$U,$H418)&lt;&gt;"Subscription",INDEX('Game Records'!$U:$U,$H418)&lt;&gt;"Free Game",INDEX('Game Records'!$U:$U,$H418)&lt;&gt;"Disqualified — Free Game",OR(INDEX('Game Records'!$L:$L,$H418)="",LOWER(INDEX('Game Records'!$L:$L,$H418)&amp;"")="n/a")),"Disqualified Status; ",""))</x:f>
        <x:v/>
      </x:c>
      <x:c r="G418" s="331" t="str">
        <x:f>IF($H418="","",IFERROR(INDEX('Game Records'!$M:$M,$H418),""))</x:f>
        <x:v/>
      </x:c>
      <x:c r="H418" s="104" t="str">
        <x:f>IF($H417="","",IFERROR(MATCH(1,INDEX((ROW('Game Records'!$U$5:$U$504)&gt;$H417)*(('Game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19" ht="24" customHeight="1">
      <x:c r="A419" s="332" t="str">
        <x:f>IF($H419="","",ROWS($A$5:A419))</x:f>
        <x:v/>
      </x:c>
      <x:c r="B419" s="332" t="str">
        <x:f>IF($H419="","","G-"&amp;TEXT($A419,"0000"))</x:f>
        <x:v/>
      </x:c>
      <x:c r="C419" s="331" t="str">
        <x:f>IF($H419="","",IFERROR(INDEX('Game Records'!$A:$A,$H419),""))</x:f>
        <x:v/>
      </x:c>
      <x:c r="D419" s="331" t="str">
        <x:f>IF($H419="","",IFERROR(INDEX('Game Records'!$U:$U,$H419),""))</x:f>
        <x:v/>
      </x:c>
      <x:c r="E419" s="331" t="str">
        <x:f>IF($H419="","",IF($F419="","No Highlighted Fields","Highlighted Fields Present"))</x:f>
        <x:v/>
      </x:c>
      <x:c r="F419" s="331" t="str">
        <x:f>IF($H419="","",IF(INDEX('Game Records'!$B:$B,$H419)="","Start Date; ","")&amp;IF(INDEX('Game Records'!$C:$C,$H419)="","End Date; ","")&amp;IF(AND(INDEX('Game Records'!$U:$U,$H419)&lt;&gt;"Subscription",INDEX('Game Records'!$U:$U,$H419)&lt;&gt;"Free Game",INDEX('Game Records'!$U:$U,$H419)&lt;&gt;"Disqualified — Free Game",OR(INDEX('Game Records'!$D:$D,$H419)="",LOWER(INDEX('Game Records'!$D:$D,$H419)&amp;"")="n/a")),"Entry Mode; ","")&amp;IF(AND(INDEX('Game Records'!$U:$U,$H419)&lt;&gt;"Subscription",INDEX('Game Records'!$U:$U,$H419)&lt;&gt;"Free Game",INDEX('Game Records'!$U:$U,$H419)&lt;&gt;"Disqualified — Free Game",OR(INDEX('Game Records'!$E:$E,$H419)="",LOWER(INDEX('Game Records'!$E:$E,$H419)&amp;"")="n/a")),"Game Type; ","")&amp;IF(INDEX('Game Records'!$F:$F,$H419)="","Payment Type; ","")&amp;IF(AND(INDEX('Game Records'!$U:$U,$H419)&lt;&gt;"Subscription",INDEX('Game Records'!$U:$U,$H419)&lt;&gt;"Free Game",INDEX('Game Records'!$U:$U,$H419)&lt;&gt;"Disqualified — Free Game",INDEX('Game Records'!$G:$G,$H419)=""),"Gross Pot; ","")&amp;IF(AND(INDEX('Game Records'!$U:$U,$H419)&lt;&gt;"Free Game",INDEX('Game Records'!$U:$U,$H419)&lt;&gt;"Disqualified — Free Game",INDEX('Game Records'!$H:$H,$H419)=""),"Entry Fee; ","")&amp;IF(AND(INDEX('Game Records'!$U:$U,$H419)&lt;&gt;"Subscription",INDEX('Game Records'!$U:$U,$H419)&lt;&gt;"Free Game",INDEX('Game Records'!$U:$U,$H419)&lt;&gt;"Disqualified — Free Game",INDEX('Game Records'!$I:$I,$H419)=""),"Eligible Players; ","")&amp;IF(AND(INDEX('Game Records'!$U:$U,$H419)&lt;&gt;"Subscription",INDEX('Game Records'!$U:$U,$H419)&lt;&gt;"Free Game",INDEX('Game Records'!$U:$U,$H419)&lt;&gt;"Disqualified — Free Game",INDEX('Game Records'!$J:$J,$H419)=""),"Total Players; ","")&amp;IF(AND(LOWER(INDEX('Game Records'!$D:$D,$H419)&amp;"")="finalized",LOWER(INDEX('Game Records'!$L:$L,$H419)&amp;"")&lt;&gt;"yes",INDEX('Game Records'!$U:$U,$H419)&lt;&gt;"Subscription",INDEX('Game Records'!$U:$U,$H419)&lt;&gt;"Free Game",INDEX('Game Records'!$U:$U,$H419)&lt;&gt;"Disqualified — Free Game",INDEX('Game Records'!$K:$K,$H419)=""),"Final Earned; ","")&amp;IF(AND(LOWER(INDEX('Game Records'!$D:$D,$H419)&amp;"")="finalized",INDEX('Game Records'!$U:$U,$H419)&lt;&gt;"Subscription",INDEX('Game Records'!$U:$U,$H419)&lt;&gt;"Free Game",INDEX('Game Records'!$U:$U,$H419)&lt;&gt;"Disqualified — Free Game",OR(INDEX('Game Records'!$L:$L,$H419)="",LOWER(INDEX('Game Records'!$L:$L,$H419)&amp;"")="n/a")),"Disqualified Status; ",""))</x:f>
        <x:v/>
      </x:c>
      <x:c r="G419" s="331" t="str">
        <x:f>IF($H419="","",IFERROR(INDEX('Game Records'!$M:$M,$H419),""))</x:f>
        <x:v/>
      </x:c>
      <x:c r="H419" s="104" t="str">
        <x:f>IF($H418="","",IFERROR(MATCH(1,INDEX((ROW('Game Records'!$U$5:$U$504)&gt;$H418)*(('Game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0" ht="24" customHeight="1">
      <x:c r="A420" s="332" t="str">
        <x:f>IF($H420="","",ROWS($A$5:A420))</x:f>
        <x:v/>
      </x:c>
      <x:c r="B420" s="332" t="str">
        <x:f>IF($H420="","","G-"&amp;TEXT($A420,"0000"))</x:f>
        <x:v/>
      </x:c>
      <x:c r="C420" s="331" t="str">
        <x:f>IF($H420="","",IFERROR(INDEX('Game Records'!$A:$A,$H420),""))</x:f>
        <x:v/>
      </x:c>
      <x:c r="D420" s="331" t="str">
        <x:f>IF($H420="","",IFERROR(INDEX('Game Records'!$U:$U,$H420),""))</x:f>
        <x:v/>
      </x:c>
      <x:c r="E420" s="331" t="str">
        <x:f>IF($H420="","",IF($F420="","No Highlighted Fields","Highlighted Fields Present"))</x:f>
        <x:v/>
      </x:c>
      <x:c r="F420" s="331" t="str">
        <x:f>IF($H420="","",IF(INDEX('Game Records'!$B:$B,$H420)="","Start Date; ","")&amp;IF(INDEX('Game Records'!$C:$C,$H420)="","End Date; ","")&amp;IF(AND(INDEX('Game Records'!$U:$U,$H420)&lt;&gt;"Subscription",INDEX('Game Records'!$U:$U,$H420)&lt;&gt;"Free Game",INDEX('Game Records'!$U:$U,$H420)&lt;&gt;"Disqualified — Free Game",OR(INDEX('Game Records'!$D:$D,$H420)="",LOWER(INDEX('Game Records'!$D:$D,$H420)&amp;"")="n/a")),"Entry Mode; ","")&amp;IF(AND(INDEX('Game Records'!$U:$U,$H420)&lt;&gt;"Subscription",INDEX('Game Records'!$U:$U,$H420)&lt;&gt;"Free Game",INDEX('Game Records'!$U:$U,$H420)&lt;&gt;"Disqualified — Free Game",OR(INDEX('Game Records'!$E:$E,$H420)="",LOWER(INDEX('Game Records'!$E:$E,$H420)&amp;"")="n/a")),"Game Type; ","")&amp;IF(INDEX('Game Records'!$F:$F,$H420)="","Payment Type; ","")&amp;IF(AND(INDEX('Game Records'!$U:$U,$H420)&lt;&gt;"Subscription",INDEX('Game Records'!$U:$U,$H420)&lt;&gt;"Free Game",INDEX('Game Records'!$U:$U,$H420)&lt;&gt;"Disqualified — Free Game",INDEX('Game Records'!$G:$G,$H420)=""),"Gross Pot; ","")&amp;IF(AND(INDEX('Game Records'!$U:$U,$H420)&lt;&gt;"Free Game",INDEX('Game Records'!$U:$U,$H420)&lt;&gt;"Disqualified — Free Game",INDEX('Game Records'!$H:$H,$H420)=""),"Entry Fee; ","")&amp;IF(AND(INDEX('Game Records'!$U:$U,$H420)&lt;&gt;"Subscription",INDEX('Game Records'!$U:$U,$H420)&lt;&gt;"Free Game",INDEX('Game Records'!$U:$U,$H420)&lt;&gt;"Disqualified — Free Game",INDEX('Game Records'!$I:$I,$H420)=""),"Eligible Players; ","")&amp;IF(AND(INDEX('Game Records'!$U:$U,$H420)&lt;&gt;"Subscription",INDEX('Game Records'!$U:$U,$H420)&lt;&gt;"Free Game",INDEX('Game Records'!$U:$U,$H420)&lt;&gt;"Disqualified — Free Game",INDEX('Game Records'!$J:$J,$H420)=""),"Total Players; ","")&amp;IF(AND(LOWER(INDEX('Game Records'!$D:$D,$H420)&amp;"")="finalized",LOWER(INDEX('Game Records'!$L:$L,$H420)&amp;"")&lt;&gt;"yes",INDEX('Game Records'!$U:$U,$H420)&lt;&gt;"Subscription",INDEX('Game Records'!$U:$U,$H420)&lt;&gt;"Free Game",INDEX('Game Records'!$U:$U,$H420)&lt;&gt;"Disqualified — Free Game",INDEX('Game Records'!$K:$K,$H420)=""),"Final Earned; ","")&amp;IF(AND(LOWER(INDEX('Game Records'!$D:$D,$H420)&amp;"")="finalized",INDEX('Game Records'!$U:$U,$H420)&lt;&gt;"Subscription",INDEX('Game Records'!$U:$U,$H420)&lt;&gt;"Free Game",INDEX('Game Records'!$U:$U,$H420)&lt;&gt;"Disqualified — Free Game",OR(INDEX('Game Records'!$L:$L,$H420)="",LOWER(INDEX('Game Records'!$L:$L,$H420)&amp;"")="n/a")),"Disqualified Status; ",""))</x:f>
        <x:v/>
      </x:c>
      <x:c r="G420" s="331" t="str">
        <x:f>IF($H420="","",IFERROR(INDEX('Game Records'!$M:$M,$H420),""))</x:f>
        <x:v/>
      </x:c>
      <x:c r="H420" s="104" t="str">
        <x:f>IF($H419="","",IFERROR(MATCH(1,INDEX((ROW('Game Records'!$U$5:$U$504)&gt;$H419)*(('Game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1" ht="24" customHeight="1">
      <x:c r="A421" s="332" t="str">
        <x:f>IF($H421="","",ROWS($A$5:A421))</x:f>
        <x:v/>
      </x:c>
      <x:c r="B421" s="332" t="str">
        <x:f>IF($H421="","","G-"&amp;TEXT($A421,"0000"))</x:f>
        <x:v/>
      </x:c>
      <x:c r="C421" s="331" t="str">
        <x:f>IF($H421="","",IFERROR(INDEX('Game Records'!$A:$A,$H421),""))</x:f>
        <x:v/>
      </x:c>
      <x:c r="D421" s="331" t="str">
        <x:f>IF($H421="","",IFERROR(INDEX('Game Records'!$U:$U,$H421),""))</x:f>
        <x:v/>
      </x:c>
      <x:c r="E421" s="331" t="str">
        <x:f>IF($H421="","",IF($F421="","No Highlighted Fields","Highlighted Fields Present"))</x:f>
        <x:v/>
      </x:c>
      <x:c r="F421" s="331" t="str">
        <x:f>IF($H421="","",IF(INDEX('Game Records'!$B:$B,$H421)="","Start Date; ","")&amp;IF(INDEX('Game Records'!$C:$C,$H421)="","End Date; ","")&amp;IF(AND(INDEX('Game Records'!$U:$U,$H421)&lt;&gt;"Subscription",INDEX('Game Records'!$U:$U,$H421)&lt;&gt;"Free Game",INDEX('Game Records'!$U:$U,$H421)&lt;&gt;"Disqualified — Free Game",OR(INDEX('Game Records'!$D:$D,$H421)="",LOWER(INDEX('Game Records'!$D:$D,$H421)&amp;"")="n/a")),"Entry Mode; ","")&amp;IF(AND(INDEX('Game Records'!$U:$U,$H421)&lt;&gt;"Subscription",INDEX('Game Records'!$U:$U,$H421)&lt;&gt;"Free Game",INDEX('Game Records'!$U:$U,$H421)&lt;&gt;"Disqualified — Free Game",OR(INDEX('Game Records'!$E:$E,$H421)="",LOWER(INDEX('Game Records'!$E:$E,$H421)&amp;"")="n/a")),"Game Type; ","")&amp;IF(INDEX('Game Records'!$F:$F,$H421)="","Payment Type; ","")&amp;IF(AND(INDEX('Game Records'!$U:$U,$H421)&lt;&gt;"Subscription",INDEX('Game Records'!$U:$U,$H421)&lt;&gt;"Free Game",INDEX('Game Records'!$U:$U,$H421)&lt;&gt;"Disqualified — Free Game",INDEX('Game Records'!$G:$G,$H421)=""),"Gross Pot; ","")&amp;IF(AND(INDEX('Game Records'!$U:$U,$H421)&lt;&gt;"Free Game",INDEX('Game Records'!$U:$U,$H421)&lt;&gt;"Disqualified — Free Game",INDEX('Game Records'!$H:$H,$H421)=""),"Entry Fee; ","")&amp;IF(AND(INDEX('Game Records'!$U:$U,$H421)&lt;&gt;"Subscription",INDEX('Game Records'!$U:$U,$H421)&lt;&gt;"Free Game",INDEX('Game Records'!$U:$U,$H421)&lt;&gt;"Disqualified — Free Game",INDEX('Game Records'!$I:$I,$H421)=""),"Eligible Players; ","")&amp;IF(AND(INDEX('Game Records'!$U:$U,$H421)&lt;&gt;"Subscription",INDEX('Game Records'!$U:$U,$H421)&lt;&gt;"Free Game",INDEX('Game Records'!$U:$U,$H421)&lt;&gt;"Disqualified — Free Game",INDEX('Game Records'!$J:$J,$H421)=""),"Total Players; ","")&amp;IF(AND(LOWER(INDEX('Game Records'!$D:$D,$H421)&amp;"")="finalized",LOWER(INDEX('Game Records'!$L:$L,$H421)&amp;"")&lt;&gt;"yes",INDEX('Game Records'!$U:$U,$H421)&lt;&gt;"Subscription",INDEX('Game Records'!$U:$U,$H421)&lt;&gt;"Free Game",INDEX('Game Records'!$U:$U,$H421)&lt;&gt;"Disqualified — Free Game",INDEX('Game Records'!$K:$K,$H421)=""),"Final Earned; ","")&amp;IF(AND(LOWER(INDEX('Game Records'!$D:$D,$H421)&amp;"")="finalized",INDEX('Game Records'!$U:$U,$H421)&lt;&gt;"Subscription",INDEX('Game Records'!$U:$U,$H421)&lt;&gt;"Free Game",INDEX('Game Records'!$U:$U,$H421)&lt;&gt;"Disqualified — Free Game",OR(INDEX('Game Records'!$L:$L,$H421)="",LOWER(INDEX('Game Records'!$L:$L,$H421)&amp;"")="n/a")),"Disqualified Status; ",""))</x:f>
        <x:v/>
      </x:c>
      <x:c r="G421" s="331" t="str">
        <x:f>IF($H421="","",IFERROR(INDEX('Game Records'!$M:$M,$H421),""))</x:f>
        <x:v/>
      </x:c>
      <x:c r="H421" s="104" t="str">
        <x:f>IF($H420="","",IFERROR(MATCH(1,INDEX((ROW('Game Records'!$U$5:$U$504)&gt;$H420)*(('Game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2" ht="24" customHeight="1">
      <x:c r="A422" s="332" t="str">
        <x:f>IF($H422="","",ROWS($A$5:A422))</x:f>
        <x:v/>
      </x:c>
      <x:c r="B422" s="332" t="str">
        <x:f>IF($H422="","","G-"&amp;TEXT($A422,"0000"))</x:f>
        <x:v/>
      </x:c>
      <x:c r="C422" s="331" t="str">
        <x:f>IF($H422="","",IFERROR(INDEX('Game Records'!$A:$A,$H422),""))</x:f>
        <x:v/>
      </x:c>
      <x:c r="D422" s="331" t="str">
        <x:f>IF($H422="","",IFERROR(INDEX('Game Records'!$U:$U,$H422),""))</x:f>
        <x:v/>
      </x:c>
      <x:c r="E422" s="331" t="str">
        <x:f>IF($H422="","",IF($F422="","No Highlighted Fields","Highlighted Fields Present"))</x:f>
        <x:v/>
      </x:c>
      <x:c r="F422" s="331" t="str">
        <x:f>IF($H422="","",IF(INDEX('Game Records'!$B:$B,$H422)="","Start Date; ","")&amp;IF(INDEX('Game Records'!$C:$C,$H422)="","End Date; ","")&amp;IF(AND(INDEX('Game Records'!$U:$U,$H422)&lt;&gt;"Subscription",INDEX('Game Records'!$U:$U,$H422)&lt;&gt;"Free Game",INDEX('Game Records'!$U:$U,$H422)&lt;&gt;"Disqualified — Free Game",OR(INDEX('Game Records'!$D:$D,$H422)="",LOWER(INDEX('Game Records'!$D:$D,$H422)&amp;"")="n/a")),"Entry Mode; ","")&amp;IF(AND(INDEX('Game Records'!$U:$U,$H422)&lt;&gt;"Subscription",INDEX('Game Records'!$U:$U,$H422)&lt;&gt;"Free Game",INDEX('Game Records'!$U:$U,$H422)&lt;&gt;"Disqualified — Free Game",OR(INDEX('Game Records'!$E:$E,$H422)="",LOWER(INDEX('Game Records'!$E:$E,$H422)&amp;"")="n/a")),"Game Type; ","")&amp;IF(INDEX('Game Records'!$F:$F,$H422)="","Payment Type; ","")&amp;IF(AND(INDEX('Game Records'!$U:$U,$H422)&lt;&gt;"Subscription",INDEX('Game Records'!$U:$U,$H422)&lt;&gt;"Free Game",INDEX('Game Records'!$U:$U,$H422)&lt;&gt;"Disqualified — Free Game",INDEX('Game Records'!$G:$G,$H422)=""),"Gross Pot; ","")&amp;IF(AND(INDEX('Game Records'!$U:$U,$H422)&lt;&gt;"Free Game",INDEX('Game Records'!$U:$U,$H422)&lt;&gt;"Disqualified — Free Game",INDEX('Game Records'!$H:$H,$H422)=""),"Entry Fee; ","")&amp;IF(AND(INDEX('Game Records'!$U:$U,$H422)&lt;&gt;"Subscription",INDEX('Game Records'!$U:$U,$H422)&lt;&gt;"Free Game",INDEX('Game Records'!$U:$U,$H422)&lt;&gt;"Disqualified — Free Game",INDEX('Game Records'!$I:$I,$H422)=""),"Eligible Players; ","")&amp;IF(AND(INDEX('Game Records'!$U:$U,$H422)&lt;&gt;"Subscription",INDEX('Game Records'!$U:$U,$H422)&lt;&gt;"Free Game",INDEX('Game Records'!$U:$U,$H422)&lt;&gt;"Disqualified — Free Game",INDEX('Game Records'!$J:$J,$H422)=""),"Total Players; ","")&amp;IF(AND(LOWER(INDEX('Game Records'!$D:$D,$H422)&amp;"")="finalized",LOWER(INDEX('Game Records'!$L:$L,$H422)&amp;"")&lt;&gt;"yes",INDEX('Game Records'!$U:$U,$H422)&lt;&gt;"Subscription",INDEX('Game Records'!$U:$U,$H422)&lt;&gt;"Free Game",INDEX('Game Records'!$U:$U,$H422)&lt;&gt;"Disqualified — Free Game",INDEX('Game Records'!$K:$K,$H422)=""),"Final Earned; ","")&amp;IF(AND(LOWER(INDEX('Game Records'!$D:$D,$H422)&amp;"")="finalized",INDEX('Game Records'!$U:$U,$H422)&lt;&gt;"Subscription",INDEX('Game Records'!$U:$U,$H422)&lt;&gt;"Free Game",INDEX('Game Records'!$U:$U,$H422)&lt;&gt;"Disqualified — Free Game",OR(INDEX('Game Records'!$L:$L,$H422)="",LOWER(INDEX('Game Records'!$L:$L,$H422)&amp;"")="n/a")),"Disqualified Status; ",""))</x:f>
        <x:v/>
      </x:c>
      <x:c r="G422" s="331" t="str">
        <x:f>IF($H422="","",IFERROR(INDEX('Game Records'!$M:$M,$H422),""))</x:f>
        <x:v/>
      </x:c>
      <x:c r="H422" s="104" t="str">
        <x:f>IF($H421="","",IFERROR(MATCH(1,INDEX((ROW('Game Records'!$U$5:$U$504)&gt;$H421)*(('Game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3" ht="24" customHeight="1">
      <x:c r="A423" s="332" t="str">
        <x:f>IF($H423="","",ROWS($A$5:A423))</x:f>
        <x:v/>
      </x:c>
      <x:c r="B423" s="332" t="str">
        <x:f>IF($H423="","","G-"&amp;TEXT($A423,"0000"))</x:f>
        <x:v/>
      </x:c>
      <x:c r="C423" s="331" t="str">
        <x:f>IF($H423="","",IFERROR(INDEX('Game Records'!$A:$A,$H423),""))</x:f>
        <x:v/>
      </x:c>
      <x:c r="D423" s="331" t="str">
        <x:f>IF($H423="","",IFERROR(INDEX('Game Records'!$U:$U,$H423),""))</x:f>
        <x:v/>
      </x:c>
      <x:c r="E423" s="331" t="str">
        <x:f>IF($H423="","",IF($F423="","No Highlighted Fields","Highlighted Fields Present"))</x:f>
        <x:v/>
      </x:c>
      <x:c r="F423" s="331" t="str">
        <x:f>IF($H423="","",IF(INDEX('Game Records'!$B:$B,$H423)="","Start Date; ","")&amp;IF(INDEX('Game Records'!$C:$C,$H423)="","End Date; ","")&amp;IF(AND(INDEX('Game Records'!$U:$U,$H423)&lt;&gt;"Subscription",INDEX('Game Records'!$U:$U,$H423)&lt;&gt;"Free Game",INDEX('Game Records'!$U:$U,$H423)&lt;&gt;"Disqualified — Free Game",OR(INDEX('Game Records'!$D:$D,$H423)="",LOWER(INDEX('Game Records'!$D:$D,$H423)&amp;"")="n/a")),"Entry Mode; ","")&amp;IF(AND(INDEX('Game Records'!$U:$U,$H423)&lt;&gt;"Subscription",INDEX('Game Records'!$U:$U,$H423)&lt;&gt;"Free Game",INDEX('Game Records'!$U:$U,$H423)&lt;&gt;"Disqualified — Free Game",OR(INDEX('Game Records'!$E:$E,$H423)="",LOWER(INDEX('Game Records'!$E:$E,$H423)&amp;"")="n/a")),"Game Type; ","")&amp;IF(INDEX('Game Records'!$F:$F,$H423)="","Payment Type; ","")&amp;IF(AND(INDEX('Game Records'!$U:$U,$H423)&lt;&gt;"Subscription",INDEX('Game Records'!$U:$U,$H423)&lt;&gt;"Free Game",INDEX('Game Records'!$U:$U,$H423)&lt;&gt;"Disqualified — Free Game",INDEX('Game Records'!$G:$G,$H423)=""),"Gross Pot; ","")&amp;IF(AND(INDEX('Game Records'!$U:$U,$H423)&lt;&gt;"Free Game",INDEX('Game Records'!$U:$U,$H423)&lt;&gt;"Disqualified — Free Game",INDEX('Game Records'!$H:$H,$H423)=""),"Entry Fee; ","")&amp;IF(AND(INDEX('Game Records'!$U:$U,$H423)&lt;&gt;"Subscription",INDEX('Game Records'!$U:$U,$H423)&lt;&gt;"Free Game",INDEX('Game Records'!$U:$U,$H423)&lt;&gt;"Disqualified — Free Game",INDEX('Game Records'!$I:$I,$H423)=""),"Eligible Players; ","")&amp;IF(AND(INDEX('Game Records'!$U:$U,$H423)&lt;&gt;"Subscription",INDEX('Game Records'!$U:$U,$H423)&lt;&gt;"Free Game",INDEX('Game Records'!$U:$U,$H423)&lt;&gt;"Disqualified — Free Game",INDEX('Game Records'!$J:$J,$H423)=""),"Total Players; ","")&amp;IF(AND(LOWER(INDEX('Game Records'!$D:$D,$H423)&amp;"")="finalized",LOWER(INDEX('Game Records'!$L:$L,$H423)&amp;"")&lt;&gt;"yes",INDEX('Game Records'!$U:$U,$H423)&lt;&gt;"Subscription",INDEX('Game Records'!$U:$U,$H423)&lt;&gt;"Free Game",INDEX('Game Records'!$U:$U,$H423)&lt;&gt;"Disqualified — Free Game",INDEX('Game Records'!$K:$K,$H423)=""),"Final Earned; ","")&amp;IF(AND(LOWER(INDEX('Game Records'!$D:$D,$H423)&amp;"")="finalized",INDEX('Game Records'!$U:$U,$H423)&lt;&gt;"Subscription",INDEX('Game Records'!$U:$U,$H423)&lt;&gt;"Free Game",INDEX('Game Records'!$U:$U,$H423)&lt;&gt;"Disqualified — Free Game",OR(INDEX('Game Records'!$L:$L,$H423)="",LOWER(INDEX('Game Records'!$L:$L,$H423)&amp;"")="n/a")),"Disqualified Status; ",""))</x:f>
        <x:v/>
      </x:c>
      <x:c r="G423" s="331" t="str">
        <x:f>IF($H423="","",IFERROR(INDEX('Game Records'!$M:$M,$H423),""))</x:f>
        <x:v/>
      </x:c>
      <x:c r="H423" s="104" t="str">
        <x:f>IF($H422="","",IFERROR(MATCH(1,INDEX((ROW('Game Records'!$U$5:$U$504)&gt;$H422)*(('Game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4" ht="24" customHeight="1">
      <x:c r="A424" s="332" t="str">
        <x:f>IF($H424="","",ROWS($A$5:A424))</x:f>
        <x:v/>
      </x:c>
      <x:c r="B424" s="332" t="str">
        <x:f>IF($H424="","","G-"&amp;TEXT($A424,"0000"))</x:f>
        <x:v/>
      </x:c>
      <x:c r="C424" s="331" t="str">
        <x:f>IF($H424="","",IFERROR(INDEX('Game Records'!$A:$A,$H424),""))</x:f>
        <x:v/>
      </x:c>
      <x:c r="D424" s="331" t="str">
        <x:f>IF($H424="","",IFERROR(INDEX('Game Records'!$U:$U,$H424),""))</x:f>
        <x:v/>
      </x:c>
      <x:c r="E424" s="331" t="str">
        <x:f>IF($H424="","",IF($F424="","No Highlighted Fields","Highlighted Fields Present"))</x:f>
        <x:v/>
      </x:c>
      <x:c r="F424" s="331" t="str">
        <x:f>IF($H424="","",IF(INDEX('Game Records'!$B:$B,$H424)="","Start Date; ","")&amp;IF(INDEX('Game Records'!$C:$C,$H424)="","End Date; ","")&amp;IF(AND(INDEX('Game Records'!$U:$U,$H424)&lt;&gt;"Subscription",INDEX('Game Records'!$U:$U,$H424)&lt;&gt;"Free Game",INDEX('Game Records'!$U:$U,$H424)&lt;&gt;"Disqualified — Free Game",OR(INDEX('Game Records'!$D:$D,$H424)="",LOWER(INDEX('Game Records'!$D:$D,$H424)&amp;"")="n/a")),"Entry Mode; ","")&amp;IF(AND(INDEX('Game Records'!$U:$U,$H424)&lt;&gt;"Subscription",INDEX('Game Records'!$U:$U,$H424)&lt;&gt;"Free Game",INDEX('Game Records'!$U:$U,$H424)&lt;&gt;"Disqualified — Free Game",OR(INDEX('Game Records'!$E:$E,$H424)="",LOWER(INDEX('Game Records'!$E:$E,$H424)&amp;"")="n/a")),"Game Type; ","")&amp;IF(INDEX('Game Records'!$F:$F,$H424)="","Payment Type; ","")&amp;IF(AND(INDEX('Game Records'!$U:$U,$H424)&lt;&gt;"Subscription",INDEX('Game Records'!$U:$U,$H424)&lt;&gt;"Free Game",INDEX('Game Records'!$U:$U,$H424)&lt;&gt;"Disqualified — Free Game",INDEX('Game Records'!$G:$G,$H424)=""),"Gross Pot; ","")&amp;IF(AND(INDEX('Game Records'!$U:$U,$H424)&lt;&gt;"Free Game",INDEX('Game Records'!$U:$U,$H424)&lt;&gt;"Disqualified — Free Game",INDEX('Game Records'!$H:$H,$H424)=""),"Entry Fee; ","")&amp;IF(AND(INDEX('Game Records'!$U:$U,$H424)&lt;&gt;"Subscription",INDEX('Game Records'!$U:$U,$H424)&lt;&gt;"Free Game",INDEX('Game Records'!$U:$U,$H424)&lt;&gt;"Disqualified — Free Game",INDEX('Game Records'!$I:$I,$H424)=""),"Eligible Players; ","")&amp;IF(AND(INDEX('Game Records'!$U:$U,$H424)&lt;&gt;"Subscription",INDEX('Game Records'!$U:$U,$H424)&lt;&gt;"Free Game",INDEX('Game Records'!$U:$U,$H424)&lt;&gt;"Disqualified — Free Game",INDEX('Game Records'!$J:$J,$H424)=""),"Total Players; ","")&amp;IF(AND(LOWER(INDEX('Game Records'!$D:$D,$H424)&amp;"")="finalized",LOWER(INDEX('Game Records'!$L:$L,$H424)&amp;"")&lt;&gt;"yes",INDEX('Game Records'!$U:$U,$H424)&lt;&gt;"Subscription",INDEX('Game Records'!$U:$U,$H424)&lt;&gt;"Free Game",INDEX('Game Records'!$U:$U,$H424)&lt;&gt;"Disqualified — Free Game",INDEX('Game Records'!$K:$K,$H424)=""),"Final Earned; ","")&amp;IF(AND(LOWER(INDEX('Game Records'!$D:$D,$H424)&amp;"")="finalized",INDEX('Game Records'!$U:$U,$H424)&lt;&gt;"Subscription",INDEX('Game Records'!$U:$U,$H424)&lt;&gt;"Free Game",INDEX('Game Records'!$U:$U,$H424)&lt;&gt;"Disqualified — Free Game",OR(INDEX('Game Records'!$L:$L,$H424)="",LOWER(INDEX('Game Records'!$L:$L,$H424)&amp;"")="n/a")),"Disqualified Status; ",""))</x:f>
        <x:v/>
      </x:c>
      <x:c r="G424" s="331" t="str">
        <x:f>IF($H424="","",IFERROR(INDEX('Game Records'!$M:$M,$H424),""))</x:f>
        <x:v/>
      </x:c>
      <x:c r="H424" s="104" t="str">
        <x:f>IF($H423="","",IFERROR(MATCH(1,INDEX((ROW('Game Records'!$U$5:$U$504)&gt;$H423)*(('Game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5" ht="24" customHeight="1">
      <x:c r="A425" s="332" t="str">
        <x:f>IF($H425="","",ROWS($A$5:A425))</x:f>
        <x:v/>
      </x:c>
      <x:c r="B425" s="332" t="str">
        <x:f>IF($H425="","","G-"&amp;TEXT($A425,"0000"))</x:f>
        <x:v/>
      </x:c>
      <x:c r="C425" s="331" t="str">
        <x:f>IF($H425="","",IFERROR(INDEX('Game Records'!$A:$A,$H425),""))</x:f>
        <x:v/>
      </x:c>
      <x:c r="D425" s="331" t="str">
        <x:f>IF($H425="","",IFERROR(INDEX('Game Records'!$U:$U,$H425),""))</x:f>
        <x:v/>
      </x:c>
      <x:c r="E425" s="331" t="str">
        <x:f>IF($H425="","",IF($F425="","No Highlighted Fields","Highlighted Fields Present"))</x:f>
        <x:v/>
      </x:c>
      <x:c r="F425" s="331" t="str">
        <x:f>IF($H425="","",IF(INDEX('Game Records'!$B:$B,$H425)="","Start Date; ","")&amp;IF(INDEX('Game Records'!$C:$C,$H425)="","End Date; ","")&amp;IF(AND(INDEX('Game Records'!$U:$U,$H425)&lt;&gt;"Subscription",INDEX('Game Records'!$U:$U,$H425)&lt;&gt;"Free Game",INDEX('Game Records'!$U:$U,$H425)&lt;&gt;"Disqualified — Free Game",OR(INDEX('Game Records'!$D:$D,$H425)="",LOWER(INDEX('Game Records'!$D:$D,$H425)&amp;"")="n/a")),"Entry Mode; ","")&amp;IF(AND(INDEX('Game Records'!$U:$U,$H425)&lt;&gt;"Subscription",INDEX('Game Records'!$U:$U,$H425)&lt;&gt;"Free Game",INDEX('Game Records'!$U:$U,$H425)&lt;&gt;"Disqualified — Free Game",OR(INDEX('Game Records'!$E:$E,$H425)="",LOWER(INDEX('Game Records'!$E:$E,$H425)&amp;"")="n/a")),"Game Type; ","")&amp;IF(INDEX('Game Records'!$F:$F,$H425)="","Payment Type; ","")&amp;IF(AND(INDEX('Game Records'!$U:$U,$H425)&lt;&gt;"Subscription",INDEX('Game Records'!$U:$U,$H425)&lt;&gt;"Free Game",INDEX('Game Records'!$U:$U,$H425)&lt;&gt;"Disqualified — Free Game",INDEX('Game Records'!$G:$G,$H425)=""),"Gross Pot; ","")&amp;IF(AND(INDEX('Game Records'!$U:$U,$H425)&lt;&gt;"Free Game",INDEX('Game Records'!$U:$U,$H425)&lt;&gt;"Disqualified — Free Game",INDEX('Game Records'!$H:$H,$H425)=""),"Entry Fee; ","")&amp;IF(AND(INDEX('Game Records'!$U:$U,$H425)&lt;&gt;"Subscription",INDEX('Game Records'!$U:$U,$H425)&lt;&gt;"Free Game",INDEX('Game Records'!$U:$U,$H425)&lt;&gt;"Disqualified — Free Game",INDEX('Game Records'!$I:$I,$H425)=""),"Eligible Players; ","")&amp;IF(AND(INDEX('Game Records'!$U:$U,$H425)&lt;&gt;"Subscription",INDEX('Game Records'!$U:$U,$H425)&lt;&gt;"Free Game",INDEX('Game Records'!$U:$U,$H425)&lt;&gt;"Disqualified — Free Game",INDEX('Game Records'!$J:$J,$H425)=""),"Total Players; ","")&amp;IF(AND(LOWER(INDEX('Game Records'!$D:$D,$H425)&amp;"")="finalized",LOWER(INDEX('Game Records'!$L:$L,$H425)&amp;"")&lt;&gt;"yes",INDEX('Game Records'!$U:$U,$H425)&lt;&gt;"Subscription",INDEX('Game Records'!$U:$U,$H425)&lt;&gt;"Free Game",INDEX('Game Records'!$U:$U,$H425)&lt;&gt;"Disqualified — Free Game",INDEX('Game Records'!$K:$K,$H425)=""),"Final Earned; ","")&amp;IF(AND(LOWER(INDEX('Game Records'!$D:$D,$H425)&amp;"")="finalized",INDEX('Game Records'!$U:$U,$H425)&lt;&gt;"Subscription",INDEX('Game Records'!$U:$U,$H425)&lt;&gt;"Free Game",INDEX('Game Records'!$U:$U,$H425)&lt;&gt;"Disqualified — Free Game",OR(INDEX('Game Records'!$L:$L,$H425)="",LOWER(INDEX('Game Records'!$L:$L,$H425)&amp;"")="n/a")),"Disqualified Status; ",""))</x:f>
        <x:v/>
      </x:c>
      <x:c r="G425" s="331" t="str">
        <x:f>IF($H425="","",IFERROR(INDEX('Game Records'!$M:$M,$H425),""))</x:f>
        <x:v/>
      </x:c>
      <x:c r="H425" s="104" t="str">
        <x:f>IF($H424="","",IFERROR(MATCH(1,INDEX((ROW('Game Records'!$U$5:$U$504)&gt;$H424)*(('Game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6" ht="24" customHeight="1">
      <x:c r="A426" s="332" t="str">
        <x:f>IF($H426="","",ROWS($A$5:A426))</x:f>
        <x:v/>
      </x:c>
      <x:c r="B426" s="332" t="str">
        <x:f>IF($H426="","","G-"&amp;TEXT($A426,"0000"))</x:f>
        <x:v/>
      </x:c>
      <x:c r="C426" s="331" t="str">
        <x:f>IF($H426="","",IFERROR(INDEX('Game Records'!$A:$A,$H426),""))</x:f>
        <x:v/>
      </x:c>
      <x:c r="D426" s="331" t="str">
        <x:f>IF($H426="","",IFERROR(INDEX('Game Records'!$U:$U,$H426),""))</x:f>
        <x:v/>
      </x:c>
      <x:c r="E426" s="331" t="str">
        <x:f>IF($H426="","",IF($F426="","No Highlighted Fields","Highlighted Fields Present"))</x:f>
        <x:v/>
      </x:c>
      <x:c r="F426" s="331" t="str">
        <x:f>IF($H426="","",IF(INDEX('Game Records'!$B:$B,$H426)="","Start Date; ","")&amp;IF(INDEX('Game Records'!$C:$C,$H426)="","End Date; ","")&amp;IF(AND(INDEX('Game Records'!$U:$U,$H426)&lt;&gt;"Subscription",INDEX('Game Records'!$U:$U,$H426)&lt;&gt;"Free Game",INDEX('Game Records'!$U:$U,$H426)&lt;&gt;"Disqualified — Free Game",OR(INDEX('Game Records'!$D:$D,$H426)="",LOWER(INDEX('Game Records'!$D:$D,$H426)&amp;"")="n/a")),"Entry Mode; ","")&amp;IF(AND(INDEX('Game Records'!$U:$U,$H426)&lt;&gt;"Subscription",INDEX('Game Records'!$U:$U,$H426)&lt;&gt;"Free Game",INDEX('Game Records'!$U:$U,$H426)&lt;&gt;"Disqualified — Free Game",OR(INDEX('Game Records'!$E:$E,$H426)="",LOWER(INDEX('Game Records'!$E:$E,$H426)&amp;"")="n/a")),"Game Type; ","")&amp;IF(INDEX('Game Records'!$F:$F,$H426)="","Payment Type; ","")&amp;IF(AND(INDEX('Game Records'!$U:$U,$H426)&lt;&gt;"Subscription",INDEX('Game Records'!$U:$U,$H426)&lt;&gt;"Free Game",INDEX('Game Records'!$U:$U,$H426)&lt;&gt;"Disqualified — Free Game",INDEX('Game Records'!$G:$G,$H426)=""),"Gross Pot; ","")&amp;IF(AND(INDEX('Game Records'!$U:$U,$H426)&lt;&gt;"Free Game",INDEX('Game Records'!$U:$U,$H426)&lt;&gt;"Disqualified — Free Game",INDEX('Game Records'!$H:$H,$H426)=""),"Entry Fee; ","")&amp;IF(AND(INDEX('Game Records'!$U:$U,$H426)&lt;&gt;"Subscription",INDEX('Game Records'!$U:$U,$H426)&lt;&gt;"Free Game",INDEX('Game Records'!$U:$U,$H426)&lt;&gt;"Disqualified — Free Game",INDEX('Game Records'!$I:$I,$H426)=""),"Eligible Players; ","")&amp;IF(AND(INDEX('Game Records'!$U:$U,$H426)&lt;&gt;"Subscription",INDEX('Game Records'!$U:$U,$H426)&lt;&gt;"Free Game",INDEX('Game Records'!$U:$U,$H426)&lt;&gt;"Disqualified — Free Game",INDEX('Game Records'!$J:$J,$H426)=""),"Total Players; ","")&amp;IF(AND(LOWER(INDEX('Game Records'!$D:$D,$H426)&amp;"")="finalized",LOWER(INDEX('Game Records'!$L:$L,$H426)&amp;"")&lt;&gt;"yes",INDEX('Game Records'!$U:$U,$H426)&lt;&gt;"Subscription",INDEX('Game Records'!$U:$U,$H426)&lt;&gt;"Free Game",INDEX('Game Records'!$U:$U,$H426)&lt;&gt;"Disqualified — Free Game",INDEX('Game Records'!$K:$K,$H426)=""),"Final Earned; ","")&amp;IF(AND(LOWER(INDEX('Game Records'!$D:$D,$H426)&amp;"")="finalized",INDEX('Game Records'!$U:$U,$H426)&lt;&gt;"Subscription",INDEX('Game Records'!$U:$U,$H426)&lt;&gt;"Free Game",INDEX('Game Records'!$U:$U,$H426)&lt;&gt;"Disqualified — Free Game",OR(INDEX('Game Records'!$L:$L,$H426)="",LOWER(INDEX('Game Records'!$L:$L,$H426)&amp;"")="n/a")),"Disqualified Status; ",""))</x:f>
        <x:v/>
      </x:c>
      <x:c r="G426" s="331" t="str">
        <x:f>IF($H426="","",IFERROR(INDEX('Game Records'!$M:$M,$H426),""))</x:f>
        <x:v/>
      </x:c>
      <x:c r="H426" s="104" t="str">
        <x:f>IF($H425="","",IFERROR(MATCH(1,INDEX((ROW('Game Records'!$U$5:$U$504)&gt;$H425)*(('Game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7" ht="24" customHeight="1">
      <x:c r="A427" s="332" t="str">
        <x:f>IF($H427="","",ROWS($A$5:A427))</x:f>
        <x:v/>
      </x:c>
      <x:c r="B427" s="332" t="str">
        <x:f>IF($H427="","","G-"&amp;TEXT($A427,"0000"))</x:f>
        <x:v/>
      </x:c>
      <x:c r="C427" s="331" t="str">
        <x:f>IF($H427="","",IFERROR(INDEX('Game Records'!$A:$A,$H427),""))</x:f>
        <x:v/>
      </x:c>
      <x:c r="D427" s="331" t="str">
        <x:f>IF($H427="","",IFERROR(INDEX('Game Records'!$U:$U,$H427),""))</x:f>
        <x:v/>
      </x:c>
      <x:c r="E427" s="331" t="str">
        <x:f>IF($H427="","",IF($F427="","No Highlighted Fields","Highlighted Fields Present"))</x:f>
        <x:v/>
      </x:c>
      <x:c r="F427" s="331" t="str">
        <x:f>IF($H427="","",IF(INDEX('Game Records'!$B:$B,$H427)="","Start Date; ","")&amp;IF(INDEX('Game Records'!$C:$C,$H427)="","End Date; ","")&amp;IF(AND(INDEX('Game Records'!$U:$U,$H427)&lt;&gt;"Subscription",INDEX('Game Records'!$U:$U,$H427)&lt;&gt;"Free Game",INDEX('Game Records'!$U:$U,$H427)&lt;&gt;"Disqualified — Free Game",OR(INDEX('Game Records'!$D:$D,$H427)="",LOWER(INDEX('Game Records'!$D:$D,$H427)&amp;"")="n/a")),"Entry Mode; ","")&amp;IF(AND(INDEX('Game Records'!$U:$U,$H427)&lt;&gt;"Subscription",INDEX('Game Records'!$U:$U,$H427)&lt;&gt;"Free Game",INDEX('Game Records'!$U:$U,$H427)&lt;&gt;"Disqualified — Free Game",OR(INDEX('Game Records'!$E:$E,$H427)="",LOWER(INDEX('Game Records'!$E:$E,$H427)&amp;"")="n/a")),"Game Type; ","")&amp;IF(INDEX('Game Records'!$F:$F,$H427)="","Payment Type; ","")&amp;IF(AND(INDEX('Game Records'!$U:$U,$H427)&lt;&gt;"Subscription",INDEX('Game Records'!$U:$U,$H427)&lt;&gt;"Free Game",INDEX('Game Records'!$U:$U,$H427)&lt;&gt;"Disqualified — Free Game",INDEX('Game Records'!$G:$G,$H427)=""),"Gross Pot; ","")&amp;IF(AND(INDEX('Game Records'!$U:$U,$H427)&lt;&gt;"Free Game",INDEX('Game Records'!$U:$U,$H427)&lt;&gt;"Disqualified — Free Game",INDEX('Game Records'!$H:$H,$H427)=""),"Entry Fee; ","")&amp;IF(AND(INDEX('Game Records'!$U:$U,$H427)&lt;&gt;"Subscription",INDEX('Game Records'!$U:$U,$H427)&lt;&gt;"Free Game",INDEX('Game Records'!$U:$U,$H427)&lt;&gt;"Disqualified — Free Game",INDEX('Game Records'!$I:$I,$H427)=""),"Eligible Players; ","")&amp;IF(AND(INDEX('Game Records'!$U:$U,$H427)&lt;&gt;"Subscription",INDEX('Game Records'!$U:$U,$H427)&lt;&gt;"Free Game",INDEX('Game Records'!$U:$U,$H427)&lt;&gt;"Disqualified — Free Game",INDEX('Game Records'!$J:$J,$H427)=""),"Total Players; ","")&amp;IF(AND(LOWER(INDEX('Game Records'!$D:$D,$H427)&amp;"")="finalized",LOWER(INDEX('Game Records'!$L:$L,$H427)&amp;"")&lt;&gt;"yes",INDEX('Game Records'!$U:$U,$H427)&lt;&gt;"Subscription",INDEX('Game Records'!$U:$U,$H427)&lt;&gt;"Free Game",INDEX('Game Records'!$U:$U,$H427)&lt;&gt;"Disqualified — Free Game",INDEX('Game Records'!$K:$K,$H427)=""),"Final Earned; ","")&amp;IF(AND(LOWER(INDEX('Game Records'!$D:$D,$H427)&amp;"")="finalized",INDEX('Game Records'!$U:$U,$H427)&lt;&gt;"Subscription",INDEX('Game Records'!$U:$U,$H427)&lt;&gt;"Free Game",INDEX('Game Records'!$U:$U,$H427)&lt;&gt;"Disqualified — Free Game",OR(INDEX('Game Records'!$L:$L,$H427)="",LOWER(INDEX('Game Records'!$L:$L,$H427)&amp;"")="n/a")),"Disqualified Status; ",""))</x:f>
        <x:v/>
      </x:c>
      <x:c r="G427" s="331" t="str">
        <x:f>IF($H427="","",IFERROR(INDEX('Game Records'!$M:$M,$H427),""))</x:f>
        <x:v/>
      </x:c>
      <x:c r="H427" s="104" t="str">
        <x:f>IF($H426="","",IFERROR(MATCH(1,INDEX((ROW('Game Records'!$U$5:$U$504)&gt;$H426)*(('Game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8" ht="24" customHeight="1">
      <x:c r="A428" s="332" t="str">
        <x:f>IF($H428="","",ROWS($A$5:A428))</x:f>
        <x:v/>
      </x:c>
      <x:c r="B428" s="332" t="str">
        <x:f>IF($H428="","","G-"&amp;TEXT($A428,"0000"))</x:f>
        <x:v/>
      </x:c>
      <x:c r="C428" s="331" t="str">
        <x:f>IF($H428="","",IFERROR(INDEX('Game Records'!$A:$A,$H428),""))</x:f>
        <x:v/>
      </x:c>
      <x:c r="D428" s="331" t="str">
        <x:f>IF($H428="","",IFERROR(INDEX('Game Records'!$U:$U,$H428),""))</x:f>
        <x:v/>
      </x:c>
      <x:c r="E428" s="331" t="str">
        <x:f>IF($H428="","",IF($F428="","No Highlighted Fields","Highlighted Fields Present"))</x:f>
        <x:v/>
      </x:c>
      <x:c r="F428" s="331" t="str">
        <x:f>IF($H428="","",IF(INDEX('Game Records'!$B:$B,$H428)="","Start Date; ","")&amp;IF(INDEX('Game Records'!$C:$C,$H428)="","End Date; ","")&amp;IF(AND(INDEX('Game Records'!$U:$U,$H428)&lt;&gt;"Subscription",INDEX('Game Records'!$U:$U,$H428)&lt;&gt;"Free Game",INDEX('Game Records'!$U:$U,$H428)&lt;&gt;"Disqualified — Free Game",OR(INDEX('Game Records'!$D:$D,$H428)="",LOWER(INDEX('Game Records'!$D:$D,$H428)&amp;"")="n/a")),"Entry Mode; ","")&amp;IF(AND(INDEX('Game Records'!$U:$U,$H428)&lt;&gt;"Subscription",INDEX('Game Records'!$U:$U,$H428)&lt;&gt;"Free Game",INDEX('Game Records'!$U:$U,$H428)&lt;&gt;"Disqualified — Free Game",OR(INDEX('Game Records'!$E:$E,$H428)="",LOWER(INDEX('Game Records'!$E:$E,$H428)&amp;"")="n/a")),"Game Type; ","")&amp;IF(INDEX('Game Records'!$F:$F,$H428)="","Payment Type; ","")&amp;IF(AND(INDEX('Game Records'!$U:$U,$H428)&lt;&gt;"Subscription",INDEX('Game Records'!$U:$U,$H428)&lt;&gt;"Free Game",INDEX('Game Records'!$U:$U,$H428)&lt;&gt;"Disqualified — Free Game",INDEX('Game Records'!$G:$G,$H428)=""),"Gross Pot; ","")&amp;IF(AND(INDEX('Game Records'!$U:$U,$H428)&lt;&gt;"Free Game",INDEX('Game Records'!$U:$U,$H428)&lt;&gt;"Disqualified — Free Game",INDEX('Game Records'!$H:$H,$H428)=""),"Entry Fee; ","")&amp;IF(AND(INDEX('Game Records'!$U:$U,$H428)&lt;&gt;"Subscription",INDEX('Game Records'!$U:$U,$H428)&lt;&gt;"Free Game",INDEX('Game Records'!$U:$U,$H428)&lt;&gt;"Disqualified — Free Game",INDEX('Game Records'!$I:$I,$H428)=""),"Eligible Players; ","")&amp;IF(AND(INDEX('Game Records'!$U:$U,$H428)&lt;&gt;"Subscription",INDEX('Game Records'!$U:$U,$H428)&lt;&gt;"Free Game",INDEX('Game Records'!$U:$U,$H428)&lt;&gt;"Disqualified — Free Game",INDEX('Game Records'!$J:$J,$H428)=""),"Total Players; ","")&amp;IF(AND(LOWER(INDEX('Game Records'!$D:$D,$H428)&amp;"")="finalized",LOWER(INDEX('Game Records'!$L:$L,$H428)&amp;"")&lt;&gt;"yes",INDEX('Game Records'!$U:$U,$H428)&lt;&gt;"Subscription",INDEX('Game Records'!$U:$U,$H428)&lt;&gt;"Free Game",INDEX('Game Records'!$U:$U,$H428)&lt;&gt;"Disqualified — Free Game",INDEX('Game Records'!$K:$K,$H428)=""),"Final Earned; ","")&amp;IF(AND(LOWER(INDEX('Game Records'!$D:$D,$H428)&amp;"")="finalized",INDEX('Game Records'!$U:$U,$H428)&lt;&gt;"Subscription",INDEX('Game Records'!$U:$U,$H428)&lt;&gt;"Free Game",INDEX('Game Records'!$U:$U,$H428)&lt;&gt;"Disqualified — Free Game",OR(INDEX('Game Records'!$L:$L,$H428)="",LOWER(INDEX('Game Records'!$L:$L,$H428)&amp;"")="n/a")),"Disqualified Status; ",""))</x:f>
        <x:v/>
      </x:c>
      <x:c r="G428" s="331" t="str">
        <x:f>IF($H428="","",IFERROR(INDEX('Game Records'!$M:$M,$H428),""))</x:f>
        <x:v/>
      </x:c>
      <x:c r="H428" s="104" t="str">
        <x:f>IF($H427="","",IFERROR(MATCH(1,INDEX((ROW('Game Records'!$U$5:$U$504)&gt;$H427)*(('Game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29" ht="24" customHeight="1">
      <x:c r="A429" s="332" t="str">
        <x:f>IF($H429="","",ROWS($A$5:A429))</x:f>
        <x:v/>
      </x:c>
      <x:c r="B429" s="332" t="str">
        <x:f>IF($H429="","","G-"&amp;TEXT($A429,"0000"))</x:f>
        <x:v/>
      </x:c>
      <x:c r="C429" s="331" t="str">
        <x:f>IF($H429="","",IFERROR(INDEX('Game Records'!$A:$A,$H429),""))</x:f>
        <x:v/>
      </x:c>
      <x:c r="D429" s="331" t="str">
        <x:f>IF($H429="","",IFERROR(INDEX('Game Records'!$U:$U,$H429),""))</x:f>
        <x:v/>
      </x:c>
      <x:c r="E429" s="331" t="str">
        <x:f>IF($H429="","",IF($F429="","No Highlighted Fields","Highlighted Fields Present"))</x:f>
        <x:v/>
      </x:c>
      <x:c r="F429" s="331" t="str">
        <x:f>IF($H429="","",IF(INDEX('Game Records'!$B:$B,$H429)="","Start Date; ","")&amp;IF(INDEX('Game Records'!$C:$C,$H429)="","End Date; ","")&amp;IF(AND(INDEX('Game Records'!$U:$U,$H429)&lt;&gt;"Subscription",INDEX('Game Records'!$U:$U,$H429)&lt;&gt;"Free Game",INDEX('Game Records'!$U:$U,$H429)&lt;&gt;"Disqualified — Free Game",OR(INDEX('Game Records'!$D:$D,$H429)="",LOWER(INDEX('Game Records'!$D:$D,$H429)&amp;"")="n/a")),"Entry Mode; ","")&amp;IF(AND(INDEX('Game Records'!$U:$U,$H429)&lt;&gt;"Subscription",INDEX('Game Records'!$U:$U,$H429)&lt;&gt;"Free Game",INDEX('Game Records'!$U:$U,$H429)&lt;&gt;"Disqualified — Free Game",OR(INDEX('Game Records'!$E:$E,$H429)="",LOWER(INDEX('Game Records'!$E:$E,$H429)&amp;"")="n/a")),"Game Type; ","")&amp;IF(INDEX('Game Records'!$F:$F,$H429)="","Payment Type; ","")&amp;IF(AND(INDEX('Game Records'!$U:$U,$H429)&lt;&gt;"Subscription",INDEX('Game Records'!$U:$U,$H429)&lt;&gt;"Free Game",INDEX('Game Records'!$U:$U,$H429)&lt;&gt;"Disqualified — Free Game",INDEX('Game Records'!$G:$G,$H429)=""),"Gross Pot; ","")&amp;IF(AND(INDEX('Game Records'!$U:$U,$H429)&lt;&gt;"Free Game",INDEX('Game Records'!$U:$U,$H429)&lt;&gt;"Disqualified — Free Game",INDEX('Game Records'!$H:$H,$H429)=""),"Entry Fee; ","")&amp;IF(AND(INDEX('Game Records'!$U:$U,$H429)&lt;&gt;"Subscription",INDEX('Game Records'!$U:$U,$H429)&lt;&gt;"Free Game",INDEX('Game Records'!$U:$U,$H429)&lt;&gt;"Disqualified — Free Game",INDEX('Game Records'!$I:$I,$H429)=""),"Eligible Players; ","")&amp;IF(AND(INDEX('Game Records'!$U:$U,$H429)&lt;&gt;"Subscription",INDEX('Game Records'!$U:$U,$H429)&lt;&gt;"Free Game",INDEX('Game Records'!$U:$U,$H429)&lt;&gt;"Disqualified — Free Game",INDEX('Game Records'!$J:$J,$H429)=""),"Total Players; ","")&amp;IF(AND(LOWER(INDEX('Game Records'!$D:$D,$H429)&amp;"")="finalized",LOWER(INDEX('Game Records'!$L:$L,$H429)&amp;"")&lt;&gt;"yes",INDEX('Game Records'!$U:$U,$H429)&lt;&gt;"Subscription",INDEX('Game Records'!$U:$U,$H429)&lt;&gt;"Free Game",INDEX('Game Records'!$U:$U,$H429)&lt;&gt;"Disqualified — Free Game",INDEX('Game Records'!$K:$K,$H429)=""),"Final Earned; ","")&amp;IF(AND(LOWER(INDEX('Game Records'!$D:$D,$H429)&amp;"")="finalized",INDEX('Game Records'!$U:$U,$H429)&lt;&gt;"Subscription",INDEX('Game Records'!$U:$U,$H429)&lt;&gt;"Free Game",INDEX('Game Records'!$U:$U,$H429)&lt;&gt;"Disqualified — Free Game",OR(INDEX('Game Records'!$L:$L,$H429)="",LOWER(INDEX('Game Records'!$L:$L,$H429)&amp;"")="n/a")),"Disqualified Status; ",""))</x:f>
        <x:v/>
      </x:c>
      <x:c r="G429" s="331" t="str">
        <x:f>IF($H429="","",IFERROR(INDEX('Game Records'!$M:$M,$H429),""))</x:f>
        <x:v/>
      </x:c>
      <x:c r="H429" s="104" t="str">
        <x:f>IF($H428="","",IFERROR(MATCH(1,INDEX((ROW('Game Records'!$U$5:$U$504)&gt;$H428)*(('Game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0" ht="24" customHeight="1">
      <x:c r="A430" s="332" t="str">
        <x:f>IF($H430="","",ROWS($A$5:A430))</x:f>
        <x:v/>
      </x:c>
      <x:c r="B430" s="332" t="str">
        <x:f>IF($H430="","","G-"&amp;TEXT($A430,"0000"))</x:f>
        <x:v/>
      </x:c>
      <x:c r="C430" s="331" t="str">
        <x:f>IF($H430="","",IFERROR(INDEX('Game Records'!$A:$A,$H430),""))</x:f>
        <x:v/>
      </x:c>
      <x:c r="D430" s="331" t="str">
        <x:f>IF($H430="","",IFERROR(INDEX('Game Records'!$U:$U,$H430),""))</x:f>
        <x:v/>
      </x:c>
      <x:c r="E430" s="331" t="str">
        <x:f>IF($H430="","",IF($F430="","No Highlighted Fields","Highlighted Fields Present"))</x:f>
        <x:v/>
      </x:c>
      <x:c r="F430" s="331" t="str">
        <x:f>IF($H430="","",IF(INDEX('Game Records'!$B:$B,$H430)="","Start Date; ","")&amp;IF(INDEX('Game Records'!$C:$C,$H430)="","End Date; ","")&amp;IF(AND(INDEX('Game Records'!$U:$U,$H430)&lt;&gt;"Subscription",INDEX('Game Records'!$U:$U,$H430)&lt;&gt;"Free Game",INDEX('Game Records'!$U:$U,$H430)&lt;&gt;"Disqualified — Free Game",OR(INDEX('Game Records'!$D:$D,$H430)="",LOWER(INDEX('Game Records'!$D:$D,$H430)&amp;"")="n/a")),"Entry Mode; ","")&amp;IF(AND(INDEX('Game Records'!$U:$U,$H430)&lt;&gt;"Subscription",INDEX('Game Records'!$U:$U,$H430)&lt;&gt;"Free Game",INDEX('Game Records'!$U:$U,$H430)&lt;&gt;"Disqualified — Free Game",OR(INDEX('Game Records'!$E:$E,$H430)="",LOWER(INDEX('Game Records'!$E:$E,$H430)&amp;"")="n/a")),"Game Type; ","")&amp;IF(INDEX('Game Records'!$F:$F,$H430)="","Payment Type; ","")&amp;IF(AND(INDEX('Game Records'!$U:$U,$H430)&lt;&gt;"Subscription",INDEX('Game Records'!$U:$U,$H430)&lt;&gt;"Free Game",INDEX('Game Records'!$U:$U,$H430)&lt;&gt;"Disqualified — Free Game",INDEX('Game Records'!$G:$G,$H430)=""),"Gross Pot; ","")&amp;IF(AND(INDEX('Game Records'!$U:$U,$H430)&lt;&gt;"Free Game",INDEX('Game Records'!$U:$U,$H430)&lt;&gt;"Disqualified — Free Game",INDEX('Game Records'!$H:$H,$H430)=""),"Entry Fee; ","")&amp;IF(AND(INDEX('Game Records'!$U:$U,$H430)&lt;&gt;"Subscription",INDEX('Game Records'!$U:$U,$H430)&lt;&gt;"Free Game",INDEX('Game Records'!$U:$U,$H430)&lt;&gt;"Disqualified — Free Game",INDEX('Game Records'!$I:$I,$H430)=""),"Eligible Players; ","")&amp;IF(AND(INDEX('Game Records'!$U:$U,$H430)&lt;&gt;"Subscription",INDEX('Game Records'!$U:$U,$H430)&lt;&gt;"Free Game",INDEX('Game Records'!$U:$U,$H430)&lt;&gt;"Disqualified — Free Game",INDEX('Game Records'!$J:$J,$H430)=""),"Total Players; ","")&amp;IF(AND(LOWER(INDEX('Game Records'!$D:$D,$H430)&amp;"")="finalized",LOWER(INDEX('Game Records'!$L:$L,$H430)&amp;"")&lt;&gt;"yes",INDEX('Game Records'!$U:$U,$H430)&lt;&gt;"Subscription",INDEX('Game Records'!$U:$U,$H430)&lt;&gt;"Free Game",INDEX('Game Records'!$U:$U,$H430)&lt;&gt;"Disqualified — Free Game",INDEX('Game Records'!$K:$K,$H430)=""),"Final Earned; ","")&amp;IF(AND(LOWER(INDEX('Game Records'!$D:$D,$H430)&amp;"")="finalized",INDEX('Game Records'!$U:$U,$H430)&lt;&gt;"Subscription",INDEX('Game Records'!$U:$U,$H430)&lt;&gt;"Free Game",INDEX('Game Records'!$U:$U,$H430)&lt;&gt;"Disqualified — Free Game",OR(INDEX('Game Records'!$L:$L,$H430)="",LOWER(INDEX('Game Records'!$L:$L,$H430)&amp;"")="n/a")),"Disqualified Status; ",""))</x:f>
        <x:v/>
      </x:c>
      <x:c r="G430" s="331" t="str">
        <x:f>IF($H430="","",IFERROR(INDEX('Game Records'!$M:$M,$H430),""))</x:f>
        <x:v/>
      </x:c>
      <x:c r="H430" s="104" t="str">
        <x:f>IF($H429="","",IFERROR(MATCH(1,INDEX((ROW('Game Records'!$U$5:$U$504)&gt;$H429)*(('Game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1" ht="24" customHeight="1">
      <x:c r="A431" s="332" t="str">
        <x:f>IF($H431="","",ROWS($A$5:A431))</x:f>
        <x:v/>
      </x:c>
      <x:c r="B431" s="332" t="str">
        <x:f>IF($H431="","","G-"&amp;TEXT($A431,"0000"))</x:f>
        <x:v/>
      </x:c>
      <x:c r="C431" s="331" t="str">
        <x:f>IF($H431="","",IFERROR(INDEX('Game Records'!$A:$A,$H431),""))</x:f>
        <x:v/>
      </x:c>
      <x:c r="D431" s="331" t="str">
        <x:f>IF($H431="","",IFERROR(INDEX('Game Records'!$U:$U,$H431),""))</x:f>
        <x:v/>
      </x:c>
      <x:c r="E431" s="331" t="str">
        <x:f>IF($H431="","",IF($F431="","No Highlighted Fields","Highlighted Fields Present"))</x:f>
        <x:v/>
      </x:c>
      <x:c r="F431" s="331" t="str">
        <x:f>IF($H431="","",IF(INDEX('Game Records'!$B:$B,$H431)="","Start Date; ","")&amp;IF(INDEX('Game Records'!$C:$C,$H431)="","End Date; ","")&amp;IF(AND(INDEX('Game Records'!$U:$U,$H431)&lt;&gt;"Subscription",INDEX('Game Records'!$U:$U,$H431)&lt;&gt;"Free Game",INDEX('Game Records'!$U:$U,$H431)&lt;&gt;"Disqualified — Free Game",OR(INDEX('Game Records'!$D:$D,$H431)="",LOWER(INDEX('Game Records'!$D:$D,$H431)&amp;"")="n/a")),"Entry Mode; ","")&amp;IF(AND(INDEX('Game Records'!$U:$U,$H431)&lt;&gt;"Subscription",INDEX('Game Records'!$U:$U,$H431)&lt;&gt;"Free Game",INDEX('Game Records'!$U:$U,$H431)&lt;&gt;"Disqualified — Free Game",OR(INDEX('Game Records'!$E:$E,$H431)="",LOWER(INDEX('Game Records'!$E:$E,$H431)&amp;"")="n/a")),"Game Type; ","")&amp;IF(INDEX('Game Records'!$F:$F,$H431)="","Payment Type; ","")&amp;IF(AND(INDEX('Game Records'!$U:$U,$H431)&lt;&gt;"Subscription",INDEX('Game Records'!$U:$U,$H431)&lt;&gt;"Free Game",INDEX('Game Records'!$U:$U,$H431)&lt;&gt;"Disqualified — Free Game",INDEX('Game Records'!$G:$G,$H431)=""),"Gross Pot; ","")&amp;IF(AND(INDEX('Game Records'!$U:$U,$H431)&lt;&gt;"Free Game",INDEX('Game Records'!$U:$U,$H431)&lt;&gt;"Disqualified — Free Game",INDEX('Game Records'!$H:$H,$H431)=""),"Entry Fee; ","")&amp;IF(AND(INDEX('Game Records'!$U:$U,$H431)&lt;&gt;"Subscription",INDEX('Game Records'!$U:$U,$H431)&lt;&gt;"Free Game",INDEX('Game Records'!$U:$U,$H431)&lt;&gt;"Disqualified — Free Game",INDEX('Game Records'!$I:$I,$H431)=""),"Eligible Players; ","")&amp;IF(AND(INDEX('Game Records'!$U:$U,$H431)&lt;&gt;"Subscription",INDEX('Game Records'!$U:$U,$H431)&lt;&gt;"Free Game",INDEX('Game Records'!$U:$U,$H431)&lt;&gt;"Disqualified — Free Game",INDEX('Game Records'!$J:$J,$H431)=""),"Total Players; ","")&amp;IF(AND(LOWER(INDEX('Game Records'!$D:$D,$H431)&amp;"")="finalized",LOWER(INDEX('Game Records'!$L:$L,$H431)&amp;"")&lt;&gt;"yes",INDEX('Game Records'!$U:$U,$H431)&lt;&gt;"Subscription",INDEX('Game Records'!$U:$U,$H431)&lt;&gt;"Free Game",INDEX('Game Records'!$U:$U,$H431)&lt;&gt;"Disqualified — Free Game",INDEX('Game Records'!$K:$K,$H431)=""),"Final Earned; ","")&amp;IF(AND(LOWER(INDEX('Game Records'!$D:$D,$H431)&amp;"")="finalized",INDEX('Game Records'!$U:$U,$H431)&lt;&gt;"Subscription",INDEX('Game Records'!$U:$U,$H431)&lt;&gt;"Free Game",INDEX('Game Records'!$U:$U,$H431)&lt;&gt;"Disqualified — Free Game",OR(INDEX('Game Records'!$L:$L,$H431)="",LOWER(INDEX('Game Records'!$L:$L,$H431)&amp;"")="n/a")),"Disqualified Status; ",""))</x:f>
        <x:v/>
      </x:c>
      <x:c r="G431" s="331" t="str">
        <x:f>IF($H431="","",IFERROR(INDEX('Game Records'!$M:$M,$H431),""))</x:f>
        <x:v/>
      </x:c>
      <x:c r="H431" s="104" t="str">
        <x:f>IF($H430="","",IFERROR(MATCH(1,INDEX((ROW('Game Records'!$U$5:$U$504)&gt;$H430)*(('Game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2" ht="24" customHeight="1">
      <x:c r="A432" s="332" t="str">
        <x:f>IF($H432="","",ROWS($A$5:A432))</x:f>
        <x:v/>
      </x:c>
      <x:c r="B432" s="332" t="str">
        <x:f>IF($H432="","","G-"&amp;TEXT($A432,"0000"))</x:f>
        <x:v/>
      </x:c>
      <x:c r="C432" s="331" t="str">
        <x:f>IF($H432="","",IFERROR(INDEX('Game Records'!$A:$A,$H432),""))</x:f>
        <x:v/>
      </x:c>
      <x:c r="D432" s="331" t="str">
        <x:f>IF($H432="","",IFERROR(INDEX('Game Records'!$U:$U,$H432),""))</x:f>
        <x:v/>
      </x:c>
      <x:c r="E432" s="331" t="str">
        <x:f>IF($H432="","",IF($F432="","No Highlighted Fields","Highlighted Fields Present"))</x:f>
        <x:v/>
      </x:c>
      <x:c r="F432" s="331" t="str">
        <x:f>IF($H432="","",IF(INDEX('Game Records'!$B:$B,$H432)="","Start Date; ","")&amp;IF(INDEX('Game Records'!$C:$C,$H432)="","End Date; ","")&amp;IF(AND(INDEX('Game Records'!$U:$U,$H432)&lt;&gt;"Subscription",INDEX('Game Records'!$U:$U,$H432)&lt;&gt;"Free Game",INDEX('Game Records'!$U:$U,$H432)&lt;&gt;"Disqualified — Free Game",OR(INDEX('Game Records'!$D:$D,$H432)="",LOWER(INDEX('Game Records'!$D:$D,$H432)&amp;"")="n/a")),"Entry Mode; ","")&amp;IF(AND(INDEX('Game Records'!$U:$U,$H432)&lt;&gt;"Subscription",INDEX('Game Records'!$U:$U,$H432)&lt;&gt;"Free Game",INDEX('Game Records'!$U:$U,$H432)&lt;&gt;"Disqualified — Free Game",OR(INDEX('Game Records'!$E:$E,$H432)="",LOWER(INDEX('Game Records'!$E:$E,$H432)&amp;"")="n/a")),"Game Type; ","")&amp;IF(INDEX('Game Records'!$F:$F,$H432)="","Payment Type; ","")&amp;IF(AND(INDEX('Game Records'!$U:$U,$H432)&lt;&gt;"Subscription",INDEX('Game Records'!$U:$U,$H432)&lt;&gt;"Free Game",INDEX('Game Records'!$U:$U,$H432)&lt;&gt;"Disqualified — Free Game",INDEX('Game Records'!$G:$G,$H432)=""),"Gross Pot; ","")&amp;IF(AND(INDEX('Game Records'!$U:$U,$H432)&lt;&gt;"Free Game",INDEX('Game Records'!$U:$U,$H432)&lt;&gt;"Disqualified — Free Game",INDEX('Game Records'!$H:$H,$H432)=""),"Entry Fee; ","")&amp;IF(AND(INDEX('Game Records'!$U:$U,$H432)&lt;&gt;"Subscription",INDEX('Game Records'!$U:$U,$H432)&lt;&gt;"Free Game",INDEX('Game Records'!$U:$U,$H432)&lt;&gt;"Disqualified — Free Game",INDEX('Game Records'!$I:$I,$H432)=""),"Eligible Players; ","")&amp;IF(AND(INDEX('Game Records'!$U:$U,$H432)&lt;&gt;"Subscription",INDEX('Game Records'!$U:$U,$H432)&lt;&gt;"Free Game",INDEX('Game Records'!$U:$U,$H432)&lt;&gt;"Disqualified — Free Game",INDEX('Game Records'!$J:$J,$H432)=""),"Total Players; ","")&amp;IF(AND(LOWER(INDEX('Game Records'!$D:$D,$H432)&amp;"")="finalized",LOWER(INDEX('Game Records'!$L:$L,$H432)&amp;"")&lt;&gt;"yes",INDEX('Game Records'!$U:$U,$H432)&lt;&gt;"Subscription",INDEX('Game Records'!$U:$U,$H432)&lt;&gt;"Free Game",INDEX('Game Records'!$U:$U,$H432)&lt;&gt;"Disqualified — Free Game",INDEX('Game Records'!$K:$K,$H432)=""),"Final Earned; ","")&amp;IF(AND(LOWER(INDEX('Game Records'!$D:$D,$H432)&amp;"")="finalized",INDEX('Game Records'!$U:$U,$H432)&lt;&gt;"Subscription",INDEX('Game Records'!$U:$U,$H432)&lt;&gt;"Free Game",INDEX('Game Records'!$U:$U,$H432)&lt;&gt;"Disqualified — Free Game",OR(INDEX('Game Records'!$L:$L,$H432)="",LOWER(INDEX('Game Records'!$L:$L,$H432)&amp;"")="n/a")),"Disqualified Status; ",""))</x:f>
        <x:v/>
      </x:c>
      <x:c r="G432" s="331" t="str">
        <x:f>IF($H432="","",IFERROR(INDEX('Game Records'!$M:$M,$H432),""))</x:f>
        <x:v/>
      </x:c>
      <x:c r="H432" s="104" t="str">
        <x:f>IF($H431="","",IFERROR(MATCH(1,INDEX((ROW('Game Records'!$U$5:$U$504)&gt;$H431)*(('Game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3" ht="24" customHeight="1">
      <x:c r="A433" s="332" t="str">
        <x:f>IF($H433="","",ROWS($A$5:A433))</x:f>
        <x:v/>
      </x:c>
      <x:c r="B433" s="332" t="str">
        <x:f>IF($H433="","","G-"&amp;TEXT($A433,"0000"))</x:f>
        <x:v/>
      </x:c>
      <x:c r="C433" s="331" t="str">
        <x:f>IF($H433="","",IFERROR(INDEX('Game Records'!$A:$A,$H433),""))</x:f>
        <x:v/>
      </x:c>
      <x:c r="D433" s="331" t="str">
        <x:f>IF($H433="","",IFERROR(INDEX('Game Records'!$U:$U,$H433),""))</x:f>
        <x:v/>
      </x:c>
      <x:c r="E433" s="331" t="str">
        <x:f>IF($H433="","",IF($F433="","No Highlighted Fields","Highlighted Fields Present"))</x:f>
        <x:v/>
      </x:c>
      <x:c r="F433" s="331" t="str">
        <x:f>IF($H433="","",IF(INDEX('Game Records'!$B:$B,$H433)="","Start Date; ","")&amp;IF(INDEX('Game Records'!$C:$C,$H433)="","End Date; ","")&amp;IF(AND(INDEX('Game Records'!$U:$U,$H433)&lt;&gt;"Subscription",INDEX('Game Records'!$U:$U,$H433)&lt;&gt;"Free Game",INDEX('Game Records'!$U:$U,$H433)&lt;&gt;"Disqualified — Free Game",OR(INDEX('Game Records'!$D:$D,$H433)="",LOWER(INDEX('Game Records'!$D:$D,$H433)&amp;"")="n/a")),"Entry Mode; ","")&amp;IF(AND(INDEX('Game Records'!$U:$U,$H433)&lt;&gt;"Subscription",INDEX('Game Records'!$U:$U,$H433)&lt;&gt;"Free Game",INDEX('Game Records'!$U:$U,$H433)&lt;&gt;"Disqualified — Free Game",OR(INDEX('Game Records'!$E:$E,$H433)="",LOWER(INDEX('Game Records'!$E:$E,$H433)&amp;"")="n/a")),"Game Type; ","")&amp;IF(INDEX('Game Records'!$F:$F,$H433)="","Payment Type; ","")&amp;IF(AND(INDEX('Game Records'!$U:$U,$H433)&lt;&gt;"Subscription",INDEX('Game Records'!$U:$U,$H433)&lt;&gt;"Free Game",INDEX('Game Records'!$U:$U,$H433)&lt;&gt;"Disqualified — Free Game",INDEX('Game Records'!$G:$G,$H433)=""),"Gross Pot; ","")&amp;IF(AND(INDEX('Game Records'!$U:$U,$H433)&lt;&gt;"Free Game",INDEX('Game Records'!$U:$U,$H433)&lt;&gt;"Disqualified — Free Game",INDEX('Game Records'!$H:$H,$H433)=""),"Entry Fee; ","")&amp;IF(AND(INDEX('Game Records'!$U:$U,$H433)&lt;&gt;"Subscription",INDEX('Game Records'!$U:$U,$H433)&lt;&gt;"Free Game",INDEX('Game Records'!$U:$U,$H433)&lt;&gt;"Disqualified — Free Game",INDEX('Game Records'!$I:$I,$H433)=""),"Eligible Players; ","")&amp;IF(AND(INDEX('Game Records'!$U:$U,$H433)&lt;&gt;"Subscription",INDEX('Game Records'!$U:$U,$H433)&lt;&gt;"Free Game",INDEX('Game Records'!$U:$U,$H433)&lt;&gt;"Disqualified — Free Game",INDEX('Game Records'!$J:$J,$H433)=""),"Total Players; ","")&amp;IF(AND(LOWER(INDEX('Game Records'!$D:$D,$H433)&amp;"")="finalized",LOWER(INDEX('Game Records'!$L:$L,$H433)&amp;"")&lt;&gt;"yes",INDEX('Game Records'!$U:$U,$H433)&lt;&gt;"Subscription",INDEX('Game Records'!$U:$U,$H433)&lt;&gt;"Free Game",INDEX('Game Records'!$U:$U,$H433)&lt;&gt;"Disqualified — Free Game",INDEX('Game Records'!$K:$K,$H433)=""),"Final Earned; ","")&amp;IF(AND(LOWER(INDEX('Game Records'!$D:$D,$H433)&amp;"")="finalized",INDEX('Game Records'!$U:$U,$H433)&lt;&gt;"Subscription",INDEX('Game Records'!$U:$U,$H433)&lt;&gt;"Free Game",INDEX('Game Records'!$U:$U,$H433)&lt;&gt;"Disqualified — Free Game",OR(INDEX('Game Records'!$L:$L,$H433)="",LOWER(INDEX('Game Records'!$L:$L,$H433)&amp;"")="n/a")),"Disqualified Status; ",""))</x:f>
        <x:v/>
      </x:c>
      <x:c r="G433" s="331" t="str">
        <x:f>IF($H433="","",IFERROR(INDEX('Game Records'!$M:$M,$H433),""))</x:f>
        <x:v/>
      </x:c>
      <x:c r="H433" s="104" t="str">
        <x:f>IF($H432="","",IFERROR(MATCH(1,INDEX((ROW('Game Records'!$U$5:$U$504)&gt;$H432)*(('Game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4" ht="24" customHeight="1">
      <x:c r="A434" s="332" t="str">
        <x:f>IF($H434="","",ROWS($A$5:A434))</x:f>
        <x:v/>
      </x:c>
      <x:c r="B434" s="332" t="str">
        <x:f>IF($H434="","","G-"&amp;TEXT($A434,"0000"))</x:f>
        <x:v/>
      </x:c>
      <x:c r="C434" s="331" t="str">
        <x:f>IF($H434="","",IFERROR(INDEX('Game Records'!$A:$A,$H434),""))</x:f>
        <x:v/>
      </x:c>
      <x:c r="D434" s="331" t="str">
        <x:f>IF($H434="","",IFERROR(INDEX('Game Records'!$U:$U,$H434),""))</x:f>
        <x:v/>
      </x:c>
      <x:c r="E434" s="331" t="str">
        <x:f>IF($H434="","",IF($F434="","No Highlighted Fields","Highlighted Fields Present"))</x:f>
        <x:v/>
      </x:c>
      <x:c r="F434" s="331" t="str">
        <x:f>IF($H434="","",IF(INDEX('Game Records'!$B:$B,$H434)="","Start Date; ","")&amp;IF(INDEX('Game Records'!$C:$C,$H434)="","End Date; ","")&amp;IF(AND(INDEX('Game Records'!$U:$U,$H434)&lt;&gt;"Subscription",INDEX('Game Records'!$U:$U,$H434)&lt;&gt;"Free Game",INDEX('Game Records'!$U:$U,$H434)&lt;&gt;"Disqualified — Free Game",OR(INDEX('Game Records'!$D:$D,$H434)="",LOWER(INDEX('Game Records'!$D:$D,$H434)&amp;"")="n/a")),"Entry Mode; ","")&amp;IF(AND(INDEX('Game Records'!$U:$U,$H434)&lt;&gt;"Subscription",INDEX('Game Records'!$U:$U,$H434)&lt;&gt;"Free Game",INDEX('Game Records'!$U:$U,$H434)&lt;&gt;"Disqualified — Free Game",OR(INDEX('Game Records'!$E:$E,$H434)="",LOWER(INDEX('Game Records'!$E:$E,$H434)&amp;"")="n/a")),"Game Type; ","")&amp;IF(INDEX('Game Records'!$F:$F,$H434)="","Payment Type; ","")&amp;IF(AND(INDEX('Game Records'!$U:$U,$H434)&lt;&gt;"Subscription",INDEX('Game Records'!$U:$U,$H434)&lt;&gt;"Free Game",INDEX('Game Records'!$U:$U,$H434)&lt;&gt;"Disqualified — Free Game",INDEX('Game Records'!$G:$G,$H434)=""),"Gross Pot; ","")&amp;IF(AND(INDEX('Game Records'!$U:$U,$H434)&lt;&gt;"Free Game",INDEX('Game Records'!$U:$U,$H434)&lt;&gt;"Disqualified — Free Game",INDEX('Game Records'!$H:$H,$H434)=""),"Entry Fee; ","")&amp;IF(AND(INDEX('Game Records'!$U:$U,$H434)&lt;&gt;"Subscription",INDEX('Game Records'!$U:$U,$H434)&lt;&gt;"Free Game",INDEX('Game Records'!$U:$U,$H434)&lt;&gt;"Disqualified — Free Game",INDEX('Game Records'!$I:$I,$H434)=""),"Eligible Players; ","")&amp;IF(AND(INDEX('Game Records'!$U:$U,$H434)&lt;&gt;"Subscription",INDEX('Game Records'!$U:$U,$H434)&lt;&gt;"Free Game",INDEX('Game Records'!$U:$U,$H434)&lt;&gt;"Disqualified — Free Game",INDEX('Game Records'!$J:$J,$H434)=""),"Total Players; ","")&amp;IF(AND(LOWER(INDEX('Game Records'!$D:$D,$H434)&amp;"")="finalized",LOWER(INDEX('Game Records'!$L:$L,$H434)&amp;"")&lt;&gt;"yes",INDEX('Game Records'!$U:$U,$H434)&lt;&gt;"Subscription",INDEX('Game Records'!$U:$U,$H434)&lt;&gt;"Free Game",INDEX('Game Records'!$U:$U,$H434)&lt;&gt;"Disqualified — Free Game",INDEX('Game Records'!$K:$K,$H434)=""),"Final Earned; ","")&amp;IF(AND(LOWER(INDEX('Game Records'!$D:$D,$H434)&amp;"")="finalized",INDEX('Game Records'!$U:$U,$H434)&lt;&gt;"Subscription",INDEX('Game Records'!$U:$U,$H434)&lt;&gt;"Free Game",INDEX('Game Records'!$U:$U,$H434)&lt;&gt;"Disqualified — Free Game",OR(INDEX('Game Records'!$L:$L,$H434)="",LOWER(INDEX('Game Records'!$L:$L,$H434)&amp;"")="n/a")),"Disqualified Status; ",""))</x:f>
        <x:v/>
      </x:c>
      <x:c r="G434" s="331" t="str">
        <x:f>IF($H434="","",IFERROR(INDEX('Game Records'!$M:$M,$H434),""))</x:f>
        <x:v/>
      </x:c>
      <x:c r="H434" s="104" t="str">
        <x:f>IF($H433="","",IFERROR(MATCH(1,INDEX((ROW('Game Records'!$U$5:$U$504)&gt;$H433)*(('Game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5" ht="24" customHeight="1">
      <x:c r="A435" s="332" t="str">
        <x:f>IF($H435="","",ROWS($A$5:A435))</x:f>
        <x:v/>
      </x:c>
      <x:c r="B435" s="332" t="str">
        <x:f>IF($H435="","","G-"&amp;TEXT($A435,"0000"))</x:f>
        <x:v/>
      </x:c>
      <x:c r="C435" s="331" t="str">
        <x:f>IF($H435="","",IFERROR(INDEX('Game Records'!$A:$A,$H435),""))</x:f>
        <x:v/>
      </x:c>
      <x:c r="D435" s="331" t="str">
        <x:f>IF($H435="","",IFERROR(INDEX('Game Records'!$U:$U,$H435),""))</x:f>
        <x:v/>
      </x:c>
      <x:c r="E435" s="331" t="str">
        <x:f>IF($H435="","",IF($F435="","No Highlighted Fields","Highlighted Fields Present"))</x:f>
        <x:v/>
      </x:c>
      <x:c r="F435" s="331" t="str">
        <x:f>IF($H435="","",IF(INDEX('Game Records'!$B:$B,$H435)="","Start Date; ","")&amp;IF(INDEX('Game Records'!$C:$C,$H435)="","End Date; ","")&amp;IF(AND(INDEX('Game Records'!$U:$U,$H435)&lt;&gt;"Subscription",INDEX('Game Records'!$U:$U,$H435)&lt;&gt;"Free Game",INDEX('Game Records'!$U:$U,$H435)&lt;&gt;"Disqualified — Free Game",OR(INDEX('Game Records'!$D:$D,$H435)="",LOWER(INDEX('Game Records'!$D:$D,$H435)&amp;"")="n/a")),"Entry Mode; ","")&amp;IF(AND(INDEX('Game Records'!$U:$U,$H435)&lt;&gt;"Subscription",INDEX('Game Records'!$U:$U,$H435)&lt;&gt;"Free Game",INDEX('Game Records'!$U:$U,$H435)&lt;&gt;"Disqualified — Free Game",OR(INDEX('Game Records'!$E:$E,$H435)="",LOWER(INDEX('Game Records'!$E:$E,$H435)&amp;"")="n/a")),"Game Type; ","")&amp;IF(INDEX('Game Records'!$F:$F,$H435)="","Payment Type; ","")&amp;IF(AND(INDEX('Game Records'!$U:$U,$H435)&lt;&gt;"Subscription",INDEX('Game Records'!$U:$U,$H435)&lt;&gt;"Free Game",INDEX('Game Records'!$U:$U,$H435)&lt;&gt;"Disqualified — Free Game",INDEX('Game Records'!$G:$G,$H435)=""),"Gross Pot; ","")&amp;IF(AND(INDEX('Game Records'!$U:$U,$H435)&lt;&gt;"Free Game",INDEX('Game Records'!$U:$U,$H435)&lt;&gt;"Disqualified — Free Game",INDEX('Game Records'!$H:$H,$H435)=""),"Entry Fee; ","")&amp;IF(AND(INDEX('Game Records'!$U:$U,$H435)&lt;&gt;"Subscription",INDEX('Game Records'!$U:$U,$H435)&lt;&gt;"Free Game",INDEX('Game Records'!$U:$U,$H435)&lt;&gt;"Disqualified — Free Game",INDEX('Game Records'!$I:$I,$H435)=""),"Eligible Players; ","")&amp;IF(AND(INDEX('Game Records'!$U:$U,$H435)&lt;&gt;"Subscription",INDEX('Game Records'!$U:$U,$H435)&lt;&gt;"Free Game",INDEX('Game Records'!$U:$U,$H435)&lt;&gt;"Disqualified — Free Game",INDEX('Game Records'!$J:$J,$H435)=""),"Total Players; ","")&amp;IF(AND(LOWER(INDEX('Game Records'!$D:$D,$H435)&amp;"")="finalized",LOWER(INDEX('Game Records'!$L:$L,$H435)&amp;"")&lt;&gt;"yes",INDEX('Game Records'!$U:$U,$H435)&lt;&gt;"Subscription",INDEX('Game Records'!$U:$U,$H435)&lt;&gt;"Free Game",INDEX('Game Records'!$U:$U,$H435)&lt;&gt;"Disqualified — Free Game",INDEX('Game Records'!$K:$K,$H435)=""),"Final Earned; ","")&amp;IF(AND(LOWER(INDEX('Game Records'!$D:$D,$H435)&amp;"")="finalized",INDEX('Game Records'!$U:$U,$H435)&lt;&gt;"Subscription",INDEX('Game Records'!$U:$U,$H435)&lt;&gt;"Free Game",INDEX('Game Records'!$U:$U,$H435)&lt;&gt;"Disqualified — Free Game",OR(INDEX('Game Records'!$L:$L,$H435)="",LOWER(INDEX('Game Records'!$L:$L,$H435)&amp;"")="n/a")),"Disqualified Status; ",""))</x:f>
        <x:v/>
      </x:c>
      <x:c r="G435" s="331" t="str">
        <x:f>IF($H435="","",IFERROR(INDEX('Game Records'!$M:$M,$H435),""))</x:f>
        <x:v/>
      </x:c>
      <x:c r="H435" s="104" t="str">
        <x:f>IF($H434="","",IFERROR(MATCH(1,INDEX((ROW('Game Records'!$U$5:$U$504)&gt;$H434)*(('Game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6" ht="24" customHeight="1">
      <x:c r="A436" s="332" t="str">
        <x:f>IF($H436="","",ROWS($A$5:A436))</x:f>
        <x:v/>
      </x:c>
      <x:c r="B436" s="332" t="str">
        <x:f>IF($H436="","","G-"&amp;TEXT($A436,"0000"))</x:f>
        <x:v/>
      </x:c>
      <x:c r="C436" s="331" t="str">
        <x:f>IF($H436="","",IFERROR(INDEX('Game Records'!$A:$A,$H436),""))</x:f>
        <x:v/>
      </x:c>
      <x:c r="D436" s="331" t="str">
        <x:f>IF($H436="","",IFERROR(INDEX('Game Records'!$U:$U,$H436),""))</x:f>
        <x:v/>
      </x:c>
      <x:c r="E436" s="331" t="str">
        <x:f>IF($H436="","",IF($F436="","No Highlighted Fields","Highlighted Fields Present"))</x:f>
        <x:v/>
      </x:c>
      <x:c r="F436" s="331" t="str">
        <x:f>IF($H436="","",IF(INDEX('Game Records'!$B:$B,$H436)="","Start Date; ","")&amp;IF(INDEX('Game Records'!$C:$C,$H436)="","End Date; ","")&amp;IF(AND(INDEX('Game Records'!$U:$U,$H436)&lt;&gt;"Subscription",INDEX('Game Records'!$U:$U,$H436)&lt;&gt;"Free Game",INDEX('Game Records'!$U:$U,$H436)&lt;&gt;"Disqualified — Free Game",OR(INDEX('Game Records'!$D:$D,$H436)="",LOWER(INDEX('Game Records'!$D:$D,$H436)&amp;"")="n/a")),"Entry Mode; ","")&amp;IF(AND(INDEX('Game Records'!$U:$U,$H436)&lt;&gt;"Subscription",INDEX('Game Records'!$U:$U,$H436)&lt;&gt;"Free Game",INDEX('Game Records'!$U:$U,$H436)&lt;&gt;"Disqualified — Free Game",OR(INDEX('Game Records'!$E:$E,$H436)="",LOWER(INDEX('Game Records'!$E:$E,$H436)&amp;"")="n/a")),"Game Type; ","")&amp;IF(INDEX('Game Records'!$F:$F,$H436)="","Payment Type; ","")&amp;IF(AND(INDEX('Game Records'!$U:$U,$H436)&lt;&gt;"Subscription",INDEX('Game Records'!$U:$U,$H436)&lt;&gt;"Free Game",INDEX('Game Records'!$U:$U,$H436)&lt;&gt;"Disqualified — Free Game",INDEX('Game Records'!$G:$G,$H436)=""),"Gross Pot; ","")&amp;IF(AND(INDEX('Game Records'!$U:$U,$H436)&lt;&gt;"Free Game",INDEX('Game Records'!$U:$U,$H436)&lt;&gt;"Disqualified — Free Game",INDEX('Game Records'!$H:$H,$H436)=""),"Entry Fee; ","")&amp;IF(AND(INDEX('Game Records'!$U:$U,$H436)&lt;&gt;"Subscription",INDEX('Game Records'!$U:$U,$H436)&lt;&gt;"Free Game",INDEX('Game Records'!$U:$U,$H436)&lt;&gt;"Disqualified — Free Game",INDEX('Game Records'!$I:$I,$H436)=""),"Eligible Players; ","")&amp;IF(AND(INDEX('Game Records'!$U:$U,$H436)&lt;&gt;"Subscription",INDEX('Game Records'!$U:$U,$H436)&lt;&gt;"Free Game",INDEX('Game Records'!$U:$U,$H436)&lt;&gt;"Disqualified — Free Game",INDEX('Game Records'!$J:$J,$H436)=""),"Total Players; ","")&amp;IF(AND(LOWER(INDEX('Game Records'!$D:$D,$H436)&amp;"")="finalized",LOWER(INDEX('Game Records'!$L:$L,$H436)&amp;"")&lt;&gt;"yes",INDEX('Game Records'!$U:$U,$H436)&lt;&gt;"Subscription",INDEX('Game Records'!$U:$U,$H436)&lt;&gt;"Free Game",INDEX('Game Records'!$U:$U,$H436)&lt;&gt;"Disqualified — Free Game",INDEX('Game Records'!$K:$K,$H436)=""),"Final Earned; ","")&amp;IF(AND(LOWER(INDEX('Game Records'!$D:$D,$H436)&amp;"")="finalized",INDEX('Game Records'!$U:$U,$H436)&lt;&gt;"Subscription",INDEX('Game Records'!$U:$U,$H436)&lt;&gt;"Free Game",INDEX('Game Records'!$U:$U,$H436)&lt;&gt;"Disqualified — Free Game",OR(INDEX('Game Records'!$L:$L,$H436)="",LOWER(INDEX('Game Records'!$L:$L,$H436)&amp;"")="n/a")),"Disqualified Status; ",""))</x:f>
        <x:v/>
      </x:c>
      <x:c r="G436" s="331" t="str">
        <x:f>IF($H436="","",IFERROR(INDEX('Game Records'!$M:$M,$H436),""))</x:f>
        <x:v/>
      </x:c>
      <x:c r="H436" s="104" t="str">
        <x:f>IF($H435="","",IFERROR(MATCH(1,INDEX((ROW('Game Records'!$U$5:$U$504)&gt;$H435)*(('Game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7" ht="24" customHeight="1">
      <x:c r="A437" s="332" t="str">
        <x:f>IF($H437="","",ROWS($A$5:A437))</x:f>
        <x:v/>
      </x:c>
      <x:c r="B437" s="332" t="str">
        <x:f>IF($H437="","","G-"&amp;TEXT($A437,"0000"))</x:f>
        <x:v/>
      </x:c>
      <x:c r="C437" s="331" t="str">
        <x:f>IF($H437="","",IFERROR(INDEX('Game Records'!$A:$A,$H437),""))</x:f>
        <x:v/>
      </x:c>
      <x:c r="D437" s="331" t="str">
        <x:f>IF($H437="","",IFERROR(INDEX('Game Records'!$U:$U,$H437),""))</x:f>
        <x:v/>
      </x:c>
      <x:c r="E437" s="331" t="str">
        <x:f>IF($H437="","",IF($F437="","No Highlighted Fields","Highlighted Fields Present"))</x:f>
        <x:v/>
      </x:c>
      <x:c r="F437" s="331" t="str">
        <x:f>IF($H437="","",IF(INDEX('Game Records'!$B:$B,$H437)="","Start Date; ","")&amp;IF(INDEX('Game Records'!$C:$C,$H437)="","End Date; ","")&amp;IF(AND(INDEX('Game Records'!$U:$U,$H437)&lt;&gt;"Subscription",INDEX('Game Records'!$U:$U,$H437)&lt;&gt;"Free Game",INDEX('Game Records'!$U:$U,$H437)&lt;&gt;"Disqualified — Free Game",OR(INDEX('Game Records'!$D:$D,$H437)="",LOWER(INDEX('Game Records'!$D:$D,$H437)&amp;"")="n/a")),"Entry Mode; ","")&amp;IF(AND(INDEX('Game Records'!$U:$U,$H437)&lt;&gt;"Subscription",INDEX('Game Records'!$U:$U,$H437)&lt;&gt;"Free Game",INDEX('Game Records'!$U:$U,$H437)&lt;&gt;"Disqualified — Free Game",OR(INDEX('Game Records'!$E:$E,$H437)="",LOWER(INDEX('Game Records'!$E:$E,$H437)&amp;"")="n/a")),"Game Type; ","")&amp;IF(INDEX('Game Records'!$F:$F,$H437)="","Payment Type; ","")&amp;IF(AND(INDEX('Game Records'!$U:$U,$H437)&lt;&gt;"Subscription",INDEX('Game Records'!$U:$U,$H437)&lt;&gt;"Free Game",INDEX('Game Records'!$U:$U,$H437)&lt;&gt;"Disqualified — Free Game",INDEX('Game Records'!$G:$G,$H437)=""),"Gross Pot; ","")&amp;IF(AND(INDEX('Game Records'!$U:$U,$H437)&lt;&gt;"Free Game",INDEX('Game Records'!$U:$U,$H437)&lt;&gt;"Disqualified — Free Game",INDEX('Game Records'!$H:$H,$H437)=""),"Entry Fee; ","")&amp;IF(AND(INDEX('Game Records'!$U:$U,$H437)&lt;&gt;"Subscription",INDEX('Game Records'!$U:$U,$H437)&lt;&gt;"Free Game",INDEX('Game Records'!$U:$U,$H437)&lt;&gt;"Disqualified — Free Game",INDEX('Game Records'!$I:$I,$H437)=""),"Eligible Players; ","")&amp;IF(AND(INDEX('Game Records'!$U:$U,$H437)&lt;&gt;"Subscription",INDEX('Game Records'!$U:$U,$H437)&lt;&gt;"Free Game",INDEX('Game Records'!$U:$U,$H437)&lt;&gt;"Disqualified — Free Game",INDEX('Game Records'!$J:$J,$H437)=""),"Total Players; ","")&amp;IF(AND(LOWER(INDEX('Game Records'!$D:$D,$H437)&amp;"")="finalized",LOWER(INDEX('Game Records'!$L:$L,$H437)&amp;"")&lt;&gt;"yes",INDEX('Game Records'!$U:$U,$H437)&lt;&gt;"Subscription",INDEX('Game Records'!$U:$U,$H437)&lt;&gt;"Free Game",INDEX('Game Records'!$U:$U,$H437)&lt;&gt;"Disqualified — Free Game",INDEX('Game Records'!$K:$K,$H437)=""),"Final Earned; ","")&amp;IF(AND(LOWER(INDEX('Game Records'!$D:$D,$H437)&amp;"")="finalized",INDEX('Game Records'!$U:$U,$H437)&lt;&gt;"Subscription",INDEX('Game Records'!$U:$U,$H437)&lt;&gt;"Free Game",INDEX('Game Records'!$U:$U,$H437)&lt;&gt;"Disqualified — Free Game",OR(INDEX('Game Records'!$L:$L,$H437)="",LOWER(INDEX('Game Records'!$L:$L,$H437)&amp;"")="n/a")),"Disqualified Status; ",""))</x:f>
        <x:v/>
      </x:c>
      <x:c r="G437" s="331" t="str">
        <x:f>IF($H437="","",IFERROR(INDEX('Game Records'!$M:$M,$H437),""))</x:f>
        <x:v/>
      </x:c>
      <x:c r="H437" s="104" t="str">
        <x:f>IF($H436="","",IFERROR(MATCH(1,INDEX((ROW('Game Records'!$U$5:$U$504)&gt;$H436)*(('Game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8" ht="24" customHeight="1">
      <x:c r="A438" s="332" t="str">
        <x:f>IF($H438="","",ROWS($A$5:A438))</x:f>
        <x:v/>
      </x:c>
      <x:c r="B438" s="332" t="str">
        <x:f>IF($H438="","","G-"&amp;TEXT($A438,"0000"))</x:f>
        <x:v/>
      </x:c>
      <x:c r="C438" s="331" t="str">
        <x:f>IF($H438="","",IFERROR(INDEX('Game Records'!$A:$A,$H438),""))</x:f>
        <x:v/>
      </x:c>
      <x:c r="D438" s="331" t="str">
        <x:f>IF($H438="","",IFERROR(INDEX('Game Records'!$U:$U,$H438),""))</x:f>
        <x:v/>
      </x:c>
      <x:c r="E438" s="331" t="str">
        <x:f>IF($H438="","",IF($F438="","No Highlighted Fields","Highlighted Fields Present"))</x:f>
        <x:v/>
      </x:c>
      <x:c r="F438" s="331" t="str">
        <x:f>IF($H438="","",IF(INDEX('Game Records'!$B:$B,$H438)="","Start Date; ","")&amp;IF(INDEX('Game Records'!$C:$C,$H438)="","End Date; ","")&amp;IF(AND(INDEX('Game Records'!$U:$U,$H438)&lt;&gt;"Subscription",INDEX('Game Records'!$U:$U,$H438)&lt;&gt;"Free Game",INDEX('Game Records'!$U:$U,$H438)&lt;&gt;"Disqualified — Free Game",OR(INDEX('Game Records'!$D:$D,$H438)="",LOWER(INDEX('Game Records'!$D:$D,$H438)&amp;"")="n/a")),"Entry Mode; ","")&amp;IF(AND(INDEX('Game Records'!$U:$U,$H438)&lt;&gt;"Subscription",INDEX('Game Records'!$U:$U,$H438)&lt;&gt;"Free Game",INDEX('Game Records'!$U:$U,$H438)&lt;&gt;"Disqualified — Free Game",OR(INDEX('Game Records'!$E:$E,$H438)="",LOWER(INDEX('Game Records'!$E:$E,$H438)&amp;"")="n/a")),"Game Type; ","")&amp;IF(INDEX('Game Records'!$F:$F,$H438)="","Payment Type; ","")&amp;IF(AND(INDEX('Game Records'!$U:$U,$H438)&lt;&gt;"Subscription",INDEX('Game Records'!$U:$U,$H438)&lt;&gt;"Free Game",INDEX('Game Records'!$U:$U,$H438)&lt;&gt;"Disqualified — Free Game",INDEX('Game Records'!$G:$G,$H438)=""),"Gross Pot; ","")&amp;IF(AND(INDEX('Game Records'!$U:$U,$H438)&lt;&gt;"Free Game",INDEX('Game Records'!$U:$U,$H438)&lt;&gt;"Disqualified — Free Game",INDEX('Game Records'!$H:$H,$H438)=""),"Entry Fee; ","")&amp;IF(AND(INDEX('Game Records'!$U:$U,$H438)&lt;&gt;"Subscription",INDEX('Game Records'!$U:$U,$H438)&lt;&gt;"Free Game",INDEX('Game Records'!$U:$U,$H438)&lt;&gt;"Disqualified — Free Game",INDEX('Game Records'!$I:$I,$H438)=""),"Eligible Players; ","")&amp;IF(AND(INDEX('Game Records'!$U:$U,$H438)&lt;&gt;"Subscription",INDEX('Game Records'!$U:$U,$H438)&lt;&gt;"Free Game",INDEX('Game Records'!$U:$U,$H438)&lt;&gt;"Disqualified — Free Game",INDEX('Game Records'!$J:$J,$H438)=""),"Total Players; ","")&amp;IF(AND(LOWER(INDEX('Game Records'!$D:$D,$H438)&amp;"")="finalized",LOWER(INDEX('Game Records'!$L:$L,$H438)&amp;"")&lt;&gt;"yes",INDEX('Game Records'!$U:$U,$H438)&lt;&gt;"Subscription",INDEX('Game Records'!$U:$U,$H438)&lt;&gt;"Free Game",INDEX('Game Records'!$U:$U,$H438)&lt;&gt;"Disqualified — Free Game",INDEX('Game Records'!$K:$K,$H438)=""),"Final Earned; ","")&amp;IF(AND(LOWER(INDEX('Game Records'!$D:$D,$H438)&amp;"")="finalized",INDEX('Game Records'!$U:$U,$H438)&lt;&gt;"Subscription",INDEX('Game Records'!$U:$U,$H438)&lt;&gt;"Free Game",INDEX('Game Records'!$U:$U,$H438)&lt;&gt;"Disqualified — Free Game",OR(INDEX('Game Records'!$L:$L,$H438)="",LOWER(INDEX('Game Records'!$L:$L,$H438)&amp;"")="n/a")),"Disqualified Status; ",""))</x:f>
        <x:v/>
      </x:c>
      <x:c r="G438" s="331" t="str">
        <x:f>IF($H438="","",IFERROR(INDEX('Game Records'!$M:$M,$H438),""))</x:f>
        <x:v/>
      </x:c>
      <x:c r="H438" s="104" t="str">
        <x:f>IF($H437="","",IFERROR(MATCH(1,INDEX((ROW('Game Records'!$U$5:$U$504)&gt;$H437)*(('Game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39" ht="24" customHeight="1">
      <x:c r="A439" s="332" t="str">
        <x:f>IF($H439="","",ROWS($A$5:A439))</x:f>
        <x:v/>
      </x:c>
      <x:c r="B439" s="332" t="str">
        <x:f>IF($H439="","","G-"&amp;TEXT($A439,"0000"))</x:f>
        <x:v/>
      </x:c>
      <x:c r="C439" s="331" t="str">
        <x:f>IF($H439="","",IFERROR(INDEX('Game Records'!$A:$A,$H439),""))</x:f>
        <x:v/>
      </x:c>
      <x:c r="D439" s="331" t="str">
        <x:f>IF($H439="","",IFERROR(INDEX('Game Records'!$U:$U,$H439),""))</x:f>
        <x:v/>
      </x:c>
      <x:c r="E439" s="331" t="str">
        <x:f>IF($H439="","",IF($F439="","No Highlighted Fields","Highlighted Fields Present"))</x:f>
        <x:v/>
      </x:c>
      <x:c r="F439" s="331" t="str">
        <x:f>IF($H439="","",IF(INDEX('Game Records'!$B:$B,$H439)="","Start Date; ","")&amp;IF(INDEX('Game Records'!$C:$C,$H439)="","End Date; ","")&amp;IF(AND(INDEX('Game Records'!$U:$U,$H439)&lt;&gt;"Subscription",INDEX('Game Records'!$U:$U,$H439)&lt;&gt;"Free Game",INDEX('Game Records'!$U:$U,$H439)&lt;&gt;"Disqualified — Free Game",OR(INDEX('Game Records'!$D:$D,$H439)="",LOWER(INDEX('Game Records'!$D:$D,$H439)&amp;"")="n/a")),"Entry Mode; ","")&amp;IF(AND(INDEX('Game Records'!$U:$U,$H439)&lt;&gt;"Subscription",INDEX('Game Records'!$U:$U,$H439)&lt;&gt;"Free Game",INDEX('Game Records'!$U:$U,$H439)&lt;&gt;"Disqualified — Free Game",OR(INDEX('Game Records'!$E:$E,$H439)="",LOWER(INDEX('Game Records'!$E:$E,$H439)&amp;"")="n/a")),"Game Type; ","")&amp;IF(INDEX('Game Records'!$F:$F,$H439)="","Payment Type; ","")&amp;IF(AND(INDEX('Game Records'!$U:$U,$H439)&lt;&gt;"Subscription",INDEX('Game Records'!$U:$U,$H439)&lt;&gt;"Free Game",INDEX('Game Records'!$U:$U,$H439)&lt;&gt;"Disqualified — Free Game",INDEX('Game Records'!$G:$G,$H439)=""),"Gross Pot; ","")&amp;IF(AND(INDEX('Game Records'!$U:$U,$H439)&lt;&gt;"Free Game",INDEX('Game Records'!$U:$U,$H439)&lt;&gt;"Disqualified — Free Game",INDEX('Game Records'!$H:$H,$H439)=""),"Entry Fee; ","")&amp;IF(AND(INDEX('Game Records'!$U:$U,$H439)&lt;&gt;"Subscription",INDEX('Game Records'!$U:$U,$H439)&lt;&gt;"Free Game",INDEX('Game Records'!$U:$U,$H439)&lt;&gt;"Disqualified — Free Game",INDEX('Game Records'!$I:$I,$H439)=""),"Eligible Players; ","")&amp;IF(AND(INDEX('Game Records'!$U:$U,$H439)&lt;&gt;"Subscription",INDEX('Game Records'!$U:$U,$H439)&lt;&gt;"Free Game",INDEX('Game Records'!$U:$U,$H439)&lt;&gt;"Disqualified — Free Game",INDEX('Game Records'!$J:$J,$H439)=""),"Total Players; ","")&amp;IF(AND(LOWER(INDEX('Game Records'!$D:$D,$H439)&amp;"")="finalized",LOWER(INDEX('Game Records'!$L:$L,$H439)&amp;"")&lt;&gt;"yes",INDEX('Game Records'!$U:$U,$H439)&lt;&gt;"Subscription",INDEX('Game Records'!$U:$U,$H439)&lt;&gt;"Free Game",INDEX('Game Records'!$U:$U,$H439)&lt;&gt;"Disqualified — Free Game",INDEX('Game Records'!$K:$K,$H439)=""),"Final Earned; ","")&amp;IF(AND(LOWER(INDEX('Game Records'!$D:$D,$H439)&amp;"")="finalized",INDEX('Game Records'!$U:$U,$H439)&lt;&gt;"Subscription",INDEX('Game Records'!$U:$U,$H439)&lt;&gt;"Free Game",INDEX('Game Records'!$U:$U,$H439)&lt;&gt;"Disqualified — Free Game",OR(INDEX('Game Records'!$L:$L,$H439)="",LOWER(INDEX('Game Records'!$L:$L,$H439)&amp;"")="n/a")),"Disqualified Status; ",""))</x:f>
        <x:v/>
      </x:c>
      <x:c r="G439" s="331" t="str">
        <x:f>IF($H439="","",IFERROR(INDEX('Game Records'!$M:$M,$H439),""))</x:f>
        <x:v/>
      </x:c>
      <x:c r="H439" s="104" t="str">
        <x:f>IF($H438="","",IFERROR(MATCH(1,INDEX((ROW('Game Records'!$U$5:$U$504)&gt;$H438)*(('Game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0" ht="24" customHeight="1">
      <x:c r="A440" s="332" t="str">
        <x:f>IF($H440="","",ROWS($A$5:A440))</x:f>
        <x:v/>
      </x:c>
      <x:c r="B440" s="332" t="str">
        <x:f>IF($H440="","","G-"&amp;TEXT($A440,"0000"))</x:f>
        <x:v/>
      </x:c>
      <x:c r="C440" s="331" t="str">
        <x:f>IF($H440="","",IFERROR(INDEX('Game Records'!$A:$A,$H440),""))</x:f>
        <x:v/>
      </x:c>
      <x:c r="D440" s="331" t="str">
        <x:f>IF($H440="","",IFERROR(INDEX('Game Records'!$U:$U,$H440),""))</x:f>
        <x:v/>
      </x:c>
      <x:c r="E440" s="331" t="str">
        <x:f>IF($H440="","",IF($F440="","No Highlighted Fields","Highlighted Fields Present"))</x:f>
        <x:v/>
      </x:c>
      <x:c r="F440" s="331" t="str">
        <x:f>IF($H440="","",IF(INDEX('Game Records'!$B:$B,$H440)="","Start Date; ","")&amp;IF(INDEX('Game Records'!$C:$C,$H440)="","End Date; ","")&amp;IF(AND(INDEX('Game Records'!$U:$U,$H440)&lt;&gt;"Subscription",INDEX('Game Records'!$U:$U,$H440)&lt;&gt;"Free Game",INDEX('Game Records'!$U:$U,$H440)&lt;&gt;"Disqualified — Free Game",OR(INDEX('Game Records'!$D:$D,$H440)="",LOWER(INDEX('Game Records'!$D:$D,$H440)&amp;"")="n/a")),"Entry Mode; ","")&amp;IF(AND(INDEX('Game Records'!$U:$U,$H440)&lt;&gt;"Subscription",INDEX('Game Records'!$U:$U,$H440)&lt;&gt;"Free Game",INDEX('Game Records'!$U:$U,$H440)&lt;&gt;"Disqualified — Free Game",OR(INDEX('Game Records'!$E:$E,$H440)="",LOWER(INDEX('Game Records'!$E:$E,$H440)&amp;"")="n/a")),"Game Type; ","")&amp;IF(INDEX('Game Records'!$F:$F,$H440)="","Payment Type; ","")&amp;IF(AND(INDEX('Game Records'!$U:$U,$H440)&lt;&gt;"Subscription",INDEX('Game Records'!$U:$U,$H440)&lt;&gt;"Free Game",INDEX('Game Records'!$U:$U,$H440)&lt;&gt;"Disqualified — Free Game",INDEX('Game Records'!$G:$G,$H440)=""),"Gross Pot; ","")&amp;IF(AND(INDEX('Game Records'!$U:$U,$H440)&lt;&gt;"Free Game",INDEX('Game Records'!$U:$U,$H440)&lt;&gt;"Disqualified — Free Game",INDEX('Game Records'!$H:$H,$H440)=""),"Entry Fee; ","")&amp;IF(AND(INDEX('Game Records'!$U:$U,$H440)&lt;&gt;"Subscription",INDEX('Game Records'!$U:$U,$H440)&lt;&gt;"Free Game",INDEX('Game Records'!$U:$U,$H440)&lt;&gt;"Disqualified — Free Game",INDEX('Game Records'!$I:$I,$H440)=""),"Eligible Players; ","")&amp;IF(AND(INDEX('Game Records'!$U:$U,$H440)&lt;&gt;"Subscription",INDEX('Game Records'!$U:$U,$H440)&lt;&gt;"Free Game",INDEX('Game Records'!$U:$U,$H440)&lt;&gt;"Disqualified — Free Game",INDEX('Game Records'!$J:$J,$H440)=""),"Total Players; ","")&amp;IF(AND(LOWER(INDEX('Game Records'!$D:$D,$H440)&amp;"")="finalized",LOWER(INDEX('Game Records'!$L:$L,$H440)&amp;"")&lt;&gt;"yes",INDEX('Game Records'!$U:$U,$H440)&lt;&gt;"Subscription",INDEX('Game Records'!$U:$U,$H440)&lt;&gt;"Free Game",INDEX('Game Records'!$U:$U,$H440)&lt;&gt;"Disqualified — Free Game",INDEX('Game Records'!$K:$K,$H440)=""),"Final Earned; ","")&amp;IF(AND(LOWER(INDEX('Game Records'!$D:$D,$H440)&amp;"")="finalized",INDEX('Game Records'!$U:$U,$H440)&lt;&gt;"Subscription",INDEX('Game Records'!$U:$U,$H440)&lt;&gt;"Free Game",INDEX('Game Records'!$U:$U,$H440)&lt;&gt;"Disqualified — Free Game",OR(INDEX('Game Records'!$L:$L,$H440)="",LOWER(INDEX('Game Records'!$L:$L,$H440)&amp;"")="n/a")),"Disqualified Status; ",""))</x:f>
        <x:v/>
      </x:c>
      <x:c r="G440" s="331" t="str">
        <x:f>IF($H440="","",IFERROR(INDEX('Game Records'!$M:$M,$H440),""))</x:f>
        <x:v/>
      </x:c>
      <x:c r="H440" s="104" t="str">
        <x:f>IF($H439="","",IFERROR(MATCH(1,INDEX((ROW('Game Records'!$U$5:$U$504)&gt;$H439)*(('Game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1" ht="24" customHeight="1">
      <x:c r="A441" s="332" t="str">
        <x:f>IF($H441="","",ROWS($A$5:A441))</x:f>
        <x:v/>
      </x:c>
      <x:c r="B441" s="332" t="str">
        <x:f>IF($H441="","","G-"&amp;TEXT($A441,"0000"))</x:f>
        <x:v/>
      </x:c>
      <x:c r="C441" s="331" t="str">
        <x:f>IF($H441="","",IFERROR(INDEX('Game Records'!$A:$A,$H441),""))</x:f>
        <x:v/>
      </x:c>
      <x:c r="D441" s="331" t="str">
        <x:f>IF($H441="","",IFERROR(INDEX('Game Records'!$U:$U,$H441),""))</x:f>
        <x:v/>
      </x:c>
      <x:c r="E441" s="331" t="str">
        <x:f>IF($H441="","",IF($F441="","No Highlighted Fields","Highlighted Fields Present"))</x:f>
        <x:v/>
      </x:c>
      <x:c r="F441" s="331" t="str">
        <x:f>IF($H441="","",IF(INDEX('Game Records'!$B:$B,$H441)="","Start Date; ","")&amp;IF(INDEX('Game Records'!$C:$C,$H441)="","End Date; ","")&amp;IF(AND(INDEX('Game Records'!$U:$U,$H441)&lt;&gt;"Subscription",INDEX('Game Records'!$U:$U,$H441)&lt;&gt;"Free Game",INDEX('Game Records'!$U:$U,$H441)&lt;&gt;"Disqualified — Free Game",OR(INDEX('Game Records'!$D:$D,$H441)="",LOWER(INDEX('Game Records'!$D:$D,$H441)&amp;"")="n/a")),"Entry Mode; ","")&amp;IF(AND(INDEX('Game Records'!$U:$U,$H441)&lt;&gt;"Subscription",INDEX('Game Records'!$U:$U,$H441)&lt;&gt;"Free Game",INDEX('Game Records'!$U:$U,$H441)&lt;&gt;"Disqualified — Free Game",OR(INDEX('Game Records'!$E:$E,$H441)="",LOWER(INDEX('Game Records'!$E:$E,$H441)&amp;"")="n/a")),"Game Type; ","")&amp;IF(INDEX('Game Records'!$F:$F,$H441)="","Payment Type; ","")&amp;IF(AND(INDEX('Game Records'!$U:$U,$H441)&lt;&gt;"Subscription",INDEX('Game Records'!$U:$U,$H441)&lt;&gt;"Free Game",INDEX('Game Records'!$U:$U,$H441)&lt;&gt;"Disqualified — Free Game",INDEX('Game Records'!$G:$G,$H441)=""),"Gross Pot; ","")&amp;IF(AND(INDEX('Game Records'!$U:$U,$H441)&lt;&gt;"Free Game",INDEX('Game Records'!$U:$U,$H441)&lt;&gt;"Disqualified — Free Game",INDEX('Game Records'!$H:$H,$H441)=""),"Entry Fee; ","")&amp;IF(AND(INDEX('Game Records'!$U:$U,$H441)&lt;&gt;"Subscription",INDEX('Game Records'!$U:$U,$H441)&lt;&gt;"Free Game",INDEX('Game Records'!$U:$U,$H441)&lt;&gt;"Disqualified — Free Game",INDEX('Game Records'!$I:$I,$H441)=""),"Eligible Players; ","")&amp;IF(AND(INDEX('Game Records'!$U:$U,$H441)&lt;&gt;"Subscription",INDEX('Game Records'!$U:$U,$H441)&lt;&gt;"Free Game",INDEX('Game Records'!$U:$U,$H441)&lt;&gt;"Disqualified — Free Game",INDEX('Game Records'!$J:$J,$H441)=""),"Total Players; ","")&amp;IF(AND(LOWER(INDEX('Game Records'!$D:$D,$H441)&amp;"")="finalized",LOWER(INDEX('Game Records'!$L:$L,$H441)&amp;"")&lt;&gt;"yes",INDEX('Game Records'!$U:$U,$H441)&lt;&gt;"Subscription",INDEX('Game Records'!$U:$U,$H441)&lt;&gt;"Free Game",INDEX('Game Records'!$U:$U,$H441)&lt;&gt;"Disqualified — Free Game",INDEX('Game Records'!$K:$K,$H441)=""),"Final Earned; ","")&amp;IF(AND(LOWER(INDEX('Game Records'!$D:$D,$H441)&amp;"")="finalized",INDEX('Game Records'!$U:$U,$H441)&lt;&gt;"Subscription",INDEX('Game Records'!$U:$U,$H441)&lt;&gt;"Free Game",INDEX('Game Records'!$U:$U,$H441)&lt;&gt;"Disqualified — Free Game",OR(INDEX('Game Records'!$L:$L,$H441)="",LOWER(INDEX('Game Records'!$L:$L,$H441)&amp;"")="n/a")),"Disqualified Status; ",""))</x:f>
        <x:v/>
      </x:c>
      <x:c r="G441" s="331" t="str">
        <x:f>IF($H441="","",IFERROR(INDEX('Game Records'!$M:$M,$H441),""))</x:f>
        <x:v/>
      </x:c>
      <x:c r="H441" s="104" t="str">
        <x:f>IF($H440="","",IFERROR(MATCH(1,INDEX((ROW('Game Records'!$U$5:$U$504)&gt;$H440)*(('Game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2" ht="24" customHeight="1">
      <x:c r="A442" s="332" t="str">
        <x:f>IF($H442="","",ROWS($A$5:A442))</x:f>
        <x:v/>
      </x:c>
      <x:c r="B442" s="332" t="str">
        <x:f>IF($H442="","","G-"&amp;TEXT($A442,"0000"))</x:f>
        <x:v/>
      </x:c>
      <x:c r="C442" s="331" t="str">
        <x:f>IF($H442="","",IFERROR(INDEX('Game Records'!$A:$A,$H442),""))</x:f>
        <x:v/>
      </x:c>
      <x:c r="D442" s="331" t="str">
        <x:f>IF($H442="","",IFERROR(INDEX('Game Records'!$U:$U,$H442),""))</x:f>
        <x:v/>
      </x:c>
      <x:c r="E442" s="331" t="str">
        <x:f>IF($H442="","",IF($F442="","No Highlighted Fields","Highlighted Fields Present"))</x:f>
        <x:v/>
      </x:c>
      <x:c r="F442" s="331" t="str">
        <x:f>IF($H442="","",IF(INDEX('Game Records'!$B:$B,$H442)="","Start Date; ","")&amp;IF(INDEX('Game Records'!$C:$C,$H442)="","End Date; ","")&amp;IF(AND(INDEX('Game Records'!$U:$U,$H442)&lt;&gt;"Subscription",INDEX('Game Records'!$U:$U,$H442)&lt;&gt;"Free Game",INDEX('Game Records'!$U:$U,$H442)&lt;&gt;"Disqualified — Free Game",OR(INDEX('Game Records'!$D:$D,$H442)="",LOWER(INDEX('Game Records'!$D:$D,$H442)&amp;"")="n/a")),"Entry Mode; ","")&amp;IF(AND(INDEX('Game Records'!$U:$U,$H442)&lt;&gt;"Subscription",INDEX('Game Records'!$U:$U,$H442)&lt;&gt;"Free Game",INDEX('Game Records'!$U:$U,$H442)&lt;&gt;"Disqualified — Free Game",OR(INDEX('Game Records'!$E:$E,$H442)="",LOWER(INDEX('Game Records'!$E:$E,$H442)&amp;"")="n/a")),"Game Type; ","")&amp;IF(INDEX('Game Records'!$F:$F,$H442)="","Payment Type; ","")&amp;IF(AND(INDEX('Game Records'!$U:$U,$H442)&lt;&gt;"Subscription",INDEX('Game Records'!$U:$U,$H442)&lt;&gt;"Free Game",INDEX('Game Records'!$U:$U,$H442)&lt;&gt;"Disqualified — Free Game",INDEX('Game Records'!$G:$G,$H442)=""),"Gross Pot; ","")&amp;IF(AND(INDEX('Game Records'!$U:$U,$H442)&lt;&gt;"Free Game",INDEX('Game Records'!$U:$U,$H442)&lt;&gt;"Disqualified — Free Game",INDEX('Game Records'!$H:$H,$H442)=""),"Entry Fee; ","")&amp;IF(AND(INDEX('Game Records'!$U:$U,$H442)&lt;&gt;"Subscription",INDEX('Game Records'!$U:$U,$H442)&lt;&gt;"Free Game",INDEX('Game Records'!$U:$U,$H442)&lt;&gt;"Disqualified — Free Game",INDEX('Game Records'!$I:$I,$H442)=""),"Eligible Players; ","")&amp;IF(AND(INDEX('Game Records'!$U:$U,$H442)&lt;&gt;"Subscription",INDEX('Game Records'!$U:$U,$H442)&lt;&gt;"Free Game",INDEX('Game Records'!$U:$U,$H442)&lt;&gt;"Disqualified — Free Game",INDEX('Game Records'!$J:$J,$H442)=""),"Total Players; ","")&amp;IF(AND(LOWER(INDEX('Game Records'!$D:$D,$H442)&amp;"")="finalized",LOWER(INDEX('Game Records'!$L:$L,$H442)&amp;"")&lt;&gt;"yes",INDEX('Game Records'!$U:$U,$H442)&lt;&gt;"Subscription",INDEX('Game Records'!$U:$U,$H442)&lt;&gt;"Free Game",INDEX('Game Records'!$U:$U,$H442)&lt;&gt;"Disqualified — Free Game",INDEX('Game Records'!$K:$K,$H442)=""),"Final Earned; ","")&amp;IF(AND(LOWER(INDEX('Game Records'!$D:$D,$H442)&amp;"")="finalized",INDEX('Game Records'!$U:$U,$H442)&lt;&gt;"Subscription",INDEX('Game Records'!$U:$U,$H442)&lt;&gt;"Free Game",INDEX('Game Records'!$U:$U,$H442)&lt;&gt;"Disqualified — Free Game",OR(INDEX('Game Records'!$L:$L,$H442)="",LOWER(INDEX('Game Records'!$L:$L,$H442)&amp;"")="n/a")),"Disqualified Status; ",""))</x:f>
        <x:v/>
      </x:c>
      <x:c r="G442" s="331" t="str">
        <x:f>IF($H442="","",IFERROR(INDEX('Game Records'!$M:$M,$H442),""))</x:f>
        <x:v/>
      </x:c>
      <x:c r="H442" s="104" t="str">
        <x:f>IF($H441="","",IFERROR(MATCH(1,INDEX((ROW('Game Records'!$U$5:$U$504)&gt;$H441)*(('Game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3" ht="24" customHeight="1">
      <x:c r="A443" s="332" t="str">
        <x:f>IF($H443="","",ROWS($A$5:A443))</x:f>
        <x:v/>
      </x:c>
      <x:c r="B443" s="332" t="str">
        <x:f>IF($H443="","","G-"&amp;TEXT($A443,"0000"))</x:f>
        <x:v/>
      </x:c>
      <x:c r="C443" s="331" t="str">
        <x:f>IF($H443="","",IFERROR(INDEX('Game Records'!$A:$A,$H443),""))</x:f>
        <x:v/>
      </x:c>
      <x:c r="D443" s="331" t="str">
        <x:f>IF($H443="","",IFERROR(INDEX('Game Records'!$U:$U,$H443),""))</x:f>
        <x:v/>
      </x:c>
      <x:c r="E443" s="331" t="str">
        <x:f>IF($H443="","",IF($F443="","No Highlighted Fields","Highlighted Fields Present"))</x:f>
        <x:v/>
      </x:c>
      <x:c r="F443" s="331" t="str">
        <x:f>IF($H443="","",IF(INDEX('Game Records'!$B:$B,$H443)="","Start Date; ","")&amp;IF(INDEX('Game Records'!$C:$C,$H443)="","End Date; ","")&amp;IF(AND(INDEX('Game Records'!$U:$U,$H443)&lt;&gt;"Subscription",INDEX('Game Records'!$U:$U,$H443)&lt;&gt;"Free Game",INDEX('Game Records'!$U:$U,$H443)&lt;&gt;"Disqualified — Free Game",OR(INDEX('Game Records'!$D:$D,$H443)="",LOWER(INDEX('Game Records'!$D:$D,$H443)&amp;"")="n/a")),"Entry Mode; ","")&amp;IF(AND(INDEX('Game Records'!$U:$U,$H443)&lt;&gt;"Subscription",INDEX('Game Records'!$U:$U,$H443)&lt;&gt;"Free Game",INDEX('Game Records'!$U:$U,$H443)&lt;&gt;"Disqualified — Free Game",OR(INDEX('Game Records'!$E:$E,$H443)="",LOWER(INDEX('Game Records'!$E:$E,$H443)&amp;"")="n/a")),"Game Type; ","")&amp;IF(INDEX('Game Records'!$F:$F,$H443)="","Payment Type; ","")&amp;IF(AND(INDEX('Game Records'!$U:$U,$H443)&lt;&gt;"Subscription",INDEX('Game Records'!$U:$U,$H443)&lt;&gt;"Free Game",INDEX('Game Records'!$U:$U,$H443)&lt;&gt;"Disqualified — Free Game",INDEX('Game Records'!$G:$G,$H443)=""),"Gross Pot; ","")&amp;IF(AND(INDEX('Game Records'!$U:$U,$H443)&lt;&gt;"Free Game",INDEX('Game Records'!$U:$U,$H443)&lt;&gt;"Disqualified — Free Game",INDEX('Game Records'!$H:$H,$H443)=""),"Entry Fee; ","")&amp;IF(AND(INDEX('Game Records'!$U:$U,$H443)&lt;&gt;"Subscription",INDEX('Game Records'!$U:$U,$H443)&lt;&gt;"Free Game",INDEX('Game Records'!$U:$U,$H443)&lt;&gt;"Disqualified — Free Game",INDEX('Game Records'!$I:$I,$H443)=""),"Eligible Players; ","")&amp;IF(AND(INDEX('Game Records'!$U:$U,$H443)&lt;&gt;"Subscription",INDEX('Game Records'!$U:$U,$H443)&lt;&gt;"Free Game",INDEX('Game Records'!$U:$U,$H443)&lt;&gt;"Disqualified — Free Game",INDEX('Game Records'!$J:$J,$H443)=""),"Total Players; ","")&amp;IF(AND(LOWER(INDEX('Game Records'!$D:$D,$H443)&amp;"")="finalized",LOWER(INDEX('Game Records'!$L:$L,$H443)&amp;"")&lt;&gt;"yes",INDEX('Game Records'!$U:$U,$H443)&lt;&gt;"Subscription",INDEX('Game Records'!$U:$U,$H443)&lt;&gt;"Free Game",INDEX('Game Records'!$U:$U,$H443)&lt;&gt;"Disqualified — Free Game",INDEX('Game Records'!$K:$K,$H443)=""),"Final Earned; ","")&amp;IF(AND(LOWER(INDEX('Game Records'!$D:$D,$H443)&amp;"")="finalized",INDEX('Game Records'!$U:$U,$H443)&lt;&gt;"Subscription",INDEX('Game Records'!$U:$U,$H443)&lt;&gt;"Free Game",INDEX('Game Records'!$U:$U,$H443)&lt;&gt;"Disqualified — Free Game",OR(INDEX('Game Records'!$L:$L,$H443)="",LOWER(INDEX('Game Records'!$L:$L,$H443)&amp;"")="n/a")),"Disqualified Status; ",""))</x:f>
        <x:v/>
      </x:c>
      <x:c r="G443" s="331" t="str">
        <x:f>IF($H443="","",IFERROR(INDEX('Game Records'!$M:$M,$H443),""))</x:f>
        <x:v/>
      </x:c>
      <x:c r="H443" s="104" t="str">
        <x:f>IF($H442="","",IFERROR(MATCH(1,INDEX((ROW('Game Records'!$U$5:$U$504)&gt;$H442)*(('Game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4" ht="24" customHeight="1">
      <x:c r="A444" s="332" t="str">
        <x:f>IF($H444="","",ROWS($A$5:A444))</x:f>
        <x:v/>
      </x:c>
      <x:c r="B444" s="332" t="str">
        <x:f>IF($H444="","","G-"&amp;TEXT($A444,"0000"))</x:f>
        <x:v/>
      </x:c>
      <x:c r="C444" s="331" t="str">
        <x:f>IF($H444="","",IFERROR(INDEX('Game Records'!$A:$A,$H444),""))</x:f>
        <x:v/>
      </x:c>
      <x:c r="D444" s="331" t="str">
        <x:f>IF($H444="","",IFERROR(INDEX('Game Records'!$U:$U,$H444),""))</x:f>
        <x:v/>
      </x:c>
      <x:c r="E444" s="331" t="str">
        <x:f>IF($H444="","",IF($F444="","No Highlighted Fields","Highlighted Fields Present"))</x:f>
        <x:v/>
      </x:c>
      <x:c r="F444" s="331" t="str">
        <x:f>IF($H444="","",IF(INDEX('Game Records'!$B:$B,$H444)="","Start Date; ","")&amp;IF(INDEX('Game Records'!$C:$C,$H444)="","End Date; ","")&amp;IF(AND(INDEX('Game Records'!$U:$U,$H444)&lt;&gt;"Subscription",INDEX('Game Records'!$U:$U,$H444)&lt;&gt;"Free Game",INDEX('Game Records'!$U:$U,$H444)&lt;&gt;"Disqualified — Free Game",OR(INDEX('Game Records'!$D:$D,$H444)="",LOWER(INDEX('Game Records'!$D:$D,$H444)&amp;"")="n/a")),"Entry Mode; ","")&amp;IF(AND(INDEX('Game Records'!$U:$U,$H444)&lt;&gt;"Subscription",INDEX('Game Records'!$U:$U,$H444)&lt;&gt;"Free Game",INDEX('Game Records'!$U:$U,$H444)&lt;&gt;"Disqualified — Free Game",OR(INDEX('Game Records'!$E:$E,$H444)="",LOWER(INDEX('Game Records'!$E:$E,$H444)&amp;"")="n/a")),"Game Type; ","")&amp;IF(INDEX('Game Records'!$F:$F,$H444)="","Payment Type; ","")&amp;IF(AND(INDEX('Game Records'!$U:$U,$H444)&lt;&gt;"Subscription",INDEX('Game Records'!$U:$U,$H444)&lt;&gt;"Free Game",INDEX('Game Records'!$U:$U,$H444)&lt;&gt;"Disqualified — Free Game",INDEX('Game Records'!$G:$G,$H444)=""),"Gross Pot; ","")&amp;IF(AND(INDEX('Game Records'!$U:$U,$H444)&lt;&gt;"Free Game",INDEX('Game Records'!$U:$U,$H444)&lt;&gt;"Disqualified — Free Game",INDEX('Game Records'!$H:$H,$H444)=""),"Entry Fee; ","")&amp;IF(AND(INDEX('Game Records'!$U:$U,$H444)&lt;&gt;"Subscription",INDEX('Game Records'!$U:$U,$H444)&lt;&gt;"Free Game",INDEX('Game Records'!$U:$U,$H444)&lt;&gt;"Disqualified — Free Game",INDEX('Game Records'!$I:$I,$H444)=""),"Eligible Players; ","")&amp;IF(AND(INDEX('Game Records'!$U:$U,$H444)&lt;&gt;"Subscription",INDEX('Game Records'!$U:$U,$H444)&lt;&gt;"Free Game",INDEX('Game Records'!$U:$U,$H444)&lt;&gt;"Disqualified — Free Game",INDEX('Game Records'!$J:$J,$H444)=""),"Total Players; ","")&amp;IF(AND(LOWER(INDEX('Game Records'!$D:$D,$H444)&amp;"")="finalized",LOWER(INDEX('Game Records'!$L:$L,$H444)&amp;"")&lt;&gt;"yes",INDEX('Game Records'!$U:$U,$H444)&lt;&gt;"Subscription",INDEX('Game Records'!$U:$U,$H444)&lt;&gt;"Free Game",INDEX('Game Records'!$U:$U,$H444)&lt;&gt;"Disqualified — Free Game",INDEX('Game Records'!$K:$K,$H444)=""),"Final Earned; ","")&amp;IF(AND(LOWER(INDEX('Game Records'!$D:$D,$H444)&amp;"")="finalized",INDEX('Game Records'!$U:$U,$H444)&lt;&gt;"Subscription",INDEX('Game Records'!$U:$U,$H444)&lt;&gt;"Free Game",INDEX('Game Records'!$U:$U,$H444)&lt;&gt;"Disqualified — Free Game",OR(INDEX('Game Records'!$L:$L,$H444)="",LOWER(INDEX('Game Records'!$L:$L,$H444)&amp;"")="n/a")),"Disqualified Status; ",""))</x:f>
        <x:v/>
      </x:c>
      <x:c r="G444" s="331" t="str">
        <x:f>IF($H444="","",IFERROR(INDEX('Game Records'!$M:$M,$H444),""))</x:f>
        <x:v/>
      </x:c>
      <x:c r="H444" s="104" t="str">
        <x:f>IF($H443="","",IFERROR(MATCH(1,INDEX((ROW('Game Records'!$U$5:$U$504)&gt;$H443)*(('Game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5" ht="24" customHeight="1">
      <x:c r="A445" s="332" t="str">
        <x:f>IF($H445="","",ROWS($A$5:A445))</x:f>
        <x:v/>
      </x:c>
      <x:c r="B445" s="332" t="str">
        <x:f>IF($H445="","","G-"&amp;TEXT($A445,"0000"))</x:f>
        <x:v/>
      </x:c>
      <x:c r="C445" s="331" t="str">
        <x:f>IF($H445="","",IFERROR(INDEX('Game Records'!$A:$A,$H445),""))</x:f>
        <x:v/>
      </x:c>
      <x:c r="D445" s="331" t="str">
        <x:f>IF($H445="","",IFERROR(INDEX('Game Records'!$U:$U,$H445),""))</x:f>
        <x:v/>
      </x:c>
      <x:c r="E445" s="331" t="str">
        <x:f>IF($H445="","",IF($F445="","No Highlighted Fields","Highlighted Fields Present"))</x:f>
        <x:v/>
      </x:c>
      <x:c r="F445" s="331" t="str">
        <x:f>IF($H445="","",IF(INDEX('Game Records'!$B:$B,$H445)="","Start Date; ","")&amp;IF(INDEX('Game Records'!$C:$C,$H445)="","End Date; ","")&amp;IF(AND(INDEX('Game Records'!$U:$U,$H445)&lt;&gt;"Subscription",INDEX('Game Records'!$U:$U,$H445)&lt;&gt;"Free Game",INDEX('Game Records'!$U:$U,$H445)&lt;&gt;"Disqualified — Free Game",OR(INDEX('Game Records'!$D:$D,$H445)="",LOWER(INDEX('Game Records'!$D:$D,$H445)&amp;"")="n/a")),"Entry Mode; ","")&amp;IF(AND(INDEX('Game Records'!$U:$U,$H445)&lt;&gt;"Subscription",INDEX('Game Records'!$U:$U,$H445)&lt;&gt;"Free Game",INDEX('Game Records'!$U:$U,$H445)&lt;&gt;"Disqualified — Free Game",OR(INDEX('Game Records'!$E:$E,$H445)="",LOWER(INDEX('Game Records'!$E:$E,$H445)&amp;"")="n/a")),"Game Type; ","")&amp;IF(INDEX('Game Records'!$F:$F,$H445)="","Payment Type; ","")&amp;IF(AND(INDEX('Game Records'!$U:$U,$H445)&lt;&gt;"Subscription",INDEX('Game Records'!$U:$U,$H445)&lt;&gt;"Free Game",INDEX('Game Records'!$U:$U,$H445)&lt;&gt;"Disqualified — Free Game",INDEX('Game Records'!$G:$G,$H445)=""),"Gross Pot; ","")&amp;IF(AND(INDEX('Game Records'!$U:$U,$H445)&lt;&gt;"Free Game",INDEX('Game Records'!$U:$U,$H445)&lt;&gt;"Disqualified — Free Game",INDEX('Game Records'!$H:$H,$H445)=""),"Entry Fee; ","")&amp;IF(AND(INDEX('Game Records'!$U:$U,$H445)&lt;&gt;"Subscription",INDEX('Game Records'!$U:$U,$H445)&lt;&gt;"Free Game",INDEX('Game Records'!$U:$U,$H445)&lt;&gt;"Disqualified — Free Game",INDEX('Game Records'!$I:$I,$H445)=""),"Eligible Players; ","")&amp;IF(AND(INDEX('Game Records'!$U:$U,$H445)&lt;&gt;"Subscription",INDEX('Game Records'!$U:$U,$H445)&lt;&gt;"Free Game",INDEX('Game Records'!$U:$U,$H445)&lt;&gt;"Disqualified — Free Game",INDEX('Game Records'!$J:$J,$H445)=""),"Total Players; ","")&amp;IF(AND(LOWER(INDEX('Game Records'!$D:$D,$H445)&amp;"")="finalized",LOWER(INDEX('Game Records'!$L:$L,$H445)&amp;"")&lt;&gt;"yes",INDEX('Game Records'!$U:$U,$H445)&lt;&gt;"Subscription",INDEX('Game Records'!$U:$U,$H445)&lt;&gt;"Free Game",INDEX('Game Records'!$U:$U,$H445)&lt;&gt;"Disqualified — Free Game",INDEX('Game Records'!$K:$K,$H445)=""),"Final Earned; ","")&amp;IF(AND(LOWER(INDEX('Game Records'!$D:$D,$H445)&amp;"")="finalized",INDEX('Game Records'!$U:$U,$H445)&lt;&gt;"Subscription",INDEX('Game Records'!$U:$U,$H445)&lt;&gt;"Free Game",INDEX('Game Records'!$U:$U,$H445)&lt;&gt;"Disqualified — Free Game",OR(INDEX('Game Records'!$L:$L,$H445)="",LOWER(INDEX('Game Records'!$L:$L,$H445)&amp;"")="n/a")),"Disqualified Status; ",""))</x:f>
        <x:v/>
      </x:c>
      <x:c r="G445" s="331" t="str">
        <x:f>IF($H445="","",IFERROR(INDEX('Game Records'!$M:$M,$H445),""))</x:f>
        <x:v/>
      </x:c>
      <x:c r="H445" s="104" t="str">
        <x:f>IF($H444="","",IFERROR(MATCH(1,INDEX((ROW('Game Records'!$U$5:$U$504)&gt;$H444)*(('Game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6" ht="24" customHeight="1">
      <x:c r="A446" s="332" t="str">
        <x:f>IF($H446="","",ROWS($A$5:A446))</x:f>
        <x:v/>
      </x:c>
      <x:c r="B446" s="332" t="str">
        <x:f>IF($H446="","","G-"&amp;TEXT($A446,"0000"))</x:f>
        <x:v/>
      </x:c>
      <x:c r="C446" s="331" t="str">
        <x:f>IF($H446="","",IFERROR(INDEX('Game Records'!$A:$A,$H446),""))</x:f>
        <x:v/>
      </x:c>
      <x:c r="D446" s="331" t="str">
        <x:f>IF($H446="","",IFERROR(INDEX('Game Records'!$U:$U,$H446),""))</x:f>
        <x:v/>
      </x:c>
      <x:c r="E446" s="331" t="str">
        <x:f>IF($H446="","",IF($F446="","No Highlighted Fields","Highlighted Fields Present"))</x:f>
        <x:v/>
      </x:c>
      <x:c r="F446" s="331" t="str">
        <x:f>IF($H446="","",IF(INDEX('Game Records'!$B:$B,$H446)="","Start Date; ","")&amp;IF(INDEX('Game Records'!$C:$C,$H446)="","End Date; ","")&amp;IF(AND(INDEX('Game Records'!$U:$U,$H446)&lt;&gt;"Subscription",INDEX('Game Records'!$U:$U,$H446)&lt;&gt;"Free Game",INDEX('Game Records'!$U:$U,$H446)&lt;&gt;"Disqualified — Free Game",OR(INDEX('Game Records'!$D:$D,$H446)="",LOWER(INDEX('Game Records'!$D:$D,$H446)&amp;"")="n/a")),"Entry Mode; ","")&amp;IF(AND(INDEX('Game Records'!$U:$U,$H446)&lt;&gt;"Subscription",INDEX('Game Records'!$U:$U,$H446)&lt;&gt;"Free Game",INDEX('Game Records'!$U:$U,$H446)&lt;&gt;"Disqualified — Free Game",OR(INDEX('Game Records'!$E:$E,$H446)="",LOWER(INDEX('Game Records'!$E:$E,$H446)&amp;"")="n/a")),"Game Type; ","")&amp;IF(INDEX('Game Records'!$F:$F,$H446)="","Payment Type; ","")&amp;IF(AND(INDEX('Game Records'!$U:$U,$H446)&lt;&gt;"Subscription",INDEX('Game Records'!$U:$U,$H446)&lt;&gt;"Free Game",INDEX('Game Records'!$U:$U,$H446)&lt;&gt;"Disqualified — Free Game",INDEX('Game Records'!$G:$G,$H446)=""),"Gross Pot; ","")&amp;IF(AND(INDEX('Game Records'!$U:$U,$H446)&lt;&gt;"Free Game",INDEX('Game Records'!$U:$U,$H446)&lt;&gt;"Disqualified — Free Game",INDEX('Game Records'!$H:$H,$H446)=""),"Entry Fee; ","")&amp;IF(AND(INDEX('Game Records'!$U:$U,$H446)&lt;&gt;"Subscription",INDEX('Game Records'!$U:$U,$H446)&lt;&gt;"Free Game",INDEX('Game Records'!$U:$U,$H446)&lt;&gt;"Disqualified — Free Game",INDEX('Game Records'!$I:$I,$H446)=""),"Eligible Players; ","")&amp;IF(AND(INDEX('Game Records'!$U:$U,$H446)&lt;&gt;"Subscription",INDEX('Game Records'!$U:$U,$H446)&lt;&gt;"Free Game",INDEX('Game Records'!$U:$U,$H446)&lt;&gt;"Disqualified — Free Game",INDEX('Game Records'!$J:$J,$H446)=""),"Total Players; ","")&amp;IF(AND(LOWER(INDEX('Game Records'!$D:$D,$H446)&amp;"")="finalized",LOWER(INDEX('Game Records'!$L:$L,$H446)&amp;"")&lt;&gt;"yes",INDEX('Game Records'!$U:$U,$H446)&lt;&gt;"Subscription",INDEX('Game Records'!$U:$U,$H446)&lt;&gt;"Free Game",INDEX('Game Records'!$U:$U,$H446)&lt;&gt;"Disqualified — Free Game",INDEX('Game Records'!$K:$K,$H446)=""),"Final Earned; ","")&amp;IF(AND(LOWER(INDEX('Game Records'!$D:$D,$H446)&amp;"")="finalized",INDEX('Game Records'!$U:$U,$H446)&lt;&gt;"Subscription",INDEX('Game Records'!$U:$U,$H446)&lt;&gt;"Free Game",INDEX('Game Records'!$U:$U,$H446)&lt;&gt;"Disqualified — Free Game",OR(INDEX('Game Records'!$L:$L,$H446)="",LOWER(INDEX('Game Records'!$L:$L,$H446)&amp;"")="n/a")),"Disqualified Status; ",""))</x:f>
        <x:v/>
      </x:c>
      <x:c r="G446" s="331" t="str">
        <x:f>IF($H446="","",IFERROR(INDEX('Game Records'!$M:$M,$H446),""))</x:f>
        <x:v/>
      </x:c>
      <x:c r="H446" s="104" t="str">
        <x:f>IF($H445="","",IFERROR(MATCH(1,INDEX((ROW('Game Records'!$U$5:$U$504)&gt;$H445)*(('Game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7" ht="24" customHeight="1">
      <x:c r="A447" s="332" t="str">
        <x:f>IF($H447="","",ROWS($A$5:A447))</x:f>
        <x:v/>
      </x:c>
      <x:c r="B447" s="332" t="str">
        <x:f>IF($H447="","","G-"&amp;TEXT($A447,"0000"))</x:f>
        <x:v/>
      </x:c>
      <x:c r="C447" s="331" t="str">
        <x:f>IF($H447="","",IFERROR(INDEX('Game Records'!$A:$A,$H447),""))</x:f>
        <x:v/>
      </x:c>
      <x:c r="D447" s="331" t="str">
        <x:f>IF($H447="","",IFERROR(INDEX('Game Records'!$U:$U,$H447),""))</x:f>
        <x:v/>
      </x:c>
      <x:c r="E447" s="331" t="str">
        <x:f>IF($H447="","",IF($F447="","No Highlighted Fields","Highlighted Fields Present"))</x:f>
        <x:v/>
      </x:c>
      <x:c r="F447" s="331" t="str">
        <x:f>IF($H447="","",IF(INDEX('Game Records'!$B:$B,$H447)="","Start Date; ","")&amp;IF(INDEX('Game Records'!$C:$C,$H447)="","End Date; ","")&amp;IF(AND(INDEX('Game Records'!$U:$U,$H447)&lt;&gt;"Subscription",INDEX('Game Records'!$U:$U,$H447)&lt;&gt;"Free Game",INDEX('Game Records'!$U:$U,$H447)&lt;&gt;"Disqualified — Free Game",OR(INDEX('Game Records'!$D:$D,$H447)="",LOWER(INDEX('Game Records'!$D:$D,$H447)&amp;"")="n/a")),"Entry Mode; ","")&amp;IF(AND(INDEX('Game Records'!$U:$U,$H447)&lt;&gt;"Subscription",INDEX('Game Records'!$U:$U,$H447)&lt;&gt;"Free Game",INDEX('Game Records'!$U:$U,$H447)&lt;&gt;"Disqualified — Free Game",OR(INDEX('Game Records'!$E:$E,$H447)="",LOWER(INDEX('Game Records'!$E:$E,$H447)&amp;"")="n/a")),"Game Type; ","")&amp;IF(INDEX('Game Records'!$F:$F,$H447)="","Payment Type; ","")&amp;IF(AND(INDEX('Game Records'!$U:$U,$H447)&lt;&gt;"Subscription",INDEX('Game Records'!$U:$U,$H447)&lt;&gt;"Free Game",INDEX('Game Records'!$U:$U,$H447)&lt;&gt;"Disqualified — Free Game",INDEX('Game Records'!$G:$G,$H447)=""),"Gross Pot; ","")&amp;IF(AND(INDEX('Game Records'!$U:$U,$H447)&lt;&gt;"Free Game",INDEX('Game Records'!$U:$U,$H447)&lt;&gt;"Disqualified — Free Game",INDEX('Game Records'!$H:$H,$H447)=""),"Entry Fee; ","")&amp;IF(AND(INDEX('Game Records'!$U:$U,$H447)&lt;&gt;"Subscription",INDEX('Game Records'!$U:$U,$H447)&lt;&gt;"Free Game",INDEX('Game Records'!$U:$U,$H447)&lt;&gt;"Disqualified — Free Game",INDEX('Game Records'!$I:$I,$H447)=""),"Eligible Players; ","")&amp;IF(AND(INDEX('Game Records'!$U:$U,$H447)&lt;&gt;"Subscription",INDEX('Game Records'!$U:$U,$H447)&lt;&gt;"Free Game",INDEX('Game Records'!$U:$U,$H447)&lt;&gt;"Disqualified — Free Game",INDEX('Game Records'!$J:$J,$H447)=""),"Total Players; ","")&amp;IF(AND(LOWER(INDEX('Game Records'!$D:$D,$H447)&amp;"")="finalized",LOWER(INDEX('Game Records'!$L:$L,$H447)&amp;"")&lt;&gt;"yes",INDEX('Game Records'!$U:$U,$H447)&lt;&gt;"Subscription",INDEX('Game Records'!$U:$U,$H447)&lt;&gt;"Free Game",INDEX('Game Records'!$U:$U,$H447)&lt;&gt;"Disqualified — Free Game",INDEX('Game Records'!$K:$K,$H447)=""),"Final Earned; ","")&amp;IF(AND(LOWER(INDEX('Game Records'!$D:$D,$H447)&amp;"")="finalized",INDEX('Game Records'!$U:$U,$H447)&lt;&gt;"Subscription",INDEX('Game Records'!$U:$U,$H447)&lt;&gt;"Free Game",INDEX('Game Records'!$U:$U,$H447)&lt;&gt;"Disqualified — Free Game",OR(INDEX('Game Records'!$L:$L,$H447)="",LOWER(INDEX('Game Records'!$L:$L,$H447)&amp;"")="n/a")),"Disqualified Status; ",""))</x:f>
        <x:v/>
      </x:c>
      <x:c r="G447" s="331" t="str">
        <x:f>IF($H447="","",IFERROR(INDEX('Game Records'!$M:$M,$H447),""))</x:f>
        <x:v/>
      </x:c>
      <x:c r="H447" s="104" t="str">
        <x:f>IF($H446="","",IFERROR(MATCH(1,INDEX((ROW('Game Records'!$U$5:$U$504)&gt;$H446)*(('Game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8" ht="24" customHeight="1">
      <x:c r="A448" s="332" t="str">
        <x:f>IF($H448="","",ROWS($A$5:A448))</x:f>
        <x:v/>
      </x:c>
      <x:c r="B448" s="332" t="str">
        <x:f>IF($H448="","","G-"&amp;TEXT($A448,"0000"))</x:f>
        <x:v/>
      </x:c>
      <x:c r="C448" s="331" t="str">
        <x:f>IF($H448="","",IFERROR(INDEX('Game Records'!$A:$A,$H448),""))</x:f>
        <x:v/>
      </x:c>
      <x:c r="D448" s="331" t="str">
        <x:f>IF($H448="","",IFERROR(INDEX('Game Records'!$U:$U,$H448),""))</x:f>
        <x:v/>
      </x:c>
      <x:c r="E448" s="331" t="str">
        <x:f>IF($H448="","",IF($F448="","No Highlighted Fields","Highlighted Fields Present"))</x:f>
        <x:v/>
      </x:c>
      <x:c r="F448" s="331" t="str">
        <x:f>IF($H448="","",IF(INDEX('Game Records'!$B:$B,$H448)="","Start Date; ","")&amp;IF(INDEX('Game Records'!$C:$C,$H448)="","End Date; ","")&amp;IF(AND(INDEX('Game Records'!$U:$U,$H448)&lt;&gt;"Subscription",INDEX('Game Records'!$U:$U,$H448)&lt;&gt;"Free Game",INDEX('Game Records'!$U:$U,$H448)&lt;&gt;"Disqualified — Free Game",OR(INDEX('Game Records'!$D:$D,$H448)="",LOWER(INDEX('Game Records'!$D:$D,$H448)&amp;"")="n/a")),"Entry Mode; ","")&amp;IF(AND(INDEX('Game Records'!$U:$U,$H448)&lt;&gt;"Subscription",INDEX('Game Records'!$U:$U,$H448)&lt;&gt;"Free Game",INDEX('Game Records'!$U:$U,$H448)&lt;&gt;"Disqualified — Free Game",OR(INDEX('Game Records'!$E:$E,$H448)="",LOWER(INDEX('Game Records'!$E:$E,$H448)&amp;"")="n/a")),"Game Type; ","")&amp;IF(INDEX('Game Records'!$F:$F,$H448)="","Payment Type; ","")&amp;IF(AND(INDEX('Game Records'!$U:$U,$H448)&lt;&gt;"Subscription",INDEX('Game Records'!$U:$U,$H448)&lt;&gt;"Free Game",INDEX('Game Records'!$U:$U,$H448)&lt;&gt;"Disqualified — Free Game",INDEX('Game Records'!$G:$G,$H448)=""),"Gross Pot; ","")&amp;IF(AND(INDEX('Game Records'!$U:$U,$H448)&lt;&gt;"Free Game",INDEX('Game Records'!$U:$U,$H448)&lt;&gt;"Disqualified — Free Game",INDEX('Game Records'!$H:$H,$H448)=""),"Entry Fee; ","")&amp;IF(AND(INDEX('Game Records'!$U:$U,$H448)&lt;&gt;"Subscription",INDEX('Game Records'!$U:$U,$H448)&lt;&gt;"Free Game",INDEX('Game Records'!$U:$U,$H448)&lt;&gt;"Disqualified — Free Game",INDEX('Game Records'!$I:$I,$H448)=""),"Eligible Players; ","")&amp;IF(AND(INDEX('Game Records'!$U:$U,$H448)&lt;&gt;"Subscription",INDEX('Game Records'!$U:$U,$H448)&lt;&gt;"Free Game",INDEX('Game Records'!$U:$U,$H448)&lt;&gt;"Disqualified — Free Game",INDEX('Game Records'!$J:$J,$H448)=""),"Total Players; ","")&amp;IF(AND(LOWER(INDEX('Game Records'!$D:$D,$H448)&amp;"")="finalized",LOWER(INDEX('Game Records'!$L:$L,$H448)&amp;"")&lt;&gt;"yes",INDEX('Game Records'!$U:$U,$H448)&lt;&gt;"Subscription",INDEX('Game Records'!$U:$U,$H448)&lt;&gt;"Free Game",INDEX('Game Records'!$U:$U,$H448)&lt;&gt;"Disqualified — Free Game",INDEX('Game Records'!$K:$K,$H448)=""),"Final Earned; ","")&amp;IF(AND(LOWER(INDEX('Game Records'!$D:$D,$H448)&amp;"")="finalized",INDEX('Game Records'!$U:$U,$H448)&lt;&gt;"Subscription",INDEX('Game Records'!$U:$U,$H448)&lt;&gt;"Free Game",INDEX('Game Records'!$U:$U,$H448)&lt;&gt;"Disqualified — Free Game",OR(INDEX('Game Records'!$L:$L,$H448)="",LOWER(INDEX('Game Records'!$L:$L,$H448)&amp;"")="n/a")),"Disqualified Status; ",""))</x:f>
        <x:v/>
      </x:c>
      <x:c r="G448" s="331" t="str">
        <x:f>IF($H448="","",IFERROR(INDEX('Game Records'!$M:$M,$H448),""))</x:f>
        <x:v/>
      </x:c>
      <x:c r="H448" s="104" t="str">
        <x:f>IF($H447="","",IFERROR(MATCH(1,INDEX((ROW('Game Records'!$U$5:$U$504)&gt;$H447)*(('Game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49" ht="24" customHeight="1">
      <x:c r="A449" s="332" t="str">
        <x:f>IF($H449="","",ROWS($A$5:A449))</x:f>
        <x:v/>
      </x:c>
      <x:c r="B449" s="332" t="str">
        <x:f>IF($H449="","","G-"&amp;TEXT($A449,"0000"))</x:f>
        <x:v/>
      </x:c>
      <x:c r="C449" s="331" t="str">
        <x:f>IF($H449="","",IFERROR(INDEX('Game Records'!$A:$A,$H449),""))</x:f>
        <x:v/>
      </x:c>
      <x:c r="D449" s="331" t="str">
        <x:f>IF($H449="","",IFERROR(INDEX('Game Records'!$U:$U,$H449),""))</x:f>
        <x:v/>
      </x:c>
      <x:c r="E449" s="331" t="str">
        <x:f>IF($H449="","",IF($F449="","No Highlighted Fields","Highlighted Fields Present"))</x:f>
        <x:v/>
      </x:c>
      <x:c r="F449" s="331" t="str">
        <x:f>IF($H449="","",IF(INDEX('Game Records'!$B:$B,$H449)="","Start Date; ","")&amp;IF(INDEX('Game Records'!$C:$C,$H449)="","End Date; ","")&amp;IF(AND(INDEX('Game Records'!$U:$U,$H449)&lt;&gt;"Subscription",INDEX('Game Records'!$U:$U,$H449)&lt;&gt;"Free Game",INDEX('Game Records'!$U:$U,$H449)&lt;&gt;"Disqualified — Free Game",OR(INDEX('Game Records'!$D:$D,$H449)="",LOWER(INDEX('Game Records'!$D:$D,$H449)&amp;"")="n/a")),"Entry Mode; ","")&amp;IF(AND(INDEX('Game Records'!$U:$U,$H449)&lt;&gt;"Subscription",INDEX('Game Records'!$U:$U,$H449)&lt;&gt;"Free Game",INDEX('Game Records'!$U:$U,$H449)&lt;&gt;"Disqualified — Free Game",OR(INDEX('Game Records'!$E:$E,$H449)="",LOWER(INDEX('Game Records'!$E:$E,$H449)&amp;"")="n/a")),"Game Type; ","")&amp;IF(INDEX('Game Records'!$F:$F,$H449)="","Payment Type; ","")&amp;IF(AND(INDEX('Game Records'!$U:$U,$H449)&lt;&gt;"Subscription",INDEX('Game Records'!$U:$U,$H449)&lt;&gt;"Free Game",INDEX('Game Records'!$U:$U,$H449)&lt;&gt;"Disqualified — Free Game",INDEX('Game Records'!$G:$G,$H449)=""),"Gross Pot; ","")&amp;IF(AND(INDEX('Game Records'!$U:$U,$H449)&lt;&gt;"Free Game",INDEX('Game Records'!$U:$U,$H449)&lt;&gt;"Disqualified — Free Game",INDEX('Game Records'!$H:$H,$H449)=""),"Entry Fee; ","")&amp;IF(AND(INDEX('Game Records'!$U:$U,$H449)&lt;&gt;"Subscription",INDEX('Game Records'!$U:$U,$H449)&lt;&gt;"Free Game",INDEX('Game Records'!$U:$U,$H449)&lt;&gt;"Disqualified — Free Game",INDEX('Game Records'!$I:$I,$H449)=""),"Eligible Players; ","")&amp;IF(AND(INDEX('Game Records'!$U:$U,$H449)&lt;&gt;"Subscription",INDEX('Game Records'!$U:$U,$H449)&lt;&gt;"Free Game",INDEX('Game Records'!$U:$U,$H449)&lt;&gt;"Disqualified — Free Game",INDEX('Game Records'!$J:$J,$H449)=""),"Total Players; ","")&amp;IF(AND(LOWER(INDEX('Game Records'!$D:$D,$H449)&amp;"")="finalized",LOWER(INDEX('Game Records'!$L:$L,$H449)&amp;"")&lt;&gt;"yes",INDEX('Game Records'!$U:$U,$H449)&lt;&gt;"Subscription",INDEX('Game Records'!$U:$U,$H449)&lt;&gt;"Free Game",INDEX('Game Records'!$U:$U,$H449)&lt;&gt;"Disqualified — Free Game",INDEX('Game Records'!$K:$K,$H449)=""),"Final Earned; ","")&amp;IF(AND(LOWER(INDEX('Game Records'!$D:$D,$H449)&amp;"")="finalized",INDEX('Game Records'!$U:$U,$H449)&lt;&gt;"Subscription",INDEX('Game Records'!$U:$U,$H449)&lt;&gt;"Free Game",INDEX('Game Records'!$U:$U,$H449)&lt;&gt;"Disqualified — Free Game",OR(INDEX('Game Records'!$L:$L,$H449)="",LOWER(INDEX('Game Records'!$L:$L,$H449)&amp;"")="n/a")),"Disqualified Status; ",""))</x:f>
        <x:v/>
      </x:c>
      <x:c r="G449" s="331" t="str">
        <x:f>IF($H449="","",IFERROR(INDEX('Game Records'!$M:$M,$H449),""))</x:f>
        <x:v/>
      </x:c>
      <x:c r="H449" s="104" t="str">
        <x:f>IF($H448="","",IFERROR(MATCH(1,INDEX((ROW('Game Records'!$U$5:$U$504)&gt;$H448)*(('Game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0" ht="24" customHeight="1">
      <x:c r="A450" s="332" t="str">
        <x:f>IF($H450="","",ROWS($A$5:A450))</x:f>
        <x:v/>
      </x:c>
      <x:c r="B450" s="332" t="str">
        <x:f>IF($H450="","","G-"&amp;TEXT($A450,"0000"))</x:f>
        <x:v/>
      </x:c>
      <x:c r="C450" s="331" t="str">
        <x:f>IF($H450="","",IFERROR(INDEX('Game Records'!$A:$A,$H450),""))</x:f>
        <x:v/>
      </x:c>
      <x:c r="D450" s="331" t="str">
        <x:f>IF($H450="","",IFERROR(INDEX('Game Records'!$U:$U,$H450),""))</x:f>
        <x:v/>
      </x:c>
      <x:c r="E450" s="331" t="str">
        <x:f>IF($H450="","",IF($F450="","No Highlighted Fields","Highlighted Fields Present"))</x:f>
        <x:v/>
      </x:c>
      <x:c r="F450" s="331" t="str">
        <x:f>IF($H450="","",IF(INDEX('Game Records'!$B:$B,$H450)="","Start Date; ","")&amp;IF(INDEX('Game Records'!$C:$C,$H450)="","End Date; ","")&amp;IF(AND(INDEX('Game Records'!$U:$U,$H450)&lt;&gt;"Subscription",INDEX('Game Records'!$U:$U,$H450)&lt;&gt;"Free Game",INDEX('Game Records'!$U:$U,$H450)&lt;&gt;"Disqualified — Free Game",OR(INDEX('Game Records'!$D:$D,$H450)="",LOWER(INDEX('Game Records'!$D:$D,$H450)&amp;"")="n/a")),"Entry Mode; ","")&amp;IF(AND(INDEX('Game Records'!$U:$U,$H450)&lt;&gt;"Subscription",INDEX('Game Records'!$U:$U,$H450)&lt;&gt;"Free Game",INDEX('Game Records'!$U:$U,$H450)&lt;&gt;"Disqualified — Free Game",OR(INDEX('Game Records'!$E:$E,$H450)="",LOWER(INDEX('Game Records'!$E:$E,$H450)&amp;"")="n/a")),"Game Type; ","")&amp;IF(INDEX('Game Records'!$F:$F,$H450)="","Payment Type; ","")&amp;IF(AND(INDEX('Game Records'!$U:$U,$H450)&lt;&gt;"Subscription",INDEX('Game Records'!$U:$U,$H450)&lt;&gt;"Free Game",INDEX('Game Records'!$U:$U,$H450)&lt;&gt;"Disqualified — Free Game",INDEX('Game Records'!$G:$G,$H450)=""),"Gross Pot; ","")&amp;IF(AND(INDEX('Game Records'!$U:$U,$H450)&lt;&gt;"Free Game",INDEX('Game Records'!$U:$U,$H450)&lt;&gt;"Disqualified — Free Game",INDEX('Game Records'!$H:$H,$H450)=""),"Entry Fee; ","")&amp;IF(AND(INDEX('Game Records'!$U:$U,$H450)&lt;&gt;"Subscription",INDEX('Game Records'!$U:$U,$H450)&lt;&gt;"Free Game",INDEX('Game Records'!$U:$U,$H450)&lt;&gt;"Disqualified — Free Game",INDEX('Game Records'!$I:$I,$H450)=""),"Eligible Players; ","")&amp;IF(AND(INDEX('Game Records'!$U:$U,$H450)&lt;&gt;"Subscription",INDEX('Game Records'!$U:$U,$H450)&lt;&gt;"Free Game",INDEX('Game Records'!$U:$U,$H450)&lt;&gt;"Disqualified — Free Game",INDEX('Game Records'!$J:$J,$H450)=""),"Total Players; ","")&amp;IF(AND(LOWER(INDEX('Game Records'!$D:$D,$H450)&amp;"")="finalized",LOWER(INDEX('Game Records'!$L:$L,$H450)&amp;"")&lt;&gt;"yes",INDEX('Game Records'!$U:$U,$H450)&lt;&gt;"Subscription",INDEX('Game Records'!$U:$U,$H450)&lt;&gt;"Free Game",INDEX('Game Records'!$U:$U,$H450)&lt;&gt;"Disqualified — Free Game",INDEX('Game Records'!$K:$K,$H450)=""),"Final Earned; ","")&amp;IF(AND(LOWER(INDEX('Game Records'!$D:$D,$H450)&amp;"")="finalized",INDEX('Game Records'!$U:$U,$H450)&lt;&gt;"Subscription",INDEX('Game Records'!$U:$U,$H450)&lt;&gt;"Free Game",INDEX('Game Records'!$U:$U,$H450)&lt;&gt;"Disqualified — Free Game",OR(INDEX('Game Records'!$L:$L,$H450)="",LOWER(INDEX('Game Records'!$L:$L,$H450)&amp;"")="n/a")),"Disqualified Status; ",""))</x:f>
        <x:v/>
      </x:c>
      <x:c r="G450" s="331" t="str">
        <x:f>IF($H450="","",IFERROR(INDEX('Game Records'!$M:$M,$H450),""))</x:f>
        <x:v/>
      </x:c>
      <x:c r="H450" s="104" t="str">
        <x:f>IF($H449="","",IFERROR(MATCH(1,INDEX((ROW('Game Records'!$U$5:$U$504)&gt;$H449)*(('Game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1" ht="24" customHeight="1">
      <x:c r="A451" s="332" t="str">
        <x:f>IF($H451="","",ROWS($A$5:A451))</x:f>
        <x:v/>
      </x:c>
      <x:c r="B451" s="332" t="str">
        <x:f>IF($H451="","","G-"&amp;TEXT($A451,"0000"))</x:f>
        <x:v/>
      </x:c>
      <x:c r="C451" s="331" t="str">
        <x:f>IF($H451="","",IFERROR(INDEX('Game Records'!$A:$A,$H451),""))</x:f>
        <x:v/>
      </x:c>
      <x:c r="D451" s="331" t="str">
        <x:f>IF($H451="","",IFERROR(INDEX('Game Records'!$U:$U,$H451),""))</x:f>
        <x:v/>
      </x:c>
      <x:c r="E451" s="331" t="str">
        <x:f>IF($H451="","",IF($F451="","No Highlighted Fields","Highlighted Fields Present"))</x:f>
        <x:v/>
      </x:c>
      <x:c r="F451" s="331" t="str">
        <x:f>IF($H451="","",IF(INDEX('Game Records'!$B:$B,$H451)="","Start Date; ","")&amp;IF(INDEX('Game Records'!$C:$C,$H451)="","End Date; ","")&amp;IF(AND(INDEX('Game Records'!$U:$U,$H451)&lt;&gt;"Subscription",INDEX('Game Records'!$U:$U,$H451)&lt;&gt;"Free Game",INDEX('Game Records'!$U:$U,$H451)&lt;&gt;"Disqualified — Free Game",OR(INDEX('Game Records'!$D:$D,$H451)="",LOWER(INDEX('Game Records'!$D:$D,$H451)&amp;"")="n/a")),"Entry Mode; ","")&amp;IF(AND(INDEX('Game Records'!$U:$U,$H451)&lt;&gt;"Subscription",INDEX('Game Records'!$U:$U,$H451)&lt;&gt;"Free Game",INDEX('Game Records'!$U:$U,$H451)&lt;&gt;"Disqualified — Free Game",OR(INDEX('Game Records'!$E:$E,$H451)="",LOWER(INDEX('Game Records'!$E:$E,$H451)&amp;"")="n/a")),"Game Type; ","")&amp;IF(INDEX('Game Records'!$F:$F,$H451)="","Payment Type; ","")&amp;IF(AND(INDEX('Game Records'!$U:$U,$H451)&lt;&gt;"Subscription",INDEX('Game Records'!$U:$U,$H451)&lt;&gt;"Free Game",INDEX('Game Records'!$U:$U,$H451)&lt;&gt;"Disqualified — Free Game",INDEX('Game Records'!$G:$G,$H451)=""),"Gross Pot; ","")&amp;IF(AND(INDEX('Game Records'!$U:$U,$H451)&lt;&gt;"Free Game",INDEX('Game Records'!$U:$U,$H451)&lt;&gt;"Disqualified — Free Game",INDEX('Game Records'!$H:$H,$H451)=""),"Entry Fee; ","")&amp;IF(AND(INDEX('Game Records'!$U:$U,$H451)&lt;&gt;"Subscription",INDEX('Game Records'!$U:$U,$H451)&lt;&gt;"Free Game",INDEX('Game Records'!$U:$U,$H451)&lt;&gt;"Disqualified — Free Game",INDEX('Game Records'!$I:$I,$H451)=""),"Eligible Players; ","")&amp;IF(AND(INDEX('Game Records'!$U:$U,$H451)&lt;&gt;"Subscription",INDEX('Game Records'!$U:$U,$H451)&lt;&gt;"Free Game",INDEX('Game Records'!$U:$U,$H451)&lt;&gt;"Disqualified — Free Game",INDEX('Game Records'!$J:$J,$H451)=""),"Total Players; ","")&amp;IF(AND(LOWER(INDEX('Game Records'!$D:$D,$H451)&amp;"")="finalized",LOWER(INDEX('Game Records'!$L:$L,$H451)&amp;"")&lt;&gt;"yes",INDEX('Game Records'!$U:$U,$H451)&lt;&gt;"Subscription",INDEX('Game Records'!$U:$U,$H451)&lt;&gt;"Free Game",INDEX('Game Records'!$U:$U,$H451)&lt;&gt;"Disqualified — Free Game",INDEX('Game Records'!$K:$K,$H451)=""),"Final Earned; ","")&amp;IF(AND(LOWER(INDEX('Game Records'!$D:$D,$H451)&amp;"")="finalized",INDEX('Game Records'!$U:$U,$H451)&lt;&gt;"Subscription",INDEX('Game Records'!$U:$U,$H451)&lt;&gt;"Free Game",INDEX('Game Records'!$U:$U,$H451)&lt;&gt;"Disqualified — Free Game",OR(INDEX('Game Records'!$L:$L,$H451)="",LOWER(INDEX('Game Records'!$L:$L,$H451)&amp;"")="n/a")),"Disqualified Status; ",""))</x:f>
        <x:v/>
      </x:c>
      <x:c r="G451" s="331" t="str">
        <x:f>IF($H451="","",IFERROR(INDEX('Game Records'!$M:$M,$H451),""))</x:f>
        <x:v/>
      </x:c>
      <x:c r="H451" s="104" t="str">
        <x:f>IF($H450="","",IFERROR(MATCH(1,INDEX((ROW('Game Records'!$U$5:$U$504)&gt;$H450)*(('Game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2" ht="24" customHeight="1">
      <x:c r="A452" s="332" t="str">
        <x:f>IF($H452="","",ROWS($A$5:A452))</x:f>
        <x:v/>
      </x:c>
      <x:c r="B452" s="332" t="str">
        <x:f>IF($H452="","","G-"&amp;TEXT($A452,"0000"))</x:f>
        <x:v/>
      </x:c>
      <x:c r="C452" s="331" t="str">
        <x:f>IF($H452="","",IFERROR(INDEX('Game Records'!$A:$A,$H452),""))</x:f>
        <x:v/>
      </x:c>
      <x:c r="D452" s="331" t="str">
        <x:f>IF($H452="","",IFERROR(INDEX('Game Records'!$U:$U,$H452),""))</x:f>
        <x:v/>
      </x:c>
      <x:c r="E452" s="331" t="str">
        <x:f>IF($H452="","",IF($F452="","No Highlighted Fields","Highlighted Fields Present"))</x:f>
        <x:v/>
      </x:c>
      <x:c r="F452" s="331" t="str">
        <x:f>IF($H452="","",IF(INDEX('Game Records'!$B:$B,$H452)="","Start Date; ","")&amp;IF(INDEX('Game Records'!$C:$C,$H452)="","End Date; ","")&amp;IF(AND(INDEX('Game Records'!$U:$U,$H452)&lt;&gt;"Subscription",INDEX('Game Records'!$U:$U,$H452)&lt;&gt;"Free Game",INDEX('Game Records'!$U:$U,$H452)&lt;&gt;"Disqualified — Free Game",OR(INDEX('Game Records'!$D:$D,$H452)="",LOWER(INDEX('Game Records'!$D:$D,$H452)&amp;"")="n/a")),"Entry Mode; ","")&amp;IF(AND(INDEX('Game Records'!$U:$U,$H452)&lt;&gt;"Subscription",INDEX('Game Records'!$U:$U,$H452)&lt;&gt;"Free Game",INDEX('Game Records'!$U:$U,$H452)&lt;&gt;"Disqualified — Free Game",OR(INDEX('Game Records'!$E:$E,$H452)="",LOWER(INDEX('Game Records'!$E:$E,$H452)&amp;"")="n/a")),"Game Type; ","")&amp;IF(INDEX('Game Records'!$F:$F,$H452)="","Payment Type; ","")&amp;IF(AND(INDEX('Game Records'!$U:$U,$H452)&lt;&gt;"Subscription",INDEX('Game Records'!$U:$U,$H452)&lt;&gt;"Free Game",INDEX('Game Records'!$U:$U,$H452)&lt;&gt;"Disqualified — Free Game",INDEX('Game Records'!$G:$G,$H452)=""),"Gross Pot; ","")&amp;IF(AND(INDEX('Game Records'!$U:$U,$H452)&lt;&gt;"Free Game",INDEX('Game Records'!$U:$U,$H452)&lt;&gt;"Disqualified — Free Game",INDEX('Game Records'!$H:$H,$H452)=""),"Entry Fee; ","")&amp;IF(AND(INDEX('Game Records'!$U:$U,$H452)&lt;&gt;"Subscription",INDEX('Game Records'!$U:$U,$H452)&lt;&gt;"Free Game",INDEX('Game Records'!$U:$U,$H452)&lt;&gt;"Disqualified — Free Game",INDEX('Game Records'!$I:$I,$H452)=""),"Eligible Players; ","")&amp;IF(AND(INDEX('Game Records'!$U:$U,$H452)&lt;&gt;"Subscription",INDEX('Game Records'!$U:$U,$H452)&lt;&gt;"Free Game",INDEX('Game Records'!$U:$U,$H452)&lt;&gt;"Disqualified — Free Game",INDEX('Game Records'!$J:$J,$H452)=""),"Total Players; ","")&amp;IF(AND(LOWER(INDEX('Game Records'!$D:$D,$H452)&amp;"")="finalized",LOWER(INDEX('Game Records'!$L:$L,$H452)&amp;"")&lt;&gt;"yes",INDEX('Game Records'!$U:$U,$H452)&lt;&gt;"Subscription",INDEX('Game Records'!$U:$U,$H452)&lt;&gt;"Free Game",INDEX('Game Records'!$U:$U,$H452)&lt;&gt;"Disqualified — Free Game",INDEX('Game Records'!$K:$K,$H452)=""),"Final Earned; ","")&amp;IF(AND(LOWER(INDEX('Game Records'!$D:$D,$H452)&amp;"")="finalized",INDEX('Game Records'!$U:$U,$H452)&lt;&gt;"Subscription",INDEX('Game Records'!$U:$U,$H452)&lt;&gt;"Free Game",INDEX('Game Records'!$U:$U,$H452)&lt;&gt;"Disqualified — Free Game",OR(INDEX('Game Records'!$L:$L,$H452)="",LOWER(INDEX('Game Records'!$L:$L,$H452)&amp;"")="n/a")),"Disqualified Status; ",""))</x:f>
        <x:v/>
      </x:c>
      <x:c r="G452" s="331" t="str">
        <x:f>IF($H452="","",IFERROR(INDEX('Game Records'!$M:$M,$H452),""))</x:f>
        <x:v/>
      </x:c>
      <x:c r="H452" s="104" t="str">
        <x:f>IF($H451="","",IFERROR(MATCH(1,INDEX((ROW('Game Records'!$U$5:$U$504)&gt;$H451)*(('Game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3" ht="24" customHeight="1">
      <x:c r="A453" s="332" t="str">
        <x:f>IF($H453="","",ROWS($A$5:A453))</x:f>
        <x:v/>
      </x:c>
      <x:c r="B453" s="332" t="str">
        <x:f>IF($H453="","","G-"&amp;TEXT($A453,"0000"))</x:f>
        <x:v/>
      </x:c>
      <x:c r="C453" s="331" t="str">
        <x:f>IF($H453="","",IFERROR(INDEX('Game Records'!$A:$A,$H453),""))</x:f>
        <x:v/>
      </x:c>
      <x:c r="D453" s="331" t="str">
        <x:f>IF($H453="","",IFERROR(INDEX('Game Records'!$U:$U,$H453),""))</x:f>
        <x:v/>
      </x:c>
      <x:c r="E453" s="331" t="str">
        <x:f>IF($H453="","",IF($F453="","No Highlighted Fields","Highlighted Fields Present"))</x:f>
        <x:v/>
      </x:c>
      <x:c r="F453" s="331" t="str">
        <x:f>IF($H453="","",IF(INDEX('Game Records'!$B:$B,$H453)="","Start Date; ","")&amp;IF(INDEX('Game Records'!$C:$C,$H453)="","End Date; ","")&amp;IF(AND(INDEX('Game Records'!$U:$U,$H453)&lt;&gt;"Subscription",INDEX('Game Records'!$U:$U,$H453)&lt;&gt;"Free Game",INDEX('Game Records'!$U:$U,$H453)&lt;&gt;"Disqualified — Free Game",OR(INDEX('Game Records'!$D:$D,$H453)="",LOWER(INDEX('Game Records'!$D:$D,$H453)&amp;"")="n/a")),"Entry Mode; ","")&amp;IF(AND(INDEX('Game Records'!$U:$U,$H453)&lt;&gt;"Subscription",INDEX('Game Records'!$U:$U,$H453)&lt;&gt;"Free Game",INDEX('Game Records'!$U:$U,$H453)&lt;&gt;"Disqualified — Free Game",OR(INDEX('Game Records'!$E:$E,$H453)="",LOWER(INDEX('Game Records'!$E:$E,$H453)&amp;"")="n/a")),"Game Type; ","")&amp;IF(INDEX('Game Records'!$F:$F,$H453)="","Payment Type; ","")&amp;IF(AND(INDEX('Game Records'!$U:$U,$H453)&lt;&gt;"Subscription",INDEX('Game Records'!$U:$U,$H453)&lt;&gt;"Free Game",INDEX('Game Records'!$U:$U,$H453)&lt;&gt;"Disqualified — Free Game",INDEX('Game Records'!$G:$G,$H453)=""),"Gross Pot; ","")&amp;IF(AND(INDEX('Game Records'!$U:$U,$H453)&lt;&gt;"Free Game",INDEX('Game Records'!$U:$U,$H453)&lt;&gt;"Disqualified — Free Game",INDEX('Game Records'!$H:$H,$H453)=""),"Entry Fee; ","")&amp;IF(AND(INDEX('Game Records'!$U:$U,$H453)&lt;&gt;"Subscription",INDEX('Game Records'!$U:$U,$H453)&lt;&gt;"Free Game",INDEX('Game Records'!$U:$U,$H453)&lt;&gt;"Disqualified — Free Game",INDEX('Game Records'!$I:$I,$H453)=""),"Eligible Players; ","")&amp;IF(AND(INDEX('Game Records'!$U:$U,$H453)&lt;&gt;"Subscription",INDEX('Game Records'!$U:$U,$H453)&lt;&gt;"Free Game",INDEX('Game Records'!$U:$U,$H453)&lt;&gt;"Disqualified — Free Game",INDEX('Game Records'!$J:$J,$H453)=""),"Total Players; ","")&amp;IF(AND(LOWER(INDEX('Game Records'!$D:$D,$H453)&amp;"")="finalized",LOWER(INDEX('Game Records'!$L:$L,$H453)&amp;"")&lt;&gt;"yes",INDEX('Game Records'!$U:$U,$H453)&lt;&gt;"Subscription",INDEX('Game Records'!$U:$U,$H453)&lt;&gt;"Free Game",INDEX('Game Records'!$U:$U,$H453)&lt;&gt;"Disqualified — Free Game",INDEX('Game Records'!$K:$K,$H453)=""),"Final Earned; ","")&amp;IF(AND(LOWER(INDEX('Game Records'!$D:$D,$H453)&amp;"")="finalized",INDEX('Game Records'!$U:$U,$H453)&lt;&gt;"Subscription",INDEX('Game Records'!$U:$U,$H453)&lt;&gt;"Free Game",INDEX('Game Records'!$U:$U,$H453)&lt;&gt;"Disqualified — Free Game",OR(INDEX('Game Records'!$L:$L,$H453)="",LOWER(INDEX('Game Records'!$L:$L,$H453)&amp;"")="n/a")),"Disqualified Status; ",""))</x:f>
        <x:v/>
      </x:c>
      <x:c r="G453" s="331" t="str">
        <x:f>IF($H453="","",IFERROR(INDEX('Game Records'!$M:$M,$H453),""))</x:f>
        <x:v/>
      </x:c>
      <x:c r="H453" s="104" t="str">
        <x:f>IF($H452="","",IFERROR(MATCH(1,INDEX((ROW('Game Records'!$U$5:$U$504)&gt;$H452)*(('Game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4" ht="24" customHeight="1">
      <x:c r="A454" s="332" t="str">
        <x:f>IF($H454="","",ROWS($A$5:A454))</x:f>
        <x:v/>
      </x:c>
      <x:c r="B454" s="332" t="str">
        <x:f>IF($H454="","","G-"&amp;TEXT($A454,"0000"))</x:f>
        <x:v/>
      </x:c>
      <x:c r="C454" s="331" t="str">
        <x:f>IF($H454="","",IFERROR(INDEX('Game Records'!$A:$A,$H454),""))</x:f>
        <x:v/>
      </x:c>
      <x:c r="D454" s="331" t="str">
        <x:f>IF($H454="","",IFERROR(INDEX('Game Records'!$U:$U,$H454),""))</x:f>
        <x:v/>
      </x:c>
      <x:c r="E454" s="331" t="str">
        <x:f>IF($H454="","",IF($F454="","No Highlighted Fields","Highlighted Fields Present"))</x:f>
        <x:v/>
      </x:c>
      <x:c r="F454" s="331" t="str">
        <x:f>IF($H454="","",IF(INDEX('Game Records'!$B:$B,$H454)="","Start Date; ","")&amp;IF(INDEX('Game Records'!$C:$C,$H454)="","End Date; ","")&amp;IF(AND(INDEX('Game Records'!$U:$U,$H454)&lt;&gt;"Subscription",INDEX('Game Records'!$U:$U,$H454)&lt;&gt;"Free Game",INDEX('Game Records'!$U:$U,$H454)&lt;&gt;"Disqualified — Free Game",OR(INDEX('Game Records'!$D:$D,$H454)="",LOWER(INDEX('Game Records'!$D:$D,$H454)&amp;"")="n/a")),"Entry Mode; ","")&amp;IF(AND(INDEX('Game Records'!$U:$U,$H454)&lt;&gt;"Subscription",INDEX('Game Records'!$U:$U,$H454)&lt;&gt;"Free Game",INDEX('Game Records'!$U:$U,$H454)&lt;&gt;"Disqualified — Free Game",OR(INDEX('Game Records'!$E:$E,$H454)="",LOWER(INDEX('Game Records'!$E:$E,$H454)&amp;"")="n/a")),"Game Type; ","")&amp;IF(INDEX('Game Records'!$F:$F,$H454)="","Payment Type; ","")&amp;IF(AND(INDEX('Game Records'!$U:$U,$H454)&lt;&gt;"Subscription",INDEX('Game Records'!$U:$U,$H454)&lt;&gt;"Free Game",INDEX('Game Records'!$U:$U,$H454)&lt;&gt;"Disqualified — Free Game",INDEX('Game Records'!$G:$G,$H454)=""),"Gross Pot; ","")&amp;IF(AND(INDEX('Game Records'!$U:$U,$H454)&lt;&gt;"Free Game",INDEX('Game Records'!$U:$U,$H454)&lt;&gt;"Disqualified — Free Game",INDEX('Game Records'!$H:$H,$H454)=""),"Entry Fee; ","")&amp;IF(AND(INDEX('Game Records'!$U:$U,$H454)&lt;&gt;"Subscription",INDEX('Game Records'!$U:$U,$H454)&lt;&gt;"Free Game",INDEX('Game Records'!$U:$U,$H454)&lt;&gt;"Disqualified — Free Game",INDEX('Game Records'!$I:$I,$H454)=""),"Eligible Players; ","")&amp;IF(AND(INDEX('Game Records'!$U:$U,$H454)&lt;&gt;"Subscription",INDEX('Game Records'!$U:$U,$H454)&lt;&gt;"Free Game",INDEX('Game Records'!$U:$U,$H454)&lt;&gt;"Disqualified — Free Game",INDEX('Game Records'!$J:$J,$H454)=""),"Total Players; ","")&amp;IF(AND(LOWER(INDEX('Game Records'!$D:$D,$H454)&amp;"")="finalized",LOWER(INDEX('Game Records'!$L:$L,$H454)&amp;"")&lt;&gt;"yes",INDEX('Game Records'!$U:$U,$H454)&lt;&gt;"Subscription",INDEX('Game Records'!$U:$U,$H454)&lt;&gt;"Free Game",INDEX('Game Records'!$U:$U,$H454)&lt;&gt;"Disqualified — Free Game",INDEX('Game Records'!$K:$K,$H454)=""),"Final Earned; ","")&amp;IF(AND(LOWER(INDEX('Game Records'!$D:$D,$H454)&amp;"")="finalized",INDEX('Game Records'!$U:$U,$H454)&lt;&gt;"Subscription",INDEX('Game Records'!$U:$U,$H454)&lt;&gt;"Free Game",INDEX('Game Records'!$U:$U,$H454)&lt;&gt;"Disqualified — Free Game",OR(INDEX('Game Records'!$L:$L,$H454)="",LOWER(INDEX('Game Records'!$L:$L,$H454)&amp;"")="n/a")),"Disqualified Status; ",""))</x:f>
        <x:v/>
      </x:c>
      <x:c r="G454" s="331" t="str">
        <x:f>IF($H454="","",IFERROR(INDEX('Game Records'!$M:$M,$H454),""))</x:f>
        <x:v/>
      </x:c>
      <x:c r="H454" s="104" t="str">
        <x:f>IF($H453="","",IFERROR(MATCH(1,INDEX((ROW('Game Records'!$U$5:$U$504)&gt;$H453)*(('Game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5" ht="24" customHeight="1">
      <x:c r="A455" s="332" t="str">
        <x:f>IF($H455="","",ROWS($A$5:A455))</x:f>
        <x:v/>
      </x:c>
      <x:c r="B455" s="332" t="str">
        <x:f>IF($H455="","","G-"&amp;TEXT($A455,"0000"))</x:f>
        <x:v/>
      </x:c>
      <x:c r="C455" s="331" t="str">
        <x:f>IF($H455="","",IFERROR(INDEX('Game Records'!$A:$A,$H455),""))</x:f>
        <x:v/>
      </x:c>
      <x:c r="D455" s="331" t="str">
        <x:f>IF($H455="","",IFERROR(INDEX('Game Records'!$U:$U,$H455),""))</x:f>
        <x:v/>
      </x:c>
      <x:c r="E455" s="331" t="str">
        <x:f>IF($H455="","",IF($F455="","No Highlighted Fields","Highlighted Fields Present"))</x:f>
        <x:v/>
      </x:c>
      <x:c r="F455" s="331" t="str">
        <x:f>IF($H455="","",IF(INDEX('Game Records'!$B:$B,$H455)="","Start Date; ","")&amp;IF(INDEX('Game Records'!$C:$C,$H455)="","End Date; ","")&amp;IF(AND(INDEX('Game Records'!$U:$U,$H455)&lt;&gt;"Subscription",INDEX('Game Records'!$U:$U,$H455)&lt;&gt;"Free Game",INDEX('Game Records'!$U:$U,$H455)&lt;&gt;"Disqualified — Free Game",OR(INDEX('Game Records'!$D:$D,$H455)="",LOWER(INDEX('Game Records'!$D:$D,$H455)&amp;"")="n/a")),"Entry Mode; ","")&amp;IF(AND(INDEX('Game Records'!$U:$U,$H455)&lt;&gt;"Subscription",INDEX('Game Records'!$U:$U,$H455)&lt;&gt;"Free Game",INDEX('Game Records'!$U:$U,$H455)&lt;&gt;"Disqualified — Free Game",OR(INDEX('Game Records'!$E:$E,$H455)="",LOWER(INDEX('Game Records'!$E:$E,$H455)&amp;"")="n/a")),"Game Type; ","")&amp;IF(INDEX('Game Records'!$F:$F,$H455)="","Payment Type; ","")&amp;IF(AND(INDEX('Game Records'!$U:$U,$H455)&lt;&gt;"Subscription",INDEX('Game Records'!$U:$U,$H455)&lt;&gt;"Free Game",INDEX('Game Records'!$U:$U,$H455)&lt;&gt;"Disqualified — Free Game",INDEX('Game Records'!$G:$G,$H455)=""),"Gross Pot; ","")&amp;IF(AND(INDEX('Game Records'!$U:$U,$H455)&lt;&gt;"Free Game",INDEX('Game Records'!$U:$U,$H455)&lt;&gt;"Disqualified — Free Game",INDEX('Game Records'!$H:$H,$H455)=""),"Entry Fee; ","")&amp;IF(AND(INDEX('Game Records'!$U:$U,$H455)&lt;&gt;"Subscription",INDEX('Game Records'!$U:$U,$H455)&lt;&gt;"Free Game",INDEX('Game Records'!$U:$U,$H455)&lt;&gt;"Disqualified — Free Game",INDEX('Game Records'!$I:$I,$H455)=""),"Eligible Players; ","")&amp;IF(AND(INDEX('Game Records'!$U:$U,$H455)&lt;&gt;"Subscription",INDEX('Game Records'!$U:$U,$H455)&lt;&gt;"Free Game",INDEX('Game Records'!$U:$U,$H455)&lt;&gt;"Disqualified — Free Game",INDEX('Game Records'!$J:$J,$H455)=""),"Total Players; ","")&amp;IF(AND(LOWER(INDEX('Game Records'!$D:$D,$H455)&amp;"")="finalized",LOWER(INDEX('Game Records'!$L:$L,$H455)&amp;"")&lt;&gt;"yes",INDEX('Game Records'!$U:$U,$H455)&lt;&gt;"Subscription",INDEX('Game Records'!$U:$U,$H455)&lt;&gt;"Free Game",INDEX('Game Records'!$U:$U,$H455)&lt;&gt;"Disqualified — Free Game",INDEX('Game Records'!$K:$K,$H455)=""),"Final Earned; ","")&amp;IF(AND(LOWER(INDEX('Game Records'!$D:$D,$H455)&amp;"")="finalized",INDEX('Game Records'!$U:$U,$H455)&lt;&gt;"Subscription",INDEX('Game Records'!$U:$U,$H455)&lt;&gt;"Free Game",INDEX('Game Records'!$U:$U,$H455)&lt;&gt;"Disqualified — Free Game",OR(INDEX('Game Records'!$L:$L,$H455)="",LOWER(INDEX('Game Records'!$L:$L,$H455)&amp;"")="n/a")),"Disqualified Status; ",""))</x:f>
        <x:v/>
      </x:c>
      <x:c r="G455" s="331" t="str">
        <x:f>IF($H455="","",IFERROR(INDEX('Game Records'!$M:$M,$H455),""))</x:f>
        <x:v/>
      </x:c>
      <x:c r="H455" s="104" t="str">
        <x:f>IF($H454="","",IFERROR(MATCH(1,INDEX((ROW('Game Records'!$U$5:$U$504)&gt;$H454)*(('Game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6" ht="24" customHeight="1">
      <x:c r="A456" s="332" t="str">
        <x:f>IF($H456="","",ROWS($A$5:A456))</x:f>
        <x:v/>
      </x:c>
      <x:c r="B456" s="332" t="str">
        <x:f>IF($H456="","","G-"&amp;TEXT($A456,"0000"))</x:f>
        <x:v/>
      </x:c>
      <x:c r="C456" s="331" t="str">
        <x:f>IF($H456="","",IFERROR(INDEX('Game Records'!$A:$A,$H456),""))</x:f>
        <x:v/>
      </x:c>
      <x:c r="D456" s="331" t="str">
        <x:f>IF($H456="","",IFERROR(INDEX('Game Records'!$U:$U,$H456),""))</x:f>
        <x:v/>
      </x:c>
      <x:c r="E456" s="331" t="str">
        <x:f>IF($H456="","",IF($F456="","No Highlighted Fields","Highlighted Fields Present"))</x:f>
        <x:v/>
      </x:c>
      <x:c r="F456" s="331" t="str">
        <x:f>IF($H456="","",IF(INDEX('Game Records'!$B:$B,$H456)="","Start Date; ","")&amp;IF(INDEX('Game Records'!$C:$C,$H456)="","End Date; ","")&amp;IF(AND(INDEX('Game Records'!$U:$U,$H456)&lt;&gt;"Subscription",INDEX('Game Records'!$U:$U,$H456)&lt;&gt;"Free Game",INDEX('Game Records'!$U:$U,$H456)&lt;&gt;"Disqualified — Free Game",OR(INDEX('Game Records'!$D:$D,$H456)="",LOWER(INDEX('Game Records'!$D:$D,$H456)&amp;"")="n/a")),"Entry Mode; ","")&amp;IF(AND(INDEX('Game Records'!$U:$U,$H456)&lt;&gt;"Subscription",INDEX('Game Records'!$U:$U,$H456)&lt;&gt;"Free Game",INDEX('Game Records'!$U:$U,$H456)&lt;&gt;"Disqualified — Free Game",OR(INDEX('Game Records'!$E:$E,$H456)="",LOWER(INDEX('Game Records'!$E:$E,$H456)&amp;"")="n/a")),"Game Type; ","")&amp;IF(INDEX('Game Records'!$F:$F,$H456)="","Payment Type; ","")&amp;IF(AND(INDEX('Game Records'!$U:$U,$H456)&lt;&gt;"Subscription",INDEX('Game Records'!$U:$U,$H456)&lt;&gt;"Free Game",INDEX('Game Records'!$U:$U,$H456)&lt;&gt;"Disqualified — Free Game",INDEX('Game Records'!$G:$G,$H456)=""),"Gross Pot; ","")&amp;IF(AND(INDEX('Game Records'!$U:$U,$H456)&lt;&gt;"Free Game",INDEX('Game Records'!$U:$U,$H456)&lt;&gt;"Disqualified — Free Game",INDEX('Game Records'!$H:$H,$H456)=""),"Entry Fee; ","")&amp;IF(AND(INDEX('Game Records'!$U:$U,$H456)&lt;&gt;"Subscription",INDEX('Game Records'!$U:$U,$H456)&lt;&gt;"Free Game",INDEX('Game Records'!$U:$U,$H456)&lt;&gt;"Disqualified — Free Game",INDEX('Game Records'!$I:$I,$H456)=""),"Eligible Players; ","")&amp;IF(AND(INDEX('Game Records'!$U:$U,$H456)&lt;&gt;"Subscription",INDEX('Game Records'!$U:$U,$H456)&lt;&gt;"Free Game",INDEX('Game Records'!$U:$U,$H456)&lt;&gt;"Disqualified — Free Game",INDEX('Game Records'!$J:$J,$H456)=""),"Total Players; ","")&amp;IF(AND(LOWER(INDEX('Game Records'!$D:$D,$H456)&amp;"")="finalized",LOWER(INDEX('Game Records'!$L:$L,$H456)&amp;"")&lt;&gt;"yes",INDEX('Game Records'!$U:$U,$H456)&lt;&gt;"Subscription",INDEX('Game Records'!$U:$U,$H456)&lt;&gt;"Free Game",INDEX('Game Records'!$U:$U,$H456)&lt;&gt;"Disqualified — Free Game",INDEX('Game Records'!$K:$K,$H456)=""),"Final Earned; ","")&amp;IF(AND(LOWER(INDEX('Game Records'!$D:$D,$H456)&amp;"")="finalized",INDEX('Game Records'!$U:$U,$H456)&lt;&gt;"Subscription",INDEX('Game Records'!$U:$U,$H456)&lt;&gt;"Free Game",INDEX('Game Records'!$U:$U,$H456)&lt;&gt;"Disqualified — Free Game",OR(INDEX('Game Records'!$L:$L,$H456)="",LOWER(INDEX('Game Records'!$L:$L,$H456)&amp;"")="n/a")),"Disqualified Status; ",""))</x:f>
        <x:v/>
      </x:c>
      <x:c r="G456" s="331" t="str">
        <x:f>IF($H456="","",IFERROR(INDEX('Game Records'!$M:$M,$H456),""))</x:f>
        <x:v/>
      </x:c>
      <x:c r="H456" s="104" t="str">
        <x:f>IF($H455="","",IFERROR(MATCH(1,INDEX((ROW('Game Records'!$U$5:$U$504)&gt;$H455)*(('Game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7" ht="24" customHeight="1">
      <x:c r="A457" s="332" t="str">
        <x:f>IF($H457="","",ROWS($A$5:A457))</x:f>
        <x:v/>
      </x:c>
      <x:c r="B457" s="332" t="str">
        <x:f>IF($H457="","","G-"&amp;TEXT($A457,"0000"))</x:f>
        <x:v/>
      </x:c>
      <x:c r="C457" s="331" t="str">
        <x:f>IF($H457="","",IFERROR(INDEX('Game Records'!$A:$A,$H457),""))</x:f>
        <x:v/>
      </x:c>
      <x:c r="D457" s="331" t="str">
        <x:f>IF($H457="","",IFERROR(INDEX('Game Records'!$U:$U,$H457),""))</x:f>
        <x:v/>
      </x:c>
      <x:c r="E457" s="331" t="str">
        <x:f>IF($H457="","",IF($F457="","No Highlighted Fields","Highlighted Fields Present"))</x:f>
        <x:v/>
      </x:c>
      <x:c r="F457" s="331" t="str">
        <x:f>IF($H457="","",IF(INDEX('Game Records'!$B:$B,$H457)="","Start Date; ","")&amp;IF(INDEX('Game Records'!$C:$C,$H457)="","End Date; ","")&amp;IF(AND(INDEX('Game Records'!$U:$U,$H457)&lt;&gt;"Subscription",INDEX('Game Records'!$U:$U,$H457)&lt;&gt;"Free Game",INDEX('Game Records'!$U:$U,$H457)&lt;&gt;"Disqualified — Free Game",OR(INDEX('Game Records'!$D:$D,$H457)="",LOWER(INDEX('Game Records'!$D:$D,$H457)&amp;"")="n/a")),"Entry Mode; ","")&amp;IF(AND(INDEX('Game Records'!$U:$U,$H457)&lt;&gt;"Subscription",INDEX('Game Records'!$U:$U,$H457)&lt;&gt;"Free Game",INDEX('Game Records'!$U:$U,$H457)&lt;&gt;"Disqualified — Free Game",OR(INDEX('Game Records'!$E:$E,$H457)="",LOWER(INDEX('Game Records'!$E:$E,$H457)&amp;"")="n/a")),"Game Type; ","")&amp;IF(INDEX('Game Records'!$F:$F,$H457)="","Payment Type; ","")&amp;IF(AND(INDEX('Game Records'!$U:$U,$H457)&lt;&gt;"Subscription",INDEX('Game Records'!$U:$U,$H457)&lt;&gt;"Free Game",INDEX('Game Records'!$U:$U,$H457)&lt;&gt;"Disqualified — Free Game",INDEX('Game Records'!$G:$G,$H457)=""),"Gross Pot; ","")&amp;IF(AND(INDEX('Game Records'!$U:$U,$H457)&lt;&gt;"Free Game",INDEX('Game Records'!$U:$U,$H457)&lt;&gt;"Disqualified — Free Game",INDEX('Game Records'!$H:$H,$H457)=""),"Entry Fee; ","")&amp;IF(AND(INDEX('Game Records'!$U:$U,$H457)&lt;&gt;"Subscription",INDEX('Game Records'!$U:$U,$H457)&lt;&gt;"Free Game",INDEX('Game Records'!$U:$U,$H457)&lt;&gt;"Disqualified — Free Game",INDEX('Game Records'!$I:$I,$H457)=""),"Eligible Players; ","")&amp;IF(AND(INDEX('Game Records'!$U:$U,$H457)&lt;&gt;"Subscription",INDEX('Game Records'!$U:$U,$H457)&lt;&gt;"Free Game",INDEX('Game Records'!$U:$U,$H457)&lt;&gt;"Disqualified — Free Game",INDEX('Game Records'!$J:$J,$H457)=""),"Total Players; ","")&amp;IF(AND(LOWER(INDEX('Game Records'!$D:$D,$H457)&amp;"")="finalized",LOWER(INDEX('Game Records'!$L:$L,$H457)&amp;"")&lt;&gt;"yes",INDEX('Game Records'!$U:$U,$H457)&lt;&gt;"Subscription",INDEX('Game Records'!$U:$U,$H457)&lt;&gt;"Free Game",INDEX('Game Records'!$U:$U,$H457)&lt;&gt;"Disqualified — Free Game",INDEX('Game Records'!$K:$K,$H457)=""),"Final Earned; ","")&amp;IF(AND(LOWER(INDEX('Game Records'!$D:$D,$H457)&amp;"")="finalized",INDEX('Game Records'!$U:$U,$H457)&lt;&gt;"Subscription",INDEX('Game Records'!$U:$U,$H457)&lt;&gt;"Free Game",INDEX('Game Records'!$U:$U,$H457)&lt;&gt;"Disqualified — Free Game",OR(INDEX('Game Records'!$L:$L,$H457)="",LOWER(INDEX('Game Records'!$L:$L,$H457)&amp;"")="n/a")),"Disqualified Status; ",""))</x:f>
        <x:v/>
      </x:c>
      <x:c r="G457" s="331" t="str">
        <x:f>IF($H457="","",IFERROR(INDEX('Game Records'!$M:$M,$H457),""))</x:f>
        <x:v/>
      </x:c>
      <x:c r="H457" s="104" t="str">
        <x:f>IF($H456="","",IFERROR(MATCH(1,INDEX((ROW('Game Records'!$U$5:$U$504)&gt;$H456)*(('Game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8" ht="24" customHeight="1">
      <x:c r="A458" s="332" t="str">
        <x:f>IF($H458="","",ROWS($A$5:A458))</x:f>
        <x:v/>
      </x:c>
      <x:c r="B458" s="332" t="str">
        <x:f>IF($H458="","","G-"&amp;TEXT($A458,"0000"))</x:f>
        <x:v/>
      </x:c>
      <x:c r="C458" s="331" t="str">
        <x:f>IF($H458="","",IFERROR(INDEX('Game Records'!$A:$A,$H458),""))</x:f>
        <x:v/>
      </x:c>
      <x:c r="D458" s="331" t="str">
        <x:f>IF($H458="","",IFERROR(INDEX('Game Records'!$U:$U,$H458),""))</x:f>
        <x:v/>
      </x:c>
      <x:c r="E458" s="331" t="str">
        <x:f>IF($H458="","",IF($F458="","No Highlighted Fields","Highlighted Fields Present"))</x:f>
        <x:v/>
      </x:c>
      <x:c r="F458" s="331" t="str">
        <x:f>IF($H458="","",IF(INDEX('Game Records'!$B:$B,$H458)="","Start Date; ","")&amp;IF(INDEX('Game Records'!$C:$C,$H458)="","End Date; ","")&amp;IF(AND(INDEX('Game Records'!$U:$U,$H458)&lt;&gt;"Subscription",INDEX('Game Records'!$U:$U,$H458)&lt;&gt;"Free Game",INDEX('Game Records'!$U:$U,$H458)&lt;&gt;"Disqualified — Free Game",OR(INDEX('Game Records'!$D:$D,$H458)="",LOWER(INDEX('Game Records'!$D:$D,$H458)&amp;"")="n/a")),"Entry Mode; ","")&amp;IF(AND(INDEX('Game Records'!$U:$U,$H458)&lt;&gt;"Subscription",INDEX('Game Records'!$U:$U,$H458)&lt;&gt;"Free Game",INDEX('Game Records'!$U:$U,$H458)&lt;&gt;"Disqualified — Free Game",OR(INDEX('Game Records'!$E:$E,$H458)="",LOWER(INDEX('Game Records'!$E:$E,$H458)&amp;"")="n/a")),"Game Type; ","")&amp;IF(INDEX('Game Records'!$F:$F,$H458)="","Payment Type; ","")&amp;IF(AND(INDEX('Game Records'!$U:$U,$H458)&lt;&gt;"Subscription",INDEX('Game Records'!$U:$U,$H458)&lt;&gt;"Free Game",INDEX('Game Records'!$U:$U,$H458)&lt;&gt;"Disqualified — Free Game",INDEX('Game Records'!$G:$G,$H458)=""),"Gross Pot; ","")&amp;IF(AND(INDEX('Game Records'!$U:$U,$H458)&lt;&gt;"Free Game",INDEX('Game Records'!$U:$U,$H458)&lt;&gt;"Disqualified — Free Game",INDEX('Game Records'!$H:$H,$H458)=""),"Entry Fee; ","")&amp;IF(AND(INDEX('Game Records'!$U:$U,$H458)&lt;&gt;"Subscription",INDEX('Game Records'!$U:$U,$H458)&lt;&gt;"Free Game",INDEX('Game Records'!$U:$U,$H458)&lt;&gt;"Disqualified — Free Game",INDEX('Game Records'!$I:$I,$H458)=""),"Eligible Players; ","")&amp;IF(AND(INDEX('Game Records'!$U:$U,$H458)&lt;&gt;"Subscription",INDEX('Game Records'!$U:$U,$H458)&lt;&gt;"Free Game",INDEX('Game Records'!$U:$U,$H458)&lt;&gt;"Disqualified — Free Game",INDEX('Game Records'!$J:$J,$H458)=""),"Total Players; ","")&amp;IF(AND(LOWER(INDEX('Game Records'!$D:$D,$H458)&amp;"")="finalized",LOWER(INDEX('Game Records'!$L:$L,$H458)&amp;"")&lt;&gt;"yes",INDEX('Game Records'!$U:$U,$H458)&lt;&gt;"Subscription",INDEX('Game Records'!$U:$U,$H458)&lt;&gt;"Free Game",INDEX('Game Records'!$U:$U,$H458)&lt;&gt;"Disqualified — Free Game",INDEX('Game Records'!$K:$K,$H458)=""),"Final Earned; ","")&amp;IF(AND(LOWER(INDEX('Game Records'!$D:$D,$H458)&amp;"")="finalized",INDEX('Game Records'!$U:$U,$H458)&lt;&gt;"Subscription",INDEX('Game Records'!$U:$U,$H458)&lt;&gt;"Free Game",INDEX('Game Records'!$U:$U,$H458)&lt;&gt;"Disqualified — Free Game",OR(INDEX('Game Records'!$L:$L,$H458)="",LOWER(INDEX('Game Records'!$L:$L,$H458)&amp;"")="n/a")),"Disqualified Status; ",""))</x:f>
        <x:v/>
      </x:c>
      <x:c r="G458" s="331" t="str">
        <x:f>IF($H458="","",IFERROR(INDEX('Game Records'!$M:$M,$H458),""))</x:f>
        <x:v/>
      </x:c>
      <x:c r="H458" s="104" t="str">
        <x:f>IF($H457="","",IFERROR(MATCH(1,INDEX((ROW('Game Records'!$U$5:$U$504)&gt;$H457)*(('Game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59" ht="24" customHeight="1">
      <x:c r="A459" s="332" t="str">
        <x:f>IF($H459="","",ROWS($A$5:A459))</x:f>
        <x:v/>
      </x:c>
      <x:c r="B459" s="332" t="str">
        <x:f>IF($H459="","","G-"&amp;TEXT($A459,"0000"))</x:f>
        <x:v/>
      </x:c>
      <x:c r="C459" s="331" t="str">
        <x:f>IF($H459="","",IFERROR(INDEX('Game Records'!$A:$A,$H459),""))</x:f>
        <x:v/>
      </x:c>
      <x:c r="D459" s="331" t="str">
        <x:f>IF($H459="","",IFERROR(INDEX('Game Records'!$U:$U,$H459),""))</x:f>
        <x:v/>
      </x:c>
      <x:c r="E459" s="331" t="str">
        <x:f>IF($H459="","",IF($F459="","No Highlighted Fields","Highlighted Fields Present"))</x:f>
        <x:v/>
      </x:c>
      <x:c r="F459" s="331" t="str">
        <x:f>IF($H459="","",IF(INDEX('Game Records'!$B:$B,$H459)="","Start Date; ","")&amp;IF(INDEX('Game Records'!$C:$C,$H459)="","End Date; ","")&amp;IF(AND(INDEX('Game Records'!$U:$U,$H459)&lt;&gt;"Subscription",INDEX('Game Records'!$U:$U,$H459)&lt;&gt;"Free Game",INDEX('Game Records'!$U:$U,$H459)&lt;&gt;"Disqualified — Free Game",OR(INDEX('Game Records'!$D:$D,$H459)="",LOWER(INDEX('Game Records'!$D:$D,$H459)&amp;"")="n/a")),"Entry Mode; ","")&amp;IF(AND(INDEX('Game Records'!$U:$U,$H459)&lt;&gt;"Subscription",INDEX('Game Records'!$U:$U,$H459)&lt;&gt;"Free Game",INDEX('Game Records'!$U:$U,$H459)&lt;&gt;"Disqualified — Free Game",OR(INDEX('Game Records'!$E:$E,$H459)="",LOWER(INDEX('Game Records'!$E:$E,$H459)&amp;"")="n/a")),"Game Type; ","")&amp;IF(INDEX('Game Records'!$F:$F,$H459)="","Payment Type; ","")&amp;IF(AND(INDEX('Game Records'!$U:$U,$H459)&lt;&gt;"Subscription",INDEX('Game Records'!$U:$U,$H459)&lt;&gt;"Free Game",INDEX('Game Records'!$U:$U,$H459)&lt;&gt;"Disqualified — Free Game",INDEX('Game Records'!$G:$G,$H459)=""),"Gross Pot; ","")&amp;IF(AND(INDEX('Game Records'!$U:$U,$H459)&lt;&gt;"Free Game",INDEX('Game Records'!$U:$U,$H459)&lt;&gt;"Disqualified — Free Game",INDEX('Game Records'!$H:$H,$H459)=""),"Entry Fee; ","")&amp;IF(AND(INDEX('Game Records'!$U:$U,$H459)&lt;&gt;"Subscription",INDEX('Game Records'!$U:$U,$H459)&lt;&gt;"Free Game",INDEX('Game Records'!$U:$U,$H459)&lt;&gt;"Disqualified — Free Game",INDEX('Game Records'!$I:$I,$H459)=""),"Eligible Players; ","")&amp;IF(AND(INDEX('Game Records'!$U:$U,$H459)&lt;&gt;"Subscription",INDEX('Game Records'!$U:$U,$H459)&lt;&gt;"Free Game",INDEX('Game Records'!$U:$U,$H459)&lt;&gt;"Disqualified — Free Game",INDEX('Game Records'!$J:$J,$H459)=""),"Total Players; ","")&amp;IF(AND(LOWER(INDEX('Game Records'!$D:$D,$H459)&amp;"")="finalized",LOWER(INDEX('Game Records'!$L:$L,$H459)&amp;"")&lt;&gt;"yes",INDEX('Game Records'!$U:$U,$H459)&lt;&gt;"Subscription",INDEX('Game Records'!$U:$U,$H459)&lt;&gt;"Free Game",INDEX('Game Records'!$U:$U,$H459)&lt;&gt;"Disqualified — Free Game",INDEX('Game Records'!$K:$K,$H459)=""),"Final Earned; ","")&amp;IF(AND(LOWER(INDEX('Game Records'!$D:$D,$H459)&amp;"")="finalized",INDEX('Game Records'!$U:$U,$H459)&lt;&gt;"Subscription",INDEX('Game Records'!$U:$U,$H459)&lt;&gt;"Free Game",INDEX('Game Records'!$U:$U,$H459)&lt;&gt;"Disqualified — Free Game",OR(INDEX('Game Records'!$L:$L,$H459)="",LOWER(INDEX('Game Records'!$L:$L,$H459)&amp;"")="n/a")),"Disqualified Status; ",""))</x:f>
        <x:v/>
      </x:c>
      <x:c r="G459" s="331" t="str">
        <x:f>IF($H459="","",IFERROR(INDEX('Game Records'!$M:$M,$H459),""))</x:f>
        <x:v/>
      </x:c>
      <x:c r="H459" s="104" t="str">
        <x:f>IF($H458="","",IFERROR(MATCH(1,INDEX((ROW('Game Records'!$U$5:$U$504)&gt;$H458)*(('Game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0" ht="24" customHeight="1">
      <x:c r="A460" s="332" t="str">
        <x:f>IF($H460="","",ROWS($A$5:A460))</x:f>
        <x:v/>
      </x:c>
      <x:c r="B460" s="332" t="str">
        <x:f>IF($H460="","","G-"&amp;TEXT($A460,"0000"))</x:f>
        <x:v/>
      </x:c>
      <x:c r="C460" s="331" t="str">
        <x:f>IF($H460="","",IFERROR(INDEX('Game Records'!$A:$A,$H460),""))</x:f>
        <x:v/>
      </x:c>
      <x:c r="D460" s="331" t="str">
        <x:f>IF($H460="","",IFERROR(INDEX('Game Records'!$U:$U,$H460),""))</x:f>
        <x:v/>
      </x:c>
      <x:c r="E460" s="331" t="str">
        <x:f>IF($H460="","",IF($F460="","No Highlighted Fields","Highlighted Fields Present"))</x:f>
        <x:v/>
      </x:c>
      <x:c r="F460" s="331" t="str">
        <x:f>IF($H460="","",IF(INDEX('Game Records'!$B:$B,$H460)="","Start Date; ","")&amp;IF(INDEX('Game Records'!$C:$C,$H460)="","End Date; ","")&amp;IF(AND(INDEX('Game Records'!$U:$U,$H460)&lt;&gt;"Subscription",INDEX('Game Records'!$U:$U,$H460)&lt;&gt;"Free Game",INDEX('Game Records'!$U:$U,$H460)&lt;&gt;"Disqualified — Free Game",OR(INDEX('Game Records'!$D:$D,$H460)="",LOWER(INDEX('Game Records'!$D:$D,$H460)&amp;"")="n/a")),"Entry Mode; ","")&amp;IF(AND(INDEX('Game Records'!$U:$U,$H460)&lt;&gt;"Subscription",INDEX('Game Records'!$U:$U,$H460)&lt;&gt;"Free Game",INDEX('Game Records'!$U:$U,$H460)&lt;&gt;"Disqualified — Free Game",OR(INDEX('Game Records'!$E:$E,$H460)="",LOWER(INDEX('Game Records'!$E:$E,$H460)&amp;"")="n/a")),"Game Type; ","")&amp;IF(INDEX('Game Records'!$F:$F,$H460)="","Payment Type; ","")&amp;IF(AND(INDEX('Game Records'!$U:$U,$H460)&lt;&gt;"Subscription",INDEX('Game Records'!$U:$U,$H460)&lt;&gt;"Free Game",INDEX('Game Records'!$U:$U,$H460)&lt;&gt;"Disqualified — Free Game",INDEX('Game Records'!$G:$G,$H460)=""),"Gross Pot; ","")&amp;IF(AND(INDEX('Game Records'!$U:$U,$H460)&lt;&gt;"Free Game",INDEX('Game Records'!$U:$U,$H460)&lt;&gt;"Disqualified — Free Game",INDEX('Game Records'!$H:$H,$H460)=""),"Entry Fee; ","")&amp;IF(AND(INDEX('Game Records'!$U:$U,$H460)&lt;&gt;"Subscription",INDEX('Game Records'!$U:$U,$H460)&lt;&gt;"Free Game",INDEX('Game Records'!$U:$U,$H460)&lt;&gt;"Disqualified — Free Game",INDEX('Game Records'!$I:$I,$H460)=""),"Eligible Players; ","")&amp;IF(AND(INDEX('Game Records'!$U:$U,$H460)&lt;&gt;"Subscription",INDEX('Game Records'!$U:$U,$H460)&lt;&gt;"Free Game",INDEX('Game Records'!$U:$U,$H460)&lt;&gt;"Disqualified — Free Game",INDEX('Game Records'!$J:$J,$H460)=""),"Total Players; ","")&amp;IF(AND(LOWER(INDEX('Game Records'!$D:$D,$H460)&amp;"")="finalized",LOWER(INDEX('Game Records'!$L:$L,$H460)&amp;"")&lt;&gt;"yes",INDEX('Game Records'!$U:$U,$H460)&lt;&gt;"Subscription",INDEX('Game Records'!$U:$U,$H460)&lt;&gt;"Free Game",INDEX('Game Records'!$U:$U,$H460)&lt;&gt;"Disqualified — Free Game",INDEX('Game Records'!$K:$K,$H460)=""),"Final Earned; ","")&amp;IF(AND(LOWER(INDEX('Game Records'!$D:$D,$H460)&amp;"")="finalized",INDEX('Game Records'!$U:$U,$H460)&lt;&gt;"Subscription",INDEX('Game Records'!$U:$U,$H460)&lt;&gt;"Free Game",INDEX('Game Records'!$U:$U,$H460)&lt;&gt;"Disqualified — Free Game",OR(INDEX('Game Records'!$L:$L,$H460)="",LOWER(INDEX('Game Records'!$L:$L,$H460)&amp;"")="n/a")),"Disqualified Status; ",""))</x:f>
        <x:v/>
      </x:c>
      <x:c r="G460" s="331" t="str">
        <x:f>IF($H460="","",IFERROR(INDEX('Game Records'!$M:$M,$H460),""))</x:f>
        <x:v/>
      </x:c>
      <x:c r="H460" s="104" t="str">
        <x:f>IF($H459="","",IFERROR(MATCH(1,INDEX((ROW('Game Records'!$U$5:$U$504)&gt;$H459)*(('Game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1" ht="24" customHeight="1">
      <x:c r="A461" s="332" t="str">
        <x:f>IF($H461="","",ROWS($A$5:A461))</x:f>
        <x:v/>
      </x:c>
      <x:c r="B461" s="332" t="str">
        <x:f>IF($H461="","","G-"&amp;TEXT($A461,"0000"))</x:f>
        <x:v/>
      </x:c>
      <x:c r="C461" s="331" t="str">
        <x:f>IF($H461="","",IFERROR(INDEX('Game Records'!$A:$A,$H461),""))</x:f>
        <x:v/>
      </x:c>
      <x:c r="D461" s="331" t="str">
        <x:f>IF($H461="","",IFERROR(INDEX('Game Records'!$U:$U,$H461),""))</x:f>
        <x:v/>
      </x:c>
      <x:c r="E461" s="331" t="str">
        <x:f>IF($H461="","",IF($F461="","No Highlighted Fields","Highlighted Fields Present"))</x:f>
        <x:v/>
      </x:c>
      <x:c r="F461" s="331" t="str">
        <x:f>IF($H461="","",IF(INDEX('Game Records'!$B:$B,$H461)="","Start Date; ","")&amp;IF(INDEX('Game Records'!$C:$C,$H461)="","End Date; ","")&amp;IF(AND(INDEX('Game Records'!$U:$U,$H461)&lt;&gt;"Subscription",INDEX('Game Records'!$U:$U,$H461)&lt;&gt;"Free Game",INDEX('Game Records'!$U:$U,$H461)&lt;&gt;"Disqualified — Free Game",OR(INDEX('Game Records'!$D:$D,$H461)="",LOWER(INDEX('Game Records'!$D:$D,$H461)&amp;"")="n/a")),"Entry Mode; ","")&amp;IF(AND(INDEX('Game Records'!$U:$U,$H461)&lt;&gt;"Subscription",INDEX('Game Records'!$U:$U,$H461)&lt;&gt;"Free Game",INDEX('Game Records'!$U:$U,$H461)&lt;&gt;"Disqualified — Free Game",OR(INDEX('Game Records'!$E:$E,$H461)="",LOWER(INDEX('Game Records'!$E:$E,$H461)&amp;"")="n/a")),"Game Type; ","")&amp;IF(INDEX('Game Records'!$F:$F,$H461)="","Payment Type; ","")&amp;IF(AND(INDEX('Game Records'!$U:$U,$H461)&lt;&gt;"Subscription",INDEX('Game Records'!$U:$U,$H461)&lt;&gt;"Free Game",INDEX('Game Records'!$U:$U,$H461)&lt;&gt;"Disqualified — Free Game",INDEX('Game Records'!$G:$G,$H461)=""),"Gross Pot; ","")&amp;IF(AND(INDEX('Game Records'!$U:$U,$H461)&lt;&gt;"Free Game",INDEX('Game Records'!$U:$U,$H461)&lt;&gt;"Disqualified — Free Game",INDEX('Game Records'!$H:$H,$H461)=""),"Entry Fee; ","")&amp;IF(AND(INDEX('Game Records'!$U:$U,$H461)&lt;&gt;"Subscription",INDEX('Game Records'!$U:$U,$H461)&lt;&gt;"Free Game",INDEX('Game Records'!$U:$U,$H461)&lt;&gt;"Disqualified — Free Game",INDEX('Game Records'!$I:$I,$H461)=""),"Eligible Players; ","")&amp;IF(AND(INDEX('Game Records'!$U:$U,$H461)&lt;&gt;"Subscription",INDEX('Game Records'!$U:$U,$H461)&lt;&gt;"Free Game",INDEX('Game Records'!$U:$U,$H461)&lt;&gt;"Disqualified — Free Game",INDEX('Game Records'!$J:$J,$H461)=""),"Total Players; ","")&amp;IF(AND(LOWER(INDEX('Game Records'!$D:$D,$H461)&amp;"")="finalized",LOWER(INDEX('Game Records'!$L:$L,$H461)&amp;"")&lt;&gt;"yes",INDEX('Game Records'!$U:$U,$H461)&lt;&gt;"Subscription",INDEX('Game Records'!$U:$U,$H461)&lt;&gt;"Free Game",INDEX('Game Records'!$U:$U,$H461)&lt;&gt;"Disqualified — Free Game",INDEX('Game Records'!$K:$K,$H461)=""),"Final Earned; ","")&amp;IF(AND(LOWER(INDEX('Game Records'!$D:$D,$H461)&amp;"")="finalized",INDEX('Game Records'!$U:$U,$H461)&lt;&gt;"Subscription",INDEX('Game Records'!$U:$U,$H461)&lt;&gt;"Free Game",INDEX('Game Records'!$U:$U,$H461)&lt;&gt;"Disqualified — Free Game",OR(INDEX('Game Records'!$L:$L,$H461)="",LOWER(INDEX('Game Records'!$L:$L,$H461)&amp;"")="n/a")),"Disqualified Status; ",""))</x:f>
        <x:v/>
      </x:c>
      <x:c r="G461" s="331" t="str">
        <x:f>IF($H461="","",IFERROR(INDEX('Game Records'!$M:$M,$H461),""))</x:f>
        <x:v/>
      </x:c>
      <x:c r="H461" s="104" t="str">
        <x:f>IF($H460="","",IFERROR(MATCH(1,INDEX((ROW('Game Records'!$U$5:$U$504)&gt;$H460)*(('Game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2" ht="24" customHeight="1">
      <x:c r="A462" s="332" t="str">
        <x:f>IF($H462="","",ROWS($A$5:A462))</x:f>
        <x:v/>
      </x:c>
      <x:c r="B462" s="332" t="str">
        <x:f>IF($H462="","","G-"&amp;TEXT($A462,"0000"))</x:f>
        <x:v/>
      </x:c>
      <x:c r="C462" s="331" t="str">
        <x:f>IF($H462="","",IFERROR(INDEX('Game Records'!$A:$A,$H462),""))</x:f>
        <x:v/>
      </x:c>
      <x:c r="D462" s="331" t="str">
        <x:f>IF($H462="","",IFERROR(INDEX('Game Records'!$U:$U,$H462),""))</x:f>
        <x:v/>
      </x:c>
      <x:c r="E462" s="331" t="str">
        <x:f>IF($H462="","",IF($F462="","No Highlighted Fields","Highlighted Fields Present"))</x:f>
        <x:v/>
      </x:c>
      <x:c r="F462" s="331" t="str">
        <x:f>IF($H462="","",IF(INDEX('Game Records'!$B:$B,$H462)="","Start Date; ","")&amp;IF(INDEX('Game Records'!$C:$C,$H462)="","End Date; ","")&amp;IF(AND(INDEX('Game Records'!$U:$U,$H462)&lt;&gt;"Subscription",INDEX('Game Records'!$U:$U,$H462)&lt;&gt;"Free Game",INDEX('Game Records'!$U:$U,$H462)&lt;&gt;"Disqualified — Free Game",OR(INDEX('Game Records'!$D:$D,$H462)="",LOWER(INDEX('Game Records'!$D:$D,$H462)&amp;"")="n/a")),"Entry Mode; ","")&amp;IF(AND(INDEX('Game Records'!$U:$U,$H462)&lt;&gt;"Subscription",INDEX('Game Records'!$U:$U,$H462)&lt;&gt;"Free Game",INDEX('Game Records'!$U:$U,$H462)&lt;&gt;"Disqualified — Free Game",OR(INDEX('Game Records'!$E:$E,$H462)="",LOWER(INDEX('Game Records'!$E:$E,$H462)&amp;"")="n/a")),"Game Type; ","")&amp;IF(INDEX('Game Records'!$F:$F,$H462)="","Payment Type; ","")&amp;IF(AND(INDEX('Game Records'!$U:$U,$H462)&lt;&gt;"Subscription",INDEX('Game Records'!$U:$U,$H462)&lt;&gt;"Free Game",INDEX('Game Records'!$U:$U,$H462)&lt;&gt;"Disqualified — Free Game",INDEX('Game Records'!$G:$G,$H462)=""),"Gross Pot; ","")&amp;IF(AND(INDEX('Game Records'!$U:$U,$H462)&lt;&gt;"Free Game",INDEX('Game Records'!$U:$U,$H462)&lt;&gt;"Disqualified — Free Game",INDEX('Game Records'!$H:$H,$H462)=""),"Entry Fee; ","")&amp;IF(AND(INDEX('Game Records'!$U:$U,$H462)&lt;&gt;"Subscription",INDEX('Game Records'!$U:$U,$H462)&lt;&gt;"Free Game",INDEX('Game Records'!$U:$U,$H462)&lt;&gt;"Disqualified — Free Game",INDEX('Game Records'!$I:$I,$H462)=""),"Eligible Players; ","")&amp;IF(AND(INDEX('Game Records'!$U:$U,$H462)&lt;&gt;"Subscription",INDEX('Game Records'!$U:$U,$H462)&lt;&gt;"Free Game",INDEX('Game Records'!$U:$U,$H462)&lt;&gt;"Disqualified — Free Game",INDEX('Game Records'!$J:$J,$H462)=""),"Total Players; ","")&amp;IF(AND(LOWER(INDEX('Game Records'!$D:$D,$H462)&amp;"")="finalized",LOWER(INDEX('Game Records'!$L:$L,$H462)&amp;"")&lt;&gt;"yes",INDEX('Game Records'!$U:$U,$H462)&lt;&gt;"Subscription",INDEX('Game Records'!$U:$U,$H462)&lt;&gt;"Free Game",INDEX('Game Records'!$U:$U,$H462)&lt;&gt;"Disqualified — Free Game",INDEX('Game Records'!$K:$K,$H462)=""),"Final Earned; ","")&amp;IF(AND(LOWER(INDEX('Game Records'!$D:$D,$H462)&amp;"")="finalized",INDEX('Game Records'!$U:$U,$H462)&lt;&gt;"Subscription",INDEX('Game Records'!$U:$U,$H462)&lt;&gt;"Free Game",INDEX('Game Records'!$U:$U,$H462)&lt;&gt;"Disqualified — Free Game",OR(INDEX('Game Records'!$L:$L,$H462)="",LOWER(INDEX('Game Records'!$L:$L,$H462)&amp;"")="n/a")),"Disqualified Status; ",""))</x:f>
        <x:v/>
      </x:c>
      <x:c r="G462" s="331" t="str">
        <x:f>IF($H462="","",IFERROR(INDEX('Game Records'!$M:$M,$H462),""))</x:f>
        <x:v/>
      </x:c>
      <x:c r="H462" s="104" t="str">
        <x:f>IF($H461="","",IFERROR(MATCH(1,INDEX((ROW('Game Records'!$U$5:$U$504)&gt;$H461)*(('Game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3" ht="24" customHeight="1">
      <x:c r="A463" s="332" t="str">
        <x:f>IF($H463="","",ROWS($A$5:A463))</x:f>
        <x:v/>
      </x:c>
      <x:c r="B463" s="332" t="str">
        <x:f>IF($H463="","","G-"&amp;TEXT($A463,"0000"))</x:f>
        <x:v/>
      </x:c>
      <x:c r="C463" s="331" t="str">
        <x:f>IF($H463="","",IFERROR(INDEX('Game Records'!$A:$A,$H463),""))</x:f>
        <x:v/>
      </x:c>
      <x:c r="D463" s="331" t="str">
        <x:f>IF($H463="","",IFERROR(INDEX('Game Records'!$U:$U,$H463),""))</x:f>
        <x:v/>
      </x:c>
      <x:c r="E463" s="331" t="str">
        <x:f>IF($H463="","",IF($F463="","No Highlighted Fields","Highlighted Fields Present"))</x:f>
        <x:v/>
      </x:c>
      <x:c r="F463" s="331" t="str">
        <x:f>IF($H463="","",IF(INDEX('Game Records'!$B:$B,$H463)="","Start Date; ","")&amp;IF(INDEX('Game Records'!$C:$C,$H463)="","End Date; ","")&amp;IF(AND(INDEX('Game Records'!$U:$U,$H463)&lt;&gt;"Subscription",INDEX('Game Records'!$U:$U,$H463)&lt;&gt;"Free Game",INDEX('Game Records'!$U:$U,$H463)&lt;&gt;"Disqualified — Free Game",OR(INDEX('Game Records'!$D:$D,$H463)="",LOWER(INDEX('Game Records'!$D:$D,$H463)&amp;"")="n/a")),"Entry Mode; ","")&amp;IF(AND(INDEX('Game Records'!$U:$U,$H463)&lt;&gt;"Subscription",INDEX('Game Records'!$U:$U,$H463)&lt;&gt;"Free Game",INDEX('Game Records'!$U:$U,$H463)&lt;&gt;"Disqualified — Free Game",OR(INDEX('Game Records'!$E:$E,$H463)="",LOWER(INDEX('Game Records'!$E:$E,$H463)&amp;"")="n/a")),"Game Type; ","")&amp;IF(INDEX('Game Records'!$F:$F,$H463)="","Payment Type; ","")&amp;IF(AND(INDEX('Game Records'!$U:$U,$H463)&lt;&gt;"Subscription",INDEX('Game Records'!$U:$U,$H463)&lt;&gt;"Free Game",INDEX('Game Records'!$U:$U,$H463)&lt;&gt;"Disqualified — Free Game",INDEX('Game Records'!$G:$G,$H463)=""),"Gross Pot; ","")&amp;IF(AND(INDEX('Game Records'!$U:$U,$H463)&lt;&gt;"Free Game",INDEX('Game Records'!$U:$U,$H463)&lt;&gt;"Disqualified — Free Game",INDEX('Game Records'!$H:$H,$H463)=""),"Entry Fee; ","")&amp;IF(AND(INDEX('Game Records'!$U:$U,$H463)&lt;&gt;"Subscription",INDEX('Game Records'!$U:$U,$H463)&lt;&gt;"Free Game",INDEX('Game Records'!$U:$U,$H463)&lt;&gt;"Disqualified — Free Game",INDEX('Game Records'!$I:$I,$H463)=""),"Eligible Players; ","")&amp;IF(AND(INDEX('Game Records'!$U:$U,$H463)&lt;&gt;"Subscription",INDEX('Game Records'!$U:$U,$H463)&lt;&gt;"Free Game",INDEX('Game Records'!$U:$U,$H463)&lt;&gt;"Disqualified — Free Game",INDEX('Game Records'!$J:$J,$H463)=""),"Total Players; ","")&amp;IF(AND(LOWER(INDEX('Game Records'!$D:$D,$H463)&amp;"")="finalized",LOWER(INDEX('Game Records'!$L:$L,$H463)&amp;"")&lt;&gt;"yes",INDEX('Game Records'!$U:$U,$H463)&lt;&gt;"Subscription",INDEX('Game Records'!$U:$U,$H463)&lt;&gt;"Free Game",INDEX('Game Records'!$U:$U,$H463)&lt;&gt;"Disqualified — Free Game",INDEX('Game Records'!$K:$K,$H463)=""),"Final Earned; ","")&amp;IF(AND(LOWER(INDEX('Game Records'!$D:$D,$H463)&amp;"")="finalized",INDEX('Game Records'!$U:$U,$H463)&lt;&gt;"Subscription",INDEX('Game Records'!$U:$U,$H463)&lt;&gt;"Free Game",INDEX('Game Records'!$U:$U,$H463)&lt;&gt;"Disqualified — Free Game",OR(INDEX('Game Records'!$L:$L,$H463)="",LOWER(INDEX('Game Records'!$L:$L,$H463)&amp;"")="n/a")),"Disqualified Status; ",""))</x:f>
        <x:v/>
      </x:c>
      <x:c r="G463" s="331" t="str">
        <x:f>IF($H463="","",IFERROR(INDEX('Game Records'!$M:$M,$H463),""))</x:f>
        <x:v/>
      </x:c>
      <x:c r="H463" s="104" t="str">
        <x:f>IF($H462="","",IFERROR(MATCH(1,INDEX((ROW('Game Records'!$U$5:$U$504)&gt;$H462)*(('Game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4" ht="24" customHeight="1">
      <x:c r="A464" s="332" t="str">
        <x:f>IF($H464="","",ROWS($A$5:A464))</x:f>
        <x:v/>
      </x:c>
      <x:c r="B464" s="332" t="str">
        <x:f>IF($H464="","","G-"&amp;TEXT($A464,"0000"))</x:f>
        <x:v/>
      </x:c>
      <x:c r="C464" s="331" t="str">
        <x:f>IF($H464="","",IFERROR(INDEX('Game Records'!$A:$A,$H464),""))</x:f>
        <x:v/>
      </x:c>
      <x:c r="D464" s="331" t="str">
        <x:f>IF($H464="","",IFERROR(INDEX('Game Records'!$U:$U,$H464),""))</x:f>
        <x:v/>
      </x:c>
      <x:c r="E464" s="331" t="str">
        <x:f>IF($H464="","",IF($F464="","No Highlighted Fields","Highlighted Fields Present"))</x:f>
        <x:v/>
      </x:c>
      <x:c r="F464" s="331" t="str">
        <x:f>IF($H464="","",IF(INDEX('Game Records'!$B:$B,$H464)="","Start Date; ","")&amp;IF(INDEX('Game Records'!$C:$C,$H464)="","End Date; ","")&amp;IF(AND(INDEX('Game Records'!$U:$U,$H464)&lt;&gt;"Subscription",INDEX('Game Records'!$U:$U,$H464)&lt;&gt;"Free Game",INDEX('Game Records'!$U:$U,$H464)&lt;&gt;"Disqualified — Free Game",OR(INDEX('Game Records'!$D:$D,$H464)="",LOWER(INDEX('Game Records'!$D:$D,$H464)&amp;"")="n/a")),"Entry Mode; ","")&amp;IF(AND(INDEX('Game Records'!$U:$U,$H464)&lt;&gt;"Subscription",INDEX('Game Records'!$U:$U,$H464)&lt;&gt;"Free Game",INDEX('Game Records'!$U:$U,$H464)&lt;&gt;"Disqualified — Free Game",OR(INDEX('Game Records'!$E:$E,$H464)="",LOWER(INDEX('Game Records'!$E:$E,$H464)&amp;"")="n/a")),"Game Type; ","")&amp;IF(INDEX('Game Records'!$F:$F,$H464)="","Payment Type; ","")&amp;IF(AND(INDEX('Game Records'!$U:$U,$H464)&lt;&gt;"Subscription",INDEX('Game Records'!$U:$U,$H464)&lt;&gt;"Free Game",INDEX('Game Records'!$U:$U,$H464)&lt;&gt;"Disqualified — Free Game",INDEX('Game Records'!$G:$G,$H464)=""),"Gross Pot; ","")&amp;IF(AND(INDEX('Game Records'!$U:$U,$H464)&lt;&gt;"Free Game",INDEX('Game Records'!$U:$U,$H464)&lt;&gt;"Disqualified — Free Game",INDEX('Game Records'!$H:$H,$H464)=""),"Entry Fee; ","")&amp;IF(AND(INDEX('Game Records'!$U:$U,$H464)&lt;&gt;"Subscription",INDEX('Game Records'!$U:$U,$H464)&lt;&gt;"Free Game",INDEX('Game Records'!$U:$U,$H464)&lt;&gt;"Disqualified — Free Game",INDEX('Game Records'!$I:$I,$H464)=""),"Eligible Players; ","")&amp;IF(AND(INDEX('Game Records'!$U:$U,$H464)&lt;&gt;"Subscription",INDEX('Game Records'!$U:$U,$H464)&lt;&gt;"Free Game",INDEX('Game Records'!$U:$U,$H464)&lt;&gt;"Disqualified — Free Game",INDEX('Game Records'!$J:$J,$H464)=""),"Total Players; ","")&amp;IF(AND(LOWER(INDEX('Game Records'!$D:$D,$H464)&amp;"")="finalized",LOWER(INDEX('Game Records'!$L:$L,$H464)&amp;"")&lt;&gt;"yes",INDEX('Game Records'!$U:$U,$H464)&lt;&gt;"Subscription",INDEX('Game Records'!$U:$U,$H464)&lt;&gt;"Free Game",INDEX('Game Records'!$U:$U,$H464)&lt;&gt;"Disqualified — Free Game",INDEX('Game Records'!$K:$K,$H464)=""),"Final Earned; ","")&amp;IF(AND(LOWER(INDEX('Game Records'!$D:$D,$H464)&amp;"")="finalized",INDEX('Game Records'!$U:$U,$H464)&lt;&gt;"Subscription",INDEX('Game Records'!$U:$U,$H464)&lt;&gt;"Free Game",INDEX('Game Records'!$U:$U,$H464)&lt;&gt;"Disqualified — Free Game",OR(INDEX('Game Records'!$L:$L,$H464)="",LOWER(INDEX('Game Records'!$L:$L,$H464)&amp;"")="n/a")),"Disqualified Status; ",""))</x:f>
        <x:v/>
      </x:c>
      <x:c r="G464" s="331" t="str">
        <x:f>IF($H464="","",IFERROR(INDEX('Game Records'!$M:$M,$H464),""))</x:f>
        <x:v/>
      </x:c>
      <x:c r="H464" s="104" t="str">
        <x:f>IF($H463="","",IFERROR(MATCH(1,INDEX((ROW('Game Records'!$U$5:$U$504)&gt;$H463)*(('Game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5" ht="24" customHeight="1">
      <x:c r="A465" s="332" t="str">
        <x:f>IF($H465="","",ROWS($A$5:A465))</x:f>
        <x:v/>
      </x:c>
      <x:c r="B465" s="332" t="str">
        <x:f>IF($H465="","","G-"&amp;TEXT($A465,"0000"))</x:f>
        <x:v/>
      </x:c>
      <x:c r="C465" s="331" t="str">
        <x:f>IF($H465="","",IFERROR(INDEX('Game Records'!$A:$A,$H465),""))</x:f>
        <x:v/>
      </x:c>
      <x:c r="D465" s="331" t="str">
        <x:f>IF($H465="","",IFERROR(INDEX('Game Records'!$U:$U,$H465),""))</x:f>
        <x:v/>
      </x:c>
      <x:c r="E465" s="331" t="str">
        <x:f>IF($H465="","",IF($F465="","No Highlighted Fields","Highlighted Fields Present"))</x:f>
        <x:v/>
      </x:c>
      <x:c r="F465" s="331" t="str">
        <x:f>IF($H465="","",IF(INDEX('Game Records'!$B:$B,$H465)="","Start Date; ","")&amp;IF(INDEX('Game Records'!$C:$C,$H465)="","End Date; ","")&amp;IF(AND(INDEX('Game Records'!$U:$U,$H465)&lt;&gt;"Subscription",INDEX('Game Records'!$U:$U,$H465)&lt;&gt;"Free Game",INDEX('Game Records'!$U:$U,$H465)&lt;&gt;"Disqualified — Free Game",OR(INDEX('Game Records'!$D:$D,$H465)="",LOWER(INDEX('Game Records'!$D:$D,$H465)&amp;"")="n/a")),"Entry Mode; ","")&amp;IF(AND(INDEX('Game Records'!$U:$U,$H465)&lt;&gt;"Subscription",INDEX('Game Records'!$U:$U,$H465)&lt;&gt;"Free Game",INDEX('Game Records'!$U:$U,$H465)&lt;&gt;"Disqualified — Free Game",OR(INDEX('Game Records'!$E:$E,$H465)="",LOWER(INDEX('Game Records'!$E:$E,$H465)&amp;"")="n/a")),"Game Type; ","")&amp;IF(INDEX('Game Records'!$F:$F,$H465)="","Payment Type; ","")&amp;IF(AND(INDEX('Game Records'!$U:$U,$H465)&lt;&gt;"Subscription",INDEX('Game Records'!$U:$U,$H465)&lt;&gt;"Free Game",INDEX('Game Records'!$U:$U,$H465)&lt;&gt;"Disqualified — Free Game",INDEX('Game Records'!$G:$G,$H465)=""),"Gross Pot; ","")&amp;IF(AND(INDEX('Game Records'!$U:$U,$H465)&lt;&gt;"Free Game",INDEX('Game Records'!$U:$U,$H465)&lt;&gt;"Disqualified — Free Game",INDEX('Game Records'!$H:$H,$H465)=""),"Entry Fee; ","")&amp;IF(AND(INDEX('Game Records'!$U:$U,$H465)&lt;&gt;"Subscription",INDEX('Game Records'!$U:$U,$H465)&lt;&gt;"Free Game",INDEX('Game Records'!$U:$U,$H465)&lt;&gt;"Disqualified — Free Game",INDEX('Game Records'!$I:$I,$H465)=""),"Eligible Players; ","")&amp;IF(AND(INDEX('Game Records'!$U:$U,$H465)&lt;&gt;"Subscription",INDEX('Game Records'!$U:$U,$H465)&lt;&gt;"Free Game",INDEX('Game Records'!$U:$U,$H465)&lt;&gt;"Disqualified — Free Game",INDEX('Game Records'!$J:$J,$H465)=""),"Total Players; ","")&amp;IF(AND(LOWER(INDEX('Game Records'!$D:$D,$H465)&amp;"")="finalized",LOWER(INDEX('Game Records'!$L:$L,$H465)&amp;"")&lt;&gt;"yes",INDEX('Game Records'!$U:$U,$H465)&lt;&gt;"Subscription",INDEX('Game Records'!$U:$U,$H465)&lt;&gt;"Free Game",INDEX('Game Records'!$U:$U,$H465)&lt;&gt;"Disqualified — Free Game",INDEX('Game Records'!$K:$K,$H465)=""),"Final Earned; ","")&amp;IF(AND(LOWER(INDEX('Game Records'!$D:$D,$H465)&amp;"")="finalized",INDEX('Game Records'!$U:$U,$H465)&lt;&gt;"Subscription",INDEX('Game Records'!$U:$U,$H465)&lt;&gt;"Free Game",INDEX('Game Records'!$U:$U,$H465)&lt;&gt;"Disqualified — Free Game",OR(INDEX('Game Records'!$L:$L,$H465)="",LOWER(INDEX('Game Records'!$L:$L,$H465)&amp;"")="n/a")),"Disqualified Status; ",""))</x:f>
        <x:v/>
      </x:c>
      <x:c r="G465" s="331" t="str">
        <x:f>IF($H465="","",IFERROR(INDEX('Game Records'!$M:$M,$H465),""))</x:f>
        <x:v/>
      </x:c>
      <x:c r="H465" s="104" t="str">
        <x:f>IF($H464="","",IFERROR(MATCH(1,INDEX((ROW('Game Records'!$U$5:$U$504)&gt;$H464)*(('Game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6" ht="24" customHeight="1">
      <x:c r="A466" s="332" t="str">
        <x:f>IF($H466="","",ROWS($A$5:A466))</x:f>
        <x:v/>
      </x:c>
      <x:c r="B466" s="332" t="str">
        <x:f>IF($H466="","","G-"&amp;TEXT($A466,"0000"))</x:f>
        <x:v/>
      </x:c>
      <x:c r="C466" s="331" t="str">
        <x:f>IF($H466="","",IFERROR(INDEX('Game Records'!$A:$A,$H466),""))</x:f>
        <x:v/>
      </x:c>
      <x:c r="D466" s="331" t="str">
        <x:f>IF($H466="","",IFERROR(INDEX('Game Records'!$U:$U,$H466),""))</x:f>
        <x:v/>
      </x:c>
      <x:c r="E466" s="331" t="str">
        <x:f>IF($H466="","",IF($F466="","No Highlighted Fields","Highlighted Fields Present"))</x:f>
        <x:v/>
      </x:c>
      <x:c r="F466" s="331" t="str">
        <x:f>IF($H466="","",IF(INDEX('Game Records'!$B:$B,$H466)="","Start Date; ","")&amp;IF(INDEX('Game Records'!$C:$C,$H466)="","End Date; ","")&amp;IF(AND(INDEX('Game Records'!$U:$U,$H466)&lt;&gt;"Subscription",INDEX('Game Records'!$U:$U,$H466)&lt;&gt;"Free Game",INDEX('Game Records'!$U:$U,$H466)&lt;&gt;"Disqualified — Free Game",OR(INDEX('Game Records'!$D:$D,$H466)="",LOWER(INDEX('Game Records'!$D:$D,$H466)&amp;"")="n/a")),"Entry Mode; ","")&amp;IF(AND(INDEX('Game Records'!$U:$U,$H466)&lt;&gt;"Subscription",INDEX('Game Records'!$U:$U,$H466)&lt;&gt;"Free Game",INDEX('Game Records'!$U:$U,$H466)&lt;&gt;"Disqualified — Free Game",OR(INDEX('Game Records'!$E:$E,$H466)="",LOWER(INDEX('Game Records'!$E:$E,$H466)&amp;"")="n/a")),"Game Type; ","")&amp;IF(INDEX('Game Records'!$F:$F,$H466)="","Payment Type; ","")&amp;IF(AND(INDEX('Game Records'!$U:$U,$H466)&lt;&gt;"Subscription",INDEX('Game Records'!$U:$U,$H466)&lt;&gt;"Free Game",INDEX('Game Records'!$U:$U,$H466)&lt;&gt;"Disqualified — Free Game",INDEX('Game Records'!$G:$G,$H466)=""),"Gross Pot; ","")&amp;IF(AND(INDEX('Game Records'!$U:$U,$H466)&lt;&gt;"Free Game",INDEX('Game Records'!$U:$U,$H466)&lt;&gt;"Disqualified — Free Game",INDEX('Game Records'!$H:$H,$H466)=""),"Entry Fee; ","")&amp;IF(AND(INDEX('Game Records'!$U:$U,$H466)&lt;&gt;"Subscription",INDEX('Game Records'!$U:$U,$H466)&lt;&gt;"Free Game",INDEX('Game Records'!$U:$U,$H466)&lt;&gt;"Disqualified — Free Game",INDEX('Game Records'!$I:$I,$H466)=""),"Eligible Players; ","")&amp;IF(AND(INDEX('Game Records'!$U:$U,$H466)&lt;&gt;"Subscription",INDEX('Game Records'!$U:$U,$H466)&lt;&gt;"Free Game",INDEX('Game Records'!$U:$U,$H466)&lt;&gt;"Disqualified — Free Game",INDEX('Game Records'!$J:$J,$H466)=""),"Total Players; ","")&amp;IF(AND(LOWER(INDEX('Game Records'!$D:$D,$H466)&amp;"")="finalized",LOWER(INDEX('Game Records'!$L:$L,$H466)&amp;"")&lt;&gt;"yes",INDEX('Game Records'!$U:$U,$H466)&lt;&gt;"Subscription",INDEX('Game Records'!$U:$U,$H466)&lt;&gt;"Free Game",INDEX('Game Records'!$U:$U,$H466)&lt;&gt;"Disqualified — Free Game",INDEX('Game Records'!$K:$K,$H466)=""),"Final Earned; ","")&amp;IF(AND(LOWER(INDEX('Game Records'!$D:$D,$H466)&amp;"")="finalized",INDEX('Game Records'!$U:$U,$H466)&lt;&gt;"Subscription",INDEX('Game Records'!$U:$U,$H466)&lt;&gt;"Free Game",INDEX('Game Records'!$U:$U,$H466)&lt;&gt;"Disqualified — Free Game",OR(INDEX('Game Records'!$L:$L,$H466)="",LOWER(INDEX('Game Records'!$L:$L,$H466)&amp;"")="n/a")),"Disqualified Status; ",""))</x:f>
        <x:v/>
      </x:c>
      <x:c r="G466" s="331" t="str">
        <x:f>IF($H466="","",IFERROR(INDEX('Game Records'!$M:$M,$H466),""))</x:f>
        <x:v/>
      </x:c>
      <x:c r="H466" s="104" t="str">
        <x:f>IF($H465="","",IFERROR(MATCH(1,INDEX((ROW('Game Records'!$U$5:$U$504)&gt;$H465)*(('Game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7" ht="24" customHeight="1">
      <x:c r="A467" s="332" t="str">
        <x:f>IF($H467="","",ROWS($A$5:A467))</x:f>
        <x:v/>
      </x:c>
      <x:c r="B467" s="332" t="str">
        <x:f>IF($H467="","","G-"&amp;TEXT($A467,"0000"))</x:f>
        <x:v/>
      </x:c>
      <x:c r="C467" s="331" t="str">
        <x:f>IF($H467="","",IFERROR(INDEX('Game Records'!$A:$A,$H467),""))</x:f>
        <x:v/>
      </x:c>
      <x:c r="D467" s="331" t="str">
        <x:f>IF($H467="","",IFERROR(INDEX('Game Records'!$U:$U,$H467),""))</x:f>
        <x:v/>
      </x:c>
      <x:c r="E467" s="331" t="str">
        <x:f>IF($H467="","",IF($F467="","No Highlighted Fields","Highlighted Fields Present"))</x:f>
        <x:v/>
      </x:c>
      <x:c r="F467" s="331" t="str">
        <x:f>IF($H467="","",IF(INDEX('Game Records'!$B:$B,$H467)="","Start Date; ","")&amp;IF(INDEX('Game Records'!$C:$C,$H467)="","End Date; ","")&amp;IF(AND(INDEX('Game Records'!$U:$U,$H467)&lt;&gt;"Subscription",INDEX('Game Records'!$U:$U,$H467)&lt;&gt;"Free Game",INDEX('Game Records'!$U:$U,$H467)&lt;&gt;"Disqualified — Free Game",OR(INDEX('Game Records'!$D:$D,$H467)="",LOWER(INDEX('Game Records'!$D:$D,$H467)&amp;"")="n/a")),"Entry Mode; ","")&amp;IF(AND(INDEX('Game Records'!$U:$U,$H467)&lt;&gt;"Subscription",INDEX('Game Records'!$U:$U,$H467)&lt;&gt;"Free Game",INDEX('Game Records'!$U:$U,$H467)&lt;&gt;"Disqualified — Free Game",OR(INDEX('Game Records'!$E:$E,$H467)="",LOWER(INDEX('Game Records'!$E:$E,$H467)&amp;"")="n/a")),"Game Type; ","")&amp;IF(INDEX('Game Records'!$F:$F,$H467)="","Payment Type; ","")&amp;IF(AND(INDEX('Game Records'!$U:$U,$H467)&lt;&gt;"Subscription",INDEX('Game Records'!$U:$U,$H467)&lt;&gt;"Free Game",INDEX('Game Records'!$U:$U,$H467)&lt;&gt;"Disqualified — Free Game",INDEX('Game Records'!$G:$G,$H467)=""),"Gross Pot; ","")&amp;IF(AND(INDEX('Game Records'!$U:$U,$H467)&lt;&gt;"Free Game",INDEX('Game Records'!$U:$U,$H467)&lt;&gt;"Disqualified — Free Game",INDEX('Game Records'!$H:$H,$H467)=""),"Entry Fee; ","")&amp;IF(AND(INDEX('Game Records'!$U:$U,$H467)&lt;&gt;"Subscription",INDEX('Game Records'!$U:$U,$H467)&lt;&gt;"Free Game",INDEX('Game Records'!$U:$U,$H467)&lt;&gt;"Disqualified — Free Game",INDEX('Game Records'!$I:$I,$H467)=""),"Eligible Players; ","")&amp;IF(AND(INDEX('Game Records'!$U:$U,$H467)&lt;&gt;"Subscription",INDEX('Game Records'!$U:$U,$H467)&lt;&gt;"Free Game",INDEX('Game Records'!$U:$U,$H467)&lt;&gt;"Disqualified — Free Game",INDEX('Game Records'!$J:$J,$H467)=""),"Total Players; ","")&amp;IF(AND(LOWER(INDEX('Game Records'!$D:$D,$H467)&amp;"")="finalized",LOWER(INDEX('Game Records'!$L:$L,$H467)&amp;"")&lt;&gt;"yes",INDEX('Game Records'!$U:$U,$H467)&lt;&gt;"Subscription",INDEX('Game Records'!$U:$U,$H467)&lt;&gt;"Free Game",INDEX('Game Records'!$U:$U,$H467)&lt;&gt;"Disqualified — Free Game",INDEX('Game Records'!$K:$K,$H467)=""),"Final Earned; ","")&amp;IF(AND(LOWER(INDEX('Game Records'!$D:$D,$H467)&amp;"")="finalized",INDEX('Game Records'!$U:$U,$H467)&lt;&gt;"Subscription",INDEX('Game Records'!$U:$U,$H467)&lt;&gt;"Free Game",INDEX('Game Records'!$U:$U,$H467)&lt;&gt;"Disqualified — Free Game",OR(INDEX('Game Records'!$L:$L,$H467)="",LOWER(INDEX('Game Records'!$L:$L,$H467)&amp;"")="n/a")),"Disqualified Status; ",""))</x:f>
        <x:v/>
      </x:c>
      <x:c r="G467" s="331" t="str">
        <x:f>IF($H467="","",IFERROR(INDEX('Game Records'!$M:$M,$H467),""))</x:f>
        <x:v/>
      </x:c>
      <x:c r="H467" s="104" t="str">
        <x:f>IF($H466="","",IFERROR(MATCH(1,INDEX((ROW('Game Records'!$U$5:$U$504)&gt;$H466)*(('Game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8" ht="24" customHeight="1">
      <x:c r="A468" s="332" t="str">
        <x:f>IF($H468="","",ROWS($A$5:A468))</x:f>
        <x:v/>
      </x:c>
      <x:c r="B468" s="332" t="str">
        <x:f>IF($H468="","","G-"&amp;TEXT($A468,"0000"))</x:f>
        <x:v/>
      </x:c>
      <x:c r="C468" s="331" t="str">
        <x:f>IF($H468="","",IFERROR(INDEX('Game Records'!$A:$A,$H468),""))</x:f>
        <x:v/>
      </x:c>
      <x:c r="D468" s="331" t="str">
        <x:f>IF($H468="","",IFERROR(INDEX('Game Records'!$U:$U,$H468),""))</x:f>
        <x:v/>
      </x:c>
      <x:c r="E468" s="331" t="str">
        <x:f>IF($H468="","",IF($F468="","No Highlighted Fields","Highlighted Fields Present"))</x:f>
        <x:v/>
      </x:c>
      <x:c r="F468" s="331" t="str">
        <x:f>IF($H468="","",IF(INDEX('Game Records'!$B:$B,$H468)="","Start Date; ","")&amp;IF(INDEX('Game Records'!$C:$C,$H468)="","End Date; ","")&amp;IF(AND(INDEX('Game Records'!$U:$U,$H468)&lt;&gt;"Subscription",INDEX('Game Records'!$U:$U,$H468)&lt;&gt;"Free Game",INDEX('Game Records'!$U:$U,$H468)&lt;&gt;"Disqualified — Free Game",OR(INDEX('Game Records'!$D:$D,$H468)="",LOWER(INDEX('Game Records'!$D:$D,$H468)&amp;"")="n/a")),"Entry Mode; ","")&amp;IF(AND(INDEX('Game Records'!$U:$U,$H468)&lt;&gt;"Subscription",INDEX('Game Records'!$U:$U,$H468)&lt;&gt;"Free Game",INDEX('Game Records'!$U:$U,$H468)&lt;&gt;"Disqualified — Free Game",OR(INDEX('Game Records'!$E:$E,$H468)="",LOWER(INDEX('Game Records'!$E:$E,$H468)&amp;"")="n/a")),"Game Type; ","")&amp;IF(INDEX('Game Records'!$F:$F,$H468)="","Payment Type; ","")&amp;IF(AND(INDEX('Game Records'!$U:$U,$H468)&lt;&gt;"Subscription",INDEX('Game Records'!$U:$U,$H468)&lt;&gt;"Free Game",INDEX('Game Records'!$U:$U,$H468)&lt;&gt;"Disqualified — Free Game",INDEX('Game Records'!$G:$G,$H468)=""),"Gross Pot; ","")&amp;IF(AND(INDEX('Game Records'!$U:$U,$H468)&lt;&gt;"Free Game",INDEX('Game Records'!$U:$U,$H468)&lt;&gt;"Disqualified — Free Game",INDEX('Game Records'!$H:$H,$H468)=""),"Entry Fee; ","")&amp;IF(AND(INDEX('Game Records'!$U:$U,$H468)&lt;&gt;"Subscription",INDEX('Game Records'!$U:$U,$H468)&lt;&gt;"Free Game",INDEX('Game Records'!$U:$U,$H468)&lt;&gt;"Disqualified — Free Game",INDEX('Game Records'!$I:$I,$H468)=""),"Eligible Players; ","")&amp;IF(AND(INDEX('Game Records'!$U:$U,$H468)&lt;&gt;"Subscription",INDEX('Game Records'!$U:$U,$H468)&lt;&gt;"Free Game",INDEX('Game Records'!$U:$U,$H468)&lt;&gt;"Disqualified — Free Game",INDEX('Game Records'!$J:$J,$H468)=""),"Total Players; ","")&amp;IF(AND(LOWER(INDEX('Game Records'!$D:$D,$H468)&amp;"")="finalized",LOWER(INDEX('Game Records'!$L:$L,$H468)&amp;"")&lt;&gt;"yes",INDEX('Game Records'!$U:$U,$H468)&lt;&gt;"Subscription",INDEX('Game Records'!$U:$U,$H468)&lt;&gt;"Free Game",INDEX('Game Records'!$U:$U,$H468)&lt;&gt;"Disqualified — Free Game",INDEX('Game Records'!$K:$K,$H468)=""),"Final Earned; ","")&amp;IF(AND(LOWER(INDEX('Game Records'!$D:$D,$H468)&amp;"")="finalized",INDEX('Game Records'!$U:$U,$H468)&lt;&gt;"Subscription",INDEX('Game Records'!$U:$U,$H468)&lt;&gt;"Free Game",INDEX('Game Records'!$U:$U,$H468)&lt;&gt;"Disqualified — Free Game",OR(INDEX('Game Records'!$L:$L,$H468)="",LOWER(INDEX('Game Records'!$L:$L,$H468)&amp;"")="n/a")),"Disqualified Status; ",""))</x:f>
        <x:v/>
      </x:c>
      <x:c r="G468" s="331" t="str">
        <x:f>IF($H468="","",IFERROR(INDEX('Game Records'!$M:$M,$H468),""))</x:f>
        <x:v/>
      </x:c>
      <x:c r="H468" s="104" t="str">
        <x:f>IF($H467="","",IFERROR(MATCH(1,INDEX((ROW('Game Records'!$U$5:$U$504)&gt;$H467)*(('Game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69" ht="24" customHeight="1">
      <x:c r="A469" s="332" t="str">
        <x:f>IF($H469="","",ROWS($A$5:A469))</x:f>
        <x:v/>
      </x:c>
      <x:c r="B469" s="332" t="str">
        <x:f>IF($H469="","","G-"&amp;TEXT($A469,"0000"))</x:f>
        <x:v/>
      </x:c>
      <x:c r="C469" s="331" t="str">
        <x:f>IF($H469="","",IFERROR(INDEX('Game Records'!$A:$A,$H469),""))</x:f>
        <x:v/>
      </x:c>
      <x:c r="D469" s="331" t="str">
        <x:f>IF($H469="","",IFERROR(INDEX('Game Records'!$U:$U,$H469),""))</x:f>
        <x:v/>
      </x:c>
      <x:c r="E469" s="331" t="str">
        <x:f>IF($H469="","",IF($F469="","No Highlighted Fields","Highlighted Fields Present"))</x:f>
        <x:v/>
      </x:c>
      <x:c r="F469" s="331" t="str">
        <x:f>IF($H469="","",IF(INDEX('Game Records'!$B:$B,$H469)="","Start Date; ","")&amp;IF(INDEX('Game Records'!$C:$C,$H469)="","End Date; ","")&amp;IF(AND(INDEX('Game Records'!$U:$U,$H469)&lt;&gt;"Subscription",INDEX('Game Records'!$U:$U,$H469)&lt;&gt;"Free Game",INDEX('Game Records'!$U:$U,$H469)&lt;&gt;"Disqualified — Free Game",OR(INDEX('Game Records'!$D:$D,$H469)="",LOWER(INDEX('Game Records'!$D:$D,$H469)&amp;"")="n/a")),"Entry Mode; ","")&amp;IF(AND(INDEX('Game Records'!$U:$U,$H469)&lt;&gt;"Subscription",INDEX('Game Records'!$U:$U,$H469)&lt;&gt;"Free Game",INDEX('Game Records'!$U:$U,$H469)&lt;&gt;"Disqualified — Free Game",OR(INDEX('Game Records'!$E:$E,$H469)="",LOWER(INDEX('Game Records'!$E:$E,$H469)&amp;"")="n/a")),"Game Type; ","")&amp;IF(INDEX('Game Records'!$F:$F,$H469)="","Payment Type; ","")&amp;IF(AND(INDEX('Game Records'!$U:$U,$H469)&lt;&gt;"Subscription",INDEX('Game Records'!$U:$U,$H469)&lt;&gt;"Free Game",INDEX('Game Records'!$U:$U,$H469)&lt;&gt;"Disqualified — Free Game",INDEX('Game Records'!$G:$G,$H469)=""),"Gross Pot; ","")&amp;IF(AND(INDEX('Game Records'!$U:$U,$H469)&lt;&gt;"Free Game",INDEX('Game Records'!$U:$U,$H469)&lt;&gt;"Disqualified — Free Game",INDEX('Game Records'!$H:$H,$H469)=""),"Entry Fee; ","")&amp;IF(AND(INDEX('Game Records'!$U:$U,$H469)&lt;&gt;"Subscription",INDEX('Game Records'!$U:$U,$H469)&lt;&gt;"Free Game",INDEX('Game Records'!$U:$U,$H469)&lt;&gt;"Disqualified — Free Game",INDEX('Game Records'!$I:$I,$H469)=""),"Eligible Players; ","")&amp;IF(AND(INDEX('Game Records'!$U:$U,$H469)&lt;&gt;"Subscription",INDEX('Game Records'!$U:$U,$H469)&lt;&gt;"Free Game",INDEX('Game Records'!$U:$U,$H469)&lt;&gt;"Disqualified — Free Game",INDEX('Game Records'!$J:$J,$H469)=""),"Total Players; ","")&amp;IF(AND(LOWER(INDEX('Game Records'!$D:$D,$H469)&amp;"")="finalized",LOWER(INDEX('Game Records'!$L:$L,$H469)&amp;"")&lt;&gt;"yes",INDEX('Game Records'!$U:$U,$H469)&lt;&gt;"Subscription",INDEX('Game Records'!$U:$U,$H469)&lt;&gt;"Free Game",INDEX('Game Records'!$U:$U,$H469)&lt;&gt;"Disqualified — Free Game",INDEX('Game Records'!$K:$K,$H469)=""),"Final Earned; ","")&amp;IF(AND(LOWER(INDEX('Game Records'!$D:$D,$H469)&amp;"")="finalized",INDEX('Game Records'!$U:$U,$H469)&lt;&gt;"Subscription",INDEX('Game Records'!$U:$U,$H469)&lt;&gt;"Free Game",INDEX('Game Records'!$U:$U,$H469)&lt;&gt;"Disqualified — Free Game",OR(INDEX('Game Records'!$L:$L,$H469)="",LOWER(INDEX('Game Records'!$L:$L,$H469)&amp;"")="n/a")),"Disqualified Status; ",""))</x:f>
        <x:v/>
      </x:c>
      <x:c r="G469" s="331" t="str">
        <x:f>IF($H469="","",IFERROR(INDEX('Game Records'!$M:$M,$H469),""))</x:f>
        <x:v/>
      </x:c>
      <x:c r="H469" s="104" t="str">
        <x:f>IF($H468="","",IFERROR(MATCH(1,INDEX((ROW('Game Records'!$U$5:$U$504)&gt;$H468)*(('Game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0" ht="24" customHeight="1">
      <x:c r="A470" s="332" t="str">
        <x:f>IF($H470="","",ROWS($A$5:A470))</x:f>
        <x:v/>
      </x:c>
      <x:c r="B470" s="332" t="str">
        <x:f>IF($H470="","","G-"&amp;TEXT($A470,"0000"))</x:f>
        <x:v/>
      </x:c>
      <x:c r="C470" s="331" t="str">
        <x:f>IF($H470="","",IFERROR(INDEX('Game Records'!$A:$A,$H470),""))</x:f>
        <x:v/>
      </x:c>
      <x:c r="D470" s="331" t="str">
        <x:f>IF($H470="","",IFERROR(INDEX('Game Records'!$U:$U,$H470),""))</x:f>
        <x:v/>
      </x:c>
      <x:c r="E470" s="331" t="str">
        <x:f>IF($H470="","",IF($F470="","No Highlighted Fields","Highlighted Fields Present"))</x:f>
        <x:v/>
      </x:c>
      <x:c r="F470" s="331" t="str">
        <x:f>IF($H470="","",IF(INDEX('Game Records'!$B:$B,$H470)="","Start Date; ","")&amp;IF(INDEX('Game Records'!$C:$C,$H470)="","End Date; ","")&amp;IF(AND(INDEX('Game Records'!$U:$U,$H470)&lt;&gt;"Subscription",INDEX('Game Records'!$U:$U,$H470)&lt;&gt;"Free Game",INDEX('Game Records'!$U:$U,$H470)&lt;&gt;"Disqualified — Free Game",OR(INDEX('Game Records'!$D:$D,$H470)="",LOWER(INDEX('Game Records'!$D:$D,$H470)&amp;"")="n/a")),"Entry Mode; ","")&amp;IF(AND(INDEX('Game Records'!$U:$U,$H470)&lt;&gt;"Subscription",INDEX('Game Records'!$U:$U,$H470)&lt;&gt;"Free Game",INDEX('Game Records'!$U:$U,$H470)&lt;&gt;"Disqualified — Free Game",OR(INDEX('Game Records'!$E:$E,$H470)="",LOWER(INDEX('Game Records'!$E:$E,$H470)&amp;"")="n/a")),"Game Type; ","")&amp;IF(INDEX('Game Records'!$F:$F,$H470)="","Payment Type; ","")&amp;IF(AND(INDEX('Game Records'!$U:$U,$H470)&lt;&gt;"Subscription",INDEX('Game Records'!$U:$U,$H470)&lt;&gt;"Free Game",INDEX('Game Records'!$U:$U,$H470)&lt;&gt;"Disqualified — Free Game",INDEX('Game Records'!$G:$G,$H470)=""),"Gross Pot; ","")&amp;IF(AND(INDEX('Game Records'!$U:$U,$H470)&lt;&gt;"Free Game",INDEX('Game Records'!$U:$U,$H470)&lt;&gt;"Disqualified — Free Game",INDEX('Game Records'!$H:$H,$H470)=""),"Entry Fee; ","")&amp;IF(AND(INDEX('Game Records'!$U:$U,$H470)&lt;&gt;"Subscription",INDEX('Game Records'!$U:$U,$H470)&lt;&gt;"Free Game",INDEX('Game Records'!$U:$U,$H470)&lt;&gt;"Disqualified — Free Game",INDEX('Game Records'!$I:$I,$H470)=""),"Eligible Players; ","")&amp;IF(AND(INDEX('Game Records'!$U:$U,$H470)&lt;&gt;"Subscription",INDEX('Game Records'!$U:$U,$H470)&lt;&gt;"Free Game",INDEX('Game Records'!$U:$U,$H470)&lt;&gt;"Disqualified — Free Game",INDEX('Game Records'!$J:$J,$H470)=""),"Total Players; ","")&amp;IF(AND(LOWER(INDEX('Game Records'!$D:$D,$H470)&amp;"")="finalized",LOWER(INDEX('Game Records'!$L:$L,$H470)&amp;"")&lt;&gt;"yes",INDEX('Game Records'!$U:$U,$H470)&lt;&gt;"Subscription",INDEX('Game Records'!$U:$U,$H470)&lt;&gt;"Free Game",INDEX('Game Records'!$U:$U,$H470)&lt;&gt;"Disqualified — Free Game",INDEX('Game Records'!$K:$K,$H470)=""),"Final Earned; ","")&amp;IF(AND(LOWER(INDEX('Game Records'!$D:$D,$H470)&amp;"")="finalized",INDEX('Game Records'!$U:$U,$H470)&lt;&gt;"Subscription",INDEX('Game Records'!$U:$U,$H470)&lt;&gt;"Free Game",INDEX('Game Records'!$U:$U,$H470)&lt;&gt;"Disqualified — Free Game",OR(INDEX('Game Records'!$L:$L,$H470)="",LOWER(INDEX('Game Records'!$L:$L,$H470)&amp;"")="n/a")),"Disqualified Status; ",""))</x:f>
        <x:v/>
      </x:c>
      <x:c r="G470" s="331" t="str">
        <x:f>IF($H470="","",IFERROR(INDEX('Game Records'!$M:$M,$H470),""))</x:f>
        <x:v/>
      </x:c>
      <x:c r="H470" s="104" t="str">
        <x:f>IF($H469="","",IFERROR(MATCH(1,INDEX((ROW('Game Records'!$U$5:$U$504)&gt;$H469)*(('Game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1" ht="24" customHeight="1">
      <x:c r="A471" s="332" t="str">
        <x:f>IF($H471="","",ROWS($A$5:A471))</x:f>
        <x:v/>
      </x:c>
      <x:c r="B471" s="332" t="str">
        <x:f>IF($H471="","","G-"&amp;TEXT($A471,"0000"))</x:f>
        <x:v/>
      </x:c>
      <x:c r="C471" s="331" t="str">
        <x:f>IF($H471="","",IFERROR(INDEX('Game Records'!$A:$A,$H471),""))</x:f>
        <x:v/>
      </x:c>
      <x:c r="D471" s="331" t="str">
        <x:f>IF($H471="","",IFERROR(INDEX('Game Records'!$U:$U,$H471),""))</x:f>
        <x:v/>
      </x:c>
      <x:c r="E471" s="331" t="str">
        <x:f>IF($H471="","",IF($F471="","No Highlighted Fields","Highlighted Fields Present"))</x:f>
        <x:v/>
      </x:c>
      <x:c r="F471" s="331" t="str">
        <x:f>IF($H471="","",IF(INDEX('Game Records'!$B:$B,$H471)="","Start Date; ","")&amp;IF(INDEX('Game Records'!$C:$C,$H471)="","End Date; ","")&amp;IF(AND(INDEX('Game Records'!$U:$U,$H471)&lt;&gt;"Subscription",INDEX('Game Records'!$U:$U,$H471)&lt;&gt;"Free Game",INDEX('Game Records'!$U:$U,$H471)&lt;&gt;"Disqualified — Free Game",OR(INDEX('Game Records'!$D:$D,$H471)="",LOWER(INDEX('Game Records'!$D:$D,$H471)&amp;"")="n/a")),"Entry Mode; ","")&amp;IF(AND(INDEX('Game Records'!$U:$U,$H471)&lt;&gt;"Subscription",INDEX('Game Records'!$U:$U,$H471)&lt;&gt;"Free Game",INDEX('Game Records'!$U:$U,$H471)&lt;&gt;"Disqualified — Free Game",OR(INDEX('Game Records'!$E:$E,$H471)="",LOWER(INDEX('Game Records'!$E:$E,$H471)&amp;"")="n/a")),"Game Type; ","")&amp;IF(INDEX('Game Records'!$F:$F,$H471)="","Payment Type; ","")&amp;IF(AND(INDEX('Game Records'!$U:$U,$H471)&lt;&gt;"Subscription",INDEX('Game Records'!$U:$U,$H471)&lt;&gt;"Free Game",INDEX('Game Records'!$U:$U,$H471)&lt;&gt;"Disqualified — Free Game",INDEX('Game Records'!$G:$G,$H471)=""),"Gross Pot; ","")&amp;IF(AND(INDEX('Game Records'!$U:$U,$H471)&lt;&gt;"Free Game",INDEX('Game Records'!$U:$U,$H471)&lt;&gt;"Disqualified — Free Game",INDEX('Game Records'!$H:$H,$H471)=""),"Entry Fee; ","")&amp;IF(AND(INDEX('Game Records'!$U:$U,$H471)&lt;&gt;"Subscription",INDEX('Game Records'!$U:$U,$H471)&lt;&gt;"Free Game",INDEX('Game Records'!$U:$U,$H471)&lt;&gt;"Disqualified — Free Game",INDEX('Game Records'!$I:$I,$H471)=""),"Eligible Players; ","")&amp;IF(AND(INDEX('Game Records'!$U:$U,$H471)&lt;&gt;"Subscription",INDEX('Game Records'!$U:$U,$H471)&lt;&gt;"Free Game",INDEX('Game Records'!$U:$U,$H471)&lt;&gt;"Disqualified — Free Game",INDEX('Game Records'!$J:$J,$H471)=""),"Total Players; ","")&amp;IF(AND(LOWER(INDEX('Game Records'!$D:$D,$H471)&amp;"")="finalized",LOWER(INDEX('Game Records'!$L:$L,$H471)&amp;"")&lt;&gt;"yes",INDEX('Game Records'!$U:$U,$H471)&lt;&gt;"Subscription",INDEX('Game Records'!$U:$U,$H471)&lt;&gt;"Free Game",INDEX('Game Records'!$U:$U,$H471)&lt;&gt;"Disqualified — Free Game",INDEX('Game Records'!$K:$K,$H471)=""),"Final Earned; ","")&amp;IF(AND(LOWER(INDEX('Game Records'!$D:$D,$H471)&amp;"")="finalized",INDEX('Game Records'!$U:$U,$H471)&lt;&gt;"Subscription",INDEX('Game Records'!$U:$U,$H471)&lt;&gt;"Free Game",INDEX('Game Records'!$U:$U,$H471)&lt;&gt;"Disqualified — Free Game",OR(INDEX('Game Records'!$L:$L,$H471)="",LOWER(INDEX('Game Records'!$L:$L,$H471)&amp;"")="n/a")),"Disqualified Status; ",""))</x:f>
        <x:v/>
      </x:c>
      <x:c r="G471" s="331" t="str">
        <x:f>IF($H471="","",IFERROR(INDEX('Game Records'!$M:$M,$H471),""))</x:f>
        <x:v/>
      </x:c>
      <x:c r="H471" s="104" t="str">
        <x:f>IF($H470="","",IFERROR(MATCH(1,INDEX((ROW('Game Records'!$U$5:$U$504)&gt;$H470)*(('Game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2" ht="24" customHeight="1">
      <x:c r="A472" s="332" t="str">
        <x:f>IF($H472="","",ROWS($A$5:A472))</x:f>
        <x:v/>
      </x:c>
      <x:c r="B472" s="332" t="str">
        <x:f>IF($H472="","","G-"&amp;TEXT($A472,"0000"))</x:f>
        <x:v/>
      </x:c>
      <x:c r="C472" s="331" t="str">
        <x:f>IF($H472="","",IFERROR(INDEX('Game Records'!$A:$A,$H472),""))</x:f>
        <x:v/>
      </x:c>
      <x:c r="D472" s="331" t="str">
        <x:f>IF($H472="","",IFERROR(INDEX('Game Records'!$U:$U,$H472),""))</x:f>
        <x:v/>
      </x:c>
      <x:c r="E472" s="331" t="str">
        <x:f>IF($H472="","",IF($F472="","No Highlighted Fields","Highlighted Fields Present"))</x:f>
        <x:v/>
      </x:c>
      <x:c r="F472" s="331" t="str">
        <x:f>IF($H472="","",IF(INDEX('Game Records'!$B:$B,$H472)="","Start Date; ","")&amp;IF(INDEX('Game Records'!$C:$C,$H472)="","End Date; ","")&amp;IF(AND(INDEX('Game Records'!$U:$U,$H472)&lt;&gt;"Subscription",INDEX('Game Records'!$U:$U,$H472)&lt;&gt;"Free Game",INDEX('Game Records'!$U:$U,$H472)&lt;&gt;"Disqualified — Free Game",OR(INDEX('Game Records'!$D:$D,$H472)="",LOWER(INDEX('Game Records'!$D:$D,$H472)&amp;"")="n/a")),"Entry Mode; ","")&amp;IF(AND(INDEX('Game Records'!$U:$U,$H472)&lt;&gt;"Subscription",INDEX('Game Records'!$U:$U,$H472)&lt;&gt;"Free Game",INDEX('Game Records'!$U:$U,$H472)&lt;&gt;"Disqualified — Free Game",OR(INDEX('Game Records'!$E:$E,$H472)="",LOWER(INDEX('Game Records'!$E:$E,$H472)&amp;"")="n/a")),"Game Type; ","")&amp;IF(INDEX('Game Records'!$F:$F,$H472)="","Payment Type; ","")&amp;IF(AND(INDEX('Game Records'!$U:$U,$H472)&lt;&gt;"Subscription",INDEX('Game Records'!$U:$U,$H472)&lt;&gt;"Free Game",INDEX('Game Records'!$U:$U,$H472)&lt;&gt;"Disqualified — Free Game",INDEX('Game Records'!$G:$G,$H472)=""),"Gross Pot; ","")&amp;IF(AND(INDEX('Game Records'!$U:$U,$H472)&lt;&gt;"Free Game",INDEX('Game Records'!$U:$U,$H472)&lt;&gt;"Disqualified — Free Game",INDEX('Game Records'!$H:$H,$H472)=""),"Entry Fee; ","")&amp;IF(AND(INDEX('Game Records'!$U:$U,$H472)&lt;&gt;"Subscription",INDEX('Game Records'!$U:$U,$H472)&lt;&gt;"Free Game",INDEX('Game Records'!$U:$U,$H472)&lt;&gt;"Disqualified — Free Game",INDEX('Game Records'!$I:$I,$H472)=""),"Eligible Players; ","")&amp;IF(AND(INDEX('Game Records'!$U:$U,$H472)&lt;&gt;"Subscription",INDEX('Game Records'!$U:$U,$H472)&lt;&gt;"Free Game",INDEX('Game Records'!$U:$U,$H472)&lt;&gt;"Disqualified — Free Game",INDEX('Game Records'!$J:$J,$H472)=""),"Total Players; ","")&amp;IF(AND(LOWER(INDEX('Game Records'!$D:$D,$H472)&amp;"")="finalized",LOWER(INDEX('Game Records'!$L:$L,$H472)&amp;"")&lt;&gt;"yes",INDEX('Game Records'!$U:$U,$H472)&lt;&gt;"Subscription",INDEX('Game Records'!$U:$U,$H472)&lt;&gt;"Free Game",INDEX('Game Records'!$U:$U,$H472)&lt;&gt;"Disqualified — Free Game",INDEX('Game Records'!$K:$K,$H472)=""),"Final Earned; ","")&amp;IF(AND(LOWER(INDEX('Game Records'!$D:$D,$H472)&amp;"")="finalized",INDEX('Game Records'!$U:$U,$H472)&lt;&gt;"Subscription",INDEX('Game Records'!$U:$U,$H472)&lt;&gt;"Free Game",INDEX('Game Records'!$U:$U,$H472)&lt;&gt;"Disqualified — Free Game",OR(INDEX('Game Records'!$L:$L,$H472)="",LOWER(INDEX('Game Records'!$L:$L,$H472)&amp;"")="n/a")),"Disqualified Status; ",""))</x:f>
        <x:v/>
      </x:c>
      <x:c r="G472" s="331" t="str">
        <x:f>IF($H472="","",IFERROR(INDEX('Game Records'!$M:$M,$H472),""))</x:f>
        <x:v/>
      </x:c>
      <x:c r="H472" s="104" t="str">
        <x:f>IF($H471="","",IFERROR(MATCH(1,INDEX((ROW('Game Records'!$U$5:$U$504)&gt;$H471)*(('Game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3" ht="24" customHeight="1">
      <x:c r="A473" s="332" t="str">
        <x:f>IF($H473="","",ROWS($A$5:A473))</x:f>
        <x:v/>
      </x:c>
      <x:c r="B473" s="332" t="str">
        <x:f>IF($H473="","","G-"&amp;TEXT($A473,"0000"))</x:f>
        <x:v/>
      </x:c>
      <x:c r="C473" s="331" t="str">
        <x:f>IF($H473="","",IFERROR(INDEX('Game Records'!$A:$A,$H473),""))</x:f>
        <x:v/>
      </x:c>
      <x:c r="D473" s="331" t="str">
        <x:f>IF($H473="","",IFERROR(INDEX('Game Records'!$U:$U,$H473),""))</x:f>
        <x:v/>
      </x:c>
      <x:c r="E473" s="331" t="str">
        <x:f>IF($H473="","",IF($F473="","No Highlighted Fields","Highlighted Fields Present"))</x:f>
        <x:v/>
      </x:c>
      <x:c r="F473" s="331" t="str">
        <x:f>IF($H473="","",IF(INDEX('Game Records'!$B:$B,$H473)="","Start Date; ","")&amp;IF(INDEX('Game Records'!$C:$C,$H473)="","End Date; ","")&amp;IF(AND(INDEX('Game Records'!$U:$U,$H473)&lt;&gt;"Subscription",INDEX('Game Records'!$U:$U,$H473)&lt;&gt;"Free Game",INDEX('Game Records'!$U:$U,$H473)&lt;&gt;"Disqualified — Free Game",OR(INDEX('Game Records'!$D:$D,$H473)="",LOWER(INDEX('Game Records'!$D:$D,$H473)&amp;"")="n/a")),"Entry Mode; ","")&amp;IF(AND(INDEX('Game Records'!$U:$U,$H473)&lt;&gt;"Subscription",INDEX('Game Records'!$U:$U,$H473)&lt;&gt;"Free Game",INDEX('Game Records'!$U:$U,$H473)&lt;&gt;"Disqualified — Free Game",OR(INDEX('Game Records'!$E:$E,$H473)="",LOWER(INDEX('Game Records'!$E:$E,$H473)&amp;"")="n/a")),"Game Type; ","")&amp;IF(INDEX('Game Records'!$F:$F,$H473)="","Payment Type; ","")&amp;IF(AND(INDEX('Game Records'!$U:$U,$H473)&lt;&gt;"Subscription",INDEX('Game Records'!$U:$U,$H473)&lt;&gt;"Free Game",INDEX('Game Records'!$U:$U,$H473)&lt;&gt;"Disqualified — Free Game",INDEX('Game Records'!$G:$G,$H473)=""),"Gross Pot; ","")&amp;IF(AND(INDEX('Game Records'!$U:$U,$H473)&lt;&gt;"Free Game",INDEX('Game Records'!$U:$U,$H473)&lt;&gt;"Disqualified — Free Game",INDEX('Game Records'!$H:$H,$H473)=""),"Entry Fee; ","")&amp;IF(AND(INDEX('Game Records'!$U:$U,$H473)&lt;&gt;"Subscription",INDEX('Game Records'!$U:$U,$H473)&lt;&gt;"Free Game",INDEX('Game Records'!$U:$U,$H473)&lt;&gt;"Disqualified — Free Game",INDEX('Game Records'!$I:$I,$H473)=""),"Eligible Players; ","")&amp;IF(AND(INDEX('Game Records'!$U:$U,$H473)&lt;&gt;"Subscription",INDEX('Game Records'!$U:$U,$H473)&lt;&gt;"Free Game",INDEX('Game Records'!$U:$U,$H473)&lt;&gt;"Disqualified — Free Game",INDEX('Game Records'!$J:$J,$H473)=""),"Total Players; ","")&amp;IF(AND(LOWER(INDEX('Game Records'!$D:$D,$H473)&amp;"")="finalized",LOWER(INDEX('Game Records'!$L:$L,$H473)&amp;"")&lt;&gt;"yes",INDEX('Game Records'!$U:$U,$H473)&lt;&gt;"Subscription",INDEX('Game Records'!$U:$U,$H473)&lt;&gt;"Free Game",INDEX('Game Records'!$U:$U,$H473)&lt;&gt;"Disqualified — Free Game",INDEX('Game Records'!$K:$K,$H473)=""),"Final Earned; ","")&amp;IF(AND(LOWER(INDEX('Game Records'!$D:$D,$H473)&amp;"")="finalized",INDEX('Game Records'!$U:$U,$H473)&lt;&gt;"Subscription",INDEX('Game Records'!$U:$U,$H473)&lt;&gt;"Free Game",INDEX('Game Records'!$U:$U,$H473)&lt;&gt;"Disqualified — Free Game",OR(INDEX('Game Records'!$L:$L,$H473)="",LOWER(INDEX('Game Records'!$L:$L,$H473)&amp;"")="n/a")),"Disqualified Status; ",""))</x:f>
        <x:v/>
      </x:c>
      <x:c r="G473" s="331" t="str">
        <x:f>IF($H473="","",IFERROR(INDEX('Game Records'!$M:$M,$H473),""))</x:f>
        <x:v/>
      </x:c>
      <x:c r="H473" s="104" t="str">
        <x:f>IF($H472="","",IFERROR(MATCH(1,INDEX((ROW('Game Records'!$U$5:$U$504)&gt;$H472)*(('Game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4" ht="24" customHeight="1">
      <x:c r="A474" s="332" t="str">
        <x:f>IF($H474="","",ROWS($A$5:A474))</x:f>
        <x:v/>
      </x:c>
      <x:c r="B474" s="332" t="str">
        <x:f>IF($H474="","","G-"&amp;TEXT($A474,"0000"))</x:f>
        <x:v/>
      </x:c>
      <x:c r="C474" s="331" t="str">
        <x:f>IF($H474="","",IFERROR(INDEX('Game Records'!$A:$A,$H474),""))</x:f>
        <x:v/>
      </x:c>
      <x:c r="D474" s="331" t="str">
        <x:f>IF($H474="","",IFERROR(INDEX('Game Records'!$U:$U,$H474),""))</x:f>
        <x:v/>
      </x:c>
      <x:c r="E474" s="331" t="str">
        <x:f>IF($H474="","",IF($F474="","No Highlighted Fields","Highlighted Fields Present"))</x:f>
        <x:v/>
      </x:c>
      <x:c r="F474" s="331" t="str">
        <x:f>IF($H474="","",IF(INDEX('Game Records'!$B:$B,$H474)="","Start Date; ","")&amp;IF(INDEX('Game Records'!$C:$C,$H474)="","End Date; ","")&amp;IF(AND(INDEX('Game Records'!$U:$U,$H474)&lt;&gt;"Subscription",INDEX('Game Records'!$U:$U,$H474)&lt;&gt;"Free Game",INDEX('Game Records'!$U:$U,$H474)&lt;&gt;"Disqualified — Free Game",OR(INDEX('Game Records'!$D:$D,$H474)="",LOWER(INDEX('Game Records'!$D:$D,$H474)&amp;"")="n/a")),"Entry Mode; ","")&amp;IF(AND(INDEX('Game Records'!$U:$U,$H474)&lt;&gt;"Subscription",INDEX('Game Records'!$U:$U,$H474)&lt;&gt;"Free Game",INDEX('Game Records'!$U:$U,$H474)&lt;&gt;"Disqualified — Free Game",OR(INDEX('Game Records'!$E:$E,$H474)="",LOWER(INDEX('Game Records'!$E:$E,$H474)&amp;"")="n/a")),"Game Type; ","")&amp;IF(INDEX('Game Records'!$F:$F,$H474)="","Payment Type; ","")&amp;IF(AND(INDEX('Game Records'!$U:$U,$H474)&lt;&gt;"Subscription",INDEX('Game Records'!$U:$U,$H474)&lt;&gt;"Free Game",INDEX('Game Records'!$U:$U,$H474)&lt;&gt;"Disqualified — Free Game",INDEX('Game Records'!$G:$G,$H474)=""),"Gross Pot; ","")&amp;IF(AND(INDEX('Game Records'!$U:$U,$H474)&lt;&gt;"Free Game",INDEX('Game Records'!$U:$U,$H474)&lt;&gt;"Disqualified — Free Game",INDEX('Game Records'!$H:$H,$H474)=""),"Entry Fee; ","")&amp;IF(AND(INDEX('Game Records'!$U:$U,$H474)&lt;&gt;"Subscription",INDEX('Game Records'!$U:$U,$H474)&lt;&gt;"Free Game",INDEX('Game Records'!$U:$U,$H474)&lt;&gt;"Disqualified — Free Game",INDEX('Game Records'!$I:$I,$H474)=""),"Eligible Players; ","")&amp;IF(AND(INDEX('Game Records'!$U:$U,$H474)&lt;&gt;"Subscription",INDEX('Game Records'!$U:$U,$H474)&lt;&gt;"Free Game",INDEX('Game Records'!$U:$U,$H474)&lt;&gt;"Disqualified — Free Game",INDEX('Game Records'!$J:$J,$H474)=""),"Total Players; ","")&amp;IF(AND(LOWER(INDEX('Game Records'!$D:$D,$H474)&amp;"")="finalized",LOWER(INDEX('Game Records'!$L:$L,$H474)&amp;"")&lt;&gt;"yes",INDEX('Game Records'!$U:$U,$H474)&lt;&gt;"Subscription",INDEX('Game Records'!$U:$U,$H474)&lt;&gt;"Free Game",INDEX('Game Records'!$U:$U,$H474)&lt;&gt;"Disqualified — Free Game",INDEX('Game Records'!$K:$K,$H474)=""),"Final Earned; ","")&amp;IF(AND(LOWER(INDEX('Game Records'!$D:$D,$H474)&amp;"")="finalized",INDEX('Game Records'!$U:$U,$H474)&lt;&gt;"Subscription",INDEX('Game Records'!$U:$U,$H474)&lt;&gt;"Free Game",INDEX('Game Records'!$U:$U,$H474)&lt;&gt;"Disqualified — Free Game",OR(INDEX('Game Records'!$L:$L,$H474)="",LOWER(INDEX('Game Records'!$L:$L,$H474)&amp;"")="n/a")),"Disqualified Status; ",""))</x:f>
        <x:v/>
      </x:c>
      <x:c r="G474" s="331" t="str">
        <x:f>IF($H474="","",IFERROR(INDEX('Game Records'!$M:$M,$H474),""))</x:f>
        <x:v/>
      </x:c>
      <x:c r="H474" s="104" t="str">
        <x:f>IF($H473="","",IFERROR(MATCH(1,INDEX((ROW('Game Records'!$U$5:$U$504)&gt;$H473)*(('Game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5" ht="24" customHeight="1">
      <x:c r="A475" s="332" t="str">
        <x:f>IF($H475="","",ROWS($A$5:A475))</x:f>
        <x:v/>
      </x:c>
      <x:c r="B475" s="332" t="str">
        <x:f>IF($H475="","","G-"&amp;TEXT($A475,"0000"))</x:f>
        <x:v/>
      </x:c>
      <x:c r="C475" s="331" t="str">
        <x:f>IF($H475="","",IFERROR(INDEX('Game Records'!$A:$A,$H475),""))</x:f>
        <x:v/>
      </x:c>
      <x:c r="D475" s="331" t="str">
        <x:f>IF($H475="","",IFERROR(INDEX('Game Records'!$U:$U,$H475),""))</x:f>
        <x:v/>
      </x:c>
      <x:c r="E475" s="331" t="str">
        <x:f>IF($H475="","",IF($F475="","No Highlighted Fields","Highlighted Fields Present"))</x:f>
        <x:v/>
      </x:c>
      <x:c r="F475" s="331" t="str">
        <x:f>IF($H475="","",IF(INDEX('Game Records'!$B:$B,$H475)="","Start Date; ","")&amp;IF(INDEX('Game Records'!$C:$C,$H475)="","End Date; ","")&amp;IF(AND(INDEX('Game Records'!$U:$U,$H475)&lt;&gt;"Subscription",INDEX('Game Records'!$U:$U,$H475)&lt;&gt;"Free Game",INDEX('Game Records'!$U:$U,$H475)&lt;&gt;"Disqualified — Free Game",OR(INDEX('Game Records'!$D:$D,$H475)="",LOWER(INDEX('Game Records'!$D:$D,$H475)&amp;"")="n/a")),"Entry Mode; ","")&amp;IF(AND(INDEX('Game Records'!$U:$U,$H475)&lt;&gt;"Subscription",INDEX('Game Records'!$U:$U,$H475)&lt;&gt;"Free Game",INDEX('Game Records'!$U:$U,$H475)&lt;&gt;"Disqualified — Free Game",OR(INDEX('Game Records'!$E:$E,$H475)="",LOWER(INDEX('Game Records'!$E:$E,$H475)&amp;"")="n/a")),"Game Type; ","")&amp;IF(INDEX('Game Records'!$F:$F,$H475)="","Payment Type; ","")&amp;IF(AND(INDEX('Game Records'!$U:$U,$H475)&lt;&gt;"Subscription",INDEX('Game Records'!$U:$U,$H475)&lt;&gt;"Free Game",INDEX('Game Records'!$U:$U,$H475)&lt;&gt;"Disqualified — Free Game",INDEX('Game Records'!$G:$G,$H475)=""),"Gross Pot; ","")&amp;IF(AND(INDEX('Game Records'!$U:$U,$H475)&lt;&gt;"Free Game",INDEX('Game Records'!$U:$U,$H475)&lt;&gt;"Disqualified — Free Game",INDEX('Game Records'!$H:$H,$H475)=""),"Entry Fee; ","")&amp;IF(AND(INDEX('Game Records'!$U:$U,$H475)&lt;&gt;"Subscription",INDEX('Game Records'!$U:$U,$H475)&lt;&gt;"Free Game",INDEX('Game Records'!$U:$U,$H475)&lt;&gt;"Disqualified — Free Game",INDEX('Game Records'!$I:$I,$H475)=""),"Eligible Players; ","")&amp;IF(AND(INDEX('Game Records'!$U:$U,$H475)&lt;&gt;"Subscription",INDEX('Game Records'!$U:$U,$H475)&lt;&gt;"Free Game",INDEX('Game Records'!$U:$U,$H475)&lt;&gt;"Disqualified — Free Game",INDEX('Game Records'!$J:$J,$H475)=""),"Total Players; ","")&amp;IF(AND(LOWER(INDEX('Game Records'!$D:$D,$H475)&amp;"")="finalized",LOWER(INDEX('Game Records'!$L:$L,$H475)&amp;"")&lt;&gt;"yes",INDEX('Game Records'!$U:$U,$H475)&lt;&gt;"Subscription",INDEX('Game Records'!$U:$U,$H475)&lt;&gt;"Free Game",INDEX('Game Records'!$U:$U,$H475)&lt;&gt;"Disqualified — Free Game",INDEX('Game Records'!$K:$K,$H475)=""),"Final Earned; ","")&amp;IF(AND(LOWER(INDEX('Game Records'!$D:$D,$H475)&amp;"")="finalized",INDEX('Game Records'!$U:$U,$H475)&lt;&gt;"Subscription",INDEX('Game Records'!$U:$U,$H475)&lt;&gt;"Free Game",INDEX('Game Records'!$U:$U,$H475)&lt;&gt;"Disqualified — Free Game",OR(INDEX('Game Records'!$L:$L,$H475)="",LOWER(INDEX('Game Records'!$L:$L,$H475)&amp;"")="n/a")),"Disqualified Status; ",""))</x:f>
        <x:v/>
      </x:c>
      <x:c r="G475" s="331" t="str">
        <x:f>IF($H475="","",IFERROR(INDEX('Game Records'!$M:$M,$H475),""))</x:f>
        <x:v/>
      </x:c>
      <x:c r="H475" s="104" t="str">
        <x:f>IF($H474="","",IFERROR(MATCH(1,INDEX((ROW('Game Records'!$U$5:$U$504)&gt;$H474)*(('Game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6" ht="24" customHeight="1">
      <x:c r="A476" s="332" t="str">
        <x:f>IF($H476="","",ROWS($A$5:A476))</x:f>
        <x:v/>
      </x:c>
      <x:c r="B476" s="332" t="str">
        <x:f>IF($H476="","","G-"&amp;TEXT($A476,"0000"))</x:f>
        <x:v/>
      </x:c>
      <x:c r="C476" s="331" t="str">
        <x:f>IF($H476="","",IFERROR(INDEX('Game Records'!$A:$A,$H476),""))</x:f>
        <x:v/>
      </x:c>
      <x:c r="D476" s="331" t="str">
        <x:f>IF($H476="","",IFERROR(INDEX('Game Records'!$U:$U,$H476),""))</x:f>
        <x:v/>
      </x:c>
      <x:c r="E476" s="331" t="str">
        <x:f>IF($H476="","",IF($F476="","No Highlighted Fields","Highlighted Fields Present"))</x:f>
        <x:v/>
      </x:c>
      <x:c r="F476" s="331" t="str">
        <x:f>IF($H476="","",IF(INDEX('Game Records'!$B:$B,$H476)="","Start Date; ","")&amp;IF(INDEX('Game Records'!$C:$C,$H476)="","End Date; ","")&amp;IF(AND(INDEX('Game Records'!$U:$U,$H476)&lt;&gt;"Subscription",INDEX('Game Records'!$U:$U,$H476)&lt;&gt;"Free Game",INDEX('Game Records'!$U:$U,$H476)&lt;&gt;"Disqualified — Free Game",OR(INDEX('Game Records'!$D:$D,$H476)="",LOWER(INDEX('Game Records'!$D:$D,$H476)&amp;"")="n/a")),"Entry Mode; ","")&amp;IF(AND(INDEX('Game Records'!$U:$U,$H476)&lt;&gt;"Subscription",INDEX('Game Records'!$U:$U,$H476)&lt;&gt;"Free Game",INDEX('Game Records'!$U:$U,$H476)&lt;&gt;"Disqualified — Free Game",OR(INDEX('Game Records'!$E:$E,$H476)="",LOWER(INDEX('Game Records'!$E:$E,$H476)&amp;"")="n/a")),"Game Type; ","")&amp;IF(INDEX('Game Records'!$F:$F,$H476)="","Payment Type; ","")&amp;IF(AND(INDEX('Game Records'!$U:$U,$H476)&lt;&gt;"Subscription",INDEX('Game Records'!$U:$U,$H476)&lt;&gt;"Free Game",INDEX('Game Records'!$U:$U,$H476)&lt;&gt;"Disqualified — Free Game",INDEX('Game Records'!$G:$G,$H476)=""),"Gross Pot; ","")&amp;IF(AND(INDEX('Game Records'!$U:$U,$H476)&lt;&gt;"Free Game",INDEX('Game Records'!$U:$U,$H476)&lt;&gt;"Disqualified — Free Game",INDEX('Game Records'!$H:$H,$H476)=""),"Entry Fee; ","")&amp;IF(AND(INDEX('Game Records'!$U:$U,$H476)&lt;&gt;"Subscription",INDEX('Game Records'!$U:$U,$H476)&lt;&gt;"Free Game",INDEX('Game Records'!$U:$U,$H476)&lt;&gt;"Disqualified — Free Game",INDEX('Game Records'!$I:$I,$H476)=""),"Eligible Players; ","")&amp;IF(AND(INDEX('Game Records'!$U:$U,$H476)&lt;&gt;"Subscription",INDEX('Game Records'!$U:$U,$H476)&lt;&gt;"Free Game",INDEX('Game Records'!$U:$U,$H476)&lt;&gt;"Disqualified — Free Game",INDEX('Game Records'!$J:$J,$H476)=""),"Total Players; ","")&amp;IF(AND(LOWER(INDEX('Game Records'!$D:$D,$H476)&amp;"")="finalized",LOWER(INDEX('Game Records'!$L:$L,$H476)&amp;"")&lt;&gt;"yes",INDEX('Game Records'!$U:$U,$H476)&lt;&gt;"Subscription",INDEX('Game Records'!$U:$U,$H476)&lt;&gt;"Free Game",INDEX('Game Records'!$U:$U,$H476)&lt;&gt;"Disqualified — Free Game",INDEX('Game Records'!$K:$K,$H476)=""),"Final Earned; ","")&amp;IF(AND(LOWER(INDEX('Game Records'!$D:$D,$H476)&amp;"")="finalized",INDEX('Game Records'!$U:$U,$H476)&lt;&gt;"Subscription",INDEX('Game Records'!$U:$U,$H476)&lt;&gt;"Free Game",INDEX('Game Records'!$U:$U,$H476)&lt;&gt;"Disqualified — Free Game",OR(INDEX('Game Records'!$L:$L,$H476)="",LOWER(INDEX('Game Records'!$L:$L,$H476)&amp;"")="n/a")),"Disqualified Status; ",""))</x:f>
        <x:v/>
      </x:c>
      <x:c r="G476" s="331" t="str">
        <x:f>IF($H476="","",IFERROR(INDEX('Game Records'!$M:$M,$H476),""))</x:f>
        <x:v/>
      </x:c>
      <x:c r="H476" s="104" t="str">
        <x:f>IF($H475="","",IFERROR(MATCH(1,INDEX((ROW('Game Records'!$U$5:$U$504)&gt;$H475)*(('Game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7" ht="24" customHeight="1">
      <x:c r="A477" s="332" t="str">
        <x:f>IF($H477="","",ROWS($A$5:A477))</x:f>
        <x:v/>
      </x:c>
      <x:c r="B477" s="332" t="str">
        <x:f>IF($H477="","","G-"&amp;TEXT($A477,"0000"))</x:f>
        <x:v/>
      </x:c>
      <x:c r="C477" s="331" t="str">
        <x:f>IF($H477="","",IFERROR(INDEX('Game Records'!$A:$A,$H477),""))</x:f>
        <x:v/>
      </x:c>
      <x:c r="D477" s="331" t="str">
        <x:f>IF($H477="","",IFERROR(INDEX('Game Records'!$U:$U,$H477),""))</x:f>
        <x:v/>
      </x:c>
      <x:c r="E477" s="331" t="str">
        <x:f>IF($H477="","",IF($F477="","No Highlighted Fields","Highlighted Fields Present"))</x:f>
        <x:v/>
      </x:c>
      <x:c r="F477" s="331" t="str">
        <x:f>IF($H477="","",IF(INDEX('Game Records'!$B:$B,$H477)="","Start Date; ","")&amp;IF(INDEX('Game Records'!$C:$C,$H477)="","End Date; ","")&amp;IF(AND(INDEX('Game Records'!$U:$U,$H477)&lt;&gt;"Subscription",INDEX('Game Records'!$U:$U,$H477)&lt;&gt;"Free Game",INDEX('Game Records'!$U:$U,$H477)&lt;&gt;"Disqualified — Free Game",OR(INDEX('Game Records'!$D:$D,$H477)="",LOWER(INDEX('Game Records'!$D:$D,$H477)&amp;"")="n/a")),"Entry Mode; ","")&amp;IF(AND(INDEX('Game Records'!$U:$U,$H477)&lt;&gt;"Subscription",INDEX('Game Records'!$U:$U,$H477)&lt;&gt;"Free Game",INDEX('Game Records'!$U:$U,$H477)&lt;&gt;"Disqualified — Free Game",OR(INDEX('Game Records'!$E:$E,$H477)="",LOWER(INDEX('Game Records'!$E:$E,$H477)&amp;"")="n/a")),"Game Type; ","")&amp;IF(INDEX('Game Records'!$F:$F,$H477)="","Payment Type; ","")&amp;IF(AND(INDEX('Game Records'!$U:$U,$H477)&lt;&gt;"Subscription",INDEX('Game Records'!$U:$U,$H477)&lt;&gt;"Free Game",INDEX('Game Records'!$U:$U,$H477)&lt;&gt;"Disqualified — Free Game",INDEX('Game Records'!$G:$G,$H477)=""),"Gross Pot; ","")&amp;IF(AND(INDEX('Game Records'!$U:$U,$H477)&lt;&gt;"Free Game",INDEX('Game Records'!$U:$U,$H477)&lt;&gt;"Disqualified — Free Game",INDEX('Game Records'!$H:$H,$H477)=""),"Entry Fee; ","")&amp;IF(AND(INDEX('Game Records'!$U:$U,$H477)&lt;&gt;"Subscription",INDEX('Game Records'!$U:$U,$H477)&lt;&gt;"Free Game",INDEX('Game Records'!$U:$U,$H477)&lt;&gt;"Disqualified — Free Game",INDEX('Game Records'!$I:$I,$H477)=""),"Eligible Players; ","")&amp;IF(AND(INDEX('Game Records'!$U:$U,$H477)&lt;&gt;"Subscription",INDEX('Game Records'!$U:$U,$H477)&lt;&gt;"Free Game",INDEX('Game Records'!$U:$U,$H477)&lt;&gt;"Disqualified — Free Game",INDEX('Game Records'!$J:$J,$H477)=""),"Total Players; ","")&amp;IF(AND(LOWER(INDEX('Game Records'!$D:$D,$H477)&amp;"")="finalized",LOWER(INDEX('Game Records'!$L:$L,$H477)&amp;"")&lt;&gt;"yes",INDEX('Game Records'!$U:$U,$H477)&lt;&gt;"Subscription",INDEX('Game Records'!$U:$U,$H477)&lt;&gt;"Free Game",INDEX('Game Records'!$U:$U,$H477)&lt;&gt;"Disqualified — Free Game",INDEX('Game Records'!$K:$K,$H477)=""),"Final Earned; ","")&amp;IF(AND(LOWER(INDEX('Game Records'!$D:$D,$H477)&amp;"")="finalized",INDEX('Game Records'!$U:$U,$H477)&lt;&gt;"Subscription",INDEX('Game Records'!$U:$U,$H477)&lt;&gt;"Free Game",INDEX('Game Records'!$U:$U,$H477)&lt;&gt;"Disqualified — Free Game",OR(INDEX('Game Records'!$L:$L,$H477)="",LOWER(INDEX('Game Records'!$L:$L,$H477)&amp;"")="n/a")),"Disqualified Status; ",""))</x:f>
        <x:v/>
      </x:c>
      <x:c r="G477" s="331" t="str">
        <x:f>IF($H477="","",IFERROR(INDEX('Game Records'!$M:$M,$H477),""))</x:f>
        <x:v/>
      </x:c>
      <x:c r="H477" s="104" t="str">
        <x:f>IF($H476="","",IFERROR(MATCH(1,INDEX((ROW('Game Records'!$U$5:$U$504)&gt;$H476)*(('Game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8" ht="24" customHeight="1">
      <x:c r="A478" s="332" t="str">
        <x:f>IF($H478="","",ROWS($A$5:A478))</x:f>
        <x:v/>
      </x:c>
      <x:c r="B478" s="332" t="str">
        <x:f>IF($H478="","","G-"&amp;TEXT($A478,"0000"))</x:f>
        <x:v/>
      </x:c>
      <x:c r="C478" s="331" t="str">
        <x:f>IF($H478="","",IFERROR(INDEX('Game Records'!$A:$A,$H478),""))</x:f>
        <x:v/>
      </x:c>
      <x:c r="D478" s="331" t="str">
        <x:f>IF($H478="","",IFERROR(INDEX('Game Records'!$U:$U,$H478),""))</x:f>
        <x:v/>
      </x:c>
      <x:c r="E478" s="331" t="str">
        <x:f>IF($H478="","",IF($F478="","No Highlighted Fields","Highlighted Fields Present"))</x:f>
        <x:v/>
      </x:c>
      <x:c r="F478" s="331" t="str">
        <x:f>IF($H478="","",IF(INDEX('Game Records'!$B:$B,$H478)="","Start Date; ","")&amp;IF(INDEX('Game Records'!$C:$C,$H478)="","End Date; ","")&amp;IF(AND(INDEX('Game Records'!$U:$U,$H478)&lt;&gt;"Subscription",INDEX('Game Records'!$U:$U,$H478)&lt;&gt;"Free Game",INDEX('Game Records'!$U:$U,$H478)&lt;&gt;"Disqualified — Free Game",OR(INDEX('Game Records'!$D:$D,$H478)="",LOWER(INDEX('Game Records'!$D:$D,$H478)&amp;"")="n/a")),"Entry Mode; ","")&amp;IF(AND(INDEX('Game Records'!$U:$U,$H478)&lt;&gt;"Subscription",INDEX('Game Records'!$U:$U,$H478)&lt;&gt;"Free Game",INDEX('Game Records'!$U:$U,$H478)&lt;&gt;"Disqualified — Free Game",OR(INDEX('Game Records'!$E:$E,$H478)="",LOWER(INDEX('Game Records'!$E:$E,$H478)&amp;"")="n/a")),"Game Type; ","")&amp;IF(INDEX('Game Records'!$F:$F,$H478)="","Payment Type; ","")&amp;IF(AND(INDEX('Game Records'!$U:$U,$H478)&lt;&gt;"Subscription",INDEX('Game Records'!$U:$U,$H478)&lt;&gt;"Free Game",INDEX('Game Records'!$U:$U,$H478)&lt;&gt;"Disqualified — Free Game",INDEX('Game Records'!$G:$G,$H478)=""),"Gross Pot; ","")&amp;IF(AND(INDEX('Game Records'!$U:$U,$H478)&lt;&gt;"Free Game",INDEX('Game Records'!$U:$U,$H478)&lt;&gt;"Disqualified — Free Game",INDEX('Game Records'!$H:$H,$H478)=""),"Entry Fee; ","")&amp;IF(AND(INDEX('Game Records'!$U:$U,$H478)&lt;&gt;"Subscription",INDEX('Game Records'!$U:$U,$H478)&lt;&gt;"Free Game",INDEX('Game Records'!$U:$U,$H478)&lt;&gt;"Disqualified — Free Game",INDEX('Game Records'!$I:$I,$H478)=""),"Eligible Players; ","")&amp;IF(AND(INDEX('Game Records'!$U:$U,$H478)&lt;&gt;"Subscription",INDEX('Game Records'!$U:$U,$H478)&lt;&gt;"Free Game",INDEX('Game Records'!$U:$U,$H478)&lt;&gt;"Disqualified — Free Game",INDEX('Game Records'!$J:$J,$H478)=""),"Total Players; ","")&amp;IF(AND(LOWER(INDEX('Game Records'!$D:$D,$H478)&amp;"")="finalized",LOWER(INDEX('Game Records'!$L:$L,$H478)&amp;"")&lt;&gt;"yes",INDEX('Game Records'!$U:$U,$H478)&lt;&gt;"Subscription",INDEX('Game Records'!$U:$U,$H478)&lt;&gt;"Free Game",INDEX('Game Records'!$U:$U,$H478)&lt;&gt;"Disqualified — Free Game",INDEX('Game Records'!$K:$K,$H478)=""),"Final Earned; ","")&amp;IF(AND(LOWER(INDEX('Game Records'!$D:$D,$H478)&amp;"")="finalized",INDEX('Game Records'!$U:$U,$H478)&lt;&gt;"Subscription",INDEX('Game Records'!$U:$U,$H478)&lt;&gt;"Free Game",INDEX('Game Records'!$U:$U,$H478)&lt;&gt;"Disqualified — Free Game",OR(INDEX('Game Records'!$L:$L,$H478)="",LOWER(INDEX('Game Records'!$L:$L,$H478)&amp;"")="n/a")),"Disqualified Status; ",""))</x:f>
        <x:v/>
      </x:c>
      <x:c r="G478" s="331" t="str">
        <x:f>IF($H478="","",IFERROR(INDEX('Game Records'!$M:$M,$H478),""))</x:f>
        <x:v/>
      </x:c>
      <x:c r="H478" s="104" t="str">
        <x:f>IF($H477="","",IFERROR(MATCH(1,INDEX((ROW('Game Records'!$U$5:$U$504)&gt;$H477)*(('Game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79" ht="24" customHeight="1">
      <x:c r="A479" s="332" t="str">
        <x:f>IF($H479="","",ROWS($A$5:A479))</x:f>
        <x:v/>
      </x:c>
      <x:c r="B479" s="332" t="str">
        <x:f>IF($H479="","","G-"&amp;TEXT($A479,"0000"))</x:f>
        <x:v/>
      </x:c>
      <x:c r="C479" s="331" t="str">
        <x:f>IF($H479="","",IFERROR(INDEX('Game Records'!$A:$A,$H479),""))</x:f>
        <x:v/>
      </x:c>
      <x:c r="D479" s="331" t="str">
        <x:f>IF($H479="","",IFERROR(INDEX('Game Records'!$U:$U,$H479),""))</x:f>
        <x:v/>
      </x:c>
      <x:c r="E479" s="331" t="str">
        <x:f>IF($H479="","",IF($F479="","No Highlighted Fields","Highlighted Fields Present"))</x:f>
        <x:v/>
      </x:c>
      <x:c r="F479" s="331" t="str">
        <x:f>IF($H479="","",IF(INDEX('Game Records'!$B:$B,$H479)="","Start Date; ","")&amp;IF(INDEX('Game Records'!$C:$C,$H479)="","End Date; ","")&amp;IF(AND(INDEX('Game Records'!$U:$U,$H479)&lt;&gt;"Subscription",INDEX('Game Records'!$U:$U,$H479)&lt;&gt;"Free Game",INDEX('Game Records'!$U:$U,$H479)&lt;&gt;"Disqualified — Free Game",OR(INDEX('Game Records'!$D:$D,$H479)="",LOWER(INDEX('Game Records'!$D:$D,$H479)&amp;"")="n/a")),"Entry Mode; ","")&amp;IF(AND(INDEX('Game Records'!$U:$U,$H479)&lt;&gt;"Subscription",INDEX('Game Records'!$U:$U,$H479)&lt;&gt;"Free Game",INDEX('Game Records'!$U:$U,$H479)&lt;&gt;"Disqualified — Free Game",OR(INDEX('Game Records'!$E:$E,$H479)="",LOWER(INDEX('Game Records'!$E:$E,$H479)&amp;"")="n/a")),"Game Type; ","")&amp;IF(INDEX('Game Records'!$F:$F,$H479)="","Payment Type; ","")&amp;IF(AND(INDEX('Game Records'!$U:$U,$H479)&lt;&gt;"Subscription",INDEX('Game Records'!$U:$U,$H479)&lt;&gt;"Free Game",INDEX('Game Records'!$U:$U,$H479)&lt;&gt;"Disqualified — Free Game",INDEX('Game Records'!$G:$G,$H479)=""),"Gross Pot; ","")&amp;IF(AND(INDEX('Game Records'!$U:$U,$H479)&lt;&gt;"Free Game",INDEX('Game Records'!$U:$U,$H479)&lt;&gt;"Disqualified — Free Game",INDEX('Game Records'!$H:$H,$H479)=""),"Entry Fee; ","")&amp;IF(AND(INDEX('Game Records'!$U:$U,$H479)&lt;&gt;"Subscription",INDEX('Game Records'!$U:$U,$H479)&lt;&gt;"Free Game",INDEX('Game Records'!$U:$U,$H479)&lt;&gt;"Disqualified — Free Game",INDEX('Game Records'!$I:$I,$H479)=""),"Eligible Players; ","")&amp;IF(AND(INDEX('Game Records'!$U:$U,$H479)&lt;&gt;"Subscription",INDEX('Game Records'!$U:$U,$H479)&lt;&gt;"Free Game",INDEX('Game Records'!$U:$U,$H479)&lt;&gt;"Disqualified — Free Game",INDEX('Game Records'!$J:$J,$H479)=""),"Total Players; ","")&amp;IF(AND(LOWER(INDEX('Game Records'!$D:$D,$H479)&amp;"")="finalized",LOWER(INDEX('Game Records'!$L:$L,$H479)&amp;"")&lt;&gt;"yes",INDEX('Game Records'!$U:$U,$H479)&lt;&gt;"Subscription",INDEX('Game Records'!$U:$U,$H479)&lt;&gt;"Free Game",INDEX('Game Records'!$U:$U,$H479)&lt;&gt;"Disqualified — Free Game",INDEX('Game Records'!$K:$K,$H479)=""),"Final Earned; ","")&amp;IF(AND(LOWER(INDEX('Game Records'!$D:$D,$H479)&amp;"")="finalized",INDEX('Game Records'!$U:$U,$H479)&lt;&gt;"Subscription",INDEX('Game Records'!$U:$U,$H479)&lt;&gt;"Free Game",INDEX('Game Records'!$U:$U,$H479)&lt;&gt;"Disqualified — Free Game",OR(INDEX('Game Records'!$L:$L,$H479)="",LOWER(INDEX('Game Records'!$L:$L,$H479)&amp;"")="n/a")),"Disqualified Status; ",""))</x:f>
        <x:v/>
      </x:c>
      <x:c r="G479" s="331" t="str">
        <x:f>IF($H479="","",IFERROR(INDEX('Game Records'!$M:$M,$H479),""))</x:f>
        <x:v/>
      </x:c>
      <x:c r="H479" s="104" t="str">
        <x:f>IF($H478="","",IFERROR(MATCH(1,INDEX((ROW('Game Records'!$U$5:$U$504)&gt;$H478)*(('Game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0" ht="24" customHeight="1">
      <x:c r="A480" s="332" t="str">
        <x:f>IF($H480="","",ROWS($A$5:A480))</x:f>
        <x:v/>
      </x:c>
      <x:c r="B480" s="332" t="str">
        <x:f>IF($H480="","","G-"&amp;TEXT($A480,"0000"))</x:f>
        <x:v/>
      </x:c>
      <x:c r="C480" s="331" t="str">
        <x:f>IF($H480="","",IFERROR(INDEX('Game Records'!$A:$A,$H480),""))</x:f>
        <x:v/>
      </x:c>
      <x:c r="D480" s="331" t="str">
        <x:f>IF($H480="","",IFERROR(INDEX('Game Records'!$U:$U,$H480),""))</x:f>
        <x:v/>
      </x:c>
      <x:c r="E480" s="331" t="str">
        <x:f>IF($H480="","",IF($F480="","No Highlighted Fields","Highlighted Fields Present"))</x:f>
        <x:v/>
      </x:c>
      <x:c r="F480" s="331" t="str">
        <x:f>IF($H480="","",IF(INDEX('Game Records'!$B:$B,$H480)="","Start Date; ","")&amp;IF(INDEX('Game Records'!$C:$C,$H480)="","End Date; ","")&amp;IF(AND(INDEX('Game Records'!$U:$U,$H480)&lt;&gt;"Subscription",INDEX('Game Records'!$U:$U,$H480)&lt;&gt;"Free Game",INDEX('Game Records'!$U:$U,$H480)&lt;&gt;"Disqualified — Free Game",OR(INDEX('Game Records'!$D:$D,$H480)="",LOWER(INDEX('Game Records'!$D:$D,$H480)&amp;"")="n/a")),"Entry Mode; ","")&amp;IF(AND(INDEX('Game Records'!$U:$U,$H480)&lt;&gt;"Subscription",INDEX('Game Records'!$U:$U,$H480)&lt;&gt;"Free Game",INDEX('Game Records'!$U:$U,$H480)&lt;&gt;"Disqualified — Free Game",OR(INDEX('Game Records'!$E:$E,$H480)="",LOWER(INDEX('Game Records'!$E:$E,$H480)&amp;"")="n/a")),"Game Type; ","")&amp;IF(INDEX('Game Records'!$F:$F,$H480)="","Payment Type; ","")&amp;IF(AND(INDEX('Game Records'!$U:$U,$H480)&lt;&gt;"Subscription",INDEX('Game Records'!$U:$U,$H480)&lt;&gt;"Free Game",INDEX('Game Records'!$U:$U,$H480)&lt;&gt;"Disqualified — Free Game",INDEX('Game Records'!$G:$G,$H480)=""),"Gross Pot; ","")&amp;IF(AND(INDEX('Game Records'!$U:$U,$H480)&lt;&gt;"Free Game",INDEX('Game Records'!$U:$U,$H480)&lt;&gt;"Disqualified — Free Game",INDEX('Game Records'!$H:$H,$H480)=""),"Entry Fee; ","")&amp;IF(AND(INDEX('Game Records'!$U:$U,$H480)&lt;&gt;"Subscription",INDEX('Game Records'!$U:$U,$H480)&lt;&gt;"Free Game",INDEX('Game Records'!$U:$U,$H480)&lt;&gt;"Disqualified — Free Game",INDEX('Game Records'!$I:$I,$H480)=""),"Eligible Players; ","")&amp;IF(AND(INDEX('Game Records'!$U:$U,$H480)&lt;&gt;"Subscription",INDEX('Game Records'!$U:$U,$H480)&lt;&gt;"Free Game",INDEX('Game Records'!$U:$U,$H480)&lt;&gt;"Disqualified — Free Game",INDEX('Game Records'!$J:$J,$H480)=""),"Total Players; ","")&amp;IF(AND(LOWER(INDEX('Game Records'!$D:$D,$H480)&amp;"")="finalized",LOWER(INDEX('Game Records'!$L:$L,$H480)&amp;"")&lt;&gt;"yes",INDEX('Game Records'!$U:$U,$H480)&lt;&gt;"Subscription",INDEX('Game Records'!$U:$U,$H480)&lt;&gt;"Free Game",INDEX('Game Records'!$U:$U,$H480)&lt;&gt;"Disqualified — Free Game",INDEX('Game Records'!$K:$K,$H480)=""),"Final Earned; ","")&amp;IF(AND(LOWER(INDEX('Game Records'!$D:$D,$H480)&amp;"")="finalized",INDEX('Game Records'!$U:$U,$H480)&lt;&gt;"Subscription",INDEX('Game Records'!$U:$U,$H480)&lt;&gt;"Free Game",INDEX('Game Records'!$U:$U,$H480)&lt;&gt;"Disqualified — Free Game",OR(INDEX('Game Records'!$L:$L,$H480)="",LOWER(INDEX('Game Records'!$L:$L,$H480)&amp;"")="n/a")),"Disqualified Status; ",""))</x:f>
        <x:v/>
      </x:c>
      <x:c r="G480" s="331" t="str">
        <x:f>IF($H480="","",IFERROR(INDEX('Game Records'!$M:$M,$H480),""))</x:f>
        <x:v/>
      </x:c>
      <x:c r="H480" s="104" t="str">
        <x:f>IF($H479="","",IFERROR(MATCH(1,INDEX((ROW('Game Records'!$U$5:$U$504)&gt;$H479)*(('Game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1" ht="24" customHeight="1">
      <x:c r="A481" s="332" t="str">
        <x:f>IF($H481="","",ROWS($A$5:A481))</x:f>
        <x:v/>
      </x:c>
      <x:c r="B481" s="332" t="str">
        <x:f>IF($H481="","","G-"&amp;TEXT($A481,"0000"))</x:f>
        <x:v/>
      </x:c>
      <x:c r="C481" s="331" t="str">
        <x:f>IF($H481="","",IFERROR(INDEX('Game Records'!$A:$A,$H481),""))</x:f>
        <x:v/>
      </x:c>
      <x:c r="D481" s="331" t="str">
        <x:f>IF($H481="","",IFERROR(INDEX('Game Records'!$U:$U,$H481),""))</x:f>
        <x:v/>
      </x:c>
      <x:c r="E481" s="331" t="str">
        <x:f>IF($H481="","",IF($F481="","No Highlighted Fields","Highlighted Fields Present"))</x:f>
        <x:v/>
      </x:c>
      <x:c r="F481" s="331" t="str">
        <x:f>IF($H481="","",IF(INDEX('Game Records'!$B:$B,$H481)="","Start Date; ","")&amp;IF(INDEX('Game Records'!$C:$C,$H481)="","End Date; ","")&amp;IF(AND(INDEX('Game Records'!$U:$U,$H481)&lt;&gt;"Subscription",INDEX('Game Records'!$U:$U,$H481)&lt;&gt;"Free Game",INDEX('Game Records'!$U:$U,$H481)&lt;&gt;"Disqualified — Free Game",OR(INDEX('Game Records'!$D:$D,$H481)="",LOWER(INDEX('Game Records'!$D:$D,$H481)&amp;"")="n/a")),"Entry Mode; ","")&amp;IF(AND(INDEX('Game Records'!$U:$U,$H481)&lt;&gt;"Subscription",INDEX('Game Records'!$U:$U,$H481)&lt;&gt;"Free Game",INDEX('Game Records'!$U:$U,$H481)&lt;&gt;"Disqualified — Free Game",OR(INDEX('Game Records'!$E:$E,$H481)="",LOWER(INDEX('Game Records'!$E:$E,$H481)&amp;"")="n/a")),"Game Type; ","")&amp;IF(INDEX('Game Records'!$F:$F,$H481)="","Payment Type; ","")&amp;IF(AND(INDEX('Game Records'!$U:$U,$H481)&lt;&gt;"Subscription",INDEX('Game Records'!$U:$U,$H481)&lt;&gt;"Free Game",INDEX('Game Records'!$U:$U,$H481)&lt;&gt;"Disqualified — Free Game",INDEX('Game Records'!$G:$G,$H481)=""),"Gross Pot; ","")&amp;IF(AND(INDEX('Game Records'!$U:$U,$H481)&lt;&gt;"Free Game",INDEX('Game Records'!$U:$U,$H481)&lt;&gt;"Disqualified — Free Game",INDEX('Game Records'!$H:$H,$H481)=""),"Entry Fee; ","")&amp;IF(AND(INDEX('Game Records'!$U:$U,$H481)&lt;&gt;"Subscription",INDEX('Game Records'!$U:$U,$H481)&lt;&gt;"Free Game",INDEX('Game Records'!$U:$U,$H481)&lt;&gt;"Disqualified — Free Game",INDEX('Game Records'!$I:$I,$H481)=""),"Eligible Players; ","")&amp;IF(AND(INDEX('Game Records'!$U:$U,$H481)&lt;&gt;"Subscription",INDEX('Game Records'!$U:$U,$H481)&lt;&gt;"Free Game",INDEX('Game Records'!$U:$U,$H481)&lt;&gt;"Disqualified — Free Game",INDEX('Game Records'!$J:$J,$H481)=""),"Total Players; ","")&amp;IF(AND(LOWER(INDEX('Game Records'!$D:$D,$H481)&amp;"")="finalized",LOWER(INDEX('Game Records'!$L:$L,$H481)&amp;"")&lt;&gt;"yes",INDEX('Game Records'!$U:$U,$H481)&lt;&gt;"Subscription",INDEX('Game Records'!$U:$U,$H481)&lt;&gt;"Free Game",INDEX('Game Records'!$U:$U,$H481)&lt;&gt;"Disqualified — Free Game",INDEX('Game Records'!$K:$K,$H481)=""),"Final Earned; ","")&amp;IF(AND(LOWER(INDEX('Game Records'!$D:$D,$H481)&amp;"")="finalized",INDEX('Game Records'!$U:$U,$H481)&lt;&gt;"Subscription",INDEX('Game Records'!$U:$U,$H481)&lt;&gt;"Free Game",INDEX('Game Records'!$U:$U,$H481)&lt;&gt;"Disqualified — Free Game",OR(INDEX('Game Records'!$L:$L,$H481)="",LOWER(INDEX('Game Records'!$L:$L,$H481)&amp;"")="n/a")),"Disqualified Status; ",""))</x:f>
        <x:v/>
      </x:c>
      <x:c r="G481" s="331" t="str">
        <x:f>IF($H481="","",IFERROR(INDEX('Game Records'!$M:$M,$H481),""))</x:f>
        <x:v/>
      </x:c>
      <x:c r="H481" s="104" t="str">
        <x:f>IF($H480="","",IFERROR(MATCH(1,INDEX((ROW('Game Records'!$U$5:$U$504)&gt;$H480)*(('Game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2" ht="24" customHeight="1">
      <x:c r="A482" s="332" t="str">
        <x:f>IF($H482="","",ROWS($A$5:A482))</x:f>
        <x:v/>
      </x:c>
      <x:c r="B482" s="332" t="str">
        <x:f>IF($H482="","","G-"&amp;TEXT($A482,"0000"))</x:f>
        <x:v/>
      </x:c>
      <x:c r="C482" s="331" t="str">
        <x:f>IF($H482="","",IFERROR(INDEX('Game Records'!$A:$A,$H482),""))</x:f>
        <x:v/>
      </x:c>
      <x:c r="D482" s="331" t="str">
        <x:f>IF($H482="","",IFERROR(INDEX('Game Records'!$U:$U,$H482),""))</x:f>
        <x:v/>
      </x:c>
      <x:c r="E482" s="331" t="str">
        <x:f>IF($H482="","",IF($F482="","No Highlighted Fields","Highlighted Fields Present"))</x:f>
        <x:v/>
      </x:c>
      <x:c r="F482" s="331" t="str">
        <x:f>IF($H482="","",IF(INDEX('Game Records'!$B:$B,$H482)="","Start Date; ","")&amp;IF(INDEX('Game Records'!$C:$C,$H482)="","End Date; ","")&amp;IF(AND(INDEX('Game Records'!$U:$U,$H482)&lt;&gt;"Subscription",INDEX('Game Records'!$U:$U,$H482)&lt;&gt;"Free Game",INDEX('Game Records'!$U:$U,$H482)&lt;&gt;"Disqualified — Free Game",OR(INDEX('Game Records'!$D:$D,$H482)="",LOWER(INDEX('Game Records'!$D:$D,$H482)&amp;"")="n/a")),"Entry Mode; ","")&amp;IF(AND(INDEX('Game Records'!$U:$U,$H482)&lt;&gt;"Subscription",INDEX('Game Records'!$U:$U,$H482)&lt;&gt;"Free Game",INDEX('Game Records'!$U:$U,$H482)&lt;&gt;"Disqualified — Free Game",OR(INDEX('Game Records'!$E:$E,$H482)="",LOWER(INDEX('Game Records'!$E:$E,$H482)&amp;"")="n/a")),"Game Type; ","")&amp;IF(INDEX('Game Records'!$F:$F,$H482)="","Payment Type; ","")&amp;IF(AND(INDEX('Game Records'!$U:$U,$H482)&lt;&gt;"Subscription",INDEX('Game Records'!$U:$U,$H482)&lt;&gt;"Free Game",INDEX('Game Records'!$U:$U,$H482)&lt;&gt;"Disqualified — Free Game",INDEX('Game Records'!$G:$G,$H482)=""),"Gross Pot; ","")&amp;IF(AND(INDEX('Game Records'!$U:$U,$H482)&lt;&gt;"Free Game",INDEX('Game Records'!$U:$U,$H482)&lt;&gt;"Disqualified — Free Game",INDEX('Game Records'!$H:$H,$H482)=""),"Entry Fee; ","")&amp;IF(AND(INDEX('Game Records'!$U:$U,$H482)&lt;&gt;"Subscription",INDEX('Game Records'!$U:$U,$H482)&lt;&gt;"Free Game",INDEX('Game Records'!$U:$U,$H482)&lt;&gt;"Disqualified — Free Game",INDEX('Game Records'!$I:$I,$H482)=""),"Eligible Players; ","")&amp;IF(AND(INDEX('Game Records'!$U:$U,$H482)&lt;&gt;"Subscription",INDEX('Game Records'!$U:$U,$H482)&lt;&gt;"Free Game",INDEX('Game Records'!$U:$U,$H482)&lt;&gt;"Disqualified — Free Game",INDEX('Game Records'!$J:$J,$H482)=""),"Total Players; ","")&amp;IF(AND(LOWER(INDEX('Game Records'!$D:$D,$H482)&amp;"")="finalized",LOWER(INDEX('Game Records'!$L:$L,$H482)&amp;"")&lt;&gt;"yes",INDEX('Game Records'!$U:$U,$H482)&lt;&gt;"Subscription",INDEX('Game Records'!$U:$U,$H482)&lt;&gt;"Free Game",INDEX('Game Records'!$U:$U,$H482)&lt;&gt;"Disqualified — Free Game",INDEX('Game Records'!$K:$K,$H482)=""),"Final Earned; ","")&amp;IF(AND(LOWER(INDEX('Game Records'!$D:$D,$H482)&amp;"")="finalized",INDEX('Game Records'!$U:$U,$H482)&lt;&gt;"Subscription",INDEX('Game Records'!$U:$U,$H482)&lt;&gt;"Free Game",INDEX('Game Records'!$U:$U,$H482)&lt;&gt;"Disqualified — Free Game",OR(INDEX('Game Records'!$L:$L,$H482)="",LOWER(INDEX('Game Records'!$L:$L,$H482)&amp;"")="n/a")),"Disqualified Status; ",""))</x:f>
        <x:v/>
      </x:c>
      <x:c r="G482" s="331" t="str">
        <x:f>IF($H482="","",IFERROR(INDEX('Game Records'!$M:$M,$H482),""))</x:f>
        <x:v/>
      </x:c>
      <x:c r="H482" s="104" t="str">
        <x:f>IF($H481="","",IFERROR(MATCH(1,INDEX((ROW('Game Records'!$U$5:$U$504)&gt;$H481)*(('Game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3" ht="24" customHeight="1">
      <x:c r="A483" s="332" t="str">
        <x:f>IF($H483="","",ROWS($A$5:A483))</x:f>
        <x:v/>
      </x:c>
      <x:c r="B483" s="332" t="str">
        <x:f>IF($H483="","","G-"&amp;TEXT($A483,"0000"))</x:f>
        <x:v/>
      </x:c>
      <x:c r="C483" s="331" t="str">
        <x:f>IF($H483="","",IFERROR(INDEX('Game Records'!$A:$A,$H483),""))</x:f>
        <x:v/>
      </x:c>
      <x:c r="D483" s="331" t="str">
        <x:f>IF($H483="","",IFERROR(INDEX('Game Records'!$U:$U,$H483),""))</x:f>
        <x:v/>
      </x:c>
      <x:c r="E483" s="331" t="str">
        <x:f>IF($H483="","",IF($F483="","No Highlighted Fields","Highlighted Fields Present"))</x:f>
        <x:v/>
      </x:c>
      <x:c r="F483" s="331" t="str">
        <x:f>IF($H483="","",IF(INDEX('Game Records'!$B:$B,$H483)="","Start Date; ","")&amp;IF(INDEX('Game Records'!$C:$C,$H483)="","End Date; ","")&amp;IF(AND(INDEX('Game Records'!$U:$U,$H483)&lt;&gt;"Subscription",INDEX('Game Records'!$U:$U,$H483)&lt;&gt;"Free Game",INDEX('Game Records'!$U:$U,$H483)&lt;&gt;"Disqualified — Free Game",OR(INDEX('Game Records'!$D:$D,$H483)="",LOWER(INDEX('Game Records'!$D:$D,$H483)&amp;"")="n/a")),"Entry Mode; ","")&amp;IF(AND(INDEX('Game Records'!$U:$U,$H483)&lt;&gt;"Subscription",INDEX('Game Records'!$U:$U,$H483)&lt;&gt;"Free Game",INDEX('Game Records'!$U:$U,$H483)&lt;&gt;"Disqualified — Free Game",OR(INDEX('Game Records'!$E:$E,$H483)="",LOWER(INDEX('Game Records'!$E:$E,$H483)&amp;"")="n/a")),"Game Type; ","")&amp;IF(INDEX('Game Records'!$F:$F,$H483)="","Payment Type; ","")&amp;IF(AND(INDEX('Game Records'!$U:$U,$H483)&lt;&gt;"Subscription",INDEX('Game Records'!$U:$U,$H483)&lt;&gt;"Free Game",INDEX('Game Records'!$U:$U,$H483)&lt;&gt;"Disqualified — Free Game",INDEX('Game Records'!$G:$G,$H483)=""),"Gross Pot; ","")&amp;IF(AND(INDEX('Game Records'!$U:$U,$H483)&lt;&gt;"Free Game",INDEX('Game Records'!$U:$U,$H483)&lt;&gt;"Disqualified — Free Game",INDEX('Game Records'!$H:$H,$H483)=""),"Entry Fee; ","")&amp;IF(AND(INDEX('Game Records'!$U:$U,$H483)&lt;&gt;"Subscription",INDEX('Game Records'!$U:$U,$H483)&lt;&gt;"Free Game",INDEX('Game Records'!$U:$U,$H483)&lt;&gt;"Disqualified — Free Game",INDEX('Game Records'!$I:$I,$H483)=""),"Eligible Players; ","")&amp;IF(AND(INDEX('Game Records'!$U:$U,$H483)&lt;&gt;"Subscription",INDEX('Game Records'!$U:$U,$H483)&lt;&gt;"Free Game",INDEX('Game Records'!$U:$U,$H483)&lt;&gt;"Disqualified — Free Game",INDEX('Game Records'!$J:$J,$H483)=""),"Total Players; ","")&amp;IF(AND(LOWER(INDEX('Game Records'!$D:$D,$H483)&amp;"")="finalized",LOWER(INDEX('Game Records'!$L:$L,$H483)&amp;"")&lt;&gt;"yes",INDEX('Game Records'!$U:$U,$H483)&lt;&gt;"Subscription",INDEX('Game Records'!$U:$U,$H483)&lt;&gt;"Free Game",INDEX('Game Records'!$U:$U,$H483)&lt;&gt;"Disqualified — Free Game",INDEX('Game Records'!$K:$K,$H483)=""),"Final Earned; ","")&amp;IF(AND(LOWER(INDEX('Game Records'!$D:$D,$H483)&amp;"")="finalized",INDEX('Game Records'!$U:$U,$H483)&lt;&gt;"Subscription",INDEX('Game Records'!$U:$U,$H483)&lt;&gt;"Free Game",INDEX('Game Records'!$U:$U,$H483)&lt;&gt;"Disqualified — Free Game",OR(INDEX('Game Records'!$L:$L,$H483)="",LOWER(INDEX('Game Records'!$L:$L,$H483)&amp;"")="n/a")),"Disqualified Status; ",""))</x:f>
        <x:v/>
      </x:c>
      <x:c r="G483" s="331" t="str">
        <x:f>IF($H483="","",IFERROR(INDEX('Game Records'!$M:$M,$H483),""))</x:f>
        <x:v/>
      </x:c>
      <x:c r="H483" s="104" t="str">
        <x:f>IF($H482="","",IFERROR(MATCH(1,INDEX((ROW('Game Records'!$U$5:$U$504)&gt;$H482)*(('Game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4" ht="24" customHeight="1">
      <x:c r="A484" s="332" t="str">
        <x:f>IF($H484="","",ROWS($A$5:A484))</x:f>
        <x:v/>
      </x:c>
      <x:c r="B484" s="332" t="str">
        <x:f>IF($H484="","","G-"&amp;TEXT($A484,"0000"))</x:f>
        <x:v/>
      </x:c>
      <x:c r="C484" s="331" t="str">
        <x:f>IF($H484="","",IFERROR(INDEX('Game Records'!$A:$A,$H484),""))</x:f>
        <x:v/>
      </x:c>
      <x:c r="D484" s="331" t="str">
        <x:f>IF($H484="","",IFERROR(INDEX('Game Records'!$U:$U,$H484),""))</x:f>
        <x:v/>
      </x:c>
      <x:c r="E484" s="331" t="str">
        <x:f>IF($H484="","",IF($F484="","No Highlighted Fields","Highlighted Fields Present"))</x:f>
        <x:v/>
      </x:c>
      <x:c r="F484" s="331" t="str">
        <x:f>IF($H484="","",IF(INDEX('Game Records'!$B:$B,$H484)="","Start Date; ","")&amp;IF(INDEX('Game Records'!$C:$C,$H484)="","End Date; ","")&amp;IF(AND(INDEX('Game Records'!$U:$U,$H484)&lt;&gt;"Subscription",INDEX('Game Records'!$U:$U,$H484)&lt;&gt;"Free Game",INDEX('Game Records'!$U:$U,$H484)&lt;&gt;"Disqualified — Free Game",OR(INDEX('Game Records'!$D:$D,$H484)="",LOWER(INDEX('Game Records'!$D:$D,$H484)&amp;"")="n/a")),"Entry Mode; ","")&amp;IF(AND(INDEX('Game Records'!$U:$U,$H484)&lt;&gt;"Subscription",INDEX('Game Records'!$U:$U,$H484)&lt;&gt;"Free Game",INDEX('Game Records'!$U:$U,$H484)&lt;&gt;"Disqualified — Free Game",OR(INDEX('Game Records'!$E:$E,$H484)="",LOWER(INDEX('Game Records'!$E:$E,$H484)&amp;"")="n/a")),"Game Type; ","")&amp;IF(INDEX('Game Records'!$F:$F,$H484)="","Payment Type; ","")&amp;IF(AND(INDEX('Game Records'!$U:$U,$H484)&lt;&gt;"Subscription",INDEX('Game Records'!$U:$U,$H484)&lt;&gt;"Free Game",INDEX('Game Records'!$U:$U,$H484)&lt;&gt;"Disqualified — Free Game",INDEX('Game Records'!$G:$G,$H484)=""),"Gross Pot; ","")&amp;IF(AND(INDEX('Game Records'!$U:$U,$H484)&lt;&gt;"Free Game",INDEX('Game Records'!$U:$U,$H484)&lt;&gt;"Disqualified — Free Game",INDEX('Game Records'!$H:$H,$H484)=""),"Entry Fee; ","")&amp;IF(AND(INDEX('Game Records'!$U:$U,$H484)&lt;&gt;"Subscription",INDEX('Game Records'!$U:$U,$H484)&lt;&gt;"Free Game",INDEX('Game Records'!$U:$U,$H484)&lt;&gt;"Disqualified — Free Game",INDEX('Game Records'!$I:$I,$H484)=""),"Eligible Players; ","")&amp;IF(AND(INDEX('Game Records'!$U:$U,$H484)&lt;&gt;"Subscription",INDEX('Game Records'!$U:$U,$H484)&lt;&gt;"Free Game",INDEX('Game Records'!$U:$U,$H484)&lt;&gt;"Disqualified — Free Game",INDEX('Game Records'!$J:$J,$H484)=""),"Total Players; ","")&amp;IF(AND(LOWER(INDEX('Game Records'!$D:$D,$H484)&amp;"")="finalized",LOWER(INDEX('Game Records'!$L:$L,$H484)&amp;"")&lt;&gt;"yes",INDEX('Game Records'!$U:$U,$H484)&lt;&gt;"Subscription",INDEX('Game Records'!$U:$U,$H484)&lt;&gt;"Free Game",INDEX('Game Records'!$U:$U,$H484)&lt;&gt;"Disqualified — Free Game",INDEX('Game Records'!$K:$K,$H484)=""),"Final Earned; ","")&amp;IF(AND(LOWER(INDEX('Game Records'!$D:$D,$H484)&amp;"")="finalized",INDEX('Game Records'!$U:$U,$H484)&lt;&gt;"Subscription",INDEX('Game Records'!$U:$U,$H484)&lt;&gt;"Free Game",INDEX('Game Records'!$U:$U,$H484)&lt;&gt;"Disqualified — Free Game",OR(INDEX('Game Records'!$L:$L,$H484)="",LOWER(INDEX('Game Records'!$L:$L,$H484)&amp;"")="n/a")),"Disqualified Status; ",""))</x:f>
        <x:v/>
      </x:c>
      <x:c r="G484" s="331" t="str">
        <x:f>IF($H484="","",IFERROR(INDEX('Game Records'!$M:$M,$H484),""))</x:f>
        <x:v/>
      </x:c>
      <x:c r="H484" s="104" t="str">
        <x:f>IF($H483="","",IFERROR(MATCH(1,INDEX((ROW('Game Records'!$U$5:$U$504)&gt;$H483)*(('Game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5" ht="24" customHeight="1">
      <x:c r="A485" s="332" t="str">
        <x:f>IF($H485="","",ROWS($A$5:A485))</x:f>
        <x:v/>
      </x:c>
      <x:c r="B485" s="332" t="str">
        <x:f>IF($H485="","","G-"&amp;TEXT($A485,"0000"))</x:f>
        <x:v/>
      </x:c>
      <x:c r="C485" s="331" t="str">
        <x:f>IF($H485="","",IFERROR(INDEX('Game Records'!$A:$A,$H485),""))</x:f>
        <x:v/>
      </x:c>
      <x:c r="D485" s="331" t="str">
        <x:f>IF($H485="","",IFERROR(INDEX('Game Records'!$U:$U,$H485),""))</x:f>
        <x:v/>
      </x:c>
      <x:c r="E485" s="331" t="str">
        <x:f>IF($H485="","",IF($F485="","No Highlighted Fields","Highlighted Fields Present"))</x:f>
        <x:v/>
      </x:c>
      <x:c r="F485" s="331" t="str">
        <x:f>IF($H485="","",IF(INDEX('Game Records'!$B:$B,$H485)="","Start Date; ","")&amp;IF(INDEX('Game Records'!$C:$C,$H485)="","End Date; ","")&amp;IF(AND(INDEX('Game Records'!$U:$U,$H485)&lt;&gt;"Subscription",INDEX('Game Records'!$U:$U,$H485)&lt;&gt;"Free Game",INDEX('Game Records'!$U:$U,$H485)&lt;&gt;"Disqualified — Free Game",OR(INDEX('Game Records'!$D:$D,$H485)="",LOWER(INDEX('Game Records'!$D:$D,$H485)&amp;"")="n/a")),"Entry Mode; ","")&amp;IF(AND(INDEX('Game Records'!$U:$U,$H485)&lt;&gt;"Subscription",INDEX('Game Records'!$U:$U,$H485)&lt;&gt;"Free Game",INDEX('Game Records'!$U:$U,$H485)&lt;&gt;"Disqualified — Free Game",OR(INDEX('Game Records'!$E:$E,$H485)="",LOWER(INDEX('Game Records'!$E:$E,$H485)&amp;"")="n/a")),"Game Type; ","")&amp;IF(INDEX('Game Records'!$F:$F,$H485)="","Payment Type; ","")&amp;IF(AND(INDEX('Game Records'!$U:$U,$H485)&lt;&gt;"Subscription",INDEX('Game Records'!$U:$U,$H485)&lt;&gt;"Free Game",INDEX('Game Records'!$U:$U,$H485)&lt;&gt;"Disqualified — Free Game",INDEX('Game Records'!$G:$G,$H485)=""),"Gross Pot; ","")&amp;IF(AND(INDEX('Game Records'!$U:$U,$H485)&lt;&gt;"Free Game",INDEX('Game Records'!$U:$U,$H485)&lt;&gt;"Disqualified — Free Game",INDEX('Game Records'!$H:$H,$H485)=""),"Entry Fee; ","")&amp;IF(AND(INDEX('Game Records'!$U:$U,$H485)&lt;&gt;"Subscription",INDEX('Game Records'!$U:$U,$H485)&lt;&gt;"Free Game",INDEX('Game Records'!$U:$U,$H485)&lt;&gt;"Disqualified — Free Game",INDEX('Game Records'!$I:$I,$H485)=""),"Eligible Players; ","")&amp;IF(AND(INDEX('Game Records'!$U:$U,$H485)&lt;&gt;"Subscription",INDEX('Game Records'!$U:$U,$H485)&lt;&gt;"Free Game",INDEX('Game Records'!$U:$U,$H485)&lt;&gt;"Disqualified — Free Game",INDEX('Game Records'!$J:$J,$H485)=""),"Total Players; ","")&amp;IF(AND(LOWER(INDEX('Game Records'!$D:$D,$H485)&amp;"")="finalized",LOWER(INDEX('Game Records'!$L:$L,$H485)&amp;"")&lt;&gt;"yes",INDEX('Game Records'!$U:$U,$H485)&lt;&gt;"Subscription",INDEX('Game Records'!$U:$U,$H485)&lt;&gt;"Free Game",INDEX('Game Records'!$U:$U,$H485)&lt;&gt;"Disqualified — Free Game",INDEX('Game Records'!$K:$K,$H485)=""),"Final Earned; ","")&amp;IF(AND(LOWER(INDEX('Game Records'!$D:$D,$H485)&amp;"")="finalized",INDEX('Game Records'!$U:$U,$H485)&lt;&gt;"Subscription",INDEX('Game Records'!$U:$U,$H485)&lt;&gt;"Free Game",INDEX('Game Records'!$U:$U,$H485)&lt;&gt;"Disqualified — Free Game",OR(INDEX('Game Records'!$L:$L,$H485)="",LOWER(INDEX('Game Records'!$L:$L,$H485)&amp;"")="n/a")),"Disqualified Status; ",""))</x:f>
        <x:v/>
      </x:c>
      <x:c r="G485" s="331" t="str">
        <x:f>IF($H485="","",IFERROR(INDEX('Game Records'!$M:$M,$H485),""))</x:f>
        <x:v/>
      </x:c>
      <x:c r="H485" s="104" t="str">
        <x:f>IF($H484="","",IFERROR(MATCH(1,INDEX((ROW('Game Records'!$U$5:$U$504)&gt;$H484)*(('Game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6" ht="24" customHeight="1">
      <x:c r="A486" s="332" t="str">
        <x:f>IF($H486="","",ROWS($A$5:A486))</x:f>
        <x:v/>
      </x:c>
      <x:c r="B486" s="332" t="str">
        <x:f>IF($H486="","","G-"&amp;TEXT($A486,"0000"))</x:f>
        <x:v/>
      </x:c>
      <x:c r="C486" s="331" t="str">
        <x:f>IF($H486="","",IFERROR(INDEX('Game Records'!$A:$A,$H486),""))</x:f>
        <x:v/>
      </x:c>
      <x:c r="D486" s="331" t="str">
        <x:f>IF($H486="","",IFERROR(INDEX('Game Records'!$U:$U,$H486),""))</x:f>
        <x:v/>
      </x:c>
      <x:c r="E486" s="331" t="str">
        <x:f>IF($H486="","",IF($F486="","No Highlighted Fields","Highlighted Fields Present"))</x:f>
        <x:v/>
      </x:c>
      <x:c r="F486" s="331" t="str">
        <x:f>IF($H486="","",IF(INDEX('Game Records'!$B:$B,$H486)="","Start Date; ","")&amp;IF(INDEX('Game Records'!$C:$C,$H486)="","End Date; ","")&amp;IF(AND(INDEX('Game Records'!$U:$U,$H486)&lt;&gt;"Subscription",INDEX('Game Records'!$U:$U,$H486)&lt;&gt;"Free Game",INDEX('Game Records'!$U:$U,$H486)&lt;&gt;"Disqualified — Free Game",OR(INDEX('Game Records'!$D:$D,$H486)="",LOWER(INDEX('Game Records'!$D:$D,$H486)&amp;"")="n/a")),"Entry Mode; ","")&amp;IF(AND(INDEX('Game Records'!$U:$U,$H486)&lt;&gt;"Subscription",INDEX('Game Records'!$U:$U,$H486)&lt;&gt;"Free Game",INDEX('Game Records'!$U:$U,$H486)&lt;&gt;"Disqualified — Free Game",OR(INDEX('Game Records'!$E:$E,$H486)="",LOWER(INDEX('Game Records'!$E:$E,$H486)&amp;"")="n/a")),"Game Type; ","")&amp;IF(INDEX('Game Records'!$F:$F,$H486)="","Payment Type; ","")&amp;IF(AND(INDEX('Game Records'!$U:$U,$H486)&lt;&gt;"Subscription",INDEX('Game Records'!$U:$U,$H486)&lt;&gt;"Free Game",INDEX('Game Records'!$U:$U,$H486)&lt;&gt;"Disqualified — Free Game",INDEX('Game Records'!$G:$G,$H486)=""),"Gross Pot; ","")&amp;IF(AND(INDEX('Game Records'!$U:$U,$H486)&lt;&gt;"Free Game",INDEX('Game Records'!$U:$U,$H486)&lt;&gt;"Disqualified — Free Game",INDEX('Game Records'!$H:$H,$H486)=""),"Entry Fee; ","")&amp;IF(AND(INDEX('Game Records'!$U:$U,$H486)&lt;&gt;"Subscription",INDEX('Game Records'!$U:$U,$H486)&lt;&gt;"Free Game",INDEX('Game Records'!$U:$U,$H486)&lt;&gt;"Disqualified — Free Game",INDEX('Game Records'!$I:$I,$H486)=""),"Eligible Players; ","")&amp;IF(AND(INDEX('Game Records'!$U:$U,$H486)&lt;&gt;"Subscription",INDEX('Game Records'!$U:$U,$H486)&lt;&gt;"Free Game",INDEX('Game Records'!$U:$U,$H486)&lt;&gt;"Disqualified — Free Game",INDEX('Game Records'!$J:$J,$H486)=""),"Total Players; ","")&amp;IF(AND(LOWER(INDEX('Game Records'!$D:$D,$H486)&amp;"")="finalized",LOWER(INDEX('Game Records'!$L:$L,$H486)&amp;"")&lt;&gt;"yes",INDEX('Game Records'!$U:$U,$H486)&lt;&gt;"Subscription",INDEX('Game Records'!$U:$U,$H486)&lt;&gt;"Free Game",INDEX('Game Records'!$U:$U,$H486)&lt;&gt;"Disqualified — Free Game",INDEX('Game Records'!$K:$K,$H486)=""),"Final Earned; ","")&amp;IF(AND(LOWER(INDEX('Game Records'!$D:$D,$H486)&amp;"")="finalized",INDEX('Game Records'!$U:$U,$H486)&lt;&gt;"Subscription",INDEX('Game Records'!$U:$U,$H486)&lt;&gt;"Free Game",INDEX('Game Records'!$U:$U,$H486)&lt;&gt;"Disqualified — Free Game",OR(INDEX('Game Records'!$L:$L,$H486)="",LOWER(INDEX('Game Records'!$L:$L,$H486)&amp;"")="n/a")),"Disqualified Status; ",""))</x:f>
        <x:v/>
      </x:c>
      <x:c r="G486" s="331" t="str">
        <x:f>IF($H486="","",IFERROR(INDEX('Game Records'!$M:$M,$H486),""))</x:f>
        <x:v/>
      </x:c>
      <x:c r="H486" s="104" t="str">
        <x:f>IF($H485="","",IFERROR(MATCH(1,INDEX((ROW('Game Records'!$U$5:$U$504)&gt;$H485)*(('Game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7" ht="24" customHeight="1">
      <x:c r="A487" s="332" t="str">
        <x:f>IF($H487="","",ROWS($A$5:A487))</x:f>
        <x:v/>
      </x:c>
      <x:c r="B487" s="332" t="str">
        <x:f>IF($H487="","","G-"&amp;TEXT($A487,"0000"))</x:f>
        <x:v/>
      </x:c>
      <x:c r="C487" s="331" t="str">
        <x:f>IF($H487="","",IFERROR(INDEX('Game Records'!$A:$A,$H487),""))</x:f>
        <x:v/>
      </x:c>
      <x:c r="D487" s="331" t="str">
        <x:f>IF($H487="","",IFERROR(INDEX('Game Records'!$U:$U,$H487),""))</x:f>
        <x:v/>
      </x:c>
      <x:c r="E487" s="331" t="str">
        <x:f>IF($H487="","",IF($F487="","No Highlighted Fields","Highlighted Fields Present"))</x:f>
        <x:v/>
      </x:c>
      <x:c r="F487" s="331" t="str">
        <x:f>IF($H487="","",IF(INDEX('Game Records'!$B:$B,$H487)="","Start Date; ","")&amp;IF(INDEX('Game Records'!$C:$C,$H487)="","End Date; ","")&amp;IF(AND(INDEX('Game Records'!$U:$U,$H487)&lt;&gt;"Subscription",INDEX('Game Records'!$U:$U,$H487)&lt;&gt;"Free Game",INDEX('Game Records'!$U:$U,$H487)&lt;&gt;"Disqualified — Free Game",OR(INDEX('Game Records'!$D:$D,$H487)="",LOWER(INDEX('Game Records'!$D:$D,$H487)&amp;"")="n/a")),"Entry Mode; ","")&amp;IF(AND(INDEX('Game Records'!$U:$U,$H487)&lt;&gt;"Subscription",INDEX('Game Records'!$U:$U,$H487)&lt;&gt;"Free Game",INDEX('Game Records'!$U:$U,$H487)&lt;&gt;"Disqualified — Free Game",OR(INDEX('Game Records'!$E:$E,$H487)="",LOWER(INDEX('Game Records'!$E:$E,$H487)&amp;"")="n/a")),"Game Type; ","")&amp;IF(INDEX('Game Records'!$F:$F,$H487)="","Payment Type; ","")&amp;IF(AND(INDEX('Game Records'!$U:$U,$H487)&lt;&gt;"Subscription",INDEX('Game Records'!$U:$U,$H487)&lt;&gt;"Free Game",INDEX('Game Records'!$U:$U,$H487)&lt;&gt;"Disqualified — Free Game",INDEX('Game Records'!$G:$G,$H487)=""),"Gross Pot; ","")&amp;IF(AND(INDEX('Game Records'!$U:$U,$H487)&lt;&gt;"Free Game",INDEX('Game Records'!$U:$U,$H487)&lt;&gt;"Disqualified — Free Game",INDEX('Game Records'!$H:$H,$H487)=""),"Entry Fee; ","")&amp;IF(AND(INDEX('Game Records'!$U:$U,$H487)&lt;&gt;"Subscription",INDEX('Game Records'!$U:$U,$H487)&lt;&gt;"Free Game",INDEX('Game Records'!$U:$U,$H487)&lt;&gt;"Disqualified — Free Game",INDEX('Game Records'!$I:$I,$H487)=""),"Eligible Players; ","")&amp;IF(AND(INDEX('Game Records'!$U:$U,$H487)&lt;&gt;"Subscription",INDEX('Game Records'!$U:$U,$H487)&lt;&gt;"Free Game",INDEX('Game Records'!$U:$U,$H487)&lt;&gt;"Disqualified — Free Game",INDEX('Game Records'!$J:$J,$H487)=""),"Total Players; ","")&amp;IF(AND(LOWER(INDEX('Game Records'!$D:$D,$H487)&amp;"")="finalized",LOWER(INDEX('Game Records'!$L:$L,$H487)&amp;"")&lt;&gt;"yes",INDEX('Game Records'!$U:$U,$H487)&lt;&gt;"Subscription",INDEX('Game Records'!$U:$U,$H487)&lt;&gt;"Free Game",INDEX('Game Records'!$U:$U,$H487)&lt;&gt;"Disqualified — Free Game",INDEX('Game Records'!$K:$K,$H487)=""),"Final Earned; ","")&amp;IF(AND(LOWER(INDEX('Game Records'!$D:$D,$H487)&amp;"")="finalized",INDEX('Game Records'!$U:$U,$H487)&lt;&gt;"Subscription",INDEX('Game Records'!$U:$U,$H487)&lt;&gt;"Free Game",INDEX('Game Records'!$U:$U,$H487)&lt;&gt;"Disqualified — Free Game",OR(INDEX('Game Records'!$L:$L,$H487)="",LOWER(INDEX('Game Records'!$L:$L,$H487)&amp;"")="n/a")),"Disqualified Status; ",""))</x:f>
        <x:v/>
      </x:c>
      <x:c r="G487" s="331" t="str">
        <x:f>IF($H487="","",IFERROR(INDEX('Game Records'!$M:$M,$H487),""))</x:f>
        <x:v/>
      </x:c>
      <x:c r="H487" s="104" t="str">
        <x:f>IF($H486="","",IFERROR(MATCH(1,INDEX((ROW('Game Records'!$U$5:$U$504)&gt;$H486)*(('Game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8" ht="24" customHeight="1">
      <x:c r="A488" s="332" t="str">
        <x:f>IF($H488="","",ROWS($A$5:A488))</x:f>
        <x:v/>
      </x:c>
      <x:c r="B488" s="332" t="str">
        <x:f>IF($H488="","","G-"&amp;TEXT($A488,"0000"))</x:f>
        <x:v/>
      </x:c>
      <x:c r="C488" s="331" t="str">
        <x:f>IF($H488="","",IFERROR(INDEX('Game Records'!$A:$A,$H488),""))</x:f>
        <x:v/>
      </x:c>
      <x:c r="D488" s="331" t="str">
        <x:f>IF($H488="","",IFERROR(INDEX('Game Records'!$U:$U,$H488),""))</x:f>
        <x:v/>
      </x:c>
      <x:c r="E488" s="331" t="str">
        <x:f>IF($H488="","",IF($F488="","No Highlighted Fields","Highlighted Fields Present"))</x:f>
        <x:v/>
      </x:c>
      <x:c r="F488" s="331" t="str">
        <x:f>IF($H488="","",IF(INDEX('Game Records'!$B:$B,$H488)="","Start Date; ","")&amp;IF(INDEX('Game Records'!$C:$C,$H488)="","End Date; ","")&amp;IF(AND(INDEX('Game Records'!$U:$U,$H488)&lt;&gt;"Subscription",INDEX('Game Records'!$U:$U,$H488)&lt;&gt;"Free Game",INDEX('Game Records'!$U:$U,$H488)&lt;&gt;"Disqualified — Free Game",OR(INDEX('Game Records'!$D:$D,$H488)="",LOWER(INDEX('Game Records'!$D:$D,$H488)&amp;"")="n/a")),"Entry Mode; ","")&amp;IF(AND(INDEX('Game Records'!$U:$U,$H488)&lt;&gt;"Subscription",INDEX('Game Records'!$U:$U,$H488)&lt;&gt;"Free Game",INDEX('Game Records'!$U:$U,$H488)&lt;&gt;"Disqualified — Free Game",OR(INDEX('Game Records'!$E:$E,$H488)="",LOWER(INDEX('Game Records'!$E:$E,$H488)&amp;"")="n/a")),"Game Type; ","")&amp;IF(INDEX('Game Records'!$F:$F,$H488)="","Payment Type; ","")&amp;IF(AND(INDEX('Game Records'!$U:$U,$H488)&lt;&gt;"Subscription",INDEX('Game Records'!$U:$U,$H488)&lt;&gt;"Free Game",INDEX('Game Records'!$U:$U,$H488)&lt;&gt;"Disqualified — Free Game",INDEX('Game Records'!$G:$G,$H488)=""),"Gross Pot; ","")&amp;IF(AND(INDEX('Game Records'!$U:$U,$H488)&lt;&gt;"Free Game",INDEX('Game Records'!$U:$U,$H488)&lt;&gt;"Disqualified — Free Game",INDEX('Game Records'!$H:$H,$H488)=""),"Entry Fee; ","")&amp;IF(AND(INDEX('Game Records'!$U:$U,$H488)&lt;&gt;"Subscription",INDEX('Game Records'!$U:$U,$H488)&lt;&gt;"Free Game",INDEX('Game Records'!$U:$U,$H488)&lt;&gt;"Disqualified — Free Game",INDEX('Game Records'!$I:$I,$H488)=""),"Eligible Players; ","")&amp;IF(AND(INDEX('Game Records'!$U:$U,$H488)&lt;&gt;"Subscription",INDEX('Game Records'!$U:$U,$H488)&lt;&gt;"Free Game",INDEX('Game Records'!$U:$U,$H488)&lt;&gt;"Disqualified — Free Game",INDEX('Game Records'!$J:$J,$H488)=""),"Total Players; ","")&amp;IF(AND(LOWER(INDEX('Game Records'!$D:$D,$H488)&amp;"")="finalized",LOWER(INDEX('Game Records'!$L:$L,$H488)&amp;"")&lt;&gt;"yes",INDEX('Game Records'!$U:$U,$H488)&lt;&gt;"Subscription",INDEX('Game Records'!$U:$U,$H488)&lt;&gt;"Free Game",INDEX('Game Records'!$U:$U,$H488)&lt;&gt;"Disqualified — Free Game",INDEX('Game Records'!$K:$K,$H488)=""),"Final Earned; ","")&amp;IF(AND(LOWER(INDEX('Game Records'!$D:$D,$H488)&amp;"")="finalized",INDEX('Game Records'!$U:$U,$H488)&lt;&gt;"Subscription",INDEX('Game Records'!$U:$U,$H488)&lt;&gt;"Free Game",INDEX('Game Records'!$U:$U,$H488)&lt;&gt;"Disqualified — Free Game",OR(INDEX('Game Records'!$L:$L,$H488)="",LOWER(INDEX('Game Records'!$L:$L,$H488)&amp;"")="n/a")),"Disqualified Status; ",""))</x:f>
        <x:v/>
      </x:c>
      <x:c r="G488" s="331" t="str">
        <x:f>IF($H488="","",IFERROR(INDEX('Game Records'!$M:$M,$H488),""))</x:f>
        <x:v/>
      </x:c>
      <x:c r="H488" s="104" t="str">
        <x:f>IF($H487="","",IFERROR(MATCH(1,INDEX((ROW('Game Records'!$U$5:$U$504)&gt;$H487)*(('Game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89" ht="24" customHeight="1">
      <x:c r="A489" s="332" t="str">
        <x:f>IF($H489="","",ROWS($A$5:A489))</x:f>
        <x:v/>
      </x:c>
      <x:c r="B489" s="332" t="str">
        <x:f>IF($H489="","","G-"&amp;TEXT($A489,"0000"))</x:f>
        <x:v/>
      </x:c>
      <x:c r="C489" s="331" t="str">
        <x:f>IF($H489="","",IFERROR(INDEX('Game Records'!$A:$A,$H489),""))</x:f>
        <x:v/>
      </x:c>
      <x:c r="D489" s="331" t="str">
        <x:f>IF($H489="","",IFERROR(INDEX('Game Records'!$U:$U,$H489),""))</x:f>
        <x:v/>
      </x:c>
      <x:c r="E489" s="331" t="str">
        <x:f>IF($H489="","",IF($F489="","No Highlighted Fields","Highlighted Fields Present"))</x:f>
        <x:v/>
      </x:c>
      <x:c r="F489" s="331" t="str">
        <x:f>IF($H489="","",IF(INDEX('Game Records'!$B:$B,$H489)="","Start Date; ","")&amp;IF(INDEX('Game Records'!$C:$C,$H489)="","End Date; ","")&amp;IF(AND(INDEX('Game Records'!$U:$U,$H489)&lt;&gt;"Subscription",INDEX('Game Records'!$U:$U,$H489)&lt;&gt;"Free Game",INDEX('Game Records'!$U:$U,$H489)&lt;&gt;"Disqualified — Free Game",OR(INDEX('Game Records'!$D:$D,$H489)="",LOWER(INDEX('Game Records'!$D:$D,$H489)&amp;"")="n/a")),"Entry Mode; ","")&amp;IF(AND(INDEX('Game Records'!$U:$U,$H489)&lt;&gt;"Subscription",INDEX('Game Records'!$U:$U,$H489)&lt;&gt;"Free Game",INDEX('Game Records'!$U:$U,$H489)&lt;&gt;"Disqualified — Free Game",OR(INDEX('Game Records'!$E:$E,$H489)="",LOWER(INDEX('Game Records'!$E:$E,$H489)&amp;"")="n/a")),"Game Type; ","")&amp;IF(INDEX('Game Records'!$F:$F,$H489)="","Payment Type; ","")&amp;IF(AND(INDEX('Game Records'!$U:$U,$H489)&lt;&gt;"Subscription",INDEX('Game Records'!$U:$U,$H489)&lt;&gt;"Free Game",INDEX('Game Records'!$U:$U,$H489)&lt;&gt;"Disqualified — Free Game",INDEX('Game Records'!$G:$G,$H489)=""),"Gross Pot; ","")&amp;IF(AND(INDEX('Game Records'!$U:$U,$H489)&lt;&gt;"Free Game",INDEX('Game Records'!$U:$U,$H489)&lt;&gt;"Disqualified — Free Game",INDEX('Game Records'!$H:$H,$H489)=""),"Entry Fee; ","")&amp;IF(AND(INDEX('Game Records'!$U:$U,$H489)&lt;&gt;"Subscription",INDEX('Game Records'!$U:$U,$H489)&lt;&gt;"Free Game",INDEX('Game Records'!$U:$U,$H489)&lt;&gt;"Disqualified — Free Game",INDEX('Game Records'!$I:$I,$H489)=""),"Eligible Players; ","")&amp;IF(AND(INDEX('Game Records'!$U:$U,$H489)&lt;&gt;"Subscription",INDEX('Game Records'!$U:$U,$H489)&lt;&gt;"Free Game",INDEX('Game Records'!$U:$U,$H489)&lt;&gt;"Disqualified — Free Game",INDEX('Game Records'!$J:$J,$H489)=""),"Total Players; ","")&amp;IF(AND(LOWER(INDEX('Game Records'!$D:$D,$H489)&amp;"")="finalized",LOWER(INDEX('Game Records'!$L:$L,$H489)&amp;"")&lt;&gt;"yes",INDEX('Game Records'!$U:$U,$H489)&lt;&gt;"Subscription",INDEX('Game Records'!$U:$U,$H489)&lt;&gt;"Free Game",INDEX('Game Records'!$U:$U,$H489)&lt;&gt;"Disqualified — Free Game",INDEX('Game Records'!$K:$K,$H489)=""),"Final Earned; ","")&amp;IF(AND(LOWER(INDEX('Game Records'!$D:$D,$H489)&amp;"")="finalized",INDEX('Game Records'!$U:$U,$H489)&lt;&gt;"Subscription",INDEX('Game Records'!$U:$U,$H489)&lt;&gt;"Free Game",INDEX('Game Records'!$U:$U,$H489)&lt;&gt;"Disqualified — Free Game",OR(INDEX('Game Records'!$L:$L,$H489)="",LOWER(INDEX('Game Records'!$L:$L,$H489)&amp;"")="n/a")),"Disqualified Status; ",""))</x:f>
        <x:v/>
      </x:c>
      <x:c r="G489" s="331" t="str">
        <x:f>IF($H489="","",IFERROR(INDEX('Game Records'!$M:$M,$H489),""))</x:f>
        <x:v/>
      </x:c>
      <x:c r="H489" s="104" t="str">
        <x:f>IF($H488="","",IFERROR(MATCH(1,INDEX((ROW('Game Records'!$U$5:$U$504)&gt;$H488)*(('Game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0" ht="24" customHeight="1">
      <x:c r="A490" s="332" t="str">
        <x:f>IF($H490="","",ROWS($A$5:A490))</x:f>
        <x:v/>
      </x:c>
      <x:c r="B490" s="332" t="str">
        <x:f>IF($H490="","","G-"&amp;TEXT($A490,"0000"))</x:f>
        <x:v/>
      </x:c>
      <x:c r="C490" s="331" t="str">
        <x:f>IF($H490="","",IFERROR(INDEX('Game Records'!$A:$A,$H490),""))</x:f>
        <x:v/>
      </x:c>
      <x:c r="D490" s="331" t="str">
        <x:f>IF($H490="","",IFERROR(INDEX('Game Records'!$U:$U,$H490),""))</x:f>
        <x:v/>
      </x:c>
      <x:c r="E490" s="331" t="str">
        <x:f>IF($H490="","",IF($F490="","No Highlighted Fields","Highlighted Fields Present"))</x:f>
        <x:v/>
      </x:c>
      <x:c r="F490" s="331" t="str">
        <x:f>IF($H490="","",IF(INDEX('Game Records'!$B:$B,$H490)="","Start Date; ","")&amp;IF(INDEX('Game Records'!$C:$C,$H490)="","End Date; ","")&amp;IF(AND(INDEX('Game Records'!$U:$U,$H490)&lt;&gt;"Subscription",INDEX('Game Records'!$U:$U,$H490)&lt;&gt;"Free Game",INDEX('Game Records'!$U:$U,$H490)&lt;&gt;"Disqualified — Free Game",OR(INDEX('Game Records'!$D:$D,$H490)="",LOWER(INDEX('Game Records'!$D:$D,$H490)&amp;"")="n/a")),"Entry Mode; ","")&amp;IF(AND(INDEX('Game Records'!$U:$U,$H490)&lt;&gt;"Subscription",INDEX('Game Records'!$U:$U,$H490)&lt;&gt;"Free Game",INDEX('Game Records'!$U:$U,$H490)&lt;&gt;"Disqualified — Free Game",OR(INDEX('Game Records'!$E:$E,$H490)="",LOWER(INDEX('Game Records'!$E:$E,$H490)&amp;"")="n/a")),"Game Type; ","")&amp;IF(INDEX('Game Records'!$F:$F,$H490)="","Payment Type; ","")&amp;IF(AND(INDEX('Game Records'!$U:$U,$H490)&lt;&gt;"Subscription",INDEX('Game Records'!$U:$U,$H490)&lt;&gt;"Free Game",INDEX('Game Records'!$U:$U,$H490)&lt;&gt;"Disqualified — Free Game",INDEX('Game Records'!$G:$G,$H490)=""),"Gross Pot; ","")&amp;IF(AND(INDEX('Game Records'!$U:$U,$H490)&lt;&gt;"Free Game",INDEX('Game Records'!$U:$U,$H490)&lt;&gt;"Disqualified — Free Game",INDEX('Game Records'!$H:$H,$H490)=""),"Entry Fee; ","")&amp;IF(AND(INDEX('Game Records'!$U:$U,$H490)&lt;&gt;"Subscription",INDEX('Game Records'!$U:$U,$H490)&lt;&gt;"Free Game",INDEX('Game Records'!$U:$U,$H490)&lt;&gt;"Disqualified — Free Game",INDEX('Game Records'!$I:$I,$H490)=""),"Eligible Players; ","")&amp;IF(AND(INDEX('Game Records'!$U:$U,$H490)&lt;&gt;"Subscription",INDEX('Game Records'!$U:$U,$H490)&lt;&gt;"Free Game",INDEX('Game Records'!$U:$U,$H490)&lt;&gt;"Disqualified — Free Game",INDEX('Game Records'!$J:$J,$H490)=""),"Total Players; ","")&amp;IF(AND(LOWER(INDEX('Game Records'!$D:$D,$H490)&amp;"")="finalized",LOWER(INDEX('Game Records'!$L:$L,$H490)&amp;"")&lt;&gt;"yes",INDEX('Game Records'!$U:$U,$H490)&lt;&gt;"Subscription",INDEX('Game Records'!$U:$U,$H490)&lt;&gt;"Free Game",INDEX('Game Records'!$U:$U,$H490)&lt;&gt;"Disqualified — Free Game",INDEX('Game Records'!$K:$K,$H490)=""),"Final Earned; ","")&amp;IF(AND(LOWER(INDEX('Game Records'!$D:$D,$H490)&amp;"")="finalized",INDEX('Game Records'!$U:$U,$H490)&lt;&gt;"Subscription",INDEX('Game Records'!$U:$U,$H490)&lt;&gt;"Free Game",INDEX('Game Records'!$U:$U,$H490)&lt;&gt;"Disqualified — Free Game",OR(INDEX('Game Records'!$L:$L,$H490)="",LOWER(INDEX('Game Records'!$L:$L,$H490)&amp;"")="n/a")),"Disqualified Status; ",""))</x:f>
        <x:v/>
      </x:c>
      <x:c r="G490" s="331" t="str">
        <x:f>IF($H490="","",IFERROR(INDEX('Game Records'!$M:$M,$H490),""))</x:f>
        <x:v/>
      </x:c>
      <x:c r="H490" s="104" t="str">
        <x:f>IF($H489="","",IFERROR(MATCH(1,INDEX((ROW('Game Records'!$U$5:$U$504)&gt;$H489)*(('Game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1" ht="24" customHeight="1">
      <x:c r="A491" s="332" t="str">
        <x:f>IF($H491="","",ROWS($A$5:A491))</x:f>
        <x:v/>
      </x:c>
      <x:c r="B491" s="332" t="str">
        <x:f>IF($H491="","","G-"&amp;TEXT($A491,"0000"))</x:f>
        <x:v/>
      </x:c>
      <x:c r="C491" s="331" t="str">
        <x:f>IF($H491="","",IFERROR(INDEX('Game Records'!$A:$A,$H491),""))</x:f>
        <x:v/>
      </x:c>
      <x:c r="D491" s="331" t="str">
        <x:f>IF($H491="","",IFERROR(INDEX('Game Records'!$U:$U,$H491),""))</x:f>
        <x:v/>
      </x:c>
      <x:c r="E491" s="331" t="str">
        <x:f>IF($H491="","",IF($F491="","No Highlighted Fields","Highlighted Fields Present"))</x:f>
        <x:v/>
      </x:c>
      <x:c r="F491" s="331" t="str">
        <x:f>IF($H491="","",IF(INDEX('Game Records'!$B:$B,$H491)="","Start Date; ","")&amp;IF(INDEX('Game Records'!$C:$C,$H491)="","End Date; ","")&amp;IF(AND(INDEX('Game Records'!$U:$U,$H491)&lt;&gt;"Subscription",INDEX('Game Records'!$U:$U,$H491)&lt;&gt;"Free Game",INDEX('Game Records'!$U:$U,$H491)&lt;&gt;"Disqualified — Free Game",OR(INDEX('Game Records'!$D:$D,$H491)="",LOWER(INDEX('Game Records'!$D:$D,$H491)&amp;"")="n/a")),"Entry Mode; ","")&amp;IF(AND(INDEX('Game Records'!$U:$U,$H491)&lt;&gt;"Subscription",INDEX('Game Records'!$U:$U,$H491)&lt;&gt;"Free Game",INDEX('Game Records'!$U:$U,$H491)&lt;&gt;"Disqualified — Free Game",OR(INDEX('Game Records'!$E:$E,$H491)="",LOWER(INDEX('Game Records'!$E:$E,$H491)&amp;"")="n/a")),"Game Type; ","")&amp;IF(INDEX('Game Records'!$F:$F,$H491)="","Payment Type; ","")&amp;IF(AND(INDEX('Game Records'!$U:$U,$H491)&lt;&gt;"Subscription",INDEX('Game Records'!$U:$U,$H491)&lt;&gt;"Free Game",INDEX('Game Records'!$U:$U,$H491)&lt;&gt;"Disqualified — Free Game",INDEX('Game Records'!$G:$G,$H491)=""),"Gross Pot; ","")&amp;IF(AND(INDEX('Game Records'!$U:$U,$H491)&lt;&gt;"Free Game",INDEX('Game Records'!$U:$U,$H491)&lt;&gt;"Disqualified — Free Game",INDEX('Game Records'!$H:$H,$H491)=""),"Entry Fee; ","")&amp;IF(AND(INDEX('Game Records'!$U:$U,$H491)&lt;&gt;"Subscription",INDEX('Game Records'!$U:$U,$H491)&lt;&gt;"Free Game",INDEX('Game Records'!$U:$U,$H491)&lt;&gt;"Disqualified — Free Game",INDEX('Game Records'!$I:$I,$H491)=""),"Eligible Players; ","")&amp;IF(AND(INDEX('Game Records'!$U:$U,$H491)&lt;&gt;"Subscription",INDEX('Game Records'!$U:$U,$H491)&lt;&gt;"Free Game",INDEX('Game Records'!$U:$U,$H491)&lt;&gt;"Disqualified — Free Game",INDEX('Game Records'!$J:$J,$H491)=""),"Total Players; ","")&amp;IF(AND(LOWER(INDEX('Game Records'!$D:$D,$H491)&amp;"")="finalized",LOWER(INDEX('Game Records'!$L:$L,$H491)&amp;"")&lt;&gt;"yes",INDEX('Game Records'!$U:$U,$H491)&lt;&gt;"Subscription",INDEX('Game Records'!$U:$U,$H491)&lt;&gt;"Free Game",INDEX('Game Records'!$U:$U,$H491)&lt;&gt;"Disqualified — Free Game",INDEX('Game Records'!$K:$K,$H491)=""),"Final Earned; ","")&amp;IF(AND(LOWER(INDEX('Game Records'!$D:$D,$H491)&amp;"")="finalized",INDEX('Game Records'!$U:$U,$H491)&lt;&gt;"Subscription",INDEX('Game Records'!$U:$U,$H491)&lt;&gt;"Free Game",INDEX('Game Records'!$U:$U,$H491)&lt;&gt;"Disqualified — Free Game",OR(INDEX('Game Records'!$L:$L,$H491)="",LOWER(INDEX('Game Records'!$L:$L,$H491)&amp;"")="n/a")),"Disqualified Status; ",""))</x:f>
        <x:v/>
      </x:c>
      <x:c r="G491" s="331" t="str">
        <x:f>IF($H491="","",IFERROR(INDEX('Game Records'!$M:$M,$H491),""))</x:f>
        <x:v/>
      </x:c>
      <x:c r="H491" s="104" t="str">
        <x:f>IF($H490="","",IFERROR(MATCH(1,INDEX((ROW('Game Records'!$U$5:$U$504)&gt;$H490)*(('Game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2" ht="24" customHeight="1">
      <x:c r="A492" s="332" t="str">
        <x:f>IF($H492="","",ROWS($A$5:A492))</x:f>
        <x:v/>
      </x:c>
      <x:c r="B492" s="332" t="str">
        <x:f>IF($H492="","","G-"&amp;TEXT($A492,"0000"))</x:f>
        <x:v/>
      </x:c>
      <x:c r="C492" s="331" t="str">
        <x:f>IF($H492="","",IFERROR(INDEX('Game Records'!$A:$A,$H492),""))</x:f>
        <x:v/>
      </x:c>
      <x:c r="D492" s="331" t="str">
        <x:f>IF($H492="","",IFERROR(INDEX('Game Records'!$U:$U,$H492),""))</x:f>
        <x:v/>
      </x:c>
      <x:c r="E492" s="331" t="str">
        <x:f>IF($H492="","",IF($F492="","No Highlighted Fields","Highlighted Fields Present"))</x:f>
        <x:v/>
      </x:c>
      <x:c r="F492" s="331" t="str">
        <x:f>IF($H492="","",IF(INDEX('Game Records'!$B:$B,$H492)="","Start Date; ","")&amp;IF(INDEX('Game Records'!$C:$C,$H492)="","End Date; ","")&amp;IF(AND(INDEX('Game Records'!$U:$U,$H492)&lt;&gt;"Subscription",INDEX('Game Records'!$U:$U,$H492)&lt;&gt;"Free Game",INDEX('Game Records'!$U:$U,$H492)&lt;&gt;"Disqualified — Free Game",OR(INDEX('Game Records'!$D:$D,$H492)="",LOWER(INDEX('Game Records'!$D:$D,$H492)&amp;"")="n/a")),"Entry Mode; ","")&amp;IF(AND(INDEX('Game Records'!$U:$U,$H492)&lt;&gt;"Subscription",INDEX('Game Records'!$U:$U,$H492)&lt;&gt;"Free Game",INDEX('Game Records'!$U:$U,$H492)&lt;&gt;"Disqualified — Free Game",OR(INDEX('Game Records'!$E:$E,$H492)="",LOWER(INDEX('Game Records'!$E:$E,$H492)&amp;"")="n/a")),"Game Type; ","")&amp;IF(INDEX('Game Records'!$F:$F,$H492)="","Payment Type; ","")&amp;IF(AND(INDEX('Game Records'!$U:$U,$H492)&lt;&gt;"Subscription",INDEX('Game Records'!$U:$U,$H492)&lt;&gt;"Free Game",INDEX('Game Records'!$U:$U,$H492)&lt;&gt;"Disqualified — Free Game",INDEX('Game Records'!$G:$G,$H492)=""),"Gross Pot; ","")&amp;IF(AND(INDEX('Game Records'!$U:$U,$H492)&lt;&gt;"Free Game",INDEX('Game Records'!$U:$U,$H492)&lt;&gt;"Disqualified — Free Game",INDEX('Game Records'!$H:$H,$H492)=""),"Entry Fee; ","")&amp;IF(AND(INDEX('Game Records'!$U:$U,$H492)&lt;&gt;"Subscription",INDEX('Game Records'!$U:$U,$H492)&lt;&gt;"Free Game",INDEX('Game Records'!$U:$U,$H492)&lt;&gt;"Disqualified — Free Game",INDEX('Game Records'!$I:$I,$H492)=""),"Eligible Players; ","")&amp;IF(AND(INDEX('Game Records'!$U:$U,$H492)&lt;&gt;"Subscription",INDEX('Game Records'!$U:$U,$H492)&lt;&gt;"Free Game",INDEX('Game Records'!$U:$U,$H492)&lt;&gt;"Disqualified — Free Game",INDEX('Game Records'!$J:$J,$H492)=""),"Total Players; ","")&amp;IF(AND(LOWER(INDEX('Game Records'!$D:$D,$H492)&amp;"")="finalized",LOWER(INDEX('Game Records'!$L:$L,$H492)&amp;"")&lt;&gt;"yes",INDEX('Game Records'!$U:$U,$H492)&lt;&gt;"Subscription",INDEX('Game Records'!$U:$U,$H492)&lt;&gt;"Free Game",INDEX('Game Records'!$U:$U,$H492)&lt;&gt;"Disqualified — Free Game",INDEX('Game Records'!$K:$K,$H492)=""),"Final Earned; ","")&amp;IF(AND(LOWER(INDEX('Game Records'!$D:$D,$H492)&amp;"")="finalized",INDEX('Game Records'!$U:$U,$H492)&lt;&gt;"Subscription",INDEX('Game Records'!$U:$U,$H492)&lt;&gt;"Free Game",INDEX('Game Records'!$U:$U,$H492)&lt;&gt;"Disqualified — Free Game",OR(INDEX('Game Records'!$L:$L,$H492)="",LOWER(INDEX('Game Records'!$L:$L,$H492)&amp;"")="n/a")),"Disqualified Status; ",""))</x:f>
        <x:v/>
      </x:c>
      <x:c r="G492" s="331" t="str">
        <x:f>IF($H492="","",IFERROR(INDEX('Game Records'!$M:$M,$H492),""))</x:f>
        <x:v/>
      </x:c>
      <x:c r="H492" s="104" t="str">
        <x:f>IF($H491="","",IFERROR(MATCH(1,INDEX((ROW('Game Records'!$U$5:$U$504)&gt;$H491)*(('Game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3" ht="24" customHeight="1">
      <x:c r="A493" s="332" t="str">
        <x:f>IF($H493="","",ROWS($A$5:A493))</x:f>
        <x:v/>
      </x:c>
      <x:c r="B493" s="332" t="str">
        <x:f>IF($H493="","","G-"&amp;TEXT($A493,"0000"))</x:f>
        <x:v/>
      </x:c>
      <x:c r="C493" s="331" t="str">
        <x:f>IF($H493="","",IFERROR(INDEX('Game Records'!$A:$A,$H493),""))</x:f>
        <x:v/>
      </x:c>
      <x:c r="D493" s="331" t="str">
        <x:f>IF($H493="","",IFERROR(INDEX('Game Records'!$U:$U,$H493),""))</x:f>
        <x:v/>
      </x:c>
      <x:c r="E493" s="331" t="str">
        <x:f>IF($H493="","",IF($F493="","No Highlighted Fields","Highlighted Fields Present"))</x:f>
        <x:v/>
      </x:c>
      <x:c r="F493" s="331" t="str">
        <x:f>IF($H493="","",IF(INDEX('Game Records'!$B:$B,$H493)="","Start Date; ","")&amp;IF(INDEX('Game Records'!$C:$C,$H493)="","End Date; ","")&amp;IF(AND(INDEX('Game Records'!$U:$U,$H493)&lt;&gt;"Subscription",INDEX('Game Records'!$U:$U,$H493)&lt;&gt;"Free Game",INDEX('Game Records'!$U:$U,$H493)&lt;&gt;"Disqualified — Free Game",OR(INDEX('Game Records'!$D:$D,$H493)="",LOWER(INDEX('Game Records'!$D:$D,$H493)&amp;"")="n/a")),"Entry Mode; ","")&amp;IF(AND(INDEX('Game Records'!$U:$U,$H493)&lt;&gt;"Subscription",INDEX('Game Records'!$U:$U,$H493)&lt;&gt;"Free Game",INDEX('Game Records'!$U:$U,$H493)&lt;&gt;"Disqualified — Free Game",OR(INDEX('Game Records'!$E:$E,$H493)="",LOWER(INDEX('Game Records'!$E:$E,$H493)&amp;"")="n/a")),"Game Type; ","")&amp;IF(INDEX('Game Records'!$F:$F,$H493)="","Payment Type; ","")&amp;IF(AND(INDEX('Game Records'!$U:$U,$H493)&lt;&gt;"Subscription",INDEX('Game Records'!$U:$U,$H493)&lt;&gt;"Free Game",INDEX('Game Records'!$U:$U,$H493)&lt;&gt;"Disqualified — Free Game",INDEX('Game Records'!$G:$G,$H493)=""),"Gross Pot; ","")&amp;IF(AND(INDEX('Game Records'!$U:$U,$H493)&lt;&gt;"Free Game",INDEX('Game Records'!$U:$U,$H493)&lt;&gt;"Disqualified — Free Game",INDEX('Game Records'!$H:$H,$H493)=""),"Entry Fee; ","")&amp;IF(AND(INDEX('Game Records'!$U:$U,$H493)&lt;&gt;"Subscription",INDEX('Game Records'!$U:$U,$H493)&lt;&gt;"Free Game",INDEX('Game Records'!$U:$U,$H493)&lt;&gt;"Disqualified — Free Game",INDEX('Game Records'!$I:$I,$H493)=""),"Eligible Players; ","")&amp;IF(AND(INDEX('Game Records'!$U:$U,$H493)&lt;&gt;"Subscription",INDEX('Game Records'!$U:$U,$H493)&lt;&gt;"Free Game",INDEX('Game Records'!$U:$U,$H493)&lt;&gt;"Disqualified — Free Game",INDEX('Game Records'!$J:$J,$H493)=""),"Total Players; ","")&amp;IF(AND(LOWER(INDEX('Game Records'!$D:$D,$H493)&amp;"")="finalized",LOWER(INDEX('Game Records'!$L:$L,$H493)&amp;"")&lt;&gt;"yes",INDEX('Game Records'!$U:$U,$H493)&lt;&gt;"Subscription",INDEX('Game Records'!$U:$U,$H493)&lt;&gt;"Free Game",INDEX('Game Records'!$U:$U,$H493)&lt;&gt;"Disqualified — Free Game",INDEX('Game Records'!$K:$K,$H493)=""),"Final Earned; ","")&amp;IF(AND(LOWER(INDEX('Game Records'!$D:$D,$H493)&amp;"")="finalized",INDEX('Game Records'!$U:$U,$H493)&lt;&gt;"Subscription",INDEX('Game Records'!$U:$U,$H493)&lt;&gt;"Free Game",INDEX('Game Records'!$U:$U,$H493)&lt;&gt;"Disqualified — Free Game",OR(INDEX('Game Records'!$L:$L,$H493)="",LOWER(INDEX('Game Records'!$L:$L,$H493)&amp;"")="n/a")),"Disqualified Status; ",""))</x:f>
        <x:v/>
      </x:c>
      <x:c r="G493" s="331" t="str">
        <x:f>IF($H493="","",IFERROR(INDEX('Game Records'!$M:$M,$H493),""))</x:f>
        <x:v/>
      </x:c>
      <x:c r="H493" s="104" t="str">
        <x:f>IF($H492="","",IFERROR(MATCH(1,INDEX((ROW('Game Records'!$U$5:$U$504)&gt;$H492)*(('Game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4" ht="24" customHeight="1">
      <x:c r="A494" s="332" t="str">
        <x:f>IF($H494="","",ROWS($A$5:A494))</x:f>
        <x:v/>
      </x:c>
      <x:c r="B494" s="332" t="str">
        <x:f>IF($H494="","","G-"&amp;TEXT($A494,"0000"))</x:f>
        <x:v/>
      </x:c>
      <x:c r="C494" s="331" t="str">
        <x:f>IF($H494="","",IFERROR(INDEX('Game Records'!$A:$A,$H494),""))</x:f>
        <x:v/>
      </x:c>
      <x:c r="D494" s="331" t="str">
        <x:f>IF($H494="","",IFERROR(INDEX('Game Records'!$U:$U,$H494),""))</x:f>
        <x:v/>
      </x:c>
      <x:c r="E494" s="331" t="str">
        <x:f>IF($H494="","",IF($F494="","No Highlighted Fields","Highlighted Fields Present"))</x:f>
        <x:v/>
      </x:c>
      <x:c r="F494" s="331" t="str">
        <x:f>IF($H494="","",IF(INDEX('Game Records'!$B:$B,$H494)="","Start Date; ","")&amp;IF(INDEX('Game Records'!$C:$C,$H494)="","End Date; ","")&amp;IF(AND(INDEX('Game Records'!$U:$U,$H494)&lt;&gt;"Subscription",INDEX('Game Records'!$U:$U,$H494)&lt;&gt;"Free Game",INDEX('Game Records'!$U:$U,$H494)&lt;&gt;"Disqualified — Free Game",OR(INDEX('Game Records'!$D:$D,$H494)="",LOWER(INDEX('Game Records'!$D:$D,$H494)&amp;"")="n/a")),"Entry Mode; ","")&amp;IF(AND(INDEX('Game Records'!$U:$U,$H494)&lt;&gt;"Subscription",INDEX('Game Records'!$U:$U,$H494)&lt;&gt;"Free Game",INDEX('Game Records'!$U:$U,$H494)&lt;&gt;"Disqualified — Free Game",OR(INDEX('Game Records'!$E:$E,$H494)="",LOWER(INDEX('Game Records'!$E:$E,$H494)&amp;"")="n/a")),"Game Type; ","")&amp;IF(INDEX('Game Records'!$F:$F,$H494)="","Payment Type; ","")&amp;IF(AND(INDEX('Game Records'!$U:$U,$H494)&lt;&gt;"Subscription",INDEX('Game Records'!$U:$U,$H494)&lt;&gt;"Free Game",INDEX('Game Records'!$U:$U,$H494)&lt;&gt;"Disqualified — Free Game",INDEX('Game Records'!$G:$G,$H494)=""),"Gross Pot; ","")&amp;IF(AND(INDEX('Game Records'!$U:$U,$H494)&lt;&gt;"Free Game",INDEX('Game Records'!$U:$U,$H494)&lt;&gt;"Disqualified — Free Game",INDEX('Game Records'!$H:$H,$H494)=""),"Entry Fee; ","")&amp;IF(AND(INDEX('Game Records'!$U:$U,$H494)&lt;&gt;"Subscription",INDEX('Game Records'!$U:$U,$H494)&lt;&gt;"Free Game",INDEX('Game Records'!$U:$U,$H494)&lt;&gt;"Disqualified — Free Game",INDEX('Game Records'!$I:$I,$H494)=""),"Eligible Players; ","")&amp;IF(AND(INDEX('Game Records'!$U:$U,$H494)&lt;&gt;"Subscription",INDEX('Game Records'!$U:$U,$H494)&lt;&gt;"Free Game",INDEX('Game Records'!$U:$U,$H494)&lt;&gt;"Disqualified — Free Game",INDEX('Game Records'!$J:$J,$H494)=""),"Total Players; ","")&amp;IF(AND(LOWER(INDEX('Game Records'!$D:$D,$H494)&amp;"")="finalized",LOWER(INDEX('Game Records'!$L:$L,$H494)&amp;"")&lt;&gt;"yes",INDEX('Game Records'!$U:$U,$H494)&lt;&gt;"Subscription",INDEX('Game Records'!$U:$U,$H494)&lt;&gt;"Free Game",INDEX('Game Records'!$U:$U,$H494)&lt;&gt;"Disqualified — Free Game",INDEX('Game Records'!$K:$K,$H494)=""),"Final Earned; ","")&amp;IF(AND(LOWER(INDEX('Game Records'!$D:$D,$H494)&amp;"")="finalized",INDEX('Game Records'!$U:$U,$H494)&lt;&gt;"Subscription",INDEX('Game Records'!$U:$U,$H494)&lt;&gt;"Free Game",INDEX('Game Records'!$U:$U,$H494)&lt;&gt;"Disqualified — Free Game",OR(INDEX('Game Records'!$L:$L,$H494)="",LOWER(INDEX('Game Records'!$L:$L,$H494)&amp;"")="n/a")),"Disqualified Status; ",""))</x:f>
        <x:v/>
      </x:c>
      <x:c r="G494" s="331" t="str">
        <x:f>IF($H494="","",IFERROR(INDEX('Game Records'!$M:$M,$H494),""))</x:f>
        <x:v/>
      </x:c>
      <x:c r="H494" s="104" t="str">
        <x:f>IF($H493="","",IFERROR(MATCH(1,INDEX((ROW('Game Records'!$U$5:$U$504)&gt;$H493)*(('Game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5" ht="24" customHeight="1">
      <x:c r="A495" s="332" t="str">
        <x:f>IF($H495="","",ROWS($A$5:A495))</x:f>
        <x:v/>
      </x:c>
      <x:c r="B495" s="332" t="str">
        <x:f>IF($H495="","","G-"&amp;TEXT($A495,"0000"))</x:f>
        <x:v/>
      </x:c>
      <x:c r="C495" s="331" t="str">
        <x:f>IF($H495="","",IFERROR(INDEX('Game Records'!$A:$A,$H495),""))</x:f>
        <x:v/>
      </x:c>
      <x:c r="D495" s="331" t="str">
        <x:f>IF($H495="","",IFERROR(INDEX('Game Records'!$U:$U,$H495),""))</x:f>
        <x:v/>
      </x:c>
      <x:c r="E495" s="331" t="str">
        <x:f>IF($H495="","",IF($F495="","No Highlighted Fields","Highlighted Fields Present"))</x:f>
        <x:v/>
      </x:c>
      <x:c r="F495" s="331" t="str">
        <x:f>IF($H495="","",IF(INDEX('Game Records'!$B:$B,$H495)="","Start Date; ","")&amp;IF(INDEX('Game Records'!$C:$C,$H495)="","End Date; ","")&amp;IF(AND(INDEX('Game Records'!$U:$U,$H495)&lt;&gt;"Subscription",INDEX('Game Records'!$U:$U,$H495)&lt;&gt;"Free Game",INDEX('Game Records'!$U:$U,$H495)&lt;&gt;"Disqualified — Free Game",OR(INDEX('Game Records'!$D:$D,$H495)="",LOWER(INDEX('Game Records'!$D:$D,$H495)&amp;"")="n/a")),"Entry Mode; ","")&amp;IF(AND(INDEX('Game Records'!$U:$U,$H495)&lt;&gt;"Subscription",INDEX('Game Records'!$U:$U,$H495)&lt;&gt;"Free Game",INDEX('Game Records'!$U:$U,$H495)&lt;&gt;"Disqualified — Free Game",OR(INDEX('Game Records'!$E:$E,$H495)="",LOWER(INDEX('Game Records'!$E:$E,$H495)&amp;"")="n/a")),"Game Type; ","")&amp;IF(INDEX('Game Records'!$F:$F,$H495)="","Payment Type; ","")&amp;IF(AND(INDEX('Game Records'!$U:$U,$H495)&lt;&gt;"Subscription",INDEX('Game Records'!$U:$U,$H495)&lt;&gt;"Free Game",INDEX('Game Records'!$U:$U,$H495)&lt;&gt;"Disqualified — Free Game",INDEX('Game Records'!$G:$G,$H495)=""),"Gross Pot; ","")&amp;IF(AND(INDEX('Game Records'!$U:$U,$H495)&lt;&gt;"Free Game",INDEX('Game Records'!$U:$U,$H495)&lt;&gt;"Disqualified — Free Game",INDEX('Game Records'!$H:$H,$H495)=""),"Entry Fee; ","")&amp;IF(AND(INDEX('Game Records'!$U:$U,$H495)&lt;&gt;"Subscription",INDEX('Game Records'!$U:$U,$H495)&lt;&gt;"Free Game",INDEX('Game Records'!$U:$U,$H495)&lt;&gt;"Disqualified — Free Game",INDEX('Game Records'!$I:$I,$H495)=""),"Eligible Players; ","")&amp;IF(AND(INDEX('Game Records'!$U:$U,$H495)&lt;&gt;"Subscription",INDEX('Game Records'!$U:$U,$H495)&lt;&gt;"Free Game",INDEX('Game Records'!$U:$U,$H495)&lt;&gt;"Disqualified — Free Game",INDEX('Game Records'!$J:$J,$H495)=""),"Total Players; ","")&amp;IF(AND(LOWER(INDEX('Game Records'!$D:$D,$H495)&amp;"")="finalized",LOWER(INDEX('Game Records'!$L:$L,$H495)&amp;"")&lt;&gt;"yes",INDEX('Game Records'!$U:$U,$H495)&lt;&gt;"Subscription",INDEX('Game Records'!$U:$U,$H495)&lt;&gt;"Free Game",INDEX('Game Records'!$U:$U,$H495)&lt;&gt;"Disqualified — Free Game",INDEX('Game Records'!$K:$K,$H495)=""),"Final Earned; ","")&amp;IF(AND(LOWER(INDEX('Game Records'!$D:$D,$H495)&amp;"")="finalized",INDEX('Game Records'!$U:$U,$H495)&lt;&gt;"Subscription",INDEX('Game Records'!$U:$U,$H495)&lt;&gt;"Free Game",INDEX('Game Records'!$U:$U,$H495)&lt;&gt;"Disqualified — Free Game",OR(INDEX('Game Records'!$L:$L,$H495)="",LOWER(INDEX('Game Records'!$L:$L,$H495)&amp;"")="n/a")),"Disqualified Status; ",""))</x:f>
        <x:v/>
      </x:c>
      <x:c r="G495" s="331" t="str">
        <x:f>IF($H495="","",IFERROR(INDEX('Game Records'!$M:$M,$H495),""))</x:f>
        <x:v/>
      </x:c>
      <x:c r="H495" s="104" t="str">
        <x:f>IF($H494="","",IFERROR(MATCH(1,INDEX((ROW('Game Records'!$U$5:$U$504)&gt;$H494)*(('Game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6" ht="24" customHeight="1">
      <x:c r="A496" s="332" t="str">
        <x:f>IF($H496="","",ROWS($A$5:A496))</x:f>
        <x:v/>
      </x:c>
      <x:c r="B496" s="332" t="str">
        <x:f>IF($H496="","","G-"&amp;TEXT($A496,"0000"))</x:f>
        <x:v/>
      </x:c>
      <x:c r="C496" s="331" t="str">
        <x:f>IF($H496="","",IFERROR(INDEX('Game Records'!$A:$A,$H496),""))</x:f>
        <x:v/>
      </x:c>
      <x:c r="D496" s="331" t="str">
        <x:f>IF($H496="","",IFERROR(INDEX('Game Records'!$U:$U,$H496),""))</x:f>
        <x:v/>
      </x:c>
      <x:c r="E496" s="331" t="str">
        <x:f>IF($H496="","",IF($F496="","No Highlighted Fields","Highlighted Fields Present"))</x:f>
        <x:v/>
      </x:c>
      <x:c r="F496" s="331" t="str">
        <x:f>IF($H496="","",IF(INDEX('Game Records'!$B:$B,$H496)="","Start Date; ","")&amp;IF(INDEX('Game Records'!$C:$C,$H496)="","End Date; ","")&amp;IF(AND(INDEX('Game Records'!$U:$U,$H496)&lt;&gt;"Subscription",INDEX('Game Records'!$U:$U,$H496)&lt;&gt;"Free Game",INDEX('Game Records'!$U:$U,$H496)&lt;&gt;"Disqualified — Free Game",OR(INDEX('Game Records'!$D:$D,$H496)="",LOWER(INDEX('Game Records'!$D:$D,$H496)&amp;"")="n/a")),"Entry Mode; ","")&amp;IF(AND(INDEX('Game Records'!$U:$U,$H496)&lt;&gt;"Subscription",INDEX('Game Records'!$U:$U,$H496)&lt;&gt;"Free Game",INDEX('Game Records'!$U:$U,$H496)&lt;&gt;"Disqualified — Free Game",OR(INDEX('Game Records'!$E:$E,$H496)="",LOWER(INDEX('Game Records'!$E:$E,$H496)&amp;"")="n/a")),"Game Type; ","")&amp;IF(INDEX('Game Records'!$F:$F,$H496)="","Payment Type; ","")&amp;IF(AND(INDEX('Game Records'!$U:$U,$H496)&lt;&gt;"Subscription",INDEX('Game Records'!$U:$U,$H496)&lt;&gt;"Free Game",INDEX('Game Records'!$U:$U,$H496)&lt;&gt;"Disqualified — Free Game",INDEX('Game Records'!$G:$G,$H496)=""),"Gross Pot; ","")&amp;IF(AND(INDEX('Game Records'!$U:$U,$H496)&lt;&gt;"Free Game",INDEX('Game Records'!$U:$U,$H496)&lt;&gt;"Disqualified — Free Game",INDEX('Game Records'!$H:$H,$H496)=""),"Entry Fee; ","")&amp;IF(AND(INDEX('Game Records'!$U:$U,$H496)&lt;&gt;"Subscription",INDEX('Game Records'!$U:$U,$H496)&lt;&gt;"Free Game",INDEX('Game Records'!$U:$U,$H496)&lt;&gt;"Disqualified — Free Game",INDEX('Game Records'!$I:$I,$H496)=""),"Eligible Players; ","")&amp;IF(AND(INDEX('Game Records'!$U:$U,$H496)&lt;&gt;"Subscription",INDEX('Game Records'!$U:$U,$H496)&lt;&gt;"Free Game",INDEX('Game Records'!$U:$U,$H496)&lt;&gt;"Disqualified — Free Game",INDEX('Game Records'!$J:$J,$H496)=""),"Total Players; ","")&amp;IF(AND(LOWER(INDEX('Game Records'!$D:$D,$H496)&amp;"")="finalized",LOWER(INDEX('Game Records'!$L:$L,$H496)&amp;"")&lt;&gt;"yes",INDEX('Game Records'!$U:$U,$H496)&lt;&gt;"Subscription",INDEX('Game Records'!$U:$U,$H496)&lt;&gt;"Free Game",INDEX('Game Records'!$U:$U,$H496)&lt;&gt;"Disqualified — Free Game",INDEX('Game Records'!$K:$K,$H496)=""),"Final Earned; ","")&amp;IF(AND(LOWER(INDEX('Game Records'!$D:$D,$H496)&amp;"")="finalized",INDEX('Game Records'!$U:$U,$H496)&lt;&gt;"Subscription",INDEX('Game Records'!$U:$U,$H496)&lt;&gt;"Free Game",INDEX('Game Records'!$U:$U,$H496)&lt;&gt;"Disqualified — Free Game",OR(INDEX('Game Records'!$L:$L,$H496)="",LOWER(INDEX('Game Records'!$L:$L,$H496)&amp;"")="n/a")),"Disqualified Status; ",""))</x:f>
        <x:v/>
      </x:c>
      <x:c r="G496" s="331" t="str">
        <x:f>IF($H496="","",IFERROR(INDEX('Game Records'!$M:$M,$H496),""))</x:f>
        <x:v/>
      </x:c>
      <x:c r="H496" s="104" t="str">
        <x:f>IF($H495="","",IFERROR(MATCH(1,INDEX((ROW('Game Records'!$U$5:$U$504)&gt;$H495)*(('Game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7" ht="24" customHeight="1">
      <x:c r="A497" s="332" t="str">
        <x:f>IF($H497="","",ROWS($A$5:A497))</x:f>
        <x:v/>
      </x:c>
      <x:c r="B497" s="332" t="str">
        <x:f>IF($H497="","","G-"&amp;TEXT($A497,"0000"))</x:f>
        <x:v/>
      </x:c>
      <x:c r="C497" s="331" t="str">
        <x:f>IF($H497="","",IFERROR(INDEX('Game Records'!$A:$A,$H497),""))</x:f>
        <x:v/>
      </x:c>
      <x:c r="D497" s="331" t="str">
        <x:f>IF($H497="","",IFERROR(INDEX('Game Records'!$U:$U,$H497),""))</x:f>
        <x:v/>
      </x:c>
      <x:c r="E497" s="331" t="str">
        <x:f>IF($H497="","",IF($F497="","No Highlighted Fields","Highlighted Fields Present"))</x:f>
        <x:v/>
      </x:c>
      <x:c r="F497" s="331" t="str">
        <x:f>IF($H497="","",IF(INDEX('Game Records'!$B:$B,$H497)="","Start Date; ","")&amp;IF(INDEX('Game Records'!$C:$C,$H497)="","End Date; ","")&amp;IF(AND(INDEX('Game Records'!$U:$U,$H497)&lt;&gt;"Subscription",INDEX('Game Records'!$U:$U,$H497)&lt;&gt;"Free Game",INDEX('Game Records'!$U:$U,$H497)&lt;&gt;"Disqualified — Free Game",OR(INDEX('Game Records'!$D:$D,$H497)="",LOWER(INDEX('Game Records'!$D:$D,$H497)&amp;"")="n/a")),"Entry Mode; ","")&amp;IF(AND(INDEX('Game Records'!$U:$U,$H497)&lt;&gt;"Subscription",INDEX('Game Records'!$U:$U,$H497)&lt;&gt;"Free Game",INDEX('Game Records'!$U:$U,$H497)&lt;&gt;"Disqualified — Free Game",OR(INDEX('Game Records'!$E:$E,$H497)="",LOWER(INDEX('Game Records'!$E:$E,$H497)&amp;"")="n/a")),"Game Type; ","")&amp;IF(INDEX('Game Records'!$F:$F,$H497)="","Payment Type; ","")&amp;IF(AND(INDEX('Game Records'!$U:$U,$H497)&lt;&gt;"Subscription",INDEX('Game Records'!$U:$U,$H497)&lt;&gt;"Free Game",INDEX('Game Records'!$U:$U,$H497)&lt;&gt;"Disqualified — Free Game",INDEX('Game Records'!$G:$G,$H497)=""),"Gross Pot; ","")&amp;IF(AND(INDEX('Game Records'!$U:$U,$H497)&lt;&gt;"Free Game",INDEX('Game Records'!$U:$U,$H497)&lt;&gt;"Disqualified — Free Game",INDEX('Game Records'!$H:$H,$H497)=""),"Entry Fee; ","")&amp;IF(AND(INDEX('Game Records'!$U:$U,$H497)&lt;&gt;"Subscription",INDEX('Game Records'!$U:$U,$H497)&lt;&gt;"Free Game",INDEX('Game Records'!$U:$U,$H497)&lt;&gt;"Disqualified — Free Game",INDEX('Game Records'!$I:$I,$H497)=""),"Eligible Players; ","")&amp;IF(AND(INDEX('Game Records'!$U:$U,$H497)&lt;&gt;"Subscription",INDEX('Game Records'!$U:$U,$H497)&lt;&gt;"Free Game",INDEX('Game Records'!$U:$U,$H497)&lt;&gt;"Disqualified — Free Game",INDEX('Game Records'!$J:$J,$H497)=""),"Total Players; ","")&amp;IF(AND(LOWER(INDEX('Game Records'!$D:$D,$H497)&amp;"")="finalized",LOWER(INDEX('Game Records'!$L:$L,$H497)&amp;"")&lt;&gt;"yes",INDEX('Game Records'!$U:$U,$H497)&lt;&gt;"Subscription",INDEX('Game Records'!$U:$U,$H497)&lt;&gt;"Free Game",INDEX('Game Records'!$U:$U,$H497)&lt;&gt;"Disqualified — Free Game",INDEX('Game Records'!$K:$K,$H497)=""),"Final Earned; ","")&amp;IF(AND(LOWER(INDEX('Game Records'!$D:$D,$H497)&amp;"")="finalized",INDEX('Game Records'!$U:$U,$H497)&lt;&gt;"Subscription",INDEX('Game Records'!$U:$U,$H497)&lt;&gt;"Free Game",INDEX('Game Records'!$U:$U,$H497)&lt;&gt;"Disqualified — Free Game",OR(INDEX('Game Records'!$L:$L,$H497)="",LOWER(INDEX('Game Records'!$L:$L,$H497)&amp;"")="n/a")),"Disqualified Status; ",""))</x:f>
        <x:v/>
      </x:c>
      <x:c r="G497" s="331" t="str">
        <x:f>IF($H497="","",IFERROR(INDEX('Game Records'!$M:$M,$H497),""))</x:f>
        <x:v/>
      </x:c>
      <x:c r="H497" s="104" t="str">
        <x:f>IF($H496="","",IFERROR(MATCH(1,INDEX((ROW('Game Records'!$U$5:$U$504)&gt;$H496)*(('Game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8" ht="24" customHeight="1">
      <x:c r="A498" s="332" t="str">
        <x:f>IF($H498="","",ROWS($A$5:A498))</x:f>
        <x:v/>
      </x:c>
      <x:c r="B498" s="332" t="str">
        <x:f>IF($H498="","","G-"&amp;TEXT($A498,"0000"))</x:f>
        <x:v/>
      </x:c>
      <x:c r="C498" s="331" t="str">
        <x:f>IF($H498="","",IFERROR(INDEX('Game Records'!$A:$A,$H498),""))</x:f>
        <x:v/>
      </x:c>
      <x:c r="D498" s="331" t="str">
        <x:f>IF($H498="","",IFERROR(INDEX('Game Records'!$U:$U,$H498),""))</x:f>
        <x:v/>
      </x:c>
      <x:c r="E498" s="331" t="str">
        <x:f>IF($H498="","",IF($F498="","No Highlighted Fields","Highlighted Fields Present"))</x:f>
        <x:v/>
      </x:c>
      <x:c r="F498" s="331" t="str">
        <x:f>IF($H498="","",IF(INDEX('Game Records'!$B:$B,$H498)="","Start Date; ","")&amp;IF(INDEX('Game Records'!$C:$C,$H498)="","End Date; ","")&amp;IF(AND(INDEX('Game Records'!$U:$U,$H498)&lt;&gt;"Subscription",INDEX('Game Records'!$U:$U,$H498)&lt;&gt;"Free Game",INDEX('Game Records'!$U:$U,$H498)&lt;&gt;"Disqualified — Free Game",OR(INDEX('Game Records'!$D:$D,$H498)="",LOWER(INDEX('Game Records'!$D:$D,$H498)&amp;"")="n/a")),"Entry Mode; ","")&amp;IF(AND(INDEX('Game Records'!$U:$U,$H498)&lt;&gt;"Subscription",INDEX('Game Records'!$U:$U,$H498)&lt;&gt;"Free Game",INDEX('Game Records'!$U:$U,$H498)&lt;&gt;"Disqualified — Free Game",OR(INDEX('Game Records'!$E:$E,$H498)="",LOWER(INDEX('Game Records'!$E:$E,$H498)&amp;"")="n/a")),"Game Type; ","")&amp;IF(INDEX('Game Records'!$F:$F,$H498)="","Payment Type; ","")&amp;IF(AND(INDEX('Game Records'!$U:$U,$H498)&lt;&gt;"Subscription",INDEX('Game Records'!$U:$U,$H498)&lt;&gt;"Free Game",INDEX('Game Records'!$U:$U,$H498)&lt;&gt;"Disqualified — Free Game",INDEX('Game Records'!$G:$G,$H498)=""),"Gross Pot; ","")&amp;IF(AND(INDEX('Game Records'!$U:$U,$H498)&lt;&gt;"Free Game",INDEX('Game Records'!$U:$U,$H498)&lt;&gt;"Disqualified — Free Game",INDEX('Game Records'!$H:$H,$H498)=""),"Entry Fee; ","")&amp;IF(AND(INDEX('Game Records'!$U:$U,$H498)&lt;&gt;"Subscription",INDEX('Game Records'!$U:$U,$H498)&lt;&gt;"Free Game",INDEX('Game Records'!$U:$U,$H498)&lt;&gt;"Disqualified — Free Game",INDEX('Game Records'!$I:$I,$H498)=""),"Eligible Players; ","")&amp;IF(AND(INDEX('Game Records'!$U:$U,$H498)&lt;&gt;"Subscription",INDEX('Game Records'!$U:$U,$H498)&lt;&gt;"Free Game",INDEX('Game Records'!$U:$U,$H498)&lt;&gt;"Disqualified — Free Game",INDEX('Game Records'!$J:$J,$H498)=""),"Total Players; ","")&amp;IF(AND(LOWER(INDEX('Game Records'!$D:$D,$H498)&amp;"")="finalized",LOWER(INDEX('Game Records'!$L:$L,$H498)&amp;"")&lt;&gt;"yes",INDEX('Game Records'!$U:$U,$H498)&lt;&gt;"Subscription",INDEX('Game Records'!$U:$U,$H498)&lt;&gt;"Free Game",INDEX('Game Records'!$U:$U,$H498)&lt;&gt;"Disqualified — Free Game",INDEX('Game Records'!$K:$K,$H498)=""),"Final Earned; ","")&amp;IF(AND(LOWER(INDEX('Game Records'!$D:$D,$H498)&amp;"")="finalized",INDEX('Game Records'!$U:$U,$H498)&lt;&gt;"Subscription",INDEX('Game Records'!$U:$U,$H498)&lt;&gt;"Free Game",INDEX('Game Records'!$U:$U,$H498)&lt;&gt;"Disqualified — Free Game",OR(INDEX('Game Records'!$L:$L,$H498)="",LOWER(INDEX('Game Records'!$L:$L,$H498)&amp;"")="n/a")),"Disqualified Status; ",""))</x:f>
        <x:v/>
      </x:c>
      <x:c r="G498" s="331" t="str">
        <x:f>IF($H498="","",IFERROR(INDEX('Game Records'!$M:$M,$H498),""))</x:f>
        <x:v/>
      </x:c>
      <x:c r="H498" s="104" t="str">
        <x:f>IF($H497="","",IFERROR(MATCH(1,INDEX((ROW('Game Records'!$U$5:$U$504)&gt;$H497)*(('Game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499" ht="24" customHeight="1">
      <x:c r="A499" s="332" t="str">
        <x:f>IF($H499="","",ROWS($A$5:A499))</x:f>
        <x:v/>
      </x:c>
      <x:c r="B499" s="332" t="str">
        <x:f>IF($H499="","","G-"&amp;TEXT($A499,"0000"))</x:f>
        <x:v/>
      </x:c>
      <x:c r="C499" s="331" t="str">
        <x:f>IF($H499="","",IFERROR(INDEX('Game Records'!$A:$A,$H499),""))</x:f>
        <x:v/>
      </x:c>
      <x:c r="D499" s="331" t="str">
        <x:f>IF($H499="","",IFERROR(INDEX('Game Records'!$U:$U,$H499),""))</x:f>
        <x:v/>
      </x:c>
      <x:c r="E499" s="331" t="str">
        <x:f>IF($H499="","",IF($F499="","No Highlighted Fields","Highlighted Fields Present"))</x:f>
        <x:v/>
      </x:c>
      <x:c r="F499" s="331" t="str">
        <x:f>IF($H499="","",IF(INDEX('Game Records'!$B:$B,$H499)="","Start Date; ","")&amp;IF(INDEX('Game Records'!$C:$C,$H499)="","End Date; ","")&amp;IF(AND(INDEX('Game Records'!$U:$U,$H499)&lt;&gt;"Subscription",INDEX('Game Records'!$U:$U,$H499)&lt;&gt;"Free Game",INDEX('Game Records'!$U:$U,$H499)&lt;&gt;"Disqualified — Free Game",OR(INDEX('Game Records'!$D:$D,$H499)="",LOWER(INDEX('Game Records'!$D:$D,$H499)&amp;"")="n/a")),"Entry Mode; ","")&amp;IF(AND(INDEX('Game Records'!$U:$U,$H499)&lt;&gt;"Subscription",INDEX('Game Records'!$U:$U,$H499)&lt;&gt;"Free Game",INDEX('Game Records'!$U:$U,$H499)&lt;&gt;"Disqualified — Free Game",OR(INDEX('Game Records'!$E:$E,$H499)="",LOWER(INDEX('Game Records'!$E:$E,$H499)&amp;"")="n/a")),"Game Type; ","")&amp;IF(INDEX('Game Records'!$F:$F,$H499)="","Payment Type; ","")&amp;IF(AND(INDEX('Game Records'!$U:$U,$H499)&lt;&gt;"Subscription",INDEX('Game Records'!$U:$U,$H499)&lt;&gt;"Free Game",INDEX('Game Records'!$U:$U,$H499)&lt;&gt;"Disqualified — Free Game",INDEX('Game Records'!$G:$G,$H499)=""),"Gross Pot; ","")&amp;IF(AND(INDEX('Game Records'!$U:$U,$H499)&lt;&gt;"Free Game",INDEX('Game Records'!$U:$U,$H499)&lt;&gt;"Disqualified — Free Game",INDEX('Game Records'!$H:$H,$H499)=""),"Entry Fee; ","")&amp;IF(AND(INDEX('Game Records'!$U:$U,$H499)&lt;&gt;"Subscription",INDEX('Game Records'!$U:$U,$H499)&lt;&gt;"Free Game",INDEX('Game Records'!$U:$U,$H499)&lt;&gt;"Disqualified — Free Game",INDEX('Game Records'!$I:$I,$H499)=""),"Eligible Players; ","")&amp;IF(AND(INDEX('Game Records'!$U:$U,$H499)&lt;&gt;"Subscription",INDEX('Game Records'!$U:$U,$H499)&lt;&gt;"Free Game",INDEX('Game Records'!$U:$U,$H499)&lt;&gt;"Disqualified — Free Game",INDEX('Game Records'!$J:$J,$H499)=""),"Total Players; ","")&amp;IF(AND(LOWER(INDEX('Game Records'!$D:$D,$H499)&amp;"")="finalized",LOWER(INDEX('Game Records'!$L:$L,$H499)&amp;"")&lt;&gt;"yes",INDEX('Game Records'!$U:$U,$H499)&lt;&gt;"Subscription",INDEX('Game Records'!$U:$U,$H499)&lt;&gt;"Free Game",INDEX('Game Records'!$U:$U,$H499)&lt;&gt;"Disqualified — Free Game",INDEX('Game Records'!$K:$K,$H499)=""),"Final Earned; ","")&amp;IF(AND(LOWER(INDEX('Game Records'!$D:$D,$H499)&amp;"")="finalized",INDEX('Game Records'!$U:$U,$H499)&lt;&gt;"Subscription",INDEX('Game Records'!$U:$U,$H499)&lt;&gt;"Free Game",INDEX('Game Records'!$U:$U,$H499)&lt;&gt;"Disqualified — Free Game",OR(INDEX('Game Records'!$L:$L,$H499)="",LOWER(INDEX('Game Records'!$L:$L,$H499)&amp;"")="n/a")),"Disqualified Status; ",""))</x:f>
        <x:v/>
      </x:c>
      <x:c r="G499" s="331" t="str">
        <x:f>IF($H499="","",IFERROR(INDEX('Game Records'!$M:$M,$H499),""))</x:f>
        <x:v/>
      </x:c>
      <x:c r="H499" s="104" t="str">
        <x:f>IF($H498="","",IFERROR(MATCH(1,INDEX((ROW('Game Records'!$U$5:$U$504)&gt;$H498)*(('Game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0" ht="24" customHeight="1">
      <x:c r="A500" s="332" t="str">
        <x:f>IF($H500="","",ROWS($A$5:A500))</x:f>
        <x:v/>
      </x:c>
      <x:c r="B500" s="332" t="str">
        <x:f>IF($H500="","","G-"&amp;TEXT($A500,"0000"))</x:f>
        <x:v/>
      </x:c>
      <x:c r="C500" s="331" t="str">
        <x:f>IF($H500="","",IFERROR(INDEX('Game Records'!$A:$A,$H500),""))</x:f>
        <x:v/>
      </x:c>
      <x:c r="D500" s="331" t="str">
        <x:f>IF($H500="","",IFERROR(INDEX('Game Records'!$U:$U,$H500),""))</x:f>
        <x:v/>
      </x:c>
      <x:c r="E500" s="331" t="str">
        <x:f>IF($H500="","",IF($F500="","No Highlighted Fields","Highlighted Fields Present"))</x:f>
        <x:v/>
      </x:c>
      <x:c r="F500" s="331" t="str">
        <x:f>IF($H500="","",IF(INDEX('Game Records'!$B:$B,$H500)="","Start Date; ","")&amp;IF(INDEX('Game Records'!$C:$C,$H500)="","End Date; ","")&amp;IF(AND(INDEX('Game Records'!$U:$U,$H500)&lt;&gt;"Subscription",INDEX('Game Records'!$U:$U,$H500)&lt;&gt;"Free Game",INDEX('Game Records'!$U:$U,$H500)&lt;&gt;"Disqualified — Free Game",OR(INDEX('Game Records'!$D:$D,$H500)="",LOWER(INDEX('Game Records'!$D:$D,$H500)&amp;"")="n/a")),"Entry Mode; ","")&amp;IF(AND(INDEX('Game Records'!$U:$U,$H500)&lt;&gt;"Subscription",INDEX('Game Records'!$U:$U,$H500)&lt;&gt;"Free Game",INDEX('Game Records'!$U:$U,$H500)&lt;&gt;"Disqualified — Free Game",OR(INDEX('Game Records'!$E:$E,$H500)="",LOWER(INDEX('Game Records'!$E:$E,$H500)&amp;"")="n/a")),"Game Type; ","")&amp;IF(INDEX('Game Records'!$F:$F,$H500)="","Payment Type; ","")&amp;IF(AND(INDEX('Game Records'!$U:$U,$H500)&lt;&gt;"Subscription",INDEX('Game Records'!$U:$U,$H500)&lt;&gt;"Free Game",INDEX('Game Records'!$U:$U,$H500)&lt;&gt;"Disqualified — Free Game",INDEX('Game Records'!$G:$G,$H500)=""),"Gross Pot; ","")&amp;IF(AND(INDEX('Game Records'!$U:$U,$H500)&lt;&gt;"Free Game",INDEX('Game Records'!$U:$U,$H500)&lt;&gt;"Disqualified — Free Game",INDEX('Game Records'!$H:$H,$H500)=""),"Entry Fee; ","")&amp;IF(AND(INDEX('Game Records'!$U:$U,$H500)&lt;&gt;"Subscription",INDEX('Game Records'!$U:$U,$H500)&lt;&gt;"Free Game",INDEX('Game Records'!$U:$U,$H500)&lt;&gt;"Disqualified — Free Game",INDEX('Game Records'!$I:$I,$H500)=""),"Eligible Players; ","")&amp;IF(AND(INDEX('Game Records'!$U:$U,$H500)&lt;&gt;"Subscription",INDEX('Game Records'!$U:$U,$H500)&lt;&gt;"Free Game",INDEX('Game Records'!$U:$U,$H500)&lt;&gt;"Disqualified — Free Game",INDEX('Game Records'!$J:$J,$H500)=""),"Total Players; ","")&amp;IF(AND(LOWER(INDEX('Game Records'!$D:$D,$H500)&amp;"")="finalized",LOWER(INDEX('Game Records'!$L:$L,$H500)&amp;"")&lt;&gt;"yes",INDEX('Game Records'!$U:$U,$H500)&lt;&gt;"Subscription",INDEX('Game Records'!$U:$U,$H500)&lt;&gt;"Free Game",INDEX('Game Records'!$U:$U,$H500)&lt;&gt;"Disqualified — Free Game",INDEX('Game Records'!$K:$K,$H500)=""),"Final Earned; ","")&amp;IF(AND(LOWER(INDEX('Game Records'!$D:$D,$H500)&amp;"")="finalized",INDEX('Game Records'!$U:$U,$H500)&lt;&gt;"Subscription",INDEX('Game Records'!$U:$U,$H500)&lt;&gt;"Free Game",INDEX('Game Records'!$U:$U,$H500)&lt;&gt;"Disqualified — Free Game",OR(INDEX('Game Records'!$L:$L,$H500)="",LOWER(INDEX('Game Records'!$L:$L,$H500)&amp;"")="n/a")),"Disqualified Status; ",""))</x:f>
        <x:v/>
      </x:c>
      <x:c r="G500" s="331" t="str">
        <x:f>IF($H500="","",IFERROR(INDEX('Game Records'!$M:$M,$H500),""))</x:f>
        <x:v/>
      </x:c>
      <x:c r="H500" s="104" t="str">
        <x:f>IF($H499="","",IFERROR(MATCH(1,INDEX((ROW('Game Records'!$U$5:$U$504)&gt;$H499)*(('Game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1" ht="24" customHeight="1">
      <x:c r="A501" s="332" t="str">
        <x:f>IF($H501="","",ROWS($A$5:A501))</x:f>
        <x:v/>
      </x:c>
      <x:c r="B501" s="332" t="str">
        <x:f>IF($H501="","","G-"&amp;TEXT($A501,"0000"))</x:f>
        <x:v/>
      </x:c>
      <x:c r="C501" s="331" t="str">
        <x:f>IF($H501="","",IFERROR(INDEX('Game Records'!$A:$A,$H501),""))</x:f>
        <x:v/>
      </x:c>
      <x:c r="D501" s="331" t="str">
        <x:f>IF($H501="","",IFERROR(INDEX('Game Records'!$U:$U,$H501),""))</x:f>
        <x:v/>
      </x:c>
      <x:c r="E501" s="331" t="str">
        <x:f>IF($H501="","",IF($F501="","No Highlighted Fields","Highlighted Fields Present"))</x:f>
        <x:v/>
      </x:c>
      <x:c r="F501" s="331" t="str">
        <x:f>IF($H501="","",IF(INDEX('Game Records'!$B:$B,$H501)="","Start Date; ","")&amp;IF(INDEX('Game Records'!$C:$C,$H501)="","End Date; ","")&amp;IF(AND(INDEX('Game Records'!$U:$U,$H501)&lt;&gt;"Subscription",INDEX('Game Records'!$U:$U,$H501)&lt;&gt;"Free Game",INDEX('Game Records'!$U:$U,$H501)&lt;&gt;"Disqualified — Free Game",OR(INDEX('Game Records'!$D:$D,$H501)="",LOWER(INDEX('Game Records'!$D:$D,$H501)&amp;"")="n/a")),"Entry Mode; ","")&amp;IF(AND(INDEX('Game Records'!$U:$U,$H501)&lt;&gt;"Subscription",INDEX('Game Records'!$U:$U,$H501)&lt;&gt;"Free Game",INDEX('Game Records'!$U:$U,$H501)&lt;&gt;"Disqualified — Free Game",OR(INDEX('Game Records'!$E:$E,$H501)="",LOWER(INDEX('Game Records'!$E:$E,$H501)&amp;"")="n/a")),"Game Type; ","")&amp;IF(INDEX('Game Records'!$F:$F,$H501)="","Payment Type; ","")&amp;IF(AND(INDEX('Game Records'!$U:$U,$H501)&lt;&gt;"Subscription",INDEX('Game Records'!$U:$U,$H501)&lt;&gt;"Free Game",INDEX('Game Records'!$U:$U,$H501)&lt;&gt;"Disqualified — Free Game",INDEX('Game Records'!$G:$G,$H501)=""),"Gross Pot; ","")&amp;IF(AND(INDEX('Game Records'!$U:$U,$H501)&lt;&gt;"Free Game",INDEX('Game Records'!$U:$U,$H501)&lt;&gt;"Disqualified — Free Game",INDEX('Game Records'!$H:$H,$H501)=""),"Entry Fee; ","")&amp;IF(AND(INDEX('Game Records'!$U:$U,$H501)&lt;&gt;"Subscription",INDEX('Game Records'!$U:$U,$H501)&lt;&gt;"Free Game",INDEX('Game Records'!$U:$U,$H501)&lt;&gt;"Disqualified — Free Game",INDEX('Game Records'!$I:$I,$H501)=""),"Eligible Players; ","")&amp;IF(AND(INDEX('Game Records'!$U:$U,$H501)&lt;&gt;"Subscription",INDEX('Game Records'!$U:$U,$H501)&lt;&gt;"Free Game",INDEX('Game Records'!$U:$U,$H501)&lt;&gt;"Disqualified — Free Game",INDEX('Game Records'!$J:$J,$H501)=""),"Total Players; ","")&amp;IF(AND(LOWER(INDEX('Game Records'!$D:$D,$H501)&amp;"")="finalized",LOWER(INDEX('Game Records'!$L:$L,$H501)&amp;"")&lt;&gt;"yes",INDEX('Game Records'!$U:$U,$H501)&lt;&gt;"Subscription",INDEX('Game Records'!$U:$U,$H501)&lt;&gt;"Free Game",INDEX('Game Records'!$U:$U,$H501)&lt;&gt;"Disqualified — Free Game",INDEX('Game Records'!$K:$K,$H501)=""),"Final Earned; ","")&amp;IF(AND(LOWER(INDEX('Game Records'!$D:$D,$H501)&amp;"")="finalized",INDEX('Game Records'!$U:$U,$H501)&lt;&gt;"Subscription",INDEX('Game Records'!$U:$U,$H501)&lt;&gt;"Free Game",INDEX('Game Records'!$U:$U,$H501)&lt;&gt;"Disqualified — Free Game",OR(INDEX('Game Records'!$L:$L,$H501)="",LOWER(INDEX('Game Records'!$L:$L,$H501)&amp;"")="n/a")),"Disqualified Status; ",""))</x:f>
        <x:v/>
      </x:c>
      <x:c r="G501" s="331" t="str">
        <x:f>IF($H501="","",IFERROR(INDEX('Game Records'!$M:$M,$H501),""))</x:f>
        <x:v/>
      </x:c>
      <x:c r="H501" s="104" t="str">
        <x:f>IF($H500="","",IFERROR(MATCH(1,INDEX((ROW('Game Records'!$U$5:$U$504)&gt;$H500)*(('Game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2" ht="24" customHeight="1">
      <x:c r="A502" s="332" t="str">
        <x:f>IF($H502="","",ROWS($A$5:A502))</x:f>
        <x:v/>
      </x:c>
      <x:c r="B502" s="332" t="str">
        <x:f>IF($H502="","","G-"&amp;TEXT($A502,"0000"))</x:f>
        <x:v/>
      </x:c>
      <x:c r="C502" s="331" t="str">
        <x:f>IF($H502="","",IFERROR(INDEX('Game Records'!$A:$A,$H502),""))</x:f>
        <x:v/>
      </x:c>
      <x:c r="D502" s="331" t="str">
        <x:f>IF($H502="","",IFERROR(INDEX('Game Records'!$U:$U,$H502),""))</x:f>
        <x:v/>
      </x:c>
      <x:c r="E502" s="331" t="str">
        <x:f>IF($H502="","",IF($F502="","No Highlighted Fields","Highlighted Fields Present"))</x:f>
        <x:v/>
      </x:c>
      <x:c r="F502" s="331" t="str">
        <x:f>IF($H502="","",IF(INDEX('Game Records'!$B:$B,$H502)="","Start Date; ","")&amp;IF(INDEX('Game Records'!$C:$C,$H502)="","End Date; ","")&amp;IF(AND(INDEX('Game Records'!$U:$U,$H502)&lt;&gt;"Subscription",INDEX('Game Records'!$U:$U,$H502)&lt;&gt;"Free Game",INDEX('Game Records'!$U:$U,$H502)&lt;&gt;"Disqualified — Free Game",OR(INDEX('Game Records'!$D:$D,$H502)="",LOWER(INDEX('Game Records'!$D:$D,$H502)&amp;"")="n/a")),"Entry Mode; ","")&amp;IF(AND(INDEX('Game Records'!$U:$U,$H502)&lt;&gt;"Subscription",INDEX('Game Records'!$U:$U,$H502)&lt;&gt;"Free Game",INDEX('Game Records'!$U:$U,$H502)&lt;&gt;"Disqualified — Free Game",OR(INDEX('Game Records'!$E:$E,$H502)="",LOWER(INDEX('Game Records'!$E:$E,$H502)&amp;"")="n/a")),"Game Type; ","")&amp;IF(INDEX('Game Records'!$F:$F,$H502)="","Payment Type; ","")&amp;IF(AND(INDEX('Game Records'!$U:$U,$H502)&lt;&gt;"Subscription",INDEX('Game Records'!$U:$U,$H502)&lt;&gt;"Free Game",INDEX('Game Records'!$U:$U,$H502)&lt;&gt;"Disqualified — Free Game",INDEX('Game Records'!$G:$G,$H502)=""),"Gross Pot; ","")&amp;IF(AND(INDEX('Game Records'!$U:$U,$H502)&lt;&gt;"Free Game",INDEX('Game Records'!$U:$U,$H502)&lt;&gt;"Disqualified — Free Game",INDEX('Game Records'!$H:$H,$H502)=""),"Entry Fee; ","")&amp;IF(AND(INDEX('Game Records'!$U:$U,$H502)&lt;&gt;"Subscription",INDEX('Game Records'!$U:$U,$H502)&lt;&gt;"Free Game",INDEX('Game Records'!$U:$U,$H502)&lt;&gt;"Disqualified — Free Game",INDEX('Game Records'!$I:$I,$H502)=""),"Eligible Players; ","")&amp;IF(AND(INDEX('Game Records'!$U:$U,$H502)&lt;&gt;"Subscription",INDEX('Game Records'!$U:$U,$H502)&lt;&gt;"Free Game",INDEX('Game Records'!$U:$U,$H502)&lt;&gt;"Disqualified — Free Game",INDEX('Game Records'!$J:$J,$H502)=""),"Total Players; ","")&amp;IF(AND(LOWER(INDEX('Game Records'!$D:$D,$H502)&amp;"")="finalized",LOWER(INDEX('Game Records'!$L:$L,$H502)&amp;"")&lt;&gt;"yes",INDEX('Game Records'!$U:$U,$H502)&lt;&gt;"Subscription",INDEX('Game Records'!$U:$U,$H502)&lt;&gt;"Free Game",INDEX('Game Records'!$U:$U,$H502)&lt;&gt;"Disqualified — Free Game",INDEX('Game Records'!$K:$K,$H502)=""),"Final Earned; ","")&amp;IF(AND(LOWER(INDEX('Game Records'!$D:$D,$H502)&amp;"")="finalized",INDEX('Game Records'!$U:$U,$H502)&lt;&gt;"Subscription",INDEX('Game Records'!$U:$U,$H502)&lt;&gt;"Free Game",INDEX('Game Records'!$U:$U,$H502)&lt;&gt;"Disqualified — Free Game",OR(INDEX('Game Records'!$L:$L,$H502)="",LOWER(INDEX('Game Records'!$L:$L,$H502)&amp;"")="n/a")),"Disqualified Status; ",""))</x:f>
        <x:v/>
      </x:c>
      <x:c r="G502" s="331" t="str">
        <x:f>IF($H502="","",IFERROR(INDEX('Game Records'!$M:$M,$H502),""))</x:f>
        <x:v/>
      </x:c>
      <x:c r="H502" s="104" t="str">
        <x:f>IF($H501="","",IFERROR(MATCH(1,INDEX((ROW('Game Records'!$U$5:$U$504)&gt;$H501)*(('Game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3" ht="24" customHeight="1">
      <x:c r="A503" s="332" t="str">
        <x:f>IF($H503="","",ROWS($A$5:A503))</x:f>
        <x:v/>
      </x:c>
      <x:c r="B503" s="332" t="str">
        <x:f>IF($H503="","","G-"&amp;TEXT($A503,"0000"))</x:f>
        <x:v/>
      </x:c>
      <x:c r="C503" s="331" t="str">
        <x:f>IF($H503="","",IFERROR(INDEX('Game Records'!$A:$A,$H503),""))</x:f>
        <x:v/>
      </x:c>
      <x:c r="D503" s="331" t="str">
        <x:f>IF($H503="","",IFERROR(INDEX('Game Records'!$U:$U,$H503),""))</x:f>
        <x:v/>
      </x:c>
      <x:c r="E503" s="331" t="str">
        <x:f>IF($H503="","",IF($F503="","No Highlighted Fields","Highlighted Fields Present"))</x:f>
        <x:v/>
      </x:c>
      <x:c r="F503" s="331" t="str">
        <x:f>IF($H503="","",IF(INDEX('Game Records'!$B:$B,$H503)="","Start Date; ","")&amp;IF(INDEX('Game Records'!$C:$C,$H503)="","End Date; ","")&amp;IF(AND(INDEX('Game Records'!$U:$U,$H503)&lt;&gt;"Subscription",INDEX('Game Records'!$U:$U,$H503)&lt;&gt;"Free Game",INDEX('Game Records'!$U:$U,$H503)&lt;&gt;"Disqualified — Free Game",OR(INDEX('Game Records'!$D:$D,$H503)="",LOWER(INDEX('Game Records'!$D:$D,$H503)&amp;"")="n/a")),"Entry Mode; ","")&amp;IF(AND(INDEX('Game Records'!$U:$U,$H503)&lt;&gt;"Subscription",INDEX('Game Records'!$U:$U,$H503)&lt;&gt;"Free Game",INDEX('Game Records'!$U:$U,$H503)&lt;&gt;"Disqualified — Free Game",OR(INDEX('Game Records'!$E:$E,$H503)="",LOWER(INDEX('Game Records'!$E:$E,$H503)&amp;"")="n/a")),"Game Type; ","")&amp;IF(INDEX('Game Records'!$F:$F,$H503)="","Payment Type; ","")&amp;IF(AND(INDEX('Game Records'!$U:$U,$H503)&lt;&gt;"Subscription",INDEX('Game Records'!$U:$U,$H503)&lt;&gt;"Free Game",INDEX('Game Records'!$U:$U,$H503)&lt;&gt;"Disqualified — Free Game",INDEX('Game Records'!$G:$G,$H503)=""),"Gross Pot; ","")&amp;IF(AND(INDEX('Game Records'!$U:$U,$H503)&lt;&gt;"Free Game",INDEX('Game Records'!$U:$U,$H503)&lt;&gt;"Disqualified — Free Game",INDEX('Game Records'!$H:$H,$H503)=""),"Entry Fee; ","")&amp;IF(AND(INDEX('Game Records'!$U:$U,$H503)&lt;&gt;"Subscription",INDEX('Game Records'!$U:$U,$H503)&lt;&gt;"Free Game",INDEX('Game Records'!$U:$U,$H503)&lt;&gt;"Disqualified — Free Game",INDEX('Game Records'!$I:$I,$H503)=""),"Eligible Players; ","")&amp;IF(AND(INDEX('Game Records'!$U:$U,$H503)&lt;&gt;"Subscription",INDEX('Game Records'!$U:$U,$H503)&lt;&gt;"Free Game",INDEX('Game Records'!$U:$U,$H503)&lt;&gt;"Disqualified — Free Game",INDEX('Game Records'!$J:$J,$H503)=""),"Total Players; ","")&amp;IF(AND(LOWER(INDEX('Game Records'!$D:$D,$H503)&amp;"")="finalized",LOWER(INDEX('Game Records'!$L:$L,$H503)&amp;"")&lt;&gt;"yes",INDEX('Game Records'!$U:$U,$H503)&lt;&gt;"Subscription",INDEX('Game Records'!$U:$U,$H503)&lt;&gt;"Free Game",INDEX('Game Records'!$U:$U,$H503)&lt;&gt;"Disqualified — Free Game",INDEX('Game Records'!$K:$K,$H503)=""),"Final Earned; ","")&amp;IF(AND(LOWER(INDEX('Game Records'!$D:$D,$H503)&amp;"")="finalized",INDEX('Game Records'!$U:$U,$H503)&lt;&gt;"Subscription",INDEX('Game Records'!$U:$U,$H503)&lt;&gt;"Free Game",INDEX('Game Records'!$U:$U,$H503)&lt;&gt;"Disqualified — Free Game",OR(INDEX('Game Records'!$L:$L,$H503)="",LOWER(INDEX('Game Records'!$L:$L,$H503)&amp;"")="n/a")),"Disqualified Status; ",""))</x:f>
        <x:v/>
      </x:c>
      <x:c r="G503" s="331" t="str">
        <x:f>IF($H503="","",IFERROR(INDEX('Game Records'!$M:$M,$H503),""))</x:f>
        <x:v/>
      </x:c>
      <x:c r="H503" s="104" t="str">
        <x:f>IF($H502="","",IFERROR(MATCH(1,INDEX((ROW('Game Records'!$U$5:$U$504)&gt;$H502)*(('Game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row r="504" ht="24" customHeight="1">
      <x:c r="A504" s="332" t="str">
        <x:f>IF($H504="","",ROWS($A$5:A504))</x:f>
        <x:v/>
      </x:c>
      <x:c r="B504" s="332" t="str">
        <x:f>IF($H504="","","G-"&amp;TEXT($A504,"0000"))</x:f>
        <x:v/>
      </x:c>
      <x:c r="C504" s="331" t="str">
        <x:f>IF($H504="","",IFERROR(INDEX('Game Records'!$A:$A,$H504),""))</x:f>
        <x:v/>
      </x:c>
      <x:c r="D504" s="331" t="str">
        <x:f>IF($H504="","",IFERROR(INDEX('Game Records'!$U:$U,$H504),""))</x:f>
        <x:v/>
      </x:c>
      <x:c r="E504" s="331" t="str">
        <x:f>IF($H504="","",IF($F504="","No Highlighted Fields","Highlighted Fields Present"))</x:f>
        <x:v/>
      </x:c>
      <x:c r="F504" s="331" t="str">
        <x:f>IF($H504="","",IF(INDEX('Game Records'!$B:$B,$H504)="","Start Date; ","")&amp;IF(INDEX('Game Records'!$C:$C,$H504)="","End Date; ","")&amp;IF(AND(INDEX('Game Records'!$U:$U,$H504)&lt;&gt;"Subscription",INDEX('Game Records'!$U:$U,$H504)&lt;&gt;"Free Game",INDEX('Game Records'!$U:$U,$H504)&lt;&gt;"Disqualified — Free Game",OR(INDEX('Game Records'!$D:$D,$H504)="",LOWER(INDEX('Game Records'!$D:$D,$H504)&amp;"")="n/a")),"Entry Mode; ","")&amp;IF(AND(INDEX('Game Records'!$U:$U,$H504)&lt;&gt;"Subscription",INDEX('Game Records'!$U:$U,$H504)&lt;&gt;"Free Game",INDEX('Game Records'!$U:$U,$H504)&lt;&gt;"Disqualified — Free Game",OR(INDEX('Game Records'!$E:$E,$H504)="",LOWER(INDEX('Game Records'!$E:$E,$H504)&amp;"")="n/a")),"Game Type; ","")&amp;IF(INDEX('Game Records'!$F:$F,$H504)="","Payment Type; ","")&amp;IF(AND(INDEX('Game Records'!$U:$U,$H504)&lt;&gt;"Subscription",INDEX('Game Records'!$U:$U,$H504)&lt;&gt;"Free Game",INDEX('Game Records'!$U:$U,$H504)&lt;&gt;"Disqualified — Free Game",INDEX('Game Records'!$G:$G,$H504)=""),"Gross Pot; ","")&amp;IF(AND(INDEX('Game Records'!$U:$U,$H504)&lt;&gt;"Free Game",INDEX('Game Records'!$U:$U,$H504)&lt;&gt;"Disqualified — Free Game",INDEX('Game Records'!$H:$H,$H504)=""),"Entry Fee; ","")&amp;IF(AND(INDEX('Game Records'!$U:$U,$H504)&lt;&gt;"Subscription",INDEX('Game Records'!$U:$U,$H504)&lt;&gt;"Free Game",INDEX('Game Records'!$U:$U,$H504)&lt;&gt;"Disqualified — Free Game",INDEX('Game Records'!$I:$I,$H504)=""),"Eligible Players; ","")&amp;IF(AND(INDEX('Game Records'!$U:$U,$H504)&lt;&gt;"Subscription",INDEX('Game Records'!$U:$U,$H504)&lt;&gt;"Free Game",INDEX('Game Records'!$U:$U,$H504)&lt;&gt;"Disqualified — Free Game",INDEX('Game Records'!$J:$J,$H504)=""),"Total Players; ","")&amp;IF(AND(LOWER(INDEX('Game Records'!$D:$D,$H504)&amp;"")="finalized",LOWER(INDEX('Game Records'!$L:$L,$H504)&amp;"")&lt;&gt;"yes",INDEX('Game Records'!$U:$U,$H504)&lt;&gt;"Subscription",INDEX('Game Records'!$U:$U,$H504)&lt;&gt;"Free Game",INDEX('Game Records'!$U:$U,$H504)&lt;&gt;"Disqualified — Free Game",INDEX('Game Records'!$K:$K,$H504)=""),"Final Earned; ","")&amp;IF(AND(LOWER(INDEX('Game Records'!$D:$D,$H504)&amp;"")="finalized",INDEX('Game Records'!$U:$U,$H504)&lt;&gt;"Subscription",INDEX('Game Records'!$U:$U,$H504)&lt;&gt;"Free Game",INDEX('Game Records'!$U:$U,$H504)&lt;&gt;"Disqualified — Free Game",OR(INDEX('Game Records'!$L:$L,$H504)="",LOWER(INDEX('Game Records'!$L:$L,$H504)&amp;"")="n/a")),"Disqualified Status; ",""))</x:f>
        <x:v/>
      </x:c>
      <x:c r="G504" s="331" t="str">
        <x:f>IF($H504="","",IFERROR(INDEX('Game Records'!$M:$M,$H504),""))</x:f>
        <x:v/>
      </x:c>
      <x:c r="H504" s="104" t="str">
        <x:f>IF($H503="","",IFERROR(MATCH(1,INDEX((ROW('Game Records'!$U$5:$U$504)&gt;$H503)*(('Game Records'!$A$5:$A$504&lt;&gt;"")+('Game Records'!$B$5:$B$504&lt;&gt;"")+('Game Records'!$C$5:$C$504&lt;&gt;"")+('Game Records'!$D$5:$D$504&lt;&gt;"")+('Game Records'!$E$5:$E$504&lt;&gt;"")+('Game Records'!$F$5:$F$504&lt;&gt;"")+('Game Records'!$G$5:$G$504&lt;&gt;"")+('Game Records'!$H$5:$H$504&lt;&gt;"")+('Game Records'!$I$5:$I$504&lt;&gt;"")+('Game Records'!$J$5:$J$504&lt;&gt;"")+('Game Records'!$K$5:$K$504&lt;&gt;"")+('Game Records'!$L$5:$L$504&lt;&gt;"")+('Game Records'!$M$5:$M$504&lt;&gt;"")&gt;0)*('Game Records'!$U$5:$U$504&lt;&gt;"Subscription"),0),0)+4,""))</x:f>
        <x:v/>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v246.3.6</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Completed Free Games (separate credit)</x:v>
      </x:c>
      <x:c r="B9" s="914" t="n">
        <x:f>COUNTIFS('Game Records'!$D$5:$D$504,"Finalized",'Game Records'!$U$5:$U$504,"Free Game")+COUNTIFS('Game Records'!$D$5:$D$504,"Finalized",'Game Records'!$U$5:$U$504,"Disqualified — Free Game")</x:f>
        <x:v>0</x:v>
      </x:c>
      <x:c r="C9" s="913" t="str">
        <x:v>Separate</x:v>
      </x:c>
      <x:c r="D9" s="126" t="str">
        <x:v>Free Game Chips Earned</x:v>
      </x:c>
      <x:c r="E9" s="983" t="n">
        <x:f>SUMIFS('Game Records'!$K$5:$K$504,'Game Records'!$D$5:$D$504,"Finalized",'Game Records'!$U$5:$U$504,"Free Game",'Game Records'!$K$5:$K$504,"&lt;&gt;",'Game Records'!$K$5:$K$504,"&gt;=0")</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v246.3.6</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COUNTIFS('Game Records'!$D$5:$D$504,"Finalized",'Game Records'!$U$5:$U$504,"Free Game")+COUNTIFS('Game Records'!$D$5:$D$504,"Finalized",'Game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COUNTIFS('Game Records'!$D$5:$D$504,"Finalized",'Game Records'!$U$5:$U$504,"Free Game")</x:f>
        <x:v>0</x:v>
      </x:c>
      <x:c r="C19" s="509" t="str">
        <x:v>Free Games completed without disqualification.</x:v>
      </x:c>
      <x:c r="D19" s="509"/>
      <x:c r="E19" s="509"/>
    </x:row>
    <x:row r="20" ht="39.599998474121094" hidden="0" customHeight="1">
      <x:c r="A20" s="509" t="str">
        <x:v>Disqualified Free Games</x:v>
      </x:c>
      <x:c r="B20" s="914" t="n">
        <x:f>COUNTIFS('Game Records'!$D$5:$D$504,"Finalized",'Game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IF((COUNTIFS('Game Records'!$D$5:$D$504,"Finalized",'Game Records'!$U$5:$U$504,"Free Game",'Game Records'!$K$5:$K$504,"&lt;&gt;",'Game Records'!$K$5:$K$504,"&gt;=0")+COUNTIFS('Game Records'!$D$5:$D$504,"Finalized",'Game Records'!$U$5:$U$504,"Disqualified — Free Game"))=0,0,(SUMIFS('Game Records'!$K$5:$K$504,'Game Records'!$D$5:$D$504,"Finalized",'Game Records'!$U$5:$U$504,"Free Game",'Game Records'!$K$5:$K$504,"&lt;&gt;",'Game Records'!$K$5:$K$504,"&gt;=0"))/(COUNTIFS('Game Records'!$D$5:$D$504,"Finalized",'Game Records'!$U$5:$U$504,"Free Game",'Game Records'!$K$5:$K$504,"&lt;&gt;",'Game Records'!$K$5:$K$504,"&gt;=0")+COUNTIFS('Game Records'!$D$5:$D$504,"Finalized",'Game Records'!$U$5:$U$504,"Disqualified — Free Game")))</x:f>
        <x:v>0</x:v>
      </x:c>
      <x:c r="C22" s="509" t="str">
        <x:v>Average of recorded chip amounts only; unknown blanks are excluded, while recorded 0.00-chip results remain included.</x:v>
      </x:c>
      <x:c r="D22" s="509"/>
      <x:c r="E22" s="509"/>
    </x:row>
    <x:row r="23" ht="39.599998474121094" hidden="0" customHeight="1">
      <x:c r="A23" s="509" t="str">
        <x:v>Total Chips Earned</x:v>
      </x:c>
      <x:c r="B23" s="984" t="n">
        <x:f>SUMIFS('Game Records'!$K$5:$K$504,'Game Records'!$D$5:$D$504,"Finalized",'Game Records'!$U$5:$U$504,"Free Game",'Game Records'!$K$5:$K$504,"&lt;&gt;",'Game Records'!$K$5:$K$504,"&gt;=0")</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Records'!$X$5:$X$504,'Game Records'!$D$5:$D$504,"Finalized",'Game Records'!$U$5:$U$504,"Free Game")+SUMIFS('Game Records'!$X$5:$X$504,'Game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4" s="509" t="str">
        <x:v>Average eliminated-player count when player totals are available.</x:v>
      </x:c>
      <x:c r="D24" s="509"/>
      <x:c r="E24" s="509"/>
    </x:row>
    <x:row r="25" ht="26.399999618530273" hidden="0" customHeight="1">
      <x:c r="A25" s="509" t="str">
        <x:v>Average Elimination Rate</x:v>
      </x:c>
      <x:c r="B25" s="915"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Records'!$Y$5:$Y$504,'Game Records'!$D$5:$D$504,"Finalized",'Game Records'!$U$5:$U$504,"Free Game")+SUMIFS('Game Records'!$Y$5:$Y$504,'Game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v246.3.6</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